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DBC7F5CD-88AC-408F-9AC7-ED49219BBC2E}" xr6:coauthVersionLast="47" xr6:coauthVersionMax="47" xr10:uidLastSave="{00000000-0000-0000-0000-000000000000}"/>
  <workbookProtection workbookAlgorithmName="SHA-512" workbookHashValue="m7A8vtsPS5MTBb90Pa9w7VttVmaaa3SEvCR46y2W8Y/vQVgx7IHBoGqH9uQF6C3YYL3Wv5ljcltJXQ+SJj1Mlg==" workbookSaltValue="qKMvFQH+X85CRGR35+gLKg==" workbookSpinCount="100000" lockStructure="1"/>
  <bookViews>
    <workbookView xWindow="-108" yWindow="-108" windowWidth="23256" windowHeight="12456" activeTab="1" xr2:uid="{B6F2DFF4-549D-461C-8B3C-B241E9D7ABA7}"/>
  </bookViews>
  <sheets>
    <sheet name="Sheet1" sheetId="1" r:id="rId1"/>
    <sheet name="Input" sheetId="2" r:id="rId2"/>
  </sheets>
  <externalReferences>
    <externalReference r:id="rId3"/>
  </externalReferences>
  <definedNames>
    <definedName name="_xlnm._FilterDatabase" localSheetId="1" hidden="1">Input!$A$4:$AM$27</definedName>
    <definedName name="_MinPctMsvInRoi">#REF!</definedName>
    <definedName name="_MinPctMsvOutROI">#REF!</definedName>
    <definedName name="_MinTripsInROI">#REF!</definedName>
    <definedName name="_MinTripsOutROI">#REF!</definedName>
    <definedName name="_MsvPct">#REF!</definedName>
    <definedName name="_ScoFylYr_1">#REF!</definedName>
    <definedName name="_ScoFylYr_2">#REF!</definedName>
    <definedName name="_ScoFylYr_3">#REF!</definedName>
    <definedName name="_ScoFylYr_4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2" l="1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X52" i="2"/>
  <c r="Y52" i="2"/>
  <c r="X53" i="2"/>
  <c r="Y53" i="2"/>
  <c r="X54" i="2"/>
  <c r="Y54" i="2"/>
  <c r="X55" i="2"/>
  <c r="Y55" i="2"/>
  <c r="X56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X67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X102" i="2"/>
  <c r="Y102" i="2"/>
  <c r="X103" i="2"/>
  <c r="Y103" i="2"/>
  <c r="X104" i="2"/>
  <c r="Y104" i="2"/>
  <c r="X105" i="2"/>
  <c r="Y105" i="2"/>
  <c r="X106" i="2"/>
  <c r="Y106" i="2"/>
  <c r="X107" i="2"/>
  <c r="Y107" i="2"/>
  <c r="X108" i="2"/>
  <c r="Y108" i="2"/>
  <c r="X109" i="2"/>
  <c r="Y109" i="2"/>
  <c r="X110" i="2"/>
  <c r="Y110" i="2"/>
  <c r="X111" i="2"/>
  <c r="Y111" i="2"/>
  <c r="X112" i="2"/>
  <c r="Y112" i="2"/>
  <c r="X113" i="2"/>
  <c r="Y113" i="2"/>
  <c r="X114" i="2"/>
  <c r="Y114" i="2"/>
  <c r="X115" i="2"/>
  <c r="Y115" i="2"/>
  <c r="X116" i="2"/>
  <c r="Y116" i="2"/>
  <c r="X117" i="2"/>
  <c r="Y117" i="2"/>
  <c r="X118" i="2"/>
  <c r="Y118" i="2"/>
  <c r="X119" i="2"/>
  <c r="Y119" i="2"/>
  <c r="X120" i="2"/>
  <c r="Y120" i="2"/>
  <c r="X121" i="2"/>
  <c r="Y121" i="2"/>
  <c r="X122" i="2"/>
  <c r="Y122" i="2"/>
  <c r="X123" i="2"/>
  <c r="Y123" i="2"/>
  <c r="X124" i="2"/>
  <c r="Y124" i="2"/>
  <c r="X125" i="2"/>
  <c r="Y125" i="2"/>
  <c r="X126" i="2"/>
  <c r="Y126" i="2"/>
  <c r="X127" i="2"/>
  <c r="Y127" i="2"/>
  <c r="X128" i="2"/>
  <c r="Y128" i="2"/>
  <c r="X129" i="2"/>
  <c r="Y129" i="2"/>
  <c r="X130" i="2"/>
  <c r="Y130" i="2"/>
  <c r="X131" i="2"/>
  <c r="Y131" i="2"/>
  <c r="X132" i="2"/>
  <c r="Y132" i="2"/>
  <c r="X133" i="2"/>
  <c r="Y133" i="2"/>
  <c r="X134" i="2"/>
  <c r="Y134" i="2"/>
  <c r="X135" i="2"/>
  <c r="Y135" i="2"/>
  <c r="X136" i="2"/>
  <c r="Y136" i="2"/>
  <c r="X137" i="2"/>
  <c r="Y137" i="2"/>
  <c r="X138" i="2"/>
  <c r="Y138" i="2"/>
  <c r="X139" i="2"/>
  <c r="Y139" i="2"/>
  <c r="X140" i="2"/>
  <c r="Y140" i="2"/>
  <c r="X141" i="2"/>
  <c r="Y141" i="2"/>
  <c r="X142" i="2"/>
  <c r="Y142" i="2"/>
  <c r="X143" i="2"/>
  <c r="Y143" i="2"/>
  <c r="X144" i="2"/>
  <c r="Y144" i="2"/>
  <c r="X145" i="2"/>
  <c r="Y145" i="2"/>
  <c r="X146" i="2"/>
  <c r="Y146" i="2"/>
  <c r="X147" i="2"/>
  <c r="Y147" i="2"/>
  <c r="X148" i="2"/>
  <c r="Y148" i="2"/>
  <c r="X149" i="2"/>
  <c r="Y149" i="2"/>
  <c r="X150" i="2"/>
  <c r="Y150" i="2"/>
  <c r="X151" i="2"/>
  <c r="Y151" i="2"/>
  <c r="X152" i="2"/>
  <c r="Y152" i="2"/>
  <c r="X153" i="2"/>
  <c r="Y153" i="2"/>
  <c r="X154" i="2"/>
  <c r="Y154" i="2"/>
  <c r="X155" i="2"/>
  <c r="Y155" i="2"/>
  <c r="X156" i="2"/>
  <c r="Y156" i="2"/>
  <c r="X157" i="2"/>
  <c r="Y157" i="2"/>
  <c r="X158" i="2"/>
  <c r="Y158" i="2"/>
  <c r="X159" i="2"/>
  <c r="Y159" i="2"/>
  <c r="X160" i="2"/>
  <c r="Y160" i="2"/>
  <c r="X161" i="2"/>
  <c r="Y161" i="2"/>
  <c r="X162" i="2"/>
  <c r="Y162" i="2"/>
  <c r="X163" i="2"/>
  <c r="Y163" i="2"/>
  <c r="X164" i="2"/>
  <c r="Y164" i="2"/>
  <c r="X165" i="2"/>
  <c r="Y165" i="2"/>
  <c r="X166" i="2"/>
  <c r="Y166" i="2"/>
  <c r="X167" i="2"/>
  <c r="Y167" i="2"/>
  <c r="X168" i="2"/>
  <c r="Y168" i="2"/>
  <c r="X169" i="2"/>
  <c r="Y169" i="2"/>
  <c r="X170" i="2"/>
  <c r="Y170" i="2"/>
  <c r="X171" i="2"/>
  <c r="Y171" i="2"/>
  <c r="X172" i="2"/>
  <c r="Y172" i="2"/>
  <c r="X173" i="2"/>
  <c r="Y173" i="2"/>
  <c r="X174" i="2"/>
  <c r="Y174" i="2"/>
  <c r="X175" i="2"/>
  <c r="Y175" i="2"/>
  <c r="X176" i="2"/>
  <c r="Y176" i="2"/>
  <c r="X177" i="2"/>
  <c r="Y177" i="2"/>
  <c r="X178" i="2"/>
  <c r="Y178" i="2"/>
  <c r="X179" i="2"/>
  <c r="Y179" i="2"/>
  <c r="X180" i="2"/>
  <c r="Y180" i="2"/>
  <c r="X181" i="2"/>
  <c r="Y181" i="2"/>
  <c r="X182" i="2"/>
  <c r="Y182" i="2"/>
  <c r="X183" i="2"/>
  <c r="Y183" i="2"/>
  <c r="X184" i="2"/>
  <c r="Y184" i="2"/>
  <c r="X185" i="2"/>
  <c r="Y185" i="2"/>
  <c r="X186" i="2"/>
  <c r="Y186" i="2"/>
  <c r="X187" i="2"/>
  <c r="Y187" i="2"/>
  <c r="X188" i="2"/>
  <c r="Y188" i="2"/>
  <c r="X189" i="2"/>
  <c r="Y189" i="2"/>
  <c r="X190" i="2"/>
  <c r="Y190" i="2"/>
  <c r="X191" i="2"/>
  <c r="Y191" i="2"/>
  <c r="X192" i="2"/>
  <c r="Y192" i="2"/>
  <c r="X193" i="2"/>
  <c r="Y193" i="2"/>
  <c r="X194" i="2"/>
  <c r="Y194" i="2"/>
  <c r="X195" i="2"/>
  <c r="Y195" i="2"/>
  <c r="X196" i="2"/>
  <c r="Y196" i="2"/>
  <c r="X197" i="2"/>
  <c r="Y197" i="2"/>
  <c r="X198" i="2"/>
  <c r="Y198" i="2"/>
  <c r="X199" i="2"/>
  <c r="Y199" i="2"/>
  <c r="X200" i="2"/>
  <c r="Y200" i="2"/>
  <c r="X201" i="2"/>
  <c r="Y201" i="2"/>
  <c r="X202" i="2"/>
  <c r="Y202" i="2"/>
  <c r="X203" i="2"/>
  <c r="Y203" i="2"/>
  <c r="X204" i="2"/>
  <c r="Y204" i="2"/>
  <c r="X205" i="2"/>
  <c r="Y205" i="2"/>
  <c r="X206" i="2"/>
  <c r="Y206" i="2"/>
  <c r="X207" i="2"/>
  <c r="Y207" i="2"/>
  <c r="X208" i="2"/>
  <c r="Y208" i="2"/>
  <c r="X209" i="2"/>
  <c r="Y209" i="2"/>
  <c r="X210" i="2"/>
  <c r="Y210" i="2"/>
  <c r="X211" i="2"/>
  <c r="Y211" i="2"/>
  <c r="X212" i="2"/>
  <c r="Y212" i="2"/>
  <c r="X213" i="2"/>
  <c r="Y213" i="2"/>
  <c r="X214" i="2"/>
  <c r="Y214" i="2"/>
  <c r="X215" i="2"/>
  <c r="Y215" i="2"/>
  <c r="X216" i="2"/>
  <c r="Y216" i="2"/>
  <c r="X217" i="2"/>
  <c r="Y217" i="2"/>
  <c r="X218" i="2"/>
  <c r="Y218" i="2"/>
  <c r="X219" i="2"/>
  <c r="Y219" i="2"/>
  <c r="X220" i="2"/>
  <c r="Y220" i="2"/>
  <c r="X221" i="2"/>
  <c r="Y221" i="2"/>
  <c r="X222" i="2"/>
  <c r="Y222" i="2"/>
  <c r="X223" i="2"/>
  <c r="Y223" i="2"/>
  <c r="X224" i="2"/>
  <c r="Y224" i="2"/>
  <c r="X225" i="2"/>
  <c r="Y225" i="2"/>
  <c r="X226" i="2"/>
  <c r="Y226" i="2"/>
  <c r="X227" i="2"/>
  <c r="Y227" i="2"/>
  <c r="X228" i="2"/>
  <c r="Y228" i="2"/>
  <c r="X229" i="2"/>
  <c r="Y229" i="2"/>
  <c r="X230" i="2"/>
  <c r="Y230" i="2"/>
  <c r="X231" i="2"/>
  <c r="Y231" i="2"/>
  <c r="X232" i="2"/>
  <c r="Y232" i="2"/>
  <c r="X233" i="2"/>
  <c r="Y233" i="2"/>
  <c r="X234" i="2"/>
  <c r="Y234" i="2"/>
  <c r="X235" i="2"/>
  <c r="Y235" i="2"/>
  <c r="X236" i="2"/>
  <c r="Y236" i="2"/>
  <c r="X237" i="2"/>
  <c r="Y237" i="2"/>
  <c r="X238" i="2"/>
  <c r="Y238" i="2"/>
  <c r="X239" i="2"/>
  <c r="Y239" i="2"/>
  <c r="X240" i="2"/>
  <c r="Y240" i="2"/>
  <c r="X241" i="2"/>
  <c r="Y241" i="2"/>
  <c r="X242" i="2"/>
  <c r="Y242" i="2"/>
  <c r="X243" i="2"/>
  <c r="Y243" i="2"/>
  <c r="X244" i="2"/>
  <c r="Y244" i="2"/>
  <c r="X245" i="2"/>
  <c r="Y245" i="2"/>
  <c r="X246" i="2"/>
  <c r="Y246" i="2"/>
  <c r="X247" i="2"/>
  <c r="Y247" i="2"/>
  <c r="X248" i="2"/>
  <c r="Y248" i="2"/>
  <c r="X249" i="2"/>
  <c r="Y249" i="2"/>
  <c r="X250" i="2"/>
  <c r="Y250" i="2"/>
  <c r="X251" i="2"/>
  <c r="Y251" i="2"/>
  <c r="X252" i="2"/>
  <c r="Y252" i="2"/>
  <c r="X253" i="2"/>
  <c r="Y253" i="2"/>
  <c r="X254" i="2"/>
  <c r="Y254" i="2"/>
  <c r="X255" i="2"/>
  <c r="Y255" i="2"/>
  <c r="X256" i="2"/>
  <c r="Y256" i="2"/>
  <c r="X257" i="2"/>
  <c r="Y257" i="2"/>
  <c r="X258" i="2"/>
  <c r="Y258" i="2"/>
  <c r="X259" i="2"/>
  <c r="Y259" i="2"/>
  <c r="X260" i="2"/>
  <c r="Y260" i="2"/>
  <c r="X261" i="2"/>
  <c r="Y261" i="2"/>
  <c r="X262" i="2"/>
  <c r="Y262" i="2"/>
  <c r="X263" i="2"/>
  <c r="Y263" i="2"/>
  <c r="X264" i="2"/>
  <c r="Y264" i="2"/>
  <c r="X265" i="2"/>
  <c r="Y265" i="2"/>
  <c r="X266" i="2"/>
  <c r="Y266" i="2"/>
  <c r="X267" i="2"/>
  <c r="Y267" i="2"/>
  <c r="X268" i="2"/>
  <c r="Y268" i="2"/>
  <c r="X269" i="2"/>
  <c r="Y269" i="2"/>
  <c r="X270" i="2"/>
  <c r="Y270" i="2"/>
  <c r="X271" i="2"/>
  <c r="Y271" i="2"/>
  <c r="X272" i="2"/>
  <c r="Y272" i="2"/>
  <c r="X273" i="2"/>
  <c r="Y273" i="2"/>
  <c r="X274" i="2"/>
  <c r="Y274" i="2"/>
  <c r="X275" i="2"/>
  <c r="Y275" i="2"/>
  <c r="X276" i="2"/>
  <c r="Y276" i="2"/>
  <c r="X277" i="2"/>
  <c r="Y277" i="2"/>
  <c r="X278" i="2"/>
  <c r="Y278" i="2"/>
  <c r="X279" i="2"/>
  <c r="Y279" i="2"/>
  <c r="X280" i="2"/>
  <c r="Y280" i="2"/>
  <c r="X281" i="2"/>
  <c r="Y281" i="2"/>
  <c r="X282" i="2"/>
  <c r="Y282" i="2"/>
  <c r="X283" i="2"/>
  <c r="Y283" i="2"/>
  <c r="X284" i="2"/>
  <c r="Y284" i="2"/>
  <c r="X285" i="2"/>
  <c r="Y285" i="2"/>
  <c r="X286" i="2"/>
  <c r="Y286" i="2"/>
  <c r="X287" i="2"/>
  <c r="Y287" i="2"/>
  <c r="X288" i="2"/>
  <c r="Y288" i="2"/>
  <c r="X289" i="2"/>
  <c r="Y289" i="2"/>
  <c r="X290" i="2"/>
  <c r="Y290" i="2"/>
  <c r="X291" i="2"/>
  <c r="Y291" i="2"/>
  <c r="X292" i="2"/>
  <c r="Y292" i="2"/>
  <c r="X293" i="2"/>
  <c r="Y293" i="2"/>
  <c r="X294" i="2"/>
  <c r="Y294" i="2"/>
  <c r="X295" i="2"/>
  <c r="Y295" i="2"/>
  <c r="X296" i="2"/>
  <c r="Y296" i="2"/>
  <c r="X297" i="2"/>
  <c r="Y297" i="2"/>
  <c r="X298" i="2"/>
  <c r="Y298" i="2"/>
  <c r="X299" i="2"/>
  <c r="Y299" i="2"/>
  <c r="X300" i="2"/>
  <c r="Y300" i="2"/>
  <c r="X301" i="2"/>
  <c r="Y301" i="2"/>
  <c r="X302" i="2"/>
  <c r="Y302" i="2"/>
  <c r="X303" i="2"/>
  <c r="Y303" i="2"/>
  <c r="X304" i="2"/>
  <c r="Y304" i="2"/>
  <c r="X305" i="2"/>
  <c r="Y305" i="2"/>
  <c r="X306" i="2"/>
  <c r="Y306" i="2"/>
  <c r="X307" i="2"/>
  <c r="Y307" i="2"/>
  <c r="X308" i="2"/>
  <c r="Y308" i="2"/>
  <c r="X309" i="2"/>
  <c r="Y309" i="2"/>
  <c r="X310" i="2"/>
  <c r="Y310" i="2"/>
  <c r="X311" i="2"/>
  <c r="Y311" i="2"/>
  <c r="X312" i="2"/>
  <c r="Y312" i="2"/>
  <c r="X313" i="2"/>
  <c r="Y313" i="2"/>
  <c r="X314" i="2"/>
  <c r="Y314" i="2"/>
  <c r="X315" i="2"/>
  <c r="Y315" i="2"/>
  <c r="X316" i="2"/>
  <c r="Y316" i="2"/>
  <c r="X317" i="2"/>
  <c r="Y317" i="2"/>
  <c r="X318" i="2"/>
  <c r="Y318" i="2"/>
  <c r="X319" i="2"/>
  <c r="Y319" i="2"/>
  <c r="X320" i="2"/>
  <c r="Y320" i="2"/>
  <c r="X321" i="2"/>
  <c r="Y321" i="2"/>
  <c r="X322" i="2"/>
  <c r="Y322" i="2"/>
  <c r="X323" i="2"/>
  <c r="Y323" i="2"/>
  <c r="X324" i="2"/>
  <c r="Y324" i="2"/>
  <c r="X325" i="2"/>
  <c r="Y325" i="2"/>
  <c r="X326" i="2"/>
  <c r="Y326" i="2"/>
  <c r="X327" i="2"/>
  <c r="Y327" i="2"/>
  <c r="X328" i="2"/>
  <c r="Y328" i="2"/>
  <c r="X329" i="2"/>
  <c r="Y329" i="2"/>
  <c r="X330" i="2"/>
  <c r="Y330" i="2"/>
  <c r="X331" i="2"/>
  <c r="Y331" i="2"/>
  <c r="X332" i="2"/>
  <c r="Y332" i="2"/>
  <c r="X333" i="2"/>
  <c r="Y333" i="2"/>
  <c r="X334" i="2"/>
  <c r="Y334" i="2"/>
  <c r="X335" i="2"/>
  <c r="Y335" i="2"/>
  <c r="X336" i="2"/>
  <c r="Y336" i="2"/>
  <c r="X337" i="2"/>
  <c r="Y337" i="2"/>
  <c r="X338" i="2"/>
  <c r="Y338" i="2"/>
  <c r="X339" i="2"/>
  <c r="Y339" i="2"/>
  <c r="X340" i="2"/>
  <c r="Y340" i="2"/>
  <c r="X341" i="2"/>
  <c r="Y341" i="2"/>
  <c r="X342" i="2"/>
  <c r="Y342" i="2"/>
  <c r="X343" i="2"/>
  <c r="Y343" i="2"/>
  <c r="X344" i="2"/>
  <c r="Y344" i="2"/>
  <c r="X345" i="2"/>
  <c r="Y345" i="2"/>
  <c r="X346" i="2"/>
  <c r="Y346" i="2"/>
  <c r="X347" i="2"/>
  <c r="Y347" i="2"/>
  <c r="X348" i="2"/>
  <c r="Y348" i="2"/>
  <c r="X349" i="2"/>
  <c r="Y349" i="2"/>
  <c r="X350" i="2"/>
  <c r="Y350" i="2"/>
  <c r="X351" i="2"/>
  <c r="Y351" i="2"/>
  <c r="X352" i="2"/>
  <c r="Y352" i="2"/>
  <c r="X353" i="2"/>
  <c r="Y353" i="2"/>
  <c r="X354" i="2"/>
  <c r="Y354" i="2"/>
  <c r="X355" i="2"/>
  <c r="Y355" i="2"/>
  <c r="X356" i="2"/>
  <c r="Y356" i="2"/>
  <c r="X357" i="2"/>
  <c r="Y357" i="2"/>
  <c r="X358" i="2"/>
  <c r="Y358" i="2"/>
  <c r="X359" i="2"/>
  <c r="Y359" i="2"/>
  <c r="X360" i="2"/>
  <c r="Y360" i="2"/>
  <c r="X361" i="2"/>
  <c r="Y361" i="2"/>
  <c r="X362" i="2"/>
  <c r="Y362" i="2"/>
  <c r="X363" i="2"/>
  <c r="Y363" i="2"/>
  <c r="X364" i="2"/>
  <c r="Y364" i="2"/>
  <c r="X365" i="2"/>
  <c r="Y365" i="2"/>
  <c r="X366" i="2"/>
  <c r="Y366" i="2"/>
  <c r="X367" i="2"/>
  <c r="Y367" i="2"/>
  <c r="X368" i="2"/>
  <c r="Y368" i="2"/>
  <c r="X369" i="2"/>
  <c r="Y369" i="2"/>
  <c r="Y9" i="2"/>
  <c r="X9" i="2"/>
  <c r="G10" i="2"/>
  <c r="B10" i="2"/>
  <c r="C10" i="2"/>
  <c r="D10" i="2"/>
  <c r="E10" i="2"/>
  <c r="F10" i="2"/>
  <c r="H10" i="2"/>
  <c r="M10" i="2"/>
  <c r="R10" i="2"/>
  <c r="B11" i="2"/>
  <c r="C11" i="2"/>
  <c r="D11" i="2"/>
  <c r="E11" i="2"/>
  <c r="F11" i="2"/>
  <c r="G11" i="2"/>
  <c r="H11" i="2"/>
  <c r="M11" i="2"/>
  <c r="R11" i="2"/>
  <c r="B12" i="2"/>
  <c r="C12" i="2"/>
  <c r="D12" i="2"/>
  <c r="E12" i="2"/>
  <c r="F12" i="2"/>
  <c r="G12" i="2"/>
  <c r="H12" i="2"/>
  <c r="M12" i="2"/>
  <c r="R12" i="2"/>
  <c r="B13" i="2"/>
  <c r="C13" i="2"/>
  <c r="D13" i="2"/>
  <c r="E13" i="2"/>
  <c r="F13" i="2"/>
  <c r="G13" i="2"/>
  <c r="H13" i="2"/>
  <c r="M13" i="2"/>
  <c r="R13" i="2"/>
  <c r="B14" i="2"/>
  <c r="C14" i="2"/>
  <c r="D14" i="2"/>
  <c r="E14" i="2"/>
  <c r="F14" i="2"/>
  <c r="G14" i="2"/>
  <c r="H14" i="2"/>
  <c r="M14" i="2"/>
  <c r="R14" i="2"/>
  <c r="B15" i="2"/>
  <c r="C15" i="2"/>
  <c r="D15" i="2"/>
  <c r="E15" i="2"/>
  <c r="F15" i="2"/>
  <c r="G15" i="2"/>
  <c r="H15" i="2"/>
  <c r="M15" i="2"/>
  <c r="R15" i="2"/>
  <c r="B16" i="2"/>
  <c r="C16" i="2"/>
  <c r="D16" i="2"/>
  <c r="E16" i="2"/>
  <c r="F16" i="2"/>
  <c r="G16" i="2"/>
  <c r="H16" i="2"/>
  <c r="M16" i="2"/>
  <c r="R16" i="2"/>
  <c r="B17" i="2"/>
  <c r="C17" i="2"/>
  <c r="D17" i="2"/>
  <c r="E17" i="2"/>
  <c r="F17" i="2"/>
  <c r="G17" i="2"/>
  <c r="H17" i="2"/>
  <c r="M17" i="2"/>
  <c r="R17" i="2"/>
  <c r="B18" i="2"/>
  <c r="C18" i="2"/>
  <c r="D18" i="2"/>
  <c r="E18" i="2"/>
  <c r="F18" i="2"/>
  <c r="G18" i="2"/>
  <c r="H18" i="2"/>
  <c r="M18" i="2"/>
  <c r="R18" i="2"/>
  <c r="B19" i="2"/>
  <c r="C19" i="2"/>
  <c r="D19" i="2"/>
  <c r="E19" i="2"/>
  <c r="F19" i="2"/>
  <c r="G19" i="2"/>
  <c r="H19" i="2"/>
  <c r="M19" i="2"/>
  <c r="R19" i="2"/>
  <c r="B20" i="2"/>
  <c r="C20" i="2"/>
  <c r="D20" i="2"/>
  <c r="E20" i="2"/>
  <c r="F20" i="2"/>
  <c r="G20" i="2"/>
  <c r="H20" i="2"/>
  <c r="M20" i="2"/>
  <c r="R20" i="2"/>
  <c r="B21" i="2"/>
  <c r="C21" i="2"/>
  <c r="D21" i="2"/>
  <c r="E21" i="2"/>
  <c r="F21" i="2"/>
  <c r="G21" i="2"/>
  <c r="H21" i="2"/>
  <c r="M21" i="2"/>
  <c r="R21" i="2"/>
  <c r="B22" i="2"/>
  <c r="C22" i="2"/>
  <c r="D22" i="2"/>
  <c r="E22" i="2"/>
  <c r="F22" i="2"/>
  <c r="G22" i="2"/>
  <c r="H22" i="2"/>
  <c r="M22" i="2"/>
  <c r="R22" i="2"/>
  <c r="B23" i="2"/>
  <c r="C23" i="2"/>
  <c r="D23" i="2"/>
  <c r="E23" i="2"/>
  <c r="F23" i="2"/>
  <c r="G23" i="2"/>
  <c r="H23" i="2"/>
  <c r="M23" i="2"/>
  <c r="R23" i="2"/>
  <c r="B24" i="2"/>
  <c r="C24" i="2"/>
  <c r="D24" i="2"/>
  <c r="E24" i="2"/>
  <c r="F24" i="2"/>
  <c r="G24" i="2"/>
  <c r="H24" i="2"/>
  <c r="M24" i="2"/>
  <c r="R24" i="2"/>
  <c r="B25" i="2"/>
  <c r="C25" i="2"/>
  <c r="D25" i="2"/>
  <c r="E25" i="2"/>
  <c r="F25" i="2"/>
  <c r="G25" i="2"/>
  <c r="H25" i="2"/>
  <c r="M25" i="2"/>
  <c r="R25" i="2"/>
  <c r="B26" i="2"/>
  <c r="C26" i="2"/>
  <c r="D26" i="2"/>
  <c r="E26" i="2"/>
  <c r="F26" i="2"/>
  <c r="G26" i="2"/>
  <c r="H26" i="2"/>
  <c r="M26" i="2"/>
  <c r="R26" i="2"/>
  <c r="B27" i="2"/>
  <c r="C27" i="2"/>
  <c r="D27" i="2"/>
  <c r="E27" i="2"/>
  <c r="F27" i="2"/>
  <c r="G27" i="2"/>
  <c r="H27" i="2"/>
  <c r="M27" i="2"/>
  <c r="R27" i="2"/>
  <c r="B28" i="2"/>
  <c r="C28" i="2"/>
  <c r="D28" i="2"/>
  <c r="E28" i="2"/>
  <c r="F28" i="2"/>
  <c r="G28" i="2"/>
  <c r="H28" i="2"/>
  <c r="M28" i="2"/>
  <c r="R28" i="2"/>
  <c r="B29" i="2"/>
  <c r="C29" i="2"/>
  <c r="D29" i="2"/>
  <c r="E29" i="2"/>
  <c r="F29" i="2"/>
  <c r="G29" i="2"/>
  <c r="H29" i="2"/>
  <c r="M29" i="2"/>
  <c r="R29" i="2"/>
  <c r="B30" i="2"/>
  <c r="C30" i="2"/>
  <c r="D30" i="2"/>
  <c r="E30" i="2"/>
  <c r="F30" i="2"/>
  <c r="G30" i="2"/>
  <c r="H30" i="2"/>
  <c r="M30" i="2"/>
  <c r="R30" i="2"/>
  <c r="B31" i="2"/>
  <c r="C31" i="2"/>
  <c r="D31" i="2"/>
  <c r="E31" i="2"/>
  <c r="F31" i="2"/>
  <c r="G31" i="2"/>
  <c r="H31" i="2"/>
  <c r="M31" i="2"/>
  <c r="R31" i="2"/>
  <c r="B32" i="2"/>
  <c r="C32" i="2"/>
  <c r="D32" i="2"/>
  <c r="E32" i="2"/>
  <c r="F32" i="2"/>
  <c r="G32" i="2"/>
  <c r="H32" i="2"/>
  <c r="M32" i="2"/>
  <c r="R32" i="2"/>
  <c r="B33" i="2"/>
  <c r="C33" i="2"/>
  <c r="D33" i="2"/>
  <c r="E33" i="2"/>
  <c r="F33" i="2"/>
  <c r="G33" i="2"/>
  <c r="H33" i="2"/>
  <c r="M33" i="2"/>
  <c r="R33" i="2"/>
  <c r="B34" i="2"/>
  <c r="C34" i="2"/>
  <c r="D34" i="2"/>
  <c r="E34" i="2"/>
  <c r="F34" i="2"/>
  <c r="G34" i="2"/>
  <c r="H34" i="2"/>
  <c r="M34" i="2"/>
  <c r="R34" i="2"/>
  <c r="B35" i="2"/>
  <c r="C35" i="2"/>
  <c r="D35" i="2"/>
  <c r="E35" i="2"/>
  <c r="F35" i="2"/>
  <c r="G35" i="2"/>
  <c r="H35" i="2"/>
  <c r="M35" i="2"/>
  <c r="R35" i="2"/>
  <c r="B36" i="2"/>
  <c r="C36" i="2"/>
  <c r="D36" i="2"/>
  <c r="E36" i="2"/>
  <c r="F36" i="2"/>
  <c r="G36" i="2"/>
  <c r="H36" i="2"/>
  <c r="M36" i="2"/>
  <c r="R36" i="2"/>
  <c r="B37" i="2"/>
  <c r="C37" i="2"/>
  <c r="D37" i="2"/>
  <c r="E37" i="2"/>
  <c r="F37" i="2"/>
  <c r="G37" i="2"/>
  <c r="H37" i="2"/>
  <c r="M37" i="2"/>
  <c r="R37" i="2"/>
  <c r="B38" i="2"/>
  <c r="C38" i="2"/>
  <c r="D38" i="2"/>
  <c r="E38" i="2"/>
  <c r="F38" i="2"/>
  <c r="G38" i="2"/>
  <c r="H38" i="2"/>
  <c r="M38" i="2"/>
  <c r="R38" i="2"/>
  <c r="B39" i="2"/>
  <c r="C39" i="2"/>
  <c r="D39" i="2"/>
  <c r="E39" i="2"/>
  <c r="F39" i="2"/>
  <c r="G39" i="2"/>
  <c r="H39" i="2"/>
  <c r="M39" i="2"/>
  <c r="R39" i="2"/>
  <c r="B40" i="2"/>
  <c r="C40" i="2"/>
  <c r="D40" i="2"/>
  <c r="E40" i="2"/>
  <c r="F40" i="2"/>
  <c r="G40" i="2"/>
  <c r="H40" i="2"/>
  <c r="M40" i="2"/>
  <c r="R40" i="2"/>
  <c r="B41" i="2"/>
  <c r="C41" i="2"/>
  <c r="D41" i="2"/>
  <c r="E41" i="2"/>
  <c r="F41" i="2"/>
  <c r="G41" i="2"/>
  <c r="H41" i="2"/>
  <c r="M41" i="2"/>
  <c r="R41" i="2"/>
  <c r="B42" i="2"/>
  <c r="C42" i="2"/>
  <c r="D42" i="2"/>
  <c r="E42" i="2"/>
  <c r="F42" i="2"/>
  <c r="G42" i="2"/>
  <c r="H42" i="2"/>
  <c r="M42" i="2"/>
  <c r="R42" i="2"/>
  <c r="B43" i="2"/>
  <c r="C43" i="2"/>
  <c r="D43" i="2"/>
  <c r="E43" i="2"/>
  <c r="F43" i="2"/>
  <c r="G43" i="2"/>
  <c r="H43" i="2"/>
  <c r="M43" i="2"/>
  <c r="R43" i="2"/>
  <c r="B44" i="2"/>
  <c r="C44" i="2"/>
  <c r="D44" i="2"/>
  <c r="E44" i="2"/>
  <c r="F44" i="2"/>
  <c r="G44" i="2"/>
  <c r="H44" i="2"/>
  <c r="M44" i="2"/>
  <c r="R44" i="2"/>
  <c r="B45" i="2"/>
  <c r="C45" i="2"/>
  <c r="D45" i="2"/>
  <c r="E45" i="2"/>
  <c r="F45" i="2"/>
  <c r="G45" i="2"/>
  <c r="H45" i="2"/>
  <c r="M45" i="2"/>
  <c r="R45" i="2"/>
  <c r="B46" i="2"/>
  <c r="C46" i="2"/>
  <c r="D46" i="2"/>
  <c r="E46" i="2"/>
  <c r="F46" i="2"/>
  <c r="G46" i="2"/>
  <c r="H46" i="2"/>
  <c r="M46" i="2"/>
  <c r="R46" i="2"/>
  <c r="B47" i="2"/>
  <c r="C47" i="2"/>
  <c r="D47" i="2"/>
  <c r="E47" i="2"/>
  <c r="F47" i="2"/>
  <c r="G47" i="2"/>
  <c r="H47" i="2"/>
  <c r="M47" i="2"/>
  <c r="R47" i="2"/>
  <c r="B48" i="2"/>
  <c r="C48" i="2"/>
  <c r="D48" i="2"/>
  <c r="E48" i="2"/>
  <c r="F48" i="2"/>
  <c r="G48" i="2"/>
  <c r="H48" i="2"/>
  <c r="M48" i="2"/>
  <c r="R48" i="2"/>
  <c r="B49" i="2"/>
  <c r="C49" i="2"/>
  <c r="D49" i="2"/>
  <c r="E49" i="2"/>
  <c r="F49" i="2"/>
  <c r="G49" i="2"/>
  <c r="H49" i="2"/>
  <c r="M49" i="2"/>
  <c r="R49" i="2"/>
  <c r="B50" i="2"/>
  <c r="C50" i="2"/>
  <c r="D50" i="2"/>
  <c r="E50" i="2"/>
  <c r="F50" i="2"/>
  <c r="G50" i="2"/>
  <c r="H50" i="2"/>
  <c r="M50" i="2"/>
  <c r="R50" i="2"/>
  <c r="B51" i="2"/>
  <c r="C51" i="2"/>
  <c r="D51" i="2"/>
  <c r="E51" i="2"/>
  <c r="F51" i="2"/>
  <c r="G51" i="2"/>
  <c r="H51" i="2"/>
  <c r="M51" i="2"/>
  <c r="R51" i="2"/>
  <c r="B52" i="2"/>
  <c r="C52" i="2"/>
  <c r="D52" i="2"/>
  <c r="E52" i="2"/>
  <c r="F52" i="2"/>
  <c r="G52" i="2"/>
  <c r="H52" i="2"/>
  <c r="M52" i="2"/>
  <c r="R52" i="2"/>
  <c r="B53" i="2"/>
  <c r="C53" i="2"/>
  <c r="D53" i="2"/>
  <c r="E53" i="2"/>
  <c r="F53" i="2"/>
  <c r="G53" i="2"/>
  <c r="H53" i="2"/>
  <c r="M53" i="2"/>
  <c r="R53" i="2"/>
  <c r="B54" i="2"/>
  <c r="C54" i="2"/>
  <c r="D54" i="2"/>
  <c r="E54" i="2"/>
  <c r="F54" i="2"/>
  <c r="G54" i="2"/>
  <c r="H54" i="2"/>
  <c r="M54" i="2"/>
  <c r="R54" i="2"/>
  <c r="B55" i="2"/>
  <c r="C55" i="2"/>
  <c r="D55" i="2"/>
  <c r="E55" i="2"/>
  <c r="F55" i="2"/>
  <c r="G55" i="2"/>
  <c r="H55" i="2"/>
  <c r="M55" i="2"/>
  <c r="R55" i="2"/>
  <c r="B56" i="2"/>
  <c r="C56" i="2"/>
  <c r="D56" i="2"/>
  <c r="E56" i="2"/>
  <c r="F56" i="2"/>
  <c r="G56" i="2"/>
  <c r="H56" i="2"/>
  <c r="M56" i="2"/>
  <c r="R56" i="2"/>
  <c r="B57" i="2"/>
  <c r="C57" i="2"/>
  <c r="D57" i="2"/>
  <c r="E57" i="2"/>
  <c r="F57" i="2"/>
  <c r="G57" i="2"/>
  <c r="H57" i="2"/>
  <c r="M57" i="2"/>
  <c r="R57" i="2"/>
  <c r="B58" i="2"/>
  <c r="C58" i="2"/>
  <c r="D58" i="2"/>
  <c r="E58" i="2"/>
  <c r="F58" i="2"/>
  <c r="G58" i="2"/>
  <c r="H58" i="2"/>
  <c r="M58" i="2"/>
  <c r="R58" i="2"/>
  <c r="B59" i="2"/>
  <c r="C59" i="2"/>
  <c r="D59" i="2"/>
  <c r="E59" i="2"/>
  <c r="F59" i="2"/>
  <c r="G59" i="2"/>
  <c r="H59" i="2"/>
  <c r="M59" i="2"/>
  <c r="R59" i="2"/>
  <c r="B60" i="2"/>
  <c r="C60" i="2"/>
  <c r="D60" i="2"/>
  <c r="E60" i="2"/>
  <c r="F60" i="2"/>
  <c r="G60" i="2"/>
  <c r="H60" i="2"/>
  <c r="M60" i="2"/>
  <c r="R60" i="2"/>
  <c r="B61" i="2"/>
  <c r="C61" i="2"/>
  <c r="D61" i="2"/>
  <c r="E61" i="2"/>
  <c r="F61" i="2"/>
  <c r="G61" i="2"/>
  <c r="H61" i="2"/>
  <c r="M61" i="2"/>
  <c r="R61" i="2"/>
  <c r="B62" i="2"/>
  <c r="C62" i="2"/>
  <c r="D62" i="2"/>
  <c r="E62" i="2"/>
  <c r="F62" i="2"/>
  <c r="G62" i="2"/>
  <c r="H62" i="2"/>
  <c r="M62" i="2"/>
  <c r="R62" i="2"/>
  <c r="B63" i="2"/>
  <c r="C63" i="2"/>
  <c r="D63" i="2"/>
  <c r="E63" i="2"/>
  <c r="F63" i="2"/>
  <c r="G63" i="2"/>
  <c r="H63" i="2"/>
  <c r="M63" i="2"/>
  <c r="R63" i="2"/>
  <c r="B64" i="2"/>
  <c r="C64" i="2"/>
  <c r="D64" i="2"/>
  <c r="E64" i="2"/>
  <c r="F64" i="2"/>
  <c r="G64" i="2"/>
  <c r="H64" i="2"/>
  <c r="M64" i="2"/>
  <c r="R64" i="2"/>
  <c r="B65" i="2"/>
  <c r="C65" i="2"/>
  <c r="D65" i="2"/>
  <c r="E65" i="2"/>
  <c r="F65" i="2"/>
  <c r="G65" i="2"/>
  <c r="H65" i="2"/>
  <c r="M65" i="2"/>
  <c r="R65" i="2"/>
  <c r="B66" i="2"/>
  <c r="C66" i="2"/>
  <c r="D66" i="2"/>
  <c r="E66" i="2"/>
  <c r="F66" i="2"/>
  <c r="G66" i="2"/>
  <c r="H66" i="2"/>
  <c r="M66" i="2"/>
  <c r="R66" i="2"/>
  <c r="B67" i="2"/>
  <c r="C67" i="2"/>
  <c r="D67" i="2"/>
  <c r="E67" i="2"/>
  <c r="F67" i="2"/>
  <c r="G67" i="2"/>
  <c r="H67" i="2"/>
  <c r="M67" i="2"/>
  <c r="R67" i="2"/>
  <c r="B68" i="2"/>
  <c r="C68" i="2"/>
  <c r="D68" i="2"/>
  <c r="E68" i="2"/>
  <c r="F68" i="2"/>
  <c r="G68" i="2"/>
  <c r="H68" i="2"/>
  <c r="M68" i="2"/>
  <c r="R68" i="2"/>
  <c r="B69" i="2"/>
  <c r="C69" i="2"/>
  <c r="D69" i="2"/>
  <c r="E69" i="2"/>
  <c r="F69" i="2"/>
  <c r="G69" i="2"/>
  <c r="H69" i="2"/>
  <c r="M69" i="2"/>
  <c r="R69" i="2"/>
  <c r="B70" i="2"/>
  <c r="C70" i="2"/>
  <c r="D70" i="2"/>
  <c r="E70" i="2"/>
  <c r="F70" i="2"/>
  <c r="G70" i="2"/>
  <c r="H70" i="2"/>
  <c r="M70" i="2"/>
  <c r="R70" i="2"/>
  <c r="B71" i="2"/>
  <c r="C71" i="2"/>
  <c r="D71" i="2"/>
  <c r="E71" i="2"/>
  <c r="F71" i="2"/>
  <c r="G71" i="2"/>
  <c r="H71" i="2"/>
  <c r="M71" i="2"/>
  <c r="R71" i="2"/>
  <c r="B72" i="2"/>
  <c r="C72" i="2"/>
  <c r="D72" i="2"/>
  <c r="E72" i="2"/>
  <c r="F72" i="2"/>
  <c r="G72" i="2"/>
  <c r="H72" i="2"/>
  <c r="M72" i="2"/>
  <c r="R72" i="2"/>
  <c r="B73" i="2"/>
  <c r="C73" i="2"/>
  <c r="D73" i="2"/>
  <c r="E73" i="2"/>
  <c r="F73" i="2"/>
  <c r="G73" i="2"/>
  <c r="H73" i="2"/>
  <c r="M73" i="2"/>
  <c r="R73" i="2"/>
  <c r="B74" i="2"/>
  <c r="C74" i="2"/>
  <c r="D74" i="2"/>
  <c r="E74" i="2"/>
  <c r="F74" i="2"/>
  <c r="G74" i="2"/>
  <c r="H74" i="2"/>
  <c r="M74" i="2"/>
  <c r="R74" i="2"/>
  <c r="B75" i="2"/>
  <c r="C75" i="2"/>
  <c r="D75" i="2"/>
  <c r="E75" i="2"/>
  <c r="F75" i="2"/>
  <c r="G75" i="2"/>
  <c r="H75" i="2"/>
  <c r="M75" i="2"/>
  <c r="R75" i="2"/>
  <c r="B76" i="2"/>
  <c r="C76" i="2"/>
  <c r="D76" i="2"/>
  <c r="E76" i="2"/>
  <c r="F76" i="2"/>
  <c r="G76" i="2"/>
  <c r="H76" i="2"/>
  <c r="M76" i="2"/>
  <c r="R76" i="2"/>
  <c r="B77" i="2"/>
  <c r="C77" i="2"/>
  <c r="D77" i="2"/>
  <c r="E77" i="2"/>
  <c r="F77" i="2"/>
  <c r="G77" i="2"/>
  <c r="H77" i="2"/>
  <c r="M77" i="2"/>
  <c r="R77" i="2"/>
  <c r="B78" i="2"/>
  <c r="C78" i="2"/>
  <c r="D78" i="2"/>
  <c r="E78" i="2"/>
  <c r="F78" i="2"/>
  <c r="G78" i="2"/>
  <c r="H78" i="2"/>
  <c r="M78" i="2"/>
  <c r="R78" i="2"/>
  <c r="B79" i="2"/>
  <c r="C79" i="2"/>
  <c r="D79" i="2"/>
  <c r="E79" i="2"/>
  <c r="F79" i="2"/>
  <c r="G79" i="2"/>
  <c r="H79" i="2"/>
  <c r="M79" i="2"/>
  <c r="R79" i="2"/>
  <c r="B80" i="2"/>
  <c r="C80" i="2"/>
  <c r="D80" i="2"/>
  <c r="E80" i="2"/>
  <c r="F80" i="2"/>
  <c r="G80" i="2"/>
  <c r="H80" i="2"/>
  <c r="M80" i="2"/>
  <c r="R80" i="2"/>
  <c r="B81" i="2"/>
  <c r="C81" i="2"/>
  <c r="D81" i="2"/>
  <c r="E81" i="2"/>
  <c r="F81" i="2"/>
  <c r="G81" i="2"/>
  <c r="H81" i="2"/>
  <c r="M81" i="2"/>
  <c r="R81" i="2"/>
  <c r="B82" i="2"/>
  <c r="C82" i="2"/>
  <c r="D82" i="2"/>
  <c r="E82" i="2"/>
  <c r="F82" i="2"/>
  <c r="G82" i="2"/>
  <c r="H82" i="2"/>
  <c r="M82" i="2"/>
  <c r="R82" i="2"/>
  <c r="B83" i="2"/>
  <c r="C83" i="2"/>
  <c r="D83" i="2"/>
  <c r="E83" i="2"/>
  <c r="F83" i="2"/>
  <c r="G83" i="2"/>
  <c r="H83" i="2"/>
  <c r="M83" i="2"/>
  <c r="R83" i="2"/>
  <c r="B84" i="2"/>
  <c r="C84" i="2"/>
  <c r="D84" i="2"/>
  <c r="E84" i="2"/>
  <c r="F84" i="2"/>
  <c r="G84" i="2"/>
  <c r="H84" i="2"/>
  <c r="M84" i="2"/>
  <c r="R84" i="2"/>
  <c r="B85" i="2"/>
  <c r="C85" i="2"/>
  <c r="D85" i="2"/>
  <c r="E85" i="2"/>
  <c r="F85" i="2"/>
  <c r="G85" i="2"/>
  <c r="H85" i="2"/>
  <c r="M85" i="2"/>
  <c r="R85" i="2"/>
  <c r="B86" i="2"/>
  <c r="C86" i="2"/>
  <c r="D86" i="2"/>
  <c r="E86" i="2"/>
  <c r="F86" i="2"/>
  <c r="G86" i="2"/>
  <c r="H86" i="2"/>
  <c r="M86" i="2"/>
  <c r="R86" i="2"/>
  <c r="B87" i="2"/>
  <c r="C87" i="2"/>
  <c r="D87" i="2"/>
  <c r="E87" i="2"/>
  <c r="F87" i="2"/>
  <c r="G87" i="2"/>
  <c r="H87" i="2"/>
  <c r="M87" i="2"/>
  <c r="R87" i="2"/>
  <c r="B88" i="2"/>
  <c r="C88" i="2"/>
  <c r="D88" i="2"/>
  <c r="E88" i="2"/>
  <c r="F88" i="2"/>
  <c r="G88" i="2"/>
  <c r="H88" i="2"/>
  <c r="M88" i="2"/>
  <c r="R88" i="2"/>
  <c r="B89" i="2"/>
  <c r="C89" i="2"/>
  <c r="D89" i="2"/>
  <c r="E89" i="2"/>
  <c r="F89" i="2"/>
  <c r="G89" i="2"/>
  <c r="H89" i="2"/>
  <c r="M89" i="2"/>
  <c r="R89" i="2"/>
  <c r="B90" i="2"/>
  <c r="C90" i="2"/>
  <c r="D90" i="2"/>
  <c r="E90" i="2"/>
  <c r="F90" i="2"/>
  <c r="G90" i="2"/>
  <c r="H90" i="2"/>
  <c r="M90" i="2"/>
  <c r="R90" i="2"/>
  <c r="B91" i="2"/>
  <c r="C91" i="2"/>
  <c r="D91" i="2"/>
  <c r="E91" i="2"/>
  <c r="F91" i="2"/>
  <c r="G91" i="2"/>
  <c r="H91" i="2"/>
  <c r="M91" i="2"/>
  <c r="R91" i="2"/>
  <c r="B92" i="2"/>
  <c r="C92" i="2"/>
  <c r="D92" i="2"/>
  <c r="E92" i="2"/>
  <c r="F92" i="2"/>
  <c r="G92" i="2"/>
  <c r="H92" i="2"/>
  <c r="M92" i="2"/>
  <c r="R92" i="2"/>
  <c r="B93" i="2"/>
  <c r="C93" i="2"/>
  <c r="D93" i="2"/>
  <c r="E93" i="2"/>
  <c r="F93" i="2"/>
  <c r="G93" i="2"/>
  <c r="H93" i="2"/>
  <c r="M93" i="2"/>
  <c r="R93" i="2"/>
  <c r="B94" i="2"/>
  <c r="C94" i="2"/>
  <c r="D94" i="2"/>
  <c r="E94" i="2"/>
  <c r="F94" i="2"/>
  <c r="G94" i="2"/>
  <c r="H94" i="2"/>
  <c r="M94" i="2"/>
  <c r="R94" i="2"/>
  <c r="B95" i="2"/>
  <c r="C95" i="2"/>
  <c r="D95" i="2"/>
  <c r="E95" i="2"/>
  <c r="F95" i="2"/>
  <c r="G95" i="2"/>
  <c r="H95" i="2"/>
  <c r="M95" i="2"/>
  <c r="R95" i="2"/>
  <c r="B96" i="2"/>
  <c r="C96" i="2"/>
  <c r="D96" i="2"/>
  <c r="E96" i="2"/>
  <c r="F96" i="2"/>
  <c r="G96" i="2"/>
  <c r="H96" i="2"/>
  <c r="M96" i="2"/>
  <c r="R96" i="2"/>
  <c r="B97" i="2"/>
  <c r="C97" i="2"/>
  <c r="D97" i="2"/>
  <c r="E97" i="2"/>
  <c r="F97" i="2"/>
  <c r="G97" i="2"/>
  <c r="H97" i="2"/>
  <c r="M97" i="2"/>
  <c r="R97" i="2"/>
  <c r="B98" i="2"/>
  <c r="C98" i="2"/>
  <c r="D98" i="2"/>
  <c r="E98" i="2"/>
  <c r="F98" i="2"/>
  <c r="G98" i="2"/>
  <c r="H98" i="2"/>
  <c r="M98" i="2"/>
  <c r="R98" i="2"/>
  <c r="B99" i="2"/>
  <c r="C99" i="2"/>
  <c r="D99" i="2"/>
  <c r="E99" i="2"/>
  <c r="F99" i="2"/>
  <c r="G99" i="2"/>
  <c r="H99" i="2"/>
  <c r="M99" i="2"/>
  <c r="R99" i="2"/>
  <c r="B100" i="2"/>
  <c r="C100" i="2"/>
  <c r="D100" i="2"/>
  <c r="E100" i="2"/>
  <c r="F100" i="2"/>
  <c r="G100" i="2"/>
  <c r="H100" i="2"/>
  <c r="M100" i="2"/>
  <c r="R100" i="2"/>
  <c r="B101" i="2"/>
  <c r="C101" i="2"/>
  <c r="D101" i="2"/>
  <c r="E101" i="2"/>
  <c r="F101" i="2"/>
  <c r="G101" i="2"/>
  <c r="H101" i="2"/>
  <c r="M101" i="2"/>
  <c r="R101" i="2"/>
  <c r="B102" i="2"/>
  <c r="C102" i="2"/>
  <c r="D102" i="2"/>
  <c r="E102" i="2"/>
  <c r="F102" i="2"/>
  <c r="G102" i="2"/>
  <c r="H102" i="2"/>
  <c r="M102" i="2"/>
  <c r="R102" i="2"/>
  <c r="B103" i="2"/>
  <c r="C103" i="2"/>
  <c r="D103" i="2"/>
  <c r="E103" i="2"/>
  <c r="F103" i="2"/>
  <c r="G103" i="2"/>
  <c r="H103" i="2"/>
  <c r="M103" i="2"/>
  <c r="R103" i="2"/>
  <c r="B104" i="2"/>
  <c r="C104" i="2"/>
  <c r="D104" i="2"/>
  <c r="E104" i="2"/>
  <c r="F104" i="2"/>
  <c r="G104" i="2"/>
  <c r="H104" i="2"/>
  <c r="M104" i="2"/>
  <c r="R104" i="2"/>
  <c r="B105" i="2"/>
  <c r="C105" i="2"/>
  <c r="D105" i="2"/>
  <c r="E105" i="2"/>
  <c r="F105" i="2"/>
  <c r="G105" i="2"/>
  <c r="H105" i="2"/>
  <c r="M105" i="2"/>
  <c r="R105" i="2"/>
  <c r="B106" i="2"/>
  <c r="C106" i="2"/>
  <c r="D106" i="2"/>
  <c r="E106" i="2"/>
  <c r="F106" i="2"/>
  <c r="G106" i="2"/>
  <c r="H106" i="2"/>
  <c r="M106" i="2"/>
  <c r="R106" i="2"/>
  <c r="B107" i="2"/>
  <c r="C107" i="2"/>
  <c r="D107" i="2"/>
  <c r="E107" i="2"/>
  <c r="F107" i="2"/>
  <c r="G107" i="2"/>
  <c r="H107" i="2"/>
  <c r="M107" i="2"/>
  <c r="R107" i="2"/>
  <c r="B108" i="2"/>
  <c r="C108" i="2"/>
  <c r="D108" i="2"/>
  <c r="E108" i="2"/>
  <c r="F108" i="2"/>
  <c r="G108" i="2"/>
  <c r="H108" i="2"/>
  <c r="M108" i="2"/>
  <c r="R108" i="2"/>
  <c r="B109" i="2"/>
  <c r="C109" i="2"/>
  <c r="D109" i="2"/>
  <c r="E109" i="2"/>
  <c r="F109" i="2"/>
  <c r="G109" i="2"/>
  <c r="H109" i="2"/>
  <c r="M109" i="2"/>
  <c r="R109" i="2"/>
  <c r="B110" i="2"/>
  <c r="C110" i="2"/>
  <c r="D110" i="2"/>
  <c r="E110" i="2"/>
  <c r="F110" i="2"/>
  <c r="G110" i="2"/>
  <c r="H110" i="2"/>
  <c r="M110" i="2"/>
  <c r="R110" i="2"/>
  <c r="B111" i="2"/>
  <c r="C111" i="2"/>
  <c r="D111" i="2"/>
  <c r="E111" i="2"/>
  <c r="F111" i="2"/>
  <c r="G111" i="2"/>
  <c r="H111" i="2"/>
  <c r="M111" i="2"/>
  <c r="R111" i="2"/>
  <c r="B112" i="2"/>
  <c r="C112" i="2"/>
  <c r="D112" i="2"/>
  <c r="E112" i="2"/>
  <c r="F112" i="2"/>
  <c r="G112" i="2"/>
  <c r="H112" i="2"/>
  <c r="M112" i="2"/>
  <c r="R112" i="2"/>
  <c r="B113" i="2"/>
  <c r="C113" i="2"/>
  <c r="D113" i="2"/>
  <c r="E113" i="2"/>
  <c r="F113" i="2"/>
  <c r="G113" i="2"/>
  <c r="H113" i="2"/>
  <c r="M113" i="2"/>
  <c r="R113" i="2"/>
  <c r="B114" i="2"/>
  <c r="C114" i="2"/>
  <c r="D114" i="2"/>
  <c r="E114" i="2"/>
  <c r="F114" i="2"/>
  <c r="G114" i="2"/>
  <c r="H114" i="2"/>
  <c r="M114" i="2"/>
  <c r="R114" i="2"/>
  <c r="B115" i="2"/>
  <c r="C115" i="2"/>
  <c r="D115" i="2"/>
  <c r="E115" i="2"/>
  <c r="F115" i="2"/>
  <c r="G115" i="2"/>
  <c r="H115" i="2"/>
  <c r="M115" i="2"/>
  <c r="R115" i="2"/>
  <c r="B116" i="2"/>
  <c r="C116" i="2"/>
  <c r="D116" i="2"/>
  <c r="E116" i="2"/>
  <c r="F116" i="2"/>
  <c r="G116" i="2"/>
  <c r="H116" i="2"/>
  <c r="M116" i="2"/>
  <c r="R116" i="2"/>
  <c r="B117" i="2"/>
  <c r="C117" i="2"/>
  <c r="D117" i="2"/>
  <c r="E117" i="2"/>
  <c r="F117" i="2"/>
  <c r="G117" i="2"/>
  <c r="H117" i="2"/>
  <c r="M117" i="2"/>
  <c r="R117" i="2"/>
  <c r="B118" i="2"/>
  <c r="C118" i="2"/>
  <c r="D118" i="2"/>
  <c r="E118" i="2"/>
  <c r="F118" i="2"/>
  <c r="G118" i="2"/>
  <c r="H118" i="2"/>
  <c r="M118" i="2"/>
  <c r="R118" i="2"/>
  <c r="B119" i="2"/>
  <c r="C119" i="2"/>
  <c r="D119" i="2"/>
  <c r="E119" i="2"/>
  <c r="F119" i="2"/>
  <c r="G119" i="2"/>
  <c r="H119" i="2"/>
  <c r="M119" i="2"/>
  <c r="R119" i="2"/>
  <c r="B120" i="2"/>
  <c r="C120" i="2"/>
  <c r="D120" i="2"/>
  <c r="E120" i="2"/>
  <c r="F120" i="2"/>
  <c r="G120" i="2"/>
  <c r="H120" i="2"/>
  <c r="M120" i="2"/>
  <c r="R120" i="2"/>
  <c r="B121" i="2"/>
  <c r="C121" i="2"/>
  <c r="D121" i="2"/>
  <c r="E121" i="2"/>
  <c r="F121" i="2"/>
  <c r="G121" i="2"/>
  <c r="H121" i="2"/>
  <c r="M121" i="2"/>
  <c r="R121" i="2"/>
  <c r="B122" i="2"/>
  <c r="C122" i="2"/>
  <c r="D122" i="2"/>
  <c r="E122" i="2"/>
  <c r="F122" i="2"/>
  <c r="G122" i="2"/>
  <c r="H122" i="2"/>
  <c r="M122" i="2"/>
  <c r="R122" i="2"/>
  <c r="B123" i="2"/>
  <c r="C123" i="2"/>
  <c r="D123" i="2"/>
  <c r="E123" i="2"/>
  <c r="F123" i="2"/>
  <c r="G123" i="2"/>
  <c r="H123" i="2"/>
  <c r="M123" i="2"/>
  <c r="R123" i="2"/>
  <c r="B124" i="2"/>
  <c r="C124" i="2"/>
  <c r="D124" i="2"/>
  <c r="E124" i="2"/>
  <c r="F124" i="2"/>
  <c r="G124" i="2"/>
  <c r="H124" i="2"/>
  <c r="M124" i="2"/>
  <c r="R124" i="2"/>
  <c r="B125" i="2"/>
  <c r="C125" i="2"/>
  <c r="D125" i="2"/>
  <c r="E125" i="2"/>
  <c r="F125" i="2"/>
  <c r="G125" i="2"/>
  <c r="H125" i="2"/>
  <c r="M125" i="2"/>
  <c r="R125" i="2"/>
  <c r="B126" i="2"/>
  <c r="C126" i="2"/>
  <c r="D126" i="2"/>
  <c r="E126" i="2"/>
  <c r="F126" i="2"/>
  <c r="G126" i="2"/>
  <c r="H126" i="2"/>
  <c r="M126" i="2"/>
  <c r="R126" i="2"/>
  <c r="B127" i="2"/>
  <c r="C127" i="2"/>
  <c r="D127" i="2"/>
  <c r="E127" i="2"/>
  <c r="F127" i="2"/>
  <c r="G127" i="2"/>
  <c r="H127" i="2"/>
  <c r="M127" i="2"/>
  <c r="R127" i="2"/>
  <c r="B128" i="2"/>
  <c r="C128" i="2"/>
  <c r="D128" i="2"/>
  <c r="E128" i="2"/>
  <c r="F128" i="2"/>
  <c r="G128" i="2"/>
  <c r="H128" i="2"/>
  <c r="M128" i="2"/>
  <c r="R128" i="2"/>
  <c r="B129" i="2"/>
  <c r="C129" i="2"/>
  <c r="D129" i="2"/>
  <c r="E129" i="2"/>
  <c r="F129" i="2"/>
  <c r="G129" i="2"/>
  <c r="H129" i="2"/>
  <c r="M129" i="2"/>
  <c r="R129" i="2"/>
  <c r="B130" i="2"/>
  <c r="C130" i="2"/>
  <c r="D130" i="2"/>
  <c r="E130" i="2"/>
  <c r="F130" i="2"/>
  <c r="G130" i="2"/>
  <c r="H130" i="2"/>
  <c r="M130" i="2"/>
  <c r="R130" i="2"/>
  <c r="B131" i="2"/>
  <c r="C131" i="2"/>
  <c r="D131" i="2"/>
  <c r="E131" i="2"/>
  <c r="F131" i="2"/>
  <c r="G131" i="2"/>
  <c r="H131" i="2"/>
  <c r="M131" i="2"/>
  <c r="R131" i="2"/>
  <c r="B132" i="2"/>
  <c r="C132" i="2"/>
  <c r="D132" i="2"/>
  <c r="E132" i="2"/>
  <c r="F132" i="2"/>
  <c r="G132" i="2"/>
  <c r="H132" i="2"/>
  <c r="M132" i="2"/>
  <c r="R132" i="2"/>
  <c r="B133" i="2"/>
  <c r="C133" i="2"/>
  <c r="D133" i="2"/>
  <c r="E133" i="2"/>
  <c r="F133" i="2"/>
  <c r="G133" i="2"/>
  <c r="H133" i="2"/>
  <c r="M133" i="2"/>
  <c r="R133" i="2"/>
  <c r="B134" i="2"/>
  <c r="C134" i="2"/>
  <c r="D134" i="2"/>
  <c r="E134" i="2"/>
  <c r="F134" i="2"/>
  <c r="G134" i="2"/>
  <c r="H134" i="2"/>
  <c r="M134" i="2"/>
  <c r="R134" i="2"/>
  <c r="B135" i="2"/>
  <c r="C135" i="2"/>
  <c r="D135" i="2"/>
  <c r="E135" i="2"/>
  <c r="F135" i="2"/>
  <c r="G135" i="2"/>
  <c r="H135" i="2"/>
  <c r="M135" i="2"/>
  <c r="R135" i="2"/>
  <c r="B136" i="2"/>
  <c r="C136" i="2"/>
  <c r="D136" i="2"/>
  <c r="E136" i="2"/>
  <c r="F136" i="2"/>
  <c r="G136" i="2"/>
  <c r="H136" i="2"/>
  <c r="M136" i="2"/>
  <c r="R136" i="2"/>
  <c r="B137" i="2"/>
  <c r="C137" i="2"/>
  <c r="D137" i="2"/>
  <c r="E137" i="2"/>
  <c r="F137" i="2"/>
  <c r="G137" i="2"/>
  <c r="H137" i="2"/>
  <c r="M137" i="2"/>
  <c r="R137" i="2"/>
  <c r="B138" i="2"/>
  <c r="C138" i="2"/>
  <c r="D138" i="2"/>
  <c r="E138" i="2"/>
  <c r="F138" i="2"/>
  <c r="G138" i="2"/>
  <c r="H138" i="2"/>
  <c r="M138" i="2"/>
  <c r="R138" i="2"/>
  <c r="B139" i="2"/>
  <c r="C139" i="2"/>
  <c r="D139" i="2"/>
  <c r="E139" i="2"/>
  <c r="F139" i="2"/>
  <c r="G139" i="2"/>
  <c r="H139" i="2"/>
  <c r="M139" i="2"/>
  <c r="R139" i="2"/>
  <c r="B140" i="2"/>
  <c r="C140" i="2"/>
  <c r="D140" i="2"/>
  <c r="E140" i="2"/>
  <c r="F140" i="2"/>
  <c r="G140" i="2"/>
  <c r="H140" i="2"/>
  <c r="M140" i="2"/>
  <c r="R140" i="2"/>
  <c r="B141" i="2"/>
  <c r="C141" i="2"/>
  <c r="D141" i="2"/>
  <c r="E141" i="2"/>
  <c r="F141" i="2"/>
  <c r="G141" i="2"/>
  <c r="H141" i="2"/>
  <c r="M141" i="2"/>
  <c r="R141" i="2"/>
  <c r="B142" i="2"/>
  <c r="C142" i="2"/>
  <c r="D142" i="2"/>
  <c r="E142" i="2"/>
  <c r="F142" i="2"/>
  <c r="G142" i="2"/>
  <c r="H142" i="2"/>
  <c r="M142" i="2"/>
  <c r="R142" i="2"/>
  <c r="B143" i="2"/>
  <c r="C143" i="2"/>
  <c r="D143" i="2"/>
  <c r="E143" i="2"/>
  <c r="F143" i="2"/>
  <c r="G143" i="2"/>
  <c r="H143" i="2"/>
  <c r="M143" i="2"/>
  <c r="R143" i="2"/>
  <c r="B144" i="2"/>
  <c r="C144" i="2"/>
  <c r="D144" i="2"/>
  <c r="E144" i="2"/>
  <c r="F144" i="2"/>
  <c r="G144" i="2"/>
  <c r="H144" i="2"/>
  <c r="M144" i="2"/>
  <c r="R144" i="2"/>
  <c r="B145" i="2"/>
  <c r="C145" i="2"/>
  <c r="D145" i="2"/>
  <c r="E145" i="2"/>
  <c r="F145" i="2"/>
  <c r="G145" i="2"/>
  <c r="H145" i="2"/>
  <c r="M145" i="2"/>
  <c r="R145" i="2"/>
  <c r="B146" i="2"/>
  <c r="C146" i="2"/>
  <c r="D146" i="2"/>
  <c r="E146" i="2"/>
  <c r="F146" i="2"/>
  <c r="G146" i="2"/>
  <c r="H146" i="2"/>
  <c r="M146" i="2"/>
  <c r="R146" i="2"/>
  <c r="B147" i="2"/>
  <c r="C147" i="2"/>
  <c r="D147" i="2"/>
  <c r="E147" i="2"/>
  <c r="F147" i="2"/>
  <c r="G147" i="2"/>
  <c r="H147" i="2"/>
  <c r="M147" i="2"/>
  <c r="R147" i="2"/>
  <c r="B148" i="2"/>
  <c r="C148" i="2"/>
  <c r="D148" i="2"/>
  <c r="E148" i="2"/>
  <c r="F148" i="2"/>
  <c r="G148" i="2"/>
  <c r="H148" i="2"/>
  <c r="M148" i="2"/>
  <c r="R148" i="2"/>
  <c r="B149" i="2"/>
  <c r="C149" i="2"/>
  <c r="D149" i="2"/>
  <c r="E149" i="2"/>
  <c r="F149" i="2"/>
  <c r="G149" i="2"/>
  <c r="H149" i="2"/>
  <c r="M149" i="2"/>
  <c r="R149" i="2"/>
  <c r="B150" i="2"/>
  <c r="C150" i="2"/>
  <c r="D150" i="2"/>
  <c r="E150" i="2"/>
  <c r="F150" i="2"/>
  <c r="G150" i="2"/>
  <c r="H150" i="2"/>
  <c r="M150" i="2"/>
  <c r="R150" i="2"/>
  <c r="B151" i="2"/>
  <c r="C151" i="2"/>
  <c r="D151" i="2"/>
  <c r="E151" i="2"/>
  <c r="F151" i="2"/>
  <c r="G151" i="2"/>
  <c r="H151" i="2"/>
  <c r="M151" i="2"/>
  <c r="R151" i="2"/>
  <c r="B152" i="2"/>
  <c r="C152" i="2"/>
  <c r="D152" i="2"/>
  <c r="E152" i="2"/>
  <c r="F152" i="2"/>
  <c r="G152" i="2"/>
  <c r="H152" i="2"/>
  <c r="M152" i="2"/>
  <c r="R152" i="2"/>
  <c r="B153" i="2"/>
  <c r="C153" i="2"/>
  <c r="D153" i="2"/>
  <c r="E153" i="2"/>
  <c r="F153" i="2"/>
  <c r="G153" i="2"/>
  <c r="H153" i="2"/>
  <c r="M153" i="2"/>
  <c r="R153" i="2"/>
  <c r="B154" i="2"/>
  <c r="C154" i="2"/>
  <c r="D154" i="2"/>
  <c r="E154" i="2"/>
  <c r="F154" i="2"/>
  <c r="G154" i="2"/>
  <c r="H154" i="2"/>
  <c r="M154" i="2"/>
  <c r="R154" i="2"/>
  <c r="B155" i="2"/>
  <c r="C155" i="2"/>
  <c r="D155" i="2"/>
  <c r="E155" i="2"/>
  <c r="F155" i="2"/>
  <c r="G155" i="2"/>
  <c r="H155" i="2"/>
  <c r="M155" i="2"/>
  <c r="R155" i="2"/>
  <c r="B156" i="2"/>
  <c r="C156" i="2"/>
  <c r="D156" i="2"/>
  <c r="E156" i="2"/>
  <c r="F156" i="2"/>
  <c r="G156" i="2"/>
  <c r="H156" i="2"/>
  <c r="M156" i="2"/>
  <c r="R156" i="2"/>
  <c r="B157" i="2"/>
  <c r="C157" i="2"/>
  <c r="D157" i="2"/>
  <c r="E157" i="2"/>
  <c r="F157" i="2"/>
  <c r="G157" i="2"/>
  <c r="H157" i="2"/>
  <c r="M157" i="2"/>
  <c r="R157" i="2"/>
  <c r="B158" i="2"/>
  <c r="C158" i="2"/>
  <c r="D158" i="2"/>
  <c r="E158" i="2"/>
  <c r="F158" i="2"/>
  <c r="G158" i="2"/>
  <c r="H158" i="2"/>
  <c r="M158" i="2"/>
  <c r="R158" i="2"/>
  <c r="B159" i="2"/>
  <c r="C159" i="2"/>
  <c r="D159" i="2"/>
  <c r="E159" i="2"/>
  <c r="F159" i="2"/>
  <c r="G159" i="2"/>
  <c r="H159" i="2"/>
  <c r="M159" i="2"/>
  <c r="R159" i="2"/>
  <c r="B160" i="2"/>
  <c r="C160" i="2"/>
  <c r="D160" i="2"/>
  <c r="E160" i="2"/>
  <c r="F160" i="2"/>
  <c r="G160" i="2"/>
  <c r="H160" i="2"/>
  <c r="M160" i="2"/>
  <c r="R160" i="2"/>
  <c r="B161" i="2"/>
  <c r="C161" i="2"/>
  <c r="D161" i="2"/>
  <c r="E161" i="2"/>
  <c r="F161" i="2"/>
  <c r="G161" i="2"/>
  <c r="H161" i="2"/>
  <c r="M161" i="2"/>
  <c r="R161" i="2"/>
  <c r="B162" i="2"/>
  <c r="C162" i="2"/>
  <c r="D162" i="2"/>
  <c r="E162" i="2"/>
  <c r="F162" i="2"/>
  <c r="G162" i="2"/>
  <c r="H162" i="2"/>
  <c r="M162" i="2"/>
  <c r="R162" i="2"/>
  <c r="B163" i="2"/>
  <c r="C163" i="2"/>
  <c r="D163" i="2"/>
  <c r="E163" i="2"/>
  <c r="F163" i="2"/>
  <c r="G163" i="2"/>
  <c r="H163" i="2"/>
  <c r="M163" i="2"/>
  <c r="R163" i="2"/>
  <c r="B164" i="2"/>
  <c r="C164" i="2"/>
  <c r="D164" i="2"/>
  <c r="E164" i="2"/>
  <c r="F164" i="2"/>
  <c r="G164" i="2"/>
  <c r="H164" i="2"/>
  <c r="M164" i="2"/>
  <c r="R164" i="2"/>
  <c r="B165" i="2"/>
  <c r="C165" i="2"/>
  <c r="D165" i="2"/>
  <c r="E165" i="2"/>
  <c r="F165" i="2"/>
  <c r="G165" i="2"/>
  <c r="H165" i="2"/>
  <c r="M165" i="2"/>
  <c r="R165" i="2"/>
  <c r="B166" i="2"/>
  <c r="C166" i="2"/>
  <c r="D166" i="2"/>
  <c r="E166" i="2"/>
  <c r="F166" i="2"/>
  <c r="G166" i="2"/>
  <c r="H166" i="2"/>
  <c r="M166" i="2"/>
  <c r="R166" i="2"/>
  <c r="B167" i="2"/>
  <c r="C167" i="2"/>
  <c r="D167" i="2"/>
  <c r="E167" i="2"/>
  <c r="F167" i="2"/>
  <c r="G167" i="2"/>
  <c r="H167" i="2"/>
  <c r="M167" i="2"/>
  <c r="R167" i="2"/>
  <c r="B168" i="2"/>
  <c r="C168" i="2"/>
  <c r="D168" i="2"/>
  <c r="E168" i="2"/>
  <c r="F168" i="2"/>
  <c r="G168" i="2"/>
  <c r="H168" i="2"/>
  <c r="M168" i="2"/>
  <c r="R168" i="2"/>
  <c r="B169" i="2"/>
  <c r="C169" i="2"/>
  <c r="D169" i="2"/>
  <c r="E169" i="2"/>
  <c r="F169" i="2"/>
  <c r="G169" i="2"/>
  <c r="H169" i="2"/>
  <c r="M169" i="2"/>
  <c r="R169" i="2"/>
  <c r="B170" i="2"/>
  <c r="C170" i="2"/>
  <c r="D170" i="2"/>
  <c r="E170" i="2"/>
  <c r="F170" i="2"/>
  <c r="G170" i="2"/>
  <c r="H170" i="2"/>
  <c r="M170" i="2"/>
  <c r="R170" i="2"/>
  <c r="B171" i="2"/>
  <c r="C171" i="2"/>
  <c r="D171" i="2"/>
  <c r="E171" i="2"/>
  <c r="F171" i="2"/>
  <c r="G171" i="2"/>
  <c r="H171" i="2"/>
  <c r="M171" i="2"/>
  <c r="R171" i="2"/>
  <c r="B172" i="2"/>
  <c r="C172" i="2"/>
  <c r="D172" i="2"/>
  <c r="E172" i="2"/>
  <c r="F172" i="2"/>
  <c r="G172" i="2"/>
  <c r="H172" i="2"/>
  <c r="M172" i="2"/>
  <c r="R172" i="2"/>
  <c r="B173" i="2"/>
  <c r="C173" i="2"/>
  <c r="D173" i="2"/>
  <c r="E173" i="2"/>
  <c r="F173" i="2"/>
  <c r="G173" i="2"/>
  <c r="H173" i="2"/>
  <c r="M173" i="2"/>
  <c r="R173" i="2"/>
  <c r="B174" i="2"/>
  <c r="C174" i="2"/>
  <c r="D174" i="2"/>
  <c r="E174" i="2"/>
  <c r="F174" i="2"/>
  <c r="G174" i="2"/>
  <c r="H174" i="2"/>
  <c r="M174" i="2"/>
  <c r="R174" i="2"/>
  <c r="B175" i="2"/>
  <c r="C175" i="2"/>
  <c r="D175" i="2"/>
  <c r="E175" i="2"/>
  <c r="F175" i="2"/>
  <c r="G175" i="2"/>
  <c r="H175" i="2"/>
  <c r="M175" i="2"/>
  <c r="R175" i="2"/>
  <c r="B176" i="2"/>
  <c r="C176" i="2"/>
  <c r="D176" i="2"/>
  <c r="E176" i="2"/>
  <c r="F176" i="2"/>
  <c r="G176" i="2"/>
  <c r="H176" i="2"/>
  <c r="M176" i="2"/>
  <c r="R176" i="2"/>
  <c r="B177" i="2"/>
  <c r="C177" i="2"/>
  <c r="D177" i="2"/>
  <c r="E177" i="2"/>
  <c r="F177" i="2"/>
  <c r="G177" i="2"/>
  <c r="H177" i="2"/>
  <c r="M177" i="2"/>
  <c r="R177" i="2"/>
  <c r="B178" i="2"/>
  <c r="C178" i="2"/>
  <c r="D178" i="2"/>
  <c r="E178" i="2"/>
  <c r="F178" i="2"/>
  <c r="G178" i="2"/>
  <c r="H178" i="2"/>
  <c r="M178" i="2"/>
  <c r="R178" i="2"/>
  <c r="B179" i="2"/>
  <c r="C179" i="2"/>
  <c r="D179" i="2"/>
  <c r="E179" i="2"/>
  <c r="F179" i="2"/>
  <c r="G179" i="2"/>
  <c r="H179" i="2"/>
  <c r="M179" i="2"/>
  <c r="R179" i="2"/>
  <c r="B180" i="2"/>
  <c r="C180" i="2"/>
  <c r="D180" i="2"/>
  <c r="E180" i="2"/>
  <c r="F180" i="2"/>
  <c r="G180" i="2"/>
  <c r="H180" i="2"/>
  <c r="M180" i="2"/>
  <c r="R180" i="2"/>
  <c r="B181" i="2"/>
  <c r="C181" i="2"/>
  <c r="D181" i="2"/>
  <c r="E181" i="2"/>
  <c r="F181" i="2"/>
  <c r="G181" i="2"/>
  <c r="H181" i="2"/>
  <c r="M181" i="2"/>
  <c r="R181" i="2"/>
  <c r="B182" i="2"/>
  <c r="C182" i="2"/>
  <c r="D182" i="2"/>
  <c r="E182" i="2"/>
  <c r="F182" i="2"/>
  <c r="G182" i="2"/>
  <c r="H182" i="2"/>
  <c r="M182" i="2"/>
  <c r="R182" i="2"/>
  <c r="B183" i="2"/>
  <c r="C183" i="2"/>
  <c r="D183" i="2"/>
  <c r="E183" i="2"/>
  <c r="F183" i="2"/>
  <c r="G183" i="2"/>
  <c r="H183" i="2"/>
  <c r="M183" i="2"/>
  <c r="R183" i="2"/>
  <c r="B184" i="2"/>
  <c r="C184" i="2"/>
  <c r="D184" i="2"/>
  <c r="E184" i="2"/>
  <c r="F184" i="2"/>
  <c r="G184" i="2"/>
  <c r="H184" i="2"/>
  <c r="M184" i="2"/>
  <c r="R184" i="2"/>
  <c r="B185" i="2"/>
  <c r="C185" i="2"/>
  <c r="D185" i="2"/>
  <c r="E185" i="2"/>
  <c r="F185" i="2"/>
  <c r="G185" i="2"/>
  <c r="H185" i="2"/>
  <c r="M185" i="2"/>
  <c r="R185" i="2"/>
  <c r="B186" i="2"/>
  <c r="C186" i="2"/>
  <c r="D186" i="2"/>
  <c r="E186" i="2"/>
  <c r="F186" i="2"/>
  <c r="G186" i="2"/>
  <c r="H186" i="2"/>
  <c r="M186" i="2"/>
  <c r="R186" i="2"/>
  <c r="B187" i="2"/>
  <c r="C187" i="2"/>
  <c r="D187" i="2"/>
  <c r="E187" i="2"/>
  <c r="F187" i="2"/>
  <c r="G187" i="2"/>
  <c r="H187" i="2"/>
  <c r="M187" i="2"/>
  <c r="R187" i="2"/>
  <c r="B188" i="2"/>
  <c r="C188" i="2"/>
  <c r="D188" i="2"/>
  <c r="E188" i="2"/>
  <c r="F188" i="2"/>
  <c r="G188" i="2"/>
  <c r="H188" i="2"/>
  <c r="M188" i="2"/>
  <c r="R188" i="2"/>
  <c r="B189" i="2"/>
  <c r="C189" i="2"/>
  <c r="D189" i="2"/>
  <c r="E189" i="2"/>
  <c r="F189" i="2"/>
  <c r="G189" i="2"/>
  <c r="H189" i="2"/>
  <c r="M189" i="2"/>
  <c r="R189" i="2"/>
  <c r="B190" i="2"/>
  <c r="C190" i="2"/>
  <c r="D190" i="2"/>
  <c r="E190" i="2"/>
  <c r="F190" i="2"/>
  <c r="G190" i="2"/>
  <c r="H190" i="2"/>
  <c r="M190" i="2"/>
  <c r="R190" i="2"/>
  <c r="B191" i="2"/>
  <c r="C191" i="2"/>
  <c r="D191" i="2"/>
  <c r="E191" i="2"/>
  <c r="F191" i="2"/>
  <c r="G191" i="2"/>
  <c r="H191" i="2"/>
  <c r="M191" i="2"/>
  <c r="R191" i="2"/>
  <c r="B192" i="2"/>
  <c r="C192" i="2"/>
  <c r="D192" i="2"/>
  <c r="E192" i="2"/>
  <c r="F192" i="2"/>
  <c r="G192" i="2"/>
  <c r="H192" i="2"/>
  <c r="M192" i="2"/>
  <c r="R192" i="2"/>
  <c r="B193" i="2"/>
  <c r="C193" i="2"/>
  <c r="D193" i="2"/>
  <c r="E193" i="2"/>
  <c r="F193" i="2"/>
  <c r="G193" i="2"/>
  <c r="H193" i="2"/>
  <c r="M193" i="2"/>
  <c r="R193" i="2"/>
  <c r="B194" i="2"/>
  <c r="C194" i="2"/>
  <c r="D194" i="2"/>
  <c r="E194" i="2"/>
  <c r="F194" i="2"/>
  <c r="G194" i="2"/>
  <c r="H194" i="2"/>
  <c r="M194" i="2"/>
  <c r="R194" i="2"/>
  <c r="B195" i="2"/>
  <c r="C195" i="2"/>
  <c r="D195" i="2"/>
  <c r="E195" i="2"/>
  <c r="F195" i="2"/>
  <c r="G195" i="2"/>
  <c r="H195" i="2"/>
  <c r="M195" i="2"/>
  <c r="R195" i="2"/>
  <c r="B196" i="2"/>
  <c r="C196" i="2"/>
  <c r="D196" i="2"/>
  <c r="E196" i="2"/>
  <c r="F196" i="2"/>
  <c r="G196" i="2"/>
  <c r="H196" i="2"/>
  <c r="M196" i="2"/>
  <c r="R196" i="2"/>
  <c r="B197" i="2"/>
  <c r="C197" i="2"/>
  <c r="D197" i="2"/>
  <c r="E197" i="2"/>
  <c r="F197" i="2"/>
  <c r="G197" i="2"/>
  <c r="H197" i="2"/>
  <c r="M197" i="2"/>
  <c r="R197" i="2"/>
  <c r="B198" i="2"/>
  <c r="C198" i="2"/>
  <c r="D198" i="2"/>
  <c r="E198" i="2"/>
  <c r="F198" i="2"/>
  <c r="G198" i="2"/>
  <c r="H198" i="2"/>
  <c r="M198" i="2"/>
  <c r="R198" i="2"/>
  <c r="B199" i="2"/>
  <c r="C199" i="2"/>
  <c r="D199" i="2"/>
  <c r="E199" i="2"/>
  <c r="F199" i="2"/>
  <c r="G199" i="2"/>
  <c r="H199" i="2"/>
  <c r="M199" i="2"/>
  <c r="R199" i="2"/>
  <c r="B200" i="2"/>
  <c r="C200" i="2"/>
  <c r="D200" i="2"/>
  <c r="E200" i="2"/>
  <c r="F200" i="2"/>
  <c r="G200" i="2"/>
  <c r="H200" i="2"/>
  <c r="M200" i="2"/>
  <c r="R200" i="2"/>
  <c r="B201" i="2"/>
  <c r="C201" i="2"/>
  <c r="D201" i="2"/>
  <c r="E201" i="2"/>
  <c r="F201" i="2"/>
  <c r="G201" i="2"/>
  <c r="H201" i="2"/>
  <c r="M201" i="2"/>
  <c r="R201" i="2"/>
  <c r="B202" i="2"/>
  <c r="C202" i="2"/>
  <c r="D202" i="2"/>
  <c r="E202" i="2"/>
  <c r="F202" i="2"/>
  <c r="G202" i="2"/>
  <c r="H202" i="2"/>
  <c r="M202" i="2"/>
  <c r="R202" i="2"/>
  <c r="B203" i="2"/>
  <c r="C203" i="2"/>
  <c r="D203" i="2"/>
  <c r="E203" i="2"/>
  <c r="F203" i="2"/>
  <c r="G203" i="2"/>
  <c r="H203" i="2"/>
  <c r="M203" i="2"/>
  <c r="R203" i="2"/>
  <c r="B204" i="2"/>
  <c r="C204" i="2"/>
  <c r="D204" i="2"/>
  <c r="E204" i="2"/>
  <c r="F204" i="2"/>
  <c r="G204" i="2"/>
  <c r="H204" i="2"/>
  <c r="M204" i="2"/>
  <c r="R204" i="2"/>
  <c r="B205" i="2"/>
  <c r="C205" i="2"/>
  <c r="D205" i="2"/>
  <c r="E205" i="2"/>
  <c r="F205" i="2"/>
  <c r="G205" i="2"/>
  <c r="H205" i="2"/>
  <c r="M205" i="2"/>
  <c r="R205" i="2"/>
  <c r="B206" i="2"/>
  <c r="C206" i="2"/>
  <c r="D206" i="2"/>
  <c r="E206" i="2"/>
  <c r="F206" i="2"/>
  <c r="G206" i="2"/>
  <c r="H206" i="2"/>
  <c r="M206" i="2"/>
  <c r="R206" i="2"/>
  <c r="B207" i="2"/>
  <c r="C207" i="2"/>
  <c r="D207" i="2"/>
  <c r="E207" i="2"/>
  <c r="F207" i="2"/>
  <c r="G207" i="2"/>
  <c r="H207" i="2"/>
  <c r="M207" i="2"/>
  <c r="R207" i="2"/>
  <c r="B208" i="2"/>
  <c r="C208" i="2"/>
  <c r="D208" i="2"/>
  <c r="E208" i="2"/>
  <c r="F208" i="2"/>
  <c r="G208" i="2"/>
  <c r="H208" i="2"/>
  <c r="M208" i="2"/>
  <c r="R208" i="2"/>
  <c r="B209" i="2"/>
  <c r="C209" i="2"/>
  <c r="D209" i="2"/>
  <c r="E209" i="2"/>
  <c r="F209" i="2"/>
  <c r="G209" i="2"/>
  <c r="H209" i="2"/>
  <c r="M209" i="2"/>
  <c r="R209" i="2"/>
  <c r="B210" i="2"/>
  <c r="C210" i="2"/>
  <c r="D210" i="2"/>
  <c r="E210" i="2"/>
  <c r="F210" i="2"/>
  <c r="G210" i="2"/>
  <c r="H210" i="2"/>
  <c r="M210" i="2"/>
  <c r="R210" i="2"/>
  <c r="B211" i="2"/>
  <c r="C211" i="2"/>
  <c r="D211" i="2"/>
  <c r="E211" i="2"/>
  <c r="F211" i="2"/>
  <c r="G211" i="2"/>
  <c r="H211" i="2"/>
  <c r="M211" i="2"/>
  <c r="R211" i="2"/>
  <c r="B212" i="2"/>
  <c r="C212" i="2"/>
  <c r="D212" i="2"/>
  <c r="E212" i="2"/>
  <c r="F212" i="2"/>
  <c r="G212" i="2"/>
  <c r="H212" i="2"/>
  <c r="M212" i="2"/>
  <c r="R212" i="2"/>
  <c r="B213" i="2"/>
  <c r="C213" i="2"/>
  <c r="D213" i="2"/>
  <c r="E213" i="2"/>
  <c r="F213" i="2"/>
  <c r="G213" i="2"/>
  <c r="H213" i="2"/>
  <c r="M213" i="2"/>
  <c r="R213" i="2"/>
  <c r="B214" i="2"/>
  <c r="C214" i="2"/>
  <c r="D214" i="2"/>
  <c r="E214" i="2"/>
  <c r="F214" i="2"/>
  <c r="G214" i="2"/>
  <c r="H214" i="2"/>
  <c r="M214" i="2"/>
  <c r="R214" i="2"/>
  <c r="B215" i="2"/>
  <c r="C215" i="2"/>
  <c r="D215" i="2"/>
  <c r="E215" i="2"/>
  <c r="F215" i="2"/>
  <c r="G215" i="2"/>
  <c r="H215" i="2"/>
  <c r="M215" i="2"/>
  <c r="R215" i="2"/>
  <c r="B216" i="2"/>
  <c r="C216" i="2"/>
  <c r="D216" i="2"/>
  <c r="E216" i="2"/>
  <c r="F216" i="2"/>
  <c r="G216" i="2"/>
  <c r="H216" i="2"/>
  <c r="M216" i="2"/>
  <c r="R216" i="2"/>
  <c r="B217" i="2"/>
  <c r="C217" i="2"/>
  <c r="D217" i="2"/>
  <c r="E217" i="2"/>
  <c r="F217" i="2"/>
  <c r="G217" i="2"/>
  <c r="H217" i="2"/>
  <c r="M217" i="2"/>
  <c r="R217" i="2"/>
  <c r="B218" i="2"/>
  <c r="C218" i="2"/>
  <c r="D218" i="2"/>
  <c r="E218" i="2"/>
  <c r="F218" i="2"/>
  <c r="G218" i="2"/>
  <c r="H218" i="2"/>
  <c r="M218" i="2"/>
  <c r="R218" i="2"/>
  <c r="B219" i="2"/>
  <c r="C219" i="2"/>
  <c r="D219" i="2"/>
  <c r="E219" i="2"/>
  <c r="F219" i="2"/>
  <c r="G219" i="2"/>
  <c r="H219" i="2"/>
  <c r="M219" i="2"/>
  <c r="R219" i="2"/>
  <c r="B220" i="2"/>
  <c r="C220" i="2"/>
  <c r="D220" i="2"/>
  <c r="E220" i="2"/>
  <c r="F220" i="2"/>
  <c r="G220" i="2"/>
  <c r="H220" i="2"/>
  <c r="M220" i="2"/>
  <c r="R220" i="2"/>
  <c r="B221" i="2"/>
  <c r="C221" i="2"/>
  <c r="D221" i="2"/>
  <c r="E221" i="2"/>
  <c r="F221" i="2"/>
  <c r="G221" i="2"/>
  <c r="H221" i="2"/>
  <c r="M221" i="2"/>
  <c r="R221" i="2"/>
  <c r="B222" i="2"/>
  <c r="C222" i="2"/>
  <c r="D222" i="2"/>
  <c r="E222" i="2"/>
  <c r="F222" i="2"/>
  <c r="G222" i="2"/>
  <c r="H222" i="2"/>
  <c r="M222" i="2"/>
  <c r="R222" i="2"/>
  <c r="B223" i="2"/>
  <c r="C223" i="2"/>
  <c r="D223" i="2"/>
  <c r="E223" i="2"/>
  <c r="F223" i="2"/>
  <c r="G223" i="2"/>
  <c r="H223" i="2"/>
  <c r="M223" i="2"/>
  <c r="R223" i="2"/>
  <c r="B224" i="2"/>
  <c r="C224" i="2"/>
  <c r="D224" i="2"/>
  <c r="E224" i="2"/>
  <c r="F224" i="2"/>
  <c r="G224" i="2"/>
  <c r="H224" i="2"/>
  <c r="M224" i="2"/>
  <c r="R224" i="2"/>
  <c r="B225" i="2"/>
  <c r="C225" i="2"/>
  <c r="D225" i="2"/>
  <c r="E225" i="2"/>
  <c r="F225" i="2"/>
  <c r="G225" i="2"/>
  <c r="H225" i="2"/>
  <c r="M225" i="2"/>
  <c r="R225" i="2"/>
  <c r="B226" i="2"/>
  <c r="C226" i="2"/>
  <c r="D226" i="2"/>
  <c r="E226" i="2"/>
  <c r="F226" i="2"/>
  <c r="G226" i="2"/>
  <c r="H226" i="2"/>
  <c r="M226" i="2"/>
  <c r="R226" i="2"/>
  <c r="B227" i="2"/>
  <c r="C227" i="2"/>
  <c r="D227" i="2"/>
  <c r="E227" i="2"/>
  <c r="F227" i="2"/>
  <c r="G227" i="2"/>
  <c r="H227" i="2"/>
  <c r="M227" i="2"/>
  <c r="R227" i="2"/>
  <c r="B228" i="2"/>
  <c r="C228" i="2"/>
  <c r="D228" i="2"/>
  <c r="E228" i="2"/>
  <c r="F228" i="2"/>
  <c r="G228" i="2"/>
  <c r="H228" i="2"/>
  <c r="M228" i="2"/>
  <c r="R228" i="2"/>
  <c r="B229" i="2"/>
  <c r="C229" i="2"/>
  <c r="D229" i="2"/>
  <c r="E229" i="2"/>
  <c r="F229" i="2"/>
  <c r="G229" i="2"/>
  <c r="H229" i="2"/>
  <c r="M229" i="2"/>
  <c r="R229" i="2"/>
  <c r="B230" i="2"/>
  <c r="C230" i="2"/>
  <c r="D230" i="2"/>
  <c r="E230" i="2"/>
  <c r="F230" i="2"/>
  <c r="G230" i="2"/>
  <c r="H230" i="2"/>
  <c r="M230" i="2"/>
  <c r="R230" i="2"/>
  <c r="B231" i="2"/>
  <c r="C231" i="2"/>
  <c r="D231" i="2"/>
  <c r="E231" i="2"/>
  <c r="F231" i="2"/>
  <c r="G231" i="2"/>
  <c r="H231" i="2"/>
  <c r="M231" i="2"/>
  <c r="R231" i="2"/>
  <c r="B232" i="2"/>
  <c r="C232" i="2"/>
  <c r="D232" i="2"/>
  <c r="E232" i="2"/>
  <c r="F232" i="2"/>
  <c r="G232" i="2"/>
  <c r="H232" i="2"/>
  <c r="M232" i="2"/>
  <c r="R232" i="2"/>
  <c r="B233" i="2"/>
  <c r="C233" i="2"/>
  <c r="D233" i="2"/>
  <c r="E233" i="2"/>
  <c r="F233" i="2"/>
  <c r="G233" i="2"/>
  <c r="H233" i="2"/>
  <c r="M233" i="2"/>
  <c r="R233" i="2"/>
  <c r="B234" i="2"/>
  <c r="C234" i="2"/>
  <c r="D234" i="2"/>
  <c r="E234" i="2"/>
  <c r="F234" i="2"/>
  <c r="G234" i="2"/>
  <c r="H234" i="2"/>
  <c r="M234" i="2"/>
  <c r="R234" i="2"/>
  <c r="B235" i="2"/>
  <c r="C235" i="2"/>
  <c r="D235" i="2"/>
  <c r="E235" i="2"/>
  <c r="F235" i="2"/>
  <c r="G235" i="2"/>
  <c r="H235" i="2"/>
  <c r="M235" i="2"/>
  <c r="R235" i="2"/>
  <c r="B236" i="2"/>
  <c r="C236" i="2"/>
  <c r="D236" i="2"/>
  <c r="E236" i="2"/>
  <c r="F236" i="2"/>
  <c r="G236" i="2"/>
  <c r="H236" i="2"/>
  <c r="M236" i="2"/>
  <c r="R236" i="2"/>
  <c r="B237" i="2"/>
  <c r="C237" i="2"/>
  <c r="D237" i="2"/>
  <c r="E237" i="2"/>
  <c r="F237" i="2"/>
  <c r="G237" i="2"/>
  <c r="H237" i="2"/>
  <c r="M237" i="2"/>
  <c r="R237" i="2"/>
  <c r="B238" i="2"/>
  <c r="C238" i="2"/>
  <c r="D238" i="2"/>
  <c r="E238" i="2"/>
  <c r="F238" i="2"/>
  <c r="G238" i="2"/>
  <c r="H238" i="2"/>
  <c r="M238" i="2"/>
  <c r="R238" i="2"/>
  <c r="B239" i="2"/>
  <c r="C239" i="2"/>
  <c r="D239" i="2"/>
  <c r="E239" i="2"/>
  <c r="F239" i="2"/>
  <c r="G239" i="2"/>
  <c r="H239" i="2"/>
  <c r="M239" i="2"/>
  <c r="R239" i="2"/>
  <c r="B240" i="2"/>
  <c r="C240" i="2"/>
  <c r="D240" i="2"/>
  <c r="E240" i="2"/>
  <c r="F240" i="2"/>
  <c r="G240" i="2"/>
  <c r="H240" i="2"/>
  <c r="M240" i="2"/>
  <c r="R240" i="2"/>
  <c r="B241" i="2"/>
  <c r="C241" i="2"/>
  <c r="D241" i="2"/>
  <c r="E241" i="2"/>
  <c r="F241" i="2"/>
  <c r="G241" i="2"/>
  <c r="H241" i="2"/>
  <c r="M241" i="2"/>
  <c r="R241" i="2"/>
  <c r="B242" i="2"/>
  <c r="C242" i="2"/>
  <c r="D242" i="2"/>
  <c r="E242" i="2"/>
  <c r="F242" i="2"/>
  <c r="G242" i="2"/>
  <c r="H242" i="2"/>
  <c r="M242" i="2"/>
  <c r="R242" i="2"/>
  <c r="B243" i="2"/>
  <c r="C243" i="2"/>
  <c r="D243" i="2"/>
  <c r="E243" i="2"/>
  <c r="F243" i="2"/>
  <c r="G243" i="2"/>
  <c r="H243" i="2"/>
  <c r="M243" i="2"/>
  <c r="R243" i="2"/>
  <c r="B244" i="2"/>
  <c r="C244" i="2"/>
  <c r="D244" i="2"/>
  <c r="E244" i="2"/>
  <c r="F244" i="2"/>
  <c r="G244" i="2"/>
  <c r="H244" i="2"/>
  <c r="M244" i="2"/>
  <c r="R244" i="2"/>
  <c r="B245" i="2"/>
  <c r="C245" i="2"/>
  <c r="D245" i="2"/>
  <c r="E245" i="2"/>
  <c r="F245" i="2"/>
  <c r="G245" i="2"/>
  <c r="H245" i="2"/>
  <c r="M245" i="2"/>
  <c r="R245" i="2"/>
  <c r="B246" i="2"/>
  <c r="C246" i="2"/>
  <c r="D246" i="2"/>
  <c r="E246" i="2"/>
  <c r="F246" i="2"/>
  <c r="G246" i="2"/>
  <c r="H246" i="2"/>
  <c r="M246" i="2"/>
  <c r="R246" i="2"/>
  <c r="B247" i="2"/>
  <c r="C247" i="2"/>
  <c r="D247" i="2"/>
  <c r="E247" i="2"/>
  <c r="F247" i="2"/>
  <c r="G247" i="2"/>
  <c r="H247" i="2"/>
  <c r="M247" i="2"/>
  <c r="R247" i="2"/>
  <c r="B248" i="2"/>
  <c r="C248" i="2"/>
  <c r="D248" i="2"/>
  <c r="E248" i="2"/>
  <c r="F248" i="2"/>
  <c r="G248" i="2"/>
  <c r="H248" i="2"/>
  <c r="M248" i="2"/>
  <c r="R248" i="2"/>
  <c r="B249" i="2"/>
  <c r="C249" i="2"/>
  <c r="D249" i="2"/>
  <c r="E249" i="2"/>
  <c r="F249" i="2"/>
  <c r="G249" i="2"/>
  <c r="H249" i="2"/>
  <c r="M249" i="2"/>
  <c r="R249" i="2"/>
  <c r="B250" i="2"/>
  <c r="C250" i="2"/>
  <c r="D250" i="2"/>
  <c r="E250" i="2"/>
  <c r="F250" i="2"/>
  <c r="G250" i="2"/>
  <c r="H250" i="2"/>
  <c r="M250" i="2"/>
  <c r="R250" i="2"/>
  <c r="B251" i="2"/>
  <c r="C251" i="2"/>
  <c r="D251" i="2"/>
  <c r="E251" i="2"/>
  <c r="F251" i="2"/>
  <c r="G251" i="2"/>
  <c r="H251" i="2"/>
  <c r="M251" i="2"/>
  <c r="R251" i="2"/>
  <c r="B252" i="2"/>
  <c r="C252" i="2"/>
  <c r="D252" i="2"/>
  <c r="E252" i="2"/>
  <c r="F252" i="2"/>
  <c r="G252" i="2"/>
  <c r="H252" i="2"/>
  <c r="M252" i="2"/>
  <c r="R252" i="2"/>
  <c r="B253" i="2"/>
  <c r="C253" i="2"/>
  <c r="D253" i="2"/>
  <c r="E253" i="2"/>
  <c r="F253" i="2"/>
  <c r="G253" i="2"/>
  <c r="H253" i="2"/>
  <c r="M253" i="2"/>
  <c r="R253" i="2"/>
  <c r="B254" i="2"/>
  <c r="C254" i="2"/>
  <c r="D254" i="2"/>
  <c r="E254" i="2"/>
  <c r="F254" i="2"/>
  <c r="G254" i="2"/>
  <c r="H254" i="2"/>
  <c r="M254" i="2"/>
  <c r="R254" i="2"/>
  <c r="B255" i="2"/>
  <c r="C255" i="2"/>
  <c r="D255" i="2"/>
  <c r="E255" i="2"/>
  <c r="F255" i="2"/>
  <c r="G255" i="2"/>
  <c r="H255" i="2"/>
  <c r="M255" i="2"/>
  <c r="R255" i="2"/>
  <c r="B256" i="2"/>
  <c r="C256" i="2"/>
  <c r="D256" i="2"/>
  <c r="E256" i="2"/>
  <c r="F256" i="2"/>
  <c r="G256" i="2"/>
  <c r="H256" i="2"/>
  <c r="M256" i="2"/>
  <c r="R256" i="2"/>
  <c r="B257" i="2"/>
  <c r="C257" i="2"/>
  <c r="D257" i="2"/>
  <c r="E257" i="2"/>
  <c r="F257" i="2"/>
  <c r="G257" i="2"/>
  <c r="H257" i="2"/>
  <c r="M257" i="2"/>
  <c r="R257" i="2"/>
  <c r="B258" i="2"/>
  <c r="C258" i="2"/>
  <c r="D258" i="2"/>
  <c r="E258" i="2"/>
  <c r="F258" i="2"/>
  <c r="G258" i="2"/>
  <c r="H258" i="2"/>
  <c r="M258" i="2"/>
  <c r="R258" i="2"/>
  <c r="B259" i="2"/>
  <c r="C259" i="2"/>
  <c r="D259" i="2"/>
  <c r="E259" i="2"/>
  <c r="F259" i="2"/>
  <c r="G259" i="2"/>
  <c r="H259" i="2"/>
  <c r="M259" i="2"/>
  <c r="R259" i="2"/>
  <c r="B260" i="2"/>
  <c r="C260" i="2"/>
  <c r="D260" i="2"/>
  <c r="E260" i="2"/>
  <c r="F260" i="2"/>
  <c r="G260" i="2"/>
  <c r="H260" i="2"/>
  <c r="M260" i="2"/>
  <c r="R260" i="2"/>
  <c r="B261" i="2"/>
  <c r="C261" i="2"/>
  <c r="D261" i="2"/>
  <c r="E261" i="2"/>
  <c r="F261" i="2"/>
  <c r="G261" i="2"/>
  <c r="H261" i="2"/>
  <c r="M261" i="2"/>
  <c r="R261" i="2"/>
  <c r="B262" i="2"/>
  <c r="C262" i="2"/>
  <c r="D262" i="2"/>
  <c r="E262" i="2"/>
  <c r="F262" i="2"/>
  <c r="G262" i="2"/>
  <c r="H262" i="2"/>
  <c r="M262" i="2"/>
  <c r="R262" i="2"/>
  <c r="B263" i="2"/>
  <c r="C263" i="2"/>
  <c r="D263" i="2"/>
  <c r="E263" i="2"/>
  <c r="F263" i="2"/>
  <c r="G263" i="2"/>
  <c r="H263" i="2"/>
  <c r="M263" i="2"/>
  <c r="R263" i="2"/>
  <c r="B264" i="2"/>
  <c r="C264" i="2"/>
  <c r="D264" i="2"/>
  <c r="E264" i="2"/>
  <c r="F264" i="2"/>
  <c r="G264" i="2"/>
  <c r="H264" i="2"/>
  <c r="M264" i="2"/>
  <c r="R264" i="2"/>
  <c r="B265" i="2"/>
  <c r="C265" i="2"/>
  <c r="D265" i="2"/>
  <c r="E265" i="2"/>
  <c r="F265" i="2"/>
  <c r="G265" i="2"/>
  <c r="H265" i="2"/>
  <c r="M265" i="2"/>
  <c r="R265" i="2"/>
  <c r="B266" i="2"/>
  <c r="C266" i="2"/>
  <c r="D266" i="2"/>
  <c r="E266" i="2"/>
  <c r="F266" i="2"/>
  <c r="G266" i="2"/>
  <c r="H266" i="2"/>
  <c r="M266" i="2"/>
  <c r="R266" i="2"/>
  <c r="B267" i="2"/>
  <c r="C267" i="2"/>
  <c r="D267" i="2"/>
  <c r="E267" i="2"/>
  <c r="F267" i="2"/>
  <c r="G267" i="2"/>
  <c r="H267" i="2"/>
  <c r="M267" i="2"/>
  <c r="R267" i="2"/>
  <c r="B268" i="2"/>
  <c r="C268" i="2"/>
  <c r="D268" i="2"/>
  <c r="E268" i="2"/>
  <c r="F268" i="2"/>
  <c r="G268" i="2"/>
  <c r="H268" i="2"/>
  <c r="M268" i="2"/>
  <c r="R268" i="2"/>
  <c r="B269" i="2"/>
  <c r="C269" i="2"/>
  <c r="D269" i="2"/>
  <c r="E269" i="2"/>
  <c r="F269" i="2"/>
  <c r="G269" i="2"/>
  <c r="H269" i="2"/>
  <c r="M269" i="2"/>
  <c r="R269" i="2"/>
  <c r="B270" i="2"/>
  <c r="C270" i="2"/>
  <c r="D270" i="2"/>
  <c r="E270" i="2"/>
  <c r="F270" i="2"/>
  <c r="G270" i="2"/>
  <c r="H270" i="2"/>
  <c r="M270" i="2"/>
  <c r="R270" i="2"/>
  <c r="B271" i="2"/>
  <c r="C271" i="2"/>
  <c r="D271" i="2"/>
  <c r="E271" i="2"/>
  <c r="F271" i="2"/>
  <c r="G271" i="2"/>
  <c r="H271" i="2"/>
  <c r="M271" i="2"/>
  <c r="R271" i="2"/>
  <c r="B272" i="2"/>
  <c r="C272" i="2"/>
  <c r="D272" i="2"/>
  <c r="E272" i="2"/>
  <c r="F272" i="2"/>
  <c r="G272" i="2"/>
  <c r="H272" i="2"/>
  <c r="M272" i="2"/>
  <c r="R272" i="2"/>
  <c r="B273" i="2"/>
  <c r="C273" i="2"/>
  <c r="D273" i="2"/>
  <c r="E273" i="2"/>
  <c r="F273" i="2"/>
  <c r="G273" i="2"/>
  <c r="H273" i="2"/>
  <c r="M273" i="2"/>
  <c r="R273" i="2"/>
  <c r="B274" i="2"/>
  <c r="C274" i="2"/>
  <c r="D274" i="2"/>
  <c r="E274" i="2"/>
  <c r="F274" i="2"/>
  <c r="G274" i="2"/>
  <c r="H274" i="2"/>
  <c r="M274" i="2"/>
  <c r="R274" i="2"/>
  <c r="B275" i="2"/>
  <c r="C275" i="2"/>
  <c r="D275" i="2"/>
  <c r="E275" i="2"/>
  <c r="F275" i="2"/>
  <c r="G275" i="2"/>
  <c r="H275" i="2"/>
  <c r="M275" i="2"/>
  <c r="R275" i="2"/>
  <c r="B276" i="2"/>
  <c r="C276" i="2"/>
  <c r="D276" i="2"/>
  <c r="E276" i="2"/>
  <c r="F276" i="2"/>
  <c r="G276" i="2"/>
  <c r="H276" i="2"/>
  <c r="M276" i="2"/>
  <c r="R276" i="2"/>
  <c r="B277" i="2"/>
  <c r="C277" i="2"/>
  <c r="D277" i="2"/>
  <c r="E277" i="2"/>
  <c r="F277" i="2"/>
  <c r="G277" i="2"/>
  <c r="H277" i="2"/>
  <c r="M277" i="2"/>
  <c r="R277" i="2"/>
  <c r="B278" i="2"/>
  <c r="C278" i="2"/>
  <c r="D278" i="2"/>
  <c r="E278" i="2"/>
  <c r="F278" i="2"/>
  <c r="G278" i="2"/>
  <c r="H278" i="2"/>
  <c r="M278" i="2"/>
  <c r="R278" i="2"/>
  <c r="B279" i="2"/>
  <c r="C279" i="2"/>
  <c r="D279" i="2"/>
  <c r="E279" i="2"/>
  <c r="F279" i="2"/>
  <c r="G279" i="2"/>
  <c r="H279" i="2"/>
  <c r="M279" i="2"/>
  <c r="R279" i="2"/>
  <c r="B280" i="2"/>
  <c r="C280" i="2"/>
  <c r="D280" i="2"/>
  <c r="E280" i="2"/>
  <c r="F280" i="2"/>
  <c r="G280" i="2"/>
  <c r="H280" i="2"/>
  <c r="M280" i="2"/>
  <c r="R280" i="2"/>
  <c r="B281" i="2"/>
  <c r="C281" i="2"/>
  <c r="D281" i="2"/>
  <c r="E281" i="2"/>
  <c r="F281" i="2"/>
  <c r="G281" i="2"/>
  <c r="H281" i="2"/>
  <c r="M281" i="2"/>
  <c r="R281" i="2"/>
  <c r="B282" i="2"/>
  <c r="C282" i="2"/>
  <c r="D282" i="2"/>
  <c r="E282" i="2"/>
  <c r="F282" i="2"/>
  <c r="G282" i="2"/>
  <c r="H282" i="2"/>
  <c r="M282" i="2"/>
  <c r="R282" i="2"/>
  <c r="B283" i="2"/>
  <c r="C283" i="2"/>
  <c r="D283" i="2"/>
  <c r="E283" i="2"/>
  <c r="F283" i="2"/>
  <c r="G283" i="2"/>
  <c r="H283" i="2"/>
  <c r="M283" i="2"/>
  <c r="R283" i="2"/>
  <c r="B284" i="2"/>
  <c r="C284" i="2"/>
  <c r="D284" i="2"/>
  <c r="E284" i="2"/>
  <c r="F284" i="2"/>
  <c r="G284" i="2"/>
  <c r="H284" i="2"/>
  <c r="M284" i="2"/>
  <c r="R284" i="2"/>
  <c r="B285" i="2"/>
  <c r="C285" i="2"/>
  <c r="D285" i="2"/>
  <c r="E285" i="2"/>
  <c r="F285" i="2"/>
  <c r="G285" i="2"/>
  <c r="H285" i="2"/>
  <c r="M285" i="2"/>
  <c r="R285" i="2"/>
  <c r="B286" i="2"/>
  <c r="C286" i="2"/>
  <c r="D286" i="2"/>
  <c r="E286" i="2"/>
  <c r="F286" i="2"/>
  <c r="G286" i="2"/>
  <c r="H286" i="2"/>
  <c r="M286" i="2"/>
  <c r="R286" i="2"/>
  <c r="B287" i="2"/>
  <c r="C287" i="2"/>
  <c r="D287" i="2"/>
  <c r="E287" i="2"/>
  <c r="F287" i="2"/>
  <c r="G287" i="2"/>
  <c r="H287" i="2"/>
  <c r="M287" i="2"/>
  <c r="R287" i="2"/>
  <c r="B288" i="2"/>
  <c r="C288" i="2"/>
  <c r="D288" i="2"/>
  <c r="E288" i="2"/>
  <c r="F288" i="2"/>
  <c r="G288" i="2"/>
  <c r="H288" i="2"/>
  <c r="M288" i="2"/>
  <c r="R288" i="2"/>
  <c r="B289" i="2"/>
  <c r="C289" i="2"/>
  <c r="D289" i="2"/>
  <c r="E289" i="2"/>
  <c r="F289" i="2"/>
  <c r="G289" i="2"/>
  <c r="H289" i="2"/>
  <c r="M289" i="2"/>
  <c r="R289" i="2"/>
  <c r="B290" i="2"/>
  <c r="C290" i="2"/>
  <c r="D290" i="2"/>
  <c r="E290" i="2"/>
  <c r="F290" i="2"/>
  <c r="G290" i="2"/>
  <c r="H290" i="2"/>
  <c r="M290" i="2"/>
  <c r="R290" i="2"/>
  <c r="B291" i="2"/>
  <c r="C291" i="2"/>
  <c r="D291" i="2"/>
  <c r="E291" i="2"/>
  <c r="F291" i="2"/>
  <c r="G291" i="2"/>
  <c r="H291" i="2"/>
  <c r="M291" i="2"/>
  <c r="R291" i="2"/>
  <c r="B292" i="2"/>
  <c r="C292" i="2"/>
  <c r="D292" i="2"/>
  <c r="E292" i="2"/>
  <c r="F292" i="2"/>
  <c r="G292" i="2"/>
  <c r="H292" i="2"/>
  <c r="M292" i="2"/>
  <c r="R292" i="2"/>
  <c r="B293" i="2"/>
  <c r="C293" i="2"/>
  <c r="D293" i="2"/>
  <c r="E293" i="2"/>
  <c r="F293" i="2"/>
  <c r="G293" i="2"/>
  <c r="H293" i="2"/>
  <c r="M293" i="2"/>
  <c r="R293" i="2"/>
  <c r="B294" i="2"/>
  <c r="C294" i="2"/>
  <c r="D294" i="2"/>
  <c r="E294" i="2"/>
  <c r="F294" i="2"/>
  <c r="G294" i="2"/>
  <c r="H294" i="2"/>
  <c r="M294" i="2"/>
  <c r="R294" i="2"/>
  <c r="B295" i="2"/>
  <c r="C295" i="2"/>
  <c r="D295" i="2"/>
  <c r="E295" i="2"/>
  <c r="F295" i="2"/>
  <c r="G295" i="2"/>
  <c r="H295" i="2"/>
  <c r="M295" i="2"/>
  <c r="R295" i="2"/>
  <c r="B296" i="2"/>
  <c r="C296" i="2"/>
  <c r="D296" i="2"/>
  <c r="E296" i="2"/>
  <c r="F296" i="2"/>
  <c r="G296" i="2"/>
  <c r="H296" i="2"/>
  <c r="M296" i="2"/>
  <c r="R296" i="2"/>
  <c r="B297" i="2"/>
  <c r="C297" i="2"/>
  <c r="D297" i="2"/>
  <c r="E297" i="2"/>
  <c r="F297" i="2"/>
  <c r="G297" i="2"/>
  <c r="H297" i="2"/>
  <c r="M297" i="2"/>
  <c r="R297" i="2"/>
  <c r="B298" i="2"/>
  <c r="C298" i="2"/>
  <c r="D298" i="2"/>
  <c r="E298" i="2"/>
  <c r="F298" i="2"/>
  <c r="G298" i="2"/>
  <c r="H298" i="2"/>
  <c r="M298" i="2"/>
  <c r="R298" i="2"/>
  <c r="B299" i="2"/>
  <c r="C299" i="2"/>
  <c r="D299" i="2"/>
  <c r="E299" i="2"/>
  <c r="F299" i="2"/>
  <c r="G299" i="2"/>
  <c r="H299" i="2"/>
  <c r="M299" i="2"/>
  <c r="R299" i="2"/>
  <c r="B300" i="2"/>
  <c r="C300" i="2"/>
  <c r="D300" i="2"/>
  <c r="E300" i="2"/>
  <c r="F300" i="2"/>
  <c r="G300" i="2"/>
  <c r="H300" i="2"/>
  <c r="M300" i="2"/>
  <c r="R300" i="2"/>
  <c r="B301" i="2"/>
  <c r="C301" i="2"/>
  <c r="D301" i="2"/>
  <c r="E301" i="2"/>
  <c r="F301" i="2"/>
  <c r="G301" i="2"/>
  <c r="H301" i="2"/>
  <c r="M301" i="2"/>
  <c r="R301" i="2"/>
  <c r="B302" i="2"/>
  <c r="C302" i="2"/>
  <c r="D302" i="2"/>
  <c r="E302" i="2"/>
  <c r="F302" i="2"/>
  <c r="G302" i="2"/>
  <c r="H302" i="2"/>
  <c r="M302" i="2"/>
  <c r="R302" i="2"/>
  <c r="B303" i="2"/>
  <c r="C303" i="2"/>
  <c r="D303" i="2"/>
  <c r="E303" i="2"/>
  <c r="F303" i="2"/>
  <c r="G303" i="2"/>
  <c r="H303" i="2"/>
  <c r="M303" i="2"/>
  <c r="R303" i="2"/>
  <c r="B304" i="2"/>
  <c r="C304" i="2"/>
  <c r="D304" i="2"/>
  <c r="E304" i="2"/>
  <c r="F304" i="2"/>
  <c r="G304" i="2"/>
  <c r="H304" i="2"/>
  <c r="M304" i="2"/>
  <c r="R304" i="2"/>
  <c r="B305" i="2"/>
  <c r="C305" i="2"/>
  <c r="D305" i="2"/>
  <c r="E305" i="2"/>
  <c r="F305" i="2"/>
  <c r="G305" i="2"/>
  <c r="H305" i="2"/>
  <c r="M305" i="2"/>
  <c r="R305" i="2"/>
  <c r="B306" i="2"/>
  <c r="C306" i="2"/>
  <c r="D306" i="2"/>
  <c r="E306" i="2"/>
  <c r="F306" i="2"/>
  <c r="G306" i="2"/>
  <c r="H306" i="2"/>
  <c r="M306" i="2"/>
  <c r="R306" i="2"/>
  <c r="B307" i="2"/>
  <c r="C307" i="2"/>
  <c r="D307" i="2"/>
  <c r="E307" i="2"/>
  <c r="F307" i="2"/>
  <c r="G307" i="2"/>
  <c r="H307" i="2"/>
  <c r="M307" i="2"/>
  <c r="R307" i="2"/>
  <c r="B308" i="2"/>
  <c r="C308" i="2"/>
  <c r="D308" i="2"/>
  <c r="E308" i="2"/>
  <c r="F308" i="2"/>
  <c r="G308" i="2"/>
  <c r="H308" i="2"/>
  <c r="M308" i="2"/>
  <c r="R308" i="2"/>
  <c r="B309" i="2"/>
  <c r="C309" i="2"/>
  <c r="D309" i="2"/>
  <c r="E309" i="2"/>
  <c r="F309" i="2"/>
  <c r="G309" i="2"/>
  <c r="H309" i="2"/>
  <c r="M309" i="2"/>
  <c r="R309" i="2"/>
  <c r="B310" i="2"/>
  <c r="C310" i="2"/>
  <c r="D310" i="2"/>
  <c r="E310" i="2"/>
  <c r="F310" i="2"/>
  <c r="G310" i="2"/>
  <c r="H310" i="2"/>
  <c r="M310" i="2"/>
  <c r="R310" i="2"/>
  <c r="B311" i="2"/>
  <c r="C311" i="2"/>
  <c r="D311" i="2"/>
  <c r="E311" i="2"/>
  <c r="F311" i="2"/>
  <c r="G311" i="2"/>
  <c r="H311" i="2"/>
  <c r="M311" i="2"/>
  <c r="R311" i="2"/>
  <c r="B312" i="2"/>
  <c r="C312" i="2"/>
  <c r="D312" i="2"/>
  <c r="E312" i="2"/>
  <c r="F312" i="2"/>
  <c r="G312" i="2"/>
  <c r="H312" i="2"/>
  <c r="M312" i="2"/>
  <c r="R312" i="2"/>
  <c r="B313" i="2"/>
  <c r="C313" i="2"/>
  <c r="D313" i="2"/>
  <c r="E313" i="2"/>
  <c r="F313" i="2"/>
  <c r="G313" i="2"/>
  <c r="H313" i="2"/>
  <c r="M313" i="2"/>
  <c r="R313" i="2"/>
  <c r="B314" i="2"/>
  <c r="C314" i="2"/>
  <c r="D314" i="2"/>
  <c r="E314" i="2"/>
  <c r="F314" i="2"/>
  <c r="G314" i="2"/>
  <c r="H314" i="2"/>
  <c r="M314" i="2"/>
  <c r="R314" i="2"/>
  <c r="B315" i="2"/>
  <c r="C315" i="2"/>
  <c r="D315" i="2"/>
  <c r="E315" i="2"/>
  <c r="F315" i="2"/>
  <c r="G315" i="2"/>
  <c r="H315" i="2"/>
  <c r="M315" i="2"/>
  <c r="R315" i="2"/>
  <c r="B316" i="2"/>
  <c r="C316" i="2"/>
  <c r="D316" i="2"/>
  <c r="E316" i="2"/>
  <c r="F316" i="2"/>
  <c r="G316" i="2"/>
  <c r="H316" i="2"/>
  <c r="M316" i="2"/>
  <c r="R316" i="2"/>
  <c r="B317" i="2"/>
  <c r="C317" i="2"/>
  <c r="D317" i="2"/>
  <c r="E317" i="2"/>
  <c r="F317" i="2"/>
  <c r="G317" i="2"/>
  <c r="H317" i="2"/>
  <c r="M317" i="2"/>
  <c r="R317" i="2"/>
  <c r="B318" i="2"/>
  <c r="C318" i="2"/>
  <c r="D318" i="2"/>
  <c r="E318" i="2"/>
  <c r="F318" i="2"/>
  <c r="G318" i="2"/>
  <c r="H318" i="2"/>
  <c r="M318" i="2"/>
  <c r="R318" i="2"/>
  <c r="B319" i="2"/>
  <c r="C319" i="2"/>
  <c r="D319" i="2"/>
  <c r="E319" i="2"/>
  <c r="F319" i="2"/>
  <c r="G319" i="2"/>
  <c r="H319" i="2"/>
  <c r="M319" i="2"/>
  <c r="R319" i="2"/>
  <c r="B320" i="2"/>
  <c r="C320" i="2"/>
  <c r="D320" i="2"/>
  <c r="E320" i="2"/>
  <c r="F320" i="2"/>
  <c r="G320" i="2"/>
  <c r="H320" i="2"/>
  <c r="M320" i="2"/>
  <c r="R320" i="2"/>
  <c r="B321" i="2"/>
  <c r="C321" i="2"/>
  <c r="D321" i="2"/>
  <c r="E321" i="2"/>
  <c r="F321" i="2"/>
  <c r="G321" i="2"/>
  <c r="H321" i="2"/>
  <c r="M321" i="2"/>
  <c r="R321" i="2"/>
  <c r="B322" i="2"/>
  <c r="C322" i="2"/>
  <c r="D322" i="2"/>
  <c r="E322" i="2"/>
  <c r="F322" i="2"/>
  <c r="G322" i="2"/>
  <c r="H322" i="2"/>
  <c r="M322" i="2"/>
  <c r="R322" i="2"/>
  <c r="B323" i="2"/>
  <c r="C323" i="2"/>
  <c r="D323" i="2"/>
  <c r="E323" i="2"/>
  <c r="F323" i="2"/>
  <c r="G323" i="2"/>
  <c r="H323" i="2"/>
  <c r="M323" i="2"/>
  <c r="R323" i="2"/>
  <c r="B324" i="2"/>
  <c r="C324" i="2"/>
  <c r="D324" i="2"/>
  <c r="E324" i="2"/>
  <c r="F324" i="2"/>
  <c r="G324" i="2"/>
  <c r="H324" i="2"/>
  <c r="M324" i="2"/>
  <c r="R324" i="2"/>
  <c r="B325" i="2"/>
  <c r="C325" i="2"/>
  <c r="D325" i="2"/>
  <c r="E325" i="2"/>
  <c r="F325" i="2"/>
  <c r="G325" i="2"/>
  <c r="H325" i="2"/>
  <c r="M325" i="2"/>
  <c r="R325" i="2"/>
  <c r="B326" i="2"/>
  <c r="C326" i="2"/>
  <c r="D326" i="2"/>
  <c r="E326" i="2"/>
  <c r="F326" i="2"/>
  <c r="G326" i="2"/>
  <c r="H326" i="2"/>
  <c r="M326" i="2"/>
  <c r="R326" i="2"/>
  <c r="B327" i="2"/>
  <c r="C327" i="2"/>
  <c r="D327" i="2"/>
  <c r="E327" i="2"/>
  <c r="F327" i="2"/>
  <c r="G327" i="2"/>
  <c r="H327" i="2"/>
  <c r="M327" i="2"/>
  <c r="R327" i="2"/>
  <c r="B328" i="2"/>
  <c r="C328" i="2"/>
  <c r="D328" i="2"/>
  <c r="E328" i="2"/>
  <c r="F328" i="2"/>
  <c r="G328" i="2"/>
  <c r="H328" i="2"/>
  <c r="M328" i="2"/>
  <c r="R328" i="2"/>
  <c r="B329" i="2"/>
  <c r="C329" i="2"/>
  <c r="D329" i="2"/>
  <c r="E329" i="2"/>
  <c r="F329" i="2"/>
  <c r="G329" i="2"/>
  <c r="H329" i="2"/>
  <c r="M329" i="2"/>
  <c r="R329" i="2"/>
  <c r="B330" i="2"/>
  <c r="C330" i="2"/>
  <c r="D330" i="2"/>
  <c r="E330" i="2"/>
  <c r="F330" i="2"/>
  <c r="G330" i="2"/>
  <c r="H330" i="2"/>
  <c r="M330" i="2"/>
  <c r="R330" i="2"/>
  <c r="B331" i="2"/>
  <c r="C331" i="2"/>
  <c r="D331" i="2"/>
  <c r="E331" i="2"/>
  <c r="F331" i="2"/>
  <c r="G331" i="2"/>
  <c r="H331" i="2"/>
  <c r="M331" i="2"/>
  <c r="R331" i="2"/>
  <c r="B332" i="2"/>
  <c r="C332" i="2"/>
  <c r="D332" i="2"/>
  <c r="E332" i="2"/>
  <c r="F332" i="2"/>
  <c r="G332" i="2"/>
  <c r="H332" i="2"/>
  <c r="M332" i="2"/>
  <c r="R332" i="2"/>
  <c r="B333" i="2"/>
  <c r="C333" i="2"/>
  <c r="D333" i="2"/>
  <c r="E333" i="2"/>
  <c r="F333" i="2"/>
  <c r="G333" i="2"/>
  <c r="H333" i="2"/>
  <c r="M333" i="2"/>
  <c r="R333" i="2"/>
  <c r="B334" i="2"/>
  <c r="C334" i="2"/>
  <c r="D334" i="2"/>
  <c r="E334" i="2"/>
  <c r="F334" i="2"/>
  <c r="G334" i="2"/>
  <c r="H334" i="2"/>
  <c r="M334" i="2"/>
  <c r="R334" i="2"/>
  <c r="B335" i="2"/>
  <c r="C335" i="2"/>
  <c r="D335" i="2"/>
  <c r="E335" i="2"/>
  <c r="F335" i="2"/>
  <c r="G335" i="2"/>
  <c r="H335" i="2"/>
  <c r="M335" i="2"/>
  <c r="R335" i="2"/>
  <c r="B336" i="2"/>
  <c r="C336" i="2"/>
  <c r="D336" i="2"/>
  <c r="E336" i="2"/>
  <c r="F336" i="2"/>
  <c r="G336" i="2"/>
  <c r="H336" i="2"/>
  <c r="M336" i="2"/>
  <c r="R336" i="2"/>
  <c r="B337" i="2"/>
  <c r="C337" i="2"/>
  <c r="D337" i="2"/>
  <c r="E337" i="2"/>
  <c r="F337" i="2"/>
  <c r="G337" i="2"/>
  <c r="H337" i="2"/>
  <c r="M337" i="2"/>
  <c r="R337" i="2"/>
  <c r="B338" i="2"/>
  <c r="C338" i="2"/>
  <c r="D338" i="2"/>
  <c r="E338" i="2"/>
  <c r="F338" i="2"/>
  <c r="G338" i="2"/>
  <c r="H338" i="2"/>
  <c r="M338" i="2"/>
  <c r="R338" i="2"/>
  <c r="B339" i="2"/>
  <c r="C339" i="2"/>
  <c r="D339" i="2"/>
  <c r="E339" i="2"/>
  <c r="F339" i="2"/>
  <c r="G339" i="2"/>
  <c r="H339" i="2"/>
  <c r="M339" i="2"/>
  <c r="R339" i="2"/>
  <c r="B340" i="2"/>
  <c r="C340" i="2"/>
  <c r="D340" i="2"/>
  <c r="E340" i="2"/>
  <c r="F340" i="2"/>
  <c r="G340" i="2"/>
  <c r="H340" i="2"/>
  <c r="M340" i="2"/>
  <c r="R340" i="2"/>
  <c r="B341" i="2"/>
  <c r="C341" i="2"/>
  <c r="D341" i="2"/>
  <c r="E341" i="2"/>
  <c r="F341" i="2"/>
  <c r="G341" i="2"/>
  <c r="H341" i="2"/>
  <c r="M341" i="2"/>
  <c r="R341" i="2"/>
  <c r="B342" i="2"/>
  <c r="C342" i="2"/>
  <c r="D342" i="2"/>
  <c r="E342" i="2"/>
  <c r="F342" i="2"/>
  <c r="G342" i="2"/>
  <c r="H342" i="2"/>
  <c r="M342" i="2"/>
  <c r="R342" i="2"/>
  <c r="B343" i="2"/>
  <c r="C343" i="2"/>
  <c r="D343" i="2"/>
  <c r="E343" i="2"/>
  <c r="F343" i="2"/>
  <c r="G343" i="2"/>
  <c r="H343" i="2"/>
  <c r="M343" i="2"/>
  <c r="R343" i="2"/>
  <c r="B344" i="2"/>
  <c r="C344" i="2"/>
  <c r="D344" i="2"/>
  <c r="E344" i="2"/>
  <c r="F344" i="2"/>
  <c r="G344" i="2"/>
  <c r="H344" i="2"/>
  <c r="M344" i="2"/>
  <c r="R344" i="2"/>
  <c r="B345" i="2"/>
  <c r="C345" i="2"/>
  <c r="D345" i="2"/>
  <c r="E345" i="2"/>
  <c r="F345" i="2"/>
  <c r="G345" i="2"/>
  <c r="H345" i="2"/>
  <c r="M345" i="2"/>
  <c r="R345" i="2"/>
  <c r="B346" i="2"/>
  <c r="C346" i="2"/>
  <c r="D346" i="2"/>
  <c r="E346" i="2"/>
  <c r="F346" i="2"/>
  <c r="G346" i="2"/>
  <c r="H346" i="2"/>
  <c r="M346" i="2"/>
  <c r="R346" i="2"/>
  <c r="B347" i="2"/>
  <c r="C347" i="2"/>
  <c r="D347" i="2"/>
  <c r="E347" i="2"/>
  <c r="F347" i="2"/>
  <c r="G347" i="2"/>
  <c r="H347" i="2"/>
  <c r="M347" i="2"/>
  <c r="R347" i="2"/>
  <c r="B348" i="2"/>
  <c r="C348" i="2"/>
  <c r="D348" i="2"/>
  <c r="E348" i="2"/>
  <c r="F348" i="2"/>
  <c r="G348" i="2"/>
  <c r="H348" i="2"/>
  <c r="M348" i="2"/>
  <c r="R348" i="2"/>
  <c r="B349" i="2"/>
  <c r="C349" i="2"/>
  <c r="D349" i="2"/>
  <c r="E349" i="2"/>
  <c r="F349" i="2"/>
  <c r="G349" i="2"/>
  <c r="H349" i="2"/>
  <c r="M349" i="2"/>
  <c r="R349" i="2"/>
  <c r="B350" i="2"/>
  <c r="C350" i="2"/>
  <c r="D350" i="2"/>
  <c r="E350" i="2"/>
  <c r="F350" i="2"/>
  <c r="G350" i="2"/>
  <c r="H350" i="2"/>
  <c r="M350" i="2"/>
  <c r="R350" i="2"/>
  <c r="B351" i="2"/>
  <c r="C351" i="2"/>
  <c r="D351" i="2"/>
  <c r="E351" i="2"/>
  <c r="F351" i="2"/>
  <c r="G351" i="2"/>
  <c r="H351" i="2"/>
  <c r="M351" i="2"/>
  <c r="R351" i="2"/>
  <c r="B352" i="2"/>
  <c r="C352" i="2"/>
  <c r="D352" i="2"/>
  <c r="E352" i="2"/>
  <c r="F352" i="2"/>
  <c r="G352" i="2"/>
  <c r="H352" i="2"/>
  <c r="M352" i="2"/>
  <c r="R352" i="2"/>
  <c r="B353" i="2"/>
  <c r="C353" i="2"/>
  <c r="D353" i="2"/>
  <c r="E353" i="2"/>
  <c r="F353" i="2"/>
  <c r="G353" i="2"/>
  <c r="H353" i="2"/>
  <c r="M353" i="2"/>
  <c r="R353" i="2"/>
  <c r="B354" i="2"/>
  <c r="C354" i="2"/>
  <c r="D354" i="2"/>
  <c r="E354" i="2"/>
  <c r="F354" i="2"/>
  <c r="G354" i="2"/>
  <c r="H354" i="2"/>
  <c r="M354" i="2"/>
  <c r="R354" i="2"/>
  <c r="B355" i="2"/>
  <c r="C355" i="2"/>
  <c r="D355" i="2"/>
  <c r="E355" i="2"/>
  <c r="F355" i="2"/>
  <c r="G355" i="2"/>
  <c r="H355" i="2"/>
  <c r="M355" i="2"/>
  <c r="R355" i="2"/>
  <c r="B356" i="2"/>
  <c r="C356" i="2"/>
  <c r="D356" i="2"/>
  <c r="E356" i="2"/>
  <c r="F356" i="2"/>
  <c r="G356" i="2"/>
  <c r="H356" i="2"/>
  <c r="M356" i="2"/>
  <c r="R356" i="2"/>
  <c r="B357" i="2"/>
  <c r="C357" i="2"/>
  <c r="D357" i="2"/>
  <c r="E357" i="2"/>
  <c r="F357" i="2"/>
  <c r="G357" i="2"/>
  <c r="H357" i="2"/>
  <c r="M357" i="2"/>
  <c r="R357" i="2"/>
  <c r="B358" i="2"/>
  <c r="C358" i="2"/>
  <c r="D358" i="2"/>
  <c r="E358" i="2"/>
  <c r="F358" i="2"/>
  <c r="G358" i="2"/>
  <c r="H358" i="2"/>
  <c r="M358" i="2"/>
  <c r="R358" i="2"/>
  <c r="B359" i="2"/>
  <c r="C359" i="2"/>
  <c r="D359" i="2"/>
  <c r="E359" i="2"/>
  <c r="F359" i="2"/>
  <c r="G359" i="2"/>
  <c r="H359" i="2"/>
  <c r="M359" i="2"/>
  <c r="R359" i="2"/>
  <c r="B360" i="2"/>
  <c r="C360" i="2"/>
  <c r="D360" i="2"/>
  <c r="E360" i="2"/>
  <c r="F360" i="2"/>
  <c r="G360" i="2"/>
  <c r="H360" i="2"/>
  <c r="M360" i="2"/>
  <c r="R360" i="2"/>
  <c r="B361" i="2"/>
  <c r="C361" i="2"/>
  <c r="D361" i="2"/>
  <c r="E361" i="2"/>
  <c r="F361" i="2"/>
  <c r="G361" i="2"/>
  <c r="H361" i="2"/>
  <c r="M361" i="2"/>
  <c r="R361" i="2"/>
  <c r="B362" i="2"/>
  <c r="C362" i="2"/>
  <c r="D362" i="2"/>
  <c r="E362" i="2"/>
  <c r="F362" i="2"/>
  <c r="G362" i="2"/>
  <c r="H362" i="2"/>
  <c r="M362" i="2"/>
  <c r="R362" i="2"/>
  <c r="B363" i="2"/>
  <c r="C363" i="2"/>
  <c r="D363" i="2"/>
  <c r="E363" i="2"/>
  <c r="F363" i="2"/>
  <c r="G363" i="2"/>
  <c r="H363" i="2"/>
  <c r="M363" i="2"/>
  <c r="R363" i="2"/>
  <c r="B364" i="2"/>
  <c r="C364" i="2"/>
  <c r="D364" i="2"/>
  <c r="E364" i="2"/>
  <c r="F364" i="2"/>
  <c r="G364" i="2"/>
  <c r="H364" i="2"/>
  <c r="M364" i="2"/>
  <c r="R364" i="2"/>
  <c r="B365" i="2"/>
  <c r="C365" i="2"/>
  <c r="D365" i="2"/>
  <c r="E365" i="2"/>
  <c r="F365" i="2"/>
  <c r="G365" i="2"/>
  <c r="H365" i="2"/>
  <c r="M365" i="2"/>
  <c r="R365" i="2"/>
  <c r="B366" i="2"/>
  <c r="C366" i="2"/>
  <c r="D366" i="2"/>
  <c r="E366" i="2"/>
  <c r="F366" i="2"/>
  <c r="G366" i="2"/>
  <c r="H366" i="2"/>
  <c r="M366" i="2"/>
  <c r="R366" i="2"/>
  <c r="B367" i="2"/>
  <c r="C367" i="2"/>
  <c r="D367" i="2"/>
  <c r="E367" i="2"/>
  <c r="F367" i="2"/>
  <c r="G367" i="2"/>
  <c r="H367" i="2"/>
  <c r="M367" i="2"/>
  <c r="R367" i="2"/>
  <c r="B368" i="2"/>
  <c r="C368" i="2"/>
  <c r="D368" i="2"/>
  <c r="E368" i="2"/>
  <c r="F368" i="2"/>
  <c r="G368" i="2"/>
  <c r="H368" i="2"/>
  <c r="M368" i="2"/>
  <c r="R368" i="2"/>
  <c r="B369" i="2"/>
  <c r="C369" i="2"/>
  <c r="D369" i="2"/>
  <c r="E369" i="2"/>
  <c r="F369" i="2"/>
  <c r="G369" i="2"/>
  <c r="H369" i="2"/>
  <c r="M369" i="2"/>
  <c r="R369" i="2"/>
  <c r="R9" i="2"/>
  <c r="M9" i="2"/>
  <c r="H9" i="2"/>
  <c r="G9" i="2"/>
  <c r="F9" i="2"/>
  <c r="E9" i="2"/>
  <c r="D9" i="2"/>
  <c r="C9" i="2"/>
  <c r="B9" i="2"/>
  <c r="R6" i="2"/>
  <c r="AI20" i="1"/>
  <c r="AI21" i="1"/>
  <c r="AI22" i="1"/>
  <c r="AI23" i="1"/>
  <c r="AI24" i="1"/>
  <c r="AI25" i="1"/>
  <c r="AI26" i="1"/>
  <c r="AJ26" i="1" s="1"/>
  <c r="AI27" i="1"/>
  <c r="AT27" i="1" s="1"/>
  <c r="AU27" i="1" s="1"/>
  <c r="AI28" i="1"/>
  <c r="AI29" i="1"/>
  <c r="AI30" i="1"/>
  <c r="AI31" i="1"/>
  <c r="AI32" i="1"/>
  <c r="AI33" i="1"/>
  <c r="AI34" i="1"/>
  <c r="AJ34" i="1" s="1"/>
  <c r="AI35" i="1"/>
  <c r="AJ35" i="1" s="1"/>
  <c r="AI36" i="1"/>
  <c r="AI42" i="1"/>
  <c r="AI43" i="1"/>
  <c r="AJ43" i="1" s="1"/>
  <c r="AI44" i="1"/>
  <c r="AI45" i="1"/>
  <c r="AI46" i="1"/>
  <c r="AI47" i="1"/>
  <c r="AI48" i="1"/>
  <c r="AI49" i="1"/>
  <c r="AI50" i="1"/>
  <c r="AJ50" i="1" s="1"/>
  <c r="AI51" i="1"/>
  <c r="AI52" i="1"/>
  <c r="AI53" i="1"/>
  <c r="AI54" i="1"/>
  <c r="AI55" i="1"/>
  <c r="AI56" i="1"/>
  <c r="AI57" i="1"/>
  <c r="AI58" i="1"/>
  <c r="AJ58" i="1" s="1"/>
  <c r="AI59" i="1"/>
  <c r="AT59" i="1" s="1"/>
  <c r="AU59" i="1" s="1"/>
  <c r="AI60" i="1"/>
  <c r="AI61" i="1"/>
  <c r="AI62" i="1"/>
  <c r="AI63" i="1"/>
  <c r="AI64" i="1"/>
  <c r="AI65" i="1"/>
  <c r="AI66" i="1"/>
  <c r="AI67" i="1"/>
  <c r="AJ67" i="1" s="1"/>
  <c r="AI68" i="1"/>
  <c r="AI69" i="1"/>
  <c r="AI70" i="1"/>
  <c r="AI71" i="1"/>
  <c r="AI72" i="1"/>
  <c r="AI73" i="1"/>
  <c r="AI74" i="1"/>
  <c r="AJ74" i="1" s="1"/>
  <c r="AI75" i="1"/>
  <c r="AT75" i="1" s="1"/>
  <c r="AU75" i="1" s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J91" i="1" s="1"/>
  <c r="AI92" i="1"/>
  <c r="AI93" i="1"/>
  <c r="AI94" i="1"/>
  <c r="AI95" i="1"/>
  <c r="AI96" i="1"/>
  <c r="AI97" i="1"/>
  <c r="AI98" i="1"/>
  <c r="AI99" i="1"/>
  <c r="AJ99" i="1" s="1"/>
  <c r="AI100" i="1"/>
  <c r="AI101" i="1"/>
  <c r="AI102" i="1"/>
  <c r="AI103" i="1"/>
  <c r="AI104" i="1"/>
  <c r="AI105" i="1"/>
  <c r="AI106" i="1"/>
  <c r="AI107" i="1"/>
  <c r="AJ107" i="1" s="1"/>
  <c r="AI108" i="1"/>
  <c r="AI109" i="1"/>
  <c r="AI110" i="1"/>
  <c r="AI111" i="1"/>
  <c r="AI112" i="1"/>
  <c r="AI113" i="1"/>
  <c r="AI114" i="1"/>
  <c r="AI115" i="1"/>
  <c r="AT115" i="1" s="1"/>
  <c r="AI116" i="1"/>
  <c r="AI117" i="1"/>
  <c r="AI118" i="1"/>
  <c r="AI119" i="1"/>
  <c r="AI120" i="1"/>
  <c r="AI121" i="1"/>
  <c r="AI122" i="1"/>
  <c r="AI123" i="1"/>
  <c r="AJ123" i="1" s="1"/>
  <c r="AI124" i="1"/>
  <c r="AI125" i="1"/>
  <c r="AI126" i="1"/>
  <c r="AI127" i="1"/>
  <c r="AI128" i="1"/>
  <c r="AI129" i="1"/>
  <c r="AI130" i="1"/>
  <c r="AI131" i="1"/>
  <c r="AJ131" i="1" s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J147" i="1" s="1"/>
  <c r="AI148" i="1"/>
  <c r="AI149" i="1"/>
  <c r="AI150" i="1"/>
  <c r="AI151" i="1"/>
  <c r="AI152" i="1"/>
  <c r="AI153" i="1"/>
  <c r="AI154" i="1"/>
  <c r="AI155" i="1"/>
  <c r="AJ155" i="1" s="1"/>
  <c r="AI156" i="1"/>
  <c r="AI157" i="1"/>
  <c r="AI158" i="1"/>
  <c r="AI159" i="1"/>
  <c r="AI160" i="1"/>
  <c r="AI161" i="1"/>
  <c r="AI162" i="1"/>
  <c r="AI163" i="1"/>
  <c r="AT163" i="1" s="1"/>
  <c r="AI164" i="1"/>
  <c r="AI165" i="1"/>
  <c r="AI166" i="1"/>
  <c r="AI167" i="1"/>
  <c r="AI168" i="1"/>
  <c r="AI169" i="1"/>
  <c r="AI170" i="1"/>
  <c r="AI171" i="1"/>
  <c r="AT171" i="1" s="1"/>
  <c r="AU171" i="1" s="1"/>
  <c r="AI172" i="1"/>
  <c r="AI173" i="1"/>
  <c r="AI174" i="1"/>
  <c r="AI175" i="1"/>
  <c r="AI176" i="1"/>
  <c r="AI177" i="1"/>
  <c r="AI178" i="1"/>
  <c r="AI179" i="1"/>
  <c r="AT179" i="1" s="1"/>
  <c r="AI180" i="1"/>
  <c r="AI181" i="1"/>
  <c r="AI182" i="1"/>
  <c r="AI183" i="1"/>
  <c r="AI184" i="1"/>
  <c r="AI185" i="1"/>
  <c r="AI186" i="1"/>
  <c r="AI187" i="1"/>
  <c r="AT187" i="1" s="1"/>
  <c r="AU187" i="1" s="1"/>
  <c r="AI188" i="1"/>
  <c r="AI189" i="1"/>
  <c r="AI190" i="1"/>
  <c r="AI191" i="1"/>
  <c r="AI192" i="1"/>
  <c r="AI193" i="1"/>
  <c r="AI194" i="1"/>
  <c r="AI195" i="1"/>
  <c r="AT195" i="1" s="1"/>
  <c r="AI196" i="1"/>
  <c r="AI197" i="1"/>
  <c r="AI198" i="1"/>
  <c r="AI199" i="1"/>
  <c r="AI200" i="1"/>
  <c r="AI201" i="1"/>
  <c r="AI202" i="1"/>
  <c r="AI203" i="1"/>
  <c r="AJ203" i="1" s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J219" i="1" s="1"/>
  <c r="AI220" i="1"/>
  <c r="AI221" i="1"/>
  <c r="AI222" i="1"/>
  <c r="AI223" i="1"/>
  <c r="AI224" i="1"/>
  <c r="AI225" i="1"/>
  <c r="AI226" i="1"/>
  <c r="AI227" i="1"/>
  <c r="AT227" i="1" s="1"/>
  <c r="AI228" i="1"/>
  <c r="AI229" i="1"/>
  <c r="AI230" i="1"/>
  <c r="AI231" i="1"/>
  <c r="AI232" i="1"/>
  <c r="AI233" i="1"/>
  <c r="AI234" i="1"/>
  <c r="AI235" i="1"/>
  <c r="AJ235" i="1" s="1"/>
  <c r="AI236" i="1"/>
  <c r="AI237" i="1"/>
  <c r="AI238" i="1"/>
  <c r="AI239" i="1"/>
  <c r="AI240" i="1"/>
  <c r="AI241" i="1"/>
  <c r="AI242" i="1"/>
  <c r="AI243" i="1"/>
  <c r="AJ243" i="1" s="1"/>
  <c r="AI244" i="1"/>
  <c r="AI245" i="1"/>
  <c r="AI246" i="1"/>
  <c r="AI247" i="1"/>
  <c r="AI248" i="1"/>
  <c r="AI249" i="1"/>
  <c r="AI250" i="1"/>
  <c r="AI251" i="1"/>
  <c r="AJ251" i="1" s="1"/>
  <c r="AI252" i="1"/>
  <c r="AI253" i="1"/>
  <c r="AI254" i="1"/>
  <c r="AI255" i="1"/>
  <c r="AI256" i="1"/>
  <c r="AI257" i="1"/>
  <c r="AI258" i="1"/>
  <c r="AI259" i="1"/>
  <c r="AJ259" i="1" s="1"/>
  <c r="AI260" i="1"/>
  <c r="AI261" i="1"/>
  <c r="AI262" i="1"/>
  <c r="AI263" i="1"/>
  <c r="AI264" i="1"/>
  <c r="AI265" i="1"/>
  <c r="AI266" i="1"/>
  <c r="AI267" i="1"/>
  <c r="AJ267" i="1" s="1"/>
  <c r="AI268" i="1"/>
  <c r="AI269" i="1"/>
  <c r="AI270" i="1"/>
  <c r="AI271" i="1"/>
  <c r="AI272" i="1"/>
  <c r="AI273" i="1"/>
  <c r="AI274" i="1"/>
  <c r="AI275" i="1"/>
  <c r="AT275" i="1" s="1"/>
  <c r="AI276" i="1"/>
  <c r="AI277" i="1"/>
  <c r="AI278" i="1"/>
  <c r="AI279" i="1"/>
  <c r="AI280" i="1"/>
  <c r="AI281" i="1"/>
  <c r="AI282" i="1"/>
  <c r="AI283" i="1"/>
  <c r="AJ283" i="1" s="1"/>
  <c r="AI284" i="1"/>
  <c r="AI285" i="1"/>
  <c r="AI286" i="1"/>
  <c r="AI287" i="1"/>
  <c r="AI288" i="1"/>
  <c r="AI289" i="1"/>
  <c r="AI290" i="1"/>
  <c r="AI291" i="1"/>
  <c r="AJ291" i="1" s="1"/>
  <c r="AI292" i="1"/>
  <c r="AI293" i="1"/>
  <c r="AI294" i="1"/>
  <c r="AI295" i="1"/>
  <c r="AI296" i="1"/>
  <c r="AI297" i="1"/>
  <c r="AI298" i="1"/>
  <c r="AI299" i="1"/>
  <c r="AJ299" i="1" s="1"/>
  <c r="AI300" i="1"/>
  <c r="AI301" i="1"/>
  <c r="AI302" i="1"/>
  <c r="AI303" i="1"/>
  <c r="AI304" i="1"/>
  <c r="AI305" i="1"/>
  <c r="AI306" i="1"/>
  <c r="AI307" i="1"/>
  <c r="AT307" i="1" s="1"/>
  <c r="AI308" i="1"/>
  <c r="AI309" i="1"/>
  <c r="AI310" i="1"/>
  <c r="AI311" i="1"/>
  <c r="AI312" i="1"/>
  <c r="AI313" i="1"/>
  <c r="AI314" i="1"/>
  <c r="AI315" i="1"/>
  <c r="AT315" i="1" s="1"/>
  <c r="AI316" i="1"/>
  <c r="AI317" i="1"/>
  <c r="AI318" i="1"/>
  <c r="AI319" i="1"/>
  <c r="AI320" i="1"/>
  <c r="AI321" i="1"/>
  <c r="AI322" i="1"/>
  <c r="AI323" i="1"/>
  <c r="AJ323" i="1" s="1"/>
  <c r="AI324" i="1"/>
  <c r="AI325" i="1"/>
  <c r="AI326" i="1"/>
  <c r="AI327" i="1"/>
  <c r="AI328" i="1"/>
  <c r="AI329" i="1"/>
  <c r="AI330" i="1"/>
  <c r="AI331" i="1"/>
  <c r="AJ331" i="1" s="1"/>
  <c r="AI332" i="1"/>
  <c r="AI333" i="1"/>
  <c r="AI334" i="1"/>
  <c r="AI335" i="1"/>
  <c r="AI336" i="1"/>
  <c r="AI337" i="1"/>
  <c r="AI338" i="1"/>
  <c r="AI339" i="1"/>
  <c r="AT339" i="1" s="1"/>
  <c r="AI340" i="1"/>
  <c r="AI341" i="1"/>
  <c r="AI342" i="1"/>
  <c r="AI343" i="1"/>
  <c r="AI344" i="1"/>
  <c r="AI345" i="1"/>
  <c r="AI346" i="1"/>
  <c r="AI347" i="1"/>
  <c r="AJ347" i="1" s="1"/>
  <c r="AI348" i="1"/>
  <c r="AI349" i="1"/>
  <c r="AI350" i="1"/>
  <c r="AI351" i="1"/>
  <c r="AI352" i="1"/>
  <c r="AI353" i="1"/>
  <c r="AI354" i="1"/>
  <c r="AI355" i="1"/>
  <c r="AT355" i="1" s="1"/>
  <c r="AU355" i="1" s="1"/>
  <c r="AI356" i="1"/>
  <c r="AI357" i="1"/>
  <c r="AI358" i="1"/>
  <c r="AI359" i="1"/>
  <c r="AI360" i="1"/>
  <c r="AI361" i="1"/>
  <c r="AI362" i="1"/>
  <c r="AI363" i="1"/>
  <c r="AJ363" i="1" s="1"/>
  <c r="AI364" i="1"/>
  <c r="AI365" i="1"/>
  <c r="AI366" i="1"/>
  <c r="AI367" i="1"/>
  <c r="AI368" i="1"/>
  <c r="AI369" i="1"/>
  <c r="AI370" i="1"/>
  <c r="AI371" i="1"/>
  <c r="AT371" i="1" s="1"/>
  <c r="AI372" i="1"/>
  <c r="AI373" i="1"/>
  <c r="AI374" i="1"/>
  <c r="AI375" i="1"/>
  <c r="AI376" i="1"/>
  <c r="AI377" i="1"/>
  <c r="AI378" i="1"/>
  <c r="AI379" i="1"/>
  <c r="AJ379" i="1" s="1"/>
  <c r="AI380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42" i="1"/>
  <c r="AG43" i="1"/>
  <c r="AG44" i="1"/>
  <c r="AG45" i="1"/>
  <c r="AG46" i="1"/>
  <c r="AG47" i="1"/>
  <c r="AG48" i="1"/>
  <c r="AG49" i="1"/>
  <c r="AG50" i="1"/>
  <c r="AG51" i="1"/>
  <c r="BA51" i="1" s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BA75" i="1" s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BA89" i="1" s="1"/>
  <c r="AG90" i="1"/>
  <c r="AG91" i="1"/>
  <c r="AG92" i="1"/>
  <c r="AG93" i="1"/>
  <c r="AG94" i="1"/>
  <c r="AG95" i="1"/>
  <c r="AG96" i="1"/>
  <c r="AG97" i="1"/>
  <c r="BA97" i="1" s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Q115" i="1" s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BA131" i="1" s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BA147" i="1" s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BA201" i="1" s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BA251" i="1" s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BA267" i="1" s="1"/>
  <c r="AG268" i="1"/>
  <c r="AG269" i="1"/>
  <c r="AG270" i="1"/>
  <c r="AG271" i="1"/>
  <c r="AG272" i="1"/>
  <c r="AG273" i="1"/>
  <c r="BA273" i="1" s="1"/>
  <c r="AG274" i="1"/>
  <c r="AG275" i="1"/>
  <c r="AG276" i="1"/>
  <c r="AG277" i="1"/>
  <c r="AG278" i="1"/>
  <c r="AG279" i="1"/>
  <c r="AG280" i="1"/>
  <c r="AG281" i="1"/>
  <c r="BA281" i="1" s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BA315" i="1" s="1"/>
  <c r="AG316" i="1"/>
  <c r="AG317" i="1"/>
  <c r="AG318" i="1"/>
  <c r="AG319" i="1"/>
  <c r="AG320" i="1"/>
  <c r="AG321" i="1"/>
  <c r="AG322" i="1"/>
  <c r="AG323" i="1"/>
  <c r="BA323" i="1" s="1"/>
  <c r="AG324" i="1"/>
  <c r="AG325" i="1"/>
  <c r="AG326" i="1"/>
  <c r="AG327" i="1"/>
  <c r="AG328" i="1"/>
  <c r="AG329" i="1"/>
  <c r="AG330" i="1"/>
  <c r="AG331" i="1"/>
  <c r="BA331" i="1" s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BA345" i="1" s="1"/>
  <c r="AG346" i="1"/>
  <c r="AG347" i="1"/>
  <c r="AQ347" i="1" s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BA363" i="1" s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BA379" i="1" s="1"/>
  <c r="AG380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42" i="1"/>
  <c r="AE43" i="1"/>
  <c r="AE44" i="1"/>
  <c r="AE45" i="1"/>
  <c r="AE46" i="1"/>
  <c r="AE47" i="1"/>
  <c r="AE48" i="1"/>
  <c r="AE49" i="1"/>
  <c r="AN49" i="1" s="1"/>
  <c r="AO49" i="1" s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N73" i="1" s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N89" i="1" s="1"/>
  <c r="AE90" i="1"/>
  <c r="AE91" i="1"/>
  <c r="AE92" i="1"/>
  <c r="AE93" i="1"/>
  <c r="AE94" i="1"/>
  <c r="AE95" i="1"/>
  <c r="AE96" i="1"/>
  <c r="AE97" i="1"/>
  <c r="AN97" i="1" s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N113" i="1" s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N137" i="1" s="1"/>
  <c r="AO137" i="1" s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N161" i="1" s="1"/>
  <c r="AO161" i="1" s="1"/>
  <c r="AE162" i="1"/>
  <c r="AE163" i="1"/>
  <c r="AE164" i="1"/>
  <c r="AE165" i="1"/>
  <c r="AE166" i="1"/>
  <c r="AE167" i="1"/>
  <c r="AE168" i="1"/>
  <c r="AE169" i="1"/>
  <c r="AN169" i="1" s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N185" i="1" s="1"/>
  <c r="AO185" i="1" s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N209" i="1" s="1"/>
  <c r="AE210" i="1"/>
  <c r="AE211" i="1"/>
  <c r="AE212" i="1"/>
  <c r="AE213" i="1"/>
  <c r="AE214" i="1"/>
  <c r="AE215" i="1"/>
  <c r="AE216" i="1"/>
  <c r="AE217" i="1"/>
  <c r="AN217" i="1" s="1"/>
  <c r="AO217" i="1" s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N241" i="1" s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N289" i="1" s="1"/>
  <c r="AE290" i="1"/>
  <c r="AE291" i="1"/>
  <c r="AE292" i="1"/>
  <c r="AE293" i="1"/>
  <c r="AE294" i="1"/>
  <c r="AE295" i="1"/>
  <c r="AE296" i="1"/>
  <c r="AE297" i="1"/>
  <c r="AN297" i="1" s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N313" i="1" s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N344" i="1" s="1"/>
  <c r="AO344" i="1" s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P22" i="1"/>
  <c r="AS27" i="1"/>
  <c r="AP30" i="1"/>
  <c r="AM33" i="1"/>
  <c r="AS35" i="1"/>
  <c r="AS43" i="1"/>
  <c r="AP46" i="1"/>
  <c r="AM49" i="1"/>
  <c r="AS51" i="1"/>
  <c r="AM57" i="1"/>
  <c r="AS59" i="1"/>
  <c r="AP62" i="1"/>
  <c r="AM65" i="1"/>
  <c r="AS67" i="1"/>
  <c r="AP70" i="1"/>
  <c r="AM73" i="1"/>
  <c r="AS75" i="1"/>
  <c r="AP78" i="1"/>
  <c r="AM81" i="1"/>
  <c r="AS83" i="1"/>
  <c r="AP86" i="1"/>
  <c r="AM89" i="1"/>
  <c r="AS91" i="1"/>
  <c r="AP94" i="1"/>
  <c r="AM97" i="1"/>
  <c r="AS99" i="1"/>
  <c r="AP102" i="1"/>
  <c r="AM105" i="1"/>
  <c r="AS107" i="1"/>
  <c r="AP110" i="1"/>
  <c r="AM113" i="1"/>
  <c r="AS115" i="1"/>
  <c r="AP118" i="1"/>
  <c r="AQ118" i="1" s="1"/>
  <c r="AR118" i="1" s="1"/>
  <c r="AM121" i="1"/>
  <c r="AS123" i="1"/>
  <c r="AP126" i="1"/>
  <c r="AQ126" i="1" s="1"/>
  <c r="AR126" i="1" s="1"/>
  <c r="AM129" i="1"/>
  <c r="AS131" i="1"/>
  <c r="AM137" i="1"/>
  <c r="AS139" i="1"/>
  <c r="AP142" i="1"/>
  <c r="AQ142" i="1" s="1"/>
  <c r="AR142" i="1" s="1"/>
  <c r="AM145" i="1"/>
  <c r="AP150" i="1"/>
  <c r="AM153" i="1"/>
  <c r="AS155" i="1"/>
  <c r="AP158" i="1"/>
  <c r="AQ158" i="1" s="1"/>
  <c r="AR158" i="1" s="1"/>
  <c r="AM161" i="1"/>
  <c r="AS163" i="1"/>
  <c r="AM169" i="1"/>
  <c r="AS171" i="1"/>
  <c r="AP174" i="1"/>
  <c r="AM177" i="1"/>
  <c r="AS179" i="1"/>
  <c r="AP182" i="1"/>
  <c r="AM185" i="1"/>
  <c r="AS187" i="1"/>
  <c r="AP190" i="1"/>
  <c r="AM193" i="1"/>
  <c r="AS195" i="1"/>
  <c r="AP198" i="1"/>
  <c r="AP206" i="1"/>
  <c r="AM209" i="1"/>
  <c r="AP214" i="1"/>
  <c r="AM217" i="1"/>
  <c r="AS219" i="1"/>
  <c r="AM225" i="1"/>
  <c r="AP230" i="1"/>
  <c r="AM233" i="1"/>
  <c r="AS235" i="1"/>
  <c r="AP238" i="1"/>
  <c r="AM241" i="1"/>
  <c r="AS243" i="1"/>
  <c r="AP246" i="1"/>
  <c r="AM249" i="1"/>
  <c r="AS251" i="1"/>
  <c r="AP254" i="1"/>
  <c r="AM257" i="1"/>
  <c r="AS259" i="1"/>
  <c r="AP262" i="1"/>
  <c r="AM265" i="1"/>
  <c r="AP270" i="1"/>
  <c r="AS275" i="1"/>
  <c r="AP278" i="1"/>
  <c r="AM281" i="1"/>
  <c r="AS283" i="1"/>
  <c r="AP286" i="1"/>
  <c r="AM289" i="1"/>
  <c r="AP294" i="1"/>
  <c r="AM297" i="1"/>
  <c r="AS299" i="1"/>
  <c r="AP302" i="1"/>
  <c r="AQ302" i="1" s="1"/>
  <c r="AR302" i="1" s="1"/>
  <c r="AM305" i="1"/>
  <c r="AS307" i="1"/>
  <c r="AP310" i="1"/>
  <c r="AM313" i="1"/>
  <c r="AS315" i="1"/>
  <c r="AP318" i="1"/>
  <c r="AQ318" i="1" s="1"/>
  <c r="AR318" i="1" s="1"/>
  <c r="AM321" i="1"/>
  <c r="AS323" i="1"/>
  <c r="AP326" i="1"/>
  <c r="AQ326" i="1" s="1"/>
  <c r="AR326" i="1" s="1"/>
  <c r="AM329" i="1"/>
  <c r="AS331" i="1"/>
  <c r="AP334" i="1"/>
  <c r="BD334" i="1" s="1"/>
  <c r="AM337" i="1"/>
  <c r="BB337" i="1" s="1"/>
  <c r="AS339" i="1"/>
  <c r="AP342" i="1"/>
  <c r="BD342" i="1" s="1"/>
  <c r="AM345" i="1"/>
  <c r="BB345" i="1" s="1"/>
  <c r="AS347" i="1"/>
  <c r="AM353" i="1"/>
  <c r="BB353" i="1" s="1"/>
  <c r="AS355" i="1"/>
  <c r="AM361" i="1"/>
  <c r="BB361" i="1" s="1"/>
  <c r="AS363" i="1"/>
  <c r="AP366" i="1"/>
  <c r="BD366" i="1" s="1"/>
  <c r="AM369" i="1"/>
  <c r="BB369" i="1" s="1"/>
  <c r="AS371" i="1"/>
  <c r="AP374" i="1"/>
  <c r="AM377" i="1"/>
  <c r="BB377" i="1" s="1"/>
  <c r="AS379" i="1"/>
  <c r="V25" i="1"/>
  <c r="V27" i="1"/>
  <c r="AV27" i="1" s="1"/>
  <c r="V33" i="1"/>
  <c r="V35" i="1"/>
  <c r="AV35" i="1" s="1"/>
  <c r="V41" i="1"/>
  <c r="V43" i="1"/>
  <c r="AV43" i="1" s="1"/>
  <c r="V49" i="1"/>
  <c r="V50" i="1"/>
  <c r="V57" i="1"/>
  <c r="AV57" i="1" s="1"/>
  <c r="V58" i="1"/>
  <c r="AV58" i="1" s="1"/>
  <c r="V65" i="1"/>
  <c r="V66" i="1"/>
  <c r="V67" i="1"/>
  <c r="V73" i="1"/>
  <c r="V74" i="1"/>
  <c r="V75" i="1"/>
  <c r="V81" i="1"/>
  <c r="V82" i="1"/>
  <c r="V83" i="1"/>
  <c r="V89" i="1"/>
  <c r="V90" i="1"/>
  <c r="V91" i="1"/>
  <c r="AV91" i="1" s="1"/>
  <c r="V97" i="1"/>
  <c r="AV97" i="1" s="1"/>
  <c r="V98" i="1"/>
  <c r="V99" i="1"/>
  <c r="V106" i="1"/>
  <c r="V107" i="1"/>
  <c r="AV107" i="1" s="1"/>
  <c r="V113" i="1"/>
  <c r="V114" i="1"/>
  <c r="V115" i="1"/>
  <c r="AV115" i="1" s="1"/>
  <c r="V121" i="1"/>
  <c r="V122" i="1"/>
  <c r="V123" i="1"/>
  <c r="V130" i="1"/>
  <c r="V131" i="1"/>
  <c r="AV131" i="1" s="1"/>
  <c r="V137" i="1"/>
  <c r="V138" i="1"/>
  <c r="V139" i="1"/>
  <c r="V146" i="1"/>
  <c r="V147" i="1"/>
  <c r="V154" i="1"/>
  <c r="AV154" i="1" s="1"/>
  <c r="V155" i="1"/>
  <c r="V161" i="1"/>
  <c r="V162" i="1"/>
  <c r="AV162" i="1" s="1"/>
  <c r="V163" i="1"/>
  <c r="V171" i="1"/>
  <c r="V177" i="1"/>
  <c r="V179" i="1"/>
  <c r="V185" i="1"/>
  <c r="V187" i="1"/>
  <c r="V193" i="1"/>
  <c r="V195" i="1"/>
  <c r="V201" i="1"/>
  <c r="V203" i="1"/>
  <c r="V209" i="1"/>
  <c r="V210" i="1"/>
  <c r="AV210" i="1" s="1"/>
  <c r="V217" i="1"/>
  <c r="V218" i="1"/>
  <c r="V219" i="1"/>
  <c r="V225" i="1"/>
  <c r="V226" i="1"/>
  <c r="AV226" i="1" s="1"/>
  <c r="V227" i="1"/>
  <c r="V233" i="1"/>
  <c r="AV233" i="1" s="1"/>
  <c r="V234" i="1"/>
  <c r="AV234" i="1" s="1"/>
  <c r="V235" i="1"/>
  <c r="V242" i="1"/>
  <c r="V243" i="1"/>
  <c r="V249" i="1"/>
  <c r="V250" i="1"/>
  <c r="V251" i="1"/>
  <c r="AV251" i="1" s="1"/>
  <c r="V257" i="1"/>
  <c r="AV257" i="1" s="1"/>
  <c r="V258" i="1"/>
  <c r="V259" i="1"/>
  <c r="AV259" i="1" s="1"/>
  <c r="V265" i="1"/>
  <c r="AV265" i="1" s="1"/>
  <c r="V266" i="1"/>
  <c r="V267" i="1"/>
  <c r="AV267" i="1" s="1"/>
  <c r="V273" i="1"/>
  <c r="AV273" i="1" s="1"/>
  <c r="V274" i="1"/>
  <c r="V275" i="1"/>
  <c r="AV275" i="1" s="1"/>
  <c r="V281" i="1"/>
  <c r="V282" i="1"/>
  <c r="V283" i="1"/>
  <c r="AV283" i="1" s="1"/>
  <c r="V289" i="1"/>
  <c r="V290" i="1"/>
  <c r="AV290" i="1" s="1"/>
  <c r="V291" i="1"/>
  <c r="V297" i="1"/>
  <c r="AV297" i="1" s="1"/>
  <c r="V298" i="1"/>
  <c r="V305" i="1"/>
  <c r="V306" i="1"/>
  <c r="AV306" i="1" s="1"/>
  <c r="V313" i="1"/>
  <c r="V314" i="1"/>
  <c r="V321" i="1"/>
  <c r="V322" i="1"/>
  <c r="AV322" i="1" s="1"/>
  <c r="V329" i="1"/>
  <c r="V330" i="1"/>
  <c r="AV330" i="1" s="1"/>
  <c r="V337" i="1"/>
  <c r="AV337" i="1" s="1"/>
  <c r="V338" i="1"/>
  <c r="AV338" i="1" s="1"/>
  <c r="V345" i="1"/>
  <c r="AV345" i="1" s="1"/>
  <c r="V346" i="1"/>
  <c r="AV346" i="1" s="1"/>
  <c r="V347" i="1"/>
  <c r="AV347" i="1" s="1"/>
  <c r="V353" i="1"/>
  <c r="V354" i="1"/>
  <c r="AV354" i="1" s="1"/>
  <c r="V355" i="1"/>
  <c r="AV355" i="1" s="1"/>
  <c r="V362" i="1"/>
  <c r="AV362" i="1" s="1"/>
  <c r="V363" i="1"/>
  <c r="V369" i="1"/>
  <c r="AV369" i="1" s="1"/>
  <c r="V370" i="1"/>
  <c r="AV370" i="1" s="1"/>
  <c r="V371" i="1"/>
  <c r="V379" i="1"/>
  <c r="AV379" i="1" s="1"/>
  <c r="AK25" i="1"/>
  <c r="AL25" i="1" s="1"/>
  <c r="AK33" i="1"/>
  <c r="AK41" i="1"/>
  <c r="AK49" i="1"/>
  <c r="AK57" i="1"/>
  <c r="AK65" i="1"/>
  <c r="AK73" i="1"/>
  <c r="AK89" i="1"/>
  <c r="AL89" i="1" s="1"/>
  <c r="AK97" i="1"/>
  <c r="AL97" i="1" s="1"/>
  <c r="AK105" i="1"/>
  <c r="AL105" i="1" s="1"/>
  <c r="AK113" i="1"/>
  <c r="AL113" i="1" s="1"/>
  <c r="AK129" i="1"/>
  <c r="AK137" i="1"/>
  <c r="AK145" i="1"/>
  <c r="AK153" i="1"/>
  <c r="AL153" i="1" s="1"/>
  <c r="AK161" i="1"/>
  <c r="AL161" i="1" s="1"/>
  <c r="AK169" i="1"/>
  <c r="AL169" i="1" s="1"/>
  <c r="AK177" i="1"/>
  <c r="AK185" i="1"/>
  <c r="AL185" i="1" s="1"/>
  <c r="AK193" i="1"/>
  <c r="AL193" i="1" s="1"/>
  <c r="AK201" i="1"/>
  <c r="AK209" i="1"/>
  <c r="AK217" i="1"/>
  <c r="AK225" i="1"/>
  <c r="AL225" i="1" s="1"/>
  <c r="AK233" i="1"/>
  <c r="AK249" i="1"/>
  <c r="AL249" i="1" s="1"/>
  <c r="AK257" i="1"/>
  <c r="AL257" i="1" s="1"/>
  <c r="AK265" i="1"/>
  <c r="AK273" i="1"/>
  <c r="AK281" i="1"/>
  <c r="AK289" i="1"/>
  <c r="AL289" i="1" s="1"/>
  <c r="AK305" i="1"/>
  <c r="AL305" i="1" s="1"/>
  <c r="AK313" i="1"/>
  <c r="AL313" i="1" s="1"/>
  <c r="AK321" i="1"/>
  <c r="AL321" i="1" s="1"/>
  <c r="AK329" i="1"/>
  <c r="AL329" i="1" s="1"/>
  <c r="AK337" i="1"/>
  <c r="AK345" i="1"/>
  <c r="AK353" i="1"/>
  <c r="AK361" i="1"/>
  <c r="AL361" i="1" s="1"/>
  <c r="AK369" i="1"/>
  <c r="AL369" i="1" s="1"/>
  <c r="AK377" i="1"/>
  <c r="AL377" i="1" s="1"/>
  <c r="V20" i="1"/>
  <c r="AJ20" i="1"/>
  <c r="AK20" i="1"/>
  <c r="AL20" i="1" s="1"/>
  <c r="V21" i="1"/>
  <c r="AJ21" i="1"/>
  <c r="AK21" i="1"/>
  <c r="AL21" i="1" s="1"/>
  <c r="V22" i="1"/>
  <c r="AJ22" i="1"/>
  <c r="AK22" i="1"/>
  <c r="AL22" i="1" s="1"/>
  <c r="V23" i="1"/>
  <c r="AJ23" i="1"/>
  <c r="AK23" i="1"/>
  <c r="AL23" i="1" s="1"/>
  <c r="V24" i="1"/>
  <c r="AJ24" i="1"/>
  <c r="AK24" i="1"/>
  <c r="AL24" i="1" s="1"/>
  <c r="AJ25" i="1"/>
  <c r="V26" i="1"/>
  <c r="AK26" i="1"/>
  <c r="AL26" i="1" s="1"/>
  <c r="AJ27" i="1"/>
  <c r="AK27" i="1"/>
  <c r="AL27" i="1" s="1"/>
  <c r="V28" i="1"/>
  <c r="AJ28" i="1"/>
  <c r="AK28" i="1"/>
  <c r="AL28" i="1" s="1"/>
  <c r="V29" i="1"/>
  <c r="AJ29" i="1"/>
  <c r="AK29" i="1"/>
  <c r="AL29" i="1" s="1"/>
  <c r="V30" i="1"/>
  <c r="AJ30" i="1"/>
  <c r="AK30" i="1"/>
  <c r="AL30" i="1" s="1"/>
  <c r="V31" i="1"/>
  <c r="AJ31" i="1"/>
  <c r="AK31" i="1"/>
  <c r="AL31" i="1" s="1"/>
  <c r="V32" i="1"/>
  <c r="AJ32" i="1"/>
  <c r="AK32" i="1"/>
  <c r="AL32" i="1" s="1"/>
  <c r="AJ33" i="1"/>
  <c r="V34" i="1"/>
  <c r="AV34" i="1" s="1"/>
  <c r="AK34" i="1"/>
  <c r="AL34" i="1" s="1"/>
  <c r="AK35" i="1"/>
  <c r="AL35" i="1" s="1"/>
  <c r="V36" i="1"/>
  <c r="AJ36" i="1"/>
  <c r="AK36" i="1"/>
  <c r="AL36" i="1" s="1"/>
  <c r="V37" i="1"/>
  <c r="AK37" i="1"/>
  <c r="AL37" i="1" s="1"/>
  <c r="V38" i="1"/>
  <c r="AK38" i="1"/>
  <c r="AL38" i="1" s="1"/>
  <c r="V39" i="1"/>
  <c r="AK39" i="1"/>
  <c r="AL39" i="1" s="1"/>
  <c r="V40" i="1"/>
  <c r="AK40" i="1"/>
  <c r="AL40" i="1" s="1"/>
  <c r="V42" i="1"/>
  <c r="AJ42" i="1"/>
  <c r="AK42" i="1"/>
  <c r="AL42" i="1" s="1"/>
  <c r="AK43" i="1"/>
  <c r="AL43" i="1" s="1"/>
  <c r="V44" i="1"/>
  <c r="AJ44" i="1"/>
  <c r="AK44" i="1"/>
  <c r="AL44" i="1" s="1"/>
  <c r="V45" i="1"/>
  <c r="AJ45" i="1"/>
  <c r="AK45" i="1"/>
  <c r="AL45" i="1" s="1"/>
  <c r="V46" i="1"/>
  <c r="AJ46" i="1"/>
  <c r="AK46" i="1"/>
  <c r="AL46" i="1" s="1"/>
  <c r="V47" i="1"/>
  <c r="AJ47" i="1"/>
  <c r="AK47" i="1"/>
  <c r="AL47" i="1" s="1"/>
  <c r="V48" i="1"/>
  <c r="AV48" i="1" s="1"/>
  <c r="AJ48" i="1"/>
  <c r="AK48" i="1"/>
  <c r="AL48" i="1" s="1"/>
  <c r="AJ49" i="1"/>
  <c r="AK50" i="1"/>
  <c r="AL50" i="1" s="1"/>
  <c r="V51" i="1"/>
  <c r="AJ51" i="1"/>
  <c r="AK51" i="1"/>
  <c r="AL51" i="1" s="1"/>
  <c r="V52" i="1"/>
  <c r="AJ52" i="1"/>
  <c r="AK52" i="1"/>
  <c r="AL52" i="1" s="1"/>
  <c r="V53" i="1"/>
  <c r="AJ53" i="1"/>
  <c r="AK53" i="1"/>
  <c r="AL53" i="1" s="1"/>
  <c r="V54" i="1"/>
  <c r="AJ54" i="1"/>
  <c r="AK54" i="1"/>
  <c r="AL54" i="1" s="1"/>
  <c r="V55" i="1"/>
  <c r="AJ55" i="1"/>
  <c r="AK55" i="1"/>
  <c r="AL55" i="1" s="1"/>
  <c r="V56" i="1"/>
  <c r="AJ56" i="1"/>
  <c r="AK56" i="1"/>
  <c r="AL56" i="1" s="1"/>
  <c r="AJ57" i="1"/>
  <c r="AK58" i="1"/>
  <c r="AL58" i="1" s="1"/>
  <c r="V59" i="1"/>
  <c r="AK59" i="1"/>
  <c r="AL59" i="1" s="1"/>
  <c r="V60" i="1"/>
  <c r="AJ60" i="1"/>
  <c r="AK60" i="1"/>
  <c r="AL60" i="1" s="1"/>
  <c r="V61" i="1"/>
  <c r="AJ61" i="1"/>
  <c r="AK61" i="1"/>
  <c r="AL61" i="1" s="1"/>
  <c r="V62" i="1"/>
  <c r="AJ62" i="1"/>
  <c r="AK62" i="1"/>
  <c r="AL62" i="1" s="1"/>
  <c r="V63" i="1"/>
  <c r="AJ63" i="1"/>
  <c r="AK63" i="1"/>
  <c r="AL63" i="1" s="1"/>
  <c r="V64" i="1"/>
  <c r="AJ64" i="1"/>
  <c r="AK64" i="1"/>
  <c r="AL64" i="1" s="1"/>
  <c r="AJ65" i="1"/>
  <c r="AJ66" i="1"/>
  <c r="AK66" i="1"/>
  <c r="AL66" i="1" s="1"/>
  <c r="AK67" i="1"/>
  <c r="AL67" i="1" s="1"/>
  <c r="V68" i="1"/>
  <c r="AJ68" i="1"/>
  <c r="AK68" i="1"/>
  <c r="AL68" i="1" s="1"/>
  <c r="V69" i="1"/>
  <c r="AJ69" i="1"/>
  <c r="AK69" i="1"/>
  <c r="AL69" i="1" s="1"/>
  <c r="V70" i="1"/>
  <c r="AJ70" i="1"/>
  <c r="AK70" i="1"/>
  <c r="AL70" i="1" s="1"/>
  <c r="V71" i="1"/>
  <c r="AJ71" i="1"/>
  <c r="AK71" i="1"/>
  <c r="AL71" i="1" s="1"/>
  <c r="V72" i="1"/>
  <c r="AJ72" i="1"/>
  <c r="AK72" i="1"/>
  <c r="AL72" i="1" s="1"/>
  <c r="AJ73" i="1"/>
  <c r="AK74" i="1"/>
  <c r="AL74" i="1" s="1"/>
  <c r="AK75" i="1"/>
  <c r="AL75" i="1" s="1"/>
  <c r="V76" i="1"/>
  <c r="AJ76" i="1"/>
  <c r="AK76" i="1"/>
  <c r="AL76" i="1" s="1"/>
  <c r="V77" i="1"/>
  <c r="AJ77" i="1"/>
  <c r="AK77" i="1"/>
  <c r="AL77" i="1" s="1"/>
  <c r="V78" i="1"/>
  <c r="AV78" i="1" s="1"/>
  <c r="AJ78" i="1"/>
  <c r="AK78" i="1"/>
  <c r="AL78" i="1" s="1"/>
  <c r="V79" i="1"/>
  <c r="AJ79" i="1"/>
  <c r="AK79" i="1"/>
  <c r="AL79" i="1" s="1"/>
  <c r="V80" i="1"/>
  <c r="AV80" i="1" s="1"/>
  <c r="AJ80" i="1"/>
  <c r="AK80" i="1"/>
  <c r="AL80" i="1" s="1"/>
  <c r="AJ81" i="1"/>
  <c r="AK81" i="1"/>
  <c r="AL81" i="1" s="1"/>
  <c r="AJ82" i="1"/>
  <c r="AK82" i="1"/>
  <c r="AL82" i="1" s="1"/>
  <c r="AK83" i="1"/>
  <c r="AL83" i="1" s="1"/>
  <c r="V84" i="1"/>
  <c r="AJ84" i="1"/>
  <c r="AK84" i="1"/>
  <c r="AL84" i="1" s="1"/>
  <c r="V85" i="1"/>
  <c r="AJ85" i="1"/>
  <c r="AK85" i="1"/>
  <c r="AL85" i="1" s="1"/>
  <c r="V86" i="1"/>
  <c r="AJ86" i="1"/>
  <c r="AK86" i="1"/>
  <c r="AL86" i="1" s="1"/>
  <c r="V87" i="1"/>
  <c r="AJ87" i="1"/>
  <c r="AK87" i="1"/>
  <c r="AL87" i="1" s="1"/>
  <c r="V88" i="1"/>
  <c r="AJ88" i="1"/>
  <c r="AK88" i="1"/>
  <c r="AL88" i="1" s="1"/>
  <c r="AJ89" i="1"/>
  <c r="AJ90" i="1"/>
  <c r="AK90" i="1"/>
  <c r="AL90" i="1" s="1"/>
  <c r="AK91" i="1"/>
  <c r="AL91" i="1" s="1"/>
  <c r="V92" i="1"/>
  <c r="AJ92" i="1"/>
  <c r="AK92" i="1"/>
  <c r="AL92" i="1" s="1"/>
  <c r="V93" i="1"/>
  <c r="AJ93" i="1"/>
  <c r="AK93" i="1"/>
  <c r="AL93" i="1" s="1"/>
  <c r="V94" i="1"/>
  <c r="AJ94" i="1"/>
  <c r="AK94" i="1"/>
  <c r="AL94" i="1" s="1"/>
  <c r="V95" i="1"/>
  <c r="AJ95" i="1"/>
  <c r="AK95" i="1"/>
  <c r="AL95" i="1" s="1"/>
  <c r="V96" i="1"/>
  <c r="AJ96" i="1"/>
  <c r="AK96" i="1"/>
  <c r="AL96" i="1" s="1"/>
  <c r="AJ97" i="1"/>
  <c r="AJ98" i="1"/>
  <c r="AK98" i="1"/>
  <c r="AL98" i="1" s="1"/>
  <c r="AK99" i="1"/>
  <c r="AL99" i="1" s="1"/>
  <c r="V100" i="1"/>
  <c r="AJ100" i="1"/>
  <c r="AK100" i="1"/>
  <c r="AL100" i="1" s="1"/>
  <c r="V101" i="1"/>
  <c r="AJ101" i="1"/>
  <c r="AK101" i="1"/>
  <c r="AL101" i="1" s="1"/>
  <c r="V102" i="1"/>
  <c r="AJ102" i="1"/>
  <c r="AK102" i="1"/>
  <c r="AL102" i="1" s="1"/>
  <c r="V103" i="1"/>
  <c r="AJ103" i="1"/>
  <c r="AK103" i="1"/>
  <c r="AL103" i="1" s="1"/>
  <c r="V104" i="1"/>
  <c r="AJ104" i="1"/>
  <c r="AK104" i="1"/>
  <c r="AL104" i="1" s="1"/>
  <c r="V105" i="1"/>
  <c r="AJ105" i="1"/>
  <c r="AJ106" i="1"/>
  <c r="AK106" i="1"/>
  <c r="AL106" i="1" s="1"/>
  <c r="AK107" i="1"/>
  <c r="AL107" i="1" s="1"/>
  <c r="V108" i="1"/>
  <c r="AV108" i="1" s="1"/>
  <c r="AJ108" i="1"/>
  <c r="AK108" i="1"/>
  <c r="AL108" i="1" s="1"/>
  <c r="V109" i="1"/>
  <c r="AJ109" i="1"/>
  <c r="AK109" i="1"/>
  <c r="AL109" i="1" s="1"/>
  <c r="V110" i="1"/>
  <c r="AJ110" i="1"/>
  <c r="AK110" i="1"/>
  <c r="AL110" i="1" s="1"/>
  <c r="V111" i="1"/>
  <c r="AJ111" i="1"/>
  <c r="AK111" i="1"/>
  <c r="AL111" i="1" s="1"/>
  <c r="V112" i="1"/>
  <c r="AJ112" i="1"/>
  <c r="AK112" i="1"/>
  <c r="AL112" i="1" s="1"/>
  <c r="AJ113" i="1"/>
  <c r="AJ114" i="1"/>
  <c r="AK114" i="1"/>
  <c r="AL114" i="1" s="1"/>
  <c r="AK115" i="1"/>
  <c r="AL115" i="1" s="1"/>
  <c r="V116" i="1"/>
  <c r="AV116" i="1" s="1"/>
  <c r="AJ116" i="1"/>
  <c r="AK116" i="1"/>
  <c r="AL116" i="1" s="1"/>
  <c r="V117" i="1"/>
  <c r="AJ117" i="1"/>
  <c r="AK117" i="1"/>
  <c r="AL117" i="1" s="1"/>
  <c r="V118" i="1"/>
  <c r="AJ118" i="1"/>
  <c r="AK118" i="1"/>
  <c r="AL118" i="1" s="1"/>
  <c r="V119" i="1"/>
  <c r="AJ119" i="1"/>
  <c r="AK119" i="1"/>
  <c r="AL119" i="1" s="1"/>
  <c r="V120" i="1"/>
  <c r="AJ120" i="1"/>
  <c r="AK120" i="1"/>
  <c r="AL120" i="1" s="1"/>
  <c r="AJ121" i="1"/>
  <c r="AK121" i="1"/>
  <c r="AL121" i="1" s="1"/>
  <c r="AJ122" i="1"/>
  <c r="AK122" i="1"/>
  <c r="AL122" i="1" s="1"/>
  <c r="AK123" i="1"/>
  <c r="AL123" i="1" s="1"/>
  <c r="V124" i="1"/>
  <c r="AJ124" i="1"/>
  <c r="AK124" i="1"/>
  <c r="AL124" i="1" s="1"/>
  <c r="V125" i="1"/>
  <c r="AJ125" i="1"/>
  <c r="AK125" i="1"/>
  <c r="AL125" i="1" s="1"/>
  <c r="V126" i="1"/>
  <c r="AJ126" i="1"/>
  <c r="AK126" i="1"/>
  <c r="AL126" i="1" s="1"/>
  <c r="V127" i="1"/>
  <c r="AJ127" i="1"/>
  <c r="AK127" i="1"/>
  <c r="AL127" i="1" s="1"/>
  <c r="V128" i="1"/>
  <c r="AJ128" i="1"/>
  <c r="AK128" i="1"/>
  <c r="AL128" i="1" s="1"/>
  <c r="V129" i="1"/>
  <c r="AJ129" i="1"/>
  <c r="AJ130" i="1"/>
  <c r="AK130" i="1"/>
  <c r="AL130" i="1" s="1"/>
  <c r="AK131" i="1"/>
  <c r="AL131" i="1"/>
  <c r="V132" i="1"/>
  <c r="AJ132" i="1"/>
  <c r="AK132" i="1"/>
  <c r="AL132" i="1" s="1"/>
  <c r="V133" i="1"/>
  <c r="AJ133" i="1"/>
  <c r="AK133" i="1"/>
  <c r="AL133" i="1" s="1"/>
  <c r="V134" i="1"/>
  <c r="AJ134" i="1"/>
  <c r="AK134" i="1"/>
  <c r="AL134" i="1" s="1"/>
  <c r="V135" i="1"/>
  <c r="AJ135" i="1"/>
  <c r="AK135" i="1"/>
  <c r="AL135" i="1" s="1"/>
  <c r="V136" i="1"/>
  <c r="AJ136" i="1"/>
  <c r="AK136" i="1"/>
  <c r="AL136" i="1" s="1"/>
  <c r="AJ137" i="1"/>
  <c r="AJ138" i="1"/>
  <c r="AK138" i="1"/>
  <c r="AL138" i="1" s="1"/>
  <c r="AJ139" i="1"/>
  <c r="AK139" i="1"/>
  <c r="AL139" i="1" s="1"/>
  <c r="V140" i="1"/>
  <c r="AJ140" i="1"/>
  <c r="AK140" i="1"/>
  <c r="AL140" i="1" s="1"/>
  <c r="V141" i="1"/>
  <c r="AJ141" i="1"/>
  <c r="AK141" i="1"/>
  <c r="AL141" i="1" s="1"/>
  <c r="V142" i="1"/>
  <c r="AJ142" i="1"/>
  <c r="AK142" i="1"/>
  <c r="AL142" i="1" s="1"/>
  <c r="V143" i="1"/>
  <c r="AJ143" i="1"/>
  <c r="AK143" i="1"/>
  <c r="AL143" i="1" s="1"/>
  <c r="V144" i="1"/>
  <c r="AJ144" i="1"/>
  <c r="AK144" i="1"/>
  <c r="AL144" i="1" s="1"/>
  <c r="V145" i="1"/>
  <c r="AJ145" i="1"/>
  <c r="AJ146" i="1"/>
  <c r="AK146" i="1"/>
  <c r="AL146" i="1" s="1"/>
  <c r="AK147" i="1"/>
  <c r="AL147" i="1" s="1"/>
  <c r="V148" i="1"/>
  <c r="AJ148" i="1"/>
  <c r="AK148" i="1"/>
  <c r="AL148" i="1" s="1"/>
  <c r="V149" i="1"/>
  <c r="AJ149" i="1"/>
  <c r="AK149" i="1"/>
  <c r="AL149" i="1" s="1"/>
  <c r="V150" i="1"/>
  <c r="AJ150" i="1"/>
  <c r="AK150" i="1"/>
  <c r="AL150" i="1" s="1"/>
  <c r="V151" i="1"/>
  <c r="AJ151" i="1"/>
  <c r="AK151" i="1"/>
  <c r="AL151" i="1" s="1"/>
  <c r="V152" i="1"/>
  <c r="AJ152" i="1"/>
  <c r="AK152" i="1"/>
  <c r="AL152" i="1" s="1"/>
  <c r="V153" i="1"/>
  <c r="AV153" i="1" s="1"/>
  <c r="AJ153" i="1"/>
  <c r="AJ154" i="1"/>
  <c r="AK154" i="1"/>
  <c r="AL154" i="1" s="1"/>
  <c r="AK155" i="1"/>
  <c r="AL155" i="1" s="1"/>
  <c r="V156" i="1"/>
  <c r="AJ156" i="1"/>
  <c r="AK156" i="1"/>
  <c r="AL156" i="1" s="1"/>
  <c r="V157" i="1"/>
  <c r="AJ157" i="1"/>
  <c r="AK157" i="1"/>
  <c r="AL157" i="1" s="1"/>
  <c r="V158" i="1"/>
  <c r="AJ158" i="1"/>
  <c r="AK158" i="1"/>
  <c r="AL158" i="1" s="1"/>
  <c r="V159" i="1"/>
  <c r="AJ159" i="1"/>
  <c r="AK159" i="1"/>
  <c r="AL159" i="1" s="1"/>
  <c r="V160" i="1"/>
  <c r="AV160" i="1" s="1"/>
  <c r="AJ160" i="1"/>
  <c r="AK160" i="1"/>
  <c r="AL160" i="1" s="1"/>
  <c r="AJ161" i="1"/>
  <c r="AJ162" i="1"/>
  <c r="AK162" i="1"/>
  <c r="AL162" i="1" s="1"/>
  <c r="AK163" i="1"/>
  <c r="AL163" i="1" s="1"/>
  <c r="V164" i="1"/>
  <c r="AJ164" i="1"/>
  <c r="AK164" i="1"/>
  <c r="AL164" i="1" s="1"/>
  <c r="V165" i="1"/>
  <c r="AJ165" i="1"/>
  <c r="AK165" i="1"/>
  <c r="AL165" i="1" s="1"/>
  <c r="V166" i="1"/>
  <c r="AJ166" i="1"/>
  <c r="AK166" i="1"/>
  <c r="AL166" i="1" s="1"/>
  <c r="V167" i="1"/>
  <c r="AJ167" i="1"/>
  <c r="AK167" i="1"/>
  <c r="AL167" i="1" s="1"/>
  <c r="V168" i="1"/>
  <c r="AJ168" i="1"/>
  <c r="AK168" i="1"/>
  <c r="AL168" i="1" s="1"/>
  <c r="V169" i="1"/>
  <c r="AJ169" i="1"/>
  <c r="V170" i="1"/>
  <c r="AV170" i="1" s="1"/>
  <c r="AJ170" i="1"/>
  <c r="AK170" i="1"/>
  <c r="AL170" i="1" s="1"/>
  <c r="AK171" i="1"/>
  <c r="AL171" i="1" s="1"/>
  <c r="V172" i="1"/>
  <c r="AV172" i="1" s="1"/>
  <c r="AJ172" i="1"/>
  <c r="AK172" i="1"/>
  <c r="AL172" i="1" s="1"/>
  <c r="V173" i="1"/>
  <c r="AJ173" i="1"/>
  <c r="AK173" i="1"/>
  <c r="AL173" i="1" s="1"/>
  <c r="V174" i="1"/>
  <c r="AJ174" i="1"/>
  <c r="AK174" i="1"/>
  <c r="AL174" i="1" s="1"/>
  <c r="V175" i="1"/>
  <c r="AJ175" i="1"/>
  <c r="AK175" i="1"/>
  <c r="AL175" i="1" s="1"/>
  <c r="V176" i="1"/>
  <c r="AJ176" i="1"/>
  <c r="AK176" i="1"/>
  <c r="AL176" i="1" s="1"/>
  <c r="AJ177" i="1"/>
  <c r="V178" i="1"/>
  <c r="AJ178" i="1"/>
  <c r="AK178" i="1"/>
  <c r="AL178" i="1" s="1"/>
  <c r="AK179" i="1"/>
  <c r="AL179" i="1" s="1"/>
  <c r="V180" i="1"/>
  <c r="AJ180" i="1"/>
  <c r="AK180" i="1"/>
  <c r="AL180" i="1" s="1"/>
  <c r="V181" i="1"/>
  <c r="AV181" i="1" s="1"/>
  <c r="AJ181" i="1"/>
  <c r="AK181" i="1"/>
  <c r="AL181" i="1" s="1"/>
  <c r="V182" i="1"/>
  <c r="AJ182" i="1"/>
  <c r="AK182" i="1"/>
  <c r="AL182" i="1" s="1"/>
  <c r="V183" i="1"/>
  <c r="AV183" i="1" s="1"/>
  <c r="AJ183" i="1"/>
  <c r="AK183" i="1"/>
  <c r="AL183" i="1" s="1"/>
  <c r="V184" i="1"/>
  <c r="AJ184" i="1"/>
  <c r="AK184" i="1"/>
  <c r="AL184" i="1" s="1"/>
  <c r="AJ185" i="1"/>
  <c r="V186" i="1"/>
  <c r="AJ186" i="1"/>
  <c r="AK186" i="1"/>
  <c r="AL186" i="1" s="1"/>
  <c r="AJ187" i="1"/>
  <c r="AK187" i="1"/>
  <c r="AL187" i="1" s="1"/>
  <c r="V188" i="1"/>
  <c r="AJ188" i="1"/>
  <c r="AK188" i="1"/>
  <c r="AL188" i="1" s="1"/>
  <c r="V189" i="1"/>
  <c r="AJ189" i="1"/>
  <c r="AK189" i="1"/>
  <c r="AL189" i="1" s="1"/>
  <c r="V190" i="1"/>
  <c r="AJ190" i="1"/>
  <c r="AK190" i="1"/>
  <c r="AL190" i="1" s="1"/>
  <c r="V191" i="1"/>
  <c r="AJ191" i="1"/>
  <c r="AK191" i="1"/>
  <c r="AL191" i="1" s="1"/>
  <c r="V192" i="1"/>
  <c r="AJ192" i="1"/>
  <c r="AK192" i="1"/>
  <c r="AL192" i="1" s="1"/>
  <c r="AJ193" i="1"/>
  <c r="V194" i="1"/>
  <c r="AJ194" i="1"/>
  <c r="AK194" i="1"/>
  <c r="AL194" i="1" s="1"/>
  <c r="AK195" i="1"/>
  <c r="AL195" i="1" s="1"/>
  <c r="V196" i="1"/>
  <c r="AJ196" i="1"/>
  <c r="AK196" i="1"/>
  <c r="AL196" i="1" s="1"/>
  <c r="V197" i="1"/>
  <c r="AJ197" i="1"/>
  <c r="AK197" i="1"/>
  <c r="AL197" i="1" s="1"/>
  <c r="V198" i="1"/>
  <c r="AJ198" i="1"/>
  <c r="AK198" i="1"/>
  <c r="AL198" i="1" s="1"/>
  <c r="V199" i="1"/>
  <c r="AJ199" i="1"/>
  <c r="AK199" i="1"/>
  <c r="AL199" i="1" s="1"/>
  <c r="V200" i="1"/>
  <c r="AJ200" i="1"/>
  <c r="AK200" i="1"/>
  <c r="AL200" i="1" s="1"/>
  <c r="AJ201" i="1"/>
  <c r="V202" i="1"/>
  <c r="AV202" i="1" s="1"/>
  <c r="AJ202" i="1"/>
  <c r="AK202" i="1"/>
  <c r="AL202" i="1" s="1"/>
  <c r="AK203" i="1"/>
  <c r="AL203" i="1" s="1"/>
  <c r="V204" i="1"/>
  <c r="AJ204" i="1"/>
  <c r="AK204" i="1"/>
  <c r="AL204" i="1" s="1"/>
  <c r="V205" i="1"/>
  <c r="AJ205" i="1"/>
  <c r="AK205" i="1"/>
  <c r="AL205" i="1" s="1"/>
  <c r="V206" i="1"/>
  <c r="AJ206" i="1"/>
  <c r="AK206" i="1"/>
  <c r="AL206" i="1" s="1"/>
  <c r="V207" i="1"/>
  <c r="AJ207" i="1"/>
  <c r="AK207" i="1"/>
  <c r="AL207" i="1" s="1"/>
  <c r="V208" i="1"/>
  <c r="AV208" i="1" s="1"/>
  <c r="AJ208" i="1"/>
  <c r="AK208" i="1"/>
  <c r="AL208" i="1" s="1"/>
  <c r="AJ209" i="1"/>
  <c r="AJ210" i="1"/>
  <c r="AK210" i="1"/>
  <c r="AL210" i="1" s="1"/>
  <c r="V211" i="1"/>
  <c r="AJ211" i="1"/>
  <c r="AK211" i="1"/>
  <c r="AL211" i="1" s="1"/>
  <c r="V212" i="1"/>
  <c r="AJ212" i="1"/>
  <c r="AK212" i="1"/>
  <c r="AL212" i="1" s="1"/>
  <c r="V213" i="1"/>
  <c r="AJ213" i="1"/>
  <c r="AK213" i="1"/>
  <c r="AL213" i="1" s="1"/>
  <c r="V214" i="1"/>
  <c r="AJ214" i="1"/>
  <c r="AK214" i="1"/>
  <c r="AL214" i="1" s="1"/>
  <c r="V215" i="1"/>
  <c r="AJ215" i="1"/>
  <c r="AK215" i="1"/>
  <c r="AL215" i="1" s="1"/>
  <c r="V216" i="1"/>
  <c r="AJ216" i="1"/>
  <c r="AK216" i="1"/>
  <c r="AL216" i="1" s="1"/>
  <c r="AJ217" i="1"/>
  <c r="AJ218" i="1"/>
  <c r="AK218" i="1"/>
  <c r="AL218" i="1" s="1"/>
  <c r="AK219" i="1"/>
  <c r="AL219" i="1" s="1"/>
  <c r="V220" i="1"/>
  <c r="AJ220" i="1"/>
  <c r="AK220" i="1"/>
  <c r="AW220" i="1" s="1"/>
  <c r="V221" i="1"/>
  <c r="AJ221" i="1"/>
  <c r="AK221" i="1"/>
  <c r="AL221" i="1" s="1"/>
  <c r="V222" i="1"/>
  <c r="AJ222" i="1"/>
  <c r="AK222" i="1"/>
  <c r="AL222" i="1" s="1"/>
  <c r="V223" i="1"/>
  <c r="AJ223" i="1"/>
  <c r="AK223" i="1"/>
  <c r="AL223" i="1" s="1"/>
  <c r="V224" i="1"/>
  <c r="AV224" i="1" s="1"/>
  <c r="AJ224" i="1"/>
  <c r="AK224" i="1"/>
  <c r="AL224" i="1" s="1"/>
  <c r="AJ225" i="1"/>
  <c r="AJ226" i="1"/>
  <c r="AK226" i="1"/>
  <c r="AL226" i="1" s="1"/>
  <c r="AJ227" i="1"/>
  <c r="AK227" i="1"/>
  <c r="AL227" i="1" s="1"/>
  <c r="V228" i="1"/>
  <c r="AV228" i="1" s="1"/>
  <c r="AJ228" i="1"/>
  <c r="AK228" i="1"/>
  <c r="AL228" i="1" s="1"/>
  <c r="V229" i="1"/>
  <c r="AJ229" i="1"/>
  <c r="AK229" i="1"/>
  <c r="AL229" i="1" s="1"/>
  <c r="V230" i="1"/>
  <c r="AV230" i="1" s="1"/>
  <c r="AJ230" i="1"/>
  <c r="AK230" i="1"/>
  <c r="AL230" i="1" s="1"/>
  <c r="V231" i="1"/>
  <c r="AJ231" i="1"/>
  <c r="AK231" i="1"/>
  <c r="AL231" i="1" s="1"/>
  <c r="V232" i="1"/>
  <c r="AV232" i="1" s="1"/>
  <c r="AJ232" i="1"/>
  <c r="AK232" i="1"/>
  <c r="AL232" i="1" s="1"/>
  <c r="AJ233" i="1"/>
  <c r="AJ234" i="1"/>
  <c r="AK234" i="1"/>
  <c r="AL234" i="1" s="1"/>
  <c r="AK235" i="1"/>
  <c r="AL235" i="1" s="1"/>
  <c r="V236" i="1"/>
  <c r="AJ236" i="1"/>
  <c r="AK236" i="1"/>
  <c r="AL236" i="1" s="1"/>
  <c r="V237" i="1"/>
  <c r="AJ237" i="1"/>
  <c r="AK237" i="1"/>
  <c r="AL237" i="1" s="1"/>
  <c r="V238" i="1"/>
  <c r="AJ238" i="1"/>
  <c r="AK238" i="1"/>
  <c r="AL238" i="1" s="1"/>
  <c r="V239" i="1"/>
  <c r="AJ239" i="1"/>
  <c r="AK239" i="1"/>
  <c r="AL239" i="1" s="1"/>
  <c r="V240" i="1"/>
  <c r="AJ240" i="1"/>
  <c r="AK240" i="1"/>
  <c r="AL240" i="1" s="1"/>
  <c r="V241" i="1"/>
  <c r="AV241" i="1" s="1"/>
  <c r="AJ241" i="1"/>
  <c r="AK241" i="1"/>
  <c r="AL241" i="1" s="1"/>
  <c r="AJ242" i="1"/>
  <c r="AK242" i="1"/>
  <c r="AL242" i="1" s="1"/>
  <c r="AK243" i="1"/>
  <c r="AL243" i="1" s="1"/>
  <c r="V244" i="1"/>
  <c r="AJ244" i="1"/>
  <c r="AK244" i="1"/>
  <c r="AL244" i="1" s="1"/>
  <c r="V245" i="1"/>
  <c r="AJ245" i="1"/>
  <c r="AK245" i="1"/>
  <c r="AL245" i="1" s="1"/>
  <c r="V246" i="1"/>
  <c r="AJ246" i="1"/>
  <c r="AK246" i="1"/>
  <c r="AL246" i="1" s="1"/>
  <c r="V247" i="1"/>
  <c r="AJ247" i="1"/>
  <c r="AK247" i="1"/>
  <c r="AL247" i="1" s="1"/>
  <c r="V248" i="1"/>
  <c r="AJ248" i="1"/>
  <c r="AK248" i="1"/>
  <c r="AL248" i="1" s="1"/>
  <c r="AJ249" i="1"/>
  <c r="AJ250" i="1"/>
  <c r="AK250" i="1"/>
  <c r="AL250" i="1" s="1"/>
  <c r="AK251" i="1"/>
  <c r="AL251" i="1" s="1"/>
  <c r="V252" i="1"/>
  <c r="AJ252" i="1"/>
  <c r="AK252" i="1"/>
  <c r="AL252" i="1" s="1"/>
  <c r="V253" i="1"/>
  <c r="AJ253" i="1"/>
  <c r="AK253" i="1"/>
  <c r="AL253" i="1" s="1"/>
  <c r="V254" i="1"/>
  <c r="AJ254" i="1"/>
  <c r="AK254" i="1"/>
  <c r="AL254" i="1" s="1"/>
  <c r="V255" i="1"/>
  <c r="AJ255" i="1"/>
  <c r="AK255" i="1"/>
  <c r="AL255" i="1" s="1"/>
  <c r="V256" i="1"/>
  <c r="AJ256" i="1"/>
  <c r="AK256" i="1"/>
  <c r="AL256" i="1" s="1"/>
  <c r="AJ257" i="1"/>
  <c r="AJ258" i="1"/>
  <c r="AK258" i="1"/>
  <c r="AL258" i="1" s="1"/>
  <c r="AK259" i="1"/>
  <c r="AL259" i="1" s="1"/>
  <c r="V260" i="1"/>
  <c r="AJ260" i="1"/>
  <c r="AK260" i="1"/>
  <c r="AL260" i="1" s="1"/>
  <c r="V261" i="1"/>
  <c r="AJ261" i="1"/>
  <c r="AK261" i="1"/>
  <c r="AL261" i="1" s="1"/>
  <c r="V262" i="1"/>
  <c r="AJ262" i="1"/>
  <c r="AK262" i="1"/>
  <c r="AL262" i="1" s="1"/>
  <c r="V263" i="1"/>
  <c r="AJ263" i="1"/>
  <c r="AK263" i="1"/>
  <c r="AL263" i="1" s="1"/>
  <c r="V264" i="1"/>
  <c r="AJ264" i="1"/>
  <c r="AK264" i="1"/>
  <c r="AL264" i="1" s="1"/>
  <c r="AJ265" i="1"/>
  <c r="AJ266" i="1"/>
  <c r="AK266" i="1"/>
  <c r="AL266" i="1" s="1"/>
  <c r="AK267" i="1"/>
  <c r="AL267" i="1" s="1"/>
  <c r="V268" i="1"/>
  <c r="AJ268" i="1"/>
  <c r="AK268" i="1"/>
  <c r="AW268" i="1" s="1"/>
  <c r="V269" i="1"/>
  <c r="AJ269" i="1"/>
  <c r="AK269" i="1"/>
  <c r="AL269" i="1" s="1"/>
  <c r="V270" i="1"/>
  <c r="AJ270" i="1"/>
  <c r="AK270" i="1"/>
  <c r="AL270" i="1" s="1"/>
  <c r="V271" i="1"/>
  <c r="AJ271" i="1"/>
  <c r="AK271" i="1"/>
  <c r="AL271" i="1" s="1"/>
  <c r="V272" i="1"/>
  <c r="AJ272" i="1"/>
  <c r="AK272" i="1"/>
  <c r="AL272" i="1" s="1"/>
  <c r="AJ273" i="1"/>
  <c r="AJ274" i="1"/>
  <c r="AK274" i="1"/>
  <c r="AL274" i="1" s="1"/>
  <c r="AK275" i="1"/>
  <c r="AL275" i="1" s="1"/>
  <c r="V276" i="1"/>
  <c r="AJ276" i="1"/>
  <c r="AK276" i="1"/>
  <c r="AL276" i="1" s="1"/>
  <c r="V277" i="1"/>
  <c r="AJ277" i="1"/>
  <c r="AK277" i="1"/>
  <c r="AL277" i="1" s="1"/>
  <c r="V278" i="1"/>
  <c r="AV278" i="1" s="1"/>
  <c r="AJ278" i="1"/>
  <c r="AK278" i="1"/>
  <c r="AL278" i="1" s="1"/>
  <c r="V279" i="1"/>
  <c r="AJ279" i="1"/>
  <c r="AK279" i="1"/>
  <c r="AL279" i="1" s="1"/>
  <c r="V280" i="1"/>
  <c r="AJ280" i="1"/>
  <c r="AK280" i="1"/>
  <c r="AL280" i="1" s="1"/>
  <c r="AJ281" i="1"/>
  <c r="AJ282" i="1"/>
  <c r="AK282" i="1"/>
  <c r="AL282" i="1" s="1"/>
  <c r="AK283" i="1"/>
  <c r="AL283" i="1" s="1"/>
  <c r="V284" i="1"/>
  <c r="AJ284" i="1"/>
  <c r="AK284" i="1"/>
  <c r="AL284" i="1" s="1"/>
  <c r="V285" i="1"/>
  <c r="AJ285" i="1"/>
  <c r="AK285" i="1"/>
  <c r="AL285" i="1" s="1"/>
  <c r="V286" i="1"/>
  <c r="AJ286" i="1"/>
  <c r="AK286" i="1"/>
  <c r="AL286" i="1" s="1"/>
  <c r="V287" i="1"/>
  <c r="AJ287" i="1"/>
  <c r="AK287" i="1"/>
  <c r="AL287" i="1" s="1"/>
  <c r="V288" i="1"/>
  <c r="AJ288" i="1"/>
  <c r="AK288" i="1"/>
  <c r="AL288" i="1" s="1"/>
  <c r="AJ289" i="1"/>
  <c r="AJ290" i="1"/>
  <c r="AK290" i="1"/>
  <c r="AL290" i="1" s="1"/>
  <c r="AK291" i="1"/>
  <c r="AL291" i="1" s="1"/>
  <c r="V292" i="1"/>
  <c r="AJ292" i="1"/>
  <c r="AK292" i="1"/>
  <c r="AL292" i="1" s="1"/>
  <c r="V293" i="1"/>
  <c r="AJ293" i="1"/>
  <c r="AK293" i="1"/>
  <c r="AL293" i="1" s="1"/>
  <c r="V294" i="1"/>
  <c r="AJ294" i="1"/>
  <c r="AK294" i="1"/>
  <c r="AL294" i="1" s="1"/>
  <c r="V295" i="1"/>
  <c r="AJ295" i="1"/>
  <c r="AK295" i="1"/>
  <c r="AL295" i="1" s="1"/>
  <c r="V296" i="1"/>
  <c r="AJ296" i="1"/>
  <c r="AK296" i="1"/>
  <c r="AL296" i="1"/>
  <c r="AJ297" i="1"/>
  <c r="AK297" i="1"/>
  <c r="AL297" i="1" s="1"/>
  <c r="AJ298" i="1"/>
  <c r="AK298" i="1"/>
  <c r="AL298" i="1" s="1"/>
  <c r="V299" i="1"/>
  <c r="AV299" i="1" s="1"/>
  <c r="AK299" i="1"/>
  <c r="AL299" i="1" s="1"/>
  <c r="V300" i="1"/>
  <c r="AJ300" i="1"/>
  <c r="AK300" i="1"/>
  <c r="AL300" i="1" s="1"/>
  <c r="V301" i="1"/>
  <c r="AJ301" i="1"/>
  <c r="AK301" i="1"/>
  <c r="AL301" i="1" s="1"/>
  <c r="V302" i="1"/>
  <c r="AJ302" i="1"/>
  <c r="AK302" i="1"/>
  <c r="AW302" i="1" s="1"/>
  <c r="V303" i="1"/>
  <c r="AJ303" i="1"/>
  <c r="AK303" i="1"/>
  <c r="AL303" i="1" s="1"/>
  <c r="V304" i="1"/>
  <c r="AV304" i="1" s="1"/>
  <c r="AJ304" i="1"/>
  <c r="AK304" i="1"/>
  <c r="AL304" i="1" s="1"/>
  <c r="AJ305" i="1"/>
  <c r="AJ306" i="1"/>
  <c r="AK306" i="1"/>
  <c r="AL306" i="1" s="1"/>
  <c r="V307" i="1"/>
  <c r="AK307" i="1"/>
  <c r="AL307" i="1" s="1"/>
  <c r="V308" i="1"/>
  <c r="AJ308" i="1"/>
  <c r="AK308" i="1"/>
  <c r="AL308" i="1" s="1"/>
  <c r="V309" i="1"/>
  <c r="AJ309" i="1"/>
  <c r="AK309" i="1"/>
  <c r="AL309" i="1" s="1"/>
  <c r="V310" i="1"/>
  <c r="AV310" i="1" s="1"/>
  <c r="AJ310" i="1"/>
  <c r="AK310" i="1"/>
  <c r="AL310" i="1" s="1"/>
  <c r="V311" i="1"/>
  <c r="AJ311" i="1"/>
  <c r="AK311" i="1"/>
  <c r="AL311" i="1" s="1"/>
  <c r="V312" i="1"/>
  <c r="AJ312" i="1"/>
  <c r="AK312" i="1"/>
  <c r="AW312" i="1" s="1"/>
  <c r="AJ313" i="1"/>
  <c r="AJ314" i="1"/>
  <c r="AK314" i="1"/>
  <c r="AL314" i="1" s="1"/>
  <c r="V315" i="1"/>
  <c r="AK315" i="1"/>
  <c r="AL315" i="1" s="1"/>
  <c r="V316" i="1"/>
  <c r="AJ316" i="1"/>
  <c r="AK316" i="1"/>
  <c r="AL316" i="1"/>
  <c r="V317" i="1"/>
  <c r="AJ317" i="1"/>
  <c r="AK317" i="1"/>
  <c r="AL317" i="1" s="1"/>
  <c r="V318" i="1"/>
  <c r="AJ318" i="1"/>
  <c r="AK318" i="1"/>
  <c r="AL318" i="1" s="1"/>
  <c r="V319" i="1"/>
  <c r="AJ319" i="1"/>
  <c r="AK319" i="1"/>
  <c r="AL319" i="1" s="1"/>
  <c r="V320" i="1"/>
  <c r="AJ320" i="1"/>
  <c r="AK320" i="1"/>
  <c r="AL320" i="1" s="1"/>
  <c r="AJ321" i="1"/>
  <c r="AJ322" i="1"/>
  <c r="AK322" i="1"/>
  <c r="AL322" i="1" s="1"/>
  <c r="V323" i="1"/>
  <c r="AK323" i="1"/>
  <c r="AL323" i="1" s="1"/>
  <c r="V324" i="1"/>
  <c r="AJ324" i="1"/>
  <c r="AK324" i="1"/>
  <c r="AL324" i="1" s="1"/>
  <c r="V325" i="1"/>
  <c r="AJ325" i="1"/>
  <c r="AK325" i="1"/>
  <c r="AL325" i="1" s="1"/>
  <c r="V326" i="1"/>
  <c r="AJ326" i="1"/>
  <c r="AK326" i="1"/>
  <c r="AL326" i="1" s="1"/>
  <c r="V327" i="1"/>
  <c r="AJ327" i="1"/>
  <c r="AK327" i="1"/>
  <c r="AL327" i="1" s="1"/>
  <c r="V328" i="1"/>
  <c r="AJ328" i="1"/>
  <c r="AK328" i="1"/>
  <c r="AL328" i="1" s="1"/>
  <c r="AJ329" i="1"/>
  <c r="AJ330" i="1"/>
  <c r="AK330" i="1"/>
  <c r="AL330" i="1" s="1"/>
  <c r="V331" i="1"/>
  <c r="AK331" i="1"/>
  <c r="AL331" i="1" s="1"/>
  <c r="V332" i="1"/>
  <c r="AJ332" i="1"/>
  <c r="AK332" i="1"/>
  <c r="AL332" i="1" s="1"/>
  <c r="V333" i="1"/>
  <c r="AV333" i="1" s="1"/>
  <c r="AJ333" i="1"/>
  <c r="AK333" i="1"/>
  <c r="AL333" i="1" s="1"/>
  <c r="V334" i="1"/>
  <c r="AJ334" i="1"/>
  <c r="AK334" i="1"/>
  <c r="AL334" i="1" s="1"/>
  <c r="V335" i="1"/>
  <c r="AJ335" i="1"/>
  <c r="AK335" i="1"/>
  <c r="AL335" i="1" s="1"/>
  <c r="V336" i="1"/>
  <c r="AJ336" i="1"/>
  <c r="AK336" i="1"/>
  <c r="AL336" i="1" s="1"/>
  <c r="AJ337" i="1"/>
  <c r="AJ338" i="1"/>
  <c r="AK338" i="1"/>
  <c r="AL338" i="1" s="1"/>
  <c r="V339" i="1"/>
  <c r="AV339" i="1" s="1"/>
  <c r="AK339" i="1"/>
  <c r="AL339" i="1" s="1"/>
  <c r="V340" i="1"/>
  <c r="AJ340" i="1"/>
  <c r="AK340" i="1"/>
  <c r="AL340" i="1" s="1"/>
  <c r="V341" i="1"/>
  <c r="AJ341" i="1"/>
  <c r="AK341" i="1"/>
  <c r="AL341" i="1" s="1"/>
  <c r="V342" i="1"/>
  <c r="AV342" i="1" s="1"/>
  <c r="AJ342" i="1"/>
  <c r="AK342" i="1"/>
  <c r="AL342" i="1" s="1"/>
  <c r="V343" i="1"/>
  <c r="AJ343" i="1"/>
  <c r="AK343" i="1"/>
  <c r="AL343" i="1" s="1"/>
  <c r="V344" i="1"/>
  <c r="AJ344" i="1"/>
  <c r="AK344" i="1"/>
  <c r="AL344" i="1" s="1"/>
  <c r="AJ345" i="1"/>
  <c r="AJ346" i="1"/>
  <c r="AK346" i="1"/>
  <c r="AL346" i="1" s="1"/>
  <c r="AK347" i="1"/>
  <c r="AL347" i="1" s="1"/>
  <c r="V348" i="1"/>
  <c r="AJ348" i="1"/>
  <c r="AK348" i="1"/>
  <c r="AL348" i="1" s="1"/>
  <c r="V349" i="1"/>
  <c r="AJ349" i="1"/>
  <c r="AK349" i="1"/>
  <c r="AL349" i="1" s="1"/>
  <c r="V350" i="1"/>
  <c r="AV350" i="1" s="1"/>
  <c r="AJ350" i="1"/>
  <c r="AK350" i="1"/>
  <c r="AL350" i="1" s="1"/>
  <c r="V351" i="1"/>
  <c r="AV351" i="1" s="1"/>
  <c r="AJ351" i="1"/>
  <c r="AK351" i="1"/>
  <c r="AL351" i="1" s="1"/>
  <c r="V352" i="1"/>
  <c r="AJ352" i="1"/>
  <c r="AK352" i="1"/>
  <c r="AL352" i="1" s="1"/>
  <c r="AJ353" i="1"/>
  <c r="AJ354" i="1"/>
  <c r="AK354" i="1"/>
  <c r="AL354" i="1" s="1"/>
  <c r="AK355" i="1"/>
  <c r="AL355" i="1" s="1"/>
  <c r="V356" i="1"/>
  <c r="AJ356" i="1"/>
  <c r="AK356" i="1"/>
  <c r="AL356" i="1" s="1"/>
  <c r="V357" i="1"/>
  <c r="AJ357" i="1"/>
  <c r="AK357" i="1"/>
  <c r="AL357" i="1" s="1"/>
  <c r="V358" i="1"/>
  <c r="AV358" i="1" s="1"/>
  <c r="AJ358" i="1"/>
  <c r="AK358" i="1"/>
  <c r="AW358" i="1" s="1"/>
  <c r="V359" i="1"/>
  <c r="AV359" i="1" s="1"/>
  <c r="AJ359" i="1"/>
  <c r="AK359" i="1"/>
  <c r="AL359" i="1" s="1"/>
  <c r="V360" i="1"/>
  <c r="AV360" i="1" s="1"/>
  <c r="AJ360" i="1"/>
  <c r="AK360" i="1"/>
  <c r="AL360" i="1" s="1"/>
  <c r="V361" i="1"/>
  <c r="AV361" i="1" s="1"/>
  <c r="AJ361" i="1"/>
  <c r="AJ362" i="1"/>
  <c r="AK362" i="1"/>
  <c r="AL362" i="1" s="1"/>
  <c r="AK363" i="1"/>
  <c r="AL363" i="1" s="1"/>
  <c r="V364" i="1"/>
  <c r="AV364" i="1" s="1"/>
  <c r="AJ364" i="1"/>
  <c r="AK364" i="1"/>
  <c r="AW364" i="1" s="1"/>
  <c r="V365" i="1"/>
  <c r="AJ365" i="1"/>
  <c r="AK365" i="1"/>
  <c r="AL365" i="1" s="1"/>
  <c r="V366" i="1"/>
  <c r="AJ366" i="1"/>
  <c r="AK366" i="1"/>
  <c r="AL366" i="1" s="1"/>
  <c r="V367" i="1"/>
  <c r="AJ367" i="1"/>
  <c r="AK367" i="1"/>
  <c r="AL367" i="1" s="1"/>
  <c r="V368" i="1"/>
  <c r="AV368" i="1" s="1"/>
  <c r="AJ368" i="1"/>
  <c r="AK368" i="1"/>
  <c r="AL368" i="1" s="1"/>
  <c r="AJ369" i="1"/>
  <c r="AJ370" i="1"/>
  <c r="AK370" i="1"/>
  <c r="AL370" i="1" s="1"/>
  <c r="AJ371" i="1"/>
  <c r="AK371" i="1"/>
  <c r="AL371" i="1" s="1"/>
  <c r="V372" i="1"/>
  <c r="AV372" i="1" s="1"/>
  <c r="AJ372" i="1"/>
  <c r="AK372" i="1"/>
  <c r="AL372" i="1" s="1"/>
  <c r="V373" i="1"/>
  <c r="AV373" i="1" s="1"/>
  <c r="AJ373" i="1"/>
  <c r="AK373" i="1"/>
  <c r="AL373" i="1" s="1"/>
  <c r="V374" i="1"/>
  <c r="AV374" i="1" s="1"/>
  <c r="AJ374" i="1"/>
  <c r="AK374" i="1"/>
  <c r="AL374" i="1" s="1"/>
  <c r="V375" i="1"/>
  <c r="AV375" i="1" s="1"/>
  <c r="AJ375" i="1"/>
  <c r="AK375" i="1"/>
  <c r="AL375" i="1" s="1"/>
  <c r="V376" i="1"/>
  <c r="AV376" i="1" s="1"/>
  <c r="AJ376" i="1"/>
  <c r="AK376" i="1"/>
  <c r="AL376" i="1" s="1"/>
  <c r="V377" i="1"/>
  <c r="AV377" i="1" s="1"/>
  <c r="AJ377" i="1"/>
  <c r="V378" i="1"/>
  <c r="AJ378" i="1"/>
  <c r="AK378" i="1"/>
  <c r="AL378" i="1" s="1"/>
  <c r="AK379" i="1"/>
  <c r="AL379" i="1" s="1"/>
  <c r="V380" i="1"/>
  <c r="AV380" i="1" s="1"/>
  <c r="AJ380" i="1"/>
  <c r="AK380" i="1"/>
  <c r="AL380" i="1" s="1"/>
  <c r="BI399" i="1"/>
  <c r="BG399" i="1"/>
  <c r="BE399" i="1"/>
  <c r="BD399" i="1"/>
  <c r="BC399" i="1"/>
  <c r="BB399" i="1"/>
  <c r="BA399" i="1"/>
  <c r="AU399" i="1"/>
  <c r="AT399" i="1"/>
  <c r="AS399" i="1"/>
  <c r="BF399" i="1" s="1"/>
  <c r="AR399" i="1"/>
  <c r="AQ399" i="1"/>
  <c r="AP399" i="1"/>
  <c r="AO399" i="1"/>
  <c r="AN399" i="1"/>
  <c r="AM399" i="1"/>
  <c r="AK399" i="1"/>
  <c r="AW399" i="1" s="1"/>
  <c r="AJ399" i="1"/>
  <c r="V399" i="1"/>
  <c r="BI398" i="1"/>
  <c r="BG398" i="1"/>
  <c r="BE398" i="1"/>
  <c r="BD398" i="1"/>
  <c r="BC398" i="1"/>
  <c r="BA398" i="1"/>
  <c r="AU398" i="1"/>
  <c r="AT398" i="1"/>
  <c r="AS398" i="1"/>
  <c r="BF398" i="1" s="1"/>
  <c r="AR398" i="1"/>
  <c r="AQ398" i="1"/>
  <c r="AP398" i="1"/>
  <c r="AO398" i="1"/>
  <c r="AN398" i="1"/>
  <c r="AM398" i="1"/>
  <c r="BB398" i="1" s="1"/>
  <c r="AK398" i="1"/>
  <c r="AW398" i="1" s="1"/>
  <c r="AJ398" i="1"/>
  <c r="V398" i="1"/>
  <c r="BI397" i="1"/>
  <c r="BG397" i="1"/>
  <c r="BF397" i="1"/>
  <c r="BE397" i="1"/>
  <c r="BD397" i="1"/>
  <c r="BC397" i="1"/>
  <c r="BA397" i="1"/>
  <c r="AV397" i="1"/>
  <c r="AU397" i="1"/>
  <c r="AT397" i="1"/>
  <c r="AS397" i="1"/>
  <c r="AR397" i="1"/>
  <c r="AQ397" i="1"/>
  <c r="AP397" i="1"/>
  <c r="AO397" i="1"/>
  <c r="AN397" i="1"/>
  <c r="AM397" i="1"/>
  <c r="BB397" i="1" s="1"/>
  <c r="AK397" i="1"/>
  <c r="AW397" i="1" s="1"/>
  <c r="AJ397" i="1"/>
  <c r="V397" i="1"/>
  <c r="BI396" i="1"/>
  <c r="BG396" i="1"/>
  <c r="BF396" i="1"/>
  <c r="BE396" i="1"/>
  <c r="BD396" i="1"/>
  <c r="BC396" i="1"/>
  <c r="BA396" i="1"/>
  <c r="AV396" i="1"/>
  <c r="AU396" i="1"/>
  <c r="AT396" i="1"/>
  <c r="AS396" i="1"/>
  <c r="AR396" i="1"/>
  <c r="AQ396" i="1"/>
  <c r="AP396" i="1"/>
  <c r="AO396" i="1"/>
  <c r="AN396" i="1"/>
  <c r="AM396" i="1"/>
  <c r="BB396" i="1" s="1"/>
  <c r="AK396" i="1"/>
  <c r="AL396" i="1" s="1"/>
  <c r="AJ396" i="1"/>
  <c r="V396" i="1"/>
  <c r="BI395" i="1"/>
  <c r="BG395" i="1"/>
  <c r="BF395" i="1"/>
  <c r="BE395" i="1"/>
  <c r="BC395" i="1"/>
  <c r="BA395" i="1"/>
  <c r="AV395" i="1"/>
  <c r="AU395" i="1"/>
  <c r="AT395" i="1"/>
  <c r="AS395" i="1"/>
  <c r="AR395" i="1"/>
  <c r="AQ395" i="1"/>
  <c r="AP395" i="1"/>
  <c r="BD395" i="1" s="1"/>
  <c r="AO395" i="1"/>
  <c r="AN395" i="1"/>
  <c r="AM395" i="1"/>
  <c r="BB395" i="1" s="1"/>
  <c r="AK395" i="1"/>
  <c r="AL395" i="1" s="1"/>
  <c r="AJ395" i="1"/>
  <c r="V395" i="1"/>
  <c r="BI394" i="1"/>
  <c r="BG394" i="1"/>
  <c r="BF394" i="1"/>
  <c r="BE394" i="1"/>
  <c r="BC394" i="1"/>
  <c r="BA394" i="1"/>
  <c r="AW394" i="1"/>
  <c r="AU394" i="1"/>
  <c r="AT394" i="1"/>
  <c r="AS394" i="1"/>
  <c r="AR394" i="1"/>
  <c r="AQ394" i="1"/>
  <c r="AP394" i="1"/>
  <c r="BD394" i="1" s="1"/>
  <c r="AO394" i="1"/>
  <c r="AN394" i="1"/>
  <c r="AM394" i="1"/>
  <c r="BB394" i="1" s="1"/>
  <c r="AK394" i="1"/>
  <c r="AL394" i="1" s="1"/>
  <c r="AJ394" i="1"/>
  <c r="V394" i="1"/>
  <c r="AV394" i="1" s="1"/>
  <c r="BI393" i="1"/>
  <c r="BG393" i="1"/>
  <c r="BE393" i="1"/>
  <c r="BC393" i="1"/>
  <c r="BB393" i="1"/>
  <c r="BA393" i="1"/>
  <c r="AU393" i="1"/>
  <c r="AT393" i="1"/>
  <c r="AS393" i="1"/>
  <c r="AR393" i="1"/>
  <c r="AQ393" i="1"/>
  <c r="AP393" i="1"/>
  <c r="BD393" i="1" s="1"/>
  <c r="AO393" i="1"/>
  <c r="AN393" i="1"/>
  <c r="AM393" i="1"/>
  <c r="AK393" i="1"/>
  <c r="AW393" i="1" s="1"/>
  <c r="AJ393" i="1"/>
  <c r="BF393" i="1" s="1"/>
  <c r="V393" i="1"/>
  <c r="AV393" i="1" s="1"/>
  <c r="BI392" i="1"/>
  <c r="BG392" i="1"/>
  <c r="BE392" i="1"/>
  <c r="BC392" i="1"/>
  <c r="BB392" i="1"/>
  <c r="BA392" i="1"/>
  <c r="AV392" i="1"/>
  <c r="AU392" i="1"/>
  <c r="AT392" i="1"/>
  <c r="AS392" i="1"/>
  <c r="BF392" i="1" s="1"/>
  <c r="AR392" i="1"/>
  <c r="AQ392" i="1"/>
  <c r="AP392" i="1"/>
  <c r="BD392" i="1" s="1"/>
  <c r="AO392" i="1"/>
  <c r="AN392" i="1"/>
  <c r="AM392" i="1"/>
  <c r="AK392" i="1"/>
  <c r="AW392" i="1" s="1"/>
  <c r="AJ392" i="1"/>
  <c r="V392" i="1"/>
  <c r="BI391" i="1"/>
  <c r="BG391" i="1"/>
  <c r="BE391" i="1"/>
  <c r="BD391" i="1"/>
  <c r="BC391" i="1"/>
  <c r="BB391" i="1"/>
  <c r="BA391" i="1"/>
  <c r="AU391" i="1"/>
  <c r="AT391" i="1"/>
  <c r="AS391" i="1"/>
  <c r="BF391" i="1" s="1"/>
  <c r="AR391" i="1"/>
  <c r="AQ391" i="1"/>
  <c r="AP391" i="1"/>
  <c r="AO391" i="1"/>
  <c r="AN391" i="1"/>
  <c r="AM391" i="1"/>
  <c r="AL391" i="1"/>
  <c r="AK391" i="1"/>
  <c r="AW391" i="1" s="1"/>
  <c r="AJ391" i="1"/>
  <c r="V391" i="1"/>
  <c r="BI390" i="1"/>
  <c r="BG390" i="1"/>
  <c r="BE390" i="1"/>
  <c r="BD390" i="1"/>
  <c r="BC390" i="1"/>
  <c r="BA390" i="1"/>
  <c r="AU390" i="1"/>
  <c r="AT390" i="1"/>
  <c r="AS390" i="1"/>
  <c r="BF390" i="1" s="1"/>
  <c r="AR390" i="1"/>
  <c r="AQ390" i="1"/>
  <c r="AP390" i="1"/>
  <c r="AO390" i="1"/>
  <c r="AN390" i="1"/>
  <c r="AM390" i="1"/>
  <c r="BB390" i="1" s="1"/>
  <c r="AK390" i="1"/>
  <c r="AW390" i="1" s="1"/>
  <c r="AJ390" i="1"/>
  <c r="V390" i="1"/>
  <c r="AV390" i="1" s="1"/>
  <c r="BI389" i="1"/>
  <c r="BG389" i="1"/>
  <c r="BF389" i="1"/>
  <c r="BE389" i="1"/>
  <c r="BD389" i="1"/>
  <c r="BC389" i="1"/>
  <c r="BA389" i="1"/>
  <c r="AV389" i="1"/>
  <c r="AU389" i="1"/>
  <c r="AT389" i="1"/>
  <c r="AS389" i="1"/>
  <c r="AR389" i="1"/>
  <c r="AQ389" i="1"/>
  <c r="AP389" i="1"/>
  <c r="AO389" i="1"/>
  <c r="AN389" i="1"/>
  <c r="AM389" i="1"/>
  <c r="BB389" i="1" s="1"/>
  <c r="AK389" i="1"/>
  <c r="AW389" i="1" s="1"/>
  <c r="AJ389" i="1"/>
  <c r="V389" i="1"/>
  <c r="BI388" i="1"/>
  <c r="BG388" i="1"/>
  <c r="BF388" i="1"/>
  <c r="BE388" i="1"/>
  <c r="BD388" i="1"/>
  <c r="BC388" i="1"/>
  <c r="BA388" i="1"/>
  <c r="AV388" i="1"/>
  <c r="AU388" i="1"/>
  <c r="AT388" i="1"/>
  <c r="AS388" i="1"/>
  <c r="AR388" i="1"/>
  <c r="AQ388" i="1"/>
  <c r="AP388" i="1"/>
  <c r="AO388" i="1"/>
  <c r="AN388" i="1"/>
  <c r="AM388" i="1"/>
  <c r="BB388" i="1" s="1"/>
  <c r="AK388" i="1"/>
  <c r="AL388" i="1" s="1"/>
  <c r="AJ388" i="1"/>
  <c r="V388" i="1"/>
  <c r="BI387" i="1"/>
  <c r="BG387" i="1"/>
  <c r="BF387" i="1"/>
  <c r="BE387" i="1"/>
  <c r="BC387" i="1"/>
  <c r="BA387" i="1"/>
  <c r="AV387" i="1"/>
  <c r="AU387" i="1"/>
  <c r="AT387" i="1"/>
  <c r="AS387" i="1"/>
  <c r="AR387" i="1"/>
  <c r="AQ387" i="1"/>
  <c r="AP387" i="1"/>
  <c r="BD387" i="1" s="1"/>
  <c r="AO387" i="1"/>
  <c r="AN387" i="1"/>
  <c r="AM387" i="1"/>
  <c r="BB387" i="1" s="1"/>
  <c r="AK387" i="1"/>
  <c r="AL387" i="1" s="1"/>
  <c r="AJ387" i="1"/>
  <c r="V387" i="1"/>
  <c r="BI386" i="1"/>
  <c r="BG386" i="1"/>
  <c r="BF386" i="1"/>
  <c r="BE386" i="1"/>
  <c r="BC386" i="1"/>
  <c r="BA386" i="1"/>
  <c r="AW386" i="1"/>
  <c r="AU386" i="1"/>
  <c r="AT386" i="1"/>
  <c r="AS386" i="1"/>
  <c r="AR386" i="1"/>
  <c r="AQ386" i="1"/>
  <c r="AP386" i="1"/>
  <c r="BD386" i="1" s="1"/>
  <c r="AO386" i="1"/>
  <c r="AN386" i="1"/>
  <c r="AM386" i="1"/>
  <c r="BB386" i="1" s="1"/>
  <c r="AK386" i="1"/>
  <c r="AL386" i="1" s="1"/>
  <c r="AJ386" i="1"/>
  <c r="V386" i="1"/>
  <c r="AV386" i="1" s="1"/>
  <c r="BI385" i="1"/>
  <c r="BG385" i="1"/>
  <c r="BE385" i="1"/>
  <c r="BC385" i="1"/>
  <c r="BB385" i="1"/>
  <c r="BA385" i="1"/>
  <c r="AU385" i="1"/>
  <c r="AT385" i="1"/>
  <c r="AS385" i="1"/>
  <c r="AR385" i="1"/>
  <c r="AQ385" i="1"/>
  <c r="AP385" i="1"/>
  <c r="BD385" i="1" s="1"/>
  <c r="AO385" i="1"/>
  <c r="AN385" i="1"/>
  <c r="AM385" i="1"/>
  <c r="AK385" i="1"/>
  <c r="AL385" i="1" s="1"/>
  <c r="AJ385" i="1"/>
  <c r="BF385" i="1" s="1"/>
  <c r="V385" i="1"/>
  <c r="AV385" i="1" s="1"/>
  <c r="BI384" i="1"/>
  <c r="BG384" i="1"/>
  <c r="BE384" i="1"/>
  <c r="BC384" i="1"/>
  <c r="BB384" i="1"/>
  <c r="BA384" i="1"/>
  <c r="AV384" i="1"/>
  <c r="AU384" i="1"/>
  <c r="AT384" i="1"/>
  <c r="AS384" i="1"/>
  <c r="BF384" i="1" s="1"/>
  <c r="AR384" i="1"/>
  <c r="AQ384" i="1"/>
  <c r="AP384" i="1"/>
  <c r="BD384" i="1" s="1"/>
  <c r="AO384" i="1"/>
  <c r="AN384" i="1"/>
  <c r="AM384" i="1"/>
  <c r="AK384" i="1"/>
  <c r="AW384" i="1" s="1"/>
  <c r="AJ384" i="1"/>
  <c r="V384" i="1"/>
  <c r="BI383" i="1"/>
  <c r="BG383" i="1"/>
  <c r="BE383" i="1"/>
  <c r="BD383" i="1"/>
  <c r="BC383" i="1"/>
  <c r="BB383" i="1"/>
  <c r="BA383" i="1"/>
  <c r="AU383" i="1"/>
  <c r="AT383" i="1"/>
  <c r="AS383" i="1"/>
  <c r="BF383" i="1" s="1"/>
  <c r="AR383" i="1"/>
  <c r="AQ383" i="1"/>
  <c r="AP383" i="1"/>
  <c r="AO383" i="1"/>
  <c r="AN383" i="1"/>
  <c r="AM383" i="1"/>
  <c r="AK383" i="1"/>
  <c r="AW383" i="1" s="1"/>
  <c r="AJ383" i="1"/>
  <c r="V383" i="1"/>
  <c r="BI382" i="1"/>
  <c r="BG382" i="1"/>
  <c r="BE382" i="1"/>
  <c r="BD382" i="1"/>
  <c r="BC382" i="1"/>
  <c r="BA382" i="1"/>
  <c r="AU382" i="1"/>
  <c r="AT382" i="1"/>
  <c r="AS382" i="1"/>
  <c r="BF382" i="1" s="1"/>
  <c r="AR382" i="1"/>
  <c r="AQ382" i="1"/>
  <c r="AP382" i="1"/>
  <c r="AO382" i="1"/>
  <c r="AN382" i="1"/>
  <c r="AM382" i="1"/>
  <c r="BB382" i="1" s="1"/>
  <c r="AK382" i="1"/>
  <c r="AW382" i="1" s="1"/>
  <c r="AJ382" i="1"/>
  <c r="V382" i="1"/>
  <c r="AV382" i="1" s="1"/>
  <c r="BI381" i="1"/>
  <c r="BG381" i="1"/>
  <c r="BF381" i="1"/>
  <c r="BE381" i="1"/>
  <c r="BD381" i="1"/>
  <c r="BC381" i="1"/>
  <c r="BA381" i="1"/>
  <c r="AV381" i="1"/>
  <c r="AU381" i="1"/>
  <c r="AT381" i="1"/>
  <c r="AS381" i="1"/>
  <c r="AR381" i="1"/>
  <c r="AQ381" i="1"/>
  <c r="AP381" i="1"/>
  <c r="AO381" i="1"/>
  <c r="AN381" i="1"/>
  <c r="AM381" i="1"/>
  <c r="BB381" i="1" s="1"/>
  <c r="AK381" i="1"/>
  <c r="AW381" i="1" s="1"/>
  <c r="AJ381" i="1"/>
  <c r="V381" i="1"/>
  <c r="BG380" i="1"/>
  <c r="BE380" i="1"/>
  <c r="BC380" i="1"/>
  <c r="BA380" i="1"/>
  <c r="AW380" i="1"/>
  <c r="AS380" i="1"/>
  <c r="BF380" i="1" s="1"/>
  <c r="AR380" i="1"/>
  <c r="AP380" i="1"/>
  <c r="AQ380" i="1" s="1"/>
  <c r="AO380" i="1"/>
  <c r="AN380" i="1"/>
  <c r="AM380" i="1"/>
  <c r="BB380" i="1" s="1"/>
  <c r="BG379" i="1"/>
  <c r="BE379" i="1"/>
  <c r="BC379" i="1"/>
  <c r="AU379" i="1"/>
  <c r="AR379" i="1"/>
  <c r="AP379" i="1"/>
  <c r="BD379" i="1" s="1"/>
  <c r="AN379" i="1"/>
  <c r="AO379" i="1" s="1"/>
  <c r="AM379" i="1"/>
  <c r="BB379" i="1" s="1"/>
  <c r="AM354" i="1"/>
  <c r="BB354" i="1" s="1"/>
  <c r="AP354" i="1"/>
  <c r="BD354" i="1" s="1"/>
  <c r="AQ354" i="1"/>
  <c r="AR354" i="1"/>
  <c r="AS354" i="1"/>
  <c r="BF354" i="1" s="1"/>
  <c r="AT354" i="1"/>
  <c r="AU354" i="1" s="1"/>
  <c r="BA354" i="1"/>
  <c r="BC354" i="1"/>
  <c r="BE354" i="1"/>
  <c r="BG354" i="1"/>
  <c r="AM355" i="1"/>
  <c r="BB355" i="1" s="1"/>
  <c r="AP355" i="1"/>
  <c r="BD355" i="1" s="1"/>
  <c r="AR355" i="1"/>
  <c r="BC355" i="1"/>
  <c r="BE355" i="1"/>
  <c r="BG355" i="1"/>
  <c r="AM356" i="1"/>
  <c r="BB356" i="1" s="1"/>
  <c r="AN356" i="1"/>
  <c r="AO356" i="1" s="1"/>
  <c r="AP356" i="1"/>
  <c r="BD356" i="1" s="1"/>
  <c r="AQ356" i="1"/>
  <c r="AR356" i="1"/>
  <c r="AS356" i="1"/>
  <c r="BA356" i="1"/>
  <c r="BC356" i="1"/>
  <c r="BE356" i="1"/>
  <c r="BG356" i="1"/>
  <c r="AV357" i="1"/>
  <c r="AM357" i="1"/>
  <c r="BB357" i="1" s="1"/>
  <c r="AN357" i="1"/>
  <c r="AO357" i="1" s="1"/>
  <c r="AP357" i="1"/>
  <c r="BD357" i="1" s="1"/>
  <c r="AS357" i="1"/>
  <c r="BF357" i="1" s="1"/>
  <c r="BC357" i="1"/>
  <c r="BE357" i="1"/>
  <c r="BG357" i="1"/>
  <c r="AM358" i="1"/>
  <c r="BB358" i="1" s="1"/>
  <c r="AN358" i="1"/>
  <c r="AO358" i="1"/>
  <c r="AP358" i="1"/>
  <c r="AS358" i="1"/>
  <c r="AT358" i="1"/>
  <c r="AU358" i="1" s="1"/>
  <c r="BA358" i="1"/>
  <c r="BC358" i="1"/>
  <c r="BE358" i="1"/>
  <c r="BG358" i="1"/>
  <c r="AM359" i="1"/>
  <c r="BB359" i="1" s="1"/>
  <c r="AN359" i="1"/>
  <c r="AO359" i="1"/>
  <c r="AP359" i="1"/>
  <c r="BD359" i="1" s="1"/>
  <c r="AQ359" i="1"/>
  <c r="AR359" i="1" s="1"/>
  <c r="AS359" i="1"/>
  <c r="BF359" i="1" s="1"/>
  <c r="AT359" i="1"/>
  <c r="AU359" i="1" s="1"/>
  <c r="BA359" i="1"/>
  <c r="BC359" i="1"/>
  <c r="BE359" i="1"/>
  <c r="BG359" i="1"/>
  <c r="AM360" i="1"/>
  <c r="BB360" i="1" s="1"/>
  <c r="AP360" i="1"/>
  <c r="BD360" i="1" s="1"/>
  <c r="AR360" i="1"/>
  <c r="AS360" i="1"/>
  <c r="BF360" i="1" s="1"/>
  <c r="AT360" i="1"/>
  <c r="AU360" i="1"/>
  <c r="BA360" i="1"/>
  <c r="BC360" i="1"/>
  <c r="BE360" i="1"/>
  <c r="BG360" i="1"/>
  <c r="AN361" i="1"/>
  <c r="AO361" i="1" s="1"/>
  <c r="AP361" i="1"/>
  <c r="BD361" i="1" s="1"/>
  <c r="AS361" i="1"/>
  <c r="AT361" i="1"/>
  <c r="AU361" i="1"/>
  <c r="BC361" i="1"/>
  <c r="BE361" i="1"/>
  <c r="BG361" i="1"/>
  <c r="AM362" i="1"/>
  <c r="BB362" i="1" s="1"/>
  <c r="AP362" i="1"/>
  <c r="BD362" i="1" s="1"/>
  <c r="AQ362" i="1"/>
  <c r="AR362" i="1"/>
  <c r="AS362" i="1"/>
  <c r="BF362" i="1" s="1"/>
  <c r="AT362" i="1"/>
  <c r="AU362" i="1" s="1"/>
  <c r="BA362" i="1"/>
  <c r="BC362" i="1"/>
  <c r="BE362" i="1"/>
  <c r="BG362" i="1"/>
  <c r="AM363" i="1"/>
  <c r="BB363" i="1" s="1"/>
  <c r="AP363" i="1"/>
  <c r="BD363" i="1" s="1"/>
  <c r="AR363" i="1"/>
  <c r="AU363" i="1"/>
  <c r="BC363" i="1"/>
  <c r="BE363" i="1"/>
  <c r="BG363" i="1"/>
  <c r="AM364" i="1"/>
  <c r="BB364" i="1" s="1"/>
  <c r="AP364" i="1"/>
  <c r="BD364" i="1" s="1"/>
  <c r="AQ364" i="1"/>
  <c r="AR364" i="1"/>
  <c r="AS364" i="1"/>
  <c r="AT364" i="1"/>
  <c r="AU364" i="1" s="1"/>
  <c r="BA364" i="1"/>
  <c r="BC364" i="1"/>
  <c r="BE364" i="1"/>
  <c r="BG364" i="1"/>
  <c r="AV365" i="1"/>
  <c r="AM365" i="1"/>
  <c r="BB365" i="1" s="1"/>
  <c r="AN365" i="1"/>
  <c r="AO365" i="1" s="1"/>
  <c r="AP365" i="1"/>
  <c r="BD365" i="1" s="1"/>
  <c r="AS365" i="1"/>
  <c r="AU365" i="1"/>
  <c r="BC365" i="1"/>
  <c r="BE365" i="1"/>
  <c r="BG365" i="1"/>
  <c r="AV366" i="1"/>
  <c r="AM366" i="1"/>
  <c r="BB366" i="1" s="1"/>
  <c r="AQ366" i="1"/>
  <c r="AR366" i="1"/>
  <c r="AS366" i="1"/>
  <c r="AT366" i="1"/>
  <c r="AU366" i="1"/>
  <c r="BA366" i="1"/>
  <c r="BC366" i="1"/>
  <c r="BE366" i="1"/>
  <c r="BG366" i="1"/>
  <c r="AV367" i="1"/>
  <c r="AM367" i="1"/>
  <c r="BB367" i="1" s="1"/>
  <c r="AN367" i="1"/>
  <c r="AO367" i="1" s="1"/>
  <c r="AP367" i="1"/>
  <c r="BD367" i="1" s="1"/>
  <c r="AR367" i="1"/>
  <c r="AS367" i="1"/>
  <c r="AT367" i="1" s="1"/>
  <c r="AU367" i="1" s="1"/>
  <c r="BA367" i="1"/>
  <c r="BC367" i="1"/>
  <c r="BE367" i="1"/>
  <c r="BG367" i="1"/>
  <c r="AM368" i="1"/>
  <c r="BB368" i="1" s="1"/>
  <c r="AO368" i="1"/>
  <c r="AP368" i="1"/>
  <c r="AS368" i="1"/>
  <c r="BF368" i="1" s="1"/>
  <c r="AT368" i="1"/>
  <c r="AU368" i="1" s="1"/>
  <c r="BA368" i="1"/>
  <c r="BC368" i="1"/>
  <c r="BE368" i="1"/>
  <c r="BG368" i="1"/>
  <c r="AP369" i="1"/>
  <c r="BD369" i="1" s="1"/>
  <c r="AS369" i="1"/>
  <c r="BC369" i="1"/>
  <c r="BE369" i="1"/>
  <c r="BG369" i="1"/>
  <c r="AM370" i="1"/>
  <c r="BB370" i="1" s="1"/>
  <c r="AP370" i="1"/>
  <c r="BD370" i="1" s="1"/>
  <c r="AQ370" i="1"/>
  <c r="AR370" i="1" s="1"/>
  <c r="AS370" i="1"/>
  <c r="BF370" i="1" s="1"/>
  <c r="AT370" i="1"/>
  <c r="AU370" i="1"/>
  <c r="BA370" i="1"/>
  <c r="BC370" i="1"/>
  <c r="BE370" i="1"/>
  <c r="BG370" i="1"/>
  <c r="AM371" i="1"/>
  <c r="BB371" i="1" s="1"/>
  <c r="AN371" i="1"/>
  <c r="AO371" i="1"/>
  <c r="AP371" i="1"/>
  <c r="BD371" i="1" s="1"/>
  <c r="AR371" i="1"/>
  <c r="AU371" i="1"/>
  <c r="BA371" i="1"/>
  <c r="BC371" i="1"/>
  <c r="BE371" i="1"/>
  <c r="BG371" i="1"/>
  <c r="AM372" i="1"/>
  <c r="BB372" i="1" s="1"/>
  <c r="AN372" i="1"/>
  <c r="AO372" i="1"/>
  <c r="AP372" i="1"/>
  <c r="AS372" i="1"/>
  <c r="BF372" i="1" s="1"/>
  <c r="BA372" i="1"/>
  <c r="BC372" i="1"/>
  <c r="BE372" i="1"/>
  <c r="BG372" i="1"/>
  <c r="AM373" i="1"/>
  <c r="BB373" i="1" s="1"/>
  <c r="AN373" i="1"/>
  <c r="AO373" i="1"/>
  <c r="AP373" i="1"/>
  <c r="BD373" i="1" s="1"/>
  <c r="AS373" i="1"/>
  <c r="BF373" i="1" s="1"/>
  <c r="AU373" i="1"/>
  <c r="BC373" i="1"/>
  <c r="BE373" i="1"/>
  <c r="BG373" i="1"/>
  <c r="AM374" i="1"/>
  <c r="BB374" i="1" s="1"/>
  <c r="AN374" i="1"/>
  <c r="AO374" i="1" s="1"/>
  <c r="AS374" i="1"/>
  <c r="AT374" i="1"/>
  <c r="AU374" i="1" s="1"/>
  <c r="BA374" i="1"/>
  <c r="BC374" i="1"/>
  <c r="BE374" i="1"/>
  <c r="BG374" i="1"/>
  <c r="AM375" i="1"/>
  <c r="BB375" i="1" s="1"/>
  <c r="AO375" i="1"/>
  <c r="AP375" i="1"/>
  <c r="BD375" i="1" s="1"/>
  <c r="AS375" i="1"/>
  <c r="AT375" i="1" s="1"/>
  <c r="AU375" i="1" s="1"/>
  <c r="BA375" i="1"/>
  <c r="BC375" i="1"/>
  <c r="BE375" i="1"/>
  <c r="BG375" i="1"/>
  <c r="AM376" i="1"/>
  <c r="BB376" i="1" s="1"/>
  <c r="AO376" i="1"/>
  <c r="AP376" i="1"/>
  <c r="BD376" i="1" s="1"/>
  <c r="AR376" i="1"/>
  <c r="AS376" i="1"/>
  <c r="AT376" i="1" s="1"/>
  <c r="AU376" i="1" s="1"/>
  <c r="BA376" i="1"/>
  <c r="BC376" i="1"/>
  <c r="BE376" i="1"/>
  <c r="BG376" i="1"/>
  <c r="AN377" i="1"/>
  <c r="AO377" i="1"/>
  <c r="AP377" i="1"/>
  <c r="BD377" i="1" s="1"/>
  <c r="AS377" i="1"/>
  <c r="AT377" i="1" s="1"/>
  <c r="AU377" i="1" s="1"/>
  <c r="BC377" i="1"/>
  <c r="BE377" i="1"/>
  <c r="BG377" i="1"/>
  <c r="AM378" i="1"/>
  <c r="BB378" i="1" s="1"/>
  <c r="AP378" i="1"/>
  <c r="BD378" i="1" s="1"/>
  <c r="AQ378" i="1"/>
  <c r="AR378" i="1"/>
  <c r="AS378" i="1"/>
  <c r="BF378" i="1" s="1"/>
  <c r="AT378" i="1"/>
  <c r="AU378" i="1" s="1"/>
  <c r="AV378" i="1"/>
  <c r="BA378" i="1"/>
  <c r="BC378" i="1"/>
  <c r="BE378" i="1"/>
  <c r="BG378" i="1"/>
  <c r="BG353" i="1"/>
  <c r="BE353" i="1"/>
  <c r="BC353" i="1"/>
  <c r="AS353" i="1"/>
  <c r="AT353" i="1" s="1"/>
  <c r="AU353" i="1" s="1"/>
  <c r="AP353" i="1"/>
  <c r="BD353" i="1" s="1"/>
  <c r="AO353" i="1"/>
  <c r="AU352" i="1"/>
  <c r="AS352" i="1"/>
  <c r="AT352" i="1" s="1"/>
  <c r="AP352" i="1"/>
  <c r="BD352" i="1" s="1"/>
  <c r="AO352" i="1"/>
  <c r="AM352" i="1"/>
  <c r="BB352" i="1" s="1"/>
  <c r="AT351" i="1"/>
  <c r="AU351" i="1" s="1"/>
  <c r="AS351" i="1"/>
  <c r="AP351" i="1"/>
  <c r="BD351" i="1" s="1"/>
  <c r="AO351" i="1"/>
  <c r="AM351" i="1"/>
  <c r="AN351" i="1" s="1"/>
  <c r="AS350" i="1"/>
  <c r="AT350" i="1" s="1"/>
  <c r="AU350" i="1" s="1"/>
  <c r="AP350" i="1"/>
  <c r="BD350" i="1" s="1"/>
  <c r="AO350" i="1"/>
  <c r="AN350" i="1"/>
  <c r="AM350" i="1"/>
  <c r="AU349" i="1"/>
  <c r="AT349" i="1"/>
  <c r="AS349" i="1"/>
  <c r="AQ349" i="1"/>
  <c r="AR349" i="1" s="1"/>
  <c r="AP349" i="1"/>
  <c r="BD349" i="1" s="1"/>
  <c r="AM349" i="1"/>
  <c r="AU348" i="1"/>
  <c r="AS348" i="1"/>
  <c r="AT348" i="1" s="1"/>
  <c r="AQ348" i="1"/>
  <c r="AR348" i="1" s="1"/>
  <c r="AP348" i="1"/>
  <c r="BD348" i="1" s="1"/>
  <c r="AO348" i="1"/>
  <c r="AM348" i="1"/>
  <c r="AN348" i="1" s="1"/>
  <c r="AU347" i="1"/>
  <c r="AR347" i="1"/>
  <c r="AP347" i="1"/>
  <c r="BD347" i="1" s="1"/>
  <c r="AO347" i="1"/>
  <c r="AN347" i="1"/>
  <c r="AM347" i="1"/>
  <c r="BB347" i="1" s="1"/>
  <c r="AU346" i="1"/>
  <c r="AS346" i="1"/>
  <c r="AT346" i="1" s="1"/>
  <c r="AQ346" i="1"/>
  <c r="AR346" i="1" s="1"/>
  <c r="AP346" i="1"/>
  <c r="BD346" i="1" s="1"/>
  <c r="AM346" i="1"/>
  <c r="AN346" i="1" s="1"/>
  <c r="AO346" i="1" s="1"/>
  <c r="AS345" i="1"/>
  <c r="AT345" i="1" s="1"/>
  <c r="AU345" i="1" s="1"/>
  <c r="AR345" i="1"/>
  <c r="AP345" i="1"/>
  <c r="AO345" i="1"/>
  <c r="AU344" i="1"/>
  <c r="AS344" i="1"/>
  <c r="AT344" i="1" s="1"/>
  <c r="AR344" i="1"/>
  <c r="AP344" i="1"/>
  <c r="BD344" i="1" s="1"/>
  <c r="AM344" i="1"/>
  <c r="AS343" i="1"/>
  <c r="AT343" i="1" s="1"/>
  <c r="AU343" i="1" s="1"/>
  <c r="AR343" i="1"/>
  <c r="AP343" i="1"/>
  <c r="AQ343" i="1" s="1"/>
  <c r="AM343" i="1"/>
  <c r="AN343" i="1" s="1"/>
  <c r="AO343" i="1" s="1"/>
  <c r="AS342" i="1"/>
  <c r="AT342" i="1" s="1"/>
  <c r="AU342" i="1" s="1"/>
  <c r="AQ342" i="1"/>
  <c r="AR342" i="1" s="1"/>
  <c r="AO342" i="1"/>
  <c r="AM342" i="1"/>
  <c r="BB342" i="1" s="1"/>
  <c r="AS341" i="1"/>
  <c r="AT341" i="1" s="1"/>
  <c r="AU341" i="1" s="1"/>
  <c r="AR341" i="1"/>
  <c r="AQ341" i="1"/>
  <c r="AP341" i="1"/>
  <c r="AM341" i="1"/>
  <c r="AU340" i="1"/>
  <c r="AT340" i="1"/>
  <c r="AS340" i="1"/>
  <c r="BF340" i="1" s="1"/>
  <c r="AR340" i="1"/>
  <c r="AQ340" i="1"/>
  <c r="AP340" i="1"/>
  <c r="AO340" i="1"/>
  <c r="AN340" i="1"/>
  <c r="AM340" i="1"/>
  <c r="BB340" i="1" s="1"/>
  <c r="AU339" i="1"/>
  <c r="AP339" i="1"/>
  <c r="AO339" i="1"/>
  <c r="AM339" i="1"/>
  <c r="BB339" i="1" s="1"/>
  <c r="AU338" i="1"/>
  <c r="AT338" i="1"/>
  <c r="AS338" i="1"/>
  <c r="AP338" i="1"/>
  <c r="AQ338" i="1" s="1"/>
  <c r="AR338" i="1" s="1"/>
  <c r="AO338" i="1"/>
  <c r="AM338" i="1"/>
  <c r="AN338" i="1" s="1"/>
  <c r="AU337" i="1"/>
  <c r="AS337" i="1"/>
  <c r="AT337" i="1" s="1"/>
  <c r="AP337" i="1"/>
  <c r="BD337" i="1" s="1"/>
  <c r="AO337" i="1"/>
  <c r="AU336" i="1"/>
  <c r="AT336" i="1"/>
  <c r="AS336" i="1"/>
  <c r="AQ336" i="1"/>
  <c r="AR336" i="1" s="1"/>
  <c r="AP336" i="1"/>
  <c r="BD336" i="1" s="1"/>
  <c r="AO336" i="1"/>
  <c r="AM336" i="1"/>
  <c r="BB336" i="1" s="1"/>
  <c r="AS335" i="1"/>
  <c r="AT335" i="1" s="1"/>
  <c r="AU335" i="1" s="1"/>
  <c r="AQ335" i="1"/>
  <c r="AR335" i="1" s="1"/>
  <c r="AP335" i="1"/>
  <c r="AO335" i="1"/>
  <c r="AM335" i="1"/>
  <c r="AN335" i="1" s="1"/>
  <c r="AU334" i="1"/>
  <c r="AT334" i="1"/>
  <c r="AS334" i="1"/>
  <c r="BF334" i="1" s="1"/>
  <c r="AR334" i="1"/>
  <c r="AQ334" i="1"/>
  <c r="AO334" i="1"/>
  <c r="AM334" i="1"/>
  <c r="AN334" i="1" s="1"/>
  <c r="AT333" i="1"/>
  <c r="AU333" i="1" s="1"/>
  <c r="AS333" i="1"/>
  <c r="BF333" i="1" s="1"/>
  <c r="AP333" i="1"/>
  <c r="BD333" i="1" s="1"/>
  <c r="AM333" i="1"/>
  <c r="BB333" i="1" s="1"/>
  <c r="AT332" i="1"/>
  <c r="AU332" i="1" s="1"/>
  <c r="AS332" i="1"/>
  <c r="AP332" i="1"/>
  <c r="AQ332" i="1" s="1"/>
  <c r="AR332" i="1" s="1"/>
  <c r="AM332" i="1"/>
  <c r="AN332" i="1" s="1"/>
  <c r="AO332" i="1" s="1"/>
  <c r="AP331" i="1"/>
  <c r="AM331" i="1"/>
  <c r="AN331" i="1" s="1"/>
  <c r="AO331" i="1" s="1"/>
  <c r="AS330" i="1"/>
  <c r="AT330" i="1" s="1"/>
  <c r="AU330" i="1" s="1"/>
  <c r="AP330" i="1"/>
  <c r="AQ330" i="1" s="1"/>
  <c r="AR330" i="1" s="1"/>
  <c r="AN330" i="1"/>
  <c r="AO330" i="1" s="1"/>
  <c r="AM330" i="1"/>
  <c r="AU329" i="1"/>
  <c r="AS329" i="1"/>
  <c r="AT329" i="1" s="1"/>
  <c r="AP329" i="1"/>
  <c r="AO329" i="1"/>
  <c r="AU328" i="1"/>
  <c r="AT328" i="1"/>
  <c r="AS328" i="1"/>
  <c r="AR328" i="1"/>
  <c r="AP328" i="1"/>
  <c r="AQ328" i="1" s="1"/>
  <c r="AM328" i="1"/>
  <c r="AS327" i="1"/>
  <c r="AT327" i="1" s="1"/>
  <c r="AU327" i="1" s="1"/>
  <c r="AP327" i="1"/>
  <c r="AQ327" i="1" s="1"/>
  <c r="AR327" i="1" s="1"/>
  <c r="AM327" i="1"/>
  <c r="AN327" i="1" s="1"/>
  <c r="AO327" i="1" s="1"/>
  <c r="AU326" i="1"/>
  <c r="AT326" i="1"/>
  <c r="AS326" i="1"/>
  <c r="AO326" i="1"/>
  <c r="AN326" i="1"/>
  <c r="AM326" i="1"/>
  <c r="AU325" i="1"/>
  <c r="AT325" i="1"/>
  <c r="AS325" i="1"/>
  <c r="AP325" i="1"/>
  <c r="AM325" i="1"/>
  <c r="AN325" i="1" s="1"/>
  <c r="AO325" i="1" s="1"/>
  <c r="AS324" i="1"/>
  <c r="AT324" i="1" s="1"/>
  <c r="AU324" i="1" s="1"/>
  <c r="AR324" i="1"/>
  <c r="AP324" i="1"/>
  <c r="AQ324" i="1" s="1"/>
  <c r="AN324" i="1"/>
  <c r="AO324" i="1" s="1"/>
  <c r="AM324" i="1"/>
  <c r="AU323" i="1"/>
  <c r="AP323" i="1"/>
  <c r="AQ323" i="1" s="1"/>
  <c r="AR323" i="1" s="1"/>
  <c r="AN323" i="1"/>
  <c r="AO323" i="1" s="1"/>
  <c r="AM323" i="1"/>
  <c r="AU322" i="1"/>
  <c r="AT322" i="1"/>
  <c r="AS322" i="1"/>
  <c r="AP322" i="1"/>
  <c r="AQ322" i="1" s="1"/>
  <c r="AR322" i="1" s="1"/>
  <c r="AM322" i="1"/>
  <c r="AN322" i="1" s="1"/>
  <c r="AO322" i="1" s="1"/>
  <c r="AU321" i="1"/>
  <c r="AS321" i="1"/>
  <c r="AT321" i="1" s="1"/>
  <c r="AP321" i="1"/>
  <c r="AU320" i="1"/>
  <c r="AS320" i="1"/>
  <c r="AT320" i="1" s="1"/>
  <c r="AR320" i="1"/>
  <c r="AP320" i="1"/>
  <c r="AQ320" i="1" s="1"/>
  <c r="AM320" i="1"/>
  <c r="AS319" i="1"/>
  <c r="AT319" i="1" s="1"/>
  <c r="AU319" i="1" s="1"/>
  <c r="AR319" i="1"/>
  <c r="AQ319" i="1"/>
  <c r="AP319" i="1"/>
  <c r="AM319" i="1"/>
  <c r="AN319" i="1" s="1"/>
  <c r="AO319" i="1" s="1"/>
  <c r="AU318" i="1"/>
  <c r="AS318" i="1"/>
  <c r="AT318" i="1" s="1"/>
  <c r="AO318" i="1"/>
  <c r="AN318" i="1"/>
  <c r="AM318" i="1"/>
  <c r="AS317" i="1"/>
  <c r="AT317" i="1" s="1"/>
  <c r="AU317" i="1" s="1"/>
  <c r="AP317" i="1"/>
  <c r="AQ317" i="1" s="1"/>
  <c r="AR317" i="1" s="1"/>
  <c r="AM317" i="1"/>
  <c r="AN317" i="1" s="1"/>
  <c r="AO317" i="1" s="1"/>
  <c r="AS316" i="1"/>
  <c r="AT316" i="1" s="1"/>
  <c r="AU316" i="1" s="1"/>
  <c r="AR316" i="1"/>
  <c r="AP316" i="1"/>
  <c r="AQ316" i="1" s="1"/>
  <c r="AN316" i="1"/>
  <c r="AO316" i="1" s="1"/>
  <c r="AM316" i="1"/>
  <c r="AU315" i="1"/>
  <c r="AR315" i="1"/>
  <c r="AP315" i="1"/>
  <c r="AQ315" i="1" s="1"/>
  <c r="AN315" i="1"/>
  <c r="AO315" i="1" s="1"/>
  <c r="AM315" i="1"/>
  <c r="AS314" i="1"/>
  <c r="AT314" i="1" s="1"/>
  <c r="AU314" i="1" s="1"/>
  <c r="AP314" i="1"/>
  <c r="AQ314" i="1" s="1"/>
  <c r="AR314" i="1" s="1"/>
  <c r="AM314" i="1"/>
  <c r="AN314" i="1" s="1"/>
  <c r="AO314" i="1" s="1"/>
  <c r="AS313" i="1"/>
  <c r="AT313" i="1" s="1"/>
  <c r="AU313" i="1" s="1"/>
  <c r="AP313" i="1"/>
  <c r="AO313" i="1"/>
  <c r="AU312" i="1"/>
  <c r="AT312" i="1"/>
  <c r="AS312" i="1"/>
  <c r="AR312" i="1"/>
  <c r="AP312" i="1"/>
  <c r="AQ312" i="1" s="1"/>
  <c r="AN312" i="1"/>
  <c r="AO312" i="1" s="1"/>
  <c r="AM312" i="1"/>
  <c r="AS311" i="1"/>
  <c r="AT311" i="1" s="1"/>
  <c r="AU311" i="1" s="1"/>
  <c r="AR311" i="1"/>
  <c r="AP311" i="1"/>
  <c r="AQ311" i="1" s="1"/>
  <c r="AN311" i="1"/>
  <c r="AO311" i="1" s="1"/>
  <c r="AM311" i="1"/>
  <c r="AU310" i="1"/>
  <c r="AS310" i="1"/>
  <c r="AT310" i="1" s="1"/>
  <c r="AQ310" i="1"/>
  <c r="AR310" i="1" s="1"/>
  <c r="AO310" i="1"/>
  <c r="AM310" i="1"/>
  <c r="AN310" i="1" s="1"/>
  <c r="AU309" i="1"/>
  <c r="AS309" i="1"/>
  <c r="AT309" i="1" s="1"/>
  <c r="AP309" i="1"/>
  <c r="AQ309" i="1" s="1"/>
  <c r="AR309" i="1" s="1"/>
  <c r="AM309" i="1"/>
  <c r="AN309" i="1" s="1"/>
  <c r="AO309" i="1" s="1"/>
  <c r="AU308" i="1"/>
  <c r="AS308" i="1"/>
  <c r="AT308" i="1" s="1"/>
  <c r="AR308" i="1"/>
  <c r="AQ308" i="1"/>
  <c r="AP308" i="1"/>
  <c r="AM308" i="1"/>
  <c r="AN308" i="1" s="1"/>
  <c r="AO308" i="1" s="1"/>
  <c r="AU307" i="1"/>
  <c r="AP307" i="1"/>
  <c r="AQ307" i="1" s="1"/>
  <c r="AR307" i="1" s="1"/>
  <c r="AO307" i="1"/>
  <c r="AM307" i="1"/>
  <c r="AN307" i="1" s="1"/>
  <c r="AU306" i="1"/>
  <c r="AS306" i="1"/>
  <c r="AT306" i="1" s="1"/>
  <c r="AP306" i="1"/>
  <c r="AQ306" i="1" s="1"/>
  <c r="AR306" i="1" s="1"/>
  <c r="AM306" i="1"/>
  <c r="AN306" i="1" s="1"/>
  <c r="AO306" i="1" s="1"/>
  <c r="AU305" i="1"/>
  <c r="AT305" i="1"/>
  <c r="AS305" i="1"/>
  <c r="AP305" i="1"/>
  <c r="AU304" i="1"/>
  <c r="AS304" i="1"/>
  <c r="AT304" i="1" s="1"/>
  <c r="AP304" i="1"/>
  <c r="AQ304" i="1" s="1"/>
  <c r="AR304" i="1" s="1"/>
  <c r="AO304" i="1"/>
  <c r="AM304" i="1"/>
  <c r="AT303" i="1"/>
  <c r="AU303" i="1" s="1"/>
  <c r="AS303" i="1"/>
  <c r="AP303" i="1"/>
  <c r="AQ303" i="1" s="1"/>
  <c r="AR303" i="1" s="1"/>
  <c r="AO303" i="1"/>
  <c r="AM303" i="1"/>
  <c r="AN303" i="1" s="1"/>
  <c r="AU302" i="1"/>
  <c r="AS302" i="1"/>
  <c r="AT302" i="1" s="1"/>
  <c r="AO302" i="1"/>
  <c r="AN302" i="1"/>
  <c r="AM302" i="1"/>
  <c r="AS301" i="1"/>
  <c r="AT301" i="1" s="1"/>
  <c r="AU301" i="1" s="1"/>
  <c r="AP301" i="1"/>
  <c r="AQ301" i="1" s="1"/>
  <c r="AR301" i="1" s="1"/>
  <c r="AM301" i="1"/>
  <c r="AN301" i="1" s="1"/>
  <c r="AO301" i="1" s="1"/>
  <c r="AS300" i="1"/>
  <c r="AT300" i="1" s="1"/>
  <c r="AU300" i="1" s="1"/>
  <c r="AP300" i="1"/>
  <c r="AM300" i="1"/>
  <c r="AN300" i="1" s="1"/>
  <c r="AO300" i="1" s="1"/>
  <c r="AU299" i="1"/>
  <c r="AP299" i="1"/>
  <c r="AN299" i="1"/>
  <c r="AO299" i="1" s="1"/>
  <c r="AM299" i="1"/>
  <c r="AT298" i="1"/>
  <c r="AU298" i="1" s="1"/>
  <c r="AS298" i="1"/>
  <c r="AP298" i="1"/>
  <c r="AQ298" i="1" s="1"/>
  <c r="AR298" i="1" s="1"/>
  <c r="AN298" i="1"/>
  <c r="AO298" i="1" s="1"/>
  <c r="AM298" i="1"/>
  <c r="AU297" i="1"/>
  <c r="AS297" i="1"/>
  <c r="AT297" i="1" s="1"/>
  <c r="AR297" i="1"/>
  <c r="AP297" i="1"/>
  <c r="AO297" i="1"/>
  <c r="AU296" i="1"/>
  <c r="AS296" i="1"/>
  <c r="AT296" i="1" s="1"/>
  <c r="AP296" i="1"/>
  <c r="AM296" i="1"/>
  <c r="AS295" i="1"/>
  <c r="AT295" i="1" s="1"/>
  <c r="AU295" i="1" s="1"/>
  <c r="AR295" i="1"/>
  <c r="AP295" i="1"/>
  <c r="AQ295" i="1" s="1"/>
  <c r="AN295" i="1"/>
  <c r="AO295" i="1" s="1"/>
  <c r="AM295" i="1"/>
  <c r="AT294" i="1"/>
  <c r="AU294" i="1" s="1"/>
  <c r="AS294" i="1"/>
  <c r="AQ294" i="1"/>
  <c r="AR294" i="1" s="1"/>
  <c r="AO294" i="1"/>
  <c r="AM294" i="1"/>
  <c r="AN294" i="1" s="1"/>
  <c r="AT293" i="1"/>
  <c r="AU293" i="1" s="1"/>
  <c r="AS293" i="1"/>
  <c r="AP293" i="1"/>
  <c r="AQ293" i="1" s="1"/>
  <c r="AR293" i="1" s="1"/>
  <c r="AN293" i="1"/>
  <c r="AO293" i="1" s="1"/>
  <c r="AM293" i="1"/>
  <c r="AT292" i="1"/>
  <c r="AU292" i="1" s="1"/>
  <c r="AS292" i="1"/>
  <c r="AR292" i="1"/>
  <c r="AP292" i="1"/>
  <c r="AQ292" i="1" s="1"/>
  <c r="AO292" i="1"/>
  <c r="AM292" i="1"/>
  <c r="AN292" i="1" s="1"/>
  <c r="AU291" i="1"/>
  <c r="AS291" i="1"/>
  <c r="AP291" i="1"/>
  <c r="AO291" i="1"/>
  <c r="AM291" i="1"/>
  <c r="AN291" i="1" s="1"/>
  <c r="AU290" i="1"/>
  <c r="AT290" i="1"/>
  <c r="AS290" i="1"/>
  <c r="AP290" i="1"/>
  <c r="AQ290" i="1" s="1"/>
  <c r="AR290" i="1" s="1"/>
  <c r="AO290" i="1"/>
  <c r="AM290" i="1"/>
  <c r="AN290" i="1" s="1"/>
  <c r="AU289" i="1"/>
  <c r="AS289" i="1"/>
  <c r="AT289" i="1" s="1"/>
  <c r="AP289" i="1"/>
  <c r="AO289" i="1"/>
  <c r="AU288" i="1"/>
  <c r="AS288" i="1"/>
  <c r="AT288" i="1" s="1"/>
  <c r="AP288" i="1"/>
  <c r="AQ288" i="1" s="1"/>
  <c r="AR288" i="1" s="1"/>
  <c r="AO288" i="1"/>
  <c r="AN288" i="1"/>
  <c r="AM288" i="1"/>
  <c r="AS287" i="1"/>
  <c r="AT287" i="1" s="1"/>
  <c r="AU287" i="1" s="1"/>
  <c r="AP287" i="1"/>
  <c r="AQ287" i="1" s="1"/>
  <c r="AR287" i="1" s="1"/>
  <c r="AO287" i="1"/>
  <c r="AN287" i="1"/>
  <c r="AM287" i="1"/>
  <c r="AU286" i="1"/>
  <c r="AT286" i="1"/>
  <c r="AS286" i="1"/>
  <c r="AR286" i="1"/>
  <c r="AQ286" i="1"/>
  <c r="AO286" i="1"/>
  <c r="AN286" i="1"/>
  <c r="AM286" i="1"/>
  <c r="AT285" i="1"/>
  <c r="AU285" i="1" s="1"/>
  <c r="AS285" i="1"/>
  <c r="AP285" i="1"/>
  <c r="AQ285" i="1" s="1"/>
  <c r="AR285" i="1" s="1"/>
  <c r="AM285" i="1"/>
  <c r="AN285" i="1" s="1"/>
  <c r="AO285" i="1" s="1"/>
  <c r="AT284" i="1"/>
  <c r="AU284" i="1" s="1"/>
  <c r="AS284" i="1"/>
  <c r="AR284" i="1"/>
  <c r="AP284" i="1"/>
  <c r="AQ284" i="1" s="1"/>
  <c r="AM284" i="1"/>
  <c r="AN284" i="1" s="1"/>
  <c r="AO284" i="1" s="1"/>
  <c r="AR283" i="1"/>
  <c r="AP283" i="1"/>
  <c r="AN283" i="1"/>
  <c r="AO283" i="1" s="1"/>
  <c r="AM283" i="1"/>
  <c r="AU282" i="1"/>
  <c r="AS282" i="1"/>
  <c r="AT282" i="1" s="1"/>
  <c r="AP282" i="1"/>
  <c r="AQ282" i="1" s="1"/>
  <c r="AR282" i="1" s="1"/>
  <c r="AM282" i="1"/>
  <c r="AN282" i="1" s="1"/>
  <c r="AO282" i="1" s="1"/>
  <c r="AU281" i="1"/>
  <c r="AT281" i="1"/>
  <c r="AS281" i="1"/>
  <c r="AP281" i="1"/>
  <c r="AO281" i="1"/>
  <c r="AU280" i="1"/>
  <c r="AS280" i="1"/>
  <c r="AT280" i="1" s="1"/>
  <c r="AP280" i="1"/>
  <c r="AQ280" i="1" s="1"/>
  <c r="AR280" i="1" s="1"/>
  <c r="AM280" i="1"/>
  <c r="AS279" i="1"/>
  <c r="AT279" i="1" s="1"/>
  <c r="AU279" i="1" s="1"/>
  <c r="AP279" i="1"/>
  <c r="AQ279" i="1" s="1"/>
  <c r="AR279" i="1" s="1"/>
  <c r="AM279" i="1"/>
  <c r="AN279" i="1" s="1"/>
  <c r="AO279" i="1" s="1"/>
  <c r="AS278" i="1"/>
  <c r="AT278" i="1" s="1"/>
  <c r="AU278" i="1" s="1"/>
  <c r="AQ278" i="1"/>
  <c r="AR278" i="1" s="1"/>
  <c r="AO278" i="1"/>
  <c r="AM278" i="1"/>
  <c r="AN278" i="1" s="1"/>
  <c r="AS277" i="1"/>
  <c r="AT277" i="1" s="1"/>
  <c r="AU277" i="1" s="1"/>
  <c r="AR277" i="1"/>
  <c r="AP277" i="1"/>
  <c r="AQ277" i="1" s="1"/>
  <c r="AM277" i="1"/>
  <c r="AN277" i="1" s="1"/>
  <c r="AO277" i="1" s="1"/>
  <c r="AU276" i="1"/>
  <c r="AT276" i="1"/>
  <c r="AS276" i="1"/>
  <c r="AR276" i="1"/>
  <c r="AQ276" i="1"/>
  <c r="AP276" i="1"/>
  <c r="AM276" i="1"/>
  <c r="AN276" i="1" s="1"/>
  <c r="AO276" i="1" s="1"/>
  <c r="AU275" i="1"/>
  <c r="AP275" i="1"/>
  <c r="AM275" i="1"/>
  <c r="AN275" i="1" s="1"/>
  <c r="AO275" i="1" s="1"/>
  <c r="AU274" i="1"/>
  <c r="AS274" i="1"/>
  <c r="AT274" i="1" s="1"/>
  <c r="AP274" i="1"/>
  <c r="AQ274" i="1" s="1"/>
  <c r="AR274" i="1" s="1"/>
  <c r="AO274" i="1"/>
  <c r="AN274" i="1"/>
  <c r="AM274" i="1"/>
  <c r="AU273" i="1"/>
  <c r="AT273" i="1"/>
  <c r="AS273" i="1"/>
  <c r="AP273" i="1"/>
  <c r="AO273" i="1"/>
  <c r="AM273" i="1"/>
  <c r="AN273" i="1" s="1"/>
  <c r="AU272" i="1"/>
  <c r="AS272" i="1"/>
  <c r="AT272" i="1" s="1"/>
  <c r="AR272" i="1"/>
  <c r="AP272" i="1"/>
  <c r="AQ272" i="1" s="1"/>
  <c r="AM272" i="1"/>
  <c r="AN272" i="1" s="1"/>
  <c r="AO272" i="1" s="1"/>
  <c r="AS271" i="1"/>
  <c r="AT271" i="1" s="1"/>
  <c r="AU271" i="1" s="1"/>
  <c r="AR271" i="1"/>
  <c r="AP271" i="1"/>
  <c r="AQ271" i="1" s="1"/>
  <c r="AN271" i="1"/>
  <c r="AO271" i="1" s="1"/>
  <c r="AM271" i="1"/>
  <c r="AU270" i="1"/>
  <c r="AS270" i="1"/>
  <c r="AT270" i="1" s="1"/>
  <c r="AR270" i="1"/>
  <c r="AQ270" i="1"/>
  <c r="AO270" i="1"/>
  <c r="AN270" i="1"/>
  <c r="AM270" i="1"/>
  <c r="AT269" i="1"/>
  <c r="AU269" i="1" s="1"/>
  <c r="AS269" i="1"/>
  <c r="AR269" i="1"/>
  <c r="AP269" i="1"/>
  <c r="AQ269" i="1" s="1"/>
  <c r="AN269" i="1"/>
  <c r="AO269" i="1" s="1"/>
  <c r="AM269" i="1"/>
  <c r="AS268" i="1"/>
  <c r="AT268" i="1" s="1"/>
  <c r="AU268" i="1" s="1"/>
  <c r="AR268" i="1"/>
  <c r="AP268" i="1"/>
  <c r="AQ268" i="1" s="1"/>
  <c r="AM268" i="1"/>
  <c r="AN268" i="1" s="1"/>
  <c r="AO268" i="1" s="1"/>
  <c r="AS267" i="1"/>
  <c r="AR267" i="1"/>
  <c r="AP267" i="1"/>
  <c r="AN267" i="1"/>
  <c r="AO267" i="1" s="1"/>
  <c r="AM267" i="1"/>
  <c r="AT266" i="1"/>
  <c r="AU266" i="1" s="1"/>
  <c r="AS266" i="1"/>
  <c r="AP266" i="1"/>
  <c r="AQ266" i="1" s="1"/>
  <c r="AR266" i="1" s="1"/>
  <c r="AN266" i="1"/>
  <c r="AO266" i="1" s="1"/>
  <c r="AM266" i="1"/>
  <c r="AS265" i="1"/>
  <c r="AT265" i="1" s="1"/>
  <c r="AU265" i="1" s="1"/>
  <c r="AR265" i="1"/>
  <c r="AP265" i="1"/>
  <c r="AO265" i="1"/>
  <c r="AN265" i="1"/>
  <c r="AU264" i="1"/>
  <c r="AS264" i="1"/>
  <c r="AT264" i="1" s="1"/>
  <c r="AP264" i="1"/>
  <c r="AQ264" i="1" s="1"/>
  <c r="AR264" i="1" s="1"/>
  <c r="AM264" i="1"/>
  <c r="AS263" i="1"/>
  <c r="AT263" i="1" s="1"/>
  <c r="AU263" i="1" s="1"/>
  <c r="AP263" i="1"/>
  <c r="AQ263" i="1" s="1"/>
  <c r="AR263" i="1" s="1"/>
  <c r="AN263" i="1"/>
  <c r="AO263" i="1" s="1"/>
  <c r="AM263" i="1"/>
  <c r="AU262" i="1"/>
  <c r="AS262" i="1"/>
  <c r="AT262" i="1" s="1"/>
  <c r="AQ262" i="1"/>
  <c r="AR262" i="1" s="1"/>
  <c r="AO262" i="1"/>
  <c r="AM262" i="1"/>
  <c r="AN262" i="1" s="1"/>
  <c r="AU261" i="1"/>
  <c r="AS261" i="1"/>
  <c r="AT261" i="1" s="1"/>
  <c r="AR261" i="1"/>
  <c r="AP261" i="1"/>
  <c r="AQ261" i="1" s="1"/>
  <c r="AN261" i="1"/>
  <c r="AO261" i="1" s="1"/>
  <c r="AM261" i="1"/>
  <c r="AU260" i="1"/>
  <c r="AT260" i="1"/>
  <c r="AS260" i="1"/>
  <c r="AR260" i="1"/>
  <c r="AQ260" i="1"/>
  <c r="AP260" i="1"/>
  <c r="AO260" i="1"/>
  <c r="AM260" i="1"/>
  <c r="AN260" i="1" s="1"/>
  <c r="AU259" i="1"/>
  <c r="AP259" i="1"/>
  <c r="AQ259" i="1" s="1"/>
  <c r="AR259" i="1" s="1"/>
  <c r="AM259" i="1"/>
  <c r="AN259" i="1" s="1"/>
  <c r="AO259" i="1" s="1"/>
  <c r="AU258" i="1"/>
  <c r="AT258" i="1"/>
  <c r="AS258" i="1"/>
  <c r="AP258" i="1"/>
  <c r="AQ258" i="1" s="1"/>
  <c r="AR258" i="1" s="1"/>
  <c r="AO258" i="1"/>
  <c r="AM258" i="1"/>
  <c r="AN258" i="1" s="1"/>
  <c r="AU257" i="1"/>
  <c r="AS257" i="1"/>
  <c r="AT257" i="1" s="1"/>
  <c r="AP257" i="1"/>
  <c r="AO257" i="1"/>
  <c r="AU256" i="1"/>
  <c r="AS256" i="1"/>
  <c r="AT256" i="1" s="1"/>
  <c r="AP256" i="1"/>
  <c r="AQ256" i="1" s="1"/>
  <c r="AR256" i="1" s="1"/>
  <c r="AM256" i="1"/>
  <c r="AT255" i="1"/>
  <c r="AU255" i="1" s="1"/>
  <c r="AS255" i="1"/>
  <c r="AP255" i="1"/>
  <c r="AQ255" i="1" s="1"/>
  <c r="AR255" i="1" s="1"/>
  <c r="AM255" i="1"/>
  <c r="AN255" i="1" s="1"/>
  <c r="AO255" i="1" s="1"/>
  <c r="AU254" i="1"/>
  <c r="AS254" i="1"/>
  <c r="AT254" i="1" s="1"/>
  <c r="AQ254" i="1"/>
  <c r="AR254" i="1" s="1"/>
  <c r="AO254" i="1"/>
  <c r="AN254" i="1"/>
  <c r="AM254" i="1"/>
  <c r="AT253" i="1"/>
  <c r="AU253" i="1" s="1"/>
  <c r="AS253" i="1"/>
  <c r="AP253" i="1"/>
  <c r="AQ253" i="1" s="1"/>
  <c r="AR253" i="1" s="1"/>
  <c r="AM253" i="1"/>
  <c r="AN253" i="1" s="1"/>
  <c r="AO253" i="1" s="1"/>
  <c r="AT252" i="1"/>
  <c r="AU252" i="1" s="1"/>
  <c r="AS252" i="1"/>
  <c r="AR252" i="1"/>
  <c r="AP252" i="1"/>
  <c r="AQ252" i="1" s="1"/>
  <c r="AN252" i="1"/>
  <c r="AO252" i="1" s="1"/>
  <c r="AM252" i="1"/>
  <c r="AR251" i="1"/>
  <c r="AP251" i="1"/>
  <c r="AQ251" i="1" s="1"/>
  <c r="AM251" i="1"/>
  <c r="AN251" i="1" s="1"/>
  <c r="AO251" i="1" s="1"/>
  <c r="AU250" i="1"/>
  <c r="AS250" i="1"/>
  <c r="AT250" i="1" s="1"/>
  <c r="AQ250" i="1"/>
  <c r="AR250" i="1" s="1"/>
  <c r="AP250" i="1"/>
  <c r="AN250" i="1"/>
  <c r="AO250" i="1" s="1"/>
  <c r="AM250" i="1"/>
  <c r="AS249" i="1"/>
  <c r="AT249" i="1" s="1"/>
  <c r="AU249" i="1" s="1"/>
  <c r="AR249" i="1"/>
  <c r="AP249" i="1"/>
  <c r="AO249" i="1"/>
  <c r="AU248" i="1"/>
  <c r="AT248" i="1"/>
  <c r="AS248" i="1"/>
  <c r="AR248" i="1"/>
  <c r="AP248" i="1"/>
  <c r="AQ248" i="1" s="1"/>
  <c r="AM248" i="1"/>
  <c r="AS247" i="1"/>
  <c r="AT247" i="1" s="1"/>
  <c r="AU247" i="1" s="1"/>
  <c r="AP247" i="1"/>
  <c r="AQ247" i="1" s="1"/>
  <c r="AR247" i="1" s="1"/>
  <c r="AN247" i="1"/>
  <c r="AO247" i="1" s="1"/>
  <c r="AM247" i="1"/>
  <c r="AS246" i="1"/>
  <c r="AT246" i="1" s="1"/>
  <c r="AU246" i="1" s="1"/>
  <c r="AQ246" i="1"/>
  <c r="AR246" i="1" s="1"/>
  <c r="AO246" i="1"/>
  <c r="AN246" i="1"/>
  <c r="AM246" i="1"/>
  <c r="AT245" i="1"/>
  <c r="AU245" i="1" s="1"/>
  <c r="AS245" i="1"/>
  <c r="AR245" i="1"/>
  <c r="AP245" i="1"/>
  <c r="AQ245" i="1" s="1"/>
  <c r="AM245" i="1"/>
  <c r="AN245" i="1" s="1"/>
  <c r="AO245" i="1" s="1"/>
  <c r="AU244" i="1"/>
  <c r="AS244" i="1"/>
  <c r="AT244" i="1" s="1"/>
  <c r="AR244" i="1"/>
  <c r="AP244" i="1"/>
  <c r="AQ244" i="1" s="1"/>
  <c r="AO244" i="1"/>
  <c r="AM244" i="1"/>
  <c r="AN244" i="1" s="1"/>
  <c r="AU243" i="1"/>
  <c r="AP243" i="1"/>
  <c r="AQ243" i="1" s="1"/>
  <c r="AR243" i="1" s="1"/>
  <c r="AM243" i="1"/>
  <c r="AN243" i="1" s="1"/>
  <c r="AO243" i="1" s="1"/>
  <c r="AU242" i="1"/>
  <c r="AT242" i="1"/>
  <c r="AS242" i="1"/>
  <c r="AP242" i="1"/>
  <c r="AQ242" i="1" s="1"/>
  <c r="AR242" i="1" s="1"/>
  <c r="AN242" i="1"/>
  <c r="AO242" i="1" s="1"/>
  <c r="AM242" i="1"/>
  <c r="AU241" i="1"/>
  <c r="AS241" i="1"/>
  <c r="AT241" i="1" s="1"/>
  <c r="AP241" i="1"/>
  <c r="AO241" i="1"/>
  <c r="AU240" i="1"/>
  <c r="AT240" i="1"/>
  <c r="AS240" i="1"/>
  <c r="AP240" i="1"/>
  <c r="AQ240" i="1" s="1"/>
  <c r="AR240" i="1" s="1"/>
  <c r="AO240" i="1"/>
  <c r="AM240" i="1"/>
  <c r="AN240" i="1" s="1"/>
  <c r="AS239" i="1"/>
  <c r="AT239" i="1" s="1"/>
  <c r="AU239" i="1" s="1"/>
  <c r="AP239" i="1"/>
  <c r="AQ239" i="1" s="1"/>
  <c r="AR239" i="1" s="1"/>
  <c r="AO239" i="1"/>
  <c r="AM239" i="1"/>
  <c r="AN239" i="1" s="1"/>
  <c r="AU238" i="1"/>
  <c r="AS238" i="1"/>
  <c r="AT238" i="1" s="1"/>
  <c r="AQ238" i="1"/>
  <c r="AR238" i="1" s="1"/>
  <c r="AO238" i="1"/>
  <c r="AN238" i="1"/>
  <c r="AM238" i="1"/>
  <c r="AT237" i="1"/>
  <c r="AU237" i="1" s="1"/>
  <c r="AS237" i="1"/>
  <c r="AR237" i="1"/>
  <c r="AQ237" i="1"/>
  <c r="AP237" i="1"/>
  <c r="AM237" i="1"/>
  <c r="AN237" i="1" s="1"/>
  <c r="AO237" i="1" s="1"/>
  <c r="AS236" i="1"/>
  <c r="AT236" i="1" s="1"/>
  <c r="AU236" i="1" s="1"/>
  <c r="AR236" i="1"/>
  <c r="AP236" i="1"/>
  <c r="AQ236" i="1" s="1"/>
  <c r="AN236" i="1"/>
  <c r="AO236" i="1" s="1"/>
  <c r="AM236" i="1"/>
  <c r="AT235" i="1"/>
  <c r="AU235" i="1" s="1"/>
  <c r="AR235" i="1"/>
  <c r="AP235" i="1"/>
  <c r="AN235" i="1"/>
  <c r="AO235" i="1" s="1"/>
  <c r="AM235" i="1"/>
  <c r="AU234" i="1"/>
  <c r="AT234" i="1"/>
  <c r="AS234" i="1"/>
  <c r="AP234" i="1"/>
  <c r="AQ234" i="1" s="1"/>
  <c r="AR234" i="1" s="1"/>
  <c r="AM234" i="1"/>
  <c r="AN234" i="1" s="1"/>
  <c r="AO234" i="1" s="1"/>
  <c r="AS233" i="1"/>
  <c r="AT233" i="1" s="1"/>
  <c r="AU233" i="1" s="1"/>
  <c r="AR233" i="1"/>
  <c r="AP233" i="1"/>
  <c r="AO233" i="1"/>
  <c r="AU232" i="1"/>
  <c r="AS232" i="1"/>
  <c r="AT232" i="1" s="1"/>
  <c r="AP232" i="1"/>
  <c r="AQ232" i="1" s="1"/>
  <c r="AR232" i="1" s="1"/>
  <c r="AO232" i="1"/>
  <c r="AM232" i="1"/>
  <c r="AS231" i="1"/>
  <c r="AT231" i="1" s="1"/>
  <c r="AU231" i="1" s="1"/>
  <c r="AR231" i="1"/>
  <c r="AP231" i="1"/>
  <c r="AQ231" i="1" s="1"/>
  <c r="AO231" i="1"/>
  <c r="AN231" i="1"/>
  <c r="AM231" i="1"/>
  <c r="AT230" i="1"/>
  <c r="AU230" i="1" s="1"/>
  <c r="AS230" i="1"/>
  <c r="AQ230" i="1"/>
  <c r="AR230" i="1" s="1"/>
  <c r="AO230" i="1"/>
  <c r="AM230" i="1"/>
  <c r="AN230" i="1" s="1"/>
  <c r="AS229" i="1"/>
  <c r="AT229" i="1" s="1"/>
  <c r="AU229" i="1" s="1"/>
  <c r="AP229" i="1"/>
  <c r="AQ229" i="1" s="1"/>
  <c r="AR229" i="1" s="1"/>
  <c r="AN229" i="1"/>
  <c r="AO229" i="1" s="1"/>
  <c r="AM229" i="1"/>
  <c r="AT228" i="1"/>
  <c r="AU228" i="1" s="1"/>
  <c r="AS228" i="1"/>
  <c r="AR228" i="1"/>
  <c r="AP228" i="1"/>
  <c r="AQ228" i="1" s="1"/>
  <c r="AO228" i="1"/>
  <c r="AN228" i="1"/>
  <c r="AM228" i="1"/>
  <c r="AU227" i="1"/>
  <c r="AS227" i="1"/>
  <c r="AP227" i="1"/>
  <c r="AO227" i="1"/>
  <c r="AN227" i="1"/>
  <c r="AM227" i="1"/>
  <c r="AU226" i="1"/>
  <c r="AS226" i="1"/>
  <c r="AT226" i="1" s="1"/>
  <c r="AP226" i="1"/>
  <c r="AQ226" i="1" s="1"/>
  <c r="AR226" i="1" s="1"/>
  <c r="AO226" i="1"/>
  <c r="AM226" i="1"/>
  <c r="AN226" i="1" s="1"/>
  <c r="AU225" i="1"/>
  <c r="AT225" i="1"/>
  <c r="AS225" i="1"/>
  <c r="AP225" i="1"/>
  <c r="AO225" i="1"/>
  <c r="AU224" i="1"/>
  <c r="AS224" i="1"/>
  <c r="AT224" i="1" s="1"/>
  <c r="AR224" i="1"/>
  <c r="AQ224" i="1"/>
  <c r="AP224" i="1"/>
  <c r="AM224" i="1"/>
  <c r="AS223" i="1"/>
  <c r="AT223" i="1" s="1"/>
  <c r="AU223" i="1" s="1"/>
  <c r="AR223" i="1"/>
  <c r="AP223" i="1"/>
  <c r="AQ223" i="1" s="1"/>
  <c r="AM223" i="1"/>
  <c r="AN223" i="1" s="1"/>
  <c r="AO223" i="1" s="1"/>
  <c r="AU222" i="1"/>
  <c r="AS222" i="1"/>
  <c r="AT222" i="1" s="1"/>
  <c r="AR222" i="1"/>
  <c r="AP222" i="1"/>
  <c r="AQ222" i="1" s="1"/>
  <c r="AO222" i="1"/>
  <c r="AM222" i="1"/>
  <c r="AN222" i="1" s="1"/>
  <c r="AS221" i="1"/>
  <c r="AT221" i="1" s="1"/>
  <c r="AU221" i="1" s="1"/>
  <c r="AP221" i="1"/>
  <c r="AQ221" i="1" s="1"/>
  <c r="AR221" i="1" s="1"/>
  <c r="AN221" i="1"/>
  <c r="AO221" i="1" s="1"/>
  <c r="AM221" i="1"/>
  <c r="AS220" i="1"/>
  <c r="AT220" i="1" s="1"/>
  <c r="AU220" i="1" s="1"/>
  <c r="AR220" i="1"/>
  <c r="AP220" i="1"/>
  <c r="AQ220" i="1" s="1"/>
  <c r="AM220" i="1"/>
  <c r="AN220" i="1" s="1"/>
  <c r="AO220" i="1" s="1"/>
  <c r="AP219" i="1"/>
  <c r="AM219" i="1"/>
  <c r="AN219" i="1" s="1"/>
  <c r="AO219" i="1" s="1"/>
  <c r="AU218" i="1"/>
  <c r="AS218" i="1"/>
  <c r="AT218" i="1" s="1"/>
  <c r="AQ218" i="1"/>
  <c r="AR218" i="1" s="1"/>
  <c r="AP218" i="1"/>
  <c r="AM218" i="1"/>
  <c r="AN218" i="1" s="1"/>
  <c r="AO218" i="1" s="1"/>
  <c r="AS217" i="1"/>
  <c r="AT217" i="1" s="1"/>
  <c r="AU217" i="1" s="1"/>
  <c r="AR217" i="1"/>
  <c r="AP217" i="1"/>
  <c r="AU216" i="1"/>
  <c r="AS216" i="1"/>
  <c r="AT216" i="1" s="1"/>
  <c r="AR216" i="1"/>
  <c r="AP216" i="1"/>
  <c r="AQ216" i="1" s="1"/>
  <c r="AN216" i="1"/>
  <c r="AO216" i="1" s="1"/>
  <c r="AM216" i="1"/>
  <c r="AS215" i="1"/>
  <c r="AT215" i="1" s="1"/>
  <c r="AU215" i="1" s="1"/>
  <c r="AR215" i="1"/>
  <c r="AP215" i="1"/>
  <c r="AQ215" i="1" s="1"/>
  <c r="AO215" i="1"/>
  <c r="AM215" i="1"/>
  <c r="AN215" i="1" s="1"/>
  <c r="AS214" i="1"/>
  <c r="AT214" i="1" s="1"/>
  <c r="AU214" i="1" s="1"/>
  <c r="AQ214" i="1"/>
  <c r="AR214" i="1" s="1"/>
  <c r="AO214" i="1"/>
  <c r="AM214" i="1"/>
  <c r="AN214" i="1" s="1"/>
  <c r="AT213" i="1"/>
  <c r="AU213" i="1" s="1"/>
  <c r="AS213" i="1"/>
  <c r="AR213" i="1"/>
  <c r="AQ213" i="1"/>
  <c r="AP213" i="1"/>
  <c r="AN213" i="1"/>
  <c r="AO213" i="1" s="1"/>
  <c r="AM213" i="1"/>
  <c r="AS212" i="1"/>
  <c r="AT212" i="1" s="1"/>
  <c r="AU212" i="1" s="1"/>
  <c r="AR212" i="1"/>
  <c r="AP212" i="1"/>
  <c r="AQ212" i="1" s="1"/>
  <c r="AN212" i="1"/>
  <c r="AO212" i="1" s="1"/>
  <c r="AM212" i="1"/>
  <c r="AU211" i="1"/>
  <c r="AS211" i="1"/>
  <c r="AT211" i="1" s="1"/>
  <c r="AR211" i="1"/>
  <c r="AP211" i="1"/>
  <c r="AM211" i="1"/>
  <c r="AN211" i="1" s="1"/>
  <c r="AO211" i="1" s="1"/>
  <c r="AU210" i="1"/>
  <c r="AT210" i="1"/>
  <c r="AS210" i="1"/>
  <c r="AP210" i="1"/>
  <c r="AQ210" i="1" s="1"/>
  <c r="AR210" i="1" s="1"/>
  <c r="AM210" i="1"/>
  <c r="AN210" i="1" s="1"/>
  <c r="AO210" i="1" s="1"/>
  <c r="AU209" i="1"/>
  <c r="AT209" i="1"/>
  <c r="AS209" i="1"/>
  <c r="AR209" i="1"/>
  <c r="AP209" i="1"/>
  <c r="AO209" i="1"/>
  <c r="AU208" i="1"/>
  <c r="AS208" i="1"/>
  <c r="AT208" i="1" s="1"/>
  <c r="AP208" i="1"/>
  <c r="AQ208" i="1" s="1"/>
  <c r="AR208" i="1" s="1"/>
  <c r="AM208" i="1"/>
  <c r="AT207" i="1"/>
  <c r="AU207" i="1" s="1"/>
  <c r="AS207" i="1"/>
  <c r="AP207" i="1"/>
  <c r="AQ207" i="1" s="1"/>
  <c r="AR207" i="1" s="1"/>
  <c r="AM207" i="1"/>
  <c r="AN207" i="1" s="1"/>
  <c r="AO207" i="1" s="1"/>
  <c r="AU206" i="1"/>
  <c r="AS206" i="1"/>
  <c r="AT206" i="1" s="1"/>
  <c r="AQ206" i="1"/>
  <c r="AR206" i="1" s="1"/>
  <c r="AO206" i="1"/>
  <c r="AN206" i="1"/>
  <c r="AM206" i="1"/>
  <c r="AU205" i="1"/>
  <c r="AS205" i="1"/>
  <c r="AT205" i="1" s="1"/>
  <c r="AP205" i="1"/>
  <c r="AQ205" i="1" s="1"/>
  <c r="AR205" i="1" s="1"/>
  <c r="AM205" i="1"/>
  <c r="AN205" i="1" s="1"/>
  <c r="AO205" i="1" s="1"/>
  <c r="AU204" i="1"/>
  <c r="AS204" i="1"/>
  <c r="AT204" i="1" s="1"/>
  <c r="AR204" i="1"/>
  <c r="AP204" i="1"/>
  <c r="AQ204" i="1" s="1"/>
  <c r="AN204" i="1"/>
  <c r="AO204" i="1" s="1"/>
  <c r="AM204" i="1"/>
  <c r="AU203" i="1"/>
  <c r="AS203" i="1"/>
  <c r="AR203" i="1"/>
  <c r="AP203" i="1"/>
  <c r="AM203" i="1"/>
  <c r="AN203" i="1" s="1"/>
  <c r="AO203" i="1" s="1"/>
  <c r="AT202" i="1"/>
  <c r="AU202" i="1" s="1"/>
  <c r="AS202" i="1"/>
  <c r="AP202" i="1"/>
  <c r="AQ202" i="1" s="1"/>
  <c r="AR202" i="1" s="1"/>
  <c r="AM202" i="1"/>
  <c r="AN202" i="1" s="1"/>
  <c r="AO202" i="1" s="1"/>
  <c r="AS201" i="1"/>
  <c r="AT201" i="1" s="1"/>
  <c r="AU201" i="1" s="1"/>
  <c r="AR201" i="1"/>
  <c r="AP201" i="1"/>
  <c r="AQ201" i="1" s="1"/>
  <c r="AM201" i="1"/>
  <c r="AU200" i="1"/>
  <c r="AS200" i="1"/>
  <c r="AT200" i="1" s="1"/>
  <c r="AP200" i="1"/>
  <c r="AQ200" i="1" s="1"/>
  <c r="AR200" i="1" s="1"/>
  <c r="AM200" i="1"/>
  <c r="AS199" i="1"/>
  <c r="AT199" i="1" s="1"/>
  <c r="AU199" i="1" s="1"/>
  <c r="AR199" i="1"/>
  <c r="AP199" i="1"/>
  <c r="AQ199" i="1" s="1"/>
  <c r="AO199" i="1"/>
  <c r="AM199" i="1"/>
  <c r="AN199" i="1" s="1"/>
  <c r="AS198" i="1"/>
  <c r="AT198" i="1" s="1"/>
  <c r="AU198" i="1" s="1"/>
  <c r="AQ198" i="1"/>
  <c r="AR198" i="1" s="1"/>
  <c r="AO198" i="1"/>
  <c r="AM198" i="1"/>
  <c r="AN198" i="1" s="1"/>
  <c r="AS197" i="1"/>
  <c r="AT197" i="1" s="1"/>
  <c r="AU197" i="1" s="1"/>
  <c r="AP197" i="1"/>
  <c r="AQ197" i="1" s="1"/>
  <c r="AR197" i="1" s="1"/>
  <c r="AM197" i="1"/>
  <c r="AN197" i="1" s="1"/>
  <c r="AO197" i="1" s="1"/>
  <c r="AT196" i="1"/>
  <c r="AU196" i="1" s="1"/>
  <c r="AS196" i="1"/>
  <c r="AR196" i="1"/>
  <c r="AP196" i="1"/>
  <c r="AQ196" i="1" s="1"/>
  <c r="AN196" i="1"/>
  <c r="AO196" i="1" s="1"/>
  <c r="AM196" i="1"/>
  <c r="AU195" i="1"/>
  <c r="AP195" i="1"/>
  <c r="AM195" i="1"/>
  <c r="AN195" i="1" s="1"/>
  <c r="AO195" i="1" s="1"/>
  <c r="AU194" i="1"/>
  <c r="AS194" i="1"/>
  <c r="AT194" i="1" s="1"/>
  <c r="AP194" i="1"/>
  <c r="AQ194" i="1" s="1"/>
  <c r="AR194" i="1" s="1"/>
  <c r="AM194" i="1"/>
  <c r="AN194" i="1" s="1"/>
  <c r="AO194" i="1" s="1"/>
  <c r="AU193" i="1"/>
  <c r="AT193" i="1"/>
  <c r="AS193" i="1"/>
  <c r="AP193" i="1"/>
  <c r="AO193" i="1"/>
  <c r="AU192" i="1"/>
  <c r="AS192" i="1"/>
  <c r="AT192" i="1" s="1"/>
  <c r="AP192" i="1"/>
  <c r="AQ192" i="1" s="1"/>
  <c r="AR192" i="1" s="1"/>
  <c r="AM192" i="1"/>
  <c r="AT191" i="1"/>
  <c r="AU191" i="1" s="1"/>
  <c r="AS191" i="1"/>
  <c r="AP191" i="1"/>
  <c r="AQ191" i="1" s="1"/>
  <c r="AR191" i="1" s="1"/>
  <c r="AN191" i="1"/>
  <c r="AO191" i="1" s="1"/>
  <c r="AM191" i="1"/>
  <c r="AU190" i="1"/>
  <c r="AT190" i="1"/>
  <c r="AS190" i="1"/>
  <c r="AQ190" i="1"/>
  <c r="AR190" i="1" s="1"/>
  <c r="AO190" i="1"/>
  <c r="AM190" i="1"/>
  <c r="AN190" i="1" s="1"/>
  <c r="AS189" i="1"/>
  <c r="AT189" i="1" s="1"/>
  <c r="AU189" i="1" s="1"/>
  <c r="AP189" i="1"/>
  <c r="AQ189" i="1" s="1"/>
  <c r="AR189" i="1" s="1"/>
  <c r="AM189" i="1"/>
  <c r="AN189" i="1" s="1"/>
  <c r="AO189" i="1" s="1"/>
  <c r="AS188" i="1"/>
  <c r="AT188" i="1" s="1"/>
  <c r="AU188" i="1" s="1"/>
  <c r="AR188" i="1"/>
  <c r="AP188" i="1"/>
  <c r="AQ188" i="1" s="1"/>
  <c r="AM188" i="1"/>
  <c r="AN188" i="1" s="1"/>
  <c r="AO188" i="1" s="1"/>
  <c r="AR187" i="1"/>
  <c r="AP187" i="1"/>
  <c r="AM187" i="1"/>
  <c r="AN187" i="1" s="1"/>
  <c r="AO187" i="1" s="1"/>
  <c r="AU186" i="1"/>
  <c r="AT186" i="1"/>
  <c r="AS186" i="1"/>
  <c r="AP186" i="1"/>
  <c r="AQ186" i="1" s="1"/>
  <c r="AR186" i="1" s="1"/>
  <c r="AM186" i="1"/>
  <c r="AN186" i="1" s="1"/>
  <c r="AO186" i="1" s="1"/>
  <c r="AU185" i="1"/>
  <c r="AS185" i="1"/>
  <c r="AT185" i="1" s="1"/>
  <c r="AR185" i="1"/>
  <c r="AP185" i="1"/>
  <c r="AU184" i="1"/>
  <c r="AS184" i="1"/>
  <c r="AT184" i="1" s="1"/>
  <c r="AP184" i="1"/>
  <c r="AQ184" i="1" s="1"/>
  <c r="AR184" i="1" s="1"/>
  <c r="AM184" i="1"/>
  <c r="AT183" i="1"/>
  <c r="AU183" i="1" s="1"/>
  <c r="AS183" i="1"/>
  <c r="AR183" i="1"/>
  <c r="AP183" i="1"/>
  <c r="AQ183" i="1" s="1"/>
  <c r="AO183" i="1"/>
  <c r="AN183" i="1"/>
  <c r="AM183" i="1"/>
  <c r="AU182" i="1"/>
  <c r="AT182" i="1"/>
  <c r="AS182" i="1"/>
  <c r="AQ182" i="1"/>
  <c r="AR182" i="1" s="1"/>
  <c r="AO182" i="1"/>
  <c r="AM182" i="1"/>
  <c r="AN182" i="1" s="1"/>
  <c r="AU181" i="1"/>
  <c r="AS181" i="1"/>
  <c r="AT181" i="1" s="1"/>
  <c r="AP181" i="1"/>
  <c r="AQ181" i="1" s="1"/>
  <c r="AR181" i="1" s="1"/>
  <c r="AM181" i="1"/>
  <c r="AN181" i="1" s="1"/>
  <c r="AO181" i="1" s="1"/>
  <c r="AU180" i="1"/>
  <c r="AS180" i="1"/>
  <c r="AT180" i="1" s="1"/>
  <c r="AR180" i="1"/>
  <c r="AP180" i="1"/>
  <c r="AQ180" i="1" s="1"/>
  <c r="AM180" i="1"/>
  <c r="AN180" i="1" s="1"/>
  <c r="AO180" i="1" s="1"/>
  <c r="AU179" i="1"/>
  <c r="AP179" i="1"/>
  <c r="AM179" i="1"/>
  <c r="AN179" i="1" s="1"/>
  <c r="AO179" i="1" s="1"/>
  <c r="AU178" i="1"/>
  <c r="AT178" i="1"/>
  <c r="AS178" i="1"/>
  <c r="AP178" i="1"/>
  <c r="AQ178" i="1" s="1"/>
  <c r="AR178" i="1" s="1"/>
  <c r="AM178" i="1"/>
  <c r="AN178" i="1" s="1"/>
  <c r="AO178" i="1" s="1"/>
  <c r="AU177" i="1"/>
  <c r="AT177" i="1"/>
  <c r="AS177" i="1"/>
  <c r="AP177" i="1"/>
  <c r="AO177" i="1"/>
  <c r="AU176" i="1"/>
  <c r="AS176" i="1"/>
  <c r="AT176" i="1" s="1"/>
  <c r="AP176" i="1"/>
  <c r="AQ176" i="1" s="1"/>
  <c r="AR176" i="1" s="1"/>
  <c r="AO176" i="1"/>
  <c r="AM176" i="1"/>
  <c r="AN176" i="1" s="1"/>
  <c r="AU175" i="1"/>
  <c r="AT175" i="1"/>
  <c r="AS175" i="1"/>
  <c r="AR175" i="1"/>
  <c r="AQ175" i="1"/>
  <c r="AP175" i="1"/>
  <c r="AO175" i="1"/>
  <c r="AN175" i="1"/>
  <c r="AM175" i="1"/>
  <c r="AU174" i="1"/>
  <c r="AT174" i="1"/>
  <c r="AS174" i="1"/>
  <c r="AR174" i="1"/>
  <c r="AQ174" i="1"/>
  <c r="AO174" i="1"/>
  <c r="AN174" i="1"/>
  <c r="AM174" i="1"/>
  <c r="AU173" i="1"/>
  <c r="AS173" i="1"/>
  <c r="AT173" i="1" s="1"/>
  <c r="AR173" i="1"/>
  <c r="AQ173" i="1"/>
  <c r="AP173" i="1"/>
  <c r="AN173" i="1"/>
  <c r="AO173" i="1" s="1"/>
  <c r="AM173" i="1"/>
  <c r="AU172" i="1"/>
  <c r="AS172" i="1"/>
  <c r="AT172" i="1" s="1"/>
  <c r="AR172" i="1"/>
  <c r="AQ172" i="1"/>
  <c r="AP172" i="1"/>
  <c r="AO172" i="1"/>
  <c r="AM172" i="1"/>
  <c r="AN172" i="1" s="1"/>
  <c r="AR171" i="1"/>
  <c r="AP171" i="1"/>
  <c r="AO171" i="1"/>
  <c r="AM171" i="1"/>
  <c r="AN171" i="1" s="1"/>
  <c r="AT170" i="1"/>
  <c r="AU170" i="1" s="1"/>
  <c r="AS170" i="1"/>
  <c r="AQ170" i="1"/>
  <c r="AR170" i="1" s="1"/>
  <c r="AP170" i="1"/>
  <c r="AO170" i="1"/>
  <c r="AN170" i="1"/>
  <c r="AM170" i="1"/>
  <c r="AT169" i="1"/>
  <c r="AU169" i="1" s="1"/>
  <c r="AS169" i="1"/>
  <c r="AR169" i="1"/>
  <c r="AP169" i="1"/>
  <c r="AO169" i="1"/>
  <c r="AU168" i="1"/>
  <c r="AT168" i="1"/>
  <c r="AS168" i="1"/>
  <c r="AQ168" i="1"/>
  <c r="AR168" i="1" s="1"/>
  <c r="AP168" i="1"/>
  <c r="AO168" i="1"/>
  <c r="AM168" i="1"/>
  <c r="AS167" i="1"/>
  <c r="AT167" i="1" s="1"/>
  <c r="AU167" i="1" s="1"/>
  <c r="AR167" i="1"/>
  <c r="AP167" i="1"/>
  <c r="AQ167" i="1" s="1"/>
  <c r="AO167" i="1"/>
  <c r="AM167" i="1"/>
  <c r="AN167" i="1" s="1"/>
  <c r="AT166" i="1"/>
  <c r="AU166" i="1" s="1"/>
  <c r="AS166" i="1"/>
  <c r="AP166" i="1"/>
  <c r="AQ166" i="1" s="1"/>
  <c r="AR166" i="1" s="1"/>
  <c r="AO166" i="1"/>
  <c r="AM166" i="1"/>
  <c r="AN166" i="1" s="1"/>
  <c r="AS165" i="1"/>
  <c r="AT165" i="1" s="1"/>
  <c r="AU165" i="1" s="1"/>
  <c r="AP165" i="1"/>
  <c r="AQ165" i="1" s="1"/>
  <c r="AR165" i="1" s="1"/>
  <c r="AM165" i="1"/>
  <c r="AN165" i="1" s="1"/>
  <c r="AO165" i="1" s="1"/>
  <c r="AT164" i="1"/>
  <c r="AU164" i="1" s="1"/>
  <c r="AS164" i="1"/>
  <c r="AP164" i="1"/>
  <c r="AQ164" i="1" s="1"/>
  <c r="AR164" i="1" s="1"/>
  <c r="AO164" i="1"/>
  <c r="AM164" i="1"/>
  <c r="AN164" i="1" s="1"/>
  <c r="AU163" i="1"/>
  <c r="AR163" i="1"/>
  <c r="AP163" i="1"/>
  <c r="AQ163" i="1" s="1"/>
  <c r="AO163" i="1"/>
  <c r="AN163" i="1"/>
  <c r="AM163" i="1"/>
  <c r="AU162" i="1"/>
  <c r="AT162" i="1"/>
  <c r="AS162" i="1"/>
  <c r="AP162" i="1"/>
  <c r="AQ162" i="1" s="1"/>
  <c r="AR162" i="1" s="1"/>
  <c r="AO162" i="1"/>
  <c r="AN162" i="1"/>
  <c r="AM162" i="1"/>
  <c r="AU161" i="1"/>
  <c r="AT161" i="1"/>
  <c r="AS161" i="1"/>
  <c r="AP161" i="1"/>
  <c r="AU160" i="1"/>
  <c r="AS160" i="1"/>
  <c r="AT160" i="1" s="1"/>
  <c r="AQ160" i="1"/>
  <c r="AR160" i="1" s="1"/>
  <c r="AP160" i="1"/>
  <c r="AM160" i="1"/>
  <c r="AT159" i="1"/>
  <c r="AU159" i="1" s="1"/>
  <c r="AS159" i="1"/>
  <c r="AQ159" i="1"/>
  <c r="AR159" i="1" s="1"/>
  <c r="AP159" i="1"/>
  <c r="AM159" i="1"/>
  <c r="AN159" i="1" s="1"/>
  <c r="AO159" i="1" s="1"/>
  <c r="AS158" i="1"/>
  <c r="AT158" i="1" s="1"/>
  <c r="AU158" i="1" s="1"/>
  <c r="AO158" i="1"/>
  <c r="AM158" i="1"/>
  <c r="AN158" i="1" s="1"/>
  <c r="AU157" i="1"/>
  <c r="AS157" i="1"/>
  <c r="AT157" i="1" s="1"/>
  <c r="AP157" i="1"/>
  <c r="AQ157" i="1" s="1"/>
  <c r="AR157" i="1" s="1"/>
  <c r="AM157" i="1"/>
  <c r="AN157" i="1" s="1"/>
  <c r="AO157" i="1" s="1"/>
  <c r="AU156" i="1"/>
  <c r="AT156" i="1"/>
  <c r="AS156" i="1"/>
  <c r="AP156" i="1"/>
  <c r="AQ156" i="1" s="1"/>
  <c r="AR156" i="1" s="1"/>
  <c r="AO156" i="1"/>
  <c r="AM156" i="1"/>
  <c r="AN156" i="1" s="1"/>
  <c r="AP155" i="1"/>
  <c r="AQ155" i="1" s="1"/>
  <c r="AR155" i="1" s="1"/>
  <c r="AO155" i="1"/>
  <c r="AM155" i="1"/>
  <c r="AN155" i="1" s="1"/>
  <c r="AS154" i="1"/>
  <c r="AT154" i="1" s="1"/>
  <c r="AU154" i="1" s="1"/>
  <c r="AP154" i="1"/>
  <c r="AQ154" i="1" s="1"/>
  <c r="AR154" i="1" s="1"/>
  <c r="AO154" i="1"/>
  <c r="AN154" i="1"/>
  <c r="AM154" i="1"/>
  <c r="AS153" i="1"/>
  <c r="AT153" i="1" s="1"/>
  <c r="AU153" i="1" s="1"/>
  <c r="AP153" i="1"/>
  <c r="AU152" i="1"/>
  <c r="AT152" i="1"/>
  <c r="AS152" i="1"/>
  <c r="AR152" i="1"/>
  <c r="AQ152" i="1"/>
  <c r="AP152" i="1"/>
  <c r="AO152" i="1"/>
  <c r="AM152" i="1"/>
  <c r="AS151" i="1"/>
  <c r="AT151" i="1" s="1"/>
  <c r="AU151" i="1" s="1"/>
  <c r="AR151" i="1"/>
  <c r="AP151" i="1"/>
  <c r="AQ151" i="1" s="1"/>
  <c r="AO151" i="1"/>
  <c r="AM151" i="1"/>
  <c r="AN151" i="1" s="1"/>
  <c r="AS150" i="1"/>
  <c r="AT150" i="1" s="1"/>
  <c r="AU150" i="1" s="1"/>
  <c r="AO150" i="1"/>
  <c r="AM150" i="1"/>
  <c r="AN150" i="1" s="1"/>
  <c r="AS149" i="1"/>
  <c r="AT149" i="1" s="1"/>
  <c r="AU149" i="1" s="1"/>
  <c r="AP149" i="1"/>
  <c r="AQ149" i="1" s="1"/>
  <c r="AR149" i="1" s="1"/>
  <c r="AM149" i="1"/>
  <c r="AN149" i="1" s="1"/>
  <c r="AO149" i="1" s="1"/>
  <c r="AS148" i="1"/>
  <c r="AT148" i="1" s="1"/>
  <c r="AU148" i="1" s="1"/>
  <c r="AP148" i="1"/>
  <c r="AQ148" i="1" s="1"/>
  <c r="AR148" i="1" s="1"/>
  <c r="AO148" i="1"/>
  <c r="AM148" i="1"/>
  <c r="AN148" i="1" s="1"/>
  <c r="AU147" i="1"/>
  <c r="AT147" i="1"/>
  <c r="AS147" i="1"/>
  <c r="AR147" i="1"/>
  <c r="AP147" i="1"/>
  <c r="AO147" i="1"/>
  <c r="AM147" i="1"/>
  <c r="AN147" i="1" s="1"/>
  <c r="AU146" i="1"/>
  <c r="AT146" i="1"/>
  <c r="AS146" i="1"/>
  <c r="AP146" i="1"/>
  <c r="AO146" i="1"/>
  <c r="AM146" i="1"/>
  <c r="AN146" i="1" s="1"/>
  <c r="AU145" i="1"/>
  <c r="AS145" i="1"/>
  <c r="AT145" i="1" s="1"/>
  <c r="AP145" i="1"/>
  <c r="AU144" i="1"/>
  <c r="AT144" i="1"/>
  <c r="AS144" i="1"/>
  <c r="AP144" i="1"/>
  <c r="AQ144" i="1" s="1"/>
  <c r="AR144" i="1" s="1"/>
  <c r="AM144" i="1"/>
  <c r="AS143" i="1"/>
  <c r="AT143" i="1" s="1"/>
  <c r="AU143" i="1" s="1"/>
  <c r="AP143" i="1"/>
  <c r="AM143" i="1"/>
  <c r="AN143" i="1" s="1"/>
  <c r="AO143" i="1" s="1"/>
  <c r="AT142" i="1"/>
  <c r="AU142" i="1" s="1"/>
  <c r="AS142" i="1"/>
  <c r="AO142" i="1"/>
  <c r="AN142" i="1"/>
  <c r="AM142" i="1"/>
  <c r="AU141" i="1"/>
  <c r="AT141" i="1"/>
  <c r="AS141" i="1"/>
  <c r="AP141" i="1"/>
  <c r="AQ141" i="1" s="1"/>
  <c r="AR141" i="1" s="1"/>
  <c r="AM141" i="1"/>
  <c r="AN141" i="1" s="1"/>
  <c r="AO141" i="1" s="1"/>
  <c r="AU140" i="1"/>
  <c r="AS140" i="1"/>
  <c r="AT140" i="1" s="1"/>
  <c r="AQ140" i="1"/>
  <c r="AR140" i="1" s="1"/>
  <c r="AP140" i="1"/>
  <c r="AO140" i="1"/>
  <c r="AM140" i="1"/>
  <c r="AN140" i="1" s="1"/>
  <c r="AT139" i="1"/>
  <c r="AU139" i="1" s="1"/>
  <c r="AP139" i="1"/>
  <c r="AO139" i="1"/>
  <c r="AN139" i="1"/>
  <c r="AM139" i="1"/>
  <c r="AT138" i="1"/>
  <c r="AU138" i="1" s="1"/>
  <c r="AS138" i="1"/>
  <c r="AP138" i="1"/>
  <c r="AQ138" i="1" s="1"/>
  <c r="AR138" i="1" s="1"/>
  <c r="AO138" i="1"/>
  <c r="AM138" i="1"/>
  <c r="AN138" i="1" s="1"/>
  <c r="AT137" i="1"/>
  <c r="AU137" i="1" s="1"/>
  <c r="AS137" i="1"/>
  <c r="AQ137" i="1"/>
  <c r="AR137" i="1" s="1"/>
  <c r="AP137" i="1"/>
  <c r="AU136" i="1"/>
  <c r="AT136" i="1"/>
  <c r="AS136" i="1"/>
  <c r="AR136" i="1"/>
  <c r="AQ136" i="1"/>
  <c r="AP136" i="1"/>
  <c r="AO136" i="1"/>
  <c r="AM136" i="1"/>
  <c r="AT135" i="1"/>
  <c r="AU135" i="1" s="1"/>
  <c r="AS135" i="1"/>
  <c r="AR135" i="1"/>
  <c r="AQ135" i="1"/>
  <c r="AP135" i="1"/>
  <c r="AO135" i="1"/>
  <c r="AN135" i="1"/>
  <c r="AM135" i="1"/>
  <c r="AS134" i="1"/>
  <c r="AT134" i="1" s="1"/>
  <c r="AU134" i="1" s="1"/>
  <c r="AP134" i="1"/>
  <c r="AQ134" i="1" s="1"/>
  <c r="AR134" i="1" s="1"/>
  <c r="AO134" i="1"/>
  <c r="AN134" i="1"/>
  <c r="AM134" i="1"/>
  <c r="AT133" i="1"/>
  <c r="AU133" i="1" s="1"/>
  <c r="AS133" i="1"/>
  <c r="AP133" i="1"/>
  <c r="AQ133" i="1" s="1"/>
  <c r="AR133" i="1" s="1"/>
  <c r="AM133" i="1"/>
  <c r="AN133" i="1" s="1"/>
  <c r="AO133" i="1" s="1"/>
  <c r="AT132" i="1"/>
  <c r="AU132" i="1" s="1"/>
  <c r="AS132" i="1"/>
  <c r="AQ132" i="1"/>
  <c r="AR132" i="1" s="1"/>
  <c r="AP132" i="1"/>
  <c r="AO132" i="1"/>
  <c r="AN132" i="1"/>
  <c r="AM132" i="1"/>
  <c r="AU131" i="1"/>
  <c r="AR131" i="1"/>
  <c r="AP131" i="1"/>
  <c r="AQ131" i="1" s="1"/>
  <c r="AO131" i="1"/>
  <c r="AM131" i="1"/>
  <c r="AN131" i="1" s="1"/>
  <c r="AU130" i="1"/>
  <c r="AS130" i="1"/>
  <c r="AT130" i="1" s="1"/>
  <c r="AQ130" i="1"/>
  <c r="AR130" i="1" s="1"/>
  <c r="AP130" i="1"/>
  <c r="AO130" i="1"/>
  <c r="AM130" i="1"/>
  <c r="AN130" i="1" s="1"/>
  <c r="AU129" i="1"/>
  <c r="AS129" i="1"/>
  <c r="AT129" i="1" s="1"/>
  <c r="AP129" i="1"/>
  <c r="AU128" i="1"/>
  <c r="AT128" i="1"/>
  <c r="AS128" i="1"/>
  <c r="AP128" i="1"/>
  <c r="AQ128" i="1" s="1"/>
  <c r="AR128" i="1" s="1"/>
  <c r="AM128" i="1"/>
  <c r="AN128" i="1" s="1"/>
  <c r="AO128" i="1" s="1"/>
  <c r="AT127" i="1"/>
  <c r="AU127" i="1" s="1"/>
  <c r="AS127" i="1"/>
  <c r="AQ127" i="1"/>
  <c r="AR127" i="1" s="1"/>
  <c r="AP127" i="1"/>
  <c r="AM127" i="1"/>
  <c r="AN127" i="1" s="1"/>
  <c r="AO127" i="1" s="1"/>
  <c r="AS126" i="1"/>
  <c r="AT126" i="1" s="1"/>
  <c r="AU126" i="1" s="1"/>
  <c r="AO126" i="1"/>
  <c r="AM126" i="1"/>
  <c r="AN126" i="1" s="1"/>
  <c r="AU125" i="1"/>
  <c r="AS125" i="1"/>
  <c r="AT125" i="1" s="1"/>
  <c r="AP125" i="1"/>
  <c r="AQ125" i="1" s="1"/>
  <c r="AR125" i="1" s="1"/>
  <c r="AM125" i="1"/>
  <c r="AN125" i="1" s="1"/>
  <c r="AO125" i="1" s="1"/>
  <c r="AU124" i="1"/>
  <c r="AS124" i="1"/>
  <c r="AT124" i="1" s="1"/>
  <c r="AP124" i="1"/>
  <c r="AQ124" i="1" s="1"/>
  <c r="AR124" i="1" s="1"/>
  <c r="AO124" i="1"/>
  <c r="AM124" i="1"/>
  <c r="AN124" i="1" s="1"/>
  <c r="AP123" i="1"/>
  <c r="AO123" i="1"/>
  <c r="AN123" i="1"/>
  <c r="AM123" i="1"/>
  <c r="AS122" i="1"/>
  <c r="AT122" i="1" s="1"/>
  <c r="AU122" i="1" s="1"/>
  <c r="AP122" i="1"/>
  <c r="AQ122" i="1" s="1"/>
  <c r="AR122" i="1" s="1"/>
  <c r="AO122" i="1"/>
  <c r="AM122" i="1"/>
  <c r="AN122" i="1" s="1"/>
  <c r="AS121" i="1"/>
  <c r="AT121" i="1" s="1"/>
  <c r="AU121" i="1" s="1"/>
  <c r="AP121" i="1"/>
  <c r="AU120" i="1"/>
  <c r="AT120" i="1"/>
  <c r="AS120" i="1"/>
  <c r="AR120" i="1"/>
  <c r="AP120" i="1"/>
  <c r="AQ120" i="1" s="1"/>
  <c r="AO120" i="1"/>
  <c r="AM120" i="1"/>
  <c r="AS119" i="1"/>
  <c r="AT119" i="1" s="1"/>
  <c r="AU119" i="1" s="1"/>
  <c r="AR119" i="1"/>
  <c r="AP119" i="1"/>
  <c r="AQ119" i="1" s="1"/>
  <c r="AO119" i="1"/>
  <c r="AM119" i="1"/>
  <c r="AN119" i="1" s="1"/>
  <c r="AS118" i="1"/>
  <c r="AT118" i="1" s="1"/>
  <c r="AU118" i="1" s="1"/>
  <c r="AO118" i="1"/>
  <c r="AM118" i="1"/>
  <c r="AN118" i="1" s="1"/>
  <c r="AU117" i="1"/>
  <c r="AS117" i="1"/>
  <c r="AT117" i="1" s="1"/>
  <c r="AR117" i="1"/>
  <c r="AQ117" i="1"/>
  <c r="AP117" i="1"/>
  <c r="AO117" i="1"/>
  <c r="AN117" i="1"/>
  <c r="AM117" i="1"/>
  <c r="AU116" i="1"/>
  <c r="AT116" i="1"/>
  <c r="AS116" i="1"/>
  <c r="AR116" i="1"/>
  <c r="AQ116" i="1"/>
  <c r="AP116" i="1"/>
  <c r="AO116" i="1"/>
  <c r="AN116" i="1"/>
  <c r="AM116" i="1"/>
  <c r="AU115" i="1"/>
  <c r="AR115" i="1"/>
  <c r="AP115" i="1"/>
  <c r="AO115" i="1"/>
  <c r="AN115" i="1"/>
  <c r="AM115" i="1"/>
  <c r="AU114" i="1"/>
  <c r="AT114" i="1"/>
  <c r="AS114" i="1"/>
  <c r="AR114" i="1"/>
  <c r="AQ114" i="1"/>
  <c r="AP114" i="1"/>
  <c r="AO114" i="1"/>
  <c r="AN114" i="1"/>
  <c r="AM114" i="1"/>
  <c r="AU113" i="1"/>
  <c r="AS113" i="1"/>
  <c r="AT113" i="1" s="1"/>
  <c r="AP113" i="1"/>
  <c r="AQ113" i="1" s="1"/>
  <c r="AR113" i="1" s="1"/>
  <c r="AO113" i="1"/>
  <c r="AU112" i="1"/>
  <c r="AS112" i="1"/>
  <c r="AT112" i="1" s="1"/>
  <c r="AP112" i="1"/>
  <c r="AQ112" i="1" s="1"/>
  <c r="AR112" i="1" s="1"/>
  <c r="AN112" i="1"/>
  <c r="AO112" i="1" s="1"/>
  <c r="AM112" i="1"/>
  <c r="AT111" i="1"/>
  <c r="AU111" i="1" s="1"/>
  <c r="AS111" i="1"/>
  <c r="AP111" i="1"/>
  <c r="AQ111" i="1" s="1"/>
  <c r="AR111" i="1" s="1"/>
  <c r="AM111" i="1"/>
  <c r="AN111" i="1" s="1"/>
  <c r="AO111" i="1" s="1"/>
  <c r="AU110" i="1"/>
  <c r="AS110" i="1"/>
  <c r="AT110" i="1" s="1"/>
  <c r="AR110" i="1"/>
  <c r="AQ110" i="1"/>
  <c r="AO110" i="1"/>
  <c r="AM110" i="1"/>
  <c r="AN110" i="1" s="1"/>
  <c r="AT109" i="1"/>
  <c r="AU109" i="1" s="1"/>
  <c r="AS109" i="1"/>
  <c r="AP109" i="1"/>
  <c r="AQ109" i="1" s="1"/>
  <c r="AR109" i="1" s="1"/>
  <c r="AM109" i="1"/>
  <c r="AN109" i="1" s="1"/>
  <c r="AO109" i="1" s="1"/>
  <c r="AS108" i="1"/>
  <c r="AT108" i="1" s="1"/>
  <c r="AU108" i="1" s="1"/>
  <c r="AR108" i="1"/>
  <c r="AP108" i="1"/>
  <c r="AQ108" i="1" s="1"/>
  <c r="AN108" i="1"/>
  <c r="AO108" i="1" s="1"/>
  <c r="AM108" i="1"/>
  <c r="AT107" i="1"/>
  <c r="AU107" i="1" s="1"/>
  <c r="AP107" i="1"/>
  <c r="AN107" i="1"/>
  <c r="AO107" i="1" s="1"/>
  <c r="AM107" i="1"/>
  <c r="AS106" i="1"/>
  <c r="AT106" i="1" s="1"/>
  <c r="AU106" i="1" s="1"/>
  <c r="AP106" i="1"/>
  <c r="AQ106" i="1" s="1"/>
  <c r="AR106" i="1" s="1"/>
  <c r="AM106" i="1"/>
  <c r="AN106" i="1" s="1"/>
  <c r="AO106" i="1" s="1"/>
  <c r="AT105" i="1"/>
  <c r="AU105" i="1" s="1"/>
  <c r="AS105" i="1"/>
  <c r="AQ105" i="1"/>
  <c r="AR105" i="1" s="1"/>
  <c r="AP105" i="1"/>
  <c r="AO105" i="1"/>
  <c r="AU104" i="1"/>
  <c r="AS104" i="1"/>
  <c r="AT104" i="1" s="1"/>
  <c r="AP104" i="1"/>
  <c r="AQ104" i="1" s="1"/>
  <c r="AR104" i="1" s="1"/>
  <c r="AM104" i="1"/>
  <c r="AS103" i="1"/>
  <c r="AT103" i="1" s="1"/>
  <c r="AU103" i="1" s="1"/>
  <c r="AP103" i="1"/>
  <c r="AQ103" i="1" s="1"/>
  <c r="AR103" i="1" s="1"/>
  <c r="AN103" i="1"/>
  <c r="AO103" i="1" s="1"/>
  <c r="AM103" i="1"/>
  <c r="AU102" i="1"/>
  <c r="AS102" i="1"/>
  <c r="AT102" i="1" s="1"/>
  <c r="AQ102" i="1"/>
  <c r="AR102" i="1" s="1"/>
  <c r="AO102" i="1"/>
  <c r="AM102" i="1"/>
  <c r="AN102" i="1" s="1"/>
  <c r="AS101" i="1"/>
  <c r="AT101" i="1" s="1"/>
  <c r="AU101" i="1" s="1"/>
  <c r="AP101" i="1"/>
  <c r="AQ101" i="1" s="1"/>
  <c r="AR101" i="1" s="1"/>
  <c r="AM101" i="1"/>
  <c r="AN101" i="1" s="1"/>
  <c r="AO101" i="1" s="1"/>
  <c r="AS100" i="1"/>
  <c r="AT100" i="1" s="1"/>
  <c r="AU100" i="1" s="1"/>
  <c r="AR100" i="1"/>
  <c r="AP100" i="1"/>
  <c r="AQ100" i="1" s="1"/>
  <c r="AO100" i="1"/>
  <c r="AM100" i="1"/>
  <c r="AN100" i="1" s="1"/>
  <c r="AU99" i="1"/>
  <c r="AP99" i="1"/>
  <c r="AO99" i="1"/>
  <c r="AM99" i="1"/>
  <c r="AN99" i="1" s="1"/>
  <c r="AU98" i="1"/>
  <c r="AT98" i="1"/>
  <c r="AS98" i="1"/>
  <c r="AP98" i="1"/>
  <c r="AQ98" i="1" s="1"/>
  <c r="AR98" i="1" s="1"/>
  <c r="AO98" i="1"/>
  <c r="AN98" i="1"/>
  <c r="AM98" i="1"/>
  <c r="AU97" i="1"/>
  <c r="AS97" i="1"/>
  <c r="AT97" i="1" s="1"/>
  <c r="AP97" i="1"/>
  <c r="AO97" i="1"/>
  <c r="AU96" i="1"/>
  <c r="AT96" i="1"/>
  <c r="AS96" i="1"/>
  <c r="AP96" i="1"/>
  <c r="AQ96" i="1" s="1"/>
  <c r="AR96" i="1" s="1"/>
  <c r="AM96" i="1"/>
  <c r="AS95" i="1"/>
  <c r="AT95" i="1" s="1"/>
  <c r="AU95" i="1" s="1"/>
  <c r="AQ95" i="1"/>
  <c r="AR95" i="1" s="1"/>
  <c r="AP95" i="1"/>
  <c r="AM95" i="1"/>
  <c r="AN95" i="1" s="1"/>
  <c r="AO95" i="1" s="1"/>
  <c r="AU94" i="1"/>
  <c r="AS94" i="1"/>
  <c r="AT94" i="1" s="1"/>
  <c r="AR94" i="1"/>
  <c r="AQ94" i="1"/>
  <c r="AO94" i="1"/>
  <c r="AM94" i="1"/>
  <c r="AN94" i="1" s="1"/>
  <c r="AT93" i="1"/>
  <c r="AU93" i="1" s="1"/>
  <c r="AS93" i="1"/>
  <c r="AP93" i="1"/>
  <c r="AQ93" i="1" s="1"/>
  <c r="AR93" i="1" s="1"/>
  <c r="AN93" i="1"/>
  <c r="AO93" i="1" s="1"/>
  <c r="AM93" i="1"/>
  <c r="AT92" i="1"/>
  <c r="AU92" i="1" s="1"/>
  <c r="AS92" i="1"/>
  <c r="AR92" i="1"/>
  <c r="AQ92" i="1"/>
  <c r="AP92" i="1"/>
  <c r="AM92" i="1"/>
  <c r="AN92" i="1" s="1"/>
  <c r="AO92" i="1" s="1"/>
  <c r="AP91" i="1"/>
  <c r="AN91" i="1"/>
  <c r="AO91" i="1" s="1"/>
  <c r="AM91" i="1"/>
  <c r="AS90" i="1"/>
  <c r="AT90" i="1" s="1"/>
  <c r="AU90" i="1" s="1"/>
  <c r="AP90" i="1"/>
  <c r="AQ90" i="1" s="1"/>
  <c r="AR90" i="1" s="1"/>
  <c r="AM90" i="1"/>
  <c r="AN90" i="1" s="1"/>
  <c r="AO90" i="1" s="1"/>
  <c r="AS89" i="1"/>
  <c r="AT89" i="1" s="1"/>
  <c r="AU89" i="1" s="1"/>
  <c r="AP89" i="1"/>
  <c r="AO89" i="1"/>
  <c r="AU88" i="1"/>
  <c r="AS88" i="1"/>
  <c r="AT88" i="1" s="1"/>
  <c r="AP88" i="1"/>
  <c r="AQ88" i="1" s="1"/>
  <c r="AR88" i="1" s="1"/>
  <c r="AM88" i="1"/>
  <c r="AN88" i="1" s="1"/>
  <c r="AO88" i="1" s="1"/>
  <c r="AS87" i="1"/>
  <c r="AT87" i="1" s="1"/>
  <c r="AU87" i="1" s="1"/>
  <c r="AP87" i="1"/>
  <c r="AQ87" i="1" s="1"/>
  <c r="AR87" i="1" s="1"/>
  <c r="AN87" i="1"/>
  <c r="AO87" i="1" s="1"/>
  <c r="AM87" i="1"/>
  <c r="AU86" i="1"/>
  <c r="AT86" i="1"/>
  <c r="AS86" i="1"/>
  <c r="AQ86" i="1"/>
  <c r="AR86" i="1" s="1"/>
  <c r="AO86" i="1"/>
  <c r="AM86" i="1"/>
  <c r="AN86" i="1" s="1"/>
  <c r="AS85" i="1"/>
  <c r="AT85" i="1" s="1"/>
  <c r="AU85" i="1" s="1"/>
  <c r="AP85" i="1"/>
  <c r="AQ85" i="1" s="1"/>
  <c r="AR85" i="1" s="1"/>
  <c r="AN85" i="1"/>
  <c r="AO85" i="1" s="1"/>
  <c r="AM85" i="1"/>
  <c r="AT84" i="1"/>
  <c r="AU84" i="1" s="1"/>
  <c r="AS84" i="1"/>
  <c r="AR84" i="1"/>
  <c r="AP84" i="1"/>
  <c r="AQ84" i="1" s="1"/>
  <c r="AO84" i="1"/>
  <c r="AN84" i="1"/>
  <c r="AM84" i="1"/>
  <c r="AU83" i="1"/>
  <c r="AP83" i="1"/>
  <c r="AQ83" i="1" s="1"/>
  <c r="AR83" i="1" s="1"/>
  <c r="AO83" i="1"/>
  <c r="AM83" i="1"/>
  <c r="AN83" i="1" s="1"/>
  <c r="AU82" i="1"/>
  <c r="AT82" i="1"/>
  <c r="AS82" i="1"/>
  <c r="AP82" i="1"/>
  <c r="AQ82" i="1" s="1"/>
  <c r="AR82" i="1" s="1"/>
  <c r="AO82" i="1"/>
  <c r="AN82" i="1"/>
  <c r="AM82" i="1"/>
  <c r="AU81" i="1"/>
  <c r="AT81" i="1"/>
  <c r="AS81" i="1"/>
  <c r="AP81" i="1"/>
  <c r="AQ81" i="1" s="1"/>
  <c r="AR81" i="1" s="1"/>
  <c r="AO81" i="1"/>
  <c r="AU80" i="1"/>
  <c r="AT80" i="1"/>
  <c r="AS80" i="1"/>
  <c r="AP80" i="1"/>
  <c r="AQ80" i="1" s="1"/>
  <c r="AR80" i="1" s="1"/>
  <c r="AM80" i="1"/>
  <c r="AS79" i="1"/>
  <c r="AT79" i="1" s="1"/>
  <c r="AU79" i="1" s="1"/>
  <c r="AQ79" i="1"/>
  <c r="AR79" i="1" s="1"/>
  <c r="AP79" i="1"/>
  <c r="AN79" i="1"/>
  <c r="AO79" i="1" s="1"/>
  <c r="AM79" i="1"/>
  <c r="AU78" i="1"/>
  <c r="AT78" i="1"/>
  <c r="AS78" i="1"/>
  <c r="AR78" i="1"/>
  <c r="AQ78" i="1"/>
  <c r="AO78" i="1"/>
  <c r="AN78" i="1"/>
  <c r="AM78" i="1"/>
  <c r="AS77" i="1"/>
  <c r="AT77" i="1" s="1"/>
  <c r="AU77" i="1" s="1"/>
  <c r="AP77" i="1"/>
  <c r="AQ77" i="1" s="1"/>
  <c r="AR77" i="1" s="1"/>
  <c r="AM77" i="1"/>
  <c r="AN77" i="1" s="1"/>
  <c r="AO77" i="1" s="1"/>
  <c r="AS76" i="1"/>
  <c r="AT76" i="1" s="1"/>
  <c r="AU76" i="1" s="1"/>
  <c r="AR76" i="1"/>
  <c r="AP76" i="1"/>
  <c r="AQ76" i="1" s="1"/>
  <c r="AM76" i="1"/>
  <c r="AN76" i="1" s="1"/>
  <c r="AO76" i="1" s="1"/>
  <c r="AP75" i="1"/>
  <c r="AN75" i="1"/>
  <c r="AO75" i="1" s="1"/>
  <c r="AM75" i="1"/>
  <c r="AT74" i="1"/>
  <c r="AU74" i="1" s="1"/>
  <c r="AS74" i="1"/>
  <c r="AP74" i="1"/>
  <c r="AQ74" i="1" s="1"/>
  <c r="AR74" i="1" s="1"/>
  <c r="AM74" i="1"/>
  <c r="AN74" i="1" s="1"/>
  <c r="AO74" i="1" s="1"/>
  <c r="AS73" i="1"/>
  <c r="AT73" i="1" s="1"/>
  <c r="AU73" i="1" s="1"/>
  <c r="AP73" i="1"/>
  <c r="AO73" i="1"/>
  <c r="AU72" i="1"/>
  <c r="AT72" i="1"/>
  <c r="AS72" i="1"/>
  <c r="AP72" i="1"/>
  <c r="AQ72" i="1" s="1"/>
  <c r="AR72" i="1" s="1"/>
  <c r="AM72" i="1"/>
  <c r="AS71" i="1"/>
  <c r="AT71" i="1" s="1"/>
  <c r="AU71" i="1" s="1"/>
  <c r="AP71" i="1"/>
  <c r="AQ71" i="1" s="1"/>
  <c r="AR71" i="1" s="1"/>
  <c r="AN71" i="1"/>
  <c r="AO71" i="1" s="1"/>
  <c r="AM71" i="1"/>
  <c r="AU70" i="1"/>
  <c r="AT70" i="1"/>
  <c r="AS70" i="1"/>
  <c r="AQ70" i="1"/>
  <c r="AR70" i="1" s="1"/>
  <c r="AO70" i="1"/>
  <c r="AM70" i="1"/>
  <c r="AN70" i="1" s="1"/>
  <c r="AT69" i="1"/>
  <c r="AU69" i="1" s="1"/>
  <c r="AS69" i="1"/>
  <c r="AP69" i="1"/>
  <c r="AQ69" i="1" s="1"/>
  <c r="AR69" i="1" s="1"/>
  <c r="AM69" i="1"/>
  <c r="AN69" i="1" s="1"/>
  <c r="AO69" i="1" s="1"/>
  <c r="AT68" i="1"/>
  <c r="AU68" i="1" s="1"/>
  <c r="AS68" i="1"/>
  <c r="AR68" i="1"/>
  <c r="AQ68" i="1"/>
  <c r="AP68" i="1"/>
  <c r="AO68" i="1"/>
  <c r="AM68" i="1"/>
  <c r="AN68" i="1" s="1"/>
  <c r="AU67" i="1"/>
  <c r="AT67" i="1"/>
  <c r="AP67" i="1"/>
  <c r="AQ67" i="1" s="1"/>
  <c r="AR67" i="1" s="1"/>
  <c r="AO67" i="1"/>
  <c r="AM67" i="1"/>
  <c r="AN67" i="1" s="1"/>
  <c r="AU66" i="1"/>
  <c r="AS66" i="1"/>
  <c r="AT66" i="1" s="1"/>
  <c r="AP66" i="1"/>
  <c r="AQ66" i="1" s="1"/>
  <c r="AR66" i="1" s="1"/>
  <c r="AO66" i="1"/>
  <c r="AN66" i="1"/>
  <c r="AM66" i="1"/>
  <c r="AS65" i="1"/>
  <c r="AT65" i="1" s="1"/>
  <c r="AU65" i="1" s="1"/>
  <c r="AP65" i="1"/>
  <c r="AU64" i="1"/>
  <c r="AT64" i="1"/>
  <c r="AS64" i="1"/>
  <c r="AR64" i="1"/>
  <c r="AP64" i="1"/>
  <c r="AQ64" i="1" s="1"/>
  <c r="AO64" i="1"/>
  <c r="AM64" i="1"/>
  <c r="AS63" i="1"/>
  <c r="AT63" i="1" s="1"/>
  <c r="AU63" i="1" s="1"/>
  <c r="AP63" i="1"/>
  <c r="AQ63" i="1" s="1"/>
  <c r="AR63" i="1" s="1"/>
  <c r="AN63" i="1"/>
  <c r="AO63" i="1" s="1"/>
  <c r="AM63" i="1"/>
  <c r="AS62" i="1"/>
  <c r="AT62" i="1" s="1"/>
  <c r="AU62" i="1" s="1"/>
  <c r="AQ62" i="1"/>
  <c r="AR62" i="1" s="1"/>
  <c r="AO62" i="1"/>
  <c r="AM62" i="1"/>
  <c r="AN62" i="1" s="1"/>
  <c r="AU61" i="1"/>
  <c r="AS61" i="1"/>
  <c r="AT61" i="1" s="1"/>
  <c r="AP61" i="1"/>
  <c r="AM61" i="1"/>
  <c r="AN61" i="1" s="1"/>
  <c r="AO61" i="1" s="1"/>
  <c r="AU60" i="1"/>
  <c r="AS60" i="1"/>
  <c r="AT60" i="1" s="1"/>
  <c r="AP60" i="1"/>
  <c r="AQ60" i="1" s="1"/>
  <c r="AR60" i="1" s="1"/>
  <c r="AN60" i="1"/>
  <c r="AO60" i="1" s="1"/>
  <c r="AM60" i="1"/>
  <c r="AP59" i="1"/>
  <c r="AO59" i="1"/>
  <c r="AM59" i="1"/>
  <c r="AN59" i="1" s="1"/>
  <c r="AU58" i="1"/>
  <c r="AS58" i="1"/>
  <c r="AT58" i="1" s="1"/>
  <c r="AP58" i="1"/>
  <c r="AQ58" i="1" s="1"/>
  <c r="AR58" i="1" s="1"/>
  <c r="AO58" i="1"/>
  <c r="AN58" i="1"/>
  <c r="AM58" i="1"/>
  <c r="AS57" i="1"/>
  <c r="AT57" i="1" s="1"/>
  <c r="AU57" i="1" s="1"/>
  <c r="AP57" i="1"/>
  <c r="AU56" i="1"/>
  <c r="AS56" i="1"/>
  <c r="AT56" i="1" s="1"/>
  <c r="AR56" i="1"/>
  <c r="AP56" i="1"/>
  <c r="AQ56" i="1" s="1"/>
  <c r="AO56" i="1"/>
  <c r="AM56" i="1"/>
  <c r="AN56" i="1" s="1"/>
  <c r="AS55" i="1"/>
  <c r="AT55" i="1" s="1"/>
  <c r="AU55" i="1" s="1"/>
  <c r="AP55" i="1"/>
  <c r="AQ55" i="1" s="1"/>
  <c r="AR55" i="1" s="1"/>
  <c r="AM55" i="1"/>
  <c r="AN55" i="1" s="1"/>
  <c r="AO55" i="1" s="1"/>
  <c r="AT54" i="1"/>
  <c r="AU54" i="1" s="1"/>
  <c r="AS54" i="1"/>
  <c r="AQ54" i="1"/>
  <c r="AR54" i="1" s="1"/>
  <c r="AP54" i="1"/>
  <c r="AO54" i="1"/>
  <c r="AN54" i="1"/>
  <c r="AM54" i="1"/>
  <c r="AU53" i="1"/>
  <c r="AT53" i="1"/>
  <c r="AS53" i="1"/>
  <c r="AP53" i="1"/>
  <c r="AQ53" i="1" s="1"/>
  <c r="AR53" i="1" s="1"/>
  <c r="AM53" i="1"/>
  <c r="AN53" i="1" s="1"/>
  <c r="AO53" i="1" s="1"/>
  <c r="AU52" i="1"/>
  <c r="AS52" i="1"/>
  <c r="AT52" i="1" s="1"/>
  <c r="AQ52" i="1"/>
  <c r="AR52" i="1" s="1"/>
  <c r="AP52" i="1"/>
  <c r="AN52" i="1"/>
  <c r="AO52" i="1" s="1"/>
  <c r="AM52" i="1"/>
  <c r="AT51" i="1"/>
  <c r="AU51" i="1" s="1"/>
  <c r="AP51" i="1"/>
  <c r="AO51" i="1"/>
  <c r="AM51" i="1"/>
  <c r="AN51" i="1" s="1"/>
  <c r="AU50" i="1"/>
  <c r="AT50" i="1"/>
  <c r="AS50" i="1"/>
  <c r="AP50" i="1"/>
  <c r="AQ50" i="1" s="1"/>
  <c r="AR50" i="1" s="1"/>
  <c r="AO50" i="1"/>
  <c r="AM50" i="1"/>
  <c r="AN50" i="1" s="1"/>
  <c r="AT49" i="1"/>
  <c r="AU49" i="1" s="1"/>
  <c r="AS49" i="1"/>
  <c r="AP49" i="1"/>
  <c r="AU48" i="1"/>
  <c r="AS48" i="1"/>
  <c r="AT48" i="1" s="1"/>
  <c r="AR48" i="1"/>
  <c r="AP48" i="1"/>
  <c r="AQ48" i="1" s="1"/>
  <c r="AO48" i="1"/>
  <c r="AM48" i="1"/>
  <c r="AS47" i="1"/>
  <c r="AT47" i="1" s="1"/>
  <c r="AU47" i="1" s="1"/>
  <c r="AP47" i="1"/>
  <c r="AQ47" i="1" s="1"/>
  <c r="AR47" i="1" s="1"/>
  <c r="AM47" i="1"/>
  <c r="AN47" i="1" s="1"/>
  <c r="AO47" i="1" s="1"/>
  <c r="AT46" i="1"/>
  <c r="AU46" i="1" s="1"/>
  <c r="AS46" i="1"/>
  <c r="AQ46" i="1"/>
  <c r="AR46" i="1" s="1"/>
  <c r="AO46" i="1"/>
  <c r="AM46" i="1"/>
  <c r="AN46" i="1" s="1"/>
  <c r="AU45" i="1"/>
  <c r="AS45" i="1"/>
  <c r="AT45" i="1" s="1"/>
  <c r="AP45" i="1"/>
  <c r="AQ45" i="1" s="1"/>
  <c r="AR45" i="1" s="1"/>
  <c r="AN45" i="1"/>
  <c r="AO45" i="1" s="1"/>
  <c r="AM45" i="1"/>
  <c r="AU44" i="1"/>
  <c r="AT44" i="1"/>
  <c r="AS44" i="1"/>
  <c r="AP44" i="1"/>
  <c r="AQ44" i="1" s="1"/>
  <c r="AR44" i="1" s="1"/>
  <c r="AM44" i="1"/>
  <c r="AN44" i="1" s="1"/>
  <c r="AO44" i="1" s="1"/>
  <c r="AP43" i="1"/>
  <c r="AO43" i="1"/>
  <c r="AN43" i="1"/>
  <c r="AM43" i="1"/>
  <c r="AU42" i="1"/>
  <c r="AT42" i="1"/>
  <c r="AS42" i="1"/>
  <c r="AP42" i="1"/>
  <c r="AQ42" i="1" s="1"/>
  <c r="AR42" i="1" s="1"/>
  <c r="AO42" i="1"/>
  <c r="AM42" i="1"/>
  <c r="AN42" i="1" s="1"/>
  <c r="AS41" i="1"/>
  <c r="AP41" i="1"/>
  <c r="AM41" i="1"/>
  <c r="AU40" i="1"/>
  <c r="AS40" i="1"/>
  <c r="AR40" i="1"/>
  <c r="AP40" i="1"/>
  <c r="AO40" i="1"/>
  <c r="AM40" i="1"/>
  <c r="AU39" i="1"/>
  <c r="AS39" i="1"/>
  <c r="AR39" i="1"/>
  <c r="AP39" i="1"/>
  <c r="AO39" i="1"/>
  <c r="AM39" i="1"/>
  <c r="AU38" i="1"/>
  <c r="AS38" i="1"/>
  <c r="AR38" i="1"/>
  <c r="AP38" i="1"/>
  <c r="AO38" i="1"/>
  <c r="AM38" i="1"/>
  <c r="AU37" i="1"/>
  <c r="AS37" i="1"/>
  <c r="AP37" i="1"/>
  <c r="AM37" i="1"/>
  <c r="AU36" i="1"/>
  <c r="AS36" i="1"/>
  <c r="AT36" i="1" s="1"/>
  <c r="AP36" i="1"/>
  <c r="AM36" i="1"/>
  <c r="AP35" i="1"/>
  <c r="AO35" i="1"/>
  <c r="AM35" i="1"/>
  <c r="AN35" i="1" s="1"/>
  <c r="AU34" i="1"/>
  <c r="AS34" i="1"/>
  <c r="AT34" i="1" s="1"/>
  <c r="AP34" i="1"/>
  <c r="AQ34" i="1" s="1"/>
  <c r="AR34" i="1" s="1"/>
  <c r="AO34" i="1"/>
  <c r="AN34" i="1"/>
  <c r="AM34" i="1"/>
  <c r="AS33" i="1"/>
  <c r="AT33" i="1" s="1"/>
  <c r="AU33" i="1" s="1"/>
  <c r="AP33" i="1"/>
  <c r="AU32" i="1"/>
  <c r="AT32" i="1"/>
  <c r="AS32" i="1"/>
  <c r="AR32" i="1"/>
  <c r="AP32" i="1"/>
  <c r="AQ32" i="1" s="1"/>
  <c r="AO32" i="1"/>
  <c r="AM32" i="1"/>
  <c r="AS31" i="1"/>
  <c r="AT31" i="1" s="1"/>
  <c r="AU31" i="1" s="1"/>
  <c r="AP31" i="1"/>
  <c r="AQ31" i="1" s="1"/>
  <c r="AR31" i="1" s="1"/>
  <c r="AN31" i="1"/>
  <c r="AO31" i="1" s="1"/>
  <c r="AM31" i="1"/>
  <c r="AS30" i="1"/>
  <c r="AT30" i="1" s="1"/>
  <c r="AU30" i="1" s="1"/>
  <c r="AQ30" i="1"/>
  <c r="AR30" i="1" s="1"/>
  <c r="AO30" i="1"/>
  <c r="AN30" i="1"/>
  <c r="AM30" i="1"/>
  <c r="AU29" i="1"/>
  <c r="AS29" i="1"/>
  <c r="AT29" i="1" s="1"/>
  <c r="AP29" i="1"/>
  <c r="AQ29" i="1" s="1"/>
  <c r="AR29" i="1" s="1"/>
  <c r="AM29" i="1"/>
  <c r="AN29" i="1" s="1"/>
  <c r="AO29" i="1" s="1"/>
  <c r="AU28" i="1"/>
  <c r="AS28" i="1"/>
  <c r="AT28" i="1" s="1"/>
  <c r="AP28" i="1"/>
  <c r="AQ28" i="1" s="1"/>
  <c r="AR28" i="1" s="1"/>
  <c r="AN28" i="1"/>
  <c r="AO28" i="1" s="1"/>
  <c r="AM28" i="1"/>
  <c r="AP27" i="1"/>
  <c r="AO27" i="1"/>
  <c r="AM27" i="1"/>
  <c r="AN27" i="1" s="1"/>
  <c r="AU26" i="1"/>
  <c r="AS26" i="1"/>
  <c r="AT26" i="1" s="1"/>
  <c r="AP26" i="1"/>
  <c r="AQ26" i="1" s="1"/>
  <c r="AR26" i="1" s="1"/>
  <c r="AO26" i="1"/>
  <c r="AN26" i="1"/>
  <c r="AM26" i="1"/>
  <c r="AT25" i="1"/>
  <c r="AU25" i="1" s="1"/>
  <c r="AS25" i="1"/>
  <c r="AP25" i="1"/>
  <c r="AN25" i="1"/>
  <c r="AO25" i="1" s="1"/>
  <c r="AM25" i="1"/>
  <c r="AU24" i="1"/>
  <c r="AT24" i="1"/>
  <c r="AS24" i="1"/>
  <c r="AR24" i="1"/>
  <c r="AP24" i="1"/>
  <c r="AQ24" i="1" s="1"/>
  <c r="AO24" i="1"/>
  <c r="AM24" i="1"/>
  <c r="AS23" i="1"/>
  <c r="AT23" i="1" s="1"/>
  <c r="AU23" i="1" s="1"/>
  <c r="AP23" i="1"/>
  <c r="AQ23" i="1" s="1"/>
  <c r="AR23" i="1" s="1"/>
  <c r="AN23" i="1"/>
  <c r="AO23" i="1" s="1"/>
  <c r="AM23" i="1"/>
  <c r="AS22" i="1"/>
  <c r="AT22" i="1" s="1"/>
  <c r="AU22" i="1" s="1"/>
  <c r="AQ22" i="1"/>
  <c r="AR22" i="1" s="1"/>
  <c r="AO22" i="1"/>
  <c r="AN22" i="1"/>
  <c r="AM22" i="1"/>
  <c r="AU21" i="1"/>
  <c r="AS21" i="1"/>
  <c r="AT21" i="1" s="1"/>
  <c r="AP21" i="1"/>
  <c r="AQ21" i="1" s="1"/>
  <c r="AR21" i="1" s="1"/>
  <c r="AM21" i="1"/>
  <c r="AN21" i="1" s="1"/>
  <c r="AO21" i="1" s="1"/>
  <c r="AO20" i="1"/>
  <c r="BG352" i="1"/>
  <c r="BE352" i="1"/>
  <c r="BC352" i="1"/>
  <c r="BA352" i="1"/>
  <c r="BF352" i="1"/>
  <c r="BG351" i="1"/>
  <c r="BE351" i="1"/>
  <c r="BC351" i="1"/>
  <c r="BB351" i="1"/>
  <c r="BA351" i="1"/>
  <c r="BG350" i="1"/>
  <c r="BE350" i="1"/>
  <c r="BC350" i="1"/>
  <c r="BA350" i="1"/>
  <c r="BB350" i="1"/>
  <c r="BF350" i="1"/>
  <c r="BG349" i="1"/>
  <c r="BE349" i="1"/>
  <c r="BC349" i="1"/>
  <c r="BA349" i="1"/>
  <c r="AV349" i="1"/>
  <c r="BF349" i="1"/>
  <c r="BG348" i="1"/>
  <c r="BE348" i="1"/>
  <c r="BC348" i="1"/>
  <c r="BB348" i="1"/>
  <c r="BA348" i="1"/>
  <c r="AW348" i="1"/>
  <c r="BG347" i="1"/>
  <c r="BE347" i="1"/>
  <c r="BC347" i="1"/>
  <c r="BG346" i="1"/>
  <c r="BE346" i="1"/>
  <c r="BC346" i="1"/>
  <c r="BA346" i="1"/>
  <c r="AW346" i="1"/>
  <c r="BG345" i="1"/>
  <c r="BE345" i="1"/>
  <c r="BD345" i="1"/>
  <c r="BC345" i="1"/>
  <c r="BG344" i="1"/>
  <c r="BE344" i="1"/>
  <c r="BC344" i="1"/>
  <c r="BB344" i="1"/>
  <c r="BA344" i="1"/>
  <c r="BF344" i="1"/>
  <c r="BG343" i="1"/>
  <c r="BE343" i="1"/>
  <c r="BC343" i="1"/>
  <c r="BA343" i="1"/>
  <c r="BD343" i="1"/>
  <c r="AW343" i="1"/>
  <c r="AV343" i="1"/>
  <c r="BG342" i="1"/>
  <c r="BE342" i="1"/>
  <c r="BC342" i="1"/>
  <c r="BA342" i="1"/>
  <c r="BG341" i="1"/>
  <c r="BE341" i="1"/>
  <c r="BD341" i="1"/>
  <c r="BC341" i="1"/>
  <c r="BA341" i="1"/>
  <c r="AV341" i="1"/>
  <c r="BG340" i="1"/>
  <c r="BE340" i="1"/>
  <c r="BD340" i="1"/>
  <c r="BC340" i="1"/>
  <c r="BA340" i="1"/>
  <c r="BG339" i="1"/>
  <c r="BE339" i="1"/>
  <c r="BC339" i="1"/>
  <c r="BA339" i="1"/>
  <c r="BD339" i="1"/>
  <c r="AW339" i="1"/>
  <c r="BG338" i="1"/>
  <c r="BE338" i="1"/>
  <c r="BD338" i="1"/>
  <c r="BC338" i="1"/>
  <c r="BA338" i="1"/>
  <c r="BB338" i="1"/>
  <c r="AW338" i="1"/>
  <c r="BF338" i="1"/>
  <c r="BG337" i="1"/>
  <c r="BE337" i="1"/>
  <c r="BC337" i="1"/>
  <c r="BA337" i="1"/>
  <c r="BF337" i="1"/>
  <c r="BG336" i="1"/>
  <c r="BE336" i="1"/>
  <c r="BC336" i="1"/>
  <c r="BA336" i="1"/>
  <c r="BF336" i="1"/>
  <c r="BG335" i="1"/>
  <c r="BE335" i="1"/>
  <c r="BC335" i="1"/>
  <c r="BA335" i="1"/>
  <c r="BD335" i="1"/>
  <c r="AV335" i="1"/>
  <c r="BG334" i="1"/>
  <c r="BE334" i="1"/>
  <c r="BC334" i="1"/>
  <c r="BA334" i="1"/>
  <c r="BB334" i="1"/>
  <c r="AW334" i="1"/>
  <c r="AV334" i="1"/>
  <c r="BG333" i="1"/>
  <c r="BE333" i="1"/>
  <c r="BC333" i="1"/>
  <c r="AW333" i="1"/>
  <c r="BA174" i="1"/>
  <c r="BA190" i="1"/>
  <c r="BA233" i="1"/>
  <c r="BA234" i="1"/>
  <c r="BA254" i="1"/>
  <c r="BA262" i="1"/>
  <c r="BA270" i="1"/>
  <c r="BA290" i="1"/>
  <c r="BA306" i="1"/>
  <c r="BA310" i="1"/>
  <c r="BA313" i="1"/>
  <c r="BA318" i="1"/>
  <c r="BA330" i="1"/>
  <c r="BA332" i="1"/>
  <c r="AW328" i="1"/>
  <c r="AW326" i="1"/>
  <c r="AW325" i="1"/>
  <c r="AV324" i="1"/>
  <c r="BA322" i="1"/>
  <c r="AW304" i="1"/>
  <c r="BA302" i="1"/>
  <c r="BA301" i="1"/>
  <c r="AW301" i="1"/>
  <c r="AW293" i="1"/>
  <c r="BA292" i="1"/>
  <c r="AV292" i="1"/>
  <c r="BA287" i="1"/>
  <c r="AW286" i="1"/>
  <c r="BA284" i="1"/>
  <c r="AV284" i="1"/>
  <c r="AW282" i="1"/>
  <c r="BA282" i="1"/>
  <c r="BA280" i="1"/>
  <c r="AW279" i="1"/>
  <c r="BA279" i="1"/>
  <c r="AV279" i="1"/>
  <c r="BA276" i="1"/>
  <c r="AV276" i="1"/>
  <c r="AW272" i="1"/>
  <c r="BA272" i="1"/>
  <c r="BA269" i="1"/>
  <c r="BA261" i="1"/>
  <c r="AV261" i="1"/>
  <c r="BA259" i="1"/>
  <c r="AW256" i="1"/>
  <c r="BA253" i="1"/>
  <c r="AW248" i="1"/>
  <c r="BA247" i="1"/>
  <c r="AW243" i="1"/>
  <c r="BA243" i="1"/>
  <c r="AW239" i="1"/>
  <c r="AW237" i="1"/>
  <c r="BA237" i="1"/>
  <c r="BA232" i="1"/>
  <c r="BA231" i="1"/>
  <c r="AV231" i="1"/>
  <c r="AW230" i="1"/>
  <c r="AV229" i="1"/>
  <c r="AW228" i="1"/>
  <c r="BA226" i="1"/>
  <c r="BA224" i="1"/>
  <c r="BA223" i="1"/>
  <c r="AW222" i="1"/>
  <c r="AV221" i="1"/>
  <c r="AV220" i="1"/>
  <c r="BA218" i="1"/>
  <c r="AV216" i="1"/>
  <c r="BA215" i="1"/>
  <c r="AV215" i="1"/>
  <c r="AW212" i="1"/>
  <c r="BA212" i="1"/>
  <c r="AV212" i="1"/>
  <c r="BA207" i="1"/>
  <c r="AW206" i="1"/>
  <c r="BA205" i="1"/>
  <c r="AW204" i="1"/>
  <c r="BA204" i="1"/>
  <c r="AV204" i="1"/>
  <c r="AW200" i="1"/>
  <c r="AV200" i="1"/>
  <c r="BA197" i="1"/>
  <c r="AV197" i="1"/>
  <c r="AW195" i="1"/>
  <c r="AW194" i="1"/>
  <c r="BA194" i="1"/>
  <c r="AW192" i="1"/>
  <c r="AW191" i="1"/>
  <c r="AV189" i="1"/>
  <c r="BA188" i="1"/>
  <c r="AV188" i="1"/>
  <c r="AW187" i="1"/>
  <c r="BA186" i="1"/>
  <c r="BA182" i="1"/>
  <c r="AV182" i="1"/>
  <c r="BA181" i="1"/>
  <c r="BA180" i="1"/>
  <c r="BA178" i="1"/>
  <c r="AV178" i="1"/>
  <c r="BA175" i="1"/>
  <c r="BA173" i="1"/>
  <c r="AW172" i="1"/>
  <c r="BA172" i="1"/>
  <c r="BA170" i="1"/>
  <c r="BA168" i="1"/>
  <c r="AV168" i="1"/>
  <c r="BA165" i="1"/>
  <c r="AW164" i="1"/>
  <c r="BA164" i="1"/>
  <c r="BA162" i="1"/>
  <c r="BA160" i="1"/>
  <c r="AW158" i="1"/>
  <c r="BA157" i="1"/>
  <c r="BA156" i="1"/>
  <c r="AW151" i="1"/>
  <c r="BA151" i="1"/>
  <c r="AV151" i="1"/>
  <c r="BA144" i="1"/>
  <c r="AV144" i="1"/>
  <c r="AV143" i="1"/>
  <c r="AV142" i="1"/>
  <c r="BA141" i="1"/>
  <c r="AV141" i="1"/>
  <c r="AW140" i="1"/>
  <c r="AV140" i="1"/>
  <c r="AW139" i="1"/>
  <c r="AW138" i="1"/>
  <c r="AW135" i="1"/>
  <c r="BA135" i="1"/>
  <c r="AW134" i="1"/>
  <c r="BA134" i="1"/>
  <c r="BA132" i="1"/>
  <c r="BA130" i="1"/>
  <c r="AW130" i="1"/>
  <c r="AV128" i="1"/>
  <c r="AW127" i="1"/>
  <c r="BA126" i="1"/>
  <c r="BA125" i="1"/>
  <c r="AV125" i="1"/>
  <c r="AW124" i="1"/>
  <c r="AW121" i="1"/>
  <c r="AV118" i="1"/>
  <c r="AW117" i="1"/>
  <c r="BA116" i="1"/>
  <c r="AW115" i="1"/>
  <c r="AW112" i="1"/>
  <c r="BA112" i="1"/>
  <c r="AV112" i="1"/>
  <c r="BA110" i="1"/>
  <c r="AV110" i="1"/>
  <c r="AW108" i="1"/>
  <c r="BA108" i="1"/>
  <c r="AW107" i="1"/>
  <c r="AW104" i="1"/>
  <c r="BA104" i="1"/>
  <c r="AV104" i="1"/>
  <c r="BA103" i="1"/>
  <c r="AV102" i="1"/>
  <c r="BA100" i="1"/>
  <c r="AW100" i="1"/>
  <c r="AV100" i="1"/>
  <c r="AW99" i="1"/>
  <c r="BA94" i="1"/>
  <c r="AW93" i="1"/>
  <c r="AW92" i="1"/>
  <c r="AV92" i="1"/>
  <c r="AW91" i="1"/>
  <c r="BA88" i="1"/>
  <c r="BA87" i="1"/>
  <c r="AV87" i="1"/>
  <c r="AV86" i="1"/>
  <c r="AW85" i="1"/>
  <c r="BA85" i="1"/>
  <c r="BA84" i="1"/>
  <c r="AW84" i="1"/>
  <c r="AW80" i="1"/>
  <c r="BA80" i="1"/>
  <c r="AW78" i="1"/>
  <c r="BA77" i="1"/>
  <c r="AV77" i="1"/>
  <c r="AW76" i="1"/>
  <c r="BA76" i="1"/>
  <c r="AW72" i="1"/>
  <c r="BA72" i="1"/>
  <c r="AW70" i="1"/>
  <c r="AV70" i="1"/>
  <c r="AW69" i="1"/>
  <c r="BA69" i="1"/>
  <c r="AV69" i="1"/>
  <c r="AW68" i="1"/>
  <c r="BA67" i="1"/>
  <c r="BA66" i="1"/>
  <c r="AW64" i="1"/>
  <c r="BA64" i="1"/>
  <c r="AV64" i="1"/>
  <c r="AV62" i="1"/>
  <c r="BA60" i="1"/>
  <c r="AW59" i="1"/>
  <c r="BA58" i="1"/>
  <c r="AW56" i="1"/>
  <c r="AW55" i="1"/>
  <c r="AW54" i="1"/>
  <c r="BA53" i="1"/>
  <c r="AW50" i="1"/>
  <c r="AW48" i="1"/>
  <c r="AW47" i="1"/>
  <c r="AW46" i="1"/>
  <c r="BA46" i="1"/>
  <c r="BA43" i="1"/>
  <c r="AW42" i="1"/>
  <c r="AW40" i="1"/>
  <c r="AV40" i="1"/>
  <c r="AW39" i="1"/>
  <c r="AV37" i="1"/>
  <c r="AW36" i="1"/>
  <c r="AW34" i="1"/>
  <c r="BA34" i="1"/>
  <c r="AW32" i="1"/>
  <c r="AV32" i="1"/>
  <c r="AW31" i="1"/>
  <c r="BA31" i="1"/>
  <c r="AV31" i="1"/>
  <c r="BC31" i="1"/>
  <c r="AV30" i="1"/>
  <c r="BA29" i="1"/>
  <c r="BA28" i="1"/>
  <c r="BA27" i="1"/>
  <c r="AW26" i="1"/>
  <c r="BA26" i="1"/>
  <c r="AW24" i="1"/>
  <c r="BA24" i="1"/>
  <c r="BA23" i="1"/>
  <c r="AW22" i="1"/>
  <c r="BA22" i="1"/>
  <c r="BA21" i="1"/>
  <c r="AW20" i="1"/>
  <c r="BA20" i="1"/>
  <c r="AV20" i="1"/>
  <c r="AM20" i="1"/>
  <c r="AN20" i="1" s="1"/>
  <c r="BL18" i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AX18" i="1"/>
  <c r="AW18" i="1"/>
  <c r="AV18" i="1"/>
  <c r="AK18" i="1"/>
  <c r="AL18" i="1" s="1"/>
  <c r="AJ18" i="1"/>
  <c r="AH18" i="1"/>
  <c r="AF18" i="1"/>
  <c r="AD18" i="1"/>
  <c r="AC18" i="1"/>
  <c r="AB18" i="1"/>
  <c r="AA18" i="1"/>
  <c r="V18" i="1"/>
  <c r="Q18" i="1"/>
  <c r="G18" i="1"/>
  <c r="B18" i="1"/>
  <c r="AW396" i="1" l="1"/>
  <c r="AL399" i="1"/>
  <c r="AW388" i="1"/>
  <c r="BH385" i="1"/>
  <c r="AW30" i="1"/>
  <c r="AW147" i="1"/>
  <c r="AW247" i="1"/>
  <c r="AW309" i="1"/>
  <c r="AW372" i="1"/>
  <c r="AL393" i="1"/>
  <c r="BH393" i="1" s="1"/>
  <c r="AW320" i="1"/>
  <c r="AW342" i="1"/>
  <c r="BH386" i="1"/>
  <c r="BH394" i="1"/>
  <c r="BH388" i="1"/>
  <c r="AL390" i="1"/>
  <c r="BH396" i="1"/>
  <c r="AL382" i="1"/>
  <c r="AW53" i="1"/>
  <c r="AW275" i="1"/>
  <c r="AW294" i="1"/>
  <c r="AL383" i="1"/>
  <c r="AW385" i="1"/>
  <c r="AW387" i="1"/>
  <c r="AW395" i="1"/>
  <c r="AL398" i="1"/>
  <c r="AW175" i="1"/>
  <c r="AW300" i="1"/>
  <c r="AW109" i="1"/>
  <c r="AW166" i="1"/>
  <c r="AN376" i="1"/>
  <c r="AN368" i="1"/>
  <c r="AN360" i="1"/>
  <c r="AO360" i="1" s="1"/>
  <c r="AN352" i="1"/>
  <c r="AN336" i="1"/>
  <c r="AN328" i="1"/>
  <c r="AO328" i="1" s="1"/>
  <c r="AN320" i="1"/>
  <c r="AO320" i="1" s="1"/>
  <c r="AN304" i="1"/>
  <c r="AN296" i="1"/>
  <c r="AO296" i="1" s="1"/>
  <c r="AN280" i="1"/>
  <c r="AO280" i="1" s="1"/>
  <c r="AN264" i="1"/>
  <c r="AO264" i="1" s="1"/>
  <c r="AN256" i="1"/>
  <c r="AO256" i="1" s="1"/>
  <c r="AN248" i="1"/>
  <c r="AO248" i="1" s="1"/>
  <c r="AN232" i="1"/>
  <c r="AN224" i="1"/>
  <c r="AO224" i="1" s="1"/>
  <c r="AN208" i="1"/>
  <c r="AO208" i="1" s="1"/>
  <c r="AN200" i="1"/>
  <c r="AO200" i="1" s="1"/>
  <c r="AN192" i="1"/>
  <c r="AO192" i="1" s="1"/>
  <c r="AN184" i="1"/>
  <c r="AO184" i="1" s="1"/>
  <c r="AN168" i="1"/>
  <c r="AN160" i="1"/>
  <c r="AO160" i="1" s="1"/>
  <c r="AN152" i="1"/>
  <c r="AN144" i="1"/>
  <c r="AO144" i="1" s="1"/>
  <c r="AN136" i="1"/>
  <c r="AN120" i="1"/>
  <c r="AN104" i="1"/>
  <c r="AO104" i="1" s="1"/>
  <c r="AN96" i="1"/>
  <c r="AO96" i="1" s="1"/>
  <c r="AN80" i="1"/>
  <c r="AO80" i="1" s="1"/>
  <c r="AN72" i="1"/>
  <c r="AO72" i="1" s="1"/>
  <c r="AN64" i="1"/>
  <c r="AN48" i="1"/>
  <c r="AN32" i="1"/>
  <c r="AN24" i="1"/>
  <c r="AT83" i="1"/>
  <c r="BF184" i="1"/>
  <c r="AT373" i="1"/>
  <c r="BF356" i="1"/>
  <c r="AT356" i="1"/>
  <c r="AU356" i="1" s="1"/>
  <c r="AL312" i="1"/>
  <c r="BB335" i="1"/>
  <c r="BB346" i="1"/>
  <c r="AN339" i="1"/>
  <c r="AQ352" i="1"/>
  <c r="AR352" i="1" s="1"/>
  <c r="BF365" i="1"/>
  <c r="AT365" i="1"/>
  <c r="AQ379" i="1"/>
  <c r="AW44" i="1"/>
  <c r="AW132" i="1"/>
  <c r="AW148" i="1"/>
  <c r="BB343" i="1"/>
  <c r="AT372" i="1"/>
  <c r="AU372" i="1" s="1"/>
  <c r="BF369" i="1"/>
  <c r="AT369" i="1"/>
  <c r="AU369" i="1" s="1"/>
  <c r="AN366" i="1"/>
  <c r="AO366" i="1" s="1"/>
  <c r="AN355" i="1"/>
  <c r="AO355" i="1" s="1"/>
  <c r="AW186" i="1"/>
  <c r="AW298" i="1"/>
  <c r="AW150" i="1"/>
  <c r="AN342" i="1"/>
  <c r="BB349" i="1"/>
  <c r="AN349" i="1"/>
  <c r="AO349" i="1" s="1"/>
  <c r="BD372" i="1"/>
  <c r="AQ372" i="1"/>
  <c r="AR372" i="1" s="1"/>
  <c r="BB341" i="1"/>
  <c r="AN341" i="1"/>
  <c r="AO341" i="1" s="1"/>
  <c r="AW310" i="1"/>
  <c r="AW318" i="1"/>
  <c r="AW340" i="1"/>
  <c r="AN333" i="1"/>
  <c r="AO333" i="1" s="1"/>
  <c r="AN378" i="1"/>
  <c r="AO378" i="1" s="1"/>
  <c r="AQ376" i="1"/>
  <c r="AN370" i="1"/>
  <c r="AO370" i="1" s="1"/>
  <c r="AW365" i="1"/>
  <c r="AT357" i="1"/>
  <c r="AU357" i="1" s="1"/>
  <c r="AT380" i="1"/>
  <c r="AU380" i="1" s="1"/>
  <c r="AQ313" i="1"/>
  <c r="AR313" i="1" s="1"/>
  <c r="AQ297" i="1"/>
  <c r="AQ289" i="1"/>
  <c r="AR289" i="1" s="1"/>
  <c r="AQ265" i="1"/>
  <c r="AQ257" i="1"/>
  <c r="AR257" i="1" s="1"/>
  <c r="AQ249" i="1"/>
  <c r="AQ241" i="1"/>
  <c r="AR241" i="1" s="1"/>
  <c r="AQ233" i="1"/>
  <c r="AQ225" i="1"/>
  <c r="AR225" i="1" s="1"/>
  <c r="AQ217" i="1"/>
  <c r="AQ209" i="1"/>
  <c r="AQ193" i="1"/>
  <c r="AR193" i="1" s="1"/>
  <c r="AQ185" i="1"/>
  <c r="AQ177" i="1"/>
  <c r="AR177" i="1" s="1"/>
  <c r="AQ153" i="1"/>
  <c r="AR153" i="1" s="1"/>
  <c r="AQ121" i="1"/>
  <c r="AR121" i="1" s="1"/>
  <c r="AQ73" i="1"/>
  <c r="AR73" i="1" s="1"/>
  <c r="AQ57" i="1"/>
  <c r="AR57" i="1" s="1"/>
  <c r="AQ49" i="1"/>
  <c r="AR49" i="1" s="1"/>
  <c r="AQ33" i="1"/>
  <c r="AR33" i="1" s="1"/>
  <c r="AQ25" i="1"/>
  <c r="AR25" i="1" s="1"/>
  <c r="AN369" i="1"/>
  <c r="AO369" i="1" s="1"/>
  <c r="AN353" i="1"/>
  <c r="AN329" i="1"/>
  <c r="AN321" i="1"/>
  <c r="AO321" i="1" s="1"/>
  <c r="AN305" i="1"/>
  <c r="AO305" i="1" s="1"/>
  <c r="AN281" i="1"/>
  <c r="AN257" i="1"/>
  <c r="AN249" i="1"/>
  <c r="AN233" i="1"/>
  <c r="AN225" i="1"/>
  <c r="AN201" i="1"/>
  <c r="AO201" i="1" s="1"/>
  <c r="AN193" i="1"/>
  <c r="AN177" i="1"/>
  <c r="AN153" i="1"/>
  <c r="AO153" i="1" s="1"/>
  <c r="AN145" i="1"/>
  <c r="AO145" i="1" s="1"/>
  <c r="AN129" i="1"/>
  <c r="AO129" i="1" s="1"/>
  <c r="AN121" i="1"/>
  <c r="AO121" i="1" s="1"/>
  <c r="AN105" i="1"/>
  <c r="AN81" i="1"/>
  <c r="AN65" i="1"/>
  <c r="AO65" i="1" s="1"/>
  <c r="AN57" i="1"/>
  <c r="AO57" i="1" s="1"/>
  <c r="AN33" i="1"/>
  <c r="AO33" i="1" s="1"/>
  <c r="AQ355" i="1"/>
  <c r="AQ337" i="1"/>
  <c r="AR337" i="1" s="1"/>
  <c r="AQ344" i="1"/>
  <c r="BF343" i="1"/>
  <c r="BF345" i="1"/>
  <c r="BF342" i="1"/>
  <c r="AN345" i="1"/>
  <c r="AN337" i="1"/>
  <c r="AW347" i="1"/>
  <c r="AN354" i="1"/>
  <c r="AO354" i="1" s="1"/>
  <c r="AQ367" i="1"/>
  <c r="AQ360" i="1"/>
  <c r="AN364" i="1"/>
  <c r="AO364" i="1" s="1"/>
  <c r="AN363" i="1"/>
  <c r="AO363" i="1" s="1"/>
  <c r="BF361" i="1"/>
  <c r="AN362" i="1"/>
  <c r="AO362" i="1" s="1"/>
  <c r="AW371" i="1"/>
  <c r="AQ371" i="1"/>
  <c r="AQ375" i="1"/>
  <c r="AR375" i="1" s="1"/>
  <c r="BF377" i="1"/>
  <c r="AN375" i="1"/>
  <c r="AT155" i="1"/>
  <c r="AU155" i="1" s="1"/>
  <c r="AT243" i="1"/>
  <c r="AT259" i="1"/>
  <c r="AJ355" i="1"/>
  <c r="AJ339" i="1"/>
  <c r="AJ307" i="1"/>
  <c r="BF307" i="1" s="1"/>
  <c r="AJ275" i="1"/>
  <c r="AJ163" i="1"/>
  <c r="BF163" i="1" s="1"/>
  <c r="BG163" i="1" s="1"/>
  <c r="AJ75" i="1"/>
  <c r="AT43" i="1"/>
  <c r="AU43" i="1" s="1"/>
  <c r="AT35" i="1"/>
  <c r="AU35" i="1" s="1"/>
  <c r="AT91" i="1"/>
  <c r="AU91" i="1" s="1"/>
  <c r="AT219" i="1"/>
  <c r="AU219" i="1" s="1"/>
  <c r="AT283" i="1"/>
  <c r="AU283" i="1" s="1"/>
  <c r="AT331" i="1"/>
  <c r="AU331" i="1" s="1"/>
  <c r="BF364" i="1"/>
  <c r="AT379" i="1"/>
  <c r="AJ195" i="1"/>
  <c r="AJ115" i="1"/>
  <c r="AJ59" i="1"/>
  <c r="AT99" i="1"/>
  <c r="AT123" i="1"/>
  <c r="AU123" i="1" s="1"/>
  <c r="AT251" i="1"/>
  <c r="AU251" i="1" s="1"/>
  <c r="AT323" i="1"/>
  <c r="AT347" i="1"/>
  <c r="BF375" i="1"/>
  <c r="AJ315" i="1"/>
  <c r="BF315" i="1" s="1"/>
  <c r="AJ171" i="1"/>
  <c r="AT267" i="1"/>
  <c r="AU267" i="1" s="1"/>
  <c r="AT363" i="1"/>
  <c r="AJ83" i="1"/>
  <c r="BF379" i="1"/>
  <c r="BF363" i="1"/>
  <c r="BF355" i="1"/>
  <c r="AT131" i="1"/>
  <c r="AT203" i="1"/>
  <c r="AT299" i="1"/>
  <c r="BF351" i="1"/>
  <c r="AJ179" i="1"/>
  <c r="AT291" i="1"/>
  <c r="BF376" i="1"/>
  <c r="BF367" i="1"/>
  <c r="AQ27" i="1"/>
  <c r="AR27" i="1" s="1"/>
  <c r="AQ35" i="1"/>
  <c r="AR35" i="1" s="1"/>
  <c r="AQ43" i="1"/>
  <c r="AR43" i="1" s="1"/>
  <c r="AQ51" i="1"/>
  <c r="AR51" i="1" s="1"/>
  <c r="AQ97" i="1"/>
  <c r="AR97" i="1" s="1"/>
  <c r="AQ123" i="1"/>
  <c r="AR123" i="1" s="1"/>
  <c r="AQ161" i="1"/>
  <c r="AR161" i="1" s="1"/>
  <c r="AQ187" i="1"/>
  <c r="AQ211" i="1"/>
  <c r="AQ273" i="1"/>
  <c r="AR273" i="1" s="1"/>
  <c r="AQ281" i="1"/>
  <c r="AR281" i="1" s="1"/>
  <c r="AQ331" i="1"/>
  <c r="AR331" i="1" s="1"/>
  <c r="BA33" i="1"/>
  <c r="BA249" i="1"/>
  <c r="BA347" i="1"/>
  <c r="AQ59" i="1"/>
  <c r="AR59" i="1" s="1"/>
  <c r="AQ129" i="1"/>
  <c r="AR129" i="1" s="1"/>
  <c r="AQ227" i="1"/>
  <c r="AR227" i="1" s="1"/>
  <c r="AQ291" i="1"/>
  <c r="AR291" i="1" s="1"/>
  <c r="AQ305" i="1"/>
  <c r="AR305" i="1" s="1"/>
  <c r="AQ363" i="1"/>
  <c r="BA355" i="1"/>
  <c r="BA57" i="1"/>
  <c r="AQ89" i="1"/>
  <c r="AR89" i="1" s="1"/>
  <c r="AQ107" i="1"/>
  <c r="AR107" i="1" s="1"/>
  <c r="AQ147" i="1"/>
  <c r="AQ267" i="1"/>
  <c r="AQ299" i="1"/>
  <c r="AR299" i="1" s="1"/>
  <c r="AQ339" i="1"/>
  <c r="AR339" i="1" s="1"/>
  <c r="AQ235" i="1"/>
  <c r="AQ283" i="1"/>
  <c r="AQ345" i="1"/>
  <c r="AQ171" i="1"/>
  <c r="AQ203" i="1"/>
  <c r="AQ91" i="1"/>
  <c r="AR91" i="1" s="1"/>
  <c r="AQ139" i="1"/>
  <c r="AR139" i="1" s="1"/>
  <c r="AQ275" i="1"/>
  <c r="AR275" i="1" s="1"/>
  <c r="AQ75" i="1"/>
  <c r="AR75" i="1" s="1"/>
  <c r="AQ99" i="1"/>
  <c r="AR99" i="1" s="1"/>
  <c r="AQ169" i="1"/>
  <c r="AQ179" i="1"/>
  <c r="AR179" i="1" s="1"/>
  <c r="AQ195" i="1"/>
  <c r="AR195" i="1" s="1"/>
  <c r="AL49" i="1"/>
  <c r="AW49" i="1"/>
  <c r="AW41" i="1"/>
  <c r="AL41" i="1"/>
  <c r="AL33" i="1"/>
  <c r="AW33" i="1"/>
  <c r="AL345" i="1"/>
  <c r="AW345" i="1"/>
  <c r="AL337" i="1"/>
  <c r="AW337" i="1"/>
  <c r="AL281" i="1"/>
  <c r="AW281" i="1"/>
  <c r="AL233" i="1"/>
  <c r="AW233" i="1"/>
  <c r="AL201" i="1"/>
  <c r="AW201" i="1"/>
  <c r="AL145" i="1"/>
  <c r="AW145" i="1"/>
  <c r="AL129" i="1"/>
  <c r="AW129" i="1"/>
  <c r="AL57" i="1"/>
  <c r="BH57" i="1" s="1"/>
  <c r="AW57" i="1"/>
  <c r="AL217" i="1"/>
  <c r="AW217" i="1"/>
  <c r="AL177" i="1"/>
  <c r="AW177" i="1"/>
  <c r="AL65" i="1"/>
  <c r="AW65" i="1"/>
  <c r="AL273" i="1"/>
  <c r="BH273" i="1" s="1"/>
  <c r="AW273" i="1"/>
  <c r="AL73" i="1"/>
  <c r="AW73" i="1"/>
  <c r="AL353" i="1"/>
  <c r="AW353" i="1"/>
  <c r="AL265" i="1"/>
  <c r="AW265" i="1"/>
  <c r="AL209" i="1"/>
  <c r="AW209" i="1"/>
  <c r="AL137" i="1"/>
  <c r="AW137" i="1"/>
  <c r="AW344" i="1"/>
  <c r="AW38" i="1"/>
  <c r="AW178" i="1"/>
  <c r="AW245" i="1"/>
  <c r="AW253" i="1"/>
  <c r="AW263" i="1"/>
  <c r="AW322" i="1"/>
  <c r="AW332" i="1"/>
  <c r="AW341" i="1"/>
  <c r="AL302" i="1"/>
  <c r="AL268" i="1"/>
  <c r="AW285" i="1"/>
  <c r="AW81" i="1"/>
  <c r="AW224" i="1"/>
  <c r="AW335" i="1"/>
  <c r="AW336" i="1"/>
  <c r="AL220" i="1"/>
  <c r="AW116" i="1"/>
  <c r="AW126" i="1"/>
  <c r="AW176" i="1"/>
  <c r="AX396" i="1"/>
  <c r="AW66" i="1"/>
  <c r="AW198" i="1"/>
  <c r="AW259" i="1"/>
  <c r="AW288" i="1"/>
  <c r="AW351" i="1"/>
  <c r="AW23" i="1"/>
  <c r="AW58" i="1"/>
  <c r="AW352" i="1"/>
  <c r="AW214" i="1"/>
  <c r="AW251" i="1"/>
  <c r="AW306" i="1"/>
  <c r="AW349" i="1"/>
  <c r="AW350" i="1"/>
  <c r="AW376" i="1"/>
  <c r="AW360" i="1"/>
  <c r="AW356" i="1"/>
  <c r="BH380" i="1"/>
  <c r="AL364" i="1"/>
  <c r="AL358" i="1"/>
  <c r="BH358" i="1" s="1"/>
  <c r="AW367" i="1"/>
  <c r="AW373" i="1"/>
  <c r="AW357" i="1"/>
  <c r="AW379" i="1"/>
  <c r="AW363" i="1"/>
  <c r="BD374" i="1"/>
  <c r="AQ374" i="1"/>
  <c r="AR374" i="1" s="1"/>
  <c r="BD380" i="1"/>
  <c r="AQ350" i="1"/>
  <c r="AR350" i="1" s="1"/>
  <c r="AQ351" i="1"/>
  <c r="AR351" i="1" s="1"/>
  <c r="BD368" i="1"/>
  <c r="AQ368" i="1"/>
  <c r="AR368" i="1" s="1"/>
  <c r="BD358" i="1"/>
  <c r="AQ358" i="1"/>
  <c r="AR358" i="1" s="1"/>
  <c r="AX388" i="1"/>
  <c r="AW156" i="1"/>
  <c r="AQ145" i="1"/>
  <c r="AR145" i="1" s="1"/>
  <c r="AQ143" i="1"/>
  <c r="AR143" i="1" s="1"/>
  <c r="AQ219" i="1"/>
  <c r="AR219" i="1" s="1"/>
  <c r="AQ296" i="1"/>
  <c r="AR296" i="1" s="1"/>
  <c r="AQ325" i="1"/>
  <c r="AR325" i="1" s="1"/>
  <c r="AQ300" i="1"/>
  <c r="AR300" i="1" s="1"/>
  <c r="BH390" i="1"/>
  <c r="AX390" i="1"/>
  <c r="BH382" i="1"/>
  <c r="AX382" i="1"/>
  <c r="AX391" i="1"/>
  <c r="BH387" i="1"/>
  <c r="AX387" i="1"/>
  <c r="BH395" i="1"/>
  <c r="AX395" i="1"/>
  <c r="BH379" i="1"/>
  <c r="BF371" i="1"/>
  <c r="AW368" i="1"/>
  <c r="AW366" i="1"/>
  <c r="AL381" i="1"/>
  <c r="BH381" i="1" s="1"/>
  <c r="AX385" i="1"/>
  <c r="AL389" i="1"/>
  <c r="BH389" i="1" s="1"/>
  <c r="AX393" i="1"/>
  <c r="AL397" i="1"/>
  <c r="AX397" i="1" s="1"/>
  <c r="BF374" i="1"/>
  <c r="AX386" i="1"/>
  <c r="AX394" i="1"/>
  <c r="BF341" i="1"/>
  <c r="BF348" i="1"/>
  <c r="AW375" i="1"/>
  <c r="BF366" i="1"/>
  <c r="AL384" i="1"/>
  <c r="AX384" i="1" s="1"/>
  <c r="AL392" i="1"/>
  <c r="BH392" i="1" s="1"/>
  <c r="AV398" i="1"/>
  <c r="BH398" i="1" s="1"/>
  <c r="BH366" i="1"/>
  <c r="AV383" i="1"/>
  <c r="BH383" i="1" s="1"/>
  <c r="AV391" i="1"/>
  <c r="BH391" i="1" s="1"/>
  <c r="AV399" i="1"/>
  <c r="BH399" i="1" s="1"/>
  <c r="BF358" i="1"/>
  <c r="BF335" i="1"/>
  <c r="BF339" i="1"/>
  <c r="BF347" i="1"/>
  <c r="AW374" i="1"/>
  <c r="BF346" i="1"/>
  <c r="BF353" i="1"/>
  <c r="AW359" i="1"/>
  <c r="BH375" i="1"/>
  <c r="BH355" i="1"/>
  <c r="BH367" i="1"/>
  <c r="BI367" i="1" s="1"/>
  <c r="AX367" i="1" s="1"/>
  <c r="BH374" i="1"/>
  <c r="BH359" i="1"/>
  <c r="AW378" i="1"/>
  <c r="BH377" i="1"/>
  <c r="AV371" i="1"/>
  <c r="BH371" i="1" s="1"/>
  <c r="AW370" i="1"/>
  <c r="BH369" i="1"/>
  <c r="BI369" i="1" s="1"/>
  <c r="AX369" i="1" s="1"/>
  <c r="BH365" i="1"/>
  <c r="AV363" i="1"/>
  <c r="BH363" i="1" s="1"/>
  <c r="AW362" i="1"/>
  <c r="BH361" i="1"/>
  <c r="AV356" i="1"/>
  <c r="BH356" i="1" s="1"/>
  <c r="AW355" i="1"/>
  <c r="BH354" i="1"/>
  <c r="BI354" i="1" s="1"/>
  <c r="AX354" i="1" s="1"/>
  <c r="AW377" i="1"/>
  <c r="BH376" i="1"/>
  <c r="AW369" i="1"/>
  <c r="BH368" i="1"/>
  <c r="BI368" i="1" s="1"/>
  <c r="AX368" i="1" s="1"/>
  <c r="AW361" i="1"/>
  <c r="BH360" i="1"/>
  <c r="AW354" i="1"/>
  <c r="BH378" i="1"/>
  <c r="BI378" i="1" s="1"/>
  <c r="AX378" i="1" s="1"/>
  <c r="BH370" i="1"/>
  <c r="BI370" i="1" s="1"/>
  <c r="AX370" i="1" s="1"/>
  <c r="BH362" i="1"/>
  <c r="AV353" i="1"/>
  <c r="BH341" i="1"/>
  <c r="BI341" i="1" s="1"/>
  <c r="AV340" i="1"/>
  <c r="AV344" i="1"/>
  <c r="AV348" i="1"/>
  <c r="AV352" i="1"/>
  <c r="AV336" i="1"/>
  <c r="BH336" i="1" s="1"/>
  <c r="BI336" i="1" s="1"/>
  <c r="BH335" i="1"/>
  <c r="BI335" i="1" s="1"/>
  <c r="BH339" i="1"/>
  <c r="BH343" i="1"/>
  <c r="BI343" i="1" s="1"/>
  <c r="BH347" i="1"/>
  <c r="BI347" i="1" s="1"/>
  <c r="BH351" i="1"/>
  <c r="BI351" i="1" s="1"/>
  <c r="BA246" i="1"/>
  <c r="BA297" i="1"/>
  <c r="BH143" i="1"/>
  <c r="BB31" i="1"/>
  <c r="BA225" i="1"/>
  <c r="BA241" i="1"/>
  <c r="BF185" i="1"/>
  <c r="AW260" i="1"/>
  <c r="BA324" i="1"/>
  <c r="AW142" i="1"/>
  <c r="BH229" i="1"/>
  <c r="AW183" i="1"/>
  <c r="AW227" i="1"/>
  <c r="BH228" i="1"/>
  <c r="AW96" i="1"/>
  <c r="BH107" i="1"/>
  <c r="BI107" i="1" s="1"/>
  <c r="AX107" i="1" s="1"/>
  <c r="AW219" i="1"/>
  <c r="AW106" i="1"/>
  <c r="BF207" i="1"/>
  <c r="BD318" i="1"/>
  <c r="BH27" i="1"/>
  <c r="AW266" i="1"/>
  <c r="AW77" i="1"/>
  <c r="BD263" i="1"/>
  <c r="BF280" i="1"/>
  <c r="AW101" i="1"/>
  <c r="BH110" i="1"/>
  <c r="BH115" i="1"/>
  <c r="AW123" i="1"/>
  <c r="BB118" i="1"/>
  <c r="BD162" i="1"/>
  <c r="AW208" i="1"/>
  <c r="BH234" i="1"/>
  <c r="BD24" i="1"/>
  <c r="BH292" i="1"/>
  <c r="BD313" i="1"/>
  <c r="BH162" i="1"/>
  <c r="AW314" i="1"/>
  <c r="BD326" i="1"/>
  <c r="AW98" i="1"/>
  <c r="AW152" i="1"/>
  <c r="BF284" i="1"/>
  <c r="AW296" i="1"/>
  <c r="BF197" i="1"/>
  <c r="AW160" i="1"/>
  <c r="AW184" i="1"/>
  <c r="AW25" i="1"/>
  <c r="AW37" i="1"/>
  <c r="AW162" i="1"/>
  <c r="AW271" i="1"/>
  <c r="BB279" i="1"/>
  <c r="AW61" i="1"/>
  <c r="BF155" i="1"/>
  <c r="AW317" i="1"/>
  <c r="AV88" i="1"/>
  <c r="AW182" i="1"/>
  <c r="BH30" i="1"/>
  <c r="BD32" i="1"/>
  <c r="AW62" i="1"/>
  <c r="BA68" i="1"/>
  <c r="BB79" i="1"/>
  <c r="BA81" i="1"/>
  <c r="AW88" i="1"/>
  <c r="BH91" i="1"/>
  <c r="BF97" i="1"/>
  <c r="BA105" i="1"/>
  <c r="BD108" i="1"/>
  <c r="BH116" i="1"/>
  <c r="BH118" i="1"/>
  <c r="BD128" i="1"/>
  <c r="BA148" i="1"/>
  <c r="BD243" i="1"/>
  <c r="AW303" i="1"/>
  <c r="BD136" i="1"/>
  <c r="BA138" i="1"/>
  <c r="AW319" i="1"/>
  <c r="BF60" i="1"/>
  <c r="BD68" i="1"/>
  <c r="BH80" i="1"/>
  <c r="BF113" i="1"/>
  <c r="BD138" i="1"/>
  <c r="BH142" i="1"/>
  <c r="BD147" i="1"/>
  <c r="AW163" i="1"/>
  <c r="AW174" i="1"/>
  <c r="BA217" i="1"/>
  <c r="AW241" i="1"/>
  <c r="BH241" i="1"/>
  <c r="AW324" i="1"/>
  <c r="BA153" i="1"/>
  <c r="BD153" i="1"/>
  <c r="BE153" i="1" s="1"/>
  <c r="AW185" i="1"/>
  <c r="AW211" i="1"/>
  <c r="BB283" i="1"/>
  <c r="AW311" i="1"/>
  <c r="BH48" i="1"/>
  <c r="BD60" i="1"/>
  <c r="AW90" i="1"/>
  <c r="BH92" i="1"/>
  <c r="BA159" i="1"/>
  <c r="BH182" i="1"/>
  <c r="BH189" i="1"/>
  <c r="AW189" i="1"/>
  <c r="AW28" i="1"/>
  <c r="BH35" i="1"/>
  <c r="BH40" i="1"/>
  <c r="BD46" i="1"/>
  <c r="BF56" i="1"/>
  <c r="BA74" i="1"/>
  <c r="BD76" i="1"/>
  <c r="BH77" i="1"/>
  <c r="BD116" i="1"/>
  <c r="BA119" i="1"/>
  <c r="BH154" i="1"/>
  <c r="BF156" i="1"/>
  <c r="BA196" i="1"/>
  <c r="BF295" i="1"/>
  <c r="AW316" i="1"/>
  <c r="BH70" i="1"/>
  <c r="AW179" i="1"/>
  <c r="BF194" i="1"/>
  <c r="BD198" i="1"/>
  <c r="AV255" i="1"/>
  <c r="BH255" i="1" s="1"/>
  <c r="BA295" i="1"/>
  <c r="AW330" i="1"/>
  <c r="BH216" i="1"/>
  <c r="BA220" i="1"/>
  <c r="AW270" i="1"/>
  <c r="AW305" i="1"/>
  <c r="BD308" i="1"/>
  <c r="BD324" i="1"/>
  <c r="BH168" i="1"/>
  <c r="BB192" i="1"/>
  <c r="BH197" i="1"/>
  <c r="BA209" i="1"/>
  <c r="BD235" i="1"/>
  <c r="AW236" i="1"/>
  <c r="BA320" i="1"/>
  <c r="BD332" i="1"/>
  <c r="BE332" i="1" s="1"/>
  <c r="BD216" i="1"/>
  <c r="BD226" i="1"/>
  <c r="BH230" i="1"/>
  <c r="BH278" i="1"/>
  <c r="BF188" i="1"/>
  <c r="AW255" i="1"/>
  <c r="BD290" i="1"/>
  <c r="BH306" i="1"/>
  <c r="BH322" i="1"/>
  <c r="AW277" i="1"/>
  <c r="AV44" i="1"/>
  <c r="BH44" i="1" s="1"/>
  <c r="BB84" i="1"/>
  <c r="AV61" i="1"/>
  <c r="BH61" i="1" s="1"/>
  <c r="BF83" i="1"/>
  <c r="AV28" i="1"/>
  <c r="BH28" i="1" s="1"/>
  <c r="AV46" i="1"/>
  <c r="AV38" i="1"/>
  <c r="BH38" i="1" s="1"/>
  <c r="AV22" i="1"/>
  <c r="BB94" i="1"/>
  <c r="BB36" i="1"/>
  <c r="BA92" i="1"/>
  <c r="BF105" i="1"/>
  <c r="BH31" i="1"/>
  <c r="BA42" i="1"/>
  <c r="BA48" i="1"/>
  <c r="AW52" i="1"/>
  <c r="BF54" i="1"/>
  <c r="BH69" i="1"/>
  <c r="BF85" i="1"/>
  <c r="BB91" i="1"/>
  <c r="BA96" i="1"/>
  <c r="BB102" i="1"/>
  <c r="BD130" i="1"/>
  <c r="BF144" i="1"/>
  <c r="BH64" i="1"/>
  <c r="BD77" i="1"/>
  <c r="AW83" i="1"/>
  <c r="AW35" i="1"/>
  <c r="BD37" i="1"/>
  <c r="BA54" i="1"/>
  <c r="BF58" i="1"/>
  <c r="AW63" i="1"/>
  <c r="BF67" i="1"/>
  <c r="BD78" i="1"/>
  <c r="BH78" i="1"/>
  <c r="BA86" i="1"/>
  <c r="BA50" i="1"/>
  <c r="BA55" i="1"/>
  <c r="BA73" i="1"/>
  <c r="BF75" i="1"/>
  <c r="BA102" i="1"/>
  <c r="BA32" i="1"/>
  <c r="BF34" i="1"/>
  <c r="AW45" i="1"/>
  <c r="BA49" i="1"/>
  <c r="BH58" i="1"/>
  <c r="BD66" i="1"/>
  <c r="AW71" i="1"/>
  <c r="BH100" i="1"/>
  <c r="BA35" i="1"/>
  <c r="AV72" i="1"/>
  <c r="BH72" i="1" s="1"/>
  <c r="AW74" i="1"/>
  <c r="BA95" i="1"/>
  <c r="AV99" i="1"/>
  <c r="BH99" i="1" s="1"/>
  <c r="BD42" i="1"/>
  <c r="BB59" i="1"/>
  <c r="AW79" i="1"/>
  <c r="BH108" i="1"/>
  <c r="AW114" i="1"/>
  <c r="BA124" i="1"/>
  <c r="AW131" i="1"/>
  <c r="BA140" i="1"/>
  <c r="BB143" i="1"/>
  <c r="BH151" i="1"/>
  <c r="AW154" i="1"/>
  <c r="AW155" i="1"/>
  <c r="BH232" i="1"/>
  <c r="BD86" i="1"/>
  <c r="BF103" i="1"/>
  <c r="BA111" i="1"/>
  <c r="BA133" i="1"/>
  <c r="AW143" i="1"/>
  <c r="AW153" i="1"/>
  <c r="BA158" i="1"/>
  <c r="AW161" i="1"/>
  <c r="BA166" i="1"/>
  <c r="AW169" i="1"/>
  <c r="BA176" i="1"/>
  <c r="BF177" i="1"/>
  <c r="AW190" i="1"/>
  <c r="AV243" i="1"/>
  <c r="BA177" i="1"/>
  <c r="BF179" i="1"/>
  <c r="BA187" i="1"/>
  <c r="BA113" i="1"/>
  <c r="BA118" i="1"/>
  <c r="BA127" i="1"/>
  <c r="BH131" i="1"/>
  <c r="AW136" i="1"/>
  <c r="AW144" i="1"/>
  <c r="BD146" i="1"/>
  <c r="BA149" i="1"/>
  <c r="BA167" i="1"/>
  <c r="BD170" i="1"/>
  <c r="BA122" i="1"/>
  <c r="BH160" i="1"/>
  <c r="BD178" i="1"/>
  <c r="BA189" i="1"/>
  <c r="BD189" i="1"/>
  <c r="BH181" i="1"/>
  <c r="AW181" i="1"/>
  <c r="BB184" i="1"/>
  <c r="BC184" i="1" s="1"/>
  <c r="AV213" i="1"/>
  <c r="BH213" i="1" s="1"/>
  <c r="BF95" i="1"/>
  <c r="BD125" i="1"/>
  <c r="AW128" i="1"/>
  <c r="BH140" i="1"/>
  <c r="AW168" i="1"/>
  <c r="BH172" i="1"/>
  <c r="AV235" i="1"/>
  <c r="BH102" i="1"/>
  <c r="BF119" i="1"/>
  <c r="BD140" i="1"/>
  <c r="BB153" i="1"/>
  <c r="AW170" i="1"/>
  <c r="AW171" i="1"/>
  <c r="BA195" i="1"/>
  <c r="BB206" i="1"/>
  <c r="AW213" i="1"/>
  <c r="AV249" i="1"/>
  <c r="BH249" i="1" s="1"/>
  <c r="BA210" i="1"/>
  <c r="BD213" i="1"/>
  <c r="BA245" i="1"/>
  <c r="AW290" i="1"/>
  <c r="BH290" i="1"/>
  <c r="BB314" i="1"/>
  <c r="AW203" i="1"/>
  <c r="BD210" i="1"/>
  <c r="AW216" i="1"/>
  <c r="AW232" i="1"/>
  <c r="BH233" i="1"/>
  <c r="AW235" i="1"/>
  <c r="AW249" i="1"/>
  <c r="BA275" i="1"/>
  <c r="BD275" i="1"/>
  <c r="AW291" i="1"/>
  <c r="BH208" i="1"/>
  <c r="BA264" i="1"/>
  <c r="AW283" i="1"/>
  <c r="BH283" i="1"/>
  <c r="BD300" i="1"/>
  <c r="BA228" i="1"/>
  <c r="BB257" i="1"/>
  <c r="AW258" i="1"/>
  <c r="AW261" i="1"/>
  <c r="BH261" i="1"/>
  <c r="AV270" i="1"/>
  <c r="BH270" i="1" s="1"/>
  <c r="BA309" i="1"/>
  <c r="AV191" i="1"/>
  <c r="BH191" i="1" s="1"/>
  <c r="BI193" i="1" s="1"/>
  <c r="BH224" i="1"/>
  <c r="BA239" i="1"/>
  <c r="BA240" i="1"/>
  <c r="BH251" i="1"/>
  <c r="BA257" i="1"/>
  <c r="BF279" i="1"/>
  <c r="BA289" i="1"/>
  <c r="BA307" i="1"/>
  <c r="BD182" i="1"/>
  <c r="BA185" i="1"/>
  <c r="BA193" i="1"/>
  <c r="BA202" i="1"/>
  <c r="BD208" i="1"/>
  <c r="BD218" i="1"/>
  <c r="BH220" i="1"/>
  <c r="AW221" i="1"/>
  <c r="AW229" i="1"/>
  <c r="BA238" i="1"/>
  <c r="AW242" i="1"/>
  <c r="BH276" i="1"/>
  <c r="AW276" i="1"/>
  <c r="AW284" i="1"/>
  <c r="BH284" i="1"/>
  <c r="AW308" i="1"/>
  <c r="BH324" i="1"/>
  <c r="BD176" i="1"/>
  <c r="BD200" i="1"/>
  <c r="BH204" i="1"/>
  <c r="BB214" i="1"/>
  <c r="AW234" i="1"/>
  <c r="AW244" i="1"/>
  <c r="AW250" i="1"/>
  <c r="BH330" i="1"/>
  <c r="BA252" i="1"/>
  <c r="BF255" i="1"/>
  <c r="BA294" i="1"/>
  <c r="BA304" i="1"/>
  <c r="AV316" i="1"/>
  <c r="BH316" i="1" s="1"/>
  <c r="BA286" i="1"/>
  <c r="BA299" i="1"/>
  <c r="AW327" i="1"/>
  <c r="BH297" i="1"/>
  <c r="BA265" i="1"/>
  <c r="BF287" i="1"/>
  <c r="BD292" i="1"/>
  <c r="BF300" i="1"/>
  <c r="BA326" i="1"/>
  <c r="BF260" i="1"/>
  <c r="BF271" i="1"/>
  <c r="BA274" i="1"/>
  <c r="BH275" i="1"/>
  <c r="AW278" i="1"/>
  <c r="BH304" i="1"/>
  <c r="BA312" i="1"/>
  <c r="BB256" i="1"/>
  <c r="BA328" i="1"/>
  <c r="BB22" i="1"/>
  <c r="BC22" i="1" s="1"/>
  <c r="BD28" i="1"/>
  <c r="BD34" i="1"/>
  <c r="BF36" i="1"/>
  <c r="BH20" i="1"/>
  <c r="BI21" i="1" s="1"/>
  <c r="BB29" i="1"/>
  <c r="AV23" i="1"/>
  <c r="AV24" i="1"/>
  <c r="BD25" i="1"/>
  <c r="BB20" i="1"/>
  <c r="BC20" i="1" s="1"/>
  <c r="BE24" i="1"/>
  <c r="BF25" i="1"/>
  <c r="BH37" i="1"/>
  <c r="AP20" i="1"/>
  <c r="BF23" i="1"/>
  <c r="AV29" i="1"/>
  <c r="BH29" i="1" s="1"/>
  <c r="BD38" i="1"/>
  <c r="AV21" i="1"/>
  <c r="BH21" i="1" s="1"/>
  <c r="BB25" i="1"/>
  <c r="BD35" i="1"/>
  <c r="BI239" i="1"/>
  <c r="BG25" i="1"/>
  <c r="AW27" i="1"/>
  <c r="BF30" i="1"/>
  <c r="BE35" i="1"/>
  <c r="BD40" i="1"/>
  <c r="BA44" i="1"/>
  <c r="AV45" i="1"/>
  <c r="BH45" i="1" s="1"/>
  <c r="BA45" i="1"/>
  <c r="BF49" i="1"/>
  <c r="AW51" i="1"/>
  <c r="AV55" i="1"/>
  <c r="BG56" i="1"/>
  <c r="BH32" i="1"/>
  <c r="AV33" i="1"/>
  <c r="AV36" i="1"/>
  <c r="BH36" i="1" s="1"/>
  <c r="BG36" i="1"/>
  <c r="AV49" i="1"/>
  <c r="BB49" i="1"/>
  <c r="BA56" i="1"/>
  <c r="BD56" i="1"/>
  <c r="AW21" i="1"/>
  <c r="BA25" i="1"/>
  <c r="BA30" i="1"/>
  <c r="BE32" i="1"/>
  <c r="BE33" i="1"/>
  <c r="BF33" i="1"/>
  <c r="BG33" i="1" s="1"/>
  <c r="AV56" i="1"/>
  <c r="AV59" i="1"/>
  <c r="BD69" i="1"/>
  <c r="BI77" i="1"/>
  <c r="AX77" i="1" s="1"/>
  <c r="AV79" i="1"/>
  <c r="BA79" i="1"/>
  <c r="BD79" i="1"/>
  <c r="BD84" i="1"/>
  <c r="BF21" i="1"/>
  <c r="BG21" i="1" s="1"/>
  <c r="BB23" i="1"/>
  <c r="BC23" i="1" s="1"/>
  <c r="BD30" i="1"/>
  <c r="BD33" i="1"/>
  <c r="BH34" i="1"/>
  <c r="AV41" i="1"/>
  <c r="BB41" i="1"/>
  <c r="BB45" i="1"/>
  <c r="BF47" i="1"/>
  <c r="BA47" i="1"/>
  <c r="AV50" i="1"/>
  <c r="BB51" i="1"/>
  <c r="BB54" i="1"/>
  <c r="AV82" i="1"/>
  <c r="BH82" i="1" s="1"/>
  <c r="BA82" i="1"/>
  <c r="AV26" i="1"/>
  <c r="AW29" i="1"/>
  <c r="BB44" i="1"/>
  <c r="AV47" i="1"/>
  <c r="BH47" i="1" s="1"/>
  <c r="BB63" i="1"/>
  <c r="BC110" i="1"/>
  <c r="BB110" i="1"/>
  <c r="BC63" i="1"/>
  <c r="AS20" i="1"/>
  <c r="AV25" i="1"/>
  <c r="BH25" i="1" s="1"/>
  <c r="BC36" i="1"/>
  <c r="BD41" i="1"/>
  <c r="AV42" i="1"/>
  <c r="BH42" i="1" s="1"/>
  <c r="BF43" i="1"/>
  <c r="BE324" i="1"/>
  <c r="BE182" i="1"/>
  <c r="BE170" i="1"/>
  <c r="BE162" i="1"/>
  <c r="BE136" i="1"/>
  <c r="BE128" i="1"/>
  <c r="BE77" i="1"/>
  <c r="BE78" i="1"/>
  <c r="BE79" i="1"/>
  <c r="BE25" i="1"/>
  <c r="BE34" i="1"/>
  <c r="AW43" i="1"/>
  <c r="BH43" i="1"/>
  <c r="BF44" i="1"/>
  <c r="AV51" i="1"/>
  <c r="BA52" i="1"/>
  <c r="BD52" i="1"/>
  <c r="BF53" i="1"/>
  <c r="AV54" i="1"/>
  <c r="BH54" i="1" s="1"/>
  <c r="AV71" i="1"/>
  <c r="BH71" i="1" s="1"/>
  <c r="BA71" i="1"/>
  <c r="BG197" i="1"/>
  <c r="BG113" i="1"/>
  <c r="BG75" i="1"/>
  <c r="BG67" i="1"/>
  <c r="BG53" i="1"/>
  <c r="BD36" i="1"/>
  <c r="BE36" i="1" s="1"/>
  <c r="BB37" i="1"/>
  <c r="AV39" i="1"/>
  <c r="BH39" i="1" s="1"/>
  <c r="BB40" i="1"/>
  <c r="BD44" i="1"/>
  <c r="BG52" i="1"/>
  <c r="AV52" i="1"/>
  <c r="BH52" i="1" s="1"/>
  <c r="BI56" i="1" s="1"/>
  <c r="BE56" i="1"/>
  <c r="BH62" i="1"/>
  <c r="BB47" i="1"/>
  <c r="BB56" i="1"/>
  <c r="BC56" i="1" s="1"/>
  <c r="BF73" i="1"/>
  <c r="BI80" i="1"/>
  <c r="AX80" i="1" s="1"/>
  <c r="BF136" i="1"/>
  <c r="AV138" i="1"/>
  <c r="AV139" i="1"/>
  <c r="BH139" i="1" s="1"/>
  <c r="BA59" i="1"/>
  <c r="AV60" i="1"/>
  <c r="AV68" i="1"/>
  <c r="AV76" i="1"/>
  <c r="BI79" i="1"/>
  <c r="AV89" i="1"/>
  <c r="BD48" i="1"/>
  <c r="BD55" i="1"/>
  <c r="BC59" i="1"/>
  <c r="AV66" i="1"/>
  <c r="BH66" i="1" s="1"/>
  <c r="AW67" i="1"/>
  <c r="BA70" i="1"/>
  <c r="BB71" i="1"/>
  <c r="AV74" i="1"/>
  <c r="AW75" i="1"/>
  <c r="BA78" i="1"/>
  <c r="AV81" i="1"/>
  <c r="BH81" i="1" s="1"/>
  <c r="BB82" i="1"/>
  <c r="AV109" i="1"/>
  <c r="BB35" i="1"/>
  <c r="AW60" i="1"/>
  <c r="BI62" i="1"/>
  <c r="AX62" i="1" s="1"/>
  <c r="BA62" i="1"/>
  <c r="BF63" i="1"/>
  <c r="BG63" i="1" s="1"/>
  <c r="BB64" i="1"/>
  <c r="AV65" i="1"/>
  <c r="BH65" i="1" s="1"/>
  <c r="BF65" i="1"/>
  <c r="BE68" i="1"/>
  <c r="BI70" i="1"/>
  <c r="AX70" i="1" s="1"/>
  <c r="BD70" i="1"/>
  <c r="BE76" i="1"/>
  <c r="BI78" i="1"/>
  <c r="AX78" i="1" s="1"/>
  <c r="BB81" i="1"/>
  <c r="BI90" i="1"/>
  <c r="BH104" i="1"/>
  <c r="AV53" i="1"/>
  <c r="BH53" i="1" s="1"/>
  <c r="BB58" i="1"/>
  <c r="BC58" i="1" s="1"/>
  <c r="BD58" i="1"/>
  <c r="BF59" i="1"/>
  <c r="BG59" i="1" s="1"/>
  <c r="BD62" i="1"/>
  <c r="BA63" i="1"/>
  <c r="AV63" i="1"/>
  <c r="BB65" i="1"/>
  <c r="BD67" i="1"/>
  <c r="BE67" i="1" s="1"/>
  <c r="BB72" i="1"/>
  <c r="AV73" i="1"/>
  <c r="BB80" i="1"/>
  <c r="BC80" i="1" s="1"/>
  <c r="BD82" i="1"/>
  <c r="BI84" i="1"/>
  <c r="AW86" i="1"/>
  <c r="BH86" i="1"/>
  <c r="BI94" i="1"/>
  <c r="BI53" i="1"/>
  <c r="BE58" i="1"/>
  <c r="BF64" i="1"/>
  <c r="BB70" i="1"/>
  <c r="BB73" i="1"/>
  <c r="BI76" i="1"/>
  <c r="BB78" i="1"/>
  <c r="BC78" i="1" s="1"/>
  <c r="BI81" i="1"/>
  <c r="BF81" i="1"/>
  <c r="BB83" i="1"/>
  <c r="BD92" i="1"/>
  <c r="AW94" i="1"/>
  <c r="BF111" i="1"/>
  <c r="BB57" i="1"/>
  <c r="BC57" i="1" s="1"/>
  <c r="BG58" i="1"/>
  <c r="AV67" i="1"/>
  <c r="BI72" i="1"/>
  <c r="BF72" i="1"/>
  <c r="BG72" i="1" s="1"/>
  <c r="AV75" i="1"/>
  <c r="BC79" i="1"/>
  <c r="AV85" i="1"/>
  <c r="AV119" i="1"/>
  <c r="BH119" i="1" s="1"/>
  <c r="BB90" i="1"/>
  <c r="BB92" i="1"/>
  <c r="BA93" i="1"/>
  <c r="BF98" i="1"/>
  <c r="BA101" i="1"/>
  <c r="AV111" i="1"/>
  <c r="BD120" i="1"/>
  <c r="BF87" i="1"/>
  <c r="BF88" i="1"/>
  <c r="BF89" i="1"/>
  <c r="AV93" i="1"/>
  <c r="BH93" i="1" s="1"/>
  <c r="BF94" i="1"/>
  <c r="BD100" i="1"/>
  <c r="AV101" i="1"/>
  <c r="BH101" i="1" s="1"/>
  <c r="AW113" i="1"/>
  <c r="BI118" i="1"/>
  <c r="AX118" i="1" s="1"/>
  <c r="BF120" i="1"/>
  <c r="BB120" i="1"/>
  <c r="BF121" i="1"/>
  <c r="BI83" i="1"/>
  <c r="BH87" i="1"/>
  <c r="AW87" i="1"/>
  <c r="AW89" i="1"/>
  <c r="BF90" i="1"/>
  <c r="AV94" i="1"/>
  <c r="BF96" i="1"/>
  <c r="AW97" i="1"/>
  <c r="BH97" i="1"/>
  <c r="AV103" i="1"/>
  <c r="BH103" i="1" s="1"/>
  <c r="AW105" i="1"/>
  <c r="BI110" i="1"/>
  <c r="AX110" i="1" s="1"/>
  <c r="BF116" i="1"/>
  <c r="AV120" i="1"/>
  <c r="BH120" i="1" s="1"/>
  <c r="BH125" i="1"/>
  <c r="AW125" i="1"/>
  <c r="BA83" i="1"/>
  <c r="AV84" i="1"/>
  <c r="BI92" i="1"/>
  <c r="AX92" i="1" s="1"/>
  <c r="BD97" i="1"/>
  <c r="BI108" i="1"/>
  <c r="AX108" i="1" s="1"/>
  <c r="BF108" i="1"/>
  <c r="BG111" i="1"/>
  <c r="BD113" i="1"/>
  <c r="BE113" i="1" s="1"/>
  <c r="AV122" i="1"/>
  <c r="AW82" i="1"/>
  <c r="BF86" i="1"/>
  <c r="BI91" i="1"/>
  <c r="AX91" i="1" s="1"/>
  <c r="BG98" i="1"/>
  <c r="BE100" i="1"/>
  <c r="BF114" i="1"/>
  <c r="BD122" i="1"/>
  <c r="AV83" i="1"/>
  <c r="BH83" i="1" s="1"/>
  <c r="BI88" i="1"/>
  <c r="AV90" i="1"/>
  <c r="BH90" i="1" s="1"/>
  <c r="BD90" i="1"/>
  <c r="BA90" i="1"/>
  <c r="BF92" i="1"/>
  <c r="BG100" i="1"/>
  <c r="BF100" i="1"/>
  <c r="BF106" i="1"/>
  <c r="BB111" i="1"/>
  <c r="BC111" i="1" s="1"/>
  <c r="BH112" i="1"/>
  <c r="AV113" i="1"/>
  <c r="BA117" i="1"/>
  <c r="BF125" i="1"/>
  <c r="BD85" i="1"/>
  <c r="AV95" i="1"/>
  <c r="BH95" i="1" s="1"/>
  <c r="AV105" i="1"/>
  <c r="BA109" i="1"/>
  <c r="BI112" i="1"/>
  <c r="AX112" i="1" s="1"/>
  <c r="AV117" i="1"/>
  <c r="BH117" i="1" s="1"/>
  <c r="BA98" i="1"/>
  <c r="AW102" i="1"/>
  <c r="BA106" i="1"/>
  <c r="AW110" i="1"/>
  <c r="BA114" i="1"/>
  <c r="AW118" i="1"/>
  <c r="BA120" i="1"/>
  <c r="BI124" i="1"/>
  <c r="BD129" i="1"/>
  <c r="BI132" i="1"/>
  <c r="AV136" i="1"/>
  <c r="BH136" i="1" s="1"/>
  <c r="BE137" i="1"/>
  <c r="BA91" i="1"/>
  <c r="AW95" i="1"/>
  <c r="AV96" i="1"/>
  <c r="BA99" i="1"/>
  <c r="AW103" i="1"/>
  <c r="BA107" i="1"/>
  <c r="AW111" i="1"/>
  <c r="BA115" i="1"/>
  <c r="AW119" i="1"/>
  <c r="BI121" i="1"/>
  <c r="BA121" i="1"/>
  <c r="AV121" i="1"/>
  <c r="BH121" i="1" s="1"/>
  <c r="BI122" i="1" s="1"/>
  <c r="BF123" i="1"/>
  <c r="BG123" i="1" s="1"/>
  <c r="BI126" i="1"/>
  <c r="AV135" i="1"/>
  <c r="BE138" i="1"/>
  <c r="BE139" i="1"/>
  <c r="BB99" i="1"/>
  <c r="BC99" i="1" s="1"/>
  <c r="BB107" i="1"/>
  <c r="BB115" i="1"/>
  <c r="AV130" i="1"/>
  <c r="AV98" i="1"/>
  <c r="AV106" i="1"/>
  <c r="BH106" i="1" s="1"/>
  <c r="AV114" i="1"/>
  <c r="BH114" i="1" s="1"/>
  <c r="BI114" i="1" s="1"/>
  <c r="AV133" i="1"/>
  <c r="BH133" i="1" s="1"/>
  <c r="BG136" i="1"/>
  <c r="AW120" i="1"/>
  <c r="AW122" i="1"/>
  <c r="BA123" i="1"/>
  <c r="BD123" i="1"/>
  <c r="BE123" i="1" s="1"/>
  <c r="AV127" i="1"/>
  <c r="BH128" i="1"/>
  <c r="BI136" i="1"/>
  <c r="BD141" i="1"/>
  <c r="BD106" i="1"/>
  <c r="BI123" i="1"/>
  <c r="AV123" i="1"/>
  <c r="AV132" i="1"/>
  <c r="BI135" i="1"/>
  <c r="BD137" i="1"/>
  <c r="BB101" i="1"/>
  <c r="AV124" i="1"/>
  <c r="BH124" i="1" s="1"/>
  <c r="BI128" i="1"/>
  <c r="AX128" i="1" s="1"/>
  <c r="BI130" i="1"/>
  <c r="BB132" i="1"/>
  <c r="BF127" i="1"/>
  <c r="BF135" i="1"/>
  <c r="BF141" i="1"/>
  <c r="BA128" i="1"/>
  <c r="BD133" i="1"/>
  <c r="BA136" i="1"/>
  <c r="BD139" i="1"/>
  <c r="BE141" i="1"/>
  <c r="BH141" i="1"/>
  <c r="AW141" i="1"/>
  <c r="BA143" i="1"/>
  <c r="AV147" i="1"/>
  <c r="AV149" i="1"/>
  <c r="BH149" i="1" s="1"/>
  <c r="BB126" i="1"/>
  <c r="AV126" i="1"/>
  <c r="BA129" i="1"/>
  <c r="AW133" i="1"/>
  <c r="AV134" i="1"/>
  <c r="BA137" i="1"/>
  <c r="BA142" i="1"/>
  <c r="BI143" i="1"/>
  <c r="AX143" i="1" s="1"/>
  <c r="BD144" i="1"/>
  <c r="BB144" i="1"/>
  <c r="BC144" i="1" s="1"/>
  <c r="AW146" i="1"/>
  <c r="AV148" i="1"/>
  <c r="BF151" i="1"/>
  <c r="BD152" i="1"/>
  <c r="BE152" i="1" s="1"/>
  <c r="BE144" i="1"/>
  <c r="AV129" i="1"/>
  <c r="AV137" i="1"/>
  <c r="BG144" i="1"/>
  <c r="AV146" i="1"/>
  <c r="BF146" i="1"/>
  <c r="AV152" i="1"/>
  <c r="BH152" i="1" s="1"/>
  <c r="BE140" i="1"/>
  <c r="BI144" i="1"/>
  <c r="AX144" i="1" s="1"/>
  <c r="BH144" i="1"/>
  <c r="BI145" i="1" s="1"/>
  <c r="BF145" i="1"/>
  <c r="BG145" i="1" s="1"/>
  <c r="BA139" i="1"/>
  <c r="BB142" i="1"/>
  <c r="BC142" i="1" s="1"/>
  <c r="BA145" i="1"/>
  <c r="AW149" i="1"/>
  <c r="AV150" i="1"/>
  <c r="BA152" i="1"/>
  <c r="AV157" i="1"/>
  <c r="BB157" i="1"/>
  <c r="BF159" i="1"/>
  <c r="BI164" i="1"/>
  <c r="BF168" i="1"/>
  <c r="BG168" i="1" s="1"/>
  <c r="BH170" i="1"/>
  <c r="BI171" i="1" s="1"/>
  <c r="BB171" i="1"/>
  <c r="AV175" i="1"/>
  <c r="AW159" i="1"/>
  <c r="BB161" i="1"/>
  <c r="BB163" i="1"/>
  <c r="BC163" i="1" s="1"/>
  <c r="AV167" i="1"/>
  <c r="BI169" i="1"/>
  <c r="BF171" i="1"/>
  <c r="BA171" i="1"/>
  <c r="AV173" i="1"/>
  <c r="BB173" i="1"/>
  <c r="BC173" i="1" s="1"/>
  <c r="AV179" i="1"/>
  <c r="BH179" i="1" s="1"/>
  <c r="BD179" i="1"/>
  <c r="BA179" i="1"/>
  <c r="BG155" i="1"/>
  <c r="BD158" i="1"/>
  <c r="BA163" i="1"/>
  <c r="AV165" i="1"/>
  <c r="BB165" i="1"/>
  <c r="BF167" i="1"/>
  <c r="BG167" i="1" s="1"/>
  <c r="BB169" i="1"/>
  <c r="AV171" i="1"/>
  <c r="BH171" i="1" s="1"/>
  <c r="AV145" i="1"/>
  <c r="BH145" i="1" s="1"/>
  <c r="BH153" i="1"/>
  <c r="BA155" i="1"/>
  <c r="BG156" i="1"/>
  <c r="AV156" i="1"/>
  <c r="AV163" i="1"/>
  <c r="BH163" i="1" s="1"/>
  <c r="BI163" i="1" s="1"/>
  <c r="AW167" i="1"/>
  <c r="BI170" i="1"/>
  <c r="AX170" i="1" s="1"/>
  <c r="BD174" i="1"/>
  <c r="BF186" i="1"/>
  <c r="BB154" i="1"/>
  <c r="BC154" i="1" s="1"/>
  <c r="AV155" i="1"/>
  <c r="BH155" i="1" s="1"/>
  <c r="AW157" i="1"/>
  <c r="AV158" i="1"/>
  <c r="BH158" i="1" s="1"/>
  <c r="BD166" i="1"/>
  <c r="BB147" i="1"/>
  <c r="AW173" i="1"/>
  <c r="AV174" i="1"/>
  <c r="BH174" i="1" s="1"/>
  <c r="BH183" i="1"/>
  <c r="BC185" i="1"/>
  <c r="BB185" i="1"/>
  <c r="BC153" i="1"/>
  <c r="BF157" i="1"/>
  <c r="BG157" i="1" s="1"/>
  <c r="BF160" i="1"/>
  <c r="AV161" i="1"/>
  <c r="BH161" i="1" s="1"/>
  <c r="BA161" i="1"/>
  <c r="AV164" i="1"/>
  <c r="BH164" i="1" s="1"/>
  <c r="AW165" i="1"/>
  <c r="AV166" i="1"/>
  <c r="BH166" i="1" s="1"/>
  <c r="BD168" i="1"/>
  <c r="BE168" i="1" s="1"/>
  <c r="BC169" i="1"/>
  <c r="AV177" i="1"/>
  <c r="BH177" i="1" s="1"/>
  <c r="BA154" i="1"/>
  <c r="BD154" i="1"/>
  <c r="BE154" i="1" s="1"/>
  <c r="AV159" i="1"/>
  <c r="BH159" i="1" s="1"/>
  <c r="AV169" i="1"/>
  <c r="BH169" i="1" s="1"/>
  <c r="BA169" i="1"/>
  <c r="BI172" i="1"/>
  <c r="AX172" i="1" s="1"/>
  <c r="BF173" i="1"/>
  <c r="BG173" i="1" s="1"/>
  <c r="BB183" i="1"/>
  <c r="BC183" i="1" s="1"/>
  <c r="BI184" i="1"/>
  <c r="AV187" i="1"/>
  <c r="BF193" i="1"/>
  <c r="BG193" i="1" s="1"/>
  <c r="AV194" i="1"/>
  <c r="BH194" i="1" s="1"/>
  <c r="AW196" i="1"/>
  <c r="AW202" i="1"/>
  <c r="BH202" i="1"/>
  <c r="BI207" i="1" s="1"/>
  <c r="BI204" i="1"/>
  <c r="BF209" i="1"/>
  <c r="BA219" i="1"/>
  <c r="BD219" i="1"/>
  <c r="BA236" i="1"/>
  <c r="BA184" i="1"/>
  <c r="AV195" i="1"/>
  <c r="BB198" i="1"/>
  <c r="AV201" i="1"/>
  <c r="BH201" i="1" s="1"/>
  <c r="BF201" i="1"/>
  <c r="BG201" i="1" s="1"/>
  <c r="BA203" i="1"/>
  <c r="BD204" i="1"/>
  <c r="BH212" i="1"/>
  <c r="BI214" i="1"/>
  <c r="BA214" i="1"/>
  <c r="BB222" i="1"/>
  <c r="BF225" i="1"/>
  <c r="BF227" i="1"/>
  <c r="BB230" i="1"/>
  <c r="BI251" i="1"/>
  <c r="AX251" i="1" s="1"/>
  <c r="BI182" i="1"/>
  <c r="AX182" i="1" s="1"/>
  <c r="BB191" i="1"/>
  <c r="BI192" i="1"/>
  <c r="AV193" i="1"/>
  <c r="BG194" i="1"/>
  <c r="BD194" i="1"/>
  <c r="BD202" i="1"/>
  <c r="AV203" i="1"/>
  <c r="BH203" i="1" s="1"/>
  <c r="BF203" i="1"/>
  <c r="BG203" i="1" s="1"/>
  <c r="AV218" i="1"/>
  <c r="BA221" i="1"/>
  <c r="AW225" i="1"/>
  <c r="BD228" i="1"/>
  <c r="BB177" i="1"/>
  <c r="AV184" i="1"/>
  <c r="BH184" i="1" s="1"/>
  <c r="AW188" i="1"/>
  <c r="BH188" i="1"/>
  <c r="BD190" i="1"/>
  <c r="AV190" i="1"/>
  <c r="BA192" i="1"/>
  <c r="AV192" i="1"/>
  <c r="BH192" i="1" s="1"/>
  <c r="BF196" i="1"/>
  <c r="AW199" i="1"/>
  <c r="BE202" i="1"/>
  <c r="AV205" i="1"/>
  <c r="BH205" i="1" s="1"/>
  <c r="AW207" i="1"/>
  <c r="BI230" i="1"/>
  <c r="AX230" i="1" s="1"/>
  <c r="BA230" i="1"/>
  <c r="BA242" i="1"/>
  <c r="BD265" i="1"/>
  <c r="AV269" i="1"/>
  <c r="BH269" i="1" s="1"/>
  <c r="BB182" i="1"/>
  <c r="BC182" i="1" s="1"/>
  <c r="BA183" i="1"/>
  <c r="BF183" i="1"/>
  <c r="BG183" i="1" s="1"/>
  <c r="BG185" i="1"/>
  <c r="BD188" i="1"/>
  <c r="AV196" i="1"/>
  <c r="BD201" i="1"/>
  <c r="BE201" i="1" s="1"/>
  <c r="BA211" i="1"/>
  <c r="BD211" i="1"/>
  <c r="AV247" i="1"/>
  <c r="BH247" i="1" s="1"/>
  <c r="AV176" i="1"/>
  <c r="BH178" i="1"/>
  <c r="BI180" i="1" s="1"/>
  <c r="AV180" i="1"/>
  <c r="BI183" i="1"/>
  <c r="AX183" i="1" s="1"/>
  <c r="AV186" i="1"/>
  <c r="BB186" i="1"/>
  <c r="BB190" i="1"/>
  <c r="BA191" i="1"/>
  <c r="AW193" i="1"/>
  <c r="AV211" i="1"/>
  <c r="BH211" i="1" s="1"/>
  <c r="BF223" i="1"/>
  <c r="BG223" i="1" s="1"/>
  <c r="BB152" i="1"/>
  <c r="BC152" i="1" s="1"/>
  <c r="AV185" i="1"/>
  <c r="BE186" i="1"/>
  <c r="BD187" i="1"/>
  <c r="BF189" i="1"/>
  <c r="BI191" i="1"/>
  <c r="BF191" i="1"/>
  <c r="BB193" i="1"/>
  <c r="BF195" i="1"/>
  <c r="AW197" i="1"/>
  <c r="AV199" i="1"/>
  <c r="BH199" i="1" s="1"/>
  <c r="BA199" i="1"/>
  <c r="BH200" i="1"/>
  <c r="AV214" i="1"/>
  <c r="BH214" i="1" s="1"/>
  <c r="BF218" i="1"/>
  <c r="BG218" i="1" s="1"/>
  <c r="AW223" i="1"/>
  <c r="AW180" i="1"/>
  <c r="BG184" i="1"/>
  <c r="BD186" i="1"/>
  <c r="BE188" i="1" s="1"/>
  <c r="BE200" i="1"/>
  <c r="BF210" i="1"/>
  <c r="AW218" i="1"/>
  <c r="BI223" i="1"/>
  <c r="BB223" i="1"/>
  <c r="BC223" i="1" s="1"/>
  <c r="AV225" i="1"/>
  <c r="BB229" i="1"/>
  <c r="BI231" i="1"/>
  <c r="AX231" i="1" s="1"/>
  <c r="AW231" i="1"/>
  <c r="BH231" i="1"/>
  <c r="BF238" i="1"/>
  <c r="BA198" i="1"/>
  <c r="BF199" i="1"/>
  <c r="BB203" i="1"/>
  <c r="BC203" i="1" s="1"/>
  <c r="AW215" i="1"/>
  <c r="BH215" i="1"/>
  <c r="BH221" i="1"/>
  <c r="BI222" i="1"/>
  <c r="BA222" i="1"/>
  <c r="AV222" i="1"/>
  <c r="AW226" i="1"/>
  <c r="BH226" i="1"/>
  <c r="BA229" i="1"/>
  <c r="BI232" i="1"/>
  <c r="AX232" i="1" s="1"/>
  <c r="BI236" i="1"/>
  <c r="AV237" i="1"/>
  <c r="AV240" i="1"/>
  <c r="AV246" i="1"/>
  <c r="BB246" i="1"/>
  <c r="AV252" i="1"/>
  <c r="BH252" i="1" s="1"/>
  <c r="BI254" i="1" s="1"/>
  <c r="BH259" i="1"/>
  <c r="BI261" i="1" s="1"/>
  <c r="AX261" i="1" s="1"/>
  <c r="AV198" i="1"/>
  <c r="BH198" i="1" s="1"/>
  <c r="BB208" i="1"/>
  <c r="BD212" i="1"/>
  <c r="BF215" i="1"/>
  <c r="AV219" i="1"/>
  <c r="BH219" i="1" s="1"/>
  <c r="BF224" i="1"/>
  <c r="BA227" i="1"/>
  <c r="BD227" i="1"/>
  <c r="BB231" i="1"/>
  <c r="BF236" i="1"/>
  <c r="AV242" i="1"/>
  <c r="BH242" i="1" s="1"/>
  <c r="BF242" i="1"/>
  <c r="BG242" i="1" s="1"/>
  <c r="AW246" i="1"/>
  <c r="AV248" i="1"/>
  <c r="BH248" i="1" s="1"/>
  <c r="BB252" i="1"/>
  <c r="AW205" i="1"/>
  <c r="AV207" i="1"/>
  <c r="BF217" i="1"/>
  <c r="AV227" i="1"/>
  <c r="BH227" i="1" s="1"/>
  <c r="BI228" i="1"/>
  <c r="AX228" i="1" s="1"/>
  <c r="BD230" i="1"/>
  <c r="BF232" i="1"/>
  <c r="BG232" i="1" s="1"/>
  <c r="AV236" i="1"/>
  <c r="BH236" i="1" s="1"/>
  <c r="AV245" i="1"/>
  <c r="BI249" i="1"/>
  <c r="AV264" i="1"/>
  <c r="BF266" i="1"/>
  <c r="BF268" i="1"/>
  <c r="BB201" i="1"/>
  <c r="BC201" i="1" s="1"/>
  <c r="BE204" i="1"/>
  <c r="BI208" i="1"/>
  <c r="AX208" i="1" s="1"/>
  <c r="AV209" i="1"/>
  <c r="BH209" i="1" s="1"/>
  <c r="BI224" i="1" s="1"/>
  <c r="BC222" i="1"/>
  <c r="BF231" i="1"/>
  <c r="BE235" i="1"/>
  <c r="AV238" i="1"/>
  <c r="BB238" i="1"/>
  <c r="BI245" i="1"/>
  <c r="AW257" i="1"/>
  <c r="BH257" i="1"/>
  <c r="BB181" i="1"/>
  <c r="BC181" i="1" s="1"/>
  <c r="BB189" i="1"/>
  <c r="BF204" i="1"/>
  <c r="BG204" i="1" s="1"/>
  <c r="BI206" i="1"/>
  <c r="BA206" i="1"/>
  <c r="AV206" i="1"/>
  <c r="BH206" i="1" s="1"/>
  <c r="AW210" i="1"/>
  <c r="BH210" i="1"/>
  <c r="BA213" i="1"/>
  <c r="BI216" i="1"/>
  <c r="AX216" i="1" s="1"/>
  <c r="AV217" i="1"/>
  <c r="AV223" i="1"/>
  <c r="BG224" i="1"/>
  <c r="BD224" i="1"/>
  <c r="BE224" i="1" s="1"/>
  <c r="BD229" i="1"/>
  <c r="BB232" i="1"/>
  <c r="BC232" i="1" s="1"/>
  <c r="BB236" i="1"/>
  <c r="BC236" i="1" s="1"/>
  <c r="BG255" i="1"/>
  <c r="BB255" i="1"/>
  <c r="BC255" i="1" s="1"/>
  <c r="BA200" i="1"/>
  <c r="BA208" i="1"/>
  <c r="BA216" i="1"/>
  <c r="BG236" i="1"/>
  <c r="BF241" i="1"/>
  <c r="BG241" i="1" s="1"/>
  <c r="BD247" i="1"/>
  <c r="AW254" i="1"/>
  <c r="BF256" i="1"/>
  <c r="BG256" i="1" s="1"/>
  <c r="BF259" i="1"/>
  <c r="BG259" i="1" s="1"/>
  <c r="BI235" i="1"/>
  <c r="BD237" i="1"/>
  <c r="BE237" i="1" s="1"/>
  <c r="BD239" i="1"/>
  <c r="AW240" i="1"/>
  <c r="BE243" i="1"/>
  <c r="BI248" i="1"/>
  <c r="AV253" i="1"/>
  <c r="BH253" i="1" s="1"/>
  <c r="BC257" i="1"/>
  <c r="BD257" i="1"/>
  <c r="BF221" i="1"/>
  <c r="BG221" i="1" s="1"/>
  <c r="BI233" i="1"/>
  <c r="BA235" i="1"/>
  <c r="BI237" i="1"/>
  <c r="BI242" i="1"/>
  <c r="BB244" i="1"/>
  <c r="BC244" i="1" s="1"/>
  <c r="BA250" i="1"/>
  <c r="BD250" i="1"/>
  <c r="BF252" i="1"/>
  <c r="BD270" i="1"/>
  <c r="AW238" i="1"/>
  <c r="AV239" i="1"/>
  <c r="BH239" i="1" s="1"/>
  <c r="BI241" i="1"/>
  <c r="AX241" i="1" s="1"/>
  <c r="BI243" i="1"/>
  <c r="BG244" i="1"/>
  <c r="BF244" i="1"/>
  <c r="BA244" i="1"/>
  <c r="BD249" i="1"/>
  <c r="BE249" i="1" s="1"/>
  <c r="AV250" i="1"/>
  <c r="BH250" i="1" s="1"/>
  <c r="BB251" i="1"/>
  <c r="BI252" i="1"/>
  <c r="AV254" i="1"/>
  <c r="BI256" i="1"/>
  <c r="AW267" i="1"/>
  <c r="BH267" i="1"/>
  <c r="BI234" i="1"/>
  <c r="AX234" i="1" s="1"/>
  <c r="BH235" i="1"/>
  <c r="BI244" i="1"/>
  <c r="AV244" i="1"/>
  <c r="BH244" i="1" s="1"/>
  <c r="BI250" i="1"/>
  <c r="BI253" i="1"/>
  <c r="BC254" i="1"/>
  <c r="BB254" i="1"/>
  <c r="BI255" i="1"/>
  <c r="BA255" i="1"/>
  <c r="AW262" i="1"/>
  <c r="BB264" i="1"/>
  <c r="BC264" i="1" s="1"/>
  <c r="BA266" i="1"/>
  <c r="AV274" i="1"/>
  <c r="BI284" i="1"/>
  <c r="AX284" i="1" s="1"/>
  <c r="BA248" i="1"/>
  <c r="AW252" i="1"/>
  <c r="AV256" i="1"/>
  <c r="BH256" i="1" s="1"/>
  <c r="BB258" i="1"/>
  <c r="BC258" i="1" s="1"/>
  <c r="BE263" i="1"/>
  <c r="AV266" i="1"/>
  <c r="BD269" i="1"/>
  <c r="BE269" i="1" s="1"/>
  <c r="BD276" i="1"/>
  <c r="BE276" i="1" s="1"/>
  <c r="AW280" i="1"/>
  <c r="AV298" i="1"/>
  <c r="BH298" i="1" s="1"/>
  <c r="BA298" i="1"/>
  <c r="BF250" i="1"/>
  <c r="BA258" i="1"/>
  <c r="BF262" i="1"/>
  <c r="BG262" i="1" s="1"/>
  <c r="BF264" i="1"/>
  <c r="BG264" i="1" s="1"/>
  <c r="AV272" i="1"/>
  <c r="BB282" i="1"/>
  <c r="BD245" i="1"/>
  <c r="BD256" i="1"/>
  <c r="BI258" i="1"/>
  <c r="AV258" i="1"/>
  <c r="BH258" i="1" s="1"/>
  <c r="AW264" i="1"/>
  <c r="BE265" i="1"/>
  <c r="BB267" i="1"/>
  <c r="BB297" i="1"/>
  <c r="BA256" i="1"/>
  <c r="BA260" i="1"/>
  <c r="AV262" i="1"/>
  <c r="BA271" i="1"/>
  <c r="BC256" i="1"/>
  <c r="AV260" i="1"/>
  <c r="BH260" i="1" s="1"/>
  <c r="BD267" i="1"/>
  <c r="AV271" i="1"/>
  <c r="BH271" i="1" s="1"/>
  <c r="BE292" i="1"/>
  <c r="BB250" i="1"/>
  <c r="BG260" i="1"/>
  <c r="AV268" i="1"/>
  <c r="BH268" i="1" s="1"/>
  <c r="BA268" i="1"/>
  <c r="BD274" i="1"/>
  <c r="BB293" i="1"/>
  <c r="BC293" i="1" s="1"/>
  <c r="BA263" i="1"/>
  <c r="AV287" i="1"/>
  <c r="AV303" i="1"/>
  <c r="BH303" i="1" s="1"/>
  <c r="BA277" i="1"/>
  <c r="AV277" i="1"/>
  <c r="BH277" i="1" s="1"/>
  <c r="BD279" i="1"/>
  <c r="AV281" i="1"/>
  <c r="AV263" i="1"/>
  <c r="BH263" i="1" s="1"/>
  <c r="BH265" i="1"/>
  <c r="BB269" i="1"/>
  <c r="BC269" i="1" s="1"/>
  <c r="BA278" i="1"/>
  <c r="AV280" i="1"/>
  <c r="AV293" i="1"/>
  <c r="BI299" i="1"/>
  <c r="BF301" i="1"/>
  <c r="BG301" i="1" s="1"/>
  <c r="AW269" i="1"/>
  <c r="BB270" i="1"/>
  <c r="BB271" i="1"/>
  <c r="BF272" i="1"/>
  <c r="AW274" i="1"/>
  <c r="BB280" i="1"/>
  <c r="BA283" i="1"/>
  <c r="AV295" i="1"/>
  <c r="BB277" i="1"/>
  <c r="BH279" i="1"/>
  <c r="BI279" i="1" s="1"/>
  <c r="AX279" i="1" s="1"/>
  <c r="BC295" i="1"/>
  <c r="AV282" i="1"/>
  <c r="BH282" i="1" s="1"/>
  <c r="BF285" i="1"/>
  <c r="BA293" i="1"/>
  <c r="AW299" i="1"/>
  <c r="BH299" i="1"/>
  <c r="AV308" i="1"/>
  <c r="BH308" i="1" s="1"/>
  <c r="AV312" i="1"/>
  <c r="BH312" i="1" s="1"/>
  <c r="BI330" i="1"/>
  <c r="AX330" i="1" s="1"/>
  <c r="BI282" i="1"/>
  <c r="AV289" i="1"/>
  <c r="BI298" i="1"/>
  <c r="BF309" i="1"/>
  <c r="BA311" i="1"/>
  <c r="BA285" i="1"/>
  <c r="BI292" i="1"/>
  <c r="AX292" i="1" s="1"/>
  <c r="BD296" i="1"/>
  <c r="BD302" i="1"/>
  <c r="BE302" i="1" s="1"/>
  <c r="BD304" i="1"/>
  <c r="AW307" i="1"/>
  <c r="BI310" i="1"/>
  <c r="BI312" i="1"/>
  <c r="BF278" i="1"/>
  <c r="BI285" i="1"/>
  <c r="AV285" i="1"/>
  <c r="BH285" i="1" s="1"/>
  <c r="BB291" i="1"/>
  <c r="BG295" i="1"/>
  <c r="AV326" i="1"/>
  <c r="AV286" i="1"/>
  <c r="AW287" i="1"/>
  <c r="BF289" i="1"/>
  <c r="BF293" i="1"/>
  <c r="BG293" i="1" s="1"/>
  <c r="AV294" i="1"/>
  <c r="BH294" i="1" s="1"/>
  <c r="BI294" i="1" s="1"/>
  <c r="AW295" i="1"/>
  <c r="AV302" i="1"/>
  <c r="BF282" i="1"/>
  <c r="BI283" i="1"/>
  <c r="AX283" i="1" s="1"/>
  <c r="BF283" i="1"/>
  <c r="AW289" i="1"/>
  <c r="AV291" i="1"/>
  <c r="BH291" i="1" s="1"/>
  <c r="BA291" i="1"/>
  <c r="BE296" i="1"/>
  <c r="BI297" i="1"/>
  <c r="AX297" i="1" s="1"/>
  <c r="BD298" i="1"/>
  <c r="BE300" i="1"/>
  <c r="BE304" i="1"/>
  <c r="BA288" i="1"/>
  <c r="AW292" i="1"/>
  <c r="BA296" i="1"/>
  <c r="AW297" i="1"/>
  <c r="BG300" i="1"/>
  <c r="BF313" i="1"/>
  <c r="BB299" i="1"/>
  <c r="BC299" i="1" s="1"/>
  <c r="BI306" i="1"/>
  <c r="AX306" i="1" s="1"/>
  <c r="AV311" i="1"/>
  <c r="BH311" i="1" s="1"/>
  <c r="AV313" i="1"/>
  <c r="AV288" i="1"/>
  <c r="AV296" i="1"/>
  <c r="BH296" i="1" s="1"/>
  <c r="BI304" i="1"/>
  <c r="AX304" i="1" s="1"/>
  <c r="BD310" i="1"/>
  <c r="BI308" i="1"/>
  <c r="BF325" i="1"/>
  <c r="BG325" i="1" s="1"/>
  <c r="BA305" i="1"/>
  <c r="AV307" i="1"/>
  <c r="AV309" i="1"/>
  <c r="BF329" i="1"/>
  <c r="AV300" i="1"/>
  <c r="BH300" i="1" s="1"/>
  <c r="BI300" i="1" s="1"/>
  <c r="AV301" i="1"/>
  <c r="BH301" i="1" s="1"/>
  <c r="BA303" i="1"/>
  <c r="AV305" i="1"/>
  <c r="BH305" i="1" s="1"/>
  <c r="BB312" i="1"/>
  <c r="BA300" i="1"/>
  <c r="BA308" i="1"/>
  <c r="AV317" i="1"/>
  <c r="BH317" i="1" s="1"/>
  <c r="BA317" i="1"/>
  <c r="BI324" i="1"/>
  <c r="AX324" i="1" s="1"/>
  <c r="BA327" i="1"/>
  <c r="AV329" i="1"/>
  <c r="BF317" i="1"/>
  <c r="BB319" i="1"/>
  <c r="BI322" i="1"/>
  <c r="AX322" i="1" s="1"/>
  <c r="AV327" i="1"/>
  <c r="BH327" i="1" s="1"/>
  <c r="BI328" i="1" s="1"/>
  <c r="AV331" i="1"/>
  <c r="AV318" i="1"/>
  <c r="BA319" i="1"/>
  <c r="AV321" i="1"/>
  <c r="AV323" i="1"/>
  <c r="BH310" i="1"/>
  <c r="AW313" i="1"/>
  <c r="AV314" i="1"/>
  <c r="BA314" i="1"/>
  <c r="AV315" i="1"/>
  <c r="BA316" i="1"/>
  <c r="BF316" i="1"/>
  <c r="AV319" i="1"/>
  <c r="BH319" i="1" s="1"/>
  <c r="BD321" i="1"/>
  <c r="BI326" i="1"/>
  <c r="AV332" i="1"/>
  <c r="BF305" i="1"/>
  <c r="BB325" i="1"/>
  <c r="BC325" i="1" s="1"/>
  <c r="AV328" i="1"/>
  <c r="AW329" i="1"/>
  <c r="BF331" i="1"/>
  <c r="BF323" i="1"/>
  <c r="BF327" i="1"/>
  <c r="BB327" i="1"/>
  <c r="AW331" i="1"/>
  <c r="AW315" i="1"/>
  <c r="BB317" i="1"/>
  <c r="AV320" i="1"/>
  <c r="AW321" i="1"/>
  <c r="AW323" i="1"/>
  <c r="BI325" i="1"/>
  <c r="AV325" i="1"/>
  <c r="BA325" i="1"/>
  <c r="BD322" i="1"/>
  <c r="AX381" i="1" l="1"/>
  <c r="AX389" i="1"/>
  <c r="BH384" i="1"/>
  <c r="AX392" i="1"/>
  <c r="BH33" i="1"/>
  <c r="BI281" i="1"/>
  <c r="BI178" i="1"/>
  <c r="AX178" i="1" s="1"/>
  <c r="BI134" i="1"/>
  <c r="AX134" i="1" s="1"/>
  <c r="BI61" i="1"/>
  <c r="AX61" i="1" s="1"/>
  <c r="BI63" i="1"/>
  <c r="AX63" i="1" s="1"/>
  <c r="AQ357" i="1"/>
  <c r="AR357" i="1" s="1"/>
  <c r="BA357" i="1"/>
  <c r="AQ65" i="1"/>
  <c r="AR65" i="1" s="1"/>
  <c r="BA65" i="1"/>
  <c r="BI212" i="1"/>
  <c r="AX212" i="1" s="1"/>
  <c r="BI129" i="1"/>
  <c r="BI115" i="1"/>
  <c r="AX115" i="1" s="1"/>
  <c r="BI116" i="1"/>
  <c r="AX116" i="1" s="1"/>
  <c r="BI365" i="1"/>
  <c r="AX365" i="1" s="1"/>
  <c r="BI366" i="1"/>
  <c r="AX366" i="1" s="1"/>
  <c r="BI377" i="1"/>
  <c r="AX377" i="1" s="1"/>
  <c r="BI375" i="1"/>
  <c r="AX375" i="1" s="1"/>
  <c r="BI376" i="1"/>
  <c r="AX376" i="1" s="1"/>
  <c r="AQ377" i="1"/>
  <c r="AR377" i="1" s="1"/>
  <c r="BA377" i="1"/>
  <c r="BI364" i="1"/>
  <c r="AX364" i="1" s="1"/>
  <c r="BI362" i="1"/>
  <c r="AX362" i="1" s="1"/>
  <c r="BI363" i="1"/>
  <c r="AX363" i="1" s="1"/>
  <c r="BA373" i="1"/>
  <c r="AQ373" i="1"/>
  <c r="AR373" i="1" s="1"/>
  <c r="BI131" i="1"/>
  <c r="AX131" i="1" s="1"/>
  <c r="BI361" i="1"/>
  <c r="AX361" i="1" s="1"/>
  <c r="BI360" i="1"/>
  <c r="AX360" i="1" s="1"/>
  <c r="AQ369" i="1"/>
  <c r="AR369" i="1" s="1"/>
  <c r="BA369" i="1"/>
  <c r="AQ61" i="1"/>
  <c r="AR61" i="1" s="1"/>
  <c r="BA61" i="1"/>
  <c r="BI327" i="1"/>
  <c r="BI220" i="1"/>
  <c r="AX220" i="1" s="1"/>
  <c r="AQ365" i="1"/>
  <c r="AR365" i="1" s="1"/>
  <c r="BA365" i="1"/>
  <c r="AQ150" i="1"/>
  <c r="AR150" i="1" s="1"/>
  <c r="BA150" i="1"/>
  <c r="AQ146" i="1"/>
  <c r="AR146" i="1" s="1"/>
  <c r="BA146" i="1"/>
  <c r="BI127" i="1"/>
  <c r="AX127" i="1" s="1"/>
  <c r="BI68" i="1"/>
  <c r="AX68" i="1" s="1"/>
  <c r="BA333" i="1"/>
  <c r="AQ333" i="1"/>
  <c r="AR333" i="1" s="1"/>
  <c r="AQ361" i="1"/>
  <c r="AR361" i="1" s="1"/>
  <c r="BA361" i="1"/>
  <c r="AQ329" i="1"/>
  <c r="AR329" i="1" s="1"/>
  <c r="BA329" i="1"/>
  <c r="AQ353" i="1"/>
  <c r="AR353" i="1" s="1"/>
  <c r="BA353" i="1"/>
  <c r="BI181" i="1"/>
  <c r="AX181" i="1" s="1"/>
  <c r="BI64" i="1"/>
  <c r="AX64" i="1" s="1"/>
  <c r="BI359" i="1"/>
  <c r="AX359" i="1" s="1"/>
  <c r="BI356" i="1"/>
  <c r="AX356" i="1" s="1"/>
  <c r="BI355" i="1"/>
  <c r="AX355" i="1" s="1"/>
  <c r="BI357" i="1"/>
  <c r="AX357" i="1" s="1"/>
  <c r="BI358" i="1"/>
  <c r="AX358" i="1" s="1"/>
  <c r="BA321" i="1"/>
  <c r="AQ321" i="1"/>
  <c r="AR321" i="1" s="1"/>
  <c r="AX299" i="1"/>
  <c r="AX398" i="1"/>
  <c r="BH397" i="1"/>
  <c r="AX383" i="1"/>
  <c r="AX399" i="1"/>
  <c r="BH353" i="1"/>
  <c r="BI353" i="1" s="1"/>
  <c r="AX353" i="1" s="1"/>
  <c r="BH373" i="1"/>
  <c r="BH364" i="1"/>
  <c r="BH372" i="1"/>
  <c r="BH357" i="1"/>
  <c r="BH340" i="1"/>
  <c r="BI340" i="1" s="1"/>
  <c r="AX340" i="1" s="1"/>
  <c r="AX351" i="1"/>
  <c r="AX254" i="1"/>
  <c r="BH337" i="1"/>
  <c r="BI337" i="1" s="1"/>
  <c r="AX337" i="1" s="1"/>
  <c r="BH348" i="1"/>
  <c r="AX343" i="1"/>
  <c r="AX341" i="1"/>
  <c r="AX336" i="1"/>
  <c r="BH352" i="1"/>
  <c r="BI352" i="1" s="1"/>
  <c r="AX352" i="1" s="1"/>
  <c r="BH333" i="1"/>
  <c r="BH344" i="1"/>
  <c r="BI344" i="1" s="1"/>
  <c r="AX344" i="1" s="1"/>
  <c r="BH350" i="1"/>
  <c r="AX335" i="1"/>
  <c r="BH346" i="1"/>
  <c r="BH349" i="1"/>
  <c r="BH342" i="1"/>
  <c r="BI342" i="1" s="1"/>
  <c r="AX342" i="1" s="1"/>
  <c r="BH345" i="1"/>
  <c r="BI345" i="1" s="1"/>
  <c r="AX345" i="1" s="1"/>
  <c r="BH338" i="1"/>
  <c r="AX347" i="1"/>
  <c r="BH334" i="1"/>
  <c r="BI334" i="1" s="1"/>
  <c r="AX334" i="1" s="1"/>
  <c r="AX326" i="1"/>
  <c r="AX130" i="1"/>
  <c r="AX135" i="1"/>
  <c r="AX193" i="1"/>
  <c r="AX76" i="1"/>
  <c r="AX233" i="1"/>
  <c r="AX235" i="1"/>
  <c r="AX243" i="1"/>
  <c r="AX88" i="1"/>
  <c r="AX224" i="1"/>
  <c r="AX310" i="1"/>
  <c r="AX204" i="1"/>
  <c r="BI95" i="1"/>
  <c r="AX95" i="1" s="1"/>
  <c r="BI82" i="1"/>
  <c r="AX82" i="1" s="1"/>
  <c r="BI59" i="1"/>
  <c r="AX59" i="1" s="1"/>
  <c r="BI159" i="1"/>
  <c r="AX159" i="1" s="1"/>
  <c r="BI109" i="1"/>
  <c r="AX109" i="1" s="1"/>
  <c r="BI213" i="1"/>
  <c r="AX213" i="1" s="1"/>
  <c r="BI71" i="1"/>
  <c r="AX71" i="1" s="1"/>
  <c r="BI73" i="1"/>
  <c r="AX73" i="1" s="1"/>
  <c r="BI28" i="1"/>
  <c r="AX28" i="1" s="1"/>
  <c r="BI57" i="1"/>
  <c r="AX57" i="1" s="1"/>
  <c r="BI66" i="1"/>
  <c r="BI111" i="1"/>
  <c r="AX111" i="1" s="1"/>
  <c r="BI166" i="1"/>
  <c r="BI202" i="1"/>
  <c r="AX202" i="1" s="1"/>
  <c r="BI266" i="1"/>
  <c r="AX266" i="1" s="1"/>
  <c r="BI55" i="1"/>
  <c r="AX55" i="1" s="1"/>
  <c r="BI87" i="1"/>
  <c r="AX87" i="1" s="1"/>
  <c r="BI119" i="1"/>
  <c r="BI201" i="1"/>
  <c r="AX201" i="1" s="1"/>
  <c r="BI194" i="1"/>
  <c r="AX194" i="1" s="1"/>
  <c r="BI260" i="1"/>
  <c r="AX260" i="1" s="1"/>
  <c r="BI20" i="1"/>
  <c r="AX20" i="1" s="1"/>
  <c r="BH41" i="1"/>
  <c r="BI52" i="1"/>
  <c r="AX52" i="1" s="1"/>
  <c r="BI50" i="1"/>
  <c r="BI89" i="1"/>
  <c r="AX89" i="1" s="1"/>
  <c r="BI203" i="1"/>
  <c r="AX203" i="1" s="1"/>
  <c r="BI60" i="1"/>
  <c r="AX60" i="1" s="1"/>
  <c r="BI47" i="1"/>
  <c r="AX47" i="1" s="1"/>
  <c r="BI58" i="1"/>
  <c r="AX58" i="1" s="1"/>
  <c r="BI65" i="1"/>
  <c r="AX65" i="1" s="1"/>
  <c r="BI133" i="1"/>
  <c r="AX133" i="1" s="1"/>
  <c r="BI217" i="1"/>
  <c r="BI219" i="1"/>
  <c r="BI296" i="1"/>
  <c r="AX296" i="1" s="1"/>
  <c r="BI69" i="1"/>
  <c r="AX69" i="1" s="1"/>
  <c r="BI75" i="1"/>
  <c r="BI86" i="1"/>
  <c r="AX86" i="1" s="1"/>
  <c r="BI167" i="1"/>
  <c r="AX167" i="1" s="1"/>
  <c r="BI280" i="1"/>
  <c r="AX280" i="1" s="1"/>
  <c r="BI307" i="1"/>
  <c r="AX307" i="1" s="1"/>
  <c r="BI54" i="1"/>
  <c r="AX54" i="1" s="1"/>
  <c r="BI147" i="1"/>
  <c r="AX147" i="1" s="1"/>
  <c r="BI185" i="1"/>
  <c r="AX185" i="1" s="1"/>
  <c r="BI205" i="1"/>
  <c r="AX205" i="1" s="1"/>
  <c r="BI315" i="1"/>
  <c r="AX315" i="1" s="1"/>
  <c r="BD29" i="1"/>
  <c r="BE29" i="1" s="1"/>
  <c r="BI303" i="1"/>
  <c r="AX303" i="1" s="1"/>
  <c r="BI146" i="1"/>
  <c r="AX146" i="1" s="1"/>
  <c r="BI209" i="1"/>
  <c r="AX209" i="1" s="1"/>
  <c r="BI262" i="1"/>
  <c r="AX262" i="1" s="1"/>
  <c r="BI227" i="1"/>
  <c r="AX227" i="1" s="1"/>
  <c r="BI311" i="1"/>
  <c r="AX311" i="1" s="1"/>
  <c r="BD236" i="1"/>
  <c r="BE236" i="1" s="1"/>
  <c r="BH272" i="1"/>
  <c r="BH320" i="1"/>
  <c r="BH50" i="1"/>
  <c r="BI67" i="1"/>
  <c r="AX67" i="1" s="1"/>
  <c r="BI173" i="1"/>
  <c r="BI226" i="1"/>
  <c r="AX226" i="1" s="1"/>
  <c r="BI210" i="1"/>
  <c r="AX210" i="1" s="1"/>
  <c r="BI247" i="1"/>
  <c r="AX247" i="1" s="1"/>
  <c r="BI309" i="1"/>
  <c r="AX309" i="1" s="1"/>
  <c r="BI74" i="1"/>
  <c r="AX74" i="1" s="1"/>
  <c r="BI125" i="1"/>
  <c r="AX125" i="1" s="1"/>
  <c r="BI246" i="1"/>
  <c r="AX246" i="1" s="1"/>
  <c r="BI240" i="1"/>
  <c r="AX240" i="1" s="1"/>
  <c r="BI273" i="1"/>
  <c r="AX273" i="1" s="1"/>
  <c r="BI301" i="1"/>
  <c r="AX301" i="1" s="1"/>
  <c r="BH186" i="1"/>
  <c r="BD101" i="1"/>
  <c r="AX206" i="1"/>
  <c r="AX121" i="1"/>
  <c r="BB295" i="1"/>
  <c r="BI276" i="1"/>
  <c r="AX276" i="1" s="1"/>
  <c r="BI305" i="1"/>
  <c r="AX305" i="1" s="1"/>
  <c r="AX253" i="1"/>
  <c r="BD177" i="1"/>
  <c r="BE176" i="1" s="1"/>
  <c r="BH223" i="1"/>
  <c r="BH105" i="1"/>
  <c r="BH73" i="1"/>
  <c r="BI85" i="1"/>
  <c r="AX85" i="1" s="1"/>
  <c r="BI93" i="1"/>
  <c r="AX93" i="1" s="1"/>
  <c r="BI120" i="1"/>
  <c r="AX120" i="1" s="1"/>
  <c r="BI196" i="1"/>
  <c r="AX196" i="1" s="1"/>
  <c r="BI238" i="1"/>
  <c r="AX238" i="1" s="1"/>
  <c r="BI259" i="1"/>
  <c r="AX259" i="1" s="1"/>
  <c r="BI295" i="1"/>
  <c r="AX295" i="1" s="1"/>
  <c r="BI323" i="1"/>
  <c r="AX323" i="1" s="1"/>
  <c r="BH328" i="1"/>
  <c r="BI117" i="1"/>
  <c r="AX117" i="1" s="1"/>
  <c r="BI139" i="1"/>
  <c r="AX139" i="1" s="1"/>
  <c r="BI165" i="1"/>
  <c r="AX165" i="1" s="1"/>
  <c r="BI179" i="1"/>
  <c r="AX179" i="1" s="1"/>
  <c r="BI229" i="1"/>
  <c r="AX229" i="1" s="1"/>
  <c r="BI313" i="1"/>
  <c r="AX313" i="1" s="1"/>
  <c r="BH325" i="1"/>
  <c r="BH217" i="1"/>
  <c r="BH59" i="1"/>
  <c r="BH88" i="1"/>
  <c r="BH146" i="1"/>
  <c r="BH56" i="1"/>
  <c r="AX136" i="1"/>
  <c r="AX56" i="1"/>
  <c r="BH237" i="1"/>
  <c r="BF220" i="1"/>
  <c r="BB194" i="1"/>
  <c r="BF181" i="1"/>
  <c r="BG181" i="1" s="1"/>
  <c r="BH46" i="1"/>
  <c r="BH94" i="1"/>
  <c r="BH24" i="1"/>
  <c r="BF275" i="1"/>
  <c r="BH222" i="1"/>
  <c r="BF52" i="1"/>
  <c r="BD45" i="1"/>
  <c r="BB287" i="1"/>
  <c r="BH207" i="1"/>
  <c r="BH185" i="1"/>
  <c r="BI186" i="1" s="1"/>
  <c r="AX186" i="1" s="1"/>
  <c r="BH196" i="1"/>
  <c r="BH74" i="1"/>
  <c r="AX308" i="1"/>
  <c r="BB263" i="1"/>
  <c r="BC263" i="1" s="1"/>
  <c r="BD242" i="1"/>
  <c r="BE242" i="1" s="1"/>
  <c r="AX223" i="1"/>
  <c r="BD222" i="1"/>
  <c r="BE222" i="1" s="1"/>
  <c r="BB225" i="1"/>
  <c r="BF240" i="1"/>
  <c r="AX163" i="1"/>
  <c r="AX171" i="1"/>
  <c r="BH85" i="1"/>
  <c r="BH22" i="1"/>
  <c r="BB205" i="1"/>
  <c r="BD156" i="1"/>
  <c r="BD268" i="1"/>
  <c r="BF169" i="1"/>
  <c r="BG169" i="1" s="1"/>
  <c r="BF175" i="1"/>
  <c r="BB122" i="1"/>
  <c r="BH55" i="1"/>
  <c r="AX255" i="1"/>
  <c r="BF115" i="1"/>
  <c r="BD93" i="1"/>
  <c r="BF45" i="1"/>
  <c r="BH79" i="1"/>
  <c r="BH313" i="1"/>
  <c r="BH225" i="1"/>
  <c r="AX79" i="1"/>
  <c r="AX21" i="1"/>
  <c r="BB321" i="1"/>
  <c r="BD215" i="1"/>
  <c r="BH180" i="1"/>
  <c r="BB32" i="1"/>
  <c r="BC32" i="1" s="1"/>
  <c r="BH190" i="1"/>
  <c r="BF24" i="1"/>
  <c r="BG24" i="1" s="1"/>
  <c r="BD282" i="1"/>
  <c r="AX294" i="1"/>
  <c r="AX242" i="1"/>
  <c r="AX252" i="1"/>
  <c r="AX222" i="1"/>
  <c r="BD172" i="1"/>
  <c r="BF161" i="1"/>
  <c r="BD171" i="1"/>
  <c r="BE172" i="1" s="1"/>
  <c r="BH67" i="1"/>
  <c r="BI174" i="1"/>
  <c r="AX174" i="1" s="1"/>
  <c r="BI168" i="1"/>
  <c r="AX168" i="1" s="1"/>
  <c r="BI225" i="1"/>
  <c r="AX225" i="1" s="1"/>
  <c r="BI257" i="1"/>
  <c r="AX257" i="1" s="1"/>
  <c r="BI275" i="1"/>
  <c r="AX275" i="1" s="1"/>
  <c r="BB324" i="1"/>
  <c r="BC324" i="1" s="1"/>
  <c r="BF248" i="1"/>
  <c r="BG248" i="1" s="1"/>
  <c r="AX219" i="1"/>
  <c r="BF212" i="1"/>
  <c r="BB33" i="1"/>
  <c r="BC33" i="1" s="1"/>
  <c r="AX191" i="1"/>
  <c r="BH307" i="1"/>
  <c r="AX236" i="1"/>
  <c r="BD183" i="1"/>
  <c r="BE183" i="1" s="1"/>
  <c r="AX249" i="1"/>
  <c r="BF190" i="1"/>
  <c r="AX169" i="1"/>
  <c r="BD71" i="1"/>
  <c r="BD47" i="1"/>
  <c r="BI215" i="1"/>
  <c r="AX215" i="1" s="1"/>
  <c r="BI218" i="1"/>
  <c r="AX218" i="1" s="1"/>
  <c r="BI211" i="1"/>
  <c r="AX211" i="1" s="1"/>
  <c r="BI221" i="1"/>
  <c r="AX221" i="1" s="1"/>
  <c r="BI267" i="1"/>
  <c r="AX267" i="1" s="1"/>
  <c r="BI302" i="1"/>
  <c r="AX302" i="1" s="1"/>
  <c r="AX327" i="1"/>
  <c r="BF299" i="1"/>
  <c r="BG299" i="1" s="1"/>
  <c r="AX217" i="1"/>
  <c r="BF219" i="1"/>
  <c r="BH173" i="1"/>
  <c r="AX83" i="1"/>
  <c r="AX94" i="1"/>
  <c r="AX119" i="1"/>
  <c r="BF69" i="1"/>
  <c r="BH51" i="1"/>
  <c r="AX325" i="1"/>
  <c r="AX285" i="1"/>
  <c r="BH254" i="1"/>
  <c r="BB200" i="1"/>
  <c r="BC200" i="1" s="1"/>
  <c r="BF152" i="1"/>
  <c r="BG152" i="1" s="1"/>
  <c r="BF153" i="1"/>
  <c r="BG153" i="1" s="1"/>
  <c r="BH243" i="1"/>
  <c r="BD255" i="1"/>
  <c r="BE256" i="1" s="1"/>
  <c r="BB322" i="1"/>
  <c r="BD205" i="1"/>
  <c r="AX72" i="1"/>
  <c r="BB303" i="1"/>
  <c r="BC303" i="1" s="1"/>
  <c r="BF330" i="1"/>
  <c r="BF320" i="1"/>
  <c r="BF314" i="1"/>
  <c r="BH286" i="1"/>
  <c r="BD253" i="1"/>
  <c r="BH266" i="1"/>
  <c r="BI268" i="1" s="1"/>
  <c r="AX268" i="1" s="1"/>
  <c r="BF258" i="1"/>
  <c r="BB247" i="1"/>
  <c r="BE178" i="1"/>
  <c r="BD320" i="1"/>
  <c r="BD317" i="1"/>
  <c r="BD328" i="1"/>
  <c r="BD311" i="1"/>
  <c r="BF298" i="1"/>
  <c r="BD314" i="1"/>
  <c r="BH289" i="1"/>
  <c r="BD277" i="1"/>
  <c r="BC250" i="1"/>
  <c r="BC251" i="1"/>
  <c r="BD271" i="1"/>
  <c r="BC190" i="1"/>
  <c r="BC189" i="1"/>
  <c r="BC192" i="1"/>
  <c r="BC191" i="1"/>
  <c r="BB216" i="1"/>
  <c r="BB309" i="1"/>
  <c r="BG317" i="1"/>
  <c r="BG310" i="1"/>
  <c r="BG316" i="1"/>
  <c r="BF302" i="1"/>
  <c r="BG302" i="1" s="1"/>
  <c r="BB300" i="1"/>
  <c r="BC300" i="1" s="1"/>
  <c r="BF294" i="1"/>
  <c r="BG294" i="1" s="1"/>
  <c r="BB305" i="1"/>
  <c r="AX312" i="1"/>
  <c r="BB272" i="1"/>
  <c r="BC272" i="1" s="1"/>
  <c r="BF281" i="1"/>
  <c r="AX258" i="1"/>
  <c r="AX298" i="1"/>
  <c r="BF322" i="1"/>
  <c r="BD319" i="1"/>
  <c r="BD329" i="1"/>
  <c r="BH309" i="1"/>
  <c r="BD303" i="1"/>
  <c r="BE303" i="1" s="1"/>
  <c r="BB288" i="1"/>
  <c r="BF311" i="1"/>
  <c r="BD289" i="1"/>
  <c r="BH293" i="1"/>
  <c r="BI293" i="1" s="1"/>
  <c r="AX293" i="1" s="1"/>
  <c r="BF276" i="1"/>
  <c r="BG276" i="1" s="1"/>
  <c r="BF270" i="1"/>
  <c r="BG250" i="1"/>
  <c r="BB331" i="1"/>
  <c r="BH314" i="1"/>
  <c r="BI314" i="1" s="1"/>
  <c r="AX314" i="1" s="1"/>
  <c r="BD325" i="1"/>
  <c r="BE325" i="1" s="1"/>
  <c r="BD305" i="1"/>
  <c r="BF312" i="1"/>
  <c r="BD312" i="1"/>
  <c r="BD281" i="1"/>
  <c r="BF290" i="1"/>
  <c r="BB285" i="1"/>
  <c r="BD272" i="1"/>
  <c r="BB266" i="1"/>
  <c r="BD260" i="1"/>
  <c r="BE260" i="1" s="1"/>
  <c r="BE250" i="1"/>
  <c r="BD244" i="1"/>
  <c r="BE244" i="1" s="1"/>
  <c r="BF237" i="1"/>
  <c r="BG237" i="1" s="1"/>
  <c r="BF229" i="1"/>
  <c r="BG227" i="1" s="1"/>
  <c r="BD252" i="1"/>
  <c r="BC253" i="1"/>
  <c r="BC172" i="1"/>
  <c r="BE175" i="1"/>
  <c r="BF328" i="1"/>
  <c r="BB330" i="1"/>
  <c r="AX328" i="1"/>
  <c r="BH332" i="1"/>
  <c r="BF324" i="1"/>
  <c r="BG324" i="1" s="1"/>
  <c r="BH318" i="1"/>
  <c r="BD323" i="1"/>
  <c r="BF310" i="1"/>
  <c r="BG315" i="1" s="1"/>
  <c r="BD301" i="1"/>
  <c r="BE301" i="1" s="1"/>
  <c r="BF291" i="1"/>
  <c r="BF286" i="1"/>
  <c r="BG283" i="1" s="1"/>
  <c r="BD284" i="1"/>
  <c r="BD283" i="1"/>
  <c r="BH245" i="1"/>
  <c r="AX245" i="1"/>
  <c r="BB220" i="1"/>
  <c r="BE230" i="1"/>
  <c r="BB318" i="1"/>
  <c r="BF318" i="1"/>
  <c r="BD330" i="1"/>
  <c r="BB332" i="1"/>
  <c r="BC332" i="1" s="1"/>
  <c r="BH288" i="1"/>
  <c r="BF306" i="1"/>
  <c r="BG305" i="1" s="1"/>
  <c r="BD273" i="1"/>
  <c r="BF297" i="1"/>
  <c r="BB284" i="1"/>
  <c r="BC285" i="1" s="1"/>
  <c r="BF277" i="1"/>
  <c r="BD266" i="1"/>
  <c r="BB273" i="1"/>
  <c r="BC240" i="1"/>
  <c r="BE272" i="1"/>
  <c r="BB278" i="1"/>
  <c r="BC278" i="1" s="1"/>
  <c r="BE156" i="1"/>
  <c r="BB311" i="1"/>
  <c r="BB329" i="1"/>
  <c r="BB326" i="1"/>
  <c r="BH315" i="1"/>
  <c r="BH321" i="1"/>
  <c r="BI321" i="1" s="1"/>
  <c r="AX321" i="1" s="1"/>
  <c r="BB306" i="1"/>
  <c r="BB296" i="1"/>
  <c r="BC296" i="1" s="1"/>
  <c r="BF288" i="1"/>
  <c r="BD285" i="1"/>
  <c r="BD293" i="1"/>
  <c r="BE293" i="1" s="1"/>
  <c r="BB290" i="1"/>
  <c r="BH281" i="1"/>
  <c r="AX281" i="1"/>
  <c r="BG282" i="1"/>
  <c r="BD259" i="1"/>
  <c r="BE259" i="1" s="1"/>
  <c r="BE257" i="1"/>
  <c r="BG191" i="1"/>
  <c r="AX207" i="1"/>
  <c r="BD184" i="1"/>
  <c r="BE184" i="1" s="1"/>
  <c r="BB215" i="1"/>
  <c r="BD197" i="1"/>
  <c r="BE197" i="1" s="1"/>
  <c r="BH218" i="1"/>
  <c r="BD206" i="1"/>
  <c r="AX214" i="1"/>
  <c r="BB167" i="1"/>
  <c r="BC167" i="1" s="1"/>
  <c r="BB164" i="1"/>
  <c r="BC164" i="1" s="1"/>
  <c r="BG160" i="1"/>
  <c r="BG161" i="1"/>
  <c r="BF174" i="1"/>
  <c r="BB162" i="1"/>
  <c r="BC162" i="1" s="1"/>
  <c r="BD173" i="1"/>
  <c r="BE173" i="1" s="1"/>
  <c r="BE179" i="1"/>
  <c r="AX173" i="1"/>
  <c r="BF170" i="1"/>
  <c r="BG170" i="1" s="1"/>
  <c r="BD163" i="1"/>
  <c r="BE163" i="1" s="1"/>
  <c r="BB149" i="1"/>
  <c r="BF150" i="1"/>
  <c r="BF148" i="1"/>
  <c r="BH134" i="1"/>
  <c r="BF140" i="1"/>
  <c r="BD114" i="1"/>
  <c r="BD134" i="1"/>
  <c r="BD103" i="1"/>
  <c r="BB89" i="1"/>
  <c r="BD81" i="1"/>
  <c r="BC72" i="1"/>
  <c r="BB328" i="1"/>
  <c r="BB313" i="1"/>
  <c r="BD316" i="1"/>
  <c r="BF332" i="1"/>
  <c r="BG332" i="1" s="1"/>
  <c r="BH323" i="1"/>
  <c r="BH331" i="1"/>
  <c r="BI371" i="1" s="1"/>
  <c r="AX371" i="1" s="1"/>
  <c r="BF326" i="1"/>
  <c r="BD327" i="1"/>
  <c r="BF321" i="1"/>
  <c r="BD315" i="1"/>
  <c r="BB320" i="1"/>
  <c r="BD331" i="1"/>
  <c r="BB316" i="1"/>
  <c r="BB308" i="1"/>
  <c r="BB286" i="1"/>
  <c r="BH326" i="1"/>
  <c r="BB292" i="1"/>
  <c r="BC292" i="1" s="1"/>
  <c r="BD297" i="1"/>
  <c r="BD280" i="1"/>
  <c r="BH295" i="1"/>
  <c r="BB281" i="1"/>
  <c r="BC279" i="1" s="1"/>
  <c r="BH262" i="1"/>
  <c r="BI264" i="1" s="1"/>
  <c r="AX264" i="1" s="1"/>
  <c r="BE273" i="1"/>
  <c r="BB276" i="1"/>
  <c r="BF267" i="1"/>
  <c r="BB262" i="1"/>
  <c r="BC262" i="1" s="1"/>
  <c r="BB260" i="1"/>
  <c r="BB248" i="1"/>
  <c r="BC248" i="1" s="1"/>
  <c r="BF239" i="1"/>
  <c r="BG238" i="1" s="1"/>
  <c r="BF235" i="1"/>
  <c r="BG235" i="1" s="1"/>
  <c r="BD278" i="1"/>
  <c r="BF247" i="1"/>
  <c r="BB234" i="1"/>
  <c r="BC234" i="1" s="1"/>
  <c r="BF187" i="1"/>
  <c r="BG186" i="1" s="1"/>
  <c r="BF226" i="1"/>
  <c r="BG225" i="1" s="1"/>
  <c r="BD232" i="1"/>
  <c r="BE232" i="1" s="1"/>
  <c r="BF198" i="1"/>
  <c r="BD214" i="1"/>
  <c r="BB197" i="1"/>
  <c r="BC197" i="1" s="1"/>
  <c r="AX192" i="1"/>
  <c r="BB217" i="1"/>
  <c r="BF192" i="1"/>
  <c r="BB237" i="1"/>
  <c r="BC237" i="1" s="1"/>
  <c r="BD196" i="1"/>
  <c r="BH187" i="1"/>
  <c r="BG172" i="1"/>
  <c r="BD160" i="1"/>
  <c r="BD145" i="1"/>
  <c r="BE145" i="1" s="1"/>
  <c r="BD157" i="1"/>
  <c r="BD155" i="1"/>
  <c r="BE155" i="1" s="1"/>
  <c r="BE177" i="1"/>
  <c r="AX145" i="1"/>
  <c r="BB134" i="1"/>
  <c r="BF122" i="1"/>
  <c r="BG122" i="1" s="1"/>
  <c r="BF143" i="1"/>
  <c r="BG143" i="1" s="1"/>
  <c r="BF134" i="1"/>
  <c r="BD74" i="1"/>
  <c r="BE74" i="1" s="1"/>
  <c r="BD119" i="1"/>
  <c r="BB298" i="1"/>
  <c r="BC297" i="1" s="1"/>
  <c r="BD287" i="1"/>
  <c r="BD299" i="1"/>
  <c r="BE299" i="1" s="1"/>
  <c r="BB289" i="1"/>
  <c r="BB301" i="1"/>
  <c r="BC301" i="1" s="1"/>
  <c r="BB275" i="1"/>
  <c r="BD264" i="1"/>
  <c r="BE264" i="1" s="1"/>
  <c r="BB268" i="1"/>
  <c r="BF249" i="1"/>
  <c r="BG249" i="1" s="1"/>
  <c r="AX256" i="1"/>
  <c r="BF263" i="1"/>
  <c r="BG263" i="1" s="1"/>
  <c r="BB239" i="1"/>
  <c r="BD248" i="1"/>
  <c r="BE248" i="1" s="1"/>
  <c r="BB242" i="1"/>
  <c r="BC242" i="1" s="1"/>
  <c r="BF254" i="1"/>
  <c r="BG254" i="1" s="1"/>
  <c r="BF243" i="1"/>
  <c r="BG243" i="1" s="1"/>
  <c r="BD254" i="1"/>
  <c r="BE254" i="1" s="1"/>
  <c r="BB245" i="1"/>
  <c r="BD220" i="1"/>
  <c r="BE220" i="1" s="1"/>
  <c r="BF245" i="1"/>
  <c r="BD225" i="1"/>
  <c r="BH240" i="1"/>
  <c r="BG239" i="1"/>
  <c r="BB227" i="1"/>
  <c r="BF205" i="1"/>
  <c r="BD185" i="1"/>
  <c r="BE185" i="1" s="1"/>
  <c r="BB196" i="1"/>
  <c r="AX184" i="1"/>
  <c r="BF172" i="1"/>
  <c r="BG171" i="1" s="1"/>
  <c r="BF176" i="1"/>
  <c r="BF166" i="1"/>
  <c r="BD165" i="1"/>
  <c r="BB160" i="1"/>
  <c r="BF158" i="1"/>
  <c r="BH165" i="1"/>
  <c r="BF165" i="1"/>
  <c r="BB155" i="1"/>
  <c r="BC155" i="1" s="1"/>
  <c r="BB131" i="1"/>
  <c r="BD143" i="1"/>
  <c r="BE143" i="1" s="1"/>
  <c r="BH137" i="1"/>
  <c r="BC143" i="1"/>
  <c r="BB139" i="1"/>
  <c r="BC139" i="1" s="1"/>
  <c r="BD121" i="1"/>
  <c r="BF107" i="1"/>
  <c r="BB104" i="1"/>
  <c r="BH329" i="1"/>
  <c r="BI329" i="1" s="1"/>
  <c r="AX329" i="1" s="1"/>
  <c r="BD306" i="1"/>
  <c r="BB304" i="1"/>
  <c r="BC304" i="1" s="1"/>
  <c r="BF308" i="1"/>
  <c r="BC291" i="1"/>
  <c r="BC290" i="1"/>
  <c r="BB294" i="1"/>
  <c r="BC294" i="1" s="1"/>
  <c r="BF296" i="1"/>
  <c r="BG296" i="1" s="1"/>
  <c r="BD288" i="1"/>
  <c r="BD295" i="1"/>
  <c r="BE295" i="1" s="1"/>
  <c r="BB274" i="1"/>
  <c r="BC271" i="1" s="1"/>
  <c r="BB265" i="1"/>
  <c r="BC265" i="1" s="1"/>
  <c r="BF273" i="1"/>
  <c r="BD262" i="1"/>
  <c r="BE262" i="1" s="1"/>
  <c r="BC287" i="1"/>
  <c r="BH274" i="1"/>
  <c r="AX244" i="1"/>
  <c r="AX250" i="1"/>
  <c r="BE270" i="1"/>
  <c r="BE271" i="1"/>
  <c r="BD238" i="1"/>
  <c r="BD240" i="1"/>
  <c r="BD233" i="1"/>
  <c r="BE233" i="1" s="1"/>
  <c r="BB219" i="1"/>
  <c r="BH238" i="1"/>
  <c r="BH264" i="1"/>
  <c r="BD209" i="1"/>
  <c r="BG196" i="1"/>
  <c r="BG195" i="1"/>
  <c r="BF228" i="1"/>
  <c r="BD181" i="1"/>
  <c r="BE181" i="1" s="1"/>
  <c r="BF216" i="1"/>
  <c r="BB187" i="1"/>
  <c r="BC187" i="1" s="1"/>
  <c r="BD167" i="1"/>
  <c r="BE167" i="1" s="1"/>
  <c r="BD175" i="1"/>
  <c r="BE174" i="1" s="1"/>
  <c r="AX166" i="1"/>
  <c r="BB172" i="1"/>
  <c r="BE157" i="1"/>
  <c r="BF162" i="1"/>
  <c r="BG162" i="1" s="1"/>
  <c r="BH175" i="1"/>
  <c r="BI177" i="1" s="1"/>
  <c r="AX177" i="1" s="1"/>
  <c r="BH148" i="1"/>
  <c r="BB127" i="1"/>
  <c r="BC126" i="1" s="1"/>
  <c r="BF82" i="1"/>
  <c r="BH111" i="1"/>
  <c r="BF303" i="1"/>
  <c r="BG303" i="1" s="1"/>
  <c r="BF319" i="1"/>
  <c r="BB307" i="1"/>
  <c r="BF304" i="1"/>
  <c r="BG304" i="1" s="1"/>
  <c r="BB323" i="1"/>
  <c r="BD286" i="1"/>
  <c r="BD307" i="1"/>
  <c r="BH287" i="1"/>
  <c r="BF274" i="1"/>
  <c r="AX282" i="1"/>
  <c r="BF261" i="1"/>
  <c r="BG261" i="1" s="1"/>
  <c r="BB253" i="1"/>
  <c r="BC252" i="1" s="1"/>
  <c r="BF246" i="1"/>
  <c r="BD258" i="1"/>
  <c r="BD223" i="1"/>
  <c r="BE223" i="1" s="1"/>
  <c r="BB210" i="1"/>
  <c r="BB211" i="1"/>
  <c r="BF206" i="1"/>
  <c r="BG217" i="1"/>
  <c r="BD207" i="1"/>
  <c r="BB221" i="1"/>
  <c r="BC221" i="1" s="1"/>
  <c r="BC194" i="1"/>
  <c r="BH176" i="1"/>
  <c r="BB224" i="1"/>
  <c r="BC224" i="1" s="1"/>
  <c r="BF180" i="1"/>
  <c r="BF154" i="1"/>
  <c r="BG154" i="1" s="1"/>
  <c r="BF257" i="1"/>
  <c r="BD221" i="1"/>
  <c r="BE221" i="1" s="1"/>
  <c r="BB204" i="1"/>
  <c r="BC204" i="1" s="1"/>
  <c r="BD199" i="1"/>
  <c r="BH193" i="1"/>
  <c r="BF251" i="1"/>
  <c r="BG251" i="1" s="1"/>
  <c r="BD203" i="1"/>
  <c r="BE203" i="1" s="1"/>
  <c r="BB199" i="1"/>
  <c r="BH195" i="1"/>
  <c r="BI195" i="1" s="1"/>
  <c r="AX195" i="1" s="1"/>
  <c r="BD192" i="1"/>
  <c r="BE189" i="1" s="1"/>
  <c r="BF208" i="1"/>
  <c r="BB166" i="1"/>
  <c r="BC166" i="1" s="1"/>
  <c r="BD180" i="1"/>
  <c r="BE180" i="1" s="1"/>
  <c r="BB174" i="1"/>
  <c r="BB175" i="1"/>
  <c r="BD159" i="1"/>
  <c r="BE158" i="1" s="1"/>
  <c r="BB176" i="1"/>
  <c r="BD161" i="1"/>
  <c r="BB156" i="1"/>
  <c r="BH167" i="1"/>
  <c r="BH150" i="1"/>
  <c r="BF132" i="1"/>
  <c r="BF130" i="1"/>
  <c r="BF149" i="1"/>
  <c r="BB124" i="1"/>
  <c r="BB136" i="1"/>
  <c r="BC136" i="1" s="1"/>
  <c r="BH123" i="1"/>
  <c r="AX123" i="1"/>
  <c r="BD98" i="1"/>
  <c r="BE98" i="1" s="1"/>
  <c r="BB97" i="1"/>
  <c r="BH63" i="1"/>
  <c r="BB302" i="1"/>
  <c r="BC302" i="1" s="1"/>
  <c r="AX300" i="1"/>
  <c r="BB315" i="1"/>
  <c r="BD309" i="1"/>
  <c r="BB310" i="1"/>
  <c r="BH302" i="1"/>
  <c r="BD294" i="1"/>
  <c r="BE294" i="1" s="1"/>
  <c r="BH280" i="1"/>
  <c r="BD291" i="1"/>
  <c r="BF292" i="1"/>
  <c r="BG292" i="1" s="1"/>
  <c r="BD261" i="1"/>
  <c r="BE261" i="1" s="1"/>
  <c r="BE255" i="1"/>
  <c r="AX239" i="1"/>
  <c r="BD234" i="1"/>
  <c r="BE234" i="1" s="1"/>
  <c r="BB249" i="1"/>
  <c r="BC249" i="1" s="1"/>
  <c r="BF233" i="1"/>
  <c r="BG233" i="1" s="1"/>
  <c r="BF214" i="1"/>
  <c r="BB243" i="1"/>
  <c r="BC243" i="1" s="1"/>
  <c r="BB228" i="1"/>
  <c r="AX248" i="1"/>
  <c r="AX237" i="1"/>
  <c r="BF230" i="1"/>
  <c r="BG228" i="1" s="1"/>
  <c r="BB226" i="1"/>
  <c r="BC225" i="1" s="1"/>
  <c r="BB218" i="1"/>
  <c r="BB180" i="1"/>
  <c r="BG189" i="1"/>
  <c r="BG190" i="1"/>
  <c r="BF200" i="1"/>
  <c r="BG200" i="1" s="1"/>
  <c r="BD191" i="1"/>
  <c r="BE190" i="1" s="1"/>
  <c r="BD164" i="1"/>
  <c r="BE164" i="1" s="1"/>
  <c r="BB202" i="1"/>
  <c r="BC202" i="1" s="1"/>
  <c r="BF178" i="1"/>
  <c r="BF211" i="1"/>
  <c r="BG210" i="1" s="1"/>
  <c r="BD193" i="1"/>
  <c r="BF202" i="1"/>
  <c r="BG202" i="1" s="1"/>
  <c r="BE187" i="1"/>
  <c r="AX164" i="1"/>
  <c r="BB158" i="1"/>
  <c r="BD151" i="1"/>
  <c r="BB159" i="1"/>
  <c r="BD169" i="1"/>
  <c r="BE169" i="1" s="1"/>
  <c r="BH156" i="1"/>
  <c r="BI157" i="1" s="1"/>
  <c r="AX157" i="1" s="1"/>
  <c r="BB146" i="1"/>
  <c r="AX180" i="1"/>
  <c r="BF164" i="1"/>
  <c r="BG164" i="1" s="1"/>
  <c r="BD149" i="1"/>
  <c r="BH129" i="1"/>
  <c r="AX129" i="1"/>
  <c r="BB151" i="1"/>
  <c r="BB117" i="1"/>
  <c r="BD117" i="1"/>
  <c r="BB98" i="1"/>
  <c r="BC98" i="1" s="1"/>
  <c r="BD75" i="1"/>
  <c r="BE75" i="1" s="1"/>
  <c r="BH75" i="1"/>
  <c r="AX75" i="1"/>
  <c r="BB68" i="1"/>
  <c r="BC68" i="1" s="1"/>
  <c r="BD251" i="1"/>
  <c r="BE251" i="1" s="1"/>
  <c r="BF269" i="1"/>
  <c r="BG269" i="1" s="1"/>
  <c r="BF265" i="1"/>
  <c r="BG265" i="1" s="1"/>
  <c r="BB261" i="1"/>
  <c r="BC261" i="1" s="1"/>
  <c r="BB259" i="1"/>
  <c r="BF213" i="1"/>
  <c r="BB209" i="1"/>
  <c r="BC226" i="1"/>
  <c r="BD217" i="1"/>
  <c r="BF253" i="1"/>
  <c r="BG252" i="1" s="1"/>
  <c r="BB212" i="1"/>
  <c r="BH246" i="1"/>
  <c r="BG220" i="1"/>
  <c r="BG219" i="1"/>
  <c r="BB207" i="1"/>
  <c r="BC206" i="1" s="1"/>
  <c r="BD195" i="1"/>
  <c r="BE207" i="1"/>
  <c r="BE205" i="1"/>
  <c r="BE206" i="1"/>
  <c r="BD241" i="1"/>
  <c r="BE241" i="1" s="1"/>
  <c r="BB188" i="1"/>
  <c r="BB195" i="1"/>
  <c r="BG192" i="1"/>
  <c r="BB213" i="1"/>
  <c r="BB168" i="1"/>
  <c r="BC168" i="1" s="1"/>
  <c r="BC171" i="1"/>
  <c r="BC193" i="1"/>
  <c r="BB178" i="1"/>
  <c r="BF137" i="1"/>
  <c r="BG137" i="1" s="1"/>
  <c r="BF147" i="1"/>
  <c r="BG146" i="1" s="1"/>
  <c r="BH98" i="1"/>
  <c r="BF99" i="1"/>
  <c r="BG99" i="1" s="1"/>
  <c r="BF104" i="1"/>
  <c r="BD107" i="1"/>
  <c r="BE71" i="1"/>
  <c r="BE70" i="1"/>
  <c r="BE69" i="1"/>
  <c r="BB241" i="1"/>
  <c r="BC241" i="1" s="1"/>
  <c r="BE258" i="1"/>
  <c r="BB240" i="1"/>
  <c r="BB235" i="1"/>
  <c r="BC235" i="1" s="1"/>
  <c r="BF234" i="1"/>
  <c r="BG234" i="1" s="1"/>
  <c r="BD246" i="1"/>
  <c r="BD231" i="1"/>
  <c r="BE229" i="1" s="1"/>
  <c r="BB233" i="1"/>
  <c r="BC233" i="1" s="1"/>
  <c r="BF222" i="1"/>
  <c r="BG222" i="1" s="1"/>
  <c r="BF182" i="1"/>
  <c r="BG182" i="1" s="1"/>
  <c r="BC165" i="1"/>
  <c r="BB148" i="1"/>
  <c r="BB170" i="1"/>
  <c r="BC170" i="1" s="1"/>
  <c r="BB179" i="1"/>
  <c r="BE171" i="1"/>
  <c r="BH157" i="1"/>
  <c r="BH126" i="1"/>
  <c r="AX126" i="1"/>
  <c r="BF139" i="1"/>
  <c r="BG139" i="1" s="1"/>
  <c r="BC103" i="1"/>
  <c r="BH132" i="1"/>
  <c r="AX132" i="1"/>
  <c r="BH127" i="1"/>
  <c r="BH96" i="1"/>
  <c r="BF91" i="1"/>
  <c r="BG86" i="1" s="1"/>
  <c r="BH109" i="1"/>
  <c r="BB129" i="1"/>
  <c r="BD150" i="1"/>
  <c r="BD142" i="1"/>
  <c r="BE142" i="1" s="1"/>
  <c r="BD126" i="1"/>
  <c r="BH130" i="1"/>
  <c r="BF128" i="1"/>
  <c r="BG128" i="1" s="1"/>
  <c r="BH113" i="1"/>
  <c r="BI113" i="1" s="1"/>
  <c r="AX113" i="1" s="1"/>
  <c r="BB109" i="1"/>
  <c r="AX90" i="1"/>
  <c r="BB96" i="1"/>
  <c r="BB106" i="1"/>
  <c r="BD89" i="1"/>
  <c r="BB86" i="1"/>
  <c r="BF112" i="1"/>
  <c r="BG112" i="1" s="1"/>
  <c r="BD88" i="1"/>
  <c r="BD80" i="1"/>
  <c r="BE80" i="1" s="1"/>
  <c r="BB67" i="1"/>
  <c r="BC67" i="1" s="1"/>
  <c r="BF110" i="1"/>
  <c r="BG110" i="1" s="1"/>
  <c r="BB103" i="1"/>
  <c r="BC102" i="1" s="1"/>
  <c r="BB88" i="1"/>
  <c r="BB74" i="1"/>
  <c r="BC74" i="1" s="1"/>
  <c r="BD95" i="1"/>
  <c r="BC66" i="1"/>
  <c r="BH89" i="1"/>
  <c r="BB61" i="1"/>
  <c r="BB130" i="1"/>
  <c r="BB48" i="1"/>
  <c r="BF48" i="1"/>
  <c r="BF118" i="1"/>
  <c r="BB53" i="1"/>
  <c r="BB39" i="1"/>
  <c r="BE28" i="1"/>
  <c r="BE30" i="1"/>
  <c r="BD21" i="1"/>
  <c r="BE21" i="1" s="1"/>
  <c r="BD27" i="1"/>
  <c r="BE27" i="1" s="1"/>
  <c r="BD22" i="1"/>
  <c r="BB140" i="1"/>
  <c r="BB145" i="1"/>
  <c r="BC145" i="1" s="1"/>
  <c r="BB141" i="1"/>
  <c r="BB150" i="1"/>
  <c r="BD148" i="1"/>
  <c r="BF142" i="1"/>
  <c r="BG142" i="1" s="1"/>
  <c r="BB138" i="1"/>
  <c r="BC138" i="1" s="1"/>
  <c r="BF126" i="1"/>
  <c r="BD132" i="1"/>
  <c r="BD102" i="1"/>
  <c r="BB108" i="1"/>
  <c r="BF101" i="1"/>
  <c r="BB95" i="1"/>
  <c r="BF78" i="1"/>
  <c r="BG78" i="1" s="1"/>
  <c r="BD112" i="1"/>
  <c r="BE112" i="1" s="1"/>
  <c r="BD73" i="1"/>
  <c r="BB52" i="1"/>
  <c r="BD63" i="1"/>
  <c r="BE63" i="1" s="1"/>
  <c r="BB77" i="1"/>
  <c r="BB69" i="1"/>
  <c r="BH60" i="1"/>
  <c r="BD91" i="1"/>
  <c r="AX53" i="1"/>
  <c r="BG91" i="1"/>
  <c r="BF68" i="1"/>
  <c r="BG68" i="1" s="1"/>
  <c r="BF31" i="1"/>
  <c r="BG31" i="1" s="1"/>
  <c r="AT20" i="1"/>
  <c r="AU20" i="1" s="1"/>
  <c r="BF20" i="1"/>
  <c r="BG20" i="1" s="1"/>
  <c r="BD54" i="1"/>
  <c r="BD49" i="1"/>
  <c r="BE49" i="1" s="1"/>
  <c r="BD50" i="1"/>
  <c r="BB43" i="1"/>
  <c r="BB21" i="1"/>
  <c r="BC21" i="1" s="1"/>
  <c r="BI22" i="1"/>
  <c r="AX22" i="1" s="1"/>
  <c r="BB119" i="1"/>
  <c r="BB112" i="1"/>
  <c r="BC112" i="1" s="1"/>
  <c r="BH122" i="1"/>
  <c r="BD118" i="1"/>
  <c r="BB105" i="1"/>
  <c r="BD99" i="1"/>
  <c r="BE99" i="1" s="1"/>
  <c r="BH84" i="1"/>
  <c r="BF46" i="1"/>
  <c r="BB85" i="1"/>
  <c r="BC82" i="1" s="1"/>
  <c r="AX84" i="1"/>
  <c r="BB128" i="1"/>
  <c r="BC128" i="1" s="1"/>
  <c r="BB55" i="1"/>
  <c r="BC54" i="1" s="1"/>
  <c r="BG87" i="1"/>
  <c r="BG88" i="1"/>
  <c r="BB34" i="1"/>
  <c r="BF28" i="1"/>
  <c r="BE41" i="1"/>
  <c r="BD53" i="1"/>
  <c r="BE52" i="1" s="1"/>
  <c r="BF32" i="1"/>
  <c r="BG32" i="1" s="1"/>
  <c r="BB28" i="1"/>
  <c r="BB137" i="1"/>
  <c r="BC137" i="1" s="1"/>
  <c r="BB135" i="1"/>
  <c r="BF129" i="1"/>
  <c r="BH147" i="1"/>
  <c r="BF138" i="1"/>
  <c r="BG138" i="1" s="1"/>
  <c r="BD131" i="1"/>
  <c r="AX124" i="1"/>
  <c r="BD124" i="1"/>
  <c r="BF133" i="1"/>
  <c r="BD109" i="1"/>
  <c r="BD105" i="1"/>
  <c r="AX122" i="1"/>
  <c r="BF109" i="1"/>
  <c r="BG108" i="1" s="1"/>
  <c r="BB114" i="1"/>
  <c r="BF70" i="1"/>
  <c r="BG69" i="1" s="1"/>
  <c r="BD111" i="1"/>
  <c r="BE111" i="1" s="1"/>
  <c r="BB75" i="1"/>
  <c r="BC75" i="1" s="1"/>
  <c r="BD115" i="1"/>
  <c r="BF84" i="1"/>
  <c r="BG81" i="1" s="1"/>
  <c r="BF80" i="1"/>
  <c r="BG80" i="1" s="1"/>
  <c r="BG73" i="1"/>
  <c r="BD72" i="1"/>
  <c r="BD65" i="1"/>
  <c r="BD83" i="1"/>
  <c r="BD64" i="1"/>
  <c r="BG84" i="1"/>
  <c r="BF77" i="1"/>
  <c r="BB66" i="1"/>
  <c r="BC65" i="1" s="1"/>
  <c r="BF62" i="1"/>
  <c r="BH76" i="1"/>
  <c r="BH68" i="1"/>
  <c r="BB42" i="1"/>
  <c r="BC44" i="1" s="1"/>
  <c r="BF51" i="1"/>
  <c r="BC64" i="1"/>
  <c r="BD39" i="1"/>
  <c r="BD57" i="1"/>
  <c r="BE57" i="1" s="1"/>
  <c r="BF50" i="1"/>
  <c r="BD87" i="1"/>
  <c r="BD59" i="1"/>
  <c r="BE59" i="1" s="1"/>
  <c r="BF35" i="1"/>
  <c r="AQ20" i="1"/>
  <c r="AR20" i="1" s="1"/>
  <c r="BD20" i="1"/>
  <c r="BE20" i="1" s="1"/>
  <c r="BB24" i="1"/>
  <c r="BD26" i="1"/>
  <c r="BE26" i="1" s="1"/>
  <c r="BD23" i="1"/>
  <c r="BD127" i="1"/>
  <c r="BH135" i="1"/>
  <c r="BB133" i="1"/>
  <c r="BB125" i="1"/>
  <c r="BD104" i="1"/>
  <c r="BB87" i="1"/>
  <c r="BF102" i="1"/>
  <c r="BB76" i="1"/>
  <c r="BB60" i="1"/>
  <c r="BD135" i="1"/>
  <c r="BB38" i="1"/>
  <c r="BC39" i="1" s="1"/>
  <c r="BD51" i="1"/>
  <c r="BH26" i="1"/>
  <c r="BF26" i="1"/>
  <c r="BG26" i="1" s="1"/>
  <c r="BF22" i="1"/>
  <c r="BH23" i="1"/>
  <c r="BI33" i="1" s="1"/>
  <c r="AX33" i="1" s="1"/>
  <c r="BF131" i="1"/>
  <c r="BB123" i="1"/>
  <c r="BC123" i="1" s="1"/>
  <c r="BB116" i="1"/>
  <c r="BF93" i="1"/>
  <c r="BG95" i="1" s="1"/>
  <c r="BD110" i="1"/>
  <c r="BE110" i="1" s="1"/>
  <c r="BB121" i="1"/>
  <c r="BF117" i="1"/>
  <c r="BG117" i="1" s="1"/>
  <c r="BB113" i="1"/>
  <c r="BC113" i="1" s="1"/>
  <c r="BF124" i="1"/>
  <c r="BD96" i="1"/>
  <c r="BD94" i="1"/>
  <c r="BF61" i="1"/>
  <c r="BG65" i="1"/>
  <c r="BB93" i="1"/>
  <c r="BC92" i="1" s="1"/>
  <c r="BF74" i="1"/>
  <c r="BG74" i="1" s="1"/>
  <c r="BF66" i="1"/>
  <c r="BG66" i="1" s="1"/>
  <c r="BB46" i="1"/>
  <c r="BF27" i="1"/>
  <c r="BG27" i="1" s="1"/>
  <c r="BC73" i="1"/>
  <c r="BF55" i="1"/>
  <c r="BH49" i="1"/>
  <c r="BB27" i="1"/>
  <c r="BC27" i="1" s="1"/>
  <c r="BH138" i="1"/>
  <c r="AX114" i="1"/>
  <c r="BF71" i="1"/>
  <c r="BC84" i="1"/>
  <c r="BB50" i="1"/>
  <c r="BF42" i="1"/>
  <c r="BD31" i="1"/>
  <c r="BE31" i="1" s="1"/>
  <c r="BB62" i="1"/>
  <c r="BF29" i="1"/>
  <c r="BF76" i="1"/>
  <c r="BB26" i="1"/>
  <c r="BC26" i="1" s="1"/>
  <c r="BG92" i="1"/>
  <c r="BB100" i="1"/>
  <c r="BC100" i="1" s="1"/>
  <c r="AX81" i="1"/>
  <c r="AX66" i="1"/>
  <c r="BF57" i="1"/>
  <c r="BG57" i="1" s="1"/>
  <c r="BF79" i="1"/>
  <c r="BG79" i="1" s="1"/>
  <c r="BD43" i="1"/>
  <c r="BE47" i="1" s="1"/>
  <c r="AX50" i="1"/>
  <c r="BD61" i="1"/>
  <c r="BB30" i="1"/>
  <c r="BI348" i="1" l="1"/>
  <c r="AX348" i="1" s="1"/>
  <c r="BI350" i="1"/>
  <c r="AX350" i="1" s="1"/>
  <c r="BI349" i="1"/>
  <c r="AX349" i="1" s="1"/>
  <c r="BI106" i="1"/>
  <c r="AX106" i="1" s="1"/>
  <c r="BI99" i="1"/>
  <c r="AX99" i="1" s="1"/>
  <c r="BI96" i="1"/>
  <c r="AX96" i="1" s="1"/>
  <c r="BI104" i="1"/>
  <c r="AX104" i="1" s="1"/>
  <c r="BI102" i="1"/>
  <c r="AX102" i="1" s="1"/>
  <c r="BI100" i="1"/>
  <c r="AX100" i="1" s="1"/>
  <c r="BI98" i="1"/>
  <c r="AX98" i="1" s="1"/>
  <c r="BI29" i="1"/>
  <c r="AX29" i="1" s="1"/>
  <c r="BI379" i="1"/>
  <c r="AX379" i="1" s="1"/>
  <c r="BI320" i="1"/>
  <c r="AX320" i="1" s="1"/>
  <c r="BI380" i="1"/>
  <c r="AX380" i="1" s="1"/>
  <c r="BI160" i="1"/>
  <c r="AX160" i="1" s="1"/>
  <c r="BI43" i="1"/>
  <c r="AX43" i="1" s="1"/>
  <c r="BI46" i="1"/>
  <c r="AX46" i="1" s="1"/>
  <c r="BI37" i="1"/>
  <c r="AX37" i="1" s="1"/>
  <c r="BI45" i="1"/>
  <c r="AX45" i="1" s="1"/>
  <c r="BI44" i="1"/>
  <c r="AX44" i="1" s="1"/>
  <c r="BI150" i="1"/>
  <c r="AX150" i="1" s="1"/>
  <c r="BI155" i="1"/>
  <c r="AX155" i="1" s="1"/>
  <c r="BI154" i="1"/>
  <c r="AX154" i="1" s="1"/>
  <c r="BI151" i="1"/>
  <c r="AX151" i="1" s="1"/>
  <c r="BI153" i="1"/>
  <c r="AX153" i="1" s="1"/>
  <c r="BI148" i="1"/>
  <c r="AX148" i="1" s="1"/>
  <c r="BI189" i="1"/>
  <c r="AX189" i="1" s="1"/>
  <c r="BI190" i="1"/>
  <c r="AX190" i="1" s="1"/>
  <c r="BI263" i="1"/>
  <c r="AX263" i="1" s="1"/>
  <c r="BI265" i="1"/>
  <c r="AX265" i="1" s="1"/>
  <c r="BI158" i="1"/>
  <c r="AX158" i="1" s="1"/>
  <c r="BI274" i="1"/>
  <c r="AX274" i="1" s="1"/>
  <c r="BI27" i="1"/>
  <c r="AX27" i="1" s="1"/>
  <c r="BI339" i="1"/>
  <c r="AX339" i="1" s="1"/>
  <c r="BI338" i="1"/>
  <c r="AX338" i="1" s="1"/>
  <c r="BI26" i="1"/>
  <c r="AX26" i="1" s="1"/>
  <c r="BI333" i="1"/>
  <c r="AX333" i="1" s="1"/>
  <c r="BI332" i="1"/>
  <c r="AX332" i="1" s="1"/>
  <c r="BI188" i="1"/>
  <c r="AX188" i="1" s="1"/>
  <c r="BI176" i="1"/>
  <c r="AX176" i="1" s="1"/>
  <c r="BI51" i="1"/>
  <c r="AX51" i="1" s="1"/>
  <c r="BI105" i="1"/>
  <c r="AX105" i="1" s="1"/>
  <c r="BI187" i="1"/>
  <c r="AX187" i="1" s="1"/>
  <c r="BI372" i="1"/>
  <c r="AX372" i="1" s="1"/>
  <c r="BI374" i="1"/>
  <c r="AX374" i="1" s="1"/>
  <c r="BI373" i="1"/>
  <c r="AX373" i="1" s="1"/>
  <c r="BI346" i="1"/>
  <c r="AX346" i="1" s="1"/>
  <c r="BI291" i="1"/>
  <c r="AX291" i="1" s="1"/>
  <c r="BI290" i="1"/>
  <c r="AX290" i="1" s="1"/>
  <c r="BI142" i="1"/>
  <c r="AX142" i="1" s="1"/>
  <c r="BI138" i="1"/>
  <c r="AX138" i="1" s="1"/>
  <c r="BI140" i="1"/>
  <c r="AX140" i="1" s="1"/>
  <c r="BI137" i="1"/>
  <c r="AX137" i="1" s="1"/>
  <c r="BI277" i="1"/>
  <c r="AX277" i="1" s="1"/>
  <c r="BI278" i="1"/>
  <c r="AX278" i="1" s="1"/>
  <c r="BI269" i="1"/>
  <c r="AX269" i="1" s="1"/>
  <c r="BI271" i="1"/>
  <c r="AX271" i="1" s="1"/>
  <c r="BI270" i="1"/>
  <c r="AX270" i="1" s="1"/>
  <c r="BI101" i="1"/>
  <c r="AX101" i="1" s="1"/>
  <c r="BI103" i="1"/>
  <c r="AX103" i="1" s="1"/>
  <c r="BI36" i="1"/>
  <c r="AX36" i="1" s="1"/>
  <c r="BI32" i="1"/>
  <c r="AX32" i="1" s="1"/>
  <c r="BI175" i="1"/>
  <c r="AX175" i="1" s="1"/>
  <c r="BI42" i="1"/>
  <c r="AX42" i="1" s="1"/>
  <c r="BI40" i="1"/>
  <c r="AX40" i="1" s="1"/>
  <c r="BI152" i="1"/>
  <c r="AX152" i="1" s="1"/>
  <c r="BI286" i="1"/>
  <c r="AX286" i="1" s="1"/>
  <c r="BI288" i="1"/>
  <c r="AX288" i="1" s="1"/>
  <c r="BI289" i="1"/>
  <c r="AX289" i="1" s="1"/>
  <c r="BI30" i="1"/>
  <c r="AX30" i="1" s="1"/>
  <c r="BI24" i="1"/>
  <c r="AX24" i="1" s="1"/>
  <c r="BI156" i="1"/>
  <c r="AX156" i="1" s="1"/>
  <c r="BI162" i="1"/>
  <c r="AX162" i="1" s="1"/>
  <c r="BI161" i="1"/>
  <c r="AX161" i="1" s="1"/>
  <c r="BI317" i="1"/>
  <c r="AX317" i="1" s="1"/>
  <c r="BI316" i="1"/>
  <c r="AX316" i="1" s="1"/>
  <c r="BI318" i="1"/>
  <c r="AX318" i="1" s="1"/>
  <c r="BI319" i="1"/>
  <c r="AX319" i="1" s="1"/>
  <c r="BI331" i="1"/>
  <c r="AX331" i="1" s="1"/>
  <c r="BI199" i="1"/>
  <c r="AX199" i="1" s="1"/>
  <c r="BI198" i="1"/>
  <c r="AX198" i="1" s="1"/>
  <c r="BI200" i="1"/>
  <c r="AX200" i="1" s="1"/>
  <c r="BI197" i="1"/>
  <c r="AX197" i="1" s="1"/>
  <c r="BI23" i="1"/>
  <c r="AX23" i="1" s="1"/>
  <c r="BI97" i="1"/>
  <c r="AX97" i="1" s="1"/>
  <c r="BI272" i="1"/>
  <c r="AX272" i="1" s="1"/>
  <c r="BI41" i="1"/>
  <c r="AX41" i="1" s="1"/>
  <c r="BI31" i="1"/>
  <c r="AX31" i="1" s="1"/>
  <c r="BI34" i="1"/>
  <c r="AX34" i="1" s="1"/>
  <c r="BI141" i="1"/>
  <c r="AX141" i="1" s="1"/>
  <c r="BI38" i="1"/>
  <c r="AX38" i="1" s="1"/>
  <c r="BI35" i="1"/>
  <c r="AX35" i="1" s="1"/>
  <c r="BI287" i="1"/>
  <c r="AX287" i="1" s="1"/>
  <c r="BI149" i="1"/>
  <c r="AX149" i="1" s="1"/>
  <c r="BI25" i="1"/>
  <c r="AX25" i="1" s="1"/>
  <c r="BI48" i="1"/>
  <c r="AX48" i="1" s="1"/>
  <c r="BI39" i="1"/>
  <c r="AX39" i="1" s="1"/>
  <c r="BI49" i="1"/>
  <c r="AX49" i="1" s="1"/>
  <c r="BG76" i="1"/>
  <c r="BG77" i="1"/>
  <c r="BE96" i="1"/>
  <c r="BE92" i="1"/>
  <c r="BG34" i="1"/>
  <c r="BG35" i="1"/>
  <c r="BE118" i="1"/>
  <c r="BE119" i="1"/>
  <c r="BE120" i="1"/>
  <c r="BC148" i="1"/>
  <c r="BC146" i="1"/>
  <c r="BC147" i="1"/>
  <c r="BC159" i="1"/>
  <c r="BC158" i="1"/>
  <c r="BC95" i="1"/>
  <c r="BG247" i="1"/>
  <c r="BG245" i="1"/>
  <c r="BG246" i="1"/>
  <c r="BG326" i="1"/>
  <c r="BG327" i="1"/>
  <c r="BE286" i="1"/>
  <c r="BE284" i="1"/>
  <c r="BE278" i="1"/>
  <c r="BE277" i="1"/>
  <c r="BE281" i="1"/>
  <c r="BE279" i="1"/>
  <c r="BE280" i="1"/>
  <c r="BC282" i="1"/>
  <c r="BC29" i="1"/>
  <c r="BC28" i="1"/>
  <c r="BC30" i="1"/>
  <c r="BG134" i="1"/>
  <c r="BG135" i="1"/>
  <c r="BC329" i="1"/>
  <c r="BC328" i="1"/>
  <c r="BE114" i="1"/>
  <c r="BE117" i="1"/>
  <c r="BE116" i="1"/>
  <c r="BE115" i="1"/>
  <c r="BC51" i="1"/>
  <c r="BC50" i="1"/>
  <c r="BC62" i="1"/>
  <c r="BC60" i="1"/>
  <c r="BC61" i="1"/>
  <c r="BE37" i="1"/>
  <c r="BE39" i="1"/>
  <c r="BE40" i="1"/>
  <c r="BE38" i="1"/>
  <c r="BE72" i="1"/>
  <c r="BE73" i="1"/>
  <c r="BC69" i="1"/>
  <c r="BC71" i="1"/>
  <c r="BC70" i="1"/>
  <c r="BC53" i="1"/>
  <c r="BC52" i="1"/>
  <c r="BC81" i="1"/>
  <c r="BC47" i="1"/>
  <c r="BC178" i="1"/>
  <c r="BC180" i="1"/>
  <c r="BC179" i="1"/>
  <c r="BE217" i="1"/>
  <c r="BE218" i="1"/>
  <c r="BC83" i="1"/>
  <c r="BE316" i="1"/>
  <c r="BE317" i="1"/>
  <c r="BE311" i="1"/>
  <c r="BE314" i="1"/>
  <c r="BE315" i="1"/>
  <c r="BE312" i="1"/>
  <c r="BE313" i="1"/>
  <c r="BE309" i="1"/>
  <c r="BE310" i="1"/>
  <c r="BG147" i="1"/>
  <c r="BE307" i="1"/>
  <c r="BE308" i="1"/>
  <c r="BC97" i="1"/>
  <c r="BG231" i="1"/>
  <c r="BG230" i="1"/>
  <c r="BC106" i="1"/>
  <c r="BC104" i="1"/>
  <c r="BC107" i="1"/>
  <c r="BC105" i="1"/>
  <c r="BE166" i="1"/>
  <c r="BE165" i="1"/>
  <c r="BG240" i="1"/>
  <c r="BE191" i="1"/>
  <c r="BC323" i="1"/>
  <c r="BC320" i="1"/>
  <c r="BC321" i="1"/>
  <c r="BC322" i="1"/>
  <c r="BG64" i="1"/>
  <c r="BG286" i="1"/>
  <c r="BC280" i="1"/>
  <c r="BE268" i="1"/>
  <c r="BE266" i="1"/>
  <c r="BE267" i="1"/>
  <c r="BE228" i="1"/>
  <c r="BE305" i="1"/>
  <c r="BE306" i="1"/>
  <c r="BG313" i="1"/>
  <c r="BE320" i="1"/>
  <c r="BE322" i="1"/>
  <c r="BE321" i="1"/>
  <c r="BE323" i="1"/>
  <c r="BC283" i="1"/>
  <c r="BC260" i="1"/>
  <c r="BC259" i="1"/>
  <c r="BE103" i="1"/>
  <c r="BE102" i="1"/>
  <c r="BC94" i="1"/>
  <c r="BG297" i="1"/>
  <c r="BG298" i="1"/>
  <c r="BC331" i="1"/>
  <c r="BC330" i="1"/>
  <c r="BG306" i="1"/>
  <c r="BE245" i="1"/>
  <c r="BE247" i="1"/>
  <c r="BC42" i="1"/>
  <c r="BG166" i="1"/>
  <c r="BG165" i="1"/>
  <c r="BE215" i="1"/>
  <c r="BE214" i="1"/>
  <c r="BE216" i="1"/>
  <c r="BG268" i="1"/>
  <c r="BG267" i="1"/>
  <c r="BG266" i="1"/>
  <c r="BE97" i="1"/>
  <c r="BG140" i="1"/>
  <c r="BG141" i="1"/>
  <c r="BG174" i="1"/>
  <c r="BG175" i="1"/>
  <c r="BG114" i="1"/>
  <c r="BG44" i="1"/>
  <c r="BG46" i="1"/>
  <c r="BG43" i="1"/>
  <c r="BG45" i="1"/>
  <c r="BG42" i="1"/>
  <c r="BG47" i="1"/>
  <c r="BG41" i="1"/>
  <c r="BC76" i="1"/>
  <c r="BC77" i="1"/>
  <c r="BE107" i="1"/>
  <c r="BE106" i="1"/>
  <c r="BE105" i="1"/>
  <c r="BE104" i="1"/>
  <c r="BG129" i="1"/>
  <c r="BG130" i="1"/>
  <c r="BG131" i="1"/>
  <c r="BG132" i="1"/>
  <c r="BG133" i="1"/>
  <c r="BE54" i="1"/>
  <c r="BE55" i="1"/>
  <c r="BC270" i="1"/>
  <c r="BC96" i="1"/>
  <c r="BC207" i="1"/>
  <c r="BG211" i="1"/>
  <c r="BE208" i="1"/>
  <c r="BC215" i="1"/>
  <c r="BC216" i="1"/>
  <c r="BC214" i="1"/>
  <c r="BG213" i="1"/>
  <c r="BE231" i="1"/>
  <c r="BG253" i="1"/>
  <c r="BG309" i="1"/>
  <c r="BE274" i="1"/>
  <c r="BE275" i="1"/>
  <c r="BG322" i="1"/>
  <c r="BG320" i="1"/>
  <c r="BG323" i="1"/>
  <c r="BG321" i="1"/>
  <c r="BG107" i="1"/>
  <c r="BG105" i="1"/>
  <c r="BG104" i="1"/>
  <c r="BG106" i="1"/>
  <c r="BG54" i="1"/>
  <c r="BG55" i="1"/>
  <c r="BE124" i="1"/>
  <c r="BE125" i="1"/>
  <c r="BC124" i="1"/>
  <c r="BC125" i="1"/>
  <c r="BC175" i="1"/>
  <c r="BC174" i="1"/>
  <c r="BG307" i="1"/>
  <c r="BG308" i="1"/>
  <c r="BC205" i="1"/>
  <c r="BG288" i="1"/>
  <c r="BG289" i="1"/>
  <c r="BG287" i="1"/>
  <c r="BC319" i="1"/>
  <c r="BC318" i="1"/>
  <c r="BC35" i="1"/>
  <c r="BC34" i="1"/>
  <c r="BE150" i="1"/>
  <c r="BE151" i="1"/>
  <c r="BE149" i="1"/>
  <c r="BC121" i="1"/>
  <c r="BC122" i="1"/>
  <c r="BG23" i="1"/>
  <c r="BG22" i="1"/>
  <c r="BG97" i="1"/>
  <c r="BG40" i="1"/>
  <c r="BG39" i="1"/>
  <c r="BG38" i="1"/>
  <c r="BG37" i="1"/>
  <c r="BC116" i="1"/>
  <c r="BC114" i="1"/>
  <c r="BC115" i="1"/>
  <c r="BC117" i="1"/>
  <c r="BE51" i="1"/>
  <c r="BE50" i="1"/>
  <c r="BC131" i="1"/>
  <c r="BC130" i="1"/>
  <c r="BC132" i="1"/>
  <c r="BC133" i="1"/>
  <c r="BC129" i="1"/>
  <c r="BC43" i="1"/>
  <c r="BE53" i="1"/>
  <c r="BE101" i="1"/>
  <c r="BC195" i="1"/>
  <c r="BC196" i="1"/>
  <c r="BG83" i="1"/>
  <c r="BG214" i="1"/>
  <c r="BG216" i="1"/>
  <c r="BG215" i="1"/>
  <c r="BE290" i="1"/>
  <c r="BE291" i="1"/>
  <c r="BG151" i="1"/>
  <c r="BG149" i="1"/>
  <c r="BG150" i="1"/>
  <c r="BG148" i="1"/>
  <c r="BE283" i="1"/>
  <c r="BC308" i="1"/>
  <c r="BC307" i="1"/>
  <c r="BC93" i="1"/>
  <c r="BE240" i="1"/>
  <c r="BE238" i="1"/>
  <c r="BE239" i="1"/>
  <c r="BC40" i="1"/>
  <c r="BC208" i="1"/>
  <c r="BC245" i="1"/>
  <c r="BC246" i="1"/>
  <c r="BC247" i="1"/>
  <c r="BG70" i="1"/>
  <c r="BE161" i="1"/>
  <c r="BE160" i="1"/>
  <c r="BG212" i="1"/>
  <c r="BC55" i="1"/>
  <c r="BG121" i="1"/>
  <c r="BC127" i="1"/>
  <c r="BC149" i="1"/>
  <c r="BC150" i="1"/>
  <c r="BC151" i="1"/>
  <c r="BG187" i="1"/>
  <c r="BE159" i="1"/>
  <c r="BG277" i="1"/>
  <c r="BG278" i="1"/>
  <c r="BG280" i="1"/>
  <c r="BG281" i="1"/>
  <c r="BG279" i="1"/>
  <c r="BE227" i="1"/>
  <c r="BC188" i="1"/>
  <c r="BG226" i="1"/>
  <c r="BG275" i="1"/>
  <c r="BG271" i="1"/>
  <c r="BG270" i="1"/>
  <c r="BG272" i="1"/>
  <c r="BG274" i="1"/>
  <c r="BG273" i="1"/>
  <c r="BC273" i="1"/>
  <c r="BC274" i="1"/>
  <c r="BG312" i="1"/>
  <c r="BC316" i="1"/>
  <c r="BC313" i="1"/>
  <c r="BC311" i="1"/>
  <c r="BC317" i="1"/>
  <c r="BC309" i="1"/>
  <c r="BC310" i="1"/>
  <c r="BC315" i="1"/>
  <c r="BC314" i="1"/>
  <c r="BC312" i="1"/>
  <c r="BC109" i="1"/>
  <c r="BC108" i="1"/>
  <c r="BG127" i="1"/>
  <c r="BG126" i="1"/>
  <c r="BG48" i="1"/>
  <c r="BG49" i="1"/>
  <c r="BC46" i="1"/>
  <c r="BG51" i="1"/>
  <c r="BG50" i="1"/>
  <c r="BG29" i="1"/>
  <c r="BG30" i="1"/>
  <c r="BG28" i="1"/>
  <c r="BG116" i="1"/>
  <c r="BE48" i="1"/>
  <c r="BE199" i="1"/>
  <c r="BE198" i="1"/>
  <c r="BG96" i="1"/>
  <c r="BC49" i="1"/>
  <c r="BC48" i="1"/>
  <c r="BC213" i="1"/>
  <c r="BC212" i="1"/>
  <c r="BC211" i="1"/>
  <c r="BC210" i="1"/>
  <c r="BC209" i="1"/>
  <c r="BC176" i="1"/>
  <c r="BC177" i="1"/>
  <c r="BG94" i="1"/>
  <c r="BE95" i="1"/>
  <c r="BE94" i="1"/>
  <c r="BC25" i="1"/>
  <c r="BC24" i="1"/>
  <c r="BE66" i="1"/>
  <c r="BE64" i="1"/>
  <c r="BE65" i="1"/>
  <c r="BC120" i="1"/>
  <c r="BC119" i="1"/>
  <c r="BC118" i="1"/>
  <c r="BC85" i="1"/>
  <c r="BG71" i="1"/>
  <c r="BG115" i="1"/>
  <c r="BC41" i="1"/>
  <c r="BC199" i="1"/>
  <c r="BC198" i="1"/>
  <c r="BE282" i="1"/>
  <c r="BC219" i="1"/>
  <c r="BC220" i="1"/>
  <c r="BG90" i="1"/>
  <c r="BG159" i="1"/>
  <c r="BG158" i="1"/>
  <c r="BG176" i="1"/>
  <c r="BG177" i="1"/>
  <c r="BC239" i="1"/>
  <c r="BC238" i="1"/>
  <c r="BE289" i="1"/>
  <c r="BE287" i="1"/>
  <c r="BE288" i="1"/>
  <c r="BG89" i="1"/>
  <c r="BC218" i="1"/>
  <c r="BC217" i="1"/>
  <c r="BG209" i="1"/>
  <c r="BE134" i="1"/>
  <c r="BE135" i="1"/>
  <c r="BG188" i="1"/>
  <c r="BC281" i="1"/>
  <c r="BG328" i="1"/>
  <c r="BG329" i="1"/>
  <c r="BC186" i="1"/>
  <c r="BG291" i="1"/>
  <c r="BG290" i="1"/>
  <c r="BG311" i="1"/>
  <c r="BE329" i="1"/>
  <c r="BE328" i="1"/>
  <c r="BE192" i="1"/>
  <c r="BC286" i="1"/>
  <c r="BE60" i="1"/>
  <c r="BE61" i="1"/>
  <c r="BE62" i="1"/>
  <c r="BG61" i="1"/>
  <c r="BG62" i="1"/>
  <c r="BG60" i="1"/>
  <c r="BE89" i="1"/>
  <c r="BE88" i="1"/>
  <c r="BE90" i="1"/>
  <c r="BE87" i="1"/>
  <c r="BE86" i="1"/>
  <c r="BE91" i="1"/>
  <c r="BE131" i="1"/>
  <c r="BE132" i="1"/>
  <c r="BE133" i="1"/>
  <c r="BE129" i="1"/>
  <c r="BE130" i="1"/>
  <c r="BC37" i="1"/>
  <c r="BG102" i="1"/>
  <c r="BG103" i="1"/>
  <c r="BG101" i="1"/>
  <c r="BE147" i="1"/>
  <c r="BE148" i="1"/>
  <c r="BE146" i="1"/>
  <c r="BC140" i="1"/>
  <c r="BC141" i="1"/>
  <c r="BC87" i="1"/>
  <c r="BC90" i="1"/>
  <c r="BC88" i="1"/>
  <c r="BC89" i="1"/>
  <c r="BC91" i="1"/>
  <c r="BC86" i="1"/>
  <c r="BC101" i="1"/>
  <c r="BC45" i="1"/>
  <c r="BE196" i="1"/>
  <c r="BE195" i="1"/>
  <c r="BE285" i="1"/>
  <c r="BC157" i="1"/>
  <c r="BC156" i="1"/>
  <c r="BG258" i="1"/>
  <c r="BG257" i="1"/>
  <c r="BG85" i="1"/>
  <c r="BG82" i="1"/>
  <c r="BG206" i="1"/>
  <c r="BG205" i="1"/>
  <c r="BG208" i="1"/>
  <c r="BG207" i="1"/>
  <c r="BE226" i="1"/>
  <c r="BE225" i="1"/>
  <c r="BE93" i="1"/>
  <c r="BG198" i="1"/>
  <c r="BG199" i="1"/>
  <c r="BC298" i="1"/>
  <c r="BE297" i="1"/>
  <c r="BE298" i="1"/>
  <c r="BG285" i="1"/>
  <c r="BC277" i="1"/>
  <c r="BC327" i="1"/>
  <c r="BC326" i="1"/>
  <c r="BE331" i="1"/>
  <c r="BE330" i="1"/>
  <c r="BE246" i="1"/>
  <c r="BC305" i="1"/>
  <c r="BC306" i="1"/>
  <c r="BG314" i="1"/>
  <c r="BC284" i="1"/>
  <c r="BG180" i="1"/>
  <c r="BG179" i="1"/>
  <c r="BG178" i="1"/>
  <c r="BE44" i="1"/>
  <c r="BE46" i="1"/>
  <c r="BE42" i="1"/>
  <c r="BE45" i="1"/>
  <c r="BE43" i="1"/>
  <c r="BG125" i="1"/>
  <c r="BG124" i="1"/>
  <c r="BC38" i="1"/>
  <c r="BG93" i="1"/>
  <c r="BE108" i="1"/>
  <c r="BE109" i="1"/>
  <c r="BE23" i="1"/>
  <c r="BE22" i="1"/>
  <c r="BG119" i="1"/>
  <c r="BG120" i="1"/>
  <c r="BG118" i="1"/>
  <c r="BE126" i="1"/>
  <c r="BE127" i="1"/>
  <c r="BE193" i="1"/>
  <c r="BE194" i="1"/>
  <c r="BG109" i="1"/>
  <c r="BE211" i="1"/>
  <c r="BE213" i="1"/>
  <c r="BE210" i="1"/>
  <c r="BE212" i="1"/>
  <c r="BE209" i="1"/>
  <c r="BE122" i="1"/>
  <c r="BE121" i="1"/>
  <c r="BC160" i="1"/>
  <c r="BC161" i="1"/>
  <c r="BC231" i="1"/>
  <c r="BC229" i="1"/>
  <c r="BC227" i="1"/>
  <c r="BC228" i="1"/>
  <c r="BC230" i="1"/>
  <c r="BC275" i="1"/>
  <c r="BC276" i="1"/>
  <c r="BC134" i="1"/>
  <c r="BC135" i="1"/>
  <c r="BE219" i="1"/>
  <c r="BE327" i="1"/>
  <c r="BE326" i="1"/>
  <c r="BE81" i="1"/>
  <c r="BE82" i="1"/>
  <c r="BE84" i="1"/>
  <c r="BE83" i="1"/>
  <c r="BE85" i="1"/>
  <c r="BG284" i="1"/>
  <c r="BG319" i="1"/>
  <c r="BG318" i="1"/>
  <c r="BE253" i="1"/>
  <c r="BE252" i="1"/>
  <c r="BC267" i="1"/>
  <c r="BC268" i="1"/>
  <c r="BC266" i="1"/>
  <c r="BC288" i="1"/>
  <c r="BC289" i="1"/>
  <c r="BE319" i="1"/>
  <c r="BE318" i="1"/>
  <c r="BG229" i="1"/>
  <c r="BG330" i="1"/>
  <c r="BG331" i="1"/>
  <c r="AI37" i="1" l="1"/>
  <c r="AI38" i="1"/>
  <c r="AE38" i="1"/>
  <c r="AN38" i="1" s="1"/>
  <c r="AE39" i="1"/>
  <c r="AN39" i="1" s="1"/>
  <c r="AE37" i="1"/>
  <c r="AN37" i="1" s="1"/>
  <c r="AO37" i="1" s="1"/>
  <c r="AE36" i="1"/>
  <c r="AN36" i="1" s="1"/>
  <c r="AO36" i="1" s="1"/>
  <c r="AG37" i="1"/>
  <c r="AG36" i="1"/>
  <c r="AG38" i="1"/>
  <c r="AE41" i="1"/>
  <c r="AN41" i="1" s="1"/>
  <c r="AO41" i="1" s="1"/>
  <c r="AE40" i="1"/>
  <c r="AN40" i="1" s="1"/>
  <c r="AI39" i="1" l="1"/>
  <c r="AT37" i="1"/>
  <c r="AJ37" i="1"/>
  <c r="BF37" i="1" s="1"/>
  <c r="AT38" i="1"/>
  <c r="AJ38" i="1"/>
  <c r="BF38" i="1" s="1"/>
  <c r="AQ36" i="1"/>
  <c r="AR36" i="1" s="1"/>
  <c r="BA36" i="1"/>
  <c r="BA37" i="1"/>
  <c r="AQ37" i="1"/>
  <c r="AR37" i="1" s="1"/>
  <c r="AG39" i="1"/>
  <c r="AQ38" i="1"/>
  <c r="BA38" i="1"/>
  <c r="AI40" i="1"/>
  <c r="AI41" i="1"/>
  <c r="AG41" i="1"/>
  <c r="AG40" i="1"/>
  <c r="AT39" i="1" l="1"/>
  <c r="AJ39" i="1"/>
  <c r="BF39" i="1" s="1"/>
  <c r="AQ39" i="1"/>
  <c r="BA39" i="1"/>
  <c r="AT40" i="1"/>
  <c r="AJ40" i="1"/>
  <c r="BF40" i="1" s="1"/>
  <c r="AJ41" i="1"/>
  <c r="BF41" i="1" s="1"/>
  <c r="AT41" i="1"/>
  <c r="AU41" i="1" s="1"/>
  <c r="AQ41" i="1"/>
  <c r="AR41" i="1" s="1"/>
  <c r="BA41" i="1"/>
  <c r="BA40" i="1"/>
  <c r="AQ40" i="1"/>
</calcChain>
</file>

<file path=xl/sharedStrings.xml><?xml version="1.0" encoding="utf-8"?>
<sst xmlns="http://schemas.openxmlformats.org/spreadsheetml/2006/main" count="3435" uniqueCount="738">
  <si>
    <t>Table 1</t>
  </si>
  <si>
    <t>Hernando County Concurrency Management System</t>
  </si>
  <si>
    <t>Tier I Test: To Determine Concurrency or Need for Additional Analysis</t>
  </si>
  <si>
    <t>Version: 11/19/2022, Valid 12/01/2022 to 12/01/2024, unless superseded</t>
  </si>
  <si>
    <t>Y</t>
  </si>
  <si>
    <t>Notes:</t>
  </si>
  <si>
    <t>N</t>
  </si>
  <si>
    <t xml:space="preserve">1) In the Lanes/Type columns, "0" indicates that the segment does not exist in existing or future years. </t>
  </si>
  <si>
    <t>General Information</t>
  </si>
  <si>
    <t>Lanes/Type</t>
  </si>
  <si>
    <t xml:space="preserve">Hurricane Evacuation Route </t>
  </si>
  <si>
    <t>Strategic Intermodal System</t>
  </si>
  <si>
    <t>Growth</t>
  </si>
  <si>
    <t>AADT (Daily Volumes)</t>
  </si>
  <si>
    <t>K Factor</t>
  </si>
  <si>
    <t>Segment Peak Hour Two Way Volumes</t>
  </si>
  <si>
    <t>Net New External Project Traffic</t>
  </si>
  <si>
    <t>Total External Project Traffic</t>
  </si>
  <si>
    <t>Facility Level of Service (LOS)</t>
  </si>
  <si>
    <t>Facility Maximum Service Volume (MSV) Peak Hour Two Way</t>
  </si>
  <si>
    <r>
      <t xml:space="preserve">Conceptual Analysis Required (V:MSV &gt; 90%)
</t>
    </r>
    <r>
      <rPr>
        <sz val="8"/>
        <rFont val="Arial"/>
        <family val="2"/>
      </rPr>
      <t>Base Traffic + 3 or 5 Year Growth + Project Traffic</t>
    </r>
  </si>
  <si>
    <t>Witihin Radius of Influence</t>
  </si>
  <si>
    <t>On Study Network</t>
  </si>
  <si>
    <t>Trips Added as Percent of MSV</t>
  </si>
  <si>
    <t>Seg Fails Yr 0 Status</t>
  </si>
  <si>
    <t>Fac. Fails Yr 0 Status</t>
  </si>
  <si>
    <t>Seg Fails Yr 2 Status</t>
  </si>
  <si>
    <t>Fac. Fails Yr 2 Status</t>
  </si>
  <si>
    <t>Seg Fails Yr 3 Status</t>
  </si>
  <si>
    <t>Fac Fails Yr 3 Status</t>
  </si>
  <si>
    <t>Seg Fails Yr 4 Status</t>
  </si>
  <si>
    <t>Fac Fails Yr 4 Status</t>
  </si>
  <si>
    <t>% Distribution</t>
  </si>
  <si>
    <t>Working Fields</t>
  </si>
  <si>
    <t>Segment ID</t>
  </si>
  <si>
    <t>On Street</t>
  </si>
  <si>
    <t>From Street</t>
  </si>
  <si>
    <t>To Street</t>
  </si>
  <si>
    <t>Existing Number of Lanes and Type</t>
  </si>
  <si>
    <t>Programmed Improvements</t>
  </si>
  <si>
    <t>Base Year Volume</t>
  </si>
  <si>
    <t>Base Year of Count</t>
  </si>
  <si>
    <t>Annual Growth Rate</t>
  </si>
  <si>
    <t>AADT (2020)</t>
  </si>
  <si>
    <t>AADT (2023)</t>
  </si>
  <si>
    <t>AADT (2025)</t>
  </si>
  <si>
    <t>LOS Method</t>
  </si>
  <si>
    <t>LOS Standard</t>
  </si>
  <si>
    <t>MSV 2020</t>
  </si>
  <si>
    <t>MSV (2023)</t>
  </si>
  <si>
    <t>MSV (2025)</t>
  </si>
  <si>
    <t>2020 Volume Total</t>
  </si>
  <si>
    <t>2020 V/MSV Ratio</t>
  </si>
  <si>
    <t>2020 Status</t>
  </si>
  <si>
    <t>2023 Volume Total</t>
  </si>
  <si>
    <t>2023 V/MSV Ratio</t>
  </si>
  <si>
    <t>2023 Status</t>
  </si>
  <si>
    <t>2025 Volume Total</t>
  </si>
  <si>
    <t>2025 V/MSV Ratio</t>
  </si>
  <si>
    <t>2025 Status</t>
  </si>
  <si>
    <t>A</t>
  </si>
  <si>
    <r>
      <t>B</t>
    </r>
    <r>
      <rPr>
        <b/>
        <vertAlign val="subscript"/>
        <sz val="10"/>
        <rFont val="Arial"/>
        <family val="2"/>
      </rPr>
      <t>4</t>
    </r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</si>
  <si>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</si>
  <si>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</si>
  <si>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</si>
  <si>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</si>
  <si>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</si>
  <si>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</si>
  <si>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</si>
  <si>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</si>
  <si>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</si>
  <si>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</si>
  <si>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J</t>
  </si>
  <si>
    <t>Q</t>
  </si>
  <si>
    <t>O</t>
  </si>
  <si>
    <t>P</t>
  </si>
  <si>
    <t>V</t>
  </si>
  <si>
    <t>W1</t>
  </si>
  <si>
    <t>W2</t>
  </si>
  <si>
    <t>R</t>
  </si>
  <si>
    <t>S</t>
  </si>
  <si>
    <t>T</t>
  </si>
  <si>
    <t>U</t>
  </si>
  <si>
    <t>AC</t>
  </si>
  <si>
    <t>AA</t>
  </si>
  <si>
    <t>AB</t>
  </si>
  <si>
    <t>AD</t>
  </si>
  <si>
    <t>AE</t>
  </si>
  <si>
    <t>AF</t>
  </si>
  <si>
    <t>AG</t>
  </si>
  <si>
    <t>AH</t>
  </si>
  <si>
    <t>AI</t>
  </si>
  <si>
    <t>AM</t>
  </si>
  <si>
    <t>AN</t>
  </si>
  <si>
    <t>AO</t>
  </si>
  <si>
    <t>W3</t>
  </si>
  <si>
    <t>W4</t>
  </si>
  <si>
    <t>AR</t>
  </si>
  <si>
    <t>W5</t>
  </si>
  <si>
    <t>10810</t>
  </si>
  <si>
    <t>TREIMAN BLVD (US301/SR35)</t>
  </si>
  <si>
    <t>PASCO COUNTY LINE</t>
  </si>
  <si>
    <t>CORTEZ BLVD (SR50)</t>
  </si>
  <si>
    <t>2U</t>
  </si>
  <si>
    <t>GEN. TABLES</t>
  </si>
  <si>
    <t>10820</t>
  </si>
  <si>
    <t>RIDGE MANOR BLVD</t>
  </si>
  <si>
    <t>10830</t>
  </si>
  <si>
    <t>SUMTER COUNTY LINE</t>
  </si>
  <si>
    <t>4D</t>
  </si>
  <si>
    <t>10060</t>
  </si>
  <si>
    <t>BROAD ST (US41/SR45)</t>
  </si>
  <si>
    <t>COUNTY LINE RD</t>
  </si>
  <si>
    <t>AYERS RD</t>
  </si>
  <si>
    <t>10070.1</t>
  </si>
  <si>
    <t>SGT LEA MILLS BLVD</t>
  </si>
  <si>
    <t>10070.2</t>
  </si>
  <si>
    <t>SPRING HILL DR</t>
  </si>
  <si>
    <t>6D</t>
  </si>
  <si>
    <t>10080</t>
  </si>
  <si>
    <t>POWELL RD</t>
  </si>
  <si>
    <t>10090</t>
  </si>
  <si>
    <t>PINE CABIN RD</t>
  </si>
  <si>
    <t>10100</t>
  </si>
  <si>
    <t>HENNES COVE</t>
  </si>
  <si>
    <t>10110.1</t>
  </si>
  <si>
    <t>JOHN MARTIN LN</t>
  </si>
  <si>
    <t>10110.2</t>
  </si>
  <si>
    <t>VFW RD</t>
  </si>
  <si>
    <t>10115</t>
  </si>
  <si>
    <t>WISCON RD</t>
  </si>
  <si>
    <t>10120</t>
  </si>
  <si>
    <t>10130</t>
  </si>
  <si>
    <t>WINN DIXIE PLAZA</t>
  </si>
  <si>
    <t>10140</t>
  </si>
  <si>
    <t>CANDLELIGHT BLVD</t>
  </si>
  <si>
    <t>10150</t>
  </si>
  <si>
    <t>MLK BLVD</t>
  </si>
  <si>
    <t>2D</t>
  </si>
  <si>
    <t>10160</t>
  </si>
  <si>
    <t>PONCE DE LEON BLVD (US98/SR700)</t>
  </si>
  <si>
    <t>10170</t>
  </si>
  <si>
    <t>BENTON AVE</t>
  </si>
  <si>
    <t>10180</t>
  </si>
  <si>
    <t>OLD HOSPITAL DR</t>
  </si>
  <si>
    <t>10190</t>
  </si>
  <si>
    <t>MILDRED AVE</t>
  </si>
  <si>
    <t>10200</t>
  </si>
  <si>
    <t>MAIN ST (CR445)</t>
  </si>
  <si>
    <t>10210</t>
  </si>
  <si>
    <t>JEFFERSON ST (SR50)</t>
  </si>
  <si>
    <t>10220</t>
  </si>
  <si>
    <t>MONDON HILL RD</t>
  </si>
  <si>
    <t>10230.1</t>
  </si>
  <si>
    <t>N OF OAK ST</t>
  </si>
  <si>
    <t>10230.2</t>
  </si>
  <si>
    <t>CROOM RD</t>
  </si>
  <si>
    <t>10240</t>
  </si>
  <si>
    <t>CHATFIELD DR</t>
  </si>
  <si>
    <t>10250.1</t>
  </si>
  <si>
    <t>YONTZ RD</t>
  </si>
  <si>
    <t>10250.2</t>
  </si>
  <si>
    <t>HOWELL AVE</t>
  </si>
  <si>
    <t>10260.3</t>
  </si>
  <si>
    <t>URBAN BOUNDARY</t>
  </si>
  <si>
    <t>10260.4</t>
  </si>
  <si>
    <t>SNOW MEMORIAL HWY</t>
  </si>
  <si>
    <t>10270</t>
  </si>
  <si>
    <t>LAKE LINDSEY RD</t>
  </si>
  <si>
    <t>10280</t>
  </si>
  <si>
    <t>CITRUS COUNTY LINE</t>
  </si>
  <si>
    <t>2005</t>
  </si>
  <si>
    <t>US19 (SR55)</t>
  </si>
  <si>
    <t>DELTONA BLVD</t>
  </si>
  <si>
    <t>2010</t>
  </si>
  <si>
    <t>NIGHTWALKER RD</t>
  </si>
  <si>
    <t>2015</t>
  </si>
  <si>
    <t>OAK HILL HOSPITAL</t>
  </si>
  <si>
    <t>2020</t>
  </si>
  <si>
    <t>HIGHPOINT BLVD</t>
  </si>
  <si>
    <t>2025</t>
  </si>
  <si>
    <t>MARINER BLVD</t>
  </si>
  <si>
    <t>2030.1</t>
  </si>
  <si>
    <t>CHAMBORD</t>
  </si>
  <si>
    <t>2030.2</t>
  </si>
  <si>
    <t>SUNSHINE GROVE RD</t>
  </si>
  <si>
    <t>2035</t>
  </si>
  <si>
    <t>BARCLAY AVE</t>
  </si>
  <si>
    <t>2040.3</t>
  </si>
  <si>
    <t>GROVE RD</t>
  </si>
  <si>
    <t>2040.5</t>
  </si>
  <si>
    <t>S SUNCOAST PKWY RAMP</t>
  </si>
  <si>
    <t>20565</t>
  </si>
  <si>
    <t>N SUNCOAST PKWY RAMP</t>
  </si>
  <si>
    <t>20570</t>
  </si>
  <si>
    <t>SUMMER ST</t>
  </si>
  <si>
    <t>2043</t>
  </si>
  <si>
    <t>2045.1</t>
  </si>
  <si>
    <t>WINTER ST</t>
  </si>
  <si>
    <t>2045.2</t>
  </si>
  <si>
    <t>FORT DADE AVE</t>
  </si>
  <si>
    <t>2050</t>
  </si>
  <si>
    <t>CALIFORNIA ST</t>
  </si>
  <si>
    <t>2055</t>
  </si>
  <si>
    <t>COBB RD</t>
  </si>
  <si>
    <t>10840</t>
  </si>
  <si>
    <t>APPLEGATE DR</t>
  </si>
  <si>
    <t>10850</t>
  </si>
  <si>
    <t>10860.3</t>
  </si>
  <si>
    <t>TRENTON</t>
  </si>
  <si>
    <t>10860.4</t>
  </si>
  <si>
    <t>TIMBER PINES DR</t>
  </si>
  <si>
    <t>10870.3</t>
  </si>
  <si>
    <t>PINE FOREST DR</t>
  </si>
  <si>
    <t>10870.4</t>
  </si>
  <si>
    <t>BRANDY DR</t>
  </si>
  <si>
    <t>10880</t>
  </si>
  <si>
    <t>FOREST OAKS BLVD</t>
  </si>
  <si>
    <t>10890.3</t>
  </si>
  <si>
    <t>BERKELEY MANOR BLVD</t>
  </si>
  <si>
    <t>10890.4</t>
  </si>
  <si>
    <t>PACIFIC AVE</t>
  </si>
  <si>
    <t>10890.2</t>
  </si>
  <si>
    <t>NORTHCLIFFE BLVD</t>
  </si>
  <si>
    <t>10900</t>
  </si>
  <si>
    <t>11000</t>
  </si>
  <si>
    <t>RIDGE RD</t>
  </si>
  <si>
    <t>11010</t>
  </si>
  <si>
    <t>HEXAM RD</t>
  </si>
  <si>
    <t>11020.1</t>
  </si>
  <si>
    <t>VESPA WAY</t>
  </si>
  <si>
    <t>11020.2</t>
  </si>
  <si>
    <t>CENTRALIA RD</t>
  </si>
  <si>
    <t>11030</t>
  </si>
  <si>
    <t>KNUCKEY RD</t>
  </si>
  <si>
    <t>11040</t>
  </si>
  <si>
    <t>THRASHER RD</t>
  </si>
  <si>
    <t>6F</t>
  </si>
  <si>
    <t>11050</t>
  </si>
  <si>
    <t>10460</t>
  </si>
  <si>
    <t>I-75 (SR93)</t>
  </si>
  <si>
    <t>POWERLINE RD</t>
  </si>
  <si>
    <t>6</t>
  </si>
  <si>
    <t>10480</t>
  </si>
  <si>
    <t>1 MILE NORTH OF CORTEZ BLVD</t>
  </si>
  <si>
    <t>4F</t>
  </si>
  <si>
    <t>10490</t>
  </si>
  <si>
    <t>11260</t>
  </si>
  <si>
    <t>SUNCOAST PKWY (SR589)</t>
  </si>
  <si>
    <t>11280</t>
  </si>
  <si>
    <t>11290.6</t>
  </si>
  <si>
    <t>11290.8</t>
  </si>
  <si>
    <t>CENTRALIA</t>
  </si>
  <si>
    <t>11290.9</t>
  </si>
  <si>
    <t>10615</t>
  </si>
  <si>
    <t>JEFFERSON ST (SR50A)</t>
  </si>
  <si>
    <t>10620</t>
  </si>
  <si>
    <t>10630</t>
  </si>
  <si>
    <t>10640</t>
  </si>
  <si>
    <t>10650</t>
  </si>
  <si>
    <t>10660</t>
  </si>
  <si>
    <t>CITRUS WAY</t>
  </si>
  <si>
    <t>10670.6</t>
  </si>
  <si>
    <t>LANDFILL RD</t>
  </si>
  <si>
    <t>10670.8</t>
  </si>
  <si>
    <t>SUNCOAST PKWY NB RAMP</t>
  </si>
  <si>
    <t>10670.9</t>
  </si>
  <si>
    <t>SUNCOAST PKWY SB RAMP</t>
  </si>
  <si>
    <t>10680.3</t>
  </si>
  <si>
    <t>10690</t>
  </si>
  <si>
    <t>1333</t>
  </si>
  <si>
    <t>MILDRED AVE (SR45/SR700/SR50A)</t>
  </si>
  <si>
    <t>2110</t>
  </si>
  <si>
    <t>CORTEZ BLVD BYPASS (SR50)</t>
  </si>
  <si>
    <t>W OF BUCK HOPE RD</t>
  </si>
  <si>
    <t>2120.1</t>
  </si>
  <si>
    <t>RAY BROWNING RD</t>
  </si>
  <si>
    <t>2120.2</t>
  </si>
  <si>
    <t>MAIN ST</t>
  </si>
  <si>
    <t>2130</t>
  </si>
  <si>
    <t>EMERSON RD</t>
  </si>
  <si>
    <t>2140</t>
  </si>
  <si>
    <t>4010</t>
  </si>
  <si>
    <t>MCKETHAN RD (US98/SR700)</t>
  </si>
  <si>
    <t>3510</t>
  </si>
  <si>
    <t>COBB RD (CR485)</t>
  </si>
  <si>
    <t>2O</t>
  </si>
  <si>
    <t>3520</t>
  </si>
  <si>
    <t>3530</t>
  </si>
  <si>
    <t>3540</t>
  </si>
  <si>
    <t>3545</t>
  </si>
  <si>
    <t>MLK</t>
  </si>
  <si>
    <t>3550</t>
  </si>
  <si>
    <t>EMERSON RD (CR581)</t>
  </si>
  <si>
    <t>3560</t>
  </si>
  <si>
    <t>2205</t>
  </si>
  <si>
    <t>CORTEZ BLVD (US98/SR50)</t>
  </si>
  <si>
    <t>JASMINE DR</t>
  </si>
  <si>
    <t>CEDAR LN</t>
  </si>
  <si>
    <t>8</t>
  </si>
  <si>
    <t>SPRING LAKE HWY</t>
  </si>
  <si>
    <t>2255</t>
  </si>
  <si>
    <t>BURWELL RD</t>
  </si>
  <si>
    <t>2215</t>
  </si>
  <si>
    <t>LOCKHART RD</t>
  </si>
  <si>
    <t>2220.1</t>
  </si>
  <si>
    <t>NEW RD C</t>
  </si>
  <si>
    <t>2220.2</t>
  </si>
  <si>
    <t>I-75 (SR93) FRONTAGE (W)</t>
  </si>
  <si>
    <t>2223.1</t>
  </si>
  <si>
    <t>I-75 SB RAMPS</t>
  </si>
  <si>
    <t>2223.2</t>
  </si>
  <si>
    <t>2225.1</t>
  </si>
  <si>
    <t>I-75 NB RAMPS</t>
  </si>
  <si>
    <t>2225.2</t>
  </si>
  <si>
    <t>I-75 (SR93) FRONTAGE (E)</t>
  </si>
  <si>
    <t>2228</t>
  </si>
  <si>
    <t>WINDMERE RD</t>
  </si>
  <si>
    <t>2230</t>
  </si>
  <si>
    <t>KETTERING RD</t>
  </si>
  <si>
    <t>2235</t>
  </si>
  <si>
    <t>2240</t>
  </si>
  <si>
    <t>2245</t>
  </si>
  <si>
    <t>2250</t>
  </si>
  <si>
    <t>10730</t>
  </si>
  <si>
    <t>CHURCH RD</t>
  </si>
  <si>
    <t>10740</t>
  </si>
  <si>
    <t>AYERS RD EXT</t>
  </si>
  <si>
    <t>10750</t>
  </si>
  <si>
    <t>AYERS/HAYMAN RD</t>
  </si>
  <si>
    <t>10760</t>
  </si>
  <si>
    <t>HICKORY HILL RD</t>
  </si>
  <si>
    <t>10770</t>
  </si>
  <si>
    <t>10780</t>
  </si>
  <si>
    <t>3810</t>
  </si>
  <si>
    <t>LINGLE RD</t>
  </si>
  <si>
    <t>1610.3</t>
  </si>
  <si>
    <t>LELANI DR</t>
  </si>
  <si>
    <t>1610.4</t>
  </si>
  <si>
    <t>1620</t>
  </si>
  <si>
    <t>BUCZAK RD</t>
  </si>
  <si>
    <t>1625</t>
  </si>
  <si>
    <t>3610</t>
  </si>
  <si>
    <t>3620</t>
  </si>
  <si>
    <t>OLD CRYSTAL RIVER</t>
  </si>
  <si>
    <t>3625</t>
  </si>
  <si>
    <t>3630</t>
  </si>
  <si>
    <t>3640</t>
  </si>
  <si>
    <t>DALY RD</t>
  </si>
  <si>
    <t>3643</t>
  </si>
  <si>
    <t>3650</t>
  </si>
  <si>
    <t>NOBLETON - CROOM  RD</t>
  </si>
  <si>
    <t>3660</t>
  </si>
  <si>
    <t>SUMTER COUNTY</t>
  </si>
  <si>
    <t>11060</t>
  </si>
  <si>
    <t>MCINTYRE RD</t>
  </si>
  <si>
    <t>11070</t>
  </si>
  <si>
    <t>YONTZ RD EXT</t>
  </si>
  <si>
    <t>11080</t>
  </si>
  <si>
    <t>WEATHERLY RD</t>
  </si>
  <si>
    <t>11090</t>
  </si>
  <si>
    <t>ALCOTT RD</t>
  </si>
  <si>
    <t>11100</t>
  </si>
  <si>
    <t>WITHROW RD</t>
  </si>
  <si>
    <t>11110.1</t>
  </si>
  <si>
    <t>NEW ROAD</t>
  </si>
  <si>
    <t>11110.2</t>
  </si>
  <si>
    <t>CROOM RITAL RD</t>
  </si>
  <si>
    <t>20060</t>
  </si>
  <si>
    <t>3010.1</t>
  </si>
  <si>
    <t>RESTER DR</t>
  </si>
  <si>
    <t>3010.2</t>
  </si>
  <si>
    <t>3020.3</t>
  </si>
  <si>
    <t>KOCHER DR</t>
  </si>
  <si>
    <t>3020.4</t>
  </si>
  <si>
    <t>3030</t>
  </si>
  <si>
    <t>3040</t>
  </si>
  <si>
    <t>4100</t>
  </si>
  <si>
    <t>4110</t>
  </si>
  <si>
    <t>4115</t>
  </si>
  <si>
    <t>4117</t>
  </si>
  <si>
    <t>SOULT RD</t>
  </si>
  <si>
    <t>4120</t>
  </si>
  <si>
    <t>10360</t>
  </si>
  <si>
    <t>COBB RD (US98)</t>
  </si>
  <si>
    <t>10370</t>
  </si>
  <si>
    <t>10380</t>
  </si>
  <si>
    <t>10320</t>
  </si>
  <si>
    <t>10330</t>
  </si>
  <si>
    <t>10340</t>
  </si>
  <si>
    <t>10350</t>
  </si>
  <si>
    <t>11160</t>
  </si>
  <si>
    <t>HARRISON ST</t>
  </si>
  <si>
    <t>11170.1</t>
  </si>
  <si>
    <t>KEN AUSTIN PKWY</t>
  </si>
  <si>
    <t>11170.2</t>
  </si>
  <si>
    <t>3110.6</t>
  </si>
  <si>
    <t>SUNSHINE GROVE RD (N)</t>
  </si>
  <si>
    <t>3110.7</t>
  </si>
  <si>
    <t>1905.1</t>
  </si>
  <si>
    <t>CORTEZ BLVD (CR550)</t>
  </si>
  <si>
    <t>TERMINUS</t>
  </si>
  <si>
    <t>1200 FT N OF AZTEC CT</t>
  </si>
  <si>
    <t>1905.2</t>
  </si>
  <si>
    <t>PINE ISLAND DR</t>
  </si>
  <si>
    <t>1910</t>
  </si>
  <si>
    <t>SHOAL LINE BLVD</t>
  </si>
  <si>
    <t>1920</t>
  </si>
  <si>
    <t>6110</t>
  </si>
  <si>
    <t>6115</t>
  </si>
  <si>
    <t>6120</t>
  </si>
  <si>
    <t>MOBLEY RD</t>
  </si>
  <si>
    <t>6125</t>
  </si>
  <si>
    <t>2805</t>
  </si>
  <si>
    <t>ELGIN BLVD</t>
  </si>
  <si>
    <t>2810</t>
  </si>
  <si>
    <t>ELGIN BLVD/POWELL RD</t>
  </si>
  <si>
    <t>LANDOVER RD</t>
  </si>
  <si>
    <t>2813.1</t>
  </si>
  <si>
    <t>TANNER RD</t>
  </si>
  <si>
    <t>2813.2</t>
  </si>
  <si>
    <t>LAUREN DR</t>
  </si>
  <si>
    <t>2816</t>
  </si>
  <si>
    <t>FENIAN DR</t>
  </si>
  <si>
    <t>2819.1</t>
  </si>
  <si>
    <t>STERLING HILL BLVD</t>
  </si>
  <si>
    <t>2819.2</t>
  </si>
  <si>
    <t>BARCLAY RD</t>
  </si>
  <si>
    <t>2820</t>
  </si>
  <si>
    <t>2830</t>
  </si>
  <si>
    <t>2840.4</t>
  </si>
  <si>
    <t>2840.5</t>
  </si>
  <si>
    <t>CULBREATH RD</t>
  </si>
  <si>
    <t>2850</t>
  </si>
  <si>
    <t>2860</t>
  </si>
  <si>
    <t>2870</t>
  </si>
  <si>
    <t>5400</t>
  </si>
  <si>
    <t>KENLAKE AVE</t>
  </si>
  <si>
    <t>5402</t>
  </si>
  <si>
    <t>TREE HAVEN DR</t>
  </si>
  <si>
    <t>5405</t>
  </si>
  <si>
    <t>PINEHURST DR (W)</t>
  </si>
  <si>
    <t>5407</t>
  </si>
  <si>
    <t>PINEHURST DR (E)</t>
  </si>
  <si>
    <t>5410</t>
  </si>
  <si>
    <t>5415</t>
  </si>
  <si>
    <t>WATERFALL DR</t>
  </si>
  <si>
    <t>5420</t>
  </si>
  <si>
    <t>5425</t>
  </si>
  <si>
    <t>FENTRESS CT</t>
  </si>
  <si>
    <t>5430.1</t>
  </si>
  <si>
    <t>GLENRIDGE DR</t>
  </si>
  <si>
    <t>5430.2</t>
  </si>
  <si>
    <t>LINDEN DR (W)</t>
  </si>
  <si>
    <t>5435.1</t>
  </si>
  <si>
    <t>CORONADO DR</t>
  </si>
  <si>
    <t>5435.2</t>
  </si>
  <si>
    <t>5440.5</t>
  </si>
  <si>
    <t>N SUNCOAST PKWY (NB RAMPS)</t>
  </si>
  <si>
    <t>5440.6</t>
  </si>
  <si>
    <t>N SUNCOAST PKWY (SB RAMPS)</t>
  </si>
  <si>
    <t>5440.4</t>
  </si>
  <si>
    <t>SPRING PARK WAY</t>
  </si>
  <si>
    <t>5443</t>
  </si>
  <si>
    <t>5445</t>
  </si>
  <si>
    <t>1410</t>
  </si>
  <si>
    <t>1110</t>
  </si>
  <si>
    <t>1120.1</t>
  </si>
  <si>
    <t>HAYMAN RD</t>
  </si>
  <si>
    <t>HAYMAN RD EXT</t>
  </si>
  <si>
    <t>1120.2</t>
  </si>
  <si>
    <t>FAIR FORTUNE LN</t>
  </si>
  <si>
    <t>1123</t>
  </si>
  <si>
    <t>20050</t>
  </si>
  <si>
    <t>2305.1</t>
  </si>
  <si>
    <t>US 19</t>
  </si>
  <si>
    <t>DARTMOUTH AVE</t>
  </si>
  <si>
    <t>2305.2</t>
  </si>
  <si>
    <t>COBBLESTONE DR</t>
  </si>
  <si>
    <t>2310.1</t>
  </si>
  <si>
    <t>EAST OF COBBLESTONE DR</t>
  </si>
  <si>
    <t>2310.2</t>
  </si>
  <si>
    <t>2320.3</t>
  </si>
  <si>
    <t>1/4 MI W OF MARINER</t>
  </si>
  <si>
    <t>2320.4</t>
  </si>
  <si>
    <t>2330.3</t>
  </si>
  <si>
    <t>1/4 MI E OF MARINER</t>
  </si>
  <si>
    <t>2330.4</t>
  </si>
  <si>
    <t>FARNSWORTH BLVD</t>
  </si>
  <si>
    <t>2330.2</t>
  </si>
  <si>
    <t>LINDEN DR</t>
  </si>
  <si>
    <t>2340.1</t>
  </si>
  <si>
    <t>OAK CHASE BLVD</t>
  </si>
  <si>
    <t>2340.2</t>
  </si>
  <si>
    <t>ANDERSON SNOW RD</t>
  </si>
  <si>
    <t>2350.3</t>
  </si>
  <si>
    <t>N SUNCOAST PKWY (SB RAMP)</t>
  </si>
  <si>
    <t>2350.4</t>
  </si>
  <si>
    <t>N SUNCOAST PKWY (NB RAMP)</t>
  </si>
  <si>
    <t>2355.6</t>
  </si>
  <si>
    <t>2355.5</t>
  </si>
  <si>
    <t>10390</t>
  </si>
  <si>
    <t>10400</t>
  </si>
  <si>
    <t>2910.1</t>
  </si>
  <si>
    <t>2910.2</t>
  </si>
  <si>
    <t>2920</t>
  </si>
  <si>
    <t>10700.1</t>
  </si>
  <si>
    <t>900 FT S OF LAKE VILLAGE LN</t>
  </si>
  <si>
    <t>10700.2</t>
  </si>
  <si>
    <t>LAKE LINDSEY RD (S)</t>
  </si>
  <si>
    <t>10710</t>
  </si>
  <si>
    <t>LAKE LINDSEY RD (N)</t>
  </si>
  <si>
    <t>10720</t>
  </si>
  <si>
    <t>10290</t>
  </si>
  <si>
    <t>10300</t>
  </si>
  <si>
    <t>10310</t>
  </si>
  <si>
    <t>10000</t>
  </si>
  <si>
    <t>AMERO LN</t>
  </si>
  <si>
    <t>10010</t>
  </si>
  <si>
    <t>INDUSTRIAL LP</t>
  </si>
  <si>
    <t>10020</t>
  </si>
  <si>
    <t>10030</t>
  </si>
  <si>
    <t>10040</t>
  </si>
  <si>
    <t>SAN ANTONIO RD</t>
  </si>
  <si>
    <t>10050.1</t>
  </si>
  <si>
    <t>LUCKY LN</t>
  </si>
  <si>
    <t>10050.2</t>
  </si>
  <si>
    <t>10540.1</t>
  </si>
  <si>
    <t>MARINER BLVD (CR587)</t>
  </si>
  <si>
    <t>QUALITY DR</t>
  </si>
  <si>
    <t>10540.3</t>
  </si>
  <si>
    <t>FAIRCHILD RD</t>
  </si>
  <si>
    <t>10540.4</t>
  </si>
  <si>
    <t>AUDIE BROOK DR</t>
  </si>
  <si>
    <t>10550.1</t>
  </si>
  <si>
    <t>HENDERSON ST</t>
  </si>
  <si>
    <t>10550.2</t>
  </si>
  <si>
    <t>10560</t>
  </si>
  <si>
    <t>10570</t>
  </si>
  <si>
    <t>10580</t>
  </si>
  <si>
    <t>10590</t>
  </si>
  <si>
    <t>AUGUSTINE RD</t>
  </si>
  <si>
    <t>10600</t>
  </si>
  <si>
    <t>10610.1</t>
  </si>
  <si>
    <t>SAMS CLUB RD</t>
  </si>
  <si>
    <t>10610.2</t>
  </si>
  <si>
    <t>10612</t>
  </si>
  <si>
    <t>JACQUELINE RD</t>
  </si>
  <si>
    <t>10415</t>
  </si>
  <si>
    <t>ABELINE RD</t>
  </si>
  <si>
    <t>10420</t>
  </si>
  <si>
    <t>10430</t>
  </si>
  <si>
    <t>10440</t>
  </si>
  <si>
    <t>10450</t>
  </si>
  <si>
    <t>4510.1</t>
  </si>
  <si>
    <t>1500 FT S OF PALOMINO DR</t>
  </si>
  <si>
    <t>4510.2</t>
  </si>
  <si>
    <t>END OF PINE ISLAND DR</t>
  </si>
  <si>
    <t>5110.1</t>
  </si>
  <si>
    <t>OSOWAW BLVD</t>
  </si>
  <si>
    <t>5110.3</t>
  </si>
  <si>
    <t>COFER RD</t>
  </si>
  <si>
    <t>5110.4</t>
  </si>
  <si>
    <t>6210</t>
  </si>
  <si>
    <t>6220.1</t>
  </si>
  <si>
    <t>HOWELL AV</t>
  </si>
  <si>
    <t>6220.2</t>
  </si>
  <si>
    <t>2880</t>
  </si>
  <si>
    <t>3210</t>
  </si>
  <si>
    <t>BASEBALL POND RD</t>
  </si>
  <si>
    <t>10500</t>
  </si>
  <si>
    <t>10510</t>
  </si>
  <si>
    <t>10520</t>
  </si>
  <si>
    <t>10530</t>
  </si>
  <si>
    <t>3310</t>
  </si>
  <si>
    <t>3315</t>
  </si>
  <si>
    <t>3480</t>
  </si>
  <si>
    <t>3570.1</t>
  </si>
  <si>
    <t>DASHBACH RD</t>
  </si>
  <si>
    <t>3570.2</t>
  </si>
  <si>
    <t>20200</t>
  </si>
  <si>
    <t>SPRING HILL DR (W)</t>
  </si>
  <si>
    <t>11150</t>
  </si>
  <si>
    <t>11140</t>
  </si>
  <si>
    <t>11130</t>
  </si>
  <si>
    <t>ORIANA DR</t>
  </si>
  <si>
    <t>11120</t>
  </si>
  <si>
    <t>11220</t>
  </si>
  <si>
    <t>MYERS RD</t>
  </si>
  <si>
    <t>11250.3</t>
  </si>
  <si>
    <t>11250.4</t>
  </si>
  <si>
    <t>3980</t>
  </si>
  <si>
    <t>4210</t>
  </si>
  <si>
    <t>20310</t>
  </si>
  <si>
    <t>FULTON AVE</t>
  </si>
  <si>
    <t>3060</t>
  </si>
  <si>
    <t>FURLEY AVE</t>
  </si>
  <si>
    <t>4310</t>
  </si>
  <si>
    <t>4320.5</t>
  </si>
  <si>
    <t>CENTURY DR</t>
  </si>
  <si>
    <t>4320.6</t>
  </si>
  <si>
    <t>AZORA RD</t>
  </si>
  <si>
    <t>4320.4</t>
  </si>
  <si>
    <t>PORTILLO RD</t>
  </si>
  <si>
    <t>4330</t>
  </si>
  <si>
    <t>4420</t>
  </si>
  <si>
    <t>OSOWAW BLVD (CR595)</t>
  </si>
  <si>
    <t>4910</t>
  </si>
  <si>
    <t>5010.1</t>
  </si>
  <si>
    <t>OLANCHA RD</t>
  </si>
  <si>
    <t>5010.2</t>
  </si>
  <si>
    <t>10790</t>
  </si>
  <si>
    <t>10800</t>
  </si>
  <si>
    <t>11180</t>
  </si>
  <si>
    <t>5710</t>
  </si>
  <si>
    <t>THRASHER AVE</t>
  </si>
  <si>
    <t>MT SPARROW RD</t>
  </si>
  <si>
    <t>5720</t>
  </si>
  <si>
    <t>DOWNY WOODPECKER RD</t>
  </si>
  <si>
    <t>6010</t>
  </si>
  <si>
    <t>6610</t>
  </si>
  <si>
    <t>6710</t>
  </si>
  <si>
    <t>6910.3</t>
  </si>
  <si>
    <t>1200 FT S OF I-75</t>
  </si>
  <si>
    <t>6910.4</t>
  </si>
  <si>
    <t>6920</t>
  </si>
  <si>
    <t>7000</t>
  </si>
  <si>
    <t>8070</t>
  </si>
  <si>
    <t>8080</t>
  </si>
  <si>
    <t>8090.1</t>
  </si>
  <si>
    <t>W OF FOREST VILLAS CIR</t>
  </si>
  <si>
    <t>8090.2</t>
  </si>
  <si>
    <t>20560</t>
  </si>
  <si>
    <t>20665</t>
  </si>
  <si>
    <t>AERIAL WAY</t>
  </si>
  <si>
    <t>CORPORATE BLVD</t>
  </si>
  <si>
    <t>3580</t>
  </si>
  <si>
    <t>QUIGLEY AVE</t>
  </si>
  <si>
    <t>20170</t>
  </si>
  <si>
    <t>TOUCAN TRL</t>
  </si>
  <si>
    <t>BARTLETT ST</t>
  </si>
  <si>
    <t>20180</t>
  </si>
  <si>
    <t>NORBERT ST</t>
  </si>
  <si>
    <t>20190</t>
  </si>
  <si>
    <t>20210</t>
  </si>
  <si>
    <t>LANDOVER BLVD</t>
  </si>
  <si>
    <t>S. MARINER BLVD (CR587)</t>
  </si>
  <si>
    <t>20220.1</t>
  </si>
  <si>
    <t>STERLING HILLS</t>
  </si>
  <si>
    <t>ELWOOD RD</t>
  </si>
  <si>
    <t>20240.1</t>
  </si>
  <si>
    <t>20240.2</t>
  </si>
  <si>
    <t>N SUNCOAST PKWY (SR589)</t>
  </si>
  <si>
    <t>20240.3</t>
  </si>
  <si>
    <t>BREAD BLVD</t>
  </si>
  <si>
    <t>20230</t>
  </si>
  <si>
    <t>BREDA BLVD</t>
  </si>
  <si>
    <t>20250</t>
  </si>
  <si>
    <t>SGT. LEA MILLS BLVD</t>
  </si>
  <si>
    <t>20290.2</t>
  </si>
  <si>
    <t>HORSE LAKE RD</t>
  </si>
  <si>
    <t>20300.1</t>
  </si>
  <si>
    <t>HOSPITAL BLVD</t>
  </si>
  <si>
    <t>20360.1</t>
  </si>
  <si>
    <t>WEEPING WILLOW ST</t>
  </si>
  <si>
    <t>20360.2</t>
  </si>
  <si>
    <t>MONTOUR ST</t>
  </si>
  <si>
    <t>20360.3</t>
  </si>
  <si>
    <t>STAR RD</t>
  </si>
  <si>
    <t>20365.1</t>
  </si>
  <si>
    <t>BOURASSA BLVD</t>
  </si>
  <si>
    <t>20365.2</t>
  </si>
  <si>
    <t>20390.1</t>
  </si>
  <si>
    <t>IRVING ST</t>
  </si>
  <si>
    <t>20390.2</t>
  </si>
  <si>
    <t>HIGHFIELD RD</t>
  </si>
  <si>
    <t>20400.1</t>
  </si>
  <si>
    <t>20400.3</t>
  </si>
  <si>
    <t>ARIZONA ST</t>
  </si>
  <si>
    <t>20400.4</t>
  </si>
  <si>
    <t>20420.1</t>
  </si>
  <si>
    <t>20420.2</t>
  </si>
  <si>
    <t>20430</t>
  </si>
  <si>
    <t>20350.2</t>
  </si>
  <si>
    <t>20440</t>
  </si>
  <si>
    <t>20450.1</t>
  </si>
  <si>
    <t>20020</t>
  </si>
  <si>
    <t>20210.1</t>
  </si>
  <si>
    <t>ELGIN AVE</t>
  </si>
  <si>
    <t>20545.1</t>
  </si>
  <si>
    <t>20545.2</t>
  </si>
  <si>
    <t>N. MARINER BLVD (CR587)</t>
  </si>
  <si>
    <t>20655.1</t>
  </si>
  <si>
    <t>SWALLOW NEST</t>
  </si>
  <si>
    <t>20650</t>
  </si>
  <si>
    <t>20645</t>
  </si>
  <si>
    <t>20575</t>
  </si>
  <si>
    <t>4410.1</t>
  </si>
  <si>
    <t>1600 FT N OF ALOHA LN</t>
  </si>
  <si>
    <t>4410.2</t>
  </si>
  <si>
    <t xml:space="preserve">mason </t>
  </si>
  <si>
    <t>\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</si>
  <si>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</si>
  <si>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</si>
  <si>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</si>
  <si>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</si>
  <si>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</si>
  <si>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</si>
  <si>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</si>
  <si>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</si>
  <si>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</si>
  <si>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</si>
  <si>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</si>
  <si>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</si>
  <si>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</si>
  <si>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</si>
  <si>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</si>
  <si>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</si>
  <si>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</si>
  <si>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</si>
  <si>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</si>
  <si>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</si>
  <si>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</si>
  <si>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</si>
  <si>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</si>
  <si>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</si>
  <si>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</si>
  <si>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</si>
  <si>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</si>
  <si>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</si>
  <si>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</si>
  <si>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</si>
  <si>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</si>
  <si>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 xml:space="preserve">Functonal 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</si>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</sst>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#,###"/>
    <numFmt numFmtId="166" formatCode="####"/>
    <numFmt numFmtId="167" formatCode="#0.00%"/>
    <numFmt numFmtId="168" formatCode="#,###;\-#,###;0"/>
    <numFmt numFmtId="169" formatCode="0.###;\-0.###;0.000"/>
    <numFmt numFmtId="170" formatCode="0.000_);\(0.00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vertAlign val="subscript"/>
      <sz val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6">
    <xf numFmtId="0" fontId="0" fillId="0" borderId="0" xfId="0"/>
    <xf numFmtId="49" fontId="2" fillId="2" borderId="0" xfId="0" applyNumberFormat="1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3" fontId="0" fillId="2" borderId="0" xfId="0" applyNumberFormat="1" applyFill="1"/>
    <xf numFmtId="0" fontId="2" fillId="2" borderId="0" xfId="0" applyFont="1" applyFill="1" applyAlignment="1">
      <alignment horizontal="left"/>
    </xf>
    <xf numFmtId="164" fontId="3" fillId="2" borderId="0" xfId="1" applyNumberFormat="1" applyFont="1" applyFill="1" applyBorder="1" applyAlignment="1">
      <alignment vertical="center" wrapText="1"/>
    </xf>
    <xf numFmtId="49" fontId="4" fillId="2" borderId="0" xfId="0" applyNumberFormat="1" applyFont="1" applyFill="1"/>
    <xf numFmtId="0" fontId="4" fillId="2" borderId="0" xfId="0" applyFont="1" applyFill="1"/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0" fillId="2" borderId="0" xfId="0" applyNumberFormat="1" applyFill="1"/>
    <xf numFmtId="0" fontId="3" fillId="2" borderId="0" xfId="0" applyFont="1" applyFill="1"/>
    <xf numFmtId="0" fontId="5" fillId="2" borderId="0" xfId="0" applyFont="1" applyFill="1"/>
    <xf numFmtId="49" fontId="6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49" fontId="8" fillId="2" borderId="0" xfId="0" applyNumberFormat="1" applyFont="1" applyFill="1"/>
    <xf numFmtId="0" fontId="0" fillId="2" borderId="0" xfId="0" applyFill="1" applyAlignment="1">
      <alignment horizontal="left"/>
    </xf>
    <xf numFmtId="49" fontId="3" fillId="3" borderId="12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9" fontId="3" fillId="3" borderId="24" xfId="0" applyNumberFormat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0" fontId="8" fillId="2" borderId="25" xfId="0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center" vertical="center" wrapText="1"/>
      <protection locked="0"/>
    </xf>
    <xf numFmtId="49" fontId="0" fillId="2" borderId="4" xfId="0" applyNumberForma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left" shrinkToFit="1"/>
    </xf>
    <xf numFmtId="0" fontId="0" fillId="2" borderId="8" xfId="0" applyFill="1" applyBorder="1" applyAlignment="1">
      <alignment horizontal="left" shrinkToFi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2" borderId="4" xfId="0" applyNumberFormat="1" applyFill="1" applyBorder="1" applyAlignment="1">
      <alignment horizontal="right"/>
    </xf>
    <xf numFmtId="166" fontId="0" fillId="2" borderId="5" xfId="0" applyNumberFormat="1" applyFill="1" applyBorder="1" applyAlignment="1">
      <alignment horizontal="center"/>
    </xf>
    <xf numFmtId="167" fontId="0" fillId="2" borderId="8" xfId="0" applyNumberFormat="1" applyFill="1" applyBorder="1" applyAlignment="1">
      <alignment horizontal="right"/>
    </xf>
    <xf numFmtId="168" fontId="0" fillId="2" borderId="4" xfId="0" applyNumberFormat="1" applyFill="1" applyBorder="1" applyAlignment="1">
      <alignment horizontal="right"/>
    </xf>
    <xf numFmtId="168" fontId="0" fillId="2" borderId="5" xfId="0" applyNumberFormat="1" applyFill="1" applyBorder="1" applyAlignment="1">
      <alignment horizontal="right"/>
    </xf>
    <xf numFmtId="168" fontId="0" fillId="2" borderId="8" xfId="0" applyNumberFormat="1" applyFill="1" applyBorder="1" applyAlignment="1">
      <alignment horizontal="right"/>
    </xf>
    <xf numFmtId="168" fontId="0" fillId="2" borderId="4" xfId="0" applyNumberFormat="1" applyFill="1" applyBorder="1" applyAlignment="1" applyProtection="1">
      <alignment horizontal="center"/>
      <protection locked="0"/>
    </xf>
    <xf numFmtId="168" fontId="0" fillId="2" borderId="8" xfId="0" applyNumberFormat="1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left"/>
    </xf>
    <xf numFmtId="169" fontId="0" fillId="2" borderId="5" xfId="0" applyNumberFormat="1" applyFill="1" applyBorder="1" applyAlignment="1">
      <alignment horizontal="right"/>
    </xf>
    <xf numFmtId="3" fontId="0" fillId="2" borderId="8" xfId="0" applyNumberFormat="1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167" fontId="0" fillId="2" borderId="9" xfId="0" applyNumberFormat="1" applyFill="1" applyBorder="1" applyAlignment="1" applyProtection="1">
      <alignment horizontal="right"/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49" fontId="0" fillId="5" borderId="30" xfId="0" applyNumberFormat="1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0" fillId="5" borderId="27" xfId="0" applyFill="1" applyBorder="1" applyAlignment="1">
      <alignment horizontal="left" shrinkToFit="1"/>
    </xf>
    <xf numFmtId="0" fontId="0" fillId="5" borderId="28" xfId="0" applyFill="1" applyBorder="1" applyAlignment="1">
      <alignment horizontal="left" shrinkToFit="1"/>
    </xf>
    <xf numFmtId="0" fontId="0" fillId="5" borderId="30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165" fontId="0" fillId="5" borderId="30" xfId="0" applyNumberFormat="1" applyFill="1" applyBorder="1" applyAlignment="1">
      <alignment horizontal="right"/>
    </xf>
    <xf numFmtId="166" fontId="0" fillId="5" borderId="27" xfId="0" applyNumberFormat="1" applyFill="1" applyBorder="1" applyAlignment="1">
      <alignment horizontal="center"/>
    </xf>
    <xf numFmtId="167" fontId="0" fillId="5" borderId="28" xfId="0" applyNumberFormat="1" applyFill="1" applyBorder="1" applyAlignment="1">
      <alignment horizontal="right"/>
    </xf>
    <xf numFmtId="168" fontId="0" fillId="5" borderId="30" xfId="0" applyNumberFormat="1" applyFill="1" applyBorder="1" applyAlignment="1">
      <alignment horizontal="right"/>
    </xf>
    <xf numFmtId="168" fontId="0" fillId="5" borderId="27" xfId="0" applyNumberFormat="1" applyFill="1" applyBorder="1" applyAlignment="1">
      <alignment horizontal="right"/>
    </xf>
    <xf numFmtId="168" fontId="0" fillId="5" borderId="28" xfId="0" applyNumberFormat="1" applyFill="1" applyBorder="1" applyAlignment="1">
      <alignment horizontal="right"/>
    </xf>
    <xf numFmtId="169" fontId="0" fillId="5" borderId="31" xfId="0" applyNumberFormat="1" applyFill="1" applyBorder="1" applyAlignment="1">
      <alignment horizontal="right"/>
    </xf>
    <xf numFmtId="168" fontId="0" fillId="5" borderId="30" xfId="0" applyNumberFormat="1" applyFill="1" applyBorder="1" applyAlignment="1" applyProtection="1">
      <alignment horizontal="center"/>
      <protection locked="0"/>
    </xf>
    <xf numFmtId="168" fontId="0" fillId="5" borderId="28" xfId="0" applyNumberFormat="1" applyFill="1" applyBorder="1" applyAlignment="1" applyProtection="1">
      <alignment horizontal="center"/>
      <protection locked="0"/>
    </xf>
    <xf numFmtId="0" fontId="0" fillId="5" borderId="30" xfId="0" applyFill="1" applyBorder="1" applyAlignment="1">
      <alignment horizontal="left"/>
    </xf>
    <xf numFmtId="169" fontId="0" fillId="5" borderId="27" xfId="0" applyNumberFormat="1" applyFill="1" applyBorder="1" applyAlignment="1">
      <alignment horizontal="right"/>
    </xf>
    <xf numFmtId="3" fontId="0" fillId="5" borderId="27" xfId="0" applyNumberFormat="1" applyFill="1" applyBorder="1" applyAlignment="1">
      <alignment horizontal="center"/>
    </xf>
    <xf numFmtId="3" fontId="0" fillId="5" borderId="28" xfId="0" applyNumberFormat="1" applyFill="1" applyBorder="1" applyAlignment="1">
      <alignment horizontal="center"/>
    </xf>
    <xf numFmtId="0" fontId="0" fillId="5" borderId="30" xfId="0" applyFill="1" applyBorder="1" applyAlignment="1">
      <alignment horizontal="right"/>
    </xf>
    <xf numFmtId="0" fontId="0" fillId="5" borderId="27" xfId="0" applyFill="1" applyBorder="1" applyAlignment="1">
      <alignment horizontal="right"/>
    </xf>
    <xf numFmtId="0" fontId="0" fillId="5" borderId="28" xfId="0" applyFill="1" applyBorder="1" applyAlignment="1">
      <alignment horizontal="right"/>
    </xf>
    <xf numFmtId="167" fontId="0" fillId="5" borderId="31" xfId="0" applyNumberFormat="1" applyFill="1" applyBorder="1" applyAlignment="1" applyProtection="1">
      <alignment horizontal="right"/>
      <protection locked="0"/>
    </xf>
    <xf numFmtId="0" fontId="0" fillId="2" borderId="30" xfId="0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32" xfId="0" applyFill="1" applyBorder="1" applyProtection="1">
      <protection locked="0"/>
    </xf>
    <xf numFmtId="49" fontId="0" fillId="2" borderId="30" xfId="0" applyNumberFormat="1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7" xfId="0" applyFill="1" applyBorder="1" applyAlignment="1">
      <alignment horizontal="left" shrinkToFit="1"/>
    </xf>
    <xf numFmtId="0" fontId="0" fillId="2" borderId="28" xfId="0" applyFill="1" applyBorder="1" applyAlignment="1">
      <alignment horizontal="left" shrinkToFit="1"/>
    </xf>
    <xf numFmtId="0" fontId="0" fillId="2" borderId="3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5" fontId="0" fillId="2" borderId="30" xfId="0" applyNumberFormat="1" applyFill="1" applyBorder="1" applyAlignment="1">
      <alignment horizontal="right"/>
    </xf>
    <xf numFmtId="166" fontId="0" fillId="2" borderId="27" xfId="0" applyNumberFormat="1" applyFill="1" applyBorder="1" applyAlignment="1">
      <alignment horizontal="center"/>
    </xf>
    <xf numFmtId="167" fontId="0" fillId="2" borderId="28" xfId="0" applyNumberFormat="1" applyFill="1" applyBorder="1" applyAlignment="1">
      <alignment horizontal="right"/>
    </xf>
    <xf numFmtId="168" fontId="0" fillId="2" borderId="30" xfId="0" applyNumberFormat="1" applyFill="1" applyBorder="1" applyAlignment="1">
      <alignment horizontal="right"/>
    </xf>
    <xf numFmtId="168" fontId="0" fillId="2" borderId="27" xfId="0" applyNumberFormat="1" applyFill="1" applyBorder="1" applyAlignment="1">
      <alignment horizontal="right"/>
    </xf>
    <xf numFmtId="168" fontId="0" fillId="2" borderId="28" xfId="0" applyNumberFormat="1" applyFill="1" applyBorder="1" applyAlignment="1">
      <alignment horizontal="right"/>
    </xf>
    <xf numFmtId="169" fontId="0" fillId="2" borderId="31" xfId="0" applyNumberFormat="1" applyFill="1" applyBorder="1" applyAlignment="1">
      <alignment horizontal="right"/>
    </xf>
    <xf numFmtId="168" fontId="0" fillId="2" borderId="30" xfId="0" applyNumberFormat="1" applyFill="1" applyBorder="1" applyAlignment="1" applyProtection="1">
      <alignment horizontal="center"/>
      <protection locked="0"/>
    </xf>
    <xf numFmtId="168" fontId="0" fillId="2" borderId="28" xfId="0" applyNumberFormat="1" applyFill="1" applyBorder="1" applyAlignment="1" applyProtection="1">
      <alignment horizontal="center"/>
      <protection locked="0"/>
    </xf>
    <xf numFmtId="0" fontId="0" fillId="2" borderId="30" xfId="0" applyFill="1" applyBorder="1" applyAlignment="1">
      <alignment horizontal="left"/>
    </xf>
    <xf numFmtId="169" fontId="0" fillId="2" borderId="27" xfId="0" applyNumberFormat="1" applyFill="1" applyBorder="1" applyAlignment="1">
      <alignment horizontal="right"/>
    </xf>
    <xf numFmtId="3" fontId="0" fillId="2" borderId="27" xfId="0" applyNumberFormat="1" applyFill="1" applyBorder="1" applyAlignment="1">
      <alignment horizontal="center"/>
    </xf>
    <xf numFmtId="3" fontId="0" fillId="2" borderId="28" xfId="0" applyNumberFormat="1" applyFill="1" applyBorder="1" applyAlignment="1">
      <alignment horizontal="center"/>
    </xf>
    <xf numFmtId="0" fontId="0" fillId="2" borderId="30" xfId="0" applyFill="1" applyBorder="1" applyAlignment="1">
      <alignment horizontal="right"/>
    </xf>
    <xf numFmtId="0" fontId="0" fillId="2" borderId="27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167" fontId="0" fillId="2" borderId="31" xfId="0" applyNumberFormat="1" applyFill="1" applyBorder="1" applyAlignment="1" applyProtection="1">
      <alignment horizontal="right"/>
      <protection locked="0"/>
    </xf>
    <xf numFmtId="49" fontId="0" fillId="6" borderId="30" xfId="0" applyNumberFormat="1" applyFill="1" applyBorder="1" applyAlignment="1">
      <alignment horizontal="left"/>
    </xf>
    <xf numFmtId="0" fontId="0" fillId="6" borderId="27" xfId="0" applyFill="1" applyBorder="1" applyAlignment="1">
      <alignment horizontal="left"/>
    </xf>
    <xf numFmtId="0" fontId="0" fillId="6" borderId="27" xfId="0" applyFill="1" applyBorder="1" applyAlignment="1">
      <alignment horizontal="left" shrinkToFit="1"/>
    </xf>
    <xf numFmtId="0" fontId="0" fillId="6" borderId="28" xfId="0" applyFill="1" applyBorder="1" applyAlignment="1">
      <alignment horizontal="left" shrinkToFit="1"/>
    </xf>
    <xf numFmtId="0" fontId="0" fillId="6" borderId="30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165" fontId="0" fillId="6" borderId="30" xfId="0" applyNumberFormat="1" applyFill="1" applyBorder="1" applyAlignment="1">
      <alignment horizontal="right"/>
    </xf>
    <xf numFmtId="166" fontId="0" fillId="6" borderId="27" xfId="0" applyNumberFormat="1" applyFill="1" applyBorder="1" applyAlignment="1">
      <alignment horizontal="center"/>
    </xf>
    <xf numFmtId="167" fontId="0" fillId="6" borderId="28" xfId="0" applyNumberFormat="1" applyFill="1" applyBorder="1" applyAlignment="1">
      <alignment horizontal="right"/>
    </xf>
    <xf numFmtId="168" fontId="0" fillId="6" borderId="30" xfId="0" applyNumberFormat="1" applyFill="1" applyBorder="1" applyAlignment="1">
      <alignment horizontal="right"/>
    </xf>
    <xf numFmtId="168" fontId="0" fillId="6" borderId="27" xfId="0" applyNumberFormat="1" applyFill="1" applyBorder="1" applyAlignment="1">
      <alignment horizontal="right"/>
    </xf>
    <xf numFmtId="168" fontId="0" fillId="6" borderId="28" xfId="0" applyNumberFormat="1" applyFill="1" applyBorder="1" applyAlignment="1">
      <alignment horizontal="right"/>
    </xf>
    <xf numFmtId="168" fontId="0" fillId="6" borderId="30" xfId="0" applyNumberFormat="1" applyFill="1" applyBorder="1" applyAlignment="1" applyProtection="1">
      <alignment horizontal="center"/>
      <protection locked="0"/>
    </xf>
    <xf numFmtId="168" fontId="0" fillId="6" borderId="28" xfId="0" applyNumberFormat="1" applyFill="1" applyBorder="1" applyAlignment="1" applyProtection="1">
      <alignment horizontal="center"/>
      <protection locked="0"/>
    </xf>
    <xf numFmtId="0" fontId="0" fillId="6" borderId="30" xfId="0" applyFill="1" applyBorder="1" applyAlignment="1">
      <alignment horizontal="left"/>
    </xf>
    <xf numFmtId="169" fontId="0" fillId="6" borderId="27" xfId="0" applyNumberFormat="1" applyFill="1" applyBorder="1" applyAlignment="1">
      <alignment horizontal="right"/>
    </xf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 applyAlignment="1">
      <alignment horizontal="center"/>
    </xf>
    <xf numFmtId="0" fontId="0" fillId="6" borderId="30" xfId="0" applyFill="1" applyBorder="1" applyAlignment="1">
      <alignment horizontal="right"/>
    </xf>
    <xf numFmtId="0" fontId="0" fillId="6" borderId="27" xfId="0" applyFill="1" applyBorder="1" applyAlignment="1">
      <alignment horizontal="right"/>
    </xf>
    <xf numFmtId="0" fontId="0" fillId="6" borderId="28" xfId="0" applyFill="1" applyBorder="1" applyAlignment="1">
      <alignment horizontal="right"/>
    </xf>
    <xf numFmtId="167" fontId="0" fillId="6" borderId="31" xfId="0" applyNumberFormat="1" applyFill="1" applyBorder="1" applyAlignment="1" applyProtection="1">
      <alignment horizontal="right"/>
      <protection locked="0"/>
    </xf>
    <xf numFmtId="0" fontId="0" fillId="6" borderId="30" xfId="0" applyFill="1" applyBorder="1" applyProtection="1">
      <protection locked="0"/>
    </xf>
    <xf numFmtId="0" fontId="0" fillId="6" borderId="27" xfId="0" applyFill="1" applyBorder="1" applyProtection="1">
      <protection locked="0"/>
    </xf>
    <xf numFmtId="0" fontId="0" fillId="6" borderId="32" xfId="0" applyFill="1" applyBorder="1" applyProtection="1">
      <protection locked="0"/>
    </xf>
    <xf numFmtId="0" fontId="0" fillId="6" borderId="0" xfId="0" applyFill="1"/>
    <xf numFmtId="0" fontId="3" fillId="3" borderId="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170" fontId="0" fillId="2" borderId="9" xfId="0" applyNumberFormat="1" applyFill="1" applyBorder="1" applyAlignment="1">
      <alignment horizontal="right"/>
    </xf>
    <xf numFmtId="170" fontId="0" fillId="5" borderId="31" xfId="0" applyNumberFormat="1" applyFill="1" applyBorder="1" applyAlignment="1">
      <alignment horizontal="right"/>
    </xf>
    <xf numFmtId="170" fontId="0" fillId="2" borderId="31" xfId="0" applyNumberFormat="1" applyFill="1" applyBorder="1" applyAlignment="1">
      <alignment horizontal="right"/>
    </xf>
    <xf numFmtId="170" fontId="0" fillId="6" borderId="31" xfId="0" applyNumberFormat="1" applyFill="1" applyBorder="1" applyAlignment="1">
      <alignment horizontal="right"/>
    </xf>
    <xf numFmtId="0" fontId="13" fillId="6" borderId="0" xfId="0" applyFont="1" applyFill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0" xfId="0" quotePrefix="1" applyFont="1" applyAlignment="1">
      <alignment horizontal="center"/>
    </xf>
    <xf numFmtId="0" fontId="13" fillId="6" borderId="0" xfId="0" applyFont="1" applyFill="1"/>
    <xf numFmtId="0" fontId="15" fillId="0" borderId="0" xfId="0" applyFont="1" applyAlignment="1">
      <alignment horizontal="center"/>
    </xf>
    <xf numFmtId="0" fontId="15" fillId="7" borderId="0" xfId="0" applyFont="1" applyFill="1"/>
    <xf numFmtId="0" fontId="16" fillId="8" borderId="36" xfId="0" applyFont="1" applyFill="1" applyBorder="1" applyAlignment="1" applyProtection="1">
      <alignment horizontal="center"/>
      <protection locked="0"/>
    </xf>
    <xf numFmtId="0" fontId="16" fillId="8" borderId="37" xfId="0" applyFont="1" applyFill="1" applyBorder="1" applyProtection="1">
      <protection locked="0"/>
    </xf>
    <xf numFmtId="0" fontId="16" fillId="8" borderId="38" xfId="0" applyFont="1" applyFill="1" applyBorder="1" applyProtection="1">
      <protection locked="0"/>
    </xf>
    <xf numFmtId="0" fontId="16" fillId="8" borderId="28" xfId="0" applyFont="1" applyFill="1" applyBorder="1" applyAlignment="1" applyProtection="1">
      <alignment horizontal="centerContinuous"/>
      <protection locked="0"/>
    </xf>
    <xf numFmtId="0" fontId="16" fillId="8" borderId="39" xfId="0" applyFont="1" applyFill="1" applyBorder="1" applyAlignment="1" applyProtection="1">
      <alignment horizontal="centerContinuous"/>
      <protection locked="0"/>
    </xf>
    <xf numFmtId="0" fontId="16" fillId="8" borderId="22" xfId="0" applyFont="1" applyFill="1" applyBorder="1" applyAlignment="1" applyProtection="1">
      <alignment horizontal="center"/>
      <protection locked="0"/>
    </xf>
    <xf numFmtId="0" fontId="16" fillId="8" borderId="42" xfId="0" applyFont="1" applyFill="1" applyBorder="1" applyProtection="1">
      <protection locked="0"/>
    </xf>
    <xf numFmtId="0" fontId="16" fillId="8" borderId="43" xfId="0" applyFont="1" applyFill="1" applyBorder="1" applyProtection="1">
      <protection locked="0"/>
    </xf>
    <xf numFmtId="0" fontId="16" fillId="9" borderId="22" xfId="0" applyFont="1" applyFill="1" applyBorder="1" applyAlignment="1" applyProtection="1">
      <alignment horizontal="center"/>
      <protection locked="0"/>
    </xf>
    <xf numFmtId="0" fontId="16" fillId="10" borderId="22" xfId="0" applyFont="1" applyFill="1" applyBorder="1" applyAlignment="1" applyProtection="1">
      <alignment horizontal="center"/>
      <protection locked="0"/>
    </xf>
    <xf numFmtId="0" fontId="16" fillId="11" borderId="22" xfId="0" applyFont="1" applyFill="1" applyBorder="1" applyAlignment="1" applyProtection="1">
      <alignment horizontal="center"/>
      <protection locked="0"/>
    </xf>
    <xf numFmtId="0" fontId="16" fillId="8" borderId="44" xfId="0" applyFont="1" applyFill="1" applyBorder="1" applyAlignment="1" applyProtection="1">
      <alignment horizontal="center"/>
      <protection locked="0"/>
    </xf>
    <xf numFmtId="0" fontId="16" fillId="8" borderId="27" xfId="0" applyFont="1" applyFill="1" applyBorder="1" applyProtection="1">
      <protection locked="0"/>
    </xf>
    <xf numFmtId="0" fontId="16" fillId="9" borderId="44" xfId="0" applyFont="1" applyFill="1" applyBorder="1" applyAlignment="1" applyProtection="1">
      <alignment horizontal="center"/>
      <protection locked="0"/>
    </xf>
    <xf numFmtId="0" fontId="16" fillId="10" borderId="44" xfId="0" applyFont="1" applyFill="1" applyBorder="1" applyAlignment="1" applyProtection="1">
      <alignment horizontal="center"/>
      <protection locked="0"/>
    </xf>
    <xf numFmtId="0" fontId="16" fillId="11" borderId="44" xfId="0" applyFont="1" applyFill="1" applyBorder="1" applyAlignment="1" applyProtection="1">
      <alignment horizontal="center"/>
      <protection locked="0"/>
    </xf>
    <xf numFmtId="0" fontId="16" fillId="11" borderId="27" xfId="0" applyFont="1" applyFill="1" applyBorder="1" applyAlignment="1" applyProtection="1">
      <alignment horizontal="center"/>
      <protection locked="0"/>
    </xf>
    <xf numFmtId="0" fontId="16" fillId="11" borderId="45" xfId="0" applyFont="1" applyFill="1" applyBorder="1" applyAlignment="1" applyProtection="1">
      <alignment horizontal="center"/>
      <protection locked="0"/>
    </xf>
    <xf numFmtId="0" fontId="15" fillId="0" borderId="27" xfId="0" applyFont="1" applyBorder="1" applyAlignment="1">
      <alignment horizontal="left" vertical="center"/>
    </xf>
    <xf numFmtId="3" fontId="15" fillId="0" borderId="27" xfId="0" applyNumberFormat="1" applyFont="1" applyBorder="1" applyAlignment="1">
      <alignment horizontal="center" vertical="center"/>
    </xf>
    <xf numFmtId="3" fontId="15" fillId="6" borderId="27" xfId="0" applyNumberFormat="1" applyFont="1" applyFill="1" applyBorder="1" applyAlignment="1">
      <alignment horizontal="center" vertical="center"/>
    </xf>
    <xf numFmtId="4" fontId="15" fillId="0" borderId="27" xfId="0" applyNumberFormat="1" applyFont="1" applyBorder="1" applyAlignment="1">
      <alignment horizontal="center" vertical="center"/>
    </xf>
    <xf numFmtId="3" fontId="15" fillId="0" borderId="44" xfId="0" applyNumberFormat="1" applyFont="1" applyBorder="1" applyAlignment="1">
      <alignment horizontal="center" vertical="center"/>
    </xf>
    <xf numFmtId="0" fontId="16" fillId="8" borderId="40" xfId="0" applyFont="1" applyFill="1" applyBorder="1" applyAlignment="1" applyProtection="1">
      <alignment horizontal="center"/>
      <protection locked="0"/>
    </xf>
    <xf numFmtId="0" fontId="14" fillId="0" borderId="27" xfId="0" applyFont="1" applyBorder="1" applyAlignment="1">
      <alignment horizontal="centerContinuous"/>
    </xf>
    <xf numFmtId="0" fontId="14" fillId="0" borderId="27" xfId="0" applyFont="1" applyBorder="1" applyAlignment="1">
      <alignment horizontal="center" wrapText="1"/>
    </xf>
    <xf numFmtId="0" fontId="15" fillId="6" borderId="27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5" fillId="0" borderId="27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textRotation="90" wrapText="1"/>
    </xf>
    <xf numFmtId="0" fontId="3" fillId="4" borderId="23" xfId="0" applyFont="1" applyFill="1" applyBorder="1" applyAlignment="1">
      <alignment horizontal="center" vertical="center" textRotation="90" wrapText="1"/>
    </xf>
    <xf numFmtId="0" fontId="3" fillId="4" borderId="20" xfId="0" applyFont="1" applyFill="1" applyBorder="1" applyAlignment="1">
      <alignment horizontal="center" vertical="center" textRotation="90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 textRotation="90" wrapText="1"/>
    </xf>
    <xf numFmtId="0" fontId="3" fillId="4" borderId="22" xfId="0" applyFont="1" applyFill="1" applyBorder="1" applyAlignment="1">
      <alignment horizontal="center" vertical="center" textRotation="90" wrapText="1"/>
    </xf>
    <xf numFmtId="0" fontId="3" fillId="4" borderId="19" xfId="0" applyFont="1" applyFill="1" applyBorder="1" applyAlignment="1">
      <alignment horizontal="center" vertical="center" textRotation="90" wrapText="1"/>
    </xf>
    <xf numFmtId="0" fontId="3" fillId="4" borderId="24" xfId="0" applyFont="1" applyFill="1" applyBorder="1" applyAlignment="1">
      <alignment horizontal="center" vertical="center" textRotation="90" wrapText="1"/>
    </xf>
    <xf numFmtId="0" fontId="3" fillId="4" borderId="21" xfId="0" applyFont="1" applyFill="1" applyBorder="1" applyAlignment="1">
      <alignment horizontal="center" vertical="center" textRotation="90" wrapText="1"/>
    </xf>
    <xf numFmtId="0" fontId="3" fillId="4" borderId="18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164" fontId="3" fillId="3" borderId="3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6" fillId="8" borderId="40" xfId="0" applyFont="1" applyFill="1" applyBorder="1" applyAlignment="1" applyProtection="1">
      <alignment horizontal="center"/>
      <protection locked="0"/>
    </xf>
    <xf numFmtId="0" fontId="16" fillId="8" borderId="37" xfId="0" applyFont="1" applyFill="1" applyBorder="1" applyAlignment="1" applyProtection="1">
      <alignment horizontal="center"/>
      <protection locked="0"/>
    </xf>
    <xf numFmtId="0" fontId="16" fillId="8" borderId="38" xfId="0" applyFont="1" applyFill="1" applyBorder="1" applyAlignment="1" applyProtection="1">
      <alignment horizontal="center"/>
      <protection locked="0"/>
    </xf>
    <xf numFmtId="0" fontId="14" fillId="0" borderId="2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6" fillId="9" borderId="27" xfId="0" applyFont="1" applyFill="1" applyBorder="1" applyAlignment="1" applyProtection="1">
      <alignment horizontal="center"/>
      <protection locked="0"/>
    </xf>
    <xf numFmtId="0" fontId="16" fillId="10" borderId="28" xfId="0" applyFont="1" applyFill="1" applyBorder="1" applyAlignment="1" applyProtection="1">
      <alignment horizontal="center"/>
      <protection locked="0"/>
    </xf>
    <xf numFmtId="0" fontId="16" fillId="10" borderId="39" xfId="0" applyFont="1" applyFill="1" applyBorder="1" applyAlignment="1" applyProtection="1">
      <alignment horizontal="center"/>
      <protection locked="0"/>
    </xf>
    <xf numFmtId="0" fontId="16" fillId="10" borderId="41" xfId="0" applyFont="1" applyFill="1" applyBorder="1" applyAlignment="1" applyProtection="1">
      <alignment horizontal="center"/>
      <protection locked="0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39" xfId="0" applyFont="1" applyFill="1" applyBorder="1" applyAlignment="1" applyProtection="1">
      <alignment horizontal="center"/>
      <protection locked="0"/>
    </xf>
    <xf numFmtId="0" fontId="16" fillId="11" borderId="41" xfId="0" applyFont="1" applyFill="1" applyBorder="1" applyAlignment="1" applyProtection="1">
      <alignment horizontal="center"/>
      <protection locked="0"/>
    </xf>
    <xf numFmtId="0" fontId="16" fillId="8" borderId="36" xfId="0" applyFont="1" applyFill="1" applyBorder="1" applyAlignment="1" applyProtection="1">
      <alignment horizontal="center"/>
      <protection locked="0"/>
    </xf>
    <xf numFmtId="0" fontId="16" fillId="8" borderId="22" xfId="0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ont>
        <b/>
        <i val="0"/>
        <condense val="0"/>
        <extend val="0"/>
        <color indexed="1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123825</xdr:colOff>
      <xdr:row>14</xdr:row>
      <xdr:rowOff>38100</xdr:rowOff>
    </xdr:from>
    <xdr:to>
      <xdr:col>43</xdr:col>
      <xdr:colOff>533400</xdr:colOff>
      <xdr:row>15</xdr:row>
      <xdr:rowOff>180975</xdr:rowOff>
    </xdr:to>
    <xdr:sp macro="" textlink="">
      <xdr:nvSpPr>
        <xdr:cNvPr id="2" name="AutoShape 25">
          <a:extLst>
            <a:ext uri="{FF2B5EF4-FFF2-40B4-BE49-F238E27FC236}">
              <a16:creationId xmlns:a16="http://schemas.microsoft.com/office/drawing/2014/main" id="{51D180B8-15A8-4EE6-9BAD-C5EFA5D2D485}"/>
            </a:ext>
          </a:extLst>
        </xdr:cNvPr>
        <xdr:cNvSpPr>
          <a:spLocks noChangeArrowheads="1"/>
        </xdr:cNvSpPr>
      </xdr:nvSpPr>
      <xdr:spPr bwMode="auto">
        <a:xfrm rot="5400000">
          <a:off x="25436513" y="2852737"/>
          <a:ext cx="304800" cy="409575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76200</xdr:colOff>
      <xdr:row>14</xdr:row>
      <xdr:rowOff>47625</xdr:rowOff>
    </xdr:from>
    <xdr:to>
      <xdr:col>46</xdr:col>
      <xdr:colOff>485775</xdr:colOff>
      <xdr:row>15</xdr:row>
      <xdr:rowOff>190500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90712AF5-AB09-48CD-A212-E9A6B53A5D81}"/>
            </a:ext>
          </a:extLst>
        </xdr:cNvPr>
        <xdr:cNvSpPr>
          <a:spLocks noChangeArrowheads="1"/>
        </xdr:cNvSpPr>
      </xdr:nvSpPr>
      <xdr:spPr bwMode="auto">
        <a:xfrm rot="5400000">
          <a:off x="27189113" y="2862262"/>
          <a:ext cx="304800" cy="409575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123825</xdr:colOff>
      <xdr:row>14</xdr:row>
      <xdr:rowOff>47625</xdr:rowOff>
    </xdr:from>
    <xdr:to>
      <xdr:col>49</xdr:col>
      <xdr:colOff>533400</xdr:colOff>
      <xdr:row>15</xdr:row>
      <xdr:rowOff>190500</xdr:rowOff>
    </xdr:to>
    <xdr:sp macro="" textlink="">
      <xdr:nvSpPr>
        <xdr:cNvPr id="4" name="AutoShape 25">
          <a:extLst>
            <a:ext uri="{FF2B5EF4-FFF2-40B4-BE49-F238E27FC236}">
              <a16:creationId xmlns:a16="http://schemas.microsoft.com/office/drawing/2014/main" id="{F6BD2CB3-E591-4444-BD65-E1B4F64CA153}"/>
            </a:ext>
          </a:extLst>
        </xdr:cNvPr>
        <xdr:cNvSpPr>
          <a:spLocks noChangeArrowheads="1"/>
        </xdr:cNvSpPr>
      </xdr:nvSpPr>
      <xdr:spPr bwMode="auto">
        <a:xfrm rot="5400000">
          <a:off x="27508200" y="3067050"/>
          <a:ext cx="30480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552450</xdr:colOff>
      <xdr:row>6</xdr:row>
      <xdr:rowOff>76200</xdr:rowOff>
    </xdr:from>
    <xdr:to>
      <xdr:col>28</xdr:col>
      <xdr:colOff>0</xdr:colOff>
      <xdr:row>8</xdr:row>
      <xdr:rowOff>47625</xdr:rowOff>
    </xdr:to>
    <xdr:sp macro="" textlink="">
      <xdr:nvSpPr>
        <xdr:cNvPr id="5" name="Oval 24">
          <a:extLst>
            <a:ext uri="{FF2B5EF4-FFF2-40B4-BE49-F238E27FC236}">
              <a16:creationId xmlns:a16="http://schemas.microsoft.com/office/drawing/2014/main" id="{F2B95B41-3741-4229-9A9E-C91E72DE910B}"/>
            </a:ext>
          </a:extLst>
        </xdr:cNvPr>
        <xdr:cNvSpPr>
          <a:spLocks noChangeArrowheads="1"/>
        </xdr:cNvSpPr>
      </xdr:nvSpPr>
      <xdr:spPr bwMode="auto">
        <a:xfrm>
          <a:off x="20402550" y="1466850"/>
          <a:ext cx="0" cy="266700"/>
        </a:xfrm>
        <a:prstGeom prst="ellipse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61</xdr:col>
      <xdr:colOff>171450</xdr:colOff>
      <xdr:row>14</xdr:row>
      <xdr:rowOff>0</xdr:rowOff>
    </xdr:from>
    <xdr:to>
      <xdr:col>61</xdr:col>
      <xdr:colOff>581025</xdr:colOff>
      <xdr:row>15</xdr:row>
      <xdr:rowOff>133350</xdr:rowOff>
    </xdr:to>
    <xdr:sp macro="" textlink="">
      <xdr:nvSpPr>
        <xdr:cNvPr id="6" name="AutoShape 25">
          <a:extLst>
            <a:ext uri="{FF2B5EF4-FFF2-40B4-BE49-F238E27FC236}">
              <a16:creationId xmlns:a16="http://schemas.microsoft.com/office/drawing/2014/main" id="{659A822D-DE1B-4A34-9806-642B2FD65033}"/>
            </a:ext>
          </a:extLst>
        </xdr:cNvPr>
        <xdr:cNvSpPr>
          <a:spLocks noChangeArrowheads="1"/>
        </xdr:cNvSpPr>
      </xdr:nvSpPr>
      <xdr:spPr bwMode="auto">
        <a:xfrm rot="5400000">
          <a:off x="29775150" y="2809875"/>
          <a:ext cx="295275" cy="409575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392207</xdr:colOff>
      <xdr:row>8</xdr:row>
      <xdr:rowOff>67236</xdr:rowOff>
    </xdr:from>
    <xdr:to>
      <xdr:col>61</xdr:col>
      <xdr:colOff>795618</xdr:colOff>
      <xdr:row>14</xdr:row>
      <xdr:rowOff>124945</xdr:rowOff>
    </xdr:to>
    <xdr:sp macro="" textlink="">
      <xdr:nvSpPr>
        <xdr:cNvPr id="7" name="AutoShape 29">
          <a:extLst>
            <a:ext uri="{FF2B5EF4-FFF2-40B4-BE49-F238E27FC236}">
              <a16:creationId xmlns:a16="http://schemas.microsoft.com/office/drawing/2014/main" id="{59B83DEA-24A0-47DC-B9F1-E01A38CB1BBA}"/>
            </a:ext>
          </a:extLst>
        </xdr:cNvPr>
        <xdr:cNvSpPr>
          <a:spLocks noChangeArrowheads="1"/>
        </xdr:cNvSpPr>
      </xdr:nvSpPr>
      <xdr:spPr bwMode="auto">
        <a:xfrm>
          <a:off x="28681457" y="1753161"/>
          <a:ext cx="1660711" cy="1238809"/>
        </a:xfrm>
        <a:prstGeom prst="roundRect">
          <a:avLst>
            <a:gd name="adj" fmla="val 16667"/>
          </a:avLst>
        </a:prstGeom>
        <a:solidFill>
          <a:srgbClr val="FFFFFF"/>
        </a:solidFill>
        <a:ln w="158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Applicant will enter the % Distribution for each segment which will further document how the New External Project Traffic (Column W1) and Total External Project Traffic (Column W2) were calculated.</a:t>
          </a:r>
        </a:p>
      </xdr:txBody>
    </xdr:sp>
    <xdr:clientData/>
  </xdr:twoCellAnchor>
  <xdr:twoCellAnchor>
    <xdr:from>
      <xdr:col>23</xdr:col>
      <xdr:colOff>38100</xdr:colOff>
      <xdr:row>14</xdr:row>
      <xdr:rowOff>0</xdr:rowOff>
    </xdr:from>
    <xdr:to>
      <xdr:col>23</xdr:col>
      <xdr:colOff>400050</xdr:colOff>
      <xdr:row>15</xdr:row>
      <xdr:rowOff>142875</xdr:rowOff>
    </xdr:to>
    <xdr:sp macro="" textlink="">
      <xdr:nvSpPr>
        <xdr:cNvPr id="8" name="AutoShape 42">
          <a:extLst>
            <a:ext uri="{FF2B5EF4-FFF2-40B4-BE49-F238E27FC236}">
              <a16:creationId xmlns:a16="http://schemas.microsoft.com/office/drawing/2014/main" id="{7D610EDA-8860-463F-BB18-4F45A74F9900}"/>
            </a:ext>
          </a:extLst>
        </xdr:cNvPr>
        <xdr:cNvSpPr>
          <a:spLocks noChangeArrowheads="1"/>
        </xdr:cNvSpPr>
      </xdr:nvSpPr>
      <xdr:spPr bwMode="auto">
        <a:xfrm rot="5400000">
          <a:off x="17773650" y="2838450"/>
          <a:ext cx="304800" cy="361950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276225</xdr:colOff>
      <xdr:row>6</xdr:row>
      <xdr:rowOff>171450</xdr:rowOff>
    </xdr:from>
    <xdr:to>
      <xdr:col>51</xdr:col>
      <xdr:colOff>333375</xdr:colOff>
      <xdr:row>8</xdr:row>
      <xdr:rowOff>228600</xdr:rowOff>
    </xdr:to>
    <xdr:sp macro="" textlink="">
      <xdr:nvSpPr>
        <xdr:cNvPr id="9" name="AutoShape 17">
          <a:extLst>
            <a:ext uri="{FF2B5EF4-FFF2-40B4-BE49-F238E27FC236}">
              <a16:creationId xmlns:a16="http://schemas.microsoft.com/office/drawing/2014/main" id="{8EA07EE6-2442-4607-AA63-C920A6571D67}"/>
            </a:ext>
          </a:extLst>
        </xdr:cNvPr>
        <xdr:cNvSpPr>
          <a:spLocks noChangeArrowheads="1"/>
        </xdr:cNvSpPr>
      </xdr:nvSpPr>
      <xdr:spPr bwMode="auto">
        <a:xfrm>
          <a:off x="21917025" y="1495425"/>
          <a:ext cx="6705600" cy="419100"/>
        </a:xfrm>
        <a:prstGeom prst="roundRect">
          <a:avLst>
            <a:gd name="adj" fmla="val 16667"/>
          </a:avLst>
        </a:prstGeom>
        <a:solidFill>
          <a:srgbClr val="FFFFFF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295275</xdr:colOff>
      <xdr:row>14</xdr:row>
      <xdr:rowOff>9525</xdr:rowOff>
    </xdr:from>
    <xdr:to>
      <xdr:col>22</xdr:col>
      <xdr:colOff>657225</xdr:colOff>
      <xdr:row>15</xdr:row>
      <xdr:rowOff>152400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F940947-963E-4CB2-91D3-4696E49782D7}"/>
            </a:ext>
          </a:extLst>
        </xdr:cNvPr>
        <xdr:cNvSpPr>
          <a:spLocks noChangeArrowheads="1"/>
        </xdr:cNvSpPr>
      </xdr:nvSpPr>
      <xdr:spPr bwMode="auto">
        <a:xfrm rot="5400000">
          <a:off x="17306925" y="2847975"/>
          <a:ext cx="304800" cy="361950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390525</xdr:colOff>
      <xdr:row>6</xdr:row>
      <xdr:rowOff>171450</xdr:rowOff>
    </xdr:from>
    <xdr:to>
      <xdr:col>22</xdr:col>
      <xdr:colOff>695325</xdr:colOff>
      <xdr:row>15</xdr:row>
      <xdr:rowOff>9525</xdr:rowOff>
    </xdr:to>
    <xdr:sp macro="" textlink="">
      <xdr:nvSpPr>
        <xdr:cNvPr id="11" name="AutoShape 16">
          <a:extLst>
            <a:ext uri="{FF2B5EF4-FFF2-40B4-BE49-F238E27FC236}">
              <a16:creationId xmlns:a16="http://schemas.microsoft.com/office/drawing/2014/main" id="{B36A87DD-40CB-4EC3-B2A7-03DF94D54A62}"/>
            </a:ext>
          </a:extLst>
        </xdr:cNvPr>
        <xdr:cNvSpPr>
          <a:spLocks noChangeArrowheads="1"/>
        </xdr:cNvSpPr>
      </xdr:nvSpPr>
      <xdr:spPr bwMode="auto">
        <a:xfrm>
          <a:off x="14706600" y="1495425"/>
          <a:ext cx="2971800" cy="1543050"/>
        </a:xfrm>
        <a:prstGeom prst="roundRect">
          <a:avLst>
            <a:gd name="adj" fmla="val 16667"/>
          </a:avLst>
        </a:prstGeom>
        <a:solidFill>
          <a:srgbClr val="FFFFFF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17</xdr:col>
      <xdr:colOff>266700</xdr:colOff>
      <xdr:row>7</xdr:row>
      <xdr:rowOff>76200</xdr:rowOff>
    </xdr:from>
    <xdr:to>
      <xdr:col>21</xdr:col>
      <xdr:colOff>0</xdr:colOff>
      <xdr:row>14</xdr:row>
      <xdr:rowOff>47625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A26A5163-0A91-4069-B5D0-72DD452CC407}"/>
            </a:ext>
          </a:extLst>
        </xdr:cNvPr>
        <xdr:cNvSpPr txBox="1">
          <a:spLocks noChangeArrowheads="1"/>
        </xdr:cNvSpPr>
      </xdr:nvSpPr>
      <xdr:spPr bwMode="auto">
        <a:xfrm>
          <a:off x="15116175" y="1571625"/>
          <a:ext cx="2371725" cy="1304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Manually enter the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new external project traffic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associated with your development.  New trips should be reported as peak hour two-way volumes.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New Project Traffic = Total Trips Generated - Pass-By + Internal Capture</a:t>
          </a:r>
        </a:p>
      </xdr:txBody>
    </xdr:sp>
    <xdr:clientData/>
  </xdr:twoCellAnchor>
  <xdr:twoCellAnchor>
    <xdr:from>
      <xdr:col>15</xdr:col>
      <xdr:colOff>448235</xdr:colOff>
      <xdr:row>7</xdr:row>
      <xdr:rowOff>38100</xdr:rowOff>
    </xdr:from>
    <xdr:to>
      <xdr:col>17</xdr:col>
      <xdr:colOff>246529</xdr:colOff>
      <xdr:row>8</xdr:row>
      <xdr:rowOff>200025</xdr:rowOff>
    </xdr:to>
    <xdr:sp macro="" textlink="">
      <xdr:nvSpPr>
        <xdr:cNvPr id="13" name="Oval 3">
          <a:extLst>
            <a:ext uri="{FF2B5EF4-FFF2-40B4-BE49-F238E27FC236}">
              <a16:creationId xmlns:a16="http://schemas.microsoft.com/office/drawing/2014/main" id="{E6907D0F-0100-4106-AD98-0BA04059476C}"/>
            </a:ext>
          </a:extLst>
        </xdr:cNvPr>
        <xdr:cNvSpPr>
          <a:spLocks noChangeArrowheads="1"/>
        </xdr:cNvSpPr>
      </xdr:nvSpPr>
      <xdr:spPr bwMode="auto">
        <a:xfrm>
          <a:off x="14764310" y="1533525"/>
          <a:ext cx="331694" cy="352425"/>
        </a:xfrm>
        <a:prstGeom prst="ellipse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36</xdr:col>
      <xdr:colOff>141755</xdr:colOff>
      <xdr:row>7</xdr:row>
      <xdr:rowOff>61633</xdr:rowOff>
    </xdr:from>
    <xdr:to>
      <xdr:col>44</xdr:col>
      <xdr:colOff>476764</xdr:colOff>
      <xdr:row>8</xdr:row>
      <xdr:rowOff>175185</xdr:rowOff>
    </xdr:to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23B3879A-FC6C-4895-8F0B-7344085B2FD8}"/>
            </a:ext>
          </a:extLst>
        </xdr:cNvPr>
        <xdr:cNvSpPr txBox="1">
          <a:spLocks noChangeArrowheads="1"/>
        </xdr:cNvSpPr>
      </xdr:nvSpPr>
      <xdr:spPr bwMode="auto">
        <a:xfrm>
          <a:off x="22259925" y="1557058"/>
          <a:ext cx="5211809" cy="304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Review the status columns to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verify the level of study that will need to be performed.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                                    . </a:t>
          </a:r>
        </a:p>
      </xdr:txBody>
    </xdr:sp>
    <xdr:clientData/>
  </xdr:twoCellAnchor>
  <xdr:twoCellAnchor>
    <xdr:from>
      <xdr:col>23</xdr:col>
      <xdr:colOff>0</xdr:colOff>
      <xdr:row>6</xdr:row>
      <xdr:rowOff>180975</xdr:rowOff>
    </xdr:from>
    <xdr:to>
      <xdr:col>34</xdr:col>
      <xdr:colOff>209550</xdr:colOff>
      <xdr:row>15</xdr:row>
      <xdr:rowOff>19050</xdr:rowOff>
    </xdr:to>
    <xdr:sp macro="" textlink="">
      <xdr:nvSpPr>
        <xdr:cNvPr id="15" name="AutoShape 16">
          <a:extLst>
            <a:ext uri="{FF2B5EF4-FFF2-40B4-BE49-F238E27FC236}">
              <a16:creationId xmlns:a16="http://schemas.microsoft.com/office/drawing/2014/main" id="{FA936B8A-999C-422C-A4E6-FCA44C74B338}"/>
            </a:ext>
          </a:extLst>
        </xdr:cNvPr>
        <xdr:cNvSpPr>
          <a:spLocks noChangeArrowheads="1"/>
        </xdr:cNvSpPr>
      </xdr:nvSpPr>
      <xdr:spPr bwMode="auto">
        <a:xfrm>
          <a:off x="17706975" y="1495425"/>
          <a:ext cx="4143375" cy="1552575"/>
        </a:xfrm>
        <a:prstGeom prst="roundRect">
          <a:avLst>
            <a:gd name="adj" fmla="val 16667"/>
          </a:avLst>
        </a:prstGeom>
        <a:solidFill>
          <a:srgbClr val="FFFFFF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23</xdr:col>
      <xdr:colOff>485775</xdr:colOff>
      <xdr:row>7</xdr:row>
      <xdr:rowOff>85725</xdr:rowOff>
    </xdr:from>
    <xdr:to>
      <xdr:col>26</xdr:col>
      <xdr:colOff>0</xdr:colOff>
      <xdr:row>14</xdr:row>
      <xdr:rowOff>57150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A110322A-03CC-4469-A386-944FB5CA14E0}"/>
            </a:ext>
          </a:extLst>
        </xdr:cNvPr>
        <xdr:cNvSpPr txBox="1">
          <a:spLocks noChangeArrowheads="1"/>
        </xdr:cNvSpPr>
      </xdr:nvSpPr>
      <xdr:spPr bwMode="auto">
        <a:xfrm>
          <a:off x="18192750" y="1581150"/>
          <a:ext cx="2381251" cy="1304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Manually enter the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external project traffic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associated with your development. New trips and project traffic should be reported as peak hour two-way volumes.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Project Traffic = Total Trips Generated - Internal Capture</a:t>
          </a:r>
        </a:p>
      </xdr:txBody>
    </xdr:sp>
    <xdr:clientData/>
  </xdr:twoCellAnchor>
  <xdr:twoCellAnchor>
    <xdr:from>
      <xdr:col>23</xdr:col>
      <xdr:colOff>67235</xdr:colOff>
      <xdr:row>7</xdr:row>
      <xdr:rowOff>47625</xdr:rowOff>
    </xdr:from>
    <xdr:to>
      <xdr:col>23</xdr:col>
      <xdr:colOff>448235</xdr:colOff>
      <xdr:row>8</xdr:row>
      <xdr:rowOff>209550</xdr:rowOff>
    </xdr:to>
    <xdr:sp macro="" textlink="">
      <xdr:nvSpPr>
        <xdr:cNvPr id="17" name="Oval 3">
          <a:extLst>
            <a:ext uri="{FF2B5EF4-FFF2-40B4-BE49-F238E27FC236}">
              <a16:creationId xmlns:a16="http://schemas.microsoft.com/office/drawing/2014/main" id="{62512563-B08F-4252-ACB4-98BD022F2BF6}"/>
            </a:ext>
          </a:extLst>
        </xdr:cNvPr>
        <xdr:cNvSpPr>
          <a:spLocks noChangeArrowheads="1"/>
        </xdr:cNvSpPr>
      </xdr:nvSpPr>
      <xdr:spPr bwMode="auto">
        <a:xfrm>
          <a:off x="17774210" y="1543050"/>
          <a:ext cx="381000" cy="352425"/>
        </a:xfrm>
        <a:prstGeom prst="ellipse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34</xdr:col>
      <xdr:colOff>280148</xdr:colOff>
      <xdr:row>7</xdr:row>
      <xdr:rowOff>19050</xdr:rowOff>
    </xdr:from>
    <xdr:to>
      <xdr:col>35</xdr:col>
      <xdr:colOff>0</xdr:colOff>
      <xdr:row>8</xdr:row>
      <xdr:rowOff>180975</xdr:rowOff>
    </xdr:to>
    <xdr:sp macro="" textlink="">
      <xdr:nvSpPr>
        <xdr:cNvPr id="18" name="Oval 3">
          <a:extLst>
            <a:ext uri="{FF2B5EF4-FFF2-40B4-BE49-F238E27FC236}">
              <a16:creationId xmlns:a16="http://schemas.microsoft.com/office/drawing/2014/main" id="{7B43D712-7F86-4FA8-9210-C0D281E0D97A}"/>
            </a:ext>
          </a:extLst>
        </xdr:cNvPr>
        <xdr:cNvSpPr>
          <a:spLocks noChangeArrowheads="1"/>
        </xdr:cNvSpPr>
      </xdr:nvSpPr>
      <xdr:spPr bwMode="auto">
        <a:xfrm>
          <a:off x="21920948" y="1514475"/>
          <a:ext cx="338977" cy="352425"/>
        </a:xfrm>
        <a:prstGeom prst="ellipse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40</xdr:col>
      <xdr:colOff>114300</xdr:colOff>
      <xdr:row>14</xdr:row>
      <xdr:rowOff>38100</xdr:rowOff>
    </xdr:from>
    <xdr:to>
      <xdr:col>40</xdr:col>
      <xdr:colOff>523875</xdr:colOff>
      <xdr:row>15</xdr:row>
      <xdr:rowOff>180975</xdr:rowOff>
    </xdr:to>
    <xdr:sp macro="" textlink="">
      <xdr:nvSpPr>
        <xdr:cNvPr id="19" name="AutoShape 25">
          <a:extLst>
            <a:ext uri="{FF2B5EF4-FFF2-40B4-BE49-F238E27FC236}">
              <a16:creationId xmlns:a16="http://schemas.microsoft.com/office/drawing/2014/main" id="{55670A5E-15DD-4C25-90FA-A53CEB2CF4FF}"/>
            </a:ext>
          </a:extLst>
        </xdr:cNvPr>
        <xdr:cNvSpPr>
          <a:spLocks noChangeArrowheads="1"/>
        </xdr:cNvSpPr>
      </xdr:nvSpPr>
      <xdr:spPr bwMode="auto">
        <a:xfrm rot="5400000">
          <a:off x="23626763" y="2852737"/>
          <a:ext cx="304800" cy="409575"/>
        </a:xfrm>
        <a:prstGeom prst="rightArrow">
          <a:avLst>
            <a:gd name="adj1" fmla="val 50000"/>
            <a:gd name="adj2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276225</xdr:colOff>
      <xdr:row>9</xdr:row>
      <xdr:rowOff>38100</xdr:rowOff>
    </xdr:from>
    <xdr:to>
      <xdr:col>51</xdr:col>
      <xdr:colOff>314325</xdr:colOff>
      <xdr:row>14</xdr:row>
      <xdr:rowOff>114300</xdr:rowOff>
    </xdr:to>
    <xdr:sp macro="" textlink="">
      <xdr:nvSpPr>
        <xdr:cNvPr id="20" name="AutoShape 27">
          <a:extLst>
            <a:ext uri="{FF2B5EF4-FFF2-40B4-BE49-F238E27FC236}">
              <a16:creationId xmlns:a16="http://schemas.microsoft.com/office/drawing/2014/main" id="{5E209C93-C995-4A47-9713-3EF307F21B81}"/>
            </a:ext>
          </a:extLst>
        </xdr:cNvPr>
        <xdr:cNvSpPr>
          <a:spLocks noChangeArrowheads="1"/>
        </xdr:cNvSpPr>
      </xdr:nvSpPr>
      <xdr:spPr bwMode="auto">
        <a:xfrm>
          <a:off x="21917025" y="1981200"/>
          <a:ext cx="6686550" cy="1000125"/>
        </a:xfrm>
        <a:prstGeom prst="roundRect">
          <a:avLst>
            <a:gd name="adj" fmla="val 16667"/>
          </a:avLst>
        </a:prstGeom>
        <a:solidFill>
          <a:srgbClr val="FFFFFF"/>
        </a:solidFill>
        <a:ln w="158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/>
        <a:lstStyle/>
        <a:p>
          <a:pPr algn="l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If the LOS Method is Generalized Tables (Column Q) but the "Status" columns indicate "Study 2"  then an ARTPLAN analysis will need to be done at a minimum. </a:t>
          </a:r>
        </a:p>
        <a:p>
          <a:pPr algn="l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If the LOS Method is "Conceptual (ARTPLAN)" and "Status" columns indicate "Study 1" an (updated) ARTPLAN analysis will need to be done.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0.000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OK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0.000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OK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0.000</a:t>
          </a:r>
          <a:r>
            <a:rPr lang="en-US"/>
            <a:t> 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OK</a:t>
          </a:r>
          <a:r>
            <a:rPr lang="en-US"/>
            <a:t> 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mleyhorn-my.sharepoint.com/personal/marc_ispass_kimley-horn_com/Documents/Hernando-Citrus-MPO/Copy%20of%20GenCap-MI-221117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OT_GenCap2020_A"/>
      <sheetName val="RAW GenCap2020 Daily"/>
      <sheetName val="GENCAP2020"/>
      <sheetName val="2020 LOS"/>
      <sheetName val="2023 LOS"/>
      <sheetName val="2025 LOS"/>
      <sheetName val="Old_Hernando2021_26"/>
      <sheetName val="2012 GENCAP"/>
      <sheetName val="HERNANDO-GIS"/>
      <sheetName val="AADT-HERNANDO"/>
      <sheetName val="Sheet4"/>
      <sheetName val="County vs State CoSites"/>
      <sheetName val="Tier 1"/>
      <sheetName val="HERNANDO_PTMS_ONLY"/>
      <sheetName val="Hernando F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0">
          <cell r="V20" t="str">
            <v>C</v>
          </cell>
          <cell r="W20">
            <v>1490</v>
          </cell>
          <cell r="X20">
            <v>1490</v>
          </cell>
          <cell r="Y20">
            <v>4020</v>
          </cell>
        </row>
        <row r="21">
          <cell r="V21" t="str">
            <v>C</v>
          </cell>
          <cell r="W21">
            <v>820</v>
          </cell>
          <cell r="X21">
            <v>820</v>
          </cell>
          <cell r="Y21">
            <v>820</v>
          </cell>
        </row>
        <row r="22">
          <cell r="V22" t="str">
            <v>C</v>
          </cell>
          <cell r="W22">
            <v>1490</v>
          </cell>
          <cell r="X22">
            <v>1490</v>
          </cell>
          <cell r="Y22">
            <v>1490</v>
          </cell>
        </row>
        <row r="23">
          <cell r="V23" t="str">
            <v>C</v>
          </cell>
          <cell r="W23">
            <v>1510</v>
          </cell>
          <cell r="X23">
            <v>1510</v>
          </cell>
          <cell r="Y23">
            <v>1510</v>
          </cell>
        </row>
        <row r="24">
          <cell r="V24" t="str">
            <v>C</v>
          </cell>
          <cell r="W24">
            <v>3420</v>
          </cell>
          <cell r="X24">
            <v>3420</v>
          </cell>
          <cell r="Y24">
            <v>3420</v>
          </cell>
        </row>
        <row r="25">
          <cell r="V25" t="str">
            <v>C</v>
          </cell>
          <cell r="W25">
            <v>3420</v>
          </cell>
          <cell r="X25">
            <v>3420</v>
          </cell>
          <cell r="Y25">
            <v>3420</v>
          </cell>
        </row>
        <row r="26">
          <cell r="V26" t="str">
            <v>C</v>
          </cell>
          <cell r="W26">
            <v>3420</v>
          </cell>
          <cell r="X26">
            <v>3420</v>
          </cell>
          <cell r="Y26">
            <v>3420</v>
          </cell>
        </row>
        <row r="27">
          <cell r="V27" t="str">
            <v>C</v>
          </cell>
          <cell r="W27">
            <v>5250</v>
          </cell>
          <cell r="X27">
            <v>5250</v>
          </cell>
          <cell r="Y27">
            <v>5250</v>
          </cell>
        </row>
        <row r="28">
          <cell r="V28" t="str">
            <v>C</v>
          </cell>
          <cell r="W28">
            <v>5250</v>
          </cell>
          <cell r="X28">
            <v>5250</v>
          </cell>
          <cell r="Y28">
            <v>5250</v>
          </cell>
        </row>
        <row r="29">
          <cell r="V29" t="str">
            <v>C</v>
          </cell>
          <cell r="W29">
            <v>5250</v>
          </cell>
          <cell r="X29">
            <v>5250</v>
          </cell>
          <cell r="Y29">
            <v>5250</v>
          </cell>
        </row>
        <row r="30">
          <cell r="V30" t="str">
            <v>C</v>
          </cell>
          <cell r="W30">
            <v>5250</v>
          </cell>
          <cell r="X30">
            <v>5250</v>
          </cell>
          <cell r="Y30">
            <v>5250</v>
          </cell>
        </row>
        <row r="31">
          <cell r="V31" t="str">
            <v>C</v>
          </cell>
          <cell r="W31">
            <v>5250</v>
          </cell>
          <cell r="X31">
            <v>5250</v>
          </cell>
          <cell r="Y31">
            <v>5250</v>
          </cell>
        </row>
        <row r="32">
          <cell r="V32" t="str">
            <v>C</v>
          </cell>
          <cell r="W32">
            <v>2090</v>
          </cell>
          <cell r="X32">
            <v>2090</v>
          </cell>
          <cell r="Y32">
            <v>2090</v>
          </cell>
        </row>
        <row r="33">
          <cell r="V33" t="str">
            <v>C</v>
          </cell>
          <cell r="W33">
            <v>2090</v>
          </cell>
          <cell r="X33">
            <v>2090</v>
          </cell>
          <cell r="Y33">
            <v>2090</v>
          </cell>
        </row>
        <row r="34">
          <cell r="V34" t="str">
            <v>C</v>
          </cell>
          <cell r="W34">
            <v>2090</v>
          </cell>
          <cell r="X34">
            <v>2090</v>
          </cell>
          <cell r="Y34">
            <v>2090</v>
          </cell>
        </row>
        <row r="35">
          <cell r="V35" t="str">
            <v>C</v>
          </cell>
          <cell r="W35">
            <v>2090</v>
          </cell>
          <cell r="X35">
            <v>2090</v>
          </cell>
          <cell r="Y35">
            <v>2090</v>
          </cell>
        </row>
        <row r="36">
          <cell r="V36" t="str">
            <v>C</v>
          </cell>
          <cell r="W36">
            <v>2090</v>
          </cell>
          <cell r="X36">
            <v>2090</v>
          </cell>
          <cell r="Y36">
            <v>2090</v>
          </cell>
        </row>
        <row r="37">
          <cell r="V37" t="str">
            <v>C</v>
          </cell>
          <cell r="W37">
            <v>2090</v>
          </cell>
          <cell r="X37">
            <v>2090</v>
          </cell>
          <cell r="Y37">
            <v>2090</v>
          </cell>
        </row>
        <row r="38">
          <cell r="V38" t="str">
            <v>C</v>
          </cell>
          <cell r="W38">
            <v>2090</v>
          </cell>
          <cell r="X38">
            <v>2090</v>
          </cell>
          <cell r="Y38">
            <v>2090</v>
          </cell>
        </row>
        <row r="39">
          <cell r="V39" t="str">
            <v>C</v>
          </cell>
          <cell r="W39">
            <v>2090</v>
          </cell>
          <cell r="X39">
            <v>2090</v>
          </cell>
          <cell r="Y39">
            <v>2090</v>
          </cell>
        </row>
        <row r="40">
          <cell r="V40" t="str">
            <v>C</v>
          </cell>
          <cell r="W40">
            <v>786</v>
          </cell>
          <cell r="X40">
            <v>786</v>
          </cell>
          <cell r="Y40">
            <v>786</v>
          </cell>
        </row>
        <row r="41">
          <cell r="V41" t="str">
            <v>C</v>
          </cell>
          <cell r="W41">
            <v>786</v>
          </cell>
          <cell r="X41">
            <v>786</v>
          </cell>
          <cell r="Y41">
            <v>786</v>
          </cell>
        </row>
        <row r="42">
          <cell r="V42" t="str">
            <v>C</v>
          </cell>
          <cell r="W42">
            <v>1620</v>
          </cell>
          <cell r="X42">
            <v>1620</v>
          </cell>
          <cell r="Y42">
            <v>1620</v>
          </cell>
        </row>
        <row r="43">
          <cell r="V43" t="str">
            <v>C</v>
          </cell>
          <cell r="W43">
            <v>1620</v>
          </cell>
          <cell r="X43">
            <v>1620</v>
          </cell>
          <cell r="Y43">
            <v>1620</v>
          </cell>
        </row>
        <row r="44">
          <cell r="V44" t="str">
            <v>C</v>
          </cell>
          <cell r="W44">
            <v>1620</v>
          </cell>
          <cell r="X44">
            <v>1620</v>
          </cell>
          <cell r="Y44">
            <v>1620</v>
          </cell>
        </row>
        <row r="45">
          <cell r="V45" t="str">
            <v>C</v>
          </cell>
          <cell r="W45">
            <v>1620</v>
          </cell>
          <cell r="X45">
            <v>1620</v>
          </cell>
          <cell r="Y45">
            <v>1620</v>
          </cell>
        </row>
        <row r="46">
          <cell r="V46" t="str">
            <v>C</v>
          </cell>
          <cell r="W46">
            <v>1620</v>
          </cell>
          <cell r="X46">
            <v>1620</v>
          </cell>
          <cell r="Y46">
            <v>1620</v>
          </cell>
        </row>
        <row r="47">
          <cell r="V47" t="str">
            <v>C</v>
          </cell>
          <cell r="W47">
            <v>1620</v>
          </cell>
          <cell r="X47">
            <v>1620</v>
          </cell>
          <cell r="Y47">
            <v>1620</v>
          </cell>
        </row>
        <row r="48">
          <cell r="V48" t="str">
            <v>C</v>
          </cell>
          <cell r="W48">
            <v>1620</v>
          </cell>
          <cell r="X48">
            <v>1620</v>
          </cell>
          <cell r="Y48">
            <v>1620</v>
          </cell>
        </row>
        <row r="49">
          <cell r="V49" t="str">
            <v>C</v>
          </cell>
          <cell r="W49">
            <v>1560</v>
          </cell>
          <cell r="X49">
            <v>1560</v>
          </cell>
          <cell r="Y49">
            <v>1560</v>
          </cell>
        </row>
        <row r="50">
          <cell r="V50" t="str">
            <v>C</v>
          </cell>
          <cell r="W50">
            <v>1490</v>
          </cell>
          <cell r="X50">
            <v>1490</v>
          </cell>
          <cell r="Y50">
            <v>1490</v>
          </cell>
        </row>
        <row r="51">
          <cell r="V51" t="str">
            <v>C</v>
          </cell>
          <cell r="W51">
            <v>1490</v>
          </cell>
          <cell r="X51">
            <v>1490</v>
          </cell>
          <cell r="Y51">
            <v>1490</v>
          </cell>
        </row>
        <row r="52">
          <cell r="V52" t="str">
            <v>C</v>
          </cell>
          <cell r="W52">
            <v>5250</v>
          </cell>
          <cell r="X52">
            <v>5250</v>
          </cell>
          <cell r="Y52">
            <v>5250</v>
          </cell>
        </row>
        <row r="53">
          <cell r="V53" t="str">
            <v>C</v>
          </cell>
          <cell r="W53">
            <v>5250</v>
          </cell>
          <cell r="X53">
            <v>5250</v>
          </cell>
          <cell r="Y53">
            <v>5250</v>
          </cell>
        </row>
        <row r="54">
          <cell r="V54" t="str">
            <v>C</v>
          </cell>
          <cell r="W54">
            <v>5250</v>
          </cell>
          <cell r="X54">
            <v>5250</v>
          </cell>
          <cell r="Y54">
            <v>5250</v>
          </cell>
        </row>
        <row r="55">
          <cell r="V55" t="str">
            <v>C</v>
          </cell>
          <cell r="W55">
            <v>5250</v>
          </cell>
          <cell r="X55">
            <v>5250</v>
          </cell>
          <cell r="Y55">
            <v>5250</v>
          </cell>
        </row>
        <row r="56">
          <cell r="V56" t="str">
            <v>C</v>
          </cell>
          <cell r="W56">
            <v>5250</v>
          </cell>
          <cell r="X56">
            <v>5250</v>
          </cell>
          <cell r="Y56">
            <v>5250</v>
          </cell>
        </row>
        <row r="57">
          <cell r="V57" t="str">
            <v>C</v>
          </cell>
          <cell r="W57">
            <v>5250</v>
          </cell>
          <cell r="X57">
            <v>5250</v>
          </cell>
          <cell r="Y57">
            <v>5250</v>
          </cell>
        </row>
        <row r="58">
          <cell r="V58" t="str">
            <v>C</v>
          </cell>
          <cell r="W58">
            <v>5250</v>
          </cell>
          <cell r="X58">
            <v>5250</v>
          </cell>
          <cell r="Y58">
            <v>5250</v>
          </cell>
        </row>
        <row r="59">
          <cell r="V59" t="str">
            <v>C</v>
          </cell>
          <cell r="W59">
            <v>5250</v>
          </cell>
          <cell r="X59">
            <v>5250</v>
          </cell>
          <cell r="Y59">
            <v>5250</v>
          </cell>
        </row>
        <row r="60">
          <cell r="V60" t="str">
            <v>C</v>
          </cell>
          <cell r="W60">
            <v>5250</v>
          </cell>
          <cell r="X60">
            <v>5250</v>
          </cell>
          <cell r="Y60">
            <v>5250</v>
          </cell>
        </row>
        <row r="61">
          <cell r="V61" t="str">
            <v>C</v>
          </cell>
          <cell r="W61">
            <v>5250</v>
          </cell>
          <cell r="X61">
            <v>5250</v>
          </cell>
          <cell r="Y61">
            <v>5250</v>
          </cell>
        </row>
        <row r="62">
          <cell r="V62" t="str">
            <v>C</v>
          </cell>
          <cell r="W62">
            <v>5250</v>
          </cell>
          <cell r="X62">
            <v>5250</v>
          </cell>
          <cell r="Y62">
            <v>5250</v>
          </cell>
        </row>
        <row r="63">
          <cell r="V63" t="str">
            <v>C</v>
          </cell>
          <cell r="W63">
            <v>3420</v>
          </cell>
          <cell r="X63">
            <v>3420</v>
          </cell>
          <cell r="Y63">
            <v>3420</v>
          </cell>
        </row>
        <row r="64">
          <cell r="V64" t="str">
            <v>C</v>
          </cell>
          <cell r="W64">
            <v>3420</v>
          </cell>
          <cell r="X64">
            <v>3420</v>
          </cell>
          <cell r="Y64">
            <v>3420</v>
          </cell>
        </row>
        <row r="65">
          <cell r="V65" t="str">
            <v>C</v>
          </cell>
          <cell r="W65">
            <v>3420</v>
          </cell>
          <cell r="X65">
            <v>3420</v>
          </cell>
          <cell r="Y65">
            <v>3420</v>
          </cell>
        </row>
        <row r="66">
          <cell r="V66" t="str">
            <v>C</v>
          </cell>
          <cell r="W66">
            <v>3420</v>
          </cell>
          <cell r="X66">
            <v>3420</v>
          </cell>
          <cell r="Y66">
            <v>3420</v>
          </cell>
        </row>
        <row r="67">
          <cell r="V67" t="str">
            <v>C</v>
          </cell>
          <cell r="W67">
            <v>3420</v>
          </cell>
          <cell r="X67">
            <v>3420</v>
          </cell>
          <cell r="Y67">
            <v>3420</v>
          </cell>
        </row>
        <row r="68">
          <cell r="V68" t="str">
            <v>C</v>
          </cell>
          <cell r="W68">
            <v>3420</v>
          </cell>
          <cell r="X68">
            <v>3420</v>
          </cell>
          <cell r="Y68">
            <v>3420</v>
          </cell>
        </row>
        <row r="69">
          <cell r="V69" t="str">
            <v>C</v>
          </cell>
          <cell r="W69">
            <v>5250</v>
          </cell>
          <cell r="X69">
            <v>5250</v>
          </cell>
          <cell r="Y69">
            <v>5250</v>
          </cell>
        </row>
        <row r="70">
          <cell r="V70" t="str">
            <v>C</v>
          </cell>
          <cell r="W70">
            <v>5250</v>
          </cell>
          <cell r="X70">
            <v>5250</v>
          </cell>
          <cell r="Y70">
            <v>5250</v>
          </cell>
        </row>
        <row r="71">
          <cell r="V71" t="str">
            <v>C</v>
          </cell>
          <cell r="W71">
            <v>5250</v>
          </cell>
          <cell r="X71">
            <v>5250</v>
          </cell>
          <cell r="Y71">
            <v>5250</v>
          </cell>
        </row>
        <row r="72">
          <cell r="V72" t="str">
            <v>C</v>
          </cell>
          <cell r="W72">
            <v>5250</v>
          </cell>
          <cell r="X72">
            <v>5250</v>
          </cell>
          <cell r="Y72">
            <v>5250</v>
          </cell>
        </row>
        <row r="73">
          <cell r="V73" t="str">
            <v>C</v>
          </cell>
          <cell r="W73">
            <v>5250</v>
          </cell>
          <cell r="X73">
            <v>5250</v>
          </cell>
          <cell r="Y73">
            <v>5250</v>
          </cell>
        </row>
        <row r="74">
          <cell r="V74" t="str">
            <v>C</v>
          </cell>
          <cell r="W74">
            <v>5250</v>
          </cell>
          <cell r="X74">
            <v>5250</v>
          </cell>
          <cell r="Y74">
            <v>5250</v>
          </cell>
        </row>
        <row r="75">
          <cell r="V75" t="str">
            <v>C</v>
          </cell>
          <cell r="W75">
            <v>5250</v>
          </cell>
          <cell r="X75">
            <v>5250</v>
          </cell>
          <cell r="Y75">
            <v>5250</v>
          </cell>
        </row>
        <row r="76">
          <cell r="V76" t="str">
            <v>C</v>
          </cell>
          <cell r="W76">
            <v>5250</v>
          </cell>
          <cell r="X76">
            <v>5250</v>
          </cell>
          <cell r="Y76">
            <v>5250</v>
          </cell>
        </row>
        <row r="77">
          <cell r="V77" t="str">
            <v>C</v>
          </cell>
          <cell r="W77">
            <v>5250</v>
          </cell>
          <cell r="X77">
            <v>5250</v>
          </cell>
          <cell r="Y77">
            <v>5250</v>
          </cell>
        </row>
        <row r="78">
          <cell r="V78" t="str">
            <v>C</v>
          </cell>
          <cell r="W78">
            <v>5250</v>
          </cell>
          <cell r="X78">
            <v>5250</v>
          </cell>
          <cell r="Y78">
            <v>5250</v>
          </cell>
        </row>
        <row r="79">
          <cell r="V79" t="str">
            <v>C</v>
          </cell>
          <cell r="W79">
            <v>5250</v>
          </cell>
          <cell r="X79">
            <v>5250</v>
          </cell>
          <cell r="Y79">
            <v>5250</v>
          </cell>
        </row>
        <row r="80">
          <cell r="V80" t="str">
            <v>C</v>
          </cell>
          <cell r="W80">
            <v>4730</v>
          </cell>
          <cell r="X80">
            <v>4730</v>
          </cell>
          <cell r="Y80">
            <v>4730</v>
          </cell>
        </row>
        <row r="81">
          <cell r="V81" t="str">
            <v>C</v>
          </cell>
          <cell r="W81">
            <v>4730</v>
          </cell>
          <cell r="X81">
            <v>4730</v>
          </cell>
          <cell r="Y81">
            <v>4730</v>
          </cell>
        </row>
        <row r="82">
          <cell r="V82" t="str">
            <v>C</v>
          </cell>
          <cell r="W82">
            <v>4730</v>
          </cell>
          <cell r="X82">
            <v>4730</v>
          </cell>
          <cell r="Y82">
            <v>4730</v>
          </cell>
        </row>
        <row r="83">
          <cell r="V83" t="str">
            <v>C</v>
          </cell>
          <cell r="W83">
            <v>4730</v>
          </cell>
          <cell r="X83">
            <v>4730</v>
          </cell>
          <cell r="Y83">
            <v>4730</v>
          </cell>
        </row>
        <row r="84">
          <cell r="V84" t="str">
            <v>C</v>
          </cell>
          <cell r="W84">
            <v>4490</v>
          </cell>
          <cell r="X84">
            <v>4490</v>
          </cell>
          <cell r="Y84">
            <v>4490</v>
          </cell>
        </row>
        <row r="85">
          <cell r="V85" t="str">
            <v>C</v>
          </cell>
          <cell r="W85">
            <v>4490</v>
          </cell>
          <cell r="X85">
            <v>4490</v>
          </cell>
          <cell r="Y85">
            <v>4490</v>
          </cell>
        </row>
        <row r="86">
          <cell r="V86" t="str">
            <v>C</v>
          </cell>
          <cell r="W86">
            <v>4490</v>
          </cell>
          <cell r="X86">
            <v>4490</v>
          </cell>
          <cell r="Y86">
            <v>4490</v>
          </cell>
        </row>
        <row r="87">
          <cell r="V87" t="str">
            <v>C</v>
          </cell>
          <cell r="W87">
            <v>8490</v>
          </cell>
          <cell r="X87">
            <v>8490</v>
          </cell>
          <cell r="Y87">
            <v>8490</v>
          </cell>
        </row>
        <row r="88">
          <cell r="V88" t="str">
            <v>C</v>
          </cell>
          <cell r="W88">
            <v>8450</v>
          </cell>
          <cell r="X88">
            <v>8450</v>
          </cell>
          <cell r="Y88">
            <v>8450</v>
          </cell>
        </row>
        <row r="89">
          <cell r="V89" t="str">
            <v>C</v>
          </cell>
          <cell r="W89">
            <v>8450</v>
          </cell>
          <cell r="X89">
            <v>8450</v>
          </cell>
          <cell r="Y89">
            <v>8450</v>
          </cell>
        </row>
        <row r="90">
          <cell r="V90" t="str">
            <v>C</v>
          </cell>
          <cell r="W90">
            <v>8490</v>
          </cell>
          <cell r="X90">
            <v>8490</v>
          </cell>
          <cell r="Y90">
            <v>8490</v>
          </cell>
        </row>
        <row r="91">
          <cell r="V91" t="str">
            <v>C</v>
          </cell>
          <cell r="W91">
            <v>5640</v>
          </cell>
          <cell r="X91">
            <v>5640</v>
          </cell>
          <cell r="Y91">
            <v>5640</v>
          </cell>
        </row>
        <row r="92">
          <cell r="V92" t="str">
            <v>C</v>
          </cell>
          <cell r="W92">
            <v>5640</v>
          </cell>
          <cell r="X92">
            <v>5640</v>
          </cell>
          <cell r="Y92">
            <v>5640</v>
          </cell>
        </row>
        <row r="93">
          <cell r="V93" t="str">
            <v>C</v>
          </cell>
          <cell r="W93">
            <v>5640</v>
          </cell>
          <cell r="X93">
            <v>5640</v>
          </cell>
          <cell r="Y93">
            <v>5640</v>
          </cell>
        </row>
        <row r="94">
          <cell r="V94" t="str">
            <v>C</v>
          </cell>
          <cell r="W94">
            <v>5640</v>
          </cell>
          <cell r="X94">
            <v>5640</v>
          </cell>
          <cell r="Y94">
            <v>5640</v>
          </cell>
        </row>
        <row r="95">
          <cell r="V95" t="str">
            <v>C</v>
          </cell>
          <cell r="W95">
            <v>5780</v>
          </cell>
          <cell r="X95">
            <v>5780</v>
          </cell>
          <cell r="Y95">
            <v>5780</v>
          </cell>
        </row>
        <row r="96">
          <cell r="V96" t="str">
            <v>C</v>
          </cell>
          <cell r="W96">
            <v>660</v>
          </cell>
          <cell r="X96">
            <v>660</v>
          </cell>
          <cell r="Y96">
            <v>660</v>
          </cell>
        </row>
        <row r="97">
          <cell r="V97" t="str">
            <v>C</v>
          </cell>
          <cell r="W97">
            <v>693</v>
          </cell>
          <cell r="X97">
            <v>693</v>
          </cell>
          <cell r="Y97">
            <v>693</v>
          </cell>
        </row>
        <row r="98">
          <cell r="V98" t="str">
            <v>C</v>
          </cell>
          <cell r="W98">
            <v>693</v>
          </cell>
          <cell r="X98">
            <v>693</v>
          </cell>
          <cell r="Y98">
            <v>693</v>
          </cell>
        </row>
        <row r="99">
          <cell r="V99" t="str">
            <v>C</v>
          </cell>
          <cell r="W99">
            <v>1510</v>
          </cell>
          <cell r="X99">
            <v>1510</v>
          </cell>
          <cell r="Y99">
            <v>1510</v>
          </cell>
        </row>
        <row r="100">
          <cell r="V100" t="str">
            <v>C</v>
          </cell>
          <cell r="W100">
            <v>1560</v>
          </cell>
          <cell r="X100">
            <v>1560</v>
          </cell>
          <cell r="Y100">
            <v>1560</v>
          </cell>
        </row>
        <row r="101">
          <cell r="V101" t="str">
            <v>C</v>
          </cell>
          <cell r="W101">
            <v>1490</v>
          </cell>
          <cell r="X101">
            <v>1490</v>
          </cell>
          <cell r="Y101">
            <v>1490</v>
          </cell>
        </row>
        <row r="102">
          <cell r="V102" t="str">
            <v>C</v>
          </cell>
          <cell r="W102">
            <v>1490</v>
          </cell>
          <cell r="X102">
            <v>1490</v>
          </cell>
          <cell r="Y102">
            <v>1490</v>
          </cell>
        </row>
        <row r="103">
          <cell r="V103" t="str">
            <v>C</v>
          </cell>
          <cell r="W103">
            <v>4490</v>
          </cell>
          <cell r="X103">
            <v>4490</v>
          </cell>
          <cell r="Y103">
            <v>4490</v>
          </cell>
        </row>
        <row r="104">
          <cell r="V104" t="str">
            <v>C</v>
          </cell>
          <cell r="W104">
            <v>4490</v>
          </cell>
          <cell r="X104">
            <v>4490</v>
          </cell>
          <cell r="Y104">
            <v>4490</v>
          </cell>
        </row>
        <row r="105">
          <cell r="V105" t="str">
            <v>C</v>
          </cell>
          <cell r="W105">
            <v>4490</v>
          </cell>
          <cell r="X105">
            <v>4490</v>
          </cell>
          <cell r="Y105">
            <v>4490</v>
          </cell>
        </row>
        <row r="106">
          <cell r="V106" t="str">
            <v>C</v>
          </cell>
          <cell r="W106">
            <v>4490</v>
          </cell>
          <cell r="X106">
            <v>4490</v>
          </cell>
          <cell r="Y106">
            <v>4490</v>
          </cell>
        </row>
        <row r="107">
          <cell r="V107" t="str">
            <v>C</v>
          </cell>
          <cell r="W107">
            <v>660</v>
          </cell>
          <cell r="X107">
            <v>660</v>
          </cell>
          <cell r="Y107">
            <v>660</v>
          </cell>
        </row>
        <row r="108">
          <cell r="V108" t="str">
            <v>C</v>
          </cell>
          <cell r="W108">
            <v>1310</v>
          </cell>
          <cell r="X108">
            <v>1310</v>
          </cell>
          <cell r="Y108">
            <v>2090</v>
          </cell>
        </row>
        <row r="109">
          <cell r="V109" t="str">
            <v>C</v>
          </cell>
          <cell r="W109">
            <v>1310</v>
          </cell>
          <cell r="X109">
            <v>1310</v>
          </cell>
          <cell r="Y109">
            <v>2090</v>
          </cell>
        </row>
        <row r="110">
          <cell r="V110" t="str">
            <v>C</v>
          </cell>
          <cell r="W110">
            <v>1310</v>
          </cell>
          <cell r="X110">
            <v>1310</v>
          </cell>
          <cell r="Y110">
            <v>2090</v>
          </cell>
        </row>
        <row r="111">
          <cell r="V111" t="str">
            <v>C</v>
          </cell>
          <cell r="W111">
            <v>1310</v>
          </cell>
          <cell r="X111">
            <v>1310</v>
          </cell>
          <cell r="Y111">
            <v>2090</v>
          </cell>
        </row>
        <row r="112">
          <cell r="V112" t="str">
            <v>C</v>
          </cell>
          <cell r="W112">
            <v>1310</v>
          </cell>
          <cell r="X112">
            <v>1310</v>
          </cell>
          <cell r="Y112">
            <v>2090</v>
          </cell>
        </row>
        <row r="113">
          <cell r="V113" t="str">
            <v>C</v>
          </cell>
          <cell r="W113">
            <v>1490</v>
          </cell>
          <cell r="X113">
            <v>1490</v>
          </cell>
          <cell r="Y113">
            <v>1490</v>
          </cell>
        </row>
        <row r="114">
          <cell r="V114" t="str">
            <v>C</v>
          </cell>
          <cell r="W114">
            <v>0</v>
          </cell>
          <cell r="X114">
            <v>0</v>
          </cell>
          <cell r="Y114">
            <v>0</v>
          </cell>
        </row>
        <row r="115">
          <cell r="V115" t="str">
            <v>C</v>
          </cell>
          <cell r="W115">
            <v>0</v>
          </cell>
          <cell r="X115">
            <v>0</v>
          </cell>
          <cell r="Y115">
            <v>0</v>
          </cell>
        </row>
        <row r="116">
          <cell r="V116" t="str">
            <v>C</v>
          </cell>
          <cell r="W116">
            <v>0</v>
          </cell>
          <cell r="X116">
            <v>0</v>
          </cell>
          <cell r="Y116">
            <v>0</v>
          </cell>
        </row>
        <row r="117">
          <cell r="V117" t="str">
            <v>C</v>
          </cell>
          <cell r="W117">
            <v>0</v>
          </cell>
          <cell r="X117">
            <v>0</v>
          </cell>
          <cell r="Y117">
            <v>528</v>
          </cell>
        </row>
        <row r="118">
          <cell r="V118" t="str">
            <v>C</v>
          </cell>
          <cell r="W118">
            <v>660</v>
          </cell>
          <cell r="X118">
            <v>660</v>
          </cell>
          <cell r="Y118">
            <v>2090</v>
          </cell>
        </row>
        <row r="119">
          <cell r="V119" t="str">
            <v>C</v>
          </cell>
          <cell r="W119">
            <v>660</v>
          </cell>
          <cell r="X119">
            <v>660</v>
          </cell>
          <cell r="Y119">
            <v>2090</v>
          </cell>
        </row>
        <row r="120">
          <cell r="V120" t="str">
            <v>C</v>
          </cell>
          <cell r="W120">
            <v>660</v>
          </cell>
          <cell r="X120">
            <v>660</v>
          </cell>
          <cell r="Y120">
            <v>2090</v>
          </cell>
        </row>
        <row r="121">
          <cell r="V121" t="str">
            <v>C</v>
          </cell>
          <cell r="W121">
            <v>3420</v>
          </cell>
          <cell r="X121">
            <v>3420</v>
          </cell>
          <cell r="Y121">
            <v>3420</v>
          </cell>
        </row>
        <row r="122">
          <cell r="V122" t="str">
            <v>C</v>
          </cell>
          <cell r="W122">
            <v>3420</v>
          </cell>
          <cell r="X122">
            <v>3420</v>
          </cell>
          <cell r="Y122">
            <v>3420</v>
          </cell>
        </row>
        <row r="123">
          <cell r="V123" t="str">
            <v>C</v>
          </cell>
          <cell r="W123">
            <v>1220</v>
          </cell>
          <cell r="X123">
            <v>1220</v>
          </cell>
          <cell r="Y123">
            <v>1220</v>
          </cell>
        </row>
        <row r="124">
          <cell r="V124" t="str">
            <v>C</v>
          </cell>
          <cell r="W124">
            <v>4730</v>
          </cell>
          <cell r="X124">
            <v>4730</v>
          </cell>
          <cell r="Y124">
            <v>4730</v>
          </cell>
        </row>
        <row r="125">
          <cell r="V125" t="str">
            <v>C</v>
          </cell>
          <cell r="W125">
            <v>4730</v>
          </cell>
          <cell r="X125">
            <v>4730</v>
          </cell>
          <cell r="Y125">
            <v>7090</v>
          </cell>
        </row>
        <row r="126">
          <cell r="V126" t="str">
            <v>C</v>
          </cell>
          <cell r="W126">
            <v>5250</v>
          </cell>
          <cell r="X126">
            <v>5250</v>
          </cell>
          <cell r="Y126">
            <v>5250</v>
          </cell>
        </row>
        <row r="127">
          <cell r="V127" t="str">
            <v>C</v>
          </cell>
          <cell r="W127">
            <v>5250</v>
          </cell>
          <cell r="X127">
            <v>5250</v>
          </cell>
          <cell r="Y127">
            <v>5250</v>
          </cell>
        </row>
        <row r="128">
          <cell r="V128" t="str">
            <v>C</v>
          </cell>
          <cell r="W128">
            <v>5250</v>
          </cell>
          <cell r="X128">
            <v>5250</v>
          </cell>
          <cell r="Y128">
            <v>5250</v>
          </cell>
        </row>
        <row r="129">
          <cell r="V129" t="str">
            <v>C</v>
          </cell>
          <cell r="W129">
            <v>5250</v>
          </cell>
          <cell r="X129">
            <v>5250</v>
          </cell>
          <cell r="Y129">
            <v>5250</v>
          </cell>
        </row>
        <row r="130">
          <cell r="V130" t="str">
            <v>C</v>
          </cell>
          <cell r="W130">
            <v>5250</v>
          </cell>
          <cell r="X130">
            <v>5250</v>
          </cell>
          <cell r="Y130">
            <v>5250</v>
          </cell>
        </row>
        <row r="131">
          <cell r="V131" t="str">
            <v>C</v>
          </cell>
          <cell r="W131">
            <v>5250</v>
          </cell>
          <cell r="X131">
            <v>5250</v>
          </cell>
          <cell r="Y131">
            <v>5250</v>
          </cell>
        </row>
        <row r="132">
          <cell r="V132" t="str">
            <v>C</v>
          </cell>
          <cell r="W132">
            <v>3420</v>
          </cell>
          <cell r="X132">
            <v>3420</v>
          </cell>
          <cell r="Y132">
            <v>5250</v>
          </cell>
        </row>
        <row r="133">
          <cell r="V133" t="str">
            <v>C</v>
          </cell>
          <cell r="W133">
            <v>3420</v>
          </cell>
          <cell r="X133">
            <v>3420</v>
          </cell>
          <cell r="Y133">
            <v>5250</v>
          </cell>
        </row>
        <row r="134">
          <cell r="V134" t="str">
            <v>C</v>
          </cell>
          <cell r="W134">
            <v>3420</v>
          </cell>
          <cell r="X134">
            <v>3420</v>
          </cell>
          <cell r="Y134">
            <v>5250</v>
          </cell>
        </row>
        <row r="135">
          <cell r="V135" t="str">
            <v>C</v>
          </cell>
          <cell r="W135">
            <v>1220</v>
          </cell>
          <cell r="X135">
            <v>1220</v>
          </cell>
          <cell r="Y135">
            <v>0</v>
          </cell>
        </row>
        <row r="136">
          <cell r="V136" t="str">
            <v>C</v>
          </cell>
          <cell r="W136">
            <v>1490</v>
          </cell>
          <cell r="X136">
            <v>1490</v>
          </cell>
          <cell r="Y136">
            <v>1490</v>
          </cell>
        </row>
        <row r="137">
          <cell r="V137" t="str">
            <v>D</v>
          </cell>
          <cell r="W137">
            <v>1818</v>
          </cell>
          <cell r="X137">
            <v>1818</v>
          </cell>
          <cell r="Y137">
            <v>1818</v>
          </cell>
        </row>
        <row r="138">
          <cell r="V138" t="str">
            <v>D</v>
          </cell>
          <cell r="W138">
            <v>1197</v>
          </cell>
          <cell r="X138">
            <v>1197</v>
          </cell>
          <cell r="Y138">
            <v>1197</v>
          </cell>
        </row>
        <row r="139">
          <cell r="V139" t="str">
            <v>D</v>
          </cell>
          <cell r="W139">
            <v>1197</v>
          </cell>
          <cell r="X139">
            <v>1197</v>
          </cell>
          <cell r="Y139">
            <v>1197</v>
          </cell>
        </row>
        <row r="140">
          <cell r="V140" t="str">
            <v>D</v>
          </cell>
          <cell r="W140">
            <v>1197</v>
          </cell>
          <cell r="X140">
            <v>1197</v>
          </cell>
          <cell r="Y140">
            <v>1197</v>
          </cell>
        </row>
        <row r="141">
          <cell r="V141" t="str">
            <v>D</v>
          </cell>
          <cell r="W141">
            <v>1197</v>
          </cell>
          <cell r="X141">
            <v>1197</v>
          </cell>
          <cell r="Y141">
            <v>1197</v>
          </cell>
        </row>
        <row r="142">
          <cell r="V142" t="str">
            <v>D</v>
          </cell>
          <cell r="W142">
            <v>1899</v>
          </cell>
          <cell r="X142">
            <v>1899</v>
          </cell>
          <cell r="Y142">
            <v>1899</v>
          </cell>
        </row>
        <row r="143">
          <cell r="V143" t="str">
            <v>D</v>
          </cell>
          <cell r="W143">
            <v>1818</v>
          </cell>
          <cell r="X143">
            <v>1818</v>
          </cell>
          <cell r="Y143">
            <v>1818</v>
          </cell>
        </row>
        <row r="144">
          <cell r="V144" t="str">
            <v>D</v>
          </cell>
          <cell r="W144">
            <v>1962</v>
          </cell>
          <cell r="X144">
            <v>1962</v>
          </cell>
          <cell r="Y144">
            <v>1962</v>
          </cell>
        </row>
        <row r="145">
          <cell r="V145" t="str">
            <v>D</v>
          </cell>
          <cell r="W145">
            <v>1962</v>
          </cell>
          <cell r="X145">
            <v>1962</v>
          </cell>
          <cell r="Y145">
            <v>1962</v>
          </cell>
        </row>
        <row r="146">
          <cell r="V146" t="str">
            <v>D</v>
          </cell>
          <cell r="W146">
            <v>1818</v>
          </cell>
          <cell r="X146">
            <v>1818</v>
          </cell>
          <cell r="Y146">
            <v>1818</v>
          </cell>
        </row>
        <row r="147">
          <cell r="V147" t="str">
            <v>D</v>
          </cell>
          <cell r="W147">
            <v>1899</v>
          </cell>
          <cell r="X147">
            <v>1899</v>
          </cell>
          <cell r="Y147">
            <v>1899</v>
          </cell>
        </row>
        <row r="148">
          <cell r="V148" t="str">
            <v>D</v>
          </cell>
          <cell r="W148">
            <v>1818</v>
          </cell>
          <cell r="X148">
            <v>1818</v>
          </cell>
          <cell r="Y148">
            <v>1818</v>
          </cell>
        </row>
        <row r="149">
          <cell r="V149" t="str">
            <v>D</v>
          </cell>
          <cell r="W149">
            <v>1197</v>
          </cell>
          <cell r="X149">
            <v>1197</v>
          </cell>
          <cell r="Y149">
            <v>1197</v>
          </cell>
        </row>
        <row r="150">
          <cell r="V150" t="str">
            <v>D</v>
          </cell>
          <cell r="W150">
            <v>1197</v>
          </cell>
          <cell r="X150">
            <v>1197</v>
          </cell>
          <cell r="Y150">
            <v>4761</v>
          </cell>
        </row>
        <row r="151">
          <cell r="V151" t="str">
            <v>D</v>
          </cell>
          <cell r="W151">
            <v>1197</v>
          </cell>
          <cell r="X151">
            <v>1197</v>
          </cell>
          <cell r="Y151">
            <v>1197</v>
          </cell>
        </row>
        <row r="152">
          <cell r="V152" t="str">
            <v>D</v>
          </cell>
          <cell r="W152">
            <v>1197</v>
          </cell>
          <cell r="X152">
            <v>1197</v>
          </cell>
          <cell r="Y152">
            <v>1197</v>
          </cell>
        </row>
        <row r="153">
          <cell r="V153" t="str">
            <v>D</v>
          </cell>
          <cell r="W153">
            <v>1818</v>
          </cell>
          <cell r="X153">
            <v>1818</v>
          </cell>
          <cell r="Y153">
            <v>1818</v>
          </cell>
        </row>
        <row r="154">
          <cell r="V154" t="str">
            <v>D</v>
          </cell>
          <cell r="W154">
            <v>1197</v>
          </cell>
          <cell r="X154">
            <v>1197</v>
          </cell>
          <cell r="Y154">
            <v>1197</v>
          </cell>
        </row>
        <row r="155">
          <cell r="V155" t="str">
            <v>D</v>
          </cell>
          <cell r="W155">
            <v>1197</v>
          </cell>
          <cell r="X155">
            <v>1197</v>
          </cell>
          <cell r="Y155">
            <v>1197</v>
          </cell>
        </row>
        <row r="156">
          <cell r="V156" t="str">
            <v>D</v>
          </cell>
          <cell r="W156">
            <v>1962</v>
          </cell>
          <cell r="X156">
            <v>1962</v>
          </cell>
          <cell r="Y156">
            <v>1962</v>
          </cell>
        </row>
        <row r="157">
          <cell r="V157" t="str">
            <v>D</v>
          </cell>
          <cell r="W157">
            <v>1962</v>
          </cell>
          <cell r="X157">
            <v>1962</v>
          </cell>
          <cell r="Y157">
            <v>1962</v>
          </cell>
        </row>
        <row r="158">
          <cell r="V158" t="str">
            <v>D</v>
          </cell>
          <cell r="W158">
            <v>1962</v>
          </cell>
          <cell r="X158">
            <v>1962</v>
          </cell>
          <cell r="Y158">
            <v>1962</v>
          </cell>
        </row>
        <row r="159">
          <cell r="V159" t="str">
            <v>D</v>
          </cell>
          <cell r="W159">
            <v>1818</v>
          </cell>
          <cell r="X159">
            <v>1818</v>
          </cell>
          <cell r="Y159">
            <v>1818</v>
          </cell>
        </row>
        <row r="160">
          <cell r="V160" t="str">
            <v>D</v>
          </cell>
          <cell r="W160">
            <v>1818</v>
          </cell>
          <cell r="X160">
            <v>1818</v>
          </cell>
          <cell r="Y160">
            <v>1818</v>
          </cell>
        </row>
        <row r="161">
          <cell r="V161" t="str">
            <v>D</v>
          </cell>
          <cell r="W161">
            <v>1818</v>
          </cell>
          <cell r="X161">
            <v>1818</v>
          </cell>
          <cell r="Y161">
            <v>1818</v>
          </cell>
        </row>
        <row r="162">
          <cell r="V162" t="str">
            <v>D</v>
          </cell>
          <cell r="W162">
            <v>1197</v>
          </cell>
          <cell r="X162">
            <v>1197</v>
          </cell>
          <cell r="Y162">
            <v>1197</v>
          </cell>
        </row>
        <row r="163">
          <cell r="V163" t="str">
            <v>D</v>
          </cell>
          <cell r="W163">
            <v>1899</v>
          </cell>
          <cell r="X163">
            <v>1899</v>
          </cell>
          <cell r="Y163">
            <v>1899</v>
          </cell>
        </row>
        <row r="164">
          <cell r="V164" t="str">
            <v>D</v>
          </cell>
          <cell r="W164">
            <v>1899</v>
          </cell>
          <cell r="X164">
            <v>1899</v>
          </cell>
          <cell r="Y164">
            <v>1899</v>
          </cell>
        </row>
        <row r="165">
          <cell r="V165" t="str">
            <v>D</v>
          </cell>
          <cell r="W165">
            <v>1899</v>
          </cell>
          <cell r="X165">
            <v>1899</v>
          </cell>
          <cell r="Y165">
            <v>1899</v>
          </cell>
        </row>
        <row r="166">
          <cell r="V166" t="str">
            <v>D</v>
          </cell>
          <cell r="W166">
            <v>1899</v>
          </cell>
          <cell r="X166">
            <v>1899</v>
          </cell>
          <cell r="Y166">
            <v>1899</v>
          </cell>
        </row>
        <row r="167">
          <cell r="V167" t="str">
            <v>D</v>
          </cell>
          <cell r="W167">
            <v>1962</v>
          </cell>
          <cell r="X167">
            <v>1962</v>
          </cell>
          <cell r="Y167">
            <v>1962</v>
          </cell>
        </row>
        <row r="168">
          <cell r="V168" t="str">
            <v>D</v>
          </cell>
          <cell r="W168">
            <v>1962</v>
          </cell>
          <cell r="X168">
            <v>1962</v>
          </cell>
          <cell r="Y168">
            <v>1962</v>
          </cell>
        </row>
        <row r="169">
          <cell r="V169" t="str">
            <v>D</v>
          </cell>
          <cell r="W169">
            <v>958</v>
          </cell>
          <cell r="X169">
            <v>958</v>
          </cell>
          <cell r="Y169">
            <v>958</v>
          </cell>
        </row>
        <row r="170">
          <cell r="V170" t="str">
            <v>D</v>
          </cell>
          <cell r="W170">
            <v>1818</v>
          </cell>
          <cell r="X170">
            <v>1818</v>
          </cell>
          <cell r="Y170">
            <v>1818</v>
          </cell>
        </row>
        <row r="171">
          <cell r="V171" t="str">
            <v>D</v>
          </cell>
          <cell r="W171">
            <v>1818</v>
          </cell>
          <cell r="X171">
            <v>1818</v>
          </cell>
          <cell r="Y171">
            <v>1818</v>
          </cell>
        </row>
        <row r="172">
          <cell r="V172" t="str">
            <v>D</v>
          </cell>
          <cell r="W172">
            <v>1818</v>
          </cell>
          <cell r="X172">
            <v>1818</v>
          </cell>
          <cell r="Y172">
            <v>1818</v>
          </cell>
        </row>
        <row r="173">
          <cell r="V173" t="str">
            <v>D</v>
          </cell>
          <cell r="W173">
            <v>1818</v>
          </cell>
          <cell r="X173">
            <v>1818</v>
          </cell>
          <cell r="Y173">
            <v>1818</v>
          </cell>
        </row>
        <row r="174">
          <cell r="V174" t="str">
            <v>D</v>
          </cell>
          <cell r="W174">
            <v>0</v>
          </cell>
          <cell r="X174">
            <v>0</v>
          </cell>
          <cell r="Y174">
            <v>0</v>
          </cell>
        </row>
        <row r="175">
          <cell r="V175" t="str">
            <v>D</v>
          </cell>
          <cell r="W175">
            <v>0</v>
          </cell>
          <cell r="X175">
            <v>0</v>
          </cell>
          <cell r="Y175">
            <v>0</v>
          </cell>
        </row>
        <row r="176">
          <cell r="V176" t="str">
            <v>D</v>
          </cell>
          <cell r="W176">
            <v>1962</v>
          </cell>
          <cell r="X176">
            <v>1962</v>
          </cell>
          <cell r="Y176">
            <v>1962</v>
          </cell>
        </row>
        <row r="177">
          <cell r="V177" t="str">
            <v>D</v>
          </cell>
          <cell r="W177">
            <v>1962</v>
          </cell>
          <cell r="X177">
            <v>1962</v>
          </cell>
          <cell r="Y177">
            <v>1962</v>
          </cell>
        </row>
        <row r="178">
          <cell r="V178" t="str">
            <v>D</v>
          </cell>
          <cell r="W178">
            <v>1899</v>
          </cell>
          <cell r="X178">
            <v>1899</v>
          </cell>
          <cell r="Y178">
            <v>1899</v>
          </cell>
        </row>
        <row r="179">
          <cell r="V179" t="str">
            <v>D</v>
          </cell>
          <cell r="W179">
            <v>1818</v>
          </cell>
          <cell r="X179">
            <v>1818</v>
          </cell>
          <cell r="Y179">
            <v>1818</v>
          </cell>
        </row>
        <row r="180">
          <cell r="V180" t="str">
            <v>D</v>
          </cell>
          <cell r="W180">
            <v>1818</v>
          </cell>
          <cell r="X180">
            <v>1818</v>
          </cell>
          <cell r="Y180">
            <v>1818</v>
          </cell>
        </row>
        <row r="181">
          <cell r="V181" t="str">
            <v>D</v>
          </cell>
          <cell r="W181">
            <v>1197</v>
          </cell>
          <cell r="X181">
            <v>1197</v>
          </cell>
          <cell r="Y181">
            <v>1197</v>
          </cell>
        </row>
        <row r="182">
          <cell r="V182" t="str">
            <v>D</v>
          </cell>
          <cell r="W182">
            <v>2331</v>
          </cell>
          <cell r="X182">
            <v>2331</v>
          </cell>
          <cell r="Y182">
            <v>2331</v>
          </cell>
        </row>
        <row r="183">
          <cell r="V183" t="str">
            <v>D</v>
          </cell>
          <cell r="W183">
            <v>5103</v>
          </cell>
          <cell r="X183">
            <v>5103</v>
          </cell>
          <cell r="Y183">
            <v>5103</v>
          </cell>
        </row>
        <row r="184">
          <cell r="V184" t="str">
            <v>D</v>
          </cell>
          <cell r="W184">
            <v>1899</v>
          </cell>
          <cell r="X184">
            <v>1899</v>
          </cell>
          <cell r="Y184">
            <v>1899</v>
          </cell>
        </row>
        <row r="185">
          <cell r="V185" t="str">
            <v>D</v>
          </cell>
          <cell r="W185">
            <v>1818</v>
          </cell>
          <cell r="X185">
            <v>1818</v>
          </cell>
          <cell r="Y185">
            <v>4617</v>
          </cell>
        </row>
        <row r="186">
          <cell r="V186" t="str">
            <v>D</v>
          </cell>
          <cell r="W186">
            <v>1962</v>
          </cell>
          <cell r="X186">
            <v>1962</v>
          </cell>
          <cell r="Y186">
            <v>1962</v>
          </cell>
        </row>
        <row r="187">
          <cell r="V187" t="str">
            <v>D</v>
          </cell>
          <cell r="W187">
            <v>1818</v>
          </cell>
          <cell r="X187">
            <v>1818</v>
          </cell>
          <cell r="Y187">
            <v>1818</v>
          </cell>
        </row>
        <row r="188">
          <cell r="V188" t="str">
            <v>D</v>
          </cell>
          <cell r="W188">
            <v>1818</v>
          </cell>
          <cell r="X188">
            <v>1818</v>
          </cell>
          <cell r="Y188">
            <v>1818</v>
          </cell>
        </row>
        <row r="189">
          <cell r="V189" t="str">
            <v>D</v>
          </cell>
          <cell r="W189">
            <v>1899</v>
          </cell>
          <cell r="X189">
            <v>1899</v>
          </cell>
          <cell r="Y189">
            <v>1899</v>
          </cell>
        </row>
        <row r="190">
          <cell r="V190" t="str">
            <v>D</v>
          </cell>
          <cell r="W190">
            <v>1962</v>
          </cell>
          <cell r="X190">
            <v>1962</v>
          </cell>
          <cell r="Y190">
            <v>0</v>
          </cell>
        </row>
        <row r="191">
          <cell r="V191" t="str">
            <v>D</v>
          </cell>
          <cell r="W191">
            <v>1962</v>
          </cell>
          <cell r="X191">
            <v>1962</v>
          </cell>
          <cell r="Y191">
            <v>1962</v>
          </cell>
        </row>
        <row r="192">
          <cell r="V192" t="str">
            <v>D</v>
          </cell>
          <cell r="W192">
            <v>1962</v>
          </cell>
          <cell r="X192">
            <v>1962</v>
          </cell>
          <cell r="Y192">
            <v>1962</v>
          </cell>
        </row>
        <row r="193">
          <cell r="V193" t="str">
            <v>D</v>
          </cell>
          <cell r="W193">
            <v>1962</v>
          </cell>
          <cell r="X193">
            <v>1962</v>
          </cell>
          <cell r="Y193">
            <v>0</v>
          </cell>
        </row>
        <row r="194">
          <cell r="V194" t="str">
            <v>D</v>
          </cell>
          <cell r="W194">
            <v>1197</v>
          </cell>
          <cell r="X194">
            <v>1197</v>
          </cell>
          <cell r="Y194">
            <v>2628</v>
          </cell>
        </row>
        <row r="195">
          <cell r="V195" t="str">
            <v>D</v>
          </cell>
          <cell r="W195">
            <v>1197</v>
          </cell>
          <cell r="X195">
            <v>1197</v>
          </cell>
          <cell r="Y195">
            <v>1197</v>
          </cell>
        </row>
        <row r="196">
          <cell r="V196" t="str">
            <v>D</v>
          </cell>
          <cell r="W196">
            <v>2628</v>
          </cell>
          <cell r="X196">
            <v>2628</v>
          </cell>
          <cell r="Y196">
            <v>2628</v>
          </cell>
        </row>
        <row r="197">
          <cell r="V197" t="str">
            <v>D</v>
          </cell>
          <cell r="W197">
            <v>2628</v>
          </cell>
          <cell r="X197">
            <v>2628</v>
          </cell>
          <cell r="Y197">
            <v>2628</v>
          </cell>
        </row>
        <row r="198">
          <cell r="V198" t="str">
            <v>D</v>
          </cell>
          <cell r="W198">
            <v>2628</v>
          </cell>
          <cell r="X198">
            <v>2628</v>
          </cell>
          <cell r="Y198">
            <v>2628</v>
          </cell>
        </row>
        <row r="199">
          <cell r="V199" t="str">
            <v>D</v>
          </cell>
          <cell r="W199">
            <v>2628</v>
          </cell>
          <cell r="X199">
            <v>2628</v>
          </cell>
          <cell r="Y199">
            <v>2628</v>
          </cell>
        </row>
        <row r="200">
          <cell r="V200" t="str">
            <v>D</v>
          </cell>
          <cell r="W200">
            <v>2628</v>
          </cell>
          <cell r="X200">
            <v>2628</v>
          </cell>
          <cell r="Y200">
            <v>2628</v>
          </cell>
        </row>
        <row r="201">
          <cell r="V201" t="str">
            <v>D</v>
          </cell>
          <cell r="W201">
            <v>2628</v>
          </cell>
          <cell r="X201">
            <v>2628</v>
          </cell>
          <cell r="Y201">
            <v>2628</v>
          </cell>
        </row>
        <row r="202">
          <cell r="V202" t="str">
            <v>D</v>
          </cell>
          <cell r="W202">
            <v>1197</v>
          </cell>
          <cell r="X202">
            <v>1197</v>
          </cell>
          <cell r="Y202">
            <v>1197</v>
          </cell>
        </row>
        <row r="203">
          <cell r="V203" t="str">
            <v>D</v>
          </cell>
          <cell r="W203">
            <v>1197</v>
          </cell>
          <cell r="X203">
            <v>1197</v>
          </cell>
          <cell r="Y203">
            <v>1197</v>
          </cell>
        </row>
        <row r="204">
          <cell r="V204" t="str">
            <v>D</v>
          </cell>
          <cell r="W204">
            <v>1899</v>
          </cell>
          <cell r="X204">
            <v>1899</v>
          </cell>
          <cell r="Y204">
            <v>1899</v>
          </cell>
        </row>
        <row r="205">
          <cell r="V205" t="str">
            <v>D</v>
          </cell>
          <cell r="W205">
            <v>1818</v>
          </cell>
          <cell r="X205">
            <v>1818</v>
          </cell>
          <cell r="Y205">
            <v>1818</v>
          </cell>
        </row>
        <row r="206">
          <cell r="V206" t="str">
            <v>D</v>
          </cell>
          <cell r="W206">
            <v>1818</v>
          </cell>
          <cell r="X206">
            <v>1818</v>
          </cell>
          <cell r="Y206">
            <v>1818</v>
          </cell>
        </row>
        <row r="207">
          <cell r="V207" t="str">
            <v>D</v>
          </cell>
          <cell r="W207">
            <v>1818</v>
          </cell>
          <cell r="X207">
            <v>1818</v>
          </cell>
          <cell r="Y207">
            <v>1818</v>
          </cell>
        </row>
        <row r="208">
          <cell r="V208" t="str">
            <v>D</v>
          </cell>
          <cell r="W208">
            <v>1818</v>
          </cell>
          <cell r="X208">
            <v>1818</v>
          </cell>
          <cell r="Y208">
            <v>1818</v>
          </cell>
        </row>
        <row r="209">
          <cell r="V209" t="str">
            <v>D</v>
          </cell>
          <cell r="W209">
            <v>2628</v>
          </cell>
          <cell r="X209">
            <v>2628</v>
          </cell>
          <cell r="Y209">
            <v>2628</v>
          </cell>
        </row>
        <row r="210">
          <cell r="V210" t="str">
            <v>D</v>
          </cell>
          <cell r="W210">
            <v>2628</v>
          </cell>
          <cell r="X210">
            <v>2628</v>
          </cell>
          <cell r="Y210">
            <v>2628</v>
          </cell>
        </row>
        <row r="211">
          <cell r="V211" t="str">
            <v>D</v>
          </cell>
          <cell r="W211">
            <v>2628</v>
          </cell>
          <cell r="X211">
            <v>2628</v>
          </cell>
          <cell r="Y211">
            <v>2628</v>
          </cell>
        </row>
        <row r="212">
          <cell r="V212" t="str">
            <v>D</v>
          </cell>
          <cell r="W212">
            <v>2628</v>
          </cell>
          <cell r="X212">
            <v>2628</v>
          </cell>
          <cell r="Y212">
            <v>2628</v>
          </cell>
        </row>
        <row r="213">
          <cell r="V213" t="str">
            <v>D</v>
          </cell>
          <cell r="W213">
            <v>2628</v>
          </cell>
          <cell r="X213">
            <v>2628</v>
          </cell>
          <cell r="Y213">
            <v>2628</v>
          </cell>
        </row>
        <row r="214">
          <cell r="V214" t="str">
            <v>D</v>
          </cell>
          <cell r="W214">
            <v>2628</v>
          </cell>
          <cell r="X214">
            <v>2628</v>
          </cell>
          <cell r="Y214">
            <v>2628</v>
          </cell>
        </row>
        <row r="215">
          <cell r="V215" t="str">
            <v>D</v>
          </cell>
          <cell r="W215">
            <v>2628</v>
          </cell>
          <cell r="X215">
            <v>2628</v>
          </cell>
          <cell r="Y215">
            <v>2628</v>
          </cell>
        </row>
        <row r="216">
          <cell r="V216" t="str">
            <v>D</v>
          </cell>
          <cell r="W216">
            <v>2628</v>
          </cell>
          <cell r="X216">
            <v>2628</v>
          </cell>
          <cell r="Y216">
            <v>2628</v>
          </cell>
        </row>
        <row r="217">
          <cell r="V217" t="str">
            <v>D</v>
          </cell>
          <cell r="W217">
            <v>2628</v>
          </cell>
          <cell r="X217">
            <v>2628</v>
          </cell>
          <cell r="Y217">
            <v>2628</v>
          </cell>
        </row>
        <row r="218">
          <cell r="V218" t="str">
            <v>D</v>
          </cell>
          <cell r="W218">
            <v>2628</v>
          </cell>
          <cell r="X218">
            <v>2628</v>
          </cell>
          <cell r="Y218">
            <v>2628</v>
          </cell>
        </row>
        <row r="219">
          <cell r="V219" t="str">
            <v>D</v>
          </cell>
          <cell r="W219">
            <v>2628</v>
          </cell>
          <cell r="X219">
            <v>2628</v>
          </cell>
          <cell r="Y219">
            <v>2628</v>
          </cell>
        </row>
        <row r="220">
          <cell r="V220" t="str">
            <v>D</v>
          </cell>
          <cell r="W220">
            <v>2628</v>
          </cell>
          <cell r="X220">
            <v>2628</v>
          </cell>
          <cell r="Y220">
            <v>2628</v>
          </cell>
        </row>
        <row r="221">
          <cell r="V221" t="str">
            <v>D</v>
          </cell>
          <cell r="W221">
            <v>2628</v>
          </cell>
          <cell r="X221">
            <v>2628</v>
          </cell>
          <cell r="Y221">
            <v>2628</v>
          </cell>
        </row>
        <row r="222">
          <cell r="V222" t="str">
            <v>D</v>
          </cell>
          <cell r="W222">
            <v>2331</v>
          </cell>
          <cell r="X222">
            <v>2331</v>
          </cell>
          <cell r="Y222">
            <v>2331</v>
          </cell>
        </row>
        <row r="223">
          <cell r="V223" t="str">
            <v>D</v>
          </cell>
          <cell r="W223">
            <v>2628</v>
          </cell>
          <cell r="X223">
            <v>2628</v>
          </cell>
          <cell r="Y223">
            <v>2628</v>
          </cell>
        </row>
        <row r="224">
          <cell r="V224" t="str">
            <v>D</v>
          </cell>
          <cell r="W224">
            <v>2628</v>
          </cell>
          <cell r="X224">
            <v>2628</v>
          </cell>
          <cell r="Y224">
            <v>2628</v>
          </cell>
        </row>
        <row r="225">
          <cell r="V225" t="str">
            <v>D</v>
          </cell>
          <cell r="W225">
            <v>2628</v>
          </cell>
          <cell r="X225">
            <v>2628</v>
          </cell>
          <cell r="Y225">
            <v>2628</v>
          </cell>
        </row>
        <row r="226">
          <cell r="V226" t="str">
            <v>D</v>
          </cell>
          <cell r="W226">
            <v>1197</v>
          </cell>
          <cell r="X226">
            <v>1197</v>
          </cell>
          <cell r="Y226">
            <v>1197</v>
          </cell>
        </row>
        <row r="227">
          <cell r="V227" t="str">
            <v>D</v>
          </cell>
          <cell r="W227">
            <v>1818</v>
          </cell>
          <cell r="X227">
            <v>1818</v>
          </cell>
          <cell r="Y227">
            <v>1818</v>
          </cell>
        </row>
        <row r="228">
          <cell r="V228" t="str">
            <v>D</v>
          </cell>
          <cell r="W228">
            <v>1818</v>
          </cell>
          <cell r="X228">
            <v>1818</v>
          </cell>
          <cell r="Y228">
            <v>1818</v>
          </cell>
        </row>
        <row r="229">
          <cell r="V229" t="str">
            <v>D</v>
          </cell>
          <cell r="W229">
            <v>1818</v>
          </cell>
          <cell r="X229">
            <v>1818</v>
          </cell>
          <cell r="Y229">
            <v>1818</v>
          </cell>
        </row>
        <row r="230">
          <cell r="V230" t="str">
            <v>D</v>
          </cell>
          <cell r="W230">
            <v>1818</v>
          </cell>
          <cell r="X230">
            <v>1818</v>
          </cell>
          <cell r="Y230">
            <v>1818</v>
          </cell>
        </row>
        <row r="231">
          <cell r="V231" t="str">
            <v>D</v>
          </cell>
          <cell r="W231">
            <v>2628</v>
          </cell>
          <cell r="X231">
            <v>2628</v>
          </cell>
          <cell r="Y231">
            <v>2628</v>
          </cell>
        </row>
        <row r="232">
          <cell r="V232" t="str">
            <v>D</v>
          </cell>
          <cell r="W232">
            <v>3222</v>
          </cell>
          <cell r="X232">
            <v>3222</v>
          </cell>
          <cell r="Y232">
            <v>3222</v>
          </cell>
        </row>
        <row r="233">
          <cell r="V233" t="str">
            <v>D</v>
          </cell>
          <cell r="W233">
            <v>3222</v>
          </cell>
          <cell r="X233">
            <v>3222</v>
          </cell>
          <cell r="Y233">
            <v>3222</v>
          </cell>
        </row>
        <row r="234">
          <cell r="V234" t="str">
            <v>D</v>
          </cell>
          <cell r="W234">
            <v>1440</v>
          </cell>
          <cell r="X234">
            <v>1440</v>
          </cell>
          <cell r="Y234">
            <v>1440</v>
          </cell>
        </row>
        <row r="235">
          <cell r="V235" t="str">
            <v>D</v>
          </cell>
          <cell r="W235">
            <v>1152</v>
          </cell>
          <cell r="X235">
            <v>1152</v>
          </cell>
          <cell r="Y235">
            <v>1152</v>
          </cell>
        </row>
        <row r="236">
          <cell r="V236" t="str">
            <v>D</v>
          </cell>
          <cell r="W236">
            <v>1152</v>
          </cell>
          <cell r="X236">
            <v>1152</v>
          </cell>
          <cell r="Y236">
            <v>1152</v>
          </cell>
        </row>
        <row r="237">
          <cell r="V237" t="str">
            <v>D</v>
          </cell>
          <cell r="W237">
            <v>3222</v>
          </cell>
          <cell r="X237">
            <v>3222</v>
          </cell>
          <cell r="Y237">
            <v>1440</v>
          </cell>
        </row>
        <row r="238">
          <cell r="V238" t="str">
            <v>D</v>
          </cell>
          <cell r="W238">
            <v>3222</v>
          </cell>
          <cell r="X238">
            <v>3222</v>
          </cell>
          <cell r="Y238">
            <v>1440</v>
          </cell>
        </row>
        <row r="239">
          <cell r="V239" t="str">
            <v>D</v>
          </cell>
          <cell r="W239">
            <v>1152</v>
          </cell>
          <cell r="X239">
            <v>1152</v>
          </cell>
          <cell r="Y239">
            <v>1152</v>
          </cell>
        </row>
        <row r="240">
          <cell r="V240" t="str">
            <v>D</v>
          </cell>
          <cell r="W240">
            <v>1152</v>
          </cell>
          <cell r="X240">
            <v>1152</v>
          </cell>
          <cell r="Y240">
            <v>1152</v>
          </cell>
        </row>
        <row r="241">
          <cell r="V241" t="str">
            <v>D</v>
          </cell>
          <cell r="W241">
            <v>1152</v>
          </cell>
          <cell r="X241">
            <v>1152</v>
          </cell>
          <cell r="Y241">
            <v>1152</v>
          </cell>
        </row>
        <row r="242">
          <cell r="V242" t="str">
            <v>D</v>
          </cell>
          <cell r="W242">
            <v>3222</v>
          </cell>
          <cell r="X242">
            <v>3222</v>
          </cell>
          <cell r="Y242">
            <v>3222</v>
          </cell>
        </row>
        <row r="243">
          <cell r="V243" t="str">
            <v>D</v>
          </cell>
          <cell r="W243">
            <v>3222</v>
          </cell>
          <cell r="X243">
            <v>3222</v>
          </cell>
          <cell r="Y243">
            <v>3222</v>
          </cell>
        </row>
        <row r="244">
          <cell r="V244" t="str">
            <v>D</v>
          </cell>
          <cell r="W244">
            <v>3222</v>
          </cell>
          <cell r="X244">
            <v>3222</v>
          </cell>
          <cell r="Y244">
            <v>3222</v>
          </cell>
        </row>
        <row r="245">
          <cell r="V245" t="str">
            <v>D</v>
          </cell>
          <cell r="W245">
            <v>3222</v>
          </cell>
          <cell r="X245">
            <v>3222</v>
          </cell>
          <cell r="Y245">
            <v>3222</v>
          </cell>
        </row>
        <row r="246">
          <cell r="V246" t="str">
            <v>D</v>
          </cell>
          <cell r="W246">
            <v>1197</v>
          </cell>
          <cell r="X246">
            <v>1197</v>
          </cell>
          <cell r="Y246">
            <v>1197</v>
          </cell>
        </row>
        <row r="247">
          <cell r="V247" t="str">
            <v>D</v>
          </cell>
          <cell r="W247">
            <v>1818</v>
          </cell>
          <cell r="X247">
            <v>1818</v>
          </cell>
          <cell r="Y247">
            <v>1818</v>
          </cell>
        </row>
        <row r="248">
          <cell r="V248" t="str">
            <v>D</v>
          </cell>
          <cell r="W248">
            <v>1818</v>
          </cell>
          <cell r="X248">
            <v>1818</v>
          </cell>
          <cell r="Y248">
            <v>1818</v>
          </cell>
        </row>
        <row r="249">
          <cell r="V249" t="str">
            <v>D</v>
          </cell>
          <cell r="W249">
            <v>1899</v>
          </cell>
          <cell r="X249">
            <v>1899</v>
          </cell>
          <cell r="Y249">
            <v>1899</v>
          </cell>
        </row>
        <row r="250">
          <cell r="V250" t="str">
            <v>D</v>
          </cell>
          <cell r="W250">
            <v>1962</v>
          </cell>
          <cell r="X250">
            <v>1962</v>
          </cell>
          <cell r="Y250">
            <v>1962</v>
          </cell>
        </row>
        <row r="251">
          <cell r="V251" t="str">
            <v>D</v>
          </cell>
          <cell r="W251">
            <v>1962</v>
          </cell>
          <cell r="X251">
            <v>1962</v>
          </cell>
          <cell r="Y251">
            <v>1962</v>
          </cell>
        </row>
        <row r="252">
          <cell r="V252" t="str">
            <v>D</v>
          </cell>
          <cell r="W252">
            <v>1818</v>
          </cell>
          <cell r="X252">
            <v>1818</v>
          </cell>
          <cell r="Y252">
            <v>1818</v>
          </cell>
        </row>
        <row r="253">
          <cell r="V253" t="str">
            <v>D</v>
          </cell>
          <cell r="W253">
            <v>1818</v>
          </cell>
          <cell r="X253">
            <v>1818</v>
          </cell>
          <cell r="Y253">
            <v>1818</v>
          </cell>
        </row>
        <row r="254">
          <cell r="V254" t="str">
            <v>D</v>
          </cell>
          <cell r="W254">
            <v>1197</v>
          </cell>
          <cell r="X254">
            <v>1197</v>
          </cell>
          <cell r="Y254">
            <v>1197</v>
          </cell>
        </row>
        <row r="255">
          <cell r="V255" t="str">
            <v>D</v>
          </cell>
          <cell r="W255">
            <v>1197</v>
          </cell>
          <cell r="X255">
            <v>1197</v>
          </cell>
          <cell r="Y255">
            <v>1197</v>
          </cell>
        </row>
        <row r="256">
          <cell r="V256" t="str">
            <v>D</v>
          </cell>
          <cell r="W256">
            <v>1440</v>
          </cell>
          <cell r="X256">
            <v>1440</v>
          </cell>
          <cell r="Y256">
            <v>3222</v>
          </cell>
        </row>
        <row r="257">
          <cell r="V257" t="str">
            <v>D</v>
          </cell>
          <cell r="W257">
            <v>1440</v>
          </cell>
          <cell r="X257">
            <v>1440</v>
          </cell>
          <cell r="Y257">
            <v>3222</v>
          </cell>
        </row>
        <row r="258">
          <cell r="V258" t="str">
            <v>D</v>
          </cell>
          <cell r="W258">
            <v>1440</v>
          </cell>
          <cell r="X258">
            <v>1440</v>
          </cell>
          <cell r="Y258">
            <v>4851</v>
          </cell>
        </row>
        <row r="259">
          <cell r="V259" t="str">
            <v>D</v>
          </cell>
          <cell r="W259">
            <v>1440</v>
          </cell>
          <cell r="X259">
            <v>1440</v>
          </cell>
          <cell r="Y259">
            <v>1440</v>
          </cell>
        </row>
        <row r="260">
          <cell r="V260" t="str">
            <v>D</v>
          </cell>
          <cell r="W260">
            <v>1962</v>
          </cell>
          <cell r="X260">
            <v>1962</v>
          </cell>
          <cell r="Y260">
            <v>0</v>
          </cell>
        </row>
        <row r="261">
          <cell r="V261" t="str">
            <v>D</v>
          </cell>
          <cell r="W261">
            <v>1440</v>
          </cell>
          <cell r="X261">
            <v>1440</v>
          </cell>
          <cell r="Y261">
            <v>1440</v>
          </cell>
        </row>
        <row r="262">
          <cell r="V262" t="str">
            <v>D</v>
          </cell>
          <cell r="W262">
            <v>3222</v>
          </cell>
          <cell r="X262">
            <v>3222</v>
          </cell>
          <cell r="Y262">
            <v>3222</v>
          </cell>
        </row>
        <row r="263">
          <cell r="V263" t="str">
            <v>D</v>
          </cell>
          <cell r="W263">
            <v>1440</v>
          </cell>
          <cell r="X263">
            <v>1440</v>
          </cell>
          <cell r="Y263">
            <v>1440</v>
          </cell>
        </row>
        <row r="264">
          <cell r="V264" t="str">
            <v>D</v>
          </cell>
          <cell r="W264">
            <v>1962</v>
          </cell>
          <cell r="X264">
            <v>1962</v>
          </cell>
          <cell r="Y264">
            <v>1962</v>
          </cell>
        </row>
        <row r="265">
          <cell r="V265" t="str">
            <v>D</v>
          </cell>
          <cell r="W265">
            <v>1440</v>
          </cell>
          <cell r="X265">
            <v>1440</v>
          </cell>
          <cell r="Y265">
            <v>1440</v>
          </cell>
        </row>
        <row r="266">
          <cell r="V266" t="str">
            <v>D</v>
          </cell>
          <cell r="W266">
            <v>3222</v>
          </cell>
          <cell r="X266">
            <v>3222</v>
          </cell>
          <cell r="Y266">
            <v>3222</v>
          </cell>
        </row>
        <row r="267">
          <cell r="V267" t="str">
            <v>D</v>
          </cell>
          <cell r="W267">
            <v>3222</v>
          </cell>
          <cell r="X267">
            <v>3222</v>
          </cell>
          <cell r="Y267">
            <v>3222</v>
          </cell>
        </row>
        <row r="268">
          <cell r="V268" t="str">
            <v>D</v>
          </cell>
          <cell r="W268">
            <v>3222</v>
          </cell>
          <cell r="X268">
            <v>3222</v>
          </cell>
          <cell r="Y268">
            <v>3222</v>
          </cell>
        </row>
        <row r="269">
          <cell r="V269" t="str">
            <v>D</v>
          </cell>
          <cell r="W269">
            <v>3222</v>
          </cell>
          <cell r="X269">
            <v>3222</v>
          </cell>
          <cell r="Y269">
            <v>3222</v>
          </cell>
        </row>
        <row r="270">
          <cell r="V270" t="str">
            <v>D</v>
          </cell>
          <cell r="W270">
            <v>3222</v>
          </cell>
          <cell r="X270">
            <v>3222</v>
          </cell>
          <cell r="Y270">
            <v>3222</v>
          </cell>
        </row>
        <row r="271">
          <cell r="V271" t="str">
            <v>D</v>
          </cell>
          <cell r="W271">
            <v>2628</v>
          </cell>
          <cell r="X271">
            <v>2628</v>
          </cell>
          <cell r="Y271">
            <v>2628</v>
          </cell>
        </row>
        <row r="272">
          <cell r="V272" t="str">
            <v>D</v>
          </cell>
          <cell r="W272">
            <v>2628</v>
          </cell>
          <cell r="X272">
            <v>2628</v>
          </cell>
          <cell r="Y272">
            <v>2628</v>
          </cell>
        </row>
        <row r="273">
          <cell r="V273" t="str">
            <v>D</v>
          </cell>
          <cell r="W273">
            <v>2628</v>
          </cell>
          <cell r="X273">
            <v>2628</v>
          </cell>
          <cell r="Y273">
            <v>2628</v>
          </cell>
        </row>
        <row r="274">
          <cell r="V274" t="str">
            <v>D</v>
          </cell>
          <cell r="W274">
            <v>2628</v>
          </cell>
          <cell r="X274">
            <v>2628</v>
          </cell>
          <cell r="Y274">
            <v>2628</v>
          </cell>
        </row>
        <row r="275">
          <cell r="V275" t="str">
            <v>D</v>
          </cell>
          <cell r="W275">
            <v>2628</v>
          </cell>
          <cell r="X275">
            <v>2628</v>
          </cell>
          <cell r="Y275">
            <v>2628</v>
          </cell>
        </row>
        <row r="276">
          <cell r="V276" t="str">
            <v>D</v>
          </cell>
          <cell r="W276">
            <v>2628</v>
          </cell>
          <cell r="X276">
            <v>2628</v>
          </cell>
          <cell r="Y276">
            <v>2628</v>
          </cell>
        </row>
        <row r="277">
          <cell r="V277" t="str">
            <v>D</v>
          </cell>
          <cell r="W277">
            <v>2628</v>
          </cell>
          <cell r="X277">
            <v>2628</v>
          </cell>
          <cell r="Y277">
            <v>2628</v>
          </cell>
        </row>
        <row r="278">
          <cell r="V278" t="str">
            <v>D</v>
          </cell>
          <cell r="W278">
            <v>1197</v>
          </cell>
          <cell r="X278">
            <v>1197</v>
          </cell>
          <cell r="Y278">
            <v>1197</v>
          </cell>
        </row>
        <row r="279">
          <cell r="V279" t="str">
            <v>D</v>
          </cell>
          <cell r="W279">
            <v>1257</v>
          </cell>
          <cell r="X279">
            <v>1257</v>
          </cell>
          <cell r="Y279">
            <v>4050</v>
          </cell>
        </row>
        <row r="280">
          <cell r="V280" t="str">
            <v>D</v>
          </cell>
          <cell r="W280">
            <v>1257</v>
          </cell>
          <cell r="X280">
            <v>1257</v>
          </cell>
          <cell r="Y280">
            <v>4050</v>
          </cell>
        </row>
        <row r="281">
          <cell r="V281" t="str">
            <v>D</v>
          </cell>
          <cell r="W281">
            <v>2628</v>
          </cell>
          <cell r="X281">
            <v>2628</v>
          </cell>
          <cell r="Y281">
            <v>2628</v>
          </cell>
        </row>
        <row r="282">
          <cell r="V282" t="str">
            <v>D</v>
          </cell>
          <cell r="W282">
            <v>1197</v>
          </cell>
          <cell r="X282">
            <v>1197</v>
          </cell>
          <cell r="Y282">
            <v>1197</v>
          </cell>
        </row>
        <row r="283">
          <cell r="V283" t="str">
            <v>D</v>
          </cell>
          <cell r="W283">
            <v>1197</v>
          </cell>
          <cell r="X283">
            <v>1197</v>
          </cell>
          <cell r="Y283">
            <v>1197</v>
          </cell>
        </row>
        <row r="284">
          <cell r="V284" t="str">
            <v>D</v>
          </cell>
          <cell r="W284">
            <v>1818</v>
          </cell>
          <cell r="X284">
            <v>1818</v>
          </cell>
          <cell r="Y284">
            <v>1818</v>
          </cell>
        </row>
        <row r="285">
          <cell r="V285" t="str">
            <v>D</v>
          </cell>
          <cell r="W285">
            <v>1818</v>
          </cell>
          <cell r="X285">
            <v>1818</v>
          </cell>
          <cell r="Y285">
            <v>1818</v>
          </cell>
        </row>
        <row r="286">
          <cell r="V286" t="str">
            <v>D</v>
          </cell>
          <cell r="W286">
            <v>0</v>
          </cell>
          <cell r="X286">
            <v>0</v>
          </cell>
          <cell r="Y286">
            <v>0</v>
          </cell>
        </row>
        <row r="287">
          <cell r="V287" t="str">
            <v>D</v>
          </cell>
          <cell r="W287">
            <v>1962</v>
          </cell>
          <cell r="X287">
            <v>1962</v>
          </cell>
          <cell r="Y287">
            <v>1962</v>
          </cell>
        </row>
        <row r="288">
          <cell r="V288" t="str">
            <v>D</v>
          </cell>
          <cell r="W288">
            <v>1962</v>
          </cell>
          <cell r="X288">
            <v>1962</v>
          </cell>
          <cell r="Y288">
            <v>1962</v>
          </cell>
        </row>
        <row r="289">
          <cell r="V289" t="str">
            <v>D</v>
          </cell>
          <cell r="W289">
            <v>1962</v>
          </cell>
          <cell r="X289">
            <v>1962</v>
          </cell>
          <cell r="Y289">
            <v>1962</v>
          </cell>
        </row>
        <row r="290">
          <cell r="V290" t="str">
            <v>D</v>
          </cell>
          <cell r="W290">
            <v>1962</v>
          </cell>
          <cell r="X290">
            <v>1962</v>
          </cell>
          <cell r="Y290">
            <v>0</v>
          </cell>
        </row>
        <row r="291">
          <cell r="V291" t="str">
            <v>D</v>
          </cell>
          <cell r="W291">
            <v>1962</v>
          </cell>
          <cell r="X291">
            <v>1962</v>
          </cell>
          <cell r="Y291">
            <v>1962</v>
          </cell>
        </row>
        <row r="292">
          <cell r="V292" t="str">
            <v>D</v>
          </cell>
          <cell r="W292">
            <v>1818</v>
          </cell>
          <cell r="X292">
            <v>1818</v>
          </cell>
          <cell r="Y292">
            <v>4617</v>
          </cell>
        </row>
        <row r="293">
          <cell r="V293" t="str">
            <v>D</v>
          </cell>
          <cell r="W293">
            <v>1197</v>
          </cell>
          <cell r="X293">
            <v>1197</v>
          </cell>
          <cell r="Y293">
            <v>1197</v>
          </cell>
        </row>
        <row r="294">
          <cell r="V294" t="str">
            <v>D</v>
          </cell>
          <cell r="W294">
            <v>1197</v>
          </cell>
          <cell r="X294">
            <v>1197</v>
          </cell>
          <cell r="Y294">
            <v>1197</v>
          </cell>
        </row>
        <row r="295">
          <cell r="V295" t="str">
            <v>D</v>
          </cell>
          <cell r="W295">
            <v>958</v>
          </cell>
          <cell r="X295">
            <v>958</v>
          </cell>
          <cell r="Y295">
            <v>958</v>
          </cell>
        </row>
        <row r="296">
          <cell r="V296" t="str">
            <v>D</v>
          </cell>
          <cell r="W296">
            <v>958</v>
          </cell>
          <cell r="X296">
            <v>958</v>
          </cell>
          <cell r="Y296">
            <v>958</v>
          </cell>
        </row>
        <row r="297">
          <cell r="V297" t="str">
            <v>D</v>
          </cell>
          <cell r="W297">
            <v>958</v>
          </cell>
          <cell r="X297">
            <v>958</v>
          </cell>
          <cell r="Y297">
            <v>958</v>
          </cell>
        </row>
        <row r="298">
          <cell r="V298" t="str">
            <v>D</v>
          </cell>
          <cell r="W298">
            <v>1962</v>
          </cell>
          <cell r="X298">
            <v>1962</v>
          </cell>
          <cell r="Y298">
            <v>0</v>
          </cell>
        </row>
        <row r="299">
          <cell r="V299" t="str">
            <v>D</v>
          </cell>
          <cell r="W299">
            <v>1962</v>
          </cell>
          <cell r="X299">
            <v>1962</v>
          </cell>
          <cell r="Y299">
            <v>1962</v>
          </cell>
        </row>
        <row r="300">
          <cell r="V300" t="str">
            <v>D</v>
          </cell>
          <cell r="W300">
            <v>1440</v>
          </cell>
          <cell r="X300">
            <v>1440</v>
          </cell>
          <cell r="Y300">
            <v>1440</v>
          </cell>
        </row>
        <row r="301">
          <cell r="V301" t="str">
            <v>D</v>
          </cell>
          <cell r="W301">
            <v>972</v>
          </cell>
          <cell r="X301">
            <v>972</v>
          </cell>
          <cell r="Y301">
            <v>972</v>
          </cell>
        </row>
        <row r="302">
          <cell r="V302" t="str">
            <v>D</v>
          </cell>
          <cell r="W302">
            <v>4617</v>
          </cell>
          <cell r="X302">
            <v>4617</v>
          </cell>
          <cell r="Y302">
            <v>1818</v>
          </cell>
        </row>
        <row r="303">
          <cell r="V303" t="str">
            <v>D</v>
          </cell>
          <cell r="W303">
            <v>1197</v>
          </cell>
          <cell r="X303">
            <v>1197</v>
          </cell>
          <cell r="Y303">
            <v>2628</v>
          </cell>
        </row>
        <row r="304">
          <cell r="V304" t="str">
            <v>D</v>
          </cell>
          <cell r="W304">
            <v>1197</v>
          </cell>
          <cell r="X304">
            <v>1197</v>
          </cell>
          <cell r="Y304">
            <v>1197</v>
          </cell>
        </row>
        <row r="305">
          <cell r="V305" t="str">
            <v>D</v>
          </cell>
          <cell r="W305">
            <v>1197</v>
          </cell>
          <cell r="X305">
            <v>1197</v>
          </cell>
          <cell r="Y305">
            <v>4050</v>
          </cell>
        </row>
        <row r="306">
          <cell r="V306" t="str">
            <v>D</v>
          </cell>
          <cell r="W306">
            <v>958</v>
          </cell>
          <cell r="X306">
            <v>958</v>
          </cell>
          <cell r="Y306">
            <v>958</v>
          </cell>
        </row>
        <row r="307">
          <cell r="V307" t="str">
            <v>D</v>
          </cell>
          <cell r="W307">
            <v>1197</v>
          </cell>
          <cell r="X307">
            <v>1197</v>
          </cell>
          <cell r="Y307">
            <v>1197</v>
          </cell>
        </row>
        <row r="308">
          <cell r="V308" t="str">
            <v>D</v>
          </cell>
          <cell r="W308">
            <v>1818</v>
          </cell>
          <cell r="X308">
            <v>1818</v>
          </cell>
          <cell r="Y308">
            <v>1818</v>
          </cell>
        </row>
        <row r="309">
          <cell r="V309" t="str">
            <v>D</v>
          </cell>
          <cell r="W309">
            <v>1818</v>
          </cell>
          <cell r="X309">
            <v>1818</v>
          </cell>
          <cell r="Y309">
            <v>1818</v>
          </cell>
        </row>
        <row r="310">
          <cell r="V310" t="str">
            <v>D</v>
          </cell>
          <cell r="W310">
            <v>1818</v>
          </cell>
          <cell r="X310">
            <v>1818</v>
          </cell>
          <cell r="Y310">
            <v>1818</v>
          </cell>
        </row>
        <row r="311">
          <cell r="V311" t="str">
            <v>D</v>
          </cell>
          <cell r="W311">
            <v>1962</v>
          </cell>
          <cell r="X311">
            <v>1962</v>
          </cell>
          <cell r="Y311">
            <v>1962</v>
          </cell>
        </row>
        <row r="312">
          <cell r="V312" t="str">
            <v>D</v>
          </cell>
          <cell r="W312">
            <v>1197</v>
          </cell>
          <cell r="X312">
            <v>1197</v>
          </cell>
          <cell r="Y312">
            <v>2628</v>
          </cell>
        </row>
        <row r="313">
          <cell r="V313" t="str">
            <v>D</v>
          </cell>
          <cell r="W313">
            <v>1962</v>
          </cell>
          <cell r="X313">
            <v>1962</v>
          </cell>
          <cell r="Y313">
            <v>1962</v>
          </cell>
        </row>
        <row r="314">
          <cell r="V314" t="str">
            <v>D</v>
          </cell>
          <cell r="W314">
            <v>1962</v>
          </cell>
          <cell r="X314">
            <v>1962</v>
          </cell>
          <cell r="Y314">
            <v>1962</v>
          </cell>
        </row>
        <row r="315">
          <cell r="V315" t="str">
            <v>D</v>
          </cell>
          <cell r="W315">
            <v>2628</v>
          </cell>
          <cell r="X315">
            <v>2628</v>
          </cell>
          <cell r="Y315">
            <v>1197</v>
          </cell>
        </row>
        <row r="316">
          <cell r="V316" t="str">
            <v>D</v>
          </cell>
          <cell r="W316">
            <v>2628</v>
          </cell>
          <cell r="X316">
            <v>2628</v>
          </cell>
          <cell r="Y316">
            <v>2628</v>
          </cell>
        </row>
        <row r="317">
          <cell r="V317" t="str">
            <v>D</v>
          </cell>
          <cell r="W317">
            <v>2628</v>
          </cell>
          <cell r="X317">
            <v>2628</v>
          </cell>
          <cell r="Y317">
            <v>2628</v>
          </cell>
        </row>
        <row r="318">
          <cell r="V318" t="str">
            <v>D</v>
          </cell>
          <cell r="W318">
            <v>2628</v>
          </cell>
          <cell r="X318">
            <v>2628</v>
          </cell>
          <cell r="Y318">
            <v>2628</v>
          </cell>
        </row>
        <row r="319">
          <cell r="V319" t="str">
            <v>D</v>
          </cell>
          <cell r="W319">
            <v>2628</v>
          </cell>
          <cell r="X319">
            <v>2628</v>
          </cell>
          <cell r="Y319">
            <v>2628</v>
          </cell>
        </row>
        <row r="320">
          <cell r="V320" t="str">
            <v>D</v>
          </cell>
          <cell r="W320">
            <v>1314</v>
          </cell>
          <cell r="X320">
            <v>1314</v>
          </cell>
          <cell r="Y320">
            <v>2880</v>
          </cell>
        </row>
        <row r="321">
          <cell r="V321" t="str">
            <v>D</v>
          </cell>
          <cell r="W321">
            <v>1962</v>
          </cell>
          <cell r="X321">
            <v>1962</v>
          </cell>
          <cell r="Y321">
            <v>1962</v>
          </cell>
        </row>
        <row r="322">
          <cell r="V322" t="str">
            <v>D</v>
          </cell>
          <cell r="W322">
            <v>1818</v>
          </cell>
          <cell r="X322">
            <v>1818</v>
          </cell>
          <cell r="Y322">
            <v>1818</v>
          </cell>
        </row>
        <row r="323">
          <cell r="V323" t="str">
            <v>D</v>
          </cell>
          <cell r="W323">
            <v>1818</v>
          </cell>
          <cell r="X323">
            <v>1818</v>
          </cell>
          <cell r="Y323">
            <v>1818</v>
          </cell>
        </row>
        <row r="324">
          <cell r="V324" t="str">
            <v>D</v>
          </cell>
          <cell r="W324">
            <v>1197</v>
          </cell>
          <cell r="X324">
            <v>1197</v>
          </cell>
          <cell r="Y324">
            <v>1197</v>
          </cell>
        </row>
        <row r="325">
          <cell r="V325" t="str">
            <v>D</v>
          </cell>
          <cell r="W325">
            <v>1197</v>
          </cell>
          <cell r="X325">
            <v>1197</v>
          </cell>
          <cell r="Y325">
            <v>1197</v>
          </cell>
        </row>
        <row r="326">
          <cell r="V326" t="str">
            <v>D</v>
          </cell>
          <cell r="W326">
            <v>1818</v>
          </cell>
          <cell r="X326">
            <v>1818</v>
          </cell>
          <cell r="Y326">
            <v>1818</v>
          </cell>
        </row>
        <row r="327">
          <cell r="V327" t="str">
            <v>D</v>
          </cell>
          <cell r="W327">
            <v>1899</v>
          </cell>
          <cell r="X327">
            <v>1899</v>
          </cell>
          <cell r="Y327">
            <v>1899</v>
          </cell>
        </row>
        <row r="328">
          <cell r="V328" t="str">
            <v>D</v>
          </cell>
          <cell r="W328">
            <v>1899</v>
          </cell>
          <cell r="X328">
            <v>1899</v>
          </cell>
          <cell r="Y328">
            <v>1899</v>
          </cell>
        </row>
        <row r="329">
          <cell r="V329" t="str">
            <v>D</v>
          </cell>
          <cell r="W329">
            <v>958</v>
          </cell>
          <cell r="X329">
            <v>958</v>
          </cell>
          <cell r="Y329">
            <v>958</v>
          </cell>
        </row>
        <row r="330">
          <cell r="V330" t="str">
            <v>D</v>
          </cell>
          <cell r="W330">
            <v>1197</v>
          </cell>
          <cell r="X330">
            <v>1197</v>
          </cell>
          <cell r="Y330">
            <v>1197</v>
          </cell>
        </row>
        <row r="331">
          <cell r="V331" t="str">
            <v>D</v>
          </cell>
          <cell r="W331">
            <v>1818</v>
          </cell>
          <cell r="X331">
            <v>1818</v>
          </cell>
          <cell r="Y331">
            <v>1818</v>
          </cell>
        </row>
        <row r="332">
          <cell r="V332" t="str">
            <v>D</v>
          </cell>
          <cell r="W332">
            <v>1197</v>
          </cell>
          <cell r="X332">
            <v>1197</v>
          </cell>
          <cell r="Y332">
            <v>1197</v>
          </cell>
        </row>
        <row r="333">
          <cell r="V333" t="str">
            <v>D</v>
          </cell>
          <cell r="W333">
            <v>1197</v>
          </cell>
          <cell r="X333">
            <v>1197</v>
          </cell>
          <cell r="Y333">
            <v>1197</v>
          </cell>
        </row>
        <row r="334">
          <cell r="V334" t="str">
            <v>D</v>
          </cell>
          <cell r="W334">
            <v>1197</v>
          </cell>
          <cell r="X334">
            <v>1197</v>
          </cell>
          <cell r="Y334">
            <v>1197</v>
          </cell>
        </row>
        <row r="335">
          <cell r="V335" t="str">
            <v>D</v>
          </cell>
          <cell r="W335">
            <v>1818</v>
          </cell>
          <cell r="X335">
            <v>1818</v>
          </cell>
          <cell r="Y335">
            <v>1818</v>
          </cell>
        </row>
        <row r="336">
          <cell r="V336" t="str">
            <v>D</v>
          </cell>
          <cell r="W336">
            <v>1818</v>
          </cell>
          <cell r="X336">
            <v>1818</v>
          </cell>
          <cell r="Y336">
            <v>1818</v>
          </cell>
        </row>
        <row r="337">
          <cell r="V337" t="str">
            <v>D</v>
          </cell>
          <cell r="W337">
            <v>1899</v>
          </cell>
          <cell r="X337">
            <v>1899</v>
          </cell>
          <cell r="Y337">
            <v>1899</v>
          </cell>
        </row>
        <row r="338">
          <cell r="V338" t="str">
            <v>D</v>
          </cell>
          <cell r="W338">
            <v>2628</v>
          </cell>
          <cell r="X338">
            <v>2628</v>
          </cell>
          <cell r="Y338">
            <v>2628</v>
          </cell>
        </row>
        <row r="339">
          <cell r="V339" t="str">
            <v>D</v>
          </cell>
          <cell r="W339">
            <v>1197</v>
          </cell>
          <cell r="X339">
            <v>1197</v>
          </cell>
          <cell r="Y339">
            <v>1197</v>
          </cell>
        </row>
        <row r="340">
          <cell r="V340" t="str">
            <v>D</v>
          </cell>
          <cell r="W340">
            <v>0</v>
          </cell>
          <cell r="X340">
            <v>0</v>
          </cell>
          <cell r="Y340">
            <v>0</v>
          </cell>
        </row>
        <row r="341">
          <cell r="V341" t="str">
            <v>D</v>
          </cell>
          <cell r="W341">
            <v>1197</v>
          </cell>
          <cell r="X341">
            <v>1197</v>
          </cell>
          <cell r="Y341">
            <v>1197</v>
          </cell>
        </row>
        <row r="342">
          <cell r="V342" t="str">
            <v>D</v>
          </cell>
          <cell r="W342">
            <v>1899</v>
          </cell>
          <cell r="X342">
            <v>1899</v>
          </cell>
          <cell r="Y342">
            <v>1899</v>
          </cell>
        </row>
        <row r="343">
          <cell r="V343" t="str">
            <v>D</v>
          </cell>
          <cell r="W343">
            <v>958</v>
          </cell>
          <cell r="X343">
            <v>958</v>
          </cell>
          <cell r="Y343">
            <v>958</v>
          </cell>
        </row>
        <row r="344">
          <cell r="V344" t="str">
            <v>D</v>
          </cell>
          <cell r="W344">
            <v>1899</v>
          </cell>
          <cell r="X344">
            <v>1899</v>
          </cell>
          <cell r="Y344">
            <v>1899</v>
          </cell>
        </row>
        <row r="345">
          <cell r="V345" t="str">
            <v>D</v>
          </cell>
          <cell r="W345">
            <v>1899</v>
          </cell>
          <cell r="X345">
            <v>1899</v>
          </cell>
          <cell r="Y345">
            <v>1899</v>
          </cell>
        </row>
        <row r="346">
          <cell r="V346" t="str">
            <v>D</v>
          </cell>
          <cell r="W346">
            <v>1197</v>
          </cell>
          <cell r="X346">
            <v>1197</v>
          </cell>
          <cell r="Y346">
            <v>1197</v>
          </cell>
        </row>
        <row r="347">
          <cell r="V347" t="str">
            <v>D</v>
          </cell>
          <cell r="W347">
            <v>0</v>
          </cell>
          <cell r="X347">
            <v>0</v>
          </cell>
          <cell r="Y347">
            <v>0</v>
          </cell>
        </row>
        <row r="348">
          <cell r="V348" t="str">
            <v>D</v>
          </cell>
          <cell r="W348">
            <v>1962</v>
          </cell>
          <cell r="X348">
            <v>1962</v>
          </cell>
          <cell r="Y348">
            <v>1962</v>
          </cell>
        </row>
        <row r="349">
          <cell r="V349" t="str">
            <v>D</v>
          </cell>
          <cell r="W349">
            <v>1962</v>
          </cell>
          <cell r="X349">
            <v>1962</v>
          </cell>
          <cell r="Y349">
            <v>1962</v>
          </cell>
        </row>
        <row r="350">
          <cell r="V350" t="str">
            <v>D</v>
          </cell>
          <cell r="W350">
            <v>1962</v>
          </cell>
          <cell r="X350">
            <v>1962</v>
          </cell>
          <cell r="Y350">
            <v>1962</v>
          </cell>
        </row>
        <row r="351">
          <cell r="V351" t="str">
            <v>D</v>
          </cell>
          <cell r="W351">
            <v>1962</v>
          </cell>
          <cell r="X351">
            <v>1962</v>
          </cell>
          <cell r="Y351">
            <v>1962</v>
          </cell>
        </row>
        <row r="352">
          <cell r="V352" t="str">
            <v>D</v>
          </cell>
          <cell r="W352">
            <v>1962</v>
          </cell>
          <cell r="X352">
            <v>1962</v>
          </cell>
          <cell r="Y352">
            <v>1962</v>
          </cell>
        </row>
        <row r="353">
          <cell r="V353" t="str">
            <v>D</v>
          </cell>
          <cell r="W353">
            <v>1962</v>
          </cell>
          <cell r="X353">
            <v>1962</v>
          </cell>
          <cell r="Y353">
            <v>1962</v>
          </cell>
        </row>
        <row r="354">
          <cell r="V354" t="str">
            <v>D</v>
          </cell>
          <cell r="W354">
            <v>1962</v>
          </cell>
          <cell r="X354">
            <v>1962</v>
          </cell>
          <cell r="Y354">
            <v>1962</v>
          </cell>
        </row>
        <row r="355">
          <cell r="V355" t="str">
            <v>D</v>
          </cell>
          <cell r="W355">
            <v>1962</v>
          </cell>
          <cell r="X355">
            <v>1962</v>
          </cell>
          <cell r="Y355">
            <v>1962</v>
          </cell>
        </row>
        <row r="356">
          <cell r="V356" t="str">
            <v>D</v>
          </cell>
          <cell r="W356">
            <v>1962</v>
          </cell>
          <cell r="X356">
            <v>1962</v>
          </cell>
          <cell r="Y356">
            <v>1962</v>
          </cell>
        </row>
        <row r="357">
          <cell r="V357" t="str">
            <v>D</v>
          </cell>
          <cell r="W357">
            <v>1962</v>
          </cell>
          <cell r="X357">
            <v>1962</v>
          </cell>
          <cell r="Y357">
            <v>1962</v>
          </cell>
        </row>
        <row r="358">
          <cell r="V358" t="str">
            <v>D</v>
          </cell>
          <cell r="W358">
            <v>1962</v>
          </cell>
          <cell r="X358">
            <v>1962</v>
          </cell>
          <cell r="Y358">
            <v>1962</v>
          </cell>
        </row>
        <row r="359">
          <cell r="V359" t="str">
            <v>D</v>
          </cell>
          <cell r="W359">
            <v>1962</v>
          </cell>
          <cell r="X359">
            <v>1962</v>
          </cell>
          <cell r="Y359">
            <v>1962</v>
          </cell>
        </row>
        <row r="360">
          <cell r="V360" t="str">
            <v>D</v>
          </cell>
          <cell r="W360">
            <v>1962</v>
          </cell>
          <cell r="X360">
            <v>1962</v>
          </cell>
          <cell r="Y360">
            <v>0</v>
          </cell>
        </row>
        <row r="361">
          <cell r="V361" t="str">
            <v>D</v>
          </cell>
          <cell r="W361">
            <v>1962</v>
          </cell>
          <cell r="X361">
            <v>1962</v>
          </cell>
          <cell r="Y361">
            <v>0</v>
          </cell>
        </row>
        <row r="362">
          <cell r="V362" t="str">
            <v>D</v>
          </cell>
          <cell r="W362">
            <v>1962</v>
          </cell>
          <cell r="X362">
            <v>1962</v>
          </cell>
          <cell r="Y362">
            <v>0</v>
          </cell>
        </row>
        <row r="363">
          <cell r="V363" t="str">
            <v>D</v>
          </cell>
          <cell r="W363">
            <v>1962</v>
          </cell>
          <cell r="X363">
            <v>1962</v>
          </cell>
          <cell r="Y363">
            <v>0</v>
          </cell>
        </row>
        <row r="364">
          <cell r="V364" t="str">
            <v>D</v>
          </cell>
          <cell r="W364">
            <v>1962</v>
          </cell>
          <cell r="X364">
            <v>1962</v>
          </cell>
          <cell r="Y364">
            <v>0</v>
          </cell>
        </row>
        <row r="365">
          <cell r="V365" t="str">
            <v>D</v>
          </cell>
          <cell r="W365">
            <v>1962</v>
          </cell>
          <cell r="X365">
            <v>1962</v>
          </cell>
          <cell r="Y365">
            <v>1962</v>
          </cell>
        </row>
        <row r="366">
          <cell r="V366" t="str">
            <v>D</v>
          </cell>
          <cell r="W366">
            <v>1962</v>
          </cell>
          <cell r="X366">
            <v>1962</v>
          </cell>
          <cell r="Y366">
            <v>1962</v>
          </cell>
        </row>
        <row r="367">
          <cell r="V367" t="str">
            <v>D</v>
          </cell>
          <cell r="W367">
            <v>1962</v>
          </cell>
          <cell r="X367">
            <v>1962</v>
          </cell>
          <cell r="Y367">
            <v>1962</v>
          </cell>
        </row>
        <row r="368">
          <cell r="V368" t="str">
            <v>D</v>
          </cell>
          <cell r="W368">
            <v>1962</v>
          </cell>
          <cell r="X368">
            <v>1962</v>
          </cell>
          <cell r="Y368">
            <v>1962</v>
          </cell>
        </row>
        <row r="369">
          <cell r="V369" t="str">
            <v>D</v>
          </cell>
          <cell r="W369">
            <v>1197</v>
          </cell>
          <cell r="X369">
            <v>1197</v>
          </cell>
          <cell r="Y369">
            <v>1197</v>
          </cell>
        </row>
        <row r="370">
          <cell r="V370" t="str">
            <v>D</v>
          </cell>
          <cell r="W370">
            <v>1962</v>
          </cell>
          <cell r="X370">
            <v>1962</v>
          </cell>
          <cell r="Y370">
            <v>1962</v>
          </cell>
        </row>
        <row r="371">
          <cell r="V371" t="str">
            <v>D</v>
          </cell>
          <cell r="W371">
            <v>1818</v>
          </cell>
          <cell r="X371">
            <v>1818</v>
          </cell>
          <cell r="Y371">
            <v>1818</v>
          </cell>
        </row>
        <row r="372">
          <cell r="V372" t="str">
            <v>D</v>
          </cell>
          <cell r="W372">
            <v>1197</v>
          </cell>
          <cell r="X372">
            <v>1197</v>
          </cell>
          <cell r="Y372">
            <v>1197</v>
          </cell>
        </row>
        <row r="373">
          <cell r="V373" t="str">
            <v>D</v>
          </cell>
          <cell r="W373">
            <v>1197</v>
          </cell>
          <cell r="X373">
            <v>1197</v>
          </cell>
          <cell r="Y373">
            <v>1197</v>
          </cell>
        </row>
        <row r="374">
          <cell r="V374" t="str">
            <v>D</v>
          </cell>
          <cell r="W374">
            <v>1197</v>
          </cell>
          <cell r="X374">
            <v>1197</v>
          </cell>
          <cell r="Y374">
            <v>1197</v>
          </cell>
        </row>
        <row r="375">
          <cell r="V375" t="str">
            <v>D</v>
          </cell>
          <cell r="W375">
            <v>1962</v>
          </cell>
          <cell r="X375">
            <v>1962</v>
          </cell>
          <cell r="Y375">
            <v>1962</v>
          </cell>
        </row>
        <row r="376">
          <cell r="V376" t="str">
            <v>D</v>
          </cell>
          <cell r="W376">
            <v>1962</v>
          </cell>
          <cell r="X376">
            <v>1962</v>
          </cell>
          <cell r="Y376">
            <v>1962</v>
          </cell>
        </row>
        <row r="377">
          <cell r="V377" t="str">
            <v>D</v>
          </cell>
          <cell r="W377">
            <v>1962</v>
          </cell>
          <cell r="X377">
            <v>1962</v>
          </cell>
          <cell r="Y377">
            <v>1962</v>
          </cell>
        </row>
        <row r="378">
          <cell r="V378" t="str">
            <v>D</v>
          </cell>
          <cell r="W378">
            <v>1440</v>
          </cell>
          <cell r="X378">
            <v>1440</v>
          </cell>
          <cell r="Y378">
            <v>1440</v>
          </cell>
        </row>
        <row r="379">
          <cell r="V379" t="str">
            <v>D</v>
          </cell>
          <cell r="W379">
            <v>1818</v>
          </cell>
          <cell r="X379">
            <v>1818</v>
          </cell>
          <cell r="Y379">
            <v>1818</v>
          </cell>
        </row>
        <row r="380">
          <cell r="V380" t="str">
            <v>D</v>
          </cell>
          <cell r="W380">
            <v>1818</v>
          </cell>
          <cell r="X380">
            <v>1818</v>
          </cell>
          <cell r="Y380">
            <v>1818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0A69-07D3-4C9B-942C-25375731CBAF}">
  <dimension ref="A1:CD399"/>
  <sheetViews>
    <sheetView topLeftCell="I1" zoomScale="85" zoomScaleNormal="85" workbookViewId="0"/>
  </sheetViews>
  <sheetFormatPr defaultRowHeight="14.4" x14ac:dyDescent="0.3"/>
  <cols>
    <col min="1" max="1" width="9.44140625" style="13" customWidth="1"/>
    <col min="2" max="2" width="7.6640625" style="2" hidden="1" customWidth="1"/>
    <col min="3" max="5" width="26.44140625" style="2" customWidth="1"/>
    <col min="6" max="6" width="13.5546875" style="2" customWidth="1"/>
    <col min="7" max="7" width="7.6640625" style="3" hidden="1" customWidth="1"/>
    <col min="8" max="8" width="15.88671875" style="2" customWidth="1"/>
    <col min="9" max="9" width="11.109375" style="2" customWidth="1"/>
    <col min="10" max="10" width="11.109375" style="3" customWidth="1"/>
    <col min="11" max="11" width="8" style="3" hidden="1" customWidth="1"/>
    <col min="12" max="13" width="8" style="2" hidden="1" customWidth="1"/>
    <col min="14" max="16" width="8" style="4" customWidth="1"/>
    <col min="17" max="17" width="8" style="4" hidden="1" customWidth="1"/>
    <col min="18" max="21" width="8" style="4" customWidth="1"/>
    <col min="22" max="22" width="8" style="4" hidden="1" customWidth="1"/>
    <col min="23" max="24" width="10.88671875" style="4" customWidth="1"/>
    <col min="25" max="25" width="20.44140625" style="4" customWidth="1"/>
    <col min="26" max="26" width="9.109375" style="2"/>
    <col min="27" max="29" width="7.6640625" style="2" hidden="1" customWidth="1"/>
    <col min="30" max="30" width="7.6640625" style="3" hidden="1" customWidth="1"/>
    <col min="31" max="31" width="9.33203125" style="3" customWidth="1"/>
    <col min="32" max="32" width="7.6640625" style="3" hidden="1" customWidth="1"/>
    <col min="33" max="33" width="9.33203125" style="2" customWidth="1"/>
    <col min="34" max="34" width="7.6640625" style="5" hidden="1" customWidth="1"/>
    <col min="35" max="35" width="9.33203125" style="2" customWidth="1"/>
    <col min="36" max="36" width="7.6640625" style="2" hidden="1" customWidth="1"/>
    <col min="37" max="37" width="9.33203125" style="2" hidden="1" customWidth="1"/>
    <col min="38" max="38" width="7.6640625" style="2" hidden="1" customWidth="1"/>
    <col min="39" max="46" width="9" style="2" customWidth="1"/>
    <col min="47" max="47" width="9" style="5" customWidth="1"/>
    <col min="48" max="50" width="9" style="5" hidden="1" customWidth="1"/>
    <col min="51" max="53" width="9.44140625" style="2" customWidth="1"/>
    <col min="54" max="55" width="7.6640625" style="2" hidden="1" customWidth="1"/>
    <col min="56" max="61" width="7.6640625" style="3" hidden="1" customWidth="1"/>
    <col min="62" max="62" width="12.109375" style="3" customWidth="1"/>
    <col min="63" max="63" width="9.44140625" style="2" customWidth="1"/>
    <col min="64" max="252" width="9.109375" style="2"/>
    <col min="253" max="253" width="9.44140625" style="2" customWidth="1"/>
    <col min="254" max="256" width="7.6640625" style="2" customWidth="1"/>
    <col min="257" max="257" width="0" style="2" hidden="1" customWidth="1"/>
    <col min="258" max="260" width="26.44140625" style="2" customWidth="1"/>
    <col min="261" max="261" width="13.5546875" style="2" customWidth="1"/>
    <col min="262" max="262" width="0" style="2" hidden="1" customWidth="1"/>
    <col min="263" max="263" width="15.88671875" style="2" customWidth="1"/>
    <col min="264" max="266" width="11.109375" style="2" customWidth="1"/>
    <col min="267" max="272" width="8" style="2" customWidth="1"/>
    <col min="273" max="273" width="0" style="2" hidden="1" customWidth="1"/>
    <col min="274" max="277" width="8" style="2" customWidth="1"/>
    <col min="278" max="278" width="0" style="2" hidden="1" customWidth="1"/>
    <col min="279" max="280" width="10.88671875" style="2" customWidth="1"/>
    <col min="281" max="281" width="20.44140625" style="2" customWidth="1"/>
    <col min="282" max="282" width="9.109375" style="2"/>
    <col min="283" max="286" width="0" style="2" hidden="1" customWidth="1"/>
    <col min="287" max="287" width="9.33203125" style="2" customWidth="1"/>
    <col min="288" max="288" width="0" style="2" hidden="1" customWidth="1"/>
    <col min="289" max="289" width="9.33203125" style="2" customWidth="1"/>
    <col min="290" max="290" width="0" style="2" hidden="1" customWidth="1"/>
    <col min="291" max="291" width="9.33203125" style="2" customWidth="1"/>
    <col min="292" max="294" width="0" style="2" hidden="1" customWidth="1"/>
    <col min="295" max="303" width="9" style="2" customWidth="1"/>
    <col min="304" max="306" width="0" style="2" hidden="1" customWidth="1"/>
    <col min="307" max="309" width="9.44140625" style="2" customWidth="1"/>
    <col min="310" max="317" width="0" style="2" hidden="1" customWidth="1"/>
    <col min="318" max="318" width="12.109375" style="2" customWidth="1"/>
    <col min="319" max="319" width="9.44140625" style="2" customWidth="1"/>
    <col min="320" max="508" width="9.109375" style="2"/>
    <col min="509" max="509" width="9.44140625" style="2" customWidth="1"/>
    <col min="510" max="512" width="7.6640625" style="2" customWidth="1"/>
    <col min="513" max="513" width="0" style="2" hidden="1" customWidth="1"/>
    <col min="514" max="516" width="26.44140625" style="2" customWidth="1"/>
    <col min="517" max="517" width="13.5546875" style="2" customWidth="1"/>
    <col min="518" max="518" width="0" style="2" hidden="1" customWidth="1"/>
    <col min="519" max="519" width="15.88671875" style="2" customWidth="1"/>
    <col min="520" max="522" width="11.109375" style="2" customWidth="1"/>
    <col min="523" max="528" width="8" style="2" customWidth="1"/>
    <col min="529" max="529" width="0" style="2" hidden="1" customWidth="1"/>
    <col min="530" max="533" width="8" style="2" customWidth="1"/>
    <col min="534" max="534" width="0" style="2" hidden="1" customWidth="1"/>
    <col min="535" max="536" width="10.88671875" style="2" customWidth="1"/>
    <col min="537" max="537" width="20.44140625" style="2" customWidth="1"/>
    <col min="538" max="538" width="9.109375" style="2"/>
    <col min="539" max="542" width="0" style="2" hidden="1" customWidth="1"/>
    <col min="543" max="543" width="9.33203125" style="2" customWidth="1"/>
    <col min="544" max="544" width="0" style="2" hidden="1" customWidth="1"/>
    <col min="545" max="545" width="9.33203125" style="2" customWidth="1"/>
    <col min="546" max="546" width="0" style="2" hidden="1" customWidth="1"/>
    <col min="547" max="547" width="9.33203125" style="2" customWidth="1"/>
    <col min="548" max="550" width="0" style="2" hidden="1" customWidth="1"/>
    <col min="551" max="559" width="9" style="2" customWidth="1"/>
    <col min="560" max="562" width="0" style="2" hidden="1" customWidth="1"/>
    <col min="563" max="565" width="9.44140625" style="2" customWidth="1"/>
    <col min="566" max="573" width="0" style="2" hidden="1" customWidth="1"/>
    <col min="574" max="574" width="12.109375" style="2" customWidth="1"/>
    <col min="575" max="575" width="9.44140625" style="2" customWidth="1"/>
    <col min="576" max="764" width="9.109375" style="2"/>
    <col min="765" max="765" width="9.44140625" style="2" customWidth="1"/>
    <col min="766" max="768" width="7.6640625" style="2" customWidth="1"/>
    <col min="769" max="769" width="0" style="2" hidden="1" customWidth="1"/>
    <col min="770" max="772" width="26.44140625" style="2" customWidth="1"/>
    <col min="773" max="773" width="13.5546875" style="2" customWidth="1"/>
    <col min="774" max="774" width="0" style="2" hidden="1" customWidth="1"/>
    <col min="775" max="775" width="15.88671875" style="2" customWidth="1"/>
    <col min="776" max="778" width="11.109375" style="2" customWidth="1"/>
    <col min="779" max="784" width="8" style="2" customWidth="1"/>
    <col min="785" max="785" width="0" style="2" hidden="1" customWidth="1"/>
    <col min="786" max="789" width="8" style="2" customWidth="1"/>
    <col min="790" max="790" width="0" style="2" hidden="1" customWidth="1"/>
    <col min="791" max="792" width="10.88671875" style="2" customWidth="1"/>
    <col min="793" max="793" width="20.44140625" style="2" customWidth="1"/>
    <col min="794" max="794" width="9.109375" style="2"/>
    <col min="795" max="798" width="0" style="2" hidden="1" customWidth="1"/>
    <col min="799" max="799" width="9.33203125" style="2" customWidth="1"/>
    <col min="800" max="800" width="0" style="2" hidden="1" customWidth="1"/>
    <col min="801" max="801" width="9.33203125" style="2" customWidth="1"/>
    <col min="802" max="802" width="0" style="2" hidden="1" customWidth="1"/>
    <col min="803" max="803" width="9.33203125" style="2" customWidth="1"/>
    <col min="804" max="806" width="0" style="2" hidden="1" customWidth="1"/>
    <col min="807" max="815" width="9" style="2" customWidth="1"/>
    <col min="816" max="818" width="0" style="2" hidden="1" customWidth="1"/>
    <col min="819" max="821" width="9.44140625" style="2" customWidth="1"/>
    <col min="822" max="829" width="0" style="2" hidden="1" customWidth="1"/>
    <col min="830" max="830" width="12.109375" style="2" customWidth="1"/>
    <col min="831" max="831" width="9.44140625" style="2" customWidth="1"/>
    <col min="832" max="1020" width="9.109375" style="2"/>
    <col min="1021" max="1021" width="9.44140625" style="2" customWidth="1"/>
    <col min="1022" max="1024" width="7.6640625" style="2" customWidth="1"/>
    <col min="1025" max="1025" width="0" style="2" hidden="1" customWidth="1"/>
    <col min="1026" max="1028" width="26.44140625" style="2" customWidth="1"/>
    <col min="1029" max="1029" width="13.5546875" style="2" customWidth="1"/>
    <col min="1030" max="1030" width="0" style="2" hidden="1" customWidth="1"/>
    <col min="1031" max="1031" width="15.88671875" style="2" customWidth="1"/>
    <col min="1032" max="1034" width="11.109375" style="2" customWidth="1"/>
    <col min="1035" max="1040" width="8" style="2" customWidth="1"/>
    <col min="1041" max="1041" width="0" style="2" hidden="1" customWidth="1"/>
    <col min="1042" max="1045" width="8" style="2" customWidth="1"/>
    <col min="1046" max="1046" width="0" style="2" hidden="1" customWidth="1"/>
    <col min="1047" max="1048" width="10.88671875" style="2" customWidth="1"/>
    <col min="1049" max="1049" width="20.44140625" style="2" customWidth="1"/>
    <col min="1050" max="1050" width="9.109375" style="2"/>
    <col min="1051" max="1054" width="0" style="2" hidden="1" customWidth="1"/>
    <col min="1055" max="1055" width="9.33203125" style="2" customWidth="1"/>
    <col min="1056" max="1056" width="0" style="2" hidden="1" customWidth="1"/>
    <col min="1057" max="1057" width="9.33203125" style="2" customWidth="1"/>
    <col min="1058" max="1058" width="0" style="2" hidden="1" customWidth="1"/>
    <col min="1059" max="1059" width="9.33203125" style="2" customWidth="1"/>
    <col min="1060" max="1062" width="0" style="2" hidden="1" customWidth="1"/>
    <col min="1063" max="1071" width="9" style="2" customWidth="1"/>
    <col min="1072" max="1074" width="0" style="2" hidden="1" customWidth="1"/>
    <col min="1075" max="1077" width="9.44140625" style="2" customWidth="1"/>
    <col min="1078" max="1085" width="0" style="2" hidden="1" customWidth="1"/>
    <col min="1086" max="1086" width="12.109375" style="2" customWidth="1"/>
    <col min="1087" max="1087" width="9.44140625" style="2" customWidth="1"/>
    <col min="1088" max="1276" width="9.109375" style="2"/>
    <col min="1277" max="1277" width="9.44140625" style="2" customWidth="1"/>
    <col min="1278" max="1280" width="7.6640625" style="2" customWidth="1"/>
    <col min="1281" max="1281" width="0" style="2" hidden="1" customWidth="1"/>
    <col min="1282" max="1284" width="26.44140625" style="2" customWidth="1"/>
    <col min="1285" max="1285" width="13.5546875" style="2" customWidth="1"/>
    <col min="1286" max="1286" width="0" style="2" hidden="1" customWidth="1"/>
    <col min="1287" max="1287" width="15.88671875" style="2" customWidth="1"/>
    <col min="1288" max="1290" width="11.109375" style="2" customWidth="1"/>
    <col min="1291" max="1296" width="8" style="2" customWidth="1"/>
    <col min="1297" max="1297" width="0" style="2" hidden="1" customWidth="1"/>
    <col min="1298" max="1301" width="8" style="2" customWidth="1"/>
    <col min="1302" max="1302" width="0" style="2" hidden="1" customWidth="1"/>
    <col min="1303" max="1304" width="10.88671875" style="2" customWidth="1"/>
    <col min="1305" max="1305" width="20.44140625" style="2" customWidth="1"/>
    <col min="1306" max="1306" width="9.109375" style="2"/>
    <col min="1307" max="1310" width="0" style="2" hidden="1" customWidth="1"/>
    <col min="1311" max="1311" width="9.33203125" style="2" customWidth="1"/>
    <col min="1312" max="1312" width="0" style="2" hidden="1" customWidth="1"/>
    <col min="1313" max="1313" width="9.33203125" style="2" customWidth="1"/>
    <col min="1314" max="1314" width="0" style="2" hidden="1" customWidth="1"/>
    <col min="1315" max="1315" width="9.33203125" style="2" customWidth="1"/>
    <col min="1316" max="1318" width="0" style="2" hidden="1" customWidth="1"/>
    <col min="1319" max="1327" width="9" style="2" customWidth="1"/>
    <col min="1328" max="1330" width="0" style="2" hidden="1" customWidth="1"/>
    <col min="1331" max="1333" width="9.44140625" style="2" customWidth="1"/>
    <col min="1334" max="1341" width="0" style="2" hidden="1" customWidth="1"/>
    <col min="1342" max="1342" width="12.109375" style="2" customWidth="1"/>
    <col min="1343" max="1343" width="9.44140625" style="2" customWidth="1"/>
    <col min="1344" max="1532" width="9.109375" style="2"/>
    <col min="1533" max="1533" width="9.44140625" style="2" customWidth="1"/>
    <col min="1534" max="1536" width="7.6640625" style="2" customWidth="1"/>
    <col min="1537" max="1537" width="0" style="2" hidden="1" customWidth="1"/>
    <col min="1538" max="1540" width="26.44140625" style="2" customWidth="1"/>
    <col min="1541" max="1541" width="13.5546875" style="2" customWidth="1"/>
    <col min="1542" max="1542" width="0" style="2" hidden="1" customWidth="1"/>
    <col min="1543" max="1543" width="15.88671875" style="2" customWidth="1"/>
    <col min="1544" max="1546" width="11.109375" style="2" customWidth="1"/>
    <col min="1547" max="1552" width="8" style="2" customWidth="1"/>
    <col min="1553" max="1553" width="0" style="2" hidden="1" customWidth="1"/>
    <col min="1554" max="1557" width="8" style="2" customWidth="1"/>
    <col min="1558" max="1558" width="0" style="2" hidden="1" customWidth="1"/>
    <col min="1559" max="1560" width="10.88671875" style="2" customWidth="1"/>
    <col min="1561" max="1561" width="20.44140625" style="2" customWidth="1"/>
    <col min="1562" max="1562" width="9.109375" style="2"/>
    <col min="1563" max="1566" width="0" style="2" hidden="1" customWidth="1"/>
    <col min="1567" max="1567" width="9.33203125" style="2" customWidth="1"/>
    <col min="1568" max="1568" width="0" style="2" hidden="1" customWidth="1"/>
    <col min="1569" max="1569" width="9.33203125" style="2" customWidth="1"/>
    <col min="1570" max="1570" width="0" style="2" hidden="1" customWidth="1"/>
    <col min="1571" max="1571" width="9.33203125" style="2" customWidth="1"/>
    <col min="1572" max="1574" width="0" style="2" hidden="1" customWidth="1"/>
    <col min="1575" max="1583" width="9" style="2" customWidth="1"/>
    <col min="1584" max="1586" width="0" style="2" hidden="1" customWidth="1"/>
    <col min="1587" max="1589" width="9.44140625" style="2" customWidth="1"/>
    <col min="1590" max="1597" width="0" style="2" hidden="1" customWidth="1"/>
    <col min="1598" max="1598" width="12.109375" style="2" customWidth="1"/>
    <col min="1599" max="1599" width="9.44140625" style="2" customWidth="1"/>
    <col min="1600" max="1788" width="9.109375" style="2"/>
    <col min="1789" max="1789" width="9.44140625" style="2" customWidth="1"/>
    <col min="1790" max="1792" width="7.6640625" style="2" customWidth="1"/>
    <col min="1793" max="1793" width="0" style="2" hidden="1" customWidth="1"/>
    <col min="1794" max="1796" width="26.44140625" style="2" customWidth="1"/>
    <col min="1797" max="1797" width="13.5546875" style="2" customWidth="1"/>
    <col min="1798" max="1798" width="0" style="2" hidden="1" customWidth="1"/>
    <col min="1799" max="1799" width="15.88671875" style="2" customWidth="1"/>
    <col min="1800" max="1802" width="11.109375" style="2" customWidth="1"/>
    <col min="1803" max="1808" width="8" style="2" customWidth="1"/>
    <col min="1809" max="1809" width="0" style="2" hidden="1" customWidth="1"/>
    <col min="1810" max="1813" width="8" style="2" customWidth="1"/>
    <col min="1814" max="1814" width="0" style="2" hidden="1" customWidth="1"/>
    <col min="1815" max="1816" width="10.88671875" style="2" customWidth="1"/>
    <col min="1817" max="1817" width="20.44140625" style="2" customWidth="1"/>
    <col min="1818" max="1818" width="9.109375" style="2"/>
    <col min="1819" max="1822" width="0" style="2" hidden="1" customWidth="1"/>
    <col min="1823" max="1823" width="9.33203125" style="2" customWidth="1"/>
    <col min="1824" max="1824" width="0" style="2" hidden="1" customWidth="1"/>
    <col min="1825" max="1825" width="9.33203125" style="2" customWidth="1"/>
    <col min="1826" max="1826" width="0" style="2" hidden="1" customWidth="1"/>
    <col min="1827" max="1827" width="9.33203125" style="2" customWidth="1"/>
    <col min="1828" max="1830" width="0" style="2" hidden="1" customWidth="1"/>
    <col min="1831" max="1839" width="9" style="2" customWidth="1"/>
    <col min="1840" max="1842" width="0" style="2" hidden="1" customWidth="1"/>
    <col min="1843" max="1845" width="9.44140625" style="2" customWidth="1"/>
    <col min="1846" max="1853" width="0" style="2" hidden="1" customWidth="1"/>
    <col min="1854" max="1854" width="12.109375" style="2" customWidth="1"/>
    <col min="1855" max="1855" width="9.44140625" style="2" customWidth="1"/>
    <col min="1856" max="2044" width="9.109375" style="2"/>
    <col min="2045" max="2045" width="9.44140625" style="2" customWidth="1"/>
    <col min="2046" max="2048" width="7.6640625" style="2" customWidth="1"/>
    <col min="2049" max="2049" width="0" style="2" hidden="1" customWidth="1"/>
    <col min="2050" max="2052" width="26.44140625" style="2" customWidth="1"/>
    <col min="2053" max="2053" width="13.5546875" style="2" customWidth="1"/>
    <col min="2054" max="2054" width="0" style="2" hidden="1" customWidth="1"/>
    <col min="2055" max="2055" width="15.88671875" style="2" customWidth="1"/>
    <col min="2056" max="2058" width="11.109375" style="2" customWidth="1"/>
    <col min="2059" max="2064" width="8" style="2" customWidth="1"/>
    <col min="2065" max="2065" width="0" style="2" hidden="1" customWidth="1"/>
    <col min="2066" max="2069" width="8" style="2" customWidth="1"/>
    <col min="2070" max="2070" width="0" style="2" hidden="1" customWidth="1"/>
    <col min="2071" max="2072" width="10.88671875" style="2" customWidth="1"/>
    <col min="2073" max="2073" width="20.44140625" style="2" customWidth="1"/>
    <col min="2074" max="2074" width="9.109375" style="2"/>
    <col min="2075" max="2078" width="0" style="2" hidden="1" customWidth="1"/>
    <col min="2079" max="2079" width="9.33203125" style="2" customWidth="1"/>
    <col min="2080" max="2080" width="0" style="2" hidden="1" customWidth="1"/>
    <col min="2081" max="2081" width="9.33203125" style="2" customWidth="1"/>
    <col min="2082" max="2082" width="0" style="2" hidden="1" customWidth="1"/>
    <col min="2083" max="2083" width="9.33203125" style="2" customWidth="1"/>
    <col min="2084" max="2086" width="0" style="2" hidden="1" customWidth="1"/>
    <col min="2087" max="2095" width="9" style="2" customWidth="1"/>
    <col min="2096" max="2098" width="0" style="2" hidden="1" customWidth="1"/>
    <col min="2099" max="2101" width="9.44140625" style="2" customWidth="1"/>
    <col min="2102" max="2109" width="0" style="2" hidden="1" customWidth="1"/>
    <col min="2110" max="2110" width="12.109375" style="2" customWidth="1"/>
    <col min="2111" max="2111" width="9.44140625" style="2" customWidth="1"/>
    <col min="2112" max="2300" width="9.109375" style="2"/>
    <col min="2301" max="2301" width="9.44140625" style="2" customWidth="1"/>
    <col min="2302" max="2304" width="7.6640625" style="2" customWidth="1"/>
    <col min="2305" max="2305" width="0" style="2" hidden="1" customWidth="1"/>
    <col min="2306" max="2308" width="26.44140625" style="2" customWidth="1"/>
    <col min="2309" max="2309" width="13.5546875" style="2" customWidth="1"/>
    <col min="2310" max="2310" width="0" style="2" hidden="1" customWidth="1"/>
    <col min="2311" max="2311" width="15.88671875" style="2" customWidth="1"/>
    <col min="2312" max="2314" width="11.109375" style="2" customWidth="1"/>
    <col min="2315" max="2320" width="8" style="2" customWidth="1"/>
    <col min="2321" max="2321" width="0" style="2" hidden="1" customWidth="1"/>
    <col min="2322" max="2325" width="8" style="2" customWidth="1"/>
    <col min="2326" max="2326" width="0" style="2" hidden="1" customWidth="1"/>
    <col min="2327" max="2328" width="10.88671875" style="2" customWidth="1"/>
    <col min="2329" max="2329" width="20.44140625" style="2" customWidth="1"/>
    <col min="2330" max="2330" width="9.109375" style="2"/>
    <col min="2331" max="2334" width="0" style="2" hidden="1" customWidth="1"/>
    <col min="2335" max="2335" width="9.33203125" style="2" customWidth="1"/>
    <col min="2336" max="2336" width="0" style="2" hidden="1" customWidth="1"/>
    <col min="2337" max="2337" width="9.33203125" style="2" customWidth="1"/>
    <col min="2338" max="2338" width="0" style="2" hidden="1" customWidth="1"/>
    <col min="2339" max="2339" width="9.33203125" style="2" customWidth="1"/>
    <col min="2340" max="2342" width="0" style="2" hidden="1" customWidth="1"/>
    <col min="2343" max="2351" width="9" style="2" customWidth="1"/>
    <col min="2352" max="2354" width="0" style="2" hidden="1" customWidth="1"/>
    <col min="2355" max="2357" width="9.44140625" style="2" customWidth="1"/>
    <col min="2358" max="2365" width="0" style="2" hidden="1" customWidth="1"/>
    <col min="2366" max="2366" width="12.109375" style="2" customWidth="1"/>
    <col min="2367" max="2367" width="9.44140625" style="2" customWidth="1"/>
    <col min="2368" max="2556" width="9.109375" style="2"/>
    <col min="2557" max="2557" width="9.44140625" style="2" customWidth="1"/>
    <col min="2558" max="2560" width="7.6640625" style="2" customWidth="1"/>
    <col min="2561" max="2561" width="0" style="2" hidden="1" customWidth="1"/>
    <col min="2562" max="2564" width="26.44140625" style="2" customWidth="1"/>
    <col min="2565" max="2565" width="13.5546875" style="2" customWidth="1"/>
    <col min="2566" max="2566" width="0" style="2" hidden="1" customWidth="1"/>
    <col min="2567" max="2567" width="15.88671875" style="2" customWidth="1"/>
    <col min="2568" max="2570" width="11.109375" style="2" customWidth="1"/>
    <col min="2571" max="2576" width="8" style="2" customWidth="1"/>
    <col min="2577" max="2577" width="0" style="2" hidden="1" customWidth="1"/>
    <col min="2578" max="2581" width="8" style="2" customWidth="1"/>
    <col min="2582" max="2582" width="0" style="2" hidden="1" customWidth="1"/>
    <col min="2583" max="2584" width="10.88671875" style="2" customWidth="1"/>
    <col min="2585" max="2585" width="20.44140625" style="2" customWidth="1"/>
    <col min="2586" max="2586" width="9.109375" style="2"/>
    <col min="2587" max="2590" width="0" style="2" hidden="1" customWidth="1"/>
    <col min="2591" max="2591" width="9.33203125" style="2" customWidth="1"/>
    <col min="2592" max="2592" width="0" style="2" hidden="1" customWidth="1"/>
    <col min="2593" max="2593" width="9.33203125" style="2" customWidth="1"/>
    <col min="2594" max="2594" width="0" style="2" hidden="1" customWidth="1"/>
    <col min="2595" max="2595" width="9.33203125" style="2" customWidth="1"/>
    <col min="2596" max="2598" width="0" style="2" hidden="1" customWidth="1"/>
    <col min="2599" max="2607" width="9" style="2" customWidth="1"/>
    <col min="2608" max="2610" width="0" style="2" hidden="1" customWidth="1"/>
    <col min="2611" max="2613" width="9.44140625" style="2" customWidth="1"/>
    <col min="2614" max="2621" width="0" style="2" hidden="1" customWidth="1"/>
    <col min="2622" max="2622" width="12.109375" style="2" customWidth="1"/>
    <col min="2623" max="2623" width="9.44140625" style="2" customWidth="1"/>
    <col min="2624" max="2812" width="9.109375" style="2"/>
    <col min="2813" max="2813" width="9.44140625" style="2" customWidth="1"/>
    <col min="2814" max="2816" width="7.6640625" style="2" customWidth="1"/>
    <col min="2817" max="2817" width="0" style="2" hidden="1" customWidth="1"/>
    <col min="2818" max="2820" width="26.44140625" style="2" customWidth="1"/>
    <col min="2821" max="2821" width="13.5546875" style="2" customWidth="1"/>
    <col min="2822" max="2822" width="0" style="2" hidden="1" customWidth="1"/>
    <col min="2823" max="2823" width="15.88671875" style="2" customWidth="1"/>
    <col min="2824" max="2826" width="11.109375" style="2" customWidth="1"/>
    <col min="2827" max="2832" width="8" style="2" customWidth="1"/>
    <col min="2833" max="2833" width="0" style="2" hidden="1" customWidth="1"/>
    <col min="2834" max="2837" width="8" style="2" customWidth="1"/>
    <col min="2838" max="2838" width="0" style="2" hidden="1" customWidth="1"/>
    <col min="2839" max="2840" width="10.88671875" style="2" customWidth="1"/>
    <col min="2841" max="2841" width="20.44140625" style="2" customWidth="1"/>
    <col min="2842" max="2842" width="9.109375" style="2"/>
    <col min="2843" max="2846" width="0" style="2" hidden="1" customWidth="1"/>
    <col min="2847" max="2847" width="9.33203125" style="2" customWidth="1"/>
    <col min="2848" max="2848" width="0" style="2" hidden="1" customWidth="1"/>
    <col min="2849" max="2849" width="9.33203125" style="2" customWidth="1"/>
    <col min="2850" max="2850" width="0" style="2" hidden="1" customWidth="1"/>
    <col min="2851" max="2851" width="9.33203125" style="2" customWidth="1"/>
    <col min="2852" max="2854" width="0" style="2" hidden="1" customWidth="1"/>
    <col min="2855" max="2863" width="9" style="2" customWidth="1"/>
    <col min="2864" max="2866" width="0" style="2" hidden="1" customWidth="1"/>
    <col min="2867" max="2869" width="9.44140625" style="2" customWidth="1"/>
    <col min="2870" max="2877" width="0" style="2" hidden="1" customWidth="1"/>
    <col min="2878" max="2878" width="12.109375" style="2" customWidth="1"/>
    <col min="2879" max="2879" width="9.44140625" style="2" customWidth="1"/>
    <col min="2880" max="3068" width="9.109375" style="2"/>
    <col min="3069" max="3069" width="9.44140625" style="2" customWidth="1"/>
    <col min="3070" max="3072" width="7.6640625" style="2" customWidth="1"/>
    <col min="3073" max="3073" width="0" style="2" hidden="1" customWidth="1"/>
    <col min="3074" max="3076" width="26.44140625" style="2" customWidth="1"/>
    <col min="3077" max="3077" width="13.5546875" style="2" customWidth="1"/>
    <col min="3078" max="3078" width="0" style="2" hidden="1" customWidth="1"/>
    <col min="3079" max="3079" width="15.88671875" style="2" customWidth="1"/>
    <col min="3080" max="3082" width="11.109375" style="2" customWidth="1"/>
    <col min="3083" max="3088" width="8" style="2" customWidth="1"/>
    <col min="3089" max="3089" width="0" style="2" hidden="1" customWidth="1"/>
    <col min="3090" max="3093" width="8" style="2" customWidth="1"/>
    <col min="3094" max="3094" width="0" style="2" hidden="1" customWidth="1"/>
    <col min="3095" max="3096" width="10.88671875" style="2" customWidth="1"/>
    <col min="3097" max="3097" width="20.44140625" style="2" customWidth="1"/>
    <col min="3098" max="3098" width="9.109375" style="2"/>
    <col min="3099" max="3102" width="0" style="2" hidden="1" customWidth="1"/>
    <col min="3103" max="3103" width="9.33203125" style="2" customWidth="1"/>
    <col min="3104" max="3104" width="0" style="2" hidden="1" customWidth="1"/>
    <col min="3105" max="3105" width="9.33203125" style="2" customWidth="1"/>
    <col min="3106" max="3106" width="0" style="2" hidden="1" customWidth="1"/>
    <col min="3107" max="3107" width="9.33203125" style="2" customWidth="1"/>
    <col min="3108" max="3110" width="0" style="2" hidden="1" customWidth="1"/>
    <col min="3111" max="3119" width="9" style="2" customWidth="1"/>
    <col min="3120" max="3122" width="0" style="2" hidden="1" customWidth="1"/>
    <col min="3123" max="3125" width="9.44140625" style="2" customWidth="1"/>
    <col min="3126" max="3133" width="0" style="2" hidden="1" customWidth="1"/>
    <col min="3134" max="3134" width="12.109375" style="2" customWidth="1"/>
    <col min="3135" max="3135" width="9.44140625" style="2" customWidth="1"/>
    <col min="3136" max="3324" width="9.109375" style="2"/>
    <col min="3325" max="3325" width="9.44140625" style="2" customWidth="1"/>
    <col min="3326" max="3328" width="7.6640625" style="2" customWidth="1"/>
    <col min="3329" max="3329" width="0" style="2" hidden="1" customWidth="1"/>
    <col min="3330" max="3332" width="26.44140625" style="2" customWidth="1"/>
    <col min="3333" max="3333" width="13.5546875" style="2" customWidth="1"/>
    <col min="3334" max="3334" width="0" style="2" hidden="1" customWidth="1"/>
    <col min="3335" max="3335" width="15.88671875" style="2" customWidth="1"/>
    <col min="3336" max="3338" width="11.109375" style="2" customWidth="1"/>
    <col min="3339" max="3344" width="8" style="2" customWidth="1"/>
    <col min="3345" max="3345" width="0" style="2" hidden="1" customWidth="1"/>
    <col min="3346" max="3349" width="8" style="2" customWidth="1"/>
    <col min="3350" max="3350" width="0" style="2" hidden="1" customWidth="1"/>
    <col min="3351" max="3352" width="10.88671875" style="2" customWidth="1"/>
    <col min="3353" max="3353" width="20.44140625" style="2" customWidth="1"/>
    <col min="3354" max="3354" width="9.109375" style="2"/>
    <col min="3355" max="3358" width="0" style="2" hidden="1" customWidth="1"/>
    <col min="3359" max="3359" width="9.33203125" style="2" customWidth="1"/>
    <col min="3360" max="3360" width="0" style="2" hidden="1" customWidth="1"/>
    <col min="3361" max="3361" width="9.33203125" style="2" customWidth="1"/>
    <col min="3362" max="3362" width="0" style="2" hidden="1" customWidth="1"/>
    <col min="3363" max="3363" width="9.33203125" style="2" customWidth="1"/>
    <col min="3364" max="3366" width="0" style="2" hidden="1" customWidth="1"/>
    <col min="3367" max="3375" width="9" style="2" customWidth="1"/>
    <col min="3376" max="3378" width="0" style="2" hidden="1" customWidth="1"/>
    <col min="3379" max="3381" width="9.44140625" style="2" customWidth="1"/>
    <col min="3382" max="3389" width="0" style="2" hidden="1" customWidth="1"/>
    <col min="3390" max="3390" width="12.109375" style="2" customWidth="1"/>
    <col min="3391" max="3391" width="9.44140625" style="2" customWidth="1"/>
    <col min="3392" max="3580" width="9.109375" style="2"/>
    <col min="3581" max="3581" width="9.44140625" style="2" customWidth="1"/>
    <col min="3582" max="3584" width="7.6640625" style="2" customWidth="1"/>
    <col min="3585" max="3585" width="0" style="2" hidden="1" customWidth="1"/>
    <col min="3586" max="3588" width="26.44140625" style="2" customWidth="1"/>
    <col min="3589" max="3589" width="13.5546875" style="2" customWidth="1"/>
    <col min="3590" max="3590" width="0" style="2" hidden="1" customWidth="1"/>
    <col min="3591" max="3591" width="15.88671875" style="2" customWidth="1"/>
    <col min="3592" max="3594" width="11.109375" style="2" customWidth="1"/>
    <col min="3595" max="3600" width="8" style="2" customWidth="1"/>
    <col min="3601" max="3601" width="0" style="2" hidden="1" customWidth="1"/>
    <col min="3602" max="3605" width="8" style="2" customWidth="1"/>
    <col min="3606" max="3606" width="0" style="2" hidden="1" customWidth="1"/>
    <col min="3607" max="3608" width="10.88671875" style="2" customWidth="1"/>
    <col min="3609" max="3609" width="20.44140625" style="2" customWidth="1"/>
    <col min="3610" max="3610" width="9.109375" style="2"/>
    <col min="3611" max="3614" width="0" style="2" hidden="1" customWidth="1"/>
    <col min="3615" max="3615" width="9.33203125" style="2" customWidth="1"/>
    <col min="3616" max="3616" width="0" style="2" hidden="1" customWidth="1"/>
    <col min="3617" max="3617" width="9.33203125" style="2" customWidth="1"/>
    <col min="3618" max="3618" width="0" style="2" hidden="1" customWidth="1"/>
    <col min="3619" max="3619" width="9.33203125" style="2" customWidth="1"/>
    <col min="3620" max="3622" width="0" style="2" hidden="1" customWidth="1"/>
    <col min="3623" max="3631" width="9" style="2" customWidth="1"/>
    <col min="3632" max="3634" width="0" style="2" hidden="1" customWidth="1"/>
    <col min="3635" max="3637" width="9.44140625" style="2" customWidth="1"/>
    <col min="3638" max="3645" width="0" style="2" hidden="1" customWidth="1"/>
    <col min="3646" max="3646" width="12.109375" style="2" customWidth="1"/>
    <col min="3647" max="3647" width="9.44140625" style="2" customWidth="1"/>
    <col min="3648" max="3836" width="9.109375" style="2"/>
    <col min="3837" max="3837" width="9.44140625" style="2" customWidth="1"/>
    <col min="3838" max="3840" width="7.6640625" style="2" customWidth="1"/>
    <col min="3841" max="3841" width="0" style="2" hidden="1" customWidth="1"/>
    <col min="3842" max="3844" width="26.44140625" style="2" customWidth="1"/>
    <col min="3845" max="3845" width="13.5546875" style="2" customWidth="1"/>
    <col min="3846" max="3846" width="0" style="2" hidden="1" customWidth="1"/>
    <col min="3847" max="3847" width="15.88671875" style="2" customWidth="1"/>
    <col min="3848" max="3850" width="11.109375" style="2" customWidth="1"/>
    <col min="3851" max="3856" width="8" style="2" customWidth="1"/>
    <col min="3857" max="3857" width="0" style="2" hidden="1" customWidth="1"/>
    <col min="3858" max="3861" width="8" style="2" customWidth="1"/>
    <col min="3862" max="3862" width="0" style="2" hidden="1" customWidth="1"/>
    <col min="3863" max="3864" width="10.88671875" style="2" customWidth="1"/>
    <col min="3865" max="3865" width="20.44140625" style="2" customWidth="1"/>
    <col min="3866" max="3866" width="9.109375" style="2"/>
    <col min="3867" max="3870" width="0" style="2" hidden="1" customWidth="1"/>
    <col min="3871" max="3871" width="9.33203125" style="2" customWidth="1"/>
    <col min="3872" max="3872" width="0" style="2" hidden="1" customWidth="1"/>
    <col min="3873" max="3873" width="9.33203125" style="2" customWidth="1"/>
    <col min="3874" max="3874" width="0" style="2" hidden="1" customWidth="1"/>
    <col min="3875" max="3875" width="9.33203125" style="2" customWidth="1"/>
    <col min="3876" max="3878" width="0" style="2" hidden="1" customWidth="1"/>
    <col min="3879" max="3887" width="9" style="2" customWidth="1"/>
    <col min="3888" max="3890" width="0" style="2" hidden="1" customWidth="1"/>
    <col min="3891" max="3893" width="9.44140625" style="2" customWidth="1"/>
    <col min="3894" max="3901" width="0" style="2" hidden="1" customWidth="1"/>
    <col min="3902" max="3902" width="12.109375" style="2" customWidth="1"/>
    <col min="3903" max="3903" width="9.44140625" style="2" customWidth="1"/>
    <col min="3904" max="4092" width="9.109375" style="2"/>
    <col min="4093" max="4093" width="9.44140625" style="2" customWidth="1"/>
    <col min="4094" max="4096" width="7.6640625" style="2" customWidth="1"/>
    <col min="4097" max="4097" width="0" style="2" hidden="1" customWidth="1"/>
    <col min="4098" max="4100" width="26.44140625" style="2" customWidth="1"/>
    <col min="4101" max="4101" width="13.5546875" style="2" customWidth="1"/>
    <col min="4102" max="4102" width="0" style="2" hidden="1" customWidth="1"/>
    <col min="4103" max="4103" width="15.88671875" style="2" customWidth="1"/>
    <col min="4104" max="4106" width="11.109375" style="2" customWidth="1"/>
    <col min="4107" max="4112" width="8" style="2" customWidth="1"/>
    <col min="4113" max="4113" width="0" style="2" hidden="1" customWidth="1"/>
    <col min="4114" max="4117" width="8" style="2" customWidth="1"/>
    <col min="4118" max="4118" width="0" style="2" hidden="1" customWidth="1"/>
    <col min="4119" max="4120" width="10.88671875" style="2" customWidth="1"/>
    <col min="4121" max="4121" width="20.44140625" style="2" customWidth="1"/>
    <col min="4122" max="4122" width="9.109375" style="2"/>
    <col min="4123" max="4126" width="0" style="2" hidden="1" customWidth="1"/>
    <col min="4127" max="4127" width="9.33203125" style="2" customWidth="1"/>
    <col min="4128" max="4128" width="0" style="2" hidden="1" customWidth="1"/>
    <col min="4129" max="4129" width="9.33203125" style="2" customWidth="1"/>
    <col min="4130" max="4130" width="0" style="2" hidden="1" customWidth="1"/>
    <col min="4131" max="4131" width="9.33203125" style="2" customWidth="1"/>
    <col min="4132" max="4134" width="0" style="2" hidden="1" customWidth="1"/>
    <col min="4135" max="4143" width="9" style="2" customWidth="1"/>
    <col min="4144" max="4146" width="0" style="2" hidden="1" customWidth="1"/>
    <col min="4147" max="4149" width="9.44140625" style="2" customWidth="1"/>
    <col min="4150" max="4157" width="0" style="2" hidden="1" customWidth="1"/>
    <col min="4158" max="4158" width="12.109375" style="2" customWidth="1"/>
    <col min="4159" max="4159" width="9.44140625" style="2" customWidth="1"/>
    <col min="4160" max="4348" width="9.109375" style="2"/>
    <col min="4349" max="4349" width="9.44140625" style="2" customWidth="1"/>
    <col min="4350" max="4352" width="7.6640625" style="2" customWidth="1"/>
    <col min="4353" max="4353" width="0" style="2" hidden="1" customWidth="1"/>
    <col min="4354" max="4356" width="26.44140625" style="2" customWidth="1"/>
    <col min="4357" max="4357" width="13.5546875" style="2" customWidth="1"/>
    <col min="4358" max="4358" width="0" style="2" hidden="1" customWidth="1"/>
    <col min="4359" max="4359" width="15.88671875" style="2" customWidth="1"/>
    <col min="4360" max="4362" width="11.109375" style="2" customWidth="1"/>
    <col min="4363" max="4368" width="8" style="2" customWidth="1"/>
    <col min="4369" max="4369" width="0" style="2" hidden="1" customWidth="1"/>
    <col min="4370" max="4373" width="8" style="2" customWidth="1"/>
    <col min="4374" max="4374" width="0" style="2" hidden="1" customWidth="1"/>
    <col min="4375" max="4376" width="10.88671875" style="2" customWidth="1"/>
    <col min="4377" max="4377" width="20.44140625" style="2" customWidth="1"/>
    <col min="4378" max="4378" width="9.109375" style="2"/>
    <col min="4379" max="4382" width="0" style="2" hidden="1" customWidth="1"/>
    <col min="4383" max="4383" width="9.33203125" style="2" customWidth="1"/>
    <col min="4384" max="4384" width="0" style="2" hidden="1" customWidth="1"/>
    <col min="4385" max="4385" width="9.33203125" style="2" customWidth="1"/>
    <col min="4386" max="4386" width="0" style="2" hidden="1" customWidth="1"/>
    <col min="4387" max="4387" width="9.33203125" style="2" customWidth="1"/>
    <col min="4388" max="4390" width="0" style="2" hidden="1" customWidth="1"/>
    <col min="4391" max="4399" width="9" style="2" customWidth="1"/>
    <col min="4400" max="4402" width="0" style="2" hidden="1" customWidth="1"/>
    <col min="4403" max="4405" width="9.44140625" style="2" customWidth="1"/>
    <col min="4406" max="4413" width="0" style="2" hidden="1" customWidth="1"/>
    <col min="4414" max="4414" width="12.109375" style="2" customWidth="1"/>
    <col min="4415" max="4415" width="9.44140625" style="2" customWidth="1"/>
    <col min="4416" max="4604" width="9.109375" style="2"/>
    <col min="4605" max="4605" width="9.44140625" style="2" customWidth="1"/>
    <col min="4606" max="4608" width="7.6640625" style="2" customWidth="1"/>
    <col min="4609" max="4609" width="0" style="2" hidden="1" customWidth="1"/>
    <col min="4610" max="4612" width="26.44140625" style="2" customWidth="1"/>
    <col min="4613" max="4613" width="13.5546875" style="2" customWidth="1"/>
    <col min="4614" max="4614" width="0" style="2" hidden="1" customWidth="1"/>
    <col min="4615" max="4615" width="15.88671875" style="2" customWidth="1"/>
    <col min="4616" max="4618" width="11.109375" style="2" customWidth="1"/>
    <col min="4619" max="4624" width="8" style="2" customWidth="1"/>
    <col min="4625" max="4625" width="0" style="2" hidden="1" customWidth="1"/>
    <col min="4626" max="4629" width="8" style="2" customWidth="1"/>
    <col min="4630" max="4630" width="0" style="2" hidden="1" customWidth="1"/>
    <col min="4631" max="4632" width="10.88671875" style="2" customWidth="1"/>
    <col min="4633" max="4633" width="20.44140625" style="2" customWidth="1"/>
    <col min="4634" max="4634" width="9.109375" style="2"/>
    <col min="4635" max="4638" width="0" style="2" hidden="1" customWidth="1"/>
    <col min="4639" max="4639" width="9.33203125" style="2" customWidth="1"/>
    <col min="4640" max="4640" width="0" style="2" hidden="1" customWidth="1"/>
    <col min="4641" max="4641" width="9.33203125" style="2" customWidth="1"/>
    <col min="4642" max="4642" width="0" style="2" hidden="1" customWidth="1"/>
    <col min="4643" max="4643" width="9.33203125" style="2" customWidth="1"/>
    <col min="4644" max="4646" width="0" style="2" hidden="1" customWidth="1"/>
    <col min="4647" max="4655" width="9" style="2" customWidth="1"/>
    <col min="4656" max="4658" width="0" style="2" hidden="1" customWidth="1"/>
    <col min="4659" max="4661" width="9.44140625" style="2" customWidth="1"/>
    <col min="4662" max="4669" width="0" style="2" hidden="1" customWidth="1"/>
    <col min="4670" max="4670" width="12.109375" style="2" customWidth="1"/>
    <col min="4671" max="4671" width="9.44140625" style="2" customWidth="1"/>
    <col min="4672" max="4860" width="9.109375" style="2"/>
    <col min="4861" max="4861" width="9.44140625" style="2" customWidth="1"/>
    <col min="4862" max="4864" width="7.6640625" style="2" customWidth="1"/>
    <col min="4865" max="4865" width="0" style="2" hidden="1" customWidth="1"/>
    <col min="4866" max="4868" width="26.44140625" style="2" customWidth="1"/>
    <col min="4869" max="4869" width="13.5546875" style="2" customWidth="1"/>
    <col min="4870" max="4870" width="0" style="2" hidden="1" customWidth="1"/>
    <col min="4871" max="4871" width="15.88671875" style="2" customWidth="1"/>
    <col min="4872" max="4874" width="11.109375" style="2" customWidth="1"/>
    <col min="4875" max="4880" width="8" style="2" customWidth="1"/>
    <col min="4881" max="4881" width="0" style="2" hidden="1" customWidth="1"/>
    <col min="4882" max="4885" width="8" style="2" customWidth="1"/>
    <col min="4886" max="4886" width="0" style="2" hidden="1" customWidth="1"/>
    <col min="4887" max="4888" width="10.88671875" style="2" customWidth="1"/>
    <col min="4889" max="4889" width="20.44140625" style="2" customWidth="1"/>
    <col min="4890" max="4890" width="9.109375" style="2"/>
    <col min="4891" max="4894" width="0" style="2" hidden="1" customWidth="1"/>
    <col min="4895" max="4895" width="9.33203125" style="2" customWidth="1"/>
    <col min="4896" max="4896" width="0" style="2" hidden="1" customWidth="1"/>
    <col min="4897" max="4897" width="9.33203125" style="2" customWidth="1"/>
    <col min="4898" max="4898" width="0" style="2" hidden="1" customWidth="1"/>
    <col min="4899" max="4899" width="9.33203125" style="2" customWidth="1"/>
    <col min="4900" max="4902" width="0" style="2" hidden="1" customWidth="1"/>
    <col min="4903" max="4911" width="9" style="2" customWidth="1"/>
    <col min="4912" max="4914" width="0" style="2" hidden="1" customWidth="1"/>
    <col min="4915" max="4917" width="9.44140625" style="2" customWidth="1"/>
    <col min="4918" max="4925" width="0" style="2" hidden="1" customWidth="1"/>
    <col min="4926" max="4926" width="12.109375" style="2" customWidth="1"/>
    <col min="4927" max="4927" width="9.44140625" style="2" customWidth="1"/>
    <col min="4928" max="5116" width="9.109375" style="2"/>
    <col min="5117" max="5117" width="9.44140625" style="2" customWidth="1"/>
    <col min="5118" max="5120" width="7.6640625" style="2" customWidth="1"/>
    <col min="5121" max="5121" width="0" style="2" hidden="1" customWidth="1"/>
    <col min="5122" max="5124" width="26.44140625" style="2" customWidth="1"/>
    <col min="5125" max="5125" width="13.5546875" style="2" customWidth="1"/>
    <col min="5126" max="5126" width="0" style="2" hidden="1" customWidth="1"/>
    <col min="5127" max="5127" width="15.88671875" style="2" customWidth="1"/>
    <col min="5128" max="5130" width="11.109375" style="2" customWidth="1"/>
    <col min="5131" max="5136" width="8" style="2" customWidth="1"/>
    <col min="5137" max="5137" width="0" style="2" hidden="1" customWidth="1"/>
    <col min="5138" max="5141" width="8" style="2" customWidth="1"/>
    <col min="5142" max="5142" width="0" style="2" hidden="1" customWidth="1"/>
    <col min="5143" max="5144" width="10.88671875" style="2" customWidth="1"/>
    <col min="5145" max="5145" width="20.44140625" style="2" customWidth="1"/>
    <col min="5146" max="5146" width="9.109375" style="2"/>
    <col min="5147" max="5150" width="0" style="2" hidden="1" customWidth="1"/>
    <col min="5151" max="5151" width="9.33203125" style="2" customWidth="1"/>
    <col min="5152" max="5152" width="0" style="2" hidden="1" customWidth="1"/>
    <col min="5153" max="5153" width="9.33203125" style="2" customWidth="1"/>
    <col min="5154" max="5154" width="0" style="2" hidden="1" customWidth="1"/>
    <col min="5155" max="5155" width="9.33203125" style="2" customWidth="1"/>
    <col min="5156" max="5158" width="0" style="2" hidden="1" customWidth="1"/>
    <col min="5159" max="5167" width="9" style="2" customWidth="1"/>
    <col min="5168" max="5170" width="0" style="2" hidden="1" customWidth="1"/>
    <col min="5171" max="5173" width="9.44140625" style="2" customWidth="1"/>
    <col min="5174" max="5181" width="0" style="2" hidden="1" customWidth="1"/>
    <col min="5182" max="5182" width="12.109375" style="2" customWidth="1"/>
    <col min="5183" max="5183" width="9.44140625" style="2" customWidth="1"/>
    <col min="5184" max="5372" width="9.109375" style="2"/>
    <col min="5373" max="5373" width="9.44140625" style="2" customWidth="1"/>
    <col min="5374" max="5376" width="7.6640625" style="2" customWidth="1"/>
    <col min="5377" max="5377" width="0" style="2" hidden="1" customWidth="1"/>
    <col min="5378" max="5380" width="26.44140625" style="2" customWidth="1"/>
    <col min="5381" max="5381" width="13.5546875" style="2" customWidth="1"/>
    <col min="5382" max="5382" width="0" style="2" hidden="1" customWidth="1"/>
    <col min="5383" max="5383" width="15.88671875" style="2" customWidth="1"/>
    <col min="5384" max="5386" width="11.109375" style="2" customWidth="1"/>
    <col min="5387" max="5392" width="8" style="2" customWidth="1"/>
    <col min="5393" max="5393" width="0" style="2" hidden="1" customWidth="1"/>
    <col min="5394" max="5397" width="8" style="2" customWidth="1"/>
    <col min="5398" max="5398" width="0" style="2" hidden="1" customWidth="1"/>
    <col min="5399" max="5400" width="10.88671875" style="2" customWidth="1"/>
    <col min="5401" max="5401" width="20.44140625" style="2" customWidth="1"/>
    <col min="5402" max="5402" width="9.109375" style="2"/>
    <col min="5403" max="5406" width="0" style="2" hidden="1" customWidth="1"/>
    <col min="5407" max="5407" width="9.33203125" style="2" customWidth="1"/>
    <col min="5408" max="5408" width="0" style="2" hidden="1" customWidth="1"/>
    <col min="5409" max="5409" width="9.33203125" style="2" customWidth="1"/>
    <col min="5410" max="5410" width="0" style="2" hidden="1" customWidth="1"/>
    <col min="5411" max="5411" width="9.33203125" style="2" customWidth="1"/>
    <col min="5412" max="5414" width="0" style="2" hidden="1" customWidth="1"/>
    <col min="5415" max="5423" width="9" style="2" customWidth="1"/>
    <col min="5424" max="5426" width="0" style="2" hidden="1" customWidth="1"/>
    <col min="5427" max="5429" width="9.44140625" style="2" customWidth="1"/>
    <col min="5430" max="5437" width="0" style="2" hidden="1" customWidth="1"/>
    <col min="5438" max="5438" width="12.109375" style="2" customWidth="1"/>
    <col min="5439" max="5439" width="9.44140625" style="2" customWidth="1"/>
    <col min="5440" max="5628" width="9.109375" style="2"/>
    <col min="5629" max="5629" width="9.44140625" style="2" customWidth="1"/>
    <col min="5630" max="5632" width="7.6640625" style="2" customWidth="1"/>
    <col min="5633" max="5633" width="0" style="2" hidden="1" customWidth="1"/>
    <col min="5634" max="5636" width="26.44140625" style="2" customWidth="1"/>
    <col min="5637" max="5637" width="13.5546875" style="2" customWidth="1"/>
    <col min="5638" max="5638" width="0" style="2" hidden="1" customWidth="1"/>
    <col min="5639" max="5639" width="15.88671875" style="2" customWidth="1"/>
    <col min="5640" max="5642" width="11.109375" style="2" customWidth="1"/>
    <col min="5643" max="5648" width="8" style="2" customWidth="1"/>
    <col min="5649" max="5649" width="0" style="2" hidden="1" customWidth="1"/>
    <col min="5650" max="5653" width="8" style="2" customWidth="1"/>
    <col min="5654" max="5654" width="0" style="2" hidden="1" customWidth="1"/>
    <col min="5655" max="5656" width="10.88671875" style="2" customWidth="1"/>
    <col min="5657" max="5657" width="20.44140625" style="2" customWidth="1"/>
    <col min="5658" max="5658" width="9.109375" style="2"/>
    <col min="5659" max="5662" width="0" style="2" hidden="1" customWidth="1"/>
    <col min="5663" max="5663" width="9.33203125" style="2" customWidth="1"/>
    <col min="5664" max="5664" width="0" style="2" hidden="1" customWidth="1"/>
    <col min="5665" max="5665" width="9.33203125" style="2" customWidth="1"/>
    <col min="5666" max="5666" width="0" style="2" hidden="1" customWidth="1"/>
    <col min="5667" max="5667" width="9.33203125" style="2" customWidth="1"/>
    <col min="5668" max="5670" width="0" style="2" hidden="1" customWidth="1"/>
    <col min="5671" max="5679" width="9" style="2" customWidth="1"/>
    <col min="5680" max="5682" width="0" style="2" hidden="1" customWidth="1"/>
    <col min="5683" max="5685" width="9.44140625" style="2" customWidth="1"/>
    <col min="5686" max="5693" width="0" style="2" hidden="1" customWidth="1"/>
    <col min="5694" max="5694" width="12.109375" style="2" customWidth="1"/>
    <col min="5695" max="5695" width="9.44140625" style="2" customWidth="1"/>
    <col min="5696" max="5884" width="9.109375" style="2"/>
    <col min="5885" max="5885" width="9.44140625" style="2" customWidth="1"/>
    <col min="5886" max="5888" width="7.6640625" style="2" customWidth="1"/>
    <col min="5889" max="5889" width="0" style="2" hidden="1" customWidth="1"/>
    <col min="5890" max="5892" width="26.44140625" style="2" customWidth="1"/>
    <col min="5893" max="5893" width="13.5546875" style="2" customWidth="1"/>
    <col min="5894" max="5894" width="0" style="2" hidden="1" customWidth="1"/>
    <col min="5895" max="5895" width="15.88671875" style="2" customWidth="1"/>
    <col min="5896" max="5898" width="11.109375" style="2" customWidth="1"/>
    <col min="5899" max="5904" width="8" style="2" customWidth="1"/>
    <col min="5905" max="5905" width="0" style="2" hidden="1" customWidth="1"/>
    <col min="5906" max="5909" width="8" style="2" customWidth="1"/>
    <col min="5910" max="5910" width="0" style="2" hidden="1" customWidth="1"/>
    <col min="5911" max="5912" width="10.88671875" style="2" customWidth="1"/>
    <col min="5913" max="5913" width="20.44140625" style="2" customWidth="1"/>
    <col min="5914" max="5914" width="9.109375" style="2"/>
    <col min="5915" max="5918" width="0" style="2" hidden="1" customWidth="1"/>
    <col min="5919" max="5919" width="9.33203125" style="2" customWidth="1"/>
    <col min="5920" max="5920" width="0" style="2" hidden="1" customWidth="1"/>
    <col min="5921" max="5921" width="9.33203125" style="2" customWidth="1"/>
    <col min="5922" max="5922" width="0" style="2" hidden="1" customWidth="1"/>
    <col min="5923" max="5923" width="9.33203125" style="2" customWidth="1"/>
    <col min="5924" max="5926" width="0" style="2" hidden="1" customWidth="1"/>
    <col min="5927" max="5935" width="9" style="2" customWidth="1"/>
    <col min="5936" max="5938" width="0" style="2" hidden="1" customWidth="1"/>
    <col min="5939" max="5941" width="9.44140625" style="2" customWidth="1"/>
    <col min="5942" max="5949" width="0" style="2" hidden="1" customWidth="1"/>
    <col min="5950" max="5950" width="12.109375" style="2" customWidth="1"/>
    <col min="5951" max="5951" width="9.44140625" style="2" customWidth="1"/>
    <col min="5952" max="6140" width="9.109375" style="2"/>
    <col min="6141" max="6141" width="9.44140625" style="2" customWidth="1"/>
    <col min="6142" max="6144" width="7.6640625" style="2" customWidth="1"/>
    <col min="6145" max="6145" width="0" style="2" hidden="1" customWidth="1"/>
    <col min="6146" max="6148" width="26.44140625" style="2" customWidth="1"/>
    <col min="6149" max="6149" width="13.5546875" style="2" customWidth="1"/>
    <col min="6150" max="6150" width="0" style="2" hidden="1" customWidth="1"/>
    <col min="6151" max="6151" width="15.88671875" style="2" customWidth="1"/>
    <col min="6152" max="6154" width="11.109375" style="2" customWidth="1"/>
    <col min="6155" max="6160" width="8" style="2" customWidth="1"/>
    <col min="6161" max="6161" width="0" style="2" hidden="1" customWidth="1"/>
    <col min="6162" max="6165" width="8" style="2" customWidth="1"/>
    <col min="6166" max="6166" width="0" style="2" hidden="1" customWidth="1"/>
    <col min="6167" max="6168" width="10.88671875" style="2" customWidth="1"/>
    <col min="6169" max="6169" width="20.44140625" style="2" customWidth="1"/>
    <col min="6170" max="6170" width="9.109375" style="2"/>
    <col min="6171" max="6174" width="0" style="2" hidden="1" customWidth="1"/>
    <col min="6175" max="6175" width="9.33203125" style="2" customWidth="1"/>
    <col min="6176" max="6176" width="0" style="2" hidden="1" customWidth="1"/>
    <col min="6177" max="6177" width="9.33203125" style="2" customWidth="1"/>
    <col min="6178" max="6178" width="0" style="2" hidden="1" customWidth="1"/>
    <col min="6179" max="6179" width="9.33203125" style="2" customWidth="1"/>
    <col min="6180" max="6182" width="0" style="2" hidden="1" customWidth="1"/>
    <col min="6183" max="6191" width="9" style="2" customWidth="1"/>
    <col min="6192" max="6194" width="0" style="2" hidden="1" customWidth="1"/>
    <col min="6195" max="6197" width="9.44140625" style="2" customWidth="1"/>
    <col min="6198" max="6205" width="0" style="2" hidden="1" customWidth="1"/>
    <col min="6206" max="6206" width="12.109375" style="2" customWidth="1"/>
    <col min="6207" max="6207" width="9.44140625" style="2" customWidth="1"/>
    <col min="6208" max="6396" width="9.109375" style="2"/>
    <col min="6397" max="6397" width="9.44140625" style="2" customWidth="1"/>
    <col min="6398" max="6400" width="7.6640625" style="2" customWidth="1"/>
    <col min="6401" max="6401" width="0" style="2" hidden="1" customWidth="1"/>
    <col min="6402" max="6404" width="26.44140625" style="2" customWidth="1"/>
    <col min="6405" max="6405" width="13.5546875" style="2" customWidth="1"/>
    <col min="6406" max="6406" width="0" style="2" hidden="1" customWidth="1"/>
    <col min="6407" max="6407" width="15.88671875" style="2" customWidth="1"/>
    <col min="6408" max="6410" width="11.109375" style="2" customWidth="1"/>
    <col min="6411" max="6416" width="8" style="2" customWidth="1"/>
    <col min="6417" max="6417" width="0" style="2" hidden="1" customWidth="1"/>
    <col min="6418" max="6421" width="8" style="2" customWidth="1"/>
    <col min="6422" max="6422" width="0" style="2" hidden="1" customWidth="1"/>
    <col min="6423" max="6424" width="10.88671875" style="2" customWidth="1"/>
    <col min="6425" max="6425" width="20.44140625" style="2" customWidth="1"/>
    <col min="6426" max="6426" width="9.109375" style="2"/>
    <col min="6427" max="6430" width="0" style="2" hidden="1" customWidth="1"/>
    <col min="6431" max="6431" width="9.33203125" style="2" customWidth="1"/>
    <col min="6432" max="6432" width="0" style="2" hidden="1" customWidth="1"/>
    <col min="6433" max="6433" width="9.33203125" style="2" customWidth="1"/>
    <col min="6434" max="6434" width="0" style="2" hidden="1" customWidth="1"/>
    <col min="6435" max="6435" width="9.33203125" style="2" customWidth="1"/>
    <col min="6436" max="6438" width="0" style="2" hidden="1" customWidth="1"/>
    <col min="6439" max="6447" width="9" style="2" customWidth="1"/>
    <col min="6448" max="6450" width="0" style="2" hidden="1" customWidth="1"/>
    <col min="6451" max="6453" width="9.44140625" style="2" customWidth="1"/>
    <col min="6454" max="6461" width="0" style="2" hidden="1" customWidth="1"/>
    <col min="6462" max="6462" width="12.109375" style="2" customWidth="1"/>
    <col min="6463" max="6463" width="9.44140625" style="2" customWidth="1"/>
    <col min="6464" max="6652" width="9.109375" style="2"/>
    <col min="6653" max="6653" width="9.44140625" style="2" customWidth="1"/>
    <col min="6654" max="6656" width="7.6640625" style="2" customWidth="1"/>
    <col min="6657" max="6657" width="0" style="2" hidden="1" customWidth="1"/>
    <col min="6658" max="6660" width="26.44140625" style="2" customWidth="1"/>
    <col min="6661" max="6661" width="13.5546875" style="2" customWidth="1"/>
    <col min="6662" max="6662" width="0" style="2" hidden="1" customWidth="1"/>
    <col min="6663" max="6663" width="15.88671875" style="2" customWidth="1"/>
    <col min="6664" max="6666" width="11.109375" style="2" customWidth="1"/>
    <col min="6667" max="6672" width="8" style="2" customWidth="1"/>
    <col min="6673" max="6673" width="0" style="2" hidden="1" customWidth="1"/>
    <col min="6674" max="6677" width="8" style="2" customWidth="1"/>
    <col min="6678" max="6678" width="0" style="2" hidden="1" customWidth="1"/>
    <col min="6679" max="6680" width="10.88671875" style="2" customWidth="1"/>
    <col min="6681" max="6681" width="20.44140625" style="2" customWidth="1"/>
    <col min="6682" max="6682" width="9.109375" style="2"/>
    <col min="6683" max="6686" width="0" style="2" hidden="1" customWidth="1"/>
    <col min="6687" max="6687" width="9.33203125" style="2" customWidth="1"/>
    <col min="6688" max="6688" width="0" style="2" hidden="1" customWidth="1"/>
    <col min="6689" max="6689" width="9.33203125" style="2" customWidth="1"/>
    <col min="6690" max="6690" width="0" style="2" hidden="1" customWidth="1"/>
    <col min="6691" max="6691" width="9.33203125" style="2" customWidth="1"/>
    <col min="6692" max="6694" width="0" style="2" hidden="1" customWidth="1"/>
    <col min="6695" max="6703" width="9" style="2" customWidth="1"/>
    <col min="6704" max="6706" width="0" style="2" hidden="1" customWidth="1"/>
    <col min="6707" max="6709" width="9.44140625" style="2" customWidth="1"/>
    <col min="6710" max="6717" width="0" style="2" hidden="1" customWidth="1"/>
    <col min="6718" max="6718" width="12.109375" style="2" customWidth="1"/>
    <col min="6719" max="6719" width="9.44140625" style="2" customWidth="1"/>
    <col min="6720" max="6908" width="9.109375" style="2"/>
    <col min="6909" max="6909" width="9.44140625" style="2" customWidth="1"/>
    <col min="6910" max="6912" width="7.6640625" style="2" customWidth="1"/>
    <col min="6913" max="6913" width="0" style="2" hidden="1" customWidth="1"/>
    <col min="6914" max="6916" width="26.44140625" style="2" customWidth="1"/>
    <col min="6917" max="6917" width="13.5546875" style="2" customWidth="1"/>
    <col min="6918" max="6918" width="0" style="2" hidden="1" customWidth="1"/>
    <col min="6919" max="6919" width="15.88671875" style="2" customWidth="1"/>
    <col min="6920" max="6922" width="11.109375" style="2" customWidth="1"/>
    <col min="6923" max="6928" width="8" style="2" customWidth="1"/>
    <col min="6929" max="6929" width="0" style="2" hidden="1" customWidth="1"/>
    <col min="6930" max="6933" width="8" style="2" customWidth="1"/>
    <col min="6934" max="6934" width="0" style="2" hidden="1" customWidth="1"/>
    <col min="6935" max="6936" width="10.88671875" style="2" customWidth="1"/>
    <col min="6937" max="6937" width="20.44140625" style="2" customWidth="1"/>
    <col min="6938" max="6938" width="9.109375" style="2"/>
    <col min="6939" max="6942" width="0" style="2" hidden="1" customWidth="1"/>
    <col min="6943" max="6943" width="9.33203125" style="2" customWidth="1"/>
    <col min="6944" max="6944" width="0" style="2" hidden="1" customWidth="1"/>
    <col min="6945" max="6945" width="9.33203125" style="2" customWidth="1"/>
    <col min="6946" max="6946" width="0" style="2" hidden="1" customWidth="1"/>
    <col min="6947" max="6947" width="9.33203125" style="2" customWidth="1"/>
    <col min="6948" max="6950" width="0" style="2" hidden="1" customWidth="1"/>
    <col min="6951" max="6959" width="9" style="2" customWidth="1"/>
    <col min="6960" max="6962" width="0" style="2" hidden="1" customWidth="1"/>
    <col min="6963" max="6965" width="9.44140625" style="2" customWidth="1"/>
    <col min="6966" max="6973" width="0" style="2" hidden="1" customWidth="1"/>
    <col min="6974" max="6974" width="12.109375" style="2" customWidth="1"/>
    <col min="6975" max="6975" width="9.44140625" style="2" customWidth="1"/>
    <col min="6976" max="7164" width="9.109375" style="2"/>
    <col min="7165" max="7165" width="9.44140625" style="2" customWidth="1"/>
    <col min="7166" max="7168" width="7.6640625" style="2" customWidth="1"/>
    <col min="7169" max="7169" width="0" style="2" hidden="1" customWidth="1"/>
    <col min="7170" max="7172" width="26.44140625" style="2" customWidth="1"/>
    <col min="7173" max="7173" width="13.5546875" style="2" customWidth="1"/>
    <col min="7174" max="7174" width="0" style="2" hidden="1" customWidth="1"/>
    <col min="7175" max="7175" width="15.88671875" style="2" customWidth="1"/>
    <col min="7176" max="7178" width="11.109375" style="2" customWidth="1"/>
    <col min="7179" max="7184" width="8" style="2" customWidth="1"/>
    <col min="7185" max="7185" width="0" style="2" hidden="1" customWidth="1"/>
    <col min="7186" max="7189" width="8" style="2" customWidth="1"/>
    <col min="7190" max="7190" width="0" style="2" hidden="1" customWidth="1"/>
    <col min="7191" max="7192" width="10.88671875" style="2" customWidth="1"/>
    <col min="7193" max="7193" width="20.44140625" style="2" customWidth="1"/>
    <col min="7194" max="7194" width="9.109375" style="2"/>
    <col min="7195" max="7198" width="0" style="2" hidden="1" customWidth="1"/>
    <col min="7199" max="7199" width="9.33203125" style="2" customWidth="1"/>
    <col min="7200" max="7200" width="0" style="2" hidden="1" customWidth="1"/>
    <col min="7201" max="7201" width="9.33203125" style="2" customWidth="1"/>
    <col min="7202" max="7202" width="0" style="2" hidden="1" customWidth="1"/>
    <col min="7203" max="7203" width="9.33203125" style="2" customWidth="1"/>
    <col min="7204" max="7206" width="0" style="2" hidden="1" customWidth="1"/>
    <col min="7207" max="7215" width="9" style="2" customWidth="1"/>
    <col min="7216" max="7218" width="0" style="2" hidden="1" customWidth="1"/>
    <col min="7219" max="7221" width="9.44140625" style="2" customWidth="1"/>
    <col min="7222" max="7229" width="0" style="2" hidden="1" customWidth="1"/>
    <col min="7230" max="7230" width="12.109375" style="2" customWidth="1"/>
    <col min="7231" max="7231" width="9.44140625" style="2" customWidth="1"/>
    <col min="7232" max="7420" width="9.109375" style="2"/>
    <col min="7421" max="7421" width="9.44140625" style="2" customWidth="1"/>
    <col min="7422" max="7424" width="7.6640625" style="2" customWidth="1"/>
    <col min="7425" max="7425" width="0" style="2" hidden="1" customWidth="1"/>
    <col min="7426" max="7428" width="26.44140625" style="2" customWidth="1"/>
    <col min="7429" max="7429" width="13.5546875" style="2" customWidth="1"/>
    <col min="7430" max="7430" width="0" style="2" hidden="1" customWidth="1"/>
    <col min="7431" max="7431" width="15.88671875" style="2" customWidth="1"/>
    <col min="7432" max="7434" width="11.109375" style="2" customWidth="1"/>
    <col min="7435" max="7440" width="8" style="2" customWidth="1"/>
    <col min="7441" max="7441" width="0" style="2" hidden="1" customWidth="1"/>
    <col min="7442" max="7445" width="8" style="2" customWidth="1"/>
    <col min="7446" max="7446" width="0" style="2" hidden="1" customWidth="1"/>
    <col min="7447" max="7448" width="10.88671875" style="2" customWidth="1"/>
    <col min="7449" max="7449" width="20.44140625" style="2" customWidth="1"/>
    <col min="7450" max="7450" width="9.109375" style="2"/>
    <col min="7451" max="7454" width="0" style="2" hidden="1" customWidth="1"/>
    <col min="7455" max="7455" width="9.33203125" style="2" customWidth="1"/>
    <col min="7456" max="7456" width="0" style="2" hidden="1" customWidth="1"/>
    <col min="7457" max="7457" width="9.33203125" style="2" customWidth="1"/>
    <col min="7458" max="7458" width="0" style="2" hidden="1" customWidth="1"/>
    <col min="7459" max="7459" width="9.33203125" style="2" customWidth="1"/>
    <col min="7460" max="7462" width="0" style="2" hidden="1" customWidth="1"/>
    <col min="7463" max="7471" width="9" style="2" customWidth="1"/>
    <col min="7472" max="7474" width="0" style="2" hidden="1" customWidth="1"/>
    <col min="7475" max="7477" width="9.44140625" style="2" customWidth="1"/>
    <col min="7478" max="7485" width="0" style="2" hidden="1" customWidth="1"/>
    <col min="7486" max="7486" width="12.109375" style="2" customWidth="1"/>
    <col min="7487" max="7487" width="9.44140625" style="2" customWidth="1"/>
    <col min="7488" max="7676" width="9.109375" style="2"/>
    <col min="7677" max="7677" width="9.44140625" style="2" customWidth="1"/>
    <col min="7678" max="7680" width="7.6640625" style="2" customWidth="1"/>
    <col min="7681" max="7681" width="0" style="2" hidden="1" customWidth="1"/>
    <col min="7682" max="7684" width="26.44140625" style="2" customWidth="1"/>
    <col min="7685" max="7685" width="13.5546875" style="2" customWidth="1"/>
    <col min="7686" max="7686" width="0" style="2" hidden="1" customWidth="1"/>
    <col min="7687" max="7687" width="15.88671875" style="2" customWidth="1"/>
    <col min="7688" max="7690" width="11.109375" style="2" customWidth="1"/>
    <col min="7691" max="7696" width="8" style="2" customWidth="1"/>
    <col min="7697" max="7697" width="0" style="2" hidden="1" customWidth="1"/>
    <col min="7698" max="7701" width="8" style="2" customWidth="1"/>
    <col min="7702" max="7702" width="0" style="2" hidden="1" customWidth="1"/>
    <col min="7703" max="7704" width="10.88671875" style="2" customWidth="1"/>
    <col min="7705" max="7705" width="20.44140625" style="2" customWidth="1"/>
    <col min="7706" max="7706" width="9.109375" style="2"/>
    <col min="7707" max="7710" width="0" style="2" hidden="1" customWidth="1"/>
    <col min="7711" max="7711" width="9.33203125" style="2" customWidth="1"/>
    <col min="7712" max="7712" width="0" style="2" hidden="1" customWidth="1"/>
    <col min="7713" max="7713" width="9.33203125" style="2" customWidth="1"/>
    <col min="7714" max="7714" width="0" style="2" hidden="1" customWidth="1"/>
    <col min="7715" max="7715" width="9.33203125" style="2" customWidth="1"/>
    <col min="7716" max="7718" width="0" style="2" hidden="1" customWidth="1"/>
    <col min="7719" max="7727" width="9" style="2" customWidth="1"/>
    <col min="7728" max="7730" width="0" style="2" hidden="1" customWidth="1"/>
    <col min="7731" max="7733" width="9.44140625" style="2" customWidth="1"/>
    <col min="7734" max="7741" width="0" style="2" hidden="1" customWidth="1"/>
    <col min="7742" max="7742" width="12.109375" style="2" customWidth="1"/>
    <col min="7743" max="7743" width="9.44140625" style="2" customWidth="1"/>
    <col min="7744" max="7932" width="9.109375" style="2"/>
    <col min="7933" max="7933" width="9.44140625" style="2" customWidth="1"/>
    <col min="7934" max="7936" width="7.6640625" style="2" customWidth="1"/>
    <col min="7937" max="7937" width="0" style="2" hidden="1" customWidth="1"/>
    <col min="7938" max="7940" width="26.44140625" style="2" customWidth="1"/>
    <col min="7941" max="7941" width="13.5546875" style="2" customWidth="1"/>
    <col min="7942" max="7942" width="0" style="2" hidden="1" customWidth="1"/>
    <col min="7943" max="7943" width="15.88671875" style="2" customWidth="1"/>
    <col min="7944" max="7946" width="11.109375" style="2" customWidth="1"/>
    <col min="7947" max="7952" width="8" style="2" customWidth="1"/>
    <col min="7953" max="7953" width="0" style="2" hidden="1" customWidth="1"/>
    <col min="7954" max="7957" width="8" style="2" customWidth="1"/>
    <col min="7958" max="7958" width="0" style="2" hidden="1" customWidth="1"/>
    <col min="7959" max="7960" width="10.88671875" style="2" customWidth="1"/>
    <col min="7961" max="7961" width="20.44140625" style="2" customWidth="1"/>
    <col min="7962" max="7962" width="9.109375" style="2"/>
    <col min="7963" max="7966" width="0" style="2" hidden="1" customWidth="1"/>
    <col min="7967" max="7967" width="9.33203125" style="2" customWidth="1"/>
    <col min="7968" max="7968" width="0" style="2" hidden="1" customWidth="1"/>
    <col min="7969" max="7969" width="9.33203125" style="2" customWidth="1"/>
    <col min="7970" max="7970" width="0" style="2" hidden="1" customWidth="1"/>
    <col min="7971" max="7971" width="9.33203125" style="2" customWidth="1"/>
    <col min="7972" max="7974" width="0" style="2" hidden="1" customWidth="1"/>
    <col min="7975" max="7983" width="9" style="2" customWidth="1"/>
    <col min="7984" max="7986" width="0" style="2" hidden="1" customWidth="1"/>
    <col min="7987" max="7989" width="9.44140625" style="2" customWidth="1"/>
    <col min="7990" max="7997" width="0" style="2" hidden="1" customWidth="1"/>
    <col min="7998" max="7998" width="12.109375" style="2" customWidth="1"/>
    <col min="7999" max="7999" width="9.44140625" style="2" customWidth="1"/>
    <col min="8000" max="8188" width="9.109375" style="2"/>
    <col min="8189" max="8189" width="9.44140625" style="2" customWidth="1"/>
    <col min="8190" max="8192" width="7.6640625" style="2" customWidth="1"/>
    <col min="8193" max="8193" width="0" style="2" hidden="1" customWidth="1"/>
    <col min="8194" max="8196" width="26.44140625" style="2" customWidth="1"/>
    <col min="8197" max="8197" width="13.5546875" style="2" customWidth="1"/>
    <col min="8198" max="8198" width="0" style="2" hidden="1" customWidth="1"/>
    <col min="8199" max="8199" width="15.88671875" style="2" customWidth="1"/>
    <col min="8200" max="8202" width="11.109375" style="2" customWidth="1"/>
    <col min="8203" max="8208" width="8" style="2" customWidth="1"/>
    <col min="8209" max="8209" width="0" style="2" hidden="1" customWidth="1"/>
    <col min="8210" max="8213" width="8" style="2" customWidth="1"/>
    <col min="8214" max="8214" width="0" style="2" hidden="1" customWidth="1"/>
    <col min="8215" max="8216" width="10.88671875" style="2" customWidth="1"/>
    <col min="8217" max="8217" width="20.44140625" style="2" customWidth="1"/>
    <col min="8218" max="8218" width="9.109375" style="2"/>
    <col min="8219" max="8222" width="0" style="2" hidden="1" customWidth="1"/>
    <col min="8223" max="8223" width="9.33203125" style="2" customWidth="1"/>
    <col min="8224" max="8224" width="0" style="2" hidden="1" customWidth="1"/>
    <col min="8225" max="8225" width="9.33203125" style="2" customWidth="1"/>
    <col min="8226" max="8226" width="0" style="2" hidden="1" customWidth="1"/>
    <col min="8227" max="8227" width="9.33203125" style="2" customWidth="1"/>
    <col min="8228" max="8230" width="0" style="2" hidden="1" customWidth="1"/>
    <col min="8231" max="8239" width="9" style="2" customWidth="1"/>
    <col min="8240" max="8242" width="0" style="2" hidden="1" customWidth="1"/>
    <col min="8243" max="8245" width="9.44140625" style="2" customWidth="1"/>
    <col min="8246" max="8253" width="0" style="2" hidden="1" customWidth="1"/>
    <col min="8254" max="8254" width="12.109375" style="2" customWidth="1"/>
    <col min="8255" max="8255" width="9.44140625" style="2" customWidth="1"/>
    <col min="8256" max="8444" width="9.109375" style="2"/>
    <col min="8445" max="8445" width="9.44140625" style="2" customWidth="1"/>
    <col min="8446" max="8448" width="7.6640625" style="2" customWidth="1"/>
    <col min="8449" max="8449" width="0" style="2" hidden="1" customWidth="1"/>
    <col min="8450" max="8452" width="26.44140625" style="2" customWidth="1"/>
    <col min="8453" max="8453" width="13.5546875" style="2" customWidth="1"/>
    <col min="8454" max="8454" width="0" style="2" hidden="1" customWidth="1"/>
    <col min="8455" max="8455" width="15.88671875" style="2" customWidth="1"/>
    <col min="8456" max="8458" width="11.109375" style="2" customWidth="1"/>
    <col min="8459" max="8464" width="8" style="2" customWidth="1"/>
    <col min="8465" max="8465" width="0" style="2" hidden="1" customWidth="1"/>
    <col min="8466" max="8469" width="8" style="2" customWidth="1"/>
    <col min="8470" max="8470" width="0" style="2" hidden="1" customWidth="1"/>
    <col min="8471" max="8472" width="10.88671875" style="2" customWidth="1"/>
    <col min="8473" max="8473" width="20.44140625" style="2" customWidth="1"/>
    <col min="8474" max="8474" width="9.109375" style="2"/>
    <col min="8475" max="8478" width="0" style="2" hidden="1" customWidth="1"/>
    <col min="8479" max="8479" width="9.33203125" style="2" customWidth="1"/>
    <col min="8480" max="8480" width="0" style="2" hidden="1" customWidth="1"/>
    <col min="8481" max="8481" width="9.33203125" style="2" customWidth="1"/>
    <col min="8482" max="8482" width="0" style="2" hidden="1" customWidth="1"/>
    <col min="8483" max="8483" width="9.33203125" style="2" customWidth="1"/>
    <col min="8484" max="8486" width="0" style="2" hidden="1" customWidth="1"/>
    <col min="8487" max="8495" width="9" style="2" customWidth="1"/>
    <col min="8496" max="8498" width="0" style="2" hidden="1" customWidth="1"/>
    <col min="8499" max="8501" width="9.44140625" style="2" customWidth="1"/>
    <col min="8502" max="8509" width="0" style="2" hidden="1" customWidth="1"/>
    <col min="8510" max="8510" width="12.109375" style="2" customWidth="1"/>
    <col min="8511" max="8511" width="9.44140625" style="2" customWidth="1"/>
    <col min="8512" max="8700" width="9.109375" style="2"/>
    <col min="8701" max="8701" width="9.44140625" style="2" customWidth="1"/>
    <col min="8702" max="8704" width="7.6640625" style="2" customWidth="1"/>
    <col min="8705" max="8705" width="0" style="2" hidden="1" customWidth="1"/>
    <col min="8706" max="8708" width="26.44140625" style="2" customWidth="1"/>
    <col min="8709" max="8709" width="13.5546875" style="2" customWidth="1"/>
    <col min="8710" max="8710" width="0" style="2" hidden="1" customWidth="1"/>
    <col min="8711" max="8711" width="15.88671875" style="2" customWidth="1"/>
    <col min="8712" max="8714" width="11.109375" style="2" customWidth="1"/>
    <col min="8715" max="8720" width="8" style="2" customWidth="1"/>
    <col min="8721" max="8721" width="0" style="2" hidden="1" customWidth="1"/>
    <col min="8722" max="8725" width="8" style="2" customWidth="1"/>
    <col min="8726" max="8726" width="0" style="2" hidden="1" customWidth="1"/>
    <col min="8727" max="8728" width="10.88671875" style="2" customWidth="1"/>
    <col min="8729" max="8729" width="20.44140625" style="2" customWidth="1"/>
    <col min="8730" max="8730" width="9.109375" style="2"/>
    <col min="8731" max="8734" width="0" style="2" hidden="1" customWidth="1"/>
    <col min="8735" max="8735" width="9.33203125" style="2" customWidth="1"/>
    <col min="8736" max="8736" width="0" style="2" hidden="1" customWidth="1"/>
    <col min="8737" max="8737" width="9.33203125" style="2" customWidth="1"/>
    <col min="8738" max="8738" width="0" style="2" hidden="1" customWidth="1"/>
    <col min="8739" max="8739" width="9.33203125" style="2" customWidth="1"/>
    <col min="8740" max="8742" width="0" style="2" hidden="1" customWidth="1"/>
    <col min="8743" max="8751" width="9" style="2" customWidth="1"/>
    <col min="8752" max="8754" width="0" style="2" hidden="1" customWidth="1"/>
    <col min="8755" max="8757" width="9.44140625" style="2" customWidth="1"/>
    <col min="8758" max="8765" width="0" style="2" hidden="1" customWidth="1"/>
    <col min="8766" max="8766" width="12.109375" style="2" customWidth="1"/>
    <col min="8767" max="8767" width="9.44140625" style="2" customWidth="1"/>
    <col min="8768" max="8956" width="9.109375" style="2"/>
    <col min="8957" max="8957" width="9.44140625" style="2" customWidth="1"/>
    <col min="8958" max="8960" width="7.6640625" style="2" customWidth="1"/>
    <col min="8961" max="8961" width="0" style="2" hidden="1" customWidth="1"/>
    <col min="8962" max="8964" width="26.44140625" style="2" customWidth="1"/>
    <col min="8965" max="8965" width="13.5546875" style="2" customWidth="1"/>
    <col min="8966" max="8966" width="0" style="2" hidden="1" customWidth="1"/>
    <col min="8967" max="8967" width="15.88671875" style="2" customWidth="1"/>
    <col min="8968" max="8970" width="11.109375" style="2" customWidth="1"/>
    <col min="8971" max="8976" width="8" style="2" customWidth="1"/>
    <col min="8977" max="8977" width="0" style="2" hidden="1" customWidth="1"/>
    <col min="8978" max="8981" width="8" style="2" customWidth="1"/>
    <col min="8982" max="8982" width="0" style="2" hidden="1" customWidth="1"/>
    <col min="8983" max="8984" width="10.88671875" style="2" customWidth="1"/>
    <col min="8985" max="8985" width="20.44140625" style="2" customWidth="1"/>
    <col min="8986" max="8986" width="9.109375" style="2"/>
    <col min="8987" max="8990" width="0" style="2" hidden="1" customWidth="1"/>
    <col min="8991" max="8991" width="9.33203125" style="2" customWidth="1"/>
    <col min="8992" max="8992" width="0" style="2" hidden="1" customWidth="1"/>
    <col min="8993" max="8993" width="9.33203125" style="2" customWidth="1"/>
    <col min="8994" max="8994" width="0" style="2" hidden="1" customWidth="1"/>
    <col min="8995" max="8995" width="9.33203125" style="2" customWidth="1"/>
    <col min="8996" max="8998" width="0" style="2" hidden="1" customWidth="1"/>
    <col min="8999" max="9007" width="9" style="2" customWidth="1"/>
    <col min="9008" max="9010" width="0" style="2" hidden="1" customWidth="1"/>
    <col min="9011" max="9013" width="9.44140625" style="2" customWidth="1"/>
    <col min="9014" max="9021" width="0" style="2" hidden="1" customWidth="1"/>
    <col min="9022" max="9022" width="12.109375" style="2" customWidth="1"/>
    <col min="9023" max="9023" width="9.44140625" style="2" customWidth="1"/>
    <col min="9024" max="9212" width="9.109375" style="2"/>
    <col min="9213" max="9213" width="9.44140625" style="2" customWidth="1"/>
    <col min="9214" max="9216" width="7.6640625" style="2" customWidth="1"/>
    <col min="9217" max="9217" width="0" style="2" hidden="1" customWidth="1"/>
    <col min="9218" max="9220" width="26.44140625" style="2" customWidth="1"/>
    <col min="9221" max="9221" width="13.5546875" style="2" customWidth="1"/>
    <col min="9222" max="9222" width="0" style="2" hidden="1" customWidth="1"/>
    <col min="9223" max="9223" width="15.88671875" style="2" customWidth="1"/>
    <col min="9224" max="9226" width="11.109375" style="2" customWidth="1"/>
    <col min="9227" max="9232" width="8" style="2" customWidth="1"/>
    <col min="9233" max="9233" width="0" style="2" hidden="1" customWidth="1"/>
    <col min="9234" max="9237" width="8" style="2" customWidth="1"/>
    <col min="9238" max="9238" width="0" style="2" hidden="1" customWidth="1"/>
    <col min="9239" max="9240" width="10.88671875" style="2" customWidth="1"/>
    <col min="9241" max="9241" width="20.44140625" style="2" customWidth="1"/>
    <col min="9242" max="9242" width="9.109375" style="2"/>
    <col min="9243" max="9246" width="0" style="2" hidden="1" customWidth="1"/>
    <col min="9247" max="9247" width="9.33203125" style="2" customWidth="1"/>
    <col min="9248" max="9248" width="0" style="2" hidden="1" customWidth="1"/>
    <col min="9249" max="9249" width="9.33203125" style="2" customWidth="1"/>
    <col min="9250" max="9250" width="0" style="2" hidden="1" customWidth="1"/>
    <col min="9251" max="9251" width="9.33203125" style="2" customWidth="1"/>
    <col min="9252" max="9254" width="0" style="2" hidden="1" customWidth="1"/>
    <col min="9255" max="9263" width="9" style="2" customWidth="1"/>
    <col min="9264" max="9266" width="0" style="2" hidden="1" customWidth="1"/>
    <col min="9267" max="9269" width="9.44140625" style="2" customWidth="1"/>
    <col min="9270" max="9277" width="0" style="2" hidden="1" customWidth="1"/>
    <col min="9278" max="9278" width="12.109375" style="2" customWidth="1"/>
    <col min="9279" max="9279" width="9.44140625" style="2" customWidth="1"/>
    <col min="9280" max="9468" width="9.109375" style="2"/>
    <col min="9469" max="9469" width="9.44140625" style="2" customWidth="1"/>
    <col min="9470" max="9472" width="7.6640625" style="2" customWidth="1"/>
    <col min="9473" max="9473" width="0" style="2" hidden="1" customWidth="1"/>
    <col min="9474" max="9476" width="26.44140625" style="2" customWidth="1"/>
    <col min="9477" max="9477" width="13.5546875" style="2" customWidth="1"/>
    <col min="9478" max="9478" width="0" style="2" hidden="1" customWidth="1"/>
    <col min="9479" max="9479" width="15.88671875" style="2" customWidth="1"/>
    <col min="9480" max="9482" width="11.109375" style="2" customWidth="1"/>
    <col min="9483" max="9488" width="8" style="2" customWidth="1"/>
    <col min="9489" max="9489" width="0" style="2" hidden="1" customWidth="1"/>
    <col min="9490" max="9493" width="8" style="2" customWidth="1"/>
    <col min="9494" max="9494" width="0" style="2" hidden="1" customWidth="1"/>
    <col min="9495" max="9496" width="10.88671875" style="2" customWidth="1"/>
    <col min="9497" max="9497" width="20.44140625" style="2" customWidth="1"/>
    <col min="9498" max="9498" width="9.109375" style="2"/>
    <col min="9499" max="9502" width="0" style="2" hidden="1" customWidth="1"/>
    <col min="9503" max="9503" width="9.33203125" style="2" customWidth="1"/>
    <col min="9504" max="9504" width="0" style="2" hidden="1" customWidth="1"/>
    <col min="9505" max="9505" width="9.33203125" style="2" customWidth="1"/>
    <col min="9506" max="9506" width="0" style="2" hidden="1" customWidth="1"/>
    <col min="9507" max="9507" width="9.33203125" style="2" customWidth="1"/>
    <col min="9508" max="9510" width="0" style="2" hidden="1" customWidth="1"/>
    <col min="9511" max="9519" width="9" style="2" customWidth="1"/>
    <col min="9520" max="9522" width="0" style="2" hidden="1" customWidth="1"/>
    <col min="9523" max="9525" width="9.44140625" style="2" customWidth="1"/>
    <col min="9526" max="9533" width="0" style="2" hidden="1" customWidth="1"/>
    <col min="9534" max="9534" width="12.109375" style="2" customWidth="1"/>
    <col min="9535" max="9535" width="9.44140625" style="2" customWidth="1"/>
    <col min="9536" max="9724" width="9.109375" style="2"/>
    <col min="9725" max="9725" width="9.44140625" style="2" customWidth="1"/>
    <col min="9726" max="9728" width="7.6640625" style="2" customWidth="1"/>
    <col min="9729" max="9729" width="0" style="2" hidden="1" customWidth="1"/>
    <col min="9730" max="9732" width="26.44140625" style="2" customWidth="1"/>
    <col min="9733" max="9733" width="13.5546875" style="2" customWidth="1"/>
    <col min="9734" max="9734" width="0" style="2" hidden="1" customWidth="1"/>
    <col min="9735" max="9735" width="15.88671875" style="2" customWidth="1"/>
    <col min="9736" max="9738" width="11.109375" style="2" customWidth="1"/>
    <col min="9739" max="9744" width="8" style="2" customWidth="1"/>
    <col min="9745" max="9745" width="0" style="2" hidden="1" customWidth="1"/>
    <col min="9746" max="9749" width="8" style="2" customWidth="1"/>
    <col min="9750" max="9750" width="0" style="2" hidden="1" customWidth="1"/>
    <col min="9751" max="9752" width="10.88671875" style="2" customWidth="1"/>
    <col min="9753" max="9753" width="20.44140625" style="2" customWidth="1"/>
    <col min="9754" max="9754" width="9.109375" style="2"/>
    <col min="9755" max="9758" width="0" style="2" hidden="1" customWidth="1"/>
    <col min="9759" max="9759" width="9.33203125" style="2" customWidth="1"/>
    <col min="9760" max="9760" width="0" style="2" hidden="1" customWidth="1"/>
    <col min="9761" max="9761" width="9.33203125" style="2" customWidth="1"/>
    <col min="9762" max="9762" width="0" style="2" hidden="1" customWidth="1"/>
    <col min="9763" max="9763" width="9.33203125" style="2" customWidth="1"/>
    <col min="9764" max="9766" width="0" style="2" hidden="1" customWidth="1"/>
    <col min="9767" max="9775" width="9" style="2" customWidth="1"/>
    <col min="9776" max="9778" width="0" style="2" hidden="1" customWidth="1"/>
    <col min="9779" max="9781" width="9.44140625" style="2" customWidth="1"/>
    <col min="9782" max="9789" width="0" style="2" hidden="1" customWidth="1"/>
    <col min="9790" max="9790" width="12.109375" style="2" customWidth="1"/>
    <col min="9791" max="9791" width="9.44140625" style="2" customWidth="1"/>
    <col min="9792" max="9980" width="9.109375" style="2"/>
    <col min="9981" max="9981" width="9.44140625" style="2" customWidth="1"/>
    <col min="9982" max="9984" width="7.6640625" style="2" customWidth="1"/>
    <col min="9985" max="9985" width="0" style="2" hidden="1" customWidth="1"/>
    <col min="9986" max="9988" width="26.44140625" style="2" customWidth="1"/>
    <col min="9989" max="9989" width="13.5546875" style="2" customWidth="1"/>
    <col min="9990" max="9990" width="0" style="2" hidden="1" customWidth="1"/>
    <col min="9991" max="9991" width="15.88671875" style="2" customWidth="1"/>
    <col min="9992" max="9994" width="11.109375" style="2" customWidth="1"/>
    <col min="9995" max="10000" width="8" style="2" customWidth="1"/>
    <col min="10001" max="10001" width="0" style="2" hidden="1" customWidth="1"/>
    <col min="10002" max="10005" width="8" style="2" customWidth="1"/>
    <col min="10006" max="10006" width="0" style="2" hidden="1" customWidth="1"/>
    <col min="10007" max="10008" width="10.88671875" style="2" customWidth="1"/>
    <col min="10009" max="10009" width="20.44140625" style="2" customWidth="1"/>
    <col min="10010" max="10010" width="9.109375" style="2"/>
    <col min="10011" max="10014" width="0" style="2" hidden="1" customWidth="1"/>
    <col min="10015" max="10015" width="9.33203125" style="2" customWidth="1"/>
    <col min="10016" max="10016" width="0" style="2" hidden="1" customWidth="1"/>
    <col min="10017" max="10017" width="9.33203125" style="2" customWidth="1"/>
    <col min="10018" max="10018" width="0" style="2" hidden="1" customWidth="1"/>
    <col min="10019" max="10019" width="9.33203125" style="2" customWidth="1"/>
    <col min="10020" max="10022" width="0" style="2" hidden="1" customWidth="1"/>
    <col min="10023" max="10031" width="9" style="2" customWidth="1"/>
    <col min="10032" max="10034" width="0" style="2" hidden="1" customWidth="1"/>
    <col min="10035" max="10037" width="9.44140625" style="2" customWidth="1"/>
    <col min="10038" max="10045" width="0" style="2" hidden="1" customWidth="1"/>
    <col min="10046" max="10046" width="12.109375" style="2" customWidth="1"/>
    <col min="10047" max="10047" width="9.44140625" style="2" customWidth="1"/>
    <col min="10048" max="10236" width="9.109375" style="2"/>
    <col min="10237" max="10237" width="9.44140625" style="2" customWidth="1"/>
    <col min="10238" max="10240" width="7.6640625" style="2" customWidth="1"/>
    <col min="10241" max="10241" width="0" style="2" hidden="1" customWidth="1"/>
    <col min="10242" max="10244" width="26.44140625" style="2" customWidth="1"/>
    <col min="10245" max="10245" width="13.5546875" style="2" customWidth="1"/>
    <col min="10246" max="10246" width="0" style="2" hidden="1" customWidth="1"/>
    <col min="10247" max="10247" width="15.88671875" style="2" customWidth="1"/>
    <col min="10248" max="10250" width="11.109375" style="2" customWidth="1"/>
    <col min="10251" max="10256" width="8" style="2" customWidth="1"/>
    <col min="10257" max="10257" width="0" style="2" hidden="1" customWidth="1"/>
    <col min="10258" max="10261" width="8" style="2" customWidth="1"/>
    <col min="10262" max="10262" width="0" style="2" hidden="1" customWidth="1"/>
    <col min="10263" max="10264" width="10.88671875" style="2" customWidth="1"/>
    <col min="10265" max="10265" width="20.44140625" style="2" customWidth="1"/>
    <col min="10266" max="10266" width="9.109375" style="2"/>
    <col min="10267" max="10270" width="0" style="2" hidden="1" customWidth="1"/>
    <col min="10271" max="10271" width="9.33203125" style="2" customWidth="1"/>
    <col min="10272" max="10272" width="0" style="2" hidden="1" customWidth="1"/>
    <col min="10273" max="10273" width="9.33203125" style="2" customWidth="1"/>
    <col min="10274" max="10274" width="0" style="2" hidden="1" customWidth="1"/>
    <col min="10275" max="10275" width="9.33203125" style="2" customWidth="1"/>
    <col min="10276" max="10278" width="0" style="2" hidden="1" customWidth="1"/>
    <col min="10279" max="10287" width="9" style="2" customWidth="1"/>
    <col min="10288" max="10290" width="0" style="2" hidden="1" customWidth="1"/>
    <col min="10291" max="10293" width="9.44140625" style="2" customWidth="1"/>
    <col min="10294" max="10301" width="0" style="2" hidden="1" customWidth="1"/>
    <col min="10302" max="10302" width="12.109375" style="2" customWidth="1"/>
    <col min="10303" max="10303" width="9.44140625" style="2" customWidth="1"/>
    <col min="10304" max="10492" width="9.109375" style="2"/>
    <col min="10493" max="10493" width="9.44140625" style="2" customWidth="1"/>
    <col min="10494" max="10496" width="7.6640625" style="2" customWidth="1"/>
    <col min="10497" max="10497" width="0" style="2" hidden="1" customWidth="1"/>
    <col min="10498" max="10500" width="26.44140625" style="2" customWidth="1"/>
    <col min="10501" max="10501" width="13.5546875" style="2" customWidth="1"/>
    <col min="10502" max="10502" width="0" style="2" hidden="1" customWidth="1"/>
    <col min="10503" max="10503" width="15.88671875" style="2" customWidth="1"/>
    <col min="10504" max="10506" width="11.109375" style="2" customWidth="1"/>
    <col min="10507" max="10512" width="8" style="2" customWidth="1"/>
    <col min="10513" max="10513" width="0" style="2" hidden="1" customWidth="1"/>
    <col min="10514" max="10517" width="8" style="2" customWidth="1"/>
    <col min="10518" max="10518" width="0" style="2" hidden="1" customWidth="1"/>
    <col min="10519" max="10520" width="10.88671875" style="2" customWidth="1"/>
    <col min="10521" max="10521" width="20.44140625" style="2" customWidth="1"/>
    <col min="10522" max="10522" width="9.109375" style="2"/>
    <col min="10523" max="10526" width="0" style="2" hidden="1" customWidth="1"/>
    <col min="10527" max="10527" width="9.33203125" style="2" customWidth="1"/>
    <col min="10528" max="10528" width="0" style="2" hidden="1" customWidth="1"/>
    <col min="10529" max="10529" width="9.33203125" style="2" customWidth="1"/>
    <col min="10530" max="10530" width="0" style="2" hidden="1" customWidth="1"/>
    <col min="10531" max="10531" width="9.33203125" style="2" customWidth="1"/>
    <col min="10532" max="10534" width="0" style="2" hidden="1" customWidth="1"/>
    <col min="10535" max="10543" width="9" style="2" customWidth="1"/>
    <col min="10544" max="10546" width="0" style="2" hidden="1" customWidth="1"/>
    <col min="10547" max="10549" width="9.44140625" style="2" customWidth="1"/>
    <col min="10550" max="10557" width="0" style="2" hidden="1" customWidth="1"/>
    <col min="10558" max="10558" width="12.109375" style="2" customWidth="1"/>
    <col min="10559" max="10559" width="9.44140625" style="2" customWidth="1"/>
    <col min="10560" max="10748" width="9.109375" style="2"/>
    <col min="10749" max="10749" width="9.44140625" style="2" customWidth="1"/>
    <col min="10750" max="10752" width="7.6640625" style="2" customWidth="1"/>
    <col min="10753" max="10753" width="0" style="2" hidden="1" customWidth="1"/>
    <col min="10754" max="10756" width="26.44140625" style="2" customWidth="1"/>
    <col min="10757" max="10757" width="13.5546875" style="2" customWidth="1"/>
    <col min="10758" max="10758" width="0" style="2" hidden="1" customWidth="1"/>
    <col min="10759" max="10759" width="15.88671875" style="2" customWidth="1"/>
    <col min="10760" max="10762" width="11.109375" style="2" customWidth="1"/>
    <col min="10763" max="10768" width="8" style="2" customWidth="1"/>
    <col min="10769" max="10769" width="0" style="2" hidden="1" customWidth="1"/>
    <col min="10770" max="10773" width="8" style="2" customWidth="1"/>
    <col min="10774" max="10774" width="0" style="2" hidden="1" customWidth="1"/>
    <col min="10775" max="10776" width="10.88671875" style="2" customWidth="1"/>
    <col min="10777" max="10777" width="20.44140625" style="2" customWidth="1"/>
    <col min="10778" max="10778" width="9.109375" style="2"/>
    <col min="10779" max="10782" width="0" style="2" hidden="1" customWidth="1"/>
    <col min="10783" max="10783" width="9.33203125" style="2" customWidth="1"/>
    <col min="10784" max="10784" width="0" style="2" hidden="1" customWidth="1"/>
    <col min="10785" max="10785" width="9.33203125" style="2" customWidth="1"/>
    <col min="10786" max="10786" width="0" style="2" hidden="1" customWidth="1"/>
    <col min="10787" max="10787" width="9.33203125" style="2" customWidth="1"/>
    <col min="10788" max="10790" width="0" style="2" hidden="1" customWidth="1"/>
    <col min="10791" max="10799" width="9" style="2" customWidth="1"/>
    <col min="10800" max="10802" width="0" style="2" hidden="1" customWidth="1"/>
    <col min="10803" max="10805" width="9.44140625" style="2" customWidth="1"/>
    <col min="10806" max="10813" width="0" style="2" hidden="1" customWidth="1"/>
    <col min="10814" max="10814" width="12.109375" style="2" customWidth="1"/>
    <col min="10815" max="10815" width="9.44140625" style="2" customWidth="1"/>
    <col min="10816" max="11004" width="9.109375" style="2"/>
    <col min="11005" max="11005" width="9.44140625" style="2" customWidth="1"/>
    <col min="11006" max="11008" width="7.6640625" style="2" customWidth="1"/>
    <col min="11009" max="11009" width="0" style="2" hidden="1" customWidth="1"/>
    <col min="11010" max="11012" width="26.44140625" style="2" customWidth="1"/>
    <col min="11013" max="11013" width="13.5546875" style="2" customWidth="1"/>
    <col min="11014" max="11014" width="0" style="2" hidden="1" customWidth="1"/>
    <col min="11015" max="11015" width="15.88671875" style="2" customWidth="1"/>
    <col min="11016" max="11018" width="11.109375" style="2" customWidth="1"/>
    <col min="11019" max="11024" width="8" style="2" customWidth="1"/>
    <col min="11025" max="11025" width="0" style="2" hidden="1" customWidth="1"/>
    <col min="11026" max="11029" width="8" style="2" customWidth="1"/>
    <col min="11030" max="11030" width="0" style="2" hidden="1" customWidth="1"/>
    <col min="11031" max="11032" width="10.88671875" style="2" customWidth="1"/>
    <col min="11033" max="11033" width="20.44140625" style="2" customWidth="1"/>
    <col min="11034" max="11034" width="9.109375" style="2"/>
    <col min="11035" max="11038" width="0" style="2" hidden="1" customWidth="1"/>
    <col min="11039" max="11039" width="9.33203125" style="2" customWidth="1"/>
    <col min="11040" max="11040" width="0" style="2" hidden="1" customWidth="1"/>
    <col min="11041" max="11041" width="9.33203125" style="2" customWidth="1"/>
    <col min="11042" max="11042" width="0" style="2" hidden="1" customWidth="1"/>
    <col min="11043" max="11043" width="9.33203125" style="2" customWidth="1"/>
    <col min="11044" max="11046" width="0" style="2" hidden="1" customWidth="1"/>
    <col min="11047" max="11055" width="9" style="2" customWidth="1"/>
    <col min="11056" max="11058" width="0" style="2" hidden="1" customWidth="1"/>
    <col min="11059" max="11061" width="9.44140625" style="2" customWidth="1"/>
    <col min="11062" max="11069" width="0" style="2" hidden="1" customWidth="1"/>
    <col min="11070" max="11070" width="12.109375" style="2" customWidth="1"/>
    <col min="11071" max="11071" width="9.44140625" style="2" customWidth="1"/>
    <col min="11072" max="11260" width="9.109375" style="2"/>
    <col min="11261" max="11261" width="9.44140625" style="2" customWidth="1"/>
    <col min="11262" max="11264" width="7.6640625" style="2" customWidth="1"/>
    <col min="11265" max="11265" width="0" style="2" hidden="1" customWidth="1"/>
    <col min="11266" max="11268" width="26.44140625" style="2" customWidth="1"/>
    <col min="11269" max="11269" width="13.5546875" style="2" customWidth="1"/>
    <col min="11270" max="11270" width="0" style="2" hidden="1" customWidth="1"/>
    <col min="11271" max="11271" width="15.88671875" style="2" customWidth="1"/>
    <col min="11272" max="11274" width="11.109375" style="2" customWidth="1"/>
    <col min="11275" max="11280" width="8" style="2" customWidth="1"/>
    <col min="11281" max="11281" width="0" style="2" hidden="1" customWidth="1"/>
    <col min="11282" max="11285" width="8" style="2" customWidth="1"/>
    <col min="11286" max="11286" width="0" style="2" hidden="1" customWidth="1"/>
    <col min="11287" max="11288" width="10.88671875" style="2" customWidth="1"/>
    <col min="11289" max="11289" width="20.44140625" style="2" customWidth="1"/>
    <col min="11290" max="11290" width="9.109375" style="2"/>
    <col min="11291" max="11294" width="0" style="2" hidden="1" customWidth="1"/>
    <col min="11295" max="11295" width="9.33203125" style="2" customWidth="1"/>
    <col min="11296" max="11296" width="0" style="2" hidden="1" customWidth="1"/>
    <col min="11297" max="11297" width="9.33203125" style="2" customWidth="1"/>
    <col min="11298" max="11298" width="0" style="2" hidden="1" customWidth="1"/>
    <col min="11299" max="11299" width="9.33203125" style="2" customWidth="1"/>
    <col min="11300" max="11302" width="0" style="2" hidden="1" customWidth="1"/>
    <col min="11303" max="11311" width="9" style="2" customWidth="1"/>
    <col min="11312" max="11314" width="0" style="2" hidden="1" customWidth="1"/>
    <col min="11315" max="11317" width="9.44140625" style="2" customWidth="1"/>
    <col min="11318" max="11325" width="0" style="2" hidden="1" customWidth="1"/>
    <col min="11326" max="11326" width="12.109375" style="2" customWidth="1"/>
    <col min="11327" max="11327" width="9.44140625" style="2" customWidth="1"/>
    <col min="11328" max="11516" width="9.109375" style="2"/>
    <col min="11517" max="11517" width="9.44140625" style="2" customWidth="1"/>
    <col min="11518" max="11520" width="7.6640625" style="2" customWidth="1"/>
    <col min="11521" max="11521" width="0" style="2" hidden="1" customWidth="1"/>
    <col min="11522" max="11524" width="26.44140625" style="2" customWidth="1"/>
    <col min="11525" max="11525" width="13.5546875" style="2" customWidth="1"/>
    <col min="11526" max="11526" width="0" style="2" hidden="1" customWidth="1"/>
    <col min="11527" max="11527" width="15.88671875" style="2" customWidth="1"/>
    <col min="11528" max="11530" width="11.109375" style="2" customWidth="1"/>
    <col min="11531" max="11536" width="8" style="2" customWidth="1"/>
    <col min="11537" max="11537" width="0" style="2" hidden="1" customWidth="1"/>
    <col min="11538" max="11541" width="8" style="2" customWidth="1"/>
    <col min="11542" max="11542" width="0" style="2" hidden="1" customWidth="1"/>
    <col min="11543" max="11544" width="10.88671875" style="2" customWidth="1"/>
    <col min="11545" max="11545" width="20.44140625" style="2" customWidth="1"/>
    <col min="11546" max="11546" width="9.109375" style="2"/>
    <col min="11547" max="11550" width="0" style="2" hidden="1" customWidth="1"/>
    <col min="11551" max="11551" width="9.33203125" style="2" customWidth="1"/>
    <col min="11552" max="11552" width="0" style="2" hidden="1" customWidth="1"/>
    <col min="11553" max="11553" width="9.33203125" style="2" customWidth="1"/>
    <col min="11554" max="11554" width="0" style="2" hidden="1" customWidth="1"/>
    <col min="11555" max="11555" width="9.33203125" style="2" customWidth="1"/>
    <col min="11556" max="11558" width="0" style="2" hidden="1" customWidth="1"/>
    <col min="11559" max="11567" width="9" style="2" customWidth="1"/>
    <col min="11568" max="11570" width="0" style="2" hidden="1" customWidth="1"/>
    <col min="11571" max="11573" width="9.44140625" style="2" customWidth="1"/>
    <col min="11574" max="11581" width="0" style="2" hidden="1" customWidth="1"/>
    <col min="11582" max="11582" width="12.109375" style="2" customWidth="1"/>
    <col min="11583" max="11583" width="9.44140625" style="2" customWidth="1"/>
    <col min="11584" max="11772" width="9.109375" style="2"/>
    <col min="11773" max="11773" width="9.44140625" style="2" customWidth="1"/>
    <col min="11774" max="11776" width="7.6640625" style="2" customWidth="1"/>
    <col min="11777" max="11777" width="0" style="2" hidden="1" customWidth="1"/>
    <col min="11778" max="11780" width="26.44140625" style="2" customWidth="1"/>
    <col min="11781" max="11781" width="13.5546875" style="2" customWidth="1"/>
    <col min="11782" max="11782" width="0" style="2" hidden="1" customWidth="1"/>
    <col min="11783" max="11783" width="15.88671875" style="2" customWidth="1"/>
    <col min="11784" max="11786" width="11.109375" style="2" customWidth="1"/>
    <col min="11787" max="11792" width="8" style="2" customWidth="1"/>
    <col min="11793" max="11793" width="0" style="2" hidden="1" customWidth="1"/>
    <col min="11794" max="11797" width="8" style="2" customWidth="1"/>
    <col min="11798" max="11798" width="0" style="2" hidden="1" customWidth="1"/>
    <col min="11799" max="11800" width="10.88671875" style="2" customWidth="1"/>
    <col min="11801" max="11801" width="20.44140625" style="2" customWidth="1"/>
    <col min="11802" max="11802" width="9.109375" style="2"/>
    <col min="11803" max="11806" width="0" style="2" hidden="1" customWidth="1"/>
    <col min="11807" max="11807" width="9.33203125" style="2" customWidth="1"/>
    <col min="11808" max="11808" width="0" style="2" hidden="1" customWidth="1"/>
    <col min="11809" max="11809" width="9.33203125" style="2" customWidth="1"/>
    <col min="11810" max="11810" width="0" style="2" hidden="1" customWidth="1"/>
    <col min="11811" max="11811" width="9.33203125" style="2" customWidth="1"/>
    <col min="11812" max="11814" width="0" style="2" hidden="1" customWidth="1"/>
    <col min="11815" max="11823" width="9" style="2" customWidth="1"/>
    <col min="11824" max="11826" width="0" style="2" hidden="1" customWidth="1"/>
    <col min="11827" max="11829" width="9.44140625" style="2" customWidth="1"/>
    <col min="11830" max="11837" width="0" style="2" hidden="1" customWidth="1"/>
    <col min="11838" max="11838" width="12.109375" style="2" customWidth="1"/>
    <col min="11839" max="11839" width="9.44140625" style="2" customWidth="1"/>
    <col min="11840" max="12028" width="9.109375" style="2"/>
    <col min="12029" max="12029" width="9.44140625" style="2" customWidth="1"/>
    <col min="12030" max="12032" width="7.6640625" style="2" customWidth="1"/>
    <col min="12033" max="12033" width="0" style="2" hidden="1" customWidth="1"/>
    <col min="12034" max="12036" width="26.44140625" style="2" customWidth="1"/>
    <col min="12037" max="12037" width="13.5546875" style="2" customWidth="1"/>
    <col min="12038" max="12038" width="0" style="2" hidden="1" customWidth="1"/>
    <col min="12039" max="12039" width="15.88671875" style="2" customWidth="1"/>
    <col min="12040" max="12042" width="11.109375" style="2" customWidth="1"/>
    <col min="12043" max="12048" width="8" style="2" customWidth="1"/>
    <col min="12049" max="12049" width="0" style="2" hidden="1" customWidth="1"/>
    <col min="12050" max="12053" width="8" style="2" customWidth="1"/>
    <col min="12054" max="12054" width="0" style="2" hidden="1" customWidth="1"/>
    <col min="12055" max="12056" width="10.88671875" style="2" customWidth="1"/>
    <col min="12057" max="12057" width="20.44140625" style="2" customWidth="1"/>
    <col min="12058" max="12058" width="9.109375" style="2"/>
    <col min="12059" max="12062" width="0" style="2" hidden="1" customWidth="1"/>
    <col min="12063" max="12063" width="9.33203125" style="2" customWidth="1"/>
    <col min="12064" max="12064" width="0" style="2" hidden="1" customWidth="1"/>
    <col min="12065" max="12065" width="9.33203125" style="2" customWidth="1"/>
    <col min="12066" max="12066" width="0" style="2" hidden="1" customWidth="1"/>
    <col min="12067" max="12067" width="9.33203125" style="2" customWidth="1"/>
    <col min="12068" max="12070" width="0" style="2" hidden="1" customWidth="1"/>
    <col min="12071" max="12079" width="9" style="2" customWidth="1"/>
    <col min="12080" max="12082" width="0" style="2" hidden="1" customWidth="1"/>
    <col min="12083" max="12085" width="9.44140625" style="2" customWidth="1"/>
    <col min="12086" max="12093" width="0" style="2" hidden="1" customWidth="1"/>
    <col min="12094" max="12094" width="12.109375" style="2" customWidth="1"/>
    <col min="12095" max="12095" width="9.44140625" style="2" customWidth="1"/>
    <col min="12096" max="12284" width="9.109375" style="2"/>
    <col min="12285" max="12285" width="9.44140625" style="2" customWidth="1"/>
    <col min="12286" max="12288" width="7.6640625" style="2" customWidth="1"/>
    <col min="12289" max="12289" width="0" style="2" hidden="1" customWidth="1"/>
    <col min="12290" max="12292" width="26.44140625" style="2" customWidth="1"/>
    <col min="12293" max="12293" width="13.5546875" style="2" customWidth="1"/>
    <col min="12294" max="12294" width="0" style="2" hidden="1" customWidth="1"/>
    <col min="12295" max="12295" width="15.88671875" style="2" customWidth="1"/>
    <col min="12296" max="12298" width="11.109375" style="2" customWidth="1"/>
    <col min="12299" max="12304" width="8" style="2" customWidth="1"/>
    <col min="12305" max="12305" width="0" style="2" hidden="1" customWidth="1"/>
    <col min="12306" max="12309" width="8" style="2" customWidth="1"/>
    <col min="12310" max="12310" width="0" style="2" hidden="1" customWidth="1"/>
    <col min="12311" max="12312" width="10.88671875" style="2" customWidth="1"/>
    <col min="12313" max="12313" width="20.44140625" style="2" customWidth="1"/>
    <col min="12314" max="12314" width="9.109375" style="2"/>
    <col min="12315" max="12318" width="0" style="2" hidden="1" customWidth="1"/>
    <col min="12319" max="12319" width="9.33203125" style="2" customWidth="1"/>
    <col min="12320" max="12320" width="0" style="2" hidden="1" customWidth="1"/>
    <col min="12321" max="12321" width="9.33203125" style="2" customWidth="1"/>
    <col min="12322" max="12322" width="0" style="2" hidden="1" customWidth="1"/>
    <col min="12323" max="12323" width="9.33203125" style="2" customWidth="1"/>
    <col min="12324" max="12326" width="0" style="2" hidden="1" customWidth="1"/>
    <col min="12327" max="12335" width="9" style="2" customWidth="1"/>
    <col min="12336" max="12338" width="0" style="2" hidden="1" customWidth="1"/>
    <col min="12339" max="12341" width="9.44140625" style="2" customWidth="1"/>
    <col min="12342" max="12349" width="0" style="2" hidden="1" customWidth="1"/>
    <col min="12350" max="12350" width="12.109375" style="2" customWidth="1"/>
    <col min="12351" max="12351" width="9.44140625" style="2" customWidth="1"/>
    <col min="12352" max="12540" width="9.109375" style="2"/>
    <col min="12541" max="12541" width="9.44140625" style="2" customWidth="1"/>
    <col min="12542" max="12544" width="7.6640625" style="2" customWidth="1"/>
    <col min="12545" max="12545" width="0" style="2" hidden="1" customWidth="1"/>
    <col min="12546" max="12548" width="26.44140625" style="2" customWidth="1"/>
    <col min="12549" max="12549" width="13.5546875" style="2" customWidth="1"/>
    <col min="12550" max="12550" width="0" style="2" hidden="1" customWidth="1"/>
    <col min="12551" max="12551" width="15.88671875" style="2" customWidth="1"/>
    <col min="12552" max="12554" width="11.109375" style="2" customWidth="1"/>
    <col min="12555" max="12560" width="8" style="2" customWidth="1"/>
    <col min="12561" max="12561" width="0" style="2" hidden="1" customWidth="1"/>
    <col min="12562" max="12565" width="8" style="2" customWidth="1"/>
    <col min="12566" max="12566" width="0" style="2" hidden="1" customWidth="1"/>
    <col min="12567" max="12568" width="10.88671875" style="2" customWidth="1"/>
    <col min="12569" max="12569" width="20.44140625" style="2" customWidth="1"/>
    <col min="12570" max="12570" width="9.109375" style="2"/>
    <col min="12571" max="12574" width="0" style="2" hidden="1" customWidth="1"/>
    <col min="12575" max="12575" width="9.33203125" style="2" customWidth="1"/>
    <col min="12576" max="12576" width="0" style="2" hidden="1" customWidth="1"/>
    <col min="12577" max="12577" width="9.33203125" style="2" customWidth="1"/>
    <col min="12578" max="12578" width="0" style="2" hidden="1" customWidth="1"/>
    <col min="12579" max="12579" width="9.33203125" style="2" customWidth="1"/>
    <col min="12580" max="12582" width="0" style="2" hidden="1" customWidth="1"/>
    <col min="12583" max="12591" width="9" style="2" customWidth="1"/>
    <col min="12592" max="12594" width="0" style="2" hidden="1" customWidth="1"/>
    <col min="12595" max="12597" width="9.44140625" style="2" customWidth="1"/>
    <col min="12598" max="12605" width="0" style="2" hidden="1" customWidth="1"/>
    <col min="12606" max="12606" width="12.109375" style="2" customWidth="1"/>
    <col min="12607" max="12607" width="9.44140625" style="2" customWidth="1"/>
    <col min="12608" max="12796" width="9.109375" style="2"/>
    <col min="12797" max="12797" width="9.44140625" style="2" customWidth="1"/>
    <col min="12798" max="12800" width="7.6640625" style="2" customWidth="1"/>
    <col min="12801" max="12801" width="0" style="2" hidden="1" customWidth="1"/>
    <col min="12802" max="12804" width="26.44140625" style="2" customWidth="1"/>
    <col min="12805" max="12805" width="13.5546875" style="2" customWidth="1"/>
    <col min="12806" max="12806" width="0" style="2" hidden="1" customWidth="1"/>
    <col min="12807" max="12807" width="15.88671875" style="2" customWidth="1"/>
    <col min="12808" max="12810" width="11.109375" style="2" customWidth="1"/>
    <col min="12811" max="12816" width="8" style="2" customWidth="1"/>
    <col min="12817" max="12817" width="0" style="2" hidden="1" customWidth="1"/>
    <col min="12818" max="12821" width="8" style="2" customWidth="1"/>
    <col min="12822" max="12822" width="0" style="2" hidden="1" customWidth="1"/>
    <col min="12823" max="12824" width="10.88671875" style="2" customWidth="1"/>
    <col min="12825" max="12825" width="20.44140625" style="2" customWidth="1"/>
    <col min="12826" max="12826" width="9.109375" style="2"/>
    <col min="12827" max="12830" width="0" style="2" hidden="1" customWidth="1"/>
    <col min="12831" max="12831" width="9.33203125" style="2" customWidth="1"/>
    <col min="12832" max="12832" width="0" style="2" hidden="1" customWidth="1"/>
    <col min="12833" max="12833" width="9.33203125" style="2" customWidth="1"/>
    <col min="12834" max="12834" width="0" style="2" hidden="1" customWidth="1"/>
    <col min="12835" max="12835" width="9.33203125" style="2" customWidth="1"/>
    <col min="12836" max="12838" width="0" style="2" hidden="1" customWidth="1"/>
    <col min="12839" max="12847" width="9" style="2" customWidth="1"/>
    <col min="12848" max="12850" width="0" style="2" hidden="1" customWidth="1"/>
    <col min="12851" max="12853" width="9.44140625" style="2" customWidth="1"/>
    <col min="12854" max="12861" width="0" style="2" hidden="1" customWidth="1"/>
    <col min="12862" max="12862" width="12.109375" style="2" customWidth="1"/>
    <col min="12863" max="12863" width="9.44140625" style="2" customWidth="1"/>
    <col min="12864" max="13052" width="9.109375" style="2"/>
    <col min="13053" max="13053" width="9.44140625" style="2" customWidth="1"/>
    <col min="13054" max="13056" width="7.6640625" style="2" customWidth="1"/>
    <col min="13057" max="13057" width="0" style="2" hidden="1" customWidth="1"/>
    <col min="13058" max="13060" width="26.44140625" style="2" customWidth="1"/>
    <col min="13061" max="13061" width="13.5546875" style="2" customWidth="1"/>
    <col min="13062" max="13062" width="0" style="2" hidden="1" customWidth="1"/>
    <col min="13063" max="13063" width="15.88671875" style="2" customWidth="1"/>
    <col min="13064" max="13066" width="11.109375" style="2" customWidth="1"/>
    <col min="13067" max="13072" width="8" style="2" customWidth="1"/>
    <col min="13073" max="13073" width="0" style="2" hidden="1" customWidth="1"/>
    <col min="13074" max="13077" width="8" style="2" customWidth="1"/>
    <col min="13078" max="13078" width="0" style="2" hidden="1" customWidth="1"/>
    <col min="13079" max="13080" width="10.88671875" style="2" customWidth="1"/>
    <col min="13081" max="13081" width="20.44140625" style="2" customWidth="1"/>
    <col min="13082" max="13082" width="9.109375" style="2"/>
    <col min="13083" max="13086" width="0" style="2" hidden="1" customWidth="1"/>
    <col min="13087" max="13087" width="9.33203125" style="2" customWidth="1"/>
    <col min="13088" max="13088" width="0" style="2" hidden="1" customWidth="1"/>
    <col min="13089" max="13089" width="9.33203125" style="2" customWidth="1"/>
    <col min="13090" max="13090" width="0" style="2" hidden="1" customWidth="1"/>
    <col min="13091" max="13091" width="9.33203125" style="2" customWidth="1"/>
    <col min="13092" max="13094" width="0" style="2" hidden="1" customWidth="1"/>
    <col min="13095" max="13103" width="9" style="2" customWidth="1"/>
    <col min="13104" max="13106" width="0" style="2" hidden="1" customWidth="1"/>
    <col min="13107" max="13109" width="9.44140625" style="2" customWidth="1"/>
    <col min="13110" max="13117" width="0" style="2" hidden="1" customWidth="1"/>
    <col min="13118" max="13118" width="12.109375" style="2" customWidth="1"/>
    <col min="13119" max="13119" width="9.44140625" style="2" customWidth="1"/>
    <col min="13120" max="13308" width="9.109375" style="2"/>
    <col min="13309" max="13309" width="9.44140625" style="2" customWidth="1"/>
    <col min="13310" max="13312" width="7.6640625" style="2" customWidth="1"/>
    <col min="13313" max="13313" width="0" style="2" hidden="1" customWidth="1"/>
    <col min="13314" max="13316" width="26.44140625" style="2" customWidth="1"/>
    <col min="13317" max="13317" width="13.5546875" style="2" customWidth="1"/>
    <col min="13318" max="13318" width="0" style="2" hidden="1" customWidth="1"/>
    <col min="13319" max="13319" width="15.88671875" style="2" customWidth="1"/>
    <col min="13320" max="13322" width="11.109375" style="2" customWidth="1"/>
    <col min="13323" max="13328" width="8" style="2" customWidth="1"/>
    <col min="13329" max="13329" width="0" style="2" hidden="1" customWidth="1"/>
    <col min="13330" max="13333" width="8" style="2" customWidth="1"/>
    <col min="13334" max="13334" width="0" style="2" hidden="1" customWidth="1"/>
    <col min="13335" max="13336" width="10.88671875" style="2" customWidth="1"/>
    <col min="13337" max="13337" width="20.44140625" style="2" customWidth="1"/>
    <col min="13338" max="13338" width="9.109375" style="2"/>
    <col min="13339" max="13342" width="0" style="2" hidden="1" customWidth="1"/>
    <col min="13343" max="13343" width="9.33203125" style="2" customWidth="1"/>
    <col min="13344" max="13344" width="0" style="2" hidden="1" customWidth="1"/>
    <col min="13345" max="13345" width="9.33203125" style="2" customWidth="1"/>
    <col min="13346" max="13346" width="0" style="2" hidden="1" customWidth="1"/>
    <col min="13347" max="13347" width="9.33203125" style="2" customWidth="1"/>
    <col min="13348" max="13350" width="0" style="2" hidden="1" customWidth="1"/>
    <col min="13351" max="13359" width="9" style="2" customWidth="1"/>
    <col min="13360" max="13362" width="0" style="2" hidden="1" customWidth="1"/>
    <col min="13363" max="13365" width="9.44140625" style="2" customWidth="1"/>
    <col min="13366" max="13373" width="0" style="2" hidden="1" customWidth="1"/>
    <col min="13374" max="13374" width="12.109375" style="2" customWidth="1"/>
    <col min="13375" max="13375" width="9.44140625" style="2" customWidth="1"/>
    <col min="13376" max="13564" width="9.109375" style="2"/>
    <col min="13565" max="13565" width="9.44140625" style="2" customWidth="1"/>
    <col min="13566" max="13568" width="7.6640625" style="2" customWidth="1"/>
    <col min="13569" max="13569" width="0" style="2" hidden="1" customWidth="1"/>
    <col min="13570" max="13572" width="26.44140625" style="2" customWidth="1"/>
    <col min="13573" max="13573" width="13.5546875" style="2" customWidth="1"/>
    <col min="13574" max="13574" width="0" style="2" hidden="1" customWidth="1"/>
    <col min="13575" max="13575" width="15.88671875" style="2" customWidth="1"/>
    <col min="13576" max="13578" width="11.109375" style="2" customWidth="1"/>
    <col min="13579" max="13584" width="8" style="2" customWidth="1"/>
    <col min="13585" max="13585" width="0" style="2" hidden="1" customWidth="1"/>
    <col min="13586" max="13589" width="8" style="2" customWidth="1"/>
    <col min="13590" max="13590" width="0" style="2" hidden="1" customWidth="1"/>
    <col min="13591" max="13592" width="10.88671875" style="2" customWidth="1"/>
    <col min="13593" max="13593" width="20.44140625" style="2" customWidth="1"/>
    <col min="13594" max="13594" width="9.109375" style="2"/>
    <col min="13595" max="13598" width="0" style="2" hidden="1" customWidth="1"/>
    <col min="13599" max="13599" width="9.33203125" style="2" customWidth="1"/>
    <col min="13600" max="13600" width="0" style="2" hidden="1" customWidth="1"/>
    <col min="13601" max="13601" width="9.33203125" style="2" customWidth="1"/>
    <col min="13602" max="13602" width="0" style="2" hidden="1" customWidth="1"/>
    <col min="13603" max="13603" width="9.33203125" style="2" customWidth="1"/>
    <col min="13604" max="13606" width="0" style="2" hidden="1" customWidth="1"/>
    <col min="13607" max="13615" width="9" style="2" customWidth="1"/>
    <col min="13616" max="13618" width="0" style="2" hidden="1" customWidth="1"/>
    <col min="13619" max="13621" width="9.44140625" style="2" customWidth="1"/>
    <col min="13622" max="13629" width="0" style="2" hidden="1" customWidth="1"/>
    <col min="13630" max="13630" width="12.109375" style="2" customWidth="1"/>
    <col min="13631" max="13631" width="9.44140625" style="2" customWidth="1"/>
    <col min="13632" max="13820" width="9.109375" style="2"/>
    <col min="13821" max="13821" width="9.44140625" style="2" customWidth="1"/>
    <col min="13822" max="13824" width="7.6640625" style="2" customWidth="1"/>
    <col min="13825" max="13825" width="0" style="2" hidden="1" customWidth="1"/>
    <col min="13826" max="13828" width="26.44140625" style="2" customWidth="1"/>
    <col min="13829" max="13829" width="13.5546875" style="2" customWidth="1"/>
    <col min="13830" max="13830" width="0" style="2" hidden="1" customWidth="1"/>
    <col min="13831" max="13831" width="15.88671875" style="2" customWidth="1"/>
    <col min="13832" max="13834" width="11.109375" style="2" customWidth="1"/>
    <col min="13835" max="13840" width="8" style="2" customWidth="1"/>
    <col min="13841" max="13841" width="0" style="2" hidden="1" customWidth="1"/>
    <col min="13842" max="13845" width="8" style="2" customWidth="1"/>
    <col min="13846" max="13846" width="0" style="2" hidden="1" customWidth="1"/>
    <col min="13847" max="13848" width="10.88671875" style="2" customWidth="1"/>
    <col min="13849" max="13849" width="20.44140625" style="2" customWidth="1"/>
    <col min="13850" max="13850" width="9.109375" style="2"/>
    <col min="13851" max="13854" width="0" style="2" hidden="1" customWidth="1"/>
    <col min="13855" max="13855" width="9.33203125" style="2" customWidth="1"/>
    <col min="13856" max="13856" width="0" style="2" hidden="1" customWidth="1"/>
    <col min="13857" max="13857" width="9.33203125" style="2" customWidth="1"/>
    <col min="13858" max="13858" width="0" style="2" hidden="1" customWidth="1"/>
    <col min="13859" max="13859" width="9.33203125" style="2" customWidth="1"/>
    <col min="13860" max="13862" width="0" style="2" hidden="1" customWidth="1"/>
    <col min="13863" max="13871" width="9" style="2" customWidth="1"/>
    <col min="13872" max="13874" width="0" style="2" hidden="1" customWidth="1"/>
    <col min="13875" max="13877" width="9.44140625" style="2" customWidth="1"/>
    <col min="13878" max="13885" width="0" style="2" hidden="1" customWidth="1"/>
    <col min="13886" max="13886" width="12.109375" style="2" customWidth="1"/>
    <col min="13887" max="13887" width="9.44140625" style="2" customWidth="1"/>
    <col min="13888" max="14076" width="9.109375" style="2"/>
    <col min="14077" max="14077" width="9.44140625" style="2" customWidth="1"/>
    <col min="14078" max="14080" width="7.6640625" style="2" customWidth="1"/>
    <col min="14081" max="14081" width="0" style="2" hidden="1" customWidth="1"/>
    <col min="14082" max="14084" width="26.44140625" style="2" customWidth="1"/>
    <col min="14085" max="14085" width="13.5546875" style="2" customWidth="1"/>
    <col min="14086" max="14086" width="0" style="2" hidden="1" customWidth="1"/>
    <col min="14087" max="14087" width="15.88671875" style="2" customWidth="1"/>
    <col min="14088" max="14090" width="11.109375" style="2" customWidth="1"/>
    <col min="14091" max="14096" width="8" style="2" customWidth="1"/>
    <col min="14097" max="14097" width="0" style="2" hidden="1" customWidth="1"/>
    <col min="14098" max="14101" width="8" style="2" customWidth="1"/>
    <col min="14102" max="14102" width="0" style="2" hidden="1" customWidth="1"/>
    <col min="14103" max="14104" width="10.88671875" style="2" customWidth="1"/>
    <col min="14105" max="14105" width="20.44140625" style="2" customWidth="1"/>
    <col min="14106" max="14106" width="9.109375" style="2"/>
    <col min="14107" max="14110" width="0" style="2" hidden="1" customWidth="1"/>
    <col min="14111" max="14111" width="9.33203125" style="2" customWidth="1"/>
    <col min="14112" max="14112" width="0" style="2" hidden="1" customWidth="1"/>
    <col min="14113" max="14113" width="9.33203125" style="2" customWidth="1"/>
    <col min="14114" max="14114" width="0" style="2" hidden="1" customWidth="1"/>
    <col min="14115" max="14115" width="9.33203125" style="2" customWidth="1"/>
    <col min="14116" max="14118" width="0" style="2" hidden="1" customWidth="1"/>
    <col min="14119" max="14127" width="9" style="2" customWidth="1"/>
    <col min="14128" max="14130" width="0" style="2" hidden="1" customWidth="1"/>
    <col min="14131" max="14133" width="9.44140625" style="2" customWidth="1"/>
    <col min="14134" max="14141" width="0" style="2" hidden="1" customWidth="1"/>
    <col min="14142" max="14142" width="12.109375" style="2" customWidth="1"/>
    <col min="14143" max="14143" width="9.44140625" style="2" customWidth="1"/>
    <col min="14144" max="14332" width="9.109375" style="2"/>
    <col min="14333" max="14333" width="9.44140625" style="2" customWidth="1"/>
    <col min="14334" max="14336" width="7.6640625" style="2" customWidth="1"/>
    <col min="14337" max="14337" width="0" style="2" hidden="1" customWidth="1"/>
    <col min="14338" max="14340" width="26.44140625" style="2" customWidth="1"/>
    <col min="14341" max="14341" width="13.5546875" style="2" customWidth="1"/>
    <col min="14342" max="14342" width="0" style="2" hidden="1" customWidth="1"/>
    <col min="14343" max="14343" width="15.88671875" style="2" customWidth="1"/>
    <col min="14344" max="14346" width="11.109375" style="2" customWidth="1"/>
    <col min="14347" max="14352" width="8" style="2" customWidth="1"/>
    <col min="14353" max="14353" width="0" style="2" hidden="1" customWidth="1"/>
    <col min="14354" max="14357" width="8" style="2" customWidth="1"/>
    <col min="14358" max="14358" width="0" style="2" hidden="1" customWidth="1"/>
    <col min="14359" max="14360" width="10.88671875" style="2" customWidth="1"/>
    <col min="14361" max="14361" width="20.44140625" style="2" customWidth="1"/>
    <col min="14362" max="14362" width="9.109375" style="2"/>
    <col min="14363" max="14366" width="0" style="2" hidden="1" customWidth="1"/>
    <col min="14367" max="14367" width="9.33203125" style="2" customWidth="1"/>
    <col min="14368" max="14368" width="0" style="2" hidden="1" customWidth="1"/>
    <col min="14369" max="14369" width="9.33203125" style="2" customWidth="1"/>
    <col min="14370" max="14370" width="0" style="2" hidden="1" customWidth="1"/>
    <col min="14371" max="14371" width="9.33203125" style="2" customWidth="1"/>
    <col min="14372" max="14374" width="0" style="2" hidden="1" customWidth="1"/>
    <col min="14375" max="14383" width="9" style="2" customWidth="1"/>
    <col min="14384" max="14386" width="0" style="2" hidden="1" customWidth="1"/>
    <col min="14387" max="14389" width="9.44140625" style="2" customWidth="1"/>
    <col min="14390" max="14397" width="0" style="2" hidden="1" customWidth="1"/>
    <col min="14398" max="14398" width="12.109375" style="2" customWidth="1"/>
    <col min="14399" max="14399" width="9.44140625" style="2" customWidth="1"/>
    <col min="14400" max="14588" width="9.109375" style="2"/>
    <col min="14589" max="14589" width="9.44140625" style="2" customWidth="1"/>
    <col min="14590" max="14592" width="7.6640625" style="2" customWidth="1"/>
    <col min="14593" max="14593" width="0" style="2" hidden="1" customWidth="1"/>
    <col min="14594" max="14596" width="26.44140625" style="2" customWidth="1"/>
    <col min="14597" max="14597" width="13.5546875" style="2" customWidth="1"/>
    <col min="14598" max="14598" width="0" style="2" hidden="1" customWidth="1"/>
    <col min="14599" max="14599" width="15.88671875" style="2" customWidth="1"/>
    <col min="14600" max="14602" width="11.109375" style="2" customWidth="1"/>
    <col min="14603" max="14608" width="8" style="2" customWidth="1"/>
    <col min="14609" max="14609" width="0" style="2" hidden="1" customWidth="1"/>
    <col min="14610" max="14613" width="8" style="2" customWidth="1"/>
    <col min="14614" max="14614" width="0" style="2" hidden="1" customWidth="1"/>
    <col min="14615" max="14616" width="10.88671875" style="2" customWidth="1"/>
    <col min="14617" max="14617" width="20.44140625" style="2" customWidth="1"/>
    <col min="14618" max="14618" width="9.109375" style="2"/>
    <col min="14619" max="14622" width="0" style="2" hidden="1" customWidth="1"/>
    <col min="14623" max="14623" width="9.33203125" style="2" customWidth="1"/>
    <col min="14624" max="14624" width="0" style="2" hidden="1" customWidth="1"/>
    <col min="14625" max="14625" width="9.33203125" style="2" customWidth="1"/>
    <col min="14626" max="14626" width="0" style="2" hidden="1" customWidth="1"/>
    <col min="14627" max="14627" width="9.33203125" style="2" customWidth="1"/>
    <col min="14628" max="14630" width="0" style="2" hidden="1" customWidth="1"/>
    <col min="14631" max="14639" width="9" style="2" customWidth="1"/>
    <col min="14640" max="14642" width="0" style="2" hidden="1" customWidth="1"/>
    <col min="14643" max="14645" width="9.44140625" style="2" customWidth="1"/>
    <col min="14646" max="14653" width="0" style="2" hidden="1" customWidth="1"/>
    <col min="14654" max="14654" width="12.109375" style="2" customWidth="1"/>
    <col min="14655" max="14655" width="9.44140625" style="2" customWidth="1"/>
    <col min="14656" max="14844" width="9.109375" style="2"/>
    <col min="14845" max="14845" width="9.44140625" style="2" customWidth="1"/>
    <col min="14846" max="14848" width="7.6640625" style="2" customWidth="1"/>
    <col min="14849" max="14849" width="0" style="2" hidden="1" customWidth="1"/>
    <col min="14850" max="14852" width="26.44140625" style="2" customWidth="1"/>
    <col min="14853" max="14853" width="13.5546875" style="2" customWidth="1"/>
    <col min="14854" max="14854" width="0" style="2" hidden="1" customWidth="1"/>
    <col min="14855" max="14855" width="15.88671875" style="2" customWidth="1"/>
    <col min="14856" max="14858" width="11.109375" style="2" customWidth="1"/>
    <col min="14859" max="14864" width="8" style="2" customWidth="1"/>
    <col min="14865" max="14865" width="0" style="2" hidden="1" customWidth="1"/>
    <col min="14866" max="14869" width="8" style="2" customWidth="1"/>
    <col min="14870" max="14870" width="0" style="2" hidden="1" customWidth="1"/>
    <col min="14871" max="14872" width="10.88671875" style="2" customWidth="1"/>
    <col min="14873" max="14873" width="20.44140625" style="2" customWidth="1"/>
    <col min="14874" max="14874" width="9.109375" style="2"/>
    <col min="14875" max="14878" width="0" style="2" hidden="1" customWidth="1"/>
    <col min="14879" max="14879" width="9.33203125" style="2" customWidth="1"/>
    <col min="14880" max="14880" width="0" style="2" hidden="1" customWidth="1"/>
    <col min="14881" max="14881" width="9.33203125" style="2" customWidth="1"/>
    <col min="14882" max="14882" width="0" style="2" hidden="1" customWidth="1"/>
    <col min="14883" max="14883" width="9.33203125" style="2" customWidth="1"/>
    <col min="14884" max="14886" width="0" style="2" hidden="1" customWidth="1"/>
    <col min="14887" max="14895" width="9" style="2" customWidth="1"/>
    <col min="14896" max="14898" width="0" style="2" hidden="1" customWidth="1"/>
    <col min="14899" max="14901" width="9.44140625" style="2" customWidth="1"/>
    <col min="14902" max="14909" width="0" style="2" hidden="1" customWidth="1"/>
    <col min="14910" max="14910" width="12.109375" style="2" customWidth="1"/>
    <col min="14911" max="14911" width="9.44140625" style="2" customWidth="1"/>
    <col min="14912" max="15100" width="9.109375" style="2"/>
    <col min="15101" max="15101" width="9.44140625" style="2" customWidth="1"/>
    <col min="15102" max="15104" width="7.6640625" style="2" customWidth="1"/>
    <col min="15105" max="15105" width="0" style="2" hidden="1" customWidth="1"/>
    <col min="15106" max="15108" width="26.44140625" style="2" customWidth="1"/>
    <col min="15109" max="15109" width="13.5546875" style="2" customWidth="1"/>
    <col min="15110" max="15110" width="0" style="2" hidden="1" customWidth="1"/>
    <col min="15111" max="15111" width="15.88671875" style="2" customWidth="1"/>
    <col min="15112" max="15114" width="11.109375" style="2" customWidth="1"/>
    <col min="15115" max="15120" width="8" style="2" customWidth="1"/>
    <col min="15121" max="15121" width="0" style="2" hidden="1" customWidth="1"/>
    <col min="15122" max="15125" width="8" style="2" customWidth="1"/>
    <col min="15126" max="15126" width="0" style="2" hidden="1" customWidth="1"/>
    <col min="15127" max="15128" width="10.88671875" style="2" customWidth="1"/>
    <col min="15129" max="15129" width="20.44140625" style="2" customWidth="1"/>
    <col min="15130" max="15130" width="9.109375" style="2"/>
    <col min="15131" max="15134" width="0" style="2" hidden="1" customWidth="1"/>
    <col min="15135" max="15135" width="9.33203125" style="2" customWidth="1"/>
    <col min="15136" max="15136" width="0" style="2" hidden="1" customWidth="1"/>
    <col min="15137" max="15137" width="9.33203125" style="2" customWidth="1"/>
    <col min="15138" max="15138" width="0" style="2" hidden="1" customWidth="1"/>
    <col min="15139" max="15139" width="9.33203125" style="2" customWidth="1"/>
    <col min="15140" max="15142" width="0" style="2" hidden="1" customWidth="1"/>
    <col min="15143" max="15151" width="9" style="2" customWidth="1"/>
    <col min="15152" max="15154" width="0" style="2" hidden="1" customWidth="1"/>
    <col min="15155" max="15157" width="9.44140625" style="2" customWidth="1"/>
    <col min="15158" max="15165" width="0" style="2" hidden="1" customWidth="1"/>
    <col min="15166" max="15166" width="12.109375" style="2" customWidth="1"/>
    <col min="15167" max="15167" width="9.44140625" style="2" customWidth="1"/>
    <col min="15168" max="15356" width="9.109375" style="2"/>
    <col min="15357" max="15357" width="9.44140625" style="2" customWidth="1"/>
    <col min="15358" max="15360" width="7.6640625" style="2" customWidth="1"/>
    <col min="15361" max="15361" width="0" style="2" hidden="1" customWidth="1"/>
    <col min="15362" max="15364" width="26.44140625" style="2" customWidth="1"/>
    <col min="15365" max="15365" width="13.5546875" style="2" customWidth="1"/>
    <col min="15366" max="15366" width="0" style="2" hidden="1" customWidth="1"/>
    <col min="15367" max="15367" width="15.88671875" style="2" customWidth="1"/>
    <col min="15368" max="15370" width="11.109375" style="2" customWidth="1"/>
    <col min="15371" max="15376" width="8" style="2" customWidth="1"/>
    <col min="15377" max="15377" width="0" style="2" hidden="1" customWidth="1"/>
    <col min="15378" max="15381" width="8" style="2" customWidth="1"/>
    <col min="15382" max="15382" width="0" style="2" hidden="1" customWidth="1"/>
    <col min="15383" max="15384" width="10.88671875" style="2" customWidth="1"/>
    <col min="15385" max="15385" width="20.44140625" style="2" customWidth="1"/>
    <col min="15386" max="15386" width="9.109375" style="2"/>
    <col min="15387" max="15390" width="0" style="2" hidden="1" customWidth="1"/>
    <col min="15391" max="15391" width="9.33203125" style="2" customWidth="1"/>
    <col min="15392" max="15392" width="0" style="2" hidden="1" customWidth="1"/>
    <col min="15393" max="15393" width="9.33203125" style="2" customWidth="1"/>
    <col min="15394" max="15394" width="0" style="2" hidden="1" customWidth="1"/>
    <col min="15395" max="15395" width="9.33203125" style="2" customWidth="1"/>
    <col min="15396" max="15398" width="0" style="2" hidden="1" customWidth="1"/>
    <col min="15399" max="15407" width="9" style="2" customWidth="1"/>
    <col min="15408" max="15410" width="0" style="2" hidden="1" customWidth="1"/>
    <col min="15411" max="15413" width="9.44140625" style="2" customWidth="1"/>
    <col min="15414" max="15421" width="0" style="2" hidden="1" customWidth="1"/>
    <col min="15422" max="15422" width="12.109375" style="2" customWidth="1"/>
    <col min="15423" max="15423" width="9.44140625" style="2" customWidth="1"/>
    <col min="15424" max="15612" width="9.109375" style="2"/>
    <col min="15613" max="15613" width="9.44140625" style="2" customWidth="1"/>
    <col min="15614" max="15616" width="7.6640625" style="2" customWidth="1"/>
    <col min="15617" max="15617" width="0" style="2" hidden="1" customWidth="1"/>
    <col min="15618" max="15620" width="26.44140625" style="2" customWidth="1"/>
    <col min="15621" max="15621" width="13.5546875" style="2" customWidth="1"/>
    <col min="15622" max="15622" width="0" style="2" hidden="1" customWidth="1"/>
    <col min="15623" max="15623" width="15.88671875" style="2" customWidth="1"/>
    <col min="15624" max="15626" width="11.109375" style="2" customWidth="1"/>
    <col min="15627" max="15632" width="8" style="2" customWidth="1"/>
    <col min="15633" max="15633" width="0" style="2" hidden="1" customWidth="1"/>
    <col min="15634" max="15637" width="8" style="2" customWidth="1"/>
    <col min="15638" max="15638" width="0" style="2" hidden="1" customWidth="1"/>
    <col min="15639" max="15640" width="10.88671875" style="2" customWidth="1"/>
    <col min="15641" max="15641" width="20.44140625" style="2" customWidth="1"/>
    <col min="15642" max="15642" width="9.109375" style="2"/>
    <col min="15643" max="15646" width="0" style="2" hidden="1" customWidth="1"/>
    <col min="15647" max="15647" width="9.33203125" style="2" customWidth="1"/>
    <col min="15648" max="15648" width="0" style="2" hidden="1" customWidth="1"/>
    <col min="15649" max="15649" width="9.33203125" style="2" customWidth="1"/>
    <col min="15650" max="15650" width="0" style="2" hidden="1" customWidth="1"/>
    <col min="15651" max="15651" width="9.33203125" style="2" customWidth="1"/>
    <col min="15652" max="15654" width="0" style="2" hidden="1" customWidth="1"/>
    <col min="15655" max="15663" width="9" style="2" customWidth="1"/>
    <col min="15664" max="15666" width="0" style="2" hidden="1" customWidth="1"/>
    <col min="15667" max="15669" width="9.44140625" style="2" customWidth="1"/>
    <col min="15670" max="15677" width="0" style="2" hidden="1" customWidth="1"/>
    <col min="15678" max="15678" width="12.109375" style="2" customWidth="1"/>
    <col min="15679" max="15679" width="9.44140625" style="2" customWidth="1"/>
    <col min="15680" max="15868" width="9.109375" style="2"/>
    <col min="15869" max="15869" width="9.44140625" style="2" customWidth="1"/>
    <col min="15870" max="15872" width="7.6640625" style="2" customWidth="1"/>
    <col min="15873" max="15873" width="0" style="2" hidden="1" customWidth="1"/>
    <col min="15874" max="15876" width="26.44140625" style="2" customWidth="1"/>
    <col min="15877" max="15877" width="13.5546875" style="2" customWidth="1"/>
    <col min="15878" max="15878" width="0" style="2" hidden="1" customWidth="1"/>
    <col min="15879" max="15879" width="15.88671875" style="2" customWidth="1"/>
    <col min="15880" max="15882" width="11.109375" style="2" customWidth="1"/>
    <col min="15883" max="15888" width="8" style="2" customWidth="1"/>
    <col min="15889" max="15889" width="0" style="2" hidden="1" customWidth="1"/>
    <col min="15890" max="15893" width="8" style="2" customWidth="1"/>
    <col min="15894" max="15894" width="0" style="2" hidden="1" customWidth="1"/>
    <col min="15895" max="15896" width="10.88671875" style="2" customWidth="1"/>
    <col min="15897" max="15897" width="20.44140625" style="2" customWidth="1"/>
    <col min="15898" max="15898" width="9.109375" style="2"/>
    <col min="15899" max="15902" width="0" style="2" hidden="1" customWidth="1"/>
    <col min="15903" max="15903" width="9.33203125" style="2" customWidth="1"/>
    <col min="15904" max="15904" width="0" style="2" hidden="1" customWidth="1"/>
    <col min="15905" max="15905" width="9.33203125" style="2" customWidth="1"/>
    <col min="15906" max="15906" width="0" style="2" hidden="1" customWidth="1"/>
    <col min="15907" max="15907" width="9.33203125" style="2" customWidth="1"/>
    <col min="15908" max="15910" width="0" style="2" hidden="1" customWidth="1"/>
    <col min="15911" max="15919" width="9" style="2" customWidth="1"/>
    <col min="15920" max="15922" width="0" style="2" hidden="1" customWidth="1"/>
    <col min="15923" max="15925" width="9.44140625" style="2" customWidth="1"/>
    <col min="15926" max="15933" width="0" style="2" hidden="1" customWidth="1"/>
    <col min="15934" max="15934" width="12.109375" style="2" customWidth="1"/>
    <col min="15935" max="15935" width="9.44140625" style="2" customWidth="1"/>
    <col min="15936" max="16124" width="9.109375" style="2"/>
    <col min="16125" max="16125" width="9.44140625" style="2" customWidth="1"/>
    <col min="16126" max="16128" width="7.6640625" style="2" customWidth="1"/>
    <col min="16129" max="16129" width="0" style="2" hidden="1" customWidth="1"/>
    <col min="16130" max="16132" width="26.44140625" style="2" customWidth="1"/>
    <col min="16133" max="16133" width="13.5546875" style="2" customWidth="1"/>
    <col min="16134" max="16134" width="0" style="2" hidden="1" customWidth="1"/>
    <col min="16135" max="16135" width="15.88671875" style="2" customWidth="1"/>
    <col min="16136" max="16138" width="11.109375" style="2" customWidth="1"/>
    <col min="16139" max="16144" width="8" style="2" customWidth="1"/>
    <col min="16145" max="16145" width="0" style="2" hidden="1" customWidth="1"/>
    <col min="16146" max="16149" width="8" style="2" customWidth="1"/>
    <col min="16150" max="16150" width="0" style="2" hidden="1" customWidth="1"/>
    <col min="16151" max="16152" width="10.88671875" style="2" customWidth="1"/>
    <col min="16153" max="16153" width="20.44140625" style="2" customWidth="1"/>
    <col min="16154" max="16154" width="9.109375" style="2"/>
    <col min="16155" max="16158" width="0" style="2" hidden="1" customWidth="1"/>
    <col min="16159" max="16159" width="9.33203125" style="2" customWidth="1"/>
    <col min="16160" max="16160" width="0" style="2" hidden="1" customWidth="1"/>
    <col min="16161" max="16161" width="9.33203125" style="2" customWidth="1"/>
    <col min="16162" max="16162" width="0" style="2" hidden="1" customWidth="1"/>
    <col min="16163" max="16163" width="9.33203125" style="2" customWidth="1"/>
    <col min="16164" max="16166" width="0" style="2" hidden="1" customWidth="1"/>
    <col min="16167" max="16175" width="9" style="2" customWidth="1"/>
    <col min="16176" max="16178" width="0" style="2" hidden="1" customWidth="1"/>
    <col min="16179" max="16181" width="9.44140625" style="2" customWidth="1"/>
    <col min="16182" max="16189" width="0" style="2" hidden="1" customWidth="1"/>
    <col min="16190" max="16190" width="12.109375" style="2" customWidth="1"/>
    <col min="16191" max="16191" width="9.44140625" style="2" customWidth="1"/>
    <col min="16192" max="16384" width="9.109375" style="2"/>
  </cols>
  <sheetData>
    <row r="1" spans="1:52" ht="21" customHeight="1" x14ac:dyDescent="0.4">
      <c r="A1" s="1" t="s">
        <v>0</v>
      </c>
    </row>
    <row r="2" spans="1:52" ht="22.8" x14ac:dyDescent="0.4">
      <c r="A2" s="1" t="s">
        <v>1</v>
      </c>
      <c r="B2" s="6"/>
      <c r="C2" s="6"/>
      <c r="AH2" s="2"/>
      <c r="AU2" s="2"/>
      <c r="AV2" s="7"/>
      <c r="AW2" s="7"/>
      <c r="AX2" s="7"/>
      <c r="AY2" s="7"/>
      <c r="AZ2" s="7"/>
    </row>
    <row r="3" spans="1:52" ht="21" x14ac:dyDescent="0.4">
      <c r="A3" s="8" t="s">
        <v>2</v>
      </c>
      <c r="B3" s="9"/>
      <c r="C3" s="9"/>
      <c r="AH3" s="2"/>
      <c r="AU3" s="2"/>
      <c r="AV3" s="2"/>
      <c r="AW3" s="2"/>
      <c r="AX3" s="2"/>
    </row>
    <row r="4" spans="1:52" ht="15" customHeight="1" x14ac:dyDescent="0.4">
      <c r="A4" s="10" t="s">
        <v>3</v>
      </c>
      <c r="B4" s="9"/>
      <c r="C4" s="9"/>
      <c r="AH4" s="2"/>
      <c r="AU4" s="2"/>
      <c r="AV4" s="2"/>
      <c r="AW4" s="2"/>
      <c r="AX4" s="2"/>
    </row>
    <row r="5" spans="1:52" ht="15" customHeight="1" x14ac:dyDescent="0.4">
      <c r="A5" s="10"/>
      <c r="B5" s="9"/>
      <c r="C5" s="9"/>
      <c r="AH5" s="2"/>
      <c r="AU5" s="2"/>
      <c r="AV5" s="2"/>
      <c r="AW5" s="2"/>
      <c r="AX5" s="2"/>
    </row>
    <row r="6" spans="1:52" s="12" customFormat="1" ht="15" customHeight="1" x14ac:dyDescent="0.25">
      <c r="A6" s="11"/>
    </row>
    <row r="7" spans="1:52" ht="8.25" customHeight="1" x14ac:dyDescent="0.3">
      <c r="B7" s="14"/>
      <c r="C7" s="14"/>
      <c r="I7" s="15"/>
      <c r="AH7" s="2"/>
      <c r="AU7" s="2"/>
      <c r="AV7" s="2"/>
      <c r="AW7" s="2"/>
      <c r="AX7" s="2"/>
    </row>
    <row r="8" spans="1:52" ht="15" customHeight="1" x14ac:dyDescent="0.3">
      <c r="A8" s="16"/>
      <c r="B8" s="14"/>
      <c r="C8" s="14"/>
      <c r="I8" s="15"/>
      <c r="AH8" s="2"/>
      <c r="AU8" s="2"/>
      <c r="AV8" s="2"/>
      <c r="AW8" s="2"/>
      <c r="AX8" s="2"/>
    </row>
    <row r="9" spans="1:52" ht="20.25" customHeight="1" x14ac:dyDescent="0.3">
      <c r="A9" s="17"/>
      <c r="B9" s="14"/>
      <c r="C9" s="18"/>
      <c r="F9" s="19"/>
      <c r="H9" s="13"/>
      <c r="J9" s="2"/>
    </row>
    <row r="10" spans="1:52" ht="15.6" x14ac:dyDescent="0.3">
      <c r="A10" s="17"/>
      <c r="B10" s="14"/>
      <c r="C10" s="20"/>
      <c r="F10" s="19"/>
    </row>
    <row r="11" spans="1:52" ht="15.6" x14ac:dyDescent="0.3">
      <c r="A11" s="17"/>
      <c r="B11" s="14"/>
      <c r="C11" s="20"/>
      <c r="F11" s="19"/>
      <c r="H11" s="13"/>
      <c r="J11" s="21"/>
    </row>
    <row r="12" spans="1:52" ht="15.6" x14ac:dyDescent="0.3">
      <c r="A12" s="16"/>
      <c r="B12" s="14"/>
      <c r="C12" s="14"/>
      <c r="AY12" s="2" t="s">
        <v>4</v>
      </c>
    </row>
    <row r="13" spans="1:52" x14ac:dyDescent="0.3">
      <c r="A13" s="10" t="s">
        <v>5</v>
      </c>
      <c r="B13" s="14"/>
      <c r="C13" s="14"/>
      <c r="AY13" s="2" t="s">
        <v>6</v>
      </c>
    </row>
    <row r="14" spans="1:52" x14ac:dyDescent="0.3">
      <c r="A14" s="13" t="s">
        <v>7</v>
      </c>
    </row>
    <row r="15" spans="1:52" x14ac:dyDescent="0.3">
      <c r="A15" s="2"/>
    </row>
    <row r="16" spans="1:52" ht="16.2" thickBot="1" x14ac:dyDescent="0.35">
      <c r="A16" s="16"/>
    </row>
    <row r="17" spans="1:82" ht="51" customHeight="1" thickBot="1" x14ac:dyDescent="0.35">
      <c r="A17" s="228" t="s">
        <v>8</v>
      </c>
      <c r="B17" s="229"/>
      <c r="C17" s="229"/>
      <c r="D17" s="229"/>
      <c r="E17" s="230"/>
      <c r="F17" s="228" t="s">
        <v>9</v>
      </c>
      <c r="G17" s="229"/>
      <c r="H17" s="230"/>
      <c r="I17" s="222" t="s">
        <v>10</v>
      </c>
      <c r="J17" s="226" t="s">
        <v>11</v>
      </c>
      <c r="K17" s="208" t="s">
        <v>12</v>
      </c>
      <c r="L17" s="209"/>
      <c r="M17" s="210"/>
      <c r="N17" s="208" t="s">
        <v>13</v>
      </c>
      <c r="O17" s="209"/>
      <c r="P17" s="209"/>
      <c r="Q17" s="210"/>
      <c r="R17" s="197" t="s">
        <v>14</v>
      </c>
      <c r="S17" s="208" t="s">
        <v>15</v>
      </c>
      <c r="T17" s="209"/>
      <c r="U17" s="209"/>
      <c r="V17" s="210"/>
      <c r="W17" s="212" t="s">
        <v>16</v>
      </c>
      <c r="X17" s="214" t="s">
        <v>17</v>
      </c>
      <c r="Y17" s="208" t="s">
        <v>18</v>
      </c>
      <c r="Z17" s="209"/>
      <c r="AA17" s="209"/>
      <c r="AB17" s="209"/>
      <c r="AC17" s="209"/>
      <c r="AD17" s="210"/>
      <c r="AE17" s="216" t="s">
        <v>19</v>
      </c>
      <c r="AF17" s="217"/>
      <c r="AG17" s="217"/>
      <c r="AH17" s="217"/>
      <c r="AI17" s="217"/>
      <c r="AJ17" s="217"/>
      <c r="AK17" s="217"/>
      <c r="AL17" s="218"/>
      <c r="AM17" s="219" t="s">
        <v>20</v>
      </c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1"/>
      <c r="AY17" s="222" t="s">
        <v>21</v>
      </c>
      <c r="AZ17" s="224" t="s">
        <v>22</v>
      </c>
      <c r="BA17" s="226" t="s">
        <v>23</v>
      </c>
      <c r="BB17" s="205" t="s">
        <v>24</v>
      </c>
      <c r="BC17" s="202" t="s">
        <v>25</v>
      </c>
      <c r="BD17" s="202" t="s">
        <v>26</v>
      </c>
      <c r="BE17" s="202" t="s">
        <v>27</v>
      </c>
      <c r="BF17" s="202" t="s">
        <v>28</v>
      </c>
      <c r="BG17" s="202" t="s">
        <v>29</v>
      </c>
      <c r="BH17" s="202" t="s">
        <v>30</v>
      </c>
      <c r="BI17" s="194" t="s">
        <v>31</v>
      </c>
      <c r="BJ17" s="197" t="s">
        <v>32</v>
      </c>
      <c r="BK17" s="199" t="s">
        <v>33</v>
      </c>
      <c r="BL17" s="200"/>
      <c r="BM17" s="200"/>
      <c r="BN17" s="200"/>
      <c r="BO17" s="200"/>
      <c r="BP17" s="200"/>
      <c r="BQ17" s="200"/>
      <c r="BR17" s="200"/>
      <c r="BS17" s="200"/>
      <c r="BT17" s="200"/>
      <c r="BU17" s="200"/>
      <c r="BV17" s="200"/>
      <c r="BW17" s="200"/>
      <c r="BX17" s="200"/>
      <c r="BY17" s="200"/>
      <c r="BZ17" s="200"/>
      <c r="CA17" s="200"/>
      <c r="CB17" s="200"/>
      <c r="CC17" s="200"/>
      <c r="CD17" s="201"/>
    </row>
    <row r="18" spans="1:82" s="37" customFormat="1" ht="54.75" customHeight="1" thickBot="1" x14ac:dyDescent="0.35">
      <c r="A18" s="22" t="s">
        <v>34</v>
      </c>
      <c r="B18" s="23" t="e">
        <f>IF(_ScoFylYr_4&gt;0,"Facility ID ("&amp; _ScoFylYr_4 &amp; ")", "")</f>
        <v>#REF!</v>
      </c>
      <c r="C18" s="23" t="s">
        <v>35</v>
      </c>
      <c r="D18" s="23" t="s">
        <v>36</v>
      </c>
      <c r="E18" s="24" t="s">
        <v>37</v>
      </c>
      <c r="F18" s="25" t="s">
        <v>38</v>
      </c>
      <c r="G18" s="26" t="e">
        <f>IF(#REF! &gt;0,#REF! &amp; " RT and Type","")</f>
        <v>#NAME?</v>
      </c>
      <c r="H18" s="24" t="s">
        <v>39</v>
      </c>
      <c r="I18" s="223"/>
      <c r="J18" s="227"/>
      <c r="K18" s="149" t="s">
        <v>40</v>
      </c>
      <c r="L18" s="151" t="s">
        <v>41</v>
      </c>
      <c r="M18" s="153" t="s">
        <v>42</v>
      </c>
      <c r="N18" s="25" t="s">
        <v>43</v>
      </c>
      <c r="O18" s="25" t="s">
        <v>44</v>
      </c>
      <c r="P18" s="25" t="s">
        <v>45</v>
      </c>
      <c r="Q18" s="24" t="e">
        <f>IF(_ScoFylYr_4 &gt; 0, "AADT (" &amp; _ScoFylYr_4 &amp; ")","")</f>
        <v>#REF!</v>
      </c>
      <c r="R18" s="211"/>
      <c r="S18" s="27">
        <v>2020</v>
      </c>
      <c r="T18" s="28">
        <v>2023</v>
      </c>
      <c r="U18" s="28">
        <v>2025</v>
      </c>
      <c r="V18" s="29" t="e">
        <f>IF(_ScoFylYr_4&gt;0,_ScoFylYr_4,"")</f>
        <v>#REF!</v>
      </c>
      <c r="W18" s="213"/>
      <c r="X18" s="215"/>
      <c r="Y18" s="25" t="s">
        <v>46</v>
      </c>
      <c r="Z18" s="23" t="s">
        <v>47</v>
      </c>
      <c r="AA18" s="26" t="e">
        <f>IF(_ScoFylYr_1&gt;0, "LOS (" &amp; _ScoFylYr_1 &amp;")","")</f>
        <v>#REF!</v>
      </c>
      <c r="AB18" s="26" t="e">
        <f>IF(_ScoFylYr_2&gt;0, "LOS (" &amp; _ScoFylYr_2 &amp;")","")</f>
        <v>#REF!</v>
      </c>
      <c r="AC18" s="26" t="e">
        <f>IF(_ScoFylYr_3&gt;0, "LOS (" &amp; _ScoFylYr_3 &amp;")","")</f>
        <v>#REF!</v>
      </c>
      <c r="AD18" s="30" t="e">
        <f>IF(_ScoFylYr_4&gt;0, "LOS (" &amp; _ScoFylYr_4 &amp;")","")</f>
        <v>#REF!</v>
      </c>
      <c r="AE18" s="148" t="s">
        <v>48</v>
      </c>
      <c r="AF18" s="31" t="e">
        <f>IF(AE18&lt;&gt;"", _MsvPct * 100 &amp; "% of "&amp; AE18,"")</f>
        <v>#REF!</v>
      </c>
      <c r="AG18" s="150" t="s">
        <v>49</v>
      </c>
      <c r="AH18" s="31" t="e">
        <f>IF(AG18&lt;&gt;"",_MsvPct * 100 &amp; "% of "&amp; AG18,"")</f>
        <v>#REF!</v>
      </c>
      <c r="AI18" s="150" t="s">
        <v>50</v>
      </c>
      <c r="AJ18" s="31" t="e">
        <f>IF(AI18&lt;&gt;"",_MsvPct * 100 &amp; "% of "&amp; AI18,"")</f>
        <v>#REF!</v>
      </c>
      <c r="AK18" s="150" t="e">
        <f>IF(_ScoFylYr_4&gt;0, "MSV (" &amp; _ScoFylYr_4 &amp; ")","")</f>
        <v>#REF!</v>
      </c>
      <c r="AL18" s="32" t="e">
        <f>IF(AK18&lt;&gt;"",_MsvPct * 100 &amp; "% of "&amp; AK18,"")</f>
        <v>#REF!</v>
      </c>
      <c r="AM18" s="147" t="s">
        <v>51</v>
      </c>
      <c r="AN18" s="33" t="s">
        <v>52</v>
      </c>
      <c r="AO18" s="150" t="s">
        <v>53</v>
      </c>
      <c r="AP18" s="147" t="s">
        <v>54</v>
      </c>
      <c r="AQ18" s="33" t="s">
        <v>55</v>
      </c>
      <c r="AR18" s="150" t="s">
        <v>56</v>
      </c>
      <c r="AS18" s="33" t="s">
        <v>57</v>
      </c>
      <c r="AT18" s="33" t="s">
        <v>58</v>
      </c>
      <c r="AU18" s="150" t="s">
        <v>59</v>
      </c>
      <c r="AV18" s="33" t="e">
        <f>IF(_ScoFylYr_4&gt;0, _ScoFylYr_4 &amp;" Volume Total","")</f>
        <v>#REF!</v>
      </c>
      <c r="AW18" s="33" t="e">
        <f>IF(_ScoFylYr_4&gt;0, _ScoFylYr_4 &amp;" V/MSV Ratio","")</f>
        <v>#REF!</v>
      </c>
      <c r="AX18" s="152" t="e">
        <f>IF(_ScoFylYr_4&gt;0, _ScoFylYr_4 &amp;" Status","")</f>
        <v>#REF!</v>
      </c>
      <c r="AY18" s="223"/>
      <c r="AZ18" s="225"/>
      <c r="BA18" s="227"/>
      <c r="BB18" s="206"/>
      <c r="BC18" s="203"/>
      <c r="BD18" s="203"/>
      <c r="BE18" s="203"/>
      <c r="BF18" s="203"/>
      <c r="BG18" s="203"/>
      <c r="BH18" s="203"/>
      <c r="BI18" s="195"/>
      <c r="BJ18" s="198"/>
      <c r="BK18" s="34">
        <v>1</v>
      </c>
      <c r="BL18" s="35">
        <f t="shared" ref="BL18:CD18" si="0">BK18+1</f>
        <v>2</v>
      </c>
      <c r="BM18" s="35">
        <f t="shared" si="0"/>
        <v>3</v>
      </c>
      <c r="BN18" s="35">
        <f t="shared" si="0"/>
        <v>4</v>
      </c>
      <c r="BO18" s="35">
        <f t="shared" si="0"/>
        <v>5</v>
      </c>
      <c r="BP18" s="35">
        <f t="shared" si="0"/>
        <v>6</v>
      </c>
      <c r="BQ18" s="35">
        <f t="shared" si="0"/>
        <v>7</v>
      </c>
      <c r="BR18" s="35">
        <f t="shared" si="0"/>
        <v>8</v>
      </c>
      <c r="BS18" s="35">
        <f t="shared" si="0"/>
        <v>9</v>
      </c>
      <c r="BT18" s="35">
        <f t="shared" si="0"/>
        <v>10</v>
      </c>
      <c r="BU18" s="35">
        <f t="shared" si="0"/>
        <v>11</v>
      </c>
      <c r="BV18" s="35">
        <f t="shared" si="0"/>
        <v>12</v>
      </c>
      <c r="BW18" s="35">
        <f t="shared" si="0"/>
        <v>13</v>
      </c>
      <c r="BX18" s="35">
        <f t="shared" si="0"/>
        <v>14</v>
      </c>
      <c r="BY18" s="35">
        <f t="shared" si="0"/>
        <v>15</v>
      </c>
      <c r="BZ18" s="35">
        <f t="shared" si="0"/>
        <v>16</v>
      </c>
      <c r="CA18" s="35">
        <f t="shared" si="0"/>
        <v>17</v>
      </c>
      <c r="CB18" s="35">
        <f t="shared" si="0"/>
        <v>18</v>
      </c>
      <c r="CC18" s="35">
        <f t="shared" si="0"/>
        <v>19</v>
      </c>
      <c r="CD18" s="36">
        <f t="shared" si="0"/>
        <v>20</v>
      </c>
    </row>
    <row r="19" spans="1:82" s="37" customFormat="1" ht="18" customHeight="1" thickBot="1" x14ac:dyDescent="0.35">
      <c r="A19" s="38" t="s">
        <v>60</v>
      </c>
      <c r="B19" s="150" t="s">
        <v>61</v>
      </c>
      <c r="C19" s="150" t="s">
        <v>62</v>
      </c>
      <c r="D19" s="150" t="s">
        <v>63</v>
      </c>
      <c r="E19" s="152" t="s">
        <v>64</v>
      </c>
      <c r="F19" s="148" t="s">
        <v>65</v>
      </c>
      <c r="G19" s="31"/>
      <c r="H19" s="152" t="s">
        <v>66</v>
      </c>
      <c r="I19" s="148" t="s">
        <v>67</v>
      </c>
      <c r="J19" s="150" t="s">
        <v>68</v>
      </c>
      <c r="K19" s="148" t="s">
        <v>69</v>
      </c>
      <c r="L19" s="150" t="s">
        <v>70</v>
      </c>
      <c r="M19" s="152" t="s">
        <v>71</v>
      </c>
      <c r="N19" s="148" t="s">
        <v>72</v>
      </c>
      <c r="O19" s="150" t="s">
        <v>69</v>
      </c>
      <c r="P19" s="150" t="s">
        <v>70</v>
      </c>
      <c r="Q19" s="152" t="s">
        <v>73</v>
      </c>
      <c r="R19" s="146" t="s">
        <v>71</v>
      </c>
      <c r="S19" s="148" t="s">
        <v>6</v>
      </c>
      <c r="T19" s="150" t="s">
        <v>74</v>
      </c>
      <c r="U19" s="150" t="s">
        <v>75</v>
      </c>
      <c r="V19" s="152" t="s">
        <v>76</v>
      </c>
      <c r="W19" s="148" t="s">
        <v>77</v>
      </c>
      <c r="X19" s="152" t="s">
        <v>78</v>
      </c>
      <c r="Y19" s="148" t="s">
        <v>73</v>
      </c>
      <c r="Z19" s="150" t="s">
        <v>79</v>
      </c>
      <c r="AA19" s="31"/>
      <c r="AB19" s="31"/>
      <c r="AC19" s="31"/>
      <c r="AD19" s="32"/>
      <c r="AE19" s="148" t="s">
        <v>80</v>
      </c>
      <c r="AF19" s="31"/>
      <c r="AG19" s="150" t="s">
        <v>81</v>
      </c>
      <c r="AH19" s="31"/>
      <c r="AI19" s="150" t="s">
        <v>82</v>
      </c>
      <c r="AJ19" s="31"/>
      <c r="AK19" s="150" t="s">
        <v>83</v>
      </c>
      <c r="AL19" s="32"/>
      <c r="AM19" s="148" t="s">
        <v>84</v>
      </c>
      <c r="AN19" s="150" t="s">
        <v>85</v>
      </c>
      <c r="AO19" s="150" t="s">
        <v>83</v>
      </c>
      <c r="AP19" s="150" t="s">
        <v>86</v>
      </c>
      <c r="AQ19" s="150" t="s">
        <v>87</v>
      </c>
      <c r="AR19" s="150" t="s">
        <v>88</v>
      </c>
      <c r="AS19" s="150" t="s">
        <v>89</v>
      </c>
      <c r="AT19" s="150" t="s">
        <v>90</v>
      </c>
      <c r="AU19" s="150" t="s">
        <v>91</v>
      </c>
      <c r="AV19" s="150" t="s">
        <v>92</v>
      </c>
      <c r="AW19" s="150" t="s">
        <v>93</v>
      </c>
      <c r="AX19" s="152" t="s">
        <v>94</v>
      </c>
      <c r="AY19" s="148" t="s">
        <v>95</v>
      </c>
      <c r="AZ19" s="150" t="s">
        <v>96</v>
      </c>
      <c r="BA19" s="152" t="s">
        <v>97</v>
      </c>
      <c r="BB19" s="207"/>
      <c r="BC19" s="204"/>
      <c r="BD19" s="204"/>
      <c r="BE19" s="204"/>
      <c r="BF19" s="204"/>
      <c r="BG19" s="204"/>
      <c r="BH19" s="204"/>
      <c r="BI19" s="196"/>
      <c r="BJ19" s="39" t="s">
        <v>98</v>
      </c>
      <c r="BK19" s="40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2"/>
    </row>
    <row r="20" spans="1:82" x14ac:dyDescent="0.3">
      <c r="A20" s="43" t="s">
        <v>99</v>
      </c>
      <c r="B20" s="44"/>
      <c r="C20" s="45" t="s">
        <v>100</v>
      </c>
      <c r="D20" s="45" t="s">
        <v>101</v>
      </c>
      <c r="E20" s="46" t="s">
        <v>102</v>
      </c>
      <c r="F20" s="47" t="s">
        <v>103</v>
      </c>
      <c r="G20" s="48"/>
      <c r="H20" s="49" t="s">
        <v>103</v>
      </c>
      <c r="I20" s="47" t="s">
        <v>4</v>
      </c>
      <c r="J20" s="48" t="s">
        <v>6</v>
      </c>
      <c r="K20" s="50"/>
      <c r="L20" s="51"/>
      <c r="M20" s="52"/>
      <c r="N20" s="53">
        <v>6936</v>
      </c>
      <c r="O20" s="54">
        <v>7023</v>
      </c>
      <c r="P20" s="54">
        <v>7287</v>
      </c>
      <c r="Q20" s="55"/>
      <c r="R20" s="154">
        <v>0.09</v>
      </c>
      <c r="S20" s="53">
        <v>624</v>
      </c>
      <c r="T20" s="54">
        <v>632</v>
      </c>
      <c r="U20" s="54">
        <v>656</v>
      </c>
      <c r="V20" s="55">
        <f t="shared" ref="V20:V83" si="1">ROUND(R20*Q20,0)</f>
        <v>0</v>
      </c>
      <c r="W20" s="56"/>
      <c r="X20" s="57"/>
      <c r="Y20" s="58" t="s">
        <v>104</v>
      </c>
      <c r="Z20" s="48" t="str">
        <f>'[1]Tier 1'!V20</f>
        <v>C</v>
      </c>
      <c r="AA20" s="48"/>
      <c r="AB20" s="48"/>
      <c r="AC20" s="48"/>
      <c r="AD20" s="49"/>
      <c r="AE20" s="53">
        <f>'[1]Tier 1'!W20</f>
        <v>1490</v>
      </c>
      <c r="AF20" s="54"/>
      <c r="AG20" s="54">
        <f>'[1]Tier 1'!X20</f>
        <v>1490</v>
      </c>
      <c r="AH20" s="54"/>
      <c r="AI20" s="54">
        <f>'[1]Tier 1'!Y20</f>
        <v>4020</v>
      </c>
      <c r="AJ20" s="54">
        <f t="shared" ref="AJ20:AJ83" si="2">AI20 * 0.9</f>
        <v>3618</v>
      </c>
      <c r="AK20" s="54" t="e">
        <f>VLOOKUP(A20,#REF!,-1,FALSE)</f>
        <v>#REF!</v>
      </c>
      <c r="AL20" s="55" t="e">
        <f t="shared" ref="AL20:AL83" si="3">AK20 * 0.9</f>
        <v>#REF!</v>
      </c>
      <c r="AM20" s="53">
        <f t="shared" ref="AM20" si="4">S20+W20</f>
        <v>624</v>
      </c>
      <c r="AN20" s="59">
        <f>IF(AE20&gt;0, ROUND(AM20/AE20,3),0)</f>
        <v>0.41899999999999998</v>
      </c>
      <c r="AO20" s="48" t="str">
        <f>IF($W20&gt;0,IF(AN20&gt;0.8999,"Study 1", "OK"),"OK")</f>
        <v>OK</v>
      </c>
      <c r="AP20" s="54">
        <f t="shared" ref="AP20" si="5">T20+W20</f>
        <v>632</v>
      </c>
      <c r="AQ20" s="59">
        <f t="shared" ref="AQ20" si="6">IF(AG20&gt;0, ROUND(AP20/AG20,3),0)</f>
        <v>0.42399999999999999</v>
      </c>
      <c r="AR20" s="48" t="str">
        <f>IF($W20&gt;0,IF(AQ20&gt;0.8999,"Study 1", "OK"),"OK")</f>
        <v>OK</v>
      </c>
      <c r="AS20" s="54">
        <f t="shared" ref="AS20" si="7">U20+W20</f>
        <v>656</v>
      </c>
      <c r="AT20" s="59">
        <f t="shared" ref="AT20" si="8">IF(AI20&gt;0, ROUND(AS20/AI20,3),0)</f>
        <v>0.16300000000000001</v>
      </c>
      <c r="AU20" s="48" t="str">
        <f>IF($W20&gt;0,IF(AT20&gt;0.8999,"Study 1", "OK"),"OK")</f>
        <v>OK</v>
      </c>
      <c r="AV20" s="54">
        <f t="shared" ref="AV20:AV83" si="9">V20+W20</f>
        <v>0</v>
      </c>
      <c r="AW20" s="59" t="e">
        <f t="shared" ref="AW20:AW83" si="10">IF(AK20&gt;0, ROUND(AV20/AK20,3),0)</f>
        <v>#REF!</v>
      </c>
      <c r="AX20" s="60" t="e">
        <f t="shared" ref="AX20:AX83" si="11">IF(AND(V20=0, AV20&gt;0), "DATA1", IF(OR(AV20&gt;AL20,BI20&gt;0), IF(Y20="CONC. (ART-PLAN)", "STUDY 1", "STUDY 2"), "OK"))</f>
        <v>#REF!</v>
      </c>
      <c r="AY20" s="47"/>
      <c r="AZ20" s="48"/>
      <c r="BA20" s="52">
        <f t="shared" ref="BA20:BA83" si="12">IF(AG20&gt;0, X20/AG20, 0)</f>
        <v>0</v>
      </c>
      <c r="BB20" s="61">
        <f t="shared" ref="BB20:BB83" si="13">IF(AM20&gt;AF20,1,0)</f>
        <v>1</v>
      </c>
      <c r="BC20" s="62" t="e">
        <f>SUMIF(#REF!,#REF!, BB20:BB333)</f>
        <v>#REF!</v>
      </c>
      <c r="BD20" s="62">
        <f t="shared" ref="BD20:BD83" si="14">IF(AP20&gt;AH20,1,0)</f>
        <v>1</v>
      </c>
      <c r="BE20" s="62" t="e">
        <f>SUMIF(#REF!,#REF!, BD20:BD333)</f>
        <v>#REF!</v>
      </c>
      <c r="BF20" s="62">
        <f t="shared" ref="BF20:BF83" si="15">IF(AS20&gt;AJ20,1,0)</f>
        <v>0</v>
      </c>
      <c r="BG20" s="62" t="e">
        <f>SUMIF(#REF!,#REF!, BF20:BF333)</f>
        <v>#REF!</v>
      </c>
      <c r="BH20" s="62" t="e">
        <f t="shared" ref="BH20:BH83" si="16">IF(AV20&gt;AL20,1,0)</f>
        <v>#REF!</v>
      </c>
      <c r="BI20" s="63">
        <f>SUMIF(B20:B333, B20, BH20:BH333)</f>
        <v>0</v>
      </c>
      <c r="BJ20" s="64"/>
      <c r="BK20" s="65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7"/>
    </row>
    <row r="21" spans="1:82" x14ac:dyDescent="0.3">
      <c r="A21" s="68" t="s">
        <v>105</v>
      </c>
      <c r="B21" s="69"/>
      <c r="C21" s="70" t="s">
        <v>100</v>
      </c>
      <c r="D21" s="70" t="s">
        <v>102</v>
      </c>
      <c r="E21" s="71" t="s">
        <v>106</v>
      </c>
      <c r="F21" s="72" t="s">
        <v>103</v>
      </c>
      <c r="G21" s="73"/>
      <c r="H21" s="74" t="s">
        <v>103</v>
      </c>
      <c r="I21" s="72" t="s">
        <v>4</v>
      </c>
      <c r="J21" s="73" t="s">
        <v>6</v>
      </c>
      <c r="K21" s="75"/>
      <c r="L21" s="76"/>
      <c r="M21" s="77"/>
      <c r="N21" s="78">
        <v>7752</v>
      </c>
      <c r="O21" s="79">
        <v>8199</v>
      </c>
      <c r="P21" s="79">
        <v>8669</v>
      </c>
      <c r="Q21" s="80"/>
      <c r="R21" s="155">
        <v>0.09</v>
      </c>
      <c r="S21" s="78">
        <v>698</v>
      </c>
      <c r="T21" s="79">
        <v>738</v>
      </c>
      <c r="U21" s="79">
        <v>780</v>
      </c>
      <c r="V21" s="80">
        <f t="shared" si="1"/>
        <v>0</v>
      </c>
      <c r="W21" s="82"/>
      <c r="X21" s="83"/>
      <c r="Y21" s="84" t="s">
        <v>104</v>
      </c>
      <c r="Z21" s="73" t="str">
        <f>'[1]Tier 1'!V21</f>
        <v>C</v>
      </c>
      <c r="AA21" s="73"/>
      <c r="AB21" s="73"/>
      <c r="AC21" s="73"/>
      <c r="AD21" s="74"/>
      <c r="AE21" s="78">
        <f>'[1]Tier 1'!W21</f>
        <v>820</v>
      </c>
      <c r="AF21" s="79"/>
      <c r="AG21" s="79">
        <f>'[1]Tier 1'!X21</f>
        <v>820</v>
      </c>
      <c r="AH21" s="79"/>
      <c r="AI21" s="79">
        <f>'[1]Tier 1'!Y21</f>
        <v>820</v>
      </c>
      <c r="AJ21" s="79">
        <f t="shared" si="2"/>
        <v>738</v>
      </c>
      <c r="AK21" s="79" t="e">
        <f>VLOOKUP(A21,#REF!,-1,FALSE)</f>
        <v>#REF!</v>
      </c>
      <c r="AL21" s="80" t="e">
        <f t="shared" si="3"/>
        <v>#REF!</v>
      </c>
      <c r="AM21" s="78">
        <f t="shared" ref="AM21:AM84" si="17">S21+W21</f>
        <v>698</v>
      </c>
      <c r="AN21" s="85">
        <f t="shared" ref="AN21:AN84" si="18">IF(AE21&gt;0, ROUND(AM21/AE21,3),0)</f>
        <v>0.85099999999999998</v>
      </c>
      <c r="AO21" s="73" t="str">
        <f t="shared" ref="AO21:AO84" si="19">IF($W21&gt;0,IF(AN21&gt;0.8999,"Study 1", "OK"),"OK")</f>
        <v>OK</v>
      </c>
      <c r="AP21" s="79">
        <f t="shared" ref="AP21:AP84" si="20">T21+W21</f>
        <v>738</v>
      </c>
      <c r="AQ21" s="85">
        <f t="shared" ref="AQ21:AQ84" si="21">IF(AG21&gt;0, ROUND(AP21/AG21,3),0)</f>
        <v>0.9</v>
      </c>
      <c r="AR21" s="73" t="str">
        <f t="shared" ref="AR21:AR84" si="22">IF($W21&gt;0,IF(AQ21&gt;0.8999,"Study 1", "OK"),"OK")</f>
        <v>OK</v>
      </c>
      <c r="AS21" s="79">
        <f t="shared" ref="AS21:AS84" si="23">U21+W21</f>
        <v>780</v>
      </c>
      <c r="AT21" s="85">
        <f t="shared" ref="AT21:AT84" si="24">IF(AI21&gt;0, ROUND(AS21/AI21,3),0)</f>
        <v>0.95099999999999996</v>
      </c>
      <c r="AU21" s="86" t="str">
        <f t="shared" ref="AU21:AU84" si="25">IF($W21&gt;0,IF(AT21&gt;0.8999,"Study 1", "OK"),"OK")</f>
        <v>OK</v>
      </c>
      <c r="AV21" s="79">
        <f t="shared" si="9"/>
        <v>0</v>
      </c>
      <c r="AW21" s="85" t="e">
        <f t="shared" si="10"/>
        <v>#REF!</v>
      </c>
      <c r="AX21" s="87" t="e">
        <f t="shared" si="11"/>
        <v>#REF!</v>
      </c>
      <c r="AY21" s="72"/>
      <c r="AZ21" s="73"/>
      <c r="BA21" s="77">
        <f t="shared" si="12"/>
        <v>0</v>
      </c>
      <c r="BB21" s="88">
        <f t="shared" si="13"/>
        <v>1</v>
      </c>
      <c r="BC21" s="89" t="e">
        <f>SUMIF(#REF!,#REF!, BB20:BB333)</f>
        <v>#REF!</v>
      </c>
      <c r="BD21" s="89">
        <f t="shared" si="14"/>
        <v>1</v>
      </c>
      <c r="BE21" s="89" t="e">
        <f>SUMIF(#REF!,#REF!, BD20:BD333)</f>
        <v>#REF!</v>
      </c>
      <c r="BF21" s="89">
        <f t="shared" si="15"/>
        <v>1</v>
      </c>
      <c r="BG21" s="89" t="e">
        <f>SUMIF(#REF!,#REF!, BF20:BF333)</f>
        <v>#REF!</v>
      </c>
      <c r="BH21" s="89" t="e">
        <f t="shared" si="16"/>
        <v>#REF!</v>
      </c>
      <c r="BI21" s="90">
        <f>SUMIF(B20:B333, B21, BH20:BH333)</f>
        <v>0</v>
      </c>
      <c r="BJ21" s="91"/>
      <c r="BK21" s="92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4"/>
    </row>
    <row r="22" spans="1:82" x14ac:dyDescent="0.3">
      <c r="A22" s="95" t="s">
        <v>107</v>
      </c>
      <c r="B22" s="96"/>
      <c r="C22" s="97" t="s">
        <v>100</v>
      </c>
      <c r="D22" s="97" t="s">
        <v>106</v>
      </c>
      <c r="E22" s="98" t="s">
        <v>108</v>
      </c>
      <c r="F22" s="99" t="s">
        <v>103</v>
      </c>
      <c r="G22" s="100"/>
      <c r="H22" s="101" t="s">
        <v>109</v>
      </c>
      <c r="I22" s="99" t="s">
        <v>4</v>
      </c>
      <c r="J22" s="100" t="s">
        <v>6</v>
      </c>
      <c r="K22" s="102"/>
      <c r="L22" s="103"/>
      <c r="M22" s="104"/>
      <c r="N22" s="105">
        <v>4896</v>
      </c>
      <c r="O22" s="106">
        <v>5063</v>
      </c>
      <c r="P22" s="106">
        <v>5327</v>
      </c>
      <c r="Q22" s="107"/>
      <c r="R22" s="156">
        <v>0.09</v>
      </c>
      <c r="S22" s="105">
        <v>441</v>
      </c>
      <c r="T22" s="106">
        <v>456</v>
      </c>
      <c r="U22" s="106">
        <v>479</v>
      </c>
      <c r="V22" s="107">
        <f t="shared" si="1"/>
        <v>0</v>
      </c>
      <c r="W22" s="109"/>
      <c r="X22" s="110"/>
      <c r="Y22" s="111" t="s">
        <v>104</v>
      </c>
      <c r="Z22" s="100" t="str">
        <f>'[1]Tier 1'!V22</f>
        <v>C</v>
      </c>
      <c r="AA22" s="100"/>
      <c r="AB22" s="100"/>
      <c r="AC22" s="100"/>
      <c r="AD22" s="101"/>
      <c r="AE22" s="105">
        <f>'[1]Tier 1'!W22</f>
        <v>1490</v>
      </c>
      <c r="AF22" s="106"/>
      <c r="AG22" s="106">
        <f>'[1]Tier 1'!X22</f>
        <v>1490</v>
      </c>
      <c r="AH22" s="106"/>
      <c r="AI22" s="106">
        <f>'[1]Tier 1'!Y22</f>
        <v>1490</v>
      </c>
      <c r="AJ22" s="106">
        <f t="shared" si="2"/>
        <v>1341</v>
      </c>
      <c r="AK22" s="106" t="e">
        <f>VLOOKUP(A22,#REF!,-1,FALSE)</f>
        <v>#REF!</v>
      </c>
      <c r="AL22" s="107" t="e">
        <f t="shared" si="3"/>
        <v>#REF!</v>
      </c>
      <c r="AM22" s="105">
        <f t="shared" si="17"/>
        <v>441</v>
      </c>
      <c r="AN22" s="112">
        <f t="shared" si="18"/>
        <v>0.29599999999999999</v>
      </c>
      <c r="AO22" s="100" t="str">
        <f t="shared" si="19"/>
        <v>OK</v>
      </c>
      <c r="AP22" s="106">
        <f t="shared" si="20"/>
        <v>456</v>
      </c>
      <c r="AQ22" s="112">
        <f t="shared" si="21"/>
        <v>0.30599999999999999</v>
      </c>
      <c r="AR22" s="100" t="str">
        <f t="shared" si="22"/>
        <v>OK</v>
      </c>
      <c r="AS22" s="106">
        <f t="shared" si="23"/>
        <v>479</v>
      </c>
      <c r="AT22" s="112">
        <f t="shared" si="24"/>
        <v>0.32100000000000001</v>
      </c>
      <c r="AU22" s="113" t="str">
        <f t="shared" si="25"/>
        <v>OK</v>
      </c>
      <c r="AV22" s="106">
        <f t="shared" si="9"/>
        <v>0</v>
      </c>
      <c r="AW22" s="112" t="e">
        <f t="shared" si="10"/>
        <v>#REF!</v>
      </c>
      <c r="AX22" s="114" t="e">
        <f t="shared" si="11"/>
        <v>#REF!</v>
      </c>
      <c r="AY22" s="99"/>
      <c r="AZ22" s="100"/>
      <c r="BA22" s="104">
        <f t="shared" si="12"/>
        <v>0</v>
      </c>
      <c r="BB22" s="115">
        <f t="shared" si="13"/>
        <v>1</v>
      </c>
      <c r="BC22" s="116" t="e">
        <f>SUMIF(#REF!,#REF!, BB20:BB333)</f>
        <v>#REF!</v>
      </c>
      <c r="BD22" s="116">
        <f t="shared" si="14"/>
        <v>1</v>
      </c>
      <c r="BE22" s="116" t="e">
        <f>SUMIF(#REF!,#REF!, BD20:BD333)</f>
        <v>#REF!</v>
      </c>
      <c r="BF22" s="116">
        <f t="shared" si="15"/>
        <v>0</v>
      </c>
      <c r="BG22" s="116" t="e">
        <f>SUMIF(#REF!,#REF!, BF20:BF333)</f>
        <v>#REF!</v>
      </c>
      <c r="BH22" s="116" t="e">
        <f t="shared" si="16"/>
        <v>#REF!</v>
      </c>
      <c r="BI22" s="117">
        <f>SUMIF(B20:B333, B22, BH20:BH333)</f>
        <v>0</v>
      </c>
      <c r="BJ22" s="118"/>
      <c r="BK22" s="92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4"/>
    </row>
    <row r="23" spans="1:82" x14ac:dyDescent="0.3">
      <c r="A23" s="68" t="s">
        <v>110</v>
      </c>
      <c r="B23" s="69"/>
      <c r="C23" s="70" t="s">
        <v>111</v>
      </c>
      <c r="D23" s="70" t="s">
        <v>112</v>
      </c>
      <c r="E23" s="71" t="s">
        <v>113</v>
      </c>
      <c r="F23" s="72" t="s">
        <v>103</v>
      </c>
      <c r="G23" s="73"/>
      <c r="H23" s="74" t="s">
        <v>109</v>
      </c>
      <c r="I23" s="72" t="s">
        <v>4</v>
      </c>
      <c r="J23" s="73" t="s">
        <v>6</v>
      </c>
      <c r="K23" s="75"/>
      <c r="L23" s="76"/>
      <c r="M23" s="77"/>
      <c r="N23" s="78">
        <v>15120</v>
      </c>
      <c r="O23" s="79">
        <v>16527</v>
      </c>
      <c r="P23" s="79">
        <v>17465</v>
      </c>
      <c r="Q23" s="80"/>
      <c r="R23" s="155">
        <v>0.09</v>
      </c>
      <c r="S23" s="78">
        <v>1361</v>
      </c>
      <c r="T23" s="79">
        <v>1487</v>
      </c>
      <c r="U23" s="79">
        <v>1572</v>
      </c>
      <c r="V23" s="80">
        <f t="shared" si="1"/>
        <v>0</v>
      </c>
      <c r="W23" s="82"/>
      <c r="X23" s="83"/>
      <c r="Y23" s="84" t="s">
        <v>104</v>
      </c>
      <c r="Z23" s="73" t="str">
        <f>'[1]Tier 1'!V23</f>
        <v>C</v>
      </c>
      <c r="AA23" s="73"/>
      <c r="AB23" s="73"/>
      <c r="AC23" s="73"/>
      <c r="AD23" s="74"/>
      <c r="AE23" s="78">
        <f>'[1]Tier 1'!W23</f>
        <v>1510</v>
      </c>
      <c r="AF23" s="79"/>
      <c r="AG23" s="79">
        <f>'[1]Tier 1'!X23</f>
        <v>1510</v>
      </c>
      <c r="AH23" s="79"/>
      <c r="AI23" s="79">
        <f>'[1]Tier 1'!Y23</f>
        <v>1510</v>
      </c>
      <c r="AJ23" s="79">
        <f t="shared" si="2"/>
        <v>1359</v>
      </c>
      <c r="AK23" s="79" t="e">
        <f>VLOOKUP(A23,#REF!,-1,FALSE)</f>
        <v>#REF!</v>
      </c>
      <c r="AL23" s="80" t="e">
        <f t="shared" si="3"/>
        <v>#REF!</v>
      </c>
      <c r="AM23" s="78">
        <f t="shared" si="17"/>
        <v>1361</v>
      </c>
      <c r="AN23" s="85">
        <f t="shared" si="18"/>
        <v>0.90100000000000002</v>
      </c>
      <c r="AO23" s="73" t="str">
        <f t="shared" si="19"/>
        <v>OK</v>
      </c>
      <c r="AP23" s="79">
        <f t="shared" si="20"/>
        <v>1487</v>
      </c>
      <c r="AQ23" s="85">
        <f t="shared" si="21"/>
        <v>0.98499999999999999</v>
      </c>
      <c r="AR23" s="73" t="str">
        <f t="shared" si="22"/>
        <v>OK</v>
      </c>
      <c r="AS23" s="79">
        <f t="shared" si="23"/>
        <v>1572</v>
      </c>
      <c r="AT23" s="85">
        <f t="shared" si="24"/>
        <v>1.0409999999999999</v>
      </c>
      <c r="AU23" s="86" t="str">
        <f t="shared" si="25"/>
        <v>OK</v>
      </c>
      <c r="AV23" s="79">
        <f t="shared" si="9"/>
        <v>0</v>
      </c>
      <c r="AW23" s="85" t="e">
        <f t="shared" si="10"/>
        <v>#REF!</v>
      </c>
      <c r="AX23" s="87" t="e">
        <f t="shared" si="11"/>
        <v>#REF!</v>
      </c>
      <c r="AY23" s="72"/>
      <c r="AZ23" s="73"/>
      <c r="BA23" s="77">
        <f t="shared" si="12"/>
        <v>0</v>
      </c>
      <c r="BB23" s="88">
        <f t="shared" si="13"/>
        <v>1</v>
      </c>
      <c r="BC23" s="89" t="e">
        <f>SUMIF(#REF!,#REF!, BB20:BB333)</f>
        <v>#REF!</v>
      </c>
      <c r="BD23" s="89">
        <f t="shared" si="14"/>
        <v>1</v>
      </c>
      <c r="BE23" s="89" t="e">
        <f>SUMIF(#REF!,#REF!, BD20:BD333)</f>
        <v>#REF!</v>
      </c>
      <c r="BF23" s="89">
        <f t="shared" si="15"/>
        <v>1</v>
      </c>
      <c r="BG23" s="89" t="e">
        <f>SUMIF(#REF!,#REF!, BF20:BF333)</f>
        <v>#REF!</v>
      </c>
      <c r="BH23" s="89" t="e">
        <f t="shared" si="16"/>
        <v>#REF!</v>
      </c>
      <c r="BI23" s="90">
        <f>SUMIF(B20:B333, B23, BH20:BH333)</f>
        <v>0</v>
      </c>
      <c r="BJ23" s="91"/>
      <c r="BK23" s="92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4"/>
    </row>
    <row r="24" spans="1:82" x14ac:dyDescent="0.3">
      <c r="A24" s="95" t="s">
        <v>114</v>
      </c>
      <c r="B24" s="96"/>
      <c r="C24" s="97" t="s">
        <v>111</v>
      </c>
      <c r="D24" s="97" t="s">
        <v>113</v>
      </c>
      <c r="E24" s="98" t="s">
        <v>115</v>
      </c>
      <c r="F24" s="99" t="s">
        <v>109</v>
      </c>
      <c r="G24" s="100"/>
      <c r="H24" s="101" t="s">
        <v>109</v>
      </c>
      <c r="I24" s="99" t="s">
        <v>4</v>
      </c>
      <c r="J24" s="100" t="s">
        <v>6</v>
      </c>
      <c r="K24" s="102"/>
      <c r="L24" s="103"/>
      <c r="M24" s="104"/>
      <c r="N24" s="105">
        <v>15360</v>
      </c>
      <c r="O24" s="106">
        <v>16484</v>
      </c>
      <c r="P24" s="106">
        <v>17233</v>
      </c>
      <c r="Q24" s="107"/>
      <c r="R24" s="156">
        <v>0.09</v>
      </c>
      <c r="S24" s="105">
        <v>1382</v>
      </c>
      <c r="T24" s="106">
        <v>1484</v>
      </c>
      <c r="U24" s="106">
        <v>1551</v>
      </c>
      <c r="V24" s="107">
        <f t="shared" si="1"/>
        <v>0</v>
      </c>
      <c r="W24" s="109"/>
      <c r="X24" s="110"/>
      <c r="Y24" s="111" t="s">
        <v>104</v>
      </c>
      <c r="Z24" s="100" t="str">
        <f>'[1]Tier 1'!V24</f>
        <v>C</v>
      </c>
      <c r="AA24" s="100"/>
      <c r="AB24" s="100"/>
      <c r="AC24" s="100"/>
      <c r="AD24" s="101"/>
      <c r="AE24" s="105">
        <f>'[1]Tier 1'!W24</f>
        <v>3420</v>
      </c>
      <c r="AF24" s="106"/>
      <c r="AG24" s="106">
        <f>'[1]Tier 1'!X24</f>
        <v>3420</v>
      </c>
      <c r="AH24" s="106"/>
      <c r="AI24" s="106">
        <f>'[1]Tier 1'!Y24</f>
        <v>3420</v>
      </c>
      <c r="AJ24" s="106">
        <f t="shared" si="2"/>
        <v>3078</v>
      </c>
      <c r="AK24" s="106" t="e">
        <f>VLOOKUP(A24,#REF!,-1,FALSE)</f>
        <v>#REF!</v>
      </c>
      <c r="AL24" s="107" t="e">
        <f t="shared" si="3"/>
        <v>#REF!</v>
      </c>
      <c r="AM24" s="105">
        <f t="shared" si="17"/>
        <v>1382</v>
      </c>
      <c r="AN24" s="112">
        <f t="shared" si="18"/>
        <v>0.40400000000000003</v>
      </c>
      <c r="AO24" s="100" t="str">
        <f t="shared" si="19"/>
        <v>OK</v>
      </c>
      <c r="AP24" s="106">
        <f t="shared" si="20"/>
        <v>1484</v>
      </c>
      <c r="AQ24" s="112">
        <f t="shared" si="21"/>
        <v>0.434</v>
      </c>
      <c r="AR24" s="100" t="str">
        <f t="shared" si="22"/>
        <v>OK</v>
      </c>
      <c r="AS24" s="106">
        <f t="shared" si="23"/>
        <v>1551</v>
      </c>
      <c r="AT24" s="112">
        <f t="shared" si="24"/>
        <v>0.45400000000000001</v>
      </c>
      <c r="AU24" s="113" t="str">
        <f t="shared" si="25"/>
        <v>OK</v>
      </c>
      <c r="AV24" s="106">
        <f t="shared" si="9"/>
        <v>0</v>
      </c>
      <c r="AW24" s="112" t="e">
        <f t="shared" si="10"/>
        <v>#REF!</v>
      </c>
      <c r="AX24" s="114" t="e">
        <f t="shared" si="11"/>
        <v>#REF!</v>
      </c>
      <c r="AY24" s="99"/>
      <c r="AZ24" s="100"/>
      <c r="BA24" s="104">
        <f t="shared" si="12"/>
        <v>0</v>
      </c>
      <c r="BB24" s="115">
        <f t="shared" si="13"/>
        <v>1</v>
      </c>
      <c r="BC24" s="116" t="e">
        <f>SUMIF(#REF!,#REF!, BB20:BB333)</f>
        <v>#REF!</v>
      </c>
      <c r="BD24" s="116">
        <f t="shared" si="14"/>
        <v>1</v>
      </c>
      <c r="BE24" s="116" t="e">
        <f>SUMIF(#REF!,#REF!, BD20:BD333)</f>
        <v>#REF!</v>
      </c>
      <c r="BF24" s="116">
        <f t="shared" si="15"/>
        <v>0</v>
      </c>
      <c r="BG24" s="116" t="e">
        <f>SUMIF(#REF!,#REF!, BF20:BF333)</f>
        <v>#REF!</v>
      </c>
      <c r="BH24" s="116" t="e">
        <f t="shared" si="16"/>
        <v>#REF!</v>
      </c>
      <c r="BI24" s="117">
        <f>SUMIF(B20:B333, B24, BH20:BH333)</f>
        <v>0</v>
      </c>
      <c r="BJ24" s="118"/>
      <c r="BK24" s="92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4"/>
    </row>
    <row r="25" spans="1:82" x14ac:dyDescent="0.3">
      <c r="A25" s="68" t="s">
        <v>116</v>
      </c>
      <c r="B25" s="69"/>
      <c r="C25" s="70" t="s">
        <v>111</v>
      </c>
      <c r="D25" s="70" t="s">
        <v>115</v>
      </c>
      <c r="E25" s="71" t="s">
        <v>117</v>
      </c>
      <c r="F25" s="72" t="s">
        <v>109</v>
      </c>
      <c r="G25" s="73"/>
      <c r="H25" s="74" t="s">
        <v>118</v>
      </c>
      <c r="I25" s="72" t="s">
        <v>4</v>
      </c>
      <c r="J25" s="73" t="s">
        <v>6</v>
      </c>
      <c r="K25" s="75"/>
      <c r="L25" s="76"/>
      <c r="M25" s="77"/>
      <c r="N25" s="78">
        <v>15360</v>
      </c>
      <c r="O25" s="79">
        <v>16484</v>
      </c>
      <c r="P25" s="79">
        <v>17233</v>
      </c>
      <c r="Q25" s="80"/>
      <c r="R25" s="155">
        <v>0.09</v>
      </c>
      <c r="S25" s="78">
        <v>1382</v>
      </c>
      <c r="T25" s="79">
        <v>1484</v>
      </c>
      <c r="U25" s="79">
        <v>1551</v>
      </c>
      <c r="V25" s="80">
        <f t="shared" si="1"/>
        <v>0</v>
      </c>
      <c r="W25" s="82"/>
      <c r="X25" s="83"/>
      <c r="Y25" s="84" t="s">
        <v>104</v>
      </c>
      <c r="Z25" s="73" t="str">
        <f>'[1]Tier 1'!V25</f>
        <v>C</v>
      </c>
      <c r="AA25" s="73"/>
      <c r="AB25" s="73"/>
      <c r="AC25" s="73"/>
      <c r="AD25" s="74"/>
      <c r="AE25" s="78">
        <f>'[1]Tier 1'!W25</f>
        <v>3420</v>
      </c>
      <c r="AF25" s="79"/>
      <c r="AG25" s="79">
        <f>'[1]Tier 1'!X25</f>
        <v>3420</v>
      </c>
      <c r="AH25" s="79"/>
      <c r="AI25" s="79">
        <f>'[1]Tier 1'!Y25</f>
        <v>3420</v>
      </c>
      <c r="AJ25" s="79">
        <f t="shared" si="2"/>
        <v>3078</v>
      </c>
      <c r="AK25" s="79" t="e">
        <f>VLOOKUP(A25,#REF!,-1,FALSE)</f>
        <v>#REF!</v>
      </c>
      <c r="AL25" s="80" t="e">
        <f t="shared" si="3"/>
        <v>#REF!</v>
      </c>
      <c r="AM25" s="78">
        <f t="shared" si="17"/>
        <v>1382</v>
      </c>
      <c r="AN25" s="85">
        <f t="shared" si="18"/>
        <v>0.40400000000000003</v>
      </c>
      <c r="AO25" s="73" t="str">
        <f t="shared" si="19"/>
        <v>OK</v>
      </c>
      <c r="AP25" s="79">
        <f t="shared" si="20"/>
        <v>1484</v>
      </c>
      <c r="AQ25" s="85">
        <f t="shared" si="21"/>
        <v>0.434</v>
      </c>
      <c r="AR25" s="73" t="str">
        <f t="shared" si="22"/>
        <v>OK</v>
      </c>
      <c r="AS25" s="79">
        <f t="shared" si="23"/>
        <v>1551</v>
      </c>
      <c r="AT25" s="85">
        <f t="shared" si="24"/>
        <v>0.45400000000000001</v>
      </c>
      <c r="AU25" s="86" t="str">
        <f t="shared" si="25"/>
        <v>OK</v>
      </c>
      <c r="AV25" s="79">
        <f t="shared" si="9"/>
        <v>0</v>
      </c>
      <c r="AW25" s="85" t="e">
        <f t="shared" si="10"/>
        <v>#REF!</v>
      </c>
      <c r="AX25" s="87" t="e">
        <f t="shared" si="11"/>
        <v>#REF!</v>
      </c>
      <c r="AY25" s="72"/>
      <c r="AZ25" s="73"/>
      <c r="BA25" s="77">
        <f t="shared" si="12"/>
        <v>0</v>
      </c>
      <c r="BB25" s="88">
        <f t="shared" si="13"/>
        <v>1</v>
      </c>
      <c r="BC25" s="89" t="e">
        <f>SUMIF(#REF!,#REF!, BB20:BB333)</f>
        <v>#REF!</v>
      </c>
      <c r="BD25" s="89">
        <f t="shared" si="14"/>
        <v>1</v>
      </c>
      <c r="BE25" s="89" t="e">
        <f>SUMIF(#REF!,#REF!, BD20:BD333)</f>
        <v>#REF!</v>
      </c>
      <c r="BF25" s="89">
        <f t="shared" si="15"/>
        <v>0</v>
      </c>
      <c r="BG25" s="89" t="e">
        <f>SUMIF(#REF!,#REF!, BF20:BF333)</f>
        <v>#REF!</v>
      </c>
      <c r="BH25" s="89" t="e">
        <f t="shared" si="16"/>
        <v>#REF!</v>
      </c>
      <c r="BI25" s="90">
        <f>SUMIF(B20:B333, B25, BH20:BH333)</f>
        <v>0</v>
      </c>
      <c r="BJ25" s="91"/>
      <c r="BK25" s="92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4"/>
    </row>
    <row r="26" spans="1:82" x14ac:dyDescent="0.3">
      <c r="A26" s="95" t="s">
        <v>119</v>
      </c>
      <c r="B26" s="96"/>
      <c r="C26" s="97" t="s">
        <v>111</v>
      </c>
      <c r="D26" s="97" t="s">
        <v>117</v>
      </c>
      <c r="E26" s="98" t="s">
        <v>120</v>
      </c>
      <c r="F26" s="99" t="s">
        <v>109</v>
      </c>
      <c r="G26" s="100"/>
      <c r="H26" s="101" t="s">
        <v>118</v>
      </c>
      <c r="I26" s="99" t="s">
        <v>4</v>
      </c>
      <c r="J26" s="100" t="s">
        <v>6</v>
      </c>
      <c r="K26" s="102"/>
      <c r="L26" s="103"/>
      <c r="M26" s="104"/>
      <c r="N26" s="105">
        <v>22093</v>
      </c>
      <c r="O26" s="106">
        <v>24130</v>
      </c>
      <c r="P26" s="106">
        <v>25487</v>
      </c>
      <c r="Q26" s="107"/>
      <c r="R26" s="156">
        <v>0.09</v>
      </c>
      <c r="S26" s="105">
        <v>1988</v>
      </c>
      <c r="T26" s="106">
        <v>2172</v>
      </c>
      <c r="U26" s="106">
        <v>2294</v>
      </c>
      <c r="V26" s="107">
        <f t="shared" si="1"/>
        <v>0</v>
      </c>
      <c r="W26" s="109"/>
      <c r="X26" s="110"/>
      <c r="Y26" s="111" t="s">
        <v>104</v>
      </c>
      <c r="Z26" s="100" t="str">
        <f>'[1]Tier 1'!V26</f>
        <v>C</v>
      </c>
      <c r="AA26" s="100"/>
      <c r="AB26" s="100"/>
      <c r="AC26" s="100"/>
      <c r="AD26" s="101"/>
      <c r="AE26" s="105">
        <f>'[1]Tier 1'!W26</f>
        <v>3420</v>
      </c>
      <c r="AF26" s="106"/>
      <c r="AG26" s="106">
        <f>'[1]Tier 1'!X26</f>
        <v>3420</v>
      </c>
      <c r="AH26" s="106"/>
      <c r="AI26" s="106">
        <f>'[1]Tier 1'!Y26</f>
        <v>3420</v>
      </c>
      <c r="AJ26" s="106">
        <f t="shared" si="2"/>
        <v>3078</v>
      </c>
      <c r="AK26" s="106" t="e">
        <f>VLOOKUP(A26,#REF!,-1,FALSE)</f>
        <v>#REF!</v>
      </c>
      <c r="AL26" s="107" t="e">
        <f t="shared" si="3"/>
        <v>#REF!</v>
      </c>
      <c r="AM26" s="105">
        <f t="shared" si="17"/>
        <v>1988</v>
      </c>
      <c r="AN26" s="112">
        <f t="shared" si="18"/>
        <v>0.58099999999999996</v>
      </c>
      <c r="AO26" s="100" t="str">
        <f t="shared" si="19"/>
        <v>OK</v>
      </c>
      <c r="AP26" s="106">
        <f t="shared" si="20"/>
        <v>2172</v>
      </c>
      <c r="AQ26" s="112">
        <f t="shared" si="21"/>
        <v>0.63500000000000001</v>
      </c>
      <c r="AR26" s="100" t="str">
        <f t="shared" si="22"/>
        <v>OK</v>
      </c>
      <c r="AS26" s="106">
        <f t="shared" si="23"/>
        <v>2294</v>
      </c>
      <c r="AT26" s="112">
        <f t="shared" si="24"/>
        <v>0.67100000000000004</v>
      </c>
      <c r="AU26" s="113" t="str">
        <f t="shared" si="25"/>
        <v>OK</v>
      </c>
      <c r="AV26" s="106">
        <f t="shared" si="9"/>
        <v>0</v>
      </c>
      <c r="AW26" s="112" t="e">
        <f t="shared" si="10"/>
        <v>#REF!</v>
      </c>
      <c r="AX26" s="114" t="e">
        <f t="shared" si="11"/>
        <v>#REF!</v>
      </c>
      <c r="AY26" s="99"/>
      <c r="AZ26" s="100"/>
      <c r="BA26" s="104">
        <f t="shared" si="12"/>
        <v>0</v>
      </c>
      <c r="BB26" s="115">
        <f t="shared" si="13"/>
        <v>1</v>
      </c>
      <c r="BC26" s="116" t="e">
        <f>SUMIF(#REF!,#REF!, BB20:BB333)</f>
        <v>#REF!</v>
      </c>
      <c r="BD26" s="116">
        <f t="shared" si="14"/>
        <v>1</v>
      </c>
      <c r="BE26" s="116" t="e">
        <f>SUMIF(#REF!,#REF!, BD20:BD333)</f>
        <v>#REF!</v>
      </c>
      <c r="BF26" s="116">
        <f t="shared" si="15"/>
        <v>0</v>
      </c>
      <c r="BG26" s="116" t="e">
        <f>SUMIF(#REF!,#REF!, BF20:BF333)</f>
        <v>#REF!</v>
      </c>
      <c r="BH26" s="116" t="e">
        <f t="shared" si="16"/>
        <v>#REF!</v>
      </c>
      <c r="BI26" s="117">
        <f>SUMIF(B20:B333, B26, BH20:BH333)</f>
        <v>0</v>
      </c>
      <c r="BJ26" s="118"/>
      <c r="BK26" s="92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4"/>
    </row>
    <row r="27" spans="1:82" x14ac:dyDescent="0.3">
      <c r="A27" s="68" t="s">
        <v>121</v>
      </c>
      <c r="B27" s="69"/>
      <c r="C27" s="70" t="s">
        <v>111</v>
      </c>
      <c r="D27" s="70" t="s">
        <v>120</v>
      </c>
      <c r="E27" s="71" t="s">
        <v>122</v>
      </c>
      <c r="F27" s="72" t="s">
        <v>118</v>
      </c>
      <c r="G27" s="73"/>
      <c r="H27" s="74" t="s">
        <v>118</v>
      </c>
      <c r="I27" s="72" t="s">
        <v>4</v>
      </c>
      <c r="J27" s="73" t="s">
        <v>6</v>
      </c>
      <c r="K27" s="75"/>
      <c r="L27" s="76"/>
      <c r="M27" s="77"/>
      <c r="N27" s="78">
        <v>25073</v>
      </c>
      <c r="O27" s="79">
        <v>26772</v>
      </c>
      <c r="P27" s="79">
        <v>27904</v>
      </c>
      <c r="Q27" s="80"/>
      <c r="R27" s="155">
        <v>0.09</v>
      </c>
      <c r="S27" s="78">
        <v>2257</v>
      </c>
      <c r="T27" s="79">
        <v>2409</v>
      </c>
      <c r="U27" s="79">
        <v>2511</v>
      </c>
      <c r="V27" s="80">
        <f t="shared" si="1"/>
        <v>0</v>
      </c>
      <c r="W27" s="82"/>
      <c r="X27" s="83"/>
      <c r="Y27" s="84" t="s">
        <v>104</v>
      </c>
      <c r="Z27" s="73" t="str">
        <f>'[1]Tier 1'!V27</f>
        <v>C</v>
      </c>
      <c r="AA27" s="73"/>
      <c r="AB27" s="73"/>
      <c r="AC27" s="73"/>
      <c r="AD27" s="74"/>
      <c r="AE27" s="78">
        <f>'[1]Tier 1'!W27</f>
        <v>5250</v>
      </c>
      <c r="AF27" s="79"/>
      <c r="AG27" s="79">
        <f>'[1]Tier 1'!X27</f>
        <v>5250</v>
      </c>
      <c r="AH27" s="79"/>
      <c r="AI27" s="79">
        <f>'[1]Tier 1'!Y27</f>
        <v>5250</v>
      </c>
      <c r="AJ27" s="79">
        <f t="shared" si="2"/>
        <v>4725</v>
      </c>
      <c r="AK27" s="79" t="e">
        <f>VLOOKUP(A27,#REF!,-1,FALSE)</f>
        <v>#REF!</v>
      </c>
      <c r="AL27" s="80" t="e">
        <f t="shared" si="3"/>
        <v>#REF!</v>
      </c>
      <c r="AM27" s="78">
        <f t="shared" si="17"/>
        <v>2257</v>
      </c>
      <c r="AN27" s="85">
        <f t="shared" si="18"/>
        <v>0.43</v>
      </c>
      <c r="AO27" s="73" t="str">
        <f t="shared" si="19"/>
        <v>OK</v>
      </c>
      <c r="AP27" s="79">
        <f t="shared" si="20"/>
        <v>2409</v>
      </c>
      <c r="AQ27" s="85">
        <f t="shared" si="21"/>
        <v>0.45900000000000002</v>
      </c>
      <c r="AR27" s="73" t="str">
        <f t="shared" si="22"/>
        <v>OK</v>
      </c>
      <c r="AS27" s="79">
        <f t="shared" si="23"/>
        <v>2511</v>
      </c>
      <c r="AT27" s="85">
        <f t="shared" si="24"/>
        <v>0.47799999999999998</v>
      </c>
      <c r="AU27" s="86" t="str">
        <f t="shared" si="25"/>
        <v>OK</v>
      </c>
      <c r="AV27" s="79">
        <f t="shared" si="9"/>
        <v>0</v>
      </c>
      <c r="AW27" s="85" t="e">
        <f t="shared" si="10"/>
        <v>#REF!</v>
      </c>
      <c r="AX27" s="87" t="e">
        <f t="shared" si="11"/>
        <v>#REF!</v>
      </c>
      <c r="AY27" s="72"/>
      <c r="AZ27" s="73"/>
      <c r="BA27" s="77">
        <f t="shared" si="12"/>
        <v>0</v>
      </c>
      <c r="BB27" s="88">
        <f t="shared" si="13"/>
        <v>1</v>
      </c>
      <c r="BC27" s="89" t="e">
        <f>SUMIF(#REF!,#REF!, BB20:BB333)</f>
        <v>#REF!</v>
      </c>
      <c r="BD27" s="89">
        <f t="shared" si="14"/>
        <v>1</v>
      </c>
      <c r="BE27" s="89" t="e">
        <f>SUMIF(#REF!,#REF!, BD20:BD333)</f>
        <v>#REF!</v>
      </c>
      <c r="BF27" s="89">
        <f t="shared" si="15"/>
        <v>0</v>
      </c>
      <c r="BG27" s="89" t="e">
        <f>SUMIF(#REF!,#REF!, BF20:BF333)</f>
        <v>#REF!</v>
      </c>
      <c r="BH27" s="89" t="e">
        <f t="shared" si="16"/>
        <v>#REF!</v>
      </c>
      <c r="BI27" s="90">
        <f>SUMIF(B20:B333, B27, BH20:BH333)</f>
        <v>0</v>
      </c>
      <c r="BJ27" s="91"/>
      <c r="BK27" s="92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4"/>
    </row>
    <row r="28" spans="1:82" x14ac:dyDescent="0.3">
      <c r="A28" s="95" t="s">
        <v>123</v>
      </c>
      <c r="B28" s="96"/>
      <c r="C28" s="97" t="s">
        <v>111</v>
      </c>
      <c r="D28" s="97" t="s">
        <v>122</v>
      </c>
      <c r="E28" s="98" t="s">
        <v>124</v>
      </c>
      <c r="F28" s="99" t="s">
        <v>118</v>
      </c>
      <c r="G28" s="100"/>
      <c r="H28" s="101" t="s">
        <v>118</v>
      </c>
      <c r="I28" s="99" t="s">
        <v>4</v>
      </c>
      <c r="J28" s="100" t="s">
        <v>6</v>
      </c>
      <c r="K28" s="102"/>
      <c r="L28" s="103"/>
      <c r="M28" s="104"/>
      <c r="N28" s="105">
        <v>25073</v>
      </c>
      <c r="O28" s="106">
        <v>26772</v>
      </c>
      <c r="P28" s="106">
        <v>27904</v>
      </c>
      <c r="Q28" s="107"/>
      <c r="R28" s="156">
        <v>0.09</v>
      </c>
      <c r="S28" s="105">
        <v>2257</v>
      </c>
      <c r="T28" s="106">
        <v>2409</v>
      </c>
      <c r="U28" s="106">
        <v>2511</v>
      </c>
      <c r="V28" s="107">
        <f t="shared" si="1"/>
        <v>0</v>
      </c>
      <c r="W28" s="109"/>
      <c r="X28" s="110"/>
      <c r="Y28" s="111" t="s">
        <v>104</v>
      </c>
      <c r="Z28" s="100" t="str">
        <f>'[1]Tier 1'!V28</f>
        <v>C</v>
      </c>
      <c r="AA28" s="100"/>
      <c r="AB28" s="100"/>
      <c r="AC28" s="100"/>
      <c r="AD28" s="101"/>
      <c r="AE28" s="105">
        <f>'[1]Tier 1'!W28</f>
        <v>5250</v>
      </c>
      <c r="AF28" s="106"/>
      <c r="AG28" s="106">
        <f>'[1]Tier 1'!X28</f>
        <v>5250</v>
      </c>
      <c r="AH28" s="106"/>
      <c r="AI28" s="106">
        <f>'[1]Tier 1'!Y28</f>
        <v>5250</v>
      </c>
      <c r="AJ28" s="106">
        <f t="shared" si="2"/>
        <v>4725</v>
      </c>
      <c r="AK28" s="106" t="e">
        <f>VLOOKUP(A28,#REF!,-1,FALSE)</f>
        <v>#REF!</v>
      </c>
      <c r="AL28" s="107" t="e">
        <f t="shared" si="3"/>
        <v>#REF!</v>
      </c>
      <c r="AM28" s="105">
        <f t="shared" si="17"/>
        <v>2257</v>
      </c>
      <c r="AN28" s="112">
        <f t="shared" si="18"/>
        <v>0.43</v>
      </c>
      <c r="AO28" s="100" t="str">
        <f t="shared" si="19"/>
        <v>OK</v>
      </c>
      <c r="AP28" s="106">
        <f t="shared" si="20"/>
        <v>2409</v>
      </c>
      <c r="AQ28" s="112">
        <f t="shared" si="21"/>
        <v>0.45900000000000002</v>
      </c>
      <c r="AR28" s="100" t="str">
        <f t="shared" si="22"/>
        <v>OK</v>
      </c>
      <c r="AS28" s="106">
        <f t="shared" si="23"/>
        <v>2511</v>
      </c>
      <c r="AT28" s="112">
        <f t="shared" si="24"/>
        <v>0.47799999999999998</v>
      </c>
      <c r="AU28" s="113" t="str">
        <f t="shared" si="25"/>
        <v>OK</v>
      </c>
      <c r="AV28" s="106">
        <f t="shared" si="9"/>
        <v>0</v>
      </c>
      <c r="AW28" s="112" t="e">
        <f t="shared" si="10"/>
        <v>#REF!</v>
      </c>
      <c r="AX28" s="114" t="e">
        <f t="shared" si="11"/>
        <v>#REF!</v>
      </c>
      <c r="AY28" s="99"/>
      <c r="AZ28" s="100"/>
      <c r="BA28" s="104">
        <f t="shared" si="12"/>
        <v>0</v>
      </c>
      <c r="BB28" s="115">
        <f t="shared" si="13"/>
        <v>1</v>
      </c>
      <c r="BC28" s="116" t="e">
        <f>SUMIF(#REF!,#REF!, BB20:BB333)</f>
        <v>#REF!</v>
      </c>
      <c r="BD28" s="116">
        <f t="shared" si="14"/>
        <v>1</v>
      </c>
      <c r="BE28" s="116" t="e">
        <f>SUMIF(#REF!,#REF!, BD20:BD333)</f>
        <v>#REF!</v>
      </c>
      <c r="BF28" s="116">
        <f t="shared" si="15"/>
        <v>0</v>
      </c>
      <c r="BG28" s="116" t="e">
        <f>SUMIF(#REF!,#REF!, BF20:BF333)</f>
        <v>#REF!</v>
      </c>
      <c r="BH28" s="116" t="e">
        <f t="shared" si="16"/>
        <v>#REF!</v>
      </c>
      <c r="BI28" s="117">
        <f>SUMIF(B20:B333, B28, BH20:BH333)</f>
        <v>0</v>
      </c>
      <c r="BJ28" s="118"/>
      <c r="BK28" s="92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4"/>
    </row>
    <row r="29" spans="1:82" x14ac:dyDescent="0.3">
      <c r="A29" s="68" t="s">
        <v>125</v>
      </c>
      <c r="B29" s="69"/>
      <c r="C29" s="70" t="s">
        <v>111</v>
      </c>
      <c r="D29" s="70" t="s">
        <v>124</v>
      </c>
      <c r="E29" s="71" t="s">
        <v>126</v>
      </c>
      <c r="F29" s="72" t="s">
        <v>118</v>
      </c>
      <c r="G29" s="73"/>
      <c r="H29" s="74" t="s">
        <v>118</v>
      </c>
      <c r="I29" s="72" t="s">
        <v>4</v>
      </c>
      <c r="J29" s="73" t="s">
        <v>6</v>
      </c>
      <c r="K29" s="75"/>
      <c r="L29" s="76"/>
      <c r="M29" s="77"/>
      <c r="N29" s="78">
        <v>25073</v>
      </c>
      <c r="O29" s="79">
        <v>26772</v>
      </c>
      <c r="P29" s="79">
        <v>27904</v>
      </c>
      <c r="Q29" s="80"/>
      <c r="R29" s="155">
        <v>0.09</v>
      </c>
      <c r="S29" s="78">
        <v>2257</v>
      </c>
      <c r="T29" s="79">
        <v>2409</v>
      </c>
      <c r="U29" s="79">
        <v>2511</v>
      </c>
      <c r="V29" s="80">
        <f t="shared" si="1"/>
        <v>0</v>
      </c>
      <c r="W29" s="82"/>
      <c r="X29" s="83"/>
      <c r="Y29" s="84" t="s">
        <v>104</v>
      </c>
      <c r="Z29" s="73" t="str">
        <f>'[1]Tier 1'!V29</f>
        <v>C</v>
      </c>
      <c r="AA29" s="73"/>
      <c r="AB29" s="73"/>
      <c r="AC29" s="73"/>
      <c r="AD29" s="74"/>
      <c r="AE29" s="78">
        <f>'[1]Tier 1'!W29</f>
        <v>5250</v>
      </c>
      <c r="AF29" s="79"/>
      <c r="AG29" s="79">
        <f>'[1]Tier 1'!X29</f>
        <v>5250</v>
      </c>
      <c r="AH29" s="79"/>
      <c r="AI29" s="79">
        <f>'[1]Tier 1'!Y29</f>
        <v>5250</v>
      </c>
      <c r="AJ29" s="79">
        <f t="shared" si="2"/>
        <v>4725</v>
      </c>
      <c r="AK29" s="79" t="e">
        <f>VLOOKUP(A29,#REF!,-1,FALSE)</f>
        <v>#REF!</v>
      </c>
      <c r="AL29" s="80" t="e">
        <f t="shared" si="3"/>
        <v>#REF!</v>
      </c>
      <c r="AM29" s="78">
        <f t="shared" si="17"/>
        <v>2257</v>
      </c>
      <c r="AN29" s="85">
        <f t="shared" si="18"/>
        <v>0.43</v>
      </c>
      <c r="AO29" s="73" t="str">
        <f t="shared" si="19"/>
        <v>OK</v>
      </c>
      <c r="AP29" s="79">
        <f t="shared" si="20"/>
        <v>2409</v>
      </c>
      <c r="AQ29" s="85">
        <f t="shared" si="21"/>
        <v>0.45900000000000002</v>
      </c>
      <c r="AR29" s="73" t="str">
        <f t="shared" si="22"/>
        <v>OK</v>
      </c>
      <c r="AS29" s="79">
        <f t="shared" si="23"/>
        <v>2511</v>
      </c>
      <c r="AT29" s="85">
        <f t="shared" si="24"/>
        <v>0.47799999999999998</v>
      </c>
      <c r="AU29" s="86" t="str">
        <f t="shared" si="25"/>
        <v>OK</v>
      </c>
      <c r="AV29" s="79">
        <f t="shared" si="9"/>
        <v>0</v>
      </c>
      <c r="AW29" s="85" t="e">
        <f t="shared" si="10"/>
        <v>#REF!</v>
      </c>
      <c r="AX29" s="87" t="e">
        <f t="shared" si="11"/>
        <v>#REF!</v>
      </c>
      <c r="AY29" s="72"/>
      <c r="AZ29" s="73"/>
      <c r="BA29" s="77">
        <f t="shared" si="12"/>
        <v>0</v>
      </c>
      <c r="BB29" s="88">
        <f t="shared" si="13"/>
        <v>1</v>
      </c>
      <c r="BC29" s="89" t="e">
        <f>SUMIF(#REF!,#REF!, BB20:BB333)</f>
        <v>#REF!</v>
      </c>
      <c r="BD29" s="89">
        <f t="shared" si="14"/>
        <v>1</v>
      </c>
      <c r="BE29" s="89" t="e">
        <f>SUMIF(#REF!,#REF!, BD20:BD333)</f>
        <v>#REF!</v>
      </c>
      <c r="BF29" s="89">
        <f t="shared" si="15"/>
        <v>0</v>
      </c>
      <c r="BG29" s="89" t="e">
        <f>SUMIF(#REF!,#REF!, BF20:BF333)</f>
        <v>#REF!</v>
      </c>
      <c r="BH29" s="89" t="e">
        <f t="shared" si="16"/>
        <v>#REF!</v>
      </c>
      <c r="BI29" s="90">
        <f>SUMIF(B20:B333, B29, BH20:BH333)</f>
        <v>0</v>
      </c>
      <c r="BJ29" s="91"/>
      <c r="BK29" s="92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4"/>
    </row>
    <row r="30" spans="1:82" x14ac:dyDescent="0.3">
      <c r="A30" s="95" t="s">
        <v>127</v>
      </c>
      <c r="B30" s="96"/>
      <c r="C30" s="97" t="s">
        <v>111</v>
      </c>
      <c r="D30" s="97" t="s">
        <v>126</v>
      </c>
      <c r="E30" s="98" t="s">
        <v>128</v>
      </c>
      <c r="F30" s="99" t="s">
        <v>118</v>
      </c>
      <c r="G30" s="100"/>
      <c r="H30" s="101" t="s">
        <v>118</v>
      </c>
      <c r="I30" s="99" t="s">
        <v>4</v>
      </c>
      <c r="J30" s="100" t="s">
        <v>6</v>
      </c>
      <c r="K30" s="102"/>
      <c r="L30" s="103"/>
      <c r="M30" s="104"/>
      <c r="N30" s="105">
        <v>25073</v>
      </c>
      <c r="O30" s="106">
        <v>26772</v>
      </c>
      <c r="P30" s="106">
        <v>27904</v>
      </c>
      <c r="Q30" s="107"/>
      <c r="R30" s="156">
        <v>0.09</v>
      </c>
      <c r="S30" s="105">
        <v>2257</v>
      </c>
      <c r="T30" s="106">
        <v>2409</v>
      </c>
      <c r="U30" s="106">
        <v>2511</v>
      </c>
      <c r="V30" s="107">
        <f t="shared" si="1"/>
        <v>0</v>
      </c>
      <c r="W30" s="109"/>
      <c r="X30" s="110"/>
      <c r="Y30" s="111" t="s">
        <v>104</v>
      </c>
      <c r="Z30" s="100" t="str">
        <f>'[1]Tier 1'!V30</f>
        <v>C</v>
      </c>
      <c r="AA30" s="100"/>
      <c r="AB30" s="100"/>
      <c r="AC30" s="100"/>
      <c r="AD30" s="101"/>
      <c r="AE30" s="105">
        <f>'[1]Tier 1'!W30</f>
        <v>5250</v>
      </c>
      <c r="AF30" s="106"/>
      <c r="AG30" s="106">
        <f>'[1]Tier 1'!X30</f>
        <v>5250</v>
      </c>
      <c r="AH30" s="106"/>
      <c r="AI30" s="106">
        <f>'[1]Tier 1'!Y30</f>
        <v>5250</v>
      </c>
      <c r="AJ30" s="106">
        <f t="shared" si="2"/>
        <v>4725</v>
      </c>
      <c r="AK30" s="106" t="e">
        <f>VLOOKUP(A30,#REF!,-1,FALSE)</f>
        <v>#REF!</v>
      </c>
      <c r="AL30" s="107" t="e">
        <f t="shared" si="3"/>
        <v>#REF!</v>
      </c>
      <c r="AM30" s="105">
        <f t="shared" si="17"/>
        <v>2257</v>
      </c>
      <c r="AN30" s="112">
        <f t="shared" si="18"/>
        <v>0.43</v>
      </c>
      <c r="AO30" s="100" t="str">
        <f t="shared" si="19"/>
        <v>OK</v>
      </c>
      <c r="AP30" s="106">
        <f t="shared" si="20"/>
        <v>2409</v>
      </c>
      <c r="AQ30" s="112">
        <f t="shared" si="21"/>
        <v>0.45900000000000002</v>
      </c>
      <c r="AR30" s="100" t="str">
        <f t="shared" si="22"/>
        <v>OK</v>
      </c>
      <c r="AS30" s="106">
        <f t="shared" si="23"/>
        <v>2511</v>
      </c>
      <c r="AT30" s="112">
        <f t="shared" si="24"/>
        <v>0.47799999999999998</v>
      </c>
      <c r="AU30" s="113" t="str">
        <f t="shared" si="25"/>
        <v>OK</v>
      </c>
      <c r="AV30" s="106">
        <f t="shared" si="9"/>
        <v>0</v>
      </c>
      <c r="AW30" s="112" t="e">
        <f t="shared" si="10"/>
        <v>#REF!</v>
      </c>
      <c r="AX30" s="114" t="e">
        <f t="shared" si="11"/>
        <v>#REF!</v>
      </c>
      <c r="AY30" s="99"/>
      <c r="AZ30" s="100"/>
      <c r="BA30" s="104">
        <f t="shared" si="12"/>
        <v>0</v>
      </c>
      <c r="BB30" s="115">
        <f t="shared" si="13"/>
        <v>1</v>
      </c>
      <c r="BC30" s="116" t="e">
        <f>SUMIF(#REF!,#REF!, BB20:BB333)</f>
        <v>#REF!</v>
      </c>
      <c r="BD30" s="116">
        <f t="shared" si="14"/>
        <v>1</v>
      </c>
      <c r="BE30" s="116" t="e">
        <f>SUMIF(#REF!,#REF!, BD20:BD333)</f>
        <v>#REF!</v>
      </c>
      <c r="BF30" s="116">
        <f t="shared" si="15"/>
        <v>0</v>
      </c>
      <c r="BG30" s="116" t="e">
        <f>SUMIF(#REF!,#REF!, BF20:BF333)</f>
        <v>#REF!</v>
      </c>
      <c r="BH30" s="116" t="e">
        <f t="shared" si="16"/>
        <v>#REF!</v>
      </c>
      <c r="BI30" s="117">
        <f>SUMIF(B20:B333, B30, BH20:BH333)</f>
        <v>0</v>
      </c>
      <c r="BJ30" s="118"/>
      <c r="BK30" s="92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4"/>
    </row>
    <row r="31" spans="1:82" x14ac:dyDescent="0.3">
      <c r="A31" s="68" t="s">
        <v>129</v>
      </c>
      <c r="B31" s="69"/>
      <c r="C31" s="70" t="s">
        <v>111</v>
      </c>
      <c r="D31" s="70" t="s">
        <v>128</v>
      </c>
      <c r="E31" s="71" t="s">
        <v>130</v>
      </c>
      <c r="F31" s="72" t="s">
        <v>118</v>
      </c>
      <c r="G31" s="73"/>
      <c r="H31" s="74" t="s">
        <v>118</v>
      </c>
      <c r="I31" s="72" t="s">
        <v>4</v>
      </c>
      <c r="J31" s="73" t="s">
        <v>6</v>
      </c>
      <c r="K31" s="75"/>
      <c r="L31" s="76"/>
      <c r="M31" s="77"/>
      <c r="N31" s="78">
        <v>25073</v>
      </c>
      <c r="O31" s="79">
        <v>26772</v>
      </c>
      <c r="P31" s="79">
        <v>27904</v>
      </c>
      <c r="Q31" s="80"/>
      <c r="R31" s="155">
        <v>0.09</v>
      </c>
      <c r="S31" s="78">
        <v>2257</v>
      </c>
      <c r="T31" s="79">
        <v>2409</v>
      </c>
      <c r="U31" s="79">
        <v>2511</v>
      </c>
      <c r="V31" s="80">
        <f t="shared" si="1"/>
        <v>0</v>
      </c>
      <c r="W31" s="82"/>
      <c r="X31" s="83"/>
      <c r="Y31" s="84" t="s">
        <v>104</v>
      </c>
      <c r="Z31" s="73" t="str">
        <f>'[1]Tier 1'!V31</f>
        <v>C</v>
      </c>
      <c r="AA31" s="73"/>
      <c r="AB31" s="73"/>
      <c r="AC31" s="73"/>
      <c r="AD31" s="74"/>
      <c r="AE31" s="78">
        <f>'[1]Tier 1'!W31</f>
        <v>5250</v>
      </c>
      <c r="AF31" s="79"/>
      <c r="AG31" s="79">
        <f>'[1]Tier 1'!X31</f>
        <v>5250</v>
      </c>
      <c r="AH31" s="79"/>
      <c r="AI31" s="79">
        <f>'[1]Tier 1'!Y31</f>
        <v>5250</v>
      </c>
      <c r="AJ31" s="79">
        <f t="shared" si="2"/>
        <v>4725</v>
      </c>
      <c r="AK31" s="79" t="e">
        <f>VLOOKUP(A31,#REF!,-1,FALSE)</f>
        <v>#REF!</v>
      </c>
      <c r="AL31" s="80" t="e">
        <f t="shared" si="3"/>
        <v>#REF!</v>
      </c>
      <c r="AM31" s="78">
        <f t="shared" si="17"/>
        <v>2257</v>
      </c>
      <c r="AN31" s="85">
        <f t="shared" si="18"/>
        <v>0.43</v>
      </c>
      <c r="AO31" s="73" t="str">
        <f t="shared" si="19"/>
        <v>OK</v>
      </c>
      <c r="AP31" s="79">
        <f t="shared" si="20"/>
        <v>2409</v>
      </c>
      <c r="AQ31" s="85">
        <f t="shared" si="21"/>
        <v>0.45900000000000002</v>
      </c>
      <c r="AR31" s="73" t="str">
        <f t="shared" si="22"/>
        <v>OK</v>
      </c>
      <c r="AS31" s="79">
        <f t="shared" si="23"/>
        <v>2511</v>
      </c>
      <c r="AT31" s="85">
        <f t="shared" si="24"/>
        <v>0.47799999999999998</v>
      </c>
      <c r="AU31" s="86" t="str">
        <f t="shared" si="25"/>
        <v>OK</v>
      </c>
      <c r="AV31" s="79">
        <f t="shared" si="9"/>
        <v>0</v>
      </c>
      <c r="AW31" s="85" t="e">
        <f t="shared" si="10"/>
        <v>#REF!</v>
      </c>
      <c r="AX31" s="87" t="e">
        <f t="shared" si="11"/>
        <v>#REF!</v>
      </c>
      <c r="AY31" s="72"/>
      <c r="AZ31" s="73"/>
      <c r="BA31" s="77">
        <f t="shared" si="12"/>
        <v>0</v>
      </c>
      <c r="BB31" s="88">
        <f t="shared" si="13"/>
        <v>1</v>
      </c>
      <c r="BC31" s="89" t="e">
        <f>SUMIF(#REF!,#REF!, BB20:BB333)</f>
        <v>#REF!</v>
      </c>
      <c r="BD31" s="89">
        <f t="shared" si="14"/>
        <v>1</v>
      </c>
      <c r="BE31" s="89" t="e">
        <f>SUMIF(#REF!,#REF!, BD20:BD333)</f>
        <v>#REF!</v>
      </c>
      <c r="BF31" s="89">
        <f t="shared" si="15"/>
        <v>0</v>
      </c>
      <c r="BG31" s="89" t="e">
        <f>SUMIF(#REF!,#REF!, BF20:BF333)</f>
        <v>#REF!</v>
      </c>
      <c r="BH31" s="89" t="e">
        <f t="shared" si="16"/>
        <v>#REF!</v>
      </c>
      <c r="BI31" s="90">
        <f>SUMIF(B20:B333, B31, BH20:BH333)</f>
        <v>0</v>
      </c>
      <c r="BJ31" s="91"/>
      <c r="BK31" s="92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4"/>
    </row>
    <row r="32" spans="1:82" x14ac:dyDescent="0.3">
      <c r="A32" s="95" t="s">
        <v>131</v>
      </c>
      <c r="B32" s="96"/>
      <c r="C32" s="97" t="s">
        <v>111</v>
      </c>
      <c r="D32" s="97" t="s">
        <v>130</v>
      </c>
      <c r="E32" s="98" t="s">
        <v>102</v>
      </c>
      <c r="F32" s="99" t="s">
        <v>118</v>
      </c>
      <c r="G32" s="100"/>
      <c r="H32" s="101" t="s">
        <v>118</v>
      </c>
      <c r="I32" s="99" t="s">
        <v>4</v>
      </c>
      <c r="J32" s="100" t="s">
        <v>6</v>
      </c>
      <c r="K32" s="102"/>
      <c r="L32" s="103"/>
      <c r="M32" s="104"/>
      <c r="N32" s="105">
        <v>32640</v>
      </c>
      <c r="O32" s="106">
        <v>34638</v>
      </c>
      <c r="P32" s="106">
        <v>36037</v>
      </c>
      <c r="Q32" s="107"/>
      <c r="R32" s="156">
        <v>0.09</v>
      </c>
      <c r="S32" s="105">
        <v>2938</v>
      </c>
      <c r="T32" s="106">
        <v>3117</v>
      </c>
      <c r="U32" s="106">
        <v>3243</v>
      </c>
      <c r="V32" s="107">
        <f t="shared" si="1"/>
        <v>0</v>
      </c>
      <c r="W32" s="109"/>
      <c r="X32" s="110"/>
      <c r="Y32" s="111" t="s">
        <v>104</v>
      </c>
      <c r="Z32" s="100" t="str">
        <f>'[1]Tier 1'!V32</f>
        <v>C</v>
      </c>
      <c r="AA32" s="100"/>
      <c r="AB32" s="100"/>
      <c r="AC32" s="100"/>
      <c r="AD32" s="101"/>
      <c r="AE32" s="105">
        <f>'[1]Tier 1'!W32</f>
        <v>2090</v>
      </c>
      <c r="AF32" s="106"/>
      <c r="AG32" s="106">
        <f>'[1]Tier 1'!X32</f>
        <v>2090</v>
      </c>
      <c r="AH32" s="106"/>
      <c r="AI32" s="106">
        <f>'[1]Tier 1'!Y32</f>
        <v>2090</v>
      </c>
      <c r="AJ32" s="106">
        <f t="shared" si="2"/>
        <v>1881</v>
      </c>
      <c r="AK32" s="106" t="e">
        <f>VLOOKUP(A32,#REF!,-1,FALSE)</f>
        <v>#REF!</v>
      </c>
      <c r="AL32" s="107" t="e">
        <f t="shared" si="3"/>
        <v>#REF!</v>
      </c>
      <c r="AM32" s="105">
        <f t="shared" si="17"/>
        <v>2938</v>
      </c>
      <c r="AN32" s="112">
        <f t="shared" si="18"/>
        <v>1.4059999999999999</v>
      </c>
      <c r="AO32" s="100" t="str">
        <f t="shared" si="19"/>
        <v>OK</v>
      </c>
      <c r="AP32" s="106">
        <f t="shared" si="20"/>
        <v>3117</v>
      </c>
      <c r="AQ32" s="112">
        <f t="shared" si="21"/>
        <v>1.4910000000000001</v>
      </c>
      <c r="AR32" s="100" t="str">
        <f t="shared" si="22"/>
        <v>OK</v>
      </c>
      <c r="AS32" s="106">
        <f t="shared" si="23"/>
        <v>3243</v>
      </c>
      <c r="AT32" s="112">
        <f t="shared" si="24"/>
        <v>1.552</v>
      </c>
      <c r="AU32" s="113" t="str">
        <f t="shared" si="25"/>
        <v>OK</v>
      </c>
      <c r="AV32" s="106">
        <f t="shared" si="9"/>
        <v>0</v>
      </c>
      <c r="AW32" s="112" t="e">
        <f t="shared" si="10"/>
        <v>#REF!</v>
      </c>
      <c r="AX32" s="114" t="e">
        <f t="shared" si="11"/>
        <v>#REF!</v>
      </c>
      <c r="AY32" s="99"/>
      <c r="AZ32" s="100"/>
      <c r="BA32" s="104">
        <f t="shared" si="12"/>
        <v>0</v>
      </c>
      <c r="BB32" s="115">
        <f t="shared" si="13"/>
        <v>1</v>
      </c>
      <c r="BC32" s="116" t="e">
        <f>SUMIF(#REF!,#REF!, BB20:BB333)</f>
        <v>#REF!</v>
      </c>
      <c r="BD32" s="116">
        <f t="shared" si="14"/>
        <v>1</v>
      </c>
      <c r="BE32" s="116" t="e">
        <f>SUMIF(#REF!,#REF!, BD20:BD333)</f>
        <v>#REF!</v>
      </c>
      <c r="BF32" s="116">
        <f t="shared" si="15"/>
        <v>1</v>
      </c>
      <c r="BG32" s="116" t="e">
        <f>SUMIF(#REF!,#REF!, BF20:BF333)</f>
        <v>#REF!</v>
      </c>
      <c r="BH32" s="116" t="e">
        <f t="shared" si="16"/>
        <v>#REF!</v>
      </c>
      <c r="BI32" s="117">
        <f>SUMIF(B20:B333, B32, BH20:BH333)</f>
        <v>0</v>
      </c>
      <c r="BJ32" s="118"/>
      <c r="BK32" s="92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4"/>
    </row>
    <row r="33" spans="1:82" x14ac:dyDescent="0.3">
      <c r="A33" s="68" t="s">
        <v>132</v>
      </c>
      <c r="B33" s="69"/>
      <c r="C33" s="70" t="s">
        <v>111</v>
      </c>
      <c r="D33" s="70" t="s">
        <v>102</v>
      </c>
      <c r="E33" s="71" t="s">
        <v>133</v>
      </c>
      <c r="F33" s="72" t="s">
        <v>118</v>
      </c>
      <c r="G33" s="73"/>
      <c r="H33" s="74" t="s">
        <v>118</v>
      </c>
      <c r="I33" s="72" t="s">
        <v>4</v>
      </c>
      <c r="J33" s="73" t="s">
        <v>6</v>
      </c>
      <c r="K33" s="75"/>
      <c r="L33" s="76"/>
      <c r="M33" s="77"/>
      <c r="N33" s="78">
        <v>32640</v>
      </c>
      <c r="O33" s="79">
        <v>34638</v>
      </c>
      <c r="P33" s="79">
        <v>36037</v>
      </c>
      <c r="Q33" s="80"/>
      <c r="R33" s="155">
        <v>0.09</v>
      </c>
      <c r="S33" s="78">
        <v>2938</v>
      </c>
      <c r="T33" s="79">
        <v>3117</v>
      </c>
      <c r="U33" s="79">
        <v>3243</v>
      </c>
      <c r="V33" s="80">
        <f t="shared" si="1"/>
        <v>0</v>
      </c>
      <c r="W33" s="82"/>
      <c r="X33" s="83"/>
      <c r="Y33" s="84" t="s">
        <v>104</v>
      </c>
      <c r="Z33" s="73" t="str">
        <f>'[1]Tier 1'!V33</f>
        <v>C</v>
      </c>
      <c r="AA33" s="73"/>
      <c r="AB33" s="73"/>
      <c r="AC33" s="73"/>
      <c r="AD33" s="74"/>
      <c r="AE33" s="78">
        <f>'[1]Tier 1'!W33</f>
        <v>2090</v>
      </c>
      <c r="AF33" s="79"/>
      <c r="AG33" s="79">
        <f>'[1]Tier 1'!X33</f>
        <v>2090</v>
      </c>
      <c r="AH33" s="79"/>
      <c r="AI33" s="79">
        <f>'[1]Tier 1'!Y33</f>
        <v>2090</v>
      </c>
      <c r="AJ33" s="79">
        <f t="shared" si="2"/>
        <v>1881</v>
      </c>
      <c r="AK33" s="79" t="e">
        <f>VLOOKUP(A33,#REF!,-1,FALSE)</f>
        <v>#REF!</v>
      </c>
      <c r="AL33" s="80" t="e">
        <f t="shared" si="3"/>
        <v>#REF!</v>
      </c>
      <c r="AM33" s="78">
        <f t="shared" si="17"/>
        <v>2938</v>
      </c>
      <c r="AN33" s="85">
        <f t="shared" si="18"/>
        <v>1.4059999999999999</v>
      </c>
      <c r="AO33" s="73" t="str">
        <f t="shared" si="19"/>
        <v>OK</v>
      </c>
      <c r="AP33" s="79">
        <f t="shared" si="20"/>
        <v>3117</v>
      </c>
      <c r="AQ33" s="85">
        <f t="shared" si="21"/>
        <v>1.4910000000000001</v>
      </c>
      <c r="AR33" s="73" t="str">
        <f t="shared" si="22"/>
        <v>OK</v>
      </c>
      <c r="AS33" s="79">
        <f t="shared" si="23"/>
        <v>3243</v>
      </c>
      <c r="AT33" s="85">
        <f t="shared" si="24"/>
        <v>1.552</v>
      </c>
      <c r="AU33" s="86" t="str">
        <f t="shared" si="25"/>
        <v>OK</v>
      </c>
      <c r="AV33" s="79">
        <f t="shared" si="9"/>
        <v>0</v>
      </c>
      <c r="AW33" s="85" t="e">
        <f t="shared" si="10"/>
        <v>#REF!</v>
      </c>
      <c r="AX33" s="87" t="e">
        <f t="shared" si="11"/>
        <v>#REF!</v>
      </c>
      <c r="AY33" s="72"/>
      <c r="AZ33" s="73"/>
      <c r="BA33" s="77">
        <f t="shared" si="12"/>
        <v>0</v>
      </c>
      <c r="BB33" s="88">
        <f t="shared" si="13"/>
        <v>1</v>
      </c>
      <c r="BC33" s="89" t="e">
        <f>SUMIF(#REF!,#REF!, BB20:BB333)</f>
        <v>#REF!</v>
      </c>
      <c r="BD33" s="89">
        <f t="shared" si="14"/>
        <v>1</v>
      </c>
      <c r="BE33" s="89" t="e">
        <f>SUMIF(#REF!,#REF!, BD20:BD333)</f>
        <v>#REF!</v>
      </c>
      <c r="BF33" s="89">
        <f t="shared" si="15"/>
        <v>1</v>
      </c>
      <c r="BG33" s="89" t="e">
        <f>SUMIF(#REF!,#REF!, BF20:BF333)</f>
        <v>#REF!</v>
      </c>
      <c r="BH33" s="89" t="e">
        <f t="shared" si="16"/>
        <v>#REF!</v>
      </c>
      <c r="BI33" s="90">
        <f>SUMIF(B20:B333, B33, BH20:BH333)</f>
        <v>0</v>
      </c>
      <c r="BJ33" s="91"/>
      <c r="BK33" s="92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4"/>
    </row>
    <row r="34" spans="1:82" x14ac:dyDescent="0.3">
      <c r="A34" s="95" t="s">
        <v>134</v>
      </c>
      <c r="B34" s="96"/>
      <c r="C34" s="97" t="s">
        <v>111</v>
      </c>
      <c r="D34" s="97" t="s">
        <v>133</v>
      </c>
      <c r="E34" s="98" t="s">
        <v>135</v>
      </c>
      <c r="F34" s="99" t="s">
        <v>118</v>
      </c>
      <c r="G34" s="100"/>
      <c r="H34" s="101" t="s">
        <v>118</v>
      </c>
      <c r="I34" s="99" t="s">
        <v>4</v>
      </c>
      <c r="J34" s="100" t="s">
        <v>6</v>
      </c>
      <c r="K34" s="102"/>
      <c r="L34" s="103"/>
      <c r="M34" s="104"/>
      <c r="N34" s="105">
        <v>25447</v>
      </c>
      <c r="O34" s="106">
        <v>26956</v>
      </c>
      <c r="P34" s="106">
        <v>27962</v>
      </c>
      <c r="Q34" s="107"/>
      <c r="R34" s="156">
        <v>0.09</v>
      </c>
      <c r="S34" s="105">
        <v>2290</v>
      </c>
      <c r="T34" s="106">
        <v>2426</v>
      </c>
      <c r="U34" s="106">
        <v>2517</v>
      </c>
      <c r="V34" s="107">
        <f t="shared" si="1"/>
        <v>0</v>
      </c>
      <c r="W34" s="109"/>
      <c r="X34" s="110"/>
      <c r="Y34" s="111" t="s">
        <v>104</v>
      </c>
      <c r="Z34" s="100" t="str">
        <f>'[1]Tier 1'!V34</f>
        <v>C</v>
      </c>
      <c r="AA34" s="100"/>
      <c r="AB34" s="100"/>
      <c r="AC34" s="100"/>
      <c r="AD34" s="101"/>
      <c r="AE34" s="105">
        <f>'[1]Tier 1'!W34</f>
        <v>2090</v>
      </c>
      <c r="AF34" s="106"/>
      <c r="AG34" s="106">
        <f>'[1]Tier 1'!X34</f>
        <v>2090</v>
      </c>
      <c r="AH34" s="106"/>
      <c r="AI34" s="106">
        <f>'[1]Tier 1'!Y34</f>
        <v>2090</v>
      </c>
      <c r="AJ34" s="106">
        <f t="shared" si="2"/>
        <v>1881</v>
      </c>
      <c r="AK34" s="106" t="e">
        <f>VLOOKUP(A34,#REF!,-1,FALSE)</f>
        <v>#REF!</v>
      </c>
      <c r="AL34" s="107" t="e">
        <f t="shared" si="3"/>
        <v>#REF!</v>
      </c>
      <c r="AM34" s="105">
        <f t="shared" si="17"/>
        <v>2290</v>
      </c>
      <c r="AN34" s="112">
        <f t="shared" si="18"/>
        <v>1.0960000000000001</v>
      </c>
      <c r="AO34" s="100" t="str">
        <f t="shared" si="19"/>
        <v>OK</v>
      </c>
      <c r="AP34" s="106">
        <f t="shared" si="20"/>
        <v>2426</v>
      </c>
      <c r="AQ34" s="112">
        <f t="shared" si="21"/>
        <v>1.161</v>
      </c>
      <c r="AR34" s="100" t="str">
        <f t="shared" si="22"/>
        <v>OK</v>
      </c>
      <c r="AS34" s="106">
        <f t="shared" si="23"/>
        <v>2517</v>
      </c>
      <c r="AT34" s="112">
        <f t="shared" si="24"/>
        <v>1.204</v>
      </c>
      <c r="AU34" s="113" t="str">
        <f t="shared" si="25"/>
        <v>OK</v>
      </c>
      <c r="AV34" s="106">
        <f t="shared" si="9"/>
        <v>0</v>
      </c>
      <c r="AW34" s="112" t="e">
        <f t="shared" si="10"/>
        <v>#REF!</v>
      </c>
      <c r="AX34" s="114" t="e">
        <f t="shared" si="11"/>
        <v>#REF!</v>
      </c>
      <c r="AY34" s="99"/>
      <c r="AZ34" s="100"/>
      <c r="BA34" s="104">
        <f t="shared" si="12"/>
        <v>0</v>
      </c>
      <c r="BB34" s="115">
        <f t="shared" si="13"/>
        <v>1</v>
      </c>
      <c r="BC34" s="116" t="e">
        <f>SUMIF(#REF!,#REF!, BB20:BB333)</f>
        <v>#REF!</v>
      </c>
      <c r="BD34" s="116">
        <f t="shared" si="14"/>
        <v>1</v>
      </c>
      <c r="BE34" s="116" t="e">
        <f>SUMIF(#REF!,#REF!, BD20:BD333)</f>
        <v>#REF!</v>
      </c>
      <c r="BF34" s="116">
        <f t="shared" si="15"/>
        <v>1</v>
      </c>
      <c r="BG34" s="116" t="e">
        <f>SUMIF(#REF!,#REF!, BF20:BF333)</f>
        <v>#REF!</v>
      </c>
      <c r="BH34" s="116" t="e">
        <f t="shared" si="16"/>
        <v>#REF!</v>
      </c>
      <c r="BI34" s="117">
        <f>SUMIF(B20:B333, B34, BH20:BH333)</f>
        <v>0</v>
      </c>
      <c r="BJ34" s="118"/>
      <c r="BK34" s="92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4"/>
    </row>
    <row r="35" spans="1:82" x14ac:dyDescent="0.3">
      <c r="A35" s="68" t="s">
        <v>136</v>
      </c>
      <c r="B35" s="69"/>
      <c r="C35" s="70" t="s">
        <v>111</v>
      </c>
      <c r="D35" s="70" t="s">
        <v>135</v>
      </c>
      <c r="E35" s="71" t="s">
        <v>137</v>
      </c>
      <c r="F35" s="72" t="s">
        <v>118</v>
      </c>
      <c r="G35" s="73"/>
      <c r="H35" s="74" t="s">
        <v>138</v>
      </c>
      <c r="I35" s="72" t="s">
        <v>4</v>
      </c>
      <c r="J35" s="73" t="s">
        <v>6</v>
      </c>
      <c r="K35" s="75"/>
      <c r="L35" s="76"/>
      <c r="M35" s="77"/>
      <c r="N35" s="78">
        <v>25447</v>
      </c>
      <c r="O35" s="79">
        <v>26956</v>
      </c>
      <c r="P35" s="79">
        <v>27962</v>
      </c>
      <c r="Q35" s="80"/>
      <c r="R35" s="155">
        <v>0.09</v>
      </c>
      <c r="S35" s="78">
        <v>2290</v>
      </c>
      <c r="T35" s="79">
        <v>2426</v>
      </c>
      <c r="U35" s="79">
        <v>2517</v>
      </c>
      <c r="V35" s="80">
        <f t="shared" si="1"/>
        <v>0</v>
      </c>
      <c r="W35" s="82"/>
      <c r="X35" s="83"/>
      <c r="Y35" s="84" t="s">
        <v>104</v>
      </c>
      <c r="Z35" s="73" t="str">
        <f>'[1]Tier 1'!V35</f>
        <v>C</v>
      </c>
      <c r="AA35" s="73"/>
      <c r="AB35" s="73"/>
      <c r="AC35" s="73"/>
      <c r="AD35" s="74"/>
      <c r="AE35" s="78">
        <f>'[1]Tier 1'!W35</f>
        <v>2090</v>
      </c>
      <c r="AF35" s="79"/>
      <c r="AG35" s="79">
        <f>'[1]Tier 1'!X35</f>
        <v>2090</v>
      </c>
      <c r="AH35" s="79"/>
      <c r="AI35" s="79">
        <f>'[1]Tier 1'!Y35</f>
        <v>2090</v>
      </c>
      <c r="AJ35" s="79">
        <f t="shared" si="2"/>
        <v>1881</v>
      </c>
      <c r="AK35" s="79" t="e">
        <f>VLOOKUP(A35,#REF!,-1,FALSE)</f>
        <v>#REF!</v>
      </c>
      <c r="AL35" s="80" t="e">
        <f t="shared" si="3"/>
        <v>#REF!</v>
      </c>
      <c r="AM35" s="78">
        <f t="shared" si="17"/>
        <v>2290</v>
      </c>
      <c r="AN35" s="85">
        <f t="shared" si="18"/>
        <v>1.0960000000000001</v>
      </c>
      <c r="AO35" s="73" t="str">
        <f t="shared" si="19"/>
        <v>OK</v>
      </c>
      <c r="AP35" s="79">
        <f t="shared" si="20"/>
        <v>2426</v>
      </c>
      <c r="AQ35" s="85">
        <f t="shared" si="21"/>
        <v>1.161</v>
      </c>
      <c r="AR35" s="73" t="str">
        <f t="shared" si="22"/>
        <v>OK</v>
      </c>
      <c r="AS35" s="79">
        <f t="shared" si="23"/>
        <v>2517</v>
      </c>
      <c r="AT35" s="85">
        <f t="shared" si="24"/>
        <v>1.204</v>
      </c>
      <c r="AU35" s="86" t="str">
        <f t="shared" si="25"/>
        <v>OK</v>
      </c>
      <c r="AV35" s="79">
        <f t="shared" si="9"/>
        <v>0</v>
      </c>
      <c r="AW35" s="85" t="e">
        <f t="shared" si="10"/>
        <v>#REF!</v>
      </c>
      <c r="AX35" s="87" t="e">
        <f t="shared" si="11"/>
        <v>#REF!</v>
      </c>
      <c r="AY35" s="72"/>
      <c r="AZ35" s="73"/>
      <c r="BA35" s="77">
        <f t="shared" si="12"/>
        <v>0</v>
      </c>
      <c r="BB35" s="88">
        <f t="shared" si="13"/>
        <v>1</v>
      </c>
      <c r="BC35" s="89" t="e">
        <f>SUMIF(#REF!,#REF!, BB20:BB333)</f>
        <v>#REF!</v>
      </c>
      <c r="BD35" s="89">
        <f t="shared" si="14"/>
        <v>1</v>
      </c>
      <c r="BE35" s="89" t="e">
        <f>SUMIF(#REF!,#REF!, BD20:BD333)</f>
        <v>#REF!</v>
      </c>
      <c r="BF35" s="89">
        <f t="shared" si="15"/>
        <v>1</v>
      </c>
      <c r="BG35" s="89" t="e">
        <f>SUMIF(#REF!,#REF!, BF20:BF333)</f>
        <v>#REF!</v>
      </c>
      <c r="BH35" s="89" t="e">
        <f t="shared" si="16"/>
        <v>#REF!</v>
      </c>
      <c r="BI35" s="90">
        <f>SUMIF(B20:B333, B35, BH20:BH333)</f>
        <v>0</v>
      </c>
      <c r="BJ35" s="91"/>
      <c r="BK35" s="92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4"/>
    </row>
    <row r="36" spans="1:82" x14ac:dyDescent="0.3">
      <c r="A36" s="95" t="s">
        <v>139</v>
      </c>
      <c r="B36" s="96"/>
      <c r="C36" s="97" t="s">
        <v>111</v>
      </c>
      <c r="D36" s="97" t="s">
        <v>137</v>
      </c>
      <c r="E36" s="98" t="s">
        <v>140</v>
      </c>
      <c r="F36" s="99" t="s">
        <v>118</v>
      </c>
      <c r="G36" s="100"/>
      <c r="H36" s="101" t="s">
        <v>138</v>
      </c>
      <c r="I36" s="99" t="s">
        <v>4</v>
      </c>
      <c r="J36" s="100" t="s">
        <v>6</v>
      </c>
      <c r="K36" s="102"/>
      <c r="L36" s="103"/>
      <c r="M36" s="104"/>
      <c r="N36" s="105">
        <v>25447</v>
      </c>
      <c r="O36" s="106">
        <v>26956</v>
      </c>
      <c r="P36" s="106">
        <v>27962</v>
      </c>
      <c r="Q36" s="107"/>
      <c r="R36" s="156">
        <v>0.09</v>
      </c>
      <c r="S36" s="105">
        <v>2290</v>
      </c>
      <c r="T36" s="106">
        <v>2426</v>
      </c>
      <c r="U36" s="106">
        <v>2517</v>
      </c>
      <c r="V36" s="107">
        <f t="shared" si="1"/>
        <v>0</v>
      </c>
      <c r="W36" s="109"/>
      <c r="X36" s="110"/>
      <c r="Y36" s="111" t="s">
        <v>104</v>
      </c>
      <c r="Z36" s="100" t="str">
        <f>'[1]Tier 1'!V36</f>
        <v>C</v>
      </c>
      <c r="AA36" s="100"/>
      <c r="AB36" s="100"/>
      <c r="AC36" s="100"/>
      <c r="AD36" s="101"/>
      <c r="AE36" s="105">
        <f>'[1]Tier 1'!W36</f>
        <v>2090</v>
      </c>
      <c r="AF36" s="106"/>
      <c r="AG36" s="106">
        <f>'[1]Tier 1'!X36</f>
        <v>2090</v>
      </c>
      <c r="AH36" s="106"/>
      <c r="AI36" s="106">
        <f>'[1]Tier 1'!Y36</f>
        <v>2090</v>
      </c>
      <c r="AJ36" s="106">
        <f t="shared" si="2"/>
        <v>1881</v>
      </c>
      <c r="AK36" s="106" t="e">
        <f>VLOOKUP(A36,#REF!,-1,FALSE)</f>
        <v>#REF!</v>
      </c>
      <c r="AL36" s="107" t="e">
        <f t="shared" si="3"/>
        <v>#REF!</v>
      </c>
      <c r="AM36" s="105">
        <f t="shared" si="17"/>
        <v>2290</v>
      </c>
      <c r="AN36" s="112">
        <f t="shared" si="18"/>
        <v>1.0960000000000001</v>
      </c>
      <c r="AO36" s="100" t="str">
        <f t="shared" si="19"/>
        <v>OK</v>
      </c>
      <c r="AP36" s="106">
        <f t="shared" si="20"/>
        <v>2426</v>
      </c>
      <c r="AQ36" s="112">
        <f t="shared" si="21"/>
        <v>1.161</v>
      </c>
      <c r="AR36" s="100" t="str">
        <f t="shared" si="22"/>
        <v>OK</v>
      </c>
      <c r="AS36" s="106">
        <f t="shared" si="23"/>
        <v>2517</v>
      </c>
      <c r="AT36" s="112">
        <f t="shared" si="24"/>
        <v>1.204</v>
      </c>
      <c r="AU36" s="113" t="str">
        <f t="shared" si="25"/>
        <v>OK</v>
      </c>
      <c r="AV36" s="106">
        <f t="shared" si="9"/>
        <v>0</v>
      </c>
      <c r="AW36" s="112" t="e">
        <f t="shared" si="10"/>
        <v>#REF!</v>
      </c>
      <c r="AX36" s="114" t="e">
        <f t="shared" si="11"/>
        <v>#REF!</v>
      </c>
      <c r="AY36" s="99"/>
      <c r="AZ36" s="100"/>
      <c r="BA36" s="104">
        <f t="shared" si="12"/>
        <v>0</v>
      </c>
      <c r="BB36" s="115">
        <f t="shared" si="13"/>
        <v>1</v>
      </c>
      <c r="BC36" s="116" t="e">
        <f>SUMIF(#REF!,#REF!, BB20:BB333)</f>
        <v>#REF!</v>
      </c>
      <c r="BD36" s="116">
        <f t="shared" si="14"/>
        <v>1</v>
      </c>
      <c r="BE36" s="116" t="e">
        <f>SUMIF(#REF!,#REF!, BD20:BD333)</f>
        <v>#REF!</v>
      </c>
      <c r="BF36" s="116">
        <f t="shared" si="15"/>
        <v>1</v>
      </c>
      <c r="BG36" s="116" t="e">
        <f>SUMIF(#REF!,#REF!, BF20:BF333)</f>
        <v>#REF!</v>
      </c>
      <c r="BH36" s="116" t="e">
        <f t="shared" si="16"/>
        <v>#REF!</v>
      </c>
      <c r="BI36" s="117">
        <f>SUMIF(B20:B333, B36, BH20:BH333)</f>
        <v>0</v>
      </c>
      <c r="BJ36" s="118"/>
      <c r="BK36" s="92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4"/>
    </row>
    <row r="37" spans="1:82" x14ac:dyDescent="0.3">
      <c r="A37" s="68" t="s">
        <v>141</v>
      </c>
      <c r="B37" s="69"/>
      <c r="C37" s="70" t="s">
        <v>111</v>
      </c>
      <c r="D37" s="70" t="s">
        <v>140</v>
      </c>
      <c r="E37" s="71" t="s">
        <v>142</v>
      </c>
      <c r="F37" s="72" t="s">
        <v>138</v>
      </c>
      <c r="G37" s="73"/>
      <c r="H37" s="74" t="s">
        <v>138</v>
      </c>
      <c r="I37" s="72" t="s">
        <v>4</v>
      </c>
      <c r="J37" s="73" t="s">
        <v>6</v>
      </c>
      <c r="K37" s="75"/>
      <c r="L37" s="76"/>
      <c r="M37" s="77"/>
      <c r="N37" s="78">
        <v>25447</v>
      </c>
      <c r="O37" s="79">
        <v>26956</v>
      </c>
      <c r="P37" s="79">
        <v>27962</v>
      </c>
      <c r="Q37" s="80"/>
      <c r="R37" s="155">
        <v>0.09</v>
      </c>
      <c r="S37" s="78">
        <v>2290</v>
      </c>
      <c r="T37" s="79">
        <v>2426</v>
      </c>
      <c r="U37" s="79">
        <v>2517</v>
      </c>
      <c r="V37" s="80">
        <f t="shared" si="1"/>
        <v>0</v>
      </c>
      <c r="W37" s="82"/>
      <c r="X37" s="83"/>
      <c r="Y37" s="84" t="s">
        <v>104</v>
      </c>
      <c r="Z37" s="73" t="str">
        <f>'[1]Tier 1'!V37</f>
        <v>C</v>
      </c>
      <c r="AA37" s="73"/>
      <c r="AB37" s="73"/>
      <c r="AC37" s="73"/>
      <c r="AD37" s="74"/>
      <c r="AE37" s="78">
        <f>'[1]Tier 1'!W37</f>
        <v>2090</v>
      </c>
      <c r="AF37" s="79"/>
      <c r="AG37" s="79">
        <f>'[1]Tier 1'!X37</f>
        <v>2090</v>
      </c>
      <c r="AH37" s="79"/>
      <c r="AI37" s="79">
        <f>'[1]Tier 1'!Y37</f>
        <v>2090</v>
      </c>
      <c r="AJ37" s="79">
        <f t="shared" si="2"/>
        <v>1881</v>
      </c>
      <c r="AK37" s="79" t="e">
        <f>VLOOKUP(A37,#REF!,-1,FALSE)</f>
        <v>#REF!</v>
      </c>
      <c r="AL37" s="80" t="e">
        <f t="shared" si="3"/>
        <v>#REF!</v>
      </c>
      <c r="AM37" s="78">
        <f t="shared" si="17"/>
        <v>2290</v>
      </c>
      <c r="AN37" s="85">
        <f t="shared" si="18"/>
        <v>1.0960000000000001</v>
      </c>
      <c r="AO37" s="73" t="str">
        <f t="shared" si="19"/>
        <v>OK</v>
      </c>
      <c r="AP37" s="79">
        <f t="shared" si="20"/>
        <v>2426</v>
      </c>
      <c r="AQ37" s="85">
        <f t="shared" si="21"/>
        <v>1.161</v>
      </c>
      <c r="AR37" s="73" t="str">
        <f t="shared" si="22"/>
        <v>OK</v>
      </c>
      <c r="AS37" s="79">
        <f t="shared" si="23"/>
        <v>2517</v>
      </c>
      <c r="AT37" s="85">
        <f t="shared" si="24"/>
        <v>1.204</v>
      </c>
      <c r="AU37" s="86" t="str">
        <f t="shared" si="25"/>
        <v>OK</v>
      </c>
      <c r="AV37" s="79">
        <f t="shared" si="9"/>
        <v>0</v>
      </c>
      <c r="AW37" s="85" t="e">
        <f t="shared" si="10"/>
        <v>#REF!</v>
      </c>
      <c r="AX37" s="87" t="e">
        <f t="shared" si="11"/>
        <v>#REF!</v>
      </c>
      <c r="AY37" s="72"/>
      <c r="AZ37" s="73"/>
      <c r="BA37" s="77">
        <f t="shared" si="12"/>
        <v>0</v>
      </c>
      <c r="BB37" s="88">
        <f t="shared" si="13"/>
        <v>1</v>
      </c>
      <c r="BC37" s="89" t="e">
        <f>SUMIF(#REF!,#REF!, BB20:BB333)</f>
        <v>#REF!</v>
      </c>
      <c r="BD37" s="89">
        <f t="shared" si="14"/>
        <v>1</v>
      </c>
      <c r="BE37" s="89" t="e">
        <f>SUMIF(#REF!,#REF!, BD20:BD333)</f>
        <v>#REF!</v>
      </c>
      <c r="BF37" s="89">
        <f t="shared" si="15"/>
        <v>1</v>
      </c>
      <c r="BG37" s="89" t="e">
        <f>SUMIF(#REF!,#REF!, BF20:BF333)</f>
        <v>#REF!</v>
      </c>
      <c r="BH37" s="89" t="e">
        <f t="shared" si="16"/>
        <v>#REF!</v>
      </c>
      <c r="BI37" s="90">
        <f>SUMIF(B20:B333, B37, BH20:BH333)</f>
        <v>0</v>
      </c>
      <c r="BJ37" s="91"/>
      <c r="BK37" s="92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4"/>
    </row>
    <row r="38" spans="1:82" x14ac:dyDescent="0.3">
      <c r="A38" s="95" t="s">
        <v>143</v>
      </c>
      <c r="B38" s="96"/>
      <c r="C38" s="97" t="s">
        <v>111</v>
      </c>
      <c r="D38" s="97" t="s">
        <v>142</v>
      </c>
      <c r="E38" s="98" t="s">
        <v>144</v>
      </c>
      <c r="F38" s="99" t="s">
        <v>138</v>
      </c>
      <c r="G38" s="100"/>
      <c r="H38" s="101" t="s">
        <v>118</v>
      </c>
      <c r="I38" s="99" t="s">
        <v>4</v>
      </c>
      <c r="J38" s="100" t="s">
        <v>6</v>
      </c>
      <c r="K38" s="102"/>
      <c r="L38" s="103"/>
      <c r="M38" s="104"/>
      <c r="N38" s="105">
        <v>12240</v>
      </c>
      <c r="O38" s="106">
        <v>12989</v>
      </c>
      <c r="P38" s="106">
        <v>13514</v>
      </c>
      <c r="Q38" s="107"/>
      <c r="R38" s="156">
        <v>0.09</v>
      </c>
      <c r="S38" s="105">
        <v>1102</v>
      </c>
      <c r="T38" s="106">
        <v>1169</v>
      </c>
      <c r="U38" s="106">
        <v>1216</v>
      </c>
      <c r="V38" s="107">
        <f t="shared" si="1"/>
        <v>0</v>
      </c>
      <c r="W38" s="109"/>
      <c r="X38" s="110"/>
      <c r="Y38" s="111" t="s">
        <v>104</v>
      </c>
      <c r="Z38" s="100" t="str">
        <f>'[1]Tier 1'!V38</f>
        <v>C</v>
      </c>
      <c r="AA38" s="100"/>
      <c r="AB38" s="100"/>
      <c r="AC38" s="100"/>
      <c r="AD38" s="101"/>
      <c r="AE38" s="105">
        <f>'[1]Tier 1'!W38</f>
        <v>2090</v>
      </c>
      <c r="AF38" s="106"/>
      <c r="AG38" s="106">
        <f>'[1]Tier 1'!X38</f>
        <v>2090</v>
      </c>
      <c r="AH38" s="106"/>
      <c r="AI38" s="106">
        <f>'[1]Tier 1'!Y38</f>
        <v>2090</v>
      </c>
      <c r="AJ38" s="106">
        <f t="shared" si="2"/>
        <v>1881</v>
      </c>
      <c r="AK38" s="106" t="e">
        <f>VLOOKUP(A38,#REF!,-1,FALSE)</f>
        <v>#REF!</v>
      </c>
      <c r="AL38" s="107" t="e">
        <f t="shared" si="3"/>
        <v>#REF!</v>
      </c>
      <c r="AM38" s="105">
        <f t="shared" si="17"/>
        <v>1102</v>
      </c>
      <c r="AN38" s="112">
        <f t="shared" si="18"/>
        <v>0.52700000000000002</v>
      </c>
      <c r="AO38" s="100" t="str">
        <f t="shared" si="19"/>
        <v>OK</v>
      </c>
      <c r="AP38" s="106">
        <f t="shared" si="20"/>
        <v>1169</v>
      </c>
      <c r="AQ38" s="112">
        <f t="shared" si="21"/>
        <v>0.55900000000000005</v>
      </c>
      <c r="AR38" s="100" t="str">
        <f t="shared" si="22"/>
        <v>OK</v>
      </c>
      <c r="AS38" s="106">
        <f t="shared" si="23"/>
        <v>1216</v>
      </c>
      <c r="AT38" s="112">
        <f t="shared" si="24"/>
        <v>0.58199999999999996</v>
      </c>
      <c r="AU38" s="113" t="str">
        <f t="shared" si="25"/>
        <v>OK</v>
      </c>
      <c r="AV38" s="106">
        <f t="shared" si="9"/>
        <v>0</v>
      </c>
      <c r="AW38" s="112" t="e">
        <f t="shared" si="10"/>
        <v>#REF!</v>
      </c>
      <c r="AX38" s="114" t="e">
        <f t="shared" si="11"/>
        <v>#REF!</v>
      </c>
      <c r="AY38" s="99"/>
      <c r="AZ38" s="100"/>
      <c r="BA38" s="104">
        <f t="shared" si="12"/>
        <v>0</v>
      </c>
      <c r="BB38" s="115">
        <f t="shared" si="13"/>
        <v>1</v>
      </c>
      <c r="BC38" s="116" t="e">
        <f>SUMIF(#REF!,#REF!, BB20:BB333)</f>
        <v>#REF!</v>
      </c>
      <c r="BD38" s="116">
        <f t="shared" si="14"/>
        <v>1</v>
      </c>
      <c r="BE38" s="116" t="e">
        <f>SUMIF(#REF!,#REF!, BD20:BD333)</f>
        <v>#REF!</v>
      </c>
      <c r="BF38" s="116">
        <f t="shared" si="15"/>
        <v>0</v>
      </c>
      <c r="BG38" s="116" t="e">
        <f>SUMIF(#REF!,#REF!, BF20:BF333)</f>
        <v>#REF!</v>
      </c>
      <c r="BH38" s="116" t="e">
        <f t="shared" si="16"/>
        <v>#REF!</v>
      </c>
      <c r="BI38" s="117">
        <f>SUMIF(B20:B333, B38, BH20:BH333)</f>
        <v>0</v>
      </c>
      <c r="BJ38" s="118"/>
      <c r="BK38" s="92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4"/>
    </row>
    <row r="39" spans="1:82" x14ac:dyDescent="0.3">
      <c r="A39" s="68" t="s">
        <v>145</v>
      </c>
      <c r="B39" s="69"/>
      <c r="C39" s="70" t="s">
        <v>111</v>
      </c>
      <c r="D39" s="70" t="s">
        <v>144</v>
      </c>
      <c r="E39" s="71" t="s">
        <v>146</v>
      </c>
      <c r="F39" s="72" t="s">
        <v>138</v>
      </c>
      <c r="G39" s="73"/>
      <c r="H39" s="74" t="s">
        <v>103</v>
      </c>
      <c r="I39" s="72" t="s">
        <v>4</v>
      </c>
      <c r="J39" s="73" t="s">
        <v>6</v>
      </c>
      <c r="K39" s="75"/>
      <c r="L39" s="76"/>
      <c r="M39" s="77"/>
      <c r="N39" s="78">
        <v>25447</v>
      </c>
      <c r="O39" s="79">
        <v>26956</v>
      </c>
      <c r="P39" s="79">
        <v>27962</v>
      </c>
      <c r="Q39" s="80"/>
      <c r="R39" s="156">
        <v>0.09</v>
      </c>
      <c r="S39" s="78">
        <v>2290</v>
      </c>
      <c r="T39" s="79">
        <v>2426</v>
      </c>
      <c r="U39" s="79">
        <v>2517</v>
      </c>
      <c r="V39" s="80">
        <f t="shared" si="1"/>
        <v>0</v>
      </c>
      <c r="W39" s="82"/>
      <c r="X39" s="83"/>
      <c r="Y39" s="84" t="s">
        <v>104</v>
      </c>
      <c r="Z39" s="73" t="str">
        <f>'[1]Tier 1'!V39</f>
        <v>C</v>
      </c>
      <c r="AA39" s="73"/>
      <c r="AB39" s="73"/>
      <c r="AC39" s="73"/>
      <c r="AD39" s="74"/>
      <c r="AE39" s="78">
        <f>'[1]Tier 1'!W39</f>
        <v>2090</v>
      </c>
      <c r="AF39" s="79"/>
      <c r="AG39" s="79">
        <f>'[1]Tier 1'!X39</f>
        <v>2090</v>
      </c>
      <c r="AH39" s="79"/>
      <c r="AI39" s="79">
        <f>'[1]Tier 1'!Y39</f>
        <v>2090</v>
      </c>
      <c r="AJ39" s="79">
        <f t="shared" si="2"/>
        <v>1881</v>
      </c>
      <c r="AK39" s="79" t="e">
        <f>VLOOKUP(A39,#REF!,-1,FALSE)</f>
        <v>#REF!</v>
      </c>
      <c r="AL39" s="80" t="e">
        <f t="shared" si="3"/>
        <v>#REF!</v>
      </c>
      <c r="AM39" s="78">
        <f t="shared" si="17"/>
        <v>2290</v>
      </c>
      <c r="AN39" s="85">
        <f t="shared" si="18"/>
        <v>1.0960000000000001</v>
      </c>
      <c r="AO39" s="73" t="str">
        <f t="shared" si="19"/>
        <v>OK</v>
      </c>
      <c r="AP39" s="79">
        <f t="shared" si="20"/>
        <v>2426</v>
      </c>
      <c r="AQ39" s="85">
        <f t="shared" si="21"/>
        <v>1.161</v>
      </c>
      <c r="AR39" s="73" t="str">
        <f t="shared" si="22"/>
        <v>OK</v>
      </c>
      <c r="AS39" s="79">
        <f t="shared" si="23"/>
        <v>2517</v>
      </c>
      <c r="AT39" s="85">
        <f t="shared" si="24"/>
        <v>1.204</v>
      </c>
      <c r="AU39" s="86" t="str">
        <f t="shared" si="25"/>
        <v>OK</v>
      </c>
      <c r="AV39" s="79">
        <f t="shared" si="9"/>
        <v>0</v>
      </c>
      <c r="AW39" s="85" t="e">
        <f t="shared" si="10"/>
        <v>#REF!</v>
      </c>
      <c r="AX39" s="87" t="e">
        <f t="shared" si="11"/>
        <v>#REF!</v>
      </c>
      <c r="AY39" s="72"/>
      <c r="AZ39" s="73"/>
      <c r="BA39" s="77">
        <f t="shared" si="12"/>
        <v>0</v>
      </c>
      <c r="BB39" s="88">
        <f t="shared" si="13"/>
        <v>1</v>
      </c>
      <c r="BC39" s="89" t="e">
        <f>SUMIF(#REF!,#REF!, BB20:BB333)</f>
        <v>#REF!</v>
      </c>
      <c r="BD39" s="89">
        <f t="shared" si="14"/>
        <v>1</v>
      </c>
      <c r="BE39" s="89" t="e">
        <f>SUMIF(#REF!,#REF!, BD20:BD333)</f>
        <v>#REF!</v>
      </c>
      <c r="BF39" s="89">
        <f t="shared" si="15"/>
        <v>1</v>
      </c>
      <c r="BG39" s="89" t="e">
        <f>SUMIF(#REF!,#REF!, BF20:BF333)</f>
        <v>#REF!</v>
      </c>
      <c r="BH39" s="89" t="e">
        <f t="shared" si="16"/>
        <v>#REF!</v>
      </c>
      <c r="BI39" s="90">
        <f>SUMIF(B20:B333, B39, BH20:BH333)</f>
        <v>0</v>
      </c>
      <c r="BJ39" s="91"/>
      <c r="BK39" s="92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4"/>
    </row>
    <row r="40" spans="1:82" x14ac:dyDescent="0.3">
      <c r="A40" s="95" t="s">
        <v>147</v>
      </c>
      <c r="B40" s="96"/>
      <c r="C40" s="97" t="s">
        <v>111</v>
      </c>
      <c r="D40" s="97" t="s">
        <v>146</v>
      </c>
      <c r="E40" s="98" t="s">
        <v>148</v>
      </c>
      <c r="F40" s="99" t="s">
        <v>109</v>
      </c>
      <c r="G40" s="100"/>
      <c r="H40" s="101" t="s">
        <v>103</v>
      </c>
      <c r="I40" s="99" t="s">
        <v>4</v>
      </c>
      <c r="J40" s="100" t="s">
        <v>6</v>
      </c>
      <c r="K40" s="102"/>
      <c r="L40" s="103"/>
      <c r="M40" s="104"/>
      <c r="N40" s="105">
        <v>10200</v>
      </c>
      <c r="O40" s="106">
        <v>10824</v>
      </c>
      <c r="P40" s="106">
        <v>10418</v>
      </c>
      <c r="Q40" s="107"/>
      <c r="R40" s="156">
        <v>0.09</v>
      </c>
      <c r="S40" s="105">
        <v>918</v>
      </c>
      <c r="T40" s="106">
        <v>974</v>
      </c>
      <c r="U40" s="106">
        <v>938</v>
      </c>
      <c r="V40" s="107">
        <f t="shared" si="1"/>
        <v>0</v>
      </c>
      <c r="W40" s="109"/>
      <c r="X40" s="110"/>
      <c r="Y40" s="111" t="s">
        <v>104</v>
      </c>
      <c r="Z40" s="100" t="str">
        <f>'[1]Tier 1'!V40</f>
        <v>C</v>
      </c>
      <c r="AA40" s="100"/>
      <c r="AB40" s="100"/>
      <c r="AC40" s="100"/>
      <c r="AD40" s="101"/>
      <c r="AE40" s="105">
        <f>'[1]Tier 1'!W40</f>
        <v>786</v>
      </c>
      <c r="AF40" s="106"/>
      <c r="AG40" s="106">
        <f>'[1]Tier 1'!X40</f>
        <v>786</v>
      </c>
      <c r="AH40" s="106"/>
      <c r="AI40" s="106">
        <f>'[1]Tier 1'!Y40</f>
        <v>786</v>
      </c>
      <c r="AJ40" s="106">
        <f t="shared" si="2"/>
        <v>707.4</v>
      </c>
      <c r="AK40" s="106" t="e">
        <f>VLOOKUP(A40,#REF!,-1,FALSE)</f>
        <v>#REF!</v>
      </c>
      <c r="AL40" s="107" t="e">
        <f t="shared" si="3"/>
        <v>#REF!</v>
      </c>
      <c r="AM40" s="105">
        <f t="shared" si="17"/>
        <v>918</v>
      </c>
      <c r="AN40" s="112">
        <f t="shared" si="18"/>
        <v>1.1679999999999999</v>
      </c>
      <c r="AO40" s="100" t="str">
        <f t="shared" si="19"/>
        <v>OK</v>
      </c>
      <c r="AP40" s="106">
        <f t="shared" si="20"/>
        <v>974</v>
      </c>
      <c r="AQ40" s="112">
        <f t="shared" si="21"/>
        <v>1.2390000000000001</v>
      </c>
      <c r="AR40" s="100" t="str">
        <f t="shared" si="22"/>
        <v>OK</v>
      </c>
      <c r="AS40" s="106">
        <f t="shared" si="23"/>
        <v>938</v>
      </c>
      <c r="AT40" s="112">
        <f t="shared" si="24"/>
        <v>1.1930000000000001</v>
      </c>
      <c r="AU40" s="113" t="str">
        <f t="shared" si="25"/>
        <v>OK</v>
      </c>
      <c r="AV40" s="106">
        <f t="shared" si="9"/>
        <v>0</v>
      </c>
      <c r="AW40" s="112" t="e">
        <f t="shared" si="10"/>
        <v>#REF!</v>
      </c>
      <c r="AX40" s="114" t="e">
        <f t="shared" si="11"/>
        <v>#REF!</v>
      </c>
      <c r="AY40" s="99"/>
      <c r="AZ40" s="100"/>
      <c r="BA40" s="104">
        <f t="shared" si="12"/>
        <v>0</v>
      </c>
      <c r="BB40" s="115">
        <f t="shared" si="13"/>
        <v>1</v>
      </c>
      <c r="BC40" s="116" t="e">
        <f>SUMIF(#REF!,#REF!, BB20:BB333)</f>
        <v>#REF!</v>
      </c>
      <c r="BD40" s="116">
        <f t="shared" si="14"/>
        <v>1</v>
      </c>
      <c r="BE40" s="116" t="e">
        <f>SUMIF(#REF!,#REF!, BD20:BD333)</f>
        <v>#REF!</v>
      </c>
      <c r="BF40" s="116">
        <f t="shared" si="15"/>
        <v>1</v>
      </c>
      <c r="BG40" s="116" t="e">
        <f>SUMIF(#REF!,#REF!, BF20:BF333)</f>
        <v>#REF!</v>
      </c>
      <c r="BH40" s="116" t="e">
        <f t="shared" si="16"/>
        <v>#REF!</v>
      </c>
      <c r="BI40" s="117">
        <f>SUMIF(B20:B333, B40, BH20:BH333)</f>
        <v>0</v>
      </c>
      <c r="BJ40" s="118"/>
      <c r="BK40" s="92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4"/>
    </row>
    <row r="41" spans="1:82" x14ac:dyDescent="0.3">
      <c r="A41" s="68" t="s">
        <v>149</v>
      </c>
      <c r="B41" s="69"/>
      <c r="C41" s="70" t="s">
        <v>111</v>
      </c>
      <c r="D41" s="70" t="s">
        <v>148</v>
      </c>
      <c r="E41" s="71" t="s">
        <v>150</v>
      </c>
      <c r="F41" s="72" t="s">
        <v>103</v>
      </c>
      <c r="G41" s="73"/>
      <c r="H41" s="74" t="s">
        <v>103</v>
      </c>
      <c r="I41" s="72" t="s">
        <v>4</v>
      </c>
      <c r="J41" s="73" t="s">
        <v>6</v>
      </c>
      <c r="K41" s="75"/>
      <c r="L41" s="76"/>
      <c r="M41" s="77"/>
      <c r="N41" s="78">
        <v>9078</v>
      </c>
      <c r="O41" s="79">
        <v>9108</v>
      </c>
      <c r="P41" s="79">
        <v>9416</v>
      </c>
      <c r="Q41" s="80"/>
      <c r="R41" s="155">
        <v>0.09</v>
      </c>
      <c r="S41" s="78">
        <v>817</v>
      </c>
      <c r="T41" s="79">
        <v>820</v>
      </c>
      <c r="U41" s="79">
        <v>847</v>
      </c>
      <c r="V41" s="80">
        <f t="shared" si="1"/>
        <v>0</v>
      </c>
      <c r="W41" s="82"/>
      <c r="X41" s="83"/>
      <c r="Y41" s="84" t="s">
        <v>104</v>
      </c>
      <c r="Z41" s="73" t="str">
        <f>'[1]Tier 1'!V41</f>
        <v>C</v>
      </c>
      <c r="AA41" s="73"/>
      <c r="AB41" s="73"/>
      <c r="AC41" s="73"/>
      <c r="AD41" s="74"/>
      <c r="AE41" s="78">
        <f>'[1]Tier 1'!W41</f>
        <v>786</v>
      </c>
      <c r="AF41" s="79"/>
      <c r="AG41" s="79">
        <f>'[1]Tier 1'!X41</f>
        <v>786</v>
      </c>
      <c r="AH41" s="79"/>
      <c r="AI41" s="79">
        <f>'[1]Tier 1'!Y41</f>
        <v>786</v>
      </c>
      <c r="AJ41" s="79">
        <f t="shared" si="2"/>
        <v>707.4</v>
      </c>
      <c r="AK41" s="79" t="e">
        <f>VLOOKUP(A41,#REF!,-1,FALSE)</f>
        <v>#REF!</v>
      </c>
      <c r="AL41" s="80" t="e">
        <f t="shared" si="3"/>
        <v>#REF!</v>
      </c>
      <c r="AM41" s="78">
        <f t="shared" si="17"/>
        <v>817</v>
      </c>
      <c r="AN41" s="85">
        <f t="shared" si="18"/>
        <v>1.0389999999999999</v>
      </c>
      <c r="AO41" s="73" t="str">
        <f t="shared" si="19"/>
        <v>OK</v>
      </c>
      <c r="AP41" s="79">
        <f t="shared" si="20"/>
        <v>820</v>
      </c>
      <c r="AQ41" s="85">
        <f t="shared" si="21"/>
        <v>1.0429999999999999</v>
      </c>
      <c r="AR41" s="73" t="str">
        <f t="shared" si="22"/>
        <v>OK</v>
      </c>
      <c r="AS41" s="79">
        <f t="shared" si="23"/>
        <v>847</v>
      </c>
      <c r="AT41" s="85">
        <f t="shared" si="24"/>
        <v>1.0780000000000001</v>
      </c>
      <c r="AU41" s="86" t="str">
        <f t="shared" si="25"/>
        <v>OK</v>
      </c>
      <c r="AV41" s="79">
        <f t="shared" si="9"/>
        <v>0</v>
      </c>
      <c r="AW41" s="85" t="e">
        <f t="shared" si="10"/>
        <v>#REF!</v>
      </c>
      <c r="AX41" s="87" t="e">
        <f t="shared" si="11"/>
        <v>#REF!</v>
      </c>
      <c r="AY41" s="72"/>
      <c r="AZ41" s="73"/>
      <c r="BA41" s="77">
        <f t="shared" si="12"/>
        <v>0</v>
      </c>
      <c r="BB41" s="88">
        <f t="shared" si="13"/>
        <v>1</v>
      </c>
      <c r="BC41" s="89" t="e">
        <f>SUMIF(#REF!,#REF!, BB20:BB333)</f>
        <v>#REF!</v>
      </c>
      <c r="BD41" s="89">
        <f t="shared" si="14"/>
        <v>1</v>
      </c>
      <c r="BE41" s="89" t="e">
        <f>SUMIF(#REF!,#REF!, BD20:BD333)</f>
        <v>#REF!</v>
      </c>
      <c r="BF41" s="89">
        <f t="shared" si="15"/>
        <v>1</v>
      </c>
      <c r="BG41" s="89" t="e">
        <f>SUMIF(#REF!,#REF!, BF20:BF333)</f>
        <v>#REF!</v>
      </c>
      <c r="BH41" s="89" t="e">
        <f t="shared" si="16"/>
        <v>#REF!</v>
      </c>
      <c r="BI41" s="90">
        <f>SUMIF(B20:B333, B41, BH20:BH333)</f>
        <v>0</v>
      </c>
      <c r="BJ41" s="91"/>
      <c r="BK41" s="92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4"/>
    </row>
    <row r="42" spans="1:82" x14ac:dyDescent="0.3">
      <c r="A42" s="95" t="s">
        <v>151</v>
      </c>
      <c r="B42" s="96"/>
      <c r="C42" s="97" t="s">
        <v>111</v>
      </c>
      <c r="D42" s="97" t="s">
        <v>150</v>
      </c>
      <c r="E42" s="98" t="s">
        <v>152</v>
      </c>
      <c r="F42" s="99" t="s">
        <v>103</v>
      </c>
      <c r="G42" s="100"/>
      <c r="H42" s="101" t="s">
        <v>103</v>
      </c>
      <c r="I42" s="99" t="s">
        <v>4</v>
      </c>
      <c r="J42" s="100" t="s">
        <v>6</v>
      </c>
      <c r="K42" s="102"/>
      <c r="L42" s="103"/>
      <c r="M42" s="104"/>
      <c r="N42" s="105">
        <v>10200</v>
      </c>
      <c r="O42" s="106">
        <v>10824</v>
      </c>
      <c r="P42" s="106">
        <v>11262</v>
      </c>
      <c r="Q42" s="107"/>
      <c r="R42" s="156">
        <v>0.09</v>
      </c>
      <c r="S42" s="105">
        <v>918</v>
      </c>
      <c r="T42" s="106">
        <v>974</v>
      </c>
      <c r="U42" s="106">
        <v>1014</v>
      </c>
      <c r="V42" s="107">
        <f t="shared" si="1"/>
        <v>0</v>
      </c>
      <c r="W42" s="109"/>
      <c r="X42" s="110"/>
      <c r="Y42" s="111" t="s">
        <v>104</v>
      </c>
      <c r="Z42" s="100" t="str">
        <f>'[1]Tier 1'!V42</f>
        <v>C</v>
      </c>
      <c r="AA42" s="100"/>
      <c r="AB42" s="100"/>
      <c r="AC42" s="100"/>
      <c r="AD42" s="101"/>
      <c r="AE42" s="105">
        <f>'[1]Tier 1'!W42</f>
        <v>1620</v>
      </c>
      <c r="AF42" s="106"/>
      <c r="AG42" s="106">
        <f>'[1]Tier 1'!X42</f>
        <v>1620</v>
      </c>
      <c r="AH42" s="106"/>
      <c r="AI42" s="106">
        <f>'[1]Tier 1'!Y42</f>
        <v>1620</v>
      </c>
      <c r="AJ42" s="106">
        <f t="shared" si="2"/>
        <v>1458</v>
      </c>
      <c r="AK42" s="106" t="e">
        <f>VLOOKUP(A42,#REF!,-1,FALSE)</f>
        <v>#REF!</v>
      </c>
      <c r="AL42" s="107" t="e">
        <f t="shared" si="3"/>
        <v>#REF!</v>
      </c>
      <c r="AM42" s="105">
        <f t="shared" si="17"/>
        <v>918</v>
      </c>
      <c r="AN42" s="112">
        <f t="shared" si="18"/>
        <v>0.56699999999999995</v>
      </c>
      <c r="AO42" s="100" t="str">
        <f t="shared" si="19"/>
        <v>OK</v>
      </c>
      <c r="AP42" s="106">
        <f t="shared" si="20"/>
        <v>974</v>
      </c>
      <c r="AQ42" s="112">
        <f t="shared" si="21"/>
        <v>0.60099999999999998</v>
      </c>
      <c r="AR42" s="100" t="str">
        <f t="shared" si="22"/>
        <v>OK</v>
      </c>
      <c r="AS42" s="106">
        <f t="shared" si="23"/>
        <v>1014</v>
      </c>
      <c r="AT42" s="112">
        <f t="shared" si="24"/>
        <v>0.626</v>
      </c>
      <c r="AU42" s="113" t="str">
        <f t="shared" si="25"/>
        <v>OK</v>
      </c>
      <c r="AV42" s="106">
        <f t="shared" si="9"/>
        <v>0</v>
      </c>
      <c r="AW42" s="112" t="e">
        <f t="shared" si="10"/>
        <v>#REF!</v>
      </c>
      <c r="AX42" s="114" t="e">
        <f t="shared" si="11"/>
        <v>#REF!</v>
      </c>
      <c r="AY42" s="99"/>
      <c r="AZ42" s="100"/>
      <c r="BA42" s="104">
        <f t="shared" si="12"/>
        <v>0</v>
      </c>
      <c r="BB42" s="115">
        <f t="shared" si="13"/>
        <v>1</v>
      </c>
      <c r="BC42" s="116" t="e">
        <f>SUMIF(#REF!,#REF!, BB20:BB333)</f>
        <v>#REF!</v>
      </c>
      <c r="BD42" s="116">
        <f t="shared" si="14"/>
        <v>1</v>
      </c>
      <c r="BE42" s="116" t="e">
        <f>SUMIF(#REF!,#REF!, BD20:BD333)</f>
        <v>#REF!</v>
      </c>
      <c r="BF42" s="116">
        <f t="shared" si="15"/>
        <v>0</v>
      </c>
      <c r="BG42" s="116" t="e">
        <f>SUMIF(#REF!,#REF!, BF20:BF333)</f>
        <v>#REF!</v>
      </c>
      <c r="BH42" s="116" t="e">
        <f t="shared" si="16"/>
        <v>#REF!</v>
      </c>
      <c r="BI42" s="117">
        <f>SUMIF(B20:B333, B42, BH20:BH333)</f>
        <v>0</v>
      </c>
      <c r="BJ42" s="118"/>
      <c r="BK42" s="92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4"/>
    </row>
    <row r="43" spans="1:82" x14ac:dyDescent="0.3">
      <c r="A43" s="68" t="s">
        <v>153</v>
      </c>
      <c r="B43" s="69"/>
      <c r="C43" s="70" t="s">
        <v>111</v>
      </c>
      <c r="D43" s="70" t="s">
        <v>152</v>
      </c>
      <c r="E43" s="71" t="s">
        <v>154</v>
      </c>
      <c r="F43" s="72" t="s">
        <v>103</v>
      </c>
      <c r="G43" s="73"/>
      <c r="H43" s="74" t="s">
        <v>103</v>
      </c>
      <c r="I43" s="72" t="s">
        <v>4</v>
      </c>
      <c r="J43" s="73" t="s">
        <v>6</v>
      </c>
      <c r="K43" s="75"/>
      <c r="L43" s="76"/>
      <c r="M43" s="77"/>
      <c r="N43" s="78">
        <v>9959</v>
      </c>
      <c r="O43" s="79">
        <v>10569</v>
      </c>
      <c r="P43" s="79">
        <v>10996</v>
      </c>
      <c r="Q43" s="80"/>
      <c r="R43" s="155">
        <v>0.09</v>
      </c>
      <c r="S43" s="78">
        <v>896</v>
      </c>
      <c r="T43" s="79">
        <v>951</v>
      </c>
      <c r="U43" s="79">
        <v>990</v>
      </c>
      <c r="V43" s="80">
        <f t="shared" si="1"/>
        <v>0</v>
      </c>
      <c r="W43" s="82"/>
      <c r="X43" s="83"/>
      <c r="Y43" s="84" t="s">
        <v>104</v>
      </c>
      <c r="Z43" s="73" t="str">
        <f>'[1]Tier 1'!V43</f>
        <v>C</v>
      </c>
      <c r="AA43" s="73"/>
      <c r="AB43" s="73"/>
      <c r="AC43" s="73"/>
      <c r="AD43" s="74"/>
      <c r="AE43" s="78">
        <f>'[1]Tier 1'!W43</f>
        <v>1620</v>
      </c>
      <c r="AF43" s="79"/>
      <c r="AG43" s="79">
        <f>'[1]Tier 1'!X43</f>
        <v>1620</v>
      </c>
      <c r="AH43" s="79"/>
      <c r="AI43" s="79">
        <f>'[1]Tier 1'!Y43</f>
        <v>1620</v>
      </c>
      <c r="AJ43" s="79">
        <f t="shared" si="2"/>
        <v>1458</v>
      </c>
      <c r="AK43" s="79" t="e">
        <f>VLOOKUP(A43,#REF!,-1,FALSE)</f>
        <v>#REF!</v>
      </c>
      <c r="AL43" s="80" t="e">
        <f t="shared" si="3"/>
        <v>#REF!</v>
      </c>
      <c r="AM43" s="78">
        <f t="shared" si="17"/>
        <v>896</v>
      </c>
      <c r="AN43" s="85">
        <f t="shared" si="18"/>
        <v>0.55300000000000005</v>
      </c>
      <c r="AO43" s="73" t="str">
        <f t="shared" si="19"/>
        <v>OK</v>
      </c>
      <c r="AP43" s="79">
        <f t="shared" si="20"/>
        <v>951</v>
      </c>
      <c r="AQ43" s="85">
        <f t="shared" si="21"/>
        <v>0.58699999999999997</v>
      </c>
      <c r="AR43" s="73" t="str">
        <f t="shared" si="22"/>
        <v>OK</v>
      </c>
      <c r="AS43" s="79">
        <f t="shared" si="23"/>
        <v>990</v>
      </c>
      <c r="AT43" s="85">
        <f t="shared" si="24"/>
        <v>0.61099999999999999</v>
      </c>
      <c r="AU43" s="86" t="str">
        <f t="shared" si="25"/>
        <v>OK</v>
      </c>
      <c r="AV43" s="79">
        <f t="shared" si="9"/>
        <v>0</v>
      </c>
      <c r="AW43" s="85" t="e">
        <f t="shared" si="10"/>
        <v>#REF!</v>
      </c>
      <c r="AX43" s="87" t="e">
        <f t="shared" si="11"/>
        <v>#REF!</v>
      </c>
      <c r="AY43" s="72"/>
      <c r="AZ43" s="73"/>
      <c r="BA43" s="77">
        <f t="shared" si="12"/>
        <v>0</v>
      </c>
      <c r="BB43" s="88">
        <f t="shared" si="13"/>
        <v>1</v>
      </c>
      <c r="BC43" s="89" t="e">
        <f>SUMIF(#REF!,#REF!, BB20:BB333)</f>
        <v>#REF!</v>
      </c>
      <c r="BD43" s="89">
        <f t="shared" si="14"/>
        <v>1</v>
      </c>
      <c r="BE43" s="89" t="e">
        <f>SUMIF(#REF!,#REF!, BD20:BD333)</f>
        <v>#REF!</v>
      </c>
      <c r="BF43" s="89">
        <f t="shared" si="15"/>
        <v>0</v>
      </c>
      <c r="BG43" s="89" t="e">
        <f>SUMIF(#REF!,#REF!, BF20:BF333)</f>
        <v>#REF!</v>
      </c>
      <c r="BH43" s="89" t="e">
        <f t="shared" si="16"/>
        <v>#REF!</v>
      </c>
      <c r="BI43" s="90">
        <f>SUMIF(B20:B333, B43, BH20:BH333)</f>
        <v>0</v>
      </c>
      <c r="BJ43" s="91"/>
      <c r="BK43" s="92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4"/>
    </row>
    <row r="44" spans="1:82" x14ac:dyDescent="0.3">
      <c r="A44" s="95" t="s">
        <v>155</v>
      </c>
      <c r="B44" s="96"/>
      <c r="C44" s="97" t="s">
        <v>111</v>
      </c>
      <c r="D44" s="97" t="s">
        <v>154</v>
      </c>
      <c r="E44" s="98" t="s">
        <v>156</v>
      </c>
      <c r="F44" s="99" t="s">
        <v>103</v>
      </c>
      <c r="G44" s="100"/>
      <c r="H44" s="101" t="s">
        <v>103</v>
      </c>
      <c r="I44" s="99" t="s">
        <v>4</v>
      </c>
      <c r="J44" s="100" t="s">
        <v>6</v>
      </c>
      <c r="K44" s="102"/>
      <c r="L44" s="103"/>
      <c r="M44" s="104"/>
      <c r="N44" s="105">
        <v>9959</v>
      </c>
      <c r="O44" s="106">
        <v>10569</v>
      </c>
      <c r="P44" s="106">
        <v>10996</v>
      </c>
      <c r="Q44" s="107"/>
      <c r="R44" s="156">
        <v>0.09</v>
      </c>
      <c r="S44" s="105">
        <v>896</v>
      </c>
      <c r="T44" s="106">
        <v>951</v>
      </c>
      <c r="U44" s="106">
        <v>990</v>
      </c>
      <c r="V44" s="107">
        <f t="shared" si="1"/>
        <v>0</v>
      </c>
      <c r="W44" s="109"/>
      <c r="X44" s="110"/>
      <c r="Y44" s="111" t="s">
        <v>104</v>
      </c>
      <c r="Z44" s="100" t="str">
        <f>'[1]Tier 1'!V44</f>
        <v>C</v>
      </c>
      <c r="AA44" s="100"/>
      <c r="AB44" s="100"/>
      <c r="AC44" s="100"/>
      <c r="AD44" s="101"/>
      <c r="AE44" s="105">
        <f>'[1]Tier 1'!W44</f>
        <v>1620</v>
      </c>
      <c r="AF44" s="106"/>
      <c r="AG44" s="106">
        <f>'[1]Tier 1'!X44</f>
        <v>1620</v>
      </c>
      <c r="AH44" s="106"/>
      <c r="AI44" s="106">
        <f>'[1]Tier 1'!Y44</f>
        <v>1620</v>
      </c>
      <c r="AJ44" s="106">
        <f t="shared" si="2"/>
        <v>1458</v>
      </c>
      <c r="AK44" s="106" t="e">
        <f>VLOOKUP(A44,#REF!,-1,FALSE)</f>
        <v>#REF!</v>
      </c>
      <c r="AL44" s="107" t="e">
        <f t="shared" si="3"/>
        <v>#REF!</v>
      </c>
      <c r="AM44" s="105">
        <f t="shared" si="17"/>
        <v>896</v>
      </c>
      <c r="AN44" s="112">
        <f t="shared" si="18"/>
        <v>0.55300000000000005</v>
      </c>
      <c r="AO44" s="100" t="str">
        <f t="shared" si="19"/>
        <v>OK</v>
      </c>
      <c r="AP44" s="106">
        <f t="shared" si="20"/>
        <v>951</v>
      </c>
      <c r="AQ44" s="112">
        <f t="shared" si="21"/>
        <v>0.58699999999999997</v>
      </c>
      <c r="AR44" s="100" t="str">
        <f t="shared" si="22"/>
        <v>OK</v>
      </c>
      <c r="AS44" s="106">
        <f t="shared" si="23"/>
        <v>990</v>
      </c>
      <c r="AT44" s="112">
        <f t="shared" si="24"/>
        <v>0.61099999999999999</v>
      </c>
      <c r="AU44" s="113" t="str">
        <f t="shared" si="25"/>
        <v>OK</v>
      </c>
      <c r="AV44" s="106">
        <f t="shared" si="9"/>
        <v>0</v>
      </c>
      <c r="AW44" s="112" t="e">
        <f t="shared" si="10"/>
        <v>#REF!</v>
      </c>
      <c r="AX44" s="114" t="e">
        <f t="shared" si="11"/>
        <v>#REF!</v>
      </c>
      <c r="AY44" s="99"/>
      <c r="AZ44" s="100"/>
      <c r="BA44" s="104">
        <f t="shared" si="12"/>
        <v>0</v>
      </c>
      <c r="BB44" s="115">
        <f t="shared" si="13"/>
        <v>1</v>
      </c>
      <c r="BC44" s="116" t="e">
        <f>SUMIF(#REF!,#REF!, BB20:BB333)</f>
        <v>#REF!</v>
      </c>
      <c r="BD44" s="116">
        <f t="shared" si="14"/>
        <v>1</v>
      </c>
      <c r="BE44" s="116" t="e">
        <f>SUMIF(#REF!,#REF!, BD20:BD333)</f>
        <v>#REF!</v>
      </c>
      <c r="BF44" s="116">
        <f t="shared" si="15"/>
        <v>0</v>
      </c>
      <c r="BG44" s="116" t="e">
        <f>SUMIF(#REF!,#REF!, BF20:BF333)</f>
        <v>#REF!</v>
      </c>
      <c r="BH44" s="116" t="e">
        <f t="shared" si="16"/>
        <v>#REF!</v>
      </c>
      <c r="BI44" s="117">
        <f>SUMIF(B20:B333, B44, BH20:BH333)</f>
        <v>0</v>
      </c>
      <c r="BJ44" s="118"/>
      <c r="BK44" s="92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4"/>
    </row>
    <row r="45" spans="1:82" x14ac:dyDescent="0.3">
      <c r="A45" s="68" t="s">
        <v>157</v>
      </c>
      <c r="B45" s="69"/>
      <c r="C45" s="70" t="s">
        <v>111</v>
      </c>
      <c r="D45" s="70" t="s">
        <v>156</v>
      </c>
      <c r="E45" s="71" t="s">
        <v>158</v>
      </c>
      <c r="F45" s="72" t="s">
        <v>103</v>
      </c>
      <c r="G45" s="73"/>
      <c r="H45" s="74" t="s">
        <v>103</v>
      </c>
      <c r="I45" s="72" t="s">
        <v>4</v>
      </c>
      <c r="J45" s="73" t="s">
        <v>6</v>
      </c>
      <c r="K45" s="75"/>
      <c r="L45" s="76"/>
      <c r="M45" s="77"/>
      <c r="N45" s="78">
        <v>8058</v>
      </c>
      <c r="O45" s="79">
        <v>8373</v>
      </c>
      <c r="P45" s="79">
        <v>8755</v>
      </c>
      <c r="Q45" s="80"/>
      <c r="R45" s="155">
        <v>0.09</v>
      </c>
      <c r="S45" s="78">
        <v>725</v>
      </c>
      <c r="T45" s="79">
        <v>754</v>
      </c>
      <c r="U45" s="79">
        <v>788</v>
      </c>
      <c r="V45" s="80">
        <f t="shared" si="1"/>
        <v>0</v>
      </c>
      <c r="W45" s="82"/>
      <c r="X45" s="83"/>
      <c r="Y45" s="84" t="s">
        <v>104</v>
      </c>
      <c r="Z45" s="73" t="str">
        <f>'[1]Tier 1'!V45</f>
        <v>C</v>
      </c>
      <c r="AA45" s="73"/>
      <c r="AB45" s="73"/>
      <c r="AC45" s="73"/>
      <c r="AD45" s="74"/>
      <c r="AE45" s="78">
        <f>'[1]Tier 1'!W45</f>
        <v>1620</v>
      </c>
      <c r="AF45" s="79"/>
      <c r="AG45" s="79">
        <f>'[1]Tier 1'!X45</f>
        <v>1620</v>
      </c>
      <c r="AH45" s="79"/>
      <c r="AI45" s="79">
        <f>'[1]Tier 1'!Y45</f>
        <v>1620</v>
      </c>
      <c r="AJ45" s="79">
        <f t="shared" si="2"/>
        <v>1458</v>
      </c>
      <c r="AK45" s="79" t="e">
        <f>VLOOKUP(A45,#REF!,-1,FALSE)</f>
        <v>#REF!</v>
      </c>
      <c r="AL45" s="80" t="e">
        <f t="shared" si="3"/>
        <v>#REF!</v>
      </c>
      <c r="AM45" s="78">
        <f t="shared" si="17"/>
        <v>725</v>
      </c>
      <c r="AN45" s="85">
        <f t="shared" si="18"/>
        <v>0.44800000000000001</v>
      </c>
      <c r="AO45" s="73" t="str">
        <f t="shared" si="19"/>
        <v>OK</v>
      </c>
      <c r="AP45" s="79">
        <f t="shared" si="20"/>
        <v>754</v>
      </c>
      <c r="AQ45" s="85">
        <f t="shared" si="21"/>
        <v>0.46500000000000002</v>
      </c>
      <c r="AR45" s="73" t="str">
        <f t="shared" si="22"/>
        <v>OK</v>
      </c>
      <c r="AS45" s="79">
        <f t="shared" si="23"/>
        <v>788</v>
      </c>
      <c r="AT45" s="85">
        <f t="shared" si="24"/>
        <v>0.48599999999999999</v>
      </c>
      <c r="AU45" s="86" t="str">
        <f t="shared" si="25"/>
        <v>OK</v>
      </c>
      <c r="AV45" s="79">
        <f t="shared" si="9"/>
        <v>0</v>
      </c>
      <c r="AW45" s="85" t="e">
        <f t="shared" si="10"/>
        <v>#REF!</v>
      </c>
      <c r="AX45" s="87" t="e">
        <f t="shared" si="11"/>
        <v>#REF!</v>
      </c>
      <c r="AY45" s="72"/>
      <c r="AZ45" s="73"/>
      <c r="BA45" s="77">
        <f t="shared" si="12"/>
        <v>0</v>
      </c>
      <c r="BB45" s="88">
        <f t="shared" si="13"/>
        <v>1</v>
      </c>
      <c r="BC45" s="89" t="e">
        <f>SUMIF(#REF!,#REF!, BB20:BB333)</f>
        <v>#REF!</v>
      </c>
      <c r="BD45" s="89">
        <f t="shared" si="14"/>
        <v>1</v>
      </c>
      <c r="BE45" s="89" t="e">
        <f>SUMIF(#REF!,#REF!, BD20:BD333)</f>
        <v>#REF!</v>
      </c>
      <c r="BF45" s="89">
        <f t="shared" si="15"/>
        <v>0</v>
      </c>
      <c r="BG45" s="89" t="e">
        <f>SUMIF(#REF!,#REF!, BF20:BF333)</f>
        <v>#REF!</v>
      </c>
      <c r="BH45" s="89" t="e">
        <f t="shared" si="16"/>
        <v>#REF!</v>
      </c>
      <c r="BI45" s="90">
        <f>SUMIF(B20:B333, B45, BH20:BH333)</f>
        <v>0</v>
      </c>
      <c r="BJ45" s="91"/>
      <c r="BK45" s="92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4"/>
    </row>
    <row r="46" spans="1:82" x14ac:dyDescent="0.3">
      <c r="A46" s="95" t="s">
        <v>159</v>
      </c>
      <c r="B46" s="96"/>
      <c r="C46" s="97" t="s">
        <v>111</v>
      </c>
      <c r="D46" s="97" t="s">
        <v>158</v>
      </c>
      <c r="E46" s="98" t="s">
        <v>160</v>
      </c>
      <c r="F46" s="99" t="s">
        <v>103</v>
      </c>
      <c r="G46" s="100"/>
      <c r="H46" s="101" t="s">
        <v>103</v>
      </c>
      <c r="I46" s="99" t="s">
        <v>4</v>
      </c>
      <c r="J46" s="100" t="s">
        <v>6</v>
      </c>
      <c r="K46" s="102"/>
      <c r="L46" s="103"/>
      <c r="M46" s="104"/>
      <c r="N46" s="105">
        <v>8058</v>
      </c>
      <c r="O46" s="106">
        <v>8373</v>
      </c>
      <c r="P46" s="106">
        <v>8755</v>
      </c>
      <c r="Q46" s="107"/>
      <c r="R46" s="156">
        <v>0.09</v>
      </c>
      <c r="S46" s="105">
        <v>725</v>
      </c>
      <c r="T46" s="106">
        <v>754</v>
      </c>
      <c r="U46" s="106">
        <v>788</v>
      </c>
      <c r="V46" s="107">
        <f t="shared" si="1"/>
        <v>0</v>
      </c>
      <c r="W46" s="109"/>
      <c r="X46" s="110"/>
      <c r="Y46" s="111" t="s">
        <v>104</v>
      </c>
      <c r="Z46" s="100" t="str">
        <f>'[1]Tier 1'!V46</f>
        <v>C</v>
      </c>
      <c r="AA46" s="100"/>
      <c r="AB46" s="100"/>
      <c r="AC46" s="100"/>
      <c r="AD46" s="101"/>
      <c r="AE46" s="105">
        <f>'[1]Tier 1'!W46</f>
        <v>1620</v>
      </c>
      <c r="AF46" s="106"/>
      <c r="AG46" s="106">
        <f>'[1]Tier 1'!X46</f>
        <v>1620</v>
      </c>
      <c r="AH46" s="106"/>
      <c r="AI46" s="106">
        <f>'[1]Tier 1'!Y46</f>
        <v>1620</v>
      </c>
      <c r="AJ46" s="106">
        <f t="shared" si="2"/>
        <v>1458</v>
      </c>
      <c r="AK46" s="106" t="e">
        <f>VLOOKUP(A46,#REF!,-1,FALSE)</f>
        <v>#REF!</v>
      </c>
      <c r="AL46" s="107" t="e">
        <f t="shared" si="3"/>
        <v>#REF!</v>
      </c>
      <c r="AM46" s="105">
        <f t="shared" si="17"/>
        <v>725</v>
      </c>
      <c r="AN46" s="112">
        <f t="shared" si="18"/>
        <v>0.44800000000000001</v>
      </c>
      <c r="AO46" s="100" t="str">
        <f t="shared" si="19"/>
        <v>OK</v>
      </c>
      <c r="AP46" s="106">
        <f t="shared" si="20"/>
        <v>754</v>
      </c>
      <c r="AQ46" s="112">
        <f t="shared" si="21"/>
        <v>0.46500000000000002</v>
      </c>
      <c r="AR46" s="100" t="str">
        <f t="shared" si="22"/>
        <v>OK</v>
      </c>
      <c r="AS46" s="106">
        <f t="shared" si="23"/>
        <v>788</v>
      </c>
      <c r="AT46" s="112">
        <f t="shared" si="24"/>
        <v>0.48599999999999999</v>
      </c>
      <c r="AU46" s="113" t="str">
        <f t="shared" si="25"/>
        <v>OK</v>
      </c>
      <c r="AV46" s="106">
        <f t="shared" si="9"/>
        <v>0</v>
      </c>
      <c r="AW46" s="112" t="e">
        <f t="shared" si="10"/>
        <v>#REF!</v>
      </c>
      <c r="AX46" s="114" t="e">
        <f t="shared" si="11"/>
        <v>#REF!</v>
      </c>
      <c r="AY46" s="99"/>
      <c r="AZ46" s="100"/>
      <c r="BA46" s="104">
        <f t="shared" si="12"/>
        <v>0</v>
      </c>
      <c r="BB46" s="115">
        <f t="shared" si="13"/>
        <v>1</v>
      </c>
      <c r="BC46" s="116" t="e">
        <f>SUMIF(#REF!,#REF!, BB20:BB333)</f>
        <v>#REF!</v>
      </c>
      <c r="BD46" s="116">
        <f t="shared" si="14"/>
        <v>1</v>
      </c>
      <c r="BE46" s="116" t="e">
        <f>SUMIF(#REF!,#REF!, BD20:BD333)</f>
        <v>#REF!</v>
      </c>
      <c r="BF46" s="116">
        <f t="shared" si="15"/>
        <v>0</v>
      </c>
      <c r="BG46" s="116" t="e">
        <f>SUMIF(#REF!,#REF!, BF20:BF333)</f>
        <v>#REF!</v>
      </c>
      <c r="BH46" s="116" t="e">
        <f t="shared" si="16"/>
        <v>#REF!</v>
      </c>
      <c r="BI46" s="117">
        <f>SUMIF(B20:B333, B46, BH20:BH333)</f>
        <v>0</v>
      </c>
      <c r="BJ46" s="118"/>
      <c r="BK46" s="92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4"/>
    </row>
    <row r="47" spans="1:82" x14ac:dyDescent="0.3">
      <c r="A47" s="68" t="s">
        <v>161</v>
      </c>
      <c r="B47" s="69"/>
      <c r="C47" s="70" t="s">
        <v>111</v>
      </c>
      <c r="D47" s="70" t="s">
        <v>160</v>
      </c>
      <c r="E47" s="71" t="s">
        <v>162</v>
      </c>
      <c r="F47" s="72" t="s">
        <v>103</v>
      </c>
      <c r="G47" s="73"/>
      <c r="H47" s="74" t="s">
        <v>103</v>
      </c>
      <c r="I47" s="72" t="s">
        <v>4</v>
      </c>
      <c r="J47" s="73" t="s">
        <v>6</v>
      </c>
      <c r="K47" s="75"/>
      <c r="L47" s="76"/>
      <c r="M47" s="77"/>
      <c r="N47" s="78">
        <v>8058</v>
      </c>
      <c r="O47" s="79">
        <v>8373</v>
      </c>
      <c r="P47" s="79">
        <v>8755</v>
      </c>
      <c r="Q47" s="80"/>
      <c r="R47" s="155">
        <v>0.09</v>
      </c>
      <c r="S47" s="78">
        <v>725</v>
      </c>
      <c r="T47" s="79">
        <v>754</v>
      </c>
      <c r="U47" s="79">
        <v>788</v>
      </c>
      <c r="V47" s="80">
        <f t="shared" si="1"/>
        <v>0</v>
      </c>
      <c r="W47" s="82"/>
      <c r="X47" s="83"/>
      <c r="Y47" s="84" t="s">
        <v>104</v>
      </c>
      <c r="Z47" s="73" t="str">
        <f>'[1]Tier 1'!V47</f>
        <v>C</v>
      </c>
      <c r="AA47" s="73"/>
      <c r="AB47" s="73"/>
      <c r="AC47" s="73"/>
      <c r="AD47" s="74"/>
      <c r="AE47" s="78">
        <f>'[1]Tier 1'!W47</f>
        <v>1620</v>
      </c>
      <c r="AF47" s="79"/>
      <c r="AG47" s="79">
        <f>'[1]Tier 1'!X47</f>
        <v>1620</v>
      </c>
      <c r="AH47" s="79"/>
      <c r="AI47" s="79">
        <f>'[1]Tier 1'!Y47</f>
        <v>1620</v>
      </c>
      <c r="AJ47" s="79">
        <f t="shared" si="2"/>
        <v>1458</v>
      </c>
      <c r="AK47" s="79" t="e">
        <f>VLOOKUP(A47,#REF!,-1,FALSE)</f>
        <v>#REF!</v>
      </c>
      <c r="AL47" s="80" t="e">
        <f t="shared" si="3"/>
        <v>#REF!</v>
      </c>
      <c r="AM47" s="78">
        <f t="shared" si="17"/>
        <v>725</v>
      </c>
      <c r="AN47" s="85">
        <f t="shared" si="18"/>
        <v>0.44800000000000001</v>
      </c>
      <c r="AO47" s="73" t="str">
        <f t="shared" si="19"/>
        <v>OK</v>
      </c>
      <c r="AP47" s="79">
        <f t="shared" si="20"/>
        <v>754</v>
      </c>
      <c r="AQ47" s="85">
        <f t="shared" si="21"/>
        <v>0.46500000000000002</v>
      </c>
      <c r="AR47" s="73" t="str">
        <f t="shared" si="22"/>
        <v>OK</v>
      </c>
      <c r="AS47" s="79">
        <f t="shared" si="23"/>
        <v>788</v>
      </c>
      <c r="AT47" s="85">
        <f t="shared" si="24"/>
        <v>0.48599999999999999</v>
      </c>
      <c r="AU47" s="86" t="str">
        <f t="shared" si="25"/>
        <v>OK</v>
      </c>
      <c r="AV47" s="79">
        <f t="shared" si="9"/>
        <v>0</v>
      </c>
      <c r="AW47" s="85" t="e">
        <f t="shared" si="10"/>
        <v>#REF!</v>
      </c>
      <c r="AX47" s="87" t="e">
        <f t="shared" si="11"/>
        <v>#REF!</v>
      </c>
      <c r="AY47" s="72"/>
      <c r="AZ47" s="73"/>
      <c r="BA47" s="77">
        <f t="shared" si="12"/>
        <v>0</v>
      </c>
      <c r="BB47" s="88">
        <f t="shared" si="13"/>
        <v>1</v>
      </c>
      <c r="BC47" s="89" t="e">
        <f>SUMIF(#REF!,#REF!, BB20:BB333)</f>
        <v>#REF!</v>
      </c>
      <c r="BD47" s="89">
        <f t="shared" si="14"/>
        <v>1</v>
      </c>
      <c r="BE47" s="89" t="e">
        <f>SUMIF(#REF!,#REF!, BD20:BD333)</f>
        <v>#REF!</v>
      </c>
      <c r="BF47" s="89">
        <f t="shared" si="15"/>
        <v>0</v>
      </c>
      <c r="BG47" s="89" t="e">
        <f>SUMIF(#REF!,#REF!, BF20:BF333)</f>
        <v>#REF!</v>
      </c>
      <c r="BH47" s="89" t="e">
        <f t="shared" si="16"/>
        <v>#REF!</v>
      </c>
      <c r="BI47" s="90">
        <f>SUMIF(B20:B333, B47, BH20:BH333)</f>
        <v>0</v>
      </c>
      <c r="BJ47" s="91"/>
      <c r="BK47" s="92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4"/>
    </row>
    <row r="48" spans="1:82" x14ac:dyDescent="0.3">
      <c r="A48" s="95" t="s">
        <v>163</v>
      </c>
      <c r="B48" s="96"/>
      <c r="C48" s="97" t="s">
        <v>111</v>
      </c>
      <c r="D48" s="97" t="s">
        <v>162</v>
      </c>
      <c r="E48" s="98" t="s">
        <v>164</v>
      </c>
      <c r="F48" s="99" t="s">
        <v>103</v>
      </c>
      <c r="G48" s="100"/>
      <c r="H48" s="101" t="s">
        <v>103</v>
      </c>
      <c r="I48" s="99" t="s">
        <v>4</v>
      </c>
      <c r="J48" s="100" t="s">
        <v>6</v>
      </c>
      <c r="K48" s="102"/>
      <c r="L48" s="103"/>
      <c r="M48" s="104"/>
      <c r="N48" s="105">
        <v>1256</v>
      </c>
      <c r="O48" s="106">
        <v>1376</v>
      </c>
      <c r="P48" s="106">
        <v>1456</v>
      </c>
      <c r="Q48" s="107"/>
      <c r="R48" s="156">
        <v>0.09</v>
      </c>
      <c r="S48" s="105">
        <v>113</v>
      </c>
      <c r="T48" s="106">
        <v>124</v>
      </c>
      <c r="U48" s="106">
        <v>131</v>
      </c>
      <c r="V48" s="107">
        <f t="shared" si="1"/>
        <v>0</v>
      </c>
      <c r="W48" s="109"/>
      <c r="X48" s="110"/>
      <c r="Y48" s="111" t="s">
        <v>104</v>
      </c>
      <c r="Z48" s="100" t="str">
        <f>'[1]Tier 1'!V48</f>
        <v>C</v>
      </c>
      <c r="AA48" s="100"/>
      <c r="AB48" s="100"/>
      <c r="AC48" s="100"/>
      <c r="AD48" s="101"/>
      <c r="AE48" s="105">
        <f>'[1]Tier 1'!W48</f>
        <v>1620</v>
      </c>
      <c r="AF48" s="106"/>
      <c r="AG48" s="106">
        <f>'[1]Tier 1'!X48</f>
        <v>1620</v>
      </c>
      <c r="AH48" s="106"/>
      <c r="AI48" s="106">
        <f>'[1]Tier 1'!Y48</f>
        <v>1620</v>
      </c>
      <c r="AJ48" s="106">
        <f t="shared" si="2"/>
        <v>1458</v>
      </c>
      <c r="AK48" s="106" t="e">
        <f>VLOOKUP(A48,#REF!,-1,FALSE)</f>
        <v>#REF!</v>
      </c>
      <c r="AL48" s="107" t="e">
        <f t="shared" si="3"/>
        <v>#REF!</v>
      </c>
      <c r="AM48" s="105">
        <f t="shared" si="17"/>
        <v>113</v>
      </c>
      <c r="AN48" s="112">
        <f t="shared" si="18"/>
        <v>7.0000000000000007E-2</v>
      </c>
      <c r="AO48" s="100" t="str">
        <f t="shared" si="19"/>
        <v>OK</v>
      </c>
      <c r="AP48" s="106">
        <f t="shared" si="20"/>
        <v>124</v>
      </c>
      <c r="AQ48" s="112">
        <f t="shared" si="21"/>
        <v>7.6999999999999999E-2</v>
      </c>
      <c r="AR48" s="100" t="str">
        <f t="shared" si="22"/>
        <v>OK</v>
      </c>
      <c r="AS48" s="106">
        <f t="shared" si="23"/>
        <v>131</v>
      </c>
      <c r="AT48" s="112">
        <f t="shared" si="24"/>
        <v>8.1000000000000003E-2</v>
      </c>
      <c r="AU48" s="113" t="str">
        <f t="shared" si="25"/>
        <v>OK</v>
      </c>
      <c r="AV48" s="106">
        <f t="shared" si="9"/>
        <v>0</v>
      </c>
      <c r="AW48" s="112" t="e">
        <f t="shared" si="10"/>
        <v>#REF!</v>
      </c>
      <c r="AX48" s="114" t="e">
        <f t="shared" si="11"/>
        <v>#REF!</v>
      </c>
      <c r="AY48" s="99"/>
      <c r="AZ48" s="100"/>
      <c r="BA48" s="104">
        <f t="shared" si="12"/>
        <v>0</v>
      </c>
      <c r="BB48" s="115">
        <f t="shared" si="13"/>
        <v>1</v>
      </c>
      <c r="BC48" s="116" t="e">
        <f>SUMIF(#REF!,#REF!, BB20:BB333)</f>
        <v>#REF!</v>
      </c>
      <c r="BD48" s="116">
        <f t="shared" si="14"/>
        <v>1</v>
      </c>
      <c r="BE48" s="116" t="e">
        <f>SUMIF(#REF!,#REF!, BD20:BD333)</f>
        <v>#REF!</v>
      </c>
      <c r="BF48" s="116">
        <f t="shared" si="15"/>
        <v>0</v>
      </c>
      <c r="BG48" s="116" t="e">
        <f>SUMIF(#REF!,#REF!, BF20:BF333)</f>
        <v>#REF!</v>
      </c>
      <c r="BH48" s="116" t="e">
        <f t="shared" si="16"/>
        <v>#REF!</v>
      </c>
      <c r="BI48" s="117">
        <f>SUMIF(B20:B333, B48, BH20:BH333)</f>
        <v>0</v>
      </c>
      <c r="BJ48" s="118"/>
      <c r="BK48" s="92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4"/>
    </row>
    <row r="49" spans="1:82" x14ac:dyDescent="0.3">
      <c r="A49" s="68" t="s">
        <v>165</v>
      </c>
      <c r="B49" s="69"/>
      <c r="C49" s="70" t="s">
        <v>111</v>
      </c>
      <c r="D49" s="70" t="s">
        <v>164</v>
      </c>
      <c r="E49" s="71" t="s">
        <v>166</v>
      </c>
      <c r="F49" s="72" t="s">
        <v>103</v>
      </c>
      <c r="G49" s="73"/>
      <c r="H49" s="74" t="s">
        <v>103</v>
      </c>
      <c r="I49" s="72" t="s">
        <v>4</v>
      </c>
      <c r="J49" s="73" t="s">
        <v>6</v>
      </c>
      <c r="K49" s="75"/>
      <c r="L49" s="76"/>
      <c r="M49" s="77"/>
      <c r="N49" s="78">
        <v>11730</v>
      </c>
      <c r="O49" s="79">
        <v>11964</v>
      </c>
      <c r="P49" s="79">
        <v>12353</v>
      </c>
      <c r="Q49" s="80"/>
      <c r="R49" s="155">
        <v>0.09</v>
      </c>
      <c r="S49" s="78">
        <v>1056</v>
      </c>
      <c r="T49" s="79">
        <v>1077</v>
      </c>
      <c r="U49" s="79">
        <v>1112</v>
      </c>
      <c r="V49" s="80">
        <f t="shared" si="1"/>
        <v>0</v>
      </c>
      <c r="W49" s="82"/>
      <c r="X49" s="83"/>
      <c r="Y49" s="84" t="s">
        <v>104</v>
      </c>
      <c r="Z49" s="73" t="str">
        <f>'[1]Tier 1'!V49</f>
        <v>C</v>
      </c>
      <c r="AA49" s="73"/>
      <c r="AB49" s="73"/>
      <c r="AC49" s="73"/>
      <c r="AD49" s="74"/>
      <c r="AE49" s="78">
        <f>'[1]Tier 1'!W49</f>
        <v>1560</v>
      </c>
      <c r="AF49" s="79"/>
      <c r="AG49" s="79">
        <f>'[1]Tier 1'!X49</f>
        <v>1560</v>
      </c>
      <c r="AH49" s="79"/>
      <c r="AI49" s="79">
        <f>'[1]Tier 1'!Y49</f>
        <v>1560</v>
      </c>
      <c r="AJ49" s="79">
        <f t="shared" si="2"/>
        <v>1404</v>
      </c>
      <c r="AK49" s="79" t="e">
        <f>VLOOKUP(A49,#REF!,-1,FALSE)</f>
        <v>#REF!</v>
      </c>
      <c r="AL49" s="80" t="e">
        <f t="shared" si="3"/>
        <v>#REF!</v>
      </c>
      <c r="AM49" s="78">
        <f t="shared" si="17"/>
        <v>1056</v>
      </c>
      <c r="AN49" s="85">
        <f t="shared" si="18"/>
        <v>0.67700000000000005</v>
      </c>
      <c r="AO49" s="73" t="str">
        <f t="shared" si="19"/>
        <v>OK</v>
      </c>
      <c r="AP49" s="79">
        <f t="shared" si="20"/>
        <v>1077</v>
      </c>
      <c r="AQ49" s="85">
        <f t="shared" si="21"/>
        <v>0.69</v>
      </c>
      <c r="AR49" s="73" t="str">
        <f t="shared" si="22"/>
        <v>OK</v>
      </c>
      <c r="AS49" s="79">
        <f t="shared" si="23"/>
        <v>1112</v>
      </c>
      <c r="AT49" s="85">
        <f t="shared" si="24"/>
        <v>0.71299999999999997</v>
      </c>
      <c r="AU49" s="86" t="str">
        <f t="shared" si="25"/>
        <v>OK</v>
      </c>
      <c r="AV49" s="79">
        <f t="shared" si="9"/>
        <v>0</v>
      </c>
      <c r="AW49" s="85" t="e">
        <f t="shared" si="10"/>
        <v>#REF!</v>
      </c>
      <c r="AX49" s="87" t="e">
        <f t="shared" si="11"/>
        <v>#REF!</v>
      </c>
      <c r="AY49" s="72"/>
      <c r="AZ49" s="73"/>
      <c r="BA49" s="77">
        <f t="shared" si="12"/>
        <v>0</v>
      </c>
      <c r="BB49" s="88">
        <f t="shared" si="13"/>
        <v>1</v>
      </c>
      <c r="BC49" s="89" t="e">
        <f>SUMIF(#REF!,#REF!, BB20:BB333)</f>
        <v>#REF!</v>
      </c>
      <c r="BD49" s="89">
        <f t="shared" si="14"/>
        <v>1</v>
      </c>
      <c r="BE49" s="89" t="e">
        <f>SUMIF(#REF!,#REF!, BD20:BD333)</f>
        <v>#REF!</v>
      </c>
      <c r="BF49" s="89">
        <f t="shared" si="15"/>
        <v>0</v>
      </c>
      <c r="BG49" s="89" t="e">
        <f>SUMIF(#REF!,#REF!, BF20:BF333)</f>
        <v>#REF!</v>
      </c>
      <c r="BH49" s="89" t="e">
        <f t="shared" si="16"/>
        <v>#REF!</v>
      </c>
      <c r="BI49" s="90">
        <f>SUMIF(B20:B333, B49, BH20:BH333)</f>
        <v>0</v>
      </c>
      <c r="BJ49" s="91"/>
      <c r="BK49" s="92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4"/>
    </row>
    <row r="50" spans="1:82" x14ac:dyDescent="0.3">
      <c r="A50" s="95" t="s">
        <v>167</v>
      </c>
      <c r="B50" s="96"/>
      <c r="C50" s="97" t="s">
        <v>111</v>
      </c>
      <c r="D50" s="97" t="s">
        <v>166</v>
      </c>
      <c r="E50" s="98" t="s">
        <v>168</v>
      </c>
      <c r="F50" s="99" t="s">
        <v>103</v>
      </c>
      <c r="G50" s="100"/>
      <c r="H50" s="101" t="s">
        <v>118</v>
      </c>
      <c r="I50" s="99" t="s">
        <v>4</v>
      </c>
      <c r="J50" s="100" t="s">
        <v>6</v>
      </c>
      <c r="K50" s="102"/>
      <c r="L50" s="103"/>
      <c r="M50" s="104"/>
      <c r="N50" s="105">
        <v>6018</v>
      </c>
      <c r="O50" s="106">
        <v>6124</v>
      </c>
      <c r="P50" s="106">
        <v>6318</v>
      </c>
      <c r="Q50" s="107"/>
      <c r="R50" s="156">
        <v>0.09</v>
      </c>
      <c r="S50" s="105">
        <v>542</v>
      </c>
      <c r="T50" s="106">
        <v>551</v>
      </c>
      <c r="U50" s="106">
        <v>569</v>
      </c>
      <c r="V50" s="107">
        <f t="shared" si="1"/>
        <v>0</v>
      </c>
      <c r="W50" s="109"/>
      <c r="X50" s="110"/>
      <c r="Y50" s="111" t="s">
        <v>104</v>
      </c>
      <c r="Z50" s="100" t="str">
        <f>'[1]Tier 1'!V50</f>
        <v>C</v>
      </c>
      <c r="AA50" s="100"/>
      <c r="AB50" s="100"/>
      <c r="AC50" s="100"/>
      <c r="AD50" s="101"/>
      <c r="AE50" s="105">
        <f>'[1]Tier 1'!W50</f>
        <v>1490</v>
      </c>
      <c r="AF50" s="106"/>
      <c r="AG50" s="106">
        <f>'[1]Tier 1'!X50</f>
        <v>1490</v>
      </c>
      <c r="AH50" s="106"/>
      <c r="AI50" s="106">
        <f>'[1]Tier 1'!Y50</f>
        <v>1490</v>
      </c>
      <c r="AJ50" s="106">
        <f t="shared" si="2"/>
        <v>1341</v>
      </c>
      <c r="AK50" s="106" t="e">
        <f>VLOOKUP(A50,#REF!,-1,FALSE)</f>
        <v>#REF!</v>
      </c>
      <c r="AL50" s="107" t="e">
        <f t="shared" si="3"/>
        <v>#REF!</v>
      </c>
      <c r="AM50" s="105">
        <f t="shared" si="17"/>
        <v>542</v>
      </c>
      <c r="AN50" s="112">
        <f t="shared" si="18"/>
        <v>0.36399999999999999</v>
      </c>
      <c r="AO50" s="100" t="str">
        <f t="shared" si="19"/>
        <v>OK</v>
      </c>
      <c r="AP50" s="106">
        <f t="shared" si="20"/>
        <v>551</v>
      </c>
      <c r="AQ50" s="112">
        <f t="shared" si="21"/>
        <v>0.37</v>
      </c>
      <c r="AR50" s="100" t="str">
        <f t="shared" si="22"/>
        <v>OK</v>
      </c>
      <c r="AS50" s="106">
        <f t="shared" si="23"/>
        <v>569</v>
      </c>
      <c r="AT50" s="112">
        <f t="shared" si="24"/>
        <v>0.38200000000000001</v>
      </c>
      <c r="AU50" s="113" t="str">
        <f t="shared" si="25"/>
        <v>OK</v>
      </c>
      <c r="AV50" s="106">
        <f t="shared" si="9"/>
        <v>0</v>
      </c>
      <c r="AW50" s="112" t="e">
        <f t="shared" si="10"/>
        <v>#REF!</v>
      </c>
      <c r="AX50" s="114" t="e">
        <f t="shared" si="11"/>
        <v>#REF!</v>
      </c>
      <c r="AY50" s="99"/>
      <c r="AZ50" s="100"/>
      <c r="BA50" s="104">
        <f t="shared" si="12"/>
        <v>0</v>
      </c>
      <c r="BB50" s="115">
        <f t="shared" si="13"/>
        <v>1</v>
      </c>
      <c r="BC50" s="116" t="e">
        <f>SUMIF(#REF!,#REF!, BB20:BB333)</f>
        <v>#REF!</v>
      </c>
      <c r="BD50" s="116">
        <f t="shared" si="14"/>
        <v>1</v>
      </c>
      <c r="BE50" s="116" t="e">
        <f>SUMIF(#REF!,#REF!, BD20:BD333)</f>
        <v>#REF!</v>
      </c>
      <c r="BF50" s="116">
        <f t="shared" si="15"/>
        <v>0</v>
      </c>
      <c r="BG50" s="116" t="e">
        <f>SUMIF(#REF!,#REF!, BF20:BF333)</f>
        <v>#REF!</v>
      </c>
      <c r="BH50" s="116" t="e">
        <f t="shared" si="16"/>
        <v>#REF!</v>
      </c>
      <c r="BI50" s="117">
        <f>SUMIF(B20:B333, B50, BH20:BH333)</f>
        <v>0</v>
      </c>
      <c r="BJ50" s="118"/>
      <c r="BK50" s="92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4"/>
    </row>
    <row r="51" spans="1:82" x14ac:dyDescent="0.3">
      <c r="A51" s="68" t="s">
        <v>169</v>
      </c>
      <c r="B51" s="69"/>
      <c r="C51" s="70" t="s">
        <v>111</v>
      </c>
      <c r="D51" s="70" t="s">
        <v>168</v>
      </c>
      <c r="E51" s="71" t="s">
        <v>170</v>
      </c>
      <c r="F51" s="72" t="s">
        <v>103</v>
      </c>
      <c r="G51" s="73"/>
      <c r="H51" s="74" t="s">
        <v>118</v>
      </c>
      <c r="I51" s="72" t="s">
        <v>4</v>
      </c>
      <c r="J51" s="73" t="s">
        <v>6</v>
      </c>
      <c r="K51" s="75"/>
      <c r="L51" s="76"/>
      <c r="M51" s="77"/>
      <c r="N51" s="78">
        <v>4080</v>
      </c>
      <c r="O51" s="79">
        <v>4214</v>
      </c>
      <c r="P51" s="79">
        <v>4405</v>
      </c>
      <c r="Q51" s="80"/>
      <c r="R51" s="155">
        <v>0.09</v>
      </c>
      <c r="S51" s="78">
        <v>367</v>
      </c>
      <c r="T51" s="79">
        <v>379</v>
      </c>
      <c r="U51" s="79">
        <v>396</v>
      </c>
      <c r="V51" s="80">
        <f t="shared" si="1"/>
        <v>0</v>
      </c>
      <c r="W51" s="82"/>
      <c r="X51" s="83"/>
      <c r="Y51" s="84" t="s">
        <v>104</v>
      </c>
      <c r="Z51" s="73" t="str">
        <f>'[1]Tier 1'!V51</f>
        <v>C</v>
      </c>
      <c r="AA51" s="73"/>
      <c r="AB51" s="73"/>
      <c r="AC51" s="73"/>
      <c r="AD51" s="74"/>
      <c r="AE51" s="78">
        <f>'[1]Tier 1'!W51</f>
        <v>1490</v>
      </c>
      <c r="AF51" s="79"/>
      <c r="AG51" s="79">
        <f>'[1]Tier 1'!X51</f>
        <v>1490</v>
      </c>
      <c r="AH51" s="79"/>
      <c r="AI51" s="79">
        <f>'[1]Tier 1'!Y51</f>
        <v>1490</v>
      </c>
      <c r="AJ51" s="79">
        <f t="shared" si="2"/>
        <v>1341</v>
      </c>
      <c r="AK51" s="79" t="e">
        <f>VLOOKUP(A51,#REF!,-1,FALSE)</f>
        <v>#REF!</v>
      </c>
      <c r="AL51" s="80" t="e">
        <f t="shared" si="3"/>
        <v>#REF!</v>
      </c>
      <c r="AM51" s="78">
        <f t="shared" si="17"/>
        <v>367</v>
      </c>
      <c r="AN51" s="85">
        <f t="shared" si="18"/>
        <v>0.246</v>
      </c>
      <c r="AO51" s="73" t="str">
        <f t="shared" si="19"/>
        <v>OK</v>
      </c>
      <c r="AP51" s="79">
        <f t="shared" si="20"/>
        <v>379</v>
      </c>
      <c r="AQ51" s="85">
        <f t="shared" si="21"/>
        <v>0.254</v>
      </c>
      <c r="AR51" s="73" t="str">
        <f t="shared" si="22"/>
        <v>OK</v>
      </c>
      <c r="AS51" s="79">
        <f t="shared" si="23"/>
        <v>396</v>
      </c>
      <c r="AT51" s="85">
        <f t="shared" si="24"/>
        <v>0.26600000000000001</v>
      </c>
      <c r="AU51" s="86" t="str">
        <f t="shared" si="25"/>
        <v>OK</v>
      </c>
      <c r="AV51" s="79">
        <f t="shared" si="9"/>
        <v>0</v>
      </c>
      <c r="AW51" s="85" t="e">
        <f t="shared" si="10"/>
        <v>#REF!</v>
      </c>
      <c r="AX51" s="87" t="e">
        <f t="shared" si="11"/>
        <v>#REF!</v>
      </c>
      <c r="AY51" s="72"/>
      <c r="AZ51" s="73"/>
      <c r="BA51" s="77">
        <f t="shared" si="12"/>
        <v>0</v>
      </c>
      <c r="BB51" s="88">
        <f t="shared" si="13"/>
        <v>1</v>
      </c>
      <c r="BC51" s="89" t="e">
        <f>SUMIF(#REF!,#REF!, BB20:BB333)</f>
        <v>#REF!</v>
      </c>
      <c r="BD51" s="89">
        <f t="shared" si="14"/>
        <v>1</v>
      </c>
      <c r="BE51" s="89" t="e">
        <f>SUMIF(#REF!,#REF!, BD20:BD333)</f>
        <v>#REF!</v>
      </c>
      <c r="BF51" s="89">
        <f t="shared" si="15"/>
        <v>0</v>
      </c>
      <c r="BG51" s="89" t="e">
        <f>SUMIF(#REF!,#REF!, BF20:BF333)</f>
        <v>#REF!</v>
      </c>
      <c r="BH51" s="89" t="e">
        <f t="shared" si="16"/>
        <v>#REF!</v>
      </c>
      <c r="BI51" s="90">
        <f>SUMIF(B20:B333, B51, BH20:BH333)</f>
        <v>0</v>
      </c>
      <c r="BJ51" s="91"/>
      <c r="BK51" s="92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4"/>
    </row>
    <row r="52" spans="1:82" x14ac:dyDescent="0.3">
      <c r="A52" s="95" t="s">
        <v>171</v>
      </c>
      <c r="B52" s="96"/>
      <c r="C52" s="97" t="s">
        <v>102</v>
      </c>
      <c r="D52" s="97" t="s">
        <v>172</v>
      </c>
      <c r="E52" s="98" t="s">
        <v>173</v>
      </c>
      <c r="F52" s="99" t="s">
        <v>118</v>
      </c>
      <c r="G52" s="100"/>
      <c r="H52" s="101" t="s">
        <v>118</v>
      </c>
      <c r="I52" s="99" t="s">
        <v>4</v>
      </c>
      <c r="J52" s="100" t="s">
        <v>67</v>
      </c>
      <c r="K52" s="102"/>
      <c r="L52" s="103"/>
      <c r="M52" s="104"/>
      <c r="N52" s="105">
        <v>28167</v>
      </c>
      <c r="O52" s="106">
        <v>29130</v>
      </c>
      <c r="P52" s="106">
        <v>29773</v>
      </c>
      <c r="Q52" s="107"/>
      <c r="R52" s="156">
        <v>0.09</v>
      </c>
      <c r="S52" s="105">
        <v>2535</v>
      </c>
      <c r="T52" s="106">
        <v>2622</v>
      </c>
      <c r="U52" s="106">
        <v>2680</v>
      </c>
      <c r="V52" s="107">
        <f t="shared" si="1"/>
        <v>0</v>
      </c>
      <c r="W52" s="109"/>
      <c r="X52" s="110"/>
      <c r="Y52" s="111" t="s">
        <v>104</v>
      </c>
      <c r="Z52" s="100" t="str">
        <f>'[1]Tier 1'!V52</f>
        <v>C</v>
      </c>
      <c r="AA52" s="100"/>
      <c r="AB52" s="100"/>
      <c r="AC52" s="100"/>
      <c r="AD52" s="101"/>
      <c r="AE52" s="105">
        <f>'[1]Tier 1'!W52</f>
        <v>5250</v>
      </c>
      <c r="AF52" s="106"/>
      <c r="AG52" s="106">
        <f>'[1]Tier 1'!X52</f>
        <v>5250</v>
      </c>
      <c r="AH52" s="106"/>
      <c r="AI52" s="106">
        <f>'[1]Tier 1'!Y52</f>
        <v>5250</v>
      </c>
      <c r="AJ52" s="106">
        <f t="shared" si="2"/>
        <v>4725</v>
      </c>
      <c r="AK52" s="106" t="e">
        <f>VLOOKUP(A52,#REF!,-1,FALSE)</f>
        <v>#REF!</v>
      </c>
      <c r="AL52" s="107" t="e">
        <f t="shared" si="3"/>
        <v>#REF!</v>
      </c>
      <c r="AM52" s="105">
        <f t="shared" si="17"/>
        <v>2535</v>
      </c>
      <c r="AN52" s="112">
        <f t="shared" si="18"/>
        <v>0.48299999999999998</v>
      </c>
      <c r="AO52" s="100" t="str">
        <f t="shared" si="19"/>
        <v>OK</v>
      </c>
      <c r="AP52" s="106">
        <f t="shared" si="20"/>
        <v>2622</v>
      </c>
      <c r="AQ52" s="112">
        <f t="shared" si="21"/>
        <v>0.499</v>
      </c>
      <c r="AR52" s="100" t="str">
        <f t="shared" si="22"/>
        <v>OK</v>
      </c>
      <c r="AS52" s="106">
        <f t="shared" si="23"/>
        <v>2680</v>
      </c>
      <c r="AT52" s="112">
        <f t="shared" si="24"/>
        <v>0.51</v>
      </c>
      <c r="AU52" s="113" t="str">
        <f t="shared" si="25"/>
        <v>OK</v>
      </c>
      <c r="AV52" s="106">
        <f t="shared" si="9"/>
        <v>0</v>
      </c>
      <c r="AW52" s="112" t="e">
        <f t="shared" si="10"/>
        <v>#REF!</v>
      </c>
      <c r="AX52" s="114" t="e">
        <f t="shared" si="11"/>
        <v>#REF!</v>
      </c>
      <c r="AY52" s="99"/>
      <c r="AZ52" s="100"/>
      <c r="BA52" s="104">
        <f t="shared" si="12"/>
        <v>0</v>
      </c>
      <c r="BB52" s="115">
        <f t="shared" si="13"/>
        <v>1</v>
      </c>
      <c r="BC52" s="116" t="e">
        <f>SUMIF(#REF!,#REF!, BB20:BB333)</f>
        <v>#REF!</v>
      </c>
      <c r="BD52" s="116">
        <f t="shared" si="14"/>
        <v>1</v>
      </c>
      <c r="BE52" s="116" t="e">
        <f>SUMIF(#REF!,#REF!, BD20:BD333)</f>
        <v>#REF!</v>
      </c>
      <c r="BF52" s="116">
        <f t="shared" si="15"/>
        <v>0</v>
      </c>
      <c r="BG52" s="116" t="e">
        <f>SUMIF(#REF!,#REF!, BF20:BF333)</f>
        <v>#REF!</v>
      </c>
      <c r="BH52" s="116" t="e">
        <f t="shared" si="16"/>
        <v>#REF!</v>
      </c>
      <c r="BI52" s="117">
        <f>SUMIF(B20:B333, B52, BH20:BH333)</f>
        <v>0</v>
      </c>
      <c r="BJ52" s="118"/>
      <c r="BK52" s="92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4"/>
    </row>
    <row r="53" spans="1:82" x14ac:dyDescent="0.3">
      <c r="A53" s="68" t="s">
        <v>174</v>
      </c>
      <c r="B53" s="69"/>
      <c r="C53" s="70" t="s">
        <v>102</v>
      </c>
      <c r="D53" s="70" t="s">
        <v>173</v>
      </c>
      <c r="E53" s="71" t="s">
        <v>175</v>
      </c>
      <c r="F53" s="72" t="s">
        <v>118</v>
      </c>
      <c r="G53" s="73"/>
      <c r="H53" s="74" t="s">
        <v>118</v>
      </c>
      <c r="I53" s="72" t="s">
        <v>4</v>
      </c>
      <c r="J53" s="73" t="s">
        <v>67</v>
      </c>
      <c r="K53" s="75"/>
      <c r="L53" s="76"/>
      <c r="M53" s="77"/>
      <c r="N53" s="78">
        <v>31863</v>
      </c>
      <c r="O53" s="79">
        <v>33813</v>
      </c>
      <c r="P53" s="79">
        <v>35179</v>
      </c>
      <c r="Q53" s="80"/>
      <c r="R53" s="155">
        <v>0.09</v>
      </c>
      <c r="S53" s="78">
        <v>2868</v>
      </c>
      <c r="T53" s="79">
        <v>3043</v>
      </c>
      <c r="U53" s="79">
        <v>3166</v>
      </c>
      <c r="V53" s="80">
        <f t="shared" si="1"/>
        <v>0</v>
      </c>
      <c r="W53" s="82"/>
      <c r="X53" s="83"/>
      <c r="Y53" s="84" t="s">
        <v>104</v>
      </c>
      <c r="Z53" s="73" t="str">
        <f>'[1]Tier 1'!V53</f>
        <v>C</v>
      </c>
      <c r="AA53" s="73"/>
      <c r="AB53" s="73"/>
      <c r="AC53" s="73"/>
      <c r="AD53" s="74"/>
      <c r="AE53" s="78">
        <f>'[1]Tier 1'!W53</f>
        <v>5250</v>
      </c>
      <c r="AF53" s="79"/>
      <c r="AG53" s="79">
        <f>'[1]Tier 1'!X53</f>
        <v>5250</v>
      </c>
      <c r="AH53" s="79"/>
      <c r="AI53" s="79">
        <f>'[1]Tier 1'!Y53</f>
        <v>5250</v>
      </c>
      <c r="AJ53" s="79">
        <f t="shared" si="2"/>
        <v>4725</v>
      </c>
      <c r="AK53" s="79" t="e">
        <f>VLOOKUP(A53,#REF!,-1,FALSE)</f>
        <v>#REF!</v>
      </c>
      <c r="AL53" s="80" t="e">
        <f t="shared" si="3"/>
        <v>#REF!</v>
      </c>
      <c r="AM53" s="78">
        <f t="shared" si="17"/>
        <v>2868</v>
      </c>
      <c r="AN53" s="85">
        <f t="shared" si="18"/>
        <v>0.54600000000000004</v>
      </c>
      <c r="AO53" s="73" t="str">
        <f t="shared" si="19"/>
        <v>OK</v>
      </c>
      <c r="AP53" s="79">
        <f t="shared" si="20"/>
        <v>3043</v>
      </c>
      <c r="AQ53" s="85">
        <f t="shared" si="21"/>
        <v>0.57999999999999996</v>
      </c>
      <c r="AR53" s="73" t="str">
        <f t="shared" si="22"/>
        <v>OK</v>
      </c>
      <c r="AS53" s="79">
        <f t="shared" si="23"/>
        <v>3166</v>
      </c>
      <c r="AT53" s="85">
        <f t="shared" si="24"/>
        <v>0.60299999999999998</v>
      </c>
      <c r="AU53" s="86" t="str">
        <f t="shared" si="25"/>
        <v>OK</v>
      </c>
      <c r="AV53" s="79">
        <f t="shared" si="9"/>
        <v>0</v>
      </c>
      <c r="AW53" s="85" t="e">
        <f t="shared" si="10"/>
        <v>#REF!</v>
      </c>
      <c r="AX53" s="87" t="e">
        <f t="shared" si="11"/>
        <v>#REF!</v>
      </c>
      <c r="AY53" s="72"/>
      <c r="AZ53" s="73"/>
      <c r="BA53" s="77">
        <f t="shared" si="12"/>
        <v>0</v>
      </c>
      <c r="BB53" s="88">
        <f t="shared" si="13"/>
        <v>1</v>
      </c>
      <c r="BC53" s="89" t="e">
        <f>SUMIF(#REF!,#REF!, BB20:BB333)</f>
        <v>#REF!</v>
      </c>
      <c r="BD53" s="89">
        <f t="shared" si="14"/>
        <v>1</v>
      </c>
      <c r="BE53" s="89" t="e">
        <f>SUMIF(#REF!,#REF!, BD20:BD333)</f>
        <v>#REF!</v>
      </c>
      <c r="BF53" s="89">
        <f t="shared" si="15"/>
        <v>0</v>
      </c>
      <c r="BG53" s="89" t="e">
        <f>SUMIF(#REF!,#REF!, BF20:BF333)</f>
        <v>#REF!</v>
      </c>
      <c r="BH53" s="89" t="e">
        <f t="shared" si="16"/>
        <v>#REF!</v>
      </c>
      <c r="BI53" s="90">
        <f>SUMIF(B20:B333, B53, BH20:BH333)</f>
        <v>0</v>
      </c>
      <c r="BJ53" s="91"/>
      <c r="BK53" s="92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4"/>
    </row>
    <row r="54" spans="1:82" x14ac:dyDescent="0.3">
      <c r="A54" s="95" t="s">
        <v>176</v>
      </c>
      <c r="B54" s="96"/>
      <c r="C54" s="97" t="s">
        <v>102</v>
      </c>
      <c r="D54" s="97" t="s">
        <v>175</v>
      </c>
      <c r="E54" s="98" t="s">
        <v>177</v>
      </c>
      <c r="F54" s="99" t="s">
        <v>118</v>
      </c>
      <c r="G54" s="100"/>
      <c r="H54" s="101" t="s">
        <v>118</v>
      </c>
      <c r="I54" s="99" t="s">
        <v>4</v>
      </c>
      <c r="J54" s="100" t="s">
        <v>67</v>
      </c>
      <c r="K54" s="102"/>
      <c r="L54" s="103"/>
      <c r="M54" s="104"/>
      <c r="N54" s="105">
        <v>38665</v>
      </c>
      <c r="O54" s="106">
        <v>41031</v>
      </c>
      <c r="P54" s="106">
        <v>42689</v>
      </c>
      <c r="Q54" s="107"/>
      <c r="R54" s="156">
        <v>0.09</v>
      </c>
      <c r="S54" s="105">
        <v>3480</v>
      </c>
      <c r="T54" s="106">
        <v>3693</v>
      </c>
      <c r="U54" s="106">
        <v>3842</v>
      </c>
      <c r="V54" s="107">
        <f t="shared" si="1"/>
        <v>0</v>
      </c>
      <c r="W54" s="109"/>
      <c r="X54" s="110"/>
      <c r="Y54" s="111" t="s">
        <v>104</v>
      </c>
      <c r="Z54" s="100" t="str">
        <f>'[1]Tier 1'!V54</f>
        <v>C</v>
      </c>
      <c r="AA54" s="100"/>
      <c r="AB54" s="100"/>
      <c r="AC54" s="100"/>
      <c r="AD54" s="101"/>
      <c r="AE54" s="105">
        <f>'[1]Tier 1'!W54</f>
        <v>5250</v>
      </c>
      <c r="AF54" s="106"/>
      <c r="AG54" s="106">
        <f>'[1]Tier 1'!X54</f>
        <v>5250</v>
      </c>
      <c r="AH54" s="106"/>
      <c r="AI54" s="106">
        <f>'[1]Tier 1'!Y54</f>
        <v>5250</v>
      </c>
      <c r="AJ54" s="106">
        <f t="shared" si="2"/>
        <v>4725</v>
      </c>
      <c r="AK54" s="106" t="e">
        <f>VLOOKUP(A54,#REF!,-1,FALSE)</f>
        <v>#REF!</v>
      </c>
      <c r="AL54" s="107" t="e">
        <f t="shared" si="3"/>
        <v>#REF!</v>
      </c>
      <c r="AM54" s="105">
        <f t="shared" si="17"/>
        <v>3480</v>
      </c>
      <c r="AN54" s="112">
        <f t="shared" si="18"/>
        <v>0.66300000000000003</v>
      </c>
      <c r="AO54" s="100" t="str">
        <f t="shared" si="19"/>
        <v>OK</v>
      </c>
      <c r="AP54" s="106">
        <f t="shared" si="20"/>
        <v>3693</v>
      </c>
      <c r="AQ54" s="112">
        <f t="shared" si="21"/>
        <v>0.70299999999999996</v>
      </c>
      <c r="AR54" s="100" t="str">
        <f t="shared" si="22"/>
        <v>OK</v>
      </c>
      <c r="AS54" s="106">
        <f t="shared" si="23"/>
        <v>3842</v>
      </c>
      <c r="AT54" s="112">
        <f t="shared" si="24"/>
        <v>0.73199999999999998</v>
      </c>
      <c r="AU54" s="113" t="str">
        <f t="shared" si="25"/>
        <v>OK</v>
      </c>
      <c r="AV54" s="106">
        <f t="shared" si="9"/>
        <v>0</v>
      </c>
      <c r="AW54" s="112" t="e">
        <f t="shared" si="10"/>
        <v>#REF!</v>
      </c>
      <c r="AX54" s="114" t="e">
        <f t="shared" si="11"/>
        <v>#REF!</v>
      </c>
      <c r="AY54" s="99"/>
      <c r="AZ54" s="100"/>
      <c r="BA54" s="104">
        <f t="shared" si="12"/>
        <v>0</v>
      </c>
      <c r="BB54" s="115">
        <f t="shared" si="13"/>
        <v>1</v>
      </c>
      <c r="BC54" s="116" t="e">
        <f>SUMIF(#REF!,#REF!, BB20:BB333)</f>
        <v>#REF!</v>
      </c>
      <c r="BD54" s="116">
        <f t="shared" si="14"/>
        <v>1</v>
      </c>
      <c r="BE54" s="116" t="e">
        <f>SUMIF(#REF!,#REF!, BD20:BD333)</f>
        <v>#REF!</v>
      </c>
      <c r="BF54" s="116">
        <f t="shared" si="15"/>
        <v>0</v>
      </c>
      <c r="BG54" s="116" t="e">
        <f>SUMIF(#REF!,#REF!, BF20:BF333)</f>
        <v>#REF!</v>
      </c>
      <c r="BH54" s="116" t="e">
        <f t="shared" si="16"/>
        <v>#REF!</v>
      </c>
      <c r="BI54" s="117">
        <f>SUMIF(B20:B333, B54, BH20:BH333)</f>
        <v>0</v>
      </c>
      <c r="BJ54" s="118"/>
      <c r="BK54" s="92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4"/>
    </row>
    <row r="55" spans="1:82" x14ac:dyDescent="0.3">
      <c r="A55" s="68" t="s">
        <v>178</v>
      </c>
      <c r="B55" s="69"/>
      <c r="C55" s="70" t="s">
        <v>102</v>
      </c>
      <c r="D55" s="70" t="s">
        <v>177</v>
      </c>
      <c r="E55" s="71" t="s">
        <v>179</v>
      </c>
      <c r="F55" s="72" t="s">
        <v>118</v>
      </c>
      <c r="G55" s="73"/>
      <c r="H55" s="74" t="s">
        <v>118</v>
      </c>
      <c r="I55" s="72" t="s">
        <v>4</v>
      </c>
      <c r="J55" s="73" t="s">
        <v>67</v>
      </c>
      <c r="K55" s="75"/>
      <c r="L55" s="76"/>
      <c r="M55" s="77"/>
      <c r="N55" s="78">
        <v>38665</v>
      </c>
      <c r="O55" s="79">
        <v>41031</v>
      </c>
      <c r="P55" s="79">
        <v>42689</v>
      </c>
      <c r="Q55" s="80"/>
      <c r="R55" s="155">
        <v>0.09</v>
      </c>
      <c r="S55" s="78">
        <v>3480</v>
      </c>
      <c r="T55" s="79">
        <v>3693</v>
      </c>
      <c r="U55" s="79">
        <v>3842</v>
      </c>
      <c r="V55" s="80">
        <f t="shared" si="1"/>
        <v>0</v>
      </c>
      <c r="W55" s="82"/>
      <c r="X55" s="83"/>
      <c r="Y55" s="84" t="s">
        <v>104</v>
      </c>
      <c r="Z55" s="73" t="str">
        <f>'[1]Tier 1'!V55</f>
        <v>C</v>
      </c>
      <c r="AA55" s="73"/>
      <c r="AB55" s="73"/>
      <c r="AC55" s="73"/>
      <c r="AD55" s="74"/>
      <c r="AE55" s="78">
        <f>'[1]Tier 1'!W55</f>
        <v>5250</v>
      </c>
      <c r="AF55" s="79"/>
      <c r="AG55" s="79">
        <f>'[1]Tier 1'!X55</f>
        <v>5250</v>
      </c>
      <c r="AH55" s="79"/>
      <c r="AI55" s="79">
        <f>'[1]Tier 1'!Y55</f>
        <v>5250</v>
      </c>
      <c r="AJ55" s="79">
        <f t="shared" si="2"/>
        <v>4725</v>
      </c>
      <c r="AK55" s="79" t="e">
        <f>VLOOKUP(A55,#REF!,-1,FALSE)</f>
        <v>#REF!</v>
      </c>
      <c r="AL55" s="80" t="e">
        <f t="shared" si="3"/>
        <v>#REF!</v>
      </c>
      <c r="AM55" s="78">
        <f t="shared" si="17"/>
        <v>3480</v>
      </c>
      <c r="AN55" s="85">
        <f t="shared" si="18"/>
        <v>0.66300000000000003</v>
      </c>
      <c r="AO55" s="73" t="str">
        <f t="shared" si="19"/>
        <v>OK</v>
      </c>
      <c r="AP55" s="79">
        <f t="shared" si="20"/>
        <v>3693</v>
      </c>
      <c r="AQ55" s="85">
        <f t="shared" si="21"/>
        <v>0.70299999999999996</v>
      </c>
      <c r="AR55" s="73" t="str">
        <f t="shared" si="22"/>
        <v>OK</v>
      </c>
      <c r="AS55" s="79">
        <f t="shared" si="23"/>
        <v>3842</v>
      </c>
      <c r="AT55" s="85">
        <f t="shared" si="24"/>
        <v>0.73199999999999998</v>
      </c>
      <c r="AU55" s="86" t="str">
        <f t="shared" si="25"/>
        <v>OK</v>
      </c>
      <c r="AV55" s="79">
        <f t="shared" si="9"/>
        <v>0</v>
      </c>
      <c r="AW55" s="85" t="e">
        <f t="shared" si="10"/>
        <v>#REF!</v>
      </c>
      <c r="AX55" s="87" t="e">
        <f t="shared" si="11"/>
        <v>#REF!</v>
      </c>
      <c r="AY55" s="72"/>
      <c r="AZ55" s="73"/>
      <c r="BA55" s="77">
        <f t="shared" si="12"/>
        <v>0</v>
      </c>
      <c r="BB55" s="88">
        <f t="shared" si="13"/>
        <v>1</v>
      </c>
      <c r="BC55" s="89" t="e">
        <f>SUMIF(#REF!,#REF!, BB20:BB333)</f>
        <v>#REF!</v>
      </c>
      <c r="BD55" s="89">
        <f t="shared" si="14"/>
        <v>1</v>
      </c>
      <c r="BE55" s="89" t="e">
        <f>SUMIF(#REF!,#REF!, BD20:BD333)</f>
        <v>#REF!</v>
      </c>
      <c r="BF55" s="89">
        <f t="shared" si="15"/>
        <v>0</v>
      </c>
      <c r="BG55" s="89" t="e">
        <f>SUMIF(#REF!,#REF!, BF20:BF333)</f>
        <v>#REF!</v>
      </c>
      <c r="BH55" s="89" t="e">
        <f t="shared" si="16"/>
        <v>#REF!</v>
      </c>
      <c r="BI55" s="90">
        <f>SUMIF(B20:B333, B55, BH20:BH333)</f>
        <v>0</v>
      </c>
      <c r="BJ55" s="91"/>
      <c r="BK55" s="92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4"/>
    </row>
    <row r="56" spans="1:82" x14ac:dyDescent="0.3">
      <c r="A56" s="95" t="s">
        <v>180</v>
      </c>
      <c r="B56" s="96"/>
      <c r="C56" s="97" t="s">
        <v>102</v>
      </c>
      <c r="D56" s="97" t="s">
        <v>179</v>
      </c>
      <c r="E56" s="98" t="s">
        <v>181</v>
      </c>
      <c r="F56" s="99" t="s">
        <v>118</v>
      </c>
      <c r="G56" s="100"/>
      <c r="H56" s="101" t="s">
        <v>118</v>
      </c>
      <c r="I56" s="99" t="s">
        <v>4</v>
      </c>
      <c r="J56" s="100" t="s">
        <v>67</v>
      </c>
      <c r="K56" s="102"/>
      <c r="L56" s="103"/>
      <c r="M56" s="104"/>
      <c r="N56" s="105">
        <v>38665</v>
      </c>
      <c r="O56" s="106">
        <v>41031</v>
      </c>
      <c r="P56" s="106">
        <v>42689</v>
      </c>
      <c r="Q56" s="107"/>
      <c r="R56" s="156">
        <v>0.09</v>
      </c>
      <c r="S56" s="105">
        <v>3480</v>
      </c>
      <c r="T56" s="106">
        <v>3693</v>
      </c>
      <c r="U56" s="106">
        <v>3842</v>
      </c>
      <c r="V56" s="107">
        <f t="shared" si="1"/>
        <v>0</v>
      </c>
      <c r="W56" s="109"/>
      <c r="X56" s="110"/>
      <c r="Y56" s="111" t="s">
        <v>104</v>
      </c>
      <c r="Z56" s="100" t="str">
        <f>'[1]Tier 1'!V56</f>
        <v>C</v>
      </c>
      <c r="AA56" s="100"/>
      <c r="AB56" s="100"/>
      <c r="AC56" s="100"/>
      <c r="AD56" s="101"/>
      <c r="AE56" s="105">
        <f>'[1]Tier 1'!W56</f>
        <v>5250</v>
      </c>
      <c r="AF56" s="106"/>
      <c r="AG56" s="106">
        <f>'[1]Tier 1'!X56</f>
        <v>5250</v>
      </c>
      <c r="AH56" s="106"/>
      <c r="AI56" s="106">
        <f>'[1]Tier 1'!Y56</f>
        <v>5250</v>
      </c>
      <c r="AJ56" s="106">
        <f t="shared" si="2"/>
        <v>4725</v>
      </c>
      <c r="AK56" s="106" t="e">
        <f>VLOOKUP(A56,#REF!,-1,FALSE)</f>
        <v>#REF!</v>
      </c>
      <c r="AL56" s="107" t="e">
        <f t="shared" si="3"/>
        <v>#REF!</v>
      </c>
      <c r="AM56" s="105">
        <f t="shared" si="17"/>
        <v>3480</v>
      </c>
      <c r="AN56" s="112">
        <f t="shared" si="18"/>
        <v>0.66300000000000003</v>
      </c>
      <c r="AO56" s="100" t="str">
        <f t="shared" si="19"/>
        <v>OK</v>
      </c>
      <c r="AP56" s="106">
        <f t="shared" si="20"/>
        <v>3693</v>
      </c>
      <c r="AQ56" s="112">
        <f t="shared" si="21"/>
        <v>0.70299999999999996</v>
      </c>
      <c r="AR56" s="100" t="str">
        <f t="shared" si="22"/>
        <v>OK</v>
      </c>
      <c r="AS56" s="106">
        <f t="shared" si="23"/>
        <v>3842</v>
      </c>
      <c r="AT56" s="112">
        <f t="shared" si="24"/>
        <v>0.73199999999999998</v>
      </c>
      <c r="AU56" s="113" t="str">
        <f t="shared" si="25"/>
        <v>OK</v>
      </c>
      <c r="AV56" s="106">
        <f t="shared" si="9"/>
        <v>0</v>
      </c>
      <c r="AW56" s="112" t="e">
        <f t="shared" si="10"/>
        <v>#REF!</v>
      </c>
      <c r="AX56" s="114" t="e">
        <f t="shared" si="11"/>
        <v>#REF!</v>
      </c>
      <c r="AY56" s="99"/>
      <c r="AZ56" s="100"/>
      <c r="BA56" s="104">
        <f t="shared" si="12"/>
        <v>0</v>
      </c>
      <c r="BB56" s="115">
        <f t="shared" si="13"/>
        <v>1</v>
      </c>
      <c r="BC56" s="116" t="e">
        <f>SUMIF(#REF!,#REF!, BB20:BB333)</f>
        <v>#REF!</v>
      </c>
      <c r="BD56" s="116">
        <f t="shared" si="14"/>
        <v>1</v>
      </c>
      <c r="BE56" s="116" t="e">
        <f>SUMIF(#REF!,#REF!, BD20:BD333)</f>
        <v>#REF!</v>
      </c>
      <c r="BF56" s="116">
        <f t="shared" si="15"/>
        <v>0</v>
      </c>
      <c r="BG56" s="116" t="e">
        <f>SUMIF(#REF!,#REF!, BF20:BF333)</f>
        <v>#REF!</v>
      </c>
      <c r="BH56" s="116" t="e">
        <f t="shared" si="16"/>
        <v>#REF!</v>
      </c>
      <c r="BI56" s="117">
        <f>SUMIF(B20:B333, B56, BH20:BH333)</f>
        <v>0</v>
      </c>
      <c r="BJ56" s="118"/>
      <c r="BK56" s="92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4"/>
    </row>
    <row r="57" spans="1:82" x14ac:dyDescent="0.3">
      <c r="A57" s="68" t="s">
        <v>182</v>
      </c>
      <c r="B57" s="69"/>
      <c r="C57" s="70" t="s">
        <v>102</v>
      </c>
      <c r="D57" s="70" t="s">
        <v>181</v>
      </c>
      <c r="E57" s="71" t="s">
        <v>183</v>
      </c>
      <c r="F57" s="72" t="s">
        <v>118</v>
      </c>
      <c r="G57" s="73"/>
      <c r="H57" s="74" t="s">
        <v>118</v>
      </c>
      <c r="I57" s="72" t="s">
        <v>4</v>
      </c>
      <c r="J57" s="73" t="s">
        <v>67</v>
      </c>
      <c r="K57" s="75"/>
      <c r="L57" s="76"/>
      <c r="M57" s="77"/>
      <c r="N57" s="78">
        <v>59633</v>
      </c>
      <c r="O57" s="79">
        <v>53652</v>
      </c>
      <c r="P57" s="79">
        <v>49664</v>
      </c>
      <c r="Q57" s="80"/>
      <c r="R57" s="155">
        <v>0.09</v>
      </c>
      <c r="S57" s="78">
        <v>5367</v>
      </c>
      <c r="T57" s="79">
        <v>4829</v>
      </c>
      <c r="U57" s="79">
        <v>4470</v>
      </c>
      <c r="V57" s="80">
        <f t="shared" si="1"/>
        <v>0</v>
      </c>
      <c r="W57" s="82"/>
      <c r="X57" s="83"/>
      <c r="Y57" s="84" t="s">
        <v>104</v>
      </c>
      <c r="Z57" s="73" t="str">
        <f>'[1]Tier 1'!V57</f>
        <v>C</v>
      </c>
      <c r="AA57" s="73"/>
      <c r="AB57" s="73"/>
      <c r="AC57" s="73"/>
      <c r="AD57" s="74"/>
      <c r="AE57" s="78">
        <f>'[1]Tier 1'!W57</f>
        <v>5250</v>
      </c>
      <c r="AF57" s="79"/>
      <c r="AG57" s="79">
        <f>'[1]Tier 1'!X57</f>
        <v>5250</v>
      </c>
      <c r="AH57" s="79"/>
      <c r="AI57" s="79">
        <f>'[1]Tier 1'!Y57</f>
        <v>5250</v>
      </c>
      <c r="AJ57" s="79">
        <f t="shared" si="2"/>
        <v>4725</v>
      </c>
      <c r="AK57" s="79" t="e">
        <f>VLOOKUP(A57,#REF!,-1,FALSE)</f>
        <v>#REF!</v>
      </c>
      <c r="AL57" s="80" t="e">
        <f t="shared" si="3"/>
        <v>#REF!</v>
      </c>
      <c r="AM57" s="78">
        <f t="shared" si="17"/>
        <v>5367</v>
      </c>
      <c r="AN57" s="85">
        <f t="shared" si="18"/>
        <v>1.022</v>
      </c>
      <c r="AO57" s="73" t="str">
        <f t="shared" si="19"/>
        <v>OK</v>
      </c>
      <c r="AP57" s="79">
        <f t="shared" si="20"/>
        <v>4829</v>
      </c>
      <c r="AQ57" s="85">
        <f t="shared" si="21"/>
        <v>0.92</v>
      </c>
      <c r="AR57" s="73" t="str">
        <f t="shared" si="22"/>
        <v>OK</v>
      </c>
      <c r="AS57" s="79">
        <f t="shared" si="23"/>
        <v>4470</v>
      </c>
      <c r="AT57" s="85">
        <f t="shared" si="24"/>
        <v>0.85099999999999998</v>
      </c>
      <c r="AU57" s="86" t="str">
        <f t="shared" si="25"/>
        <v>OK</v>
      </c>
      <c r="AV57" s="79">
        <f t="shared" si="9"/>
        <v>0</v>
      </c>
      <c r="AW57" s="85" t="e">
        <f t="shared" si="10"/>
        <v>#REF!</v>
      </c>
      <c r="AX57" s="87" t="e">
        <f t="shared" si="11"/>
        <v>#REF!</v>
      </c>
      <c r="AY57" s="72"/>
      <c r="AZ57" s="73"/>
      <c r="BA57" s="77">
        <f t="shared" si="12"/>
        <v>0</v>
      </c>
      <c r="BB57" s="88">
        <f t="shared" si="13"/>
        <v>1</v>
      </c>
      <c r="BC57" s="89" t="e">
        <f>SUMIF(#REF!,#REF!, BB20:BB333)</f>
        <v>#REF!</v>
      </c>
      <c r="BD57" s="89">
        <f t="shared" si="14"/>
        <v>1</v>
      </c>
      <c r="BE57" s="89" t="e">
        <f>SUMIF(#REF!,#REF!, BD20:BD333)</f>
        <v>#REF!</v>
      </c>
      <c r="BF57" s="89">
        <f t="shared" si="15"/>
        <v>0</v>
      </c>
      <c r="BG57" s="89" t="e">
        <f>SUMIF(#REF!,#REF!, BF20:BF333)</f>
        <v>#REF!</v>
      </c>
      <c r="BH57" s="89" t="e">
        <f t="shared" si="16"/>
        <v>#REF!</v>
      </c>
      <c r="BI57" s="90">
        <f>SUMIF(B20:B333, B57, BH20:BH333)</f>
        <v>0</v>
      </c>
      <c r="BJ57" s="91"/>
      <c r="BK57" s="92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4"/>
    </row>
    <row r="58" spans="1:82" x14ac:dyDescent="0.3">
      <c r="A58" s="95" t="s">
        <v>184</v>
      </c>
      <c r="B58" s="96"/>
      <c r="C58" s="97" t="s">
        <v>102</v>
      </c>
      <c r="D58" s="97" t="s">
        <v>183</v>
      </c>
      <c r="E58" s="98" t="s">
        <v>185</v>
      </c>
      <c r="F58" s="99" t="s">
        <v>118</v>
      </c>
      <c r="G58" s="100"/>
      <c r="H58" s="101" t="s">
        <v>118</v>
      </c>
      <c r="I58" s="99" t="s">
        <v>4</v>
      </c>
      <c r="J58" s="100" t="s">
        <v>67</v>
      </c>
      <c r="K58" s="102"/>
      <c r="L58" s="103"/>
      <c r="M58" s="104"/>
      <c r="N58" s="105">
        <v>59633</v>
      </c>
      <c r="O58" s="106">
        <v>53652</v>
      </c>
      <c r="P58" s="106">
        <v>49664</v>
      </c>
      <c r="Q58" s="107"/>
      <c r="R58" s="156">
        <v>0.09</v>
      </c>
      <c r="S58" s="105">
        <v>5367</v>
      </c>
      <c r="T58" s="106">
        <v>4829</v>
      </c>
      <c r="U58" s="106">
        <v>4470</v>
      </c>
      <c r="V58" s="107">
        <f t="shared" si="1"/>
        <v>0</v>
      </c>
      <c r="W58" s="109"/>
      <c r="X58" s="110"/>
      <c r="Y58" s="111" t="s">
        <v>104</v>
      </c>
      <c r="Z58" s="100" t="str">
        <f>'[1]Tier 1'!V58</f>
        <v>C</v>
      </c>
      <c r="AA58" s="100"/>
      <c r="AB58" s="100"/>
      <c r="AC58" s="100"/>
      <c r="AD58" s="101"/>
      <c r="AE58" s="105">
        <f>'[1]Tier 1'!W58</f>
        <v>5250</v>
      </c>
      <c r="AF58" s="106"/>
      <c r="AG58" s="106">
        <f>'[1]Tier 1'!X58</f>
        <v>5250</v>
      </c>
      <c r="AH58" s="106"/>
      <c r="AI58" s="106">
        <f>'[1]Tier 1'!Y58</f>
        <v>5250</v>
      </c>
      <c r="AJ58" s="106">
        <f t="shared" si="2"/>
        <v>4725</v>
      </c>
      <c r="AK58" s="106" t="e">
        <f>VLOOKUP(A58,#REF!,-1,FALSE)</f>
        <v>#REF!</v>
      </c>
      <c r="AL58" s="107" t="e">
        <f t="shared" si="3"/>
        <v>#REF!</v>
      </c>
      <c r="AM58" s="105">
        <f t="shared" si="17"/>
        <v>5367</v>
      </c>
      <c r="AN58" s="112">
        <f t="shared" si="18"/>
        <v>1.022</v>
      </c>
      <c r="AO58" s="100" t="str">
        <f t="shared" si="19"/>
        <v>OK</v>
      </c>
      <c r="AP58" s="106">
        <f t="shared" si="20"/>
        <v>4829</v>
      </c>
      <c r="AQ58" s="112">
        <f t="shared" si="21"/>
        <v>0.92</v>
      </c>
      <c r="AR58" s="100" t="str">
        <f t="shared" si="22"/>
        <v>OK</v>
      </c>
      <c r="AS58" s="106">
        <f t="shared" si="23"/>
        <v>4470</v>
      </c>
      <c r="AT58" s="112">
        <f t="shared" si="24"/>
        <v>0.85099999999999998</v>
      </c>
      <c r="AU58" s="113" t="str">
        <f t="shared" si="25"/>
        <v>OK</v>
      </c>
      <c r="AV58" s="106">
        <f t="shared" si="9"/>
        <v>0</v>
      </c>
      <c r="AW58" s="112" t="e">
        <f t="shared" si="10"/>
        <v>#REF!</v>
      </c>
      <c r="AX58" s="114" t="e">
        <f t="shared" si="11"/>
        <v>#REF!</v>
      </c>
      <c r="AY58" s="99"/>
      <c r="AZ58" s="100"/>
      <c r="BA58" s="104">
        <f t="shared" si="12"/>
        <v>0</v>
      </c>
      <c r="BB58" s="115">
        <f t="shared" si="13"/>
        <v>1</v>
      </c>
      <c r="BC58" s="116" t="e">
        <f>SUMIF(#REF!,#REF!, BB20:BB333)</f>
        <v>#REF!</v>
      </c>
      <c r="BD58" s="116">
        <f t="shared" si="14"/>
        <v>1</v>
      </c>
      <c r="BE58" s="116" t="e">
        <f>SUMIF(#REF!,#REF!, BD20:BD333)</f>
        <v>#REF!</v>
      </c>
      <c r="BF58" s="116">
        <f t="shared" si="15"/>
        <v>0</v>
      </c>
      <c r="BG58" s="116" t="e">
        <f>SUMIF(#REF!,#REF!, BF20:BF333)</f>
        <v>#REF!</v>
      </c>
      <c r="BH58" s="116" t="e">
        <f t="shared" si="16"/>
        <v>#REF!</v>
      </c>
      <c r="BI58" s="117">
        <f>SUMIF(B20:B333, B58, BH20:BH333)</f>
        <v>0</v>
      </c>
      <c r="BJ58" s="118"/>
      <c r="BK58" s="92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4"/>
    </row>
    <row r="59" spans="1:82" x14ac:dyDescent="0.3">
      <c r="A59" s="68" t="s">
        <v>186</v>
      </c>
      <c r="B59" s="69"/>
      <c r="C59" s="70" t="s">
        <v>102</v>
      </c>
      <c r="D59" s="70" t="s">
        <v>185</v>
      </c>
      <c r="E59" s="71" t="s">
        <v>187</v>
      </c>
      <c r="F59" s="72" t="s">
        <v>118</v>
      </c>
      <c r="G59" s="73"/>
      <c r="H59" s="74" t="s">
        <v>118</v>
      </c>
      <c r="I59" s="72" t="s">
        <v>4</v>
      </c>
      <c r="J59" s="73" t="s">
        <v>67</v>
      </c>
      <c r="K59" s="75"/>
      <c r="L59" s="76"/>
      <c r="M59" s="77"/>
      <c r="N59" s="78">
        <v>59633</v>
      </c>
      <c r="O59" s="79">
        <v>53652</v>
      </c>
      <c r="P59" s="79">
        <v>49664</v>
      </c>
      <c r="Q59" s="80"/>
      <c r="R59" s="155">
        <v>0.09</v>
      </c>
      <c r="S59" s="78">
        <v>5367</v>
      </c>
      <c r="T59" s="79">
        <v>4829</v>
      </c>
      <c r="U59" s="79">
        <v>4470</v>
      </c>
      <c r="V59" s="80">
        <f t="shared" si="1"/>
        <v>0</v>
      </c>
      <c r="W59" s="82"/>
      <c r="X59" s="83"/>
      <c r="Y59" s="84" t="s">
        <v>104</v>
      </c>
      <c r="Z59" s="73" t="str">
        <f>'[1]Tier 1'!V59</f>
        <v>C</v>
      </c>
      <c r="AA59" s="73"/>
      <c r="AB59" s="73"/>
      <c r="AC59" s="73"/>
      <c r="AD59" s="74"/>
      <c r="AE59" s="78">
        <f>'[1]Tier 1'!W59</f>
        <v>5250</v>
      </c>
      <c r="AF59" s="79"/>
      <c r="AG59" s="79">
        <f>'[1]Tier 1'!X59</f>
        <v>5250</v>
      </c>
      <c r="AH59" s="79"/>
      <c r="AI59" s="79">
        <f>'[1]Tier 1'!Y59</f>
        <v>5250</v>
      </c>
      <c r="AJ59" s="79">
        <f t="shared" si="2"/>
        <v>4725</v>
      </c>
      <c r="AK59" s="79" t="e">
        <f>VLOOKUP(A59,#REF!,-1,FALSE)</f>
        <v>#REF!</v>
      </c>
      <c r="AL59" s="80" t="e">
        <f t="shared" si="3"/>
        <v>#REF!</v>
      </c>
      <c r="AM59" s="78">
        <f t="shared" si="17"/>
        <v>5367</v>
      </c>
      <c r="AN59" s="85">
        <f t="shared" si="18"/>
        <v>1.022</v>
      </c>
      <c r="AO59" s="73" t="str">
        <f t="shared" si="19"/>
        <v>OK</v>
      </c>
      <c r="AP59" s="79">
        <f t="shared" si="20"/>
        <v>4829</v>
      </c>
      <c r="AQ59" s="85">
        <f t="shared" si="21"/>
        <v>0.92</v>
      </c>
      <c r="AR59" s="73" t="str">
        <f t="shared" si="22"/>
        <v>OK</v>
      </c>
      <c r="AS59" s="79">
        <f t="shared" si="23"/>
        <v>4470</v>
      </c>
      <c r="AT59" s="85">
        <f t="shared" si="24"/>
        <v>0.85099999999999998</v>
      </c>
      <c r="AU59" s="86" t="str">
        <f t="shared" si="25"/>
        <v>OK</v>
      </c>
      <c r="AV59" s="79">
        <f t="shared" si="9"/>
        <v>0</v>
      </c>
      <c r="AW59" s="85" t="e">
        <f t="shared" si="10"/>
        <v>#REF!</v>
      </c>
      <c r="AX59" s="87" t="e">
        <f t="shared" si="11"/>
        <v>#REF!</v>
      </c>
      <c r="AY59" s="72"/>
      <c r="AZ59" s="73"/>
      <c r="BA59" s="77">
        <f t="shared" si="12"/>
        <v>0</v>
      </c>
      <c r="BB59" s="88">
        <f t="shared" si="13"/>
        <v>1</v>
      </c>
      <c r="BC59" s="89" t="e">
        <f>SUMIF(#REF!,#REF!, BB20:BB333)</f>
        <v>#REF!</v>
      </c>
      <c r="BD59" s="89">
        <f t="shared" si="14"/>
        <v>1</v>
      </c>
      <c r="BE59" s="89" t="e">
        <f>SUMIF(#REF!,#REF!, BD20:BD333)</f>
        <v>#REF!</v>
      </c>
      <c r="BF59" s="89">
        <f t="shared" si="15"/>
        <v>0</v>
      </c>
      <c r="BG59" s="89" t="e">
        <f>SUMIF(#REF!,#REF!, BF20:BF333)</f>
        <v>#REF!</v>
      </c>
      <c r="BH59" s="89" t="e">
        <f t="shared" si="16"/>
        <v>#REF!</v>
      </c>
      <c r="BI59" s="90">
        <f>SUMIF(B20:B333, B59, BH20:BH333)</f>
        <v>0</v>
      </c>
      <c r="BJ59" s="91"/>
      <c r="BK59" s="92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4"/>
    </row>
    <row r="60" spans="1:82" x14ac:dyDescent="0.3">
      <c r="A60" s="95" t="s">
        <v>188</v>
      </c>
      <c r="B60" s="96"/>
      <c r="C60" s="97" t="s">
        <v>102</v>
      </c>
      <c r="D60" s="97" t="s">
        <v>187</v>
      </c>
      <c r="E60" s="98" t="s">
        <v>189</v>
      </c>
      <c r="F60" s="99" t="s">
        <v>118</v>
      </c>
      <c r="G60" s="100"/>
      <c r="H60" s="101" t="s">
        <v>118</v>
      </c>
      <c r="I60" s="99" t="s">
        <v>4</v>
      </c>
      <c r="J60" s="100" t="s">
        <v>67</v>
      </c>
      <c r="K60" s="102"/>
      <c r="L60" s="103"/>
      <c r="M60" s="104"/>
      <c r="N60" s="105">
        <v>35700</v>
      </c>
      <c r="O60" s="106">
        <v>37885</v>
      </c>
      <c r="P60" s="106">
        <v>39416</v>
      </c>
      <c r="Q60" s="107"/>
      <c r="R60" s="156">
        <v>0.09</v>
      </c>
      <c r="S60" s="105">
        <v>3213</v>
      </c>
      <c r="T60" s="106">
        <v>3410</v>
      </c>
      <c r="U60" s="106">
        <v>3547</v>
      </c>
      <c r="V60" s="107">
        <f t="shared" si="1"/>
        <v>0</v>
      </c>
      <c r="W60" s="109"/>
      <c r="X60" s="110"/>
      <c r="Y60" s="111" t="s">
        <v>104</v>
      </c>
      <c r="Z60" s="100" t="str">
        <f>'[1]Tier 1'!V60</f>
        <v>C</v>
      </c>
      <c r="AA60" s="100"/>
      <c r="AB60" s="100"/>
      <c r="AC60" s="100"/>
      <c r="AD60" s="101"/>
      <c r="AE60" s="105">
        <f>'[1]Tier 1'!W60</f>
        <v>5250</v>
      </c>
      <c r="AF60" s="106"/>
      <c r="AG60" s="106">
        <f>'[1]Tier 1'!X60</f>
        <v>5250</v>
      </c>
      <c r="AH60" s="106"/>
      <c r="AI60" s="106">
        <f>'[1]Tier 1'!Y60</f>
        <v>5250</v>
      </c>
      <c r="AJ60" s="106">
        <f t="shared" si="2"/>
        <v>4725</v>
      </c>
      <c r="AK60" s="106" t="e">
        <f>VLOOKUP(A60,#REF!,-1,FALSE)</f>
        <v>#REF!</v>
      </c>
      <c r="AL60" s="107" t="e">
        <f t="shared" si="3"/>
        <v>#REF!</v>
      </c>
      <c r="AM60" s="105">
        <f t="shared" si="17"/>
        <v>3213</v>
      </c>
      <c r="AN60" s="112">
        <f t="shared" si="18"/>
        <v>0.61199999999999999</v>
      </c>
      <c r="AO60" s="100" t="str">
        <f t="shared" si="19"/>
        <v>OK</v>
      </c>
      <c r="AP60" s="106">
        <f t="shared" si="20"/>
        <v>3410</v>
      </c>
      <c r="AQ60" s="112">
        <f t="shared" si="21"/>
        <v>0.65</v>
      </c>
      <c r="AR60" s="100" t="str">
        <f t="shared" si="22"/>
        <v>OK</v>
      </c>
      <c r="AS60" s="106">
        <f t="shared" si="23"/>
        <v>3547</v>
      </c>
      <c r="AT60" s="112">
        <f t="shared" si="24"/>
        <v>0.67600000000000005</v>
      </c>
      <c r="AU60" s="113" t="str">
        <f t="shared" si="25"/>
        <v>OK</v>
      </c>
      <c r="AV60" s="106">
        <f t="shared" si="9"/>
        <v>0</v>
      </c>
      <c r="AW60" s="112" t="e">
        <f t="shared" si="10"/>
        <v>#REF!</v>
      </c>
      <c r="AX60" s="114" t="e">
        <f t="shared" si="11"/>
        <v>#REF!</v>
      </c>
      <c r="AY60" s="99"/>
      <c r="AZ60" s="100"/>
      <c r="BA60" s="104">
        <f t="shared" si="12"/>
        <v>0</v>
      </c>
      <c r="BB60" s="115">
        <f t="shared" si="13"/>
        <v>1</v>
      </c>
      <c r="BC60" s="116" t="e">
        <f>SUMIF(#REF!,#REF!, BB20:BB333)</f>
        <v>#REF!</v>
      </c>
      <c r="BD60" s="116">
        <f t="shared" si="14"/>
        <v>1</v>
      </c>
      <c r="BE60" s="116" t="e">
        <f>SUMIF(#REF!,#REF!, BD20:BD333)</f>
        <v>#REF!</v>
      </c>
      <c r="BF60" s="116">
        <f t="shared" si="15"/>
        <v>0</v>
      </c>
      <c r="BG60" s="116" t="e">
        <f>SUMIF(#REF!,#REF!, BF20:BF333)</f>
        <v>#REF!</v>
      </c>
      <c r="BH60" s="116" t="e">
        <f t="shared" si="16"/>
        <v>#REF!</v>
      </c>
      <c r="BI60" s="117">
        <f>SUMIF(B20:B333, B60, BH20:BH333)</f>
        <v>0</v>
      </c>
      <c r="BJ60" s="118"/>
      <c r="BK60" s="92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4"/>
    </row>
    <row r="61" spans="1:82" x14ac:dyDescent="0.3">
      <c r="A61" s="68" t="s">
        <v>190</v>
      </c>
      <c r="B61" s="69"/>
      <c r="C61" s="70" t="s">
        <v>102</v>
      </c>
      <c r="D61" s="70" t="s">
        <v>189</v>
      </c>
      <c r="E61" s="71" t="s">
        <v>191</v>
      </c>
      <c r="F61" s="72" t="s">
        <v>118</v>
      </c>
      <c r="G61" s="73"/>
      <c r="H61" s="74" t="s">
        <v>109</v>
      </c>
      <c r="I61" s="72" t="s">
        <v>4</v>
      </c>
      <c r="J61" s="73" t="s">
        <v>67</v>
      </c>
      <c r="K61" s="75"/>
      <c r="L61" s="76"/>
      <c r="M61" s="77"/>
      <c r="N61" s="78">
        <v>35700</v>
      </c>
      <c r="O61" s="79">
        <v>37885</v>
      </c>
      <c r="P61" s="79">
        <v>39416</v>
      </c>
      <c r="Q61" s="80"/>
      <c r="R61" s="155">
        <v>0.09</v>
      </c>
      <c r="S61" s="78">
        <v>3213</v>
      </c>
      <c r="T61" s="79">
        <v>3410</v>
      </c>
      <c r="U61" s="79">
        <v>3547</v>
      </c>
      <c r="V61" s="80">
        <f t="shared" si="1"/>
        <v>0</v>
      </c>
      <c r="W61" s="82"/>
      <c r="X61" s="83"/>
      <c r="Y61" s="84" t="s">
        <v>104</v>
      </c>
      <c r="Z61" s="73" t="str">
        <f>'[1]Tier 1'!V61</f>
        <v>C</v>
      </c>
      <c r="AA61" s="73"/>
      <c r="AB61" s="73"/>
      <c r="AC61" s="73"/>
      <c r="AD61" s="74"/>
      <c r="AE61" s="78">
        <f>'[1]Tier 1'!W61</f>
        <v>5250</v>
      </c>
      <c r="AF61" s="79"/>
      <c r="AG61" s="79">
        <f>'[1]Tier 1'!X61</f>
        <v>5250</v>
      </c>
      <c r="AH61" s="79"/>
      <c r="AI61" s="79">
        <f>'[1]Tier 1'!Y61</f>
        <v>5250</v>
      </c>
      <c r="AJ61" s="79">
        <f t="shared" si="2"/>
        <v>4725</v>
      </c>
      <c r="AK61" s="79" t="e">
        <f>VLOOKUP(A61,#REF!,-1,FALSE)</f>
        <v>#REF!</v>
      </c>
      <c r="AL61" s="80" t="e">
        <f t="shared" si="3"/>
        <v>#REF!</v>
      </c>
      <c r="AM61" s="78">
        <f t="shared" si="17"/>
        <v>3213</v>
      </c>
      <c r="AN61" s="85">
        <f t="shared" si="18"/>
        <v>0.61199999999999999</v>
      </c>
      <c r="AO61" s="73" t="str">
        <f t="shared" si="19"/>
        <v>OK</v>
      </c>
      <c r="AP61" s="79">
        <f t="shared" si="20"/>
        <v>3410</v>
      </c>
      <c r="AQ61" s="85">
        <f t="shared" si="21"/>
        <v>0.65</v>
      </c>
      <c r="AR61" s="73" t="str">
        <f t="shared" si="22"/>
        <v>OK</v>
      </c>
      <c r="AS61" s="79">
        <f t="shared" si="23"/>
        <v>3547</v>
      </c>
      <c r="AT61" s="85">
        <f t="shared" si="24"/>
        <v>0.67600000000000005</v>
      </c>
      <c r="AU61" s="86" t="str">
        <f t="shared" si="25"/>
        <v>OK</v>
      </c>
      <c r="AV61" s="79">
        <f t="shared" si="9"/>
        <v>0</v>
      </c>
      <c r="AW61" s="85" t="e">
        <f t="shared" si="10"/>
        <v>#REF!</v>
      </c>
      <c r="AX61" s="87" t="e">
        <f t="shared" si="11"/>
        <v>#REF!</v>
      </c>
      <c r="AY61" s="72"/>
      <c r="AZ61" s="73"/>
      <c r="BA61" s="77">
        <f t="shared" si="12"/>
        <v>0</v>
      </c>
      <c r="BB61" s="88">
        <f t="shared" si="13"/>
        <v>1</v>
      </c>
      <c r="BC61" s="89" t="e">
        <f>SUMIF(#REF!,#REF!, BB20:BB333)</f>
        <v>#REF!</v>
      </c>
      <c r="BD61" s="89">
        <f t="shared" si="14"/>
        <v>1</v>
      </c>
      <c r="BE61" s="89" t="e">
        <f>SUMIF(#REF!,#REF!, BD20:BD333)</f>
        <v>#REF!</v>
      </c>
      <c r="BF61" s="89">
        <f t="shared" si="15"/>
        <v>0</v>
      </c>
      <c r="BG61" s="89" t="e">
        <f>SUMIF(#REF!,#REF!, BF20:BF333)</f>
        <v>#REF!</v>
      </c>
      <c r="BH61" s="89" t="e">
        <f t="shared" si="16"/>
        <v>#REF!</v>
      </c>
      <c r="BI61" s="90">
        <f>SUMIF(B20:B333, B61, BH20:BH333)</f>
        <v>0</v>
      </c>
      <c r="BJ61" s="91"/>
      <c r="BK61" s="92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4"/>
    </row>
    <row r="62" spans="1:82" x14ac:dyDescent="0.3">
      <c r="A62" s="95" t="s">
        <v>192</v>
      </c>
      <c r="B62" s="96"/>
      <c r="C62" s="97" t="s">
        <v>102</v>
      </c>
      <c r="D62" s="97" t="s">
        <v>191</v>
      </c>
      <c r="E62" s="98" t="s">
        <v>193</v>
      </c>
      <c r="F62" s="99" t="s">
        <v>118</v>
      </c>
      <c r="G62" s="100"/>
      <c r="H62" s="101" t="s">
        <v>109</v>
      </c>
      <c r="I62" s="99" t="s">
        <v>4</v>
      </c>
      <c r="J62" s="100" t="s">
        <v>67</v>
      </c>
      <c r="K62" s="102"/>
      <c r="L62" s="103"/>
      <c r="M62" s="104"/>
      <c r="N62" s="105">
        <v>35700</v>
      </c>
      <c r="O62" s="106">
        <v>37885</v>
      </c>
      <c r="P62" s="106">
        <v>39416</v>
      </c>
      <c r="Q62" s="107"/>
      <c r="R62" s="156">
        <v>0.09</v>
      </c>
      <c r="S62" s="105">
        <v>3213</v>
      </c>
      <c r="T62" s="106">
        <v>3410</v>
      </c>
      <c r="U62" s="106">
        <v>3547</v>
      </c>
      <c r="V62" s="107">
        <f t="shared" si="1"/>
        <v>0</v>
      </c>
      <c r="W62" s="109"/>
      <c r="X62" s="110"/>
      <c r="Y62" s="111" t="s">
        <v>104</v>
      </c>
      <c r="Z62" s="100" t="str">
        <f>'[1]Tier 1'!V62</f>
        <v>C</v>
      </c>
      <c r="AA62" s="100"/>
      <c r="AB62" s="100"/>
      <c r="AC62" s="100"/>
      <c r="AD62" s="101"/>
      <c r="AE62" s="105">
        <f>'[1]Tier 1'!W62</f>
        <v>5250</v>
      </c>
      <c r="AF62" s="106"/>
      <c r="AG62" s="106">
        <f>'[1]Tier 1'!X62</f>
        <v>5250</v>
      </c>
      <c r="AH62" s="106"/>
      <c r="AI62" s="106">
        <f>'[1]Tier 1'!Y62</f>
        <v>5250</v>
      </c>
      <c r="AJ62" s="106">
        <f t="shared" si="2"/>
        <v>4725</v>
      </c>
      <c r="AK62" s="106" t="e">
        <f>VLOOKUP(A62,#REF!,-1,FALSE)</f>
        <v>#REF!</v>
      </c>
      <c r="AL62" s="107" t="e">
        <f t="shared" si="3"/>
        <v>#REF!</v>
      </c>
      <c r="AM62" s="105">
        <f t="shared" si="17"/>
        <v>3213</v>
      </c>
      <c r="AN62" s="112">
        <f t="shared" si="18"/>
        <v>0.61199999999999999</v>
      </c>
      <c r="AO62" s="100" t="str">
        <f t="shared" si="19"/>
        <v>OK</v>
      </c>
      <c r="AP62" s="106">
        <f t="shared" si="20"/>
        <v>3410</v>
      </c>
      <c r="AQ62" s="112">
        <f t="shared" si="21"/>
        <v>0.65</v>
      </c>
      <c r="AR62" s="100" t="str">
        <f t="shared" si="22"/>
        <v>OK</v>
      </c>
      <c r="AS62" s="106">
        <f t="shared" si="23"/>
        <v>3547</v>
      </c>
      <c r="AT62" s="112">
        <f t="shared" si="24"/>
        <v>0.67600000000000005</v>
      </c>
      <c r="AU62" s="113" t="str">
        <f t="shared" si="25"/>
        <v>OK</v>
      </c>
      <c r="AV62" s="106">
        <f t="shared" si="9"/>
        <v>0</v>
      </c>
      <c r="AW62" s="112" t="e">
        <f t="shared" si="10"/>
        <v>#REF!</v>
      </c>
      <c r="AX62" s="114" t="e">
        <f t="shared" si="11"/>
        <v>#REF!</v>
      </c>
      <c r="AY62" s="99"/>
      <c r="AZ62" s="100"/>
      <c r="BA62" s="104">
        <f t="shared" si="12"/>
        <v>0</v>
      </c>
      <c r="BB62" s="115">
        <f t="shared" si="13"/>
        <v>1</v>
      </c>
      <c r="BC62" s="116" t="e">
        <f>SUMIF(#REF!,#REF!, BB20:BB333)</f>
        <v>#REF!</v>
      </c>
      <c r="BD62" s="116">
        <f t="shared" si="14"/>
        <v>1</v>
      </c>
      <c r="BE62" s="116" t="e">
        <f>SUMIF(#REF!,#REF!, BD20:BD333)</f>
        <v>#REF!</v>
      </c>
      <c r="BF62" s="116">
        <f t="shared" si="15"/>
        <v>0</v>
      </c>
      <c r="BG62" s="116" t="e">
        <f>SUMIF(#REF!,#REF!, BF20:BF333)</f>
        <v>#REF!</v>
      </c>
      <c r="BH62" s="116" t="e">
        <f t="shared" si="16"/>
        <v>#REF!</v>
      </c>
      <c r="BI62" s="117">
        <f>SUMIF(B20:B333, B62, BH20:BH333)</f>
        <v>0</v>
      </c>
      <c r="BJ62" s="118"/>
      <c r="BK62" s="92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4"/>
    </row>
    <row r="63" spans="1:82" x14ac:dyDescent="0.3">
      <c r="A63" s="68" t="s">
        <v>194</v>
      </c>
      <c r="B63" s="69"/>
      <c r="C63" s="70" t="s">
        <v>102</v>
      </c>
      <c r="D63" s="70" t="s">
        <v>193</v>
      </c>
      <c r="E63" s="71" t="s">
        <v>195</v>
      </c>
      <c r="F63" s="72" t="s">
        <v>109</v>
      </c>
      <c r="G63" s="73"/>
      <c r="H63" s="74" t="s">
        <v>109</v>
      </c>
      <c r="I63" s="72" t="s">
        <v>4</v>
      </c>
      <c r="J63" s="73" t="s">
        <v>67</v>
      </c>
      <c r="K63" s="75"/>
      <c r="L63" s="76"/>
      <c r="M63" s="77"/>
      <c r="N63" s="78">
        <v>25500</v>
      </c>
      <c r="O63" s="79">
        <v>27061</v>
      </c>
      <c r="P63" s="79">
        <v>28154</v>
      </c>
      <c r="Q63" s="80"/>
      <c r="R63" s="155">
        <v>0.09</v>
      </c>
      <c r="S63" s="78">
        <v>2295</v>
      </c>
      <c r="T63" s="79">
        <v>2435</v>
      </c>
      <c r="U63" s="79">
        <v>2534</v>
      </c>
      <c r="V63" s="80">
        <f t="shared" si="1"/>
        <v>0</v>
      </c>
      <c r="W63" s="82"/>
      <c r="X63" s="83"/>
      <c r="Y63" s="84" t="s">
        <v>104</v>
      </c>
      <c r="Z63" s="73" t="str">
        <f>'[1]Tier 1'!V63</f>
        <v>C</v>
      </c>
      <c r="AA63" s="73"/>
      <c r="AB63" s="73"/>
      <c r="AC63" s="73"/>
      <c r="AD63" s="74"/>
      <c r="AE63" s="78">
        <f>'[1]Tier 1'!W63</f>
        <v>3420</v>
      </c>
      <c r="AF63" s="79"/>
      <c r="AG63" s="79">
        <f>'[1]Tier 1'!X63</f>
        <v>3420</v>
      </c>
      <c r="AH63" s="79"/>
      <c r="AI63" s="79">
        <f>'[1]Tier 1'!Y63</f>
        <v>3420</v>
      </c>
      <c r="AJ63" s="79">
        <f t="shared" si="2"/>
        <v>3078</v>
      </c>
      <c r="AK63" s="79" t="e">
        <f>VLOOKUP(A63,#REF!,-1,FALSE)</f>
        <v>#REF!</v>
      </c>
      <c r="AL63" s="80" t="e">
        <f t="shared" si="3"/>
        <v>#REF!</v>
      </c>
      <c r="AM63" s="78">
        <f t="shared" si="17"/>
        <v>2295</v>
      </c>
      <c r="AN63" s="85">
        <f t="shared" si="18"/>
        <v>0.67100000000000004</v>
      </c>
      <c r="AO63" s="73" t="str">
        <f t="shared" si="19"/>
        <v>OK</v>
      </c>
      <c r="AP63" s="79">
        <f t="shared" si="20"/>
        <v>2435</v>
      </c>
      <c r="AQ63" s="85">
        <f t="shared" si="21"/>
        <v>0.71199999999999997</v>
      </c>
      <c r="AR63" s="73" t="str">
        <f t="shared" si="22"/>
        <v>OK</v>
      </c>
      <c r="AS63" s="79">
        <f t="shared" si="23"/>
        <v>2534</v>
      </c>
      <c r="AT63" s="85">
        <f t="shared" si="24"/>
        <v>0.74099999999999999</v>
      </c>
      <c r="AU63" s="86" t="str">
        <f t="shared" si="25"/>
        <v>OK</v>
      </c>
      <c r="AV63" s="79">
        <f t="shared" si="9"/>
        <v>0</v>
      </c>
      <c r="AW63" s="85" t="e">
        <f t="shared" si="10"/>
        <v>#REF!</v>
      </c>
      <c r="AX63" s="87" t="e">
        <f t="shared" si="11"/>
        <v>#REF!</v>
      </c>
      <c r="AY63" s="72"/>
      <c r="AZ63" s="73"/>
      <c r="BA63" s="77">
        <f t="shared" si="12"/>
        <v>0</v>
      </c>
      <c r="BB63" s="88">
        <f t="shared" si="13"/>
        <v>1</v>
      </c>
      <c r="BC63" s="89" t="e">
        <f>SUMIF(#REF!,#REF!, BB20:BB333)</f>
        <v>#REF!</v>
      </c>
      <c r="BD63" s="89">
        <f t="shared" si="14"/>
        <v>1</v>
      </c>
      <c r="BE63" s="89" t="e">
        <f>SUMIF(#REF!,#REF!, BD20:BD333)</f>
        <v>#REF!</v>
      </c>
      <c r="BF63" s="89">
        <f t="shared" si="15"/>
        <v>0</v>
      </c>
      <c r="BG63" s="89" t="e">
        <f>SUMIF(#REF!,#REF!, BF20:BF333)</f>
        <v>#REF!</v>
      </c>
      <c r="BH63" s="89" t="e">
        <f t="shared" si="16"/>
        <v>#REF!</v>
      </c>
      <c r="BI63" s="90">
        <f>SUMIF(B20:B333, B63, BH20:BH333)</f>
        <v>0</v>
      </c>
      <c r="BJ63" s="91"/>
      <c r="BK63" s="92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4"/>
    </row>
    <row r="64" spans="1:82" x14ac:dyDescent="0.3">
      <c r="A64" s="95" t="s">
        <v>196</v>
      </c>
      <c r="B64" s="96"/>
      <c r="C64" s="97" t="s">
        <v>102</v>
      </c>
      <c r="D64" s="97" t="s">
        <v>195</v>
      </c>
      <c r="E64" s="98" t="s">
        <v>130</v>
      </c>
      <c r="F64" s="99" t="s">
        <v>109</v>
      </c>
      <c r="G64" s="100"/>
      <c r="H64" s="101" t="s">
        <v>109</v>
      </c>
      <c r="I64" s="99" t="s">
        <v>4</v>
      </c>
      <c r="J64" s="100" t="s">
        <v>67</v>
      </c>
      <c r="K64" s="102"/>
      <c r="L64" s="103"/>
      <c r="M64" s="104"/>
      <c r="N64" s="105">
        <v>25500</v>
      </c>
      <c r="O64" s="106">
        <v>27061</v>
      </c>
      <c r="P64" s="106">
        <v>28154</v>
      </c>
      <c r="Q64" s="107"/>
      <c r="R64" s="156">
        <v>0.09</v>
      </c>
      <c r="S64" s="105">
        <v>2295</v>
      </c>
      <c r="T64" s="106">
        <v>2435</v>
      </c>
      <c r="U64" s="106">
        <v>2534</v>
      </c>
      <c r="V64" s="107">
        <f t="shared" si="1"/>
        <v>0</v>
      </c>
      <c r="W64" s="109"/>
      <c r="X64" s="110"/>
      <c r="Y64" s="111" t="s">
        <v>104</v>
      </c>
      <c r="Z64" s="100" t="str">
        <f>'[1]Tier 1'!V64</f>
        <v>C</v>
      </c>
      <c r="AA64" s="100"/>
      <c r="AB64" s="100"/>
      <c r="AC64" s="100"/>
      <c r="AD64" s="101"/>
      <c r="AE64" s="105">
        <f>'[1]Tier 1'!W64</f>
        <v>3420</v>
      </c>
      <c r="AF64" s="106"/>
      <c r="AG64" s="106">
        <f>'[1]Tier 1'!X64</f>
        <v>3420</v>
      </c>
      <c r="AH64" s="106"/>
      <c r="AI64" s="106">
        <f>'[1]Tier 1'!Y64</f>
        <v>3420</v>
      </c>
      <c r="AJ64" s="106">
        <f t="shared" si="2"/>
        <v>3078</v>
      </c>
      <c r="AK64" s="106" t="e">
        <f>VLOOKUP(A64,#REF!,-1,FALSE)</f>
        <v>#REF!</v>
      </c>
      <c r="AL64" s="107" t="e">
        <f t="shared" si="3"/>
        <v>#REF!</v>
      </c>
      <c r="AM64" s="105">
        <f t="shared" si="17"/>
        <v>2295</v>
      </c>
      <c r="AN64" s="112">
        <f t="shared" si="18"/>
        <v>0.67100000000000004</v>
      </c>
      <c r="AO64" s="100" t="str">
        <f t="shared" si="19"/>
        <v>OK</v>
      </c>
      <c r="AP64" s="106">
        <f t="shared" si="20"/>
        <v>2435</v>
      </c>
      <c r="AQ64" s="112">
        <f t="shared" si="21"/>
        <v>0.71199999999999997</v>
      </c>
      <c r="AR64" s="100" t="str">
        <f t="shared" si="22"/>
        <v>OK</v>
      </c>
      <c r="AS64" s="106">
        <f t="shared" si="23"/>
        <v>2534</v>
      </c>
      <c r="AT64" s="112">
        <f t="shared" si="24"/>
        <v>0.74099999999999999</v>
      </c>
      <c r="AU64" s="113" t="str">
        <f t="shared" si="25"/>
        <v>OK</v>
      </c>
      <c r="AV64" s="106">
        <f t="shared" si="9"/>
        <v>0</v>
      </c>
      <c r="AW64" s="112" t="e">
        <f t="shared" si="10"/>
        <v>#REF!</v>
      </c>
      <c r="AX64" s="114" t="e">
        <f t="shared" si="11"/>
        <v>#REF!</v>
      </c>
      <c r="AY64" s="99"/>
      <c r="AZ64" s="100"/>
      <c r="BA64" s="104">
        <f t="shared" si="12"/>
        <v>0</v>
      </c>
      <c r="BB64" s="115">
        <f t="shared" si="13"/>
        <v>1</v>
      </c>
      <c r="BC64" s="116" t="e">
        <f>SUMIF(#REF!,#REF!, BB20:BB333)</f>
        <v>#REF!</v>
      </c>
      <c r="BD64" s="116">
        <f t="shared" si="14"/>
        <v>1</v>
      </c>
      <c r="BE64" s="116" t="e">
        <f>SUMIF(#REF!,#REF!, BD20:BD333)</f>
        <v>#REF!</v>
      </c>
      <c r="BF64" s="116">
        <f t="shared" si="15"/>
        <v>0</v>
      </c>
      <c r="BG64" s="116" t="e">
        <f>SUMIF(#REF!,#REF!, BF20:BF333)</f>
        <v>#REF!</v>
      </c>
      <c r="BH64" s="116" t="e">
        <f t="shared" si="16"/>
        <v>#REF!</v>
      </c>
      <c r="BI64" s="117">
        <f>SUMIF(B20:B333, B64, BH20:BH333)</f>
        <v>0</v>
      </c>
      <c r="BJ64" s="118"/>
      <c r="BK64" s="92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4"/>
    </row>
    <row r="65" spans="1:82" x14ac:dyDescent="0.3">
      <c r="A65" s="68" t="s">
        <v>197</v>
      </c>
      <c r="B65" s="69"/>
      <c r="C65" s="70" t="s">
        <v>102</v>
      </c>
      <c r="D65" s="70" t="s">
        <v>130</v>
      </c>
      <c r="E65" s="71" t="s">
        <v>198</v>
      </c>
      <c r="F65" s="72" t="s">
        <v>109</v>
      </c>
      <c r="G65" s="73"/>
      <c r="H65" s="74" t="s">
        <v>109</v>
      </c>
      <c r="I65" s="72" t="s">
        <v>4</v>
      </c>
      <c r="J65" s="73" t="s">
        <v>67</v>
      </c>
      <c r="K65" s="75"/>
      <c r="L65" s="76"/>
      <c r="M65" s="77"/>
      <c r="N65" s="78">
        <v>25500</v>
      </c>
      <c r="O65" s="79">
        <v>27061</v>
      </c>
      <c r="P65" s="79">
        <v>28154</v>
      </c>
      <c r="Q65" s="80"/>
      <c r="R65" s="155">
        <v>0.09</v>
      </c>
      <c r="S65" s="78">
        <v>2295</v>
      </c>
      <c r="T65" s="79">
        <v>2435</v>
      </c>
      <c r="U65" s="79">
        <v>2534</v>
      </c>
      <c r="V65" s="80">
        <f t="shared" si="1"/>
        <v>0</v>
      </c>
      <c r="W65" s="82"/>
      <c r="X65" s="83"/>
      <c r="Y65" s="84" t="s">
        <v>104</v>
      </c>
      <c r="Z65" s="73" t="str">
        <f>'[1]Tier 1'!V65</f>
        <v>C</v>
      </c>
      <c r="AA65" s="73"/>
      <c r="AB65" s="73"/>
      <c r="AC65" s="73"/>
      <c r="AD65" s="74"/>
      <c r="AE65" s="78">
        <f>'[1]Tier 1'!W65</f>
        <v>3420</v>
      </c>
      <c r="AF65" s="79"/>
      <c r="AG65" s="79">
        <f>'[1]Tier 1'!X65</f>
        <v>3420</v>
      </c>
      <c r="AH65" s="79"/>
      <c r="AI65" s="79">
        <f>'[1]Tier 1'!Y65</f>
        <v>3420</v>
      </c>
      <c r="AJ65" s="79">
        <f t="shared" si="2"/>
        <v>3078</v>
      </c>
      <c r="AK65" s="79" t="e">
        <f>VLOOKUP(A65,#REF!,-1,FALSE)</f>
        <v>#REF!</v>
      </c>
      <c r="AL65" s="80" t="e">
        <f t="shared" si="3"/>
        <v>#REF!</v>
      </c>
      <c r="AM65" s="78">
        <f t="shared" si="17"/>
        <v>2295</v>
      </c>
      <c r="AN65" s="85">
        <f t="shared" si="18"/>
        <v>0.67100000000000004</v>
      </c>
      <c r="AO65" s="73" t="str">
        <f t="shared" si="19"/>
        <v>OK</v>
      </c>
      <c r="AP65" s="79">
        <f t="shared" si="20"/>
        <v>2435</v>
      </c>
      <c r="AQ65" s="85">
        <f t="shared" si="21"/>
        <v>0.71199999999999997</v>
      </c>
      <c r="AR65" s="73" t="str">
        <f t="shared" si="22"/>
        <v>OK</v>
      </c>
      <c r="AS65" s="79">
        <f t="shared" si="23"/>
        <v>2534</v>
      </c>
      <c r="AT65" s="85">
        <f t="shared" si="24"/>
        <v>0.74099999999999999</v>
      </c>
      <c r="AU65" s="86" t="str">
        <f t="shared" si="25"/>
        <v>OK</v>
      </c>
      <c r="AV65" s="79">
        <f t="shared" si="9"/>
        <v>0</v>
      </c>
      <c r="AW65" s="85" t="e">
        <f t="shared" si="10"/>
        <v>#REF!</v>
      </c>
      <c r="AX65" s="87" t="e">
        <f t="shared" si="11"/>
        <v>#REF!</v>
      </c>
      <c r="AY65" s="72"/>
      <c r="AZ65" s="73"/>
      <c r="BA65" s="77">
        <f t="shared" si="12"/>
        <v>0</v>
      </c>
      <c r="BB65" s="88">
        <f t="shared" si="13"/>
        <v>1</v>
      </c>
      <c r="BC65" s="89" t="e">
        <f>SUMIF(#REF!,#REF!, BB20:BB333)</f>
        <v>#REF!</v>
      </c>
      <c r="BD65" s="89">
        <f t="shared" si="14"/>
        <v>1</v>
      </c>
      <c r="BE65" s="89" t="e">
        <f>SUMIF(#REF!,#REF!, BD20:BD333)</f>
        <v>#REF!</v>
      </c>
      <c r="BF65" s="89">
        <f t="shared" si="15"/>
        <v>0</v>
      </c>
      <c r="BG65" s="89" t="e">
        <f>SUMIF(#REF!,#REF!, BF20:BF333)</f>
        <v>#REF!</v>
      </c>
      <c r="BH65" s="89" t="e">
        <f t="shared" si="16"/>
        <v>#REF!</v>
      </c>
      <c r="BI65" s="90">
        <f>SUMIF(B20:B333, B65, BH20:BH333)</f>
        <v>0</v>
      </c>
      <c r="BJ65" s="91"/>
      <c r="BK65" s="92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4"/>
    </row>
    <row r="66" spans="1:82" x14ac:dyDescent="0.3">
      <c r="A66" s="95" t="s">
        <v>199</v>
      </c>
      <c r="B66" s="96"/>
      <c r="C66" s="97" t="s">
        <v>102</v>
      </c>
      <c r="D66" s="97" t="s">
        <v>198</v>
      </c>
      <c r="E66" s="98" t="s">
        <v>200</v>
      </c>
      <c r="F66" s="99" t="s">
        <v>109</v>
      </c>
      <c r="G66" s="100"/>
      <c r="H66" s="101" t="s">
        <v>109</v>
      </c>
      <c r="I66" s="99" t="s">
        <v>4</v>
      </c>
      <c r="J66" s="100" t="s">
        <v>67</v>
      </c>
      <c r="K66" s="102"/>
      <c r="L66" s="103"/>
      <c r="M66" s="104"/>
      <c r="N66" s="105">
        <v>25500</v>
      </c>
      <c r="O66" s="106">
        <v>27061</v>
      </c>
      <c r="P66" s="106">
        <v>28154</v>
      </c>
      <c r="Q66" s="107"/>
      <c r="R66" s="156">
        <v>0.09</v>
      </c>
      <c r="S66" s="105">
        <v>2295</v>
      </c>
      <c r="T66" s="106">
        <v>2435</v>
      </c>
      <c r="U66" s="106">
        <v>2534</v>
      </c>
      <c r="V66" s="107">
        <f t="shared" si="1"/>
        <v>0</v>
      </c>
      <c r="W66" s="109"/>
      <c r="X66" s="110"/>
      <c r="Y66" s="111" t="s">
        <v>104</v>
      </c>
      <c r="Z66" s="100" t="str">
        <f>'[1]Tier 1'!V66</f>
        <v>C</v>
      </c>
      <c r="AA66" s="100"/>
      <c r="AB66" s="100"/>
      <c r="AC66" s="100"/>
      <c r="AD66" s="101"/>
      <c r="AE66" s="105">
        <f>'[1]Tier 1'!W66</f>
        <v>3420</v>
      </c>
      <c r="AF66" s="106"/>
      <c r="AG66" s="106">
        <f>'[1]Tier 1'!X66</f>
        <v>3420</v>
      </c>
      <c r="AH66" s="106"/>
      <c r="AI66" s="106">
        <f>'[1]Tier 1'!Y66</f>
        <v>3420</v>
      </c>
      <c r="AJ66" s="106">
        <f t="shared" si="2"/>
        <v>3078</v>
      </c>
      <c r="AK66" s="106" t="e">
        <f>VLOOKUP(A66,#REF!,-1,FALSE)</f>
        <v>#REF!</v>
      </c>
      <c r="AL66" s="107" t="e">
        <f t="shared" si="3"/>
        <v>#REF!</v>
      </c>
      <c r="AM66" s="105">
        <f t="shared" si="17"/>
        <v>2295</v>
      </c>
      <c r="AN66" s="112">
        <f t="shared" si="18"/>
        <v>0.67100000000000004</v>
      </c>
      <c r="AO66" s="100" t="str">
        <f t="shared" si="19"/>
        <v>OK</v>
      </c>
      <c r="AP66" s="106">
        <f t="shared" si="20"/>
        <v>2435</v>
      </c>
      <c r="AQ66" s="112">
        <f t="shared" si="21"/>
        <v>0.71199999999999997</v>
      </c>
      <c r="AR66" s="100" t="str">
        <f t="shared" si="22"/>
        <v>OK</v>
      </c>
      <c r="AS66" s="106">
        <f t="shared" si="23"/>
        <v>2534</v>
      </c>
      <c r="AT66" s="112">
        <f t="shared" si="24"/>
        <v>0.74099999999999999</v>
      </c>
      <c r="AU66" s="113" t="str">
        <f t="shared" si="25"/>
        <v>OK</v>
      </c>
      <c r="AV66" s="106">
        <f t="shared" si="9"/>
        <v>0</v>
      </c>
      <c r="AW66" s="112" t="e">
        <f t="shared" si="10"/>
        <v>#REF!</v>
      </c>
      <c r="AX66" s="114" t="e">
        <f t="shared" si="11"/>
        <v>#REF!</v>
      </c>
      <c r="AY66" s="99"/>
      <c r="AZ66" s="100"/>
      <c r="BA66" s="104">
        <f t="shared" si="12"/>
        <v>0</v>
      </c>
      <c r="BB66" s="115">
        <f t="shared" si="13"/>
        <v>1</v>
      </c>
      <c r="BC66" s="116" t="e">
        <f>SUMIF(#REF!,#REF!, BB20:BB333)</f>
        <v>#REF!</v>
      </c>
      <c r="BD66" s="116">
        <f t="shared" si="14"/>
        <v>1</v>
      </c>
      <c r="BE66" s="116" t="e">
        <f>SUMIF(#REF!,#REF!, BD20:BD333)</f>
        <v>#REF!</v>
      </c>
      <c r="BF66" s="116">
        <f t="shared" si="15"/>
        <v>0</v>
      </c>
      <c r="BG66" s="116" t="e">
        <f>SUMIF(#REF!,#REF!, BF20:BF333)</f>
        <v>#REF!</v>
      </c>
      <c r="BH66" s="116" t="e">
        <f t="shared" si="16"/>
        <v>#REF!</v>
      </c>
      <c r="BI66" s="117">
        <f>SUMIF(B20:B333, B66, BH20:BH333)</f>
        <v>0</v>
      </c>
      <c r="BJ66" s="118"/>
      <c r="BK66" s="92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4"/>
    </row>
    <row r="67" spans="1:82" x14ac:dyDescent="0.3">
      <c r="A67" s="68" t="s">
        <v>201</v>
      </c>
      <c r="B67" s="69"/>
      <c r="C67" s="70" t="s">
        <v>102</v>
      </c>
      <c r="D67" s="70" t="s">
        <v>200</v>
      </c>
      <c r="E67" s="71" t="s">
        <v>202</v>
      </c>
      <c r="F67" s="72" t="s">
        <v>109</v>
      </c>
      <c r="G67" s="73"/>
      <c r="H67" s="74" t="s">
        <v>118</v>
      </c>
      <c r="I67" s="72" t="s">
        <v>4</v>
      </c>
      <c r="J67" s="73" t="s">
        <v>67</v>
      </c>
      <c r="K67" s="75"/>
      <c r="L67" s="76"/>
      <c r="M67" s="77"/>
      <c r="N67" s="78">
        <v>25500</v>
      </c>
      <c r="O67" s="79">
        <v>27061</v>
      </c>
      <c r="P67" s="79">
        <v>28154</v>
      </c>
      <c r="Q67" s="80"/>
      <c r="R67" s="155">
        <v>0.09</v>
      </c>
      <c r="S67" s="78">
        <v>2295</v>
      </c>
      <c r="T67" s="79">
        <v>2435</v>
      </c>
      <c r="U67" s="79">
        <v>2534</v>
      </c>
      <c r="V67" s="80">
        <f t="shared" si="1"/>
        <v>0</v>
      </c>
      <c r="W67" s="82"/>
      <c r="X67" s="83"/>
      <c r="Y67" s="84" t="s">
        <v>104</v>
      </c>
      <c r="Z67" s="73" t="str">
        <f>'[1]Tier 1'!V67</f>
        <v>C</v>
      </c>
      <c r="AA67" s="73"/>
      <c r="AB67" s="73"/>
      <c r="AC67" s="73"/>
      <c r="AD67" s="74"/>
      <c r="AE67" s="78">
        <f>'[1]Tier 1'!W67</f>
        <v>3420</v>
      </c>
      <c r="AF67" s="79"/>
      <c r="AG67" s="79">
        <f>'[1]Tier 1'!X67</f>
        <v>3420</v>
      </c>
      <c r="AH67" s="79"/>
      <c r="AI67" s="79">
        <f>'[1]Tier 1'!Y67</f>
        <v>3420</v>
      </c>
      <c r="AJ67" s="79">
        <f t="shared" si="2"/>
        <v>3078</v>
      </c>
      <c r="AK67" s="79" t="e">
        <f>VLOOKUP(A67,#REF!,-1,FALSE)</f>
        <v>#REF!</v>
      </c>
      <c r="AL67" s="80" t="e">
        <f t="shared" si="3"/>
        <v>#REF!</v>
      </c>
      <c r="AM67" s="78">
        <f t="shared" si="17"/>
        <v>2295</v>
      </c>
      <c r="AN67" s="85">
        <f t="shared" si="18"/>
        <v>0.67100000000000004</v>
      </c>
      <c r="AO67" s="73" t="str">
        <f t="shared" si="19"/>
        <v>OK</v>
      </c>
      <c r="AP67" s="79">
        <f t="shared" si="20"/>
        <v>2435</v>
      </c>
      <c r="AQ67" s="85">
        <f t="shared" si="21"/>
        <v>0.71199999999999997</v>
      </c>
      <c r="AR67" s="73" t="str">
        <f t="shared" si="22"/>
        <v>OK</v>
      </c>
      <c r="AS67" s="79">
        <f t="shared" si="23"/>
        <v>2534</v>
      </c>
      <c r="AT67" s="85">
        <f t="shared" si="24"/>
        <v>0.74099999999999999</v>
      </c>
      <c r="AU67" s="86" t="str">
        <f t="shared" si="25"/>
        <v>OK</v>
      </c>
      <c r="AV67" s="79">
        <f t="shared" si="9"/>
        <v>0</v>
      </c>
      <c r="AW67" s="85" t="e">
        <f t="shared" si="10"/>
        <v>#REF!</v>
      </c>
      <c r="AX67" s="87" t="e">
        <f t="shared" si="11"/>
        <v>#REF!</v>
      </c>
      <c r="AY67" s="72"/>
      <c r="AZ67" s="73"/>
      <c r="BA67" s="77">
        <f t="shared" si="12"/>
        <v>0</v>
      </c>
      <c r="BB67" s="88">
        <f t="shared" si="13"/>
        <v>1</v>
      </c>
      <c r="BC67" s="89" t="e">
        <f>SUMIF(#REF!,#REF!, BB20:BB333)</f>
        <v>#REF!</v>
      </c>
      <c r="BD67" s="89">
        <f t="shared" si="14"/>
        <v>1</v>
      </c>
      <c r="BE67" s="89" t="e">
        <f>SUMIF(#REF!,#REF!, BD20:BD333)</f>
        <v>#REF!</v>
      </c>
      <c r="BF67" s="89">
        <f t="shared" si="15"/>
        <v>0</v>
      </c>
      <c r="BG67" s="89" t="e">
        <f>SUMIF(#REF!,#REF!, BF20:BF333)</f>
        <v>#REF!</v>
      </c>
      <c r="BH67" s="89" t="e">
        <f t="shared" si="16"/>
        <v>#REF!</v>
      </c>
      <c r="BI67" s="90">
        <f>SUMIF(B20:B333, B67, BH20:BH333)</f>
        <v>0</v>
      </c>
      <c r="BJ67" s="91"/>
      <c r="BK67" s="92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4"/>
    </row>
    <row r="68" spans="1:82" x14ac:dyDescent="0.3">
      <c r="A68" s="95" t="s">
        <v>203</v>
      </c>
      <c r="B68" s="96"/>
      <c r="C68" s="97" t="s">
        <v>102</v>
      </c>
      <c r="D68" s="97" t="s">
        <v>202</v>
      </c>
      <c r="E68" s="98" t="s">
        <v>204</v>
      </c>
      <c r="F68" s="99" t="s">
        <v>109</v>
      </c>
      <c r="G68" s="100"/>
      <c r="H68" s="101" t="s">
        <v>118</v>
      </c>
      <c r="I68" s="99" t="s">
        <v>4</v>
      </c>
      <c r="J68" s="100" t="s">
        <v>67</v>
      </c>
      <c r="K68" s="102"/>
      <c r="L68" s="103"/>
      <c r="M68" s="104"/>
      <c r="N68" s="105">
        <v>23668</v>
      </c>
      <c r="O68" s="106">
        <v>25116</v>
      </c>
      <c r="P68" s="106">
        <v>26131</v>
      </c>
      <c r="Q68" s="107"/>
      <c r="R68" s="156">
        <v>0.09</v>
      </c>
      <c r="S68" s="105">
        <v>2130</v>
      </c>
      <c r="T68" s="106">
        <v>2260</v>
      </c>
      <c r="U68" s="106">
        <v>2352</v>
      </c>
      <c r="V68" s="107">
        <f t="shared" si="1"/>
        <v>0</v>
      </c>
      <c r="W68" s="109"/>
      <c r="X68" s="110"/>
      <c r="Y68" s="111" t="s">
        <v>104</v>
      </c>
      <c r="Z68" s="100" t="str">
        <f>'[1]Tier 1'!V68</f>
        <v>C</v>
      </c>
      <c r="AA68" s="100"/>
      <c r="AB68" s="100"/>
      <c r="AC68" s="100"/>
      <c r="AD68" s="101"/>
      <c r="AE68" s="105">
        <f>'[1]Tier 1'!W68</f>
        <v>3420</v>
      </c>
      <c r="AF68" s="106"/>
      <c r="AG68" s="106">
        <f>'[1]Tier 1'!X68</f>
        <v>3420</v>
      </c>
      <c r="AH68" s="106"/>
      <c r="AI68" s="106">
        <f>'[1]Tier 1'!Y68</f>
        <v>3420</v>
      </c>
      <c r="AJ68" s="106">
        <f t="shared" si="2"/>
        <v>3078</v>
      </c>
      <c r="AK68" s="106" t="e">
        <f>VLOOKUP(A68,#REF!,-1,FALSE)</f>
        <v>#REF!</v>
      </c>
      <c r="AL68" s="107" t="e">
        <f t="shared" si="3"/>
        <v>#REF!</v>
      </c>
      <c r="AM68" s="105">
        <f t="shared" si="17"/>
        <v>2130</v>
      </c>
      <c r="AN68" s="112">
        <f t="shared" si="18"/>
        <v>0.623</v>
      </c>
      <c r="AO68" s="100" t="str">
        <f t="shared" si="19"/>
        <v>OK</v>
      </c>
      <c r="AP68" s="106">
        <f t="shared" si="20"/>
        <v>2260</v>
      </c>
      <c r="AQ68" s="112">
        <f t="shared" si="21"/>
        <v>0.66100000000000003</v>
      </c>
      <c r="AR68" s="100" t="str">
        <f t="shared" si="22"/>
        <v>OK</v>
      </c>
      <c r="AS68" s="106">
        <f t="shared" si="23"/>
        <v>2352</v>
      </c>
      <c r="AT68" s="112">
        <f t="shared" si="24"/>
        <v>0.68799999999999994</v>
      </c>
      <c r="AU68" s="113" t="str">
        <f t="shared" si="25"/>
        <v>OK</v>
      </c>
      <c r="AV68" s="106">
        <f t="shared" si="9"/>
        <v>0</v>
      </c>
      <c r="AW68" s="112" t="e">
        <f t="shared" si="10"/>
        <v>#REF!</v>
      </c>
      <c r="AX68" s="114" t="e">
        <f t="shared" si="11"/>
        <v>#REF!</v>
      </c>
      <c r="AY68" s="99"/>
      <c r="AZ68" s="100"/>
      <c r="BA68" s="104">
        <f t="shared" si="12"/>
        <v>0</v>
      </c>
      <c r="BB68" s="115">
        <f t="shared" si="13"/>
        <v>1</v>
      </c>
      <c r="BC68" s="116" t="e">
        <f>SUMIF(#REF!,#REF!, BB20:BB333)</f>
        <v>#REF!</v>
      </c>
      <c r="BD68" s="116">
        <f t="shared" si="14"/>
        <v>1</v>
      </c>
      <c r="BE68" s="116" t="e">
        <f>SUMIF(#REF!,#REF!, BD20:BD333)</f>
        <v>#REF!</v>
      </c>
      <c r="BF68" s="116">
        <f t="shared" si="15"/>
        <v>0</v>
      </c>
      <c r="BG68" s="116" t="e">
        <f>SUMIF(#REF!,#REF!, BF20:BF333)</f>
        <v>#REF!</v>
      </c>
      <c r="BH68" s="116" t="e">
        <f t="shared" si="16"/>
        <v>#REF!</v>
      </c>
      <c r="BI68" s="117">
        <f>SUMIF(B20:B333, B68, BH20:BH333)</f>
        <v>0</v>
      </c>
      <c r="BJ68" s="118"/>
      <c r="BK68" s="92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4"/>
    </row>
    <row r="69" spans="1:82" x14ac:dyDescent="0.3">
      <c r="A69" s="68" t="s">
        <v>205</v>
      </c>
      <c r="B69" s="69"/>
      <c r="C69" s="70" t="s">
        <v>172</v>
      </c>
      <c r="D69" s="70" t="s">
        <v>112</v>
      </c>
      <c r="E69" s="71" t="s">
        <v>206</v>
      </c>
      <c r="F69" s="72" t="s">
        <v>118</v>
      </c>
      <c r="G69" s="73"/>
      <c r="H69" s="74" t="s">
        <v>118</v>
      </c>
      <c r="I69" s="72" t="s">
        <v>4</v>
      </c>
      <c r="J69" s="73" t="s">
        <v>67</v>
      </c>
      <c r="K69" s="75"/>
      <c r="L69" s="76"/>
      <c r="M69" s="77"/>
      <c r="N69" s="78">
        <v>39270</v>
      </c>
      <c r="O69" s="79">
        <v>38785</v>
      </c>
      <c r="P69" s="79">
        <v>39464</v>
      </c>
      <c r="Q69" s="80"/>
      <c r="R69" s="155">
        <v>0.09</v>
      </c>
      <c r="S69" s="78">
        <v>3534</v>
      </c>
      <c r="T69" s="79">
        <v>3491</v>
      </c>
      <c r="U69" s="79">
        <v>3552</v>
      </c>
      <c r="V69" s="80">
        <f t="shared" si="1"/>
        <v>0</v>
      </c>
      <c r="W69" s="82"/>
      <c r="X69" s="83"/>
      <c r="Y69" s="84" t="s">
        <v>104</v>
      </c>
      <c r="Z69" s="73" t="str">
        <f>'[1]Tier 1'!V69</f>
        <v>C</v>
      </c>
      <c r="AA69" s="73"/>
      <c r="AB69" s="73"/>
      <c r="AC69" s="73"/>
      <c r="AD69" s="74"/>
      <c r="AE69" s="78">
        <f>'[1]Tier 1'!W69</f>
        <v>5250</v>
      </c>
      <c r="AF69" s="79"/>
      <c r="AG69" s="79">
        <f>'[1]Tier 1'!X69</f>
        <v>5250</v>
      </c>
      <c r="AH69" s="79"/>
      <c r="AI69" s="79">
        <f>'[1]Tier 1'!Y69</f>
        <v>5250</v>
      </c>
      <c r="AJ69" s="79">
        <f t="shared" si="2"/>
        <v>4725</v>
      </c>
      <c r="AK69" s="79" t="e">
        <f>VLOOKUP(A69,#REF!,-1,FALSE)</f>
        <v>#REF!</v>
      </c>
      <c r="AL69" s="80" t="e">
        <f t="shared" si="3"/>
        <v>#REF!</v>
      </c>
      <c r="AM69" s="78">
        <f t="shared" si="17"/>
        <v>3534</v>
      </c>
      <c r="AN69" s="85">
        <f t="shared" si="18"/>
        <v>0.67300000000000004</v>
      </c>
      <c r="AO69" s="73" t="str">
        <f t="shared" si="19"/>
        <v>OK</v>
      </c>
      <c r="AP69" s="79">
        <f t="shared" si="20"/>
        <v>3491</v>
      </c>
      <c r="AQ69" s="85">
        <f t="shared" si="21"/>
        <v>0.66500000000000004</v>
      </c>
      <c r="AR69" s="73" t="str">
        <f t="shared" si="22"/>
        <v>OK</v>
      </c>
      <c r="AS69" s="79">
        <f t="shared" si="23"/>
        <v>3552</v>
      </c>
      <c r="AT69" s="85">
        <f t="shared" si="24"/>
        <v>0.67700000000000005</v>
      </c>
      <c r="AU69" s="86" t="str">
        <f t="shared" si="25"/>
        <v>OK</v>
      </c>
      <c r="AV69" s="79">
        <f t="shared" si="9"/>
        <v>0</v>
      </c>
      <c r="AW69" s="85" t="e">
        <f t="shared" si="10"/>
        <v>#REF!</v>
      </c>
      <c r="AX69" s="87" t="e">
        <f t="shared" si="11"/>
        <v>#REF!</v>
      </c>
      <c r="AY69" s="72"/>
      <c r="AZ69" s="73"/>
      <c r="BA69" s="77">
        <f t="shared" si="12"/>
        <v>0</v>
      </c>
      <c r="BB69" s="88">
        <f t="shared" si="13"/>
        <v>1</v>
      </c>
      <c r="BC69" s="89" t="e">
        <f>SUMIF(#REF!,#REF!, BB20:BB333)</f>
        <v>#REF!</v>
      </c>
      <c r="BD69" s="89">
        <f t="shared" si="14"/>
        <v>1</v>
      </c>
      <c r="BE69" s="89" t="e">
        <f>SUMIF(#REF!,#REF!, BD20:BD333)</f>
        <v>#REF!</v>
      </c>
      <c r="BF69" s="89">
        <f t="shared" si="15"/>
        <v>0</v>
      </c>
      <c r="BG69" s="89" t="e">
        <f>SUMIF(#REF!,#REF!, BF20:BF333)</f>
        <v>#REF!</v>
      </c>
      <c r="BH69" s="89" t="e">
        <f t="shared" si="16"/>
        <v>#REF!</v>
      </c>
      <c r="BI69" s="90">
        <f>SUMIF(B20:B333, B69, BH20:BH333)</f>
        <v>0</v>
      </c>
      <c r="BJ69" s="91"/>
      <c r="BK69" s="92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4"/>
    </row>
    <row r="70" spans="1:82" x14ac:dyDescent="0.3">
      <c r="A70" s="95" t="s">
        <v>207</v>
      </c>
      <c r="B70" s="96"/>
      <c r="C70" s="97" t="s">
        <v>172</v>
      </c>
      <c r="D70" s="97" t="s">
        <v>206</v>
      </c>
      <c r="E70" s="98" t="s">
        <v>117</v>
      </c>
      <c r="F70" s="99" t="s">
        <v>118</v>
      </c>
      <c r="G70" s="100"/>
      <c r="H70" s="101" t="s">
        <v>118</v>
      </c>
      <c r="I70" s="99" t="s">
        <v>4</v>
      </c>
      <c r="J70" s="100" t="s">
        <v>67</v>
      </c>
      <c r="K70" s="102"/>
      <c r="L70" s="103"/>
      <c r="M70" s="104"/>
      <c r="N70" s="105">
        <v>39270</v>
      </c>
      <c r="O70" s="106">
        <v>38785</v>
      </c>
      <c r="P70" s="106">
        <v>39464</v>
      </c>
      <c r="Q70" s="107"/>
      <c r="R70" s="156">
        <v>0.09</v>
      </c>
      <c r="S70" s="105">
        <v>3534</v>
      </c>
      <c r="T70" s="106">
        <v>3491</v>
      </c>
      <c r="U70" s="106">
        <v>3552</v>
      </c>
      <c r="V70" s="107">
        <f t="shared" si="1"/>
        <v>0</v>
      </c>
      <c r="W70" s="109"/>
      <c r="X70" s="110"/>
      <c r="Y70" s="111" t="s">
        <v>104</v>
      </c>
      <c r="Z70" s="100" t="str">
        <f>'[1]Tier 1'!V70</f>
        <v>C</v>
      </c>
      <c r="AA70" s="100"/>
      <c r="AB70" s="100"/>
      <c r="AC70" s="100"/>
      <c r="AD70" s="101"/>
      <c r="AE70" s="105">
        <f>'[1]Tier 1'!W70</f>
        <v>5250</v>
      </c>
      <c r="AF70" s="106"/>
      <c r="AG70" s="106">
        <f>'[1]Tier 1'!X70</f>
        <v>5250</v>
      </c>
      <c r="AH70" s="106"/>
      <c r="AI70" s="106">
        <f>'[1]Tier 1'!Y70</f>
        <v>5250</v>
      </c>
      <c r="AJ70" s="106">
        <f t="shared" si="2"/>
        <v>4725</v>
      </c>
      <c r="AK70" s="106" t="e">
        <f>VLOOKUP(A70,#REF!,-1,FALSE)</f>
        <v>#REF!</v>
      </c>
      <c r="AL70" s="107" t="e">
        <f t="shared" si="3"/>
        <v>#REF!</v>
      </c>
      <c r="AM70" s="105">
        <f t="shared" si="17"/>
        <v>3534</v>
      </c>
      <c r="AN70" s="112">
        <f t="shared" si="18"/>
        <v>0.67300000000000004</v>
      </c>
      <c r="AO70" s="100" t="str">
        <f t="shared" si="19"/>
        <v>OK</v>
      </c>
      <c r="AP70" s="106">
        <f t="shared" si="20"/>
        <v>3491</v>
      </c>
      <c r="AQ70" s="112">
        <f t="shared" si="21"/>
        <v>0.66500000000000004</v>
      </c>
      <c r="AR70" s="100" t="str">
        <f t="shared" si="22"/>
        <v>OK</v>
      </c>
      <c r="AS70" s="106">
        <f t="shared" si="23"/>
        <v>3552</v>
      </c>
      <c r="AT70" s="112">
        <f t="shared" si="24"/>
        <v>0.67700000000000005</v>
      </c>
      <c r="AU70" s="113" t="str">
        <f t="shared" si="25"/>
        <v>OK</v>
      </c>
      <c r="AV70" s="106">
        <f t="shared" si="9"/>
        <v>0</v>
      </c>
      <c r="AW70" s="112" t="e">
        <f t="shared" si="10"/>
        <v>#REF!</v>
      </c>
      <c r="AX70" s="114" t="e">
        <f t="shared" si="11"/>
        <v>#REF!</v>
      </c>
      <c r="AY70" s="99"/>
      <c r="AZ70" s="100"/>
      <c r="BA70" s="104">
        <f t="shared" si="12"/>
        <v>0</v>
      </c>
      <c r="BB70" s="115">
        <f t="shared" si="13"/>
        <v>1</v>
      </c>
      <c r="BC70" s="116" t="e">
        <f>SUMIF(#REF!,#REF!, BB20:BB333)</f>
        <v>#REF!</v>
      </c>
      <c r="BD70" s="116">
        <f t="shared" si="14"/>
        <v>1</v>
      </c>
      <c r="BE70" s="116" t="e">
        <f>SUMIF(#REF!,#REF!, BD20:BD333)</f>
        <v>#REF!</v>
      </c>
      <c r="BF70" s="116">
        <f t="shared" si="15"/>
        <v>0</v>
      </c>
      <c r="BG70" s="116" t="e">
        <f>SUMIF(#REF!,#REF!, BF20:BF333)</f>
        <v>#REF!</v>
      </c>
      <c r="BH70" s="116" t="e">
        <f t="shared" si="16"/>
        <v>#REF!</v>
      </c>
      <c r="BI70" s="117">
        <f>SUMIF(B20:B333, B70, BH20:BH333)</f>
        <v>0</v>
      </c>
      <c r="BJ70" s="118"/>
      <c r="BK70" s="92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4"/>
    </row>
    <row r="71" spans="1:82" x14ac:dyDescent="0.3">
      <c r="A71" s="68" t="s">
        <v>208</v>
      </c>
      <c r="B71" s="69"/>
      <c r="C71" s="70" t="s">
        <v>172</v>
      </c>
      <c r="D71" s="70" t="s">
        <v>117</v>
      </c>
      <c r="E71" s="71" t="s">
        <v>209</v>
      </c>
      <c r="F71" s="72" t="s">
        <v>118</v>
      </c>
      <c r="G71" s="73"/>
      <c r="H71" s="74" t="s">
        <v>118</v>
      </c>
      <c r="I71" s="72" t="s">
        <v>4</v>
      </c>
      <c r="J71" s="73" t="s">
        <v>67</v>
      </c>
      <c r="K71" s="75"/>
      <c r="L71" s="76"/>
      <c r="M71" s="77"/>
      <c r="N71" s="78">
        <v>44600</v>
      </c>
      <c r="O71" s="79">
        <v>46291</v>
      </c>
      <c r="P71" s="79">
        <v>47418</v>
      </c>
      <c r="Q71" s="80"/>
      <c r="R71" s="155">
        <v>0.09</v>
      </c>
      <c r="S71" s="78">
        <v>4014</v>
      </c>
      <c r="T71" s="79">
        <v>4166</v>
      </c>
      <c r="U71" s="79">
        <v>4268</v>
      </c>
      <c r="V71" s="80">
        <f t="shared" si="1"/>
        <v>0</v>
      </c>
      <c r="W71" s="82"/>
      <c r="X71" s="83"/>
      <c r="Y71" s="84" t="s">
        <v>104</v>
      </c>
      <c r="Z71" s="73" t="str">
        <f>'[1]Tier 1'!V71</f>
        <v>C</v>
      </c>
      <c r="AA71" s="73"/>
      <c r="AB71" s="73"/>
      <c r="AC71" s="73"/>
      <c r="AD71" s="74"/>
      <c r="AE71" s="78">
        <f>'[1]Tier 1'!W71</f>
        <v>5250</v>
      </c>
      <c r="AF71" s="79"/>
      <c r="AG71" s="79">
        <f>'[1]Tier 1'!X71</f>
        <v>5250</v>
      </c>
      <c r="AH71" s="79"/>
      <c r="AI71" s="79">
        <f>'[1]Tier 1'!Y71</f>
        <v>5250</v>
      </c>
      <c r="AJ71" s="79">
        <f t="shared" si="2"/>
        <v>4725</v>
      </c>
      <c r="AK71" s="79" t="e">
        <f>VLOOKUP(A71,#REF!,-1,FALSE)</f>
        <v>#REF!</v>
      </c>
      <c r="AL71" s="80" t="e">
        <f t="shared" si="3"/>
        <v>#REF!</v>
      </c>
      <c r="AM71" s="78">
        <f t="shared" si="17"/>
        <v>4014</v>
      </c>
      <c r="AN71" s="85">
        <f t="shared" si="18"/>
        <v>0.76500000000000001</v>
      </c>
      <c r="AO71" s="73" t="str">
        <f t="shared" si="19"/>
        <v>OK</v>
      </c>
      <c r="AP71" s="79">
        <f t="shared" si="20"/>
        <v>4166</v>
      </c>
      <c r="AQ71" s="85">
        <f t="shared" si="21"/>
        <v>0.79400000000000004</v>
      </c>
      <c r="AR71" s="73" t="str">
        <f t="shared" si="22"/>
        <v>OK</v>
      </c>
      <c r="AS71" s="79">
        <f t="shared" si="23"/>
        <v>4268</v>
      </c>
      <c r="AT71" s="85">
        <f t="shared" si="24"/>
        <v>0.81299999999999994</v>
      </c>
      <c r="AU71" s="86" t="str">
        <f t="shared" si="25"/>
        <v>OK</v>
      </c>
      <c r="AV71" s="79">
        <f t="shared" si="9"/>
        <v>0</v>
      </c>
      <c r="AW71" s="85" t="e">
        <f t="shared" si="10"/>
        <v>#REF!</v>
      </c>
      <c r="AX71" s="87" t="e">
        <f t="shared" si="11"/>
        <v>#REF!</v>
      </c>
      <c r="AY71" s="72"/>
      <c r="AZ71" s="73"/>
      <c r="BA71" s="77">
        <f t="shared" si="12"/>
        <v>0</v>
      </c>
      <c r="BB71" s="88">
        <f t="shared" si="13"/>
        <v>1</v>
      </c>
      <c r="BC71" s="89" t="e">
        <f>SUMIF(#REF!,#REF!, BB20:BB333)</f>
        <v>#REF!</v>
      </c>
      <c r="BD71" s="89">
        <f t="shared" si="14"/>
        <v>1</v>
      </c>
      <c r="BE71" s="89" t="e">
        <f>SUMIF(#REF!,#REF!, BD20:BD333)</f>
        <v>#REF!</v>
      </c>
      <c r="BF71" s="89">
        <f t="shared" si="15"/>
        <v>0</v>
      </c>
      <c r="BG71" s="89" t="e">
        <f>SUMIF(#REF!,#REF!, BF20:BF333)</f>
        <v>#REF!</v>
      </c>
      <c r="BH71" s="89" t="e">
        <f t="shared" si="16"/>
        <v>#REF!</v>
      </c>
      <c r="BI71" s="90">
        <f>SUMIF(B20:B333, B71, BH20:BH333)</f>
        <v>0</v>
      </c>
      <c r="BJ71" s="91"/>
      <c r="BK71" s="92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4"/>
    </row>
    <row r="72" spans="1:82" x14ac:dyDescent="0.3">
      <c r="A72" s="95" t="s">
        <v>210</v>
      </c>
      <c r="B72" s="96"/>
      <c r="C72" s="97" t="s">
        <v>172</v>
      </c>
      <c r="D72" s="97" t="s">
        <v>209</v>
      </c>
      <c r="E72" s="98" t="s">
        <v>211</v>
      </c>
      <c r="F72" s="99" t="s">
        <v>118</v>
      </c>
      <c r="G72" s="100"/>
      <c r="H72" s="101" t="s">
        <v>118</v>
      </c>
      <c r="I72" s="99" t="s">
        <v>4</v>
      </c>
      <c r="J72" s="100" t="s">
        <v>67</v>
      </c>
      <c r="K72" s="102"/>
      <c r="L72" s="103"/>
      <c r="M72" s="104"/>
      <c r="N72" s="105">
        <v>44600</v>
      </c>
      <c r="O72" s="106">
        <v>46291</v>
      </c>
      <c r="P72" s="106">
        <v>47418</v>
      </c>
      <c r="Q72" s="107"/>
      <c r="R72" s="156">
        <v>0.09</v>
      </c>
      <c r="S72" s="105">
        <v>4014</v>
      </c>
      <c r="T72" s="106">
        <v>4166</v>
      </c>
      <c r="U72" s="106">
        <v>4268</v>
      </c>
      <c r="V72" s="107">
        <f t="shared" si="1"/>
        <v>0</v>
      </c>
      <c r="W72" s="109"/>
      <c r="X72" s="110"/>
      <c r="Y72" s="111" t="s">
        <v>104</v>
      </c>
      <c r="Z72" s="100" t="str">
        <f>'[1]Tier 1'!V72</f>
        <v>C</v>
      </c>
      <c r="AA72" s="100"/>
      <c r="AB72" s="100"/>
      <c r="AC72" s="100"/>
      <c r="AD72" s="101"/>
      <c r="AE72" s="105">
        <f>'[1]Tier 1'!W72</f>
        <v>5250</v>
      </c>
      <c r="AF72" s="106"/>
      <c r="AG72" s="106">
        <f>'[1]Tier 1'!X72</f>
        <v>5250</v>
      </c>
      <c r="AH72" s="106"/>
      <c r="AI72" s="106">
        <f>'[1]Tier 1'!Y72</f>
        <v>5250</v>
      </c>
      <c r="AJ72" s="106">
        <f t="shared" si="2"/>
        <v>4725</v>
      </c>
      <c r="AK72" s="106" t="e">
        <f>VLOOKUP(A72,#REF!,-1,FALSE)</f>
        <v>#REF!</v>
      </c>
      <c r="AL72" s="107" t="e">
        <f t="shared" si="3"/>
        <v>#REF!</v>
      </c>
      <c r="AM72" s="105">
        <f t="shared" si="17"/>
        <v>4014</v>
      </c>
      <c r="AN72" s="112">
        <f t="shared" si="18"/>
        <v>0.76500000000000001</v>
      </c>
      <c r="AO72" s="100" t="str">
        <f t="shared" si="19"/>
        <v>OK</v>
      </c>
      <c r="AP72" s="106">
        <f t="shared" si="20"/>
        <v>4166</v>
      </c>
      <c r="AQ72" s="112">
        <f t="shared" si="21"/>
        <v>0.79400000000000004</v>
      </c>
      <c r="AR72" s="100" t="str">
        <f t="shared" si="22"/>
        <v>OK</v>
      </c>
      <c r="AS72" s="106">
        <f t="shared" si="23"/>
        <v>4268</v>
      </c>
      <c r="AT72" s="112">
        <f t="shared" si="24"/>
        <v>0.81299999999999994</v>
      </c>
      <c r="AU72" s="113" t="str">
        <f t="shared" si="25"/>
        <v>OK</v>
      </c>
      <c r="AV72" s="106">
        <f t="shared" si="9"/>
        <v>0</v>
      </c>
      <c r="AW72" s="112" t="e">
        <f t="shared" si="10"/>
        <v>#REF!</v>
      </c>
      <c r="AX72" s="114" t="e">
        <f t="shared" si="11"/>
        <v>#REF!</v>
      </c>
      <c r="AY72" s="99"/>
      <c r="AZ72" s="100"/>
      <c r="BA72" s="104">
        <f t="shared" si="12"/>
        <v>0</v>
      </c>
      <c r="BB72" s="115">
        <f t="shared" si="13"/>
        <v>1</v>
      </c>
      <c r="BC72" s="116" t="e">
        <f>SUMIF(#REF!,#REF!, BB20:BB333)</f>
        <v>#REF!</v>
      </c>
      <c r="BD72" s="116">
        <f t="shared" si="14"/>
        <v>1</v>
      </c>
      <c r="BE72" s="116" t="e">
        <f>SUMIF(#REF!,#REF!, BD20:BD333)</f>
        <v>#REF!</v>
      </c>
      <c r="BF72" s="116">
        <f t="shared" si="15"/>
        <v>0</v>
      </c>
      <c r="BG72" s="116" t="e">
        <f>SUMIF(#REF!,#REF!, BF20:BF333)</f>
        <v>#REF!</v>
      </c>
      <c r="BH72" s="116" t="e">
        <f t="shared" si="16"/>
        <v>#REF!</v>
      </c>
      <c r="BI72" s="117">
        <f>SUMIF(B20:B333, B72, BH20:BH333)</f>
        <v>0</v>
      </c>
      <c r="BJ72" s="118"/>
      <c r="BK72" s="92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4"/>
    </row>
    <row r="73" spans="1:82" x14ac:dyDescent="0.3">
      <c r="A73" s="68" t="s">
        <v>212</v>
      </c>
      <c r="B73" s="69"/>
      <c r="C73" s="70" t="s">
        <v>172</v>
      </c>
      <c r="D73" s="70" t="s">
        <v>211</v>
      </c>
      <c r="E73" s="71" t="s">
        <v>213</v>
      </c>
      <c r="F73" s="72" t="s">
        <v>118</v>
      </c>
      <c r="G73" s="73"/>
      <c r="H73" s="74" t="s">
        <v>118</v>
      </c>
      <c r="I73" s="72" t="s">
        <v>4</v>
      </c>
      <c r="J73" s="73" t="s">
        <v>67</v>
      </c>
      <c r="K73" s="75"/>
      <c r="L73" s="76"/>
      <c r="M73" s="77"/>
      <c r="N73" s="78">
        <v>44600</v>
      </c>
      <c r="O73" s="79">
        <v>46291</v>
      </c>
      <c r="P73" s="79">
        <v>47418</v>
      </c>
      <c r="Q73" s="80"/>
      <c r="R73" s="155">
        <v>0.09</v>
      </c>
      <c r="S73" s="78">
        <v>4014</v>
      </c>
      <c r="T73" s="79">
        <v>4166</v>
      </c>
      <c r="U73" s="79">
        <v>4268</v>
      </c>
      <c r="V73" s="80">
        <f t="shared" si="1"/>
        <v>0</v>
      </c>
      <c r="W73" s="82"/>
      <c r="X73" s="83"/>
      <c r="Y73" s="84" t="s">
        <v>104</v>
      </c>
      <c r="Z73" s="73" t="str">
        <f>'[1]Tier 1'!V73</f>
        <v>C</v>
      </c>
      <c r="AA73" s="73"/>
      <c r="AB73" s="73"/>
      <c r="AC73" s="73"/>
      <c r="AD73" s="74"/>
      <c r="AE73" s="78">
        <f>'[1]Tier 1'!W73</f>
        <v>5250</v>
      </c>
      <c r="AF73" s="79"/>
      <c r="AG73" s="79">
        <f>'[1]Tier 1'!X73</f>
        <v>5250</v>
      </c>
      <c r="AH73" s="79"/>
      <c r="AI73" s="79">
        <f>'[1]Tier 1'!Y73</f>
        <v>5250</v>
      </c>
      <c r="AJ73" s="79">
        <f t="shared" si="2"/>
        <v>4725</v>
      </c>
      <c r="AK73" s="79" t="e">
        <f>VLOOKUP(A73,#REF!,-1,FALSE)</f>
        <v>#REF!</v>
      </c>
      <c r="AL73" s="80" t="e">
        <f t="shared" si="3"/>
        <v>#REF!</v>
      </c>
      <c r="AM73" s="78">
        <f t="shared" si="17"/>
        <v>4014</v>
      </c>
      <c r="AN73" s="85">
        <f t="shared" si="18"/>
        <v>0.76500000000000001</v>
      </c>
      <c r="AO73" s="73" t="str">
        <f t="shared" si="19"/>
        <v>OK</v>
      </c>
      <c r="AP73" s="79">
        <f t="shared" si="20"/>
        <v>4166</v>
      </c>
      <c r="AQ73" s="85">
        <f t="shared" si="21"/>
        <v>0.79400000000000004</v>
      </c>
      <c r="AR73" s="73" t="str">
        <f t="shared" si="22"/>
        <v>OK</v>
      </c>
      <c r="AS73" s="79">
        <f t="shared" si="23"/>
        <v>4268</v>
      </c>
      <c r="AT73" s="85">
        <f t="shared" si="24"/>
        <v>0.81299999999999994</v>
      </c>
      <c r="AU73" s="86" t="str">
        <f t="shared" si="25"/>
        <v>OK</v>
      </c>
      <c r="AV73" s="79">
        <f t="shared" si="9"/>
        <v>0</v>
      </c>
      <c r="AW73" s="85" t="e">
        <f t="shared" si="10"/>
        <v>#REF!</v>
      </c>
      <c r="AX73" s="87" t="e">
        <f t="shared" si="11"/>
        <v>#REF!</v>
      </c>
      <c r="AY73" s="72"/>
      <c r="AZ73" s="73"/>
      <c r="BA73" s="77">
        <f t="shared" si="12"/>
        <v>0</v>
      </c>
      <c r="BB73" s="88">
        <f t="shared" si="13"/>
        <v>1</v>
      </c>
      <c r="BC73" s="89" t="e">
        <f>SUMIF(#REF!,#REF!, BB20:BB333)</f>
        <v>#REF!</v>
      </c>
      <c r="BD73" s="89">
        <f t="shared" si="14"/>
        <v>1</v>
      </c>
      <c r="BE73" s="89" t="e">
        <f>SUMIF(#REF!,#REF!, BD20:BD333)</f>
        <v>#REF!</v>
      </c>
      <c r="BF73" s="89">
        <f t="shared" si="15"/>
        <v>0</v>
      </c>
      <c r="BG73" s="89" t="e">
        <f>SUMIF(#REF!,#REF!, BF20:BF333)</f>
        <v>#REF!</v>
      </c>
      <c r="BH73" s="89" t="e">
        <f t="shared" si="16"/>
        <v>#REF!</v>
      </c>
      <c r="BI73" s="90">
        <f>SUMIF(B20:B333, B73, BH20:BH333)</f>
        <v>0</v>
      </c>
      <c r="BJ73" s="91"/>
      <c r="BK73" s="92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4"/>
    </row>
    <row r="74" spans="1:82" x14ac:dyDescent="0.3">
      <c r="A74" s="95" t="s">
        <v>214</v>
      </c>
      <c r="B74" s="96"/>
      <c r="C74" s="97" t="s">
        <v>172</v>
      </c>
      <c r="D74" s="97" t="s">
        <v>213</v>
      </c>
      <c r="E74" s="98" t="s">
        <v>215</v>
      </c>
      <c r="F74" s="99" t="s">
        <v>118</v>
      </c>
      <c r="G74" s="100"/>
      <c r="H74" s="101" t="s">
        <v>118</v>
      </c>
      <c r="I74" s="99" t="s">
        <v>4</v>
      </c>
      <c r="J74" s="100" t="s">
        <v>67</v>
      </c>
      <c r="K74" s="102"/>
      <c r="L74" s="103"/>
      <c r="M74" s="104"/>
      <c r="N74" s="105">
        <v>44600</v>
      </c>
      <c r="O74" s="106">
        <v>46291</v>
      </c>
      <c r="P74" s="106">
        <v>47418</v>
      </c>
      <c r="Q74" s="107"/>
      <c r="R74" s="156">
        <v>0.09</v>
      </c>
      <c r="S74" s="105">
        <v>4014</v>
      </c>
      <c r="T74" s="106">
        <v>4166</v>
      </c>
      <c r="U74" s="106">
        <v>4268</v>
      </c>
      <c r="V74" s="107">
        <f t="shared" si="1"/>
        <v>0</v>
      </c>
      <c r="W74" s="109"/>
      <c r="X74" s="110"/>
      <c r="Y74" s="111" t="s">
        <v>104</v>
      </c>
      <c r="Z74" s="100" t="str">
        <f>'[1]Tier 1'!V74</f>
        <v>C</v>
      </c>
      <c r="AA74" s="100"/>
      <c r="AB74" s="100"/>
      <c r="AC74" s="100"/>
      <c r="AD74" s="101"/>
      <c r="AE74" s="105">
        <f>'[1]Tier 1'!W74</f>
        <v>5250</v>
      </c>
      <c r="AF74" s="106"/>
      <c r="AG74" s="106">
        <f>'[1]Tier 1'!X74</f>
        <v>5250</v>
      </c>
      <c r="AH74" s="106"/>
      <c r="AI74" s="106">
        <f>'[1]Tier 1'!Y74</f>
        <v>5250</v>
      </c>
      <c r="AJ74" s="106">
        <f t="shared" si="2"/>
        <v>4725</v>
      </c>
      <c r="AK74" s="106" t="e">
        <f>VLOOKUP(A74,#REF!,-1,FALSE)</f>
        <v>#REF!</v>
      </c>
      <c r="AL74" s="107" t="e">
        <f t="shared" si="3"/>
        <v>#REF!</v>
      </c>
      <c r="AM74" s="105">
        <f t="shared" si="17"/>
        <v>4014</v>
      </c>
      <c r="AN74" s="112">
        <f t="shared" si="18"/>
        <v>0.76500000000000001</v>
      </c>
      <c r="AO74" s="100" t="str">
        <f t="shared" si="19"/>
        <v>OK</v>
      </c>
      <c r="AP74" s="106">
        <f t="shared" si="20"/>
        <v>4166</v>
      </c>
      <c r="AQ74" s="112">
        <f t="shared" si="21"/>
        <v>0.79400000000000004</v>
      </c>
      <c r="AR74" s="100" t="str">
        <f t="shared" si="22"/>
        <v>OK</v>
      </c>
      <c r="AS74" s="106">
        <f t="shared" si="23"/>
        <v>4268</v>
      </c>
      <c r="AT74" s="112">
        <f t="shared" si="24"/>
        <v>0.81299999999999994</v>
      </c>
      <c r="AU74" s="113" t="str">
        <f t="shared" si="25"/>
        <v>OK</v>
      </c>
      <c r="AV74" s="106">
        <f t="shared" si="9"/>
        <v>0</v>
      </c>
      <c r="AW74" s="112" t="e">
        <f t="shared" si="10"/>
        <v>#REF!</v>
      </c>
      <c r="AX74" s="114" t="e">
        <f t="shared" si="11"/>
        <v>#REF!</v>
      </c>
      <c r="AY74" s="99"/>
      <c r="AZ74" s="100"/>
      <c r="BA74" s="104">
        <f t="shared" si="12"/>
        <v>0</v>
      </c>
      <c r="BB74" s="115">
        <f t="shared" si="13"/>
        <v>1</v>
      </c>
      <c r="BC74" s="116" t="e">
        <f>SUMIF(#REF!,#REF!, BB20:BB333)</f>
        <v>#REF!</v>
      </c>
      <c r="BD74" s="116">
        <f t="shared" si="14"/>
        <v>1</v>
      </c>
      <c r="BE74" s="116" t="e">
        <f>SUMIF(#REF!,#REF!, BD20:BD333)</f>
        <v>#REF!</v>
      </c>
      <c r="BF74" s="116">
        <f t="shared" si="15"/>
        <v>0</v>
      </c>
      <c r="BG74" s="116" t="e">
        <f>SUMIF(#REF!,#REF!, BF20:BF333)</f>
        <v>#REF!</v>
      </c>
      <c r="BH74" s="116" t="e">
        <f t="shared" si="16"/>
        <v>#REF!</v>
      </c>
      <c r="BI74" s="117">
        <f>SUMIF(B20:B333, B74, BH20:BH333)</f>
        <v>0</v>
      </c>
      <c r="BJ74" s="118"/>
      <c r="BK74" s="92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4"/>
    </row>
    <row r="75" spans="1:82" x14ac:dyDescent="0.3">
      <c r="A75" s="68" t="s">
        <v>216</v>
      </c>
      <c r="B75" s="69"/>
      <c r="C75" s="70" t="s">
        <v>172</v>
      </c>
      <c r="D75" s="70" t="s">
        <v>215</v>
      </c>
      <c r="E75" s="71" t="s">
        <v>217</v>
      </c>
      <c r="F75" s="72" t="s">
        <v>118</v>
      </c>
      <c r="G75" s="73"/>
      <c r="H75" s="74" t="s">
        <v>118</v>
      </c>
      <c r="I75" s="72" t="s">
        <v>4</v>
      </c>
      <c r="J75" s="73" t="s">
        <v>67</v>
      </c>
      <c r="K75" s="75"/>
      <c r="L75" s="76"/>
      <c r="M75" s="77"/>
      <c r="N75" s="78">
        <v>41820</v>
      </c>
      <c r="O75" s="79">
        <v>44380</v>
      </c>
      <c r="P75" s="79">
        <v>46173</v>
      </c>
      <c r="Q75" s="80"/>
      <c r="R75" s="155">
        <v>0.09</v>
      </c>
      <c r="S75" s="78">
        <v>3764</v>
      </c>
      <c r="T75" s="79">
        <v>3994</v>
      </c>
      <c r="U75" s="79">
        <v>4156</v>
      </c>
      <c r="V75" s="80">
        <f t="shared" si="1"/>
        <v>0</v>
      </c>
      <c r="W75" s="82"/>
      <c r="X75" s="83"/>
      <c r="Y75" s="84" t="s">
        <v>104</v>
      </c>
      <c r="Z75" s="73" t="str">
        <f>'[1]Tier 1'!V75</f>
        <v>C</v>
      </c>
      <c r="AA75" s="73"/>
      <c r="AB75" s="73"/>
      <c r="AC75" s="73"/>
      <c r="AD75" s="74"/>
      <c r="AE75" s="78">
        <f>'[1]Tier 1'!W75</f>
        <v>5250</v>
      </c>
      <c r="AF75" s="79"/>
      <c r="AG75" s="79">
        <f>'[1]Tier 1'!X75</f>
        <v>5250</v>
      </c>
      <c r="AH75" s="79"/>
      <c r="AI75" s="79">
        <f>'[1]Tier 1'!Y75</f>
        <v>5250</v>
      </c>
      <c r="AJ75" s="79">
        <f t="shared" si="2"/>
        <v>4725</v>
      </c>
      <c r="AK75" s="79" t="e">
        <f>VLOOKUP(A75,#REF!,-1,FALSE)</f>
        <v>#REF!</v>
      </c>
      <c r="AL75" s="80" t="e">
        <f t="shared" si="3"/>
        <v>#REF!</v>
      </c>
      <c r="AM75" s="78">
        <f t="shared" si="17"/>
        <v>3764</v>
      </c>
      <c r="AN75" s="85">
        <f t="shared" si="18"/>
        <v>0.71699999999999997</v>
      </c>
      <c r="AO75" s="73" t="str">
        <f t="shared" si="19"/>
        <v>OK</v>
      </c>
      <c r="AP75" s="79">
        <f t="shared" si="20"/>
        <v>3994</v>
      </c>
      <c r="AQ75" s="85">
        <f t="shared" si="21"/>
        <v>0.76100000000000001</v>
      </c>
      <c r="AR75" s="73" t="str">
        <f t="shared" si="22"/>
        <v>OK</v>
      </c>
      <c r="AS75" s="79">
        <f t="shared" si="23"/>
        <v>4156</v>
      </c>
      <c r="AT75" s="85">
        <f t="shared" si="24"/>
        <v>0.79200000000000004</v>
      </c>
      <c r="AU75" s="86" t="str">
        <f t="shared" si="25"/>
        <v>OK</v>
      </c>
      <c r="AV75" s="79">
        <f t="shared" si="9"/>
        <v>0</v>
      </c>
      <c r="AW75" s="85" t="e">
        <f t="shared" si="10"/>
        <v>#REF!</v>
      </c>
      <c r="AX75" s="87" t="e">
        <f t="shared" si="11"/>
        <v>#REF!</v>
      </c>
      <c r="AY75" s="72"/>
      <c r="AZ75" s="73"/>
      <c r="BA75" s="77">
        <f t="shared" si="12"/>
        <v>0</v>
      </c>
      <c r="BB75" s="88">
        <f t="shared" si="13"/>
        <v>1</v>
      </c>
      <c r="BC75" s="89" t="e">
        <f>SUMIF(#REF!,#REF!, BB20:BB333)</f>
        <v>#REF!</v>
      </c>
      <c r="BD75" s="89">
        <f t="shared" si="14"/>
        <v>1</v>
      </c>
      <c r="BE75" s="89" t="e">
        <f>SUMIF(#REF!,#REF!, BD20:BD333)</f>
        <v>#REF!</v>
      </c>
      <c r="BF75" s="89">
        <f t="shared" si="15"/>
        <v>0</v>
      </c>
      <c r="BG75" s="89" t="e">
        <f>SUMIF(#REF!,#REF!, BF20:BF333)</f>
        <v>#REF!</v>
      </c>
      <c r="BH75" s="89" t="e">
        <f t="shared" si="16"/>
        <v>#REF!</v>
      </c>
      <c r="BI75" s="90">
        <f>SUMIF(B20:B333, B75, BH20:BH333)</f>
        <v>0</v>
      </c>
      <c r="BJ75" s="91"/>
      <c r="BK75" s="92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4"/>
    </row>
    <row r="76" spans="1:82" x14ac:dyDescent="0.3">
      <c r="A76" s="95" t="s">
        <v>218</v>
      </c>
      <c r="B76" s="96"/>
      <c r="C76" s="97" t="s">
        <v>172</v>
      </c>
      <c r="D76" s="97" t="s">
        <v>217</v>
      </c>
      <c r="E76" s="98" t="s">
        <v>219</v>
      </c>
      <c r="F76" s="99" t="s">
        <v>118</v>
      </c>
      <c r="G76" s="100"/>
      <c r="H76" s="101" t="s">
        <v>118</v>
      </c>
      <c r="I76" s="99" t="s">
        <v>4</v>
      </c>
      <c r="J76" s="100" t="s">
        <v>67</v>
      </c>
      <c r="K76" s="102"/>
      <c r="L76" s="103"/>
      <c r="M76" s="104"/>
      <c r="N76" s="105">
        <v>41820</v>
      </c>
      <c r="O76" s="106">
        <v>44380</v>
      </c>
      <c r="P76" s="106">
        <v>46173</v>
      </c>
      <c r="Q76" s="107"/>
      <c r="R76" s="156">
        <v>0.09</v>
      </c>
      <c r="S76" s="105">
        <v>3764</v>
      </c>
      <c r="T76" s="106">
        <v>3994</v>
      </c>
      <c r="U76" s="106">
        <v>4156</v>
      </c>
      <c r="V76" s="107">
        <f t="shared" si="1"/>
        <v>0</v>
      </c>
      <c r="W76" s="109"/>
      <c r="X76" s="110"/>
      <c r="Y76" s="111" t="s">
        <v>104</v>
      </c>
      <c r="Z76" s="100" t="str">
        <f>'[1]Tier 1'!V76</f>
        <v>C</v>
      </c>
      <c r="AA76" s="100"/>
      <c r="AB76" s="100"/>
      <c r="AC76" s="100"/>
      <c r="AD76" s="101"/>
      <c r="AE76" s="105">
        <f>'[1]Tier 1'!W76</f>
        <v>5250</v>
      </c>
      <c r="AF76" s="106"/>
      <c r="AG76" s="106">
        <f>'[1]Tier 1'!X76</f>
        <v>5250</v>
      </c>
      <c r="AH76" s="106"/>
      <c r="AI76" s="106">
        <f>'[1]Tier 1'!Y76</f>
        <v>5250</v>
      </c>
      <c r="AJ76" s="106">
        <f t="shared" si="2"/>
        <v>4725</v>
      </c>
      <c r="AK76" s="106" t="e">
        <f>VLOOKUP(A76,#REF!,-1,FALSE)</f>
        <v>#REF!</v>
      </c>
      <c r="AL76" s="107" t="e">
        <f t="shared" si="3"/>
        <v>#REF!</v>
      </c>
      <c r="AM76" s="105">
        <f t="shared" si="17"/>
        <v>3764</v>
      </c>
      <c r="AN76" s="112">
        <f t="shared" si="18"/>
        <v>0.71699999999999997</v>
      </c>
      <c r="AO76" s="100" t="str">
        <f t="shared" si="19"/>
        <v>OK</v>
      </c>
      <c r="AP76" s="106">
        <f t="shared" si="20"/>
        <v>3994</v>
      </c>
      <c r="AQ76" s="112">
        <f t="shared" si="21"/>
        <v>0.76100000000000001</v>
      </c>
      <c r="AR76" s="100" t="str">
        <f t="shared" si="22"/>
        <v>OK</v>
      </c>
      <c r="AS76" s="106">
        <f t="shared" si="23"/>
        <v>4156</v>
      </c>
      <c r="AT76" s="112">
        <f t="shared" si="24"/>
        <v>0.79200000000000004</v>
      </c>
      <c r="AU76" s="113" t="str">
        <f t="shared" si="25"/>
        <v>OK</v>
      </c>
      <c r="AV76" s="106">
        <f t="shared" si="9"/>
        <v>0</v>
      </c>
      <c r="AW76" s="112" t="e">
        <f t="shared" si="10"/>
        <v>#REF!</v>
      </c>
      <c r="AX76" s="114" t="e">
        <f t="shared" si="11"/>
        <v>#REF!</v>
      </c>
      <c r="AY76" s="99"/>
      <c r="AZ76" s="100"/>
      <c r="BA76" s="104">
        <f t="shared" si="12"/>
        <v>0</v>
      </c>
      <c r="BB76" s="115">
        <f t="shared" si="13"/>
        <v>1</v>
      </c>
      <c r="BC76" s="116" t="e">
        <f>SUMIF(#REF!,#REF!, BB20:BB333)</f>
        <v>#REF!</v>
      </c>
      <c r="BD76" s="116">
        <f t="shared" si="14"/>
        <v>1</v>
      </c>
      <c r="BE76" s="116" t="e">
        <f>SUMIF(#REF!,#REF!, BD20:BD333)</f>
        <v>#REF!</v>
      </c>
      <c r="BF76" s="116">
        <f t="shared" si="15"/>
        <v>0</v>
      </c>
      <c r="BG76" s="116" t="e">
        <f>SUMIF(#REF!,#REF!, BF20:BF333)</f>
        <v>#REF!</v>
      </c>
      <c r="BH76" s="116" t="e">
        <f t="shared" si="16"/>
        <v>#REF!</v>
      </c>
      <c r="BI76" s="117">
        <f>SUMIF(B20:B333, B76, BH20:BH333)</f>
        <v>0</v>
      </c>
      <c r="BJ76" s="118"/>
      <c r="BK76" s="92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4"/>
    </row>
    <row r="77" spans="1:82" x14ac:dyDescent="0.3">
      <c r="A77" s="68" t="s">
        <v>220</v>
      </c>
      <c r="B77" s="69"/>
      <c r="C77" s="70" t="s">
        <v>172</v>
      </c>
      <c r="D77" s="70" t="s">
        <v>219</v>
      </c>
      <c r="E77" s="71" t="s">
        <v>221</v>
      </c>
      <c r="F77" s="72" t="s">
        <v>118</v>
      </c>
      <c r="G77" s="73"/>
      <c r="H77" s="74" t="s">
        <v>118</v>
      </c>
      <c r="I77" s="72" t="s">
        <v>4</v>
      </c>
      <c r="J77" s="73" t="s">
        <v>67</v>
      </c>
      <c r="K77" s="75"/>
      <c r="L77" s="76"/>
      <c r="M77" s="77"/>
      <c r="N77" s="78">
        <v>41820</v>
      </c>
      <c r="O77" s="79">
        <v>44380</v>
      </c>
      <c r="P77" s="79">
        <v>46173</v>
      </c>
      <c r="Q77" s="80"/>
      <c r="R77" s="155">
        <v>0.09</v>
      </c>
      <c r="S77" s="78">
        <v>3764</v>
      </c>
      <c r="T77" s="79">
        <v>3994</v>
      </c>
      <c r="U77" s="79">
        <v>4156</v>
      </c>
      <c r="V77" s="80">
        <f t="shared" si="1"/>
        <v>0</v>
      </c>
      <c r="W77" s="82"/>
      <c r="X77" s="83"/>
      <c r="Y77" s="84" t="s">
        <v>104</v>
      </c>
      <c r="Z77" s="73" t="str">
        <f>'[1]Tier 1'!V77</f>
        <v>C</v>
      </c>
      <c r="AA77" s="73"/>
      <c r="AB77" s="73"/>
      <c r="AC77" s="73"/>
      <c r="AD77" s="74"/>
      <c r="AE77" s="78">
        <f>'[1]Tier 1'!W77</f>
        <v>5250</v>
      </c>
      <c r="AF77" s="79"/>
      <c r="AG77" s="79">
        <f>'[1]Tier 1'!X77</f>
        <v>5250</v>
      </c>
      <c r="AH77" s="79"/>
      <c r="AI77" s="79">
        <f>'[1]Tier 1'!Y77</f>
        <v>5250</v>
      </c>
      <c r="AJ77" s="79">
        <f t="shared" si="2"/>
        <v>4725</v>
      </c>
      <c r="AK77" s="79" t="e">
        <f>VLOOKUP(A77,#REF!,-1,FALSE)</f>
        <v>#REF!</v>
      </c>
      <c r="AL77" s="80" t="e">
        <f t="shared" si="3"/>
        <v>#REF!</v>
      </c>
      <c r="AM77" s="78">
        <f t="shared" si="17"/>
        <v>3764</v>
      </c>
      <c r="AN77" s="85">
        <f t="shared" si="18"/>
        <v>0.71699999999999997</v>
      </c>
      <c r="AO77" s="73" t="str">
        <f t="shared" si="19"/>
        <v>OK</v>
      </c>
      <c r="AP77" s="79">
        <f t="shared" si="20"/>
        <v>3994</v>
      </c>
      <c r="AQ77" s="85">
        <f t="shared" si="21"/>
        <v>0.76100000000000001</v>
      </c>
      <c r="AR77" s="73" t="str">
        <f t="shared" si="22"/>
        <v>OK</v>
      </c>
      <c r="AS77" s="79">
        <f t="shared" si="23"/>
        <v>4156</v>
      </c>
      <c r="AT77" s="85">
        <f t="shared" si="24"/>
        <v>0.79200000000000004</v>
      </c>
      <c r="AU77" s="86" t="str">
        <f t="shared" si="25"/>
        <v>OK</v>
      </c>
      <c r="AV77" s="79">
        <f t="shared" si="9"/>
        <v>0</v>
      </c>
      <c r="AW77" s="85" t="e">
        <f t="shared" si="10"/>
        <v>#REF!</v>
      </c>
      <c r="AX77" s="87" t="e">
        <f t="shared" si="11"/>
        <v>#REF!</v>
      </c>
      <c r="AY77" s="72"/>
      <c r="AZ77" s="73"/>
      <c r="BA77" s="77">
        <f t="shared" si="12"/>
        <v>0</v>
      </c>
      <c r="BB77" s="88">
        <f t="shared" si="13"/>
        <v>1</v>
      </c>
      <c r="BC77" s="89" t="e">
        <f>SUMIF(#REF!,#REF!, BB20:BB333)</f>
        <v>#REF!</v>
      </c>
      <c r="BD77" s="89">
        <f t="shared" si="14"/>
        <v>1</v>
      </c>
      <c r="BE77" s="89" t="e">
        <f>SUMIF(#REF!,#REF!, BD20:BD333)</f>
        <v>#REF!</v>
      </c>
      <c r="BF77" s="89">
        <f t="shared" si="15"/>
        <v>0</v>
      </c>
      <c r="BG77" s="89" t="e">
        <f>SUMIF(#REF!,#REF!, BF20:BF333)</f>
        <v>#REF!</v>
      </c>
      <c r="BH77" s="89" t="e">
        <f t="shared" si="16"/>
        <v>#REF!</v>
      </c>
      <c r="BI77" s="90">
        <f>SUMIF(B20:B333, B77, BH20:BH333)</f>
        <v>0</v>
      </c>
      <c r="BJ77" s="91"/>
      <c r="BK77" s="92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4"/>
    </row>
    <row r="78" spans="1:82" x14ac:dyDescent="0.3">
      <c r="A78" s="95" t="s">
        <v>222</v>
      </c>
      <c r="B78" s="96"/>
      <c r="C78" s="97" t="s">
        <v>172</v>
      </c>
      <c r="D78" s="97" t="s">
        <v>221</v>
      </c>
      <c r="E78" s="98" t="s">
        <v>223</v>
      </c>
      <c r="F78" s="99" t="s">
        <v>118</v>
      </c>
      <c r="G78" s="100"/>
      <c r="H78" s="101" t="s">
        <v>109</v>
      </c>
      <c r="I78" s="99" t="s">
        <v>4</v>
      </c>
      <c r="J78" s="100" t="s">
        <v>67</v>
      </c>
      <c r="K78" s="102"/>
      <c r="L78" s="103"/>
      <c r="M78" s="104"/>
      <c r="N78" s="105">
        <v>41820</v>
      </c>
      <c r="O78" s="106">
        <v>44380</v>
      </c>
      <c r="P78" s="106">
        <v>46173</v>
      </c>
      <c r="Q78" s="107"/>
      <c r="R78" s="156">
        <v>0.09</v>
      </c>
      <c r="S78" s="105">
        <v>3764</v>
      </c>
      <c r="T78" s="106">
        <v>3994</v>
      </c>
      <c r="U78" s="106">
        <v>4156</v>
      </c>
      <c r="V78" s="107">
        <f t="shared" si="1"/>
        <v>0</v>
      </c>
      <c r="W78" s="109"/>
      <c r="X78" s="110"/>
      <c r="Y78" s="111" t="s">
        <v>104</v>
      </c>
      <c r="Z78" s="100" t="str">
        <f>'[1]Tier 1'!V78</f>
        <v>C</v>
      </c>
      <c r="AA78" s="100"/>
      <c r="AB78" s="100"/>
      <c r="AC78" s="100"/>
      <c r="AD78" s="101"/>
      <c r="AE78" s="105">
        <f>'[1]Tier 1'!W78</f>
        <v>5250</v>
      </c>
      <c r="AF78" s="106"/>
      <c r="AG78" s="106">
        <f>'[1]Tier 1'!X78</f>
        <v>5250</v>
      </c>
      <c r="AH78" s="106"/>
      <c r="AI78" s="106">
        <f>'[1]Tier 1'!Y78</f>
        <v>5250</v>
      </c>
      <c r="AJ78" s="106">
        <f t="shared" si="2"/>
        <v>4725</v>
      </c>
      <c r="AK78" s="106" t="e">
        <f>VLOOKUP(A78,#REF!,-1,FALSE)</f>
        <v>#REF!</v>
      </c>
      <c r="AL78" s="107" t="e">
        <f t="shared" si="3"/>
        <v>#REF!</v>
      </c>
      <c r="AM78" s="105">
        <f t="shared" si="17"/>
        <v>3764</v>
      </c>
      <c r="AN78" s="112">
        <f t="shared" si="18"/>
        <v>0.71699999999999997</v>
      </c>
      <c r="AO78" s="100" t="str">
        <f t="shared" si="19"/>
        <v>OK</v>
      </c>
      <c r="AP78" s="106">
        <f t="shared" si="20"/>
        <v>3994</v>
      </c>
      <c r="AQ78" s="112">
        <f t="shared" si="21"/>
        <v>0.76100000000000001</v>
      </c>
      <c r="AR78" s="100" t="str">
        <f t="shared" si="22"/>
        <v>OK</v>
      </c>
      <c r="AS78" s="106">
        <f t="shared" si="23"/>
        <v>4156</v>
      </c>
      <c r="AT78" s="112">
        <f t="shared" si="24"/>
        <v>0.79200000000000004</v>
      </c>
      <c r="AU78" s="113" t="str">
        <f t="shared" si="25"/>
        <v>OK</v>
      </c>
      <c r="AV78" s="106">
        <f t="shared" si="9"/>
        <v>0</v>
      </c>
      <c r="AW78" s="112" t="e">
        <f t="shared" si="10"/>
        <v>#REF!</v>
      </c>
      <c r="AX78" s="114" t="e">
        <f t="shared" si="11"/>
        <v>#REF!</v>
      </c>
      <c r="AY78" s="99"/>
      <c r="AZ78" s="100"/>
      <c r="BA78" s="104">
        <f t="shared" si="12"/>
        <v>0</v>
      </c>
      <c r="BB78" s="115">
        <f t="shared" si="13"/>
        <v>1</v>
      </c>
      <c r="BC78" s="116" t="e">
        <f>SUMIF(#REF!,#REF!, BB20:BB333)</f>
        <v>#REF!</v>
      </c>
      <c r="BD78" s="116">
        <f t="shared" si="14"/>
        <v>1</v>
      </c>
      <c r="BE78" s="116" t="e">
        <f>SUMIF(#REF!,#REF!, BD20:BD333)</f>
        <v>#REF!</v>
      </c>
      <c r="BF78" s="116">
        <f t="shared" si="15"/>
        <v>0</v>
      </c>
      <c r="BG78" s="116" t="e">
        <f>SUMIF(#REF!,#REF!, BF20:BF333)</f>
        <v>#REF!</v>
      </c>
      <c r="BH78" s="116" t="e">
        <f t="shared" si="16"/>
        <v>#REF!</v>
      </c>
      <c r="BI78" s="117">
        <f>SUMIF(B20:B333, B78, BH20:BH333)</f>
        <v>0</v>
      </c>
      <c r="BJ78" s="118"/>
      <c r="BK78" s="92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4"/>
    </row>
    <row r="79" spans="1:82" x14ac:dyDescent="0.3">
      <c r="A79" s="68" t="s">
        <v>224</v>
      </c>
      <c r="B79" s="69"/>
      <c r="C79" s="70" t="s">
        <v>172</v>
      </c>
      <c r="D79" s="70" t="s">
        <v>223</v>
      </c>
      <c r="E79" s="71" t="s">
        <v>102</v>
      </c>
      <c r="F79" s="72" t="s">
        <v>118</v>
      </c>
      <c r="G79" s="73"/>
      <c r="H79" s="74" t="s">
        <v>109</v>
      </c>
      <c r="I79" s="72" t="s">
        <v>4</v>
      </c>
      <c r="J79" s="73" t="s">
        <v>67</v>
      </c>
      <c r="K79" s="75"/>
      <c r="L79" s="76"/>
      <c r="M79" s="77"/>
      <c r="N79" s="78">
        <v>34170</v>
      </c>
      <c r="O79" s="79">
        <v>36261</v>
      </c>
      <c r="P79" s="79">
        <v>37726</v>
      </c>
      <c r="Q79" s="80"/>
      <c r="R79" s="155">
        <v>0.09</v>
      </c>
      <c r="S79" s="78">
        <v>3075</v>
      </c>
      <c r="T79" s="79">
        <v>3264</v>
      </c>
      <c r="U79" s="79">
        <v>3395</v>
      </c>
      <c r="V79" s="80">
        <f t="shared" si="1"/>
        <v>0</v>
      </c>
      <c r="W79" s="82"/>
      <c r="X79" s="83"/>
      <c r="Y79" s="84" t="s">
        <v>104</v>
      </c>
      <c r="Z79" s="73" t="str">
        <f>'[1]Tier 1'!V79</f>
        <v>C</v>
      </c>
      <c r="AA79" s="73"/>
      <c r="AB79" s="73"/>
      <c r="AC79" s="73"/>
      <c r="AD79" s="74"/>
      <c r="AE79" s="78">
        <f>'[1]Tier 1'!W79</f>
        <v>5250</v>
      </c>
      <c r="AF79" s="79"/>
      <c r="AG79" s="79">
        <f>'[1]Tier 1'!X79</f>
        <v>5250</v>
      </c>
      <c r="AH79" s="79"/>
      <c r="AI79" s="79">
        <f>'[1]Tier 1'!Y79</f>
        <v>5250</v>
      </c>
      <c r="AJ79" s="79">
        <f t="shared" si="2"/>
        <v>4725</v>
      </c>
      <c r="AK79" s="79" t="e">
        <f>VLOOKUP(A79,#REF!,-1,FALSE)</f>
        <v>#REF!</v>
      </c>
      <c r="AL79" s="80" t="e">
        <f t="shared" si="3"/>
        <v>#REF!</v>
      </c>
      <c r="AM79" s="78">
        <f t="shared" si="17"/>
        <v>3075</v>
      </c>
      <c r="AN79" s="85">
        <f t="shared" si="18"/>
        <v>0.58599999999999997</v>
      </c>
      <c r="AO79" s="73" t="str">
        <f t="shared" si="19"/>
        <v>OK</v>
      </c>
      <c r="AP79" s="79">
        <f t="shared" si="20"/>
        <v>3264</v>
      </c>
      <c r="AQ79" s="85">
        <f t="shared" si="21"/>
        <v>0.622</v>
      </c>
      <c r="AR79" s="73" t="str">
        <f t="shared" si="22"/>
        <v>OK</v>
      </c>
      <c r="AS79" s="79">
        <f t="shared" si="23"/>
        <v>3395</v>
      </c>
      <c r="AT79" s="85">
        <f t="shared" si="24"/>
        <v>0.64700000000000002</v>
      </c>
      <c r="AU79" s="86" t="str">
        <f t="shared" si="25"/>
        <v>OK</v>
      </c>
      <c r="AV79" s="79">
        <f t="shared" si="9"/>
        <v>0</v>
      </c>
      <c r="AW79" s="85" t="e">
        <f t="shared" si="10"/>
        <v>#REF!</v>
      </c>
      <c r="AX79" s="87" t="e">
        <f t="shared" si="11"/>
        <v>#REF!</v>
      </c>
      <c r="AY79" s="72"/>
      <c r="AZ79" s="73"/>
      <c r="BA79" s="77">
        <f t="shared" si="12"/>
        <v>0</v>
      </c>
      <c r="BB79" s="88">
        <f t="shared" si="13"/>
        <v>1</v>
      </c>
      <c r="BC79" s="89" t="e">
        <f>SUMIF(#REF!,#REF!, BB20:BB333)</f>
        <v>#REF!</v>
      </c>
      <c r="BD79" s="89">
        <f t="shared" si="14"/>
        <v>1</v>
      </c>
      <c r="BE79" s="89" t="e">
        <f>SUMIF(#REF!,#REF!, BD20:BD333)</f>
        <v>#REF!</v>
      </c>
      <c r="BF79" s="89">
        <f t="shared" si="15"/>
        <v>0</v>
      </c>
      <c r="BG79" s="89" t="e">
        <f>SUMIF(#REF!,#REF!, BF20:BF333)</f>
        <v>#REF!</v>
      </c>
      <c r="BH79" s="89" t="e">
        <f t="shared" si="16"/>
        <v>#REF!</v>
      </c>
      <c r="BI79" s="90">
        <f>SUMIF(B20:B333, B79, BH20:BH333)</f>
        <v>0</v>
      </c>
      <c r="BJ79" s="91"/>
      <c r="BK79" s="92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4"/>
    </row>
    <row r="80" spans="1:82" x14ac:dyDescent="0.3">
      <c r="A80" s="95" t="s">
        <v>225</v>
      </c>
      <c r="B80" s="96"/>
      <c r="C80" s="97" t="s">
        <v>172</v>
      </c>
      <c r="D80" s="97" t="s">
        <v>102</v>
      </c>
      <c r="E80" s="98" t="s">
        <v>226</v>
      </c>
      <c r="F80" s="99" t="s">
        <v>109</v>
      </c>
      <c r="G80" s="100"/>
      <c r="H80" s="101" t="s">
        <v>109</v>
      </c>
      <c r="I80" s="99" t="s">
        <v>4</v>
      </c>
      <c r="J80" s="100" t="s">
        <v>67</v>
      </c>
      <c r="K80" s="102"/>
      <c r="L80" s="103"/>
      <c r="M80" s="104"/>
      <c r="N80" s="105">
        <v>34170</v>
      </c>
      <c r="O80" s="106">
        <v>36261</v>
      </c>
      <c r="P80" s="106">
        <v>37726</v>
      </c>
      <c r="Q80" s="107"/>
      <c r="R80" s="156">
        <v>0.09</v>
      </c>
      <c r="S80" s="105">
        <v>3075</v>
      </c>
      <c r="T80" s="106">
        <v>3264</v>
      </c>
      <c r="U80" s="106">
        <v>3395</v>
      </c>
      <c r="V80" s="107">
        <f t="shared" si="1"/>
        <v>0</v>
      </c>
      <c r="W80" s="109"/>
      <c r="X80" s="110"/>
      <c r="Y80" s="111" t="s">
        <v>104</v>
      </c>
      <c r="Z80" s="100" t="str">
        <f>'[1]Tier 1'!V80</f>
        <v>C</v>
      </c>
      <c r="AA80" s="100"/>
      <c r="AB80" s="100"/>
      <c r="AC80" s="100"/>
      <c r="AD80" s="101"/>
      <c r="AE80" s="105">
        <f>'[1]Tier 1'!W80</f>
        <v>4730</v>
      </c>
      <c r="AF80" s="106"/>
      <c r="AG80" s="106">
        <f>'[1]Tier 1'!X80</f>
        <v>4730</v>
      </c>
      <c r="AH80" s="106"/>
      <c r="AI80" s="106">
        <f>'[1]Tier 1'!Y80</f>
        <v>4730</v>
      </c>
      <c r="AJ80" s="106">
        <f t="shared" si="2"/>
        <v>4257</v>
      </c>
      <c r="AK80" s="106" t="e">
        <f>VLOOKUP(A80,#REF!,-1,FALSE)</f>
        <v>#REF!</v>
      </c>
      <c r="AL80" s="107" t="e">
        <f t="shared" si="3"/>
        <v>#REF!</v>
      </c>
      <c r="AM80" s="105">
        <f t="shared" si="17"/>
        <v>3075</v>
      </c>
      <c r="AN80" s="112">
        <f t="shared" si="18"/>
        <v>0.65</v>
      </c>
      <c r="AO80" s="100" t="str">
        <f t="shared" si="19"/>
        <v>OK</v>
      </c>
      <c r="AP80" s="106">
        <f t="shared" si="20"/>
        <v>3264</v>
      </c>
      <c r="AQ80" s="112">
        <f t="shared" si="21"/>
        <v>0.69</v>
      </c>
      <c r="AR80" s="100" t="str">
        <f t="shared" si="22"/>
        <v>OK</v>
      </c>
      <c r="AS80" s="106">
        <f t="shared" si="23"/>
        <v>3395</v>
      </c>
      <c r="AT80" s="112">
        <f t="shared" si="24"/>
        <v>0.71799999999999997</v>
      </c>
      <c r="AU80" s="113" t="str">
        <f t="shared" si="25"/>
        <v>OK</v>
      </c>
      <c r="AV80" s="106">
        <f t="shared" si="9"/>
        <v>0</v>
      </c>
      <c r="AW80" s="112" t="e">
        <f t="shared" si="10"/>
        <v>#REF!</v>
      </c>
      <c r="AX80" s="114" t="e">
        <f t="shared" si="11"/>
        <v>#REF!</v>
      </c>
      <c r="AY80" s="99"/>
      <c r="AZ80" s="100"/>
      <c r="BA80" s="104">
        <f t="shared" si="12"/>
        <v>0</v>
      </c>
      <c r="BB80" s="115">
        <f t="shared" si="13"/>
        <v>1</v>
      </c>
      <c r="BC80" s="116" t="e">
        <f>SUMIF(#REF!,#REF!, BB20:BB333)</f>
        <v>#REF!</v>
      </c>
      <c r="BD80" s="116">
        <f t="shared" si="14"/>
        <v>1</v>
      </c>
      <c r="BE80" s="116" t="e">
        <f>SUMIF(#REF!,#REF!, BD20:BD333)</f>
        <v>#REF!</v>
      </c>
      <c r="BF80" s="116">
        <f t="shared" si="15"/>
        <v>0</v>
      </c>
      <c r="BG80" s="116" t="e">
        <f>SUMIF(#REF!,#REF!, BF20:BF333)</f>
        <v>#REF!</v>
      </c>
      <c r="BH80" s="116" t="e">
        <f t="shared" si="16"/>
        <v>#REF!</v>
      </c>
      <c r="BI80" s="117">
        <f>SUMIF(B20:B333, B80, BH20:BH333)</f>
        <v>0</v>
      </c>
      <c r="BJ80" s="118"/>
      <c r="BK80" s="92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4"/>
    </row>
    <row r="81" spans="1:82" x14ac:dyDescent="0.3">
      <c r="A81" s="68" t="s">
        <v>227</v>
      </c>
      <c r="B81" s="69"/>
      <c r="C81" s="70" t="s">
        <v>172</v>
      </c>
      <c r="D81" s="70" t="s">
        <v>226</v>
      </c>
      <c r="E81" s="71" t="s">
        <v>228</v>
      </c>
      <c r="F81" s="72" t="s">
        <v>109</v>
      </c>
      <c r="G81" s="73"/>
      <c r="H81" s="74" t="s">
        <v>109</v>
      </c>
      <c r="I81" s="72" t="s">
        <v>4</v>
      </c>
      <c r="J81" s="73" t="s">
        <v>67</v>
      </c>
      <c r="K81" s="75"/>
      <c r="L81" s="76"/>
      <c r="M81" s="77"/>
      <c r="N81" s="78">
        <v>22549</v>
      </c>
      <c r="O81" s="79">
        <v>23929</v>
      </c>
      <c r="P81" s="79">
        <v>24896</v>
      </c>
      <c r="Q81" s="80"/>
      <c r="R81" s="155">
        <v>0.09</v>
      </c>
      <c r="S81" s="78">
        <v>2029</v>
      </c>
      <c r="T81" s="79">
        <v>2154</v>
      </c>
      <c r="U81" s="79">
        <v>2241</v>
      </c>
      <c r="V81" s="80">
        <f t="shared" si="1"/>
        <v>0</v>
      </c>
      <c r="W81" s="82"/>
      <c r="X81" s="83"/>
      <c r="Y81" s="84" t="s">
        <v>104</v>
      </c>
      <c r="Z81" s="73" t="str">
        <f>'[1]Tier 1'!V81</f>
        <v>C</v>
      </c>
      <c r="AA81" s="73"/>
      <c r="AB81" s="73"/>
      <c r="AC81" s="73"/>
      <c r="AD81" s="74"/>
      <c r="AE81" s="78">
        <f>'[1]Tier 1'!W81</f>
        <v>4730</v>
      </c>
      <c r="AF81" s="79"/>
      <c r="AG81" s="79">
        <f>'[1]Tier 1'!X81</f>
        <v>4730</v>
      </c>
      <c r="AH81" s="79"/>
      <c r="AI81" s="79">
        <f>'[1]Tier 1'!Y81</f>
        <v>4730</v>
      </c>
      <c r="AJ81" s="79">
        <f t="shared" si="2"/>
        <v>4257</v>
      </c>
      <c r="AK81" s="79" t="e">
        <f>VLOOKUP(A81,#REF!,-1,FALSE)</f>
        <v>#REF!</v>
      </c>
      <c r="AL81" s="80" t="e">
        <f t="shared" si="3"/>
        <v>#REF!</v>
      </c>
      <c r="AM81" s="78">
        <f t="shared" si="17"/>
        <v>2029</v>
      </c>
      <c r="AN81" s="85">
        <f t="shared" si="18"/>
        <v>0.42899999999999999</v>
      </c>
      <c r="AO81" s="73" t="str">
        <f t="shared" si="19"/>
        <v>OK</v>
      </c>
      <c r="AP81" s="79">
        <f t="shared" si="20"/>
        <v>2154</v>
      </c>
      <c r="AQ81" s="85">
        <f t="shared" si="21"/>
        <v>0.45500000000000002</v>
      </c>
      <c r="AR81" s="73" t="str">
        <f t="shared" si="22"/>
        <v>OK</v>
      </c>
      <c r="AS81" s="79">
        <f t="shared" si="23"/>
        <v>2241</v>
      </c>
      <c r="AT81" s="85">
        <f t="shared" si="24"/>
        <v>0.47399999999999998</v>
      </c>
      <c r="AU81" s="86" t="str">
        <f t="shared" si="25"/>
        <v>OK</v>
      </c>
      <c r="AV81" s="79">
        <f t="shared" si="9"/>
        <v>0</v>
      </c>
      <c r="AW81" s="85" t="e">
        <f t="shared" si="10"/>
        <v>#REF!</v>
      </c>
      <c r="AX81" s="87" t="e">
        <f t="shared" si="11"/>
        <v>#REF!</v>
      </c>
      <c r="AY81" s="72"/>
      <c r="AZ81" s="73"/>
      <c r="BA81" s="77">
        <f t="shared" si="12"/>
        <v>0</v>
      </c>
      <c r="BB81" s="88">
        <f t="shared" si="13"/>
        <v>1</v>
      </c>
      <c r="BC81" s="89" t="e">
        <f>SUMIF(#REF!,#REF!, BB20:BB333)</f>
        <v>#REF!</v>
      </c>
      <c r="BD81" s="89">
        <f t="shared" si="14"/>
        <v>1</v>
      </c>
      <c r="BE81" s="89" t="e">
        <f>SUMIF(#REF!,#REF!, BD20:BD333)</f>
        <v>#REF!</v>
      </c>
      <c r="BF81" s="89">
        <f t="shared" si="15"/>
        <v>0</v>
      </c>
      <c r="BG81" s="89" t="e">
        <f>SUMIF(#REF!,#REF!, BF20:BF333)</f>
        <v>#REF!</v>
      </c>
      <c r="BH81" s="89" t="e">
        <f t="shared" si="16"/>
        <v>#REF!</v>
      </c>
      <c r="BI81" s="90">
        <f>SUMIF(B20:B333, B81, BH20:BH333)</f>
        <v>0</v>
      </c>
      <c r="BJ81" s="91"/>
      <c r="BK81" s="92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4"/>
    </row>
    <row r="82" spans="1:82" x14ac:dyDescent="0.3">
      <c r="A82" s="95" t="s">
        <v>229</v>
      </c>
      <c r="B82" s="96"/>
      <c r="C82" s="97" t="s">
        <v>172</v>
      </c>
      <c r="D82" s="97" t="s">
        <v>228</v>
      </c>
      <c r="E82" s="98" t="s">
        <v>230</v>
      </c>
      <c r="F82" s="99" t="s">
        <v>109</v>
      </c>
      <c r="G82" s="100"/>
      <c r="H82" s="101" t="s">
        <v>109</v>
      </c>
      <c r="I82" s="99" t="s">
        <v>4</v>
      </c>
      <c r="J82" s="100" t="s">
        <v>67</v>
      </c>
      <c r="K82" s="102"/>
      <c r="L82" s="103"/>
      <c r="M82" s="104"/>
      <c r="N82" s="105">
        <v>44118</v>
      </c>
      <c r="O82" s="106">
        <v>46818</v>
      </c>
      <c r="P82" s="106">
        <v>48709</v>
      </c>
      <c r="Q82" s="107"/>
      <c r="R82" s="156">
        <v>0.09</v>
      </c>
      <c r="S82" s="105">
        <v>3971</v>
      </c>
      <c r="T82" s="106">
        <v>4214</v>
      </c>
      <c r="U82" s="106">
        <v>4384</v>
      </c>
      <c r="V82" s="107">
        <f t="shared" si="1"/>
        <v>0</v>
      </c>
      <c r="W82" s="109"/>
      <c r="X82" s="110"/>
      <c r="Y82" s="111" t="s">
        <v>104</v>
      </c>
      <c r="Z82" s="100" t="str">
        <f>'[1]Tier 1'!V82</f>
        <v>C</v>
      </c>
      <c r="AA82" s="100"/>
      <c r="AB82" s="100"/>
      <c r="AC82" s="100"/>
      <c r="AD82" s="101"/>
      <c r="AE82" s="105">
        <f>'[1]Tier 1'!W82</f>
        <v>4730</v>
      </c>
      <c r="AF82" s="106"/>
      <c r="AG82" s="106">
        <f>'[1]Tier 1'!X82</f>
        <v>4730</v>
      </c>
      <c r="AH82" s="106"/>
      <c r="AI82" s="106">
        <f>'[1]Tier 1'!Y82</f>
        <v>4730</v>
      </c>
      <c r="AJ82" s="106">
        <f t="shared" si="2"/>
        <v>4257</v>
      </c>
      <c r="AK82" s="106" t="e">
        <f>VLOOKUP(A82,#REF!,-1,FALSE)</f>
        <v>#REF!</v>
      </c>
      <c r="AL82" s="107" t="e">
        <f t="shared" si="3"/>
        <v>#REF!</v>
      </c>
      <c r="AM82" s="105">
        <f t="shared" si="17"/>
        <v>3971</v>
      </c>
      <c r="AN82" s="112">
        <f t="shared" si="18"/>
        <v>0.84</v>
      </c>
      <c r="AO82" s="100" t="str">
        <f t="shared" si="19"/>
        <v>OK</v>
      </c>
      <c r="AP82" s="106">
        <f t="shared" si="20"/>
        <v>4214</v>
      </c>
      <c r="AQ82" s="112">
        <f t="shared" si="21"/>
        <v>0.89100000000000001</v>
      </c>
      <c r="AR82" s="100" t="str">
        <f t="shared" si="22"/>
        <v>OK</v>
      </c>
      <c r="AS82" s="106">
        <f t="shared" si="23"/>
        <v>4384</v>
      </c>
      <c r="AT82" s="112">
        <f t="shared" si="24"/>
        <v>0.92700000000000005</v>
      </c>
      <c r="AU82" s="113" t="str">
        <f t="shared" si="25"/>
        <v>OK</v>
      </c>
      <c r="AV82" s="106">
        <f t="shared" si="9"/>
        <v>0</v>
      </c>
      <c r="AW82" s="112" t="e">
        <f t="shared" si="10"/>
        <v>#REF!</v>
      </c>
      <c r="AX82" s="114" t="e">
        <f t="shared" si="11"/>
        <v>#REF!</v>
      </c>
      <c r="AY82" s="99"/>
      <c r="AZ82" s="100"/>
      <c r="BA82" s="104">
        <f t="shared" si="12"/>
        <v>0</v>
      </c>
      <c r="BB82" s="115">
        <f t="shared" si="13"/>
        <v>1</v>
      </c>
      <c r="BC82" s="116" t="e">
        <f>SUMIF(#REF!,#REF!, BB20:BB333)</f>
        <v>#REF!</v>
      </c>
      <c r="BD82" s="116">
        <f t="shared" si="14"/>
        <v>1</v>
      </c>
      <c r="BE82" s="116" t="e">
        <f>SUMIF(#REF!,#REF!, BD20:BD333)</f>
        <v>#REF!</v>
      </c>
      <c r="BF82" s="116">
        <f t="shared" si="15"/>
        <v>1</v>
      </c>
      <c r="BG82" s="116" t="e">
        <f>SUMIF(#REF!,#REF!, BF20:BF333)</f>
        <v>#REF!</v>
      </c>
      <c r="BH82" s="116" t="e">
        <f t="shared" si="16"/>
        <v>#REF!</v>
      </c>
      <c r="BI82" s="117">
        <f>SUMIF(B20:B333, B82, BH20:BH333)</f>
        <v>0</v>
      </c>
      <c r="BJ82" s="118"/>
      <c r="BK82" s="92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3"/>
      <c r="CB82" s="93"/>
      <c r="CC82" s="93"/>
      <c r="CD82" s="94"/>
    </row>
    <row r="83" spans="1:82" x14ac:dyDescent="0.3">
      <c r="A83" s="68" t="s">
        <v>231</v>
      </c>
      <c r="B83" s="69"/>
      <c r="C83" s="70" t="s">
        <v>172</v>
      </c>
      <c r="D83" s="70" t="s">
        <v>230</v>
      </c>
      <c r="E83" s="71" t="s">
        <v>232</v>
      </c>
      <c r="F83" s="72" t="s">
        <v>109</v>
      </c>
      <c r="G83" s="73"/>
      <c r="H83" s="74" t="s">
        <v>109</v>
      </c>
      <c r="I83" s="72" t="s">
        <v>4</v>
      </c>
      <c r="J83" s="73" t="s">
        <v>67</v>
      </c>
      <c r="K83" s="75"/>
      <c r="L83" s="76"/>
      <c r="M83" s="77"/>
      <c r="N83" s="78">
        <v>15700</v>
      </c>
      <c r="O83" s="79">
        <v>17205</v>
      </c>
      <c r="P83" s="79">
        <v>18209</v>
      </c>
      <c r="Q83" s="80"/>
      <c r="R83" s="155">
        <v>0.09</v>
      </c>
      <c r="S83" s="78">
        <v>1413</v>
      </c>
      <c r="T83" s="79">
        <v>1548</v>
      </c>
      <c r="U83" s="79">
        <v>1639</v>
      </c>
      <c r="V83" s="80">
        <f t="shared" si="1"/>
        <v>0</v>
      </c>
      <c r="W83" s="82"/>
      <c r="X83" s="83"/>
      <c r="Y83" s="84" t="s">
        <v>104</v>
      </c>
      <c r="Z83" s="73" t="str">
        <f>'[1]Tier 1'!V83</f>
        <v>C</v>
      </c>
      <c r="AA83" s="73"/>
      <c r="AB83" s="73"/>
      <c r="AC83" s="73"/>
      <c r="AD83" s="74"/>
      <c r="AE83" s="78">
        <f>'[1]Tier 1'!W83</f>
        <v>4730</v>
      </c>
      <c r="AF83" s="79"/>
      <c r="AG83" s="79">
        <f>'[1]Tier 1'!X83</f>
        <v>4730</v>
      </c>
      <c r="AH83" s="79"/>
      <c r="AI83" s="79">
        <f>'[1]Tier 1'!Y83</f>
        <v>4730</v>
      </c>
      <c r="AJ83" s="79">
        <f t="shared" si="2"/>
        <v>4257</v>
      </c>
      <c r="AK83" s="79" t="e">
        <f>VLOOKUP(A83,#REF!,-1,FALSE)</f>
        <v>#REF!</v>
      </c>
      <c r="AL83" s="80" t="e">
        <f t="shared" si="3"/>
        <v>#REF!</v>
      </c>
      <c r="AM83" s="78">
        <f t="shared" si="17"/>
        <v>1413</v>
      </c>
      <c r="AN83" s="85">
        <f t="shared" si="18"/>
        <v>0.29899999999999999</v>
      </c>
      <c r="AO83" s="73" t="str">
        <f t="shared" si="19"/>
        <v>OK</v>
      </c>
      <c r="AP83" s="79">
        <f t="shared" si="20"/>
        <v>1548</v>
      </c>
      <c r="AQ83" s="85">
        <f t="shared" si="21"/>
        <v>0.32700000000000001</v>
      </c>
      <c r="AR83" s="73" t="str">
        <f t="shared" si="22"/>
        <v>OK</v>
      </c>
      <c r="AS83" s="79">
        <f t="shared" si="23"/>
        <v>1639</v>
      </c>
      <c r="AT83" s="85">
        <f t="shared" si="24"/>
        <v>0.34699999999999998</v>
      </c>
      <c r="AU83" s="86" t="str">
        <f t="shared" si="25"/>
        <v>OK</v>
      </c>
      <c r="AV83" s="79">
        <f t="shared" si="9"/>
        <v>0</v>
      </c>
      <c r="AW83" s="85" t="e">
        <f t="shared" si="10"/>
        <v>#REF!</v>
      </c>
      <c r="AX83" s="87" t="e">
        <f t="shared" si="11"/>
        <v>#REF!</v>
      </c>
      <c r="AY83" s="72"/>
      <c r="AZ83" s="73"/>
      <c r="BA83" s="77">
        <f t="shared" si="12"/>
        <v>0</v>
      </c>
      <c r="BB83" s="88">
        <f t="shared" si="13"/>
        <v>1</v>
      </c>
      <c r="BC83" s="89" t="e">
        <f>SUMIF(#REF!,#REF!, BB20:BB333)</f>
        <v>#REF!</v>
      </c>
      <c r="BD83" s="89">
        <f t="shared" si="14"/>
        <v>1</v>
      </c>
      <c r="BE83" s="89" t="e">
        <f>SUMIF(#REF!,#REF!, BD20:BD333)</f>
        <v>#REF!</v>
      </c>
      <c r="BF83" s="89">
        <f t="shared" si="15"/>
        <v>0</v>
      </c>
      <c r="BG83" s="89" t="e">
        <f>SUMIF(#REF!,#REF!, BF20:BF333)</f>
        <v>#REF!</v>
      </c>
      <c r="BH83" s="89" t="e">
        <f t="shared" si="16"/>
        <v>#REF!</v>
      </c>
      <c r="BI83" s="90">
        <f>SUMIF(B20:B333, B83, BH20:BH333)</f>
        <v>0</v>
      </c>
      <c r="BJ83" s="91"/>
      <c r="BK83" s="92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4"/>
    </row>
    <row r="84" spans="1:82" x14ac:dyDescent="0.3">
      <c r="A84" s="95" t="s">
        <v>233</v>
      </c>
      <c r="B84" s="96"/>
      <c r="C84" s="97" t="s">
        <v>172</v>
      </c>
      <c r="D84" s="97" t="s">
        <v>232</v>
      </c>
      <c r="E84" s="98" t="s">
        <v>234</v>
      </c>
      <c r="F84" s="99" t="s">
        <v>109</v>
      </c>
      <c r="G84" s="100"/>
      <c r="H84" s="101" t="s">
        <v>109</v>
      </c>
      <c r="I84" s="99" t="s">
        <v>4</v>
      </c>
      <c r="J84" s="100" t="s">
        <v>67</v>
      </c>
      <c r="K84" s="102"/>
      <c r="L84" s="103"/>
      <c r="M84" s="104"/>
      <c r="N84" s="105">
        <v>14314</v>
      </c>
      <c r="O84" s="106">
        <v>15190</v>
      </c>
      <c r="P84" s="106">
        <v>15804</v>
      </c>
      <c r="Q84" s="107"/>
      <c r="R84" s="156">
        <v>0.09</v>
      </c>
      <c r="S84" s="105">
        <v>1288</v>
      </c>
      <c r="T84" s="106">
        <v>1367</v>
      </c>
      <c r="U84" s="106">
        <v>1422</v>
      </c>
      <c r="V84" s="107">
        <f t="shared" ref="V84:V147" si="26">ROUND(R84*Q84,0)</f>
        <v>0</v>
      </c>
      <c r="W84" s="109"/>
      <c r="X84" s="110"/>
      <c r="Y84" s="111" t="s">
        <v>104</v>
      </c>
      <c r="Z84" s="100" t="str">
        <f>'[1]Tier 1'!V84</f>
        <v>C</v>
      </c>
      <c r="AA84" s="100"/>
      <c r="AB84" s="100"/>
      <c r="AC84" s="100"/>
      <c r="AD84" s="101"/>
      <c r="AE84" s="105">
        <f>'[1]Tier 1'!W84</f>
        <v>4490</v>
      </c>
      <c r="AF84" s="106"/>
      <c r="AG84" s="106">
        <f>'[1]Tier 1'!X84</f>
        <v>4490</v>
      </c>
      <c r="AH84" s="106"/>
      <c r="AI84" s="106">
        <f>'[1]Tier 1'!Y84</f>
        <v>4490</v>
      </c>
      <c r="AJ84" s="106">
        <f t="shared" ref="AJ84:AJ147" si="27">AI84 * 0.9</f>
        <v>4041</v>
      </c>
      <c r="AK84" s="106" t="e">
        <f>VLOOKUP(A84,#REF!,-1,FALSE)</f>
        <v>#REF!</v>
      </c>
      <c r="AL84" s="107" t="e">
        <f t="shared" ref="AL84:AL147" si="28">AK84 * 0.9</f>
        <v>#REF!</v>
      </c>
      <c r="AM84" s="105">
        <f t="shared" si="17"/>
        <v>1288</v>
      </c>
      <c r="AN84" s="112">
        <f t="shared" si="18"/>
        <v>0.28699999999999998</v>
      </c>
      <c r="AO84" s="100" t="str">
        <f t="shared" si="19"/>
        <v>OK</v>
      </c>
      <c r="AP84" s="106">
        <f t="shared" si="20"/>
        <v>1367</v>
      </c>
      <c r="AQ84" s="112">
        <f t="shared" si="21"/>
        <v>0.30399999999999999</v>
      </c>
      <c r="AR84" s="100" t="str">
        <f t="shared" si="22"/>
        <v>OK</v>
      </c>
      <c r="AS84" s="106">
        <f t="shared" si="23"/>
        <v>1422</v>
      </c>
      <c r="AT84" s="112">
        <f t="shared" si="24"/>
        <v>0.317</v>
      </c>
      <c r="AU84" s="113" t="str">
        <f t="shared" si="25"/>
        <v>OK</v>
      </c>
      <c r="AV84" s="106">
        <f t="shared" ref="AV84:AV147" si="29">V84+W84</f>
        <v>0</v>
      </c>
      <c r="AW84" s="112" t="e">
        <f t="shared" ref="AW84:AW147" si="30">IF(AK84&gt;0, ROUND(AV84/AK84,3),0)</f>
        <v>#REF!</v>
      </c>
      <c r="AX84" s="114" t="e">
        <f t="shared" ref="AX84:AX147" si="31">IF(AND(V84=0, AV84&gt;0), "DATA1", IF(OR(AV84&gt;AL84,BI84&gt;0), IF(Y84="CONC. (ART-PLAN)", "STUDY 1", "STUDY 2"), "OK"))</f>
        <v>#REF!</v>
      </c>
      <c r="AY84" s="99"/>
      <c r="AZ84" s="100"/>
      <c r="BA84" s="104">
        <f t="shared" ref="BA84:BA147" si="32">IF(AG84&gt;0, X84/AG84, 0)</f>
        <v>0</v>
      </c>
      <c r="BB84" s="115">
        <f t="shared" ref="BB84:BB147" si="33">IF(AM84&gt;AF84,1,0)</f>
        <v>1</v>
      </c>
      <c r="BC84" s="116" t="e">
        <f>SUMIF(#REF!,#REF!, BB20:BB333)</f>
        <v>#REF!</v>
      </c>
      <c r="BD84" s="116">
        <f t="shared" ref="BD84:BD147" si="34">IF(AP84&gt;AH84,1,0)</f>
        <v>1</v>
      </c>
      <c r="BE84" s="116" t="e">
        <f>SUMIF(#REF!,#REF!, BD20:BD333)</f>
        <v>#REF!</v>
      </c>
      <c r="BF84" s="116">
        <f t="shared" ref="BF84:BF147" si="35">IF(AS84&gt;AJ84,1,0)</f>
        <v>0</v>
      </c>
      <c r="BG84" s="116" t="e">
        <f>SUMIF(#REF!,#REF!, BF20:BF333)</f>
        <v>#REF!</v>
      </c>
      <c r="BH84" s="116" t="e">
        <f t="shared" ref="BH84:BH147" si="36">IF(AV84&gt;AL84,1,0)</f>
        <v>#REF!</v>
      </c>
      <c r="BI84" s="117">
        <f>SUMIF(B20:B333, B84, BH20:BH333)</f>
        <v>0</v>
      </c>
      <c r="BJ84" s="118"/>
      <c r="BK84" s="92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4"/>
    </row>
    <row r="85" spans="1:82" x14ac:dyDescent="0.3">
      <c r="A85" s="68" t="s">
        <v>235</v>
      </c>
      <c r="B85" s="69"/>
      <c r="C85" s="70" t="s">
        <v>172</v>
      </c>
      <c r="D85" s="70" t="s">
        <v>234</v>
      </c>
      <c r="E85" s="71" t="s">
        <v>236</v>
      </c>
      <c r="F85" s="72" t="s">
        <v>109</v>
      </c>
      <c r="G85" s="73"/>
      <c r="H85" s="74" t="s">
        <v>237</v>
      </c>
      <c r="I85" s="72" t="s">
        <v>4</v>
      </c>
      <c r="J85" s="73" t="s">
        <v>67</v>
      </c>
      <c r="K85" s="75"/>
      <c r="L85" s="76"/>
      <c r="M85" s="77"/>
      <c r="N85" s="78">
        <v>14314</v>
      </c>
      <c r="O85" s="79">
        <v>15190</v>
      </c>
      <c r="P85" s="79">
        <v>15804</v>
      </c>
      <c r="Q85" s="80"/>
      <c r="R85" s="155">
        <v>0.09</v>
      </c>
      <c r="S85" s="78">
        <v>1288</v>
      </c>
      <c r="T85" s="79">
        <v>1367</v>
      </c>
      <c r="U85" s="79">
        <v>1422</v>
      </c>
      <c r="V85" s="80">
        <f t="shared" si="26"/>
        <v>0</v>
      </c>
      <c r="W85" s="82"/>
      <c r="X85" s="83"/>
      <c r="Y85" s="84" t="s">
        <v>104</v>
      </c>
      <c r="Z85" s="73" t="str">
        <f>'[1]Tier 1'!V85</f>
        <v>C</v>
      </c>
      <c r="AA85" s="73"/>
      <c r="AB85" s="73"/>
      <c r="AC85" s="73"/>
      <c r="AD85" s="74"/>
      <c r="AE85" s="78">
        <f>'[1]Tier 1'!W85</f>
        <v>4490</v>
      </c>
      <c r="AF85" s="79"/>
      <c r="AG85" s="79">
        <f>'[1]Tier 1'!X85</f>
        <v>4490</v>
      </c>
      <c r="AH85" s="79"/>
      <c r="AI85" s="79">
        <f>'[1]Tier 1'!Y85</f>
        <v>4490</v>
      </c>
      <c r="AJ85" s="79">
        <f t="shared" si="27"/>
        <v>4041</v>
      </c>
      <c r="AK85" s="79" t="e">
        <f>VLOOKUP(A85,#REF!,-1,FALSE)</f>
        <v>#REF!</v>
      </c>
      <c r="AL85" s="80" t="e">
        <f t="shared" si="28"/>
        <v>#REF!</v>
      </c>
      <c r="AM85" s="78">
        <f t="shared" ref="AM85:AM148" si="37">S85+W85</f>
        <v>1288</v>
      </c>
      <c r="AN85" s="85">
        <f t="shared" ref="AN85:AN148" si="38">IF(AE85&gt;0, ROUND(AM85/AE85,3),0)</f>
        <v>0.28699999999999998</v>
      </c>
      <c r="AO85" s="73" t="str">
        <f t="shared" ref="AO85:AO148" si="39">IF($W85&gt;0,IF(AN85&gt;0.8999,"Study 1", "OK"),"OK")</f>
        <v>OK</v>
      </c>
      <c r="AP85" s="79">
        <f t="shared" ref="AP85:AP148" si="40">T85+W85</f>
        <v>1367</v>
      </c>
      <c r="AQ85" s="85">
        <f t="shared" ref="AQ85:AQ148" si="41">IF(AG85&gt;0, ROUND(AP85/AG85,3),0)</f>
        <v>0.30399999999999999</v>
      </c>
      <c r="AR85" s="73" t="str">
        <f t="shared" ref="AR85:AR148" si="42">IF($W85&gt;0,IF(AQ85&gt;0.8999,"Study 1", "OK"),"OK")</f>
        <v>OK</v>
      </c>
      <c r="AS85" s="79">
        <f t="shared" ref="AS85:AS148" si="43">U85+W85</f>
        <v>1422</v>
      </c>
      <c r="AT85" s="85">
        <f t="shared" ref="AT85:AT148" si="44">IF(AI85&gt;0, ROUND(AS85/AI85,3),0)</f>
        <v>0.317</v>
      </c>
      <c r="AU85" s="86" t="str">
        <f t="shared" ref="AU85:AU148" si="45">IF($W85&gt;0,IF(AT85&gt;0.8999,"Study 1", "OK"),"OK")</f>
        <v>OK</v>
      </c>
      <c r="AV85" s="79">
        <f t="shared" si="29"/>
        <v>0</v>
      </c>
      <c r="AW85" s="85" t="e">
        <f t="shared" si="30"/>
        <v>#REF!</v>
      </c>
      <c r="AX85" s="87" t="e">
        <f t="shared" si="31"/>
        <v>#REF!</v>
      </c>
      <c r="AY85" s="72"/>
      <c r="AZ85" s="73"/>
      <c r="BA85" s="77">
        <f t="shared" si="32"/>
        <v>0</v>
      </c>
      <c r="BB85" s="88">
        <f t="shared" si="33"/>
        <v>1</v>
      </c>
      <c r="BC85" s="89" t="e">
        <f>SUMIF(#REF!,#REF!, BB20:BB333)</f>
        <v>#REF!</v>
      </c>
      <c r="BD85" s="89">
        <f t="shared" si="34"/>
        <v>1</v>
      </c>
      <c r="BE85" s="89" t="e">
        <f>SUMIF(#REF!,#REF!, BD20:BD333)</f>
        <v>#REF!</v>
      </c>
      <c r="BF85" s="89">
        <f t="shared" si="35"/>
        <v>0</v>
      </c>
      <c r="BG85" s="89" t="e">
        <f>SUMIF(#REF!,#REF!, BF20:BF333)</f>
        <v>#REF!</v>
      </c>
      <c r="BH85" s="89" t="e">
        <f t="shared" si="36"/>
        <v>#REF!</v>
      </c>
      <c r="BI85" s="90">
        <f>SUMIF(B20:B333, B85, BH20:BH333)</f>
        <v>0</v>
      </c>
      <c r="BJ85" s="91"/>
      <c r="BK85" s="92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4"/>
    </row>
    <row r="86" spans="1:82" x14ac:dyDescent="0.3">
      <c r="A86" s="95" t="s">
        <v>238</v>
      </c>
      <c r="B86" s="96"/>
      <c r="C86" s="97" t="s">
        <v>172</v>
      </c>
      <c r="D86" s="97" t="s">
        <v>236</v>
      </c>
      <c r="E86" s="98" t="s">
        <v>170</v>
      </c>
      <c r="F86" s="99" t="s">
        <v>109</v>
      </c>
      <c r="G86" s="100"/>
      <c r="H86" s="101" t="s">
        <v>237</v>
      </c>
      <c r="I86" s="99" t="s">
        <v>4</v>
      </c>
      <c r="J86" s="100" t="s">
        <v>67</v>
      </c>
      <c r="K86" s="102"/>
      <c r="L86" s="103"/>
      <c r="M86" s="104"/>
      <c r="N86" s="105">
        <v>11707</v>
      </c>
      <c r="O86" s="106">
        <v>12621</v>
      </c>
      <c r="P86" s="106">
        <v>13231</v>
      </c>
      <c r="Q86" s="107"/>
      <c r="R86" s="156">
        <v>0.09</v>
      </c>
      <c r="S86" s="105">
        <v>1054</v>
      </c>
      <c r="T86" s="106">
        <v>1136</v>
      </c>
      <c r="U86" s="106">
        <v>1191</v>
      </c>
      <c r="V86" s="107">
        <f t="shared" si="26"/>
        <v>0</v>
      </c>
      <c r="W86" s="109"/>
      <c r="X86" s="110"/>
      <c r="Y86" s="111" t="s">
        <v>104</v>
      </c>
      <c r="Z86" s="100" t="str">
        <f>'[1]Tier 1'!V86</f>
        <v>C</v>
      </c>
      <c r="AA86" s="100"/>
      <c r="AB86" s="100"/>
      <c r="AC86" s="100"/>
      <c r="AD86" s="101"/>
      <c r="AE86" s="105">
        <f>'[1]Tier 1'!W86</f>
        <v>4490</v>
      </c>
      <c r="AF86" s="106"/>
      <c r="AG86" s="106">
        <f>'[1]Tier 1'!X86</f>
        <v>4490</v>
      </c>
      <c r="AH86" s="106"/>
      <c r="AI86" s="106">
        <f>'[1]Tier 1'!Y86</f>
        <v>4490</v>
      </c>
      <c r="AJ86" s="106">
        <f t="shared" si="27"/>
        <v>4041</v>
      </c>
      <c r="AK86" s="106" t="e">
        <f>VLOOKUP(A86,#REF!,-1,FALSE)</f>
        <v>#REF!</v>
      </c>
      <c r="AL86" s="107" t="e">
        <f t="shared" si="28"/>
        <v>#REF!</v>
      </c>
      <c r="AM86" s="105">
        <f t="shared" si="37"/>
        <v>1054</v>
      </c>
      <c r="AN86" s="112">
        <f t="shared" si="38"/>
        <v>0.23499999999999999</v>
      </c>
      <c r="AO86" s="100" t="str">
        <f t="shared" si="39"/>
        <v>OK</v>
      </c>
      <c r="AP86" s="106">
        <f t="shared" si="40"/>
        <v>1136</v>
      </c>
      <c r="AQ86" s="112">
        <f t="shared" si="41"/>
        <v>0.253</v>
      </c>
      <c r="AR86" s="100" t="str">
        <f t="shared" si="42"/>
        <v>OK</v>
      </c>
      <c r="AS86" s="106">
        <f t="shared" si="43"/>
        <v>1191</v>
      </c>
      <c r="AT86" s="112">
        <f t="shared" si="44"/>
        <v>0.26500000000000001</v>
      </c>
      <c r="AU86" s="113" t="str">
        <f t="shared" si="45"/>
        <v>OK</v>
      </c>
      <c r="AV86" s="106">
        <f t="shared" si="29"/>
        <v>0</v>
      </c>
      <c r="AW86" s="112" t="e">
        <f t="shared" si="30"/>
        <v>#REF!</v>
      </c>
      <c r="AX86" s="114" t="e">
        <f t="shared" si="31"/>
        <v>#REF!</v>
      </c>
      <c r="AY86" s="99"/>
      <c r="AZ86" s="100"/>
      <c r="BA86" s="104">
        <f t="shared" si="32"/>
        <v>0</v>
      </c>
      <c r="BB86" s="115">
        <f t="shared" si="33"/>
        <v>1</v>
      </c>
      <c r="BC86" s="116" t="e">
        <f>SUMIF(#REF!,#REF!, BB20:BB333)</f>
        <v>#REF!</v>
      </c>
      <c r="BD86" s="116">
        <f t="shared" si="34"/>
        <v>1</v>
      </c>
      <c r="BE86" s="116" t="e">
        <f>SUMIF(#REF!,#REF!, BD20:BD333)</f>
        <v>#REF!</v>
      </c>
      <c r="BF86" s="116">
        <f t="shared" si="35"/>
        <v>0</v>
      </c>
      <c r="BG86" s="116" t="e">
        <f>SUMIF(#REF!,#REF!, BF20:BF333)</f>
        <v>#REF!</v>
      </c>
      <c r="BH86" s="116" t="e">
        <f t="shared" si="36"/>
        <v>#REF!</v>
      </c>
      <c r="BI86" s="117">
        <f>SUMIF(B20:B333, B86, BH20:BH333)</f>
        <v>0</v>
      </c>
      <c r="BJ86" s="118"/>
      <c r="BK86" s="92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4"/>
    </row>
    <row r="87" spans="1:82" x14ac:dyDescent="0.3">
      <c r="A87" s="68" t="s">
        <v>239</v>
      </c>
      <c r="B87" s="69"/>
      <c r="C87" s="70" t="s">
        <v>240</v>
      </c>
      <c r="D87" s="70" t="s">
        <v>101</v>
      </c>
      <c r="E87" s="71" t="s">
        <v>241</v>
      </c>
      <c r="F87" s="72" t="s">
        <v>237</v>
      </c>
      <c r="G87" s="73"/>
      <c r="H87" s="74" t="s">
        <v>237</v>
      </c>
      <c r="I87" s="72" t="s">
        <v>4</v>
      </c>
      <c r="J87" s="73" t="s">
        <v>67</v>
      </c>
      <c r="K87" s="75"/>
      <c r="L87" s="76"/>
      <c r="M87" s="77"/>
      <c r="N87" s="78">
        <v>4628</v>
      </c>
      <c r="O87" s="79">
        <v>4953</v>
      </c>
      <c r="P87" s="79">
        <v>5169</v>
      </c>
      <c r="Q87" s="80"/>
      <c r="R87" s="155">
        <v>0.09</v>
      </c>
      <c r="S87" s="78">
        <v>417</v>
      </c>
      <c r="T87" s="79">
        <v>446</v>
      </c>
      <c r="U87" s="79">
        <v>465</v>
      </c>
      <c r="V87" s="80">
        <f t="shared" si="26"/>
        <v>0</v>
      </c>
      <c r="W87" s="82"/>
      <c r="X87" s="83"/>
      <c r="Y87" s="84" t="s">
        <v>104</v>
      </c>
      <c r="Z87" s="73" t="str">
        <f>'[1]Tier 1'!V87</f>
        <v>C</v>
      </c>
      <c r="AA87" s="73"/>
      <c r="AB87" s="73"/>
      <c r="AC87" s="73"/>
      <c r="AD87" s="74"/>
      <c r="AE87" s="78">
        <f>'[1]Tier 1'!W87</f>
        <v>8490</v>
      </c>
      <c r="AF87" s="79"/>
      <c r="AG87" s="79">
        <f>'[1]Tier 1'!X87</f>
        <v>8490</v>
      </c>
      <c r="AH87" s="79"/>
      <c r="AI87" s="79">
        <f>'[1]Tier 1'!Y87</f>
        <v>8490</v>
      </c>
      <c r="AJ87" s="79">
        <f t="shared" si="27"/>
        <v>7641</v>
      </c>
      <c r="AK87" s="79" t="e">
        <f>VLOOKUP(A87,#REF!,-1,FALSE)</f>
        <v>#REF!</v>
      </c>
      <c r="AL87" s="80" t="e">
        <f t="shared" si="28"/>
        <v>#REF!</v>
      </c>
      <c r="AM87" s="78">
        <f t="shared" si="37"/>
        <v>417</v>
      </c>
      <c r="AN87" s="85">
        <f t="shared" si="38"/>
        <v>4.9000000000000002E-2</v>
      </c>
      <c r="AO87" s="73" t="str">
        <f t="shared" si="39"/>
        <v>OK</v>
      </c>
      <c r="AP87" s="79">
        <f t="shared" si="40"/>
        <v>446</v>
      </c>
      <c r="AQ87" s="85">
        <f t="shared" si="41"/>
        <v>5.2999999999999999E-2</v>
      </c>
      <c r="AR87" s="73" t="str">
        <f t="shared" si="42"/>
        <v>OK</v>
      </c>
      <c r="AS87" s="79">
        <f t="shared" si="43"/>
        <v>465</v>
      </c>
      <c r="AT87" s="85">
        <f t="shared" si="44"/>
        <v>5.5E-2</v>
      </c>
      <c r="AU87" s="86" t="str">
        <f t="shared" si="45"/>
        <v>OK</v>
      </c>
      <c r="AV87" s="79">
        <f t="shared" si="29"/>
        <v>0</v>
      </c>
      <c r="AW87" s="85" t="e">
        <f t="shared" si="30"/>
        <v>#REF!</v>
      </c>
      <c r="AX87" s="87" t="e">
        <f t="shared" si="31"/>
        <v>#REF!</v>
      </c>
      <c r="AY87" s="72"/>
      <c r="AZ87" s="73"/>
      <c r="BA87" s="77">
        <f t="shared" si="32"/>
        <v>0</v>
      </c>
      <c r="BB87" s="88">
        <f t="shared" si="33"/>
        <v>1</v>
      </c>
      <c r="BC87" s="89" t="e">
        <f>SUMIF(#REF!,#REF!, BB20:BB333)</f>
        <v>#REF!</v>
      </c>
      <c r="BD87" s="89">
        <f t="shared" si="34"/>
        <v>1</v>
      </c>
      <c r="BE87" s="89" t="e">
        <f>SUMIF(#REF!,#REF!, BD20:BD333)</f>
        <v>#REF!</v>
      </c>
      <c r="BF87" s="89">
        <f t="shared" si="35"/>
        <v>0</v>
      </c>
      <c r="BG87" s="89" t="e">
        <f>SUMIF(#REF!,#REF!, BF20:BF333)</f>
        <v>#REF!</v>
      </c>
      <c r="BH87" s="89" t="e">
        <f t="shared" si="36"/>
        <v>#REF!</v>
      </c>
      <c r="BI87" s="90">
        <f>SUMIF(B20:B333, B87, BH20:BH333)</f>
        <v>0</v>
      </c>
      <c r="BJ87" s="91"/>
      <c r="BK87" s="92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4"/>
    </row>
    <row r="88" spans="1:82" x14ac:dyDescent="0.3">
      <c r="A88" s="95" t="s">
        <v>242</v>
      </c>
      <c r="B88" s="96"/>
      <c r="C88" s="97" t="s">
        <v>240</v>
      </c>
      <c r="D88" s="97" t="s">
        <v>241</v>
      </c>
      <c r="E88" s="98" t="s">
        <v>102</v>
      </c>
      <c r="F88" s="99" t="s">
        <v>237</v>
      </c>
      <c r="G88" s="100"/>
      <c r="H88" s="101" t="s">
        <v>237</v>
      </c>
      <c r="I88" s="99" t="s">
        <v>4</v>
      </c>
      <c r="J88" s="100" t="s">
        <v>67</v>
      </c>
      <c r="K88" s="102"/>
      <c r="L88" s="103"/>
      <c r="M88" s="104"/>
      <c r="N88" s="105">
        <v>4628</v>
      </c>
      <c r="O88" s="106">
        <v>4953</v>
      </c>
      <c r="P88" s="106">
        <v>5169</v>
      </c>
      <c r="Q88" s="107"/>
      <c r="R88" s="156">
        <v>0.09</v>
      </c>
      <c r="S88" s="105">
        <v>417</v>
      </c>
      <c r="T88" s="106">
        <v>446</v>
      </c>
      <c r="U88" s="106">
        <v>465</v>
      </c>
      <c r="V88" s="107">
        <f t="shared" si="26"/>
        <v>0</v>
      </c>
      <c r="W88" s="109"/>
      <c r="X88" s="110"/>
      <c r="Y88" s="111" t="s">
        <v>104</v>
      </c>
      <c r="Z88" s="100" t="str">
        <f>'[1]Tier 1'!V88</f>
        <v>C</v>
      </c>
      <c r="AA88" s="100"/>
      <c r="AB88" s="100"/>
      <c r="AC88" s="100"/>
      <c r="AD88" s="101"/>
      <c r="AE88" s="105">
        <f>'[1]Tier 1'!W88</f>
        <v>8450</v>
      </c>
      <c r="AF88" s="106"/>
      <c r="AG88" s="106">
        <f>'[1]Tier 1'!X88</f>
        <v>8450</v>
      </c>
      <c r="AH88" s="106"/>
      <c r="AI88" s="106">
        <f>'[1]Tier 1'!Y88</f>
        <v>8450</v>
      </c>
      <c r="AJ88" s="106">
        <f t="shared" si="27"/>
        <v>7605</v>
      </c>
      <c r="AK88" s="106" t="e">
        <f>VLOOKUP(A88,#REF!,-1,FALSE)</f>
        <v>#REF!</v>
      </c>
      <c r="AL88" s="107" t="e">
        <f t="shared" si="28"/>
        <v>#REF!</v>
      </c>
      <c r="AM88" s="105">
        <f t="shared" si="37"/>
        <v>417</v>
      </c>
      <c r="AN88" s="112">
        <f t="shared" si="38"/>
        <v>4.9000000000000002E-2</v>
      </c>
      <c r="AO88" s="100" t="str">
        <f t="shared" si="39"/>
        <v>OK</v>
      </c>
      <c r="AP88" s="106">
        <f t="shared" si="40"/>
        <v>446</v>
      </c>
      <c r="AQ88" s="112">
        <f t="shared" si="41"/>
        <v>5.2999999999999999E-2</v>
      </c>
      <c r="AR88" s="100" t="str">
        <f t="shared" si="42"/>
        <v>OK</v>
      </c>
      <c r="AS88" s="106">
        <f t="shared" si="43"/>
        <v>465</v>
      </c>
      <c r="AT88" s="112">
        <f t="shared" si="44"/>
        <v>5.5E-2</v>
      </c>
      <c r="AU88" s="113" t="str">
        <f t="shared" si="45"/>
        <v>OK</v>
      </c>
      <c r="AV88" s="106">
        <f t="shared" si="29"/>
        <v>0</v>
      </c>
      <c r="AW88" s="112" t="e">
        <f t="shared" si="30"/>
        <v>#REF!</v>
      </c>
      <c r="AX88" s="114" t="e">
        <f t="shared" si="31"/>
        <v>#REF!</v>
      </c>
      <c r="AY88" s="99"/>
      <c r="AZ88" s="100"/>
      <c r="BA88" s="104">
        <f t="shared" si="32"/>
        <v>0</v>
      </c>
      <c r="BB88" s="115">
        <f t="shared" si="33"/>
        <v>1</v>
      </c>
      <c r="BC88" s="116" t="e">
        <f>SUMIF(#REF!,#REF!, BB20:BB333)</f>
        <v>#REF!</v>
      </c>
      <c r="BD88" s="116">
        <f t="shared" si="34"/>
        <v>1</v>
      </c>
      <c r="BE88" s="116" t="e">
        <f>SUMIF(#REF!,#REF!, BD20:BD333)</f>
        <v>#REF!</v>
      </c>
      <c r="BF88" s="116">
        <f t="shared" si="35"/>
        <v>0</v>
      </c>
      <c r="BG88" s="116" t="e">
        <f>SUMIF(#REF!,#REF!, BF20:BF333)</f>
        <v>#REF!</v>
      </c>
      <c r="BH88" s="116" t="e">
        <f t="shared" si="36"/>
        <v>#REF!</v>
      </c>
      <c r="BI88" s="117">
        <f>SUMIF(B20:B333, B88, BH20:BH333)</f>
        <v>0</v>
      </c>
      <c r="BJ88" s="118"/>
      <c r="BK88" s="92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4"/>
    </row>
    <row r="89" spans="1:82" x14ac:dyDescent="0.3">
      <c r="A89" s="68" t="s">
        <v>243</v>
      </c>
      <c r="B89" s="69"/>
      <c r="C89" s="70" t="s">
        <v>240</v>
      </c>
      <c r="D89" s="70" t="s">
        <v>102</v>
      </c>
      <c r="E89" s="71" t="s">
        <v>244</v>
      </c>
      <c r="F89" s="72" t="s">
        <v>237</v>
      </c>
      <c r="G89" s="73"/>
      <c r="H89" s="74" t="s">
        <v>245</v>
      </c>
      <c r="I89" s="72" t="s">
        <v>4</v>
      </c>
      <c r="J89" s="73" t="s">
        <v>67</v>
      </c>
      <c r="K89" s="75"/>
      <c r="L89" s="76"/>
      <c r="M89" s="77"/>
      <c r="N89" s="78">
        <v>12320</v>
      </c>
      <c r="O89" s="79">
        <v>9211</v>
      </c>
      <c r="P89" s="79">
        <v>7138</v>
      </c>
      <c r="Q89" s="80"/>
      <c r="R89" s="155">
        <v>0.09</v>
      </c>
      <c r="S89" s="78">
        <v>1109</v>
      </c>
      <c r="T89" s="79">
        <v>829</v>
      </c>
      <c r="U89" s="79">
        <v>642</v>
      </c>
      <c r="V89" s="80">
        <f t="shared" si="26"/>
        <v>0</v>
      </c>
      <c r="W89" s="82"/>
      <c r="X89" s="83"/>
      <c r="Y89" s="84" t="s">
        <v>104</v>
      </c>
      <c r="Z89" s="73" t="str">
        <f>'[1]Tier 1'!V89</f>
        <v>C</v>
      </c>
      <c r="AA89" s="73"/>
      <c r="AB89" s="73"/>
      <c r="AC89" s="73"/>
      <c r="AD89" s="74"/>
      <c r="AE89" s="78">
        <f>'[1]Tier 1'!W89</f>
        <v>8450</v>
      </c>
      <c r="AF89" s="79"/>
      <c r="AG89" s="79">
        <f>'[1]Tier 1'!X89</f>
        <v>8450</v>
      </c>
      <c r="AH89" s="79"/>
      <c r="AI89" s="79">
        <f>'[1]Tier 1'!Y89</f>
        <v>8450</v>
      </c>
      <c r="AJ89" s="79">
        <f t="shared" si="27"/>
        <v>7605</v>
      </c>
      <c r="AK89" s="79" t="e">
        <f>VLOOKUP(A89,#REF!,-1,FALSE)</f>
        <v>#REF!</v>
      </c>
      <c r="AL89" s="80" t="e">
        <f t="shared" si="28"/>
        <v>#REF!</v>
      </c>
      <c r="AM89" s="78">
        <f t="shared" si="37"/>
        <v>1109</v>
      </c>
      <c r="AN89" s="85">
        <f t="shared" si="38"/>
        <v>0.13100000000000001</v>
      </c>
      <c r="AO89" s="73" t="str">
        <f t="shared" si="39"/>
        <v>OK</v>
      </c>
      <c r="AP89" s="79">
        <f t="shared" si="40"/>
        <v>829</v>
      </c>
      <c r="AQ89" s="85">
        <f t="shared" si="41"/>
        <v>9.8000000000000004E-2</v>
      </c>
      <c r="AR89" s="73" t="str">
        <f t="shared" si="42"/>
        <v>OK</v>
      </c>
      <c r="AS89" s="79">
        <f t="shared" si="43"/>
        <v>642</v>
      </c>
      <c r="AT89" s="85">
        <f t="shared" si="44"/>
        <v>7.5999999999999998E-2</v>
      </c>
      <c r="AU89" s="86" t="str">
        <f t="shared" si="45"/>
        <v>OK</v>
      </c>
      <c r="AV89" s="79">
        <f t="shared" si="29"/>
        <v>0</v>
      </c>
      <c r="AW89" s="85" t="e">
        <f t="shared" si="30"/>
        <v>#REF!</v>
      </c>
      <c r="AX89" s="87" t="e">
        <f t="shared" si="31"/>
        <v>#REF!</v>
      </c>
      <c r="AY89" s="72"/>
      <c r="AZ89" s="73"/>
      <c r="BA89" s="77">
        <f t="shared" si="32"/>
        <v>0</v>
      </c>
      <c r="BB89" s="88">
        <f t="shared" si="33"/>
        <v>1</v>
      </c>
      <c r="BC89" s="89" t="e">
        <f>SUMIF(#REF!,#REF!, BB20:BB333)</f>
        <v>#REF!</v>
      </c>
      <c r="BD89" s="89">
        <f t="shared" si="34"/>
        <v>1</v>
      </c>
      <c r="BE89" s="89" t="e">
        <f>SUMIF(#REF!,#REF!, BD20:BD333)</f>
        <v>#REF!</v>
      </c>
      <c r="BF89" s="89">
        <f t="shared" si="35"/>
        <v>0</v>
      </c>
      <c r="BG89" s="89" t="e">
        <f>SUMIF(#REF!,#REF!, BF20:BF333)</f>
        <v>#REF!</v>
      </c>
      <c r="BH89" s="89" t="e">
        <f t="shared" si="36"/>
        <v>#REF!</v>
      </c>
      <c r="BI89" s="90">
        <f>SUMIF(B20:B333, B89, BH20:BH333)</f>
        <v>0</v>
      </c>
      <c r="BJ89" s="91"/>
      <c r="BK89" s="92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4"/>
    </row>
    <row r="90" spans="1:82" x14ac:dyDescent="0.3">
      <c r="A90" s="95" t="s">
        <v>246</v>
      </c>
      <c r="B90" s="96"/>
      <c r="C90" s="97" t="s">
        <v>240</v>
      </c>
      <c r="D90" s="97" t="s">
        <v>244</v>
      </c>
      <c r="E90" s="98" t="s">
        <v>108</v>
      </c>
      <c r="F90" s="99" t="s">
        <v>237</v>
      </c>
      <c r="G90" s="100"/>
      <c r="H90" s="101" t="s">
        <v>245</v>
      </c>
      <c r="I90" s="99" t="s">
        <v>4</v>
      </c>
      <c r="J90" s="100" t="s">
        <v>67</v>
      </c>
      <c r="K90" s="102"/>
      <c r="L90" s="103"/>
      <c r="M90" s="104"/>
      <c r="N90" s="105">
        <v>12320</v>
      </c>
      <c r="O90" s="106">
        <v>9211</v>
      </c>
      <c r="P90" s="106">
        <v>7138</v>
      </c>
      <c r="Q90" s="107"/>
      <c r="R90" s="156">
        <v>0.09</v>
      </c>
      <c r="S90" s="105">
        <v>1109</v>
      </c>
      <c r="T90" s="106">
        <v>829</v>
      </c>
      <c r="U90" s="106">
        <v>642</v>
      </c>
      <c r="V90" s="107">
        <f t="shared" si="26"/>
        <v>0</v>
      </c>
      <c r="W90" s="109"/>
      <c r="X90" s="110"/>
      <c r="Y90" s="111" t="s">
        <v>104</v>
      </c>
      <c r="Z90" s="100" t="str">
        <f>'[1]Tier 1'!V90</f>
        <v>C</v>
      </c>
      <c r="AA90" s="100"/>
      <c r="AB90" s="100"/>
      <c r="AC90" s="100"/>
      <c r="AD90" s="101"/>
      <c r="AE90" s="105">
        <f>'[1]Tier 1'!W90</f>
        <v>8490</v>
      </c>
      <c r="AF90" s="106"/>
      <c r="AG90" s="106">
        <f>'[1]Tier 1'!X90</f>
        <v>8490</v>
      </c>
      <c r="AH90" s="106"/>
      <c r="AI90" s="106">
        <f>'[1]Tier 1'!Y90</f>
        <v>8490</v>
      </c>
      <c r="AJ90" s="106">
        <f t="shared" si="27"/>
        <v>7641</v>
      </c>
      <c r="AK90" s="106" t="e">
        <f>VLOOKUP(A90,#REF!,-1,FALSE)</f>
        <v>#REF!</v>
      </c>
      <c r="AL90" s="107" t="e">
        <f t="shared" si="28"/>
        <v>#REF!</v>
      </c>
      <c r="AM90" s="105">
        <f t="shared" si="37"/>
        <v>1109</v>
      </c>
      <c r="AN90" s="112">
        <f t="shared" si="38"/>
        <v>0.13100000000000001</v>
      </c>
      <c r="AO90" s="100" t="str">
        <f t="shared" si="39"/>
        <v>OK</v>
      </c>
      <c r="AP90" s="106">
        <f t="shared" si="40"/>
        <v>829</v>
      </c>
      <c r="AQ90" s="112">
        <f t="shared" si="41"/>
        <v>9.8000000000000004E-2</v>
      </c>
      <c r="AR90" s="100" t="str">
        <f t="shared" si="42"/>
        <v>OK</v>
      </c>
      <c r="AS90" s="106">
        <f t="shared" si="43"/>
        <v>642</v>
      </c>
      <c r="AT90" s="112">
        <f t="shared" si="44"/>
        <v>7.5999999999999998E-2</v>
      </c>
      <c r="AU90" s="113" t="str">
        <f t="shared" si="45"/>
        <v>OK</v>
      </c>
      <c r="AV90" s="106">
        <f t="shared" si="29"/>
        <v>0</v>
      </c>
      <c r="AW90" s="112" t="e">
        <f t="shared" si="30"/>
        <v>#REF!</v>
      </c>
      <c r="AX90" s="114" t="e">
        <f t="shared" si="31"/>
        <v>#REF!</v>
      </c>
      <c r="AY90" s="99"/>
      <c r="AZ90" s="100"/>
      <c r="BA90" s="104">
        <f t="shared" si="32"/>
        <v>0</v>
      </c>
      <c r="BB90" s="115">
        <f t="shared" si="33"/>
        <v>1</v>
      </c>
      <c r="BC90" s="116" t="e">
        <f>SUMIF(#REF!,#REF!, BB20:BB333)</f>
        <v>#REF!</v>
      </c>
      <c r="BD90" s="116">
        <f t="shared" si="34"/>
        <v>1</v>
      </c>
      <c r="BE90" s="116" t="e">
        <f>SUMIF(#REF!,#REF!, BD20:BD333)</f>
        <v>#REF!</v>
      </c>
      <c r="BF90" s="116">
        <f t="shared" si="35"/>
        <v>0</v>
      </c>
      <c r="BG90" s="116" t="e">
        <f>SUMIF(#REF!,#REF!, BF20:BF333)</f>
        <v>#REF!</v>
      </c>
      <c r="BH90" s="116" t="e">
        <f t="shared" si="36"/>
        <v>#REF!</v>
      </c>
      <c r="BI90" s="117">
        <f>SUMIF(B20:B333, B90, BH20:BH333)</f>
        <v>0</v>
      </c>
      <c r="BJ90" s="118"/>
      <c r="BK90" s="92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4"/>
    </row>
    <row r="91" spans="1:82" x14ac:dyDescent="0.3">
      <c r="A91" s="68" t="s">
        <v>247</v>
      </c>
      <c r="B91" s="69"/>
      <c r="C91" s="70" t="s">
        <v>248</v>
      </c>
      <c r="D91" s="70" t="s">
        <v>112</v>
      </c>
      <c r="E91" s="71" t="s">
        <v>117</v>
      </c>
      <c r="F91" s="72" t="s">
        <v>245</v>
      </c>
      <c r="G91" s="73"/>
      <c r="H91" s="74" t="s">
        <v>245</v>
      </c>
      <c r="I91" s="72" t="s">
        <v>4</v>
      </c>
      <c r="J91" s="73" t="s">
        <v>67</v>
      </c>
      <c r="K91" s="75"/>
      <c r="L91" s="76"/>
      <c r="M91" s="77"/>
      <c r="N91" s="78">
        <v>18666</v>
      </c>
      <c r="O91" s="79">
        <v>19809</v>
      </c>
      <c r="P91" s="79">
        <v>20609</v>
      </c>
      <c r="Q91" s="80"/>
      <c r="R91" s="155">
        <v>0.09</v>
      </c>
      <c r="S91" s="78">
        <v>1680</v>
      </c>
      <c r="T91" s="79">
        <v>1783</v>
      </c>
      <c r="U91" s="79">
        <v>1855</v>
      </c>
      <c r="V91" s="80">
        <f t="shared" si="26"/>
        <v>0</v>
      </c>
      <c r="W91" s="82"/>
      <c r="X91" s="83"/>
      <c r="Y91" s="84" t="s">
        <v>104</v>
      </c>
      <c r="Z91" s="73" t="str">
        <f>'[1]Tier 1'!V91</f>
        <v>C</v>
      </c>
      <c r="AA91" s="73"/>
      <c r="AB91" s="73"/>
      <c r="AC91" s="73"/>
      <c r="AD91" s="74"/>
      <c r="AE91" s="78">
        <f>'[1]Tier 1'!W91</f>
        <v>5640</v>
      </c>
      <c r="AF91" s="79"/>
      <c r="AG91" s="79">
        <f>'[1]Tier 1'!X91</f>
        <v>5640</v>
      </c>
      <c r="AH91" s="79"/>
      <c r="AI91" s="79">
        <f>'[1]Tier 1'!Y91</f>
        <v>5640</v>
      </c>
      <c r="AJ91" s="79">
        <f t="shared" si="27"/>
        <v>5076</v>
      </c>
      <c r="AK91" s="79" t="e">
        <f>VLOOKUP(A91,#REF!,-1,FALSE)</f>
        <v>#REF!</v>
      </c>
      <c r="AL91" s="80" t="e">
        <f t="shared" si="28"/>
        <v>#REF!</v>
      </c>
      <c r="AM91" s="78">
        <f t="shared" si="37"/>
        <v>1680</v>
      </c>
      <c r="AN91" s="85">
        <f t="shared" si="38"/>
        <v>0.29799999999999999</v>
      </c>
      <c r="AO91" s="73" t="str">
        <f t="shared" si="39"/>
        <v>OK</v>
      </c>
      <c r="AP91" s="79">
        <f t="shared" si="40"/>
        <v>1783</v>
      </c>
      <c r="AQ91" s="85">
        <f t="shared" si="41"/>
        <v>0.316</v>
      </c>
      <c r="AR91" s="73" t="str">
        <f t="shared" si="42"/>
        <v>OK</v>
      </c>
      <c r="AS91" s="79">
        <f t="shared" si="43"/>
        <v>1855</v>
      </c>
      <c r="AT91" s="85">
        <f t="shared" si="44"/>
        <v>0.32900000000000001</v>
      </c>
      <c r="AU91" s="86" t="str">
        <f t="shared" si="45"/>
        <v>OK</v>
      </c>
      <c r="AV91" s="79">
        <f t="shared" si="29"/>
        <v>0</v>
      </c>
      <c r="AW91" s="85" t="e">
        <f t="shared" si="30"/>
        <v>#REF!</v>
      </c>
      <c r="AX91" s="87" t="e">
        <f t="shared" si="31"/>
        <v>#REF!</v>
      </c>
      <c r="AY91" s="72"/>
      <c r="AZ91" s="73"/>
      <c r="BA91" s="77">
        <f t="shared" si="32"/>
        <v>0</v>
      </c>
      <c r="BB91" s="88">
        <f t="shared" si="33"/>
        <v>1</v>
      </c>
      <c r="BC91" s="89" t="e">
        <f>SUMIF(#REF!,#REF!, BB20:BB333)</f>
        <v>#REF!</v>
      </c>
      <c r="BD91" s="89">
        <f t="shared" si="34"/>
        <v>1</v>
      </c>
      <c r="BE91" s="89" t="e">
        <f>SUMIF(#REF!,#REF!, BD20:BD333)</f>
        <v>#REF!</v>
      </c>
      <c r="BF91" s="89">
        <f t="shared" si="35"/>
        <v>0</v>
      </c>
      <c r="BG91" s="89" t="e">
        <f>SUMIF(#REF!,#REF!, BF20:BF333)</f>
        <v>#REF!</v>
      </c>
      <c r="BH91" s="89" t="e">
        <f t="shared" si="36"/>
        <v>#REF!</v>
      </c>
      <c r="BI91" s="90">
        <f>SUMIF(B20:B333, B91, BH20:BH333)</f>
        <v>0</v>
      </c>
      <c r="BJ91" s="91"/>
      <c r="BK91" s="92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94"/>
    </row>
    <row r="92" spans="1:82" s="145" customFormat="1" x14ac:dyDescent="0.3">
      <c r="A92" s="119" t="s">
        <v>249</v>
      </c>
      <c r="B92" s="120"/>
      <c r="C92" s="121" t="s">
        <v>248</v>
      </c>
      <c r="D92" s="121" t="s">
        <v>117</v>
      </c>
      <c r="E92" s="122" t="s">
        <v>102</v>
      </c>
      <c r="F92" s="123" t="s">
        <v>245</v>
      </c>
      <c r="G92" s="124"/>
      <c r="H92" s="125" t="s">
        <v>245</v>
      </c>
      <c r="I92" s="123" t="s">
        <v>4</v>
      </c>
      <c r="J92" s="124" t="s">
        <v>67</v>
      </c>
      <c r="K92" s="126"/>
      <c r="L92" s="127"/>
      <c r="M92" s="128"/>
      <c r="N92" s="129">
        <v>10200</v>
      </c>
      <c r="O92" s="130">
        <v>10824</v>
      </c>
      <c r="P92" s="130">
        <v>11262</v>
      </c>
      <c r="Q92" s="131"/>
      <c r="R92" s="157">
        <v>0.09</v>
      </c>
      <c r="S92" s="129">
        <v>918</v>
      </c>
      <c r="T92" s="130">
        <v>974</v>
      </c>
      <c r="U92" s="130">
        <v>1014</v>
      </c>
      <c r="V92" s="131">
        <f t="shared" si="26"/>
        <v>0</v>
      </c>
      <c r="W92" s="132"/>
      <c r="X92" s="133"/>
      <c r="Y92" s="134" t="s">
        <v>104</v>
      </c>
      <c r="Z92" s="124" t="str">
        <f>'[1]Tier 1'!V92</f>
        <v>C</v>
      </c>
      <c r="AA92" s="124"/>
      <c r="AB92" s="124"/>
      <c r="AC92" s="124"/>
      <c r="AD92" s="125"/>
      <c r="AE92" s="129">
        <f>'[1]Tier 1'!W92</f>
        <v>5640</v>
      </c>
      <c r="AF92" s="130"/>
      <c r="AG92" s="130">
        <f>'[1]Tier 1'!X92</f>
        <v>5640</v>
      </c>
      <c r="AH92" s="130"/>
      <c r="AI92" s="130">
        <f>'[1]Tier 1'!Y92</f>
        <v>5640</v>
      </c>
      <c r="AJ92" s="130">
        <f t="shared" si="27"/>
        <v>5076</v>
      </c>
      <c r="AK92" s="130" t="e">
        <f>VLOOKUP(A92,#REF!,-1,FALSE)</f>
        <v>#REF!</v>
      </c>
      <c r="AL92" s="131" t="e">
        <f t="shared" si="28"/>
        <v>#REF!</v>
      </c>
      <c r="AM92" s="129">
        <f t="shared" si="37"/>
        <v>918</v>
      </c>
      <c r="AN92" s="135">
        <f t="shared" si="38"/>
        <v>0.16300000000000001</v>
      </c>
      <c r="AO92" s="124" t="str">
        <f t="shared" si="39"/>
        <v>OK</v>
      </c>
      <c r="AP92" s="130">
        <f t="shared" si="40"/>
        <v>974</v>
      </c>
      <c r="AQ92" s="135">
        <f t="shared" si="41"/>
        <v>0.17299999999999999</v>
      </c>
      <c r="AR92" s="124" t="str">
        <f t="shared" si="42"/>
        <v>OK</v>
      </c>
      <c r="AS92" s="130">
        <f t="shared" si="43"/>
        <v>1014</v>
      </c>
      <c r="AT92" s="135">
        <f t="shared" si="44"/>
        <v>0.18</v>
      </c>
      <c r="AU92" s="136" t="str">
        <f t="shared" si="45"/>
        <v>OK</v>
      </c>
      <c r="AV92" s="130">
        <f t="shared" si="29"/>
        <v>0</v>
      </c>
      <c r="AW92" s="135" t="e">
        <f t="shared" si="30"/>
        <v>#REF!</v>
      </c>
      <c r="AX92" s="137" t="e">
        <f t="shared" si="31"/>
        <v>#REF!</v>
      </c>
      <c r="AY92" s="123"/>
      <c r="AZ92" s="124"/>
      <c r="BA92" s="128">
        <f t="shared" si="32"/>
        <v>0</v>
      </c>
      <c r="BB92" s="138">
        <f t="shared" si="33"/>
        <v>1</v>
      </c>
      <c r="BC92" s="139" t="e">
        <f>SUMIF(#REF!,#REF!, BB20:BB333)</f>
        <v>#REF!</v>
      </c>
      <c r="BD92" s="139">
        <f t="shared" si="34"/>
        <v>1</v>
      </c>
      <c r="BE92" s="139" t="e">
        <f>SUMIF(#REF!,#REF!, BD20:BD333)</f>
        <v>#REF!</v>
      </c>
      <c r="BF92" s="139">
        <f t="shared" si="35"/>
        <v>0</v>
      </c>
      <c r="BG92" s="139" t="e">
        <f>SUMIF(#REF!,#REF!, BF20:BF333)</f>
        <v>#REF!</v>
      </c>
      <c r="BH92" s="139" t="e">
        <f t="shared" si="36"/>
        <v>#REF!</v>
      </c>
      <c r="BI92" s="140">
        <f>SUMIF(B20:B333, B92, BH20:BH333)</f>
        <v>0</v>
      </c>
      <c r="BJ92" s="141"/>
      <c r="BK92" s="142"/>
      <c r="BL92" s="143"/>
      <c r="BM92" s="143"/>
      <c r="BN92" s="143"/>
      <c r="BO92" s="143"/>
      <c r="BP92" s="143"/>
      <c r="BQ92" s="143"/>
      <c r="BR92" s="143"/>
      <c r="BS92" s="143"/>
      <c r="BT92" s="143"/>
      <c r="BU92" s="143"/>
      <c r="BV92" s="143"/>
      <c r="BW92" s="143"/>
      <c r="BX92" s="143"/>
      <c r="BY92" s="143"/>
      <c r="BZ92" s="143"/>
      <c r="CA92" s="143"/>
      <c r="CB92" s="143"/>
      <c r="CC92" s="143"/>
      <c r="CD92" s="144"/>
    </row>
    <row r="93" spans="1:82" x14ac:dyDescent="0.3">
      <c r="A93" s="68" t="s">
        <v>250</v>
      </c>
      <c r="B93" s="69"/>
      <c r="C93" s="70" t="s">
        <v>248</v>
      </c>
      <c r="D93" s="70" t="s">
        <v>102</v>
      </c>
      <c r="E93" s="71" t="s">
        <v>164</v>
      </c>
      <c r="F93" s="72" t="s">
        <v>245</v>
      </c>
      <c r="G93" s="73"/>
      <c r="H93" s="74" t="s">
        <v>245</v>
      </c>
      <c r="I93" s="72" t="s">
        <v>4</v>
      </c>
      <c r="J93" s="73" t="s">
        <v>67</v>
      </c>
      <c r="K93" s="75"/>
      <c r="L93" s="76"/>
      <c r="M93" s="77"/>
      <c r="N93" s="78">
        <v>6873</v>
      </c>
      <c r="O93" s="79">
        <v>7448</v>
      </c>
      <c r="P93" s="79">
        <v>7831</v>
      </c>
      <c r="Q93" s="80"/>
      <c r="R93" s="155">
        <v>0.09</v>
      </c>
      <c r="S93" s="78">
        <v>619</v>
      </c>
      <c r="T93" s="79">
        <v>670</v>
      </c>
      <c r="U93" s="79">
        <v>705</v>
      </c>
      <c r="V93" s="80">
        <f t="shared" si="26"/>
        <v>0</v>
      </c>
      <c r="W93" s="82"/>
      <c r="X93" s="83"/>
      <c r="Y93" s="84" t="s">
        <v>104</v>
      </c>
      <c r="Z93" s="73" t="str">
        <f>'[1]Tier 1'!V93</f>
        <v>C</v>
      </c>
      <c r="AA93" s="73"/>
      <c r="AB93" s="73"/>
      <c r="AC93" s="73"/>
      <c r="AD93" s="74"/>
      <c r="AE93" s="78">
        <f>'[1]Tier 1'!W93</f>
        <v>5640</v>
      </c>
      <c r="AF93" s="79"/>
      <c r="AG93" s="79">
        <f>'[1]Tier 1'!X93</f>
        <v>5640</v>
      </c>
      <c r="AH93" s="79"/>
      <c r="AI93" s="79">
        <f>'[1]Tier 1'!Y93</f>
        <v>5640</v>
      </c>
      <c r="AJ93" s="79">
        <f t="shared" si="27"/>
        <v>5076</v>
      </c>
      <c r="AK93" s="79" t="e">
        <f>VLOOKUP(A93,#REF!,-1,FALSE)</f>
        <v>#REF!</v>
      </c>
      <c r="AL93" s="80" t="e">
        <f t="shared" si="28"/>
        <v>#REF!</v>
      </c>
      <c r="AM93" s="78">
        <f t="shared" si="37"/>
        <v>619</v>
      </c>
      <c r="AN93" s="85">
        <f t="shared" si="38"/>
        <v>0.11</v>
      </c>
      <c r="AO93" s="73" t="str">
        <f t="shared" si="39"/>
        <v>OK</v>
      </c>
      <c r="AP93" s="79">
        <f t="shared" si="40"/>
        <v>670</v>
      </c>
      <c r="AQ93" s="85">
        <f t="shared" si="41"/>
        <v>0.11899999999999999</v>
      </c>
      <c r="AR93" s="73" t="str">
        <f t="shared" si="42"/>
        <v>OK</v>
      </c>
      <c r="AS93" s="79">
        <f t="shared" si="43"/>
        <v>705</v>
      </c>
      <c r="AT93" s="85">
        <f t="shared" si="44"/>
        <v>0.125</v>
      </c>
      <c r="AU93" s="86" t="str">
        <f t="shared" si="45"/>
        <v>OK</v>
      </c>
      <c r="AV93" s="79">
        <f t="shared" si="29"/>
        <v>0</v>
      </c>
      <c r="AW93" s="85" t="e">
        <f t="shared" si="30"/>
        <v>#REF!</v>
      </c>
      <c r="AX93" s="87" t="e">
        <f t="shared" si="31"/>
        <v>#REF!</v>
      </c>
      <c r="AY93" s="72"/>
      <c r="AZ93" s="73"/>
      <c r="BA93" s="77">
        <f t="shared" si="32"/>
        <v>0</v>
      </c>
      <c r="BB93" s="88">
        <f t="shared" si="33"/>
        <v>1</v>
      </c>
      <c r="BC93" s="89" t="e">
        <f>SUMIF(#REF!,#REF!, BB20:BB333)</f>
        <v>#REF!</v>
      </c>
      <c r="BD93" s="89">
        <f t="shared" si="34"/>
        <v>1</v>
      </c>
      <c r="BE93" s="89" t="e">
        <f>SUMIF(#REF!,#REF!, BD20:BD333)</f>
        <v>#REF!</v>
      </c>
      <c r="BF93" s="89">
        <f t="shared" si="35"/>
        <v>0</v>
      </c>
      <c r="BG93" s="89" t="e">
        <f>SUMIF(#REF!,#REF!, BF20:BF333)</f>
        <v>#REF!</v>
      </c>
      <c r="BH93" s="89" t="e">
        <f t="shared" si="36"/>
        <v>#REF!</v>
      </c>
      <c r="BI93" s="90">
        <f>SUMIF(B20:B333, B93, BH20:BH333)</f>
        <v>0</v>
      </c>
      <c r="BJ93" s="91"/>
      <c r="BK93" s="92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  <c r="CD93" s="94"/>
    </row>
    <row r="94" spans="1:82" x14ac:dyDescent="0.3">
      <c r="A94" s="95" t="s">
        <v>251</v>
      </c>
      <c r="B94" s="96"/>
      <c r="C94" s="97" t="s">
        <v>248</v>
      </c>
      <c r="D94" s="97" t="s">
        <v>164</v>
      </c>
      <c r="E94" s="98" t="s">
        <v>252</v>
      </c>
      <c r="F94" s="99" t="s">
        <v>245</v>
      </c>
      <c r="G94" s="100"/>
      <c r="H94" s="101" t="s">
        <v>103</v>
      </c>
      <c r="I94" s="99" t="s">
        <v>4</v>
      </c>
      <c r="J94" s="100" t="s">
        <v>67</v>
      </c>
      <c r="K94" s="102"/>
      <c r="L94" s="103"/>
      <c r="M94" s="104"/>
      <c r="N94" s="105">
        <v>6873</v>
      </c>
      <c r="O94" s="106">
        <v>7448</v>
      </c>
      <c r="P94" s="106">
        <v>7831</v>
      </c>
      <c r="Q94" s="107"/>
      <c r="R94" s="156">
        <v>0.09</v>
      </c>
      <c r="S94" s="105">
        <v>619</v>
      </c>
      <c r="T94" s="106">
        <v>670</v>
      </c>
      <c r="U94" s="106">
        <v>705</v>
      </c>
      <c r="V94" s="107">
        <f t="shared" si="26"/>
        <v>0</v>
      </c>
      <c r="W94" s="109"/>
      <c r="X94" s="110"/>
      <c r="Y94" s="111" t="s">
        <v>104</v>
      </c>
      <c r="Z94" s="100" t="str">
        <f>'[1]Tier 1'!V94</f>
        <v>C</v>
      </c>
      <c r="AA94" s="100"/>
      <c r="AB94" s="100"/>
      <c r="AC94" s="100"/>
      <c r="AD94" s="101"/>
      <c r="AE94" s="105">
        <f>'[1]Tier 1'!W94</f>
        <v>5640</v>
      </c>
      <c r="AF94" s="106"/>
      <c r="AG94" s="106">
        <f>'[1]Tier 1'!X94</f>
        <v>5640</v>
      </c>
      <c r="AH94" s="106"/>
      <c r="AI94" s="106">
        <f>'[1]Tier 1'!Y94</f>
        <v>5640</v>
      </c>
      <c r="AJ94" s="106">
        <f t="shared" si="27"/>
        <v>5076</v>
      </c>
      <c r="AK94" s="106" t="e">
        <f>VLOOKUP(A94,#REF!,-1,FALSE)</f>
        <v>#REF!</v>
      </c>
      <c r="AL94" s="107" t="e">
        <f t="shared" si="28"/>
        <v>#REF!</v>
      </c>
      <c r="AM94" s="105">
        <f t="shared" si="37"/>
        <v>619</v>
      </c>
      <c r="AN94" s="112">
        <f t="shared" si="38"/>
        <v>0.11</v>
      </c>
      <c r="AO94" s="100" t="str">
        <f t="shared" si="39"/>
        <v>OK</v>
      </c>
      <c r="AP94" s="106">
        <f t="shared" si="40"/>
        <v>670</v>
      </c>
      <c r="AQ94" s="112">
        <f t="shared" si="41"/>
        <v>0.11899999999999999</v>
      </c>
      <c r="AR94" s="100" t="str">
        <f t="shared" si="42"/>
        <v>OK</v>
      </c>
      <c r="AS94" s="106">
        <f t="shared" si="43"/>
        <v>705</v>
      </c>
      <c r="AT94" s="112">
        <f t="shared" si="44"/>
        <v>0.125</v>
      </c>
      <c r="AU94" s="113" t="str">
        <f t="shared" si="45"/>
        <v>OK</v>
      </c>
      <c r="AV94" s="106">
        <f t="shared" si="29"/>
        <v>0</v>
      </c>
      <c r="AW94" s="112" t="e">
        <f t="shared" si="30"/>
        <v>#REF!</v>
      </c>
      <c r="AX94" s="114" t="e">
        <f t="shared" si="31"/>
        <v>#REF!</v>
      </c>
      <c r="AY94" s="99"/>
      <c r="AZ94" s="100"/>
      <c r="BA94" s="104">
        <f t="shared" si="32"/>
        <v>0</v>
      </c>
      <c r="BB94" s="115">
        <f t="shared" si="33"/>
        <v>1</v>
      </c>
      <c r="BC94" s="116" t="e">
        <f>SUMIF(#REF!,#REF!, BB20:BB333)</f>
        <v>#REF!</v>
      </c>
      <c r="BD94" s="116">
        <f t="shared" si="34"/>
        <v>1</v>
      </c>
      <c r="BE94" s="116" t="e">
        <f>SUMIF(#REF!,#REF!, BD20:BD333)</f>
        <v>#REF!</v>
      </c>
      <c r="BF94" s="116">
        <f t="shared" si="35"/>
        <v>0</v>
      </c>
      <c r="BG94" s="116" t="e">
        <f>SUMIF(#REF!,#REF!, BF20:BF333)</f>
        <v>#REF!</v>
      </c>
      <c r="BH94" s="116" t="e">
        <f t="shared" si="36"/>
        <v>#REF!</v>
      </c>
      <c r="BI94" s="117">
        <f>SUMIF(B20:B333, B94, BH20:BH333)</f>
        <v>0</v>
      </c>
      <c r="BJ94" s="118"/>
      <c r="BK94" s="92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  <c r="CD94" s="94"/>
    </row>
    <row r="95" spans="1:82" x14ac:dyDescent="0.3">
      <c r="A95" s="68" t="s">
        <v>253</v>
      </c>
      <c r="B95" s="69"/>
      <c r="C95" s="70" t="s">
        <v>248</v>
      </c>
      <c r="D95" s="70" t="s">
        <v>252</v>
      </c>
      <c r="E95" s="71" t="s">
        <v>140</v>
      </c>
      <c r="F95" s="72" t="s">
        <v>245</v>
      </c>
      <c r="G95" s="73"/>
      <c r="H95" s="74" t="s">
        <v>138</v>
      </c>
      <c r="I95" s="72" t="s">
        <v>4</v>
      </c>
      <c r="J95" s="73" t="s">
        <v>67</v>
      </c>
      <c r="K95" s="75"/>
      <c r="L95" s="76"/>
      <c r="M95" s="77"/>
      <c r="N95" s="78">
        <v>6873</v>
      </c>
      <c r="O95" s="79">
        <v>7448</v>
      </c>
      <c r="P95" s="79">
        <v>7831</v>
      </c>
      <c r="Q95" s="80"/>
      <c r="R95" s="155">
        <v>0.09</v>
      </c>
      <c r="S95" s="78">
        <v>619</v>
      </c>
      <c r="T95" s="79">
        <v>670</v>
      </c>
      <c r="U95" s="79">
        <v>705</v>
      </c>
      <c r="V95" s="80">
        <f t="shared" si="26"/>
        <v>0</v>
      </c>
      <c r="W95" s="82"/>
      <c r="X95" s="83"/>
      <c r="Y95" s="84" t="s">
        <v>104</v>
      </c>
      <c r="Z95" s="73" t="str">
        <f>'[1]Tier 1'!V95</f>
        <v>C</v>
      </c>
      <c r="AA95" s="73"/>
      <c r="AB95" s="73"/>
      <c r="AC95" s="73"/>
      <c r="AD95" s="74"/>
      <c r="AE95" s="78">
        <f>'[1]Tier 1'!W95</f>
        <v>5780</v>
      </c>
      <c r="AF95" s="79"/>
      <c r="AG95" s="79">
        <f>'[1]Tier 1'!X95</f>
        <v>5780</v>
      </c>
      <c r="AH95" s="79"/>
      <c r="AI95" s="79">
        <f>'[1]Tier 1'!Y95</f>
        <v>5780</v>
      </c>
      <c r="AJ95" s="79">
        <f t="shared" si="27"/>
        <v>5202</v>
      </c>
      <c r="AK95" s="79" t="e">
        <f>VLOOKUP(A95,#REF!,-1,FALSE)</f>
        <v>#REF!</v>
      </c>
      <c r="AL95" s="80" t="e">
        <f t="shared" si="28"/>
        <v>#REF!</v>
      </c>
      <c r="AM95" s="78">
        <f t="shared" si="37"/>
        <v>619</v>
      </c>
      <c r="AN95" s="85">
        <f t="shared" si="38"/>
        <v>0.107</v>
      </c>
      <c r="AO95" s="73" t="str">
        <f t="shared" si="39"/>
        <v>OK</v>
      </c>
      <c r="AP95" s="79">
        <f t="shared" si="40"/>
        <v>670</v>
      </c>
      <c r="AQ95" s="85">
        <f t="shared" si="41"/>
        <v>0.11600000000000001</v>
      </c>
      <c r="AR95" s="73" t="str">
        <f t="shared" si="42"/>
        <v>OK</v>
      </c>
      <c r="AS95" s="79">
        <f t="shared" si="43"/>
        <v>705</v>
      </c>
      <c r="AT95" s="85">
        <f t="shared" si="44"/>
        <v>0.122</v>
      </c>
      <c r="AU95" s="86" t="str">
        <f t="shared" si="45"/>
        <v>OK</v>
      </c>
      <c r="AV95" s="79">
        <f t="shared" si="29"/>
        <v>0</v>
      </c>
      <c r="AW95" s="85" t="e">
        <f t="shared" si="30"/>
        <v>#REF!</v>
      </c>
      <c r="AX95" s="87" t="e">
        <f t="shared" si="31"/>
        <v>#REF!</v>
      </c>
      <c r="AY95" s="72"/>
      <c r="AZ95" s="73"/>
      <c r="BA95" s="77">
        <f t="shared" si="32"/>
        <v>0</v>
      </c>
      <c r="BB95" s="88">
        <f t="shared" si="33"/>
        <v>1</v>
      </c>
      <c r="BC95" s="89" t="e">
        <f>SUMIF(#REF!,#REF!, BB20:BB333)</f>
        <v>#REF!</v>
      </c>
      <c r="BD95" s="89">
        <f t="shared" si="34"/>
        <v>1</v>
      </c>
      <c r="BE95" s="89" t="e">
        <f>SUMIF(#REF!,#REF!, BD20:BD333)</f>
        <v>#REF!</v>
      </c>
      <c r="BF95" s="89">
        <f t="shared" si="35"/>
        <v>0</v>
      </c>
      <c r="BG95" s="89" t="e">
        <f>SUMIF(#REF!,#REF!, BF20:BF333)</f>
        <v>#REF!</v>
      </c>
      <c r="BH95" s="89" t="e">
        <f t="shared" si="36"/>
        <v>#REF!</v>
      </c>
      <c r="BI95" s="90">
        <f>SUMIF(B20:B333, B95, BH20:BH333)</f>
        <v>0</v>
      </c>
      <c r="BJ95" s="91"/>
      <c r="BK95" s="92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4"/>
    </row>
    <row r="96" spans="1:82" x14ac:dyDescent="0.3">
      <c r="A96" s="95" t="s">
        <v>254</v>
      </c>
      <c r="B96" s="96"/>
      <c r="C96" s="97" t="s">
        <v>140</v>
      </c>
      <c r="D96" s="97" t="s">
        <v>111</v>
      </c>
      <c r="E96" s="98" t="s">
        <v>255</v>
      </c>
      <c r="F96" s="99" t="s">
        <v>103</v>
      </c>
      <c r="G96" s="100"/>
      <c r="H96" s="101" t="s">
        <v>138</v>
      </c>
      <c r="I96" s="99" t="s">
        <v>4</v>
      </c>
      <c r="J96" s="100" t="s">
        <v>6</v>
      </c>
      <c r="K96" s="102"/>
      <c r="L96" s="103"/>
      <c r="M96" s="104"/>
      <c r="N96" s="105">
        <v>7553</v>
      </c>
      <c r="O96" s="106">
        <v>7484</v>
      </c>
      <c r="P96" s="106">
        <v>7438</v>
      </c>
      <c r="Q96" s="107"/>
      <c r="R96" s="156">
        <v>0.09</v>
      </c>
      <c r="S96" s="105">
        <v>680</v>
      </c>
      <c r="T96" s="106">
        <v>674</v>
      </c>
      <c r="U96" s="106">
        <v>669</v>
      </c>
      <c r="V96" s="107">
        <f t="shared" si="26"/>
        <v>0</v>
      </c>
      <c r="W96" s="109"/>
      <c r="X96" s="110"/>
      <c r="Y96" s="111" t="s">
        <v>104</v>
      </c>
      <c r="Z96" s="100" t="str">
        <f>'[1]Tier 1'!V96</f>
        <v>C</v>
      </c>
      <c r="AA96" s="100"/>
      <c r="AB96" s="100"/>
      <c r="AC96" s="100"/>
      <c r="AD96" s="101"/>
      <c r="AE96" s="105">
        <f>'[1]Tier 1'!W96</f>
        <v>660</v>
      </c>
      <c r="AF96" s="106"/>
      <c r="AG96" s="106">
        <f>'[1]Tier 1'!X96</f>
        <v>660</v>
      </c>
      <c r="AH96" s="106"/>
      <c r="AI96" s="106">
        <f>'[1]Tier 1'!Y96</f>
        <v>660</v>
      </c>
      <c r="AJ96" s="106">
        <f t="shared" si="27"/>
        <v>594</v>
      </c>
      <c r="AK96" s="106" t="e">
        <f>VLOOKUP(A96,#REF!,-1,FALSE)</f>
        <v>#REF!</v>
      </c>
      <c r="AL96" s="107" t="e">
        <f t="shared" si="28"/>
        <v>#REF!</v>
      </c>
      <c r="AM96" s="105">
        <f t="shared" si="37"/>
        <v>680</v>
      </c>
      <c r="AN96" s="112">
        <f t="shared" si="38"/>
        <v>1.03</v>
      </c>
      <c r="AO96" s="100" t="str">
        <f t="shared" si="39"/>
        <v>OK</v>
      </c>
      <c r="AP96" s="106">
        <f t="shared" si="40"/>
        <v>674</v>
      </c>
      <c r="AQ96" s="112">
        <f t="shared" si="41"/>
        <v>1.0209999999999999</v>
      </c>
      <c r="AR96" s="100" t="str">
        <f t="shared" si="42"/>
        <v>OK</v>
      </c>
      <c r="AS96" s="106">
        <f t="shared" si="43"/>
        <v>669</v>
      </c>
      <c r="AT96" s="112">
        <f t="shared" si="44"/>
        <v>1.014</v>
      </c>
      <c r="AU96" s="113" t="str">
        <f t="shared" si="45"/>
        <v>OK</v>
      </c>
      <c r="AV96" s="106">
        <f t="shared" si="29"/>
        <v>0</v>
      </c>
      <c r="AW96" s="112" t="e">
        <f t="shared" si="30"/>
        <v>#REF!</v>
      </c>
      <c r="AX96" s="114" t="e">
        <f t="shared" si="31"/>
        <v>#REF!</v>
      </c>
      <c r="AY96" s="99"/>
      <c r="AZ96" s="100"/>
      <c r="BA96" s="104">
        <f t="shared" si="32"/>
        <v>0</v>
      </c>
      <c r="BB96" s="115">
        <f t="shared" si="33"/>
        <v>1</v>
      </c>
      <c r="BC96" s="116" t="e">
        <f>SUMIF(#REF!,#REF!, BB20:BB333)</f>
        <v>#REF!</v>
      </c>
      <c r="BD96" s="116">
        <f t="shared" si="34"/>
        <v>1</v>
      </c>
      <c r="BE96" s="116" t="e">
        <f>SUMIF(#REF!,#REF!, BD20:BD333)</f>
        <v>#REF!</v>
      </c>
      <c r="BF96" s="116">
        <f t="shared" si="35"/>
        <v>1</v>
      </c>
      <c r="BG96" s="116" t="e">
        <f>SUMIF(#REF!,#REF!, BF20:BF333)</f>
        <v>#REF!</v>
      </c>
      <c r="BH96" s="116" t="e">
        <f t="shared" si="36"/>
        <v>#REF!</v>
      </c>
      <c r="BI96" s="117">
        <f>SUMIF(B20:B333, B96, BH20:BH333)</f>
        <v>0</v>
      </c>
      <c r="BJ96" s="118"/>
      <c r="BK96" s="92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4"/>
    </row>
    <row r="97" spans="1:82" x14ac:dyDescent="0.3">
      <c r="A97" s="68" t="s">
        <v>256</v>
      </c>
      <c r="B97" s="69"/>
      <c r="C97" s="70" t="s">
        <v>140</v>
      </c>
      <c r="D97" s="70" t="s">
        <v>255</v>
      </c>
      <c r="E97" s="71" t="s">
        <v>200</v>
      </c>
      <c r="F97" s="72" t="s">
        <v>138</v>
      </c>
      <c r="G97" s="73"/>
      <c r="H97" s="74" t="s">
        <v>103</v>
      </c>
      <c r="I97" s="72" t="s">
        <v>4</v>
      </c>
      <c r="J97" s="73" t="s">
        <v>6</v>
      </c>
      <c r="K97" s="75"/>
      <c r="L97" s="76"/>
      <c r="M97" s="77"/>
      <c r="N97" s="78">
        <v>10710</v>
      </c>
      <c r="O97" s="79">
        <v>11366</v>
      </c>
      <c r="P97" s="79">
        <v>11825</v>
      </c>
      <c r="Q97" s="80"/>
      <c r="R97" s="155">
        <v>0.09</v>
      </c>
      <c r="S97" s="78">
        <v>964</v>
      </c>
      <c r="T97" s="79">
        <v>1023</v>
      </c>
      <c r="U97" s="79">
        <v>1064</v>
      </c>
      <c r="V97" s="80">
        <f t="shared" si="26"/>
        <v>0</v>
      </c>
      <c r="W97" s="82"/>
      <c r="X97" s="83"/>
      <c r="Y97" s="84" t="s">
        <v>104</v>
      </c>
      <c r="Z97" s="73" t="str">
        <f>'[1]Tier 1'!V97</f>
        <v>C</v>
      </c>
      <c r="AA97" s="73"/>
      <c r="AB97" s="73"/>
      <c r="AC97" s="73"/>
      <c r="AD97" s="74"/>
      <c r="AE97" s="78">
        <f>'[1]Tier 1'!W97</f>
        <v>693</v>
      </c>
      <c r="AF97" s="79"/>
      <c r="AG97" s="79">
        <f>'[1]Tier 1'!X97</f>
        <v>693</v>
      </c>
      <c r="AH97" s="79"/>
      <c r="AI97" s="79">
        <f>'[1]Tier 1'!Y97</f>
        <v>693</v>
      </c>
      <c r="AJ97" s="79">
        <f t="shared" si="27"/>
        <v>623.70000000000005</v>
      </c>
      <c r="AK97" s="79" t="e">
        <f>VLOOKUP(A97,#REF!,-1,FALSE)</f>
        <v>#REF!</v>
      </c>
      <c r="AL97" s="80" t="e">
        <f t="shared" si="28"/>
        <v>#REF!</v>
      </c>
      <c r="AM97" s="78">
        <f t="shared" si="37"/>
        <v>964</v>
      </c>
      <c r="AN97" s="85">
        <f t="shared" si="38"/>
        <v>1.391</v>
      </c>
      <c r="AO97" s="73" t="str">
        <f t="shared" si="39"/>
        <v>OK</v>
      </c>
      <c r="AP97" s="79">
        <f t="shared" si="40"/>
        <v>1023</v>
      </c>
      <c r="AQ97" s="85">
        <f t="shared" si="41"/>
        <v>1.476</v>
      </c>
      <c r="AR97" s="73" t="str">
        <f t="shared" si="42"/>
        <v>OK</v>
      </c>
      <c r="AS97" s="79">
        <f t="shared" si="43"/>
        <v>1064</v>
      </c>
      <c r="AT97" s="85">
        <f t="shared" si="44"/>
        <v>1.5349999999999999</v>
      </c>
      <c r="AU97" s="86" t="str">
        <f t="shared" si="45"/>
        <v>OK</v>
      </c>
      <c r="AV97" s="79">
        <f t="shared" si="29"/>
        <v>0</v>
      </c>
      <c r="AW97" s="85" t="e">
        <f t="shared" si="30"/>
        <v>#REF!</v>
      </c>
      <c r="AX97" s="87" t="e">
        <f t="shared" si="31"/>
        <v>#REF!</v>
      </c>
      <c r="AY97" s="72"/>
      <c r="AZ97" s="73"/>
      <c r="BA97" s="77">
        <f t="shared" si="32"/>
        <v>0</v>
      </c>
      <c r="BB97" s="88">
        <f t="shared" si="33"/>
        <v>1</v>
      </c>
      <c r="BC97" s="89" t="e">
        <f>SUMIF(#REF!,#REF!, BB20:BB333)</f>
        <v>#REF!</v>
      </c>
      <c r="BD97" s="89">
        <f t="shared" si="34"/>
        <v>1</v>
      </c>
      <c r="BE97" s="89" t="e">
        <f>SUMIF(#REF!,#REF!, BD20:BD333)</f>
        <v>#REF!</v>
      </c>
      <c r="BF97" s="89">
        <f t="shared" si="35"/>
        <v>1</v>
      </c>
      <c r="BG97" s="89" t="e">
        <f>SUMIF(#REF!,#REF!, BF20:BF333)</f>
        <v>#REF!</v>
      </c>
      <c r="BH97" s="89" t="e">
        <f t="shared" si="36"/>
        <v>#REF!</v>
      </c>
      <c r="BI97" s="90">
        <f>SUMIF(B20:B333, B97, BH20:BH333)</f>
        <v>0</v>
      </c>
      <c r="BJ97" s="91"/>
      <c r="BK97" s="92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4"/>
    </row>
    <row r="98" spans="1:82" x14ac:dyDescent="0.3">
      <c r="A98" s="95" t="s">
        <v>257</v>
      </c>
      <c r="B98" s="96"/>
      <c r="C98" s="97" t="s">
        <v>140</v>
      </c>
      <c r="D98" s="97" t="s">
        <v>200</v>
      </c>
      <c r="E98" s="98" t="s">
        <v>160</v>
      </c>
      <c r="F98" s="99" t="s">
        <v>138</v>
      </c>
      <c r="G98" s="100"/>
      <c r="H98" s="101" t="s">
        <v>103</v>
      </c>
      <c r="I98" s="99" t="s">
        <v>4</v>
      </c>
      <c r="J98" s="100" t="s">
        <v>6</v>
      </c>
      <c r="K98" s="102"/>
      <c r="L98" s="103"/>
      <c r="M98" s="104"/>
      <c r="N98" s="105">
        <v>6630</v>
      </c>
      <c r="O98" s="106">
        <v>7036</v>
      </c>
      <c r="P98" s="106">
        <v>7320</v>
      </c>
      <c r="Q98" s="107"/>
      <c r="R98" s="156">
        <v>0.09</v>
      </c>
      <c r="S98" s="105">
        <v>597</v>
      </c>
      <c r="T98" s="106">
        <v>633</v>
      </c>
      <c r="U98" s="106">
        <v>659</v>
      </c>
      <c r="V98" s="107">
        <f t="shared" si="26"/>
        <v>0</v>
      </c>
      <c r="W98" s="109"/>
      <c r="X98" s="110"/>
      <c r="Y98" s="111" t="s">
        <v>104</v>
      </c>
      <c r="Z98" s="100" t="str">
        <f>'[1]Tier 1'!V98</f>
        <v>C</v>
      </c>
      <c r="AA98" s="100"/>
      <c r="AB98" s="100"/>
      <c r="AC98" s="100"/>
      <c r="AD98" s="101"/>
      <c r="AE98" s="105">
        <f>'[1]Tier 1'!W98</f>
        <v>693</v>
      </c>
      <c r="AF98" s="106"/>
      <c r="AG98" s="106">
        <f>'[1]Tier 1'!X98</f>
        <v>693</v>
      </c>
      <c r="AH98" s="106"/>
      <c r="AI98" s="106">
        <f>'[1]Tier 1'!Y98</f>
        <v>693</v>
      </c>
      <c r="AJ98" s="106">
        <f t="shared" si="27"/>
        <v>623.70000000000005</v>
      </c>
      <c r="AK98" s="106" t="e">
        <f>VLOOKUP(A98,#REF!,-1,FALSE)</f>
        <v>#REF!</v>
      </c>
      <c r="AL98" s="107" t="e">
        <f t="shared" si="28"/>
        <v>#REF!</v>
      </c>
      <c r="AM98" s="105">
        <f t="shared" si="37"/>
        <v>597</v>
      </c>
      <c r="AN98" s="112">
        <f t="shared" si="38"/>
        <v>0.86099999999999999</v>
      </c>
      <c r="AO98" s="100" t="str">
        <f t="shared" si="39"/>
        <v>OK</v>
      </c>
      <c r="AP98" s="106">
        <f t="shared" si="40"/>
        <v>633</v>
      </c>
      <c r="AQ98" s="112">
        <f t="shared" si="41"/>
        <v>0.91300000000000003</v>
      </c>
      <c r="AR98" s="100" t="str">
        <f t="shared" si="42"/>
        <v>OK</v>
      </c>
      <c r="AS98" s="106">
        <f t="shared" si="43"/>
        <v>659</v>
      </c>
      <c r="AT98" s="112">
        <f t="shared" si="44"/>
        <v>0.95099999999999996</v>
      </c>
      <c r="AU98" s="113" t="str">
        <f t="shared" si="45"/>
        <v>OK</v>
      </c>
      <c r="AV98" s="106">
        <f t="shared" si="29"/>
        <v>0</v>
      </c>
      <c r="AW98" s="112" t="e">
        <f t="shared" si="30"/>
        <v>#REF!</v>
      </c>
      <c r="AX98" s="114" t="e">
        <f t="shared" si="31"/>
        <v>#REF!</v>
      </c>
      <c r="AY98" s="99"/>
      <c r="AZ98" s="100"/>
      <c r="BA98" s="104">
        <f t="shared" si="32"/>
        <v>0</v>
      </c>
      <c r="BB98" s="115">
        <f t="shared" si="33"/>
        <v>1</v>
      </c>
      <c r="BC98" s="116" t="e">
        <f>SUMIF(#REF!,#REF!, BB20:BB333)</f>
        <v>#REF!</v>
      </c>
      <c r="BD98" s="116">
        <f t="shared" si="34"/>
        <v>1</v>
      </c>
      <c r="BE98" s="116" t="e">
        <f>SUMIF(#REF!,#REF!, BD20:BD333)</f>
        <v>#REF!</v>
      </c>
      <c r="BF98" s="116">
        <f t="shared" si="35"/>
        <v>1</v>
      </c>
      <c r="BG98" s="116" t="e">
        <f>SUMIF(#REF!,#REF!, BF20:BF333)</f>
        <v>#REF!</v>
      </c>
      <c r="BH98" s="116" t="e">
        <f t="shared" si="36"/>
        <v>#REF!</v>
      </c>
      <c r="BI98" s="117">
        <f>SUMIF(B20:B333, B98, BH20:BH333)</f>
        <v>0</v>
      </c>
      <c r="BJ98" s="118"/>
      <c r="BK98" s="92"/>
      <c r="BL98" s="93"/>
      <c r="BM98" s="93"/>
      <c r="BN98" s="93"/>
      <c r="BO98" s="93"/>
      <c r="BP98" s="93"/>
      <c r="BQ98" s="93"/>
      <c r="BR98" s="93"/>
      <c r="BS98" s="93"/>
      <c r="BT98" s="93"/>
      <c r="BU98" s="93"/>
      <c r="BV98" s="93"/>
      <c r="BW98" s="93"/>
      <c r="BX98" s="93"/>
      <c r="BY98" s="93"/>
      <c r="BZ98" s="93"/>
      <c r="CA98" s="93"/>
      <c r="CB98" s="93"/>
      <c r="CC98" s="93"/>
      <c r="CD98" s="94"/>
    </row>
    <row r="99" spans="1:82" x14ac:dyDescent="0.3">
      <c r="A99" s="68" t="s">
        <v>258</v>
      </c>
      <c r="B99" s="69"/>
      <c r="C99" s="70" t="s">
        <v>140</v>
      </c>
      <c r="D99" s="70" t="s">
        <v>160</v>
      </c>
      <c r="E99" s="71" t="s">
        <v>204</v>
      </c>
      <c r="F99" s="72" t="s">
        <v>103</v>
      </c>
      <c r="G99" s="73"/>
      <c r="H99" s="74" t="s">
        <v>103</v>
      </c>
      <c r="I99" s="72" t="s">
        <v>4</v>
      </c>
      <c r="J99" s="73" t="s">
        <v>6</v>
      </c>
      <c r="K99" s="75"/>
      <c r="L99" s="76"/>
      <c r="M99" s="77"/>
      <c r="N99" s="78">
        <v>5741</v>
      </c>
      <c r="O99" s="79">
        <v>6093</v>
      </c>
      <c r="P99" s="79">
        <v>6339</v>
      </c>
      <c r="Q99" s="80"/>
      <c r="R99" s="155">
        <v>0.09</v>
      </c>
      <c r="S99" s="78">
        <v>517</v>
      </c>
      <c r="T99" s="79">
        <v>548</v>
      </c>
      <c r="U99" s="79">
        <v>570</v>
      </c>
      <c r="V99" s="80">
        <f t="shared" si="26"/>
        <v>0</v>
      </c>
      <c r="W99" s="82"/>
      <c r="X99" s="83"/>
      <c r="Y99" s="84" t="s">
        <v>104</v>
      </c>
      <c r="Z99" s="73" t="str">
        <f>'[1]Tier 1'!V99</f>
        <v>C</v>
      </c>
      <c r="AA99" s="73"/>
      <c r="AB99" s="73"/>
      <c r="AC99" s="73"/>
      <c r="AD99" s="74"/>
      <c r="AE99" s="78">
        <f>'[1]Tier 1'!W99</f>
        <v>1510</v>
      </c>
      <c r="AF99" s="79"/>
      <c r="AG99" s="79">
        <f>'[1]Tier 1'!X99</f>
        <v>1510</v>
      </c>
      <c r="AH99" s="79"/>
      <c r="AI99" s="79">
        <f>'[1]Tier 1'!Y99</f>
        <v>1510</v>
      </c>
      <c r="AJ99" s="79">
        <f t="shared" si="27"/>
        <v>1359</v>
      </c>
      <c r="AK99" s="79" t="e">
        <f>VLOOKUP(A99,#REF!,-1,FALSE)</f>
        <v>#REF!</v>
      </c>
      <c r="AL99" s="80" t="e">
        <f t="shared" si="28"/>
        <v>#REF!</v>
      </c>
      <c r="AM99" s="78">
        <f t="shared" si="37"/>
        <v>517</v>
      </c>
      <c r="AN99" s="85">
        <f t="shared" si="38"/>
        <v>0.34200000000000003</v>
      </c>
      <c r="AO99" s="73" t="str">
        <f t="shared" si="39"/>
        <v>OK</v>
      </c>
      <c r="AP99" s="79">
        <f t="shared" si="40"/>
        <v>548</v>
      </c>
      <c r="AQ99" s="85">
        <f t="shared" si="41"/>
        <v>0.36299999999999999</v>
      </c>
      <c r="AR99" s="73" t="str">
        <f t="shared" si="42"/>
        <v>OK</v>
      </c>
      <c r="AS99" s="79">
        <f t="shared" si="43"/>
        <v>570</v>
      </c>
      <c r="AT99" s="85">
        <f t="shared" si="44"/>
        <v>0.377</v>
      </c>
      <c r="AU99" s="86" t="str">
        <f t="shared" si="45"/>
        <v>OK</v>
      </c>
      <c r="AV99" s="79">
        <f t="shared" si="29"/>
        <v>0</v>
      </c>
      <c r="AW99" s="85" t="e">
        <f t="shared" si="30"/>
        <v>#REF!</v>
      </c>
      <c r="AX99" s="87" t="e">
        <f t="shared" si="31"/>
        <v>#REF!</v>
      </c>
      <c r="AY99" s="72"/>
      <c r="AZ99" s="73"/>
      <c r="BA99" s="77">
        <f t="shared" si="32"/>
        <v>0</v>
      </c>
      <c r="BB99" s="88">
        <f t="shared" si="33"/>
        <v>1</v>
      </c>
      <c r="BC99" s="89" t="e">
        <f>SUMIF(#REF!,#REF!, BB20:BB333)</f>
        <v>#REF!</v>
      </c>
      <c r="BD99" s="89">
        <f t="shared" si="34"/>
        <v>1</v>
      </c>
      <c r="BE99" s="89" t="e">
        <f>SUMIF(#REF!,#REF!, BD20:BD333)</f>
        <v>#REF!</v>
      </c>
      <c r="BF99" s="89">
        <f t="shared" si="35"/>
        <v>0</v>
      </c>
      <c r="BG99" s="89" t="e">
        <f>SUMIF(#REF!,#REF!, BF20:BF333)</f>
        <v>#REF!</v>
      </c>
      <c r="BH99" s="89" t="e">
        <f t="shared" si="36"/>
        <v>#REF!</v>
      </c>
      <c r="BI99" s="90">
        <f>SUMIF(B20:B333, B99, BH20:BH333)</f>
        <v>0</v>
      </c>
      <c r="BJ99" s="91"/>
      <c r="BK99" s="92"/>
      <c r="BL99" s="93"/>
      <c r="BM99" s="93"/>
      <c r="BN99" s="93"/>
      <c r="BO99" s="93"/>
      <c r="BP99" s="93"/>
      <c r="BQ99" s="93"/>
      <c r="BR99" s="93"/>
      <c r="BS99" s="93"/>
      <c r="BT99" s="93"/>
      <c r="BU99" s="93"/>
      <c r="BV99" s="93"/>
      <c r="BW99" s="93"/>
      <c r="BX99" s="93"/>
      <c r="BY99" s="93"/>
      <c r="BZ99" s="93"/>
      <c r="CA99" s="93"/>
      <c r="CB99" s="93"/>
      <c r="CC99" s="93"/>
      <c r="CD99" s="94"/>
    </row>
    <row r="100" spans="1:82" x14ac:dyDescent="0.3">
      <c r="A100" s="95" t="s">
        <v>259</v>
      </c>
      <c r="B100" s="96"/>
      <c r="C100" s="97" t="s">
        <v>140</v>
      </c>
      <c r="D100" s="97" t="s">
        <v>204</v>
      </c>
      <c r="E100" s="98" t="s">
        <v>168</v>
      </c>
      <c r="F100" s="99" t="s">
        <v>103</v>
      </c>
      <c r="G100" s="100"/>
      <c r="H100" s="101" t="s">
        <v>103</v>
      </c>
      <c r="I100" s="99" t="s">
        <v>4</v>
      </c>
      <c r="J100" s="100" t="s">
        <v>6</v>
      </c>
      <c r="K100" s="102"/>
      <c r="L100" s="103"/>
      <c r="M100" s="104"/>
      <c r="N100" s="105">
        <v>6222</v>
      </c>
      <c r="O100" s="106">
        <v>6325</v>
      </c>
      <c r="P100" s="106">
        <v>6564</v>
      </c>
      <c r="Q100" s="107"/>
      <c r="R100" s="156">
        <v>0.09</v>
      </c>
      <c r="S100" s="105">
        <v>560</v>
      </c>
      <c r="T100" s="106">
        <v>569</v>
      </c>
      <c r="U100" s="106">
        <v>591</v>
      </c>
      <c r="V100" s="107">
        <f t="shared" si="26"/>
        <v>0</v>
      </c>
      <c r="W100" s="109"/>
      <c r="X100" s="110"/>
      <c r="Y100" s="111" t="s">
        <v>104</v>
      </c>
      <c r="Z100" s="100" t="str">
        <f>'[1]Tier 1'!V100</f>
        <v>C</v>
      </c>
      <c r="AA100" s="100"/>
      <c r="AB100" s="100"/>
      <c r="AC100" s="100"/>
      <c r="AD100" s="101"/>
      <c r="AE100" s="105">
        <f>'[1]Tier 1'!W100</f>
        <v>1560</v>
      </c>
      <c r="AF100" s="106"/>
      <c r="AG100" s="106">
        <f>'[1]Tier 1'!X100</f>
        <v>1560</v>
      </c>
      <c r="AH100" s="106"/>
      <c r="AI100" s="106">
        <f>'[1]Tier 1'!Y100</f>
        <v>1560</v>
      </c>
      <c r="AJ100" s="106">
        <f t="shared" si="27"/>
        <v>1404</v>
      </c>
      <c r="AK100" s="106" t="e">
        <f>VLOOKUP(A100,#REF!,-1,FALSE)</f>
        <v>#REF!</v>
      </c>
      <c r="AL100" s="107" t="e">
        <f t="shared" si="28"/>
        <v>#REF!</v>
      </c>
      <c r="AM100" s="105">
        <f t="shared" si="37"/>
        <v>560</v>
      </c>
      <c r="AN100" s="112">
        <f t="shared" si="38"/>
        <v>0.35899999999999999</v>
      </c>
      <c r="AO100" s="100" t="str">
        <f t="shared" si="39"/>
        <v>OK</v>
      </c>
      <c r="AP100" s="106">
        <f t="shared" si="40"/>
        <v>569</v>
      </c>
      <c r="AQ100" s="112">
        <f t="shared" si="41"/>
        <v>0.36499999999999999</v>
      </c>
      <c r="AR100" s="100" t="str">
        <f t="shared" si="42"/>
        <v>OK</v>
      </c>
      <c r="AS100" s="106">
        <f t="shared" si="43"/>
        <v>591</v>
      </c>
      <c r="AT100" s="112">
        <f t="shared" si="44"/>
        <v>0.379</v>
      </c>
      <c r="AU100" s="113" t="str">
        <f t="shared" si="45"/>
        <v>OK</v>
      </c>
      <c r="AV100" s="106">
        <f t="shared" si="29"/>
        <v>0</v>
      </c>
      <c r="AW100" s="112" t="e">
        <f t="shared" si="30"/>
        <v>#REF!</v>
      </c>
      <c r="AX100" s="114" t="e">
        <f t="shared" si="31"/>
        <v>#REF!</v>
      </c>
      <c r="AY100" s="99"/>
      <c r="AZ100" s="100"/>
      <c r="BA100" s="104">
        <f t="shared" si="32"/>
        <v>0</v>
      </c>
      <c r="BB100" s="115">
        <f t="shared" si="33"/>
        <v>1</v>
      </c>
      <c r="BC100" s="116" t="e">
        <f>SUMIF(#REF!,#REF!, BB20:BB333)</f>
        <v>#REF!</v>
      </c>
      <c r="BD100" s="116">
        <f t="shared" si="34"/>
        <v>1</v>
      </c>
      <c r="BE100" s="116" t="e">
        <f>SUMIF(#REF!,#REF!, BD20:BD333)</f>
        <v>#REF!</v>
      </c>
      <c r="BF100" s="116">
        <f t="shared" si="35"/>
        <v>0</v>
      </c>
      <c r="BG100" s="116" t="e">
        <f>SUMIF(#REF!,#REF!, BF20:BF333)</f>
        <v>#REF!</v>
      </c>
      <c r="BH100" s="116" t="e">
        <f t="shared" si="36"/>
        <v>#REF!</v>
      </c>
      <c r="BI100" s="117">
        <f>SUMIF(B20:B333, B100, BH20:BH333)</f>
        <v>0</v>
      </c>
      <c r="BJ100" s="118"/>
      <c r="BK100" s="92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4"/>
    </row>
    <row r="101" spans="1:82" x14ac:dyDescent="0.3">
      <c r="A101" s="68" t="s">
        <v>260</v>
      </c>
      <c r="B101" s="69"/>
      <c r="C101" s="70" t="s">
        <v>140</v>
      </c>
      <c r="D101" s="70" t="s">
        <v>168</v>
      </c>
      <c r="E101" s="71" t="s">
        <v>261</v>
      </c>
      <c r="F101" s="72" t="s">
        <v>103</v>
      </c>
      <c r="G101" s="73"/>
      <c r="H101" s="74" t="s">
        <v>109</v>
      </c>
      <c r="I101" s="72" t="s">
        <v>4</v>
      </c>
      <c r="J101" s="73" t="s">
        <v>6</v>
      </c>
      <c r="K101" s="75"/>
      <c r="L101" s="76"/>
      <c r="M101" s="77"/>
      <c r="N101" s="78">
        <v>5100</v>
      </c>
      <c r="O101" s="79">
        <v>5024</v>
      </c>
      <c r="P101" s="79">
        <v>5133</v>
      </c>
      <c r="Q101" s="80"/>
      <c r="R101" s="155">
        <v>0.09</v>
      </c>
      <c r="S101" s="78">
        <v>459</v>
      </c>
      <c r="T101" s="79">
        <v>452</v>
      </c>
      <c r="U101" s="79">
        <v>462</v>
      </c>
      <c r="V101" s="80">
        <f t="shared" si="26"/>
        <v>0</v>
      </c>
      <c r="W101" s="82"/>
      <c r="X101" s="83"/>
      <c r="Y101" s="84" t="s">
        <v>104</v>
      </c>
      <c r="Z101" s="73" t="str">
        <f>'[1]Tier 1'!V101</f>
        <v>C</v>
      </c>
      <c r="AA101" s="73"/>
      <c r="AB101" s="73"/>
      <c r="AC101" s="73"/>
      <c r="AD101" s="74"/>
      <c r="AE101" s="78">
        <f>'[1]Tier 1'!W101</f>
        <v>1490</v>
      </c>
      <c r="AF101" s="79"/>
      <c r="AG101" s="79">
        <f>'[1]Tier 1'!X101</f>
        <v>1490</v>
      </c>
      <c r="AH101" s="79"/>
      <c r="AI101" s="79">
        <f>'[1]Tier 1'!Y101</f>
        <v>1490</v>
      </c>
      <c r="AJ101" s="79">
        <f t="shared" si="27"/>
        <v>1341</v>
      </c>
      <c r="AK101" s="79" t="e">
        <f>VLOOKUP(A101,#REF!,-1,FALSE)</f>
        <v>#REF!</v>
      </c>
      <c r="AL101" s="80" t="e">
        <f t="shared" si="28"/>
        <v>#REF!</v>
      </c>
      <c r="AM101" s="78">
        <f t="shared" si="37"/>
        <v>459</v>
      </c>
      <c r="AN101" s="85">
        <f t="shared" si="38"/>
        <v>0.308</v>
      </c>
      <c r="AO101" s="73" t="str">
        <f t="shared" si="39"/>
        <v>OK</v>
      </c>
      <c r="AP101" s="79">
        <f t="shared" si="40"/>
        <v>452</v>
      </c>
      <c r="AQ101" s="85">
        <f t="shared" si="41"/>
        <v>0.30299999999999999</v>
      </c>
      <c r="AR101" s="73" t="str">
        <f t="shared" si="42"/>
        <v>OK</v>
      </c>
      <c r="AS101" s="79">
        <f t="shared" si="43"/>
        <v>462</v>
      </c>
      <c r="AT101" s="85">
        <f t="shared" si="44"/>
        <v>0.31</v>
      </c>
      <c r="AU101" s="86" t="str">
        <f t="shared" si="45"/>
        <v>OK</v>
      </c>
      <c r="AV101" s="79">
        <f t="shared" si="29"/>
        <v>0</v>
      </c>
      <c r="AW101" s="85" t="e">
        <f t="shared" si="30"/>
        <v>#REF!</v>
      </c>
      <c r="AX101" s="87" t="e">
        <f t="shared" si="31"/>
        <v>#REF!</v>
      </c>
      <c r="AY101" s="72"/>
      <c r="AZ101" s="73"/>
      <c r="BA101" s="77">
        <f t="shared" si="32"/>
        <v>0</v>
      </c>
      <c r="BB101" s="88">
        <f t="shared" si="33"/>
        <v>1</v>
      </c>
      <c r="BC101" s="89" t="e">
        <f>SUMIF(#REF!,#REF!, BB20:BB333)</f>
        <v>#REF!</v>
      </c>
      <c r="BD101" s="89">
        <f t="shared" si="34"/>
        <v>1</v>
      </c>
      <c r="BE101" s="89" t="e">
        <f>SUMIF(#REF!,#REF!, BD20:BD333)</f>
        <v>#REF!</v>
      </c>
      <c r="BF101" s="89">
        <f t="shared" si="35"/>
        <v>0</v>
      </c>
      <c r="BG101" s="89" t="e">
        <f>SUMIF(#REF!,#REF!, BF20:BF333)</f>
        <v>#REF!</v>
      </c>
      <c r="BH101" s="89" t="e">
        <f t="shared" si="36"/>
        <v>#REF!</v>
      </c>
      <c r="BI101" s="90">
        <f>SUMIF(B20:B333, B101, BH20:BH333)</f>
        <v>0</v>
      </c>
      <c r="BJ101" s="91"/>
      <c r="BK101" s="92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4"/>
    </row>
    <row r="102" spans="1:82" x14ac:dyDescent="0.3">
      <c r="A102" s="95" t="s">
        <v>262</v>
      </c>
      <c r="B102" s="96"/>
      <c r="C102" s="97" t="s">
        <v>140</v>
      </c>
      <c r="D102" s="97" t="s">
        <v>261</v>
      </c>
      <c r="E102" s="98" t="s">
        <v>263</v>
      </c>
      <c r="F102" s="99" t="s">
        <v>103</v>
      </c>
      <c r="G102" s="100"/>
      <c r="H102" s="101" t="s">
        <v>109</v>
      </c>
      <c r="I102" s="99" t="s">
        <v>4</v>
      </c>
      <c r="J102" s="100" t="s">
        <v>6</v>
      </c>
      <c r="K102" s="102"/>
      <c r="L102" s="103"/>
      <c r="M102" s="104"/>
      <c r="N102" s="105">
        <v>4887</v>
      </c>
      <c r="O102" s="106">
        <v>5299</v>
      </c>
      <c r="P102" s="106">
        <v>5575</v>
      </c>
      <c r="Q102" s="107"/>
      <c r="R102" s="156">
        <v>0.09</v>
      </c>
      <c r="S102" s="105">
        <v>440</v>
      </c>
      <c r="T102" s="106">
        <v>477</v>
      </c>
      <c r="U102" s="106">
        <v>502</v>
      </c>
      <c r="V102" s="107">
        <f t="shared" si="26"/>
        <v>0</v>
      </c>
      <c r="W102" s="109"/>
      <c r="X102" s="110"/>
      <c r="Y102" s="111" t="s">
        <v>104</v>
      </c>
      <c r="Z102" s="100" t="str">
        <f>'[1]Tier 1'!V102</f>
        <v>C</v>
      </c>
      <c r="AA102" s="100"/>
      <c r="AB102" s="100"/>
      <c r="AC102" s="100"/>
      <c r="AD102" s="101"/>
      <c r="AE102" s="105">
        <f>'[1]Tier 1'!W102</f>
        <v>1490</v>
      </c>
      <c r="AF102" s="106"/>
      <c r="AG102" s="106">
        <f>'[1]Tier 1'!X102</f>
        <v>1490</v>
      </c>
      <c r="AH102" s="106"/>
      <c r="AI102" s="106">
        <f>'[1]Tier 1'!Y102</f>
        <v>1490</v>
      </c>
      <c r="AJ102" s="106">
        <f t="shared" si="27"/>
        <v>1341</v>
      </c>
      <c r="AK102" s="106" t="e">
        <f>VLOOKUP(A102,#REF!,-1,FALSE)</f>
        <v>#REF!</v>
      </c>
      <c r="AL102" s="107" t="e">
        <f t="shared" si="28"/>
        <v>#REF!</v>
      </c>
      <c r="AM102" s="105">
        <f t="shared" si="37"/>
        <v>440</v>
      </c>
      <c r="AN102" s="112">
        <f t="shared" si="38"/>
        <v>0.29499999999999998</v>
      </c>
      <c r="AO102" s="100" t="str">
        <f t="shared" si="39"/>
        <v>OK</v>
      </c>
      <c r="AP102" s="106">
        <f t="shared" si="40"/>
        <v>477</v>
      </c>
      <c r="AQ102" s="112">
        <f t="shared" si="41"/>
        <v>0.32</v>
      </c>
      <c r="AR102" s="100" t="str">
        <f t="shared" si="42"/>
        <v>OK</v>
      </c>
      <c r="AS102" s="106">
        <f t="shared" si="43"/>
        <v>502</v>
      </c>
      <c r="AT102" s="112">
        <f t="shared" si="44"/>
        <v>0.33700000000000002</v>
      </c>
      <c r="AU102" s="113" t="str">
        <f t="shared" si="45"/>
        <v>OK</v>
      </c>
      <c r="AV102" s="106">
        <f t="shared" si="29"/>
        <v>0</v>
      </c>
      <c r="AW102" s="112" t="e">
        <f t="shared" si="30"/>
        <v>#REF!</v>
      </c>
      <c r="AX102" s="114" t="e">
        <f t="shared" si="31"/>
        <v>#REF!</v>
      </c>
      <c r="AY102" s="99"/>
      <c r="AZ102" s="100"/>
      <c r="BA102" s="104">
        <f t="shared" si="32"/>
        <v>0</v>
      </c>
      <c r="BB102" s="115">
        <f t="shared" si="33"/>
        <v>1</v>
      </c>
      <c r="BC102" s="116" t="e">
        <f>SUMIF(#REF!,#REF!, BB20:BB333)</f>
        <v>#REF!</v>
      </c>
      <c r="BD102" s="116">
        <f t="shared" si="34"/>
        <v>1</v>
      </c>
      <c r="BE102" s="116" t="e">
        <f>SUMIF(#REF!,#REF!, BD20:BD333)</f>
        <v>#REF!</v>
      </c>
      <c r="BF102" s="116">
        <f t="shared" si="35"/>
        <v>0</v>
      </c>
      <c r="BG102" s="116" t="e">
        <f>SUMIF(#REF!,#REF!, BF20:BF333)</f>
        <v>#REF!</v>
      </c>
      <c r="BH102" s="116" t="e">
        <f t="shared" si="36"/>
        <v>#REF!</v>
      </c>
      <c r="BI102" s="117">
        <f>SUMIF(B20:B333, B102, BH20:BH333)</f>
        <v>0</v>
      </c>
      <c r="BJ102" s="118"/>
      <c r="BK102" s="92"/>
      <c r="BL102" s="93"/>
      <c r="BM102" s="93"/>
      <c r="BN102" s="93"/>
      <c r="BO102" s="93"/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4"/>
    </row>
    <row r="103" spans="1:82" x14ac:dyDescent="0.3">
      <c r="A103" s="68" t="s">
        <v>264</v>
      </c>
      <c r="B103" s="69"/>
      <c r="C103" s="70" t="s">
        <v>140</v>
      </c>
      <c r="D103" s="70" t="s">
        <v>263</v>
      </c>
      <c r="E103" s="71" t="s">
        <v>701</v>
      </c>
      <c r="F103" s="72" t="s">
        <v>109</v>
      </c>
      <c r="G103" s="73"/>
      <c r="H103" s="74" t="s">
        <v>109</v>
      </c>
      <c r="I103" s="72" t="s">
        <v>4</v>
      </c>
      <c r="J103" s="73" t="s">
        <v>6</v>
      </c>
      <c r="K103" s="75"/>
      <c r="L103" s="76"/>
      <c r="M103" s="77"/>
      <c r="N103" s="78">
        <v>4887</v>
      </c>
      <c r="O103" s="79">
        <v>5299</v>
      </c>
      <c r="P103" s="79">
        <v>5575</v>
      </c>
      <c r="Q103" s="80"/>
      <c r="R103" s="155">
        <v>0.09</v>
      </c>
      <c r="S103" s="78">
        <v>440</v>
      </c>
      <c r="T103" s="79">
        <v>477</v>
      </c>
      <c r="U103" s="79">
        <v>502</v>
      </c>
      <c r="V103" s="80">
        <f t="shared" si="26"/>
        <v>0</v>
      </c>
      <c r="W103" s="82"/>
      <c r="X103" s="83"/>
      <c r="Y103" s="84" t="s">
        <v>104</v>
      </c>
      <c r="Z103" s="73" t="str">
        <f>'[1]Tier 1'!V103</f>
        <v>C</v>
      </c>
      <c r="AA103" s="73"/>
      <c r="AB103" s="73"/>
      <c r="AC103" s="73"/>
      <c r="AD103" s="74"/>
      <c r="AE103" s="78">
        <f>'[1]Tier 1'!W103</f>
        <v>4490</v>
      </c>
      <c r="AF103" s="79"/>
      <c r="AG103" s="79">
        <f>'[1]Tier 1'!X103</f>
        <v>4490</v>
      </c>
      <c r="AH103" s="79"/>
      <c r="AI103" s="79">
        <f>'[1]Tier 1'!Y103</f>
        <v>4490</v>
      </c>
      <c r="AJ103" s="79">
        <f t="shared" si="27"/>
        <v>4041</v>
      </c>
      <c r="AK103" s="79" t="e">
        <f>VLOOKUP(A103,#REF!,-1,FALSE)</f>
        <v>#REF!</v>
      </c>
      <c r="AL103" s="80" t="e">
        <f t="shared" si="28"/>
        <v>#REF!</v>
      </c>
      <c r="AM103" s="78">
        <f t="shared" si="37"/>
        <v>440</v>
      </c>
      <c r="AN103" s="85">
        <f t="shared" si="38"/>
        <v>9.8000000000000004E-2</v>
      </c>
      <c r="AO103" s="73" t="str">
        <f t="shared" si="39"/>
        <v>OK</v>
      </c>
      <c r="AP103" s="79">
        <f t="shared" si="40"/>
        <v>477</v>
      </c>
      <c r="AQ103" s="85">
        <f t="shared" si="41"/>
        <v>0.106</v>
      </c>
      <c r="AR103" s="73" t="str">
        <f t="shared" si="42"/>
        <v>OK</v>
      </c>
      <c r="AS103" s="79">
        <f t="shared" si="43"/>
        <v>502</v>
      </c>
      <c r="AT103" s="85">
        <f t="shared" si="44"/>
        <v>0.112</v>
      </c>
      <c r="AU103" s="86" t="str">
        <f t="shared" si="45"/>
        <v>OK</v>
      </c>
      <c r="AV103" s="79">
        <f t="shared" si="29"/>
        <v>0</v>
      </c>
      <c r="AW103" s="85" t="e">
        <f t="shared" si="30"/>
        <v>#REF!</v>
      </c>
      <c r="AX103" s="87" t="e">
        <f t="shared" si="31"/>
        <v>#REF!</v>
      </c>
      <c r="AY103" s="72"/>
      <c r="AZ103" s="73"/>
      <c r="BA103" s="77">
        <f t="shared" si="32"/>
        <v>0</v>
      </c>
      <c r="BB103" s="88">
        <f t="shared" si="33"/>
        <v>1</v>
      </c>
      <c r="BC103" s="89" t="e">
        <f>SUMIF(#REF!,#REF!, BB20:BB333)</f>
        <v>#REF!</v>
      </c>
      <c r="BD103" s="89">
        <f t="shared" si="34"/>
        <v>1</v>
      </c>
      <c r="BE103" s="89" t="e">
        <f>SUMIF(#REF!,#REF!, BD20:BD333)</f>
        <v>#REF!</v>
      </c>
      <c r="BF103" s="89">
        <f t="shared" si="35"/>
        <v>0</v>
      </c>
      <c r="BG103" s="89" t="e">
        <f>SUMIF(#REF!,#REF!, BF20:BF333)</f>
        <v>#REF!</v>
      </c>
      <c r="BH103" s="89" t="e">
        <f t="shared" si="36"/>
        <v>#REF!</v>
      </c>
      <c r="BI103" s="90">
        <f>SUMIF(B20:B333, B103, BH20:BH333)</f>
        <v>0</v>
      </c>
      <c r="BJ103" s="91"/>
      <c r="BK103" s="92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4"/>
    </row>
    <row r="104" spans="1:82" x14ac:dyDescent="0.3">
      <c r="A104" s="95" t="s">
        <v>266</v>
      </c>
      <c r="B104" s="96"/>
      <c r="C104" s="97" t="s">
        <v>140</v>
      </c>
      <c r="D104" s="97" t="s">
        <v>265</v>
      </c>
      <c r="E104" s="98" t="s">
        <v>267</v>
      </c>
      <c r="F104" s="99" t="s">
        <v>109</v>
      </c>
      <c r="G104" s="100"/>
      <c r="H104" s="101" t="s">
        <v>109</v>
      </c>
      <c r="I104" s="99" t="s">
        <v>4</v>
      </c>
      <c r="J104" s="100" t="s">
        <v>6</v>
      </c>
      <c r="K104" s="102"/>
      <c r="L104" s="103"/>
      <c r="M104" s="104"/>
      <c r="N104" s="105">
        <v>4887</v>
      </c>
      <c r="O104" s="106">
        <v>5299</v>
      </c>
      <c r="P104" s="106">
        <v>5575</v>
      </c>
      <c r="Q104" s="107"/>
      <c r="R104" s="156">
        <v>0.09</v>
      </c>
      <c r="S104" s="105">
        <v>440</v>
      </c>
      <c r="T104" s="106">
        <v>477</v>
      </c>
      <c r="U104" s="106">
        <v>502</v>
      </c>
      <c r="V104" s="107">
        <f t="shared" si="26"/>
        <v>0</v>
      </c>
      <c r="W104" s="109"/>
      <c r="X104" s="110"/>
      <c r="Y104" s="111" t="s">
        <v>104</v>
      </c>
      <c r="Z104" s="100" t="str">
        <f>'[1]Tier 1'!V104</f>
        <v>C</v>
      </c>
      <c r="AA104" s="100"/>
      <c r="AB104" s="100"/>
      <c r="AC104" s="100"/>
      <c r="AD104" s="101"/>
      <c r="AE104" s="105">
        <f>'[1]Tier 1'!W104</f>
        <v>4490</v>
      </c>
      <c r="AF104" s="106"/>
      <c r="AG104" s="106">
        <f>'[1]Tier 1'!X104</f>
        <v>4490</v>
      </c>
      <c r="AH104" s="106"/>
      <c r="AI104" s="106">
        <f>'[1]Tier 1'!Y104</f>
        <v>4490</v>
      </c>
      <c r="AJ104" s="106">
        <f t="shared" si="27"/>
        <v>4041</v>
      </c>
      <c r="AK104" s="106" t="e">
        <f>VLOOKUP(A104,#REF!,-1,FALSE)</f>
        <v>#REF!</v>
      </c>
      <c r="AL104" s="107" t="e">
        <f t="shared" si="28"/>
        <v>#REF!</v>
      </c>
      <c r="AM104" s="105">
        <f t="shared" si="37"/>
        <v>440</v>
      </c>
      <c r="AN104" s="112">
        <f t="shared" si="38"/>
        <v>9.8000000000000004E-2</v>
      </c>
      <c r="AO104" s="100" t="str">
        <f t="shared" si="39"/>
        <v>OK</v>
      </c>
      <c r="AP104" s="106">
        <f t="shared" si="40"/>
        <v>477</v>
      </c>
      <c r="AQ104" s="112">
        <f t="shared" si="41"/>
        <v>0.106</v>
      </c>
      <c r="AR104" s="100" t="str">
        <f t="shared" si="42"/>
        <v>OK</v>
      </c>
      <c r="AS104" s="106">
        <f t="shared" si="43"/>
        <v>502</v>
      </c>
      <c r="AT104" s="112">
        <f t="shared" si="44"/>
        <v>0.112</v>
      </c>
      <c r="AU104" s="113" t="str">
        <f t="shared" si="45"/>
        <v>OK</v>
      </c>
      <c r="AV104" s="106">
        <f t="shared" si="29"/>
        <v>0</v>
      </c>
      <c r="AW104" s="112" t="e">
        <f t="shared" si="30"/>
        <v>#REF!</v>
      </c>
      <c r="AX104" s="114" t="e">
        <f t="shared" si="31"/>
        <v>#REF!</v>
      </c>
      <c r="AY104" s="99"/>
      <c r="AZ104" s="100"/>
      <c r="BA104" s="104">
        <f t="shared" si="32"/>
        <v>0</v>
      </c>
      <c r="BB104" s="115">
        <f t="shared" si="33"/>
        <v>1</v>
      </c>
      <c r="BC104" s="116" t="e">
        <f>SUMIF(#REF!,#REF!, BB20:BB333)</f>
        <v>#REF!</v>
      </c>
      <c r="BD104" s="116">
        <f t="shared" si="34"/>
        <v>1</v>
      </c>
      <c r="BE104" s="116" t="e">
        <f>SUMIF(#REF!,#REF!, BD20:BD333)</f>
        <v>#REF!</v>
      </c>
      <c r="BF104" s="116">
        <f t="shared" si="35"/>
        <v>0</v>
      </c>
      <c r="BG104" s="116" t="e">
        <f>SUMIF(#REF!,#REF!, BF20:BF333)</f>
        <v>#REF!</v>
      </c>
      <c r="BH104" s="116" t="e">
        <f t="shared" si="36"/>
        <v>#REF!</v>
      </c>
      <c r="BI104" s="117">
        <f>SUMIF(B20:B333, B104, BH20:BH333)</f>
        <v>0</v>
      </c>
      <c r="BJ104" s="118"/>
      <c r="BK104" s="92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4"/>
    </row>
    <row r="105" spans="1:82" x14ac:dyDescent="0.3">
      <c r="A105" s="68" t="s">
        <v>268</v>
      </c>
      <c r="B105" s="69"/>
      <c r="C105" s="70" t="s">
        <v>140</v>
      </c>
      <c r="D105" s="70" t="s">
        <v>267</v>
      </c>
      <c r="E105" s="71" t="s">
        <v>185</v>
      </c>
      <c r="F105" s="72" t="s">
        <v>109</v>
      </c>
      <c r="G105" s="73"/>
      <c r="H105" s="74" t="s">
        <v>103</v>
      </c>
      <c r="I105" s="72" t="s">
        <v>4</v>
      </c>
      <c r="J105" s="73" t="s">
        <v>67</v>
      </c>
      <c r="K105" s="75"/>
      <c r="L105" s="76"/>
      <c r="M105" s="77"/>
      <c r="N105" s="78">
        <v>8670</v>
      </c>
      <c r="O105" s="79">
        <v>8921</v>
      </c>
      <c r="P105" s="79">
        <v>9365</v>
      </c>
      <c r="Q105" s="80"/>
      <c r="R105" s="155">
        <v>0.09</v>
      </c>
      <c r="S105" s="78">
        <v>780</v>
      </c>
      <c r="T105" s="79">
        <v>803</v>
      </c>
      <c r="U105" s="79">
        <v>843</v>
      </c>
      <c r="V105" s="80">
        <f t="shared" si="26"/>
        <v>0</v>
      </c>
      <c r="W105" s="82"/>
      <c r="X105" s="83"/>
      <c r="Y105" s="84" t="s">
        <v>104</v>
      </c>
      <c r="Z105" s="73" t="str">
        <f>'[1]Tier 1'!V105</f>
        <v>C</v>
      </c>
      <c r="AA105" s="73"/>
      <c r="AB105" s="73"/>
      <c r="AC105" s="73"/>
      <c r="AD105" s="74"/>
      <c r="AE105" s="78">
        <f>'[1]Tier 1'!W105</f>
        <v>4490</v>
      </c>
      <c r="AF105" s="79"/>
      <c r="AG105" s="79">
        <f>'[1]Tier 1'!X105</f>
        <v>4490</v>
      </c>
      <c r="AH105" s="79"/>
      <c r="AI105" s="79">
        <f>'[1]Tier 1'!Y105</f>
        <v>4490</v>
      </c>
      <c r="AJ105" s="79">
        <f t="shared" si="27"/>
        <v>4041</v>
      </c>
      <c r="AK105" s="79" t="e">
        <f>VLOOKUP(A105,#REF!,-1,FALSE)</f>
        <v>#REF!</v>
      </c>
      <c r="AL105" s="80" t="e">
        <f t="shared" si="28"/>
        <v>#REF!</v>
      </c>
      <c r="AM105" s="78">
        <f t="shared" si="37"/>
        <v>780</v>
      </c>
      <c r="AN105" s="85">
        <f t="shared" si="38"/>
        <v>0.17399999999999999</v>
      </c>
      <c r="AO105" s="73" t="str">
        <f t="shared" si="39"/>
        <v>OK</v>
      </c>
      <c r="AP105" s="79">
        <f t="shared" si="40"/>
        <v>803</v>
      </c>
      <c r="AQ105" s="85">
        <f t="shared" si="41"/>
        <v>0.17899999999999999</v>
      </c>
      <c r="AR105" s="73" t="str">
        <f t="shared" si="42"/>
        <v>OK</v>
      </c>
      <c r="AS105" s="79">
        <f t="shared" si="43"/>
        <v>843</v>
      </c>
      <c r="AT105" s="85">
        <f t="shared" si="44"/>
        <v>0.188</v>
      </c>
      <c r="AU105" s="86" t="str">
        <f t="shared" si="45"/>
        <v>OK</v>
      </c>
      <c r="AV105" s="79">
        <f t="shared" si="29"/>
        <v>0</v>
      </c>
      <c r="AW105" s="85" t="e">
        <f t="shared" si="30"/>
        <v>#REF!</v>
      </c>
      <c r="AX105" s="87" t="e">
        <f t="shared" si="31"/>
        <v>#REF!</v>
      </c>
      <c r="AY105" s="72"/>
      <c r="AZ105" s="73"/>
      <c r="BA105" s="77">
        <f t="shared" si="32"/>
        <v>0</v>
      </c>
      <c r="BB105" s="88">
        <f t="shared" si="33"/>
        <v>1</v>
      </c>
      <c r="BC105" s="89" t="e">
        <f>SUMIF(#REF!,#REF!, BB20:BB333)</f>
        <v>#REF!</v>
      </c>
      <c r="BD105" s="89">
        <f t="shared" si="34"/>
        <v>1</v>
      </c>
      <c r="BE105" s="89" t="e">
        <f>SUMIF(#REF!,#REF!, BD20:BD333)</f>
        <v>#REF!</v>
      </c>
      <c r="BF105" s="89">
        <f t="shared" si="35"/>
        <v>0</v>
      </c>
      <c r="BG105" s="89" t="e">
        <f>SUMIF(#REF!,#REF!, BF20:BF333)</f>
        <v>#REF!</v>
      </c>
      <c r="BH105" s="89" t="e">
        <f t="shared" si="36"/>
        <v>#REF!</v>
      </c>
      <c r="BI105" s="90">
        <f>SUMIF(B20:B333, B105, BH20:BH333)</f>
        <v>0</v>
      </c>
      <c r="BJ105" s="91"/>
      <c r="BK105" s="92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4"/>
    </row>
    <row r="106" spans="1:82" x14ac:dyDescent="0.3">
      <c r="A106" s="95" t="s">
        <v>269</v>
      </c>
      <c r="B106" s="96"/>
      <c r="C106" s="97" t="s">
        <v>140</v>
      </c>
      <c r="D106" s="97" t="s">
        <v>185</v>
      </c>
      <c r="E106" s="98" t="s">
        <v>170</v>
      </c>
      <c r="F106" s="99" t="s">
        <v>109</v>
      </c>
      <c r="G106" s="100"/>
      <c r="H106" s="101" t="s">
        <v>118</v>
      </c>
      <c r="I106" s="99" t="s">
        <v>4</v>
      </c>
      <c r="J106" s="100" t="s">
        <v>67</v>
      </c>
      <c r="K106" s="102"/>
      <c r="L106" s="103"/>
      <c r="M106" s="104"/>
      <c r="N106" s="105">
        <v>8670</v>
      </c>
      <c r="O106" s="106">
        <v>8921</v>
      </c>
      <c r="P106" s="106">
        <v>9365</v>
      </c>
      <c r="Q106" s="107"/>
      <c r="R106" s="156">
        <v>0.09</v>
      </c>
      <c r="S106" s="105">
        <v>780</v>
      </c>
      <c r="T106" s="106">
        <v>803</v>
      </c>
      <c r="U106" s="106">
        <v>843</v>
      </c>
      <c r="V106" s="107">
        <f t="shared" si="26"/>
        <v>0</v>
      </c>
      <c r="W106" s="109"/>
      <c r="X106" s="110"/>
      <c r="Y106" s="111" t="s">
        <v>104</v>
      </c>
      <c r="Z106" s="100" t="str">
        <f>'[1]Tier 1'!V106</f>
        <v>C</v>
      </c>
      <c r="AA106" s="100"/>
      <c r="AB106" s="100"/>
      <c r="AC106" s="100"/>
      <c r="AD106" s="101"/>
      <c r="AE106" s="105">
        <f>'[1]Tier 1'!W106</f>
        <v>4490</v>
      </c>
      <c r="AF106" s="106"/>
      <c r="AG106" s="106">
        <f>'[1]Tier 1'!X106</f>
        <v>4490</v>
      </c>
      <c r="AH106" s="106"/>
      <c r="AI106" s="106">
        <f>'[1]Tier 1'!Y106</f>
        <v>4490</v>
      </c>
      <c r="AJ106" s="106">
        <f t="shared" si="27"/>
        <v>4041</v>
      </c>
      <c r="AK106" s="106" t="e">
        <f>VLOOKUP(A106,#REF!,-1,FALSE)</f>
        <v>#REF!</v>
      </c>
      <c r="AL106" s="107" t="e">
        <f t="shared" si="28"/>
        <v>#REF!</v>
      </c>
      <c r="AM106" s="105">
        <f t="shared" si="37"/>
        <v>780</v>
      </c>
      <c r="AN106" s="112">
        <f t="shared" si="38"/>
        <v>0.17399999999999999</v>
      </c>
      <c r="AO106" s="100" t="str">
        <f t="shared" si="39"/>
        <v>OK</v>
      </c>
      <c r="AP106" s="106">
        <f t="shared" si="40"/>
        <v>803</v>
      </c>
      <c r="AQ106" s="112">
        <f t="shared" si="41"/>
        <v>0.17899999999999999</v>
      </c>
      <c r="AR106" s="100" t="str">
        <f t="shared" si="42"/>
        <v>OK</v>
      </c>
      <c r="AS106" s="106">
        <f t="shared" si="43"/>
        <v>843</v>
      </c>
      <c r="AT106" s="112">
        <f t="shared" si="44"/>
        <v>0.188</v>
      </c>
      <c r="AU106" s="113" t="str">
        <f t="shared" si="45"/>
        <v>OK</v>
      </c>
      <c r="AV106" s="106">
        <f t="shared" si="29"/>
        <v>0</v>
      </c>
      <c r="AW106" s="112" t="e">
        <f t="shared" si="30"/>
        <v>#REF!</v>
      </c>
      <c r="AX106" s="114" t="e">
        <f t="shared" si="31"/>
        <v>#REF!</v>
      </c>
      <c r="AY106" s="99"/>
      <c r="AZ106" s="100"/>
      <c r="BA106" s="104">
        <f t="shared" si="32"/>
        <v>0</v>
      </c>
      <c r="BB106" s="115">
        <f t="shared" si="33"/>
        <v>1</v>
      </c>
      <c r="BC106" s="116" t="e">
        <f>SUMIF(#REF!,#REF!, BB20:BB333)</f>
        <v>#REF!</v>
      </c>
      <c r="BD106" s="116">
        <f t="shared" si="34"/>
        <v>1</v>
      </c>
      <c r="BE106" s="116" t="e">
        <f>SUMIF(#REF!,#REF!, BD20:BD333)</f>
        <v>#REF!</v>
      </c>
      <c r="BF106" s="116">
        <f t="shared" si="35"/>
        <v>0</v>
      </c>
      <c r="BG106" s="116" t="e">
        <f>SUMIF(#REF!,#REF!, BF20:BF333)</f>
        <v>#REF!</v>
      </c>
      <c r="BH106" s="116" t="e">
        <f t="shared" si="36"/>
        <v>#REF!</v>
      </c>
      <c r="BI106" s="117">
        <f>SUMIF(B20:B333, B106, BH20:BH333)</f>
        <v>0</v>
      </c>
      <c r="BJ106" s="118"/>
      <c r="BK106" s="92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4"/>
    </row>
    <row r="107" spans="1:82" x14ac:dyDescent="0.3">
      <c r="A107" s="68" t="s">
        <v>270</v>
      </c>
      <c r="B107" s="69"/>
      <c r="C107" s="70" t="s">
        <v>271</v>
      </c>
      <c r="D107" s="70" t="s">
        <v>111</v>
      </c>
      <c r="E107" s="71" t="s">
        <v>150</v>
      </c>
      <c r="F107" s="72" t="s">
        <v>103</v>
      </c>
      <c r="G107" s="73"/>
      <c r="H107" s="74" t="s">
        <v>118</v>
      </c>
      <c r="I107" s="72" t="s">
        <v>4</v>
      </c>
      <c r="J107" s="73" t="s">
        <v>6</v>
      </c>
      <c r="K107" s="75"/>
      <c r="L107" s="76"/>
      <c r="M107" s="77"/>
      <c r="N107" s="78">
        <v>9486</v>
      </c>
      <c r="O107" s="79">
        <v>10067</v>
      </c>
      <c r="P107" s="79">
        <v>9544</v>
      </c>
      <c r="Q107" s="80"/>
      <c r="R107" s="155">
        <v>0.09</v>
      </c>
      <c r="S107" s="78">
        <v>854</v>
      </c>
      <c r="T107" s="79">
        <v>906</v>
      </c>
      <c r="U107" s="79">
        <v>859</v>
      </c>
      <c r="V107" s="80">
        <f t="shared" si="26"/>
        <v>0</v>
      </c>
      <c r="W107" s="82"/>
      <c r="X107" s="83"/>
      <c r="Y107" s="84" t="s">
        <v>104</v>
      </c>
      <c r="Z107" s="73" t="str">
        <f>'[1]Tier 1'!V107</f>
        <v>C</v>
      </c>
      <c r="AA107" s="73"/>
      <c r="AB107" s="73"/>
      <c r="AC107" s="73"/>
      <c r="AD107" s="74"/>
      <c r="AE107" s="78">
        <f>'[1]Tier 1'!W107</f>
        <v>660</v>
      </c>
      <c r="AF107" s="79"/>
      <c r="AG107" s="79">
        <f>'[1]Tier 1'!X107</f>
        <v>660</v>
      </c>
      <c r="AH107" s="79"/>
      <c r="AI107" s="79">
        <f>'[1]Tier 1'!Y107</f>
        <v>660</v>
      </c>
      <c r="AJ107" s="79">
        <f t="shared" si="27"/>
        <v>594</v>
      </c>
      <c r="AK107" s="79" t="e">
        <f>VLOOKUP(A107,#REF!,-1,FALSE)</f>
        <v>#REF!</v>
      </c>
      <c r="AL107" s="80" t="e">
        <f t="shared" si="28"/>
        <v>#REF!</v>
      </c>
      <c r="AM107" s="78">
        <f t="shared" si="37"/>
        <v>854</v>
      </c>
      <c r="AN107" s="85">
        <f t="shared" si="38"/>
        <v>1.294</v>
      </c>
      <c r="AO107" s="73" t="str">
        <f t="shared" si="39"/>
        <v>OK</v>
      </c>
      <c r="AP107" s="79">
        <f t="shared" si="40"/>
        <v>906</v>
      </c>
      <c r="AQ107" s="85">
        <f t="shared" si="41"/>
        <v>1.373</v>
      </c>
      <c r="AR107" s="73" t="str">
        <f t="shared" si="42"/>
        <v>OK</v>
      </c>
      <c r="AS107" s="79">
        <f t="shared" si="43"/>
        <v>859</v>
      </c>
      <c r="AT107" s="85">
        <f t="shared" si="44"/>
        <v>1.302</v>
      </c>
      <c r="AU107" s="86" t="str">
        <f t="shared" si="45"/>
        <v>OK</v>
      </c>
      <c r="AV107" s="79">
        <f t="shared" si="29"/>
        <v>0</v>
      </c>
      <c r="AW107" s="85" t="e">
        <f t="shared" si="30"/>
        <v>#REF!</v>
      </c>
      <c r="AX107" s="87" t="e">
        <f t="shared" si="31"/>
        <v>#REF!</v>
      </c>
      <c r="AY107" s="72"/>
      <c r="AZ107" s="73"/>
      <c r="BA107" s="77">
        <f t="shared" si="32"/>
        <v>0</v>
      </c>
      <c r="BB107" s="88">
        <f t="shared" si="33"/>
        <v>1</v>
      </c>
      <c r="BC107" s="89" t="e">
        <f>SUMIF(#REF!,#REF!, BB20:BB333)</f>
        <v>#REF!</v>
      </c>
      <c r="BD107" s="89">
        <f t="shared" si="34"/>
        <v>1</v>
      </c>
      <c r="BE107" s="89" t="e">
        <f>SUMIF(#REF!,#REF!, BD20:BD333)</f>
        <v>#REF!</v>
      </c>
      <c r="BF107" s="89">
        <f t="shared" si="35"/>
        <v>1</v>
      </c>
      <c r="BG107" s="89" t="e">
        <f>SUMIF(#REF!,#REF!, BF20:BF333)</f>
        <v>#REF!</v>
      </c>
      <c r="BH107" s="89" t="e">
        <f t="shared" si="36"/>
        <v>#REF!</v>
      </c>
      <c r="BI107" s="90">
        <f>SUMIF(B20:B333, B107, BH20:BH333)</f>
        <v>0</v>
      </c>
      <c r="BJ107" s="91"/>
      <c r="BK107" s="92"/>
      <c r="BL107" s="93"/>
      <c r="BM107" s="93"/>
      <c r="BN107" s="93"/>
      <c r="BO107" s="93"/>
      <c r="BP107" s="93"/>
      <c r="BQ107" s="93"/>
      <c r="BR107" s="93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4"/>
    </row>
    <row r="108" spans="1:82" x14ac:dyDescent="0.3">
      <c r="A108" s="95" t="s">
        <v>272</v>
      </c>
      <c r="B108" s="96"/>
      <c r="C108" s="97" t="s">
        <v>273</v>
      </c>
      <c r="D108" s="97" t="s">
        <v>204</v>
      </c>
      <c r="E108" s="98" t="s">
        <v>274</v>
      </c>
      <c r="F108" s="99" t="s">
        <v>109</v>
      </c>
      <c r="G108" s="100"/>
      <c r="H108" s="101" t="s">
        <v>118</v>
      </c>
      <c r="I108" s="99" t="s">
        <v>4</v>
      </c>
      <c r="J108" s="100" t="s">
        <v>67</v>
      </c>
      <c r="K108" s="102"/>
      <c r="L108" s="103"/>
      <c r="M108" s="104"/>
      <c r="N108" s="105">
        <v>32640</v>
      </c>
      <c r="O108" s="106">
        <v>34638</v>
      </c>
      <c r="P108" s="106">
        <v>36037</v>
      </c>
      <c r="Q108" s="107"/>
      <c r="R108" s="156">
        <v>0.09</v>
      </c>
      <c r="S108" s="105">
        <v>2938</v>
      </c>
      <c r="T108" s="106">
        <v>3117</v>
      </c>
      <c r="U108" s="106">
        <v>3243</v>
      </c>
      <c r="V108" s="107">
        <f t="shared" si="26"/>
        <v>0</v>
      </c>
      <c r="W108" s="109"/>
      <c r="X108" s="110"/>
      <c r="Y108" s="111" t="s">
        <v>104</v>
      </c>
      <c r="Z108" s="100" t="str">
        <f>'[1]Tier 1'!V108</f>
        <v>C</v>
      </c>
      <c r="AA108" s="100"/>
      <c r="AB108" s="100"/>
      <c r="AC108" s="100"/>
      <c r="AD108" s="101"/>
      <c r="AE108" s="105">
        <f>'[1]Tier 1'!W108</f>
        <v>1310</v>
      </c>
      <c r="AF108" s="106"/>
      <c r="AG108" s="106">
        <f>'[1]Tier 1'!X108</f>
        <v>1310</v>
      </c>
      <c r="AH108" s="106"/>
      <c r="AI108" s="106">
        <f>'[1]Tier 1'!Y108</f>
        <v>2090</v>
      </c>
      <c r="AJ108" s="106">
        <f t="shared" si="27"/>
        <v>1881</v>
      </c>
      <c r="AK108" s="106" t="e">
        <f>VLOOKUP(A108,#REF!,-1,FALSE)</f>
        <v>#REF!</v>
      </c>
      <c r="AL108" s="107" t="e">
        <f t="shared" si="28"/>
        <v>#REF!</v>
      </c>
      <c r="AM108" s="105">
        <f t="shared" si="37"/>
        <v>2938</v>
      </c>
      <c r="AN108" s="112">
        <f t="shared" si="38"/>
        <v>2.2429999999999999</v>
      </c>
      <c r="AO108" s="100" t="str">
        <f t="shared" si="39"/>
        <v>OK</v>
      </c>
      <c r="AP108" s="106">
        <f t="shared" si="40"/>
        <v>3117</v>
      </c>
      <c r="AQ108" s="112">
        <f t="shared" si="41"/>
        <v>2.379</v>
      </c>
      <c r="AR108" s="100" t="str">
        <f t="shared" si="42"/>
        <v>OK</v>
      </c>
      <c r="AS108" s="106">
        <f t="shared" si="43"/>
        <v>3243</v>
      </c>
      <c r="AT108" s="112">
        <f t="shared" si="44"/>
        <v>1.552</v>
      </c>
      <c r="AU108" s="113" t="str">
        <f t="shared" si="45"/>
        <v>OK</v>
      </c>
      <c r="AV108" s="106">
        <f t="shared" si="29"/>
        <v>0</v>
      </c>
      <c r="AW108" s="112" t="e">
        <f t="shared" si="30"/>
        <v>#REF!</v>
      </c>
      <c r="AX108" s="114" t="e">
        <f t="shared" si="31"/>
        <v>#REF!</v>
      </c>
      <c r="AY108" s="99"/>
      <c r="AZ108" s="100"/>
      <c r="BA108" s="104">
        <f t="shared" si="32"/>
        <v>0</v>
      </c>
      <c r="BB108" s="115">
        <f t="shared" si="33"/>
        <v>1</v>
      </c>
      <c r="BC108" s="116" t="e">
        <f>SUMIF(#REF!,#REF!, BB20:BB333)</f>
        <v>#REF!</v>
      </c>
      <c r="BD108" s="116">
        <f t="shared" si="34"/>
        <v>1</v>
      </c>
      <c r="BE108" s="116" t="e">
        <f>SUMIF(#REF!,#REF!, BD20:BD333)</f>
        <v>#REF!</v>
      </c>
      <c r="BF108" s="116">
        <f t="shared" si="35"/>
        <v>1</v>
      </c>
      <c r="BG108" s="116" t="e">
        <f>SUMIF(#REF!,#REF!, BF20:BF333)</f>
        <v>#REF!</v>
      </c>
      <c r="BH108" s="116" t="e">
        <f t="shared" si="36"/>
        <v>#REF!</v>
      </c>
      <c r="BI108" s="117">
        <f>SUMIF(B20:B333, B108, BH20:BH333)</f>
        <v>0</v>
      </c>
      <c r="BJ108" s="118"/>
      <c r="BK108" s="92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4"/>
    </row>
    <row r="109" spans="1:82" x14ac:dyDescent="0.3">
      <c r="A109" s="68" t="s">
        <v>275</v>
      </c>
      <c r="B109" s="69"/>
      <c r="C109" s="70" t="s">
        <v>273</v>
      </c>
      <c r="D109" s="70" t="s">
        <v>274</v>
      </c>
      <c r="E109" s="71" t="s">
        <v>276</v>
      </c>
      <c r="F109" s="72" t="s">
        <v>109</v>
      </c>
      <c r="G109" s="73"/>
      <c r="H109" s="74" t="s">
        <v>118</v>
      </c>
      <c r="I109" s="72" t="s">
        <v>4</v>
      </c>
      <c r="J109" s="73" t="s">
        <v>67</v>
      </c>
      <c r="K109" s="75"/>
      <c r="L109" s="76"/>
      <c r="M109" s="77"/>
      <c r="N109" s="78">
        <v>32640</v>
      </c>
      <c r="O109" s="79">
        <v>34638</v>
      </c>
      <c r="P109" s="79">
        <v>36037</v>
      </c>
      <c r="Q109" s="80"/>
      <c r="R109" s="155">
        <v>0.09</v>
      </c>
      <c r="S109" s="78">
        <v>2938</v>
      </c>
      <c r="T109" s="79">
        <v>3117</v>
      </c>
      <c r="U109" s="79">
        <v>3243</v>
      </c>
      <c r="V109" s="80">
        <f t="shared" si="26"/>
        <v>0</v>
      </c>
      <c r="W109" s="82"/>
      <c r="X109" s="83"/>
      <c r="Y109" s="84" t="s">
        <v>104</v>
      </c>
      <c r="Z109" s="73" t="str">
        <f>'[1]Tier 1'!V109</f>
        <v>C</v>
      </c>
      <c r="AA109" s="73"/>
      <c r="AB109" s="73"/>
      <c r="AC109" s="73"/>
      <c r="AD109" s="74"/>
      <c r="AE109" s="78">
        <f>'[1]Tier 1'!W109</f>
        <v>1310</v>
      </c>
      <c r="AF109" s="79"/>
      <c r="AG109" s="79">
        <f>'[1]Tier 1'!X109</f>
        <v>1310</v>
      </c>
      <c r="AH109" s="79"/>
      <c r="AI109" s="79">
        <f>'[1]Tier 1'!Y109</f>
        <v>2090</v>
      </c>
      <c r="AJ109" s="79">
        <f t="shared" si="27"/>
        <v>1881</v>
      </c>
      <c r="AK109" s="79" t="e">
        <f>VLOOKUP(A109,#REF!,-1,FALSE)</f>
        <v>#REF!</v>
      </c>
      <c r="AL109" s="80" t="e">
        <f t="shared" si="28"/>
        <v>#REF!</v>
      </c>
      <c r="AM109" s="78">
        <f t="shared" si="37"/>
        <v>2938</v>
      </c>
      <c r="AN109" s="85">
        <f t="shared" si="38"/>
        <v>2.2429999999999999</v>
      </c>
      <c r="AO109" s="73" t="str">
        <f t="shared" si="39"/>
        <v>OK</v>
      </c>
      <c r="AP109" s="79">
        <f t="shared" si="40"/>
        <v>3117</v>
      </c>
      <c r="AQ109" s="85">
        <f t="shared" si="41"/>
        <v>2.379</v>
      </c>
      <c r="AR109" s="73" t="str">
        <f t="shared" si="42"/>
        <v>OK</v>
      </c>
      <c r="AS109" s="79">
        <f t="shared" si="43"/>
        <v>3243</v>
      </c>
      <c r="AT109" s="85">
        <f t="shared" si="44"/>
        <v>1.552</v>
      </c>
      <c r="AU109" s="86" t="str">
        <f t="shared" si="45"/>
        <v>OK</v>
      </c>
      <c r="AV109" s="79">
        <f t="shared" si="29"/>
        <v>0</v>
      </c>
      <c r="AW109" s="85" t="e">
        <f t="shared" si="30"/>
        <v>#REF!</v>
      </c>
      <c r="AX109" s="87" t="e">
        <f t="shared" si="31"/>
        <v>#REF!</v>
      </c>
      <c r="AY109" s="72"/>
      <c r="AZ109" s="73"/>
      <c r="BA109" s="77">
        <f t="shared" si="32"/>
        <v>0</v>
      </c>
      <c r="BB109" s="88">
        <f t="shared" si="33"/>
        <v>1</v>
      </c>
      <c r="BC109" s="89" t="e">
        <f>SUMIF(#REF!,#REF!, BB20:BB333)</f>
        <v>#REF!</v>
      </c>
      <c r="BD109" s="89">
        <f t="shared" si="34"/>
        <v>1</v>
      </c>
      <c r="BE109" s="89" t="e">
        <f>SUMIF(#REF!,#REF!, BD20:BD333)</f>
        <v>#REF!</v>
      </c>
      <c r="BF109" s="89">
        <f t="shared" si="35"/>
        <v>1</v>
      </c>
      <c r="BG109" s="89" t="e">
        <f>SUMIF(#REF!,#REF!, BF20:BF333)</f>
        <v>#REF!</v>
      </c>
      <c r="BH109" s="89" t="e">
        <f t="shared" si="36"/>
        <v>#REF!</v>
      </c>
      <c r="BI109" s="90">
        <f>SUMIF(B20:B333, B109, BH20:BH333)</f>
        <v>0</v>
      </c>
      <c r="BJ109" s="91"/>
      <c r="BK109" s="92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4"/>
    </row>
    <row r="110" spans="1:82" x14ac:dyDescent="0.3">
      <c r="A110" s="95" t="s">
        <v>277</v>
      </c>
      <c r="B110" s="96"/>
      <c r="C110" s="97" t="s">
        <v>273</v>
      </c>
      <c r="D110" s="97" t="s">
        <v>276</v>
      </c>
      <c r="E110" s="98" t="s">
        <v>278</v>
      </c>
      <c r="F110" s="99" t="s">
        <v>109</v>
      </c>
      <c r="G110" s="100"/>
      <c r="H110" s="101" t="s">
        <v>118</v>
      </c>
      <c r="I110" s="99" t="s">
        <v>4</v>
      </c>
      <c r="J110" s="100" t="s">
        <v>67</v>
      </c>
      <c r="K110" s="102"/>
      <c r="L110" s="103"/>
      <c r="M110" s="104"/>
      <c r="N110" s="105">
        <v>20900</v>
      </c>
      <c r="O110" s="106">
        <v>21669</v>
      </c>
      <c r="P110" s="106">
        <v>22182</v>
      </c>
      <c r="Q110" s="107"/>
      <c r="R110" s="156">
        <v>0.09</v>
      </c>
      <c r="S110" s="105">
        <v>1881</v>
      </c>
      <c r="T110" s="106">
        <v>1950</v>
      </c>
      <c r="U110" s="106">
        <v>1996</v>
      </c>
      <c r="V110" s="107">
        <f t="shared" si="26"/>
        <v>0</v>
      </c>
      <c r="W110" s="109"/>
      <c r="X110" s="110"/>
      <c r="Y110" s="111" t="s">
        <v>104</v>
      </c>
      <c r="Z110" s="100" t="str">
        <f>'[1]Tier 1'!V110</f>
        <v>C</v>
      </c>
      <c r="AA110" s="100"/>
      <c r="AB110" s="100"/>
      <c r="AC110" s="100"/>
      <c r="AD110" s="101"/>
      <c r="AE110" s="105">
        <f>'[1]Tier 1'!W110</f>
        <v>1310</v>
      </c>
      <c r="AF110" s="106"/>
      <c r="AG110" s="106">
        <f>'[1]Tier 1'!X110</f>
        <v>1310</v>
      </c>
      <c r="AH110" s="106"/>
      <c r="AI110" s="106">
        <f>'[1]Tier 1'!Y110</f>
        <v>2090</v>
      </c>
      <c r="AJ110" s="106">
        <f t="shared" si="27"/>
        <v>1881</v>
      </c>
      <c r="AK110" s="106" t="e">
        <f>VLOOKUP(A110,#REF!,-1,FALSE)</f>
        <v>#REF!</v>
      </c>
      <c r="AL110" s="107" t="e">
        <f t="shared" si="28"/>
        <v>#REF!</v>
      </c>
      <c r="AM110" s="105">
        <f t="shared" si="37"/>
        <v>1881</v>
      </c>
      <c r="AN110" s="112">
        <f t="shared" si="38"/>
        <v>1.4359999999999999</v>
      </c>
      <c r="AO110" s="100" t="str">
        <f t="shared" si="39"/>
        <v>OK</v>
      </c>
      <c r="AP110" s="106">
        <f t="shared" si="40"/>
        <v>1950</v>
      </c>
      <c r="AQ110" s="112">
        <f t="shared" si="41"/>
        <v>1.4890000000000001</v>
      </c>
      <c r="AR110" s="100" t="str">
        <f t="shared" si="42"/>
        <v>OK</v>
      </c>
      <c r="AS110" s="106">
        <f t="shared" si="43"/>
        <v>1996</v>
      </c>
      <c r="AT110" s="112">
        <f t="shared" si="44"/>
        <v>0.95499999999999996</v>
      </c>
      <c r="AU110" s="113" t="str">
        <f t="shared" si="45"/>
        <v>OK</v>
      </c>
      <c r="AV110" s="106">
        <f t="shared" si="29"/>
        <v>0</v>
      </c>
      <c r="AW110" s="112" t="e">
        <f t="shared" si="30"/>
        <v>#REF!</v>
      </c>
      <c r="AX110" s="114" t="e">
        <f t="shared" si="31"/>
        <v>#REF!</v>
      </c>
      <c r="AY110" s="99"/>
      <c r="AZ110" s="100"/>
      <c r="BA110" s="104">
        <f t="shared" si="32"/>
        <v>0</v>
      </c>
      <c r="BB110" s="115">
        <f t="shared" si="33"/>
        <v>1</v>
      </c>
      <c r="BC110" s="116" t="e">
        <f>SUMIF(#REF!,#REF!, BB20:BB333)</f>
        <v>#REF!</v>
      </c>
      <c r="BD110" s="116">
        <f t="shared" si="34"/>
        <v>1</v>
      </c>
      <c r="BE110" s="116" t="e">
        <f>SUMIF(#REF!,#REF!, BD20:BD333)</f>
        <v>#REF!</v>
      </c>
      <c r="BF110" s="116">
        <f t="shared" si="35"/>
        <v>1</v>
      </c>
      <c r="BG110" s="116" t="e">
        <f>SUMIF(#REF!,#REF!, BF20:BF333)</f>
        <v>#REF!</v>
      </c>
      <c r="BH110" s="116" t="e">
        <f t="shared" si="36"/>
        <v>#REF!</v>
      </c>
      <c r="BI110" s="117">
        <f>SUMIF(B20:B333, B110, BH20:BH333)</f>
        <v>0</v>
      </c>
      <c r="BJ110" s="118"/>
      <c r="BK110" s="92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4"/>
    </row>
    <row r="111" spans="1:82" x14ac:dyDescent="0.3">
      <c r="A111" s="68" t="s">
        <v>279</v>
      </c>
      <c r="B111" s="69"/>
      <c r="C111" s="70" t="s">
        <v>273</v>
      </c>
      <c r="D111" s="70" t="s">
        <v>278</v>
      </c>
      <c r="E111" s="71" t="s">
        <v>280</v>
      </c>
      <c r="F111" s="72" t="s">
        <v>109</v>
      </c>
      <c r="G111" s="73"/>
      <c r="H111" s="74" t="s">
        <v>103</v>
      </c>
      <c r="I111" s="72" t="s">
        <v>4</v>
      </c>
      <c r="J111" s="73" t="s">
        <v>67</v>
      </c>
      <c r="K111" s="75"/>
      <c r="L111" s="76"/>
      <c r="M111" s="77"/>
      <c r="N111" s="78">
        <v>20900</v>
      </c>
      <c r="O111" s="79">
        <v>21669</v>
      </c>
      <c r="P111" s="79">
        <v>22182</v>
      </c>
      <c r="Q111" s="80"/>
      <c r="R111" s="155">
        <v>0.09</v>
      </c>
      <c r="S111" s="78">
        <v>1881</v>
      </c>
      <c r="T111" s="79">
        <v>1950</v>
      </c>
      <c r="U111" s="79">
        <v>1996</v>
      </c>
      <c r="V111" s="80">
        <f t="shared" si="26"/>
        <v>0</v>
      </c>
      <c r="W111" s="82"/>
      <c r="X111" s="83"/>
      <c r="Y111" s="84" t="s">
        <v>104</v>
      </c>
      <c r="Z111" s="73" t="str">
        <f>'[1]Tier 1'!V111</f>
        <v>C</v>
      </c>
      <c r="AA111" s="73"/>
      <c r="AB111" s="73"/>
      <c r="AC111" s="73"/>
      <c r="AD111" s="74"/>
      <c r="AE111" s="78">
        <f>'[1]Tier 1'!W111</f>
        <v>1310</v>
      </c>
      <c r="AF111" s="79"/>
      <c r="AG111" s="79">
        <f>'[1]Tier 1'!X111</f>
        <v>1310</v>
      </c>
      <c r="AH111" s="79"/>
      <c r="AI111" s="79">
        <f>'[1]Tier 1'!Y111</f>
        <v>2090</v>
      </c>
      <c r="AJ111" s="79">
        <f t="shared" si="27"/>
        <v>1881</v>
      </c>
      <c r="AK111" s="79" t="e">
        <f>VLOOKUP(A111,#REF!,-1,FALSE)</f>
        <v>#REF!</v>
      </c>
      <c r="AL111" s="80" t="e">
        <f t="shared" si="28"/>
        <v>#REF!</v>
      </c>
      <c r="AM111" s="78">
        <f t="shared" si="37"/>
        <v>1881</v>
      </c>
      <c r="AN111" s="85">
        <f t="shared" si="38"/>
        <v>1.4359999999999999</v>
      </c>
      <c r="AO111" s="73" t="str">
        <f t="shared" si="39"/>
        <v>OK</v>
      </c>
      <c r="AP111" s="79">
        <f t="shared" si="40"/>
        <v>1950</v>
      </c>
      <c r="AQ111" s="85">
        <f t="shared" si="41"/>
        <v>1.4890000000000001</v>
      </c>
      <c r="AR111" s="73" t="str">
        <f t="shared" si="42"/>
        <v>OK</v>
      </c>
      <c r="AS111" s="79">
        <f t="shared" si="43"/>
        <v>1996</v>
      </c>
      <c r="AT111" s="85">
        <f t="shared" si="44"/>
        <v>0.95499999999999996</v>
      </c>
      <c r="AU111" s="86" t="str">
        <f t="shared" si="45"/>
        <v>OK</v>
      </c>
      <c r="AV111" s="79">
        <f t="shared" si="29"/>
        <v>0</v>
      </c>
      <c r="AW111" s="85" t="e">
        <f t="shared" si="30"/>
        <v>#REF!</v>
      </c>
      <c r="AX111" s="87" t="e">
        <f t="shared" si="31"/>
        <v>#REF!</v>
      </c>
      <c r="AY111" s="72"/>
      <c r="AZ111" s="73"/>
      <c r="BA111" s="77">
        <f t="shared" si="32"/>
        <v>0</v>
      </c>
      <c r="BB111" s="88">
        <f t="shared" si="33"/>
        <v>1</v>
      </c>
      <c r="BC111" s="89" t="e">
        <f>SUMIF(#REF!,#REF!, BB20:BB333)</f>
        <v>#REF!</v>
      </c>
      <c r="BD111" s="89">
        <f t="shared" si="34"/>
        <v>1</v>
      </c>
      <c r="BE111" s="89" t="e">
        <f>SUMIF(#REF!,#REF!, BD20:BD333)</f>
        <v>#REF!</v>
      </c>
      <c r="BF111" s="89">
        <f t="shared" si="35"/>
        <v>1</v>
      </c>
      <c r="BG111" s="89" t="e">
        <f>SUMIF(#REF!,#REF!, BF20:BF333)</f>
        <v>#REF!</v>
      </c>
      <c r="BH111" s="89" t="e">
        <f t="shared" si="36"/>
        <v>#REF!</v>
      </c>
      <c r="BI111" s="90">
        <f>SUMIF(B20:B333, B111, BH20:BH333)</f>
        <v>0</v>
      </c>
      <c r="BJ111" s="91"/>
      <c r="BK111" s="92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4"/>
    </row>
    <row r="112" spans="1:82" x14ac:dyDescent="0.3">
      <c r="A112" s="95" t="s">
        <v>281</v>
      </c>
      <c r="B112" s="96"/>
      <c r="C112" s="97" t="s">
        <v>273</v>
      </c>
      <c r="D112" s="97" t="s">
        <v>280</v>
      </c>
      <c r="E112" s="98" t="s">
        <v>150</v>
      </c>
      <c r="F112" s="99" t="s">
        <v>109</v>
      </c>
      <c r="G112" s="100"/>
      <c r="H112" s="101" t="s">
        <v>138</v>
      </c>
      <c r="I112" s="99" t="s">
        <v>4</v>
      </c>
      <c r="J112" s="100" t="s">
        <v>67</v>
      </c>
      <c r="K112" s="102"/>
      <c r="L112" s="103"/>
      <c r="M112" s="104"/>
      <c r="N112" s="105">
        <v>22047</v>
      </c>
      <c r="O112" s="106">
        <v>23763</v>
      </c>
      <c r="P112" s="106">
        <v>24907</v>
      </c>
      <c r="Q112" s="107"/>
      <c r="R112" s="156">
        <v>0.09</v>
      </c>
      <c r="S112" s="105">
        <v>1984</v>
      </c>
      <c r="T112" s="106">
        <v>2139</v>
      </c>
      <c r="U112" s="106">
        <v>2242</v>
      </c>
      <c r="V112" s="107">
        <f t="shared" si="26"/>
        <v>0</v>
      </c>
      <c r="W112" s="109"/>
      <c r="X112" s="110"/>
      <c r="Y112" s="111" t="s">
        <v>104</v>
      </c>
      <c r="Z112" s="100" t="str">
        <f>'[1]Tier 1'!V112</f>
        <v>C</v>
      </c>
      <c r="AA112" s="100"/>
      <c r="AB112" s="100"/>
      <c r="AC112" s="100"/>
      <c r="AD112" s="101"/>
      <c r="AE112" s="105">
        <f>'[1]Tier 1'!W112</f>
        <v>1310</v>
      </c>
      <c r="AF112" s="106"/>
      <c r="AG112" s="106">
        <f>'[1]Tier 1'!X112</f>
        <v>1310</v>
      </c>
      <c r="AH112" s="106"/>
      <c r="AI112" s="106">
        <f>'[1]Tier 1'!Y112</f>
        <v>2090</v>
      </c>
      <c r="AJ112" s="106">
        <f t="shared" si="27"/>
        <v>1881</v>
      </c>
      <c r="AK112" s="106" t="e">
        <f>VLOOKUP(A112,#REF!,-1,FALSE)</f>
        <v>#REF!</v>
      </c>
      <c r="AL112" s="107" t="e">
        <f t="shared" si="28"/>
        <v>#REF!</v>
      </c>
      <c r="AM112" s="105">
        <f t="shared" si="37"/>
        <v>1984</v>
      </c>
      <c r="AN112" s="112">
        <f t="shared" si="38"/>
        <v>1.5149999999999999</v>
      </c>
      <c r="AO112" s="100" t="str">
        <f t="shared" si="39"/>
        <v>OK</v>
      </c>
      <c r="AP112" s="106">
        <f t="shared" si="40"/>
        <v>2139</v>
      </c>
      <c r="AQ112" s="112">
        <f t="shared" si="41"/>
        <v>1.633</v>
      </c>
      <c r="AR112" s="100" t="str">
        <f t="shared" si="42"/>
        <v>OK</v>
      </c>
      <c r="AS112" s="106">
        <f t="shared" si="43"/>
        <v>2242</v>
      </c>
      <c r="AT112" s="112">
        <f t="shared" si="44"/>
        <v>1.073</v>
      </c>
      <c r="AU112" s="113" t="str">
        <f t="shared" si="45"/>
        <v>OK</v>
      </c>
      <c r="AV112" s="106">
        <f t="shared" si="29"/>
        <v>0</v>
      </c>
      <c r="AW112" s="112" t="e">
        <f t="shared" si="30"/>
        <v>#REF!</v>
      </c>
      <c r="AX112" s="114" t="e">
        <f t="shared" si="31"/>
        <v>#REF!</v>
      </c>
      <c r="AY112" s="99"/>
      <c r="AZ112" s="100"/>
      <c r="BA112" s="104">
        <f t="shared" si="32"/>
        <v>0</v>
      </c>
      <c r="BB112" s="115">
        <f t="shared" si="33"/>
        <v>1</v>
      </c>
      <c r="BC112" s="116" t="e">
        <f>SUMIF(#REF!,#REF!, BB20:BB333)</f>
        <v>#REF!</v>
      </c>
      <c r="BD112" s="116">
        <f t="shared" si="34"/>
        <v>1</v>
      </c>
      <c r="BE112" s="116" t="e">
        <f>SUMIF(#REF!,#REF!, BD20:BD333)</f>
        <v>#REF!</v>
      </c>
      <c r="BF112" s="116">
        <f t="shared" si="35"/>
        <v>1</v>
      </c>
      <c r="BG112" s="116" t="e">
        <f>SUMIF(#REF!,#REF!, BF20:BF333)</f>
        <v>#REF!</v>
      </c>
      <c r="BH112" s="116" t="e">
        <f t="shared" si="36"/>
        <v>#REF!</v>
      </c>
      <c r="BI112" s="117">
        <f>SUMIF(B20:B333, B112, BH20:BH333)</f>
        <v>0</v>
      </c>
      <c r="BJ112" s="118"/>
      <c r="BK112" s="92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4"/>
    </row>
    <row r="113" spans="1:82" x14ac:dyDescent="0.3">
      <c r="A113" s="68" t="s">
        <v>282</v>
      </c>
      <c r="B113" s="69"/>
      <c r="C113" s="70" t="s">
        <v>283</v>
      </c>
      <c r="D113" s="70" t="s">
        <v>101</v>
      </c>
      <c r="E113" s="71" t="s">
        <v>102</v>
      </c>
      <c r="F113" s="72" t="s">
        <v>103</v>
      </c>
      <c r="G113" s="73"/>
      <c r="H113" s="74" t="s">
        <v>138</v>
      </c>
      <c r="I113" s="72" t="s">
        <v>4</v>
      </c>
      <c r="J113" s="73" t="s">
        <v>6</v>
      </c>
      <c r="K113" s="75"/>
      <c r="L113" s="76"/>
      <c r="M113" s="77"/>
      <c r="N113" s="78">
        <v>7446</v>
      </c>
      <c r="O113" s="79">
        <v>7681</v>
      </c>
      <c r="P113" s="79">
        <v>7971</v>
      </c>
      <c r="Q113" s="80"/>
      <c r="R113" s="155">
        <v>0.09</v>
      </c>
      <c r="S113" s="78">
        <v>670</v>
      </c>
      <c r="T113" s="79">
        <v>691</v>
      </c>
      <c r="U113" s="79">
        <v>717</v>
      </c>
      <c r="V113" s="80">
        <f t="shared" si="26"/>
        <v>0</v>
      </c>
      <c r="W113" s="82"/>
      <c r="X113" s="83"/>
      <c r="Y113" s="84" t="s">
        <v>104</v>
      </c>
      <c r="Z113" s="73" t="str">
        <f>'[1]Tier 1'!V113</f>
        <v>C</v>
      </c>
      <c r="AA113" s="73"/>
      <c r="AB113" s="73"/>
      <c r="AC113" s="73"/>
      <c r="AD113" s="74"/>
      <c r="AE113" s="78">
        <f>'[1]Tier 1'!W113</f>
        <v>1490</v>
      </c>
      <c r="AF113" s="79"/>
      <c r="AG113" s="79">
        <f>'[1]Tier 1'!X113</f>
        <v>1490</v>
      </c>
      <c r="AH113" s="79"/>
      <c r="AI113" s="79">
        <f>'[1]Tier 1'!Y113</f>
        <v>1490</v>
      </c>
      <c r="AJ113" s="79">
        <f t="shared" si="27"/>
        <v>1341</v>
      </c>
      <c r="AK113" s="79" t="e">
        <f>VLOOKUP(A113,#REF!,-1,FALSE)</f>
        <v>#REF!</v>
      </c>
      <c r="AL113" s="80" t="e">
        <f t="shared" si="28"/>
        <v>#REF!</v>
      </c>
      <c r="AM113" s="78">
        <f t="shared" si="37"/>
        <v>670</v>
      </c>
      <c r="AN113" s="85">
        <f t="shared" si="38"/>
        <v>0.45</v>
      </c>
      <c r="AO113" s="73" t="str">
        <f t="shared" si="39"/>
        <v>OK</v>
      </c>
      <c r="AP113" s="79">
        <f t="shared" si="40"/>
        <v>691</v>
      </c>
      <c r="AQ113" s="85">
        <f t="shared" si="41"/>
        <v>0.46400000000000002</v>
      </c>
      <c r="AR113" s="73" t="str">
        <f t="shared" si="42"/>
        <v>OK</v>
      </c>
      <c r="AS113" s="79">
        <f t="shared" si="43"/>
        <v>717</v>
      </c>
      <c r="AT113" s="85">
        <f t="shared" si="44"/>
        <v>0.48099999999999998</v>
      </c>
      <c r="AU113" s="86" t="str">
        <f t="shared" si="45"/>
        <v>OK</v>
      </c>
      <c r="AV113" s="79">
        <f t="shared" si="29"/>
        <v>0</v>
      </c>
      <c r="AW113" s="85" t="e">
        <f t="shared" si="30"/>
        <v>#REF!</v>
      </c>
      <c r="AX113" s="87" t="e">
        <f t="shared" si="31"/>
        <v>#REF!</v>
      </c>
      <c r="AY113" s="72"/>
      <c r="AZ113" s="73"/>
      <c r="BA113" s="77">
        <f t="shared" si="32"/>
        <v>0</v>
      </c>
      <c r="BB113" s="88">
        <f t="shared" si="33"/>
        <v>1</v>
      </c>
      <c r="BC113" s="89" t="e">
        <f>SUMIF(#REF!,#REF!, BB20:BB333)</f>
        <v>#REF!</v>
      </c>
      <c r="BD113" s="89">
        <f t="shared" si="34"/>
        <v>1</v>
      </c>
      <c r="BE113" s="89" t="e">
        <f>SUMIF(#REF!,#REF!, BD20:BD333)</f>
        <v>#REF!</v>
      </c>
      <c r="BF113" s="89">
        <f t="shared" si="35"/>
        <v>0</v>
      </c>
      <c r="BG113" s="89" t="e">
        <f>SUMIF(#REF!,#REF!, BF20:BF333)</f>
        <v>#REF!</v>
      </c>
      <c r="BH113" s="89" t="e">
        <f t="shared" si="36"/>
        <v>#REF!</v>
      </c>
      <c r="BI113" s="90">
        <f>SUMIF(B20:B333, B113, BH20:BH333)</f>
        <v>0</v>
      </c>
      <c r="BJ113" s="91"/>
      <c r="BK113" s="92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4"/>
    </row>
    <row r="114" spans="1:82" x14ac:dyDescent="0.3">
      <c r="A114" s="95" t="s">
        <v>284</v>
      </c>
      <c r="B114" s="96"/>
      <c r="C114" s="97" t="s">
        <v>255</v>
      </c>
      <c r="D114" s="97" t="s">
        <v>285</v>
      </c>
      <c r="E114" s="98" t="s">
        <v>140</v>
      </c>
      <c r="F114" s="99" t="s">
        <v>286</v>
      </c>
      <c r="G114" s="100"/>
      <c r="H114" s="101" t="s">
        <v>109</v>
      </c>
      <c r="I114" s="99" t="s">
        <v>4</v>
      </c>
      <c r="J114" s="100" t="s">
        <v>6</v>
      </c>
      <c r="K114" s="102"/>
      <c r="L114" s="103"/>
      <c r="M114" s="104"/>
      <c r="N114" s="105">
        <v>11322</v>
      </c>
      <c r="O114" s="106">
        <v>11716</v>
      </c>
      <c r="P114" s="106">
        <v>12367</v>
      </c>
      <c r="Q114" s="107"/>
      <c r="R114" s="156">
        <v>0</v>
      </c>
      <c r="S114" s="105">
        <v>0</v>
      </c>
      <c r="T114" s="106">
        <v>0</v>
      </c>
      <c r="U114" s="106">
        <v>0</v>
      </c>
      <c r="V114" s="107">
        <f t="shared" si="26"/>
        <v>0</v>
      </c>
      <c r="W114" s="109"/>
      <c r="X114" s="110"/>
      <c r="Y114" s="111" t="s">
        <v>104</v>
      </c>
      <c r="Z114" s="100" t="str">
        <f>'[1]Tier 1'!V114</f>
        <v>C</v>
      </c>
      <c r="AA114" s="100"/>
      <c r="AB114" s="100"/>
      <c r="AC114" s="100"/>
      <c r="AD114" s="101"/>
      <c r="AE114" s="105">
        <f>'[1]Tier 1'!W114</f>
        <v>0</v>
      </c>
      <c r="AF114" s="106"/>
      <c r="AG114" s="106">
        <f>'[1]Tier 1'!X114</f>
        <v>0</v>
      </c>
      <c r="AH114" s="106"/>
      <c r="AI114" s="106">
        <f>'[1]Tier 1'!Y114</f>
        <v>0</v>
      </c>
      <c r="AJ114" s="106">
        <f t="shared" si="27"/>
        <v>0</v>
      </c>
      <c r="AK114" s="106" t="e">
        <f>VLOOKUP(A114,#REF!,-1,FALSE)</f>
        <v>#REF!</v>
      </c>
      <c r="AL114" s="107" t="e">
        <f t="shared" si="28"/>
        <v>#REF!</v>
      </c>
      <c r="AM114" s="105">
        <f t="shared" si="37"/>
        <v>0</v>
      </c>
      <c r="AN114" s="112">
        <f t="shared" si="38"/>
        <v>0</v>
      </c>
      <c r="AO114" s="100" t="str">
        <f t="shared" si="39"/>
        <v>OK</v>
      </c>
      <c r="AP114" s="106">
        <f t="shared" si="40"/>
        <v>0</v>
      </c>
      <c r="AQ114" s="112">
        <f t="shared" si="41"/>
        <v>0</v>
      </c>
      <c r="AR114" s="100" t="str">
        <f t="shared" si="42"/>
        <v>OK</v>
      </c>
      <c r="AS114" s="106">
        <f t="shared" si="43"/>
        <v>0</v>
      </c>
      <c r="AT114" s="112">
        <f t="shared" si="44"/>
        <v>0</v>
      </c>
      <c r="AU114" s="113" t="str">
        <f t="shared" si="45"/>
        <v>OK</v>
      </c>
      <c r="AV114" s="106">
        <f t="shared" si="29"/>
        <v>0</v>
      </c>
      <c r="AW114" s="112" t="e">
        <f t="shared" si="30"/>
        <v>#REF!</v>
      </c>
      <c r="AX114" s="114" t="e">
        <f t="shared" si="31"/>
        <v>#REF!</v>
      </c>
      <c r="AY114" s="99"/>
      <c r="AZ114" s="100"/>
      <c r="BA114" s="104">
        <f t="shared" si="32"/>
        <v>0</v>
      </c>
      <c r="BB114" s="115">
        <f t="shared" si="33"/>
        <v>0</v>
      </c>
      <c r="BC114" s="116" t="e">
        <f>SUMIF(#REF!,#REF!, BB20:BB333)</f>
        <v>#REF!</v>
      </c>
      <c r="BD114" s="116">
        <f t="shared" si="34"/>
        <v>0</v>
      </c>
      <c r="BE114" s="116" t="e">
        <f>SUMIF(#REF!,#REF!, BD20:BD333)</f>
        <v>#REF!</v>
      </c>
      <c r="BF114" s="116">
        <f t="shared" si="35"/>
        <v>0</v>
      </c>
      <c r="BG114" s="116" t="e">
        <f>SUMIF(#REF!,#REF!, BF20:BF333)</f>
        <v>#REF!</v>
      </c>
      <c r="BH114" s="116" t="e">
        <f t="shared" si="36"/>
        <v>#REF!</v>
      </c>
      <c r="BI114" s="117">
        <f>SUMIF(B20:B333, B114, BH20:BH333)</f>
        <v>0</v>
      </c>
      <c r="BJ114" s="118"/>
      <c r="BK114" s="92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4"/>
    </row>
    <row r="115" spans="1:82" x14ac:dyDescent="0.3">
      <c r="A115" s="68" t="s">
        <v>287</v>
      </c>
      <c r="B115" s="69"/>
      <c r="C115" s="70" t="s">
        <v>255</v>
      </c>
      <c r="D115" s="70" t="s">
        <v>140</v>
      </c>
      <c r="E115" s="71" t="s">
        <v>146</v>
      </c>
      <c r="F115" s="72" t="s">
        <v>286</v>
      </c>
      <c r="G115" s="73"/>
      <c r="H115" s="74" t="s">
        <v>103</v>
      </c>
      <c r="I115" s="72" t="s">
        <v>4</v>
      </c>
      <c r="J115" s="73" t="s">
        <v>6</v>
      </c>
      <c r="K115" s="75"/>
      <c r="L115" s="76"/>
      <c r="M115" s="77"/>
      <c r="N115" s="78">
        <v>9180</v>
      </c>
      <c r="O115" s="79">
        <v>9210</v>
      </c>
      <c r="P115" s="79">
        <v>9453</v>
      </c>
      <c r="Q115" s="80"/>
      <c r="R115" s="155">
        <v>0</v>
      </c>
      <c r="S115" s="78">
        <v>0</v>
      </c>
      <c r="T115" s="79">
        <v>0</v>
      </c>
      <c r="U115" s="79">
        <v>0</v>
      </c>
      <c r="V115" s="80">
        <f t="shared" si="26"/>
        <v>0</v>
      </c>
      <c r="W115" s="82"/>
      <c r="X115" s="83"/>
      <c r="Y115" s="84" t="s">
        <v>104</v>
      </c>
      <c r="Z115" s="73" t="str">
        <f>'[1]Tier 1'!V115</f>
        <v>C</v>
      </c>
      <c r="AA115" s="73"/>
      <c r="AB115" s="73"/>
      <c r="AC115" s="73"/>
      <c r="AD115" s="74"/>
      <c r="AE115" s="78">
        <f>'[1]Tier 1'!W115</f>
        <v>0</v>
      </c>
      <c r="AF115" s="79"/>
      <c r="AG115" s="79">
        <f>'[1]Tier 1'!X115</f>
        <v>0</v>
      </c>
      <c r="AH115" s="79"/>
      <c r="AI115" s="79">
        <f>'[1]Tier 1'!Y115</f>
        <v>0</v>
      </c>
      <c r="AJ115" s="79">
        <f t="shared" si="27"/>
        <v>0</v>
      </c>
      <c r="AK115" s="79" t="e">
        <f>VLOOKUP(A115,#REF!,-1,FALSE)</f>
        <v>#REF!</v>
      </c>
      <c r="AL115" s="80" t="e">
        <f t="shared" si="28"/>
        <v>#REF!</v>
      </c>
      <c r="AM115" s="78">
        <f t="shared" si="37"/>
        <v>0</v>
      </c>
      <c r="AN115" s="85">
        <f t="shared" si="38"/>
        <v>0</v>
      </c>
      <c r="AO115" s="73" t="str">
        <f t="shared" si="39"/>
        <v>OK</v>
      </c>
      <c r="AP115" s="79">
        <f t="shared" si="40"/>
        <v>0</v>
      </c>
      <c r="AQ115" s="85">
        <f t="shared" si="41"/>
        <v>0</v>
      </c>
      <c r="AR115" s="73" t="str">
        <f t="shared" si="42"/>
        <v>OK</v>
      </c>
      <c r="AS115" s="79">
        <f t="shared" si="43"/>
        <v>0</v>
      </c>
      <c r="AT115" s="85">
        <f t="shared" si="44"/>
        <v>0</v>
      </c>
      <c r="AU115" s="86" t="str">
        <f t="shared" si="45"/>
        <v>OK</v>
      </c>
      <c r="AV115" s="79">
        <f t="shared" si="29"/>
        <v>0</v>
      </c>
      <c r="AW115" s="85" t="e">
        <f t="shared" si="30"/>
        <v>#REF!</v>
      </c>
      <c r="AX115" s="87" t="e">
        <f t="shared" si="31"/>
        <v>#REF!</v>
      </c>
      <c r="AY115" s="72"/>
      <c r="AZ115" s="73"/>
      <c r="BA115" s="77">
        <f t="shared" si="32"/>
        <v>0</v>
      </c>
      <c r="BB115" s="88">
        <f t="shared" si="33"/>
        <v>0</v>
      </c>
      <c r="BC115" s="89" t="e">
        <f>SUMIF(#REF!,#REF!, BB20:BB333)</f>
        <v>#REF!</v>
      </c>
      <c r="BD115" s="89">
        <f t="shared" si="34"/>
        <v>0</v>
      </c>
      <c r="BE115" s="89" t="e">
        <f>SUMIF(#REF!,#REF!, BD20:BD333)</f>
        <v>#REF!</v>
      </c>
      <c r="BF115" s="89">
        <f t="shared" si="35"/>
        <v>0</v>
      </c>
      <c r="BG115" s="89" t="e">
        <f>SUMIF(#REF!,#REF!, BF20:BF333)</f>
        <v>#REF!</v>
      </c>
      <c r="BH115" s="89" t="e">
        <f t="shared" si="36"/>
        <v>#REF!</v>
      </c>
      <c r="BI115" s="90">
        <f>SUMIF(B20:B333, B115, BH20:BH333)</f>
        <v>0</v>
      </c>
      <c r="BJ115" s="91"/>
      <c r="BK115" s="92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4"/>
    </row>
    <row r="116" spans="1:82" x14ac:dyDescent="0.3">
      <c r="A116" s="95" t="s">
        <v>288</v>
      </c>
      <c r="B116" s="96"/>
      <c r="C116" s="97" t="s">
        <v>255</v>
      </c>
      <c r="D116" s="97" t="s">
        <v>146</v>
      </c>
      <c r="E116" s="98" t="s">
        <v>278</v>
      </c>
      <c r="F116" s="99" t="s">
        <v>286</v>
      </c>
      <c r="G116" s="100"/>
      <c r="H116" s="101" t="s">
        <v>118</v>
      </c>
      <c r="I116" s="99" t="s">
        <v>4</v>
      </c>
      <c r="J116" s="100" t="s">
        <v>6</v>
      </c>
      <c r="K116" s="102"/>
      <c r="L116" s="103"/>
      <c r="M116" s="104"/>
      <c r="N116" s="105">
        <v>9078</v>
      </c>
      <c r="O116" s="106">
        <v>9108</v>
      </c>
      <c r="P116" s="106">
        <v>9416</v>
      </c>
      <c r="Q116" s="107"/>
      <c r="R116" s="156">
        <v>0</v>
      </c>
      <c r="S116" s="105">
        <v>0</v>
      </c>
      <c r="T116" s="106">
        <v>0</v>
      </c>
      <c r="U116" s="106">
        <v>0</v>
      </c>
      <c r="V116" s="107">
        <f t="shared" si="26"/>
        <v>0</v>
      </c>
      <c r="W116" s="109"/>
      <c r="X116" s="110"/>
      <c r="Y116" s="111" t="s">
        <v>104</v>
      </c>
      <c r="Z116" s="100" t="str">
        <f>'[1]Tier 1'!V116</f>
        <v>C</v>
      </c>
      <c r="AA116" s="100"/>
      <c r="AB116" s="100"/>
      <c r="AC116" s="100"/>
      <c r="AD116" s="101"/>
      <c r="AE116" s="105">
        <f>'[1]Tier 1'!W116</f>
        <v>0</v>
      </c>
      <c r="AF116" s="106"/>
      <c r="AG116" s="106">
        <f>'[1]Tier 1'!X116</f>
        <v>0</v>
      </c>
      <c r="AH116" s="106"/>
      <c r="AI116" s="106">
        <f>'[1]Tier 1'!Y116</f>
        <v>0</v>
      </c>
      <c r="AJ116" s="106">
        <f t="shared" si="27"/>
        <v>0</v>
      </c>
      <c r="AK116" s="106" t="e">
        <f>VLOOKUP(A116,#REF!,-1,FALSE)</f>
        <v>#REF!</v>
      </c>
      <c r="AL116" s="107" t="e">
        <f t="shared" si="28"/>
        <v>#REF!</v>
      </c>
      <c r="AM116" s="105">
        <f t="shared" si="37"/>
        <v>0</v>
      </c>
      <c r="AN116" s="112">
        <f t="shared" si="38"/>
        <v>0</v>
      </c>
      <c r="AO116" s="100" t="str">
        <f t="shared" si="39"/>
        <v>OK</v>
      </c>
      <c r="AP116" s="106">
        <f t="shared" si="40"/>
        <v>0</v>
      </c>
      <c r="AQ116" s="112">
        <f t="shared" si="41"/>
        <v>0</v>
      </c>
      <c r="AR116" s="100" t="str">
        <f t="shared" si="42"/>
        <v>OK</v>
      </c>
      <c r="AS116" s="106">
        <f t="shared" si="43"/>
        <v>0</v>
      </c>
      <c r="AT116" s="112">
        <f t="shared" si="44"/>
        <v>0</v>
      </c>
      <c r="AU116" s="113" t="str">
        <f t="shared" si="45"/>
        <v>OK</v>
      </c>
      <c r="AV116" s="106">
        <f t="shared" si="29"/>
        <v>0</v>
      </c>
      <c r="AW116" s="112" t="e">
        <f t="shared" si="30"/>
        <v>#REF!</v>
      </c>
      <c r="AX116" s="114" t="e">
        <f t="shared" si="31"/>
        <v>#REF!</v>
      </c>
      <c r="AY116" s="99"/>
      <c r="AZ116" s="100"/>
      <c r="BA116" s="104">
        <f t="shared" si="32"/>
        <v>0</v>
      </c>
      <c r="BB116" s="115">
        <f t="shared" si="33"/>
        <v>0</v>
      </c>
      <c r="BC116" s="116" t="e">
        <f>SUMIF(#REF!,#REF!, BB20:BB333)</f>
        <v>#REF!</v>
      </c>
      <c r="BD116" s="116">
        <f t="shared" si="34"/>
        <v>0</v>
      </c>
      <c r="BE116" s="116" t="e">
        <f>SUMIF(#REF!,#REF!, BD20:BD333)</f>
        <v>#REF!</v>
      </c>
      <c r="BF116" s="116">
        <f t="shared" si="35"/>
        <v>0</v>
      </c>
      <c r="BG116" s="116" t="e">
        <f>SUMIF(#REF!,#REF!, BF20:BF333)</f>
        <v>#REF!</v>
      </c>
      <c r="BH116" s="116" t="e">
        <f t="shared" si="36"/>
        <v>#REF!</v>
      </c>
      <c r="BI116" s="117">
        <f>SUMIF(B20:B333, B116, BH20:BH333)</f>
        <v>0</v>
      </c>
      <c r="BJ116" s="118"/>
      <c r="BK116" s="92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4"/>
    </row>
    <row r="117" spans="1:82" x14ac:dyDescent="0.3">
      <c r="A117" s="68" t="s">
        <v>289</v>
      </c>
      <c r="B117" s="69"/>
      <c r="C117" s="70" t="s">
        <v>255</v>
      </c>
      <c r="D117" s="70" t="s">
        <v>278</v>
      </c>
      <c r="E117" s="71" t="s">
        <v>111</v>
      </c>
      <c r="F117" s="72" t="s">
        <v>286</v>
      </c>
      <c r="G117" s="73"/>
      <c r="H117" s="74" t="s">
        <v>118</v>
      </c>
      <c r="I117" s="72" t="s">
        <v>4</v>
      </c>
      <c r="J117" s="73" t="s">
        <v>6</v>
      </c>
      <c r="K117" s="75"/>
      <c r="L117" s="76"/>
      <c r="M117" s="77"/>
      <c r="N117" s="78">
        <v>9078</v>
      </c>
      <c r="O117" s="79">
        <v>9108</v>
      </c>
      <c r="P117" s="79">
        <v>9416</v>
      </c>
      <c r="Q117" s="80"/>
      <c r="R117" s="155">
        <v>0</v>
      </c>
      <c r="S117" s="78">
        <v>0</v>
      </c>
      <c r="T117" s="79">
        <v>0</v>
      </c>
      <c r="U117" s="79">
        <v>847</v>
      </c>
      <c r="V117" s="80">
        <f t="shared" si="26"/>
        <v>0</v>
      </c>
      <c r="W117" s="82"/>
      <c r="X117" s="83"/>
      <c r="Y117" s="84" t="s">
        <v>104</v>
      </c>
      <c r="Z117" s="73" t="str">
        <f>'[1]Tier 1'!V117</f>
        <v>C</v>
      </c>
      <c r="AA117" s="73"/>
      <c r="AB117" s="73"/>
      <c r="AC117" s="73"/>
      <c r="AD117" s="74"/>
      <c r="AE117" s="78">
        <f>'[1]Tier 1'!W117</f>
        <v>0</v>
      </c>
      <c r="AF117" s="79"/>
      <c r="AG117" s="79">
        <f>'[1]Tier 1'!X117</f>
        <v>0</v>
      </c>
      <c r="AH117" s="79"/>
      <c r="AI117" s="79">
        <f>'[1]Tier 1'!Y117</f>
        <v>528</v>
      </c>
      <c r="AJ117" s="79">
        <f t="shared" si="27"/>
        <v>475.2</v>
      </c>
      <c r="AK117" s="79" t="e">
        <f>VLOOKUP(A117,#REF!,-1,FALSE)</f>
        <v>#REF!</v>
      </c>
      <c r="AL117" s="80" t="e">
        <f t="shared" si="28"/>
        <v>#REF!</v>
      </c>
      <c r="AM117" s="78">
        <f t="shared" si="37"/>
        <v>0</v>
      </c>
      <c r="AN117" s="85">
        <f t="shared" si="38"/>
        <v>0</v>
      </c>
      <c r="AO117" s="73" t="str">
        <f t="shared" si="39"/>
        <v>OK</v>
      </c>
      <c r="AP117" s="79">
        <f t="shared" si="40"/>
        <v>0</v>
      </c>
      <c r="AQ117" s="85">
        <f t="shared" si="41"/>
        <v>0</v>
      </c>
      <c r="AR117" s="73" t="str">
        <f t="shared" si="42"/>
        <v>OK</v>
      </c>
      <c r="AS117" s="79">
        <f t="shared" si="43"/>
        <v>847</v>
      </c>
      <c r="AT117" s="85">
        <f t="shared" si="44"/>
        <v>1.6040000000000001</v>
      </c>
      <c r="AU117" s="86" t="str">
        <f t="shared" si="45"/>
        <v>OK</v>
      </c>
      <c r="AV117" s="79">
        <f t="shared" si="29"/>
        <v>0</v>
      </c>
      <c r="AW117" s="85" t="e">
        <f t="shared" si="30"/>
        <v>#REF!</v>
      </c>
      <c r="AX117" s="87" t="e">
        <f t="shared" si="31"/>
        <v>#REF!</v>
      </c>
      <c r="AY117" s="72"/>
      <c r="AZ117" s="73"/>
      <c r="BA117" s="77">
        <f t="shared" si="32"/>
        <v>0</v>
      </c>
      <c r="BB117" s="88">
        <f t="shared" si="33"/>
        <v>0</v>
      </c>
      <c r="BC117" s="89" t="e">
        <f>SUMIF(#REF!,#REF!, BB20:BB333)</f>
        <v>#REF!</v>
      </c>
      <c r="BD117" s="89">
        <f t="shared" si="34"/>
        <v>0</v>
      </c>
      <c r="BE117" s="89" t="e">
        <f>SUMIF(#REF!,#REF!, BD20:BD333)</f>
        <v>#REF!</v>
      </c>
      <c r="BF117" s="89">
        <f t="shared" si="35"/>
        <v>1</v>
      </c>
      <c r="BG117" s="89" t="e">
        <f>SUMIF(#REF!,#REF!, BF20:BF333)</f>
        <v>#REF!</v>
      </c>
      <c r="BH117" s="89" t="e">
        <f t="shared" si="36"/>
        <v>#REF!</v>
      </c>
      <c r="BI117" s="90">
        <f>SUMIF(B20:B333, B117, BH20:BH333)</f>
        <v>0</v>
      </c>
      <c r="BJ117" s="91"/>
      <c r="BK117" s="92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4"/>
    </row>
    <row r="118" spans="1:82" x14ac:dyDescent="0.3">
      <c r="A118" s="95" t="s">
        <v>290</v>
      </c>
      <c r="B118" s="96"/>
      <c r="C118" s="97" t="s">
        <v>255</v>
      </c>
      <c r="D118" s="97" t="s">
        <v>111</v>
      </c>
      <c r="E118" s="98" t="s">
        <v>291</v>
      </c>
      <c r="F118" s="99" t="s">
        <v>103</v>
      </c>
      <c r="G118" s="100"/>
      <c r="H118" s="101" t="s">
        <v>118</v>
      </c>
      <c r="I118" s="99" t="s">
        <v>4</v>
      </c>
      <c r="J118" s="100" t="s">
        <v>6</v>
      </c>
      <c r="K118" s="102"/>
      <c r="L118" s="103"/>
      <c r="M118" s="104"/>
      <c r="N118" s="105">
        <v>9078</v>
      </c>
      <c r="O118" s="106">
        <v>9108</v>
      </c>
      <c r="P118" s="106">
        <v>9416</v>
      </c>
      <c r="Q118" s="107"/>
      <c r="R118" s="156">
        <v>0.09</v>
      </c>
      <c r="S118" s="105">
        <v>817</v>
      </c>
      <c r="T118" s="106">
        <v>820</v>
      </c>
      <c r="U118" s="106">
        <v>847</v>
      </c>
      <c r="V118" s="107">
        <f t="shared" si="26"/>
        <v>0</v>
      </c>
      <c r="W118" s="109"/>
      <c r="X118" s="110"/>
      <c r="Y118" s="111" t="s">
        <v>104</v>
      </c>
      <c r="Z118" s="100" t="str">
        <f>'[1]Tier 1'!V118</f>
        <v>C</v>
      </c>
      <c r="AA118" s="100"/>
      <c r="AB118" s="100"/>
      <c r="AC118" s="100"/>
      <c r="AD118" s="101"/>
      <c r="AE118" s="105">
        <f>'[1]Tier 1'!W118</f>
        <v>660</v>
      </c>
      <c r="AF118" s="106"/>
      <c r="AG118" s="106">
        <f>'[1]Tier 1'!X118</f>
        <v>660</v>
      </c>
      <c r="AH118" s="106"/>
      <c r="AI118" s="106">
        <f>'[1]Tier 1'!Y118</f>
        <v>2090</v>
      </c>
      <c r="AJ118" s="106">
        <f t="shared" si="27"/>
        <v>1881</v>
      </c>
      <c r="AK118" s="106" t="e">
        <f>VLOOKUP(A118,#REF!,-1,FALSE)</f>
        <v>#REF!</v>
      </c>
      <c r="AL118" s="107" t="e">
        <f t="shared" si="28"/>
        <v>#REF!</v>
      </c>
      <c r="AM118" s="105">
        <f t="shared" si="37"/>
        <v>817</v>
      </c>
      <c r="AN118" s="112">
        <f t="shared" si="38"/>
        <v>1.238</v>
      </c>
      <c r="AO118" s="100" t="str">
        <f t="shared" si="39"/>
        <v>OK</v>
      </c>
      <c r="AP118" s="106">
        <f t="shared" si="40"/>
        <v>820</v>
      </c>
      <c r="AQ118" s="112">
        <f t="shared" si="41"/>
        <v>1.242</v>
      </c>
      <c r="AR118" s="100" t="str">
        <f t="shared" si="42"/>
        <v>OK</v>
      </c>
      <c r="AS118" s="106">
        <f t="shared" si="43"/>
        <v>847</v>
      </c>
      <c r="AT118" s="112">
        <f t="shared" si="44"/>
        <v>0.40500000000000003</v>
      </c>
      <c r="AU118" s="113" t="str">
        <f t="shared" si="45"/>
        <v>OK</v>
      </c>
      <c r="AV118" s="106">
        <f t="shared" si="29"/>
        <v>0</v>
      </c>
      <c r="AW118" s="112" t="e">
        <f t="shared" si="30"/>
        <v>#REF!</v>
      </c>
      <c r="AX118" s="114" t="e">
        <f t="shared" si="31"/>
        <v>#REF!</v>
      </c>
      <c r="AY118" s="99"/>
      <c r="AZ118" s="100"/>
      <c r="BA118" s="104">
        <f t="shared" si="32"/>
        <v>0</v>
      </c>
      <c r="BB118" s="115">
        <f t="shared" si="33"/>
        <v>1</v>
      </c>
      <c r="BC118" s="116" t="e">
        <f>SUMIF(#REF!,#REF!, BB20:BB333)</f>
        <v>#REF!</v>
      </c>
      <c r="BD118" s="116">
        <f t="shared" si="34"/>
        <v>1</v>
      </c>
      <c r="BE118" s="116" t="e">
        <f>SUMIF(#REF!,#REF!, BD20:BD333)</f>
        <v>#REF!</v>
      </c>
      <c r="BF118" s="116">
        <f t="shared" si="35"/>
        <v>0</v>
      </c>
      <c r="BG118" s="116" t="e">
        <f>SUMIF(#REF!,#REF!, BF20:BF333)</f>
        <v>#REF!</v>
      </c>
      <c r="BH118" s="116" t="e">
        <f t="shared" si="36"/>
        <v>#REF!</v>
      </c>
      <c r="BI118" s="117">
        <f>SUMIF(B20:B333, B118, BH20:BH333)</f>
        <v>0</v>
      </c>
      <c r="BJ118" s="118"/>
      <c r="BK118" s="92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4"/>
    </row>
    <row r="119" spans="1:82" x14ac:dyDescent="0.3">
      <c r="A119" s="68" t="s">
        <v>292</v>
      </c>
      <c r="B119" s="69"/>
      <c r="C119" s="70" t="s">
        <v>255</v>
      </c>
      <c r="D119" s="70" t="s">
        <v>291</v>
      </c>
      <c r="E119" s="71" t="s">
        <v>293</v>
      </c>
      <c r="F119" s="72" t="s">
        <v>103</v>
      </c>
      <c r="G119" s="73"/>
      <c r="H119" s="74" t="s">
        <v>109</v>
      </c>
      <c r="I119" s="72" t="s">
        <v>4</v>
      </c>
      <c r="J119" s="73" t="s">
        <v>6</v>
      </c>
      <c r="K119" s="75"/>
      <c r="L119" s="76"/>
      <c r="M119" s="77"/>
      <c r="N119" s="78">
        <v>11730</v>
      </c>
      <c r="O119" s="79">
        <v>11946</v>
      </c>
      <c r="P119" s="79">
        <v>12435</v>
      </c>
      <c r="Q119" s="80"/>
      <c r="R119" s="155">
        <v>0.09</v>
      </c>
      <c r="S119" s="78">
        <v>1056</v>
      </c>
      <c r="T119" s="79">
        <v>1075</v>
      </c>
      <c r="U119" s="79">
        <v>1119</v>
      </c>
      <c r="V119" s="80">
        <f t="shared" si="26"/>
        <v>0</v>
      </c>
      <c r="W119" s="82"/>
      <c r="X119" s="83"/>
      <c r="Y119" s="84" t="s">
        <v>104</v>
      </c>
      <c r="Z119" s="73" t="str">
        <f>'[1]Tier 1'!V119</f>
        <v>C</v>
      </c>
      <c r="AA119" s="73"/>
      <c r="AB119" s="73"/>
      <c r="AC119" s="73"/>
      <c r="AD119" s="74"/>
      <c r="AE119" s="78">
        <f>'[1]Tier 1'!W119</f>
        <v>660</v>
      </c>
      <c r="AF119" s="79"/>
      <c r="AG119" s="79">
        <f>'[1]Tier 1'!X119</f>
        <v>660</v>
      </c>
      <c r="AH119" s="79"/>
      <c r="AI119" s="79">
        <f>'[1]Tier 1'!Y119</f>
        <v>2090</v>
      </c>
      <c r="AJ119" s="79">
        <f t="shared" si="27"/>
        <v>1881</v>
      </c>
      <c r="AK119" s="79" t="e">
        <f>VLOOKUP(A119,#REF!,-1,FALSE)</f>
        <v>#REF!</v>
      </c>
      <c r="AL119" s="80" t="e">
        <f t="shared" si="28"/>
        <v>#REF!</v>
      </c>
      <c r="AM119" s="78">
        <f t="shared" si="37"/>
        <v>1056</v>
      </c>
      <c r="AN119" s="85">
        <f t="shared" si="38"/>
        <v>1.6</v>
      </c>
      <c r="AO119" s="73" t="str">
        <f t="shared" si="39"/>
        <v>OK</v>
      </c>
      <c r="AP119" s="79">
        <f t="shared" si="40"/>
        <v>1075</v>
      </c>
      <c r="AQ119" s="85">
        <f t="shared" si="41"/>
        <v>1.629</v>
      </c>
      <c r="AR119" s="73" t="str">
        <f t="shared" si="42"/>
        <v>OK</v>
      </c>
      <c r="AS119" s="79">
        <f t="shared" si="43"/>
        <v>1119</v>
      </c>
      <c r="AT119" s="85">
        <f t="shared" si="44"/>
        <v>0.53500000000000003</v>
      </c>
      <c r="AU119" s="86" t="str">
        <f t="shared" si="45"/>
        <v>OK</v>
      </c>
      <c r="AV119" s="79">
        <f t="shared" si="29"/>
        <v>0</v>
      </c>
      <c r="AW119" s="85" t="e">
        <f t="shared" si="30"/>
        <v>#REF!</v>
      </c>
      <c r="AX119" s="87" t="e">
        <f t="shared" si="31"/>
        <v>#REF!</v>
      </c>
      <c r="AY119" s="72"/>
      <c r="AZ119" s="73"/>
      <c r="BA119" s="77">
        <f t="shared" si="32"/>
        <v>0</v>
      </c>
      <c r="BB119" s="88">
        <f t="shared" si="33"/>
        <v>1</v>
      </c>
      <c r="BC119" s="89" t="e">
        <f>SUMIF(#REF!,#REF!, BB20:BB333)</f>
        <v>#REF!</v>
      </c>
      <c r="BD119" s="89">
        <f t="shared" si="34"/>
        <v>1</v>
      </c>
      <c r="BE119" s="89" t="e">
        <f>SUMIF(#REF!,#REF!, BD20:BD333)</f>
        <v>#REF!</v>
      </c>
      <c r="BF119" s="89">
        <f t="shared" si="35"/>
        <v>0</v>
      </c>
      <c r="BG119" s="89" t="e">
        <f>SUMIF(#REF!,#REF!, BF20:BF333)</f>
        <v>#REF!</v>
      </c>
      <c r="BH119" s="89" t="e">
        <f t="shared" si="36"/>
        <v>#REF!</v>
      </c>
      <c r="BI119" s="90">
        <f>SUMIF(B20:B333, B119, BH20:BH333)</f>
        <v>0</v>
      </c>
      <c r="BJ119" s="91"/>
      <c r="BK119" s="92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4"/>
    </row>
    <row r="120" spans="1:82" x14ac:dyDescent="0.3">
      <c r="A120" s="95" t="s">
        <v>294</v>
      </c>
      <c r="B120" s="96"/>
      <c r="C120" s="97" t="s">
        <v>255</v>
      </c>
      <c r="D120" s="97" t="s">
        <v>293</v>
      </c>
      <c r="E120" s="98" t="s">
        <v>102</v>
      </c>
      <c r="F120" s="99" t="s">
        <v>103</v>
      </c>
      <c r="G120" s="100"/>
      <c r="H120" s="101" t="s">
        <v>109</v>
      </c>
      <c r="I120" s="99" t="s">
        <v>4</v>
      </c>
      <c r="J120" s="100" t="s">
        <v>6</v>
      </c>
      <c r="K120" s="102"/>
      <c r="L120" s="103"/>
      <c r="M120" s="104"/>
      <c r="N120" s="105">
        <v>11730</v>
      </c>
      <c r="O120" s="106">
        <v>11946</v>
      </c>
      <c r="P120" s="106">
        <v>12435</v>
      </c>
      <c r="Q120" s="107"/>
      <c r="R120" s="156">
        <v>0.09</v>
      </c>
      <c r="S120" s="105">
        <v>1056</v>
      </c>
      <c r="T120" s="106">
        <v>1075</v>
      </c>
      <c r="U120" s="106">
        <v>1119</v>
      </c>
      <c r="V120" s="107">
        <f t="shared" si="26"/>
        <v>0</v>
      </c>
      <c r="W120" s="109"/>
      <c r="X120" s="110"/>
      <c r="Y120" s="111" t="s">
        <v>104</v>
      </c>
      <c r="Z120" s="100" t="str">
        <f>'[1]Tier 1'!V120</f>
        <v>C</v>
      </c>
      <c r="AA120" s="100"/>
      <c r="AB120" s="100"/>
      <c r="AC120" s="100"/>
      <c r="AD120" s="101"/>
      <c r="AE120" s="105">
        <f>'[1]Tier 1'!W120</f>
        <v>660</v>
      </c>
      <c r="AF120" s="106"/>
      <c r="AG120" s="106">
        <f>'[1]Tier 1'!X120</f>
        <v>660</v>
      </c>
      <c r="AH120" s="106"/>
      <c r="AI120" s="106">
        <f>'[1]Tier 1'!Y120</f>
        <v>2090</v>
      </c>
      <c r="AJ120" s="106">
        <f t="shared" si="27"/>
        <v>1881</v>
      </c>
      <c r="AK120" s="106" t="e">
        <f>VLOOKUP(A120,#REF!,-1,FALSE)</f>
        <v>#REF!</v>
      </c>
      <c r="AL120" s="107" t="e">
        <f t="shared" si="28"/>
        <v>#REF!</v>
      </c>
      <c r="AM120" s="105">
        <f t="shared" si="37"/>
        <v>1056</v>
      </c>
      <c r="AN120" s="112">
        <f t="shared" si="38"/>
        <v>1.6</v>
      </c>
      <c r="AO120" s="100" t="str">
        <f t="shared" si="39"/>
        <v>OK</v>
      </c>
      <c r="AP120" s="106">
        <f t="shared" si="40"/>
        <v>1075</v>
      </c>
      <c r="AQ120" s="112">
        <f t="shared" si="41"/>
        <v>1.629</v>
      </c>
      <c r="AR120" s="100" t="str">
        <f t="shared" si="42"/>
        <v>OK</v>
      </c>
      <c r="AS120" s="106">
        <f t="shared" si="43"/>
        <v>1119</v>
      </c>
      <c r="AT120" s="112">
        <f t="shared" si="44"/>
        <v>0.53500000000000003</v>
      </c>
      <c r="AU120" s="113" t="str">
        <f t="shared" si="45"/>
        <v>OK</v>
      </c>
      <c r="AV120" s="106">
        <f t="shared" si="29"/>
        <v>0</v>
      </c>
      <c r="AW120" s="112" t="e">
        <f t="shared" si="30"/>
        <v>#REF!</v>
      </c>
      <c r="AX120" s="114" t="e">
        <f t="shared" si="31"/>
        <v>#REF!</v>
      </c>
      <c r="AY120" s="99"/>
      <c r="AZ120" s="100"/>
      <c r="BA120" s="104">
        <f t="shared" si="32"/>
        <v>0</v>
      </c>
      <c r="BB120" s="115">
        <f t="shared" si="33"/>
        <v>1</v>
      </c>
      <c r="BC120" s="116" t="e">
        <f>SUMIF(#REF!,#REF!, BB20:BB333)</f>
        <v>#REF!</v>
      </c>
      <c r="BD120" s="116">
        <f t="shared" si="34"/>
        <v>1</v>
      </c>
      <c r="BE120" s="116" t="e">
        <f>SUMIF(#REF!,#REF!, BD20:BD333)</f>
        <v>#REF!</v>
      </c>
      <c r="BF120" s="116">
        <f t="shared" si="35"/>
        <v>0</v>
      </c>
      <c r="BG120" s="116" t="e">
        <f>SUMIF(#REF!,#REF!, BF20:BF333)</f>
        <v>#REF!</v>
      </c>
      <c r="BH120" s="116" t="e">
        <f t="shared" si="36"/>
        <v>#REF!</v>
      </c>
      <c r="BI120" s="117">
        <f>SUMIF(B20:B333, B120, BH20:BH333)</f>
        <v>0</v>
      </c>
      <c r="BJ120" s="118"/>
      <c r="BK120" s="92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4"/>
    </row>
    <row r="121" spans="1:82" x14ac:dyDescent="0.3">
      <c r="A121" s="68" t="s">
        <v>295</v>
      </c>
      <c r="B121" s="69"/>
      <c r="C121" s="70" t="s">
        <v>296</v>
      </c>
      <c r="D121" s="70" t="s">
        <v>297</v>
      </c>
      <c r="E121" s="71" t="s">
        <v>298</v>
      </c>
      <c r="F121" s="72" t="s">
        <v>109</v>
      </c>
      <c r="G121" s="73"/>
      <c r="H121" s="74" t="s">
        <v>103</v>
      </c>
      <c r="I121" s="72" t="s">
        <v>4</v>
      </c>
      <c r="J121" s="73" t="s">
        <v>67</v>
      </c>
      <c r="K121" s="75"/>
      <c r="L121" s="76"/>
      <c r="M121" s="77"/>
      <c r="N121" s="78">
        <v>11730</v>
      </c>
      <c r="O121" s="79">
        <v>11946</v>
      </c>
      <c r="P121" s="79">
        <v>12435</v>
      </c>
      <c r="Q121" s="80"/>
      <c r="R121" s="155">
        <v>0.09</v>
      </c>
      <c r="S121" s="78">
        <v>1056</v>
      </c>
      <c r="T121" s="79">
        <v>1075</v>
      </c>
      <c r="U121" s="79">
        <v>1119</v>
      </c>
      <c r="V121" s="80">
        <f t="shared" si="26"/>
        <v>0</v>
      </c>
      <c r="W121" s="82"/>
      <c r="X121" s="83"/>
      <c r="Y121" s="84" t="s">
        <v>104</v>
      </c>
      <c r="Z121" s="73" t="str">
        <f>'[1]Tier 1'!V121</f>
        <v>C</v>
      </c>
      <c r="AA121" s="73"/>
      <c r="AB121" s="73"/>
      <c r="AC121" s="73"/>
      <c r="AD121" s="74"/>
      <c r="AE121" s="78">
        <f>'[1]Tier 1'!W121</f>
        <v>3420</v>
      </c>
      <c r="AF121" s="79"/>
      <c r="AG121" s="79">
        <f>'[1]Tier 1'!X121</f>
        <v>3420</v>
      </c>
      <c r="AH121" s="79"/>
      <c r="AI121" s="79">
        <f>'[1]Tier 1'!Y121</f>
        <v>3420</v>
      </c>
      <c r="AJ121" s="79">
        <f t="shared" si="27"/>
        <v>3078</v>
      </c>
      <c r="AK121" s="79" t="e">
        <f>VLOOKUP(A121,#REF!,-1,FALSE)</f>
        <v>#REF!</v>
      </c>
      <c r="AL121" s="80" t="e">
        <f t="shared" si="28"/>
        <v>#REF!</v>
      </c>
      <c r="AM121" s="78">
        <f t="shared" si="37"/>
        <v>1056</v>
      </c>
      <c r="AN121" s="85">
        <f t="shared" si="38"/>
        <v>0.309</v>
      </c>
      <c r="AO121" s="73" t="str">
        <f t="shared" si="39"/>
        <v>OK</v>
      </c>
      <c r="AP121" s="79">
        <f t="shared" si="40"/>
        <v>1075</v>
      </c>
      <c r="AQ121" s="85">
        <f t="shared" si="41"/>
        <v>0.314</v>
      </c>
      <c r="AR121" s="73" t="str">
        <f t="shared" si="42"/>
        <v>OK</v>
      </c>
      <c r="AS121" s="79">
        <f t="shared" si="43"/>
        <v>1119</v>
      </c>
      <c r="AT121" s="85">
        <f t="shared" si="44"/>
        <v>0.32700000000000001</v>
      </c>
      <c r="AU121" s="86" t="str">
        <f t="shared" si="45"/>
        <v>OK</v>
      </c>
      <c r="AV121" s="79">
        <f t="shared" si="29"/>
        <v>0</v>
      </c>
      <c r="AW121" s="85" t="e">
        <f t="shared" si="30"/>
        <v>#REF!</v>
      </c>
      <c r="AX121" s="87" t="e">
        <f t="shared" si="31"/>
        <v>#REF!</v>
      </c>
      <c r="AY121" s="72"/>
      <c r="AZ121" s="73"/>
      <c r="BA121" s="77">
        <f t="shared" si="32"/>
        <v>0</v>
      </c>
      <c r="BB121" s="88">
        <f t="shared" si="33"/>
        <v>1</v>
      </c>
      <c r="BC121" s="89" t="e">
        <f>SUMIF(#REF!,#REF!, BB20:BB333)</f>
        <v>#REF!</v>
      </c>
      <c r="BD121" s="89">
        <f t="shared" si="34"/>
        <v>1</v>
      </c>
      <c r="BE121" s="89" t="e">
        <f>SUMIF(#REF!,#REF!, BD20:BD333)</f>
        <v>#REF!</v>
      </c>
      <c r="BF121" s="89">
        <f t="shared" si="35"/>
        <v>0</v>
      </c>
      <c r="BG121" s="89" t="e">
        <f>SUMIF(#REF!,#REF!, BF20:BF333)</f>
        <v>#REF!</v>
      </c>
      <c r="BH121" s="89" t="e">
        <f t="shared" si="36"/>
        <v>#REF!</v>
      </c>
      <c r="BI121" s="90">
        <f>SUMIF(B20:B333, B121, BH20:BH333)</f>
        <v>0</v>
      </c>
      <c r="BJ121" s="91"/>
      <c r="BK121" s="92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4"/>
    </row>
    <row r="122" spans="1:82" x14ac:dyDescent="0.3">
      <c r="A122" s="95" t="s">
        <v>299</v>
      </c>
      <c r="B122" s="96"/>
      <c r="C122" s="97" t="s">
        <v>296</v>
      </c>
      <c r="D122" s="97" t="s">
        <v>298</v>
      </c>
      <c r="E122" s="98" t="s">
        <v>300</v>
      </c>
      <c r="F122" s="99" t="s">
        <v>109</v>
      </c>
      <c r="G122" s="100"/>
      <c r="H122" s="101" t="s">
        <v>109</v>
      </c>
      <c r="I122" s="99" t="s">
        <v>4</v>
      </c>
      <c r="J122" s="100" t="s">
        <v>67</v>
      </c>
      <c r="K122" s="102"/>
      <c r="L122" s="103"/>
      <c r="M122" s="104"/>
      <c r="N122" s="105">
        <v>23460</v>
      </c>
      <c r="O122" s="106">
        <v>24252</v>
      </c>
      <c r="P122" s="106">
        <v>25264</v>
      </c>
      <c r="Q122" s="107"/>
      <c r="R122" s="156">
        <v>0.09</v>
      </c>
      <c r="S122" s="105">
        <v>2111</v>
      </c>
      <c r="T122" s="106">
        <v>2183</v>
      </c>
      <c r="U122" s="106">
        <v>2274</v>
      </c>
      <c r="V122" s="107">
        <f t="shared" si="26"/>
        <v>0</v>
      </c>
      <c r="W122" s="109"/>
      <c r="X122" s="110"/>
      <c r="Y122" s="111" t="s">
        <v>104</v>
      </c>
      <c r="Z122" s="100" t="str">
        <f>'[1]Tier 1'!V122</f>
        <v>C</v>
      </c>
      <c r="AA122" s="100"/>
      <c r="AB122" s="100"/>
      <c r="AC122" s="100"/>
      <c r="AD122" s="101"/>
      <c r="AE122" s="105">
        <f>'[1]Tier 1'!W122</f>
        <v>3420</v>
      </c>
      <c r="AF122" s="106"/>
      <c r="AG122" s="106">
        <f>'[1]Tier 1'!X122</f>
        <v>3420</v>
      </c>
      <c r="AH122" s="106"/>
      <c r="AI122" s="106">
        <f>'[1]Tier 1'!Y122</f>
        <v>3420</v>
      </c>
      <c r="AJ122" s="106">
        <f t="shared" si="27"/>
        <v>3078</v>
      </c>
      <c r="AK122" s="106" t="e">
        <f>VLOOKUP(A122,#REF!,-1,FALSE)</f>
        <v>#REF!</v>
      </c>
      <c r="AL122" s="107" t="e">
        <f t="shared" si="28"/>
        <v>#REF!</v>
      </c>
      <c r="AM122" s="105">
        <f t="shared" si="37"/>
        <v>2111</v>
      </c>
      <c r="AN122" s="112">
        <f t="shared" si="38"/>
        <v>0.61699999999999999</v>
      </c>
      <c r="AO122" s="100" t="str">
        <f t="shared" si="39"/>
        <v>OK</v>
      </c>
      <c r="AP122" s="106">
        <f t="shared" si="40"/>
        <v>2183</v>
      </c>
      <c r="AQ122" s="112">
        <f t="shared" si="41"/>
        <v>0.63800000000000001</v>
      </c>
      <c r="AR122" s="100" t="str">
        <f t="shared" si="42"/>
        <v>OK</v>
      </c>
      <c r="AS122" s="106">
        <f t="shared" si="43"/>
        <v>2274</v>
      </c>
      <c r="AT122" s="112">
        <f t="shared" si="44"/>
        <v>0.66500000000000004</v>
      </c>
      <c r="AU122" s="113" t="str">
        <f t="shared" si="45"/>
        <v>OK</v>
      </c>
      <c r="AV122" s="106">
        <f t="shared" si="29"/>
        <v>0</v>
      </c>
      <c r="AW122" s="112" t="e">
        <f t="shared" si="30"/>
        <v>#REF!</v>
      </c>
      <c r="AX122" s="114" t="e">
        <f t="shared" si="31"/>
        <v>#REF!</v>
      </c>
      <c r="AY122" s="99"/>
      <c r="AZ122" s="100"/>
      <c r="BA122" s="104">
        <f t="shared" si="32"/>
        <v>0</v>
      </c>
      <c r="BB122" s="115">
        <f t="shared" si="33"/>
        <v>1</v>
      </c>
      <c r="BC122" s="116" t="e">
        <f>SUMIF(#REF!,#REF!, BB20:BB333)</f>
        <v>#REF!</v>
      </c>
      <c r="BD122" s="116">
        <f t="shared" si="34"/>
        <v>1</v>
      </c>
      <c r="BE122" s="116" t="e">
        <f>SUMIF(#REF!,#REF!, BD20:BD333)</f>
        <v>#REF!</v>
      </c>
      <c r="BF122" s="116">
        <f t="shared" si="35"/>
        <v>0</v>
      </c>
      <c r="BG122" s="116" t="e">
        <f>SUMIF(#REF!,#REF!, BF20:BF333)</f>
        <v>#REF!</v>
      </c>
      <c r="BH122" s="116" t="e">
        <f t="shared" si="36"/>
        <v>#REF!</v>
      </c>
      <c r="BI122" s="117">
        <f>SUMIF(B20:B333, B122, BH20:BH333)</f>
        <v>0</v>
      </c>
      <c r="BJ122" s="118"/>
      <c r="BK122" s="92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4"/>
    </row>
    <row r="123" spans="1:82" x14ac:dyDescent="0.3">
      <c r="A123" s="68" t="s">
        <v>301</v>
      </c>
      <c r="B123" s="69"/>
      <c r="C123" s="70" t="s">
        <v>296</v>
      </c>
      <c r="D123" s="70" t="s">
        <v>302</v>
      </c>
      <c r="E123" s="71" t="s">
        <v>108</v>
      </c>
      <c r="F123" s="72" t="s">
        <v>103</v>
      </c>
      <c r="G123" s="73"/>
      <c r="H123" s="74" t="s">
        <v>118</v>
      </c>
      <c r="I123" s="72" t="s">
        <v>4</v>
      </c>
      <c r="J123" s="73" t="s">
        <v>6</v>
      </c>
      <c r="K123" s="75"/>
      <c r="L123" s="76"/>
      <c r="M123" s="77"/>
      <c r="N123" s="78">
        <v>7446</v>
      </c>
      <c r="O123" s="79">
        <v>7893</v>
      </c>
      <c r="P123" s="79">
        <v>8395</v>
      </c>
      <c r="Q123" s="80"/>
      <c r="R123" s="155">
        <v>0.09</v>
      </c>
      <c r="S123" s="78">
        <v>670</v>
      </c>
      <c r="T123" s="79">
        <v>710</v>
      </c>
      <c r="U123" s="79">
        <v>756</v>
      </c>
      <c r="V123" s="80">
        <f t="shared" si="26"/>
        <v>0</v>
      </c>
      <c r="W123" s="82"/>
      <c r="X123" s="83"/>
      <c r="Y123" s="84" t="s">
        <v>104</v>
      </c>
      <c r="Z123" s="73" t="str">
        <f>'[1]Tier 1'!V123</f>
        <v>C</v>
      </c>
      <c r="AA123" s="73"/>
      <c r="AB123" s="73"/>
      <c r="AC123" s="73"/>
      <c r="AD123" s="74"/>
      <c r="AE123" s="78">
        <f>'[1]Tier 1'!W123</f>
        <v>1220</v>
      </c>
      <c r="AF123" s="79"/>
      <c r="AG123" s="79">
        <f>'[1]Tier 1'!X123</f>
        <v>1220</v>
      </c>
      <c r="AH123" s="79"/>
      <c r="AI123" s="79">
        <f>'[1]Tier 1'!Y123</f>
        <v>1220</v>
      </c>
      <c r="AJ123" s="79">
        <f t="shared" si="27"/>
        <v>1098</v>
      </c>
      <c r="AK123" s="79" t="e">
        <f>VLOOKUP(A123,#REF!,-1,FALSE)</f>
        <v>#REF!</v>
      </c>
      <c r="AL123" s="80" t="e">
        <f t="shared" si="28"/>
        <v>#REF!</v>
      </c>
      <c r="AM123" s="78">
        <f t="shared" si="37"/>
        <v>670</v>
      </c>
      <c r="AN123" s="85">
        <f t="shared" si="38"/>
        <v>0.54900000000000004</v>
      </c>
      <c r="AO123" s="73" t="str">
        <f t="shared" si="39"/>
        <v>OK</v>
      </c>
      <c r="AP123" s="79">
        <f t="shared" si="40"/>
        <v>710</v>
      </c>
      <c r="AQ123" s="85">
        <f t="shared" si="41"/>
        <v>0.58199999999999996</v>
      </c>
      <c r="AR123" s="73" t="str">
        <f t="shared" si="42"/>
        <v>OK</v>
      </c>
      <c r="AS123" s="79">
        <f t="shared" si="43"/>
        <v>756</v>
      </c>
      <c r="AT123" s="85">
        <f t="shared" si="44"/>
        <v>0.62</v>
      </c>
      <c r="AU123" s="86" t="str">
        <f t="shared" si="45"/>
        <v>OK</v>
      </c>
      <c r="AV123" s="79">
        <f t="shared" si="29"/>
        <v>0</v>
      </c>
      <c r="AW123" s="85" t="e">
        <f t="shared" si="30"/>
        <v>#REF!</v>
      </c>
      <c r="AX123" s="87" t="e">
        <f t="shared" si="31"/>
        <v>#REF!</v>
      </c>
      <c r="AY123" s="72"/>
      <c r="AZ123" s="73"/>
      <c r="BA123" s="77">
        <f t="shared" si="32"/>
        <v>0</v>
      </c>
      <c r="BB123" s="88">
        <f t="shared" si="33"/>
        <v>1</v>
      </c>
      <c r="BC123" s="89" t="e">
        <f>SUMIF(#REF!,#REF!, BB20:BB333)</f>
        <v>#REF!</v>
      </c>
      <c r="BD123" s="89">
        <f t="shared" si="34"/>
        <v>1</v>
      </c>
      <c r="BE123" s="89" t="e">
        <f>SUMIF(#REF!,#REF!, BD20:BD333)</f>
        <v>#REF!</v>
      </c>
      <c r="BF123" s="89">
        <f t="shared" si="35"/>
        <v>0</v>
      </c>
      <c r="BG123" s="89" t="e">
        <f>SUMIF(#REF!,#REF!, BF20:BF333)</f>
        <v>#REF!</v>
      </c>
      <c r="BH123" s="89" t="e">
        <f t="shared" si="36"/>
        <v>#REF!</v>
      </c>
      <c r="BI123" s="90">
        <f>SUMIF(B20:B333, B123, BH20:BH333)</f>
        <v>0</v>
      </c>
      <c r="BJ123" s="91"/>
      <c r="BK123" s="92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4"/>
    </row>
    <row r="124" spans="1:82" x14ac:dyDescent="0.3">
      <c r="A124" s="95" t="s">
        <v>303</v>
      </c>
      <c r="B124" s="96"/>
      <c r="C124" s="97" t="s">
        <v>296</v>
      </c>
      <c r="D124" s="97" t="s">
        <v>300</v>
      </c>
      <c r="E124" s="98" t="s">
        <v>304</v>
      </c>
      <c r="F124" s="99" t="s">
        <v>109</v>
      </c>
      <c r="G124" s="100"/>
      <c r="H124" s="101" t="s">
        <v>118</v>
      </c>
      <c r="I124" s="99" t="s">
        <v>4</v>
      </c>
      <c r="J124" s="100" t="s">
        <v>67</v>
      </c>
      <c r="K124" s="102"/>
      <c r="L124" s="103"/>
      <c r="M124" s="104"/>
      <c r="N124" s="105">
        <v>19608</v>
      </c>
      <c r="O124" s="106">
        <v>20808</v>
      </c>
      <c r="P124" s="106">
        <v>21649</v>
      </c>
      <c r="Q124" s="107"/>
      <c r="R124" s="156">
        <v>0.09</v>
      </c>
      <c r="S124" s="105">
        <v>1765</v>
      </c>
      <c r="T124" s="106">
        <v>1873</v>
      </c>
      <c r="U124" s="106">
        <v>1948</v>
      </c>
      <c r="V124" s="107">
        <f t="shared" si="26"/>
        <v>0</v>
      </c>
      <c r="W124" s="109"/>
      <c r="X124" s="110"/>
      <c r="Y124" s="111" t="s">
        <v>104</v>
      </c>
      <c r="Z124" s="100" t="str">
        <f>'[1]Tier 1'!V124</f>
        <v>C</v>
      </c>
      <c r="AA124" s="100"/>
      <c r="AB124" s="100"/>
      <c r="AC124" s="100"/>
      <c r="AD124" s="101"/>
      <c r="AE124" s="105">
        <f>'[1]Tier 1'!W124</f>
        <v>4730</v>
      </c>
      <c r="AF124" s="106"/>
      <c r="AG124" s="106">
        <f>'[1]Tier 1'!X124</f>
        <v>4730</v>
      </c>
      <c r="AH124" s="106"/>
      <c r="AI124" s="106">
        <f>'[1]Tier 1'!Y124</f>
        <v>4730</v>
      </c>
      <c r="AJ124" s="106">
        <f t="shared" si="27"/>
        <v>4257</v>
      </c>
      <c r="AK124" s="106" t="e">
        <f>VLOOKUP(A124,#REF!,-1,FALSE)</f>
        <v>#REF!</v>
      </c>
      <c r="AL124" s="107" t="e">
        <f t="shared" si="28"/>
        <v>#REF!</v>
      </c>
      <c r="AM124" s="105">
        <f t="shared" si="37"/>
        <v>1765</v>
      </c>
      <c r="AN124" s="112">
        <f t="shared" si="38"/>
        <v>0.373</v>
      </c>
      <c r="AO124" s="100" t="str">
        <f t="shared" si="39"/>
        <v>OK</v>
      </c>
      <c r="AP124" s="106">
        <f t="shared" si="40"/>
        <v>1873</v>
      </c>
      <c r="AQ124" s="112">
        <f t="shared" si="41"/>
        <v>0.39600000000000002</v>
      </c>
      <c r="AR124" s="100" t="str">
        <f t="shared" si="42"/>
        <v>OK</v>
      </c>
      <c r="AS124" s="106">
        <f t="shared" si="43"/>
        <v>1948</v>
      </c>
      <c r="AT124" s="112">
        <f t="shared" si="44"/>
        <v>0.41199999999999998</v>
      </c>
      <c r="AU124" s="113" t="str">
        <f t="shared" si="45"/>
        <v>OK</v>
      </c>
      <c r="AV124" s="106">
        <f t="shared" si="29"/>
        <v>0</v>
      </c>
      <c r="AW124" s="112" t="e">
        <f t="shared" si="30"/>
        <v>#REF!</v>
      </c>
      <c r="AX124" s="114" t="e">
        <f t="shared" si="31"/>
        <v>#REF!</v>
      </c>
      <c r="AY124" s="99"/>
      <c r="AZ124" s="100"/>
      <c r="BA124" s="104">
        <f t="shared" si="32"/>
        <v>0</v>
      </c>
      <c r="BB124" s="115">
        <f t="shared" si="33"/>
        <v>1</v>
      </c>
      <c r="BC124" s="116" t="e">
        <f>SUMIF(#REF!,#REF!, BB20:BB333)</f>
        <v>#REF!</v>
      </c>
      <c r="BD124" s="116">
        <f t="shared" si="34"/>
        <v>1</v>
      </c>
      <c r="BE124" s="116" t="e">
        <f>SUMIF(#REF!,#REF!, BD20:BD333)</f>
        <v>#REF!</v>
      </c>
      <c r="BF124" s="116">
        <f t="shared" si="35"/>
        <v>0</v>
      </c>
      <c r="BG124" s="116" t="e">
        <f>SUMIF(#REF!,#REF!, BF20:BF333)</f>
        <v>#REF!</v>
      </c>
      <c r="BH124" s="116" t="e">
        <f t="shared" si="36"/>
        <v>#REF!</v>
      </c>
      <c r="BI124" s="117">
        <f>SUMIF(B20:B333, B124, BH20:BH333)</f>
        <v>0</v>
      </c>
      <c r="BJ124" s="118"/>
      <c r="BK124" s="92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4"/>
    </row>
    <row r="125" spans="1:82" x14ac:dyDescent="0.3">
      <c r="A125" s="68" t="s">
        <v>305</v>
      </c>
      <c r="B125" s="69"/>
      <c r="C125" s="70" t="s">
        <v>296</v>
      </c>
      <c r="D125" s="70" t="s">
        <v>304</v>
      </c>
      <c r="E125" s="71" t="s">
        <v>306</v>
      </c>
      <c r="F125" s="72" t="s">
        <v>109</v>
      </c>
      <c r="G125" s="73"/>
      <c r="H125" s="74" t="s">
        <v>118</v>
      </c>
      <c r="I125" s="72" t="s">
        <v>4</v>
      </c>
      <c r="J125" s="73" t="s">
        <v>67</v>
      </c>
      <c r="K125" s="75"/>
      <c r="L125" s="76"/>
      <c r="M125" s="77"/>
      <c r="N125" s="78">
        <v>20607</v>
      </c>
      <c r="O125" s="79">
        <v>22219</v>
      </c>
      <c r="P125" s="79">
        <v>23295</v>
      </c>
      <c r="Q125" s="80"/>
      <c r="R125" s="155">
        <v>0.09</v>
      </c>
      <c r="S125" s="78">
        <v>1855</v>
      </c>
      <c r="T125" s="79">
        <v>2000</v>
      </c>
      <c r="U125" s="79">
        <v>2097</v>
      </c>
      <c r="V125" s="80">
        <f t="shared" si="26"/>
        <v>0</v>
      </c>
      <c r="W125" s="82"/>
      <c r="X125" s="83"/>
      <c r="Y125" s="84" t="s">
        <v>104</v>
      </c>
      <c r="Z125" s="73" t="str">
        <f>'[1]Tier 1'!V125</f>
        <v>C</v>
      </c>
      <c r="AA125" s="73"/>
      <c r="AB125" s="73"/>
      <c r="AC125" s="73"/>
      <c r="AD125" s="74"/>
      <c r="AE125" s="78">
        <f>'[1]Tier 1'!W125</f>
        <v>4730</v>
      </c>
      <c r="AF125" s="79"/>
      <c r="AG125" s="79">
        <f>'[1]Tier 1'!X125</f>
        <v>4730</v>
      </c>
      <c r="AH125" s="79"/>
      <c r="AI125" s="79">
        <f>'[1]Tier 1'!Y125</f>
        <v>7090</v>
      </c>
      <c r="AJ125" s="79">
        <f t="shared" si="27"/>
        <v>6381</v>
      </c>
      <c r="AK125" s="79" t="e">
        <f>VLOOKUP(A125,#REF!,-1,FALSE)</f>
        <v>#REF!</v>
      </c>
      <c r="AL125" s="80" t="e">
        <f t="shared" si="28"/>
        <v>#REF!</v>
      </c>
      <c r="AM125" s="78">
        <f t="shared" si="37"/>
        <v>1855</v>
      </c>
      <c r="AN125" s="85">
        <f t="shared" si="38"/>
        <v>0.39200000000000002</v>
      </c>
      <c r="AO125" s="73" t="str">
        <f t="shared" si="39"/>
        <v>OK</v>
      </c>
      <c r="AP125" s="79">
        <f t="shared" si="40"/>
        <v>2000</v>
      </c>
      <c r="AQ125" s="85">
        <f t="shared" si="41"/>
        <v>0.42299999999999999</v>
      </c>
      <c r="AR125" s="73" t="str">
        <f t="shared" si="42"/>
        <v>OK</v>
      </c>
      <c r="AS125" s="79">
        <f t="shared" si="43"/>
        <v>2097</v>
      </c>
      <c r="AT125" s="85">
        <f t="shared" si="44"/>
        <v>0.29599999999999999</v>
      </c>
      <c r="AU125" s="86" t="str">
        <f t="shared" si="45"/>
        <v>OK</v>
      </c>
      <c r="AV125" s="79">
        <f t="shared" si="29"/>
        <v>0</v>
      </c>
      <c r="AW125" s="85" t="e">
        <f t="shared" si="30"/>
        <v>#REF!</v>
      </c>
      <c r="AX125" s="87" t="e">
        <f t="shared" si="31"/>
        <v>#REF!</v>
      </c>
      <c r="AY125" s="72"/>
      <c r="AZ125" s="73"/>
      <c r="BA125" s="77">
        <f t="shared" si="32"/>
        <v>0</v>
      </c>
      <c r="BB125" s="88">
        <f t="shared" si="33"/>
        <v>1</v>
      </c>
      <c r="BC125" s="89" t="e">
        <f>SUMIF(#REF!,#REF!, BB20:BB333)</f>
        <v>#REF!</v>
      </c>
      <c r="BD125" s="89">
        <f t="shared" si="34"/>
        <v>1</v>
      </c>
      <c r="BE125" s="89" t="e">
        <f>SUMIF(#REF!,#REF!, BD20:BD333)</f>
        <v>#REF!</v>
      </c>
      <c r="BF125" s="89">
        <f t="shared" si="35"/>
        <v>0</v>
      </c>
      <c r="BG125" s="89" t="e">
        <f>SUMIF(#REF!,#REF!, BF20:BF333)</f>
        <v>#REF!</v>
      </c>
      <c r="BH125" s="89" t="e">
        <f t="shared" si="36"/>
        <v>#REF!</v>
      </c>
      <c r="BI125" s="90">
        <f>SUMIF(B20:B333, B125, BH20:BH333)</f>
        <v>0</v>
      </c>
      <c r="BJ125" s="91"/>
      <c r="BK125" s="92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4"/>
    </row>
    <row r="126" spans="1:82" x14ac:dyDescent="0.3">
      <c r="A126" s="95" t="s">
        <v>307</v>
      </c>
      <c r="B126" s="96"/>
      <c r="C126" s="97" t="s">
        <v>296</v>
      </c>
      <c r="D126" s="97" t="s">
        <v>306</v>
      </c>
      <c r="E126" s="98" t="s">
        <v>308</v>
      </c>
      <c r="F126" s="99" t="s">
        <v>118</v>
      </c>
      <c r="G126" s="100"/>
      <c r="H126" s="101" t="s">
        <v>118</v>
      </c>
      <c r="I126" s="99" t="s">
        <v>4</v>
      </c>
      <c r="J126" s="100" t="s">
        <v>67</v>
      </c>
      <c r="K126" s="102"/>
      <c r="L126" s="103"/>
      <c r="M126" s="104"/>
      <c r="N126" s="105">
        <v>20607</v>
      </c>
      <c r="O126" s="106">
        <v>22219</v>
      </c>
      <c r="P126" s="106">
        <v>23295</v>
      </c>
      <c r="Q126" s="107"/>
      <c r="R126" s="156">
        <v>0.09</v>
      </c>
      <c r="S126" s="105">
        <v>1855</v>
      </c>
      <c r="T126" s="106">
        <v>2000</v>
      </c>
      <c r="U126" s="106">
        <v>2097</v>
      </c>
      <c r="V126" s="107">
        <f t="shared" si="26"/>
        <v>0</v>
      </c>
      <c r="W126" s="109"/>
      <c r="X126" s="110"/>
      <c r="Y126" s="111" t="s">
        <v>104</v>
      </c>
      <c r="Z126" s="100" t="str">
        <f>'[1]Tier 1'!V126</f>
        <v>C</v>
      </c>
      <c r="AA126" s="100"/>
      <c r="AB126" s="100"/>
      <c r="AC126" s="100"/>
      <c r="AD126" s="101"/>
      <c r="AE126" s="105">
        <f>'[1]Tier 1'!W126</f>
        <v>5250</v>
      </c>
      <c r="AF126" s="106"/>
      <c r="AG126" s="106">
        <f>'[1]Tier 1'!X126</f>
        <v>5250</v>
      </c>
      <c r="AH126" s="106"/>
      <c r="AI126" s="106">
        <f>'[1]Tier 1'!Y126</f>
        <v>5250</v>
      </c>
      <c r="AJ126" s="106">
        <f t="shared" si="27"/>
        <v>4725</v>
      </c>
      <c r="AK126" s="106" t="e">
        <f>VLOOKUP(A126,#REF!,-1,FALSE)</f>
        <v>#REF!</v>
      </c>
      <c r="AL126" s="107" t="e">
        <f t="shared" si="28"/>
        <v>#REF!</v>
      </c>
      <c r="AM126" s="105">
        <f t="shared" si="37"/>
        <v>1855</v>
      </c>
      <c r="AN126" s="112">
        <f t="shared" si="38"/>
        <v>0.35299999999999998</v>
      </c>
      <c r="AO126" s="100" t="str">
        <f t="shared" si="39"/>
        <v>OK</v>
      </c>
      <c r="AP126" s="106">
        <f t="shared" si="40"/>
        <v>2000</v>
      </c>
      <c r="AQ126" s="112">
        <f t="shared" si="41"/>
        <v>0.38100000000000001</v>
      </c>
      <c r="AR126" s="100" t="str">
        <f t="shared" si="42"/>
        <v>OK</v>
      </c>
      <c r="AS126" s="106">
        <f t="shared" si="43"/>
        <v>2097</v>
      </c>
      <c r="AT126" s="112">
        <f t="shared" si="44"/>
        <v>0.39900000000000002</v>
      </c>
      <c r="AU126" s="113" t="str">
        <f t="shared" si="45"/>
        <v>OK</v>
      </c>
      <c r="AV126" s="106">
        <f t="shared" si="29"/>
        <v>0</v>
      </c>
      <c r="AW126" s="112" t="e">
        <f t="shared" si="30"/>
        <v>#REF!</v>
      </c>
      <c r="AX126" s="114" t="e">
        <f t="shared" si="31"/>
        <v>#REF!</v>
      </c>
      <c r="AY126" s="99"/>
      <c r="AZ126" s="100"/>
      <c r="BA126" s="104">
        <f t="shared" si="32"/>
        <v>0</v>
      </c>
      <c r="BB126" s="115">
        <f t="shared" si="33"/>
        <v>1</v>
      </c>
      <c r="BC126" s="116" t="e">
        <f>SUMIF(#REF!,#REF!, BB20:BB333)</f>
        <v>#REF!</v>
      </c>
      <c r="BD126" s="116">
        <f t="shared" si="34"/>
        <v>1</v>
      </c>
      <c r="BE126" s="116" t="e">
        <f>SUMIF(#REF!,#REF!, BD20:BD333)</f>
        <v>#REF!</v>
      </c>
      <c r="BF126" s="116">
        <f t="shared" si="35"/>
        <v>0</v>
      </c>
      <c r="BG126" s="116" t="e">
        <f>SUMIF(#REF!,#REF!, BF20:BF333)</f>
        <v>#REF!</v>
      </c>
      <c r="BH126" s="116" t="e">
        <f t="shared" si="36"/>
        <v>#REF!</v>
      </c>
      <c r="BI126" s="117">
        <f>SUMIF(B20:B333, B126, BH20:BH333)</f>
        <v>0</v>
      </c>
      <c r="BJ126" s="118"/>
      <c r="BK126" s="92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4"/>
    </row>
    <row r="127" spans="1:82" x14ac:dyDescent="0.3">
      <c r="A127" s="68" t="s">
        <v>309</v>
      </c>
      <c r="B127" s="69"/>
      <c r="C127" s="70" t="s">
        <v>296</v>
      </c>
      <c r="D127" s="70" t="s">
        <v>308</v>
      </c>
      <c r="E127" s="71" t="s">
        <v>310</v>
      </c>
      <c r="F127" s="72" t="s">
        <v>118</v>
      </c>
      <c r="G127" s="73"/>
      <c r="H127" s="74" t="s">
        <v>118</v>
      </c>
      <c r="I127" s="72" t="s">
        <v>4</v>
      </c>
      <c r="J127" s="73" t="s">
        <v>67</v>
      </c>
      <c r="K127" s="75"/>
      <c r="L127" s="76"/>
      <c r="M127" s="77"/>
      <c r="N127" s="78">
        <v>20607</v>
      </c>
      <c r="O127" s="79">
        <v>22219</v>
      </c>
      <c r="P127" s="79">
        <v>23295</v>
      </c>
      <c r="Q127" s="80"/>
      <c r="R127" s="155">
        <v>0.09</v>
      </c>
      <c r="S127" s="78">
        <v>1855</v>
      </c>
      <c r="T127" s="79">
        <v>2000</v>
      </c>
      <c r="U127" s="79">
        <v>2097</v>
      </c>
      <c r="V127" s="80">
        <f t="shared" si="26"/>
        <v>0</v>
      </c>
      <c r="W127" s="82"/>
      <c r="X127" s="83"/>
      <c r="Y127" s="84" t="s">
        <v>104</v>
      </c>
      <c r="Z127" s="73" t="str">
        <f>'[1]Tier 1'!V127</f>
        <v>C</v>
      </c>
      <c r="AA127" s="73"/>
      <c r="AB127" s="73"/>
      <c r="AC127" s="73"/>
      <c r="AD127" s="74"/>
      <c r="AE127" s="78">
        <f>'[1]Tier 1'!W127</f>
        <v>5250</v>
      </c>
      <c r="AF127" s="79"/>
      <c r="AG127" s="79">
        <f>'[1]Tier 1'!X127</f>
        <v>5250</v>
      </c>
      <c r="AH127" s="79"/>
      <c r="AI127" s="79">
        <f>'[1]Tier 1'!Y127</f>
        <v>5250</v>
      </c>
      <c r="AJ127" s="79">
        <f t="shared" si="27"/>
        <v>4725</v>
      </c>
      <c r="AK127" s="79" t="e">
        <f>VLOOKUP(A127,#REF!,-1,FALSE)</f>
        <v>#REF!</v>
      </c>
      <c r="AL127" s="80" t="e">
        <f t="shared" si="28"/>
        <v>#REF!</v>
      </c>
      <c r="AM127" s="78">
        <f t="shared" si="37"/>
        <v>1855</v>
      </c>
      <c r="AN127" s="85">
        <f t="shared" si="38"/>
        <v>0.35299999999999998</v>
      </c>
      <c r="AO127" s="73" t="str">
        <f t="shared" si="39"/>
        <v>OK</v>
      </c>
      <c r="AP127" s="79">
        <f t="shared" si="40"/>
        <v>2000</v>
      </c>
      <c r="AQ127" s="85">
        <f t="shared" si="41"/>
        <v>0.38100000000000001</v>
      </c>
      <c r="AR127" s="73" t="str">
        <f t="shared" si="42"/>
        <v>OK</v>
      </c>
      <c r="AS127" s="79">
        <f t="shared" si="43"/>
        <v>2097</v>
      </c>
      <c r="AT127" s="85">
        <f t="shared" si="44"/>
        <v>0.39900000000000002</v>
      </c>
      <c r="AU127" s="86" t="str">
        <f t="shared" si="45"/>
        <v>OK</v>
      </c>
      <c r="AV127" s="79">
        <f t="shared" si="29"/>
        <v>0</v>
      </c>
      <c r="AW127" s="85" t="e">
        <f t="shared" si="30"/>
        <v>#REF!</v>
      </c>
      <c r="AX127" s="87" t="e">
        <f t="shared" si="31"/>
        <v>#REF!</v>
      </c>
      <c r="AY127" s="72"/>
      <c r="AZ127" s="73"/>
      <c r="BA127" s="77">
        <f t="shared" si="32"/>
        <v>0</v>
      </c>
      <c r="BB127" s="88">
        <f t="shared" si="33"/>
        <v>1</v>
      </c>
      <c r="BC127" s="89" t="e">
        <f>SUMIF(#REF!,#REF!, BB20:BB333)</f>
        <v>#REF!</v>
      </c>
      <c r="BD127" s="89">
        <f t="shared" si="34"/>
        <v>1</v>
      </c>
      <c r="BE127" s="89" t="e">
        <f>SUMIF(#REF!,#REF!, BD20:BD333)</f>
        <v>#REF!</v>
      </c>
      <c r="BF127" s="89">
        <f t="shared" si="35"/>
        <v>0</v>
      </c>
      <c r="BG127" s="89" t="e">
        <f>SUMIF(#REF!,#REF!, BF20:BF333)</f>
        <v>#REF!</v>
      </c>
      <c r="BH127" s="89" t="e">
        <f t="shared" si="36"/>
        <v>#REF!</v>
      </c>
      <c r="BI127" s="90">
        <f>SUMIF(B20:B333, B127, BH20:BH333)</f>
        <v>0</v>
      </c>
      <c r="BJ127" s="91"/>
      <c r="BK127" s="92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4"/>
    </row>
    <row r="128" spans="1:82" x14ac:dyDescent="0.3">
      <c r="A128" s="95" t="s">
        <v>311</v>
      </c>
      <c r="B128" s="96"/>
      <c r="C128" s="97" t="s">
        <v>296</v>
      </c>
      <c r="D128" s="97" t="s">
        <v>310</v>
      </c>
      <c r="E128" s="98" t="s">
        <v>240</v>
      </c>
      <c r="F128" s="99" t="s">
        <v>118</v>
      </c>
      <c r="G128" s="100"/>
      <c r="H128" s="101" t="s">
        <v>118</v>
      </c>
      <c r="I128" s="99" t="s">
        <v>4</v>
      </c>
      <c r="J128" s="100" t="s">
        <v>67</v>
      </c>
      <c r="K128" s="102"/>
      <c r="L128" s="103"/>
      <c r="M128" s="104"/>
      <c r="N128" s="105">
        <v>20607</v>
      </c>
      <c r="O128" s="106">
        <v>22219</v>
      </c>
      <c r="P128" s="106">
        <v>23295</v>
      </c>
      <c r="Q128" s="107"/>
      <c r="R128" s="156">
        <v>0.09</v>
      </c>
      <c r="S128" s="105">
        <v>1855</v>
      </c>
      <c r="T128" s="106">
        <v>2000</v>
      </c>
      <c r="U128" s="106">
        <v>2097</v>
      </c>
      <c r="V128" s="107">
        <f t="shared" si="26"/>
        <v>0</v>
      </c>
      <c r="W128" s="109"/>
      <c r="X128" s="110"/>
      <c r="Y128" s="111" t="s">
        <v>104</v>
      </c>
      <c r="Z128" s="100" t="str">
        <f>'[1]Tier 1'!V128</f>
        <v>C</v>
      </c>
      <c r="AA128" s="100"/>
      <c r="AB128" s="100"/>
      <c r="AC128" s="100"/>
      <c r="AD128" s="101"/>
      <c r="AE128" s="105">
        <f>'[1]Tier 1'!W128</f>
        <v>5250</v>
      </c>
      <c r="AF128" s="106"/>
      <c r="AG128" s="106">
        <f>'[1]Tier 1'!X128</f>
        <v>5250</v>
      </c>
      <c r="AH128" s="106"/>
      <c r="AI128" s="106">
        <f>'[1]Tier 1'!Y128</f>
        <v>5250</v>
      </c>
      <c r="AJ128" s="106">
        <f t="shared" si="27"/>
        <v>4725</v>
      </c>
      <c r="AK128" s="106" t="e">
        <f>VLOOKUP(A128,#REF!,-1,FALSE)</f>
        <v>#REF!</v>
      </c>
      <c r="AL128" s="107" t="e">
        <f t="shared" si="28"/>
        <v>#REF!</v>
      </c>
      <c r="AM128" s="105">
        <f t="shared" si="37"/>
        <v>1855</v>
      </c>
      <c r="AN128" s="112">
        <f t="shared" si="38"/>
        <v>0.35299999999999998</v>
      </c>
      <c r="AO128" s="100" t="str">
        <f t="shared" si="39"/>
        <v>OK</v>
      </c>
      <c r="AP128" s="106">
        <f t="shared" si="40"/>
        <v>2000</v>
      </c>
      <c r="AQ128" s="112">
        <f t="shared" si="41"/>
        <v>0.38100000000000001</v>
      </c>
      <c r="AR128" s="100" t="str">
        <f t="shared" si="42"/>
        <v>OK</v>
      </c>
      <c r="AS128" s="106">
        <f t="shared" si="43"/>
        <v>2097</v>
      </c>
      <c r="AT128" s="112">
        <f t="shared" si="44"/>
        <v>0.39900000000000002</v>
      </c>
      <c r="AU128" s="113" t="str">
        <f t="shared" si="45"/>
        <v>OK</v>
      </c>
      <c r="AV128" s="106">
        <f t="shared" si="29"/>
        <v>0</v>
      </c>
      <c r="AW128" s="112" t="e">
        <f t="shared" si="30"/>
        <v>#REF!</v>
      </c>
      <c r="AX128" s="114" t="e">
        <f t="shared" si="31"/>
        <v>#REF!</v>
      </c>
      <c r="AY128" s="99"/>
      <c r="AZ128" s="100"/>
      <c r="BA128" s="104">
        <f t="shared" si="32"/>
        <v>0</v>
      </c>
      <c r="BB128" s="115">
        <f t="shared" si="33"/>
        <v>1</v>
      </c>
      <c r="BC128" s="116" t="e">
        <f>SUMIF(#REF!,#REF!, BB20:BB333)</f>
        <v>#REF!</v>
      </c>
      <c r="BD128" s="116">
        <f t="shared" si="34"/>
        <v>1</v>
      </c>
      <c r="BE128" s="116" t="e">
        <f>SUMIF(#REF!,#REF!, BD20:BD333)</f>
        <v>#REF!</v>
      </c>
      <c r="BF128" s="116">
        <f t="shared" si="35"/>
        <v>0</v>
      </c>
      <c r="BG128" s="116" t="e">
        <f>SUMIF(#REF!,#REF!, BF20:BF333)</f>
        <v>#REF!</v>
      </c>
      <c r="BH128" s="116" t="e">
        <f t="shared" si="36"/>
        <v>#REF!</v>
      </c>
      <c r="BI128" s="117">
        <f>SUMIF(B20:B333, B128, BH20:BH333)</f>
        <v>0</v>
      </c>
      <c r="BJ128" s="118"/>
      <c r="BK128" s="92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4"/>
    </row>
    <row r="129" spans="1:82" x14ac:dyDescent="0.3">
      <c r="A129" s="68" t="s">
        <v>312</v>
      </c>
      <c r="B129" s="69"/>
      <c r="C129" s="70" t="s">
        <v>296</v>
      </c>
      <c r="D129" s="70" t="s">
        <v>240</v>
      </c>
      <c r="E129" s="71" t="s">
        <v>313</v>
      </c>
      <c r="F129" s="72" t="s">
        <v>118</v>
      </c>
      <c r="G129" s="73"/>
      <c r="H129" s="74" t="s">
        <v>118</v>
      </c>
      <c r="I129" s="72" t="s">
        <v>4</v>
      </c>
      <c r="J129" s="73" t="s">
        <v>6</v>
      </c>
      <c r="K129" s="75"/>
      <c r="L129" s="76"/>
      <c r="M129" s="77"/>
      <c r="N129" s="78">
        <v>20607</v>
      </c>
      <c r="O129" s="79">
        <v>22219</v>
      </c>
      <c r="P129" s="79">
        <v>23295</v>
      </c>
      <c r="Q129" s="80"/>
      <c r="R129" s="155">
        <v>0.09</v>
      </c>
      <c r="S129" s="78">
        <v>1855</v>
      </c>
      <c r="T129" s="79">
        <v>2000</v>
      </c>
      <c r="U129" s="79">
        <v>2097</v>
      </c>
      <c r="V129" s="80">
        <f t="shared" si="26"/>
        <v>0</v>
      </c>
      <c r="W129" s="82"/>
      <c r="X129" s="83"/>
      <c r="Y129" s="84" t="s">
        <v>104</v>
      </c>
      <c r="Z129" s="73" t="str">
        <f>'[1]Tier 1'!V129</f>
        <v>C</v>
      </c>
      <c r="AA129" s="73"/>
      <c r="AB129" s="73"/>
      <c r="AC129" s="73"/>
      <c r="AD129" s="74"/>
      <c r="AE129" s="78">
        <f>'[1]Tier 1'!W129</f>
        <v>5250</v>
      </c>
      <c r="AF129" s="79"/>
      <c r="AG129" s="79">
        <f>'[1]Tier 1'!X129</f>
        <v>5250</v>
      </c>
      <c r="AH129" s="79"/>
      <c r="AI129" s="79">
        <f>'[1]Tier 1'!Y129</f>
        <v>5250</v>
      </c>
      <c r="AJ129" s="79">
        <f t="shared" si="27"/>
        <v>4725</v>
      </c>
      <c r="AK129" s="79" t="e">
        <f>VLOOKUP(A129,#REF!,-1,FALSE)</f>
        <v>#REF!</v>
      </c>
      <c r="AL129" s="80" t="e">
        <f t="shared" si="28"/>
        <v>#REF!</v>
      </c>
      <c r="AM129" s="78">
        <f t="shared" si="37"/>
        <v>1855</v>
      </c>
      <c r="AN129" s="85">
        <f t="shared" si="38"/>
        <v>0.35299999999999998</v>
      </c>
      <c r="AO129" s="73" t="str">
        <f t="shared" si="39"/>
        <v>OK</v>
      </c>
      <c r="AP129" s="79">
        <f t="shared" si="40"/>
        <v>2000</v>
      </c>
      <c r="AQ129" s="85">
        <f t="shared" si="41"/>
        <v>0.38100000000000001</v>
      </c>
      <c r="AR129" s="73" t="str">
        <f t="shared" si="42"/>
        <v>OK</v>
      </c>
      <c r="AS129" s="79">
        <f t="shared" si="43"/>
        <v>2097</v>
      </c>
      <c r="AT129" s="85">
        <f t="shared" si="44"/>
        <v>0.39900000000000002</v>
      </c>
      <c r="AU129" s="86" t="str">
        <f t="shared" si="45"/>
        <v>OK</v>
      </c>
      <c r="AV129" s="79">
        <f t="shared" si="29"/>
        <v>0</v>
      </c>
      <c r="AW129" s="85" t="e">
        <f t="shared" si="30"/>
        <v>#REF!</v>
      </c>
      <c r="AX129" s="87" t="e">
        <f t="shared" si="31"/>
        <v>#REF!</v>
      </c>
      <c r="AY129" s="72"/>
      <c r="AZ129" s="73"/>
      <c r="BA129" s="77">
        <f t="shared" si="32"/>
        <v>0</v>
      </c>
      <c r="BB129" s="88">
        <f t="shared" si="33"/>
        <v>1</v>
      </c>
      <c r="BC129" s="89" t="e">
        <f>SUMIF(#REF!,#REF!, BB20:BB333)</f>
        <v>#REF!</v>
      </c>
      <c r="BD129" s="89">
        <f t="shared" si="34"/>
        <v>1</v>
      </c>
      <c r="BE129" s="89" t="e">
        <f>SUMIF(#REF!,#REF!, BD20:BD333)</f>
        <v>#REF!</v>
      </c>
      <c r="BF129" s="89">
        <f t="shared" si="35"/>
        <v>0</v>
      </c>
      <c r="BG129" s="89" t="e">
        <f>SUMIF(#REF!,#REF!, BF20:BF333)</f>
        <v>#REF!</v>
      </c>
      <c r="BH129" s="89" t="e">
        <f t="shared" si="36"/>
        <v>#REF!</v>
      </c>
      <c r="BI129" s="90">
        <f>SUMIF(B20:B333, B129, BH20:BH333)</f>
        <v>0</v>
      </c>
      <c r="BJ129" s="91"/>
      <c r="BK129" s="92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4"/>
    </row>
    <row r="130" spans="1:82" x14ac:dyDescent="0.3">
      <c r="A130" s="95" t="s">
        <v>314</v>
      </c>
      <c r="B130" s="96"/>
      <c r="C130" s="97" t="s">
        <v>296</v>
      </c>
      <c r="D130" s="97" t="s">
        <v>313</v>
      </c>
      <c r="E130" s="98" t="s">
        <v>315</v>
      </c>
      <c r="F130" s="99" t="s">
        <v>118</v>
      </c>
      <c r="G130" s="100"/>
      <c r="H130" s="101" t="s">
        <v>118</v>
      </c>
      <c r="I130" s="99" t="s">
        <v>4</v>
      </c>
      <c r="J130" s="100" t="s">
        <v>6</v>
      </c>
      <c r="K130" s="102"/>
      <c r="L130" s="103"/>
      <c r="M130" s="104"/>
      <c r="N130" s="105">
        <v>19687</v>
      </c>
      <c r="O130" s="106">
        <v>21234</v>
      </c>
      <c r="P130" s="106">
        <v>22265</v>
      </c>
      <c r="Q130" s="107"/>
      <c r="R130" s="156">
        <v>0.09</v>
      </c>
      <c r="S130" s="105">
        <v>1772</v>
      </c>
      <c r="T130" s="106">
        <v>1911</v>
      </c>
      <c r="U130" s="106">
        <v>2004</v>
      </c>
      <c r="V130" s="107">
        <f t="shared" si="26"/>
        <v>0</v>
      </c>
      <c r="W130" s="109"/>
      <c r="X130" s="110"/>
      <c r="Y130" s="111" t="s">
        <v>104</v>
      </c>
      <c r="Z130" s="100" t="str">
        <f>'[1]Tier 1'!V130</f>
        <v>C</v>
      </c>
      <c r="AA130" s="100"/>
      <c r="AB130" s="100"/>
      <c r="AC130" s="100"/>
      <c r="AD130" s="101"/>
      <c r="AE130" s="105">
        <f>'[1]Tier 1'!W130</f>
        <v>5250</v>
      </c>
      <c r="AF130" s="106"/>
      <c r="AG130" s="106">
        <f>'[1]Tier 1'!X130</f>
        <v>5250</v>
      </c>
      <c r="AH130" s="106"/>
      <c r="AI130" s="106">
        <f>'[1]Tier 1'!Y130</f>
        <v>5250</v>
      </c>
      <c r="AJ130" s="106">
        <f t="shared" si="27"/>
        <v>4725</v>
      </c>
      <c r="AK130" s="106" t="e">
        <f>VLOOKUP(A130,#REF!,-1,FALSE)</f>
        <v>#REF!</v>
      </c>
      <c r="AL130" s="107" t="e">
        <f t="shared" si="28"/>
        <v>#REF!</v>
      </c>
      <c r="AM130" s="105">
        <f t="shared" si="37"/>
        <v>1772</v>
      </c>
      <c r="AN130" s="112">
        <f t="shared" si="38"/>
        <v>0.33800000000000002</v>
      </c>
      <c r="AO130" s="100" t="str">
        <f t="shared" si="39"/>
        <v>OK</v>
      </c>
      <c r="AP130" s="106">
        <f t="shared" si="40"/>
        <v>1911</v>
      </c>
      <c r="AQ130" s="112">
        <f t="shared" si="41"/>
        <v>0.36399999999999999</v>
      </c>
      <c r="AR130" s="100" t="str">
        <f t="shared" si="42"/>
        <v>OK</v>
      </c>
      <c r="AS130" s="106">
        <f t="shared" si="43"/>
        <v>2004</v>
      </c>
      <c r="AT130" s="112">
        <f t="shared" si="44"/>
        <v>0.38200000000000001</v>
      </c>
      <c r="AU130" s="113" t="str">
        <f t="shared" si="45"/>
        <v>OK</v>
      </c>
      <c r="AV130" s="106">
        <f t="shared" si="29"/>
        <v>0</v>
      </c>
      <c r="AW130" s="112" t="e">
        <f t="shared" si="30"/>
        <v>#REF!</v>
      </c>
      <c r="AX130" s="114" t="e">
        <f t="shared" si="31"/>
        <v>#REF!</v>
      </c>
      <c r="AY130" s="99"/>
      <c r="AZ130" s="100"/>
      <c r="BA130" s="104">
        <f t="shared" si="32"/>
        <v>0</v>
      </c>
      <c r="BB130" s="115">
        <f t="shared" si="33"/>
        <v>1</v>
      </c>
      <c r="BC130" s="116" t="e">
        <f>SUMIF(#REF!,#REF!, BB20:BB333)</f>
        <v>#REF!</v>
      </c>
      <c r="BD130" s="116">
        <f t="shared" si="34"/>
        <v>1</v>
      </c>
      <c r="BE130" s="116" t="e">
        <f>SUMIF(#REF!,#REF!, BD20:BD333)</f>
        <v>#REF!</v>
      </c>
      <c r="BF130" s="116">
        <f t="shared" si="35"/>
        <v>0</v>
      </c>
      <c r="BG130" s="116" t="e">
        <f>SUMIF(#REF!,#REF!, BF20:BF333)</f>
        <v>#REF!</v>
      </c>
      <c r="BH130" s="116" t="e">
        <f t="shared" si="36"/>
        <v>#REF!</v>
      </c>
      <c r="BI130" s="117">
        <f>SUMIF(B20:B333, B130, BH20:BH333)</f>
        <v>0</v>
      </c>
      <c r="BJ130" s="118"/>
      <c r="BK130" s="92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4"/>
    </row>
    <row r="131" spans="1:82" x14ac:dyDescent="0.3">
      <c r="A131" s="68" t="s">
        <v>316</v>
      </c>
      <c r="B131" s="69"/>
      <c r="C131" s="70" t="s">
        <v>296</v>
      </c>
      <c r="D131" s="70" t="s">
        <v>315</v>
      </c>
      <c r="E131" s="71" t="s">
        <v>317</v>
      </c>
      <c r="F131" s="72" t="s">
        <v>118</v>
      </c>
      <c r="G131" s="73"/>
      <c r="H131" s="74" t="s">
        <v>118</v>
      </c>
      <c r="I131" s="72" t="s">
        <v>4</v>
      </c>
      <c r="J131" s="73" t="s">
        <v>6</v>
      </c>
      <c r="K131" s="75"/>
      <c r="L131" s="76"/>
      <c r="M131" s="77"/>
      <c r="N131" s="78">
        <v>19687</v>
      </c>
      <c r="O131" s="79">
        <v>21234</v>
      </c>
      <c r="P131" s="79">
        <v>22265</v>
      </c>
      <c r="Q131" s="80"/>
      <c r="R131" s="155">
        <v>0.09</v>
      </c>
      <c r="S131" s="78">
        <v>1772</v>
      </c>
      <c r="T131" s="79">
        <v>1911</v>
      </c>
      <c r="U131" s="79">
        <v>2004</v>
      </c>
      <c r="V131" s="80">
        <f t="shared" si="26"/>
        <v>0</v>
      </c>
      <c r="W131" s="82"/>
      <c r="X131" s="83"/>
      <c r="Y131" s="84" t="s">
        <v>104</v>
      </c>
      <c r="Z131" s="73" t="str">
        <f>'[1]Tier 1'!V131</f>
        <v>C</v>
      </c>
      <c r="AA131" s="73"/>
      <c r="AB131" s="73"/>
      <c r="AC131" s="73"/>
      <c r="AD131" s="74"/>
      <c r="AE131" s="78">
        <f>'[1]Tier 1'!W131</f>
        <v>5250</v>
      </c>
      <c r="AF131" s="79"/>
      <c r="AG131" s="79">
        <f>'[1]Tier 1'!X131</f>
        <v>5250</v>
      </c>
      <c r="AH131" s="79"/>
      <c r="AI131" s="79">
        <f>'[1]Tier 1'!Y131</f>
        <v>5250</v>
      </c>
      <c r="AJ131" s="79">
        <f t="shared" si="27"/>
        <v>4725</v>
      </c>
      <c r="AK131" s="79" t="e">
        <f>VLOOKUP(A131,#REF!,-1,FALSE)</f>
        <v>#REF!</v>
      </c>
      <c r="AL131" s="80" t="e">
        <f t="shared" si="28"/>
        <v>#REF!</v>
      </c>
      <c r="AM131" s="78">
        <f t="shared" si="37"/>
        <v>1772</v>
      </c>
      <c r="AN131" s="85">
        <f t="shared" si="38"/>
        <v>0.33800000000000002</v>
      </c>
      <c r="AO131" s="73" t="str">
        <f t="shared" si="39"/>
        <v>OK</v>
      </c>
      <c r="AP131" s="79">
        <f t="shared" si="40"/>
        <v>1911</v>
      </c>
      <c r="AQ131" s="85">
        <f t="shared" si="41"/>
        <v>0.36399999999999999</v>
      </c>
      <c r="AR131" s="73" t="str">
        <f t="shared" si="42"/>
        <v>OK</v>
      </c>
      <c r="AS131" s="79">
        <f t="shared" si="43"/>
        <v>2004</v>
      </c>
      <c r="AT131" s="85">
        <f t="shared" si="44"/>
        <v>0.38200000000000001</v>
      </c>
      <c r="AU131" s="86" t="str">
        <f t="shared" si="45"/>
        <v>OK</v>
      </c>
      <c r="AV131" s="79">
        <f t="shared" si="29"/>
        <v>0</v>
      </c>
      <c r="AW131" s="85" t="e">
        <f t="shared" si="30"/>
        <v>#REF!</v>
      </c>
      <c r="AX131" s="87" t="e">
        <f t="shared" si="31"/>
        <v>#REF!</v>
      </c>
      <c r="AY131" s="72"/>
      <c r="AZ131" s="73"/>
      <c r="BA131" s="77">
        <f t="shared" si="32"/>
        <v>0</v>
      </c>
      <c r="BB131" s="88">
        <f t="shared" si="33"/>
        <v>1</v>
      </c>
      <c r="BC131" s="89" t="e">
        <f>SUMIF(#REF!,#REF!, BB20:BB333)</f>
        <v>#REF!</v>
      </c>
      <c r="BD131" s="89">
        <f t="shared" si="34"/>
        <v>1</v>
      </c>
      <c r="BE131" s="89" t="e">
        <f>SUMIF(#REF!,#REF!, BD20:BD333)</f>
        <v>#REF!</v>
      </c>
      <c r="BF131" s="89">
        <f t="shared" si="35"/>
        <v>0</v>
      </c>
      <c r="BG131" s="89" t="e">
        <f>SUMIF(#REF!,#REF!, BF20:BF333)</f>
        <v>#REF!</v>
      </c>
      <c r="BH131" s="89" t="e">
        <f t="shared" si="36"/>
        <v>#REF!</v>
      </c>
      <c r="BI131" s="90">
        <f>SUMIF(B20:B333, B131, BH20:BH333)</f>
        <v>0</v>
      </c>
      <c r="BJ131" s="91"/>
      <c r="BK131" s="92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4"/>
    </row>
    <row r="132" spans="1:82" x14ac:dyDescent="0.3">
      <c r="A132" s="95" t="s">
        <v>318</v>
      </c>
      <c r="B132" s="96"/>
      <c r="C132" s="97" t="s">
        <v>296</v>
      </c>
      <c r="D132" s="97" t="s">
        <v>317</v>
      </c>
      <c r="E132" s="98" t="s">
        <v>319</v>
      </c>
      <c r="F132" s="99" t="s">
        <v>109</v>
      </c>
      <c r="G132" s="100"/>
      <c r="H132" s="101" t="s">
        <v>118</v>
      </c>
      <c r="I132" s="99" t="s">
        <v>4</v>
      </c>
      <c r="J132" s="100" t="s">
        <v>6</v>
      </c>
      <c r="K132" s="102"/>
      <c r="L132" s="103"/>
      <c r="M132" s="104"/>
      <c r="N132" s="105">
        <v>19687</v>
      </c>
      <c r="O132" s="106">
        <v>21234</v>
      </c>
      <c r="P132" s="106">
        <v>22265</v>
      </c>
      <c r="Q132" s="107"/>
      <c r="R132" s="156">
        <v>0.09</v>
      </c>
      <c r="S132" s="105">
        <v>1772</v>
      </c>
      <c r="T132" s="106">
        <v>1911</v>
      </c>
      <c r="U132" s="106">
        <v>2004</v>
      </c>
      <c r="V132" s="107">
        <f t="shared" si="26"/>
        <v>0</v>
      </c>
      <c r="W132" s="109"/>
      <c r="X132" s="110"/>
      <c r="Y132" s="111" t="s">
        <v>104</v>
      </c>
      <c r="Z132" s="100" t="str">
        <f>'[1]Tier 1'!V132</f>
        <v>C</v>
      </c>
      <c r="AA132" s="100"/>
      <c r="AB132" s="100"/>
      <c r="AC132" s="100"/>
      <c r="AD132" s="101"/>
      <c r="AE132" s="105">
        <f>'[1]Tier 1'!W132</f>
        <v>3420</v>
      </c>
      <c r="AF132" s="106"/>
      <c r="AG132" s="106">
        <f>'[1]Tier 1'!X132</f>
        <v>3420</v>
      </c>
      <c r="AH132" s="106"/>
      <c r="AI132" s="106">
        <f>'[1]Tier 1'!Y132</f>
        <v>5250</v>
      </c>
      <c r="AJ132" s="106">
        <f t="shared" si="27"/>
        <v>4725</v>
      </c>
      <c r="AK132" s="106" t="e">
        <f>VLOOKUP(A132,#REF!,-1,FALSE)</f>
        <v>#REF!</v>
      </c>
      <c r="AL132" s="107" t="e">
        <f t="shared" si="28"/>
        <v>#REF!</v>
      </c>
      <c r="AM132" s="105">
        <f t="shared" si="37"/>
        <v>1772</v>
      </c>
      <c r="AN132" s="112">
        <f t="shared" si="38"/>
        <v>0.51800000000000002</v>
      </c>
      <c r="AO132" s="100" t="str">
        <f t="shared" si="39"/>
        <v>OK</v>
      </c>
      <c r="AP132" s="106">
        <f t="shared" si="40"/>
        <v>1911</v>
      </c>
      <c r="AQ132" s="112">
        <f t="shared" si="41"/>
        <v>0.55900000000000005</v>
      </c>
      <c r="AR132" s="100" t="str">
        <f t="shared" si="42"/>
        <v>OK</v>
      </c>
      <c r="AS132" s="106">
        <f t="shared" si="43"/>
        <v>2004</v>
      </c>
      <c r="AT132" s="112">
        <f t="shared" si="44"/>
        <v>0.38200000000000001</v>
      </c>
      <c r="AU132" s="113" t="str">
        <f t="shared" si="45"/>
        <v>OK</v>
      </c>
      <c r="AV132" s="106">
        <f t="shared" si="29"/>
        <v>0</v>
      </c>
      <c r="AW132" s="112" t="e">
        <f t="shared" si="30"/>
        <v>#REF!</v>
      </c>
      <c r="AX132" s="114" t="e">
        <f t="shared" si="31"/>
        <v>#REF!</v>
      </c>
      <c r="AY132" s="99"/>
      <c r="AZ132" s="100"/>
      <c r="BA132" s="104">
        <f t="shared" si="32"/>
        <v>0</v>
      </c>
      <c r="BB132" s="115">
        <f t="shared" si="33"/>
        <v>1</v>
      </c>
      <c r="BC132" s="116" t="e">
        <f>SUMIF(#REF!,#REF!, BB20:BB333)</f>
        <v>#REF!</v>
      </c>
      <c r="BD132" s="116">
        <f t="shared" si="34"/>
        <v>1</v>
      </c>
      <c r="BE132" s="116" t="e">
        <f>SUMIF(#REF!,#REF!, BD20:BD333)</f>
        <v>#REF!</v>
      </c>
      <c r="BF132" s="116">
        <f t="shared" si="35"/>
        <v>0</v>
      </c>
      <c r="BG132" s="116" t="e">
        <f>SUMIF(#REF!,#REF!, BF20:BF333)</f>
        <v>#REF!</v>
      </c>
      <c r="BH132" s="116" t="e">
        <f t="shared" si="36"/>
        <v>#REF!</v>
      </c>
      <c r="BI132" s="117">
        <f>SUMIF(B20:B333, B132, BH20:BH333)</f>
        <v>0</v>
      </c>
      <c r="BJ132" s="118"/>
      <c r="BK132" s="92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4"/>
    </row>
    <row r="133" spans="1:82" x14ac:dyDescent="0.3">
      <c r="A133" s="68" t="s">
        <v>320</v>
      </c>
      <c r="B133" s="69"/>
      <c r="C133" s="70" t="s">
        <v>296</v>
      </c>
      <c r="D133" s="70" t="s">
        <v>319</v>
      </c>
      <c r="E133" s="71" t="s">
        <v>106</v>
      </c>
      <c r="F133" s="72" t="s">
        <v>109</v>
      </c>
      <c r="G133" s="73"/>
      <c r="H133" s="74" t="s">
        <v>109</v>
      </c>
      <c r="I133" s="72" t="s">
        <v>4</v>
      </c>
      <c r="J133" s="73" t="s">
        <v>6</v>
      </c>
      <c r="K133" s="75"/>
      <c r="L133" s="76"/>
      <c r="M133" s="77"/>
      <c r="N133" s="78">
        <v>19687</v>
      </c>
      <c r="O133" s="79">
        <v>21234</v>
      </c>
      <c r="P133" s="79">
        <v>22265</v>
      </c>
      <c r="Q133" s="80"/>
      <c r="R133" s="155">
        <v>0.09</v>
      </c>
      <c r="S133" s="78">
        <v>1772</v>
      </c>
      <c r="T133" s="79">
        <v>1911</v>
      </c>
      <c r="U133" s="79">
        <v>2004</v>
      </c>
      <c r="V133" s="80">
        <f t="shared" si="26"/>
        <v>0</v>
      </c>
      <c r="W133" s="82"/>
      <c r="X133" s="83"/>
      <c r="Y133" s="84" t="s">
        <v>104</v>
      </c>
      <c r="Z133" s="73" t="str">
        <f>'[1]Tier 1'!V133</f>
        <v>C</v>
      </c>
      <c r="AA133" s="73"/>
      <c r="AB133" s="73"/>
      <c r="AC133" s="73"/>
      <c r="AD133" s="74"/>
      <c r="AE133" s="78">
        <f>'[1]Tier 1'!W133</f>
        <v>3420</v>
      </c>
      <c r="AF133" s="79"/>
      <c r="AG133" s="79">
        <f>'[1]Tier 1'!X133</f>
        <v>3420</v>
      </c>
      <c r="AH133" s="79"/>
      <c r="AI133" s="79">
        <f>'[1]Tier 1'!Y133</f>
        <v>5250</v>
      </c>
      <c r="AJ133" s="79">
        <f t="shared" si="27"/>
        <v>4725</v>
      </c>
      <c r="AK133" s="79" t="e">
        <f>VLOOKUP(A133,#REF!,-1,FALSE)</f>
        <v>#REF!</v>
      </c>
      <c r="AL133" s="80" t="e">
        <f t="shared" si="28"/>
        <v>#REF!</v>
      </c>
      <c r="AM133" s="78">
        <f t="shared" si="37"/>
        <v>1772</v>
      </c>
      <c r="AN133" s="85">
        <f t="shared" si="38"/>
        <v>0.51800000000000002</v>
      </c>
      <c r="AO133" s="73" t="str">
        <f t="shared" si="39"/>
        <v>OK</v>
      </c>
      <c r="AP133" s="79">
        <f t="shared" si="40"/>
        <v>1911</v>
      </c>
      <c r="AQ133" s="85">
        <f t="shared" si="41"/>
        <v>0.55900000000000005</v>
      </c>
      <c r="AR133" s="73" t="str">
        <f t="shared" si="42"/>
        <v>OK</v>
      </c>
      <c r="AS133" s="79">
        <f t="shared" si="43"/>
        <v>2004</v>
      </c>
      <c r="AT133" s="85">
        <f t="shared" si="44"/>
        <v>0.38200000000000001</v>
      </c>
      <c r="AU133" s="86" t="str">
        <f t="shared" si="45"/>
        <v>OK</v>
      </c>
      <c r="AV133" s="79">
        <f t="shared" si="29"/>
        <v>0</v>
      </c>
      <c r="AW133" s="85" t="e">
        <f t="shared" si="30"/>
        <v>#REF!</v>
      </c>
      <c r="AX133" s="87" t="e">
        <f t="shared" si="31"/>
        <v>#REF!</v>
      </c>
      <c r="AY133" s="72"/>
      <c r="AZ133" s="73"/>
      <c r="BA133" s="77">
        <f t="shared" si="32"/>
        <v>0</v>
      </c>
      <c r="BB133" s="88">
        <f t="shared" si="33"/>
        <v>1</v>
      </c>
      <c r="BC133" s="89" t="e">
        <f>SUMIF(#REF!,#REF!, BB20:BB333)</f>
        <v>#REF!</v>
      </c>
      <c r="BD133" s="89">
        <f t="shared" si="34"/>
        <v>1</v>
      </c>
      <c r="BE133" s="89" t="e">
        <f>SUMIF(#REF!,#REF!, BD20:BD333)</f>
        <v>#REF!</v>
      </c>
      <c r="BF133" s="89">
        <f t="shared" si="35"/>
        <v>0</v>
      </c>
      <c r="BG133" s="89" t="e">
        <f>SUMIF(#REF!,#REF!, BF20:BF333)</f>
        <v>#REF!</v>
      </c>
      <c r="BH133" s="89" t="e">
        <f t="shared" si="36"/>
        <v>#REF!</v>
      </c>
      <c r="BI133" s="90">
        <f>SUMIF(B20:B333, B133, BH20:BH333)</f>
        <v>0</v>
      </c>
      <c r="BJ133" s="91"/>
      <c r="BK133" s="92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4"/>
    </row>
    <row r="134" spans="1:82" x14ac:dyDescent="0.3">
      <c r="A134" s="95" t="s">
        <v>321</v>
      </c>
      <c r="B134" s="96"/>
      <c r="C134" s="97" t="s">
        <v>296</v>
      </c>
      <c r="D134" s="97" t="s">
        <v>106</v>
      </c>
      <c r="E134" s="98" t="s">
        <v>283</v>
      </c>
      <c r="F134" s="99" t="s">
        <v>109</v>
      </c>
      <c r="G134" s="100"/>
      <c r="H134" s="101" t="s">
        <v>103</v>
      </c>
      <c r="I134" s="99" t="s">
        <v>4</v>
      </c>
      <c r="J134" s="100" t="s">
        <v>6</v>
      </c>
      <c r="K134" s="102"/>
      <c r="L134" s="103"/>
      <c r="M134" s="104"/>
      <c r="N134" s="105">
        <v>19687</v>
      </c>
      <c r="O134" s="106">
        <v>21234</v>
      </c>
      <c r="P134" s="106">
        <v>22265</v>
      </c>
      <c r="Q134" s="107"/>
      <c r="R134" s="156">
        <v>0.09</v>
      </c>
      <c r="S134" s="105">
        <v>1772</v>
      </c>
      <c r="T134" s="106">
        <v>1911</v>
      </c>
      <c r="U134" s="106">
        <v>2004</v>
      </c>
      <c r="V134" s="107">
        <f t="shared" si="26"/>
        <v>0</v>
      </c>
      <c r="W134" s="109"/>
      <c r="X134" s="110"/>
      <c r="Y134" s="111" t="s">
        <v>104</v>
      </c>
      <c r="Z134" s="100" t="str">
        <f>'[1]Tier 1'!V134</f>
        <v>C</v>
      </c>
      <c r="AA134" s="100"/>
      <c r="AB134" s="100"/>
      <c r="AC134" s="100"/>
      <c r="AD134" s="101"/>
      <c r="AE134" s="105">
        <f>'[1]Tier 1'!W134</f>
        <v>3420</v>
      </c>
      <c r="AF134" s="106"/>
      <c r="AG134" s="106">
        <f>'[1]Tier 1'!X134</f>
        <v>3420</v>
      </c>
      <c r="AH134" s="106"/>
      <c r="AI134" s="106">
        <f>'[1]Tier 1'!Y134</f>
        <v>5250</v>
      </c>
      <c r="AJ134" s="106">
        <f t="shared" si="27"/>
        <v>4725</v>
      </c>
      <c r="AK134" s="106" t="e">
        <f>VLOOKUP(A134,#REF!,-1,FALSE)</f>
        <v>#REF!</v>
      </c>
      <c r="AL134" s="107" t="e">
        <f t="shared" si="28"/>
        <v>#REF!</v>
      </c>
      <c r="AM134" s="105">
        <f t="shared" si="37"/>
        <v>1772</v>
      </c>
      <c r="AN134" s="112">
        <f t="shared" si="38"/>
        <v>0.51800000000000002</v>
      </c>
      <c r="AO134" s="100" t="str">
        <f t="shared" si="39"/>
        <v>OK</v>
      </c>
      <c r="AP134" s="106">
        <f t="shared" si="40"/>
        <v>1911</v>
      </c>
      <c r="AQ134" s="112">
        <f t="shared" si="41"/>
        <v>0.55900000000000005</v>
      </c>
      <c r="AR134" s="100" t="str">
        <f t="shared" si="42"/>
        <v>OK</v>
      </c>
      <c r="AS134" s="106">
        <f t="shared" si="43"/>
        <v>2004</v>
      </c>
      <c r="AT134" s="112">
        <f t="shared" si="44"/>
        <v>0.38200000000000001</v>
      </c>
      <c r="AU134" s="113" t="str">
        <f t="shared" si="45"/>
        <v>OK</v>
      </c>
      <c r="AV134" s="106">
        <f t="shared" si="29"/>
        <v>0</v>
      </c>
      <c r="AW134" s="112" t="e">
        <f t="shared" si="30"/>
        <v>#REF!</v>
      </c>
      <c r="AX134" s="114" t="e">
        <f t="shared" si="31"/>
        <v>#REF!</v>
      </c>
      <c r="AY134" s="99"/>
      <c r="AZ134" s="100"/>
      <c r="BA134" s="104">
        <f t="shared" si="32"/>
        <v>0</v>
      </c>
      <c r="BB134" s="115">
        <f t="shared" si="33"/>
        <v>1</v>
      </c>
      <c r="BC134" s="116" t="e">
        <f>SUMIF(#REF!,#REF!, BB20:BB333)</f>
        <v>#REF!</v>
      </c>
      <c r="BD134" s="116">
        <f t="shared" si="34"/>
        <v>1</v>
      </c>
      <c r="BE134" s="116" t="e">
        <f>SUMIF(#REF!,#REF!, BD20:BD333)</f>
        <v>#REF!</v>
      </c>
      <c r="BF134" s="116">
        <f t="shared" si="35"/>
        <v>0</v>
      </c>
      <c r="BG134" s="116" t="e">
        <f>SUMIF(#REF!,#REF!, BF20:BF333)</f>
        <v>#REF!</v>
      </c>
      <c r="BH134" s="116" t="e">
        <f t="shared" si="36"/>
        <v>#REF!</v>
      </c>
      <c r="BI134" s="117">
        <f>SUMIF(B20:B333, B134, BH20:BH333)</f>
        <v>0</v>
      </c>
      <c r="BJ134" s="118"/>
      <c r="BK134" s="92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4"/>
    </row>
    <row r="135" spans="1:82" x14ac:dyDescent="0.3">
      <c r="A135" s="68" t="s">
        <v>322</v>
      </c>
      <c r="B135" s="69"/>
      <c r="C135" s="70" t="s">
        <v>296</v>
      </c>
      <c r="D135" s="70" t="s">
        <v>283</v>
      </c>
      <c r="E135" s="71" t="s">
        <v>100</v>
      </c>
      <c r="F135" s="72" t="s">
        <v>103</v>
      </c>
      <c r="G135" s="73"/>
      <c r="H135" s="74" t="s">
        <v>103</v>
      </c>
      <c r="I135" s="72" t="s">
        <v>4</v>
      </c>
      <c r="J135" s="73" t="s">
        <v>6</v>
      </c>
      <c r="K135" s="75"/>
      <c r="L135" s="76"/>
      <c r="M135" s="77"/>
      <c r="N135" s="78">
        <v>9247</v>
      </c>
      <c r="O135" s="79">
        <v>10052</v>
      </c>
      <c r="P135" s="79">
        <v>10589</v>
      </c>
      <c r="Q135" s="80"/>
      <c r="R135" s="155">
        <v>0.09</v>
      </c>
      <c r="S135" s="78">
        <v>832</v>
      </c>
      <c r="T135" s="79">
        <v>905</v>
      </c>
      <c r="U135" s="79">
        <v>0</v>
      </c>
      <c r="V135" s="80">
        <f t="shared" si="26"/>
        <v>0</v>
      </c>
      <c r="W135" s="82"/>
      <c r="X135" s="83"/>
      <c r="Y135" s="84" t="s">
        <v>104</v>
      </c>
      <c r="Z135" s="73" t="str">
        <f>'[1]Tier 1'!V135</f>
        <v>C</v>
      </c>
      <c r="AA135" s="73"/>
      <c r="AB135" s="73"/>
      <c r="AC135" s="73"/>
      <c r="AD135" s="74"/>
      <c r="AE135" s="78">
        <f>'[1]Tier 1'!W135</f>
        <v>1220</v>
      </c>
      <c r="AF135" s="79"/>
      <c r="AG135" s="79">
        <f>'[1]Tier 1'!X135</f>
        <v>1220</v>
      </c>
      <c r="AH135" s="79"/>
      <c r="AI135" s="79">
        <f>'[1]Tier 1'!Y135</f>
        <v>0</v>
      </c>
      <c r="AJ135" s="79">
        <f t="shared" si="27"/>
        <v>0</v>
      </c>
      <c r="AK135" s="79" t="e">
        <f>VLOOKUP(A135,#REF!,-1,FALSE)</f>
        <v>#REF!</v>
      </c>
      <c r="AL135" s="80" t="e">
        <f t="shared" si="28"/>
        <v>#REF!</v>
      </c>
      <c r="AM135" s="78">
        <f t="shared" si="37"/>
        <v>832</v>
      </c>
      <c r="AN135" s="85">
        <f t="shared" si="38"/>
        <v>0.68200000000000005</v>
      </c>
      <c r="AO135" s="73" t="str">
        <f t="shared" si="39"/>
        <v>OK</v>
      </c>
      <c r="AP135" s="79">
        <f t="shared" si="40"/>
        <v>905</v>
      </c>
      <c r="AQ135" s="85">
        <f t="shared" si="41"/>
        <v>0.74199999999999999</v>
      </c>
      <c r="AR135" s="73" t="str">
        <f t="shared" si="42"/>
        <v>OK</v>
      </c>
      <c r="AS135" s="79">
        <f t="shared" si="43"/>
        <v>0</v>
      </c>
      <c r="AT135" s="85">
        <f t="shared" si="44"/>
        <v>0</v>
      </c>
      <c r="AU135" s="86" t="str">
        <f t="shared" si="45"/>
        <v>OK</v>
      </c>
      <c r="AV135" s="79">
        <f t="shared" si="29"/>
        <v>0</v>
      </c>
      <c r="AW135" s="85" t="e">
        <f t="shared" si="30"/>
        <v>#REF!</v>
      </c>
      <c r="AX135" s="87" t="e">
        <f t="shared" si="31"/>
        <v>#REF!</v>
      </c>
      <c r="AY135" s="72"/>
      <c r="AZ135" s="73"/>
      <c r="BA135" s="77">
        <f t="shared" si="32"/>
        <v>0</v>
      </c>
      <c r="BB135" s="88">
        <f t="shared" si="33"/>
        <v>1</v>
      </c>
      <c r="BC135" s="89" t="e">
        <f>SUMIF(#REF!,#REF!, BB20:BB333)</f>
        <v>#REF!</v>
      </c>
      <c r="BD135" s="89">
        <f t="shared" si="34"/>
        <v>1</v>
      </c>
      <c r="BE135" s="89" t="e">
        <f>SUMIF(#REF!,#REF!, BD20:BD333)</f>
        <v>#REF!</v>
      </c>
      <c r="BF135" s="89">
        <f t="shared" si="35"/>
        <v>0</v>
      </c>
      <c r="BG135" s="89" t="e">
        <f>SUMIF(#REF!,#REF!, BF20:BF333)</f>
        <v>#REF!</v>
      </c>
      <c r="BH135" s="89" t="e">
        <f t="shared" si="36"/>
        <v>#REF!</v>
      </c>
      <c r="BI135" s="90">
        <f>SUMIF(B20:B333, B135, BH20:BH333)</f>
        <v>0</v>
      </c>
      <c r="BJ135" s="91"/>
      <c r="BK135" s="92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4"/>
    </row>
    <row r="136" spans="1:82" x14ac:dyDescent="0.3">
      <c r="A136" s="95" t="s">
        <v>323</v>
      </c>
      <c r="B136" s="96"/>
      <c r="C136" s="97" t="s">
        <v>296</v>
      </c>
      <c r="D136" s="97" t="s">
        <v>100</v>
      </c>
      <c r="E136" s="98" t="s">
        <v>302</v>
      </c>
      <c r="F136" s="99" t="s">
        <v>103</v>
      </c>
      <c r="G136" s="100"/>
      <c r="H136" s="101" t="s">
        <v>103</v>
      </c>
      <c r="I136" s="99" t="s">
        <v>4</v>
      </c>
      <c r="J136" s="100" t="s">
        <v>6</v>
      </c>
      <c r="K136" s="102"/>
      <c r="L136" s="103"/>
      <c r="M136" s="104"/>
      <c r="N136" s="105">
        <v>7752</v>
      </c>
      <c r="O136" s="106">
        <v>8199</v>
      </c>
      <c r="P136" s="106">
        <v>8669</v>
      </c>
      <c r="Q136" s="107"/>
      <c r="R136" s="156">
        <v>0.09</v>
      </c>
      <c r="S136" s="105">
        <v>698</v>
      </c>
      <c r="T136" s="106">
        <v>738</v>
      </c>
      <c r="U136" s="106">
        <v>780</v>
      </c>
      <c r="V136" s="107">
        <f t="shared" si="26"/>
        <v>0</v>
      </c>
      <c r="W136" s="109"/>
      <c r="X136" s="110"/>
      <c r="Y136" s="111" t="s">
        <v>104</v>
      </c>
      <c r="Z136" s="100" t="str">
        <f>'[1]Tier 1'!V136</f>
        <v>C</v>
      </c>
      <c r="AA136" s="100"/>
      <c r="AB136" s="100"/>
      <c r="AC136" s="100"/>
      <c r="AD136" s="101"/>
      <c r="AE136" s="105">
        <f>'[1]Tier 1'!W136</f>
        <v>1490</v>
      </c>
      <c r="AF136" s="106"/>
      <c r="AG136" s="106">
        <f>'[1]Tier 1'!X136</f>
        <v>1490</v>
      </c>
      <c r="AH136" s="106"/>
      <c r="AI136" s="106">
        <f>'[1]Tier 1'!Y136</f>
        <v>1490</v>
      </c>
      <c r="AJ136" s="106">
        <f t="shared" si="27"/>
        <v>1341</v>
      </c>
      <c r="AK136" s="106" t="e">
        <f>VLOOKUP(A136,#REF!,-1,FALSE)</f>
        <v>#REF!</v>
      </c>
      <c r="AL136" s="107" t="e">
        <f t="shared" si="28"/>
        <v>#REF!</v>
      </c>
      <c r="AM136" s="105">
        <f t="shared" si="37"/>
        <v>698</v>
      </c>
      <c r="AN136" s="112">
        <f t="shared" si="38"/>
        <v>0.46800000000000003</v>
      </c>
      <c r="AO136" s="100" t="str">
        <f t="shared" si="39"/>
        <v>OK</v>
      </c>
      <c r="AP136" s="106">
        <f t="shared" si="40"/>
        <v>738</v>
      </c>
      <c r="AQ136" s="112">
        <f t="shared" si="41"/>
        <v>0.495</v>
      </c>
      <c r="AR136" s="100" t="str">
        <f t="shared" si="42"/>
        <v>OK</v>
      </c>
      <c r="AS136" s="106">
        <f t="shared" si="43"/>
        <v>780</v>
      </c>
      <c r="AT136" s="112">
        <f t="shared" si="44"/>
        <v>0.52300000000000002</v>
      </c>
      <c r="AU136" s="113" t="str">
        <f t="shared" si="45"/>
        <v>OK</v>
      </c>
      <c r="AV136" s="106">
        <f t="shared" si="29"/>
        <v>0</v>
      </c>
      <c r="AW136" s="112" t="e">
        <f t="shared" si="30"/>
        <v>#REF!</v>
      </c>
      <c r="AX136" s="114" t="e">
        <f t="shared" si="31"/>
        <v>#REF!</v>
      </c>
      <c r="AY136" s="99"/>
      <c r="AZ136" s="100"/>
      <c r="BA136" s="104">
        <f t="shared" si="32"/>
        <v>0</v>
      </c>
      <c r="BB136" s="115">
        <f t="shared" si="33"/>
        <v>1</v>
      </c>
      <c r="BC136" s="116" t="e">
        <f>SUMIF(#REF!,#REF!, BB20:BB333)</f>
        <v>#REF!</v>
      </c>
      <c r="BD136" s="116">
        <f t="shared" si="34"/>
        <v>1</v>
      </c>
      <c r="BE136" s="116" t="e">
        <f>SUMIF(#REF!,#REF!, BD20:BD333)</f>
        <v>#REF!</v>
      </c>
      <c r="BF136" s="116">
        <f t="shared" si="35"/>
        <v>0</v>
      </c>
      <c r="BG136" s="116" t="e">
        <f>SUMIF(#REF!,#REF!, BF20:BF333)</f>
        <v>#REF!</v>
      </c>
      <c r="BH136" s="116" t="e">
        <f t="shared" si="36"/>
        <v>#REF!</v>
      </c>
      <c r="BI136" s="117">
        <f>SUMIF(B20:B333, B136, BH20:BH333)</f>
        <v>0</v>
      </c>
      <c r="BJ136" s="118"/>
      <c r="BK136" s="92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4"/>
    </row>
    <row r="137" spans="1:82" x14ac:dyDescent="0.3">
      <c r="A137" s="68" t="s">
        <v>324</v>
      </c>
      <c r="B137" s="69"/>
      <c r="C137" s="70" t="s">
        <v>300</v>
      </c>
      <c r="D137" s="70" t="s">
        <v>101</v>
      </c>
      <c r="E137" s="71" t="s">
        <v>325</v>
      </c>
      <c r="F137" s="72" t="s">
        <v>103</v>
      </c>
      <c r="G137" s="73"/>
      <c r="H137" s="74" t="s">
        <v>103</v>
      </c>
      <c r="I137" s="72" t="s">
        <v>4</v>
      </c>
      <c r="J137" s="73" t="s">
        <v>6</v>
      </c>
      <c r="K137" s="75"/>
      <c r="L137" s="76"/>
      <c r="M137" s="77"/>
      <c r="N137" s="78">
        <v>4998</v>
      </c>
      <c r="O137" s="79">
        <v>5056</v>
      </c>
      <c r="P137" s="79">
        <v>5222</v>
      </c>
      <c r="Q137" s="80"/>
      <c r="R137" s="155">
        <v>0.09</v>
      </c>
      <c r="S137" s="78">
        <v>450</v>
      </c>
      <c r="T137" s="79">
        <v>455</v>
      </c>
      <c r="U137" s="79">
        <v>470</v>
      </c>
      <c r="V137" s="80">
        <f t="shared" si="26"/>
        <v>0</v>
      </c>
      <c r="W137" s="82"/>
      <c r="X137" s="83"/>
      <c r="Y137" s="84" t="s">
        <v>104</v>
      </c>
      <c r="Z137" s="73" t="str">
        <f>'[1]Tier 1'!V137</f>
        <v>D</v>
      </c>
      <c r="AA137" s="73"/>
      <c r="AB137" s="73"/>
      <c r="AC137" s="73"/>
      <c r="AD137" s="74"/>
      <c r="AE137" s="78">
        <f>'[1]Tier 1'!W137</f>
        <v>1818</v>
      </c>
      <c r="AF137" s="79"/>
      <c r="AG137" s="79">
        <f>'[1]Tier 1'!X137</f>
        <v>1818</v>
      </c>
      <c r="AH137" s="79"/>
      <c r="AI137" s="79">
        <f>'[1]Tier 1'!Y137</f>
        <v>1818</v>
      </c>
      <c r="AJ137" s="79">
        <f t="shared" si="27"/>
        <v>1636.2</v>
      </c>
      <c r="AK137" s="79" t="e">
        <f>VLOOKUP(A137,#REF!,-1,FALSE)</f>
        <v>#REF!</v>
      </c>
      <c r="AL137" s="80" t="e">
        <f t="shared" si="28"/>
        <v>#REF!</v>
      </c>
      <c r="AM137" s="78">
        <f t="shared" si="37"/>
        <v>450</v>
      </c>
      <c r="AN137" s="85">
        <f t="shared" si="38"/>
        <v>0.248</v>
      </c>
      <c r="AO137" s="73" t="str">
        <f t="shared" si="39"/>
        <v>OK</v>
      </c>
      <c r="AP137" s="79">
        <f t="shared" si="40"/>
        <v>455</v>
      </c>
      <c r="AQ137" s="85">
        <f t="shared" si="41"/>
        <v>0.25</v>
      </c>
      <c r="AR137" s="73" t="str">
        <f t="shared" si="42"/>
        <v>OK</v>
      </c>
      <c r="AS137" s="79">
        <f t="shared" si="43"/>
        <v>470</v>
      </c>
      <c r="AT137" s="85">
        <f t="shared" si="44"/>
        <v>0.25900000000000001</v>
      </c>
      <c r="AU137" s="86" t="str">
        <f t="shared" si="45"/>
        <v>OK</v>
      </c>
      <c r="AV137" s="79">
        <f t="shared" si="29"/>
        <v>0</v>
      </c>
      <c r="AW137" s="85" t="e">
        <f t="shared" si="30"/>
        <v>#REF!</v>
      </c>
      <c r="AX137" s="87" t="e">
        <f t="shared" si="31"/>
        <v>#REF!</v>
      </c>
      <c r="AY137" s="72"/>
      <c r="AZ137" s="73"/>
      <c r="BA137" s="77">
        <f t="shared" si="32"/>
        <v>0</v>
      </c>
      <c r="BB137" s="88">
        <f t="shared" si="33"/>
        <v>1</v>
      </c>
      <c r="BC137" s="89" t="e">
        <f>SUMIF(#REF!,#REF!, BB20:BB333)</f>
        <v>#REF!</v>
      </c>
      <c r="BD137" s="89">
        <f t="shared" si="34"/>
        <v>1</v>
      </c>
      <c r="BE137" s="89" t="e">
        <f>SUMIF(#REF!,#REF!, BD20:BD333)</f>
        <v>#REF!</v>
      </c>
      <c r="BF137" s="89">
        <f t="shared" si="35"/>
        <v>0</v>
      </c>
      <c r="BG137" s="89" t="e">
        <f>SUMIF(#REF!,#REF!, BF20:BF333)</f>
        <v>#REF!</v>
      </c>
      <c r="BH137" s="89" t="e">
        <f t="shared" si="36"/>
        <v>#REF!</v>
      </c>
      <c r="BI137" s="90">
        <f>SUMIF(B20:B333, B137, BH20:BH333)</f>
        <v>0</v>
      </c>
      <c r="BJ137" s="91"/>
      <c r="BK137" s="92"/>
      <c r="BL137" s="93"/>
      <c r="BM137" s="93"/>
      <c r="BN137" s="93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4"/>
    </row>
    <row r="138" spans="1:82" x14ac:dyDescent="0.3">
      <c r="A138" s="95" t="s">
        <v>326</v>
      </c>
      <c r="B138" s="96"/>
      <c r="C138" s="97" t="s">
        <v>300</v>
      </c>
      <c r="D138" s="97" t="s">
        <v>325</v>
      </c>
      <c r="E138" s="98" t="s">
        <v>327</v>
      </c>
      <c r="F138" s="99" t="s">
        <v>103</v>
      </c>
      <c r="G138" s="100"/>
      <c r="H138" s="101" t="s">
        <v>103</v>
      </c>
      <c r="I138" s="99" t="s">
        <v>4</v>
      </c>
      <c r="J138" s="100" t="s">
        <v>6</v>
      </c>
      <c r="K138" s="102"/>
      <c r="L138" s="103"/>
      <c r="M138" s="104"/>
      <c r="N138" s="105">
        <v>4998</v>
      </c>
      <c r="O138" s="106">
        <v>5056</v>
      </c>
      <c r="P138" s="106">
        <v>5222</v>
      </c>
      <c r="Q138" s="107"/>
      <c r="R138" s="156">
        <v>0.09</v>
      </c>
      <c r="S138" s="105">
        <v>450</v>
      </c>
      <c r="T138" s="106">
        <v>455</v>
      </c>
      <c r="U138" s="106">
        <v>470</v>
      </c>
      <c r="V138" s="107">
        <f t="shared" si="26"/>
        <v>0</v>
      </c>
      <c r="W138" s="109"/>
      <c r="X138" s="110"/>
      <c r="Y138" s="111" t="s">
        <v>104</v>
      </c>
      <c r="Z138" s="100" t="str">
        <f>'[1]Tier 1'!V138</f>
        <v>D</v>
      </c>
      <c r="AA138" s="100"/>
      <c r="AB138" s="100"/>
      <c r="AC138" s="100"/>
      <c r="AD138" s="101"/>
      <c r="AE138" s="105">
        <f>'[1]Tier 1'!W138</f>
        <v>1197</v>
      </c>
      <c r="AF138" s="106"/>
      <c r="AG138" s="106">
        <f>'[1]Tier 1'!X138</f>
        <v>1197</v>
      </c>
      <c r="AH138" s="106"/>
      <c r="AI138" s="106">
        <f>'[1]Tier 1'!Y138</f>
        <v>1197</v>
      </c>
      <c r="AJ138" s="106">
        <f t="shared" si="27"/>
        <v>1077.3</v>
      </c>
      <c r="AK138" s="106" t="e">
        <f>VLOOKUP(A138,#REF!,-1,FALSE)</f>
        <v>#REF!</v>
      </c>
      <c r="AL138" s="107" t="e">
        <f t="shared" si="28"/>
        <v>#REF!</v>
      </c>
      <c r="AM138" s="105">
        <f t="shared" si="37"/>
        <v>450</v>
      </c>
      <c r="AN138" s="112">
        <f t="shared" si="38"/>
        <v>0.376</v>
      </c>
      <c r="AO138" s="100" t="str">
        <f t="shared" si="39"/>
        <v>OK</v>
      </c>
      <c r="AP138" s="106">
        <f t="shared" si="40"/>
        <v>455</v>
      </c>
      <c r="AQ138" s="112">
        <f t="shared" si="41"/>
        <v>0.38</v>
      </c>
      <c r="AR138" s="100" t="str">
        <f t="shared" si="42"/>
        <v>OK</v>
      </c>
      <c r="AS138" s="106">
        <f t="shared" si="43"/>
        <v>470</v>
      </c>
      <c r="AT138" s="112">
        <f t="shared" si="44"/>
        <v>0.39300000000000002</v>
      </c>
      <c r="AU138" s="113" t="str">
        <f t="shared" si="45"/>
        <v>OK</v>
      </c>
      <c r="AV138" s="106">
        <f t="shared" si="29"/>
        <v>0</v>
      </c>
      <c r="AW138" s="112" t="e">
        <f t="shared" si="30"/>
        <v>#REF!</v>
      </c>
      <c r="AX138" s="114" t="e">
        <f t="shared" si="31"/>
        <v>#REF!</v>
      </c>
      <c r="AY138" s="99"/>
      <c r="AZ138" s="100"/>
      <c r="BA138" s="104">
        <f t="shared" si="32"/>
        <v>0</v>
      </c>
      <c r="BB138" s="115">
        <f t="shared" si="33"/>
        <v>1</v>
      </c>
      <c r="BC138" s="116" t="e">
        <f>SUMIF(#REF!,#REF!, BB20:BB333)</f>
        <v>#REF!</v>
      </c>
      <c r="BD138" s="116">
        <f t="shared" si="34"/>
        <v>1</v>
      </c>
      <c r="BE138" s="116" t="e">
        <f>SUMIF(#REF!,#REF!, BD20:BD333)</f>
        <v>#REF!</v>
      </c>
      <c r="BF138" s="116">
        <f t="shared" si="35"/>
        <v>0</v>
      </c>
      <c r="BG138" s="116" t="e">
        <f>SUMIF(#REF!,#REF!, BF20:BF333)</f>
        <v>#REF!</v>
      </c>
      <c r="BH138" s="116" t="e">
        <f t="shared" si="36"/>
        <v>#REF!</v>
      </c>
      <c r="BI138" s="117">
        <f>SUMIF(B20:B333, B138, BH20:BH333)</f>
        <v>0</v>
      </c>
      <c r="BJ138" s="118"/>
      <c r="BK138" s="92"/>
      <c r="BL138" s="93"/>
      <c r="BM138" s="93"/>
      <c r="BN138" s="93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  <c r="CA138" s="93"/>
      <c r="CB138" s="93"/>
      <c r="CC138" s="93"/>
      <c r="CD138" s="94"/>
    </row>
    <row r="139" spans="1:82" x14ac:dyDescent="0.3">
      <c r="A139" s="68" t="s">
        <v>328</v>
      </c>
      <c r="B139" s="69"/>
      <c r="C139" s="70" t="s">
        <v>300</v>
      </c>
      <c r="D139" s="70" t="s">
        <v>327</v>
      </c>
      <c r="E139" s="71" t="s">
        <v>329</v>
      </c>
      <c r="F139" s="72" t="s">
        <v>103</v>
      </c>
      <c r="G139" s="73"/>
      <c r="H139" s="74" t="s">
        <v>103</v>
      </c>
      <c r="I139" s="72" t="s">
        <v>4</v>
      </c>
      <c r="J139" s="73" t="s">
        <v>6</v>
      </c>
      <c r="K139" s="75"/>
      <c r="L139" s="76"/>
      <c r="M139" s="77"/>
      <c r="N139" s="78">
        <v>4998</v>
      </c>
      <c r="O139" s="79">
        <v>5056</v>
      </c>
      <c r="P139" s="79">
        <v>5222</v>
      </c>
      <c r="Q139" s="80"/>
      <c r="R139" s="155">
        <v>0.09</v>
      </c>
      <c r="S139" s="78">
        <v>450</v>
      </c>
      <c r="T139" s="79">
        <v>455</v>
      </c>
      <c r="U139" s="79">
        <v>470</v>
      </c>
      <c r="V139" s="80">
        <f t="shared" si="26"/>
        <v>0</v>
      </c>
      <c r="W139" s="82"/>
      <c r="X139" s="83"/>
      <c r="Y139" s="84" t="s">
        <v>104</v>
      </c>
      <c r="Z139" s="73" t="str">
        <f>'[1]Tier 1'!V139</f>
        <v>D</v>
      </c>
      <c r="AA139" s="73"/>
      <c r="AB139" s="73"/>
      <c r="AC139" s="73"/>
      <c r="AD139" s="74"/>
      <c r="AE139" s="78">
        <f>'[1]Tier 1'!W139</f>
        <v>1197</v>
      </c>
      <c r="AF139" s="79"/>
      <c r="AG139" s="79">
        <f>'[1]Tier 1'!X139</f>
        <v>1197</v>
      </c>
      <c r="AH139" s="79"/>
      <c r="AI139" s="79">
        <f>'[1]Tier 1'!Y139</f>
        <v>1197</v>
      </c>
      <c r="AJ139" s="79">
        <f t="shared" si="27"/>
        <v>1077.3</v>
      </c>
      <c r="AK139" s="79" t="e">
        <f>VLOOKUP(A139,#REF!,-1,FALSE)</f>
        <v>#REF!</v>
      </c>
      <c r="AL139" s="80" t="e">
        <f t="shared" si="28"/>
        <v>#REF!</v>
      </c>
      <c r="AM139" s="78">
        <f t="shared" si="37"/>
        <v>450</v>
      </c>
      <c r="AN139" s="85">
        <f t="shared" si="38"/>
        <v>0.376</v>
      </c>
      <c r="AO139" s="73" t="str">
        <f t="shared" si="39"/>
        <v>OK</v>
      </c>
      <c r="AP139" s="79">
        <f t="shared" si="40"/>
        <v>455</v>
      </c>
      <c r="AQ139" s="85">
        <f t="shared" si="41"/>
        <v>0.38</v>
      </c>
      <c r="AR139" s="73" t="str">
        <f t="shared" si="42"/>
        <v>OK</v>
      </c>
      <c r="AS139" s="79">
        <f t="shared" si="43"/>
        <v>470</v>
      </c>
      <c r="AT139" s="85">
        <f t="shared" si="44"/>
        <v>0.39300000000000002</v>
      </c>
      <c r="AU139" s="86" t="str">
        <f t="shared" si="45"/>
        <v>OK</v>
      </c>
      <c r="AV139" s="79">
        <f t="shared" si="29"/>
        <v>0</v>
      </c>
      <c r="AW139" s="85" t="e">
        <f t="shared" si="30"/>
        <v>#REF!</v>
      </c>
      <c r="AX139" s="87" t="e">
        <f t="shared" si="31"/>
        <v>#REF!</v>
      </c>
      <c r="AY139" s="72"/>
      <c r="AZ139" s="73"/>
      <c r="BA139" s="77">
        <f t="shared" si="32"/>
        <v>0</v>
      </c>
      <c r="BB139" s="88">
        <f t="shared" si="33"/>
        <v>1</v>
      </c>
      <c r="BC139" s="89" t="e">
        <f>SUMIF(#REF!,#REF!, BB20:BB333)</f>
        <v>#REF!</v>
      </c>
      <c r="BD139" s="89">
        <f t="shared" si="34"/>
        <v>1</v>
      </c>
      <c r="BE139" s="89" t="e">
        <f>SUMIF(#REF!,#REF!, BD20:BD333)</f>
        <v>#REF!</v>
      </c>
      <c r="BF139" s="89">
        <f t="shared" si="35"/>
        <v>0</v>
      </c>
      <c r="BG139" s="89" t="e">
        <f>SUMIF(#REF!,#REF!, BF20:BF333)</f>
        <v>#REF!</v>
      </c>
      <c r="BH139" s="89" t="e">
        <f t="shared" si="36"/>
        <v>#REF!</v>
      </c>
      <c r="BI139" s="90">
        <f>SUMIF(B20:B333, B139, BH20:BH333)</f>
        <v>0</v>
      </c>
      <c r="BJ139" s="91"/>
      <c r="BK139" s="92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4"/>
    </row>
    <row r="140" spans="1:82" x14ac:dyDescent="0.3">
      <c r="A140" s="95" t="s">
        <v>330</v>
      </c>
      <c r="B140" s="96"/>
      <c r="C140" s="97" t="s">
        <v>300</v>
      </c>
      <c r="D140" s="97" t="s">
        <v>329</v>
      </c>
      <c r="E140" s="98" t="s">
        <v>331</v>
      </c>
      <c r="F140" s="99" t="s">
        <v>103</v>
      </c>
      <c r="G140" s="100"/>
      <c r="H140" s="101" t="s">
        <v>103</v>
      </c>
      <c r="I140" s="99" t="s">
        <v>4</v>
      </c>
      <c r="J140" s="100" t="s">
        <v>6</v>
      </c>
      <c r="K140" s="102"/>
      <c r="L140" s="103"/>
      <c r="M140" s="104"/>
      <c r="N140" s="105">
        <v>4998</v>
      </c>
      <c r="O140" s="106">
        <v>5056</v>
      </c>
      <c r="P140" s="106">
        <v>5222</v>
      </c>
      <c r="Q140" s="107"/>
      <c r="R140" s="156">
        <v>0.09</v>
      </c>
      <c r="S140" s="105">
        <v>450</v>
      </c>
      <c r="T140" s="106">
        <v>455</v>
      </c>
      <c r="U140" s="106">
        <v>470</v>
      </c>
      <c r="V140" s="107">
        <f t="shared" si="26"/>
        <v>0</v>
      </c>
      <c r="W140" s="109"/>
      <c r="X140" s="110"/>
      <c r="Y140" s="111" t="s">
        <v>104</v>
      </c>
      <c r="Z140" s="100" t="str">
        <f>'[1]Tier 1'!V140</f>
        <v>D</v>
      </c>
      <c r="AA140" s="100"/>
      <c r="AB140" s="100"/>
      <c r="AC140" s="100"/>
      <c r="AD140" s="101"/>
      <c r="AE140" s="105">
        <f>'[1]Tier 1'!W140</f>
        <v>1197</v>
      </c>
      <c r="AF140" s="106"/>
      <c r="AG140" s="106">
        <f>'[1]Tier 1'!X140</f>
        <v>1197</v>
      </c>
      <c r="AH140" s="106"/>
      <c r="AI140" s="106">
        <f>'[1]Tier 1'!Y140</f>
        <v>1197</v>
      </c>
      <c r="AJ140" s="106">
        <f t="shared" si="27"/>
        <v>1077.3</v>
      </c>
      <c r="AK140" s="106" t="e">
        <f>VLOOKUP(A140,#REF!,-1,FALSE)</f>
        <v>#REF!</v>
      </c>
      <c r="AL140" s="107" t="e">
        <f t="shared" si="28"/>
        <v>#REF!</v>
      </c>
      <c r="AM140" s="105">
        <f t="shared" si="37"/>
        <v>450</v>
      </c>
      <c r="AN140" s="112">
        <f t="shared" si="38"/>
        <v>0.376</v>
      </c>
      <c r="AO140" s="100" t="str">
        <f t="shared" si="39"/>
        <v>OK</v>
      </c>
      <c r="AP140" s="106">
        <f t="shared" si="40"/>
        <v>455</v>
      </c>
      <c r="AQ140" s="112">
        <f t="shared" si="41"/>
        <v>0.38</v>
      </c>
      <c r="AR140" s="100" t="str">
        <f t="shared" si="42"/>
        <v>OK</v>
      </c>
      <c r="AS140" s="106">
        <f t="shared" si="43"/>
        <v>470</v>
      </c>
      <c r="AT140" s="112">
        <f t="shared" si="44"/>
        <v>0.39300000000000002</v>
      </c>
      <c r="AU140" s="113" t="str">
        <f t="shared" si="45"/>
        <v>OK</v>
      </c>
      <c r="AV140" s="106">
        <f t="shared" si="29"/>
        <v>0</v>
      </c>
      <c r="AW140" s="112" t="e">
        <f t="shared" si="30"/>
        <v>#REF!</v>
      </c>
      <c r="AX140" s="114" t="e">
        <f t="shared" si="31"/>
        <v>#REF!</v>
      </c>
      <c r="AY140" s="99"/>
      <c r="AZ140" s="100"/>
      <c r="BA140" s="104">
        <f t="shared" si="32"/>
        <v>0</v>
      </c>
      <c r="BB140" s="115">
        <f t="shared" si="33"/>
        <v>1</v>
      </c>
      <c r="BC140" s="116" t="e">
        <f>SUMIF(#REF!,#REF!, BB20:BB333)</f>
        <v>#REF!</v>
      </c>
      <c r="BD140" s="116">
        <f t="shared" si="34"/>
        <v>1</v>
      </c>
      <c r="BE140" s="116" t="e">
        <f>SUMIF(#REF!,#REF!, BD20:BD333)</f>
        <v>#REF!</v>
      </c>
      <c r="BF140" s="116">
        <f t="shared" si="35"/>
        <v>0</v>
      </c>
      <c r="BG140" s="116" t="e">
        <f>SUMIF(#REF!,#REF!, BF20:BF333)</f>
        <v>#REF!</v>
      </c>
      <c r="BH140" s="116" t="e">
        <f t="shared" si="36"/>
        <v>#REF!</v>
      </c>
      <c r="BI140" s="117">
        <f>SUMIF(B20:B333, B140, BH20:BH333)</f>
        <v>0</v>
      </c>
      <c r="BJ140" s="118"/>
      <c r="BK140" s="92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4"/>
    </row>
    <row r="141" spans="1:82" x14ac:dyDescent="0.3">
      <c r="A141" s="68" t="s">
        <v>332</v>
      </c>
      <c r="B141" s="69"/>
      <c r="C141" s="70" t="s">
        <v>300</v>
      </c>
      <c r="D141" s="70" t="s">
        <v>331</v>
      </c>
      <c r="E141" s="71" t="s">
        <v>120</v>
      </c>
      <c r="F141" s="72" t="s">
        <v>103</v>
      </c>
      <c r="G141" s="73"/>
      <c r="H141" s="74" t="s">
        <v>103</v>
      </c>
      <c r="I141" s="72" t="s">
        <v>4</v>
      </c>
      <c r="J141" s="73" t="s">
        <v>6</v>
      </c>
      <c r="K141" s="75"/>
      <c r="L141" s="76"/>
      <c r="M141" s="77"/>
      <c r="N141" s="78">
        <v>4998</v>
      </c>
      <c r="O141" s="79">
        <v>5056</v>
      </c>
      <c r="P141" s="79">
        <v>5222</v>
      </c>
      <c r="Q141" s="80"/>
      <c r="R141" s="155">
        <v>0.09</v>
      </c>
      <c r="S141" s="78">
        <v>450</v>
      </c>
      <c r="T141" s="79">
        <v>455</v>
      </c>
      <c r="U141" s="79">
        <v>470</v>
      </c>
      <c r="V141" s="80">
        <f t="shared" si="26"/>
        <v>0</v>
      </c>
      <c r="W141" s="82"/>
      <c r="X141" s="83"/>
      <c r="Y141" s="84" t="s">
        <v>104</v>
      </c>
      <c r="Z141" s="73" t="str">
        <f>'[1]Tier 1'!V141</f>
        <v>D</v>
      </c>
      <c r="AA141" s="73"/>
      <c r="AB141" s="73"/>
      <c r="AC141" s="73"/>
      <c r="AD141" s="74"/>
      <c r="AE141" s="78">
        <f>'[1]Tier 1'!W141</f>
        <v>1197</v>
      </c>
      <c r="AF141" s="79"/>
      <c r="AG141" s="79">
        <f>'[1]Tier 1'!X141</f>
        <v>1197</v>
      </c>
      <c r="AH141" s="79"/>
      <c r="AI141" s="79">
        <f>'[1]Tier 1'!Y141</f>
        <v>1197</v>
      </c>
      <c r="AJ141" s="79">
        <f t="shared" si="27"/>
        <v>1077.3</v>
      </c>
      <c r="AK141" s="79" t="e">
        <f>VLOOKUP(A141,#REF!,-1,FALSE)</f>
        <v>#REF!</v>
      </c>
      <c r="AL141" s="80" t="e">
        <f t="shared" si="28"/>
        <v>#REF!</v>
      </c>
      <c r="AM141" s="78">
        <f t="shared" si="37"/>
        <v>450</v>
      </c>
      <c r="AN141" s="85">
        <f t="shared" si="38"/>
        <v>0.376</v>
      </c>
      <c r="AO141" s="73" t="str">
        <f t="shared" si="39"/>
        <v>OK</v>
      </c>
      <c r="AP141" s="79">
        <f t="shared" si="40"/>
        <v>455</v>
      </c>
      <c r="AQ141" s="85">
        <f t="shared" si="41"/>
        <v>0.38</v>
      </c>
      <c r="AR141" s="73" t="str">
        <f t="shared" si="42"/>
        <v>OK</v>
      </c>
      <c r="AS141" s="79">
        <f t="shared" si="43"/>
        <v>470</v>
      </c>
      <c r="AT141" s="85">
        <f t="shared" si="44"/>
        <v>0.39300000000000002</v>
      </c>
      <c r="AU141" s="86" t="str">
        <f t="shared" si="45"/>
        <v>OK</v>
      </c>
      <c r="AV141" s="79">
        <f t="shared" si="29"/>
        <v>0</v>
      </c>
      <c r="AW141" s="85" t="e">
        <f t="shared" si="30"/>
        <v>#REF!</v>
      </c>
      <c r="AX141" s="87" t="e">
        <f t="shared" si="31"/>
        <v>#REF!</v>
      </c>
      <c r="AY141" s="72"/>
      <c r="AZ141" s="73"/>
      <c r="BA141" s="77">
        <f t="shared" si="32"/>
        <v>0</v>
      </c>
      <c r="BB141" s="88">
        <f t="shared" si="33"/>
        <v>1</v>
      </c>
      <c r="BC141" s="89" t="e">
        <f>SUMIF(#REF!,#REF!, BB20:BB333)</f>
        <v>#REF!</v>
      </c>
      <c r="BD141" s="89">
        <f t="shared" si="34"/>
        <v>1</v>
      </c>
      <c r="BE141" s="89" t="e">
        <f>SUMIF(#REF!,#REF!, BD20:BD333)</f>
        <v>#REF!</v>
      </c>
      <c r="BF141" s="89">
        <f t="shared" si="35"/>
        <v>0</v>
      </c>
      <c r="BG141" s="89" t="e">
        <f>SUMIF(#REF!,#REF!, BF20:BF333)</f>
        <v>#REF!</v>
      </c>
      <c r="BH141" s="89" t="e">
        <f t="shared" si="36"/>
        <v>#REF!</v>
      </c>
      <c r="BI141" s="90">
        <f>SUMIF(B20:B333, B141, BH20:BH333)</f>
        <v>0</v>
      </c>
      <c r="BJ141" s="91"/>
      <c r="BK141" s="92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4"/>
    </row>
    <row r="142" spans="1:82" x14ac:dyDescent="0.3">
      <c r="A142" s="95" t="s">
        <v>333</v>
      </c>
      <c r="B142" s="96"/>
      <c r="C142" s="97" t="s">
        <v>300</v>
      </c>
      <c r="D142" s="97" t="s">
        <v>120</v>
      </c>
      <c r="E142" s="98" t="s">
        <v>102</v>
      </c>
      <c r="F142" s="99" t="s">
        <v>103</v>
      </c>
      <c r="G142" s="100"/>
      <c r="H142" s="101" t="s">
        <v>103</v>
      </c>
      <c r="I142" s="99" t="s">
        <v>4</v>
      </c>
      <c r="J142" s="100" t="s">
        <v>6</v>
      </c>
      <c r="K142" s="102"/>
      <c r="L142" s="103"/>
      <c r="M142" s="104"/>
      <c r="N142" s="105">
        <v>8039</v>
      </c>
      <c r="O142" s="106">
        <v>8531</v>
      </c>
      <c r="P142" s="106">
        <v>8876</v>
      </c>
      <c r="Q142" s="107"/>
      <c r="R142" s="156">
        <v>0.09</v>
      </c>
      <c r="S142" s="105">
        <v>724</v>
      </c>
      <c r="T142" s="106">
        <v>768</v>
      </c>
      <c r="U142" s="106">
        <v>799</v>
      </c>
      <c r="V142" s="107">
        <f t="shared" si="26"/>
        <v>0</v>
      </c>
      <c r="W142" s="109"/>
      <c r="X142" s="110"/>
      <c r="Y142" s="111" t="s">
        <v>104</v>
      </c>
      <c r="Z142" s="100" t="str">
        <f>'[1]Tier 1'!V142</f>
        <v>D</v>
      </c>
      <c r="AA142" s="100"/>
      <c r="AB142" s="100"/>
      <c r="AC142" s="100"/>
      <c r="AD142" s="101"/>
      <c r="AE142" s="105">
        <f>'[1]Tier 1'!W142</f>
        <v>1899</v>
      </c>
      <c r="AF142" s="106"/>
      <c r="AG142" s="106">
        <f>'[1]Tier 1'!X142</f>
        <v>1899</v>
      </c>
      <c r="AH142" s="106"/>
      <c r="AI142" s="106">
        <f>'[1]Tier 1'!Y142</f>
        <v>1899</v>
      </c>
      <c r="AJ142" s="106">
        <f t="shared" si="27"/>
        <v>1709.1000000000001</v>
      </c>
      <c r="AK142" s="106" t="e">
        <f>VLOOKUP(A142,#REF!,-1,FALSE)</f>
        <v>#REF!</v>
      </c>
      <c r="AL142" s="107" t="e">
        <f t="shared" si="28"/>
        <v>#REF!</v>
      </c>
      <c r="AM142" s="105">
        <f t="shared" si="37"/>
        <v>724</v>
      </c>
      <c r="AN142" s="112">
        <f t="shared" si="38"/>
        <v>0.38100000000000001</v>
      </c>
      <c r="AO142" s="100" t="str">
        <f t="shared" si="39"/>
        <v>OK</v>
      </c>
      <c r="AP142" s="106">
        <f t="shared" si="40"/>
        <v>768</v>
      </c>
      <c r="AQ142" s="112">
        <f t="shared" si="41"/>
        <v>0.40400000000000003</v>
      </c>
      <c r="AR142" s="100" t="str">
        <f t="shared" si="42"/>
        <v>OK</v>
      </c>
      <c r="AS142" s="106">
        <f t="shared" si="43"/>
        <v>799</v>
      </c>
      <c r="AT142" s="112">
        <f t="shared" si="44"/>
        <v>0.42099999999999999</v>
      </c>
      <c r="AU142" s="113" t="str">
        <f t="shared" si="45"/>
        <v>OK</v>
      </c>
      <c r="AV142" s="106">
        <f t="shared" si="29"/>
        <v>0</v>
      </c>
      <c r="AW142" s="112" t="e">
        <f t="shared" si="30"/>
        <v>#REF!</v>
      </c>
      <c r="AX142" s="114" t="e">
        <f t="shared" si="31"/>
        <v>#REF!</v>
      </c>
      <c r="AY142" s="99"/>
      <c r="AZ142" s="100"/>
      <c r="BA142" s="104">
        <f t="shared" si="32"/>
        <v>0</v>
      </c>
      <c r="BB142" s="115">
        <f t="shared" si="33"/>
        <v>1</v>
      </c>
      <c r="BC142" s="116" t="e">
        <f>SUMIF(#REF!,#REF!, BB20:BB333)</f>
        <v>#REF!</v>
      </c>
      <c r="BD142" s="116">
        <f t="shared" si="34"/>
        <v>1</v>
      </c>
      <c r="BE142" s="116" t="e">
        <f>SUMIF(#REF!,#REF!, BD20:BD333)</f>
        <v>#REF!</v>
      </c>
      <c r="BF142" s="116">
        <f t="shared" si="35"/>
        <v>0</v>
      </c>
      <c r="BG142" s="116" t="e">
        <f>SUMIF(#REF!,#REF!, BF20:BF333)</f>
        <v>#REF!</v>
      </c>
      <c r="BH142" s="116" t="e">
        <f t="shared" si="36"/>
        <v>#REF!</v>
      </c>
      <c r="BI142" s="117">
        <f>SUMIF(B20:B333, B142, BH20:BH333)</f>
        <v>0</v>
      </c>
      <c r="BJ142" s="118"/>
      <c r="BK142" s="92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4"/>
    </row>
    <row r="143" spans="1:82" hidden="1" x14ac:dyDescent="0.3">
      <c r="A143" s="68" t="s">
        <v>334</v>
      </c>
      <c r="B143" s="69"/>
      <c r="C143" s="70" t="s">
        <v>335</v>
      </c>
      <c r="D143" s="70" t="s">
        <v>168</v>
      </c>
      <c r="E143" s="71" t="s">
        <v>170</v>
      </c>
      <c r="F143" s="72" t="s">
        <v>103</v>
      </c>
      <c r="G143" s="73"/>
      <c r="H143" s="74" t="s">
        <v>103</v>
      </c>
      <c r="I143" s="72" t="s">
        <v>6</v>
      </c>
      <c r="J143" s="73" t="s">
        <v>6</v>
      </c>
      <c r="K143" s="75"/>
      <c r="L143" s="76"/>
      <c r="M143" s="77"/>
      <c r="N143" s="78" t="e">
        <v>#DIV/0!</v>
      </c>
      <c r="O143" s="79">
        <v>0</v>
      </c>
      <c r="P143" s="79" t="e">
        <v>#DIV/0!</v>
      </c>
      <c r="Q143" s="80"/>
      <c r="R143" s="155">
        <v>0.09</v>
      </c>
      <c r="S143" s="78" t="e">
        <v>#DIV/0!</v>
      </c>
      <c r="T143" s="79">
        <v>0</v>
      </c>
      <c r="U143" s="79" t="e">
        <v>#DIV/0!</v>
      </c>
      <c r="V143" s="80">
        <f t="shared" si="26"/>
        <v>0</v>
      </c>
      <c r="W143" s="82"/>
      <c r="X143" s="83"/>
      <c r="Y143" s="84" t="s">
        <v>104</v>
      </c>
      <c r="Z143" s="73" t="str">
        <f>'[1]Tier 1'!V143</f>
        <v>D</v>
      </c>
      <c r="AA143" s="73"/>
      <c r="AB143" s="73"/>
      <c r="AC143" s="73"/>
      <c r="AD143" s="74"/>
      <c r="AE143" s="78">
        <f>'[1]Tier 1'!W143</f>
        <v>1818</v>
      </c>
      <c r="AF143" s="79"/>
      <c r="AG143" s="79">
        <f>'[1]Tier 1'!X143</f>
        <v>1818</v>
      </c>
      <c r="AH143" s="79"/>
      <c r="AI143" s="79">
        <f>'[1]Tier 1'!Y143</f>
        <v>1818</v>
      </c>
      <c r="AJ143" s="79">
        <f t="shared" si="27"/>
        <v>1636.2</v>
      </c>
      <c r="AK143" s="79" t="e">
        <f>VLOOKUP(A143,#REF!,-1,FALSE)</f>
        <v>#REF!</v>
      </c>
      <c r="AL143" s="80" t="e">
        <f t="shared" si="28"/>
        <v>#REF!</v>
      </c>
      <c r="AM143" s="78" t="e">
        <f t="shared" si="37"/>
        <v>#DIV/0!</v>
      </c>
      <c r="AN143" s="85" t="e">
        <f t="shared" si="38"/>
        <v>#DIV/0!</v>
      </c>
      <c r="AO143" s="73" t="str">
        <f t="shared" si="39"/>
        <v>OK</v>
      </c>
      <c r="AP143" s="79">
        <f t="shared" si="40"/>
        <v>0</v>
      </c>
      <c r="AQ143" s="85">
        <f t="shared" si="41"/>
        <v>0</v>
      </c>
      <c r="AR143" s="73" t="str">
        <f t="shared" si="42"/>
        <v>OK</v>
      </c>
      <c r="AS143" s="79" t="e">
        <f t="shared" si="43"/>
        <v>#DIV/0!</v>
      </c>
      <c r="AT143" s="85" t="e">
        <f t="shared" si="44"/>
        <v>#DIV/0!</v>
      </c>
      <c r="AU143" s="86" t="str">
        <f t="shared" si="45"/>
        <v>OK</v>
      </c>
      <c r="AV143" s="79">
        <f t="shared" si="29"/>
        <v>0</v>
      </c>
      <c r="AW143" s="85" t="e">
        <f t="shared" si="30"/>
        <v>#REF!</v>
      </c>
      <c r="AX143" s="87" t="e">
        <f t="shared" si="31"/>
        <v>#REF!</v>
      </c>
      <c r="AY143" s="72"/>
      <c r="AZ143" s="73"/>
      <c r="BA143" s="77">
        <f t="shared" si="32"/>
        <v>0</v>
      </c>
      <c r="BB143" s="88" t="e">
        <f t="shared" si="33"/>
        <v>#DIV/0!</v>
      </c>
      <c r="BC143" s="89" t="e">
        <f>SUMIF(#REF!,#REF!, BB20:BB333)</f>
        <v>#REF!</v>
      </c>
      <c r="BD143" s="89">
        <f t="shared" si="34"/>
        <v>0</v>
      </c>
      <c r="BE143" s="89" t="e">
        <f>SUMIF(#REF!,#REF!, BD20:BD333)</f>
        <v>#REF!</v>
      </c>
      <c r="BF143" s="89" t="e">
        <f t="shared" si="35"/>
        <v>#DIV/0!</v>
      </c>
      <c r="BG143" s="89" t="e">
        <f>SUMIF(#REF!,#REF!, BF20:BF333)</f>
        <v>#REF!</v>
      </c>
      <c r="BH143" s="89" t="e">
        <f t="shared" si="36"/>
        <v>#REF!</v>
      </c>
      <c r="BI143" s="90">
        <f>SUMIF(B20:B333, B143, BH20:BH333)</f>
        <v>0</v>
      </c>
      <c r="BJ143" s="91"/>
      <c r="BK143" s="92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4"/>
    </row>
    <row r="144" spans="1:82" x14ac:dyDescent="0.3">
      <c r="A144" s="95" t="s">
        <v>336</v>
      </c>
      <c r="B144" s="96"/>
      <c r="C144" s="97" t="s">
        <v>232</v>
      </c>
      <c r="D144" s="97" t="s">
        <v>172</v>
      </c>
      <c r="E144" s="98" t="s">
        <v>337</v>
      </c>
      <c r="F144" s="99" t="s">
        <v>103</v>
      </c>
      <c r="G144" s="100"/>
      <c r="H144" s="101" t="s">
        <v>103</v>
      </c>
      <c r="I144" s="99" t="s">
        <v>4</v>
      </c>
      <c r="J144" s="100" t="s">
        <v>6</v>
      </c>
      <c r="K144" s="102"/>
      <c r="L144" s="103"/>
      <c r="M144" s="104"/>
      <c r="N144" s="105">
        <v>2056</v>
      </c>
      <c r="O144" s="106">
        <v>2236</v>
      </c>
      <c r="P144" s="106">
        <v>2356</v>
      </c>
      <c r="Q144" s="107"/>
      <c r="R144" s="156">
        <v>0.09</v>
      </c>
      <c r="S144" s="105">
        <v>185</v>
      </c>
      <c r="T144" s="106">
        <v>201</v>
      </c>
      <c r="U144" s="106">
        <v>212</v>
      </c>
      <c r="V144" s="107">
        <f t="shared" si="26"/>
        <v>0</v>
      </c>
      <c r="W144" s="109"/>
      <c r="X144" s="110"/>
      <c r="Y144" s="111" t="s">
        <v>104</v>
      </c>
      <c r="Z144" s="100" t="str">
        <f>'[1]Tier 1'!V144</f>
        <v>D</v>
      </c>
      <c r="AA144" s="100"/>
      <c r="AB144" s="100"/>
      <c r="AC144" s="100"/>
      <c r="AD144" s="101"/>
      <c r="AE144" s="105">
        <f>'[1]Tier 1'!W144</f>
        <v>1962</v>
      </c>
      <c r="AF144" s="106"/>
      <c r="AG144" s="106">
        <f>'[1]Tier 1'!X144</f>
        <v>1962</v>
      </c>
      <c r="AH144" s="106"/>
      <c r="AI144" s="106">
        <f>'[1]Tier 1'!Y144</f>
        <v>1962</v>
      </c>
      <c r="AJ144" s="106">
        <f t="shared" si="27"/>
        <v>1765.8</v>
      </c>
      <c r="AK144" s="106" t="e">
        <f>VLOOKUP(A144,#REF!,-1,FALSE)</f>
        <v>#REF!</v>
      </c>
      <c r="AL144" s="107" t="e">
        <f t="shared" si="28"/>
        <v>#REF!</v>
      </c>
      <c r="AM144" s="105">
        <f t="shared" si="37"/>
        <v>185</v>
      </c>
      <c r="AN144" s="112">
        <f t="shared" si="38"/>
        <v>9.4E-2</v>
      </c>
      <c r="AO144" s="100" t="str">
        <f t="shared" si="39"/>
        <v>OK</v>
      </c>
      <c r="AP144" s="106">
        <f t="shared" si="40"/>
        <v>201</v>
      </c>
      <c r="AQ144" s="112">
        <f t="shared" si="41"/>
        <v>0.10199999999999999</v>
      </c>
      <c r="AR144" s="100" t="str">
        <f t="shared" si="42"/>
        <v>OK</v>
      </c>
      <c r="AS144" s="106">
        <f t="shared" si="43"/>
        <v>212</v>
      </c>
      <c r="AT144" s="112">
        <f t="shared" si="44"/>
        <v>0.108</v>
      </c>
      <c r="AU144" s="113" t="str">
        <f t="shared" si="45"/>
        <v>OK</v>
      </c>
      <c r="AV144" s="106">
        <f t="shared" si="29"/>
        <v>0</v>
      </c>
      <c r="AW144" s="112" t="e">
        <f t="shared" si="30"/>
        <v>#REF!</v>
      </c>
      <c r="AX144" s="114" t="e">
        <f t="shared" si="31"/>
        <v>#REF!</v>
      </c>
      <c r="AY144" s="99"/>
      <c r="AZ144" s="100"/>
      <c r="BA144" s="104">
        <f t="shared" si="32"/>
        <v>0</v>
      </c>
      <c r="BB144" s="115">
        <f t="shared" si="33"/>
        <v>1</v>
      </c>
      <c r="BC144" s="116" t="e">
        <f>SUMIF(#REF!,#REF!, BB20:BB333)</f>
        <v>#REF!</v>
      </c>
      <c r="BD144" s="116">
        <f t="shared" si="34"/>
        <v>1</v>
      </c>
      <c r="BE144" s="116" t="e">
        <f>SUMIF(#REF!,#REF!, BD20:BD333)</f>
        <v>#REF!</v>
      </c>
      <c r="BF144" s="116">
        <f t="shared" si="35"/>
        <v>0</v>
      </c>
      <c r="BG144" s="116" t="e">
        <f>SUMIF(#REF!,#REF!, BF20:BF333)</f>
        <v>#REF!</v>
      </c>
      <c r="BH144" s="116" t="e">
        <f t="shared" si="36"/>
        <v>#REF!</v>
      </c>
      <c r="BI144" s="117">
        <f>SUMIF(B20:B333, B144, BH20:BH333)</f>
        <v>0</v>
      </c>
      <c r="BJ144" s="118"/>
      <c r="BK144" s="92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4"/>
    </row>
    <row r="145" spans="1:82" x14ac:dyDescent="0.3">
      <c r="A145" s="68" t="s">
        <v>338</v>
      </c>
      <c r="B145" s="69"/>
      <c r="C145" s="70" t="s">
        <v>232</v>
      </c>
      <c r="D145" s="70" t="s">
        <v>337</v>
      </c>
      <c r="E145" s="71" t="s">
        <v>185</v>
      </c>
      <c r="F145" s="72" t="s">
        <v>103</v>
      </c>
      <c r="G145" s="73"/>
      <c r="H145" s="74" t="s">
        <v>103</v>
      </c>
      <c r="I145" s="72" t="s">
        <v>4</v>
      </c>
      <c r="J145" s="73" t="s">
        <v>6</v>
      </c>
      <c r="K145" s="75"/>
      <c r="L145" s="76"/>
      <c r="M145" s="77"/>
      <c r="N145" s="78">
        <v>2056</v>
      </c>
      <c r="O145" s="79">
        <v>2236</v>
      </c>
      <c r="P145" s="79">
        <v>2356</v>
      </c>
      <c r="Q145" s="80"/>
      <c r="R145" s="155">
        <v>0.09</v>
      </c>
      <c r="S145" s="78">
        <v>185</v>
      </c>
      <c r="T145" s="79">
        <v>201</v>
      </c>
      <c r="U145" s="79">
        <v>212</v>
      </c>
      <c r="V145" s="80">
        <f t="shared" si="26"/>
        <v>0</v>
      </c>
      <c r="W145" s="82"/>
      <c r="X145" s="83"/>
      <c r="Y145" s="84" t="s">
        <v>104</v>
      </c>
      <c r="Z145" s="73" t="str">
        <f>'[1]Tier 1'!V145</f>
        <v>D</v>
      </c>
      <c r="AA145" s="73"/>
      <c r="AB145" s="73"/>
      <c r="AC145" s="73"/>
      <c r="AD145" s="74"/>
      <c r="AE145" s="78">
        <f>'[1]Tier 1'!W145</f>
        <v>1962</v>
      </c>
      <c r="AF145" s="79"/>
      <c r="AG145" s="79">
        <f>'[1]Tier 1'!X145</f>
        <v>1962</v>
      </c>
      <c r="AH145" s="79"/>
      <c r="AI145" s="79">
        <f>'[1]Tier 1'!Y145</f>
        <v>1962</v>
      </c>
      <c r="AJ145" s="79">
        <f t="shared" si="27"/>
        <v>1765.8</v>
      </c>
      <c r="AK145" s="79" t="e">
        <f>VLOOKUP(A145,#REF!,-1,FALSE)</f>
        <v>#REF!</v>
      </c>
      <c r="AL145" s="80" t="e">
        <f t="shared" si="28"/>
        <v>#REF!</v>
      </c>
      <c r="AM145" s="78">
        <f t="shared" si="37"/>
        <v>185</v>
      </c>
      <c r="AN145" s="85">
        <f t="shared" si="38"/>
        <v>9.4E-2</v>
      </c>
      <c r="AO145" s="73" t="str">
        <f t="shared" si="39"/>
        <v>OK</v>
      </c>
      <c r="AP145" s="79">
        <f t="shared" si="40"/>
        <v>201</v>
      </c>
      <c r="AQ145" s="85">
        <f t="shared" si="41"/>
        <v>0.10199999999999999</v>
      </c>
      <c r="AR145" s="73" t="str">
        <f t="shared" si="42"/>
        <v>OK</v>
      </c>
      <c r="AS145" s="79">
        <f t="shared" si="43"/>
        <v>212</v>
      </c>
      <c r="AT145" s="85">
        <f t="shared" si="44"/>
        <v>0.108</v>
      </c>
      <c r="AU145" s="86" t="str">
        <f t="shared" si="45"/>
        <v>OK</v>
      </c>
      <c r="AV145" s="79">
        <f t="shared" si="29"/>
        <v>0</v>
      </c>
      <c r="AW145" s="85" t="e">
        <f t="shared" si="30"/>
        <v>#REF!</v>
      </c>
      <c r="AX145" s="87" t="e">
        <f t="shared" si="31"/>
        <v>#REF!</v>
      </c>
      <c r="AY145" s="72"/>
      <c r="AZ145" s="73"/>
      <c r="BA145" s="77">
        <f t="shared" si="32"/>
        <v>0</v>
      </c>
      <c r="BB145" s="88">
        <f t="shared" si="33"/>
        <v>1</v>
      </c>
      <c r="BC145" s="89" t="e">
        <f>SUMIF(#REF!,#REF!, BB20:BB333)</f>
        <v>#REF!</v>
      </c>
      <c r="BD145" s="89">
        <f t="shared" si="34"/>
        <v>1</v>
      </c>
      <c r="BE145" s="89" t="e">
        <f>SUMIF(#REF!,#REF!, BD20:BD333)</f>
        <v>#REF!</v>
      </c>
      <c r="BF145" s="89">
        <f t="shared" si="35"/>
        <v>0</v>
      </c>
      <c r="BG145" s="89" t="e">
        <f>SUMIF(#REF!,#REF!, BF20:BF333)</f>
        <v>#REF!</v>
      </c>
      <c r="BH145" s="89" t="e">
        <f t="shared" si="36"/>
        <v>#REF!</v>
      </c>
      <c r="BI145" s="90">
        <f>SUMIF(B20:B333, B145, BH20:BH333)</f>
        <v>0</v>
      </c>
      <c r="BJ145" s="91"/>
      <c r="BK145" s="92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4"/>
    </row>
    <row r="146" spans="1:82" x14ac:dyDescent="0.3">
      <c r="A146" s="95" t="s">
        <v>339</v>
      </c>
      <c r="B146" s="96"/>
      <c r="C146" s="97" t="s">
        <v>232</v>
      </c>
      <c r="D146" s="97" t="s">
        <v>185</v>
      </c>
      <c r="E146" s="98" t="s">
        <v>340</v>
      </c>
      <c r="F146" s="99" t="s">
        <v>103</v>
      </c>
      <c r="G146" s="100"/>
      <c r="H146" s="101" t="s">
        <v>103</v>
      </c>
      <c r="I146" s="99" t="s">
        <v>4</v>
      </c>
      <c r="J146" s="100" t="s">
        <v>6</v>
      </c>
      <c r="K146" s="102"/>
      <c r="L146" s="103"/>
      <c r="M146" s="104"/>
      <c r="N146" s="105">
        <v>2056</v>
      </c>
      <c r="O146" s="106">
        <v>2236</v>
      </c>
      <c r="P146" s="106">
        <v>2356</v>
      </c>
      <c r="Q146" s="107"/>
      <c r="R146" s="156">
        <v>0.09</v>
      </c>
      <c r="S146" s="105">
        <v>185</v>
      </c>
      <c r="T146" s="106">
        <v>201</v>
      </c>
      <c r="U146" s="106">
        <v>212</v>
      </c>
      <c r="V146" s="107">
        <f t="shared" si="26"/>
        <v>0</v>
      </c>
      <c r="W146" s="109"/>
      <c r="X146" s="110"/>
      <c r="Y146" s="111" t="s">
        <v>104</v>
      </c>
      <c r="Z146" s="100" t="str">
        <f>'[1]Tier 1'!V146</f>
        <v>D</v>
      </c>
      <c r="AA146" s="100"/>
      <c r="AB146" s="100"/>
      <c r="AC146" s="100"/>
      <c r="AD146" s="101"/>
      <c r="AE146" s="105">
        <f>'[1]Tier 1'!W146</f>
        <v>1818</v>
      </c>
      <c r="AF146" s="106"/>
      <c r="AG146" s="106">
        <f>'[1]Tier 1'!X146</f>
        <v>1818</v>
      </c>
      <c r="AH146" s="106"/>
      <c r="AI146" s="106">
        <f>'[1]Tier 1'!Y146</f>
        <v>1818</v>
      </c>
      <c r="AJ146" s="106">
        <f t="shared" si="27"/>
        <v>1636.2</v>
      </c>
      <c r="AK146" s="106" t="e">
        <f>VLOOKUP(A146,#REF!,-1,FALSE)</f>
        <v>#REF!</v>
      </c>
      <c r="AL146" s="107" t="e">
        <f t="shared" si="28"/>
        <v>#REF!</v>
      </c>
      <c r="AM146" s="105">
        <f t="shared" si="37"/>
        <v>185</v>
      </c>
      <c r="AN146" s="112">
        <f t="shared" si="38"/>
        <v>0.10199999999999999</v>
      </c>
      <c r="AO146" s="100" t="str">
        <f t="shared" si="39"/>
        <v>OK</v>
      </c>
      <c r="AP146" s="106">
        <f t="shared" si="40"/>
        <v>201</v>
      </c>
      <c r="AQ146" s="112">
        <f t="shared" si="41"/>
        <v>0.111</v>
      </c>
      <c r="AR146" s="100" t="str">
        <f t="shared" si="42"/>
        <v>OK</v>
      </c>
      <c r="AS146" s="106">
        <f t="shared" si="43"/>
        <v>212</v>
      </c>
      <c r="AT146" s="112">
        <f t="shared" si="44"/>
        <v>0.11700000000000001</v>
      </c>
      <c r="AU146" s="113" t="str">
        <f t="shared" si="45"/>
        <v>OK</v>
      </c>
      <c r="AV146" s="106">
        <f t="shared" si="29"/>
        <v>0</v>
      </c>
      <c r="AW146" s="112" t="e">
        <f t="shared" si="30"/>
        <v>#REF!</v>
      </c>
      <c r="AX146" s="114" t="e">
        <f t="shared" si="31"/>
        <v>#REF!</v>
      </c>
      <c r="AY146" s="99"/>
      <c r="AZ146" s="100"/>
      <c r="BA146" s="104">
        <f t="shared" si="32"/>
        <v>0</v>
      </c>
      <c r="BB146" s="115">
        <f t="shared" si="33"/>
        <v>1</v>
      </c>
      <c r="BC146" s="116" t="e">
        <f>SUMIF(#REF!,#REF!, BB20:BB333)</f>
        <v>#REF!</v>
      </c>
      <c r="BD146" s="116">
        <f t="shared" si="34"/>
        <v>1</v>
      </c>
      <c r="BE146" s="116" t="e">
        <f>SUMIF(#REF!,#REF!, BD20:BD333)</f>
        <v>#REF!</v>
      </c>
      <c r="BF146" s="116">
        <f t="shared" si="35"/>
        <v>0</v>
      </c>
      <c r="BG146" s="116" t="e">
        <f>SUMIF(#REF!,#REF!, BF20:BF333)</f>
        <v>#REF!</v>
      </c>
      <c r="BH146" s="116" t="e">
        <f t="shared" si="36"/>
        <v>#REF!</v>
      </c>
      <c r="BI146" s="117">
        <f>SUMIF(B20:B333, B146, BH20:BH333)</f>
        <v>0</v>
      </c>
      <c r="BJ146" s="118"/>
      <c r="BK146" s="92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4"/>
    </row>
    <row r="147" spans="1:82" x14ac:dyDescent="0.3">
      <c r="A147" s="68" t="s">
        <v>341</v>
      </c>
      <c r="B147" s="69"/>
      <c r="C147" s="70" t="s">
        <v>232</v>
      </c>
      <c r="D147" s="70" t="s">
        <v>340</v>
      </c>
      <c r="E147" s="71" t="s">
        <v>261</v>
      </c>
      <c r="F147" s="72" t="s">
        <v>103</v>
      </c>
      <c r="G147" s="73"/>
      <c r="H147" s="74" t="s">
        <v>103</v>
      </c>
      <c r="I147" s="72" t="s">
        <v>4</v>
      </c>
      <c r="J147" s="73" t="s">
        <v>6</v>
      </c>
      <c r="K147" s="75"/>
      <c r="L147" s="76"/>
      <c r="M147" s="77"/>
      <c r="N147" s="78">
        <v>2056</v>
      </c>
      <c r="O147" s="79">
        <v>2236</v>
      </c>
      <c r="P147" s="79">
        <v>2356</v>
      </c>
      <c r="Q147" s="80"/>
      <c r="R147" s="155">
        <v>0.09</v>
      </c>
      <c r="S147" s="78">
        <v>185</v>
      </c>
      <c r="T147" s="79">
        <v>201</v>
      </c>
      <c r="U147" s="79">
        <v>212</v>
      </c>
      <c r="V147" s="80">
        <f t="shared" si="26"/>
        <v>0</v>
      </c>
      <c r="W147" s="82"/>
      <c r="X147" s="83"/>
      <c r="Y147" s="84" t="s">
        <v>104</v>
      </c>
      <c r="Z147" s="73" t="str">
        <f>'[1]Tier 1'!V147</f>
        <v>D</v>
      </c>
      <c r="AA147" s="73"/>
      <c r="AB147" s="73"/>
      <c r="AC147" s="73"/>
      <c r="AD147" s="74"/>
      <c r="AE147" s="78">
        <f>'[1]Tier 1'!W147</f>
        <v>1899</v>
      </c>
      <c r="AF147" s="79"/>
      <c r="AG147" s="79">
        <f>'[1]Tier 1'!X147</f>
        <v>1899</v>
      </c>
      <c r="AH147" s="79"/>
      <c r="AI147" s="79">
        <f>'[1]Tier 1'!Y147</f>
        <v>1899</v>
      </c>
      <c r="AJ147" s="79">
        <f t="shared" si="27"/>
        <v>1709.1000000000001</v>
      </c>
      <c r="AK147" s="79" t="e">
        <f>VLOOKUP(A147,#REF!,-1,FALSE)</f>
        <v>#REF!</v>
      </c>
      <c r="AL147" s="80" t="e">
        <f t="shared" si="28"/>
        <v>#REF!</v>
      </c>
      <c r="AM147" s="78">
        <f t="shared" si="37"/>
        <v>185</v>
      </c>
      <c r="AN147" s="85">
        <f t="shared" si="38"/>
        <v>9.7000000000000003E-2</v>
      </c>
      <c r="AO147" s="73" t="str">
        <f t="shared" si="39"/>
        <v>OK</v>
      </c>
      <c r="AP147" s="79">
        <f t="shared" si="40"/>
        <v>201</v>
      </c>
      <c r="AQ147" s="85">
        <f t="shared" si="41"/>
        <v>0.106</v>
      </c>
      <c r="AR147" s="73" t="str">
        <f t="shared" si="42"/>
        <v>OK</v>
      </c>
      <c r="AS147" s="79">
        <f t="shared" si="43"/>
        <v>212</v>
      </c>
      <c r="AT147" s="85">
        <f t="shared" si="44"/>
        <v>0.112</v>
      </c>
      <c r="AU147" s="86" t="str">
        <f t="shared" si="45"/>
        <v>OK</v>
      </c>
      <c r="AV147" s="79">
        <f t="shared" si="29"/>
        <v>0</v>
      </c>
      <c r="AW147" s="85" t="e">
        <f t="shared" si="30"/>
        <v>#REF!</v>
      </c>
      <c r="AX147" s="87" t="e">
        <f t="shared" si="31"/>
        <v>#REF!</v>
      </c>
      <c r="AY147" s="72"/>
      <c r="AZ147" s="73"/>
      <c r="BA147" s="77">
        <f t="shared" si="32"/>
        <v>0</v>
      </c>
      <c r="BB147" s="88">
        <f t="shared" si="33"/>
        <v>1</v>
      </c>
      <c r="BC147" s="89" t="e">
        <f>SUMIF(#REF!,#REF!, BB20:BB333)</f>
        <v>#REF!</v>
      </c>
      <c r="BD147" s="89">
        <f t="shared" si="34"/>
        <v>1</v>
      </c>
      <c r="BE147" s="89" t="e">
        <f>SUMIF(#REF!,#REF!, BD20:BD333)</f>
        <v>#REF!</v>
      </c>
      <c r="BF147" s="89">
        <f t="shared" si="35"/>
        <v>0</v>
      </c>
      <c r="BG147" s="89" t="e">
        <f>SUMIF(#REF!,#REF!, BF20:BF333)</f>
        <v>#REF!</v>
      </c>
      <c r="BH147" s="89" t="e">
        <f t="shared" si="36"/>
        <v>#REF!</v>
      </c>
      <c r="BI147" s="90">
        <f>SUMIF(B20:B333, B147, BH20:BH333)</f>
        <v>0</v>
      </c>
      <c r="BJ147" s="91"/>
      <c r="BK147" s="92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4"/>
    </row>
    <row r="148" spans="1:82" x14ac:dyDescent="0.3">
      <c r="A148" s="95" t="s">
        <v>342</v>
      </c>
      <c r="B148" s="96"/>
      <c r="C148" s="97" t="s">
        <v>168</v>
      </c>
      <c r="D148" s="97" t="s">
        <v>261</v>
      </c>
      <c r="E148" s="98" t="s">
        <v>140</v>
      </c>
      <c r="F148" s="99" t="s">
        <v>103</v>
      </c>
      <c r="G148" s="100"/>
      <c r="H148" s="101" t="s">
        <v>109</v>
      </c>
      <c r="I148" s="99" t="s">
        <v>4</v>
      </c>
      <c r="J148" s="100" t="s">
        <v>6</v>
      </c>
      <c r="K148" s="102"/>
      <c r="L148" s="103"/>
      <c r="M148" s="104"/>
      <c r="N148" s="105">
        <v>978</v>
      </c>
      <c r="O148" s="106">
        <v>1068</v>
      </c>
      <c r="P148" s="106">
        <v>1128</v>
      </c>
      <c r="Q148" s="107"/>
      <c r="R148" s="156">
        <v>0.09</v>
      </c>
      <c r="S148" s="105">
        <v>88</v>
      </c>
      <c r="T148" s="106">
        <v>96</v>
      </c>
      <c r="U148" s="106">
        <v>102</v>
      </c>
      <c r="V148" s="107">
        <f t="shared" ref="V148:V211" si="46">ROUND(R148*Q148,0)</f>
        <v>0</v>
      </c>
      <c r="W148" s="109"/>
      <c r="X148" s="110"/>
      <c r="Y148" s="111" t="s">
        <v>104</v>
      </c>
      <c r="Z148" s="100" t="str">
        <f>'[1]Tier 1'!V148</f>
        <v>D</v>
      </c>
      <c r="AA148" s="100"/>
      <c r="AB148" s="100"/>
      <c r="AC148" s="100"/>
      <c r="AD148" s="101"/>
      <c r="AE148" s="105">
        <f>'[1]Tier 1'!W148</f>
        <v>1818</v>
      </c>
      <c r="AF148" s="106"/>
      <c r="AG148" s="106">
        <f>'[1]Tier 1'!X148</f>
        <v>1818</v>
      </c>
      <c r="AH148" s="106"/>
      <c r="AI148" s="106">
        <f>'[1]Tier 1'!Y148</f>
        <v>1818</v>
      </c>
      <c r="AJ148" s="106">
        <f t="shared" ref="AJ148:AJ211" si="47">AI148 * 0.9</f>
        <v>1636.2</v>
      </c>
      <c r="AK148" s="106" t="e">
        <f>VLOOKUP(A148,#REF!,-1,FALSE)</f>
        <v>#REF!</v>
      </c>
      <c r="AL148" s="107" t="e">
        <f t="shared" ref="AL148:AL211" si="48">AK148 * 0.9</f>
        <v>#REF!</v>
      </c>
      <c r="AM148" s="105">
        <f t="shared" si="37"/>
        <v>88</v>
      </c>
      <c r="AN148" s="112">
        <f t="shared" si="38"/>
        <v>4.8000000000000001E-2</v>
      </c>
      <c r="AO148" s="100" t="str">
        <f t="shared" si="39"/>
        <v>OK</v>
      </c>
      <c r="AP148" s="106">
        <f t="shared" si="40"/>
        <v>96</v>
      </c>
      <c r="AQ148" s="112">
        <f t="shared" si="41"/>
        <v>5.2999999999999999E-2</v>
      </c>
      <c r="AR148" s="100" t="str">
        <f t="shared" si="42"/>
        <v>OK</v>
      </c>
      <c r="AS148" s="106">
        <f t="shared" si="43"/>
        <v>102</v>
      </c>
      <c r="AT148" s="112">
        <f t="shared" si="44"/>
        <v>5.6000000000000001E-2</v>
      </c>
      <c r="AU148" s="113" t="str">
        <f t="shared" si="45"/>
        <v>OK</v>
      </c>
      <c r="AV148" s="106">
        <f t="shared" ref="AV148:AV211" si="49">V148+W148</f>
        <v>0</v>
      </c>
      <c r="AW148" s="112" t="e">
        <f t="shared" ref="AW148:AW211" si="50">IF(AK148&gt;0, ROUND(AV148/AK148,3),0)</f>
        <v>#REF!</v>
      </c>
      <c r="AX148" s="114" t="e">
        <f t="shared" ref="AX148:AX211" si="51">IF(AND(V148=0, AV148&gt;0), "DATA1", IF(OR(AV148&gt;AL148,BI148&gt;0), IF(Y148="CONC. (ART-PLAN)", "STUDY 1", "STUDY 2"), "OK"))</f>
        <v>#REF!</v>
      </c>
      <c r="AY148" s="99"/>
      <c r="AZ148" s="100"/>
      <c r="BA148" s="104">
        <f t="shared" ref="BA148:BA211" si="52">IF(AG148&gt;0, X148/AG148, 0)</f>
        <v>0</v>
      </c>
      <c r="BB148" s="115">
        <f t="shared" ref="BB148:BB211" si="53">IF(AM148&gt;AF148,1,0)</f>
        <v>1</v>
      </c>
      <c r="BC148" s="116" t="e">
        <f>SUMIF(#REF!,#REF!, BB20:BB333)</f>
        <v>#REF!</v>
      </c>
      <c r="BD148" s="116">
        <f t="shared" ref="BD148:BD211" si="54">IF(AP148&gt;AH148,1,0)</f>
        <v>1</v>
      </c>
      <c r="BE148" s="116" t="e">
        <f>SUMIF(#REF!,#REF!, BD20:BD333)</f>
        <v>#REF!</v>
      </c>
      <c r="BF148" s="116">
        <f t="shared" ref="BF148:BF211" si="55">IF(AS148&gt;AJ148,1,0)</f>
        <v>0</v>
      </c>
      <c r="BG148" s="116" t="e">
        <f>SUMIF(#REF!,#REF!, BF20:BF333)</f>
        <v>#REF!</v>
      </c>
      <c r="BH148" s="116" t="e">
        <f t="shared" ref="BH148:BH211" si="56">IF(AV148&gt;AL148,1,0)</f>
        <v>#REF!</v>
      </c>
      <c r="BI148" s="117">
        <f>SUMIF(B20:B333, B148, BH20:BH333)</f>
        <v>0</v>
      </c>
      <c r="BJ148" s="118"/>
      <c r="BK148" s="92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4"/>
    </row>
    <row r="149" spans="1:82" x14ac:dyDescent="0.3">
      <c r="A149" s="68" t="s">
        <v>343</v>
      </c>
      <c r="B149" s="69"/>
      <c r="C149" s="70" t="s">
        <v>168</v>
      </c>
      <c r="D149" s="70" t="s">
        <v>140</v>
      </c>
      <c r="E149" s="71" t="s">
        <v>344</v>
      </c>
      <c r="F149" s="72" t="s">
        <v>103</v>
      </c>
      <c r="G149" s="73"/>
      <c r="H149" s="74" t="s">
        <v>103</v>
      </c>
      <c r="I149" s="72" t="s">
        <v>4</v>
      </c>
      <c r="J149" s="73" t="s">
        <v>6</v>
      </c>
      <c r="K149" s="75"/>
      <c r="L149" s="76"/>
      <c r="M149" s="77"/>
      <c r="N149" s="78">
        <v>1618</v>
      </c>
      <c r="O149" s="79">
        <v>1717</v>
      </c>
      <c r="P149" s="79">
        <v>1786</v>
      </c>
      <c r="Q149" s="80"/>
      <c r="R149" s="155">
        <v>0.09</v>
      </c>
      <c r="S149" s="78">
        <v>146</v>
      </c>
      <c r="T149" s="79">
        <v>154</v>
      </c>
      <c r="U149" s="79">
        <v>161</v>
      </c>
      <c r="V149" s="80">
        <f t="shared" si="46"/>
        <v>0</v>
      </c>
      <c r="W149" s="82"/>
      <c r="X149" s="83"/>
      <c r="Y149" s="84" t="s">
        <v>104</v>
      </c>
      <c r="Z149" s="73" t="str">
        <f>'[1]Tier 1'!V149</f>
        <v>D</v>
      </c>
      <c r="AA149" s="73"/>
      <c r="AB149" s="73"/>
      <c r="AC149" s="73"/>
      <c r="AD149" s="74"/>
      <c r="AE149" s="78">
        <f>'[1]Tier 1'!W149</f>
        <v>1197</v>
      </c>
      <c r="AF149" s="79"/>
      <c r="AG149" s="79">
        <f>'[1]Tier 1'!X149</f>
        <v>1197</v>
      </c>
      <c r="AH149" s="79"/>
      <c r="AI149" s="79">
        <f>'[1]Tier 1'!Y149</f>
        <v>1197</v>
      </c>
      <c r="AJ149" s="79">
        <f t="shared" si="47"/>
        <v>1077.3</v>
      </c>
      <c r="AK149" s="79" t="e">
        <f>VLOOKUP(A149,#REF!,-1,FALSE)</f>
        <v>#REF!</v>
      </c>
      <c r="AL149" s="80" t="e">
        <f t="shared" si="48"/>
        <v>#REF!</v>
      </c>
      <c r="AM149" s="78">
        <f t="shared" ref="AM149:AM212" si="57">S149+W149</f>
        <v>146</v>
      </c>
      <c r="AN149" s="85">
        <f t="shared" ref="AN149:AN212" si="58">IF(AE149&gt;0, ROUND(AM149/AE149,3),0)</f>
        <v>0.122</v>
      </c>
      <c r="AO149" s="73" t="str">
        <f t="shared" ref="AO149:AO212" si="59">IF($W149&gt;0,IF(AN149&gt;0.8999,"Study 1", "OK"),"OK")</f>
        <v>OK</v>
      </c>
      <c r="AP149" s="79">
        <f t="shared" ref="AP149:AP212" si="60">T149+W149</f>
        <v>154</v>
      </c>
      <c r="AQ149" s="85">
        <f t="shared" ref="AQ149:AQ212" si="61">IF(AG149&gt;0, ROUND(AP149/AG149,3),0)</f>
        <v>0.129</v>
      </c>
      <c r="AR149" s="73" t="str">
        <f t="shared" ref="AR149:AR212" si="62">IF($W149&gt;0,IF(AQ149&gt;0.8999,"Study 1", "OK"),"OK")</f>
        <v>OK</v>
      </c>
      <c r="AS149" s="79">
        <f t="shared" ref="AS149:AS212" si="63">U149+W149</f>
        <v>161</v>
      </c>
      <c r="AT149" s="85">
        <f t="shared" ref="AT149:AT212" si="64">IF(AI149&gt;0, ROUND(AS149/AI149,3),0)</f>
        <v>0.13500000000000001</v>
      </c>
      <c r="AU149" s="86" t="str">
        <f t="shared" ref="AU149:AU212" si="65">IF($W149&gt;0,IF(AT149&gt;0.8999,"Study 1", "OK"),"OK")</f>
        <v>OK</v>
      </c>
      <c r="AV149" s="79">
        <f t="shared" si="49"/>
        <v>0</v>
      </c>
      <c r="AW149" s="85" t="e">
        <f t="shared" si="50"/>
        <v>#REF!</v>
      </c>
      <c r="AX149" s="87" t="e">
        <f t="shared" si="51"/>
        <v>#REF!</v>
      </c>
      <c r="AY149" s="72"/>
      <c r="AZ149" s="73"/>
      <c r="BA149" s="77">
        <f t="shared" si="52"/>
        <v>0</v>
      </c>
      <c r="BB149" s="88">
        <f t="shared" si="53"/>
        <v>1</v>
      </c>
      <c r="BC149" s="89" t="e">
        <f>SUMIF(#REF!,#REF!, BB20:BB333)</f>
        <v>#REF!</v>
      </c>
      <c r="BD149" s="89">
        <f t="shared" si="54"/>
        <v>1</v>
      </c>
      <c r="BE149" s="89" t="e">
        <f>SUMIF(#REF!,#REF!, BD20:BD333)</f>
        <v>#REF!</v>
      </c>
      <c r="BF149" s="89">
        <f t="shared" si="55"/>
        <v>0</v>
      </c>
      <c r="BG149" s="89" t="e">
        <f>SUMIF(#REF!,#REF!, BF20:BF333)</f>
        <v>#REF!</v>
      </c>
      <c r="BH149" s="89" t="e">
        <f t="shared" si="56"/>
        <v>#REF!</v>
      </c>
      <c r="BI149" s="90">
        <f>SUMIF(B20:B333, B149, BH20:BH333)</f>
        <v>0</v>
      </c>
      <c r="BJ149" s="91"/>
      <c r="BK149" s="92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4"/>
    </row>
    <row r="150" spans="1:82" x14ac:dyDescent="0.3">
      <c r="A150" s="95" t="s">
        <v>345</v>
      </c>
      <c r="B150" s="96"/>
      <c r="C150" s="97" t="s">
        <v>168</v>
      </c>
      <c r="D150" s="97" t="s">
        <v>344</v>
      </c>
      <c r="E150" s="98" t="s">
        <v>166</v>
      </c>
      <c r="F150" s="99" t="s">
        <v>103</v>
      </c>
      <c r="G150" s="100"/>
      <c r="H150" s="101" t="s">
        <v>103</v>
      </c>
      <c r="I150" s="99" t="s">
        <v>4</v>
      </c>
      <c r="J150" s="100" t="s">
        <v>6</v>
      </c>
      <c r="K150" s="102"/>
      <c r="L150" s="103"/>
      <c r="M150" s="104"/>
      <c r="N150" s="105">
        <v>1618</v>
      </c>
      <c r="O150" s="106">
        <v>1717</v>
      </c>
      <c r="P150" s="106">
        <v>1786</v>
      </c>
      <c r="Q150" s="107"/>
      <c r="R150" s="156">
        <v>0.09</v>
      </c>
      <c r="S150" s="105">
        <v>146</v>
      </c>
      <c r="T150" s="106">
        <v>154</v>
      </c>
      <c r="U150" s="106">
        <v>161</v>
      </c>
      <c r="V150" s="107">
        <f t="shared" si="46"/>
        <v>0</v>
      </c>
      <c r="W150" s="109"/>
      <c r="X150" s="110"/>
      <c r="Y150" s="111" t="s">
        <v>104</v>
      </c>
      <c r="Z150" s="100" t="str">
        <f>'[1]Tier 1'!V150</f>
        <v>D</v>
      </c>
      <c r="AA150" s="100"/>
      <c r="AB150" s="100"/>
      <c r="AC150" s="100"/>
      <c r="AD150" s="101"/>
      <c r="AE150" s="105">
        <f>'[1]Tier 1'!W150</f>
        <v>1197</v>
      </c>
      <c r="AF150" s="106"/>
      <c r="AG150" s="106">
        <f>'[1]Tier 1'!X150</f>
        <v>1197</v>
      </c>
      <c r="AH150" s="106"/>
      <c r="AI150" s="106">
        <f>'[1]Tier 1'!Y150</f>
        <v>4761</v>
      </c>
      <c r="AJ150" s="106">
        <f t="shared" si="47"/>
        <v>4284.9000000000005</v>
      </c>
      <c r="AK150" s="106" t="e">
        <f>VLOOKUP(A150,#REF!,-1,FALSE)</f>
        <v>#REF!</v>
      </c>
      <c r="AL150" s="107" t="e">
        <f t="shared" si="48"/>
        <v>#REF!</v>
      </c>
      <c r="AM150" s="105">
        <f t="shared" si="57"/>
        <v>146</v>
      </c>
      <c r="AN150" s="112">
        <f t="shared" si="58"/>
        <v>0.122</v>
      </c>
      <c r="AO150" s="100" t="str">
        <f t="shared" si="59"/>
        <v>OK</v>
      </c>
      <c r="AP150" s="106">
        <f t="shared" si="60"/>
        <v>154</v>
      </c>
      <c r="AQ150" s="112">
        <f t="shared" si="61"/>
        <v>0.129</v>
      </c>
      <c r="AR150" s="100" t="str">
        <f t="shared" si="62"/>
        <v>OK</v>
      </c>
      <c r="AS150" s="106">
        <f t="shared" si="63"/>
        <v>161</v>
      </c>
      <c r="AT150" s="112">
        <f t="shared" si="64"/>
        <v>3.4000000000000002E-2</v>
      </c>
      <c r="AU150" s="113" t="str">
        <f t="shared" si="65"/>
        <v>OK</v>
      </c>
      <c r="AV150" s="106">
        <f t="shared" si="49"/>
        <v>0</v>
      </c>
      <c r="AW150" s="112" t="e">
        <f t="shared" si="50"/>
        <v>#REF!</v>
      </c>
      <c r="AX150" s="114" t="e">
        <f t="shared" si="51"/>
        <v>#REF!</v>
      </c>
      <c r="AY150" s="99"/>
      <c r="AZ150" s="100"/>
      <c r="BA150" s="104">
        <f t="shared" si="52"/>
        <v>0</v>
      </c>
      <c r="BB150" s="115">
        <f t="shared" si="53"/>
        <v>1</v>
      </c>
      <c r="BC150" s="116" t="e">
        <f>SUMIF(#REF!,#REF!, BB20:BB333)</f>
        <v>#REF!</v>
      </c>
      <c r="BD150" s="116">
        <f t="shared" si="54"/>
        <v>1</v>
      </c>
      <c r="BE150" s="116" t="e">
        <f>SUMIF(#REF!,#REF!, BD20:BD333)</f>
        <v>#REF!</v>
      </c>
      <c r="BF150" s="116">
        <f t="shared" si="55"/>
        <v>0</v>
      </c>
      <c r="BG150" s="116" t="e">
        <f>SUMIF(#REF!,#REF!, BF20:BF333)</f>
        <v>#REF!</v>
      </c>
      <c r="BH150" s="116" t="e">
        <f t="shared" si="56"/>
        <v>#REF!</v>
      </c>
      <c r="BI150" s="117">
        <f>SUMIF(B20:B333, B150, BH20:BH333)</f>
        <v>0</v>
      </c>
      <c r="BJ150" s="118"/>
      <c r="BK150" s="92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4"/>
    </row>
    <row r="151" spans="1:82" x14ac:dyDescent="0.3">
      <c r="A151" s="68" t="s">
        <v>346</v>
      </c>
      <c r="B151" s="69"/>
      <c r="C151" s="70" t="s">
        <v>168</v>
      </c>
      <c r="D151" s="70" t="s">
        <v>166</v>
      </c>
      <c r="E151" s="71" t="s">
        <v>111</v>
      </c>
      <c r="F151" s="72" t="s">
        <v>103</v>
      </c>
      <c r="G151" s="73"/>
      <c r="H151" s="74" t="s">
        <v>103</v>
      </c>
      <c r="I151" s="72" t="s">
        <v>4</v>
      </c>
      <c r="J151" s="73" t="s">
        <v>6</v>
      </c>
      <c r="K151" s="75"/>
      <c r="L151" s="76"/>
      <c r="M151" s="77"/>
      <c r="N151" s="78">
        <v>978</v>
      </c>
      <c r="O151" s="79">
        <v>1068</v>
      </c>
      <c r="P151" s="79">
        <v>1128</v>
      </c>
      <c r="Q151" s="80"/>
      <c r="R151" s="155">
        <v>0.09</v>
      </c>
      <c r="S151" s="78">
        <v>88</v>
      </c>
      <c r="T151" s="79">
        <v>96</v>
      </c>
      <c r="U151" s="79">
        <v>102</v>
      </c>
      <c r="V151" s="80">
        <f t="shared" si="46"/>
        <v>0</v>
      </c>
      <c r="W151" s="82"/>
      <c r="X151" s="83"/>
      <c r="Y151" s="84" t="s">
        <v>104</v>
      </c>
      <c r="Z151" s="73" t="str">
        <f>'[1]Tier 1'!V151</f>
        <v>D</v>
      </c>
      <c r="AA151" s="73"/>
      <c r="AB151" s="73"/>
      <c r="AC151" s="73"/>
      <c r="AD151" s="74"/>
      <c r="AE151" s="78">
        <f>'[1]Tier 1'!W151</f>
        <v>1197</v>
      </c>
      <c r="AF151" s="79"/>
      <c r="AG151" s="79">
        <f>'[1]Tier 1'!X151</f>
        <v>1197</v>
      </c>
      <c r="AH151" s="79"/>
      <c r="AI151" s="79">
        <f>'[1]Tier 1'!Y151</f>
        <v>1197</v>
      </c>
      <c r="AJ151" s="79">
        <f t="shared" si="47"/>
        <v>1077.3</v>
      </c>
      <c r="AK151" s="79" t="e">
        <f>VLOOKUP(A151,#REF!,-1,FALSE)</f>
        <v>#REF!</v>
      </c>
      <c r="AL151" s="80" t="e">
        <f t="shared" si="48"/>
        <v>#REF!</v>
      </c>
      <c r="AM151" s="78">
        <f t="shared" si="57"/>
        <v>88</v>
      </c>
      <c r="AN151" s="85">
        <f t="shared" si="58"/>
        <v>7.3999999999999996E-2</v>
      </c>
      <c r="AO151" s="73" t="str">
        <f t="shared" si="59"/>
        <v>OK</v>
      </c>
      <c r="AP151" s="79">
        <f t="shared" si="60"/>
        <v>96</v>
      </c>
      <c r="AQ151" s="85">
        <f t="shared" si="61"/>
        <v>0.08</v>
      </c>
      <c r="AR151" s="73" t="str">
        <f t="shared" si="62"/>
        <v>OK</v>
      </c>
      <c r="AS151" s="79">
        <f t="shared" si="63"/>
        <v>102</v>
      </c>
      <c r="AT151" s="85">
        <f t="shared" si="64"/>
        <v>8.5000000000000006E-2</v>
      </c>
      <c r="AU151" s="86" t="str">
        <f t="shared" si="65"/>
        <v>OK</v>
      </c>
      <c r="AV151" s="79">
        <f t="shared" si="49"/>
        <v>0</v>
      </c>
      <c r="AW151" s="85" t="e">
        <f t="shared" si="50"/>
        <v>#REF!</v>
      </c>
      <c r="AX151" s="87" t="e">
        <f t="shared" si="51"/>
        <v>#REF!</v>
      </c>
      <c r="AY151" s="72"/>
      <c r="AZ151" s="73"/>
      <c r="BA151" s="77">
        <f t="shared" si="52"/>
        <v>0</v>
      </c>
      <c r="BB151" s="88">
        <f t="shared" si="53"/>
        <v>1</v>
      </c>
      <c r="BC151" s="89" t="e">
        <f>SUMIF(#REF!,#REF!, BB20:BB333)</f>
        <v>#REF!</v>
      </c>
      <c r="BD151" s="89">
        <f t="shared" si="54"/>
        <v>1</v>
      </c>
      <c r="BE151" s="89" t="e">
        <f>SUMIF(#REF!,#REF!, BD20:BD333)</f>
        <v>#REF!</v>
      </c>
      <c r="BF151" s="89">
        <f t="shared" si="55"/>
        <v>0</v>
      </c>
      <c r="BG151" s="89" t="e">
        <f>SUMIF(#REF!,#REF!, BF20:BF333)</f>
        <v>#REF!</v>
      </c>
      <c r="BH151" s="89" t="e">
        <f t="shared" si="56"/>
        <v>#REF!</v>
      </c>
      <c r="BI151" s="90">
        <f>SUMIF(B20:B333, B151, BH20:BH333)</f>
        <v>0</v>
      </c>
      <c r="BJ151" s="91"/>
      <c r="BK151" s="92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4"/>
    </row>
    <row r="152" spans="1:82" x14ac:dyDescent="0.3">
      <c r="A152" s="95" t="s">
        <v>347</v>
      </c>
      <c r="B152" s="96"/>
      <c r="C152" s="97" t="s">
        <v>168</v>
      </c>
      <c r="D152" s="97" t="s">
        <v>111</v>
      </c>
      <c r="E152" s="98" t="s">
        <v>348</v>
      </c>
      <c r="F152" s="99" t="s">
        <v>103</v>
      </c>
      <c r="G152" s="100"/>
      <c r="H152" s="101" t="s">
        <v>103</v>
      </c>
      <c r="I152" s="99" t="s">
        <v>4</v>
      </c>
      <c r="J152" s="100" t="s">
        <v>6</v>
      </c>
      <c r="K152" s="102"/>
      <c r="L152" s="103"/>
      <c r="M152" s="104"/>
      <c r="N152" s="105">
        <v>978</v>
      </c>
      <c r="O152" s="106">
        <v>1068</v>
      </c>
      <c r="P152" s="106">
        <v>1128</v>
      </c>
      <c r="Q152" s="107"/>
      <c r="R152" s="156">
        <v>0.09</v>
      </c>
      <c r="S152" s="105">
        <v>88</v>
      </c>
      <c r="T152" s="106">
        <v>96</v>
      </c>
      <c r="U152" s="106">
        <v>102</v>
      </c>
      <c r="V152" s="107">
        <f t="shared" si="46"/>
        <v>0</v>
      </c>
      <c r="W152" s="109"/>
      <c r="X152" s="110"/>
      <c r="Y152" s="111" t="s">
        <v>104</v>
      </c>
      <c r="Z152" s="100" t="str">
        <f>'[1]Tier 1'!V152</f>
        <v>D</v>
      </c>
      <c r="AA152" s="100"/>
      <c r="AB152" s="100"/>
      <c r="AC152" s="100"/>
      <c r="AD152" s="101"/>
      <c r="AE152" s="105">
        <f>'[1]Tier 1'!W152</f>
        <v>1197</v>
      </c>
      <c r="AF152" s="106"/>
      <c r="AG152" s="106">
        <f>'[1]Tier 1'!X152</f>
        <v>1197</v>
      </c>
      <c r="AH152" s="106"/>
      <c r="AI152" s="106">
        <f>'[1]Tier 1'!Y152</f>
        <v>1197</v>
      </c>
      <c r="AJ152" s="106">
        <f t="shared" si="47"/>
        <v>1077.3</v>
      </c>
      <c r="AK152" s="106" t="e">
        <f>VLOOKUP(A152,#REF!,-1,FALSE)</f>
        <v>#REF!</v>
      </c>
      <c r="AL152" s="107" t="e">
        <f t="shared" si="48"/>
        <v>#REF!</v>
      </c>
      <c r="AM152" s="105">
        <f t="shared" si="57"/>
        <v>88</v>
      </c>
      <c r="AN152" s="112">
        <f t="shared" si="58"/>
        <v>7.3999999999999996E-2</v>
      </c>
      <c r="AO152" s="100" t="str">
        <f t="shared" si="59"/>
        <v>OK</v>
      </c>
      <c r="AP152" s="106">
        <f t="shared" si="60"/>
        <v>96</v>
      </c>
      <c r="AQ152" s="112">
        <f t="shared" si="61"/>
        <v>0.08</v>
      </c>
      <c r="AR152" s="100" t="str">
        <f t="shared" si="62"/>
        <v>OK</v>
      </c>
      <c r="AS152" s="106">
        <f t="shared" si="63"/>
        <v>102</v>
      </c>
      <c r="AT152" s="112">
        <f t="shared" si="64"/>
        <v>8.5000000000000006E-2</v>
      </c>
      <c r="AU152" s="113" t="str">
        <f t="shared" si="65"/>
        <v>OK</v>
      </c>
      <c r="AV152" s="106">
        <f t="shared" si="49"/>
        <v>0</v>
      </c>
      <c r="AW152" s="112" t="e">
        <f t="shared" si="50"/>
        <v>#REF!</v>
      </c>
      <c r="AX152" s="114" t="e">
        <f t="shared" si="51"/>
        <v>#REF!</v>
      </c>
      <c r="AY152" s="99"/>
      <c r="AZ152" s="100"/>
      <c r="BA152" s="104">
        <f t="shared" si="52"/>
        <v>0</v>
      </c>
      <c r="BB152" s="115">
        <f t="shared" si="53"/>
        <v>1</v>
      </c>
      <c r="BC152" s="116" t="e">
        <f>SUMIF(#REF!,#REF!, BB20:BB333)</f>
        <v>#REF!</v>
      </c>
      <c r="BD152" s="116">
        <f t="shared" si="54"/>
        <v>1</v>
      </c>
      <c r="BE152" s="116" t="e">
        <f>SUMIF(#REF!,#REF!, BD20:BD333)</f>
        <v>#REF!</v>
      </c>
      <c r="BF152" s="116">
        <f t="shared" si="55"/>
        <v>0</v>
      </c>
      <c r="BG152" s="116" t="e">
        <f>SUMIF(#REF!,#REF!, BF20:BF333)</f>
        <v>#REF!</v>
      </c>
      <c r="BH152" s="116" t="e">
        <f t="shared" si="56"/>
        <v>#REF!</v>
      </c>
      <c r="BI152" s="117">
        <f>SUMIF(B20:B333, B152, BH20:BH333)</f>
        <v>0</v>
      </c>
      <c r="BJ152" s="118"/>
      <c r="BK152" s="92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4"/>
    </row>
    <row r="153" spans="1:82" x14ac:dyDescent="0.3">
      <c r="A153" s="68" t="s">
        <v>349</v>
      </c>
      <c r="B153" s="69"/>
      <c r="C153" s="70" t="s">
        <v>168</v>
      </c>
      <c r="D153" s="70" t="s">
        <v>348</v>
      </c>
      <c r="E153" s="71" t="s">
        <v>335</v>
      </c>
      <c r="F153" s="72" t="s">
        <v>103</v>
      </c>
      <c r="G153" s="73"/>
      <c r="H153" s="74" t="s">
        <v>103</v>
      </c>
      <c r="I153" s="72" t="s">
        <v>4</v>
      </c>
      <c r="J153" s="73" t="s">
        <v>6</v>
      </c>
      <c r="K153" s="75"/>
      <c r="L153" s="76"/>
      <c r="M153" s="77"/>
      <c r="N153" s="78">
        <v>3136</v>
      </c>
      <c r="O153" s="79">
        <v>3431</v>
      </c>
      <c r="P153" s="79">
        <v>3628</v>
      </c>
      <c r="Q153" s="80"/>
      <c r="R153" s="155">
        <v>0.09</v>
      </c>
      <c r="S153" s="78">
        <v>282</v>
      </c>
      <c r="T153" s="79">
        <v>309</v>
      </c>
      <c r="U153" s="79">
        <v>327</v>
      </c>
      <c r="V153" s="80">
        <f t="shared" si="46"/>
        <v>0</v>
      </c>
      <c r="W153" s="82"/>
      <c r="X153" s="83"/>
      <c r="Y153" s="84" t="s">
        <v>104</v>
      </c>
      <c r="Z153" s="73" t="str">
        <f>'[1]Tier 1'!V153</f>
        <v>D</v>
      </c>
      <c r="AA153" s="73"/>
      <c r="AB153" s="73"/>
      <c r="AC153" s="73"/>
      <c r="AD153" s="74"/>
      <c r="AE153" s="78">
        <f>'[1]Tier 1'!W153</f>
        <v>1818</v>
      </c>
      <c r="AF153" s="79"/>
      <c r="AG153" s="79">
        <f>'[1]Tier 1'!X153</f>
        <v>1818</v>
      </c>
      <c r="AH153" s="79"/>
      <c r="AI153" s="79">
        <f>'[1]Tier 1'!Y153</f>
        <v>1818</v>
      </c>
      <c r="AJ153" s="79">
        <f t="shared" si="47"/>
        <v>1636.2</v>
      </c>
      <c r="AK153" s="79" t="e">
        <f>VLOOKUP(A153,#REF!,-1,FALSE)</f>
        <v>#REF!</v>
      </c>
      <c r="AL153" s="80" t="e">
        <f t="shared" si="48"/>
        <v>#REF!</v>
      </c>
      <c r="AM153" s="78">
        <f t="shared" si="57"/>
        <v>282</v>
      </c>
      <c r="AN153" s="85">
        <f t="shared" si="58"/>
        <v>0.155</v>
      </c>
      <c r="AO153" s="73" t="str">
        <f t="shared" si="59"/>
        <v>OK</v>
      </c>
      <c r="AP153" s="79">
        <f t="shared" si="60"/>
        <v>309</v>
      </c>
      <c r="AQ153" s="85">
        <f t="shared" si="61"/>
        <v>0.17</v>
      </c>
      <c r="AR153" s="73" t="str">
        <f t="shared" si="62"/>
        <v>OK</v>
      </c>
      <c r="AS153" s="79">
        <f t="shared" si="63"/>
        <v>327</v>
      </c>
      <c r="AT153" s="85">
        <f t="shared" si="64"/>
        <v>0.18</v>
      </c>
      <c r="AU153" s="86" t="str">
        <f t="shared" si="65"/>
        <v>OK</v>
      </c>
      <c r="AV153" s="79">
        <f t="shared" si="49"/>
        <v>0</v>
      </c>
      <c r="AW153" s="85" t="e">
        <f t="shared" si="50"/>
        <v>#REF!</v>
      </c>
      <c r="AX153" s="87" t="e">
        <f t="shared" si="51"/>
        <v>#REF!</v>
      </c>
      <c r="AY153" s="72"/>
      <c r="AZ153" s="73"/>
      <c r="BA153" s="77">
        <f t="shared" si="52"/>
        <v>0</v>
      </c>
      <c r="BB153" s="88">
        <f t="shared" si="53"/>
        <v>1</v>
      </c>
      <c r="BC153" s="89" t="e">
        <f>SUMIF(#REF!,#REF!, BB20:BB333)</f>
        <v>#REF!</v>
      </c>
      <c r="BD153" s="89">
        <f t="shared" si="54"/>
        <v>1</v>
      </c>
      <c r="BE153" s="89" t="e">
        <f>SUMIF(#REF!,#REF!, BD20:BD333)</f>
        <v>#REF!</v>
      </c>
      <c r="BF153" s="89">
        <f t="shared" si="55"/>
        <v>0</v>
      </c>
      <c r="BG153" s="89" t="e">
        <f>SUMIF(#REF!,#REF!, BF20:BF333)</f>
        <v>#REF!</v>
      </c>
      <c r="BH153" s="89" t="e">
        <f t="shared" si="56"/>
        <v>#REF!</v>
      </c>
      <c r="BI153" s="90">
        <f>SUMIF(B20:B333, B153, BH20:BH333)</f>
        <v>0</v>
      </c>
      <c r="BJ153" s="91"/>
      <c r="BK153" s="92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4"/>
    </row>
    <row r="154" spans="1:82" x14ac:dyDescent="0.3">
      <c r="A154" s="95" t="s">
        <v>350</v>
      </c>
      <c r="B154" s="96"/>
      <c r="C154" s="97" t="s">
        <v>168</v>
      </c>
      <c r="D154" s="97" t="s">
        <v>335</v>
      </c>
      <c r="E154" s="98" t="s">
        <v>351</v>
      </c>
      <c r="F154" s="99" t="s">
        <v>103</v>
      </c>
      <c r="G154" s="100"/>
      <c r="H154" s="101" t="s">
        <v>103</v>
      </c>
      <c r="I154" s="99" t="s">
        <v>4</v>
      </c>
      <c r="J154" s="100" t="s">
        <v>6</v>
      </c>
      <c r="K154" s="102"/>
      <c r="L154" s="103"/>
      <c r="M154" s="104"/>
      <c r="N154" s="105">
        <v>3136</v>
      </c>
      <c r="O154" s="106">
        <v>3431</v>
      </c>
      <c r="P154" s="106">
        <v>3628</v>
      </c>
      <c r="Q154" s="107"/>
      <c r="R154" s="156">
        <v>0.09</v>
      </c>
      <c r="S154" s="105">
        <v>282</v>
      </c>
      <c r="T154" s="106">
        <v>309</v>
      </c>
      <c r="U154" s="106">
        <v>327</v>
      </c>
      <c r="V154" s="107">
        <f t="shared" si="46"/>
        <v>0</v>
      </c>
      <c r="W154" s="109"/>
      <c r="X154" s="110"/>
      <c r="Y154" s="111" t="s">
        <v>104</v>
      </c>
      <c r="Z154" s="100" t="str">
        <f>'[1]Tier 1'!V154</f>
        <v>D</v>
      </c>
      <c r="AA154" s="100"/>
      <c r="AB154" s="100"/>
      <c r="AC154" s="100"/>
      <c r="AD154" s="101"/>
      <c r="AE154" s="105">
        <f>'[1]Tier 1'!W154</f>
        <v>1197</v>
      </c>
      <c r="AF154" s="106"/>
      <c r="AG154" s="106">
        <f>'[1]Tier 1'!X154</f>
        <v>1197</v>
      </c>
      <c r="AH154" s="106"/>
      <c r="AI154" s="106">
        <f>'[1]Tier 1'!Y154</f>
        <v>1197</v>
      </c>
      <c r="AJ154" s="106">
        <f t="shared" si="47"/>
        <v>1077.3</v>
      </c>
      <c r="AK154" s="106" t="e">
        <f>VLOOKUP(A154,#REF!,-1,FALSE)</f>
        <v>#REF!</v>
      </c>
      <c r="AL154" s="107" t="e">
        <f t="shared" si="48"/>
        <v>#REF!</v>
      </c>
      <c r="AM154" s="105">
        <f t="shared" si="57"/>
        <v>282</v>
      </c>
      <c r="AN154" s="112">
        <f t="shared" si="58"/>
        <v>0.23599999999999999</v>
      </c>
      <c r="AO154" s="100" t="str">
        <f t="shared" si="59"/>
        <v>OK</v>
      </c>
      <c r="AP154" s="106">
        <f t="shared" si="60"/>
        <v>309</v>
      </c>
      <c r="AQ154" s="112">
        <f t="shared" si="61"/>
        <v>0.25800000000000001</v>
      </c>
      <c r="AR154" s="100" t="str">
        <f t="shared" si="62"/>
        <v>OK</v>
      </c>
      <c r="AS154" s="106">
        <f t="shared" si="63"/>
        <v>327</v>
      </c>
      <c r="AT154" s="112">
        <f t="shared" si="64"/>
        <v>0.27300000000000002</v>
      </c>
      <c r="AU154" s="113" t="str">
        <f t="shared" si="65"/>
        <v>OK</v>
      </c>
      <c r="AV154" s="106">
        <f t="shared" si="49"/>
        <v>0</v>
      </c>
      <c r="AW154" s="112" t="e">
        <f t="shared" si="50"/>
        <v>#REF!</v>
      </c>
      <c r="AX154" s="114" t="e">
        <f t="shared" si="51"/>
        <v>#REF!</v>
      </c>
      <c r="AY154" s="99"/>
      <c r="AZ154" s="100"/>
      <c r="BA154" s="104">
        <f t="shared" si="52"/>
        <v>0</v>
      </c>
      <c r="BB154" s="115">
        <f t="shared" si="53"/>
        <v>1</v>
      </c>
      <c r="BC154" s="116" t="e">
        <f>SUMIF(#REF!,#REF!, BB20:BB333)</f>
        <v>#REF!</v>
      </c>
      <c r="BD154" s="116">
        <f t="shared" si="54"/>
        <v>1</v>
      </c>
      <c r="BE154" s="116" t="e">
        <f>SUMIF(#REF!,#REF!, BD20:BD333)</f>
        <v>#REF!</v>
      </c>
      <c r="BF154" s="116">
        <f t="shared" si="55"/>
        <v>0</v>
      </c>
      <c r="BG154" s="116" t="e">
        <f>SUMIF(#REF!,#REF!, BF20:BF333)</f>
        <v>#REF!</v>
      </c>
      <c r="BH154" s="116" t="e">
        <f t="shared" si="56"/>
        <v>#REF!</v>
      </c>
      <c r="BI154" s="117">
        <f>SUMIF(B20:B333, B154, BH20:BH333)</f>
        <v>0</v>
      </c>
      <c r="BJ154" s="118"/>
      <c r="BK154" s="92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4"/>
    </row>
    <row r="155" spans="1:82" x14ac:dyDescent="0.3">
      <c r="A155" s="68" t="s">
        <v>352</v>
      </c>
      <c r="B155" s="69"/>
      <c r="C155" s="70" t="s">
        <v>168</v>
      </c>
      <c r="D155" s="70" t="s">
        <v>351</v>
      </c>
      <c r="E155" s="71" t="s">
        <v>353</v>
      </c>
      <c r="F155" s="72" t="s">
        <v>103</v>
      </c>
      <c r="G155" s="73"/>
      <c r="H155" s="74" t="s">
        <v>103</v>
      </c>
      <c r="I155" s="72" t="s">
        <v>4</v>
      </c>
      <c r="J155" s="73" t="s">
        <v>6</v>
      </c>
      <c r="K155" s="75"/>
      <c r="L155" s="76"/>
      <c r="M155" s="77"/>
      <c r="N155" s="78">
        <v>3136</v>
      </c>
      <c r="O155" s="79">
        <v>3431</v>
      </c>
      <c r="P155" s="79">
        <v>3628</v>
      </c>
      <c r="Q155" s="80"/>
      <c r="R155" s="155">
        <v>0.09</v>
      </c>
      <c r="S155" s="78">
        <v>282</v>
      </c>
      <c r="T155" s="79">
        <v>309</v>
      </c>
      <c r="U155" s="79">
        <v>327</v>
      </c>
      <c r="V155" s="80">
        <f t="shared" si="46"/>
        <v>0</v>
      </c>
      <c r="W155" s="82"/>
      <c r="X155" s="83"/>
      <c r="Y155" s="84" t="s">
        <v>104</v>
      </c>
      <c r="Z155" s="73" t="str">
        <f>'[1]Tier 1'!V155</f>
        <v>D</v>
      </c>
      <c r="AA155" s="73"/>
      <c r="AB155" s="73"/>
      <c r="AC155" s="73"/>
      <c r="AD155" s="74"/>
      <c r="AE155" s="78">
        <f>'[1]Tier 1'!W155</f>
        <v>1197</v>
      </c>
      <c r="AF155" s="79"/>
      <c r="AG155" s="79">
        <f>'[1]Tier 1'!X155</f>
        <v>1197</v>
      </c>
      <c r="AH155" s="79"/>
      <c r="AI155" s="79">
        <f>'[1]Tier 1'!Y155</f>
        <v>1197</v>
      </c>
      <c r="AJ155" s="79">
        <f t="shared" si="47"/>
        <v>1077.3</v>
      </c>
      <c r="AK155" s="79" t="e">
        <f>VLOOKUP(A155,#REF!,-1,FALSE)</f>
        <v>#REF!</v>
      </c>
      <c r="AL155" s="80" t="e">
        <f t="shared" si="48"/>
        <v>#REF!</v>
      </c>
      <c r="AM155" s="78">
        <f t="shared" si="57"/>
        <v>282</v>
      </c>
      <c r="AN155" s="85">
        <f t="shared" si="58"/>
        <v>0.23599999999999999</v>
      </c>
      <c r="AO155" s="73" t="str">
        <f t="shared" si="59"/>
        <v>OK</v>
      </c>
      <c r="AP155" s="79">
        <f t="shared" si="60"/>
        <v>309</v>
      </c>
      <c r="AQ155" s="85">
        <f t="shared" si="61"/>
        <v>0.25800000000000001</v>
      </c>
      <c r="AR155" s="73" t="str">
        <f t="shared" si="62"/>
        <v>OK</v>
      </c>
      <c r="AS155" s="79">
        <f t="shared" si="63"/>
        <v>327</v>
      </c>
      <c r="AT155" s="85">
        <f t="shared" si="64"/>
        <v>0.27300000000000002</v>
      </c>
      <c r="AU155" s="86" t="str">
        <f t="shared" si="65"/>
        <v>OK</v>
      </c>
      <c r="AV155" s="79">
        <f t="shared" si="49"/>
        <v>0</v>
      </c>
      <c r="AW155" s="85" t="e">
        <f t="shared" si="50"/>
        <v>#REF!</v>
      </c>
      <c r="AX155" s="87" t="e">
        <f t="shared" si="51"/>
        <v>#REF!</v>
      </c>
      <c r="AY155" s="72"/>
      <c r="AZ155" s="73"/>
      <c r="BA155" s="77">
        <f t="shared" si="52"/>
        <v>0</v>
      </c>
      <c r="BB155" s="88">
        <f t="shared" si="53"/>
        <v>1</v>
      </c>
      <c r="BC155" s="89" t="e">
        <f>SUMIF(#REF!,#REF!, BB20:BB333)</f>
        <v>#REF!</v>
      </c>
      <c r="BD155" s="89">
        <f t="shared" si="54"/>
        <v>1</v>
      </c>
      <c r="BE155" s="89" t="e">
        <f>SUMIF(#REF!,#REF!, BD20:BD333)</f>
        <v>#REF!</v>
      </c>
      <c r="BF155" s="89">
        <f t="shared" si="55"/>
        <v>0</v>
      </c>
      <c r="BG155" s="89" t="e">
        <f>SUMIF(#REF!,#REF!, BF20:BF333)</f>
        <v>#REF!</v>
      </c>
      <c r="BH155" s="89" t="e">
        <f t="shared" si="56"/>
        <v>#REF!</v>
      </c>
      <c r="BI155" s="90">
        <f>SUMIF(B20:B333, B155, BH20:BH333)</f>
        <v>0</v>
      </c>
      <c r="BJ155" s="91"/>
      <c r="BK155" s="92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4"/>
    </row>
    <row r="156" spans="1:82" x14ac:dyDescent="0.3">
      <c r="A156" s="95" t="s">
        <v>354</v>
      </c>
      <c r="B156" s="96"/>
      <c r="C156" s="97" t="s">
        <v>156</v>
      </c>
      <c r="D156" s="97" t="s">
        <v>111</v>
      </c>
      <c r="E156" s="98" t="s">
        <v>355</v>
      </c>
      <c r="F156" s="99" t="s">
        <v>103</v>
      </c>
      <c r="G156" s="100"/>
      <c r="H156" s="101" t="s">
        <v>103</v>
      </c>
      <c r="I156" s="99" t="s">
        <v>6</v>
      </c>
      <c r="J156" s="100" t="s">
        <v>6</v>
      </c>
      <c r="K156" s="102"/>
      <c r="L156" s="103"/>
      <c r="M156" s="104"/>
      <c r="N156" s="105">
        <v>3675</v>
      </c>
      <c r="O156" s="106">
        <v>4020</v>
      </c>
      <c r="P156" s="106">
        <v>4250</v>
      </c>
      <c r="Q156" s="107"/>
      <c r="R156" s="156">
        <v>0.09</v>
      </c>
      <c r="S156" s="105">
        <v>331</v>
      </c>
      <c r="T156" s="106">
        <v>362</v>
      </c>
      <c r="U156" s="106">
        <v>383</v>
      </c>
      <c r="V156" s="107">
        <f t="shared" si="46"/>
        <v>0</v>
      </c>
      <c r="W156" s="109"/>
      <c r="X156" s="110"/>
      <c r="Y156" s="111" t="s">
        <v>104</v>
      </c>
      <c r="Z156" s="100" t="str">
        <f>'[1]Tier 1'!V156</f>
        <v>D</v>
      </c>
      <c r="AA156" s="100"/>
      <c r="AB156" s="100"/>
      <c r="AC156" s="100"/>
      <c r="AD156" s="101"/>
      <c r="AE156" s="105">
        <f>'[1]Tier 1'!W156</f>
        <v>1962</v>
      </c>
      <c r="AF156" s="106"/>
      <c r="AG156" s="106">
        <f>'[1]Tier 1'!X156</f>
        <v>1962</v>
      </c>
      <c r="AH156" s="106"/>
      <c r="AI156" s="106">
        <f>'[1]Tier 1'!Y156</f>
        <v>1962</v>
      </c>
      <c r="AJ156" s="106">
        <f t="shared" si="47"/>
        <v>1765.8</v>
      </c>
      <c r="AK156" s="106" t="e">
        <f>VLOOKUP(A156,#REF!,-1,FALSE)</f>
        <v>#REF!</v>
      </c>
      <c r="AL156" s="107" t="e">
        <f t="shared" si="48"/>
        <v>#REF!</v>
      </c>
      <c r="AM156" s="105">
        <f t="shared" si="57"/>
        <v>331</v>
      </c>
      <c r="AN156" s="112">
        <f t="shared" si="58"/>
        <v>0.16900000000000001</v>
      </c>
      <c r="AO156" s="100" t="str">
        <f t="shared" si="59"/>
        <v>OK</v>
      </c>
      <c r="AP156" s="106">
        <f t="shared" si="60"/>
        <v>362</v>
      </c>
      <c r="AQ156" s="112">
        <f t="shared" si="61"/>
        <v>0.185</v>
      </c>
      <c r="AR156" s="100" t="str">
        <f t="shared" si="62"/>
        <v>OK</v>
      </c>
      <c r="AS156" s="106">
        <f t="shared" si="63"/>
        <v>383</v>
      </c>
      <c r="AT156" s="112">
        <f t="shared" si="64"/>
        <v>0.19500000000000001</v>
      </c>
      <c r="AU156" s="113" t="str">
        <f t="shared" si="65"/>
        <v>OK</v>
      </c>
      <c r="AV156" s="106">
        <f t="shared" si="49"/>
        <v>0</v>
      </c>
      <c r="AW156" s="112" t="e">
        <f t="shared" si="50"/>
        <v>#REF!</v>
      </c>
      <c r="AX156" s="114" t="e">
        <f t="shared" si="51"/>
        <v>#REF!</v>
      </c>
      <c r="AY156" s="99"/>
      <c r="AZ156" s="100"/>
      <c r="BA156" s="104">
        <f t="shared" si="52"/>
        <v>0</v>
      </c>
      <c r="BB156" s="115">
        <f t="shared" si="53"/>
        <v>1</v>
      </c>
      <c r="BC156" s="116" t="e">
        <f>SUMIF(#REF!,#REF!, BB20:BB333)</f>
        <v>#REF!</v>
      </c>
      <c r="BD156" s="116">
        <f t="shared" si="54"/>
        <v>1</v>
      </c>
      <c r="BE156" s="116" t="e">
        <f>SUMIF(#REF!,#REF!, BD20:BD333)</f>
        <v>#REF!</v>
      </c>
      <c r="BF156" s="116">
        <f t="shared" si="55"/>
        <v>0</v>
      </c>
      <c r="BG156" s="116" t="e">
        <f>SUMIF(#REF!,#REF!, BF20:BF333)</f>
        <v>#REF!</v>
      </c>
      <c r="BH156" s="116" t="e">
        <f t="shared" si="56"/>
        <v>#REF!</v>
      </c>
      <c r="BI156" s="117">
        <f>SUMIF(B20:B333, B156, BH20:BH333)</f>
        <v>0</v>
      </c>
      <c r="BJ156" s="118"/>
      <c r="BK156" s="92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4"/>
    </row>
    <row r="157" spans="1:82" x14ac:dyDescent="0.3">
      <c r="A157" s="68" t="s">
        <v>356</v>
      </c>
      <c r="B157" s="69"/>
      <c r="C157" s="70" t="s">
        <v>156</v>
      </c>
      <c r="D157" s="70" t="s">
        <v>355</v>
      </c>
      <c r="E157" s="71" t="s">
        <v>357</v>
      </c>
      <c r="F157" s="72" t="s">
        <v>103</v>
      </c>
      <c r="G157" s="73"/>
      <c r="H157" s="74" t="s">
        <v>103</v>
      </c>
      <c r="I157" s="72" t="s">
        <v>6</v>
      </c>
      <c r="J157" s="73" t="s">
        <v>6</v>
      </c>
      <c r="K157" s="75"/>
      <c r="L157" s="76"/>
      <c r="M157" s="77"/>
      <c r="N157" s="78">
        <v>196</v>
      </c>
      <c r="O157" s="79">
        <v>208</v>
      </c>
      <c r="P157" s="79">
        <v>216</v>
      </c>
      <c r="Q157" s="80"/>
      <c r="R157" s="155">
        <v>0.09</v>
      </c>
      <c r="S157" s="78">
        <v>18</v>
      </c>
      <c r="T157" s="79">
        <v>19</v>
      </c>
      <c r="U157" s="79">
        <v>19</v>
      </c>
      <c r="V157" s="80">
        <f t="shared" si="46"/>
        <v>0</v>
      </c>
      <c r="W157" s="82"/>
      <c r="X157" s="83"/>
      <c r="Y157" s="84" t="s">
        <v>104</v>
      </c>
      <c r="Z157" s="73" t="str">
        <f>'[1]Tier 1'!V157</f>
        <v>D</v>
      </c>
      <c r="AA157" s="73"/>
      <c r="AB157" s="73"/>
      <c r="AC157" s="73"/>
      <c r="AD157" s="74"/>
      <c r="AE157" s="78">
        <f>'[1]Tier 1'!W157</f>
        <v>1962</v>
      </c>
      <c r="AF157" s="79"/>
      <c r="AG157" s="79">
        <f>'[1]Tier 1'!X157</f>
        <v>1962</v>
      </c>
      <c r="AH157" s="79"/>
      <c r="AI157" s="79">
        <f>'[1]Tier 1'!Y157</f>
        <v>1962</v>
      </c>
      <c r="AJ157" s="79">
        <f t="shared" si="47"/>
        <v>1765.8</v>
      </c>
      <c r="AK157" s="79" t="e">
        <f>VLOOKUP(A157,#REF!,-1,FALSE)</f>
        <v>#REF!</v>
      </c>
      <c r="AL157" s="80" t="e">
        <f t="shared" si="48"/>
        <v>#REF!</v>
      </c>
      <c r="AM157" s="78">
        <f t="shared" si="57"/>
        <v>18</v>
      </c>
      <c r="AN157" s="85">
        <f t="shared" si="58"/>
        <v>8.9999999999999993E-3</v>
      </c>
      <c r="AO157" s="73" t="str">
        <f t="shared" si="59"/>
        <v>OK</v>
      </c>
      <c r="AP157" s="79">
        <f t="shared" si="60"/>
        <v>19</v>
      </c>
      <c r="AQ157" s="85">
        <f t="shared" si="61"/>
        <v>0.01</v>
      </c>
      <c r="AR157" s="73" t="str">
        <f t="shared" si="62"/>
        <v>OK</v>
      </c>
      <c r="AS157" s="79">
        <f t="shared" si="63"/>
        <v>19</v>
      </c>
      <c r="AT157" s="85">
        <f t="shared" si="64"/>
        <v>0.01</v>
      </c>
      <c r="AU157" s="86" t="str">
        <f t="shared" si="65"/>
        <v>OK</v>
      </c>
      <c r="AV157" s="79">
        <f t="shared" si="49"/>
        <v>0</v>
      </c>
      <c r="AW157" s="85" t="e">
        <f t="shared" si="50"/>
        <v>#REF!</v>
      </c>
      <c r="AX157" s="87" t="e">
        <f t="shared" si="51"/>
        <v>#REF!</v>
      </c>
      <c r="AY157" s="72"/>
      <c r="AZ157" s="73"/>
      <c r="BA157" s="77">
        <f t="shared" si="52"/>
        <v>0</v>
      </c>
      <c r="BB157" s="88">
        <f t="shared" si="53"/>
        <v>1</v>
      </c>
      <c r="BC157" s="89" t="e">
        <f>SUMIF(#REF!,#REF!, BB20:BB333)</f>
        <v>#REF!</v>
      </c>
      <c r="BD157" s="89">
        <f t="shared" si="54"/>
        <v>1</v>
      </c>
      <c r="BE157" s="89" t="e">
        <f>SUMIF(#REF!,#REF!, BD20:BD333)</f>
        <v>#REF!</v>
      </c>
      <c r="BF157" s="89">
        <f t="shared" si="55"/>
        <v>0</v>
      </c>
      <c r="BG157" s="89" t="e">
        <f>SUMIF(#REF!,#REF!, BF20:BF333)</f>
        <v>#REF!</v>
      </c>
      <c r="BH157" s="89" t="e">
        <f t="shared" si="56"/>
        <v>#REF!</v>
      </c>
      <c r="BI157" s="90">
        <f>SUMIF(B20:B333, B157, BH20:BH333)</f>
        <v>0</v>
      </c>
      <c r="BJ157" s="91"/>
      <c r="BK157" s="92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4"/>
    </row>
    <row r="158" spans="1:82" x14ac:dyDescent="0.3">
      <c r="A158" s="95" t="s">
        <v>358</v>
      </c>
      <c r="B158" s="96"/>
      <c r="C158" s="97" t="s">
        <v>156</v>
      </c>
      <c r="D158" s="97" t="s">
        <v>357</v>
      </c>
      <c r="E158" s="98" t="s">
        <v>359</v>
      </c>
      <c r="F158" s="99" t="s">
        <v>103</v>
      </c>
      <c r="G158" s="100"/>
      <c r="H158" s="101" t="s">
        <v>103</v>
      </c>
      <c r="I158" s="99" t="s">
        <v>6</v>
      </c>
      <c r="J158" s="100" t="s">
        <v>6</v>
      </c>
      <c r="K158" s="102"/>
      <c r="L158" s="103"/>
      <c r="M158" s="104"/>
      <c r="N158" s="105">
        <v>196</v>
      </c>
      <c r="O158" s="106">
        <v>208</v>
      </c>
      <c r="P158" s="106">
        <v>216</v>
      </c>
      <c r="Q158" s="107"/>
      <c r="R158" s="156">
        <v>0.09</v>
      </c>
      <c r="S158" s="105">
        <v>18</v>
      </c>
      <c r="T158" s="106">
        <v>19</v>
      </c>
      <c r="U158" s="106">
        <v>19</v>
      </c>
      <c r="V158" s="107">
        <f t="shared" si="46"/>
        <v>0</v>
      </c>
      <c r="W158" s="109"/>
      <c r="X158" s="110"/>
      <c r="Y158" s="111" t="s">
        <v>104</v>
      </c>
      <c r="Z158" s="100" t="str">
        <f>'[1]Tier 1'!V158</f>
        <v>D</v>
      </c>
      <c r="AA158" s="100"/>
      <c r="AB158" s="100"/>
      <c r="AC158" s="100"/>
      <c r="AD158" s="101"/>
      <c r="AE158" s="105">
        <f>'[1]Tier 1'!W158</f>
        <v>1962</v>
      </c>
      <c r="AF158" s="106"/>
      <c r="AG158" s="106">
        <f>'[1]Tier 1'!X158</f>
        <v>1962</v>
      </c>
      <c r="AH158" s="106"/>
      <c r="AI158" s="106">
        <f>'[1]Tier 1'!Y158</f>
        <v>1962</v>
      </c>
      <c r="AJ158" s="106">
        <f t="shared" si="47"/>
        <v>1765.8</v>
      </c>
      <c r="AK158" s="106" t="e">
        <f>VLOOKUP(A158,#REF!,-1,FALSE)</f>
        <v>#REF!</v>
      </c>
      <c r="AL158" s="107" t="e">
        <f t="shared" si="48"/>
        <v>#REF!</v>
      </c>
      <c r="AM158" s="105">
        <f t="shared" si="57"/>
        <v>18</v>
      </c>
      <c r="AN158" s="112">
        <f t="shared" si="58"/>
        <v>8.9999999999999993E-3</v>
      </c>
      <c r="AO158" s="100" t="str">
        <f t="shared" si="59"/>
        <v>OK</v>
      </c>
      <c r="AP158" s="106">
        <f t="shared" si="60"/>
        <v>19</v>
      </c>
      <c r="AQ158" s="112">
        <f t="shared" si="61"/>
        <v>0.01</v>
      </c>
      <c r="AR158" s="100" t="str">
        <f t="shared" si="62"/>
        <v>OK</v>
      </c>
      <c r="AS158" s="106">
        <f t="shared" si="63"/>
        <v>19</v>
      </c>
      <c r="AT158" s="112">
        <f t="shared" si="64"/>
        <v>0.01</v>
      </c>
      <c r="AU158" s="113" t="str">
        <f t="shared" si="65"/>
        <v>OK</v>
      </c>
      <c r="AV158" s="106">
        <f t="shared" si="49"/>
        <v>0</v>
      </c>
      <c r="AW158" s="112" t="e">
        <f t="shared" si="50"/>
        <v>#REF!</v>
      </c>
      <c r="AX158" s="114" t="e">
        <f t="shared" si="51"/>
        <v>#REF!</v>
      </c>
      <c r="AY158" s="99"/>
      <c r="AZ158" s="100"/>
      <c r="BA158" s="104">
        <f t="shared" si="52"/>
        <v>0</v>
      </c>
      <c r="BB158" s="115">
        <f t="shared" si="53"/>
        <v>1</v>
      </c>
      <c r="BC158" s="116" t="e">
        <f>SUMIF(#REF!,#REF!, BB20:BB333)</f>
        <v>#REF!</v>
      </c>
      <c r="BD158" s="116">
        <f t="shared" si="54"/>
        <v>1</v>
      </c>
      <c r="BE158" s="116" t="e">
        <f>SUMIF(#REF!,#REF!, BD20:BD333)</f>
        <v>#REF!</v>
      </c>
      <c r="BF158" s="116">
        <f t="shared" si="55"/>
        <v>0</v>
      </c>
      <c r="BG158" s="116" t="e">
        <f>SUMIF(#REF!,#REF!, BF20:BF333)</f>
        <v>#REF!</v>
      </c>
      <c r="BH158" s="116" t="e">
        <f t="shared" si="56"/>
        <v>#REF!</v>
      </c>
      <c r="BI158" s="117">
        <f>SUMIF(B20:B333, B158, BH20:BH333)</f>
        <v>0</v>
      </c>
      <c r="BJ158" s="118"/>
      <c r="BK158" s="92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4"/>
    </row>
    <row r="159" spans="1:82" x14ac:dyDescent="0.3">
      <c r="A159" s="68" t="s">
        <v>360</v>
      </c>
      <c r="B159" s="69"/>
      <c r="C159" s="70" t="s">
        <v>156</v>
      </c>
      <c r="D159" s="70" t="s">
        <v>359</v>
      </c>
      <c r="E159" s="71" t="s">
        <v>361</v>
      </c>
      <c r="F159" s="72" t="s">
        <v>103</v>
      </c>
      <c r="G159" s="73"/>
      <c r="H159" s="74" t="s">
        <v>103</v>
      </c>
      <c r="I159" s="72" t="s">
        <v>6</v>
      </c>
      <c r="J159" s="73" t="s">
        <v>6</v>
      </c>
      <c r="K159" s="75"/>
      <c r="L159" s="76"/>
      <c r="M159" s="77"/>
      <c r="N159" s="78">
        <v>1765</v>
      </c>
      <c r="O159" s="79">
        <v>1873</v>
      </c>
      <c r="P159" s="79">
        <v>1948</v>
      </c>
      <c r="Q159" s="80"/>
      <c r="R159" s="155">
        <v>0.09</v>
      </c>
      <c r="S159" s="78">
        <v>159</v>
      </c>
      <c r="T159" s="79">
        <v>169</v>
      </c>
      <c r="U159" s="79">
        <v>175</v>
      </c>
      <c r="V159" s="80">
        <f t="shared" si="46"/>
        <v>0</v>
      </c>
      <c r="W159" s="82"/>
      <c r="X159" s="83"/>
      <c r="Y159" s="84" t="s">
        <v>104</v>
      </c>
      <c r="Z159" s="73" t="str">
        <f>'[1]Tier 1'!V159</f>
        <v>D</v>
      </c>
      <c r="AA159" s="73"/>
      <c r="AB159" s="73"/>
      <c r="AC159" s="73"/>
      <c r="AD159" s="74"/>
      <c r="AE159" s="78">
        <f>'[1]Tier 1'!W159</f>
        <v>1818</v>
      </c>
      <c r="AF159" s="79"/>
      <c r="AG159" s="79">
        <f>'[1]Tier 1'!X159</f>
        <v>1818</v>
      </c>
      <c r="AH159" s="79"/>
      <c r="AI159" s="79">
        <f>'[1]Tier 1'!Y159</f>
        <v>1818</v>
      </c>
      <c r="AJ159" s="79">
        <f t="shared" si="47"/>
        <v>1636.2</v>
      </c>
      <c r="AK159" s="79" t="e">
        <f>VLOOKUP(A159,#REF!,-1,FALSE)</f>
        <v>#REF!</v>
      </c>
      <c r="AL159" s="80" t="e">
        <f t="shared" si="48"/>
        <v>#REF!</v>
      </c>
      <c r="AM159" s="78">
        <f t="shared" si="57"/>
        <v>159</v>
      </c>
      <c r="AN159" s="85">
        <f t="shared" si="58"/>
        <v>8.6999999999999994E-2</v>
      </c>
      <c r="AO159" s="73" t="str">
        <f t="shared" si="59"/>
        <v>OK</v>
      </c>
      <c r="AP159" s="79">
        <f t="shared" si="60"/>
        <v>169</v>
      </c>
      <c r="AQ159" s="85">
        <f t="shared" si="61"/>
        <v>9.2999999999999999E-2</v>
      </c>
      <c r="AR159" s="73" t="str">
        <f t="shared" si="62"/>
        <v>OK</v>
      </c>
      <c r="AS159" s="79">
        <f t="shared" si="63"/>
        <v>175</v>
      </c>
      <c r="AT159" s="85">
        <f t="shared" si="64"/>
        <v>9.6000000000000002E-2</v>
      </c>
      <c r="AU159" s="86" t="str">
        <f t="shared" si="65"/>
        <v>OK</v>
      </c>
      <c r="AV159" s="79">
        <f t="shared" si="49"/>
        <v>0</v>
      </c>
      <c r="AW159" s="85" t="e">
        <f t="shared" si="50"/>
        <v>#REF!</v>
      </c>
      <c r="AX159" s="87" t="e">
        <f t="shared" si="51"/>
        <v>#REF!</v>
      </c>
      <c r="AY159" s="72"/>
      <c r="AZ159" s="73"/>
      <c r="BA159" s="77">
        <f t="shared" si="52"/>
        <v>0</v>
      </c>
      <c r="BB159" s="88">
        <f t="shared" si="53"/>
        <v>1</v>
      </c>
      <c r="BC159" s="89" t="e">
        <f>SUMIF(#REF!,#REF!, BB20:BB333)</f>
        <v>#REF!</v>
      </c>
      <c r="BD159" s="89">
        <f t="shared" si="54"/>
        <v>1</v>
      </c>
      <c r="BE159" s="89" t="e">
        <f>SUMIF(#REF!,#REF!, BD20:BD333)</f>
        <v>#REF!</v>
      </c>
      <c r="BF159" s="89">
        <f t="shared" si="55"/>
        <v>0</v>
      </c>
      <c r="BG159" s="89" t="e">
        <f>SUMIF(#REF!,#REF!, BF20:BF333)</f>
        <v>#REF!</v>
      </c>
      <c r="BH159" s="89" t="e">
        <f t="shared" si="56"/>
        <v>#REF!</v>
      </c>
      <c r="BI159" s="90">
        <f>SUMIF(B20:B333, B159, BH20:BH333)</f>
        <v>0</v>
      </c>
      <c r="BJ159" s="91"/>
      <c r="BK159" s="92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4"/>
    </row>
    <row r="160" spans="1:82" x14ac:dyDescent="0.3">
      <c r="A160" s="95" t="s">
        <v>362</v>
      </c>
      <c r="B160" s="96"/>
      <c r="C160" s="97" t="s">
        <v>156</v>
      </c>
      <c r="D160" s="97" t="s">
        <v>361</v>
      </c>
      <c r="E160" s="98" t="s">
        <v>363</v>
      </c>
      <c r="F160" s="99" t="s">
        <v>103</v>
      </c>
      <c r="G160" s="100"/>
      <c r="H160" s="101" t="s">
        <v>103</v>
      </c>
      <c r="I160" s="99" t="s">
        <v>6</v>
      </c>
      <c r="J160" s="100" t="s">
        <v>6</v>
      </c>
      <c r="K160" s="102"/>
      <c r="L160" s="103"/>
      <c r="M160" s="104"/>
      <c r="N160" s="105">
        <v>1765</v>
      </c>
      <c r="O160" s="106">
        <v>1873</v>
      </c>
      <c r="P160" s="106">
        <v>1948</v>
      </c>
      <c r="Q160" s="107"/>
      <c r="R160" s="156">
        <v>0.09</v>
      </c>
      <c r="S160" s="105">
        <v>159</v>
      </c>
      <c r="T160" s="106">
        <v>169</v>
      </c>
      <c r="U160" s="106">
        <v>175</v>
      </c>
      <c r="V160" s="107">
        <f t="shared" si="46"/>
        <v>0</v>
      </c>
      <c r="W160" s="109"/>
      <c r="X160" s="110"/>
      <c r="Y160" s="111" t="s">
        <v>104</v>
      </c>
      <c r="Z160" s="100" t="str">
        <f>'[1]Tier 1'!V160</f>
        <v>D</v>
      </c>
      <c r="AA160" s="100"/>
      <c r="AB160" s="100"/>
      <c r="AC160" s="100"/>
      <c r="AD160" s="101"/>
      <c r="AE160" s="105">
        <f>'[1]Tier 1'!W160</f>
        <v>1818</v>
      </c>
      <c r="AF160" s="106"/>
      <c r="AG160" s="106">
        <f>'[1]Tier 1'!X160</f>
        <v>1818</v>
      </c>
      <c r="AH160" s="106"/>
      <c r="AI160" s="106">
        <f>'[1]Tier 1'!Y160</f>
        <v>1818</v>
      </c>
      <c r="AJ160" s="106">
        <f t="shared" si="47"/>
        <v>1636.2</v>
      </c>
      <c r="AK160" s="106" t="e">
        <f>VLOOKUP(A160,#REF!,-1,FALSE)</f>
        <v>#REF!</v>
      </c>
      <c r="AL160" s="107" t="e">
        <f t="shared" si="48"/>
        <v>#REF!</v>
      </c>
      <c r="AM160" s="105">
        <f t="shared" si="57"/>
        <v>159</v>
      </c>
      <c r="AN160" s="112">
        <f t="shared" si="58"/>
        <v>8.6999999999999994E-2</v>
      </c>
      <c r="AO160" s="100" t="str">
        <f t="shared" si="59"/>
        <v>OK</v>
      </c>
      <c r="AP160" s="106">
        <f t="shared" si="60"/>
        <v>169</v>
      </c>
      <c r="AQ160" s="112">
        <f t="shared" si="61"/>
        <v>9.2999999999999999E-2</v>
      </c>
      <c r="AR160" s="100" t="str">
        <f t="shared" si="62"/>
        <v>OK</v>
      </c>
      <c r="AS160" s="106">
        <f t="shared" si="63"/>
        <v>175</v>
      </c>
      <c r="AT160" s="112">
        <f t="shared" si="64"/>
        <v>9.6000000000000002E-2</v>
      </c>
      <c r="AU160" s="113" t="str">
        <f t="shared" si="65"/>
        <v>OK</v>
      </c>
      <c r="AV160" s="106">
        <f t="shared" si="49"/>
        <v>0</v>
      </c>
      <c r="AW160" s="112" t="e">
        <f t="shared" si="50"/>
        <v>#REF!</v>
      </c>
      <c r="AX160" s="114" t="e">
        <f t="shared" si="51"/>
        <v>#REF!</v>
      </c>
      <c r="AY160" s="99"/>
      <c r="AZ160" s="100"/>
      <c r="BA160" s="104">
        <f t="shared" si="52"/>
        <v>0</v>
      </c>
      <c r="BB160" s="115">
        <f t="shared" si="53"/>
        <v>1</v>
      </c>
      <c r="BC160" s="116" t="e">
        <f>SUMIF(#REF!,#REF!, BB20:BB333)</f>
        <v>#REF!</v>
      </c>
      <c r="BD160" s="116">
        <f t="shared" si="54"/>
        <v>1</v>
      </c>
      <c r="BE160" s="116" t="e">
        <f>SUMIF(#REF!,#REF!, BD20:BD333)</f>
        <v>#REF!</v>
      </c>
      <c r="BF160" s="116">
        <f t="shared" si="55"/>
        <v>0</v>
      </c>
      <c r="BG160" s="116" t="e">
        <f>SUMIF(#REF!,#REF!, BF20:BF333)</f>
        <v>#REF!</v>
      </c>
      <c r="BH160" s="116" t="e">
        <f t="shared" si="56"/>
        <v>#REF!</v>
      </c>
      <c r="BI160" s="117">
        <f>SUMIF(B20:B333, B160, BH20:BH333)</f>
        <v>0</v>
      </c>
      <c r="BJ160" s="118"/>
      <c r="BK160" s="92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4"/>
    </row>
    <row r="161" spans="1:82" x14ac:dyDescent="0.3">
      <c r="A161" s="68" t="s">
        <v>364</v>
      </c>
      <c r="B161" s="69"/>
      <c r="C161" s="70" t="s">
        <v>156</v>
      </c>
      <c r="D161" s="70" t="s">
        <v>363</v>
      </c>
      <c r="E161" s="71" t="s">
        <v>365</v>
      </c>
      <c r="F161" s="72" t="s">
        <v>103</v>
      </c>
      <c r="G161" s="73"/>
      <c r="H161" s="74" t="s">
        <v>103</v>
      </c>
      <c r="I161" s="72" t="s">
        <v>6</v>
      </c>
      <c r="J161" s="73" t="s">
        <v>6</v>
      </c>
      <c r="K161" s="75"/>
      <c r="L161" s="76"/>
      <c r="M161" s="77"/>
      <c r="N161" s="78">
        <v>1765</v>
      </c>
      <c r="O161" s="79">
        <v>1873</v>
      </c>
      <c r="P161" s="79">
        <v>1948</v>
      </c>
      <c r="Q161" s="80"/>
      <c r="R161" s="155">
        <v>0.09</v>
      </c>
      <c r="S161" s="78">
        <v>159</v>
      </c>
      <c r="T161" s="79">
        <v>169</v>
      </c>
      <c r="U161" s="79">
        <v>175</v>
      </c>
      <c r="V161" s="80">
        <f t="shared" si="46"/>
        <v>0</v>
      </c>
      <c r="W161" s="82"/>
      <c r="X161" s="83"/>
      <c r="Y161" s="84" t="s">
        <v>104</v>
      </c>
      <c r="Z161" s="73" t="str">
        <f>'[1]Tier 1'!V161</f>
        <v>D</v>
      </c>
      <c r="AA161" s="73"/>
      <c r="AB161" s="73"/>
      <c r="AC161" s="73"/>
      <c r="AD161" s="74"/>
      <c r="AE161" s="78">
        <f>'[1]Tier 1'!W161</f>
        <v>1818</v>
      </c>
      <c r="AF161" s="79"/>
      <c r="AG161" s="79">
        <f>'[1]Tier 1'!X161</f>
        <v>1818</v>
      </c>
      <c r="AH161" s="79"/>
      <c r="AI161" s="79">
        <f>'[1]Tier 1'!Y161</f>
        <v>1818</v>
      </c>
      <c r="AJ161" s="79">
        <f t="shared" si="47"/>
        <v>1636.2</v>
      </c>
      <c r="AK161" s="79" t="e">
        <f>VLOOKUP(A161,#REF!,-1,FALSE)</f>
        <v>#REF!</v>
      </c>
      <c r="AL161" s="80" t="e">
        <f t="shared" si="48"/>
        <v>#REF!</v>
      </c>
      <c r="AM161" s="78">
        <f t="shared" si="57"/>
        <v>159</v>
      </c>
      <c r="AN161" s="85">
        <f t="shared" si="58"/>
        <v>8.6999999999999994E-2</v>
      </c>
      <c r="AO161" s="73" t="str">
        <f t="shared" si="59"/>
        <v>OK</v>
      </c>
      <c r="AP161" s="79">
        <f t="shared" si="60"/>
        <v>169</v>
      </c>
      <c r="AQ161" s="85">
        <f t="shared" si="61"/>
        <v>9.2999999999999999E-2</v>
      </c>
      <c r="AR161" s="73" t="str">
        <f t="shared" si="62"/>
        <v>OK</v>
      </c>
      <c r="AS161" s="79">
        <f t="shared" si="63"/>
        <v>175</v>
      </c>
      <c r="AT161" s="85">
        <f t="shared" si="64"/>
        <v>9.6000000000000002E-2</v>
      </c>
      <c r="AU161" s="86" t="str">
        <f t="shared" si="65"/>
        <v>OK</v>
      </c>
      <c r="AV161" s="79">
        <f t="shared" si="49"/>
        <v>0</v>
      </c>
      <c r="AW161" s="85" t="e">
        <f t="shared" si="50"/>
        <v>#REF!</v>
      </c>
      <c r="AX161" s="87" t="e">
        <f t="shared" si="51"/>
        <v>#REF!</v>
      </c>
      <c r="AY161" s="72"/>
      <c r="AZ161" s="73"/>
      <c r="BA161" s="77">
        <f t="shared" si="52"/>
        <v>0</v>
      </c>
      <c r="BB161" s="88">
        <f t="shared" si="53"/>
        <v>1</v>
      </c>
      <c r="BC161" s="89" t="e">
        <f>SUMIF(#REF!,#REF!, BB20:BB333)</f>
        <v>#REF!</v>
      </c>
      <c r="BD161" s="89">
        <f t="shared" si="54"/>
        <v>1</v>
      </c>
      <c r="BE161" s="89" t="e">
        <f>SUMIF(#REF!,#REF!, BD20:BD333)</f>
        <v>#REF!</v>
      </c>
      <c r="BF161" s="89">
        <f t="shared" si="55"/>
        <v>0</v>
      </c>
      <c r="BG161" s="89" t="e">
        <f>SUMIF(#REF!,#REF!, BF20:BF333)</f>
        <v>#REF!</v>
      </c>
      <c r="BH161" s="89" t="e">
        <f t="shared" si="56"/>
        <v>#REF!</v>
      </c>
      <c r="BI161" s="90">
        <f>SUMIF(B20:B333, B161, BH20:BH333)</f>
        <v>0</v>
      </c>
      <c r="BJ161" s="91"/>
      <c r="BK161" s="92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4"/>
    </row>
    <row r="162" spans="1:82" x14ac:dyDescent="0.3">
      <c r="A162" s="95" t="s">
        <v>366</v>
      </c>
      <c r="B162" s="96"/>
      <c r="C162" s="97" t="s">
        <v>156</v>
      </c>
      <c r="D162" s="97" t="s">
        <v>365</v>
      </c>
      <c r="E162" s="98" t="s">
        <v>367</v>
      </c>
      <c r="F162" s="99" t="s">
        <v>103</v>
      </c>
      <c r="G162" s="100"/>
      <c r="H162" s="101" t="s">
        <v>103</v>
      </c>
      <c r="I162" s="99" t="s">
        <v>6</v>
      </c>
      <c r="J162" s="100" t="s">
        <v>6</v>
      </c>
      <c r="K162" s="102"/>
      <c r="L162" s="103"/>
      <c r="M162" s="104"/>
      <c r="N162" s="105">
        <v>1765</v>
      </c>
      <c r="O162" s="106">
        <v>1873</v>
      </c>
      <c r="P162" s="106">
        <v>1948</v>
      </c>
      <c r="Q162" s="107"/>
      <c r="R162" s="156">
        <v>0.09</v>
      </c>
      <c r="S162" s="105">
        <v>159</v>
      </c>
      <c r="T162" s="106">
        <v>169</v>
      </c>
      <c r="U162" s="106">
        <v>175</v>
      </c>
      <c r="V162" s="107">
        <f t="shared" si="46"/>
        <v>0</v>
      </c>
      <c r="W162" s="109"/>
      <c r="X162" s="110"/>
      <c r="Y162" s="111" t="s">
        <v>104</v>
      </c>
      <c r="Z162" s="100" t="str">
        <f>'[1]Tier 1'!V162</f>
        <v>D</v>
      </c>
      <c r="AA162" s="100"/>
      <c r="AB162" s="100"/>
      <c r="AC162" s="100"/>
      <c r="AD162" s="101"/>
      <c r="AE162" s="105">
        <f>'[1]Tier 1'!W162</f>
        <v>1197</v>
      </c>
      <c r="AF162" s="106"/>
      <c r="AG162" s="106">
        <f>'[1]Tier 1'!X162</f>
        <v>1197</v>
      </c>
      <c r="AH162" s="106"/>
      <c r="AI162" s="106">
        <f>'[1]Tier 1'!Y162</f>
        <v>1197</v>
      </c>
      <c r="AJ162" s="106">
        <f t="shared" si="47"/>
        <v>1077.3</v>
      </c>
      <c r="AK162" s="106" t="e">
        <f>VLOOKUP(A162,#REF!,-1,FALSE)</f>
        <v>#REF!</v>
      </c>
      <c r="AL162" s="107" t="e">
        <f t="shared" si="48"/>
        <v>#REF!</v>
      </c>
      <c r="AM162" s="105">
        <f t="shared" si="57"/>
        <v>159</v>
      </c>
      <c r="AN162" s="112">
        <f t="shared" si="58"/>
        <v>0.13300000000000001</v>
      </c>
      <c r="AO162" s="100" t="str">
        <f t="shared" si="59"/>
        <v>OK</v>
      </c>
      <c r="AP162" s="106">
        <f t="shared" si="60"/>
        <v>169</v>
      </c>
      <c r="AQ162" s="112">
        <f t="shared" si="61"/>
        <v>0.14099999999999999</v>
      </c>
      <c r="AR162" s="100" t="str">
        <f t="shared" si="62"/>
        <v>OK</v>
      </c>
      <c r="AS162" s="106">
        <f t="shared" si="63"/>
        <v>175</v>
      </c>
      <c r="AT162" s="112">
        <f t="shared" si="64"/>
        <v>0.14599999999999999</v>
      </c>
      <c r="AU162" s="113" t="str">
        <f t="shared" si="65"/>
        <v>OK</v>
      </c>
      <c r="AV162" s="106">
        <f t="shared" si="49"/>
        <v>0</v>
      </c>
      <c r="AW162" s="112" t="e">
        <f t="shared" si="50"/>
        <v>#REF!</v>
      </c>
      <c r="AX162" s="114" t="e">
        <f t="shared" si="51"/>
        <v>#REF!</v>
      </c>
      <c r="AY162" s="99"/>
      <c r="AZ162" s="100"/>
      <c r="BA162" s="104">
        <f t="shared" si="52"/>
        <v>0</v>
      </c>
      <c r="BB162" s="115">
        <f t="shared" si="53"/>
        <v>1</v>
      </c>
      <c r="BC162" s="116" t="e">
        <f>SUMIF(#REF!,#REF!, BB20:BB333)</f>
        <v>#REF!</v>
      </c>
      <c r="BD162" s="116">
        <f t="shared" si="54"/>
        <v>1</v>
      </c>
      <c r="BE162" s="116" t="e">
        <f>SUMIF(#REF!,#REF!, BD20:BD333)</f>
        <v>#REF!</v>
      </c>
      <c r="BF162" s="116">
        <f t="shared" si="55"/>
        <v>0</v>
      </c>
      <c r="BG162" s="116" t="e">
        <f>SUMIF(#REF!,#REF!, BF20:BF333)</f>
        <v>#REF!</v>
      </c>
      <c r="BH162" s="116" t="e">
        <f t="shared" si="56"/>
        <v>#REF!</v>
      </c>
      <c r="BI162" s="117">
        <f>SUMIF(B20:B333, B162, BH20:BH333)</f>
        <v>0</v>
      </c>
      <c r="BJ162" s="118"/>
      <c r="BK162" s="92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4"/>
    </row>
    <row r="163" spans="1:82" x14ac:dyDescent="0.3">
      <c r="A163" s="68" t="s">
        <v>368</v>
      </c>
      <c r="B163" s="69"/>
      <c r="C163" s="70" t="s">
        <v>200</v>
      </c>
      <c r="D163" s="70" t="s">
        <v>130</v>
      </c>
      <c r="E163" s="71" t="s">
        <v>102</v>
      </c>
      <c r="F163" s="72" t="s">
        <v>103</v>
      </c>
      <c r="G163" s="73"/>
      <c r="H163" s="74" t="s">
        <v>103</v>
      </c>
      <c r="I163" s="72" t="s">
        <v>6</v>
      </c>
      <c r="J163" s="73" t="s">
        <v>6</v>
      </c>
      <c r="K163" s="75"/>
      <c r="L163" s="76"/>
      <c r="M163" s="77"/>
      <c r="N163" s="78">
        <v>2377</v>
      </c>
      <c r="O163" s="79">
        <v>2523</v>
      </c>
      <c r="P163" s="79">
        <v>2624</v>
      </c>
      <c r="Q163" s="80"/>
      <c r="R163" s="155">
        <v>0.09</v>
      </c>
      <c r="S163" s="78">
        <v>214</v>
      </c>
      <c r="T163" s="79">
        <v>227</v>
      </c>
      <c r="U163" s="79">
        <v>236</v>
      </c>
      <c r="V163" s="80">
        <f t="shared" si="46"/>
        <v>0</v>
      </c>
      <c r="W163" s="82"/>
      <c r="X163" s="83"/>
      <c r="Y163" s="84" t="s">
        <v>104</v>
      </c>
      <c r="Z163" s="73" t="str">
        <f>'[1]Tier 1'!V163</f>
        <v>D</v>
      </c>
      <c r="AA163" s="73"/>
      <c r="AB163" s="73"/>
      <c r="AC163" s="73"/>
      <c r="AD163" s="74"/>
      <c r="AE163" s="78">
        <f>'[1]Tier 1'!W163</f>
        <v>1899</v>
      </c>
      <c r="AF163" s="79"/>
      <c r="AG163" s="79">
        <f>'[1]Tier 1'!X163</f>
        <v>1899</v>
      </c>
      <c r="AH163" s="79"/>
      <c r="AI163" s="79">
        <f>'[1]Tier 1'!Y163</f>
        <v>1899</v>
      </c>
      <c r="AJ163" s="79">
        <f t="shared" si="47"/>
        <v>1709.1000000000001</v>
      </c>
      <c r="AK163" s="79" t="e">
        <f>VLOOKUP(A163,#REF!,-1,FALSE)</f>
        <v>#REF!</v>
      </c>
      <c r="AL163" s="80" t="e">
        <f t="shared" si="48"/>
        <v>#REF!</v>
      </c>
      <c r="AM163" s="78">
        <f t="shared" si="57"/>
        <v>214</v>
      </c>
      <c r="AN163" s="85">
        <f t="shared" si="58"/>
        <v>0.113</v>
      </c>
      <c r="AO163" s="73" t="str">
        <f t="shared" si="59"/>
        <v>OK</v>
      </c>
      <c r="AP163" s="79">
        <f t="shared" si="60"/>
        <v>227</v>
      </c>
      <c r="AQ163" s="85">
        <f t="shared" si="61"/>
        <v>0.12</v>
      </c>
      <c r="AR163" s="73" t="str">
        <f t="shared" si="62"/>
        <v>OK</v>
      </c>
      <c r="AS163" s="79">
        <f t="shared" si="63"/>
        <v>236</v>
      </c>
      <c r="AT163" s="85">
        <f t="shared" si="64"/>
        <v>0.124</v>
      </c>
      <c r="AU163" s="86" t="str">
        <f t="shared" si="65"/>
        <v>OK</v>
      </c>
      <c r="AV163" s="79">
        <f t="shared" si="49"/>
        <v>0</v>
      </c>
      <c r="AW163" s="85" t="e">
        <f t="shared" si="50"/>
        <v>#REF!</v>
      </c>
      <c r="AX163" s="87" t="e">
        <f t="shared" si="51"/>
        <v>#REF!</v>
      </c>
      <c r="AY163" s="72"/>
      <c r="AZ163" s="73"/>
      <c r="BA163" s="77">
        <f t="shared" si="52"/>
        <v>0</v>
      </c>
      <c r="BB163" s="88">
        <f t="shared" si="53"/>
        <v>1</v>
      </c>
      <c r="BC163" s="89" t="e">
        <f>SUMIF(#REF!,#REF!, BB20:BB333)</f>
        <v>#REF!</v>
      </c>
      <c r="BD163" s="89">
        <f t="shared" si="54"/>
        <v>1</v>
      </c>
      <c r="BE163" s="89" t="e">
        <f>SUMIF(#REF!,#REF!, BD20:BD333)</f>
        <v>#REF!</v>
      </c>
      <c r="BF163" s="89">
        <f t="shared" si="55"/>
        <v>0</v>
      </c>
      <c r="BG163" s="89" t="e">
        <f>SUMIF(#REF!,#REF!, BF20:BF333)</f>
        <v>#REF!</v>
      </c>
      <c r="BH163" s="89" t="e">
        <f t="shared" si="56"/>
        <v>#REF!</v>
      </c>
      <c r="BI163" s="90">
        <f>SUMIF(B20:B333, B163, BH20:BH333)</f>
        <v>0</v>
      </c>
      <c r="BJ163" s="91"/>
      <c r="BK163" s="92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4"/>
    </row>
    <row r="164" spans="1:82" x14ac:dyDescent="0.3">
      <c r="A164" s="95" t="s">
        <v>369</v>
      </c>
      <c r="B164" s="96"/>
      <c r="C164" s="97" t="s">
        <v>200</v>
      </c>
      <c r="D164" s="97" t="s">
        <v>102</v>
      </c>
      <c r="E164" s="98" t="s">
        <v>370</v>
      </c>
      <c r="F164" s="99" t="s">
        <v>103</v>
      </c>
      <c r="G164" s="100"/>
      <c r="H164" s="101" t="s">
        <v>103</v>
      </c>
      <c r="I164" s="99" t="s">
        <v>6</v>
      </c>
      <c r="J164" s="100" t="s">
        <v>6</v>
      </c>
      <c r="K164" s="102"/>
      <c r="L164" s="103"/>
      <c r="M164" s="104"/>
      <c r="N164" s="105">
        <v>2377</v>
      </c>
      <c r="O164" s="106">
        <v>2523</v>
      </c>
      <c r="P164" s="106">
        <v>2624</v>
      </c>
      <c r="Q164" s="107"/>
      <c r="R164" s="156">
        <v>0.09</v>
      </c>
      <c r="S164" s="105">
        <v>214</v>
      </c>
      <c r="T164" s="106">
        <v>227</v>
      </c>
      <c r="U164" s="106">
        <v>236</v>
      </c>
      <c r="V164" s="107">
        <f t="shared" si="46"/>
        <v>0</v>
      </c>
      <c r="W164" s="109"/>
      <c r="X164" s="110"/>
      <c r="Y164" s="111" t="s">
        <v>104</v>
      </c>
      <c r="Z164" s="100" t="str">
        <f>'[1]Tier 1'!V164</f>
        <v>D</v>
      </c>
      <c r="AA164" s="100"/>
      <c r="AB164" s="100"/>
      <c r="AC164" s="100"/>
      <c r="AD164" s="101"/>
      <c r="AE164" s="105">
        <f>'[1]Tier 1'!W164</f>
        <v>1899</v>
      </c>
      <c r="AF164" s="106"/>
      <c r="AG164" s="106">
        <f>'[1]Tier 1'!X164</f>
        <v>1899</v>
      </c>
      <c r="AH164" s="106"/>
      <c r="AI164" s="106">
        <f>'[1]Tier 1'!Y164</f>
        <v>1899</v>
      </c>
      <c r="AJ164" s="106">
        <f t="shared" si="47"/>
        <v>1709.1000000000001</v>
      </c>
      <c r="AK164" s="106" t="e">
        <f>VLOOKUP(A164,#REF!,-1,FALSE)</f>
        <v>#REF!</v>
      </c>
      <c r="AL164" s="107" t="e">
        <f t="shared" si="48"/>
        <v>#REF!</v>
      </c>
      <c r="AM164" s="105">
        <f t="shared" si="57"/>
        <v>214</v>
      </c>
      <c r="AN164" s="112">
        <f t="shared" si="58"/>
        <v>0.113</v>
      </c>
      <c r="AO164" s="100" t="str">
        <f t="shared" si="59"/>
        <v>OK</v>
      </c>
      <c r="AP164" s="106">
        <f t="shared" si="60"/>
        <v>227</v>
      </c>
      <c r="AQ164" s="112">
        <f t="shared" si="61"/>
        <v>0.12</v>
      </c>
      <c r="AR164" s="100" t="str">
        <f t="shared" si="62"/>
        <v>OK</v>
      </c>
      <c r="AS164" s="106">
        <f t="shared" si="63"/>
        <v>236</v>
      </c>
      <c r="AT164" s="112">
        <f t="shared" si="64"/>
        <v>0.124</v>
      </c>
      <c r="AU164" s="113" t="str">
        <f t="shared" si="65"/>
        <v>OK</v>
      </c>
      <c r="AV164" s="106">
        <f t="shared" si="49"/>
        <v>0</v>
      </c>
      <c r="AW164" s="112" t="e">
        <f t="shared" si="50"/>
        <v>#REF!</v>
      </c>
      <c r="AX164" s="114" t="e">
        <f t="shared" si="51"/>
        <v>#REF!</v>
      </c>
      <c r="AY164" s="99"/>
      <c r="AZ164" s="100"/>
      <c r="BA164" s="104">
        <f t="shared" si="52"/>
        <v>0</v>
      </c>
      <c r="BB164" s="115">
        <f t="shared" si="53"/>
        <v>1</v>
      </c>
      <c r="BC164" s="116" t="e">
        <f>SUMIF(#REF!,#REF!, BB20:BB333)</f>
        <v>#REF!</v>
      </c>
      <c r="BD164" s="116">
        <f t="shared" si="54"/>
        <v>1</v>
      </c>
      <c r="BE164" s="116" t="e">
        <f>SUMIF(#REF!,#REF!, BD20:BD333)</f>
        <v>#REF!</v>
      </c>
      <c r="BF164" s="116">
        <f t="shared" si="55"/>
        <v>0</v>
      </c>
      <c r="BG164" s="116" t="e">
        <f>SUMIF(#REF!,#REF!, BF20:BF333)</f>
        <v>#REF!</v>
      </c>
      <c r="BH164" s="116" t="e">
        <f t="shared" si="56"/>
        <v>#REF!</v>
      </c>
      <c r="BI164" s="117">
        <f>SUMIF(B20:B333, B164, BH20:BH333)</f>
        <v>0</v>
      </c>
      <c r="BJ164" s="118"/>
      <c r="BK164" s="92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4"/>
    </row>
    <row r="165" spans="1:82" x14ac:dyDescent="0.3">
      <c r="A165" s="68" t="s">
        <v>371</v>
      </c>
      <c r="B165" s="69"/>
      <c r="C165" s="70" t="s">
        <v>200</v>
      </c>
      <c r="D165" s="70" t="s">
        <v>370</v>
      </c>
      <c r="E165" s="71" t="s">
        <v>261</v>
      </c>
      <c r="F165" s="72" t="s">
        <v>103</v>
      </c>
      <c r="G165" s="73"/>
      <c r="H165" s="74" t="s">
        <v>103</v>
      </c>
      <c r="I165" s="72" t="s">
        <v>6</v>
      </c>
      <c r="J165" s="73" t="s">
        <v>6</v>
      </c>
      <c r="K165" s="75"/>
      <c r="L165" s="76"/>
      <c r="M165" s="77"/>
      <c r="N165" s="78">
        <v>2336</v>
      </c>
      <c r="O165" s="79">
        <v>2568</v>
      </c>
      <c r="P165" s="79">
        <v>2723</v>
      </c>
      <c r="Q165" s="80"/>
      <c r="R165" s="155">
        <v>0.09</v>
      </c>
      <c r="S165" s="78">
        <v>210</v>
      </c>
      <c r="T165" s="79">
        <v>231</v>
      </c>
      <c r="U165" s="79">
        <v>245</v>
      </c>
      <c r="V165" s="80">
        <f t="shared" si="46"/>
        <v>0</v>
      </c>
      <c r="W165" s="82"/>
      <c r="X165" s="83"/>
      <c r="Y165" s="84" t="s">
        <v>104</v>
      </c>
      <c r="Z165" s="73" t="str">
        <f>'[1]Tier 1'!V165</f>
        <v>D</v>
      </c>
      <c r="AA165" s="73"/>
      <c r="AB165" s="73"/>
      <c r="AC165" s="73"/>
      <c r="AD165" s="74"/>
      <c r="AE165" s="78">
        <f>'[1]Tier 1'!W165</f>
        <v>1899</v>
      </c>
      <c r="AF165" s="79"/>
      <c r="AG165" s="79">
        <f>'[1]Tier 1'!X165</f>
        <v>1899</v>
      </c>
      <c r="AH165" s="79"/>
      <c r="AI165" s="79">
        <f>'[1]Tier 1'!Y165</f>
        <v>1899</v>
      </c>
      <c r="AJ165" s="79">
        <f t="shared" si="47"/>
        <v>1709.1000000000001</v>
      </c>
      <c r="AK165" s="79" t="e">
        <f>VLOOKUP(A165,#REF!,-1,FALSE)</f>
        <v>#REF!</v>
      </c>
      <c r="AL165" s="80" t="e">
        <f t="shared" si="48"/>
        <v>#REF!</v>
      </c>
      <c r="AM165" s="78">
        <f t="shared" si="57"/>
        <v>210</v>
      </c>
      <c r="AN165" s="85">
        <f t="shared" si="58"/>
        <v>0.111</v>
      </c>
      <c r="AO165" s="73" t="str">
        <f t="shared" si="59"/>
        <v>OK</v>
      </c>
      <c r="AP165" s="79">
        <f t="shared" si="60"/>
        <v>231</v>
      </c>
      <c r="AQ165" s="85">
        <f t="shared" si="61"/>
        <v>0.122</v>
      </c>
      <c r="AR165" s="73" t="str">
        <f t="shared" si="62"/>
        <v>OK</v>
      </c>
      <c r="AS165" s="79">
        <f t="shared" si="63"/>
        <v>245</v>
      </c>
      <c r="AT165" s="85">
        <f t="shared" si="64"/>
        <v>0.129</v>
      </c>
      <c r="AU165" s="86" t="str">
        <f t="shared" si="65"/>
        <v>OK</v>
      </c>
      <c r="AV165" s="79">
        <f t="shared" si="49"/>
        <v>0</v>
      </c>
      <c r="AW165" s="85" t="e">
        <f t="shared" si="50"/>
        <v>#REF!</v>
      </c>
      <c r="AX165" s="87" t="e">
        <f t="shared" si="51"/>
        <v>#REF!</v>
      </c>
      <c r="AY165" s="72"/>
      <c r="AZ165" s="73"/>
      <c r="BA165" s="77">
        <f t="shared" si="52"/>
        <v>0</v>
      </c>
      <c r="BB165" s="88">
        <f t="shared" si="53"/>
        <v>1</v>
      </c>
      <c r="BC165" s="89" t="e">
        <f>SUMIF(#REF!,#REF!, BB20:BB333)</f>
        <v>#REF!</v>
      </c>
      <c r="BD165" s="89">
        <f t="shared" si="54"/>
        <v>1</v>
      </c>
      <c r="BE165" s="89" t="e">
        <f>SUMIF(#REF!,#REF!, BD20:BD333)</f>
        <v>#REF!</v>
      </c>
      <c r="BF165" s="89">
        <f t="shared" si="55"/>
        <v>0</v>
      </c>
      <c r="BG165" s="89" t="e">
        <f>SUMIF(#REF!,#REF!, BF20:BF333)</f>
        <v>#REF!</v>
      </c>
      <c r="BH165" s="89" t="e">
        <f t="shared" si="56"/>
        <v>#REF!</v>
      </c>
      <c r="BI165" s="90">
        <f>SUMIF(B20:B333, B165, BH20:BH333)</f>
        <v>0</v>
      </c>
      <c r="BJ165" s="91"/>
      <c r="BK165" s="92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4"/>
    </row>
    <row r="166" spans="1:82" x14ac:dyDescent="0.3">
      <c r="A166" s="95" t="s">
        <v>372</v>
      </c>
      <c r="B166" s="96"/>
      <c r="C166" s="97" t="s">
        <v>200</v>
      </c>
      <c r="D166" s="97" t="s">
        <v>261</v>
      </c>
      <c r="E166" s="98" t="s">
        <v>373</v>
      </c>
      <c r="F166" s="99" t="s">
        <v>103</v>
      </c>
      <c r="G166" s="100"/>
      <c r="H166" s="101" t="s">
        <v>103</v>
      </c>
      <c r="I166" s="99" t="s">
        <v>6</v>
      </c>
      <c r="J166" s="100" t="s">
        <v>6</v>
      </c>
      <c r="K166" s="102"/>
      <c r="L166" s="103"/>
      <c r="M166" s="104"/>
      <c r="N166" s="105">
        <v>2336</v>
      </c>
      <c r="O166" s="106">
        <v>2568</v>
      </c>
      <c r="P166" s="106">
        <v>2723</v>
      </c>
      <c r="Q166" s="107"/>
      <c r="R166" s="156">
        <v>0.09</v>
      </c>
      <c r="S166" s="105">
        <v>210</v>
      </c>
      <c r="T166" s="106">
        <v>231</v>
      </c>
      <c r="U166" s="106">
        <v>245</v>
      </c>
      <c r="V166" s="107">
        <f t="shared" si="46"/>
        <v>0</v>
      </c>
      <c r="W166" s="109"/>
      <c r="X166" s="110"/>
      <c r="Y166" s="111" t="s">
        <v>104</v>
      </c>
      <c r="Z166" s="100" t="str">
        <f>'[1]Tier 1'!V166</f>
        <v>D</v>
      </c>
      <c r="AA166" s="100"/>
      <c r="AB166" s="100"/>
      <c r="AC166" s="100"/>
      <c r="AD166" s="101"/>
      <c r="AE166" s="105">
        <f>'[1]Tier 1'!W166</f>
        <v>1899</v>
      </c>
      <c r="AF166" s="106"/>
      <c r="AG166" s="106">
        <f>'[1]Tier 1'!X166</f>
        <v>1899</v>
      </c>
      <c r="AH166" s="106"/>
      <c r="AI166" s="106">
        <f>'[1]Tier 1'!Y166</f>
        <v>1899</v>
      </c>
      <c r="AJ166" s="106">
        <f t="shared" si="47"/>
        <v>1709.1000000000001</v>
      </c>
      <c r="AK166" s="106" t="e">
        <f>VLOOKUP(A166,#REF!,-1,FALSE)</f>
        <v>#REF!</v>
      </c>
      <c r="AL166" s="107" t="e">
        <f t="shared" si="48"/>
        <v>#REF!</v>
      </c>
      <c r="AM166" s="105">
        <f t="shared" si="57"/>
        <v>210</v>
      </c>
      <c r="AN166" s="112">
        <f t="shared" si="58"/>
        <v>0.111</v>
      </c>
      <c r="AO166" s="100" t="str">
        <f t="shared" si="59"/>
        <v>OK</v>
      </c>
      <c r="AP166" s="106">
        <f t="shared" si="60"/>
        <v>231</v>
      </c>
      <c r="AQ166" s="112">
        <f t="shared" si="61"/>
        <v>0.122</v>
      </c>
      <c r="AR166" s="100" t="str">
        <f t="shared" si="62"/>
        <v>OK</v>
      </c>
      <c r="AS166" s="106">
        <f t="shared" si="63"/>
        <v>245</v>
      </c>
      <c r="AT166" s="112">
        <f t="shared" si="64"/>
        <v>0.129</v>
      </c>
      <c r="AU166" s="113" t="str">
        <f t="shared" si="65"/>
        <v>OK</v>
      </c>
      <c r="AV166" s="106">
        <f t="shared" si="49"/>
        <v>0</v>
      </c>
      <c r="AW166" s="112" t="e">
        <f t="shared" si="50"/>
        <v>#REF!</v>
      </c>
      <c r="AX166" s="114" t="e">
        <f t="shared" si="51"/>
        <v>#REF!</v>
      </c>
      <c r="AY166" s="99"/>
      <c r="AZ166" s="100"/>
      <c r="BA166" s="104">
        <f t="shared" si="52"/>
        <v>0</v>
      </c>
      <c r="BB166" s="115">
        <f t="shared" si="53"/>
        <v>1</v>
      </c>
      <c r="BC166" s="116" t="e">
        <f>SUMIF(#REF!,#REF!, BB20:BB333)</f>
        <v>#REF!</v>
      </c>
      <c r="BD166" s="116">
        <f t="shared" si="54"/>
        <v>1</v>
      </c>
      <c r="BE166" s="116" t="e">
        <f>SUMIF(#REF!,#REF!, BD20:BD333)</f>
        <v>#REF!</v>
      </c>
      <c r="BF166" s="116">
        <f t="shared" si="55"/>
        <v>0</v>
      </c>
      <c r="BG166" s="116" t="e">
        <f>SUMIF(#REF!,#REF!, BF20:BF333)</f>
        <v>#REF!</v>
      </c>
      <c r="BH166" s="116" t="e">
        <f t="shared" si="56"/>
        <v>#REF!</v>
      </c>
      <c r="BI166" s="117">
        <f>SUMIF(B20:B333, B166, BH20:BH333)</f>
        <v>0</v>
      </c>
      <c r="BJ166" s="118"/>
      <c r="BK166" s="92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4"/>
    </row>
    <row r="167" spans="1:82" x14ac:dyDescent="0.3">
      <c r="A167" s="68" t="s">
        <v>374</v>
      </c>
      <c r="B167" s="69"/>
      <c r="C167" s="70" t="s">
        <v>200</v>
      </c>
      <c r="D167" s="70" t="s">
        <v>373</v>
      </c>
      <c r="E167" s="71" t="s">
        <v>204</v>
      </c>
      <c r="F167" s="72" t="s">
        <v>103</v>
      </c>
      <c r="G167" s="73"/>
      <c r="H167" s="74" t="s">
        <v>103</v>
      </c>
      <c r="I167" s="72" t="s">
        <v>6</v>
      </c>
      <c r="J167" s="73" t="s">
        <v>6</v>
      </c>
      <c r="K167" s="75"/>
      <c r="L167" s="76"/>
      <c r="M167" s="77"/>
      <c r="N167" s="78">
        <v>2336</v>
      </c>
      <c r="O167" s="79">
        <v>2568</v>
      </c>
      <c r="P167" s="79">
        <v>2723</v>
      </c>
      <c r="Q167" s="80"/>
      <c r="R167" s="155">
        <v>0.09</v>
      </c>
      <c r="S167" s="78">
        <v>210</v>
      </c>
      <c r="T167" s="79">
        <v>231</v>
      </c>
      <c r="U167" s="79">
        <v>245</v>
      </c>
      <c r="V167" s="80">
        <f t="shared" si="46"/>
        <v>0</v>
      </c>
      <c r="W167" s="82"/>
      <c r="X167" s="83"/>
      <c r="Y167" s="84" t="s">
        <v>104</v>
      </c>
      <c r="Z167" s="73" t="str">
        <f>'[1]Tier 1'!V167</f>
        <v>D</v>
      </c>
      <c r="AA167" s="73"/>
      <c r="AB167" s="73"/>
      <c r="AC167" s="73"/>
      <c r="AD167" s="74"/>
      <c r="AE167" s="78">
        <f>'[1]Tier 1'!W167</f>
        <v>1962</v>
      </c>
      <c r="AF167" s="79"/>
      <c r="AG167" s="79">
        <f>'[1]Tier 1'!X167</f>
        <v>1962</v>
      </c>
      <c r="AH167" s="79"/>
      <c r="AI167" s="79">
        <f>'[1]Tier 1'!Y167</f>
        <v>1962</v>
      </c>
      <c r="AJ167" s="79">
        <f t="shared" si="47"/>
        <v>1765.8</v>
      </c>
      <c r="AK167" s="79" t="e">
        <f>VLOOKUP(A167,#REF!,-1,FALSE)</f>
        <v>#REF!</v>
      </c>
      <c r="AL167" s="80" t="e">
        <f t="shared" si="48"/>
        <v>#REF!</v>
      </c>
      <c r="AM167" s="78">
        <f t="shared" si="57"/>
        <v>210</v>
      </c>
      <c r="AN167" s="85">
        <f t="shared" si="58"/>
        <v>0.107</v>
      </c>
      <c r="AO167" s="73" t="str">
        <f t="shared" si="59"/>
        <v>OK</v>
      </c>
      <c r="AP167" s="79">
        <f t="shared" si="60"/>
        <v>231</v>
      </c>
      <c r="AQ167" s="85">
        <f t="shared" si="61"/>
        <v>0.11799999999999999</v>
      </c>
      <c r="AR167" s="73" t="str">
        <f t="shared" si="62"/>
        <v>OK</v>
      </c>
      <c r="AS167" s="79">
        <f t="shared" si="63"/>
        <v>245</v>
      </c>
      <c r="AT167" s="85">
        <f t="shared" si="64"/>
        <v>0.125</v>
      </c>
      <c r="AU167" s="86" t="str">
        <f t="shared" si="65"/>
        <v>OK</v>
      </c>
      <c r="AV167" s="79">
        <f t="shared" si="49"/>
        <v>0</v>
      </c>
      <c r="AW167" s="85" t="e">
        <f t="shared" si="50"/>
        <v>#REF!</v>
      </c>
      <c r="AX167" s="87" t="e">
        <f t="shared" si="51"/>
        <v>#REF!</v>
      </c>
      <c r="AY167" s="72"/>
      <c r="AZ167" s="73"/>
      <c r="BA167" s="77">
        <f t="shared" si="52"/>
        <v>0</v>
      </c>
      <c r="BB167" s="88">
        <f t="shared" si="53"/>
        <v>1</v>
      </c>
      <c r="BC167" s="89" t="e">
        <f>SUMIF(#REF!,#REF!, BB20:BB333)</f>
        <v>#REF!</v>
      </c>
      <c r="BD167" s="89">
        <f t="shared" si="54"/>
        <v>1</v>
      </c>
      <c r="BE167" s="89" t="e">
        <f>SUMIF(#REF!,#REF!, BD20:BD333)</f>
        <v>#REF!</v>
      </c>
      <c r="BF167" s="89">
        <f t="shared" si="55"/>
        <v>0</v>
      </c>
      <c r="BG167" s="89" t="e">
        <f>SUMIF(#REF!,#REF!, BF20:BF333)</f>
        <v>#REF!</v>
      </c>
      <c r="BH167" s="89" t="e">
        <f t="shared" si="56"/>
        <v>#REF!</v>
      </c>
      <c r="BI167" s="90">
        <f>SUMIF(B20:B333, B167, BH20:BH333)</f>
        <v>0</v>
      </c>
      <c r="BJ167" s="91"/>
      <c r="BK167" s="92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4"/>
    </row>
    <row r="168" spans="1:82" x14ac:dyDescent="0.3">
      <c r="A168" s="95" t="s">
        <v>375</v>
      </c>
      <c r="B168" s="96"/>
      <c r="C168" s="97" t="s">
        <v>200</v>
      </c>
      <c r="D168" s="97" t="s">
        <v>204</v>
      </c>
      <c r="E168" s="98" t="s">
        <v>140</v>
      </c>
      <c r="F168" s="99" t="s">
        <v>103</v>
      </c>
      <c r="G168" s="100"/>
      <c r="H168" s="101" t="s">
        <v>103</v>
      </c>
      <c r="I168" s="99" t="s">
        <v>6</v>
      </c>
      <c r="J168" s="100" t="s">
        <v>6</v>
      </c>
      <c r="K168" s="102"/>
      <c r="L168" s="103"/>
      <c r="M168" s="104"/>
      <c r="N168" s="105">
        <v>2142</v>
      </c>
      <c r="O168" s="106">
        <v>2145</v>
      </c>
      <c r="P168" s="106">
        <v>2209</v>
      </c>
      <c r="Q168" s="107"/>
      <c r="R168" s="156">
        <v>0.09</v>
      </c>
      <c r="S168" s="105">
        <v>193</v>
      </c>
      <c r="T168" s="106">
        <v>193</v>
      </c>
      <c r="U168" s="106">
        <v>199</v>
      </c>
      <c r="V168" s="107">
        <f t="shared" si="46"/>
        <v>0</v>
      </c>
      <c r="W168" s="109"/>
      <c r="X168" s="110"/>
      <c r="Y168" s="111" t="s">
        <v>104</v>
      </c>
      <c r="Z168" s="100" t="str">
        <f>'[1]Tier 1'!V168</f>
        <v>D</v>
      </c>
      <c r="AA168" s="100"/>
      <c r="AB168" s="100"/>
      <c r="AC168" s="100"/>
      <c r="AD168" s="101"/>
      <c r="AE168" s="105">
        <f>'[1]Tier 1'!W168</f>
        <v>1962</v>
      </c>
      <c r="AF168" s="106"/>
      <c r="AG168" s="106">
        <f>'[1]Tier 1'!X168</f>
        <v>1962</v>
      </c>
      <c r="AH168" s="106"/>
      <c r="AI168" s="106">
        <f>'[1]Tier 1'!Y168</f>
        <v>1962</v>
      </c>
      <c r="AJ168" s="106">
        <f t="shared" si="47"/>
        <v>1765.8</v>
      </c>
      <c r="AK168" s="106" t="e">
        <f>VLOOKUP(A168,#REF!,-1,FALSE)</f>
        <v>#REF!</v>
      </c>
      <c r="AL168" s="107" t="e">
        <f t="shared" si="48"/>
        <v>#REF!</v>
      </c>
      <c r="AM168" s="105">
        <f t="shared" si="57"/>
        <v>193</v>
      </c>
      <c r="AN168" s="112">
        <f t="shared" si="58"/>
        <v>9.8000000000000004E-2</v>
      </c>
      <c r="AO168" s="100" t="str">
        <f t="shared" si="59"/>
        <v>OK</v>
      </c>
      <c r="AP168" s="106">
        <f t="shared" si="60"/>
        <v>193</v>
      </c>
      <c r="AQ168" s="112">
        <f t="shared" si="61"/>
        <v>9.8000000000000004E-2</v>
      </c>
      <c r="AR168" s="100" t="str">
        <f t="shared" si="62"/>
        <v>OK</v>
      </c>
      <c r="AS168" s="106">
        <f t="shared" si="63"/>
        <v>199</v>
      </c>
      <c r="AT168" s="112">
        <f t="shared" si="64"/>
        <v>0.10100000000000001</v>
      </c>
      <c r="AU168" s="113" t="str">
        <f t="shared" si="65"/>
        <v>OK</v>
      </c>
      <c r="AV168" s="106">
        <f t="shared" si="49"/>
        <v>0</v>
      </c>
      <c r="AW168" s="112" t="e">
        <f t="shared" si="50"/>
        <v>#REF!</v>
      </c>
      <c r="AX168" s="114" t="e">
        <f t="shared" si="51"/>
        <v>#REF!</v>
      </c>
      <c r="AY168" s="99"/>
      <c r="AZ168" s="100"/>
      <c r="BA168" s="104">
        <f t="shared" si="52"/>
        <v>0</v>
      </c>
      <c r="BB168" s="115">
        <f t="shared" si="53"/>
        <v>1</v>
      </c>
      <c r="BC168" s="116" t="e">
        <f>SUMIF(#REF!,#REF!, BB20:BB333)</f>
        <v>#REF!</v>
      </c>
      <c r="BD168" s="116">
        <f t="shared" si="54"/>
        <v>1</v>
      </c>
      <c r="BE168" s="116" t="e">
        <f>SUMIF(#REF!,#REF!, BD20:BD333)</f>
        <v>#REF!</v>
      </c>
      <c r="BF168" s="116">
        <f t="shared" si="55"/>
        <v>0</v>
      </c>
      <c r="BG168" s="116" t="e">
        <f>SUMIF(#REF!,#REF!, BF20:BF333)</f>
        <v>#REF!</v>
      </c>
      <c r="BH168" s="116" t="e">
        <f t="shared" si="56"/>
        <v>#REF!</v>
      </c>
      <c r="BI168" s="117">
        <f>SUMIF(B20:B333, B168, BH20:BH333)</f>
        <v>0</v>
      </c>
      <c r="BJ168" s="118"/>
      <c r="BK168" s="92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4"/>
    </row>
    <row r="169" spans="1:82" x14ac:dyDescent="0.3">
      <c r="A169" s="68" t="s">
        <v>376</v>
      </c>
      <c r="B169" s="69"/>
      <c r="C169" s="70" t="s">
        <v>200</v>
      </c>
      <c r="D169" s="70" t="s">
        <v>140</v>
      </c>
      <c r="E169" s="71" t="s">
        <v>162</v>
      </c>
      <c r="F169" s="72" t="s">
        <v>103</v>
      </c>
      <c r="G169" s="73"/>
      <c r="H169" s="74" t="s">
        <v>103</v>
      </c>
      <c r="I169" s="72" t="s">
        <v>6</v>
      </c>
      <c r="J169" s="73" t="s">
        <v>6</v>
      </c>
      <c r="K169" s="75"/>
      <c r="L169" s="76"/>
      <c r="M169" s="77"/>
      <c r="N169" s="78">
        <v>10710</v>
      </c>
      <c r="O169" s="79">
        <v>11366</v>
      </c>
      <c r="P169" s="79">
        <v>11825</v>
      </c>
      <c r="Q169" s="80"/>
      <c r="R169" s="155">
        <v>0.09</v>
      </c>
      <c r="S169" s="78">
        <v>964</v>
      </c>
      <c r="T169" s="79">
        <v>1023</v>
      </c>
      <c r="U169" s="79">
        <v>1064</v>
      </c>
      <c r="V169" s="80">
        <f t="shared" si="46"/>
        <v>0</v>
      </c>
      <c r="W169" s="82"/>
      <c r="X169" s="83"/>
      <c r="Y169" s="84" t="s">
        <v>104</v>
      </c>
      <c r="Z169" s="73" t="str">
        <f>'[1]Tier 1'!V169</f>
        <v>D</v>
      </c>
      <c r="AA169" s="73"/>
      <c r="AB169" s="73"/>
      <c r="AC169" s="73"/>
      <c r="AD169" s="74"/>
      <c r="AE169" s="78">
        <f>'[1]Tier 1'!W169</f>
        <v>958</v>
      </c>
      <c r="AF169" s="79"/>
      <c r="AG169" s="79">
        <f>'[1]Tier 1'!X169</f>
        <v>958</v>
      </c>
      <c r="AH169" s="79"/>
      <c r="AI169" s="79">
        <f>'[1]Tier 1'!Y169</f>
        <v>958</v>
      </c>
      <c r="AJ169" s="79">
        <f t="shared" si="47"/>
        <v>862.2</v>
      </c>
      <c r="AK169" s="79" t="e">
        <f>VLOOKUP(A169,#REF!,-1,FALSE)</f>
        <v>#REF!</v>
      </c>
      <c r="AL169" s="80" t="e">
        <f t="shared" si="48"/>
        <v>#REF!</v>
      </c>
      <c r="AM169" s="78">
        <f t="shared" si="57"/>
        <v>964</v>
      </c>
      <c r="AN169" s="85">
        <f t="shared" si="58"/>
        <v>1.006</v>
      </c>
      <c r="AO169" s="73" t="str">
        <f t="shared" si="59"/>
        <v>OK</v>
      </c>
      <c r="AP169" s="79">
        <f t="shared" si="60"/>
        <v>1023</v>
      </c>
      <c r="AQ169" s="85">
        <f t="shared" si="61"/>
        <v>1.0680000000000001</v>
      </c>
      <c r="AR169" s="73" t="str">
        <f t="shared" si="62"/>
        <v>OK</v>
      </c>
      <c r="AS169" s="79">
        <f t="shared" si="63"/>
        <v>1064</v>
      </c>
      <c r="AT169" s="85">
        <f t="shared" si="64"/>
        <v>1.111</v>
      </c>
      <c r="AU169" s="86" t="str">
        <f t="shared" si="65"/>
        <v>OK</v>
      </c>
      <c r="AV169" s="79">
        <f t="shared" si="49"/>
        <v>0</v>
      </c>
      <c r="AW169" s="85" t="e">
        <f t="shared" si="50"/>
        <v>#REF!</v>
      </c>
      <c r="AX169" s="87" t="e">
        <f t="shared" si="51"/>
        <v>#REF!</v>
      </c>
      <c r="AY169" s="72"/>
      <c r="AZ169" s="73"/>
      <c r="BA169" s="77">
        <f t="shared" si="52"/>
        <v>0</v>
      </c>
      <c r="BB169" s="88">
        <f t="shared" si="53"/>
        <v>1</v>
      </c>
      <c r="BC169" s="89" t="e">
        <f>SUMIF(#REF!,#REF!, BB20:BB333)</f>
        <v>#REF!</v>
      </c>
      <c r="BD169" s="89">
        <f t="shared" si="54"/>
        <v>1</v>
      </c>
      <c r="BE169" s="89" t="e">
        <f>SUMIF(#REF!,#REF!, BD20:BD333)</f>
        <v>#REF!</v>
      </c>
      <c r="BF169" s="89">
        <f t="shared" si="55"/>
        <v>1</v>
      </c>
      <c r="BG169" s="89" t="e">
        <f>SUMIF(#REF!,#REF!, BF20:BF333)</f>
        <v>#REF!</v>
      </c>
      <c r="BH169" s="89" t="e">
        <f t="shared" si="56"/>
        <v>#REF!</v>
      </c>
      <c r="BI169" s="90">
        <f>SUMIF(B20:B333, B169, BH20:BH333)</f>
        <v>0</v>
      </c>
      <c r="BJ169" s="91"/>
      <c r="BK169" s="92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4"/>
    </row>
    <row r="170" spans="1:82" x14ac:dyDescent="0.3">
      <c r="A170" s="95" t="s">
        <v>377</v>
      </c>
      <c r="B170" s="96"/>
      <c r="C170" s="97" t="s">
        <v>152</v>
      </c>
      <c r="D170" s="97" t="s">
        <v>111</v>
      </c>
      <c r="E170" s="98" t="s">
        <v>297</v>
      </c>
      <c r="F170" s="99" t="s">
        <v>103</v>
      </c>
      <c r="G170" s="100"/>
      <c r="H170" s="101" t="s">
        <v>103</v>
      </c>
      <c r="I170" s="99" t="s">
        <v>6</v>
      </c>
      <c r="J170" s="100" t="s">
        <v>6</v>
      </c>
      <c r="K170" s="102"/>
      <c r="L170" s="103"/>
      <c r="M170" s="104"/>
      <c r="N170" s="105">
        <v>2050</v>
      </c>
      <c r="O170" s="106">
        <v>2176</v>
      </c>
      <c r="P170" s="106">
        <v>2264</v>
      </c>
      <c r="Q170" s="107"/>
      <c r="R170" s="156">
        <v>0.09</v>
      </c>
      <c r="S170" s="105">
        <v>185</v>
      </c>
      <c r="T170" s="106">
        <v>196</v>
      </c>
      <c r="U170" s="106">
        <v>204</v>
      </c>
      <c r="V170" s="107">
        <f t="shared" si="46"/>
        <v>0</v>
      </c>
      <c r="W170" s="109"/>
      <c r="X170" s="110"/>
      <c r="Y170" s="111" t="s">
        <v>104</v>
      </c>
      <c r="Z170" s="100" t="str">
        <f>'[1]Tier 1'!V170</f>
        <v>D</v>
      </c>
      <c r="AA170" s="100"/>
      <c r="AB170" s="100"/>
      <c r="AC170" s="100"/>
      <c r="AD170" s="101"/>
      <c r="AE170" s="105">
        <f>'[1]Tier 1'!W170</f>
        <v>1818</v>
      </c>
      <c r="AF170" s="106"/>
      <c r="AG170" s="106">
        <f>'[1]Tier 1'!X170</f>
        <v>1818</v>
      </c>
      <c r="AH170" s="106"/>
      <c r="AI170" s="106">
        <f>'[1]Tier 1'!Y170</f>
        <v>1818</v>
      </c>
      <c r="AJ170" s="106">
        <f t="shared" si="47"/>
        <v>1636.2</v>
      </c>
      <c r="AK170" s="106" t="e">
        <f>VLOOKUP(A170,#REF!,-1,FALSE)</f>
        <v>#REF!</v>
      </c>
      <c r="AL170" s="107" t="e">
        <f t="shared" si="48"/>
        <v>#REF!</v>
      </c>
      <c r="AM170" s="105">
        <f t="shared" si="57"/>
        <v>185</v>
      </c>
      <c r="AN170" s="112">
        <f t="shared" si="58"/>
        <v>0.10199999999999999</v>
      </c>
      <c r="AO170" s="100" t="str">
        <f t="shared" si="59"/>
        <v>OK</v>
      </c>
      <c r="AP170" s="106">
        <f t="shared" si="60"/>
        <v>196</v>
      </c>
      <c r="AQ170" s="112">
        <f t="shared" si="61"/>
        <v>0.108</v>
      </c>
      <c r="AR170" s="100" t="str">
        <f t="shared" si="62"/>
        <v>OK</v>
      </c>
      <c r="AS170" s="106">
        <f t="shared" si="63"/>
        <v>204</v>
      </c>
      <c r="AT170" s="112">
        <f t="shared" si="64"/>
        <v>0.112</v>
      </c>
      <c r="AU170" s="113" t="str">
        <f t="shared" si="65"/>
        <v>OK</v>
      </c>
      <c r="AV170" s="106">
        <f t="shared" si="49"/>
        <v>0</v>
      </c>
      <c r="AW170" s="112" t="e">
        <f t="shared" si="50"/>
        <v>#REF!</v>
      </c>
      <c r="AX170" s="114" t="e">
        <f t="shared" si="51"/>
        <v>#REF!</v>
      </c>
      <c r="AY170" s="99"/>
      <c r="AZ170" s="100"/>
      <c r="BA170" s="104">
        <f t="shared" si="52"/>
        <v>0</v>
      </c>
      <c r="BB170" s="115">
        <f t="shared" si="53"/>
        <v>1</v>
      </c>
      <c r="BC170" s="116" t="e">
        <f>SUMIF(#REF!,#REF!, BB20:BB333)</f>
        <v>#REF!</v>
      </c>
      <c r="BD170" s="116">
        <f t="shared" si="54"/>
        <v>1</v>
      </c>
      <c r="BE170" s="116" t="e">
        <f>SUMIF(#REF!,#REF!, BD20:BD333)</f>
        <v>#REF!</v>
      </c>
      <c r="BF170" s="116">
        <f t="shared" si="55"/>
        <v>0</v>
      </c>
      <c r="BG170" s="116" t="e">
        <f>SUMIF(#REF!,#REF!, BF20:BF333)</f>
        <v>#REF!</v>
      </c>
      <c r="BH170" s="116" t="e">
        <f t="shared" si="56"/>
        <v>#REF!</v>
      </c>
      <c r="BI170" s="117">
        <f>SUMIF(B20:B333, B170, BH20:BH333)</f>
        <v>0</v>
      </c>
      <c r="BJ170" s="118"/>
      <c r="BK170" s="92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4"/>
    </row>
    <row r="171" spans="1:82" x14ac:dyDescent="0.3">
      <c r="A171" s="68" t="s">
        <v>378</v>
      </c>
      <c r="B171" s="69"/>
      <c r="C171" s="70" t="s">
        <v>152</v>
      </c>
      <c r="D171" s="70" t="s">
        <v>297</v>
      </c>
      <c r="E171" s="71" t="s">
        <v>355</v>
      </c>
      <c r="F171" s="72" t="s">
        <v>103</v>
      </c>
      <c r="G171" s="73"/>
      <c r="H171" s="74" t="s">
        <v>103</v>
      </c>
      <c r="I171" s="72" t="s">
        <v>6</v>
      </c>
      <c r="J171" s="73" t="s">
        <v>6</v>
      </c>
      <c r="K171" s="75"/>
      <c r="L171" s="76"/>
      <c r="M171" s="77"/>
      <c r="N171" s="78">
        <v>2050</v>
      </c>
      <c r="O171" s="79">
        <v>2176</v>
      </c>
      <c r="P171" s="79">
        <v>2264</v>
      </c>
      <c r="Q171" s="80"/>
      <c r="R171" s="155">
        <v>0.09</v>
      </c>
      <c r="S171" s="78">
        <v>185</v>
      </c>
      <c r="T171" s="79">
        <v>196</v>
      </c>
      <c r="U171" s="79">
        <v>204</v>
      </c>
      <c r="V171" s="80">
        <f t="shared" si="46"/>
        <v>0</v>
      </c>
      <c r="W171" s="82"/>
      <c r="X171" s="83"/>
      <c r="Y171" s="84" t="s">
        <v>104</v>
      </c>
      <c r="Z171" s="73" t="str">
        <f>'[1]Tier 1'!V171</f>
        <v>D</v>
      </c>
      <c r="AA171" s="73"/>
      <c r="AB171" s="73"/>
      <c r="AC171" s="73"/>
      <c r="AD171" s="74"/>
      <c r="AE171" s="78">
        <f>'[1]Tier 1'!W171</f>
        <v>1818</v>
      </c>
      <c r="AF171" s="79"/>
      <c r="AG171" s="79">
        <f>'[1]Tier 1'!X171</f>
        <v>1818</v>
      </c>
      <c r="AH171" s="79"/>
      <c r="AI171" s="79">
        <f>'[1]Tier 1'!Y171</f>
        <v>1818</v>
      </c>
      <c r="AJ171" s="79">
        <f t="shared" si="47"/>
        <v>1636.2</v>
      </c>
      <c r="AK171" s="79" t="e">
        <f>VLOOKUP(A171,#REF!,-1,FALSE)</f>
        <v>#REF!</v>
      </c>
      <c r="AL171" s="80" t="e">
        <f t="shared" si="48"/>
        <v>#REF!</v>
      </c>
      <c r="AM171" s="78">
        <f t="shared" si="57"/>
        <v>185</v>
      </c>
      <c r="AN171" s="85">
        <f t="shared" si="58"/>
        <v>0.10199999999999999</v>
      </c>
      <c r="AO171" s="73" t="str">
        <f t="shared" si="59"/>
        <v>OK</v>
      </c>
      <c r="AP171" s="79">
        <f t="shared" si="60"/>
        <v>196</v>
      </c>
      <c r="AQ171" s="85">
        <f t="shared" si="61"/>
        <v>0.108</v>
      </c>
      <c r="AR171" s="73" t="str">
        <f t="shared" si="62"/>
        <v>OK</v>
      </c>
      <c r="AS171" s="79">
        <f t="shared" si="63"/>
        <v>204</v>
      </c>
      <c r="AT171" s="85">
        <f t="shared" si="64"/>
        <v>0.112</v>
      </c>
      <c r="AU171" s="86" t="str">
        <f t="shared" si="65"/>
        <v>OK</v>
      </c>
      <c r="AV171" s="79">
        <f t="shared" si="49"/>
        <v>0</v>
      </c>
      <c r="AW171" s="85" t="e">
        <f t="shared" si="50"/>
        <v>#REF!</v>
      </c>
      <c r="AX171" s="87" t="e">
        <f t="shared" si="51"/>
        <v>#REF!</v>
      </c>
      <c r="AY171" s="72"/>
      <c r="AZ171" s="73"/>
      <c r="BA171" s="77">
        <f t="shared" si="52"/>
        <v>0</v>
      </c>
      <c r="BB171" s="88">
        <f t="shared" si="53"/>
        <v>1</v>
      </c>
      <c r="BC171" s="89" t="e">
        <f>SUMIF(#REF!,#REF!, BB20:BB333)</f>
        <v>#REF!</v>
      </c>
      <c r="BD171" s="89">
        <f t="shared" si="54"/>
        <v>1</v>
      </c>
      <c r="BE171" s="89" t="e">
        <f>SUMIF(#REF!,#REF!, BD20:BD333)</f>
        <v>#REF!</v>
      </c>
      <c r="BF171" s="89">
        <f t="shared" si="55"/>
        <v>0</v>
      </c>
      <c r="BG171" s="89" t="e">
        <f>SUMIF(#REF!,#REF!, BF20:BF333)</f>
        <v>#REF!</v>
      </c>
      <c r="BH171" s="89" t="e">
        <f t="shared" si="56"/>
        <v>#REF!</v>
      </c>
      <c r="BI171" s="90">
        <f>SUMIF(B20:B333, B171, BH20:BH333)</f>
        <v>0</v>
      </c>
      <c r="BJ171" s="91"/>
      <c r="BK171" s="92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4"/>
    </row>
    <row r="172" spans="1:82" x14ac:dyDescent="0.3">
      <c r="A172" s="95" t="s">
        <v>379</v>
      </c>
      <c r="B172" s="96"/>
      <c r="C172" s="97" t="s">
        <v>152</v>
      </c>
      <c r="D172" s="97" t="s">
        <v>355</v>
      </c>
      <c r="E172" s="98" t="s">
        <v>359</v>
      </c>
      <c r="F172" s="99" t="s">
        <v>103</v>
      </c>
      <c r="G172" s="100"/>
      <c r="H172" s="101" t="s">
        <v>103</v>
      </c>
      <c r="I172" s="99" t="s">
        <v>6</v>
      </c>
      <c r="J172" s="100" t="s">
        <v>6</v>
      </c>
      <c r="K172" s="102"/>
      <c r="L172" s="103"/>
      <c r="M172" s="104"/>
      <c r="N172" s="105">
        <v>2050</v>
      </c>
      <c r="O172" s="106">
        <v>2176</v>
      </c>
      <c r="P172" s="106">
        <v>2264</v>
      </c>
      <c r="Q172" s="107"/>
      <c r="R172" s="156">
        <v>0.09</v>
      </c>
      <c r="S172" s="105">
        <v>185</v>
      </c>
      <c r="T172" s="106">
        <v>196</v>
      </c>
      <c r="U172" s="106">
        <v>204</v>
      </c>
      <c r="V172" s="107">
        <f t="shared" si="46"/>
        <v>0</v>
      </c>
      <c r="W172" s="109"/>
      <c r="X172" s="110"/>
      <c r="Y172" s="111" t="s">
        <v>104</v>
      </c>
      <c r="Z172" s="100" t="str">
        <f>'[1]Tier 1'!V172</f>
        <v>D</v>
      </c>
      <c r="AA172" s="100"/>
      <c r="AB172" s="100"/>
      <c r="AC172" s="100"/>
      <c r="AD172" s="101"/>
      <c r="AE172" s="105">
        <f>'[1]Tier 1'!W172</f>
        <v>1818</v>
      </c>
      <c r="AF172" s="106"/>
      <c r="AG172" s="106">
        <f>'[1]Tier 1'!X172</f>
        <v>1818</v>
      </c>
      <c r="AH172" s="106"/>
      <c r="AI172" s="106">
        <f>'[1]Tier 1'!Y172</f>
        <v>1818</v>
      </c>
      <c r="AJ172" s="106">
        <f t="shared" si="47"/>
        <v>1636.2</v>
      </c>
      <c r="AK172" s="106" t="e">
        <f>VLOOKUP(A172,#REF!,-1,FALSE)</f>
        <v>#REF!</v>
      </c>
      <c r="AL172" s="107" t="e">
        <f t="shared" si="48"/>
        <v>#REF!</v>
      </c>
      <c r="AM172" s="105">
        <f t="shared" si="57"/>
        <v>185</v>
      </c>
      <c r="AN172" s="112">
        <f t="shared" si="58"/>
        <v>0.10199999999999999</v>
      </c>
      <c r="AO172" s="100" t="str">
        <f t="shared" si="59"/>
        <v>OK</v>
      </c>
      <c r="AP172" s="106">
        <f t="shared" si="60"/>
        <v>196</v>
      </c>
      <c r="AQ172" s="112">
        <f t="shared" si="61"/>
        <v>0.108</v>
      </c>
      <c r="AR172" s="100" t="str">
        <f t="shared" si="62"/>
        <v>OK</v>
      </c>
      <c r="AS172" s="106">
        <f t="shared" si="63"/>
        <v>204</v>
      </c>
      <c r="AT172" s="112">
        <f t="shared" si="64"/>
        <v>0.112</v>
      </c>
      <c r="AU172" s="113" t="str">
        <f t="shared" si="65"/>
        <v>OK</v>
      </c>
      <c r="AV172" s="106">
        <f t="shared" si="49"/>
        <v>0</v>
      </c>
      <c r="AW172" s="112" t="e">
        <f t="shared" si="50"/>
        <v>#REF!</v>
      </c>
      <c r="AX172" s="114" t="e">
        <f t="shared" si="51"/>
        <v>#REF!</v>
      </c>
      <c r="AY172" s="99"/>
      <c r="AZ172" s="100"/>
      <c r="BA172" s="104">
        <f t="shared" si="52"/>
        <v>0</v>
      </c>
      <c r="BB172" s="115">
        <f t="shared" si="53"/>
        <v>1</v>
      </c>
      <c r="BC172" s="116" t="e">
        <f>SUMIF(#REF!,#REF!, BB20:BB333)</f>
        <v>#REF!</v>
      </c>
      <c r="BD172" s="116">
        <f t="shared" si="54"/>
        <v>1</v>
      </c>
      <c r="BE172" s="116" t="e">
        <f>SUMIF(#REF!,#REF!, BD20:BD333)</f>
        <v>#REF!</v>
      </c>
      <c r="BF172" s="116">
        <f t="shared" si="55"/>
        <v>0</v>
      </c>
      <c r="BG172" s="116" t="e">
        <f>SUMIF(#REF!,#REF!, BF20:BF333)</f>
        <v>#REF!</v>
      </c>
      <c r="BH172" s="116" t="e">
        <f t="shared" si="56"/>
        <v>#REF!</v>
      </c>
      <c r="BI172" s="117">
        <f>SUMIF(B20:B333, B172, BH20:BH333)</f>
        <v>0</v>
      </c>
      <c r="BJ172" s="118"/>
      <c r="BK172" s="92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4"/>
    </row>
    <row r="173" spans="1:82" x14ac:dyDescent="0.3">
      <c r="A173" s="68" t="s">
        <v>380</v>
      </c>
      <c r="B173" s="69"/>
      <c r="C173" s="70" t="s">
        <v>152</v>
      </c>
      <c r="D173" s="70" t="s">
        <v>359</v>
      </c>
      <c r="E173" s="71" t="s">
        <v>381</v>
      </c>
      <c r="F173" s="72" t="s">
        <v>103</v>
      </c>
      <c r="G173" s="73"/>
      <c r="H173" s="74" t="s">
        <v>118</v>
      </c>
      <c r="I173" s="72" t="s">
        <v>6</v>
      </c>
      <c r="J173" s="73" t="s">
        <v>6</v>
      </c>
      <c r="K173" s="75"/>
      <c r="L173" s="76"/>
      <c r="M173" s="77"/>
      <c r="N173" s="78">
        <v>2050</v>
      </c>
      <c r="O173" s="79">
        <v>2176</v>
      </c>
      <c r="P173" s="79">
        <v>2264</v>
      </c>
      <c r="Q173" s="80"/>
      <c r="R173" s="155">
        <v>0.09</v>
      </c>
      <c r="S173" s="78">
        <v>185</v>
      </c>
      <c r="T173" s="79">
        <v>196</v>
      </c>
      <c r="U173" s="79">
        <v>204</v>
      </c>
      <c r="V173" s="80">
        <f t="shared" si="46"/>
        <v>0</v>
      </c>
      <c r="W173" s="82"/>
      <c r="X173" s="83"/>
      <c r="Y173" s="84" t="s">
        <v>104</v>
      </c>
      <c r="Z173" s="73" t="str">
        <f>'[1]Tier 1'!V173</f>
        <v>D</v>
      </c>
      <c r="AA173" s="73"/>
      <c r="AB173" s="73"/>
      <c r="AC173" s="73"/>
      <c r="AD173" s="74"/>
      <c r="AE173" s="78">
        <f>'[1]Tier 1'!W173</f>
        <v>1818</v>
      </c>
      <c r="AF173" s="79"/>
      <c r="AG173" s="79">
        <f>'[1]Tier 1'!X173</f>
        <v>1818</v>
      </c>
      <c r="AH173" s="79"/>
      <c r="AI173" s="79">
        <f>'[1]Tier 1'!Y173</f>
        <v>1818</v>
      </c>
      <c r="AJ173" s="79">
        <f t="shared" si="47"/>
        <v>1636.2</v>
      </c>
      <c r="AK173" s="79" t="e">
        <f>VLOOKUP(A173,#REF!,-1,FALSE)</f>
        <v>#REF!</v>
      </c>
      <c r="AL173" s="80" t="e">
        <f t="shared" si="48"/>
        <v>#REF!</v>
      </c>
      <c r="AM173" s="78">
        <f t="shared" si="57"/>
        <v>185</v>
      </c>
      <c r="AN173" s="85">
        <f t="shared" si="58"/>
        <v>0.10199999999999999</v>
      </c>
      <c r="AO173" s="73" t="str">
        <f t="shared" si="59"/>
        <v>OK</v>
      </c>
      <c r="AP173" s="79">
        <f t="shared" si="60"/>
        <v>196</v>
      </c>
      <c r="AQ173" s="85">
        <f t="shared" si="61"/>
        <v>0.108</v>
      </c>
      <c r="AR173" s="73" t="str">
        <f t="shared" si="62"/>
        <v>OK</v>
      </c>
      <c r="AS173" s="79">
        <f t="shared" si="63"/>
        <v>204</v>
      </c>
      <c r="AT173" s="85">
        <f t="shared" si="64"/>
        <v>0.112</v>
      </c>
      <c r="AU173" s="86" t="str">
        <f t="shared" si="65"/>
        <v>OK</v>
      </c>
      <c r="AV173" s="79">
        <f t="shared" si="49"/>
        <v>0</v>
      </c>
      <c r="AW173" s="85" t="e">
        <f t="shared" si="50"/>
        <v>#REF!</v>
      </c>
      <c r="AX173" s="87" t="e">
        <f t="shared" si="51"/>
        <v>#REF!</v>
      </c>
      <c r="AY173" s="72"/>
      <c r="AZ173" s="73"/>
      <c r="BA173" s="77">
        <f t="shared" si="52"/>
        <v>0</v>
      </c>
      <c r="BB173" s="88">
        <f t="shared" si="53"/>
        <v>1</v>
      </c>
      <c r="BC173" s="89" t="e">
        <f>SUMIF(#REF!,#REF!, BB20:BB333)</f>
        <v>#REF!</v>
      </c>
      <c r="BD173" s="89">
        <f t="shared" si="54"/>
        <v>1</v>
      </c>
      <c r="BE173" s="89" t="e">
        <f>SUMIF(#REF!,#REF!, BD20:BD333)</f>
        <v>#REF!</v>
      </c>
      <c r="BF173" s="89">
        <f t="shared" si="55"/>
        <v>0</v>
      </c>
      <c r="BG173" s="89" t="e">
        <f>SUMIF(#REF!,#REF!, BF20:BF333)</f>
        <v>#REF!</v>
      </c>
      <c r="BH173" s="89" t="e">
        <f t="shared" si="56"/>
        <v>#REF!</v>
      </c>
      <c r="BI173" s="90">
        <f>SUMIF(B20:B333, B173, BH20:BH333)</f>
        <v>0</v>
      </c>
      <c r="BJ173" s="91"/>
      <c r="BK173" s="92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4"/>
    </row>
    <row r="174" spans="1:82" x14ac:dyDescent="0.3">
      <c r="A174" s="95" t="s">
        <v>382</v>
      </c>
      <c r="B174" s="96"/>
      <c r="C174" s="97" t="s">
        <v>152</v>
      </c>
      <c r="D174" s="97" t="s">
        <v>381</v>
      </c>
      <c r="E174" s="98" t="s">
        <v>102</v>
      </c>
      <c r="F174" s="99" t="s">
        <v>103</v>
      </c>
      <c r="G174" s="100"/>
      <c r="H174" s="101" t="s">
        <v>103</v>
      </c>
      <c r="I174" s="99" t="s">
        <v>6</v>
      </c>
      <c r="J174" s="100" t="s">
        <v>6</v>
      </c>
      <c r="K174" s="102"/>
      <c r="L174" s="103"/>
      <c r="M174" s="104"/>
      <c r="N174" s="105">
        <v>23460</v>
      </c>
      <c r="O174" s="106">
        <v>24252</v>
      </c>
      <c r="P174" s="106">
        <v>25264</v>
      </c>
      <c r="Q174" s="107"/>
      <c r="R174" s="156">
        <v>0</v>
      </c>
      <c r="S174" s="105">
        <v>0</v>
      </c>
      <c r="T174" s="106">
        <v>0</v>
      </c>
      <c r="U174" s="106">
        <v>0</v>
      </c>
      <c r="V174" s="107">
        <f t="shared" si="46"/>
        <v>0</v>
      </c>
      <c r="W174" s="109"/>
      <c r="X174" s="110"/>
      <c r="Y174" s="111" t="s">
        <v>104</v>
      </c>
      <c r="Z174" s="100" t="str">
        <f>'[1]Tier 1'!V174</f>
        <v>D</v>
      </c>
      <c r="AA174" s="100"/>
      <c r="AB174" s="100"/>
      <c r="AC174" s="100"/>
      <c r="AD174" s="101"/>
      <c r="AE174" s="105">
        <f>'[1]Tier 1'!W174</f>
        <v>0</v>
      </c>
      <c r="AF174" s="106"/>
      <c r="AG174" s="106">
        <f>'[1]Tier 1'!X174</f>
        <v>0</v>
      </c>
      <c r="AH174" s="106"/>
      <c r="AI174" s="106">
        <f>'[1]Tier 1'!Y174</f>
        <v>0</v>
      </c>
      <c r="AJ174" s="106">
        <f t="shared" si="47"/>
        <v>0</v>
      </c>
      <c r="AK174" s="106" t="e">
        <f>VLOOKUP(A174,#REF!,-1,FALSE)</f>
        <v>#REF!</v>
      </c>
      <c r="AL174" s="107" t="e">
        <f t="shared" si="48"/>
        <v>#REF!</v>
      </c>
      <c r="AM174" s="105">
        <f t="shared" si="57"/>
        <v>0</v>
      </c>
      <c r="AN174" s="112">
        <f t="shared" si="58"/>
        <v>0</v>
      </c>
      <c r="AO174" s="100" t="str">
        <f t="shared" si="59"/>
        <v>OK</v>
      </c>
      <c r="AP174" s="106">
        <f t="shared" si="60"/>
        <v>0</v>
      </c>
      <c r="AQ174" s="112">
        <f t="shared" si="61"/>
        <v>0</v>
      </c>
      <c r="AR174" s="100" t="str">
        <f t="shared" si="62"/>
        <v>OK</v>
      </c>
      <c r="AS174" s="106">
        <f t="shared" si="63"/>
        <v>0</v>
      </c>
      <c r="AT174" s="112">
        <f t="shared" si="64"/>
        <v>0</v>
      </c>
      <c r="AU174" s="113" t="str">
        <f t="shared" si="65"/>
        <v>OK</v>
      </c>
      <c r="AV174" s="106">
        <f t="shared" si="49"/>
        <v>0</v>
      </c>
      <c r="AW174" s="112" t="e">
        <f t="shared" si="50"/>
        <v>#REF!</v>
      </c>
      <c r="AX174" s="114" t="e">
        <f t="shared" si="51"/>
        <v>#REF!</v>
      </c>
      <c r="AY174" s="99"/>
      <c r="AZ174" s="100"/>
      <c r="BA174" s="104">
        <f t="shared" si="52"/>
        <v>0</v>
      </c>
      <c r="BB174" s="115">
        <f t="shared" si="53"/>
        <v>0</v>
      </c>
      <c r="BC174" s="116" t="e">
        <f>SUMIF(#REF!,#REF!, BB20:BB333)</f>
        <v>#REF!</v>
      </c>
      <c r="BD174" s="116">
        <f t="shared" si="54"/>
        <v>0</v>
      </c>
      <c r="BE174" s="116" t="e">
        <f>SUMIF(#REF!,#REF!, BD20:BD333)</f>
        <v>#REF!</v>
      </c>
      <c r="BF174" s="116">
        <f t="shared" si="55"/>
        <v>0</v>
      </c>
      <c r="BG174" s="116" t="e">
        <f>SUMIF(#REF!,#REF!, BF20:BF333)</f>
        <v>#REF!</v>
      </c>
      <c r="BH174" s="116" t="e">
        <f t="shared" si="56"/>
        <v>#REF!</v>
      </c>
      <c r="BI174" s="117">
        <f>SUMIF(B20:B333, B174, BH20:BH333)</f>
        <v>0</v>
      </c>
      <c r="BJ174" s="118"/>
      <c r="BK174" s="92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4"/>
    </row>
    <row r="175" spans="1:82" x14ac:dyDescent="0.3">
      <c r="A175" s="68" t="s">
        <v>383</v>
      </c>
      <c r="B175" s="69"/>
      <c r="C175" s="70" t="s">
        <v>384</v>
      </c>
      <c r="D175" s="70" t="s">
        <v>102</v>
      </c>
      <c r="E175" s="71" t="s">
        <v>200</v>
      </c>
      <c r="F175" s="72" t="s">
        <v>103</v>
      </c>
      <c r="G175" s="73"/>
      <c r="H175" s="74" t="s">
        <v>103</v>
      </c>
      <c r="I175" s="72" t="s">
        <v>4</v>
      </c>
      <c r="J175" s="73" t="s">
        <v>6</v>
      </c>
      <c r="K175" s="75"/>
      <c r="L175" s="76"/>
      <c r="M175" s="77"/>
      <c r="N175" s="78">
        <v>9325</v>
      </c>
      <c r="O175" s="79">
        <v>10100</v>
      </c>
      <c r="P175" s="79">
        <v>10617</v>
      </c>
      <c r="Q175" s="80"/>
      <c r="R175" s="155">
        <v>0</v>
      </c>
      <c r="S175" s="78">
        <v>0</v>
      </c>
      <c r="T175" s="79">
        <v>0</v>
      </c>
      <c r="U175" s="79">
        <v>0</v>
      </c>
      <c r="V175" s="80">
        <f t="shared" si="46"/>
        <v>0</v>
      </c>
      <c r="W175" s="82"/>
      <c r="X175" s="83"/>
      <c r="Y175" s="84" t="s">
        <v>104</v>
      </c>
      <c r="Z175" s="73" t="str">
        <f>'[1]Tier 1'!V175</f>
        <v>D</v>
      </c>
      <c r="AA175" s="73"/>
      <c r="AB175" s="73"/>
      <c r="AC175" s="73"/>
      <c r="AD175" s="74"/>
      <c r="AE175" s="78">
        <f>'[1]Tier 1'!W175</f>
        <v>0</v>
      </c>
      <c r="AF175" s="79"/>
      <c r="AG175" s="79">
        <f>'[1]Tier 1'!X175</f>
        <v>0</v>
      </c>
      <c r="AH175" s="79"/>
      <c r="AI175" s="79">
        <f>'[1]Tier 1'!Y175</f>
        <v>0</v>
      </c>
      <c r="AJ175" s="79">
        <f t="shared" si="47"/>
        <v>0</v>
      </c>
      <c r="AK175" s="79" t="e">
        <f>VLOOKUP(A175,#REF!,-1,FALSE)</f>
        <v>#REF!</v>
      </c>
      <c r="AL175" s="80" t="e">
        <f t="shared" si="48"/>
        <v>#REF!</v>
      </c>
      <c r="AM175" s="78">
        <f t="shared" si="57"/>
        <v>0</v>
      </c>
      <c r="AN175" s="85">
        <f t="shared" si="58"/>
        <v>0</v>
      </c>
      <c r="AO175" s="73" t="str">
        <f t="shared" si="59"/>
        <v>OK</v>
      </c>
      <c r="AP175" s="79">
        <f t="shared" si="60"/>
        <v>0</v>
      </c>
      <c r="AQ175" s="85">
        <f t="shared" si="61"/>
        <v>0</v>
      </c>
      <c r="AR175" s="73" t="str">
        <f t="shared" si="62"/>
        <v>OK</v>
      </c>
      <c r="AS175" s="79">
        <f t="shared" si="63"/>
        <v>0</v>
      </c>
      <c r="AT175" s="85">
        <f t="shared" si="64"/>
        <v>0</v>
      </c>
      <c r="AU175" s="86" t="str">
        <f t="shared" si="65"/>
        <v>OK</v>
      </c>
      <c r="AV175" s="79">
        <f t="shared" si="49"/>
        <v>0</v>
      </c>
      <c r="AW175" s="85" t="e">
        <f t="shared" si="50"/>
        <v>#REF!</v>
      </c>
      <c r="AX175" s="87" t="e">
        <f t="shared" si="51"/>
        <v>#REF!</v>
      </c>
      <c r="AY175" s="72"/>
      <c r="AZ175" s="73"/>
      <c r="BA175" s="77">
        <f t="shared" si="52"/>
        <v>0</v>
      </c>
      <c r="BB175" s="88">
        <f t="shared" si="53"/>
        <v>0</v>
      </c>
      <c r="BC175" s="89" t="e">
        <f>SUMIF(#REF!,#REF!, BB20:BB333)</f>
        <v>#REF!</v>
      </c>
      <c r="BD175" s="89">
        <f t="shared" si="54"/>
        <v>0</v>
      </c>
      <c r="BE175" s="89" t="e">
        <f>SUMIF(#REF!,#REF!, BD20:BD333)</f>
        <v>#REF!</v>
      </c>
      <c r="BF175" s="89">
        <f t="shared" si="55"/>
        <v>0</v>
      </c>
      <c r="BG175" s="89" t="e">
        <f>SUMIF(#REF!,#REF!, BF20:BF333)</f>
        <v>#REF!</v>
      </c>
      <c r="BH175" s="89" t="e">
        <f t="shared" si="56"/>
        <v>#REF!</v>
      </c>
      <c r="BI175" s="90">
        <f>SUMIF(B20:B333, B175, BH20:BH333)</f>
        <v>0</v>
      </c>
      <c r="BJ175" s="91"/>
      <c r="BK175" s="92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4"/>
    </row>
    <row r="176" spans="1:82" x14ac:dyDescent="0.3">
      <c r="A176" s="95" t="s">
        <v>385</v>
      </c>
      <c r="B176" s="96"/>
      <c r="C176" s="97" t="s">
        <v>384</v>
      </c>
      <c r="D176" s="97" t="s">
        <v>200</v>
      </c>
      <c r="E176" s="98" t="s">
        <v>160</v>
      </c>
      <c r="F176" s="99" t="s">
        <v>103</v>
      </c>
      <c r="G176" s="100"/>
      <c r="H176" s="101" t="s">
        <v>103</v>
      </c>
      <c r="I176" s="99" t="s">
        <v>4</v>
      </c>
      <c r="J176" s="100" t="s">
        <v>6</v>
      </c>
      <c r="K176" s="102"/>
      <c r="L176" s="103"/>
      <c r="M176" s="104"/>
      <c r="N176" s="105">
        <v>5626</v>
      </c>
      <c r="O176" s="106">
        <v>5971</v>
      </c>
      <c r="P176" s="106">
        <v>6212</v>
      </c>
      <c r="Q176" s="107"/>
      <c r="R176" s="156">
        <v>0.09</v>
      </c>
      <c r="S176" s="105">
        <v>506</v>
      </c>
      <c r="T176" s="106">
        <v>537</v>
      </c>
      <c r="U176" s="106">
        <v>559</v>
      </c>
      <c r="V176" s="107">
        <f t="shared" si="46"/>
        <v>0</v>
      </c>
      <c r="W176" s="109"/>
      <c r="X176" s="110"/>
      <c r="Y176" s="111" t="s">
        <v>104</v>
      </c>
      <c r="Z176" s="100" t="str">
        <f>'[1]Tier 1'!V176</f>
        <v>D</v>
      </c>
      <c r="AA176" s="100"/>
      <c r="AB176" s="100"/>
      <c r="AC176" s="100"/>
      <c r="AD176" s="101"/>
      <c r="AE176" s="105">
        <f>'[1]Tier 1'!W176</f>
        <v>1962</v>
      </c>
      <c r="AF176" s="106"/>
      <c r="AG176" s="106">
        <f>'[1]Tier 1'!X176</f>
        <v>1962</v>
      </c>
      <c r="AH176" s="106"/>
      <c r="AI176" s="106">
        <f>'[1]Tier 1'!Y176</f>
        <v>1962</v>
      </c>
      <c r="AJ176" s="106">
        <f t="shared" si="47"/>
        <v>1765.8</v>
      </c>
      <c r="AK176" s="106" t="e">
        <f>VLOOKUP(A176,#REF!,-1,FALSE)</f>
        <v>#REF!</v>
      </c>
      <c r="AL176" s="107" t="e">
        <f t="shared" si="48"/>
        <v>#REF!</v>
      </c>
      <c r="AM176" s="105">
        <f t="shared" si="57"/>
        <v>506</v>
      </c>
      <c r="AN176" s="112">
        <f t="shared" si="58"/>
        <v>0.25800000000000001</v>
      </c>
      <c r="AO176" s="100" t="str">
        <f t="shared" si="59"/>
        <v>OK</v>
      </c>
      <c r="AP176" s="106">
        <f t="shared" si="60"/>
        <v>537</v>
      </c>
      <c r="AQ176" s="112">
        <f t="shared" si="61"/>
        <v>0.27400000000000002</v>
      </c>
      <c r="AR176" s="100" t="str">
        <f t="shared" si="62"/>
        <v>OK</v>
      </c>
      <c r="AS176" s="106">
        <f t="shared" si="63"/>
        <v>559</v>
      </c>
      <c r="AT176" s="112">
        <f t="shared" si="64"/>
        <v>0.28499999999999998</v>
      </c>
      <c r="AU176" s="113" t="str">
        <f t="shared" si="65"/>
        <v>OK</v>
      </c>
      <c r="AV176" s="106">
        <f t="shared" si="49"/>
        <v>0</v>
      </c>
      <c r="AW176" s="112" t="e">
        <f t="shared" si="50"/>
        <v>#REF!</v>
      </c>
      <c r="AX176" s="114" t="e">
        <f t="shared" si="51"/>
        <v>#REF!</v>
      </c>
      <c r="AY176" s="99"/>
      <c r="AZ176" s="100"/>
      <c r="BA176" s="104">
        <f t="shared" si="52"/>
        <v>0</v>
      </c>
      <c r="BB176" s="115">
        <f t="shared" si="53"/>
        <v>1</v>
      </c>
      <c r="BC176" s="116" t="e">
        <f>SUMIF(#REF!,#REF!, BB20:BB333)</f>
        <v>#REF!</v>
      </c>
      <c r="BD176" s="116">
        <f t="shared" si="54"/>
        <v>1</v>
      </c>
      <c r="BE176" s="116" t="e">
        <f>SUMIF(#REF!,#REF!, BD20:BD333)</f>
        <v>#REF!</v>
      </c>
      <c r="BF176" s="116">
        <f t="shared" si="55"/>
        <v>0</v>
      </c>
      <c r="BG176" s="116" t="e">
        <f>SUMIF(#REF!,#REF!, BF20:BF333)</f>
        <v>#REF!</v>
      </c>
      <c r="BH176" s="116" t="e">
        <f t="shared" si="56"/>
        <v>#REF!</v>
      </c>
      <c r="BI176" s="117">
        <f>SUMIF(B20:B333, B176, BH20:BH333)</f>
        <v>0</v>
      </c>
      <c r="BJ176" s="118"/>
      <c r="BK176" s="92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4"/>
    </row>
    <row r="177" spans="1:82" x14ac:dyDescent="0.3">
      <c r="A177" s="68" t="s">
        <v>386</v>
      </c>
      <c r="B177" s="69"/>
      <c r="C177" s="70" t="s">
        <v>384</v>
      </c>
      <c r="D177" s="70" t="s">
        <v>160</v>
      </c>
      <c r="E177" s="71" t="s">
        <v>140</v>
      </c>
      <c r="F177" s="72" t="s">
        <v>103</v>
      </c>
      <c r="G177" s="73"/>
      <c r="H177" s="74" t="s">
        <v>103</v>
      </c>
      <c r="I177" s="72" t="s">
        <v>4</v>
      </c>
      <c r="J177" s="73" t="s">
        <v>6</v>
      </c>
      <c r="K177" s="75"/>
      <c r="L177" s="76"/>
      <c r="M177" s="77"/>
      <c r="N177" s="78">
        <v>2568</v>
      </c>
      <c r="O177" s="79">
        <v>2725</v>
      </c>
      <c r="P177" s="79">
        <v>2835</v>
      </c>
      <c r="Q177" s="80"/>
      <c r="R177" s="155">
        <v>0.09</v>
      </c>
      <c r="S177" s="78">
        <v>231</v>
      </c>
      <c r="T177" s="79">
        <v>245</v>
      </c>
      <c r="U177" s="79">
        <v>255</v>
      </c>
      <c r="V177" s="80">
        <f t="shared" si="46"/>
        <v>0</v>
      </c>
      <c r="W177" s="82"/>
      <c r="X177" s="83"/>
      <c r="Y177" s="84" t="s">
        <v>104</v>
      </c>
      <c r="Z177" s="73" t="str">
        <f>'[1]Tier 1'!V177</f>
        <v>D</v>
      </c>
      <c r="AA177" s="73"/>
      <c r="AB177" s="73"/>
      <c r="AC177" s="73"/>
      <c r="AD177" s="74"/>
      <c r="AE177" s="78">
        <f>'[1]Tier 1'!W177</f>
        <v>1962</v>
      </c>
      <c r="AF177" s="79"/>
      <c r="AG177" s="79">
        <f>'[1]Tier 1'!X177</f>
        <v>1962</v>
      </c>
      <c r="AH177" s="79"/>
      <c r="AI177" s="79">
        <f>'[1]Tier 1'!Y177</f>
        <v>1962</v>
      </c>
      <c r="AJ177" s="79">
        <f t="shared" si="47"/>
        <v>1765.8</v>
      </c>
      <c r="AK177" s="79" t="e">
        <f>VLOOKUP(A177,#REF!,-1,FALSE)</f>
        <v>#REF!</v>
      </c>
      <c r="AL177" s="80" t="e">
        <f t="shared" si="48"/>
        <v>#REF!</v>
      </c>
      <c r="AM177" s="78">
        <f t="shared" si="57"/>
        <v>231</v>
      </c>
      <c r="AN177" s="85">
        <f t="shared" si="58"/>
        <v>0.11799999999999999</v>
      </c>
      <c r="AO177" s="73" t="str">
        <f t="shared" si="59"/>
        <v>OK</v>
      </c>
      <c r="AP177" s="79">
        <f t="shared" si="60"/>
        <v>245</v>
      </c>
      <c r="AQ177" s="85">
        <f t="shared" si="61"/>
        <v>0.125</v>
      </c>
      <c r="AR177" s="73" t="str">
        <f t="shared" si="62"/>
        <v>OK</v>
      </c>
      <c r="AS177" s="79">
        <f t="shared" si="63"/>
        <v>255</v>
      </c>
      <c r="AT177" s="85">
        <f t="shared" si="64"/>
        <v>0.13</v>
      </c>
      <c r="AU177" s="86" t="str">
        <f t="shared" si="65"/>
        <v>OK</v>
      </c>
      <c r="AV177" s="79">
        <f t="shared" si="49"/>
        <v>0</v>
      </c>
      <c r="AW177" s="85" t="e">
        <f t="shared" si="50"/>
        <v>#REF!</v>
      </c>
      <c r="AX177" s="87" t="e">
        <f t="shared" si="51"/>
        <v>#REF!</v>
      </c>
      <c r="AY177" s="72"/>
      <c r="AZ177" s="73"/>
      <c r="BA177" s="77">
        <f t="shared" si="52"/>
        <v>0</v>
      </c>
      <c r="BB177" s="88">
        <f t="shared" si="53"/>
        <v>1</v>
      </c>
      <c r="BC177" s="89" t="e">
        <f>SUMIF(#REF!,#REF!, BB20:BB333)</f>
        <v>#REF!</v>
      </c>
      <c r="BD177" s="89">
        <f t="shared" si="54"/>
        <v>1</v>
      </c>
      <c r="BE177" s="89" t="e">
        <f>SUMIF(#REF!,#REF!, BD20:BD333)</f>
        <v>#REF!</v>
      </c>
      <c r="BF177" s="89">
        <f t="shared" si="55"/>
        <v>0</v>
      </c>
      <c r="BG177" s="89" t="e">
        <f>SUMIF(#REF!,#REF!, BF20:BF333)</f>
        <v>#REF!</v>
      </c>
      <c r="BH177" s="89" t="e">
        <f t="shared" si="56"/>
        <v>#REF!</v>
      </c>
      <c r="BI177" s="90">
        <f>SUMIF(B20:B333, B177, BH20:BH333)</f>
        <v>0</v>
      </c>
      <c r="BJ177" s="91"/>
      <c r="BK177" s="92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4"/>
    </row>
    <row r="178" spans="1:82" x14ac:dyDescent="0.3">
      <c r="A178" s="95" t="s">
        <v>387</v>
      </c>
      <c r="B178" s="96"/>
      <c r="C178" s="97" t="s">
        <v>261</v>
      </c>
      <c r="D178" s="97" t="s">
        <v>200</v>
      </c>
      <c r="E178" s="98" t="s">
        <v>232</v>
      </c>
      <c r="F178" s="99" t="s">
        <v>103</v>
      </c>
      <c r="G178" s="100"/>
      <c r="H178" s="101" t="s">
        <v>103</v>
      </c>
      <c r="I178" s="99" t="s">
        <v>6</v>
      </c>
      <c r="J178" s="100" t="s">
        <v>6</v>
      </c>
      <c r="K178" s="102"/>
      <c r="L178" s="103"/>
      <c r="M178" s="104"/>
      <c r="N178" s="105">
        <v>1256</v>
      </c>
      <c r="O178" s="106">
        <v>1376</v>
      </c>
      <c r="P178" s="106">
        <v>1456</v>
      </c>
      <c r="Q178" s="107"/>
      <c r="R178" s="156">
        <v>0.09</v>
      </c>
      <c r="S178" s="105">
        <v>113</v>
      </c>
      <c r="T178" s="106">
        <v>124</v>
      </c>
      <c r="U178" s="106">
        <v>131</v>
      </c>
      <c r="V178" s="107">
        <f t="shared" si="46"/>
        <v>0</v>
      </c>
      <c r="W178" s="109"/>
      <c r="X178" s="110"/>
      <c r="Y178" s="111" t="s">
        <v>104</v>
      </c>
      <c r="Z178" s="100" t="str">
        <f>'[1]Tier 1'!V178</f>
        <v>D</v>
      </c>
      <c r="AA178" s="100"/>
      <c r="AB178" s="100"/>
      <c r="AC178" s="100"/>
      <c r="AD178" s="101"/>
      <c r="AE178" s="105">
        <f>'[1]Tier 1'!W178</f>
        <v>1899</v>
      </c>
      <c r="AF178" s="106"/>
      <c r="AG178" s="106">
        <f>'[1]Tier 1'!X178</f>
        <v>1899</v>
      </c>
      <c r="AH178" s="106"/>
      <c r="AI178" s="106">
        <f>'[1]Tier 1'!Y178</f>
        <v>1899</v>
      </c>
      <c r="AJ178" s="106">
        <f t="shared" si="47"/>
        <v>1709.1000000000001</v>
      </c>
      <c r="AK178" s="106" t="e">
        <f>VLOOKUP(A178,#REF!,-1,FALSE)</f>
        <v>#REF!</v>
      </c>
      <c r="AL178" s="107" t="e">
        <f t="shared" si="48"/>
        <v>#REF!</v>
      </c>
      <c r="AM178" s="105">
        <f t="shared" si="57"/>
        <v>113</v>
      </c>
      <c r="AN178" s="112">
        <f t="shared" si="58"/>
        <v>0.06</v>
      </c>
      <c r="AO178" s="100" t="str">
        <f t="shared" si="59"/>
        <v>OK</v>
      </c>
      <c r="AP178" s="106">
        <f t="shared" si="60"/>
        <v>124</v>
      </c>
      <c r="AQ178" s="112">
        <f t="shared" si="61"/>
        <v>6.5000000000000002E-2</v>
      </c>
      <c r="AR178" s="100" t="str">
        <f t="shared" si="62"/>
        <v>OK</v>
      </c>
      <c r="AS178" s="106">
        <f t="shared" si="63"/>
        <v>131</v>
      </c>
      <c r="AT178" s="112">
        <f t="shared" si="64"/>
        <v>6.9000000000000006E-2</v>
      </c>
      <c r="AU178" s="113" t="str">
        <f t="shared" si="65"/>
        <v>OK</v>
      </c>
      <c r="AV178" s="106">
        <f t="shared" si="49"/>
        <v>0</v>
      </c>
      <c r="AW178" s="112" t="e">
        <f t="shared" si="50"/>
        <v>#REF!</v>
      </c>
      <c r="AX178" s="114" t="e">
        <f t="shared" si="51"/>
        <v>#REF!</v>
      </c>
      <c r="AY178" s="99"/>
      <c r="AZ178" s="100"/>
      <c r="BA178" s="104">
        <f t="shared" si="52"/>
        <v>0</v>
      </c>
      <c r="BB178" s="115">
        <f t="shared" si="53"/>
        <v>1</v>
      </c>
      <c r="BC178" s="116" t="e">
        <f>SUMIF(#REF!,#REF!, BB20:BB333)</f>
        <v>#REF!</v>
      </c>
      <c r="BD178" s="116">
        <f t="shared" si="54"/>
        <v>1</v>
      </c>
      <c r="BE178" s="116" t="e">
        <f>SUMIF(#REF!,#REF!, BD20:BD333)</f>
        <v>#REF!</v>
      </c>
      <c r="BF178" s="116">
        <f t="shared" si="55"/>
        <v>0</v>
      </c>
      <c r="BG178" s="116" t="e">
        <f>SUMIF(#REF!,#REF!, BF20:BF333)</f>
        <v>#REF!</v>
      </c>
      <c r="BH178" s="116" t="e">
        <f t="shared" si="56"/>
        <v>#REF!</v>
      </c>
      <c r="BI178" s="117">
        <f>SUMIF(B20:B333, B178, BH20:BH333)</f>
        <v>0</v>
      </c>
      <c r="BJ178" s="118"/>
      <c r="BK178" s="92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4"/>
    </row>
    <row r="179" spans="1:82" x14ac:dyDescent="0.3">
      <c r="A179" s="68" t="s">
        <v>388</v>
      </c>
      <c r="B179" s="69"/>
      <c r="C179" s="70" t="s">
        <v>261</v>
      </c>
      <c r="D179" s="70" t="s">
        <v>232</v>
      </c>
      <c r="E179" s="71" t="s">
        <v>168</v>
      </c>
      <c r="F179" s="72" t="s">
        <v>103</v>
      </c>
      <c r="G179" s="73"/>
      <c r="H179" s="74" t="s">
        <v>103</v>
      </c>
      <c r="I179" s="72" t="s">
        <v>4</v>
      </c>
      <c r="J179" s="73" t="s">
        <v>6</v>
      </c>
      <c r="K179" s="75"/>
      <c r="L179" s="76"/>
      <c r="M179" s="77"/>
      <c r="N179" s="78">
        <v>1256</v>
      </c>
      <c r="O179" s="79">
        <v>1376</v>
      </c>
      <c r="P179" s="79">
        <v>1456</v>
      </c>
      <c r="Q179" s="80"/>
      <c r="R179" s="155">
        <v>0.09</v>
      </c>
      <c r="S179" s="78">
        <v>113</v>
      </c>
      <c r="T179" s="79">
        <v>124</v>
      </c>
      <c r="U179" s="79">
        <v>131</v>
      </c>
      <c r="V179" s="80">
        <f t="shared" si="46"/>
        <v>0</v>
      </c>
      <c r="W179" s="82"/>
      <c r="X179" s="83"/>
      <c r="Y179" s="84" t="s">
        <v>104</v>
      </c>
      <c r="Z179" s="73" t="str">
        <f>'[1]Tier 1'!V179</f>
        <v>D</v>
      </c>
      <c r="AA179" s="73"/>
      <c r="AB179" s="73"/>
      <c r="AC179" s="73"/>
      <c r="AD179" s="74"/>
      <c r="AE179" s="78">
        <f>'[1]Tier 1'!W179</f>
        <v>1818</v>
      </c>
      <c r="AF179" s="79"/>
      <c r="AG179" s="79">
        <f>'[1]Tier 1'!X179</f>
        <v>1818</v>
      </c>
      <c r="AH179" s="79"/>
      <c r="AI179" s="79">
        <f>'[1]Tier 1'!Y179</f>
        <v>1818</v>
      </c>
      <c r="AJ179" s="79">
        <f t="shared" si="47"/>
        <v>1636.2</v>
      </c>
      <c r="AK179" s="79" t="e">
        <f>VLOOKUP(A179,#REF!,-1,FALSE)</f>
        <v>#REF!</v>
      </c>
      <c r="AL179" s="80" t="e">
        <f t="shared" si="48"/>
        <v>#REF!</v>
      </c>
      <c r="AM179" s="78">
        <f t="shared" si="57"/>
        <v>113</v>
      </c>
      <c r="AN179" s="85">
        <f t="shared" si="58"/>
        <v>6.2E-2</v>
      </c>
      <c r="AO179" s="73" t="str">
        <f t="shared" si="59"/>
        <v>OK</v>
      </c>
      <c r="AP179" s="79">
        <f t="shared" si="60"/>
        <v>124</v>
      </c>
      <c r="AQ179" s="85">
        <f t="shared" si="61"/>
        <v>6.8000000000000005E-2</v>
      </c>
      <c r="AR179" s="73" t="str">
        <f t="shared" si="62"/>
        <v>OK</v>
      </c>
      <c r="AS179" s="79">
        <f t="shared" si="63"/>
        <v>131</v>
      </c>
      <c r="AT179" s="85">
        <f t="shared" si="64"/>
        <v>7.1999999999999995E-2</v>
      </c>
      <c r="AU179" s="86" t="str">
        <f t="shared" si="65"/>
        <v>OK</v>
      </c>
      <c r="AV179" s="79">
        <f t="shared" si="49"/>
        <v>0</v>
      </c>
      <c r="AW179" s="85" t="e">
        <f t="shared" si="50"/>
        <v>#REF!</v>
      </c>
      <c r="AX179" s="87" t="e">
        <f t="shared" si="51"/>
        <v>#REF!</v>
      </c>
      <c r="AY179" s="72"/>
      <c r="AZ179" s="73"/>
      <c r="BA179" s="77">
        <f t="shared" si="52"/>
        <v>0</v>
      </c>
      <c r="BB179" s="88">
        <f t="shared" si="53"/>
        <v>1</v>
      </c>
      <c r="BC179" s="89" t="e">
        <f>SUMIF(#REF!,#REF!, BB20:BB333)</f>
        <v>#REF!</v>
      </c>
      <c r="BD179" s="89">
        <f t="shared" si="54"/>
        <v>1</v>
      </c>
      <c r="BE179" s="89" t="e">
        <f>SUMIF(#REF!,#REF!, BD20:BD333)</f>
        <v>#REF!</v>
      </c>
      <c r="BF179" s="89">
        <f t="shared" si="55"/>
        <v>0</v>
      </c>
      <c r="BG179" s="89" t="e">
        <f>SUMIF(#REF!,#REF!, BF20:BF333)</f>
        <v>#REF!</v>
      </c>
      <c r="BH179" s="89" t="e">
        <f t="shared" si="56"/>
        <v>#REF!</v>
      </c>
      <c r="BI179" s="90">
        <f>SUMIF(B20:B333, B179, BH20:BH333)</f>
        <v>0</v>
      </c>
      <c r="BJ179" s="91"/>
      <c r="BK179" s="92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4"/>
    </row>
    <row r="180" spans="1:82" x14ac:dyDescent="0.3">
      <c r="A180" s="95" t="s">
        <v>389</v>
      </c>
      <c r="B180" s="96"/>
      <c r="C180" s="97" t="s">
        <v>261</v>
      </c>
      <c r="D180" s="97" t="s">
        <v>168</v>
      </c>
      <c r="E180" s="98" t="s">
        <v>140</v>
      </c>
      <c r="F180" s="99" t="s">
        <v>103</v>
      </c>
      <c r="G180" s="100"/>
      <c r="H180" s="101" t="s">
        <v>109</v>
      </c>
      <c r="I180" s="99" t="s">
        <v>4</v>
      </c>
      <c r="J180" s="100" t="s">
        <v>6</v>
      </c>
      <c r="K180" s="102"/>
      <c r="L180" s="103"/>
      <c r="M180" s="104"/>
      <c r="N180" s="105">
        <v>1256</v>
      </c>
      <c r="O180" s="106">
        <v>1376</v>
      </c>
      <c r="P180" s="106">
        <v>1456</v>
      </c>
      <c r="Q180" s="107"/>
      <c r="R180" s="156">
        <v>0.09</v>
      </c>
      <c r="S180" s="105">
        <v>113</v>
      </c>
      <c r="T180" s="106">
        <v>124</v>
      </c>
      <c r="U180" s="106">
        <v>131</v>
      </c>
      <c r="V180" s="107">
        <f t="shared" si="46"/>
        <v>0</v>
      </c>
      <c r="W180" s="109"/>
      <c r="X180" s="110"/>
      <c r="Y180" s="111" t="s">
        <v>104</v>
      </c>
      <c r="Z180" s="100" t="str">
        <f>'[1]Tier 1'!V180</f>
        <v>D</v>
      </c>
      <c r="AA180" s="100"/>
      <c r="AB180" s="100"/>
      <c r="AC180" s="100"/>
      <c r="AD180" s="101"/>
      <c r="AE180" s="105">
        <f>'[1]Tier 1'!W180</f>
        <v>1818</v>
      </c>
      <c r="AF180" s="106"/>
      <c r="AG180" s="106">
        <f>'[1]Tier 1'!X180</f>
        <v>1818</v>
      </c>
      <c r="AH180" s="106"/>
      <c r="AI180" s="106">
        <f>'[1]Tier 1'!Y180</f>
        <v>1818</v>
      </c>
      <c r="AJ180" s="106">
        <f t="shared" si="47"/>
        <v>1636.2</v>
      </c>
      <c r="AK180" s="106" t="e">
        <f>VLOOKUP(A180,#REF!,-1,FALSE)</f>
        <v>#REF!</v>
      </c>
      <c r="AL180" s="107" t="e">
        <f t="shared" si="48"/>
        <v>#REF!</v>
      </c>
      <c r="AM180" s="105">
        <f t="shared" si="57"/>
        <v>113</v>
      </c>
      <c r="AN180" s="112">
        <f t="shared" si="58"/>
        <v>6.2E-2</v>
      </c>
      <c r="AO180" s="100" t="str">
        <f t="shared" si="59"/>
        <v>OK</v>
      </c>
      <c r="AP180" s="106">
        <f t="shared" si="60"/>
        <v>124</v>
      </c>
      <c r="AQ180" s="112">
        <f t="shared" si="61"/>
        <v>6.8000000000000005E-2</v>
      </c>
      <c r="AR180" s="100" t="str">
        <f t="shared" si="62"/>
        <v>OK</v>
      </c>
      <c r="AS180" s="106">
        <f t="shared" si="63"/>
        <v>131</v>
      </c>
      <c r="AT180" s="112">
        <f t="shared" si="64"/>
        <v>7.1999999999999995E-2</v>
      </c>
      <c r="AU180" s="113" t="str">
        <f t="shared" si="65"/>
        <v>OK</v>
      </c>
      <c r="AV180" s="106">
        <f t="shared" si="49"/>
        <v>0</v>
      </c>
      <c r="AW180" s="112" t="e">
        <f t="shared" si="50"/>
        <v>#REF!</v>
      </c>
      <c r="AX180" s="114" t="e">
        <f t="shared" si="51"/>
        <v>#REF!</v>
      </c>
      <c r="AY180" s="99"/>
      <c r="AZ180" s="100"/>
      <c r="BA180" s="104">
        <f t="shared" si="52"/>
        <v>0</v>
      </c>
      <c r="BB180" s="115">
        <f t="shared" si="53"/>
        <v>1</v>
      </c>
      <c r="BC180" s="116" t="e">
        <f>SUMIF(#REF!,#REF!, BB20:BB333)</f>
        <v>#REF!</v>
      </c>
      <c r="BD180" s="116">
        <f t="shared" si="54"/>
        <v>1</v>
      </c>
      <c r="BE180" s="116" t="e">
        <f>SUMIF(#REF!,#REF!, BD20:BD333)</f>
        <v>#REF!</v>
      </c>
      <c r="BF180" s="116">
        <f t="shared" si="55"/>
        <v>0</v>
      </c>
      <c r="BG180" s="116" t="e">
        <f>SUMIF(#REF!,#REF!, BF20:BF333)</f>
        <v>#REF!</v>
      </c>
      <c r="BH180" s="116" t="e">
        <f t="shared" si="56"/>
        <v>#REF!</v>
      </c>
      <c r="BI180" s="117">
        <f>SUMIF(B20:B333, B180, BH20:BH333)</f>
        <v>0</v>
      </c>
      <c r="BJ180" s="118"/>
      <c r="BK180" s="92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4"/>
    </row>
    <row r="181" spans="1:82" x14ac:dyDescent="0.3">
      <c r="A181" s="68" t="s">
        <v>390</v>
      </c>
      <c r="B181" s="69"/>
      <c r="C181" s="70" t="s">
        <v>261</v>
      </c>
      <c r="D181" s="70" t="s">
        <v>140</v>
      </c>
      <c r="E181" s="71" t="s">
        <v>170</v>
      </c>
      <c r="F181" s="72" t="s">
        <v>103</v>
      </c>
      <c r="G181" s="73"/>
      <c r="H181" s="74" t="s">
        <v>109</v>
      </c>
      <c r="I181" s="72" t="s">
        <v>4</v>
      </c>
      <c r="J181" s="73" t="s">
        <v>6</v>
      </c>
      <c r="K181" s="75"/>
      <c r="L181" s="76"/>
      <c r="M181" s="77"/>
      <c r="N181" s="78">
        <v>5100</v>
      </c>
      <c r="O181" s="79">
        <v>5024</v>
      </c>
      <c r="P181" s="79">
        <v>5133</v>
      </c>
      <c r="Q181" s="80"/>
      <c r="R181" s="155">
        <v>0.09</v>
      </c>
      <c r="S181" s="78">
        <v>459</v>
      </c>
      <c r="T181" s="79">
        <v>452</v>
      </c>
      <c r="U181" s="79">
        <v>462</v>
      </c>
      <c r="V181" s="80">
        <f t="shared" si="46"/>
        <v>0</v>
      </c>
      <c r="W181" s="82"/>
      <c r="X181" s="83"/>
      <c r="Y181" s="84" t="s">
        <v>104</v>
      </c>
      <c r="Z181" s="73" t="str">
        <f>'[1]Tier 1'!V181</f>
        <v>D</v>
      </c>
      <c r="AA181" s="73"/>
      <c r="AB181" s="73"/>
      <c r="AC181" s="73"/>
      <c r="AD181" s="74"/>
      <c r="AE181" s="78">
        <f>'[1]Tier 1'!W181</f>
        <v>1197</v>
      </c>
      <c r="AF181" s="79"/>
      <c r="AG181" s="79">
        <f>'[1]Tier 1'!X181</f>
        <v>1197</v>
      </c>
      <c r="AH181" s="79"/>
      <c r="AI181" s="79">
        <f>'[1]Tier 1'!Y181</f>
        <v>1197</v>
      </c>
      <c r="AJ181" s="79">
        <f t="shared" si="47"/>
        <v>1077.3</v>
      </c>
      <c r="AK181" s="79" t="e">
        <f>VLOOKUP(A181,#REF!,-1,FALSE)</f>
        <v>#REF!</v>
      </c>
      <c r="AL181" s="80" t="e">
        <f t="shared" si="48"/>
        <v>#REF!</v>
      </c>
      <c r="AM181" s="78">
        <f t="shared" si="57"/>
        <v>459</v>
      </c>
      <c r="AN181" s="85">
        <f t="shared" si="58"/>
        <v>0.38300000000000001</v>
      </c>
      <c r="AO181" s="73" t="str">
        <f t="shared" si="59"/>
        <v>OK</v>
      </c>
      <c r="AP181" s="79">
        <f t="shared" si="60"/>
        <v>452</v>
      </c>
      <c r="AQ181" s="85">
        <f t="shared" si="61"/>
        <v>0.378</v>
      </c>
      <c r="AR181" s="73" t="str">
        <f t="shared" si="62"/>
        <v>OK</v>
      </c>
      <c r="AS181" s="79">
        <f t="shared" si="63"/>
        <v>462</v>
      </c>
      <c r="AT181" s="85">
        <f t="shared" si="64"/>
        <v>0.38600000000000001</v>
      </c>
      <c r="AU181" s="86" t="str">
        <f t="shared" si="65"/>
        <v>OK</v>
      </c>
      <c r="AV181" s="79">
        <f t="shared" si="49"/>
        <v>0</v>
      </c>
      <c r="AW181" s="85" t="e">
        <f t="shared" si="50"/>
        <v>#REF!</v>
      </c>
      <c r="AX181" s="87" t="e">
        <f t="shared" si="51"/>
        <v>#REF!</v>
      </c>
      <c r="AY181" s="72"/>
      <c r="AZ181" s="73"/>
      <c r="BA181" s="77">
        <f t="shared" si="52"/>
        <v>0</v>
      </c>
      <c r="BB181" s="88">
        <f t="shared" si="53"/>
        <v>1</v>
      </c>
      <c r="BC181" s="89" t="e">
        <f>SUMIF(#REF!,#REF!, BB20:BB333)</f>
        <v>#REF!</v>
      </c>
      <c r="BD181" s="89">
        <f t="shared" si="54"/>
        <v>1</v>
      </c>
      <c r="BE181" s="89" t="e">
        <f>SUMIF(#REF!,#REF!, BD20:BD333)</f>
        <v>#REF!</v>
      </c>
      <c r="BF181" s="89">
        <f t="shared" si="55"/>
        <v>0</v>
      </c>
      <c r="BG181" s="89" t="e">
        <f>SUMIF(#REF!,#REF!, BF20:BF333)</f>
        <v>#REF!</v>
      </c>
      <c r="BH181" s="89" t="e">
        <f t="shared" si="56"/>
        <v>#REF!</v>
      </c>
      <c r="BI181" s="90">
        <f>SUMIF(B20:B333, B181, BH20:BH333)</f>
        <v>0</v>
      </c>
      <c r="BJ181" s="91"/>
      <c r="BK181" s="92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4"/>
    </row>
    <row r="182" spans="1:82" x14ac:dyDescent="0.3">
      <c r="A182" s="95" t="s">
        <v>391</v>
      </c>
      <c r="B182" s="96"/>
      <c r="C182" s="97" t="s">
        <v>185</v>
      </c>
      <c r="D182" s="97" t="s">
        <v>102</v>
      </c>
      <c r="E182" s="98" t="s">
        <v>392</v>
      </c>
      <c r="F182" s="99" t="s">
        <v>109</v>
      </c>
      <c r="G182" s="100"/>
      <c r="H182" s="101" t="s">
        <v>103</v>
      </c>
      <c r="I182" s="99" t="s">
        <v>6</v>
      </c>
      <c r="J182" s="100" t="s">
        <v>6</v>
      </c>
      <c r="K182" s="102"/>
      <c r="L182" s="103"/>
      <c r="M182" s="104"/>
      <c r="N182" s="105">
        <v>10118</v>
      </c>
      <c r="O182" s="106">
        <v>10737</v>
      </c>
      <c r="P182" s="106">
        <v>11171</v>
      </c>
      <c r="Q182" s="107"/>
      <c r="R182" s="156">
        <v>0.09</v>
      </c>
      <c r="S182" s="105">
        <v>911</v>
      </c>
      <c r="T182" s="106">
        <v>966</v>
      </c>
      <c r="U182" s="106">
        <v>1005</v>
      </c>
      <c r="V182" s="107">
        <f t="shared" si="46"/>
        <v>0</v>
      </c>
      <c r="W182" s="109"/>
      <c r="X182" s="110"/>
      <c r="Y182" s="111" t="s">
        <v>104</v>
      </c>
      <c r="Z182" s="100" t="str">
        <f>'[1]Tier 1'!V182</f>
        <v>D</v>
      </c>
      <c r="AA182" s="100"/>
      <c r="AB182" s="100"/>
      <c r="AC182" s="100"/>
      <c r="AD182" s="101"/>
      <c r="AE182" s="105">
        <f>'[1]Tier 1'!W182</f>
        <v>2331</v>
      </c>
      <c r="AF182" s="106"/>
      <c r="AG182" s="106">
        <f>'[1]Tier 1'!X182</f>
        <v>2331</v>
      </c>
      <c r="AH182" s="106"/>
      <c r="AI182" s="106">
        <f>'[1]Tier 1'!Y182</f>
        <v>2331</v>
      </c>
      <c r="AJ182" s="106">
        <f t="shared" si="47"/>
        <v>2097.9</v>
      </c>
      <c r="AK182" s="106" t="e">
        <f>VLOOKUP(A182,#REF!,-1,FALSE)</f>
        <v>#REF!</v>
      </c>
      <c r="AL182" s="107" t="e">
        <f t="shared" si="48"/>
        <v>#REF!</v>
      </c>
      <c r="AM182" s="105">
        <f t="shared" si="57"/>
        <v>911</v>
      </c>
      <c r="AN182" s="112">
        <f t="shared" si="58"/>
        <v>0.39100000000000001</v>
      </c>
      <c r="AO182" s="100" t="str">
        <f t="shared" si="59"/>
        <v>OK</v>
      </c>
      <c r="AP182" s="106">
        <f t="shared" si="60"/>
        <v>966</v>
      </c>
      <c r="AQ182" s="112">
        <f t="shared" si="61"/>
        <v>0.41399999999999998</v>
      </c>
      <c r="AR182" s="100" t="str">
        <f t="shared" si="62"/>
        <v>OK</v>
      </c>
      <c r="AS182" s="106">
        <f t="shared" si="63"/>
        <v>1005</v>
      </c>
      <c r="AT182" s="112">
        <f t="shared" si="64"/>
        <v>0.43099999999999999</v>
      </c>
      <c r="AU182" s="113" t="str">
        <f t="shared" si="65"/>
        <v>OK</v>
      </c>
      <c r="AV182" s="106">
        <f t="shared" si="49"/>
        <v>0</v>
      </c>
      <c r="AW182" s="112" t="e">
        <f t="shared" si="50"/>
        <v>#REF!</v>
      </c>
      <c r="AX182" s="114" t="e">
        <f t="shared" si="51"/>
        <v>#REF!</v>
      </c>
      <c r="AY182" s="99"/>
      <c r="AZ182" s="100"/>
      <c r="BA182" s="104">
        <f t="shared" si="52"/>
        <v>0</v>
      </c>
      <c r="BB182" s="115">
        <f t="shared" si="53"/>
        <v>1</v>
      </c>
      <c r="BC182" s="116" t="e">
        <f>SUMIF(#REF!,#REF!, BB20:BB333)</f>
        <v>#REF!</v>
      </c>
      <c r="BD182" s="116">
        <f t="shared" si="54"/>
        <v>1</v>
      </c>
      <c r="BE182" s="116" t="e">
        <f>SUMIF(#REF!,#REF!, BD20:BD333)</f>
        <v>#REF!</v>
      </c>
      <c r="BF182" s="116">
        <f t="shared" si="55"/>
        <v>0</v>
      </c>
      <c r="BG182" s="116" t="e">
        <f>SUMIF(#REF!,#REF!, BF20:BF333)</f>
        <v>#REF!</v>
      </c>
      <c r="BH182" s="116" t="e">
        <f t="shared" si="56"/>
        <v>#REF!</v>
      </c>
      <c r="BI182" s="117">
        <f>SUMIF(B20:B333, B182, BH20:BH333)</f>
        <v>0</v>
      </c>
      <c r="BJ182" s="118"/>
      <c r="BK182" s="92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4"/>
    </row>
    <row r="183" spans="1:82" x14ac:dyDescent="0.3">
      <c r="A183" s="68" t="s">
        <v>393</v>
      </c>
      <c r="B183" s="69"/>
      <c r="C183" s="70" t="s">
        <v>185</v>
      </c>
      <c r="D183" s="70" t="s">
        <v>392</v>
      </c>
      <c r="E183" s="71" t="s">
        <v>394</v>
      </c>
      <c r="F183" s="72" t="s">
        <v>109</v>
      </c>
      <c r="G183" s="73"/>
      <c r="H183" s="74" t="s">
        <v>109</v>
      </c>
      <c r="I183" s="72" t="s">
        <v>6</v>
      </c>
      <c r="J183" s="73" t="s">
        <v>6</v>
      </c>
      <c r="K183" s="75"/>
      <c r="L183" s="76"/>
      <c r="M183" s="77"/>
      <c r="N183" s="78">
        <v>10686</v>
      </c>
      <c r="O183" s="79">
        <v>11340</v>
      </c>
      <c r="P183" s="79">
        <v>11799</v>
      </c>
      <c r="Q183" s="80"/>
      <c r="R183" s="155">
        <v>0.09</v>
      </c>
      <c r="S183" s="78">
        <v>962</v>
      </c>
      <c r="T183" s="79">
        <v>1021</v>
      </c>
      <c r="U183" s="79">
        <v>1062</v>
      </c>
      <c r="V183" s="80">
        <f t="shared" si="46"/>
        <v>0</v>
      </c>
      <c r="W183" s="82"/>
      <c r="X183" s="83"/>
      <c r="Y183" s="84" t="s">
        <v>104</v>
      </c>
      <c r="Z183" s="73" t="str">
        <f>'[1]Tier 1'!V183</f>
        <v>D</v>
      </c>
      <c r="AA183" s="73"/>
      <c r="AB183" s="73"/>
      <c r="AC183" s="73"/>
      <c r="AD183" s="74"/>
      <c r="AE183" s="78">
        <f>'[1]Tier 1'!W183</f>
        <v>5103</v>
      </c>
      <c r="AF183" s="79"/>
      <c r="AG183" s="79">
        <f>'[1]Tier 1'!X183</f>
        <v>5103</v>
      </c>
      <c r="AH183" s="79"/>
      <c r="AI183" s="79">
        <f>'[1]Tier 1'!Y183</f>
        <v>5103</v>
      </c>
      <c r="AJ183" s="79">
        <f t="shared" si="47"/>
        <v>4592.7</v>
      </c>
      <c r="AK183" s="79" t="e">
        <f>VLOOKUP(A183,#REF!,-1,FALSE)</f>
        <v>#REF!</v>
      </c>
      <c r="AL183" s="80" t="e">
        <f t="shared" si="48"/>
        <v>#REF!</v>
      </c>
      <c r="AM183" s="78">
        <f t="shared" si="57"/>
        <v>962</v>
      </c>
      <c r="AN183" s="85">
        <f t="shared" si="58"/>
        <v>0.189</v>
      </c>
      <c r="AO183" s="73" t="str">
        <f t="shared" si="59"/>
        <v>OK</v>
      </c>
      <c r="AP183" s="79">
        <f t="shared" si="60"/>
        <v>1021</v>
      </c>
      <c r="AQ183" s="85">
        <f t="shared" si="61"/>
        <v>0.2</v>
      </c>
      <c r="AR183" s="73" t="str">
        <f t="shared" si="62"/>
        <v>OK</v>
      </c>
      <c r="AS183" s="79">
        <f t="shared" si="63"/>
        <v>1062</v>
      </c>
      <c r="AT183" s="85">
        <f t="shared" si="64"/>
        <v>0.20799999999999999</v>
      </c>
      <c r="AU183" s="86" t="str">
        <f t="shared" si="65"/>
        <v>OK</v>
      </c>
      <c r="AV183" s="79">
        <f t="shared" si="49"/>
        <v>0</v>
      </c>
      <c r="AW183" s="85" t="e">
        <f t="shared" si="50"/>
        <v>#REF!</v>
      </c>
      <c r="AX183" s="87" t="e">
        <f t="shared" si="51"/>
        <v>#REF!</v>
      </c>
      <c r="AY183" s="72"/>
      <c r="AZ183" s="73"/>
      <c r="BA183" s="77">
        <f t="shared" si="52"/>
        <v>0</v>
      </c>
      <c r="BB183" s="88">
        <f t="shared" si="53"/>
        <v>1</v>
      </c>
      <c r="BC183" s="89" t="e">
        <f>SUMIF(#REF!,#REF!, BB20:BB333)</f>
        <v>#REF!</v>
      </c>
      <c r="BD183" s="89">
        <f t="shared" si="54"/>
        <v>1</v>
      </c>
      <c r="BE183" s="89" t="e">
        <f>SUMIF(#REF!,#REF!, BD20:BD333)</f>
        <v>#REF!</v>
      </c>
      <c r="BF183" s="89">
        <f t="shared" si="55"/>
        <v>0</v>
      </c>
      <c r="BG183" s="89" t="e">
        <f>SUMIF(#REF!,#REF!, BF20:BF333)</f>
        <v>#REF!</v>
      </c>
      <c r="BH183" s="89" t="e">
        <f t="shared" si="56"/>
        <v>#REF!</v>
      </c>
      <c r="BI183" s="90">
        <f>SUMIF(B20:B333, B183, BH20:BH333)</f>
        <v>0</v>
      </c>
      <c r="BJ183" s="91"/>
      <c r="BK183" s="92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4"/>
    </row>
    <row r="184" spans="1:82" x14ac:dyDescent="0.3">
      <c r="A184" s="95" t="s">
        <v>395</v>
      </c>
      <c r="B184" s="96"/>
      <c r="C184" s="97" t="s">
        <v>185</v>
      </c>
      <c r="D184" s="97" t="s">
        <v>394</v>
      </c>
      <c r="E184" s="98" t="s">
        <v>228</v>
      </c>
      <c r="F184" s="99" t="s">
        <v>103</v>
      </c>
      <c r="G184" s="100"/>
      <c r="H184" s="101" t="s">
        <v>103</v>
      </c>
      <c r="I184" s="99" t="s">
        <v>6</v>
      </c>
      <c r="J184" s="100" t="s">
        <v>6</v>
      </c>
      <c r="K184" s="102"/>
      <c r="L184" s="103"/>
      <c r="M184" s="104"/>
      <c r="N184" s="105">
        <v>10686</v>
      </c>
      <c r="O184" s="106">
        <v>11340</v>
      </c>
      <c r="P184" s="106">
        <v>11799</v>
      </c>
      <c r="Q184" s="107"/>
      <c r="R184" s="156">
        <v>0.09</v>
      </c>
      <c r="S184" s="105">
        <v>962</v>
      </c>
      <c r="T184" s="106">
        <v>1021</v>
      </c>
      <c r="U184" s="106">
        <v>1062</v>
      </c>
      <c r="V184" s="107">
        <f t="shared" si="46"/>
        <v>0</v>
      </c>
      <c r="W184" s="109"/>
      <c r="X184" s="110"/>
      <c r="Y184" s="111" t="s">
        <v>104</v>
      </c>
      <c r="Z184" s="100" t="str">
        <f>'[1]Tier 1'!V184</f>
        <v>D</v>
      </c>
      <c r="AA184" s="100"/>
      <c r="AB184" s="100"/>
      <c r="AC184" s="100"/>
      <c r="AD184" s="101"/>
      <c r="AE184" s="105">
        <f>'[1]Tier 1'!W184</f>
        <v>1899</v>
      </c>
      <c r="AF184" s="106"/>
      <c r="AG184" s="106">
        <f>'[1]Tier 1'!X184</f>
        <v>1899</v>
      </c>
      <c r="AH184" s="106"/>
      <c r="AI184" s="106">
        <f>'[1]Tier 1'!Y184</f>
        <v>1899</v>
      </c>
      <c r="AJ184" s="106">
        <f t="shared" si="47"/>
        <v>1709.1000000000001</v>
      </c>
      <c r="AK184" s="106" t="e">
        <f>VLOOKUP(A184,#REF!,-1,FALSE)</f>
        <v>#REF!</v>
      </c>
      <c r="AL184" s="107" t="e">
        <f t="shared" si="48"/>
        <v>#REF!</v>
      </c>
      <c r="AM184" s="105">
        <f t="shared" si="57"/>
        <v>962</v>
      </c>
      <c r="AN184" s="112">
        <f t="shared" si="58"/>
        <v>0.50700000000000001</v>
      </c>
      <c r="AO184" s="100" t="str">
        <f t="shared" si="59"/>
        <v>OK</v>
      </c>
      <c r="AP184" s="106">
        <f t="shared" si="60"/>
        <v>1021</v>
      </c>
      <c r="AQ184" s="112">
        <f t="shared" si="61"/>
        <v>0.53800000000000003</v>
      </c>
      <c r="AR184" s="100" t="str">
        <f t="shared" si="62"/>
        <v>OK</v>
      </c>
      <c r="AS184" s="106">
        <f t="shared" si="63"/>
        <v>1062</v>
      </c>
      <c r="AT184" s="112">
        <f t="shared" si="64"/>
        <v>0.55900000000000005</v>
      </c>
      <c r="AU184" s="113" t="str">
        <f t="shared" si="65"/>
        <v>OK</v>
      </c>
      <c r="AV184" s="106">
        <f t="shared" si="49"/>
        <v>0</v>
      </c>
      <c r="AW184" s="112" t="e">
        <f t="shared" si="50"/>
        <v>#REF!</v>
      </c>
      <c r="AX184" s="114" t="e">
        <f t="shared" si="51"/>
        <v>#REF!</v>
      </c>
      <c r="AY184" s="99"/>
      <c r="AZ184" s="100"/>
      <c r="BA184" s="104">
        <f t="shared" si="52"/>
        <v>0</v>
      </c>
      <c r="BB184" s="115">
        <f t="shared" si="53"/>
        <v>1</v>
      </c>
      <c r="BC184" s="116" t="e">
        <f>SUMIF(#REF!,#REF!, BB20:BB333)</f>
        <v>#REF!</v>
      </c>
      <c r="BD184" s="116">
        <f t="shared" si="54"/>
        <v>1</v>
      </c>
      <c r="BE184" s="116" t="e">
        <f>SUMIF(#REF!,#REF!, BD20:BD333)</f>
        <v>#REF!</v>
      </c>
      <c r="BF184" s="116">
        <f t="shared" si="55"/>
        <v>0</v>
      </c>
      <c r="BG184" s="116" t="e">
        <f>SUMIF(#REF!,#REF!, BF20:BF333)</f>
        <v>#REF!</v>
      </c>
      <c r="BH184" s="116" t="e">
        <f t="shared" si="56"/>
        <v>#REF!</v>
      </c>
      <c r="BI184" s="117">
        <f>SUMIF(B20:B333, B184, BH20:BH333)</f>
        <v>0</v>
      </c>
      <c r="BJ184" s="118"/>
      <c r="BK184" s="92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4"/>
    </row>
    <row r="185" spans="1:82" x14ac:dyDescent="0.3">
      <c r="A185" s="68" t="s">
        <v>396</v>
      </c>
      <c r="B185" s="69"/>
      <c r="C185" s="70" t="s">
        <v>228</v>
      </c>
      <c r="D185" s="70" t="s">
        <v>185</v>
      </c>
      <c r="E185" s="71" t="s">
        <v>397</v>
      </c>
      <c r="F185" s="72" t="s">
        <v>103</v>
      </c>
      <c r="G185" s="73"/>
      <c r="H185" s="74" t="s">
        <v>103</v>
      </c>
      <c r="I185" s="72" t="s">
        <v>6</v>
      </c>
      <c r="J185" s="73" t="s">
        <v>6</v>
      </c>
      <c r="K185" s="75"/>
      <c r="L185" s="76"/>
      <c r="M185" s="77"/>
      <c r="N185" s="78">
        <v>6176</v>
      </c>
      <c r="O185" s="79">
        <v>6555</v>
      </c>
      <c r="P185" s="79">
        <v>6819</v>
      </c>
      <c r="Q185" s="80"/>
      <c r="R185" s="155">
        <v>0.09</v>
      </c>
      <c r="S185" s="78">
        <v>556</v>
      </c>
      <c r="T185" s="79">
        <v>590</v>
      </c>
      <c r="U185" s="79">
        <v>614</v>
      </c>
      <c r="V185" s="80">
        <f t="shared" si="46"/>
        <v>0</v>
      </c>
      <c r="W185" s="82"/>
      <c r="X185" s="83"/>
      <c r="Y185" s="84" t="s">
        <v>104</v>
      </c>
      <c r="Z185" s="73" t="str">
        <f>'[1]Tier 1'!V185</f>
        <v>D</v>
      </c>
      <c r="AA185" s="73"/>
      <c r="AB185" s="73"/>
      <c r="AC185" s="73"/>
      <c r="AD185" s="74"/>
      <c r="AE185" s="78">
        <f>'[1]Tier 1'!W185</f>
        <v>1818</v>
      </c>
      <c r="AF185" s="79"/>
      <c r="AG185" s="79">
        <f>'[1]Tier 1'!X185</f>
        <v>1818</v>
      </c>
      <c r="AH185" s="79"/>
      <c r="AI185" s="79">
        <f>'[1]Tier 1'!Y185</f>
        <v>4617</v>
      </c>
      <c r="AJ185" s="79">
        <f t="shared" si="47"/>
        <v>4155.3</v>
      </c>
      <c r="AK185" s="79" t="e">
        <f>VLOOKUP(A185,#REF!,-1,FALSE)</f>
        <v>#REF!</v>
      </c>
      <c r="AL185" s="80" t="e">
        <f t="shared" si="48"/>
        <v>#REF!</v>
      </c>
      <c r="AM185" s="78">
        <f t="shared" si="57"/>
        <v>556</v>
      </c>
      <c r="AN185" s="85">
        <f t="shared" si="58"/>
        <v>0.30599999999999999</v>
      </c>
      <c r="AO185" s="73" t="str">
        <f t="shared" si="59"/>
        <v>OK</v>
      </c>
      <c r="AP185" s="79">
        <f t="shared" si="60"/>
        <v>590</v>
      </c>
      <c r="AQ185" s="85">
        <f t="shared" si="61"/>
        <v>0.32500000000000001</v>
      </c>
      <c r="AR185" s="73" t="str">
        <f t="shared" si="62"/>
        <v>OK</v>
      </c>
      <c r="AS185" s="79">
        <f t="shared" si="63"/>
        <v>614</v>
      </c>
      <c r="AT185" s="85">
        <f t="shared" si="64"/>
        <v>0.13300000000000001</v>
      </c>
      <c r="AU185" s="86" t="str">
        <f t="shared" si="65"/>
        <v>OK</v>
      </c>
      <c r="AV185" s="79">
        <f t="shared" si="49"/>
        <v>0</v>
      </c>
      <c r="AW185" s="85" t="e">
        <f t="shared" si="50"/>
        <v>#REF!</v>
      </c>
      <c r="AX185" s="87" t="e">
        <f t="shared" si="51"/>
        <v>#REF!</v>
      </c>
      <c r="AY185" s="72"/>
      <c r="AZ185" s="73"/>
      <c r="BA185" s="77">
        <f t="shared" si="52"/>
        <v>0</v>
      </c>
      <c r="BB185" s="88">
        <f t="shared" si="53"/>
        <v>1</v>
      </c>
      <c r="BC185" s="89" t="e">
        <f>SUMIF(#REF!,#REF!, BB20:BB333)</f>
        <v>#REF!</v>
      </c>
      <c r="BD185" s="89">
        <f t="shared" si="54"/>
        <v>1</v>
      </c>
      <c r="BE185" s="89" t="e">
        <f>SUMIF(#REF!,#REF!, BD20:BD333)</f>
        <v>#REF!</v>
      </c>
      <c r="BF185" s="89">
        <f t="shared" si="55"/>
        <v>0</v>
      </c>
      <c r="BG185" s="89" t="e">
        <f>SUMIF(#REF!,#REF!, BF20:BF333)</f>
        <v>#REF!</v>
      </c>
      <c r="BH185" s="89" t="e">
        <f t="shared" si="56"/>
        <v>#REF!</v>
      </c>
      <c r="BI185" s="90">
        <f>SUMIF(B20:B333, B185, BH20:BH333)</f>
        <v>0</v>
      </c>
      <c r="BJ185" s="91"/>
      <c r="BK185" s="92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4"/>
    </row>
    <row r="186" spans="1:82" x14ac:dyDescent="0.3">
      <c r="A186" s="95" t="s">
        <v>398</v>
      </c>
      <c r="B186" s="96"/>
      <c r="C186" s="97" t="s">
        <v>228</v>
      </c>
      <c r="D186" s="97" t="s">
        <v>397</v>
      </c>
      <c r="E186" s="98" t="s">
        <v>172</v>
      </c>
      <c r="F186" s="99" t="s">
        <v>103</v>
      </c>
      <c r="G186" s="100"/>
      <c r="H186" s="101" t="s">
        <v>103</v>
      </c>
      <c r="I186" s="99" t="s">
        <v>6</v>
      </c>
      <c r="J186" s="100" t="s">
        <v>6</v>
      </c>
      <c r="K186" s="102"/>
      <c r="L186" s="103"/>
      <c r="M186" s="104"/>
      <c r="N186" s="105">
        <v>6176</v>
      </c>
      <c r="O186" s="106">
        <v>6555</v>
      </c>
      <c r="P186" s="106">
        <v>6819</v>
      </c>
      <c r="Q186" s="107"/>
      <c r="R186" s="156">
        <v>0.09</v>
      </c>
      <c r="S186" s="105">
        <v>556</v>
      </c>
      <c r="T186" s="106">
        <v>590</v>
      </c>
      <c r="U186" s="106">
        <v>614</v>
      </c>
      <c r="V186" s="107">
        <f t="shared" si="46"/>
        <v>0</v>
      </c>
      <c r="W186" s="109"/>
      <c r="X186" s="110"/>
      <c r="Y186" s="111" t="s">
        <v>104</v>
      </c>
      <c r="Z186" s="100" t="str">
        <f>'[1]Tier 1'!V186</f>
        <v>D</v>
      </c>
      <c r="AA186" s="100"/>
      <c r="AB186" s="100"/>
      <c r="AC186" s="100"/>
      <c r="AD186" s="101"/>
      <c r="AE186" s="105">
        <f>'[1]Tier 1'!W186</f>
        <v>1962</v>
      </c>
      <c r="AF186" s="106"/>
      <c r="AG186" s="106">
        <f>'[1]Tier 1'!X186</f>
        <v>1962</v>
      </c>
      <c r="AH186" s="106"/>
      <c r="AI186" s="106">
        <f>'[1]Tier 1'!Y186</f>
        <v>1962</v>
      </c>
      <c r="AJ186" s="106">
        <f t="shared" si="47"/>
        <v>1765.8</v>
      </c>
      <c r="AK186" s="106" t="e">
        <f>VLOOKUP(A186,#REF!,-1,FALSE)</f>
        <v>#REF!</v>
      </c>
      <c r="AL186" s="107" t="e">
        <f t="shared" si="48"/>
        <v>#REF!</v>
      </c>
      <c r="AM186" s="105">
        <f t="shared" si="57"/>
        <v>556</v>
      </c>
      <c r="AN186" s="112">
        <f t="shared" si="58"/>
        <v>0.28299999999999997</v>
      </c>
      <c r="AO186" s="100" t="str">
        <f t="shared" si="59"/>
        <v>OK</v>
      </c>
      <c r="AP186" s="106">
        <f t="shared" si="60"/>
        <v>590</v>
      </c>
      <c r="AQ186" s="112">
        <f t="shared" si="61"/>
        <v>0.30099999999999999</v>
      </c>
      <c r="AR186" s="100" t="str">
        <f t="shared" si="62"/>
        <v>OK</v>
      </c>
      <c r="AS186" s="106">
        <f t="shared" si="63"/>
        <v>614</v>
      </c>
      <c r="AT186" s="112">
        <f t="shared" si="64"/>
        <v>0.313</v>
      </c>
      <c r="AU186" s="113" t="str">
        <f t="shared" si="65"/>
        <v>OK</v>
      </c>
      <c r="AV186" s="106">
        <f t="shared" si="49"/>
        <v>0</v>
      </c>
      <c r="AW186" s="112" t="e">
        <f t="shared" si="50"/>
        <v>#REF!</v>
      </c>
      <c r="AX186" s="114" t="e">
        <f t="shared" si="51"/>
        <v>#REF!</v>
      </c>
      <c r="AY186" s="99"/>
      <c r="AZ186" s="100"/>
      <c r="BA186" s="104">
        <f t="shared" si="52"/>
        <v>0</v>
      </c>
      <c r="BB186" s="115">
        <f t="shared" si="53"/>
        <v>1</v>
      </c>
      <c r="BC186" s="116" t="e">
        <f>SUMIF(#REF!,#REF!, BB20:BB333)</f>
        <v>#REF!</v>
      </c>
      <c r="BD186" s="116">
        <f t="shared" si="54"/>
        <v>1</v>
      </c>
      <c r="BE186" s="116" t="e">
        <f>SUMIF(#REF!,#REF!, BD20:BD333)</f>
        <v>#REF!</v>
      </c>
      <c r="BF186" s="116">
        <f t="shared" si="55"/>
        <v>0</v>
      </c>
      <c r="BG186" s="116" t="e">
        <f>SUMIF(#REF!,#REF!, BF20:BF333)</f>
        <v>#REF!</v>
      </c>
      <c r="BH186" s="116" t="e">
        <f t="shared" si="56"/>
        <v>#REF!</v>
      </c>
      <c r="BI186" s="117">
        <f>SUMIF(B20:B333, B186, BH20:BH333)</f>
        <v>0</v>
      </c>
      <c r="BJ186" s="118"/>
      <c r="BK186" s="92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4"/>
    </row>
    <row r="187" spans="1:82" x14ac:dyDescent="0.3">
      <c r="A187" s="68" t="s">
        <v>399</v>
      </c>
      <c r="B187" s="69"/>
      <c r="C187" s="70" t="s">
        <v>400</v>
      </c>
      <c r="D187" s="70" t="s">
        <v>401</v>
      </c>
      <c r="E187" s="71" t="s">
        <v>402</v>
      </c>
      <c r="F187" s="72" t="s">
        <v>103</v>
      </c>
      <c r="G187" s="73"/>
      <c r="H187" s="74" t="s">
        <v>103</v>
      </c>
      <c r="I187" s="72" t="s">
        <v>4</v>
      </c>
      <c r="J187" s="73" t="s">
        <v>6</v>
      </c>
      <c r="K187" s="75"/>
      <c r="L187" s="76"/>
      <c r="M187" s="77"/>
      <c r="N187" s="78">
        <v>2500</v>
      </c>
      <c r="O187" s="79">
        <v>2750</v>
      </c>
      <c r="P187" s="79">
        <v>2917</v>
      </c>
      <c r="Q187" s="80"/>
      <c r="R187" s="155">
        <v>0.09</v>
      </c>
      <c r="S187" s="78">
        <v>225</v>
      </c>
      <c r="T187" s="79">
        <v>248</v>
      </c>
      <c r="U187" s="79">
        <v>263</v>
      </c>
      <c r="V187" s="80">
        <f t="shared" si="46"/>
        <v>0</v>
      </c>
      <c r="W187" s="82"/>
      <c r="X187" s="83"/>
      <c r="Y187" s="84" t="s">
        <v>104</v>
      </c>
      <c r="Z187" s="73" t="str">
        <f>'[1]Tier 1'!V187</f>
        <v>D</v>
      </c>
      <c r="AA187" s="73"/>
      <c r="AB187" s="73"/>
      <c r="AC187" s="73"/>
      <c r="AD187" s="74"/>
      <c r="AE187" s="78">
        <f>'[1]Tier 1'!W187</f>
        <v>1818</v>
      </c>
      <c r="AF187" s="79"/>
      <c r="AG187" s="79">
        <f>'[1]Tier 1'!X187</f>
        <v>1818</v>
      </c>
      <c r="AH187" s="79"/>
      <c r="AI187" s="79">
        <f>'[1]Tier 1'!Y187</f>
        <v>1818</v>
      </c>
      <c r="AJ187" s="79">
        <f t="shared" si="47"/>
        <v>1636.2</v>
      </c>
      <c r="AK187" s="79" t="e">
        <f>VLOOKUP(A187,#REF!,-1,FALSE)</f>
        <v>#REF!</v>
      </c>
      <c r="AL187" s="80" t="e">
        <f t="shared" si="48"/>
        <v>#REF!</v>
      </c>
      <c r="AM187" s="78">
        <f t="shared" si="57"/>
        <v>225</v>
      </c>
      <c r="AN187" s="85">
        <f t="shared" si="58"/>
        <v>0.124</v>
      </c>
      <c r="AO187" s="73" t="str">
        <f t="shared" si="59"/>
        <v>OK</v>
      </c>
      <c r="AP187" s="79">
        <f t="shared" si="60"/>
        <v>248</v>
      </c>
      <c r="AQ187" s="85">
        <f t="shared" si="61"/>
        <v>0.13600000000000001</v>
      </c>
      <c r="AR187" s="73" t="str">
        <f t="shared" si="62"/>
        <v>OK</v>
      </c>
      <c r="AS187" s="79">
        <f t="shared" si="63"/>
        <v>263</v>
      </c>
      <c r="AT187" s="85">
        <f t="shared" si="64"/>
        <v>0.14499999999999999</v>
      </c>
      <c r="AU187" s="86" t="str">
        <f t="shared" si="65"/>
        <v>OK</v>
      </c>
      <c r="AV187" s="79">
        <f t="shared" si="49"/>
        <v>0</v>
      </c>
      <c r="AW187" s="85" t="e">
        <f t="shared" si="50"/>
        <v>#REF!</v>
      </c>
      <c r="AX187" s="87" t="e">
        <f t="shared" si="51"/>
        <v>#REF!</v>
      </c>
      <c r="AY187" s="72"/>
      <c r="AZ187" s="73"/>
      <c r="BA187" s="77">
        <f t="shared" si="52"/>
        <v>0</v>
      </c>
      <c r="BB187" s="88">
        <f t="shared" si="53"/>
        <v>1</v>
      </c>
      <c r="BC187" s="89" t="e">
        <f>SUMIF(#REF!,#REF!, BB20:BB333)</f>
        <v>#REF!</v>
      </c>
      <c r="BD187" s="89">
        <f t="shared" si="54"/>
        <v>1</v>
      </c>
      <c r="BE187" s="89" t="e">
        <f>SUMIF(#REF!,#REF!, BD20:BD333)</f>
        <v>#REF!</v>
      </c>
      <c r="BF187" s="89">
        <f t="shared" si="55"/>
        <v>0</v>
      </c>
      <c r="BG187" s="89" t="e">
        <f>SUMIF(#REF!,#REF!, BF20:BF333)</f>
        <v>#REF!</v>
      </c>
      <c r="BH187" s="89" t="e">
        <f t="shared" si="56"/>
        <v>#REF!</v>
      </c>
      <c r="BI187" s="90">
        <f>SUMIF(B20:B333, B187, BH20:BH333)</f>
        <v>0</v>
      </c>
      <c r="BJ187" s="91"/>
      <c r="BK187" s="92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4"/>
    </row>
    <row r="188" spans="1:82" x14ac:dyDescent="0.3">
      <c r="A188" s="95" t="s">
        <v>403</v>
      </c>
      <c r="B188" s="96"/>
      <c r="C188" s="97" t="s">
        <v>400</v>
      </c>
      <c r="D188" s="97" t="s">
        <v>402</v>
      </c>
      <c r="E188" s="98" t="s">
        <v>404</v>
      </c>
      <c r="F188" s="99" t="s">
        <v>103</v>
      </c>
      <c r="G188" s="100"/>
      <c r="H188" s="101" t="s">
        <v>109</v>
      </c>
      <c r="I188" s="99" t="s">
        <v>4</v>
      </c>
      <c r="J188" s="100" t="s">
        <v>6</v>
      </c>
      <c r="K188" s="102"/>
      <c r="L188" s="103"/>
      <c r="M188" s="104"/>
      <c r="N188" s="105">
        <v>2500</v>
      </c>
      <c r="O188" s="106">
        <v>2750</v>
      </c>
      <c r="P188" s="106">
        <v>2917</v>
      </c>
      <c r="Q188" s="107"/>
      <c r="R188" s="156">
        <v>0.09</v>
      </c>
      <c r="S188" s="105">
        <v>225</v>
      </c>
      <c r="T188" s="106">
        <v>248</v>
      </c>
      <c r="U188" s="106">
        <v>263</v>
      </c>
      <c r="V188" s="107">
        <f t="shared" si="46"/>
        <v>0</v>
      </c>
      <c r="W188" s="109"/>
      <c r="X188" s="110"/>
      <c r="Y188" s="111" t="s">
        <v>104</v>
      </c>
      <c r="Z188" s="100" t="str">
        <f>'[1]Tier 1'!V188</f>
        <v>D</v>
      </c>
      <c r="AA188" s="100"/>
      <c r="AB188" s="100"/>
      <c r="AC188" s="100"/>
      <c r="AD188" s="101"/>
      <c r="AE188" s="105">
        <f>'[1]Tier 1'!W188</f>
        <v>1818</v>
      </c>
      <c r="AF188" s="106"/>
      <c r="AG188" s="106">
        <f>'[1]Tier 1'!X188</f>
        <v>1818</v>
      </c>
      <c r="AH188" s="106"/>
      <c r="AI188" s="106">
        <f>'[1]Tier 1'!Y188</f>
        <v>1818</v>
      </c>
      <c r="AJ188" s="106">
        <f t="shared" si="47"/>
        <v>1636.2</v>
      </c>
      <c r="AK188" s="106" t="e">
        <f>VLOOKUP(A188,#REF!,-1,FALSE)</f>
        <v>#REF!</v>
      </c>
      <c r="AL188" s="107" t="e">
        <f t="shared" si="48"/>
        <v>#REF!</v>
      </c>
      <c r="AM188" s="105">
        <f t="shared" si="57"/>
        <v>225</v>
      </c>
      <c r="AN188" s="112">
        <f t="shared" si="58"/>
        <v>0.124</v>
      </c>
      <c r="AO188" s="100" t="str">
        <f t="shared" si="59"/>
        <v>OK</v>
      </c>
      <c r="AP188" s="106">
        <f t="shared" si="60"/>
        <v>248</v>
      </c>
      <c r="AQ188" s="112">
        <f t="shared" si="61"/>
        <v>0.13600000000000001</v>
      </c>
      <c r="AR188" s="100" t="str">
        <f t="shared" si="62"/>
        <v>OK</v>
      </c>
      <c r="AS188" s="106">
        <f t="shared" si="63"/>
        <v>263</v>
      </c>
      <c r="AT188" s="112">
        <f t="shared" si="64"/>
        <v>0.14499999999999999</v>
      </c>
      <c r="AU188" s="113" t="str">
        <f t="shared" si="65"/>
        <v>OK</v>
      </c>
      <c r="AV188" s="106">
        <f t="shared" si="49"/>
        <v>0</v>
      </c>
      <c r="AW188" s="112" t="e">
        <f t="shared" si="50"/>
        <v>#REF!</v>
      </c>
      <c r="AX188" s="114" t="e">
        <f t="shared" si="51"/>
        <v>#REF!</v>
      </c>
      <c r="AY188" s="99"/>
      <c r="AZ188" s="100"/>
      <c r="BA188" s="104">
        <f t="shared" si="52"/>
        <v>0</v>
      </c>
      <c r="BB188" s="115">
        <f t="shared" si="53"/>
        <v>1</v>
      </c>
      <c r="BC188" s="116" t="e">
        <f>SUMIF(#REF!,#REF!, BB20:BB333)</f>
        <v>#REF!</v>
      </c>
      <c r="BD188" s="116">
        <f t="shared" si="54"/>
        <v>1</v>
      </c>
      <c r="BE188" s="116" t="e">
        <f>SUMIF(#REF!,#REF!, BD20:BD333)</f>
        <v>#REF!</v>
      </c>
      <c r="BF188" s="116">
        <f t="shared" si="55"/>
        <v>0</v>
      </c>
      <c r="BG188" s="116" t="e">
        <f>SUMIF(#REF!,#REF!, BF20:BF333)</f>
        <v>#REF!</v>
      </c>
      <c r="BH188" s="116" t="e">
        <f t="shared" si="56"/>
        <v>#REF!</v>
      </c>
      <c r="BI188" s="117">
        <f>SUMIF(B20:B333, B188, BH20:BH333)</f>
        <v>0</v>
      </c>
      <c r="BJ188" s="118"/>
      <c r="BK188" s="92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4"/>
    </row>
    <row r="189" spans="1:82" x14ac:dyDescent="0.3">
      <c r="A189" s="68" t="s">
        <v>405</v>
      </c>
      <c r="B189" s="69"/>
      <c r="C189" s="70" t="s">
        <v>400</v>
      </c>
      <c r="D189" s="70" t="s">
        <v>404</v>
      </c>
      <c r="E189" s="71" t="s">
        <v>406</v>
      </c>
      <c r="F189" s="72" t="s">
        <v>103</v>
      </c>
      <c r="G189" s="73"/>
      <c r="H189" s="74" t="s">
        <v>103</v>
      </c>
      <c r="I189" s="72" t="s">
        <v>4</v>
      </c>
      <c r="J189" s="73" t="s">
        <v>6</v>
      </c>
      <c r="K189" s="75"/>
      <c r="L189" s="76"/>
      <c r="M189" s="77"/>
      <c r="N189" s="78">
        <v>2500</v>
      </c>
      <c r="O189" s="79">
        <v>2750</v>
      </c>
      <c r="P189" s="79">
        <v>2917</v>
      </c>
      <c r="Q189" s="80"/>
      <c r="R189" s="155">
        <v>0.09</v>
      </c>
      <c r="S189" s="78">
        <v>225</v>
      </c>
      <c r="T189" s="79">
        <v>248</v>
      </c>
      <c r="U189" s="79">
        <v>263</v>
      </c>
      <c r="V189" s="80">
        <f t="shared" si="46"/>
        <v>0</v>
      </c>
      <c r="W189" s="82"/>
      <c r="X189" s="83"/>
      <c r="Y189" s="84" t="s">
        <v>104</v>
      </c>
      <c r="Z189" s="73" t="str">
        <f>'[1]Tier 1'!V189</f>
        <v>D</v>
      </c>
      <c r="AA189" s="73"/>
      <c r="AB189" s="73"/>
      <c r="AC189" s="73"/>
      <c r="AD189" s="74"/>
      <c r="AE189" s="78">
        <f>'[1]Tier 1'!W189</f>
        <v>1899</v>
      </c>
      <c r="AF189" s="79"/>
      <c r="AG189" s="79">
        <f>'[1]Tier 1'!X189</f>
        <v>1899</v>
      </c>
      <c r="AH189" s="79"/>
      <c r="AI189" s="79">
        <f>'[1]Tier 1'!Y189</f>
        <v>1899</v>
      </c>
      <c r="AJ189" s="79">
        <f t="shared" si="47"/>
        <v>1709.1000000000001</v>
      </c>
      <c r="AK189" s="79" t="e">
        <f>VLOOKUP(A189,#REF!,-1,FALSE)</f>
        <v>#REF!</v>
      </c>
      <c r="AL189" s="80" t="e">
        <f t="shared" si="48"/>
        <v>#REF!</v>
      </c>
      <c r="AM189" s="78">
        <f t="shared" si="57"/>
        <v>225</v>
      </c>
      <c r="AN189" s="85">
        <f t="shared" si="58"/>
        <v>0.11799999999999999</v>
      </c>
      <c r="AO189" s="73" t="str">
        <f t="shared" si="59"/>
        <v>OK</v>
      </c>
      <c r="AP189" s="79">
        <f t="shared" si="60"/>
        <v>248</v>
      </c>
      <c r="AQ189" s="85">
        <f t="shared" si="61"/>
        <v>0.13100000000000001</v>
      </c>
      <c r="AR189" s="73" t="str">
        <f t="shared" si="62"/>
        <v>OK</v>
      </c>
      <c r="AS189" s="79">
        <f t="shared" si="63"/>
        <v>263</v>
      </c>
      <c r="AT189" s="85">
        <f t="shared" si="64"/>
        <v>0.13800000000000001</v>
      </c>
      <c r="AU189" s="86" t="str">
        <f t="shared" si="65"/>
        <v>OK</v>
      </c>
      <c r="AV189" s="79">
        <f t="shared" si="49"/>
        <v>0</v>
      </c>
      <c r="AW189" s="85" t="e">
        <f t="shared" si="50"/>
        <v>#REF!</v>
      </c>
      <c r="AX189" s="87" t="e">
        <f t="shared" si="51"/>
        <v>#REF!</v>
      </c>
      <c r="AY189" s="72"/>
      <c r="AZ189" s="73"/>
      <c r="BA189" s="77">
        <f t="shared" si="52"/>
        <v>0</v>
      </c>
      <c r="BB189" s="88">
        <f t="shared" si="53"/>
        <v>1</v>
      </c>
      <c r="BC189" s="89" t="e">
        <f>SUMIF(#REF!,#REF!, BB20:BB333)</f>
        <v>#REF!</v>
      </c>
      <c r="BD189" s="89">
        <f t="shared" si="54"/>
        <v>1</v>
      </c>
      <c r="BE189" s="89" t="e">
        <f>SUMIF(#REF!,#REF!, BD20:BD333)</f>
        <v>#REF!</v>
      </c>
      <c r="BF189" s="89">
        <f t="shared" si="55"/>
        <v>0</v>
      </c>
      <c r="BG189" s="89" t="e">
        <f>SUMIF(#REF!,#REF!, BF20:BF333)</f>
        <v>#REF!</v>
      </c>
      <c r="BH189" s="89" t="e">
        <f t="shared" si="56"/>
        <v>#REF!</v>
      </c>
      <c r="BI189" s="90">
        <f>SUMIF(B20:B333, B189, BH20:BH333)</f>
        <v>0</v>
      </c>
      <c r="BJ189" s="91"/>
      <c r="BK189" s="92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4"/>
    </row>
    <row r="190" spans="1:82" x14ac:dyDescent="0.3">
      <c r="A190" s="95" t="s">
        <v>407</v>
      </c>
      <c r="B190" s="96"/>
      <c r="C190" s="97" t="s">
        <v>400</v>
      </c>
      <c r="D190" s="97" t="s">
        <v>406</v>
      </c>
      <c r="E190" s="98" t="s">
        <v>172</v>
      </c>
      <c r="F190" s="99" t="s">
        <v>103</v>
      </c>
      <c r="G190" s="100"/>
      <c r="H190" s="101" t="s">
        <v>103</v>
      </c>
      <c r="I190" s="99" t="s">
        <v>4</v>
      </c>
      <c r="J190" s="100" t="s">
        <v>6</v>
      </c>
      <c r="K190" s="102"/>
      <c r="L190" s="103"/>
      <c r="M190" s="104"/>
      <c r="N190" s="105">
        <v>8047</v>
      </c>
      <c r="O190" s="106">
        <v>8743</v>
      </c>
      <c r="P190" s="106">
        <v>9207</v>
      </c>
      <c r="Q190" s="107"/>
      <c r="R190" s="156">
        <v>0.09</v>
      </c>
      <c r="S190" s="105">
        <v>724</v>
      </c>
      <c r="T190" s="106">
        <v>787</v>
      </c>
      <c r="U190" s="106">
        <v>0</v>
      </c>
      <c r="V190" s="107">
        <f t="shared" si="46"/>
        <v>0</v>
      </c>
      <c r="W190" s="109"/>
      <c r="X190" s="110"/>
      <c r="Y190" s="111" t="s">
        <v>104</v>
      </c>
      <c r="Z190" s="100" t="str">
        <f>'[1]Tier 1'!V190</f>
        <v>D</v>
      </c>
      <c r="AA190" s="100"/>
      <c r="AB190" s="100"/>
      <c r="AC190" s="100"/>
      <c r="AD190" s="101"/>
      <c r="AE190" s="105">
        <f>'[1]Tier 1'!W190</f>
        <v>1962</v>
      </c>
      <c r="AF190" s="106"/>
      <c r="AG190" s="106">
        <f>'[1]Tier 1'!X190</f>
        <v>1962</v>
      </c>
      <c r="AH190" s="106"/>
      <c r="AI190" s="106">
        <f>'[1]Tier 1'!Y190</f>
        <v>0</v>
      </c>
      <c r="AJ190" s="106">
        <f t="shared" si="47"/>
        <v>0</v>
      </c>
      <c r="AK190" s="106" t="e">
        <f>VLOOKUP(A190,#REF!,-1,FALSE)</f>
        <v>#REF!</v>
      </c>
      <c r="AL190" s="107" t="e">
        <f t="shared" si="48"/>
        <v>#REF!</v>
      </c>
      <c r="AM190" s="105">
        <f t="shared" si="57"/>
        <v>724</v>
      </c>
      <c r="AN190" s="112">
        <f t="shared" si="58"/>
        <v>0.36899999999999999</v>
      </c>
      <c r="AO190" s="100" t="str">
        <f t="shared" si="59"/>
        <v>OK</v>
      </c>
      <c r="AP190" s="106">
        <f t="shared" si="60"/>
        <v>787</v>
      </c>
      <c r="AQ190" s="112">
        <f t="shared" si="61"/>
        <v>0.40100000000000002</v>
      </c>
      <c r="AR190" s="100" t="str">
        <f t="shared" si="62"/>
        <v>OK</v>
      </c>
      <c r="AS190" s="106">
        <f t="shared" si="63"/>
        <v>0</v>
      </c>
      <c r="AT190" s="112">
        <f t="shared" si="64"/>
        <v>0</v>
      </c>
      <c r="AU190" s="113" t="str">
        <f t="shared" si="65"/>
        <v>OK</v>
      </c>
      <c r="AV190" s="106">
        <f t="shared" si="49"/>
        <v>0</v>
      </c>
      <c r="AW190" s="112" t="e">
        <f t="shared" si="50"/>
        <v>#REF!</v>
      </c>
      <c r="AX190" s="114" t="e">
        <f t="shared" si="51"/>
        <v>#REF!</v>
      </c>
      <c r="AY190" s="99"/>
      <c r="AZ190" s="100"/>
      <c r="BA190" s="104">
        <f t="shared" si="52"/>
        <v>0</v>
      </c>
      <c r="BB190" s="115">
        <f t="shared" si="53"/>
        <v>1</v>
      </c>
      <c r="BC190" s="116" t="e">
        <f>SUMIF(#REF!,#REF!, BB20:BB333)</f>
        <v>#REF!</v>
      </c>
      <c r="BD190" s="116">
        <f t="shared" si="54"/>
        <v>1</v>
      </c>
      <c r="BE190" s="116" t="e">
        <f>SUMIF(#REF!,#REF!, BD20:BD333)</f>
        <v>#REF!</v>
      </c>
      <c r="BF190" s="116">
        <f t="shared" si="55"/>
        <v>0</v>
      </c>
      <c r="BG190" s="116" t="e">
        <f>SUMIF(#REF!,#REF!, BF20:BF333)</f>
        <v>#REF!</v>
      </c>
      <c r="BH190" s="116" t="e">
        <f t="shared" si="56"/>
        <v>#REF!</v>
      </c>
      <c r="BI190" s="117">
        <f>SUMIF(B20:B333, B190, BH20:BH333)</f>
        <v>0</v>
      </c>
      <c r="BJ190" s="118"/>
      <c r="BK190" s="92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4"/>
    </row>
    <row r="191" spans="1:82" x14ac:dyDescent="0.3">
      <c r="A191" s="68" t="s">
        <v>408</v>
      </c>
      <c r="B191" s="69"/>
      <c r="C191" s="70" t="s">
        <v>130</v>
      </c>
      <c r="D191" s="70" t="s">
        <v>102</v>
      </c>
      <c r="E191" s="71" t="s">
        <v>200</v>
      </c>
      <c r="F191" s="72" t="s">
        <v>103</v>
      </c>
      <c r="G191" s="73"/>
      <c r="H191" s="74" t="s">
        <v>109</v>
      </c>
      <c r="I191" s="72" t="s">
        <v>6</v>
      </c>
      <c r="J191" s="73" t="s">
        <v>6</v>
      </c>
      <c r="K191" s="75"/>
      <c r="L191" s="76"/>
      <c r="M191" s="77"/>
      <c r="N191" s="78">
        <v>8824</v>
      </c>
      <c r="O191" s="79">
        <v>9364</v>
      </c>
      <c r="P191" s="79">
        <v>9742</v>
      </c>
      <c r="Q191" s="80"/>
      <c r="R191" s="155">
        <v>0.09</v>
      </c>
      <c r="S191" s="78">
        <v>794</v>
      </c>
      <c r="T191" s="79">
        <v>843</v>
      </c>
      <c r="U191" s="79">
        <v>877</v>
      </c>
      <c r="V191" s="80">
        <f t="shared" si="46"/>
        <v>0</v>
      </c>
      <c r="W191" s="82"/>
      <c r="X191" s="83"/>
      <c r="Y191" s="84" t="s">
        <v>104</v>
      </c>
      <c r="Z191" s="73" t="str">
        <f>'[1]Tier 1'!V191</f>
        <v>D</v>
      </c>
      <c r="AA191" s="73"/>
      <c r="AB191" s="73"/>
      <c r="AC191" s="73"/>
      <c r="AD191" s="74"/>
      <c r="AE191" s="78">
        <f>'[1]Tier 1'!W191</f>
        <v>1962</v>
      </c>
      <c r="AF191" s="79"/>
      <c r="AG191" s="79">
        <f>'[1]Tier 1'!X191</f>
        <v>1962</v>
      </c>
      <c r="AH191" s="79"/>
      <c r="AI191" s="79">
        <f>'[1]Tier 1'!Y191</f>
        <v>1962</v>
      </c>
      <c r="AJ191" s="79">
        <f t="shared" si="47"/>
        <v>1765.8</v>
      </c>
      <c r="AK191" s="79" t="e">
        <f>VLOOKUP(A191,#REF!,-1,FALSE)</f>
        <v>#REF!</v>
      </c>
      <c r="AL191" s="80" t="e">
        <f t="shared" si="48"/>
        <v>#REF!</v>
      </c>
      <c r="AM191" s="78">
        <f t="shared" si="57"/>
        <v>794</v>
      </c>
      <c r="AN191" s="85">
        <f t="shared" si="58"/>
        <v>0.40500000000000003</v>
      </c>
      <c r="AO191" s="73" t="str">
        <f t="shared" si="59"/>
        <v>OK</v>
      </c>
      <c r="AP191" s="79">
        <f t="shared" si="60"/>
        <v>843</v>
      </c>
      <c r="AQ191" s="85">
        <f t="shared" si="61"/>
        <v>0.43</v>
      </c>
      <c r="AR191" s="73" t="str">
        <f t="shared" si="62"/>
        <v>OK</v>
      </c>
      <c r="AS191" s="79">
        <f t="shared" si="63"/>
        <v>877</v>
      </c>
      <c r="AT191" s="85">
        <f t="shared" si="64"/>
        <v>0.44700000000000001</v>
      </c>
      <c r="AU191" s="86" t="str">
        <f t="shared" si="65"/>
        <v>OK</v>
      </c>
      <c r="AV191" s="79">
        <f t="shared" si="49"/>
        <v>0</v>
      </c>
      <c r="AW191" s="85" t="e">
        <f t="shared" si="50"/>
        <v>#REF!</v>
      </c>
      <c r="AX191" s="87" t="e">
        <f t="shared" si="51"/>
        <v>#REF!</v>
      </c>
      <c r="AY191" s="72"/>
      <c r="AZ191" s="73"/>
      <c r="BA191" s="77">
        <f t="shared" si="52"/>
        <v>0</v>
      </c>
      <c r="BB191" s="88">
        <f t="shared" si="53"/>
        <v>1</v>
      </c>
      <c r="BC191" s="89" t="e">
        <f>SUMIF(#REF!,#REF!, BB20:BB333)</f>
        <v>#REF!</v>
      </c>
      <c r="BD191" s="89">
        <f t="shared" si="54"/>
        <v>1</v>
      </c>
      <c r="BE191" s="89" t="e">
        <f>SUMIF(#REF!,#REF!, BD20:BD333)</f>
        <v>#REF!</v>
      </c>
      <c r="BF191" s="89">
        <f t="shared" si="55"/>
        <v>0</v>
      </c>
      <c r="BG191" s="89" t="e">
        <f>SUMIF(#REF!,#REF!, BF20:BF333)</f>
        <v>#REF!</v>
      </c>
      <c r="BH191" s="89" t="e">
        <f t="shared" si="56"/>
        <v>#REF!</v>
      </c>
      <c r="BI191" s="90">
        <f>SUMIF(B20:B333, B191, BH20:BH333)</f>
        <v>0</v>
      </c>
      <c r="BJ191" s="91"/>
      <c r="BK191" s="92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4"/>
    </row>
    <row r="192" spans="1:82" x14ac:dyDescent="0.3">
      <c r="A192" s="95" t="s">
        <v>409</v>
      </c>
      <c r="B192" s="96"/>
      <c r="C192" s="97" t="s">
        <v>130</v>
      </c>
      <c r="D192" s="97" t="s">
        <v>200</v>
      </c>
      <c r="E192" s="98" t="s">
        <v>202</v>
      </c>
      <c r="F192" s="99" t="s">
        <v>103</v>
      </c>
      <c r="G192" s="100"/>
      <c r="H192" s="101" t="s">
        <v>109</v>
      </c>
      <c r="I192" s="99" t="s">
        <v>6</v>
      </c>
      <c r="J192" s="100" t="s">
        <v>6</v>
      </c>
      <c r="K192" s="102"/>
      <c r="L192" s="103"/>
      <c r="M192" s="104"/>
      <c r="N192" s="105">
        <v>8824</v>
      </c>
      <c r="O192" s="106">
        <v>9364</v>
      </c>
      <c r="P192" s="106">
        <v>9742</v>
      </c>
      <c r="Q192" s="107"/>
      <c r="R192" s="156">
        <v>0.09</v>
      </c>
      <c r="S192" s="105">
        <v>794</v>
      </c>
      <c r="T192" s="106">
        <v>843</v>
      </c>
      <c r="U192" s="106">
        <v>877</v>
      </c>
      <c r="V192" s="107">
        <f t="shared" si="46"/>
        <v>0</v>
      </c>
      <c r="W192" s="109"/>
      <c r="X192" s="110"/>
      <c r="Y192" s="111" t="s">
        <v>104</v>
      </c>
      <c r="Z192" s="100" t="str">
        <f>'[1]Tier 1'!V192</f>
        <v>D</v>
      </c>
      <c r="AA192" s="100"/>
      <c r="AB192" s="100"/>
      <c r="AC192" s="100"/>
      <c r="AD192" s="101"/>
      <c r="AE192" s="105">
        <f>'[1]Tier 1'!W192</f>
        <v>1962</v>
      </c>
      <c r="AF192" s="106"/>
      <c r="AG192" s="106">
        <f>'[1]Tier 1'!X192</f>
        <v>1962</v>
      </c>
      <c r="AH192" s="106"/>
      <c r="AI192" s="106">
        <f>'[1]Tier 1'!Y192</f>
        <v>1962</v>
      </c>
      <c r="AJ192" s="106">
        <f t="shared" si="47"/>
        <v>1765.8</v>
      </c>
      <c r="AK192" s="106" t="e">
        <f>VLOOKUP(A192,#REF!,-1,FALSE)</f>
        <v>#REF!</v>
      </c>
      <c r="AL192" s="107" t="e">
        <f t="shared" si="48"/>
        <v>#REF!</v>
      </c>
      <c r="AM192" s="105">
        <f t="shared" si="57"/>
        <v>794</v>
      </c>
      <c r="AN192" s="112">
        <f t="shared" si="58"/>
        <v>0.40500000000000003</v>
      </c>
      <c r="AO192" s="100" t="str">
        <f t="shared" si="59"/>
        <v>OK</v>
      </c>
      <c r="AP192" s="106">
        <f t="shared" si="60"/>
        <v>843</v>
      </c>
      <c r="AQ192" s="112">
        <f t="shared" si="61"/>
        <v>0.43</v>
      </c>
      <c r="AR192" s="100" t="str">
        <f t="shared" si="62"/>
        <v>OK</v>
      </c>
      <c r="AS192" s="106">
        <f t="shared" si="63"/>
        <v>877</v>
      </c>
      <c r="AT192" s="112">
        <f t="shared" si="64"/>
        <v>0.44700000000000001</v>
      </c>
      <c r="AU192" s="113" t="str">
        <f t="shared" si="65"/>
        <v>OK</v>
      </c>
      <c r="AV192" s="106">
        <f t="shared" si="49"/>
        <v>0</v>
      </c>
      <c r="AW192" s="112" t="e">
        <f t="shared" si="50"/>
        <v>#REF!</v>
      </c>
      <c r="AX192" s="114" t="e">
        <f t="shared" si="51"/>
        <v>#REF!</v>
      </c>
      <c r="AY192" s="99"/>
      <c r="AZ192" s="100"/>
      <c r="BA192" s="104">
        <f t="shared" si="52"/>
        <v>0</v>
      </c>
      <c r="BB192" s="115">
        <f t="shared" si="53"/>
        <v>1</v>
      </c>
      <c r="BC192" s="116" t="e">
        <f>SUMIF(#REF!,#REF!, BB20:BB333)</f>
        <v>#REF!</v>
      </c>
      <c r="BD192" s="116">
        <f t="shared" si="54"/>
        <v>1</v>
      </c>
      <c r="BE192" s="116" t="e">
        <f>SUMIF(#REF!,#REF!, BD20:BD333)</f>
        <v>#REF!</v>
      </c>
      <c r="BF192" s="116">
        <f t="shared" si="55"/>
        <v>0</v>
      </c>
      <c r="BG192" s="116" t="e">
        <f>SUMIF(#REF!,#REF!, BF20:BF333)</f>
        <v>#REF!</v>
      </c>
      <c r="BH192" s="116" t="e">
        <f t="shared" si="56"/>
        <v>#REF!</v>
      </c>
      <c r="BI192" s="117">
        <f>SUMIF(B20:B333, B192, BH20:BH333)</f>
        <v>0</v>
      </c>
      <c r="BJ192" s="118"/>
      <c r="BK192" s="92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4"/>
    </row>
    <row r="193" spans="1:82" x14ac:dyDescent="0.3">
      <c r="A193" s="68" t="s">
        <v>410</v>
      </c>
      <c r="B193" s="69"/>
      <c r="C193" s="70" t="s">
        <v>130</v>
      </c>
      <c r="D193" s="70" t="s">
        <v>202</v>
      </c>
      <c r="E193" s="71" t="s">
        <v>411</v>
      </c>
      <c r="F193" s="72" t="s">
        <v>103</v>
      </c>
      <c r="G193" s="73"/>
      <c r="H193" s="74" t="s">
        <v>103</v>
      </c>
      <c r="I193" s="72" t="s">
        <v>6</v>
      </c>
      <c r="J193" s="73" t="s">
        <v>6</v>
      </c>
      <c r="K193" s="75"/>
      <c r="L193" s="76"/>
      <c r="M193" s="77"/>
      <c r="N193" s="78">
        <v>8824</v>
      </c>
      <c r="O193" s="79">
        <v>9364</v>
      </c>
      <c r="P193" s="79">
        <v>9742</v>
      </c>
      <c r="Q193" s="80"/>
      <c r="R193" s="155">
        <v>0.09</v>
      </c>
      <c r="S193" s="78">
        <v>794</v>
      </c>
      <c r="T193" s="79">
        <v>843</v>
      </c>
      <c r="U193" s="79">
        <v>0</v>
      </c>
      <c r="V193" s="80">
        <f t="shared" si="46"/>
        <v>0</v>
      </c>
      <c r="W193" s="82"/>
      <c r="X193" s="83"/>
      <c r="Y193" s="84" t="s">
        <v>104</v>
      </c>
      <c r="Z193" s="73" t="str">
        <f>'[1]Tier 1'!V193</f>
        <v>D</v>
      </c>
      <c r="AA193" s="73"/>
      <c r="AB193" s="73"/>
      <c r="AC193" s="73"/>
      <c r="AD193" s="74"/>
      <c r="AE193" s="78">
        <f>'[1]Tier 1'!W193</f>
        <v>1962</v>
      </c>
      <c r="AF193" s="79"/>
      <c r="AG193" s="79">
        <f>'[1]Tier 1'!X193</f>
        <v>1962</v>
      </c>
      <c r="AH193" s="79"/>
      <c r="AI193" s="79">
        <f>'[1]Tier 1'!Y193</f>
        <v>0</v>
      </c>
      <c r="AJ193" s="79">
        <f t="shared" si="47"/>
        <v>0</v>
      </c>
      <c r="AK193" s="79" t="e">
        <f>VLOOKUP(A193,#REF!,-1,FALSE)</f>
        <v>#REF!</v>
      </c>
      <c r="AL193" s="80" t="e">
        <f t="shared" si="48"/>
        <v>#REF!</v>
      </c>
      <c r="AM193" s="78">
        <f t="shared" si="57"/>
        <v>794</v>
      </c>
      <c r="AN193" s="85">
        <f t="shared" si="58"/>
        <v>0.40500000000000003</v>
      </c>
      <c r="AO193" s="73" t="str">
        <f t="shared" si="59"/>
        <v>OK</v>
      </c>
      <c r="AP193" s="79">
        <f t="shared" si="60"/>
        <v>843</v>
      </c>
      <c r="AQ193" s="85">
        <f t="shared" si="61"/>
        <v>0.43</v>
      </c>
      <c r="AR193" s="73" t="str">
        <f t="shared" si="62"/>
        <v>OK</v>
      </c>
      <c r="AS193" s="79">
        <f t="shared" si="63"/>
        <v>0</v>
      </c>
      <c r="AT193" s="85">
        <f t="shared" si="64"/>
        <v>0</v>
      </c>
      <c r="AU193" s="86" t="str">
        <f t="shared" si="65"/>
        <v>OK</v>
      </c>
      <c r="AV193" s="79">
        <f t="shared" si="49"/>
        <v>0</v>
      </c>
      <c r="AW193" s="85" t="e">
        <f t="shared" si="50"/>
        <v>#REF!</v>
      </c>
      <c r="AX193" s="87" t="e">
        <f t="shared" si="51"/>
        <v>#REF!</v>
      </c>
      <c r="AY193" s="72"/>
      <c r="AZ193" s="73"/>
      <c r="BA193" s="77">
        <f t="shared" si="52"/>
        <v>0</v>
      </c>
      <c r="BB193" s="88">
        <f t="shared" si="53"/>
        <v>1</v>
      </c>
      <c r="BC193" s="89" t="e">
        <f>SUMIF(#REF!,#REF!, BB20:BB333)</f>
        <v>#REF!</v>
      </c>
      <c r="BD193" s="89">
        <f t="shared" si="54"/>
        <v>1</v>
      </c>
      <c r="BE193" s="89" t="e">
        <f>SUMIF(#REF!,#REF!, BD20:BD333)</f>
        <v>#REF!</v>
      </c>
      <c r="BF193" s="89">
        <f t="shared" si="55"/>
        <v>0</v>
      </c>
      <c r="BG193" s="89" t="e">
        <f>SUMIF(#REF!,#REF!, BF20:BF333)</f>
        <v>#REF!</v>
      </c>
      <c r="BH193" s="89" t="e">
        <f t="shared" si="56"/>
        <v>#REF!</v>
      </c>
      <c r="BI193" s="90">
        <f>SUMIF(B20:B333, B193, BH20:BH333)</f>
        <v>0</v>
      </c>
      <c r="BJ193" s="91"/>
      <c r="BK193" s="92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4"/>
    </row>
    <row r="194" spans="1:82" x14ac:dyDescent="0.3">
      <c r="A194" s="95" t="s">
        <v>412</v>
      </c>
      <c r="B194" s="96"/>
      <c r="C194" s="97" t="s">
        <v>130</v>
      </c>
      <c r="D194" s="97" t="s">
        <v>411</v>
      </c>
      <c r="E194" s="98" t="s">
        <v>111</v>
      </c>
      <c r="F194" s="99" t="s">
        <v>103</v>
      </c>
      <c r="G194" s="100"/>
      <c r="H194" s="101" t="s">
        <v>109</v>
      </c>
      <c r="I194" s="99" t="s">
        <v>6</v>
      </c>
      <c r="J194" s="100" t="s">
        <v>6</v>
      </c>
      <c r="K194" s="102"/>
      <c r="L194" s="103"/>
      <c r="M194" s="104"/>
      <c r="N194" s="105">
        <v>8824</v>
      </c>
      <c r="O194" s="106">
        <v>9364</v>
      </c>
      <c r="P194" s="106">
        <v>9742</v>
      </c>
      <c r="Q194" s="107"/>
      <c r="R194" s="156">
        <v>0.09</v>
      </c>
      <c r="S194" s="105">
        <v>794</v>
      </c>
      <c r="T194" s="106">
        <v>843</v>
      </c>
      <c r="U194" s="106">
        <v>877</v>
      </c>
      <c r="V194" s="107">
        <f t="shared" si="46"/>
        <v>0</v>
      </c>
      <c r="W194" s="109"/>
      <c r="X194" s="110"/>
      <c r="Y194" s="111" t="s">
        <v>104</v>
      </c>
      <c r="Z194" s="100" t="str">
        <f>'[1]Tier 1'!V194</f>
        <v>D</v>
      </c>
      <c r="AA194" s="100"/>
      <c r="AB194" s="100"/>
      <c r="AC194" s="100"/>
      <c r="AD194" s="101"/>
      <c r="AE194" s="105">
        <f>'[1]Tier 1'!W194</f>
        <v>1197</v>
      </c>
      <c r="AF194" s="106"/>
      <c r="AG194" s="106">
        <f>'[1]Tier 1'!X194</f>
        <v>1197</v>
      </c>
      <c r="AH194" s="106"/>
      <c r="AI194" s="106">
        <f>'[1]Tier 1'!Y194</f>
        <v>2628</v>
      </c>
      <c r="AJ194" s="106">
        <f t="shared" si="47"/>
        <v>2365.2000000000003</v>
      </c>
      <c r="AK194" s="106" t="e">
        <f>VLOOKUP(A194,#REF!,-1,FALSE)</f>
        <v>#REF!</v>
      </c>
      <c r="AL194" s="107" t="e">
        <f t="shared" si="48"/>
        <v>#REF!</v>
      </c>
      <c r="AM194" s="105">
        <f t="shared" si="57"/>
        <v>794</v>
      </c>
      <c r="AN194" s="112">
        <f t="shared" si="58"/>
        <v>0.66300000000000003</v>
      </c>
      <c r="AO194" s="100" t="str">
        <f t="shared" si="59"/>
        <v>OK</v>
      </c>
      <c r="AP194" s="106">
        <f t="shared" si="60"/>
        <v>843</v>
      </c>
      <c r="AQ194" s="112">
        <f t="shared" si="61"/>
        <v>0.70399999999999996</v>
      </c>
      <c r="AR194" s="100" t="str">
        <f t="shared" si="62"/>
        <v>OK</v>
      </c>
      <c r="AS194" s="106">
        <f t="shared" si="63"/>
        <v>877</v>
      </c>
      <c r="AT194" s="112">
        <f t="shared" si="64"/>
        <v>0.33400000000000002</v>
      </c>
      <c r="AU194" s="113" t="str">
        <f t="shared" si="65"/>
        <v>OK</v>
      </c>
      <c r="AV194" s="106">
        <f t="shared" si="49"/>
        <v>0</v>
      </c>
      <c r="AW194" s="112" t="e">
        <f t="shared" si="50"/>
        <v>#REF!</v>
      </c>
      <c r="AX194" s="114" t="e">
        <f t="shared" si="51"/>
        <v>#REF!</v>
      </c>
      <c r="AY194" s="99"/>
      <c r="AZ194" s="100"/>
      <c r="BA194" s="104">
        <f t="shared" si="52"/>
        <v>0</v>
      </c>
      <c r="BB194" s="115">
        <f t="shared" si="53"/>
        <v>1</v>
      </c>
      <c r="BC194" s="116" t="e">
        <f>SUMIF(#REF!,#REF!, BB20:BB333)</f>
        <v>#REF!</v>
      </c>
      <c r="BD194" s="116">
        <f t="shared" si="54"/>
        <v>1</v>
      </c>
      <c r="BE194" s="116" t="e">
        <f>SUMIF(#REF!,#REF!, BD20:BD333)</f>
        <v>#REF!</v>
      </c>
      <c r="BF194" s="116">
        <f t="shared" si="55"/>
        <v>0</v>
      </c>
      <c r="BG194" s="116" t="e">
        <f>SUMIF(#REF!,#REF!, BF20:BF333)</f>
        <v>#REF!</v>
      </c>
      <c r="BH194" s="116" t="e">
        <f t="shared" si="56"/>
        <v>#REF!</v>
      </c>
      <c r="BI194" s="117">
        <f>SUMIF(B20:B333, B194, BH20:BH333)</f>
        <v>0</v>
      </c>
      <c r="BJ194" s="118"/>
      <c r="BK194" s="92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4"/>
    </row>
    <row r="195" spans="1:82" x14ac:dyDescent="0.3">
      <c r="A195" s="68" t="s">
        <v>413</v>
      </c>
      <c r="B195" s="69"/>
      <c r="C195" s="70" t="s">
        <v>414</v>
      </c>
      <c r="D195" s="70" t="s">
        <v>173</v>
      </c>
      <c r="E195" s="71" t="s">
        <v>181</v>
      </c>
      <c r="F195" s="72" t="s">
        <v>103</v>
      </c>
      <c r="G195" s="73"/>
      <c r="H195" s="74" t="s">
        <v>109</v>
      </c>
      <c r="I195" s="72" t="s">
        <v>4</v>
      </c>
      <c r="J195" s="73" t="s">
        <v>6</v>
      </c>
      <c r="K195" s="75"/>
      <c r="L195" s="76"/>
      <c r="M195" s="77"/>
      <c r="N195" s="78">
        <v>1078</v>
      </c>
      <c r="O195" s="79">
        <v>1144</v>
      </c>
      <c r="P195" s="79">
        <v>1191</v>
      </c>
      <c r="Q195" s="80"/>
      <c r="R195" s="155">
        <v>0.09</v>
      </c>
      <c r="S195" s="78">
        <v>97</v>
      </c>
      <c r="T195" s="79">
        <v>103</v>
      </c>
      <c r="U195" s="79">
        <v>107</v>
      </c>
      <c r="V195" s="80">
        <f t="shared" si="46"/>
        <v>0</v>
      </c>
      <c r="W195" s="82"/>
      <c r="X195" s="83"/>
      <c r="Y195" s="84" t="s">
        <v>104</v>
      </c>
      <c r="Z195" s="73" t="str">
        <f>'[1]Tier 1'!V195</f>
        <v>D</v>
      </c>
      <c r="AA195" s="73"/>
      <c r="AB195" s="73"/>
      <c r="AC195" s="73"/>
      <c r="AD195" s="74"/>
      <c r="AE195" s="78">
        <f>'[1]Tier 1'!W195</f>
        <v>1197</v>
      </c>
      <c r="AF195" s="79"/>
      <c r="AG195" s="79">
        <f>'[1]Tier 1'!X195</f>
        <v>1197</v>
      </c>
      <c r="AH195" s="79"/>
      <c r="AI195" s="79">
        <f>'[1]Tier 1'!Y195</f>
        <v>1197</v>
      </c>
      <c r="AJ195" s="79">
        <f t="shared" si="47"/>
        <v>1077.3</v>
      </c>
      <c r="AK195" s="79" t="e">
        <f>VLOOKUP(A195,#REF!,-1,FALSE)</f>
        <v>#REF!</v>
      </c>
      <c r="AL195" s="80" t="e">
        <f t="shared" si="48"/>
        <v>#REF!</v>
      </c>
      <c r="AM195" s="78">
        <f t="shared" si="57"/>
        <v>97</v>
      </c>
      <c r="AN195" s="85">
        <f t="shared" si="58"/>
        <v>8.1000000000000003E-2</v>
      </c>
      <c r="AO195" s="73" t="str">
        <f t="shared" si="59"/>
        <v>OK</v>
      </c>
      <c r="AP195" s="79">
        <f t="shared" si="60"/>
        <v>103</v>
      </c>
      <c r="AQ195" s="85">
        <f t="shared" si="61"/>
        <v>8.5999999999999993E-2</v>
      </c>
      <c r="AR195" s="73" t="str">
        <f t="shared" si="62"/>
        <v>OK</v>
      </c>
      <c r="AS195" s="79">
        <f t="shared" si="63"/>
        <v>107</v>
      </c>
      <c r="AT195" s="85">
        <f t="shared" si="64"/>
        <v>8.8999999999999996E-2</v>
      </c>
      <c r="AU195" s="86" t="str">
        <f t="shared" si="65"/>
        <v>OK</v>
      </c>
      <c r="AV195" s="79">
        <f t="shared" si="49"/>
        <v>0</v>
      </c>
      <c r="AW195" s="85" t="e">
        <f t="shared" si="50"/>
        <v>#REF!</v>
      </c>
      <c r="AX195" s="87" t="e">
        <f t="shared" si="51"/>
        <v>#REF!</v>
      </c>
      <c r="AY195" s="72"/>
      <c r="AZ195" s="73"/>
      <c r="BA195" s="77">
        <f t="shared" si="52"/>
        <v>0</v>
      </c>
      <c r="BB195" s="88">
        <f t="shared" si="53"/>
        <v>1</v>
      </c>
      <c r="BC195" s="89" t="e">
        <f>SUMIF(#REF!,#REF!, BB20:BB333)</f>
        <v>#REF!</v>
      </c>
      <c r="BD195" s="89">
        <f t="shared" si="54"/>
        <v>1</v>
      </c>
      <c r="BE195" s="89" t="e">
        <f>SUMIF(#REF!,#REF!, BD20:BD333)</f>
        <v>#REF!</v>
      </c>
      <c r="BF195" s="89">
        <f t="shared" si="55"/>
        <v>0</v>
      </c>
      <c r="BG195" s="89" t="e">
        <f>SUMIF(#REF!,#REF!, BF20:BF333)</f>
        <v>#REF!</v>
      </c>
      <c r="BH195" s="89" t="e">
        <f t="shared" si="56"/>
        <v>#REF!</v>
      </c>
      <c r="BI195" s="90">
        <f>SUMIF(B20:B333, B195, BH20:BH333)</f>
        <v>0</v>
      </c>
      <c r="BJ195" s="91"/>
      <c r="BK195" s="92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4"/>
    </row>
    <row r="196" spans="1:82" x14ac:dyDescent="0.3">
      <c r="A196" s="95" t="s">
        <v>415</v>
      </c>
      <c r="B196" s="96"/>
      <c r="C196" s="97" t="s">
        <v>416</v>
      </c>
      <c r="D196" s="97" t="s">
        <v>181</v>
      </c>
      <c r="E196" s="98" t="s">
        <v>417</v>
      </c>
      <c r="F196" s="99" t="s">
        <v>109</v>
      </c>
      <c r="G196" s="100"/>
      <c r="H196" s="101" t="s">
        <v>109</v>
      </c>
      <c r="I196" s="99" t="s">
        <v>4</v>
      </c>
      <c r="J196" s="100" t="s">
        <v>6</v>
      </c>
      <c r="K196" s="102"/>
      <c r="L196" s="103"/>
      <c r="M196" s="104"/>
      <c r="N196" s="105">
        <v>9180</v>
      </c>
      <c r="O196" s="106">
        <v>9210</v>
      </c>
      <c r="P196" s="106">
        <v>9453</v>
      </c>
      <c r="Q196" s="107"/>
      <c r="R196" s="156">
        <v>0.09</v>
      </c>
      <c r="S196" s="105">
        <v>826</v>
      </c>
      <c r="T196" s="106">
        <v>829</v>
      </c>
      <c r="U196" s="106">
        <v>851</v>
      </c>
      <c r="V196" s="107">
        <f t="shared" si="46"/>
        <v>0</v>
      </c>
      <c r="W196" s="109"/>
      <c r="X196" s="110"/>
      <c r="Y196" s="111" t="s">
        <v>104</v>
      </c>
      <c r="Z196" s="100" t="str">
        <f>'[1]Tier 1'!V196</f>
        <v>D</v>
      </c>
      <c r="AA196" s="100"/>
      <c r="AB196" s="100"/>
      <c r="AC196" s="100"/>
      <c r="AD196" s="101"/>
      <c r="AE196" s="105">
        <f>'[1]Tier 1'!W196</f>
        <v>2628</v>
      </c>
      <c r="AF196" s="106"/>
      <c r="AG196" s="106">
        <f>'[1]Tier 1'!X196</f>
        <v>2628</v>
      </c>
      <c r="AH196" s="106"/>
      <c r="AI196" s="106">
        <f>'[1]Tier 1'!Y196</f>
        <v>2628</v>
      </c>
      <c r="AJ196" s="106">
        <f t="shared" si="47"/>
        <v>2365.2000000000003</v>
      </c>
      <c r="AK196" s="106" t="e">
        <f>VLOOKUP(A196,#REF!,-1,FALSE)</f>
        <v>#REF!</v>
      </c>
      <c r="AL196" s="107" t="e">
        <f t="shared" si="48"/>
        <v>#REF!</v>
      </c>
      <c r="AM196" s="105">
        <f t="shared" si="57"/>
        <v>826</v>
      </c>
      <c r="AN196" s="112">
        <f t="shared" si="58"/>
        <v>0.314</v>
      </c>
      <c r="AO196" s="100" t="str">
        <f t="shared" si="59"/>
        <v>OK</v>
      </c>
      <c r="AP196" s="106">
        <f t="shared" si="60"/>
        <v>829</v>
      </c>
      <c r="AQ196" s="112">
        <f t="shared" si="61"/>
        <v>0.315</v>
      </c>
      <c r="AR196" s="100" t="str">
        <f t="shared" si="62"/>
        <v>OK</v>
      </c>
      <c r="AS196" s="106">
        <f t="shared" si="63"/>
        <v>851</v>
      </c>
      <c r="AT196" s="112">
        <f t="shared" si="64"/>
        <v>0.32400000000000001</v>
      </c>
      <c r="AU196" s="113" t="str">
        <f t="shared" si="65"/>
        <v>OK</v>
      </c>
      <c r="AV196" s="106">
        <f t="shared" si="49"/>
        <v>0</v>
      </c>
      <c r="AW196" s="112" t="e">
        <f t="shared" si="50"/>
        <v>#REF!</v>
      </c>
      <c r="AX196" s="114" t="e">
        <f t="shared" si="51"/>
        <v>#REF!</v>
      </c>
      <c r="AY196" s="99"/>
      <c r="AZ196" s="100"/>
      <c r="BA196" s="104">
        <f t="shared" si="52"/>
        <v>0</v>
      </c>
      <c r="BB196" s="115">
        <f t="shared" si="53"/>
        <v>1</v>
      </c>
      <c r="BC196" s="116" t="e">
        <f>SUMIF(#REF!,#REF!, BB20:BB333)</f>
        <v>#REF!</v>
      </c>
      <c r="BD196" s="116">
        <f t="shared" si="54"/>
        <v>1</v>
      </c>
      <c r="BE196" s="116" t="e">
        <f>SUMIF(#REF!,#REF!, BD20:BD333)</f>
        <v>#REF!</v>
      </c>
      <c r="BF196" s="116">
        <f t="shared" si="55"/>
        <v>0</v>
      </c>
      <c r="BG196" s="116" t="e">
        <f>SUMIF(#REF!,#REF!, BF20:BF333)</f>
        <v>#REF!</v>
      </c>
      <c r="BH196" s="116" t="e">
        <f t="shared" si="56"/>
        <v>#REF!</v>
      </c>
      <c r="BI196" s="117">
        <f>SUMIF(B20:B333, B196, BH20:BH333)</f>
        <v>0</v>
      </c>
      <c r="BJ196" s="118"/>
      <c r="BK196" s="92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4"/>
    </row>
    <row r="197" spans="1:82" x14ac:dyDescent="0.3">
      <c r="A197" s="68" t="s">
        <v>418</v>
      </c>
      <c r="B197" s="69"/>
      <c r="C197" s="70" t="s">
        <v>416</v>
      </c>
      <c r="D197" s="70" t="s">
        <v>417</v>
      </c>
      <c r="E197" s="71" t="s">
        <v>419</v>
      </c>
      <c r="F197" s="72" t="s">
        <v>109</v>
      </c>
      <c r="G197" s="73"/>
      <c r="H197" s="74" t="s">
        <v>109</v>
      </c>
      <c r="I197" s="72" t="s">
        <v>4</v>
      </c>
      <c r="J197" s="73" t="s">
        <v>6</v>
      </c>
      <c r="K197" s="75"/>
      <c r="L197" s="76"/>
      <c r="M197" s="77"/>
      <c r="N197" s="78">
        <v>9180</v>
      </c>
      <c r="O197" s="79">
        <v>9210</v>
      </c>
      <c r="P197" s="79">
        <v>9453</v>
      </c>
      <c r="Q197" s="80"/>
      <c r="R197" s="155">
        <v>0.09</v>
      </c>
      <c r="S197" s="78">
        <v>826</v>
      </c>
      <c r="T197" s="79">
        <v>829</v>
      </c>
      <c r="U197" s="79">
        <v>851</v>
      </c>
      <c r="V197" s="80">
        <f t="shared" si="46"/>
        <v>0</v>
      </c>
      <c r="W197" s="82"/>
      <c r="X197" s="83"/>
      <c r="Y197" s="84" t="s">
        <v>104</v>
      </c>
      <c r="Z197" s="73" t="str">
        <f>'[1]Tier 1'!V197</f>
        <v>D</v>
      </c>
      <c r="AA197" s="73"/>
      <c r="AB197" s="73"/>
      <c r="AC197" s="73"/>
      <c r="AD197" s="74"/>
      <c r="AE197" s="78">
        <f>'[1]Tier 1'!W197</f>
        <v>2628</v>
      </c>
      <c r="AF197" s="79"/>
      <c r="AG197" s="79">
        <f>'[1]Tier 1'!X197</f>
        <v>2628</v>
      </c>
      <c r="AH197" s="79"/>
      <c r="AI197" s="79">
        <f>'[1]Tier 1'!Y197</f>
        <v>2628</v>
      </c>
      <c r="AJ197" s="79">
        <f t="shared" si="47"/>
        <v>2365.2000000000003</v>
      </c>
      <c r="AK197" s="79" t="e">
        <f>VLOOKUP(A197,#REF!,-1,FALSE)</f>
        <v>#REF!</v>
      </c>
      <c r="AL197" s="80" t="e">
        <f t="shared" si="48"/>
        <v>#REF!</v>
      </c>
      <c r="AM197" s="78">
        <f t="shared" si="57"/>
        <v>826</v>
      </c>
      <c r="AN197" s="85">
        <f t="shared" si="58"/>
        <v>0.314</v>
      </c>
      <c r="AO197" s="73" t="str">
        <f t="shared" si="59"/>
        <v>OK</v>
      </c>
      <c r="AP197" s="79">
        <f t="shared" si="60"/>
        <v>829</v>
      </c>
      <c r="AQ197" s="85">
        <f t="shared" si="61"/>
        <v>0.315</v>
      </c>
      <c r="AR197" s="73" t="str">
        <f t="shared" si="62"/>
        <v>OK</v>
      </c>
      <c r="AS197" s="79">
        <f t="shared" si="63"/>
        <v>851</v>
      </c>
      <c r="AT197" s="85">
        <f t="shared" si="64"/>
        <v>0.32400000000000001</v>
      </c>
      <c r="AU197" s="86" t="str">
        <f t="shared" si="65"/>
        <v>OK</v>
      </c>
      <c r="AV197" s="79">
        <f t="shared" si="49"/>
        <v>0</v>
      </c>
      <c r="AW197" s="85" t="e">
        <f t="shared" si="50"/>
        <v>#REF!</v>
      </c>
      <c r="AX197" s="87" t="e">
        <f t="shared" si="51"/>
        <v>#REF!</v>
      </c>
      <c r="AY197" s="72"/>
      <c r="AZ197" s="73"/>
      <c r="BA197" s="77">
        <f t="shared" si="52"/>
        <v>0</v>
      </c>
      <c r="BB197" s="88">
        <f t="shared" si="53"/>
        <v>1</v>
      </c>
      <c r="BC197" s="89" t="e">
        <f>SUMIF(#REF!,#REF!, BB20:BB333)</f>
        <v>#REF!</v>
      </c>
      <c r="BD197" s="89">
        <f t="shared" si="54"/>
        <v>1</v>
      </c>
      <c r="BE197" s="89" t="e">
        <f>SUMIF(#REF!,#REF!, BD20:BD333)</f>
        <v>#REF!</v>
      </c>
      <c r="BF197" s="89">
        <f t="shared" si="55"/>
        <v>0</v>
      </c>
      <c r="BG197" s="89" t="e">
        <f>SUMIF(#REF!,#REF!, BF20:BF333)</f>
        <v>#REF!</v>
      </c>
      <c r="BH197" s="89" t="e">
        <f t="shared" si="56"/>
        <v>#REF!</v>
      </c>
      <c r="BI197" s="90">
        <f>SUMIF(B20:B333, B197, BH20:BH333)</f>
        <v>0</v>
      </c>
      <c r="BJ197" s="91"/>
      <c r="BK197" s="92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4"/>
    </row>
    <row r="198" spans="1:82" x14ac:dyDescent="0.3">
      <c r="A198" s="95" t="s">
        <v>420</v>
      </c>
      <c r="B198" s="96"/>
      <c r="C198" s="97" t="s">
        <v>416</v>
      </c>
      <c r="D198" s="97" t="s">
        <v>419</v>
      </c>
      <c r="E198" s="98" t="s">
        <v>421</v>
      </c>
      <c r="F198" s="99" t="s">
        <v>109</v>
      </c>
      <c r="G198" s="100"/>
      <c r="H198" s="101" t="s">
        <v>109</v>
      </c>
      <c r="I198" s="99" t="s">
        <v>4</v>
      </c>
      <c r="J198" s="100" t="s">
        <v>6</v>
      </c>
      <c r="K198" s="102"/>
      <c r="L198" s="103"/>
      <c r="M198" s="104"/>
      <c r="N198" s="105">
        <v>9180</v>
      </c>
      <c r="O198" s="106">
        <v>9210</v>
      </c>
      <c r="P198" s="106">
        <v>9453</v>
      </c>
      <c r="Q198" s="107"/>
      <c r="R198" s="156">
        <v>0.09</v>
      </c>
      <c r="S198" s="105">
        <v>826</v>
      </c>
      <c r="T198" s="106">
        <v>829</v>
      </c>
      <c r="U198" s="106">
        <v>851</v>
      </c>
      <c r="V198" s="107">
        <f t="shared" si="46"/>
        <v>0</v>
      </c>
      <c r="W198" s="109"/>
      <c r="X198" s="110"/>
      <c r="Y198" s="111" t="s">
        <v>104</v>
      </c>
      <c r="Z198" s="100" t="str">
        <f>'[1]Tier 1'!V198</f>
        <v>D</v>
      </c>
      <c r="AA198" s="100"/>
      <c r="AB198" s="100"/>
      <c r="AC198" s="100"/>
      <c r="AD198" s="101"/>
      <c r="AE198" s="105">
        <f>'[1]Tier 1'!W198</f>
        <v>2628</v>
      </c>
      <c r="AF198" s="106"/>
      <c r="AG198" s="106">
        <f>'[1]Tier 1'!X198</f>
        <v>2628</v>
      </c>
      <c r="AH198" s="106"/>
      <c r="AI198" s="106">
        <f>'[1]Tier 1'!Y198</f>
        <v>2628</v>
      </c>
      <c r="AJ198" s="106">
        <f t="shared" si="47"/>
        <v>2365.2000000000003</v>
      </c>
      <c r="AK198" s="106" t="e">
        <f>VLOOKUP(A198,#REF!,-1,FALSE)</f>
        <v>#REF!</v>
      </c>
      <c r="AL198" s="107" t="e">
        <f t="shared" si="48"/>
        <v>#REF!</v>
      </c>
      <c r="AM198" s="105">
        <f t="shared" si="57"/>
        <v>826</v>
      </c>
      <c r="AN198" s="112">
        <f t="shared" si="58"/>
        <v>0.314</v>
      </c>
      <c r="AO198" s="100" t="str">
        <f t="shared" si="59"/>
        <v>OK</v>
      </c>
      <c r="AP198" s="106">
        <f t="shared" si="60"/>
        <v>829</v>
      </c>
      <c r="AQ198" s="112">
        <f t="shared" si="61"/>
        <v>0.315</v>
      </c>
      <c r="AR198" s="100" t="str">
        <f t="shared" si="62"/>
        <v>OK</v>
      </c>
      <c r="AS198" s="106">
        <f t="shared" si="63"/>
        <v>851</v>
      </c>
      <c r="AT198" s="112">
        <f t="shared" si="64"/>
        <v>0.32400000000000001</v>
      </c>
      <c r="AU198" s="113" t="str">
        <f t="shared" si="65"/>
        <v>OK</v>
      </c>
      <c r="AV198" s="106">
        <f t="shared" si="49"/>
        <v>0</v>
      </c>
      <c r="AW198" s="112" t="e">
        <f t="shared" si="50"/>
        <v>#REF!</v>
      </c>
      <c r="AX198" s="114" t="e">
        <f t="shared" si="51"/>
        <v>#REF!</v>
      </c>
      <c r="AY198" s="99"/>
      <c r="AZ198" s="100"/>
      <c r="BA198" s="104">
        <f t="shared" si="52"/>
        <v>0</v>
      </c>
      <c r="BB198" s="115">
        <f t="shared" si="53"/>
        <v>1</v>
      </c>
      <c r="BC198" s="116" t="e">
        <f>SUMIF(#REF!,#REF!, BB20:BB333)</f>
        <v>#REF!</v>
      </c>
      <c r="BD198" s="116">
        <f t="shared" si="54"/>
        <v>1</v>
      </c>
      <c r="BE198" s="116" t="e">
        <f>SUMIF(#REF!,#REF!, BD20:BD333)</f>
        <v>#REF!</v>
      </c>
      <c r="BF198" s="116">
        <f t="shared" si="55"/>
        <v>0</v>
      </c>
      <c r="BG198" s="116" t="e">
        <f>SUMIF(#REF!,#REF!, BF20:BF333)</f>
        <v>#REF!</v>
      </c>
      <c r="BH198" s="116" t="e">
        <f t="shared" si="56"/>
        <v>#REF!</v>
      </c>
      <c r="BI198" s="117">
        <f>SUMIF(B20:B333, B198, BH20:BH333)</f>
        <v>0</v>
      </c>
      <c r="BJ198" s="118"/>
      <c r="BK198" s="92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4"/>
    </row>
    <row r="199" spans="1:82" x14ac:dyDescent="0.3">
      <c r="A199" s="68" t="s">
        <v>422</v>
      </c>
      <c r="B199" s="69"/>
      <c r="C199" s="70" t="s">
        <v>416</v>
      </c>
      <c r="D199" s="70" t="s">
        <v>421</v>
      </c>
      <c r="E199" s="71" t="s">
        <v>423</v>
      </c>
      <c r="F199" s="72" t="s">
        <v>109</v>
      </c>
      <c r="G199" s="73"/>
      <c r="H199" s="74" t="s">
        <v>109</v>
      </c>
      <c r="I199" s="72" t="s">
        <v>4</v>
      </c>
      <c r="J199" s="73" t="s">
        <v>6</v>
      </c>
      <c r="K199" s="75"/>
      <c r="L199" s="76"/>
      <c r="M199" s="77"/>
      <c r="N199" s="78">
        <v>9180</v>
      </c>
      <c r="O199" s="79">
        <v>9210</v>
      </c>
      <c r="P199" s="79">
        <v>9453</v>
      </c>
      <c r="Q199" s="80"/>
      <c r="R199" s="155">
        <v>0.09</v>
      </c>
      <c r="S199" s="78">
        <v>826</v>
      </c>
      <c r="T199" s="79">
        <v>829</v>
      </c>
      <c r="U199" s="79">
        <v>851</v>
      </c>
      <c r="V199" s="80">
        <f t="shared" si="46"/>
        <v>0</v>
      </c>
      <c r="W199" s="82"/>
      <c r="X199" s="83"/>
      <c r="Y199" s="84" t="s">
        <v>104</v>
      </c>
      <c r="Z199" s="73" t="str">
        <f>'[1]Tier 1'!V199</f>
        <v>D</v>
      </c>
      <c r="AA199" s="73"/>
      <c r="AB199" s="73"/>
      <c r="AC199" s="73"/>
      <c r="AD199" s="74"/>
      <c r="AE199" s="78">
        <f>'[1]Tier 1'!W199</f>
        <v>2628</v>
      </c>
      <c r="AF199" s="79"/>
      <c r="AG199" s="79">
        <f>'[1]Tier 1'!X199</f>
        <v>2628</v>
      </c>
      <c r="AH199" s="79"/>
      <c r="AI199" s="79">
        <f>'[1]Tier 1'!Y199</f>
        <v>2628</v>
      </c>
      <c r="AJ199" s="79">
        <f t="shared" si="47"/>
        <v>2365.2000000000003</v>
      </c>
      <c r="AK199" s="79" t="e">
        <f>VLOOKUP(A199,#REF!,-1,FALSE)</f>
        <v>#REF!</v>
      </c>
      <c r="AL199" s="80" t="e">
        <f t="shared" si="48"/>
        <v>#REF!</v>
      </c>
      <c r="AM199" s="78">
        <f t="shared" si="57"/>
        <v>826</v>
      </c>
      <c r="AN199" s="85">
        <f t="shared" si="58"/>
        <v>0.314</v>
      </c>
      <c r="AO199" s="73" t="str">
        <f t="shared" si="59"/>
        <v>OK</v>
      </c>
      <c r="AP199" s="79">
        <f t="shared" si="60"/>
        <v>829</v>
      </c>
      <c r="AQ199" s="85">
        <f t="shared" si="61"/>
        <v>0.315</v>
      </c>
      <c r="AR199" s="73" t="str">
        <f t="shared" si="62"/>
        <v>OK</v>
      </c>
      <c r="AS199" s="79">
        <f t="shared" si="63"/>
        <v>851</v>
      </c>
      <c r="AT199" s="85">
        <f t="shared" si="64"/>
        <v>0.32400000000000001</v>
      </c>
      <c r="AU199" s="86" t="str">
        <f t="shared" si="65"/>
        <v>OK</v>
      </c>
      <c r="AV199" s="79">
        <f t="shared" si="49"/>
        <v>0</v>
      </c>
      <c r="AW199" s="85" t="e">
        <f t="shared" si="50"/>
        <v>#REF!</v>
      </c>
      <c r="AX199" s="87" t="e">
        <f t="shared" si="51"/>
        <v>#REF!</v>
      </c>
      <c r="AY199" s="72"/>
      <c r="AZ199" s="73"/>
      <c r="BA199" s="77">
        <f t="shared" si="52"/>
        <v>0</v>
      </c>
      <c r="BB199" s="88">
        <f t="shared" si="53"/>
        <v>1</v>
      </c>
      <c r="BC199" s="89" t="e">
        <f>SUMIF(#REF!,#REF!, BB20:BB333)</f>
        <v>#REF!</v>
      </c>
      <c r="BD199" s="89">
        <f t="shared" si="54"/>
        <v>1</v>
      </c>
      <c r="BE199" s="89" t="e">
        <f>SUMIF(#REF!,#REF!, BD20:BD333)</f>
        <v>#REF!</v>
      </c>
      <c r="BF199" s="89">
        <f t="shared" si="55"/>
        <v>0</v>
      </c>
      <c r="BG199" s="89" t="e">
        <f>SUMIF(#REF!,#REF!, BF20:BF333)</f>
        <v>#REF!</v>
      </c>
      <c r="BH199" s="89" t="e">
        <f t="shared" si="56"/>
        <v>#REF!</v>
      </c>
      <c r="BI199" s="90">
        <f>SUMIF(B20:B333, B199, BH20:BH333)</f>
        <v>0</v>
      </c>
      <c r="BJ199" s="91"/>
      <c r="BK199" s="92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4"/>
    </row>
    <row r="200" spans="1:82" x14ac:dyDescent="0.3">
      <c r="A200" s="95" t="s">
        <v>424</v>
      </c>
      <c r="B200" s="96"/>
      <c r="C200" s="97" t="s">
        <v>416</v>
      </c>
      <c r="D200" s="97" t="s">
        <v>423</v>
      </c>
      <c r="E200" s="98" t="s">
        <v>425</v>
      </c>
      <c r="F200" s="99" t="s">
        <v>109</v>
      </c>
      <c r="G200" s="100"/>
      <c r="H200" s="101" t="s">
        <v>103</v>
      </c>
      <c r="I200" s="99" t="s">
        <v>4</v>
      </c>
      <c r="J200" s="100" t="s">
        <v>6</v>
      </c>
      <c r="K200" s="102"/>
      <c r="L200" s="103"/>
      <c r="M200" s="104"/>
      <c r="N200" s="105">
        <v>13725</v>
      </c>
      <c r="O200" s="106">
        <v>14566</v>
      </c>
      <c r="P200" s="106">
        <v>15154</v>
      </c>
      <c r="Q200" s="107"/>
      <c r="R200" s="156">
        <v>0.09</v>
      </c>
      <c r="S200" s="105">
        <v>1235</v>
      </c>
      <c r="T200" s="106">
        <v>1311</v>
      </c>
      <c r="U200" s="106">
        <v>1364</v>
      </c>
      <c r="V200" s="107">
        <f t="shared" si="46"/>
        <v>0</v>
      </c>
      <c r="W200" s="109"/>
      <c r="X200" s="110"/>
      <c r="Y200" s="111" t="s">
        <v>104</v>
      </c>
      <c r="Z200" s="100" t="str">
        <f>'[1]Tier 1'!V200</f>
        <v>D</v>
      </c>
      <c r="AA200" s="100"/>
      <c r="AB200" s="100"/>
      <c r="AC200" s="100"/>
      <c r="AD200" s="101"/>
      <c r="AE200" s="105">
        <f>'[1]Tier 1'!W200</f>
        <v>2628</v>
      </c>
      <c r="AF200" s="106"/>
      <c r="AG200" s="106">
        <f>'[1]Tier 1'!X200</f>
        <v>2628</v>
      </c>
      <c r="AH200" s="106"/>
      <c r="AI200" s="106">
        <f>'[1]Tier 1'!Y200</f>
        <v>2628</v>
      </c>
      <c r="AJ200" s="106">
        <f t="shared" si="47"/>
        <v>2365.2000000000003</v>
      </c>
      <c r="AK200" s="106" t="e">
        <f>VLOOKUP(A200,#REF!,-1,FALSE)</f>
        <v>#REF!</v>
      </c>
      <c r="AL200" s="107" t="e">
        <f t="shared" si="48"/>
        <v>#REF!</v>
      </c>
      <c r="AM200" s="105">
        <f t="shared" si="57"/>
        <v>1235</v>
      </c>
      <c r="AN200" s="112">
        <f t="shared" si="58"/>
        <v>0.47</v>
      </c>
      <c r="AO200" s="100" t="str">
        <f t="shared" si="59"/>
        <v>OK</v>
      </c>
      <c r="AP200" s="106">
        <f t="shared" si="60"/>
        <v>1311</v>
      </c>
      <c r="AQ200" s="112">
        <f t="shared" si="61"/>
        <v>0.499</v>
      </c>
      <c r="AR200" s="100" t="str">
        <f t="shared" si="62"/>
        <v>OK</v>
      </c>
      <c r="AS200" s="106">
        <f t="shared" si="63"/>
        <v>1364</v>
      </c>
      <c r="AT200" s="112">
        <f t="shared" si="64"/>
        <v>0.51900000000000002</v>
      </c>
      <c r="AU200" s="113" t="str">
        <f t="shared" si="65"/>
        <v>OK</v>
      </c>
      <c r="AV200" s="106">
        <f t="shared" si="49"/>
        <v>0</v>
      </c>
      <c r="AW200" s="112" t="e">
        <f t="shared" si="50"/>
        <v>#REF!</v>
      </c>
      <c r="AX200" s="114" t="e">
        <f t="shared" si="51"/>
        <v>#REF!</v>
      </c>
      <c r="AY200" s="99"/>
      <c r="AZ200" s="100"/>
      <c r="BA200" s="104">
        <f t="shared" si="52"/>
        <v>0</v>
      </c>
      <c r="BB200" s="115">
        <f t="shared" si="53"/>
        <v>1</v>
      </c>
      <c r="BC200" s="116" t="e">
        <f>SUMIF(#REF!,#REF!, BB20:BB333)</f>
        <v>#REF!</v>
      </c>
      <c r="BD200" s="116">
        <f t="shared" si="54"/>
        <v>1</v>
      </c>
      <c r="BE200" s="116" t="e">
        <f>SUMIF(#REF!,#REF!, BD20:BD333)</f>
        <v>#REF!</v>
      </c>
      <c r="BF200" s="116">
        <f t="shared" si="55"/>
        <v>0</v>
      </c>
      <c r="BG200" s="116" t="e">
        <f>SUMIF(#REF!,#REF!, BF20:BF333)</f>
        <v>#REF!</v>
      </c>
      <c r="BH200" s="116" t="e">
        <f t="shared" si="56"/>
        <v>#REF!</v>
      </c>
      <c r="BI200" s="117">
        <f>SUMIF(B20:B333, B200, BH20:BH333)</f>
        <v>0</v>
      </c>
      <c r="BJ200" s="118"/>
      <c r="BK200" s="92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4"/>
    </row>
    <row r="201" spans="1:82" x14ac:dyDescent="0.3">
      <c r="A201" s="68" t="s">
        <v>426</v>
      </c>
      <c r="B201" s="69"/>
      <c r="C201" s="70" t="s">
        <v>416</v>
      </c>
      <c r="D201" s="70" t="s">
        <v>425</v>
      </c>
      <c r="E201" s="71" t="s">
        <v>427</v>
      </c>
      <c r="F201" s="72" t="s">
        <v>109</v>
      </c>
      <c r="G201" s="73"/>
      <c r="H201" s="74" t="s">
        <v>103</v>
      </c>
      <c r="I201" s="72" t="s">
        <v>4</v>
      </c>
      <c r="J201" s="73" t="s">
        <v>6</v>
      </c>
      <c r="K201" s="75"/>
      <c r="L201" s="76"/>
      <c r="M201" s="77"/>
      <c r="N201" s="78">
        <v>9180</v>
      </c>
      <c r="O201" s="79">
        <v>9210</v>
      </c>
      <c r="P201" s="79">
        <v>9453</v>
      </c>
      <c r="Q201" s="80"/>
      <c r="R201" s="155">
        <v>0.09</v>
      </c>
      <c r="S201" s="78">
        <v>826</v>
      </c>
      <c r="T201" s="79">
        <v>829</v>
      </c>
      <c r="U201" s="79">
        <v>851</v>
      </c>
      <c r="V201" s="80">
        <f t="shared" si="46"/>
        <v>0</v>
      </c>
      <c r="W201" s="82"/>
      <c r="X201" s="83"/>
      <c r="Y201" s="84" t="s">
        <v>104</v>
      </c>
      <c r="Z201" s="73" t="str">
        <f>'[1]Tier 1'!V201</f>
        <v>D</v>
      </c>
      <c r="AA201" s="73"/>
      <c r="AB201" s="73"/>
      <c r="AC201" s="73"/>
      <c r="AD201" s="74"/>
      <c r="AE201" s="78">
        <f>'[1]Tier 1'!W201</f>
        <v>2628</v>
      </c>
      <c r="AF201" s="79"/>
      <c r="AG201" s="79">
        <f>'[1]Tier 1'!X201</f>
        <v>2628</v>
      </c>
      <c r="AH201" s="79"/>
      <c r="AI201" s="79">
        <f>'[1]Tier 1'!Y201</f>
        <v>2628</v>
      </c>
      <c r="AJ201" s="79">
        <f t="shared" si="47"/>
        <v>2365.2000000000003</v>
      </c>
      <c r="AK201" s="79" t="e">
        <f>VLOOKUP(A201,#REF!,-1,FALSE)</f>
        <v>#REF!</v>
      </c>
      <c r="AL201" s="80" t="e">
        <f t="shared" si="48"/>
        <v>#REF!</v>
      </c>
      <c r="AM201" s="78">
        <f t="shared" si="57"/>
        <v>826</v>
      </c>
      <c r="AN201" s="85">
        <f t="shared" si="58"/>
        <v>0.314</v>
      </c>
      <c r="AO201" s="73" t="str">
        <f t="shared" si="59"/>
        <v>OK</v>
      </c>
      <c r="AP201" s="79">
        <f t="shared" si="60"/>
        <v>829</v>
      </c>
      <c r="AQ201" s="85">
        <f t="shared" si="61"/>
        <v>0.315</v>
      </c>
      <c r="AR201" s="73" t="str">
        <f t="shared" si="62"/>
        <v>OK</v>
      </c>
      <c r="AS201" s="79">
        <f t="shared" si="63"/>
        <v>851</v>
      </c>
      <c r="AT201" s="85">
        <f t="shared" si="64"/>
        <v>0.32400000000000001</v>
      </c>
      <c r="AU201" s="86" t="str">
        <f t="shared" si="65"/>
        <v>OK</v>
      </c>
      <c r="AV201" s="79">
        <f t="shared" si="49"/>
        <v>0</v>
      </c>
      <c r="AW201" s="85" t="e">
        <f t="shared" si="50"/>
        <v>#REF!</v>
      </c>
      <c r="AX201" s="87" t="e">
        <f t="shared" si="51"/>
        <v>#REF!</v>
      </c>
      <c r="AY201" s="72"/>
      <c r="AZ201" s="73"/>
      <c r="BA201" s="77">
        <f t="shared" si="52"/>
        <v>0</v>
      </c>
      <c r="BB201" s="88">
        <f t="shared" si="53"/>
        <v>1</v>
      </c>
      <c r="BC201" s="89" t="e">
        <f>SUMIF(#REF!,#REF!, BB20:BB333)</f>
        <v>#REF!</v>
      </c>
      <c r="BD201" s="89">
        <f t="shared" si="54"/>
        <v>1</v>
      </c>
      <c r="BE201" s="89" t="e">
        <f>SUMIF(#REF!,#REF!, BD20:BD333)</f>
        <v>#REF!</v>
      </c>
      <c r="BF201" s="89">
        <f t="shared" si="55"/>
        <v>0</v>
      </c>
      <c r="BG201" s="89" t="e">
        <f>SUMIF(#REF!,#REF!, BF20:BF333)</f>
        <v>#REF!</v>
      </c>
      <c r="BH201" s="89" t="e">
        <f t="shared" si="56"/>
        <v>#REF!</v>
      </c>
      <c r="BI201" s="90">
        <f>SUMIF(B20:B333, B201, BH20:BH333)</f>
        <v>0</v>
      </c>
      <c r="BJ201" s="91"/>
      <c r="BK201" s="92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4"/>
    </row>
    <row r="202" spans="1:82" x14ac:dyDescent="0.3">
      <c r="A202" s="95" t="s">
        <v>428</v>
      </c>
      <c r="B202" s="96"/>
      <c r="C202" s="97" t="s">
        <v>120</v>
      </c>
      <c r="D202" s="97" t="s">
        <v>187</v>
      </c>
      <c r="E202" s="98" t="s">
        <v>202</v>
      </c>
      <c r="F202" s="99" t="s">
        <v>103</v>
      </c>
      <c r="G202" s="100"/>
      <c r="H202" s="101" t="s">
        <v>103</v>
      </c>
      <c r="I202" s="99" t="s">
        <v>4</v>
      </c>
      <c r="J202" s="100" t="s">
        <v>6</v>
      </c>
      <c r="K202" s="102"/>
      <c r="L202" s="103"/>
      <c r="M202" s="104"/>
      <c r="N202" s="105">
        <v>14529</v>
      </c>
      <c r="O202" s="106">
        <v>15418</v>
      </c>
      <c r="P202" s="106">
        <v>16041</v>
      </c>
      <c r="Q202" s="107"/>
      <c r="R202" s="156">
        <v>0.09</v>
      </c>
      <c r="S202" s="105">
        <v>1308</v>
      </c>
      <c r="T202" s="106">
        <v>1388</v>
      </c>
      <c r="U202" s="106">
        <v>1444</v>
      </c>
      <c r="V202" s="107">
        <f t="shared" si="46"/>
        <v>0</v>
      </c>
      <c r="W202" s="109"/>
      <c r="X202" s="110"/>
      <c r="Y202" s="111" t="s">
        <v>104</v>
      </c>
      <c r="Z202" s="100" t="str">
        <f>'[1]Tier 1'!V202</f>
        <v>D</v>
      </c>
      <c r="AA202" s="100"/>
      <c r="AB202" s="100"/>
      <c r="AC202" s="100"/>
      <c r="AD202" s="101"/>
      <c r="AE202" s="105">
        <f>'[1]Tier 1'!W202</f>
        <v>1197</v>
      </c>
      <c r="AF202" s="106"/>
      <c r="AG202" s="106">
        <f>'[1]Tier 1'!X202</f>
        <v>1197</v>
      </c>
      <c r="AH202" s="106"/>
      <c r="AI202" s="106">
        <f>'[1]Tier 1'!Y202</f>
        <v>1197</v>
      </c>
      <c r="AJ202" s="106">
        <f t="shared" si="47"/>
        <v>1077.3</v>
      </c>
      <c r="AK202" s="106" t="e">
        <f>VLOOKUP(A202,#REF!,-1,FALSE)</f>
        <v>#REF!</v>
      </c>
      <c r="AL202" s="107" t="e">
        <f t="shared" si="48"/>
        <v>#REF!</v>
      </c>
      <c r="AM202" s="105">
        <f t="shared" si="57"/>
        <v>1308</v>
      </c>
      <c r="AN202" s="112">
        <f t="shared" si="58"/>
        <v>1.093</v>
      </c>
      <c r="AO202" s="100" t="str">
        <f t="shared" si="59"/>
        <v>OK</v>
      </c>
      <c r="AP202" s="106">
        <f t="shared" si="60"/>
        <v>1388</v>
      </c>
      <c r="AQ202" s="112">
        <f t="shared" si="61"/>
        <v>1.1599999999999999</v>
      </c>
      <c r="AR202" s="100" t="str">
        <f t="shared" si="62"/>
        <v>OK</v>
      </c>
      <c r="AS202" s="106">
        <f t="shared" si="63"/>
        <v>1444</v>
      </c>
      <c r="AT202" s="112">
        <f t="shared" si="64"/>
        <v>1.206</v>
      </c>
      <c r="AU202" s="113" t="str">
        <f t="shared" si="65"/>
        <v>OK</v>
      </c>
      <c r="AV202" s="106">
        <f t="shared" si="49"/>
        <v>0</v>
      </c>
      <c r="AW202" s="112" t="e">
        <f t="shared" si="50"/>
        <v>#REF!</v>
      </c>
      <c r="AX202" s="114" t="e">
        <f t="shared" si="51"/>
        <v>#REF!</v>
      </c>
      <c r="AY202" s="99"/>
      <c r="AZ202" s="100"/>
      <c r="BA202" s="104">
        <f t="shared" si="52"/>
        <v>0</v>
      </c>
      <c r="BB202" s="115">
        <f t="shared" si="53"/>
        <v>1</v>
      </c>
      <c r="BC202" s="116" t="e">
        <f>SUMIF(#REF!,#REF!, BB20:BB333)</f>
        <v>#REF!</v>
      </c>
      <c r="BD202" s="116">
        <f t="shared" si="54"/>
        <v>1</v>
      </c>
      <c r="BE202" s="116" t="e">
        <f>SUMIF(#REF!,#REF!, BD20:BD333)</f>
        <v>#REF!</v>
      </c>
      <c r="BF202" s="116">
        <f t="shared" si="55"/>
        <v>1</v>
      </c>
      <c r="BG202" s="116" t="e">
        <f>SUMIF(#REF!,#REF!, BF20:BF333)</f>
        <v>#REF!</v>
      </c>
      <c r="BH202" s="116" t="e">
        <f t="shared" si="56"/>
        <v>#REF!</v>
      </c>
      <c r="BI202" s="117">
        <f>SUMIF(B20:B333, B202, BH20:BH333)</f>
        <v>0</v>
      </c>
      <c r="BJ202" s="118"/>
      <c r="BK202" s="92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4"/>
    </row>
    <row r="203" spans="1:82" x14ac:dyDescent="0.3">
      <c r="A203" s="68" t="s">
        <v>429</v>
      </c>
      <c r="B203" s="69"/>
      <c r="C203" s="70" t="s">
        <v>120</v>
      </c>
      <c r="D203" s="70" t="s">
        <v>202</v>
      </c>
      <c r="E203" s="71" t="s">
        <v>111</v>
      </c>
      <c r="F203" s="72" t="s">
        <v>103</v>
      </c>
      <c r="G203" s="73"/>
      <c r="H203" s="74" t="s">
        <v>103</v>
      </c>
      <c r="I203" s="72" t="s">
        <v>4</v>
      </c>
      <c r="J203" s="73" t="s">
        <v>6</v>
      </c>
      <c r="K203" s="75"/>
      <c r="L203" s="76"/>
      <c r="M203" s="77"/>
      <c r="N203" s="78">
        <v>5490</v>
      </c>
      <c r="O203" s="79">
        <v>5826</v>
      </c>
      <c r="P203" s="79">
        <v>6062</v>
      </c>
      <c r="Q203" s="80"/>
      <c r="R203" s="155">
        <v>0.09</v>
      </c>
      <c r="S203" s="78">
        <v>494</v>
      </c>
      <c r="T203" s="79">
        <v>524</v>
      </c>
      <c r="U203" s="79">
        <v>546</v>
      </c>
      <c r="V203" s="80">
        <f t="shared" si="46"/>
        <v>0</v>
      </c>
      <c r="W203" s="82"/>
      <c r="X203" s="83"/>
      <c r="Y203" s="84" t="s">
        <v>104</v>
      </c>
      <c r="Z203" s="73" t="str">
        <f>'[1]Tier 1'!V203</f>
        <v>D</v>
      </c>
      <c r="AA203" s="73"/>
      <c r="AB203" s="73"/>
      <c r="AC203" s="73"/>
      <c r="AD203" s="74"/>
      <c r="AE203" s="78">
        <f>'[1]Tier 1'!W203</f>
        <v>1197</v>
      </c>
      <c r="AF203" s="79"/>
      <c r="AG203" s="79">
        <f>'[1]Tier 1'!X203</f>
        <v>1197</v>
      </c>
      <c r="AH203" s="79"/>
      <c r="AI203" s="79">
        <f>'[1]Tier 1'!Y203</f>
        <v>1197</v>
      </c>
      <c r="AJ203" s="79">
        <f t="shared" si="47"/>
        <v>1077.3</v>
      </c>
      <c r="AK203" s="79" t="e">
        <f>VLOOKUP(A203,#REF!,-1,FALSE)</f>
        <v>#REF!</v>
      </c>
      <c r="AL203" s="80" t="e">
        <f t="shared" si="48"/>
        <v>#REF!</v>
      </c>
      <c r="AM203" s="78">
        <f t="shared" si="57"/>
        <v>494</v>
      </c>
      <c r="AN203" s="85">
        <f t="shared" si="58"/>
        <v>0.41299999999999998</v>
      </c>
      <c r="AO203" s="73" t="str">
        <f t="shared" si="59"/>
        <v>OK</v>
      </c>
      <c r="AP203" s="79">
        <f t="shared" si="60"/>
        <v>524</v>
      </c>
      <c r="AQ203" s="85">
        <f t="shared" si="61"/>
        <v>0.438</v>
      </c>
      <c r="AR203" s="73" t="str">
        <f t="shared" si="62"/>
        <v>OK</v>
      </c>
      <c r="AS203" s="79">
        <f t="shared" si="63"/>
        <v>546</v>
      </c>
      <c r="AT203" s="85">
        <f t="shared" si="64"/>
        <v>0.45600000000000002</v>
      </c>
      <c r="AU203" s="86" t="str">
        <f t="shared" si="65"/>
        <v>OK</v>
      </c>
      <c r="AV203" s="79">
        <f t="shared" si="49"/>
        <v>0</v>
      </c>
      <c r="AW203" s="85" t="e">
        <f t="shared" si="50"/>
        <v>#REF!</v>
      </c>
      <c r="AX203" s="87" t="e">
        <f t="shared" si="51"/>
        <v>#REF!</v>
      </c>
      <c r="AY203" s="72"/>
      <c r="AZ203" s="73"/>
      <c r="BA203" s="77">
        <f t="shared" si="52"/>
        <v>0</v>
      </c>
      <c r="BB203" s="88">
        <f t="shared" si="53"/>
        <v>1</v>
      </c>
      <c r="BC203" s="89" t="e">
        <f>SUMIF(#REF!,#REF!, BB20:BB333)</f>
        <v>#REF!</v>
      </c>
      <c r="BD203" s="89">
        <f t="shared" si="54"/>
        <v>1</v>
      </c>
      <c r="BE203" s="89" t="e">
        <f>SUMIF(#REF!,#REF!, BD20:BD333)</f>
        <v>#REF!</v>
      </c>
      <c r="BF203" s="89">
        <f t="shared" si="55"/>
        <v>0</v>
      </c>
      <c r="BG203" s="89" t="e">
        <f>SUMIF(#REF!,#REF!, BF20:BF333)</f>
        <v>#REF!</v>
      </c>
      <c r="BH203" s="89" t="e">
        <f t="shared" si="56"/>
        <v>#REF!</v>
      </c>
      <c r="BI203" s="90">
        <f>SUMIF(B20:B333, B203, BH20:BH333)</f>
        <v>0</v>
      </c>
      <c r="BJ203" s="91"/>
      <c r="BK203" s="92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4"/>
    </row>
    <row r="204" spans="1:82" x14ac:dyDescent="0.3">
      <c r="A204" s="95" t="s">
        <v>430</v>
      </c>
      <c r="B204" s="96"/>
      <c r="C204" s="97" t="s">
        <v>120</v>
      </c>
      <c r="D204" s="97" t="s">
        <v>111</v>
      </c>
      <c r="E204" s="98" t="s">
        <v>164</v>
      </c>
      <c r="F204" s="99" t="s">
        <v>103</v>
      </c>
      <c r="G204" s="100"/>
      <c r="H204" s="101" t="s">
        <v>103</v>
      </c>
      <c r="I204" s="99" t="s">
        <v>4</v>
      </c>
      <c r="J204" s="100" t="s">
        <v>6</v>
      </c>
      <c r="K204" s="102"/>
      <c r="L204" s="103"/>
      <c r="M204" s="104"/>
      <c r="N204" s="105">
        <v>5490</v>
      </c>
      <c r="O204" s="106">
        <v>5826</v>
      </c>
      <c r="P204" s="106">
        <v>6062</v>
      </c>
      <c r="Q204" s="107"/>
      <c r="R204" s="156">
        <v>0.09</v>
      </c>
      <c r="S204" s="105">
        <v>494</v>
      </c>
      <c r="T204" s="106">
        <v>524</v>
      </c>
      <c r="U204" s="106" t="s">
        <v>700</v>
      </c>
      <c r="V204" s="107">
        <f t="shared" si="46"/>
        <v>0</v>
      </c>
      <c r="W204" s="109"/>
      <c r="X204" s="110"/>
      <c r="Y204" s="111" t="s">
        <v>104</v>
      </c>
      <c r="Z204" s="100" t="str">
        <f>'[1]Tier 1'!V204</f>
        <v>D</v>
      </c>
      <c r="AA204" s="100"/>
      <c r="AB204" s="100"/>
      <c r="AC204" s="100"/>
      <c r="AD204" s="101"/>
      <c r="AE204" s="105">
        <f>'[1]Tier 1'!W204</f>
        <v>1899</v>
      </c>
      <c r="AF204" s="106"/>
      <c r="AG204" s="106">
        <f>'[1]Tier 1'!X204</f>
        <v>1899</v>
      </c>
      <c r="AH204" s="106"/>
      <c r="AI204" s="106">
        <f>'[1]Tier 1'!Y204</f>
        <v>1899</v>
      </c>
      <c r="AJ204" s="106">
        <f t="shared" si="47"/>
        <v>1709.1000000000001</v>
      </c>
      <c r="AK204" s="106" t="e">
        <f>VLOOKUP(A204,#REF!,-1,FALSE)</f>
        <v>#REF!</v>
      </c>
      <c r="AL204" s="107" t="e">
        <f t="shared" si="48"/>
        <v>#REF!</v>
      </c>
      <c r="AM204" s="105">
        <f t="shared" si="57"/>
        <v>494</v>
      </c>
      <c r="AN204" s="112">
        <f t="shared" si="58"/>
        <v>0.26</v>
      </c>
      <c r="AO204" s="100" t="str">
        <f t="shared" si="59"/>
        <v>OK</v>
      </c>
      <c r="AP204" s="106">
        <f t="shared" si="60"/>
        <v>524</v>
      </c>
      <c r="AQ204" s="112">
        <f t="shared" si="61"/>
        <v>0.27600000000000002</v>
      </c>
      <c r="AR204" s="100" t="str">
        <f t="shared" si="62"/>
        <v>OK</v>
      </c>
      <c r="AS204" s="106" t="e">
        <f t="shared" si="63"/>
        <v>#VALUE!</v>
      </c>
      <c r="AT204" s="112" t="e">
        <f t="shared" si="64"/>
        <v>#VALUE!</v>
      </c>
      <c r="AU204" s="113" t="str">
        <f t="shared" si="65"/>
        <v>OK</v>
      </c>
      <c r="AV204" s="106">
        <f t="shared" si="49"/>
        <v>0</v>
      </c>
      <c r="AW204" s="112" t="e">
        <f t="shared" si="50"/>
        <v>#REF!</v>
      </c>
      <c r="AX204" s="114" t="e">
        <f t="shared" si="51"/>
        <v>#REF!</v>
      </c>
      <c r="AY204" s="99"/>
      <c r="AZ204" s="100"/>
      <c r="BA204" s="104">
        <f t="shared" si="52"/>
        <v>0</v>
      </c>
      <c r="BB204" s="115">
        <f t="shared" si="53"/>
        <v>1</v>
      </c>
      <c r="BC204" s="116" t="e">
        <f>SUMIF(#REF!,#REF!, BB20:BB333)</f>
        <v>#REF!</v>
      </c>
      <c r="BD204" s="116">
        <f t="shared" si="54"/>
        <v>1</v>
      </c>
      <c r="BE204" s="116" t="e">
        <f>SUMIF(#REF!,#REF!, BD20:BD333)</f>
        <v>#REF!</v>
      </c>
      <c r="BF204" s="116" t="e">
        <f t="shared" si="55"/>
        <v>#VALUE!</v>
      </c>
      <c r="BG204" s="116" t="e">
        <f>SUMIF(#REF!,#REF!, BF20:BF333)</f>
        <v>#REF!</v>
      </c>
      <c r="BH204" s="116" t="e">
        <f t="shared" si="56"/>
        <v>#REF!</v>
      </c>
      <c r="BI204" s="117">
        <f>SUMIF(B20:B333, B204, BH20:BH333)</f>
        <v>0</v>
      </c>
      <c r="BJ204" s="118"/>
      <c r="BK204" s="92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4"/>
    </row>
    <row r="205" spans="1:82" x14ac:dyDescent="0.3">
      <c r="A205" s="68" t="s">
        <v>431</v>
      </c>
      <c r="B205" s="69"/>
      <c r="C205" s="70" t="s">
        <v>120</v>
      </c>
      <c r="D205" s="70" t="s">
        <v>164</v>
      </c>
      <c r="E205" s="71" t="s">
        <v>432</v>
      </c>
      <c r="F205" s="72" t="s">
        <v>103</v>
      </c>
      <c r="G205" s="73"/>
      <c r="H205" s="74" t="s">
        <v>103</v>
      </c>
      <c r="I205" s="72" t="s">
        <v>4</v>
      </c>
      <c r="J205" s="73" t="s">
        <v>6</v>
      </c>
      <c r="K205" s="75"/>
      <c r="L205" s="76"/>
      <c r="M205" s="77"/>
      <c r="N205" s="78">
        <v>2843</v>
      </c>
      <c r="O205" s="79">
        <v>3017</v>
      </c>
      <c r="P205" s="79">
        <v>3139</v>
      </c>
      <c r="Q205" s="80"/>
      <c r="R205" s="155">
        <v>0.09</v>
      </c>
      <c r="S205" s="78">
        <v>256</v>
      </c>
      <c r="T205" s="79">
        <v>272</v>
      </c>
      <c r="U205" s="79">
        <v>283</v>
      </c>
      <c r="V205" s="80">
        <f t="shared" si="46"/>
        <v>0</v>
      </c>
      <c r="W205" s="82"/>
      <c r="X205" s="83"/>
      <c r="Y205" s="84" t="s">
        <v>104</v>
      </c>
      <c r="Z205" s="73" t="str">
        <f>'[1]Tier 1'!V205</f>
        <v>D</v>
      </c>
      <c r="AA205" s="73"/>
      <c r="AB205" s="73"/>
      <c r="AC205" s="73"/>
      <c r="AD205" s="74"/>
      <c r="AE205" s="78">
        <f>'[1]Tier 1'!W205</f>
        <v>1818</v>
      </c>
      <c r="AF205" s="79"/>
      <c r="AG205" s="79">
        <f>'[1]Tier 1'!X205</f>
        <v>1818</v>
      </c>
      <c r="AH205" s="79"/>
      <c r="AI205" s="79">
        <f>'[1]Tier 1'!Y205</f>
        <v>1818</v>
      </c>
      <c r="AJ205" s="79">
        <f t="shared" si="47"/>
        <v>1636.2</v>
      </c>
      <c r="AK205" s="79" t="e">
        <f>VLOOKUP(A205,#REF!,-1,FALSE)</f>
        <v>#REF!</v>
      </c>
      <c r="AL205" s="80" t="e">
        <f t="shared" si="48"/>
        <v>#REF!</v>
      </c>
      <c r="AM205" s="78">
        <f t="shared" si="57"/>
        <v>256</v>
      </c>
      <c r="AN205" s="85">
        <f t="shared" si="58"/>
        <v>0.14099999999999999</v>
      </c>
      <c r="AO205" s="73" t="str">
        <f t="shared" si="59"/>
        <v>OK</v>
      </c>
      <c r="AP205" s="79">
        <f t="shared" si="60"/>
        <v>272</v>
      </c>
      <c r="AQ205" s="85">
        <f t="shared" si="61"/>
        <v>0.15</v>
      </c>
      <c r="AR205" s="73" t="str">
        <f t="shared" si="62"/>
        <v>OK</v>
      </c>
      <c r="AS205" s="79">
        <f t="shared" si="63"/>
        <v>283</v>
      </c>
      <c r="AT205" s="85">
        <f t="shared" si="64"/>
        <v>0.156</v>
      </c>
      <c r="AU205" s="86" t="str">
        <f t="shared" si="65"/>
        <v>OK</v>
      </c>
      <c r="AV205" s="79">
        <f t="shared" si="49"/>
        <v>0</v>
      </c>
      <c r="AW205" s="85" t="e">
        <f t="shared" si="50"/>
        <v>#REF!</v>
      </c>
      <c r="AX205" s="87" t="e">
        <f t="shared" si="51"/>
        <v>#REF!</v>
      </c>
      <c r="AY205" s="72"/>
      <c r="AZ205" s="73"/>
      <c r="BA205" s="77">
        <f t="shared" si="52"/>
        <v>0</v>
      </c>
      <c r="BB205" s="88">
        <f t="shared" si="53"/>
        <v>1</v>
      </c>
      <c r="BC205" s="89" t="e">
        <f>SUMIF(#REF!,#REF!, BB20:BB333)</f>
        <v>#REF!</v>
      </c>
      <c r="BD205" s="89">
        <f t="shared" si="54"/>
        <v>1</v>
      </c>
      <c r="BE205" s="89" t="e">
        <f>SUMIF(#REF!,#REF!, BD20:BD333)</f>
        <v>#REF!</v>
      </c>
      <c r="BF205" s="89">
        <f t="shared" si="55"/>
        <v>0</v>
      </c>
      <c r="BG205" s="89" t="e">
        <f>SUMIF(#REF!,#REF!, BF20:BF333)</f>
        <v>#REF!</v>
      </c>
      <c r="BH205" s="89" t="e">
        <f t="shared" si="56"/>
        <v>#REF!</v>
      </c>
      <c r="BI205" s="90">
        <f>SUMIF(B20:B333, B205, BH20:BH333)</f>
        <v>0</v>
      </c>
      <c r="BJ205" s="91"/>
      <c r="BK205" s="92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4"/>
    </row>
    <row r="206" spans="1:82" x14ac:dyDescent="0.3">
      <c r="A206" s="95" t="s">
        <v>433</v>
      </c>
      <c r="B206" s="96"/>
      <c r="C206" s="97" t="s">
        <v>120</v>
      </c>
      <c r="D206" s="97" t="s">
        <v>432</v>
      </c>
      <c r="E206" s="98" t="s">
        <v>280</v>
      </c>
      <c r="F206" s="99" t="s">
        <v>103</v>
      </c>
      <c r="G206" s="100"/>
      <c r="H206" s="101" t="s">
        <v>103</v>
      </c>
      <c r="I206" s="99" t="s">
        <v>4</v>
      </c>
      <c r="J206" s="100" t="s">
        <v>6</v>
      </c>
      <c r="K206" s="102"/>
      <c r="L206" s="103"/>
      <c r="M206" s="104"/>
      <c r="N206" s="105">
        <v>2843</v>
      </c>
      <c r="O206" s="106">
        <v>3017</v>
      </c>
      <c r="P206" s="106">
        <v>3139</v>
      </c>
      <c r="Q206" s="107"/>
      <c r="R206" s="156">
        <v>0.09</v>
      </c>
      <c r="S206" s="105">
        <v>256</v>
      </c>
      <c r="T206" s="106">
        <v>272</v>
      </c>
      <c r="U206" s="106">
        <v>283</v>
      </c>
      <c r="V206" s="107">
        <f t="shared" si="46"/>
        <v>0</v>
      </c>
      <c r="W206" s="109"/>
      <c r="X206" s="110"/>
      <c r="Y206" s="111" t="s">
        <v>104</v>
      </c>
      <c r="Z206" s="100" t="str">
        <f>'[1]Tier 1'!V206</f>
        <v>D</v>
      </c>
      <c r="AA206" s="100"/>
      <c r="AB206" s="100"/>
      <c r="AC206" s="100"/>
      <c r="AD206" s="101"/>
      <c r="AE206" s="105">
        <f>'[1]Tier 1'!W206</f>
        <v>1818</v>
      </c>
      <c r="AF206" s="106"/>
      <c r="AG206" s="106">
        <f>'[1]Tier 1'!X206</f>
        <v>1818</v>
      </c>
      <c r="AH206" s="106"/>
      <c r="AI206" s="106">
        <f>'[1]Tier 1'!Y206</f>
        <v>1818</v>
      </c>
      <c r="AJ206" s="106">
        <f t="shared" si="47"/>
        <v>1636.2</v>
      </c>
      <c r="AK206" s="106" t="e">
        <f>VLOOKUP(A206,#REF!,-1,FALSE)</f>
        <v>#REF!</v>
      </c>
      <c r="AL206" s="107" t="e">
        <f t="shared" si="48"/>
        <v>#REF!</v>
      </c>
      <c r="AM206" s="105">
        <f t="shared" si="57"/>
        <v>256</v>
      </c>
      <c r="AN206" s="112">
        <f t="shared" si="58"/>
        <v>0.14099999999999999</v>
      </c>
      <c r="AO206" s="100" t="str">
        <f t="shared" si="59"/>
        <v>OK</v>
      </c>
      <c r="AP206" s="106">
        <f t="shared" si="60"/>
        <v>272</v>
      </c>
      <c r="AQ206" s="112">
        <f t="shared" si="61"/>
        <v>0.15</v>
      </c>
      <c r="AR206" s="100" t="str">
        <f t="shared" si="62"/>
        <v>OK</v>
      </c>
      <c r="AS206" s="106">
        <f t="shared" si="63"/>
        <v>283</v>
      </c>
      <c r="AT206" s="112">
        <f t="shared" si="64"/>
        <v>0.156</v>
      </c>
      <c r="AU206" s="113" t="str">
        <f t="shared" si="65"/>
        <v>OK</v>
      </c>
      <c r="AV206" s="106">
        <f t="shared" si="49"/>
        <v>0</v>
      </c>
      <c r="AW206" s="112" t="e">
        <f t="shared" si="50"/>
        <v>#REF!</v>
      </c>
      <c r="AX206" s="114" t="e">
        <f t="shared" si="51"/>
        <v>#REF!</v>
      </c>
      <c r="AY206" s="99"/>
      <c r="AZ206" s="100"/>
      <c r="BA206" s="104">
        <f t="shared" si="52"/>
        <v>0</v>
      </c>
      <c r="BB206" s="115">
        <f t="shared" si="53"/>
        <v>1</v>
      </c>
      <c r="BC206" s="116" t="e">
        <f>SUMIF(#REF!,#REF!, BB20:BB333)</f>
        <v>#REF!</v>
      </c>
      <c r="BD206" s="116">
        <f t="shared" si="54"/>
        <v>1</v>
      </c>
      <c r="BE206" s="116" t="e">
        <f>SUMIF(#REF!,#REF!, BD20:BD333)</f>
        <v>#REF!</v>
      </c>
      <c r="BF206" s="116">
        <f t="shared" si="55"/>
        <v>0</v>
      </c>
      <c r="BG206" s="116" t="e">
        <f>SUMIF(#REF!,#REF!, BF20:BF333)</f>
        <v>#REF!</v>
      </c>
      <c r="BH206" s="116" t="e">
        <f t="shared" si="56"/>
        <v>#REF!</v>
      </c>
      <c r="BI206" s="117">
        <f>SUMIF(B20:B333, B206, BH20:BH333)</f>
        <v>0</v>
      </c>
      <c r="BJ206" s="118"/>
      <c r="BK206" s="92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4"/>
    </row>
    <row r="207" spans="1:82" x14ac:dyDescent="0.3">
      <c r="A207" s="68" t="s">
        <v>434</v>
      </c>
      <c r="B207" s="69"/>
      <c r="C207" s="70" t="s">
        <v>120</v>
      </c>
      <c r="D207" s="70" t="s">
        <v>280</v>
      </c>
      <c r="E207" s="71" t="s">
        <v>298</v>
      </c>
      <c r="F207" s="72" t="s">
        <v>103</v>
      </c>
      <c r="G207" s="73"/>
      <c r="H207" s="74" t="s">
        <v>109</v>
      </c>
      <c r="I207" s="72" t="s">
        <v>4</v>
      </c>
      <c r="J207" s="73" t="s">
        <v>6</v>
      </c>
      <c r="K207" s="75"/>
      <c r="L207" s="76"/>
      <c r="M207" s="77"/>
      <c r="N207" s="78">
        <v>2843</v>
      </c>
      <c r="O207" s="79">
        <v>3017</v>
      </c>
      <c r="P207" s="79">
        <v>3139</v>
      </c>
      <c r="Q207" s="80"/>
      <c r="R207" s="155">
        <v>0.09</v>
      </c>
      <c r="S207" s="78">
        <v>256</v>
      </c>
      <c r="T207" s="79">
        <v>272</v>
      </c>
      <c r="U207" s="79">
        <v>283</v>
      </c>
      <c r="V207" s="80">
        <f t="shared" si="46"/>
        <v>0</v>
      </c>
      <c r="W207" s="82"/>
      <c r="X207" s="83"/>
      <c r="Y207" s="84" t="s">
        <v>104</v>
      </c>
      <c r="Z207" s="73" t="str">
        <f>'[1]Tier 1'!V207</f>
        <v>D</v>
      </c>
      <c r="AA207" s="73"/>
      <c r="AB207" s="73"/>
      <c r="AC207" s="73"/>
      <c r="AD207" s="74"/>
      <c r="AE207" s="78">
        <f>'[1]Tier 1'!W207</f>
        <v>1818</v>
      </c>
      <c r="AF207" s="79"/>
      <c r="AG207" s="79">
        <f>'[1]Tier 1'!X207</f>
        <v>1818</v>
      </c>
      <c r="AH207" s="79"/>
      <c r="AI207" s="79">
        <f>'[1]Tier 1'!Y207</f>
        <v>1818</v>
      </c>
      <c r="AJ207" s="79">
        <f t="shared" si="47"/>
        <v>1636.2</v>
      </c>
      <c r="AK207" s="79" t="e">
        <f>VLOOKUP(A207,#REF!,-1,FALSE)</f>
        <v>#REF!</v>
      </c>
      <c r="AL207" s="80" t="e">
        <f t="shared" si="48"/>
        <v>#REF!</v>
      </c>
      <c r="AM207" s="78">
        <f t="shared" si="57"/>
        <v>256</v>
      </c>
      <c r="AN207" s="85">
        <f t="shared" si="58"/>
        <v>0.14099999999999999</v>
      </c>
      <c r="AO207" s="73" t="str">
        <f t="shared" si="59"/>
        <v>OK</v>
      </c>
      <c r="AP207" s="79">
        <f t="shared" si="60"/>
        <v>272</v>
      </c>
      <c r="AQ207" s="85">
        <f t="shared" si="61"/>
        <v>0.15</v>
      </c>
      <c r="AR207" s="73" t="str">
        <f t="shared" si="62"/>
        <v>OK</v>
      </c>
      <c r="AS207" s="79">
        <f t="shared" si="63"/>
        <v>283</v>
      </c>
      <c r="AT207" s="85">
        <f t="shared" si="64"/>
        <v>0.156</v>
      </c>
      <c r="AU207" s="86" t="str">
        <f t="shared" si="65"/>
        <v>OK</v>
      </c>
      <c r="AV207" s="79">
        <f t="shared" si="49"/>
        <v>0</v>
      </c>
      <c r="AW207" s="85" t="e">
        <f t="shared" si="50"/>
        <v>#REF!</v>
      </c>
      <c r="AX207" s="87" t="e">
        <f t="shared" si="51"/>
        <v>#REF!</v>
      </c>
      <c r="AY207" s="72"/>
      <c r="AZ207" s="73"/>
      <c r="BA207" s="77">
        <f t="shared" si="52"/>
        <v>0</v>
      </c>
      <c r="BB207" s="88">
        <f t="shared" si="53"/>
        <v>1</v>
      </c>
      <c r="BC207" s="89" t="e">
        <f>SUMIF(#REF!,#REF!, BB20:BB333)</f>
        <v>#REF!</v>
      </c>
      <c r="BD207" s="89">
        <f t="shared" si="54"/>
        <v>1</v>
      </c>
      <c r="BE207" s="89" t="e">
        <f>SUMIF(#REF!,#REF!, BD20:BD333)</f>
        <v>#REF!</v>
      </c>
      <c r="BF207" s="89">
        <f t="shared" si="55"/>
        <v>0</v>
      </c>
      <c r="BG207" s="89" t="e">
        <f>SUMIF(#REF!,#REF!, BF20:BF333)</f>
        <v>#REF!</v>
      </c>
      <c r="BH207" s="89" t="e">
        <f t="shared" si="56"/>
        <v>#REF!</v>
      </c>
      <c r="BI207" s="90">
        <f>SUMIF(B20:B333, B207, BH20:BH333)</f>
        <v>0</v>
      </c>
      <c r="BJ207" s="91"/>
      <c r="BK207" s="92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4"/>
    </row>
    <row r="208" spans="1:82" x14ac:dyDescent="0.3">
      <c r="A208" s="95" t="s">
        <v>435</v>
      </c>
      <c r="B208" s="96"/>
      <c r="C208" s="97" t="s">
        <v>120</v>
      </c>
      <c r="D208" s="97" t="s">
        <v>298</v>
      </c>
      <c r="E208" s="98" t="s">
        <v>300</v>
      </c>
      <c r="F208" s="99" t="s">
        <v>103</v>
      </c>
      <c r="G208" s="100"/>
      <c r="H208" s="101" t="s">
        <v>109</v>
      </c>
      <c r="I208" s="99" t="s">
        <v>4</v>
      </c>
      <c r="J208" s="100" t="s">
        <v>6</v>
      </c>
      <c r="K208" s="102"/>
      <c r="L208" s="103"/>
      <c r="M208" s="104"/>
      <c r="N208" s="105">
        <v>1765</v>
      </c>
      <c r="O208" s="106">
        <v>1873</v>
      </c>
      <c r="P208" s="106">
        <v>1948</v>
      </c>
      <c r="Q208" s="107"/>
      <c r="R208" s="156">
        <v>0.09</v>
      </c>
      <c r="S208" s="105">
        <v>159</v>
      </c>
      <c r="T208" s="106">
        <v>169</v>
      </c>
      <c r="U208" s="106">
        <v>175</v>
      </c>
      <c r="V208" s="107">
        <f t="shared" si="46"/>
        <v>0</v>
      </c>
      <c r="W208" s="109"/>
      <c r="X208" s="110"/>
      <c r="Y208" s="111" t="s">
        <v>104</v>
      </c>
      <c r="Z208" s="100" t="str">
        <f>'[1]Tier 1'!V208</f>
        <v>D</v>
      </c>
      <c r="AA208" s="100"/>
      <c r="AB208" s="100"/>
      <c r="AC208" s="100"/>
      <c r="AD208" s="101"/>
      <c r="AE208" s="105">
        <f>'[1]Tier 1'!W208</f>
        <v>1818</v>
      </c>
      <c r="AF208" s="106"/>
      <c r="AG208" s="106">
        <f>'[1]Tier 1'!X208</f>
        <v>1818</v>
      </c>
      <c r="AH208" s="106"/>
      <c r="AI208" s="106">
        <f>'[1]Tier 1'!Y208</f>
        <v>1818</v>
      </c>
      <c r="AJ208" s="106">
        <f t="shared" si="47"/>
        <v>1636.2</v>
      </c>
      <c r="AK208" s="106" t="e">
        <f>VLOOKUP(A208,#REF!,-1,FALSE)</f>
        <v>#REF!</v>
      </c>
      <c r="AL208" s="107" t="e">
        <f t="shared" si="48"/>
        <v>#REF!</v>
      </c>
      <c r="AM208" s="105">
        <f t="shared" si="57"/>
        <v>159</v>
      </c>
      <c r="AN208" s="112">
        <f t="shared" si="58"/>
        <v>8.6999999999999994E-2</v>
      </c>
      <c r="AO208" s="100" t="str">
        <f t="shared" si="59"/>
        <v>OK</v>
      </c>
      <c r="AP208" s="106">
        <f t="shared" si="60"/>
        <v>169</v>
      </c>
      <c r="AQ208" s="112">
        <f t="shared" si="61"/>
        <v>9.2999999999999999E-2</v>
      </c>
      <c r="AR208" s="100" t="str">
        <f t="shared" si="62"/>
        <v>OK</v>
      </c>
      <c r="AS208" s="106">
        <f t="shared" si="63"/>
        <v>175</v>
      </c>
      <c r="AT208" s="112">
        <f t="shared" si="64"/>
        <v>9.6000000000000002E-2</v>
      </c>
      <c r="AU208" s="113" t="str">
        <f t="shared" si="65"/>
        <v>OK</v>
      </c>
      <c r="AV208" s="106">
        <f t="shared" si="49"/>
        <v>0</v>
      </c>
      <c r="AW208" s="112" t="e">
        <f t="shared" si="50"/>
        <v>#REF!</v>
      </c>
      <c r="AX208" s="114" t="e">
        <f t="shared" si="51"/>
        <v>#REF!</v>
      </c>
      <c r="AY208" s="99"/>
      <c r="AZ208" s="100"/>
      <c r="BA208" s="104">
        <f t="shared" si="52"/>
        <v>0</v>
      </c>
      <c r="BB208" s="115">
        <f t="shared" si="53"/>
        <v>1</v>
      </c>
      <c r="BC208" s="116" t="e">
        <f>SUMIF(#REF!,#REF!, BB20:BB333)</f>
        <v>#REF!</v>
      </c>
      <c r="BD208" s="116">
        <f t="shared" si="54"/>
        <v>1</v>
      </c>
      <c r="BE208" s="116" t="e">
        <f>SUMIF(#REF!,#REF!, BD20:BD333)</f>
        <v>#REF!</v>
      </c>
      <c r="BF208" s="116">
        <f t="shared" si="55"/>
        <v>0</v>
      </c>
      <c r="BG208" s="116" t="e">
        <f>SUMIF(#REF!,#REF!, BF20:BF333)</f>
        <v>#REF!</v>
      </c>
      <c r="BH208" s="116" t="e">
        <f t="shared" si="56"/>
        <v>#REF!</v>
      </c>
      <c r="BI208" s="117">
        <f>SUMIF(B20:B333, B208, BH20:BH333)</f>
        <v>0</v>
      </c>
      <c r="BJ208" s="118"/>
      <c r="BK208" s="92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4"/>
    </row>
    <row r="209" spans="1:82" x14ac:dyDescent="0.3">
      <c r="A209" s="68" t="s">
        <v>436</v>
      </c>
      <c r="B209" s="69"/>
      <c r="C209" s="70" t="s">
        <v>117</v>
      </c>
      <c r="D209" s="70" t="s">
        <v>172</v>
      </c>
      <c r="E209" s="71" t="s">
        <v>437</v>
      </c>
      <c r="F209" s="72" t="s">
        <v>109</v>
      </c>
      <c r="G209" s="73"/>
      <c r="H209" s="74" t="s">
        <v>109</v>
      </c>
      <c r="I209" s="72" t="s">
        <v>4</v>
      </c>
      <c r="J209" s="73" t="s">
        <v>6</v>
      </c>
      <c r="K209" s="75"/>
      <c r="L209" s="76"/>
      <c r="M209" s="77"/>
      <c r="N209" s="78">
        <v>22950</v>
      </c>
      <c r="O209" s="79">
        <v>24355</v>
      </c>
      <c r="P209" s="79">
        <v>25339</v>
      </c>
      <c r="Q209" s="80"/>
      <c r="R209" s="155">
        <v>0.09</v>
      </c>
      <c r="S209" s="78">
        <v>2066</v>
      </c>
      <c r="T209" s="79">
        <v>2192</v>
      </c>
      <c r="U209" s="79">
        <v>2280</v>
      </c>
      <c r="V209" s="80">
        <f t="shared" si="46"/>
        <v>0</v>
      </c>
      <c r="W209" s="82"/>
      <c r="X209" s="83"/>
      <c r="Y209" s="84" t="s">
        <v>104</v>
      </c>
      <c r="Z209" s="73" t="str">
        <f>'[1]Tier 1'!V209</f>
        <v>D</v>
      </c>
      <c r="AA209" s="73"/>
      <c r="AB209" s="73"/>
      <c r="AC209" s="73"/>
      <c r="AD209" s="74"/>
      <c r="AE209" s="78">
        <f>'[1]Tier 1'!W209</f>
        <v>2628</v>
      </c>
      <c r="AF209" s="79"/>
      <c r="AG209" s="79">
        <f>'[1]Tier 1'!X209</f>
        <v>2628</v>
      </c>
      <c r="AH209" s="79"/>
      <c r="AI209" s="79">
        <f>'[1]Tier 1'!Y209</f>
        <v>2628</v>
      </c>
      <c r="AJ209" s="79">
        <f t="shared" si="47"/>
        <v>2365.2000000000003</v>
      </c>
      <c r="AK209" s="79" t="e">
        <f>VLOOKUP(A209,#REF!,-1,FALSE)</f>
        <v>#REF!</v>
      </c>
      <c r="AL209" s="80" t="e">
        <f t="shared" si="48"/>
        <v>#REF!</v>
      </c>
      <c r="AM209" s="78">
        <f t="shared" si="57"/>
        <v>2066</v>
      </c>
      <c r="AN209" s="85">
        <f t="shared" si="58"/>
        <v>0.78600000000000003</v>
      </c>
      <c r="AO209" s="73" t="str">
        <f t="shared" si="59"/>
        <v>OK</v>
      </c>
      <c r="AP209" s="79">
        <f t="shared" si="60"/>
        <v>2192</v>
      </c>
      <c r="AQ209" s="85">
        <f t="shared" si="61"/>
        <v>0.83399999999999996</v>
      </c>
      <c r="AR209" s="73" t="str">
        <f t="shared" si="62"/>
        <v>OK</v>
      </c>
      <c r="AS209" s="79">
        <f t="shared" si="63"/>
        <v>2280</v>
      </c>
      <c r="AT209" s="85">
        <f t="shared" si="64"/>
        <v>0.86799999999999999</v>
      </c>
      <c r="AU209" s="86" t="str">
        <f t="shared" si="65"/>
        <v>OK</v>
      </c>
      <c r="AV209" s="79">
        <f t="shared" si="49"/>
        <v>0</v>
      </c>
      <c r="AW209" s="85" t="e">
        <f t="shared" si="50"/>
        <v>#REF!</v>
      </c>
      <c r="AX209" s="87" t="e">
        <f t="shared" si="51"/>
        <v>#REF!</v>
      </c>
      <c r="AY209" s="72"/>
      <c r="AZ209" s="73"/>
      <c r="BA209" s="77">
        <f t="shared" si="52"/>
        <v>0</v>
      </c>
      <c r="BB209" s="88">
        <f t="shared" si="53"/>
        <v>1</v>
      </c>
      <c r="BC209" s="89" t="e">
        <f>SUMIF(#REF!,#REF!, BB20:BB333)</f>
        <v>#REF!</v>
      </c>
      <c r="BD209" s="89">
        <f t="shared" si="54"/>
        <v>1</v>
      </c>
      <c r="BE209" s="89" t="e">
        <f>SUMIF(#REF!,#REF!, BD20:BD333)</f>
        <v>#REF!</v>
      </c>
      <c r="BF209" s="89">
        <f t="shared" si="55"/>
        <v>0</v>
      </c>
      <c r="BG209" s="89" t="e">
        <f>SUMIF(#REF!,#REF!, BF20:BF333)</f>
        <v>#REF!</v>
      </c>
      <c r="BH209" s="89" t="e">
        <f t="shared" si="56"/>
        <v>#REF!</v>
      </c>
      <c r="BI209" s="90">
        <f>SUMIF(B20:B333, B209, BH20:BH333)</f>
        <v>0</v>
      </c>
      <c r="BJ209" s="91"/>
      <c r="BK209" s="92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4"/>
    </row>
    <row r="210" spans="1:82" x14ac:dyDescent="0.3">
      <c r="A210" s="95" t="s">
        <v>438</v>
      </c>
      <c r="B210" s="96"/>
      <c r="C210" s="97" t="s">
        <v>117</v>
      </c>
      <c r="D210" s="97" t="s">
        <v>437</v>
      </c>
      <c r="E210" s="98" t="s">
        <v>439</v>
      </c>
      <c r="F210" s="99" t="s">
        <v>109</v>
      </c>
      <c r="G210" s="100"/>
      <c r="H210" s="101" t="s">
        <v>109</v>
      </c>
      <c r="I210" s="99" t="s">
        <v>4</v>
      </c>
      <c r="J210" s="100" t="s">
        <v>6</v>
      </c>
      <c r="K210" s="102"/>
      <c r="L210" s="103"/>
      <c r="M210" s="104"/>
      <c r="N210" s="105">
        <v>22950</v>
      </c>
      <c r="O210" s="106">
        <v>24355</v>
      </c>
      <c r="P210" s="106">
        <v>25339</v>
      </c>
      <c r="Q210" s="107"/>
      <c r="R210" s="156">
        <v>0.09</v>
      </c>
      <c r="S210" s="105">
        <v>2066</v>
      </c>
      <c r="T210" s="106">
        <v>2192</v>
      </c>
      <c r="U210" s="106">
        <v>2280</v>
      </c>
      <c r="V210" s="107">
        <f t="shared" si="46"/>
        <v>0</v>
      </c>
      <c r="W210" s="109"/>
      <c r="X210" s="110"/>
      <c r="Y210" s="111" t="s">
        <v>104</v>
      </c>
      <c r="Z210" s="100" t="str">
        <f>'[1]Tier 1'!V210</f>
        <v>D</v>
      </c>
      <c r="AA210" s="100"/>
      <c r="AB210" s="100"/>
      <c r="AC210" s="100"/>
      <c r="AD210" s="101"/>
      <c r="AE210" s="105">
        <f>'[1]Tier 1'!W210</f>
        <v>2628</v>
      </c>
      <c r="AF210" s="106"/>
      <c r="AG210" s="106">
        <f>'[1]Tier 1'!X210</f>
        <v>2628</v>
      </c>
      <c r="AH210" s="106"/>
      <c r="AI210" s="106">
        <f>'[1]Tier 1'!Y210</f>
        <v>2628</v>
      </c>
      <c r="AJ210" s="106">
        <f t="shared" si="47"/>
        <v>2365.2000000000003</v>
      </c>
      <c r="AK210" s="106" t="e">
        <f>VLOOKUP(A210,#REF!,-1,FALSE)</f>
        <v>#REF!</v>
      </c>
      <c r="AL210" s="107" t="e">
        <f t="shared" si="48"/>
        <v>#REF!</v>
      </c>
      <c r="AM210" s="105">
        <f t="shared" si="57"/>
        <v>2066</v>
      </c>
      <c r="AN210" s="112">
        <f t="shared" si="58"/>
        <v>0.78600000000000003</v>
      </c>
      <c r="AO210" s="100" t="str">
        <f t="shared" si="59"/>
        <v>OK</v>
      </c>
      <c r="AP210" s="106">
        <f t="shared" si="60"/>
        <v>2192</v>
      </c>
      <c r="AQ210" s="112">
        <f t="shared" si="61"/>
        <v>0.83399999999999996</v>
      </c>
      <c r="AR210" s="100" t="str">
        <f t="shared" si="62"/>
        <v>OK</v>
      </c>
      <c r="AS210" s="106">
        <f t="shared" si="63"/>
        <v>2280</v>
      </c>
      <c r="AT210" s="112">
        <f t="shared" si="64"/>
        <v>0.86799999999999999</v>
      </c>
      <c r="AU210" s="113" t="str">
        <f t="shared" si="65"/>
        <v>OK</v>
      </c>
      <c r="AV210" s="106">
        <f t="shared" si="49"/>
        <v>0</v>
      </c>
      <c r="AW210" s="112" t="e">
        <f t="shared" si="50"/>
        <v>#REF!</v>
      </c>
      <c r="AX210" s="114" t="e">
        <f t="shared" si="51"/>
        <v>#REF!</v>
      </c>
      <c r="AY210" s="99"/>
      <c r="AZ210" s="100"/>
      <c r="BA210" s="104">
        <f t="shared" si="52"/>
        <v>0</v>
      </c>
      <c r="BB210" s="115">
        <f t="shared" si="53"/>
        <v>1</v>
      </c>
      <c r="BC210" s="116" t="e">
        <f>SUMIF(#REF!,#REF!, BB20:BB333)</f>
        <v>#REF!</v>
      </c>
      <c r="BD210" s="116">
        <f t="shared" si="54"/>
        <v>1</v>
      </c>
      <c r="BE210" s="116" t="e">
        <f>SUMIF(#REF!,#REF!, BD20:BD333)</f>
        <v>#REF!</v>
      </c>
      <c r="BF210" s="116">
        <f t="shared" si="55"/>
        <v>0</v>
      </c>
      <c r="BG210" s="116" t="e">
        <f>SUMIF(#REF!,#REF!, BF20:BF333)</f>
        <v>#REF!</v>
      </c>
      <c r="BH210" s="116" t="e">
        <f t="shared" si="56"/>
        <v>#REF!</v>
      </c>
      <c r="BI210" s="117">
        <f>SUMIF(B20:B333, B210, BH20:BH333)</f>
        <v>0</v>
      </c>
      <c r="BJ210" s="118"/>
      <c r="BK210" s="92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4"/>
    </row>
    <row r="211" spans="1:82" x14ac:dyDescent="0.3">
      <c r="A211" s="68" t="s">
        <v>440</v>
      </c>
      <c r="B211" s="69"/>
      <c r="C211" s="70" t="s">
        <v>117</v>
      </c>
      <c r="D211" s="70" t="s">
        <v>439</v>
      </c>
      <c r="E211" s="71" t="s">
        <v>441</v>
      </c>
      <c r="F211" s="72" t="s">
        <v>109</v>
      </c>
      <c r="G211" s="73"/>
      <c r="H211" s="74" t="s">
        <v>109</v>
      </c>
      <c r="I211" s="72" t="s">
        <v>4</v>
      </c>
      <c r="J211" s="73" t="s">
        <v>6</v>
      </c>
      <c r="K211" s="75"/>
      <c r="L211" s="76"/>
      <c r="M211" s="77"/>
      <c r="N211" s="78">
        <v>22950</v>
      </c>
      <c r="O211" s="79">
        <v>24355</v>
      </c>
      <c r="P211" s="79">
        <v>25339</v>
      </c>
      <c r="Q211" s="80"/>
      <c r="R211" s="155">
        <v>0.09</v>
      </c>
      <c r="S211" s="78">
        <v>2066</v>
      </c>
      <c r="T211" s="79">
        <v>2192</v>
      </c>
      <c r="U211" s="79">
        <v>2280</v>
      </c>
      <c r="V211" s="80">
        <f t="shared" si="46"/>
        <v>0</v>
      </c>
      <c r="W211" s="82"/>
      <c r="X211" s="83"/>
      <c r="Y211" s="84" t="s">
        <v>104</v>
      </c>
      <c r="Z211" s="73" t="str">
        <f>'[1]Tier 1'!V211</f>
        <v>D</v>
      </c>
      <c r="AA211" s="73"/>
      <c r="AB211" s="73"/>
      <c r="AC211" s="73"/>
      <c r="AD211" s="74"/>
      <c r="AE211" s="78">
        <f>'[1]Tier 1'!W211</f>
        <v>2628</v>
      </c>
      <c r="AF211" s="79"/>
      <c r="AG211" s="79">
        <f>'[1]Tier 1'!X211</f>
        <v>2628</v>
      </c>
      <c r="AH211" s="79"/>
      <c r="AI211" s="79">
        <f>'[1]Tier 1'!Y211</f>
        <v>2628</v>
      </c>
      <c r="AJ211" s="79">
        <f t="shared" si="47"/>
        <v>2365.2000000000003</v>
      </c>
      <c r="AK211" s="79" t="e">
        <f>VLOOKUP(A211,#REF!,-1,FALSE)</f>
        <v>#REF!</v>
      </c>
      <c r="AL211" s="80" t="e">
        <f t="shared" si="48"/>
        <v>#REF!</v>
      </c>
      <c r="AM211" s="78">
        <f t="shared" si="57"/>
        <v>2066</v>
      </c>
      <c r="AN211" s="85">
        <f t="shared" si="58"/>
        <v>0.78600000000000003</v>
      </c>
      <c r="AO211" s="73" t="str">
        <f t="shared" si="59"/>
        <v>OK</v>
      </c>
      <c r="AP211" s="79">
        <f t="shared" si="60"/>
        <v>2192</v>
      </c>
      <c r="AQ211" s="85">
        <f t="shared" si="61"/>
        <v>0.83399999999999996</v>
      </c>
      <c r="AR211" s="73" t="str">
        <f t="shared" si="62"/>
        <v>OK</v>
      </c>
      <c r="AS211" s="79">
        <f t="shared" si="63"/>
        <v>2280</v>
      </c>
      <c r="AT211" s="85">
        <f t="shared" si="64"/>
        <v>0.86799999999999999</v>
      </c>
      <c r="AU211" s="86" t="str">
        <f t="shared" si="65"/>
        <v>OK</v>
      </c>
      <c r="AV211" s="79">
        <f t="shared" si="49"/>
        <v>0</v>
      </c>
      <c r="AW211" s="85" t="e">
        <f t="shared" si="50"/>
        <v>#REF!</v>
      </c>
      <c r="AX211" s="87" t="e">
        <f t="shared" si="51"/>
        <v>#REF!</v>
      </c>
      <c r="AY211" s="72"/>
      <c r="AZ211" s="73"/>
      <c r="BA211" s="77">
        <f t="shared" si="52"/>
        <v>0</v>
      </c>
      <c r="BB211" s="88">
        <f t="shared" si="53"/>
        <v>1</v>
      </c>
      <c r="BC211" s="89" t="e">
        <f>SUMIF(#REF!,#REF!, BB20:BB333)</f>
        <v>#REF!</v>
      </c>
      <c r="BD211" s="89">
        <f t="shared" si="54"/>
        <v>1</v>
      </c>
      <c r="BE211" s="89" t="e">
        <f>SUMIF(#REF!,#REF!, BD20:BD333)</f>
        <v>#REF!</v>
      </c>
      <c r="BF211" s="89">
        <f t="shared" si="55"/>
        <v>0</v>
      </c>
      <c r="BG211" s="89" t="e">
        <f>SUMIF(#REF!,#REF!, BF20:BF333)</f>
        <v>#REF!</v>
      </c>
      <c r="BH211" s="89" t="e">
        <f t="shared" si="56"/>
        <v>#REF!</v>
      </c>
      <c r="BI211" s="90">
        <f>SUMIF(B20:B333, B211, BH20:BH333)</f>
        <v>0</v>
      </c>
      <c r="BJ211" s="91"/>
      <c r="BK211" s="92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4"/>
    </row>
    <row r="212" spans="1:82" x14ac:dyDescent="0.3">
      <c r="A212" s="95" t="s">
        <v>442</v>
      </c>
      <c r="B212" s="96"/>
      <c r="C212" s="97" t="s">
        <v>117</v>
      </c>
      <c r="D212" s="97" t="s">
        <v>441</v>
      </c>
      <c r="E212" s="98" t="s">
        <v>443</v>
      </c>
      <c r="F212" s="99" t="s">
        <v>109</v>
      </c>
      <c r="G212" s="100"/>
      <c r="H212" s="101" t="s">
        <v>109</v>
      </c>
      <c r="I212" s="99" t="s">
        <v>4</v>
      </c>
      <c r="J212" s="100" t="s">
        <v>6</v>
      </c>
      <c r="K212" s="102"/>
      <c r="L212" s="103"/>
      <c r="M212" s="104"/>
      <c r="N212" s="105">
        <v>22950</v>
      </c>
      <c r="O212" s="106">
        <v>24355</v>
      </c>
      <c r="P212" s="106">
        <v>25339</v>
      </c>
      <c r="Q212" s="107"/>
      <c r="R212" s="156">
        <v>0.09</v>
      </c>
      <c r="S212" s="105">
        <v>2066</v>
      </c>
      <c r="T212" s="106">
        <v>2192</v>
      </c>
      <c r="U212" s="106">
        <v>2280</v>
      </c>
      <c r="V212" s="107">
        <f t="shared" ref="V212:V275" si="66">ROUND(R212*Q212,0)</f>
        <v>0</v>
      </c>
      <c r="W212" s="109"/>
      <c r="X212" s="110"/>
      <c r="Y212" s="111" t="s">
        <v>104</v>
      </c>
      <c r="Z212" s="100" t="str">
        <f>'[1]Tier 1'!V212</f>
        <v>D</v>
      </c>
      <c r="AA212" s="100"/>
      <c r="AB212" s="100"/>
      <c r="AC212" s="100"/>
      <c r="AD212" s="101"/>
      <c r="AE212" s="105">
        <f>'[1]Tier 1'!W212</f>
        <v>2628</v>
      </c>
      <c r="AF212" s="106"/>
      <c r="AG212" s="106">
        <f>'[1]Tier 1'!X212</f>
        <v>2628</v>
      </c>
      <c r="AH212" s="106"/>
      <c r="AI212" s="106">
        <f>'[1]Tier 1'!Y212</f>
        <v>2628</v>
      </c>
      <c r="AJ212" s="106">
        <f t="shared" ref="AJ212:AJ275" si="67">AI212 * 0.9</f>
        <v>2365.2000000000003</v>
      </c>
      <c r="AK212" s="106" t="e">
        <f>VLOOKUP(A212,#REF!,-1,FALSE)</f>
        <v>#REF!</v>
      </c>
      <c r="AL212" s="107" t="e">
        <f t="shared" ref="AL212:AL275" si="68">AK212 * 0.9</f>
        <v>#REF!</v>
      </c>
      <c r="AM212" s="105">
        <f t="shared" si="57"/>
        <v>2066</v>
      </c>
      <c r="AN212" s="112">
        <f t="shared" si="58"/>
        <v>0.78600000000000003</v>
      </c>
      <c r="AO212" s="100" t="str">
        <f t="shared" si="59"/>
        <v>OK</v>
      </c>
      <c r="AP212" s="106">
        <f t="shared" si="60"/>
        <v>2192</v>
      </c>
      <c r="AQ212" s="112">
        <f t="shared" si="61"/>
        <v>0.83399999999999996</v>
      </c>
      <c r="AR212" s="100" t="str">
        <f t="shared" si="62"/>
        <v>OK</v>
      </c>
      <c r="AS212" s="106">
        <f t="shared" si="63"/>
        <v>2280</v>
      </c>
      <c r="AT212" s="112">
        <f t="shared" si="64"/>
        <v>0.86799999999999999</v>
      </c>
      <c r="AU212" s="113" t="str">
        <f t="shared" si="65"/>
        <v>OK</v>
      </c>
      <c r="AV212" s="106">
        <f t="shared" ref="AV212:AV275" si="69">V212+W212</f>
        <v>0</v>
      </c>
      <c r="AW212" s="112" t="e">
        <f t="shared" ref="AW212:AW275" si="70">IF(AK212&gt;0, ROUND(AV212/AK212,3),0)</f>
        <v>#REF!</v>
      </c>
      <c r="AX212" s="114" t="e">
        <f t="shared" ref="AX212:AX275" si="71">IF(AND(V212=0, AV212&gt;0), "DATA1", IF(OR(AV212&gt;AL212,BI212&gt;0), IF(Y212="CONC. (ART-PLAN)", "STUDY 1", "STUDY 2"), "OK"))</f>
        <v>#REF!</v>
      </c>
      <c r="AY212" s="99"/>
      <c r="AZ212" s="100"/>
      <c r="BA212" s="104">
        <f t="shared" ref="BA212:BA275" si="72">IF(AG212&gt;0, X212/AG212, 0)</f>
        <v>0</v>
      </c>
      <c r="BB212" s="115">
        <f t="shared" ref="BB212:BB275" si="73">IF(AM212&gt;AF212,1,0)</f>
        <v>1</v>
      </c>
      <c r="BC212" s="116" t="e">
        <f>SUMIF(#REF!,#REF!, BB20:BB333)</f>
        <v>#REF!</v>
      </c>
      <c r="BD212" s="116">
        <f t="shared" ref="BD212:BD275" si="74">IF(AP212&gt;AH212,1,0)</f>
        <v>1</v>
      </c>
      <c r="BE212" s="116" t="e">
        <f>SUMIF(#REF!,#REF!, BD20:BD333)</f>
        <v>#REF!</v>
      </c>
      <c r="BF212" s="116">
        <f t="shared" ref="BF212:BF275" si="75">IF(AS212&gt;AJ212,1,0)</f>
        <v>0</v>
      </c>
      <c r="BG212" s="116" t="e">
        <f>SUMIF(#REF!,#REF!, BF20:BF333)</f>
        <v>#REF!</v>
      </c>
      <c r="BH212" s="116" t="e">
        <f t="shared" ref="BH212:BH275" si="76">IF(AV212&gt;AL212,1,0)</f>
        <v>#REF!</v>
      </c>
      <c r="BI212" s="117">
        <f>SUMIF(B20:B333, B212, BH20:BH333)</f>
        <v>0</v>
      </c>
      <c r="BJ212" s="118"/>
      <c r="BK212" s="92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4"/>
    </row>
    <row r="213" spans="1:82" x14ac:dyDescent="0.3">
      <c r="A213" s="68" t="s">
        <v>444</v>
      </c>
      <c r="B213" s="69"/>
      <c r="C213" s="70" t="s">
        <v>117</v>
      </c>
      <c r="D213" s="70" t="s">
        <v>443</v>
      </c>
      <c r="E213" s="71" t="s">
        <v>173</v>
      </c>
      <c r="F213" s="72" t="s">
        <v>109</v>
      </c>
      <c r="G213" s="73"/>
      <c r="H213" s="74" t="s">
        <v>109</v>
      </c>
      <c r="I213" s="72" t="s">
        <v>4</v>
      </c>
      <c r="J213" s="73" t="s">
        <v>6</v>
      </c>
      <c r="K213" s="75"/>
      <c r="L213" s="76"/>
      <c r="M213" s="77"/>
      <c r="N213" s="78">
        <v>22950</v>
      </c>
      <c r="O213" s="79">
        <v>24355</v>
      </c>
      <c r="P213" s="79">
        <v>25339</v>
      </c>
      <c r="Q213" s="80"/>
      <c r="R213" s="155">
        <v>0.09</v>
      </c>
      <c r="S213" s="78">
        <v>2066</v>
      </c>
      <c r="T213" s="79">
        <v>2192</v>
      </c>
      <c r="U213" s="79">
        <v>2280</v>
      </c>
      <c r="V213" s="80">
        <f t="shared" si="66"/>
        <v>0</v>
      </c>
      <c r="W213" s="82"/>
      <c r="X213" s="83"/>
      <c r="Y213" s="84" t="s">
        <v>104</v>
      </c>
      <c r="Z213" s="73" t="str">
        <f>'[1]Tier 1'!V213</f>
        <v>D</v>
      </c>
      <c r="AA213" s="73"/>
      <c r="AB213" s="73"/>
      <c r="AC213" s="73"/>
      <c r="AD213" s="74"/>
      <c r="AE213" s="78">
        <f>'[1]Tier 1'!W213</f>
        <v>2628</v>
      </c>
      <c r="AF213" s="79"/>
      <c r="AG213" s="79">
        <f>'[1]Tier 1'!X213</f>
        <v>2628</v>
      </c>
      <c r="AH213" s="79"/>
      <c r="AI213" s="79">
        <f>'[1]Tier 1'!Y213</f>
        <v>2628</v>
      </c>
      <c r="AJ213" s="79">
        <f t="shared" si="67"/>
        <v>2365.2000000000003</v>
      </c>
      <c r="AK213" s="79" t="e">
        <f>VLOOKUP(A213,#REF!,-1,FALSE)</f>
        <v>#REF!</v>
      </c>
      <c r="AL213" s="80" t="e">
        <f t="shared" si="68"/>
        <v>#REF!</v>
      </c>
      <c r="AM213" s="78">
        <f t="shared" ref="AM213:AM276" si="77">S213+W213</f>
        <v>2066</v>
      </c>
      <c r="AN213" s="85">
        <f t="shared" ref="AN213:AN276" si="78">IF(AE213&gt;0, ROUND(AM213/AE213,3),0)</f>
        <v>0.78600000000000003</v>
      </c>
      <c r="AO213" s="73" t="str">
        <f t="shared" ref="AO213:AO276" si="79">IF($W213&gt;0,IF(AN213&gt;0.8999,"Study 1", "OK"),"OK")</f>
        <v>OK</v>
      </c>
      <c r="AP213" s="79">
        <f t="shared" ref="AP213:AP276" si="80">T213+W213</f>
        <v>2192</v>
      </c>
      <c r="AQ213" s="85">
        <f t="shared" ref="AQ213:AQ276" si="81">IF(AG213&gt;0, ROUND(AP213/AG213,3),0)</f>
        <v>0.83399999999999996</v>
      </c>
      <c r="AR213" s="73" t="str">
        <f t="shared" ref="AR213:AR276" si="82">IF($W213&gt;0,IF(AQ213&gt;0.8999,"Study 1", "OK"),"OK")</f>
        <v>OK</v>
      </c>
      <c r="AS213" s="79">
        <f t="shared" ref="AS213:AS276" si="83">U213+W213</f>
        <v>2280</v>
      </c>
      <c r="AT213" s="85">
        <f t="shared" ref="AT213:AT276" si="84">IF(AI213&gt;0, ROUND(AS213/AI213,3),0)</f>
        <v>0.86799999999999999</v>
      </c>
      <c r="AU213" s="86" t="str">
        <f t="shared" ref="AU213:AU276" si="85">IF($W213&gt;0,IF(AT213&gt;0.8999,"Study 1", "OK"),"OK")</f>
        <v>OK</v>
      </c>
      <c r="AV213" s="79">
        <f t="shared" si="69"/>
        <v>0</v>
      </c>
      <c r="AW213" s="85" t="e">
        <f t="shared" si="70"/>
        <v>#REF!</v>
      </c>
      <c r="AX213" s="87" t="e">
        <f t="shared" si="71"/>
        <v>#REF!</v>
      </c>
      <c r="AY213" s="72"/>
      <c r="AZ213" s="73"/>
      <c r="BA213" s="77">
        <f t="shared" si="72"/>
        <v>0</v>
      </c>
      <c r="BB213" s="88">
        <f t="shared" si="73"/>
        <v>1</v>
      </c>
      <c r="BC213" s="89" t="e">
        <f>SUMIF(#REF!,#REF!, BB20:BB333)</f>
        <v>#REF!</v>
      </c>
      <c r="BD213" s="89">
        <f t="shared" si="74"/>
        <v>1</v>
      </c>
      <c r="BE213" s="89" t="e">
        <f>SUMIF(#REF!,#REF!, BD20:BD333)</f>
        <v>#REF!</v>
      </c>
      <c r="BF213" s="89">
        <f t="shared" si="75"/>
        <v>0</v>
      </c>
      <c r="BG213" s="89" t="e">
        <f>SUMIF(#REF!,#REF!, BF20:BF333)</f>
        <v>#REF!</v>
      </c>
      <c r="BH213" s="89" t="e">
        <f t="shared" si="76"/>
        <v>#REF!</v>
      </c>
      <c r="BI213" s="90">
        <f>SUMIF(B20:B333, B213, BH20:BH333)</f>
        <v>0</v>
      </c>
      <c r="BJ213" s="91"/>
      <c r="BK213" s="92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4"/>
    </row>
    <row r="214" spans="1:82" x14ac:dyDescent="0.3">
      <c r="A214" s="95" t="s">
        <v>445</v>
      </c>
      <c r="B214" s="96"/>
      <c r="C214" s="97" t="s">
        <v>117</v>
      </c>
      <c r="D214" s="97" t="s">
        <v>173</v>
      </c>
      <c r="E214" s="98" t="s">
        <v>446</v>
      </c>
      <c r="F214" s="99" t="s">
        <v>109</v>
      </c>
      <c r="G214" s="100"/>
      <c r="H214" s="101" t="s">
        <v>109</v>
      </c>
      <c r="I214" s="99" t="s">
        <v>4</v>
      </c>
      <c r="J214" s="100" t="s">
        <v>6</v>
      </c>
      <c r="K214" s="102"/>
      <c r="L214" s="103"/>
      <c r="M214" s="104"/>
      <c r="N214" s="105">
        <v>22950</v>
      </c>
      <c r="O214" s="106">
        <v>24355</v>
      </c>
      <c r="P214" s="106">
        <v>25339</v>
      </c>
      <c r="Q214" s="107"/>
      <c r="R214" s="156">
        <v>0.09</v>
      </c>
      <c r="S214" s="105">
        <v>2066</v>
      </c>
      <c r="T214" s="106">
        <v>2192</v>
      </c>
      <c r="U214" s="106">
        <v>2280</v>
      </c>
      <c r="V214" s="107">
        <f t="shared" si="66"/>
        <v>0</v>
      </c>
      <c r="W214" s="109"/>
      <c r="X214" s="110"/>
      <c r="Y214" s="111" t="s">
        <v>104</v>
      </c>
      <c r="Z214" s="100" t="str">
        <f>'[1]Tier 1'!V214</f>
        <v>D</v>
      </c>
      <c r="AA214" s="100"/>
      <c r="AB214" s="100"/>
      <c r="AC214" s="100"/>
      <c r="AD214" s="101"/>
      <c r="AE214" s="105">
        <f>'[1]Tier 1'!W214</f>
        <v>2628</v>
      </c>
      <c r="AF214" s="106"/>
      <c r="AG214" s="106">
        <f>'[1]Tier 1'!X214</f>
        <v>2628</v>
      </c>
      <c r="AH214" s="106"/>
      <c r="AI214" s="106">
        <f>'[1]Tier 1'!Y214</f>
        <v>2628</v>
      </c>
      <c r="AJ214" s="106">
        <f t="shared" si="67"/>
        <v>2365.2000000000003</v>
      </c>
      <c r="AK214" s="106" t="e">
        <f>VLOOKUP(A214,#REF!,-1,FALSE)</f>
        <v>#REF!</v>
      </c>
      <c r="AL214" s="107" t="e">
        <f t="shared" si="68"/>
        <v>#REF!</v>
      </c>
      <c r="AM214" s="105">
        <f t="shared" si="77"/>
        <v>2066</v>
      </c>
      <c r="AN214" s="112">
        <f t="shared" si="78"/>
        <v>0.78600000000000003</v>
      </c>
      <c r="AO214" s="100" t="str">
        <f t="shared" si="79"/>
        <v>OK</v>
      </c>
      <c r="AP214" s="106">
        <f t="shared" si="80"/>
        <v>2192</v>
      </c>
      <c r="AQ214" s="112">
        <f t="shared" si="81"/>
        <v>0.83399999999999996</v>
      </c>
      <c r="AR214" s="100" t="str">
        <f t="shared" si="82"/>
        <v>OK</v>
      </c>
      <c r="AS214" s="106">
        <f t="shared" si="83"/>
        <v>2280</v>
      </c>
      <c r="AT214" s="112">
        <f t="shared" si="84"/>
        <v>0.86799999999999999</v>
      </c>
      <c r="AU214" s="113" t="str">
        <f t="shared" si="85"/>
        <v>OK</v>
      </c>
      <c r="AV214" s="106">
        <f t="shared" si="69"/>
        <v>0</v>
      </c>
      <c r="AW214" s="112" t="e">
        <f t="shared" si="70"/>
        <v>#REF!</v>
      </c>
      <c r="AX214" s="114" t="e">
        <f t="shared" si="71"/>
        <v>#REF!</v>
      </c>
      <c r="AY214" s="99"/>
      <c r="AZ214" s="100"/>
      <c r="BA214" s="104">
        <f t="shared" si="72"/>
        <v>0</v>
      </c>
      <c r="BB214" s="115">
        <f t="shared" si="73"/>
        <v>1</v>
      </c>
      <c r="BC214" s="116" t="e">
        <f>SUMIF(#REF!,#REF!, BB20:BB333)</f>
        <v>#REF!</v>
      </c>
      <c r="BD214" s="116">
        <f t="shared" si="74"/>
        <v>1</v>
      </c>
      <c r="BE214" s="116" t="e">
        <f>SUMIF(#REF!,#REF!, BD20:BD333)</f>
        <v>#REF!</v>
      </c>
      <c r="BF214" s="116">
        <f t="shared" si="75"/>
        <v>0</v>
      </c>
      <c r="BG214" s="116" t="e">
        <f>SUMIF(#REF!,#REF!, BF20:BF333)</f>
        <v>#REF!</v>
      </c>
      <c r="BH214" s="116" t="e">
        <f t="shared" si="76"/>
        <v>#REF!</v>
      </c>
      <c r="BI214" s="117">
        <f>SUMIF(B20:B333, B214, BH20:BH333)</f>
        <v>0</v>
      </c>
      <c r="BJ214" s="118"/>
      <c r="BK214" s="92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4"/>
    </row>
    <row r="215" spans="1:82" x14ac:dyDescent="0.3">
      <c r="A215" s="68" t="s">
        <v>447</v>
      </c>
      <c r="B215" s="69"/>
      <c r="C215" s="70" t="s">
        <v>117</v>
      </c>
      <c r="D215" s="70" t="s">
        <v>446</v>
      </c>
      <c r="E215" s="71" t="s">
        <v>181</v>
      </c>
      <c r="F215" s="72" t="s">
        <v>109</v>
      </c>
      <c r="G215" s="73"/>
      <c r="H215" s="74" t="s">
        <v>109</v>
      </c>
      <c r="I215" s="72" t="s">
        <v>4</v>
      </c>
      <c r="J215" s="73" t="s">
        <v>6</v>
      </c>
      <c r="K215" s="75"/>
      <c r="L215" s="76"/>
      <c r="M215" s="77"/>
      <c r="N215" s="78">
        <v>22950</v>
      </c>
      <c r="O215" s="79">
        <v>24355</v>
      </c>
      <c r="P215" s="79">
        <v>25339</v>
      </c>
      <c r="Q215" s="80"/>
      <c r="R215" s="155">
        <v>0.09</v>
      </c>
      <c r="S215" s="78">
        <v>2066</v>
      </c>
      <c r="T215" s="79">
        <v>2192</v>
      </c>
      <c r="U215" s="79">
        <v>2280</v>
      </c>
      <c r="V215" s="80">
        <f t="shared" si="66"/>
        <v>0</v>
      </c>
      <c r="W215" s="82"/>
      <c r="X215" s="83"/>
      <c r="Y215" s="84" t="s">
        <v>104</v>
      </c>
      <c r="Z215" s="73" t="str">
        <f>'[1]Tier 1'!V215</f>
        <v>D</v>
      </c>
      <c r="AA215" s="73"/>
      <c r="AB215" s="73"/>
      <c r="AC215" s="73"/>
      <c r="AD215" s="74"/>
      <c r="AE215" s="78">
        <f>'[1]Tier 1'!W215</f>
        <v>2628</v>
      </c>
      <c r="AF215" s="79"/>
      <c r="AG215" s="79">
        <f>'[1]Tier 1'!X215</f>
        <v>2628</v>
      </c>
      <c r="AH215" s="79"/>
      <c r="AI215" s="79">
        <f>'[1]Tier 1'!Y215</f>
        <v>2628</v>
      </c>
      <c r="AJ215" s="79">
        <f t="shared" si="67"/>
        <v>2365.2000000000003</v>
      </c>
      <c r="AK215" s="79" t="e">
        <f>VLOOKUP(A215,#REF!,-1,FALSE)</f>
        <v>#REF!</v>
      </c>
      <c r="AL215" s="80" t="e">
        <f t="shared" si="68"/>
        <v>#REF!</v>
      </c>
      <c r="AM215" s="78">
        <f t="shared" si="77"/>
        <v>2066</v>
      </c>
      <c r="AN215" s="85">
        <f t="shared" si="78"/>
        <v>0.78600000000000003</v>
      </c>
      <c r="AO215" s="73" t="str">
        <f t="shared" si="79"/>
        <v>OK</v>
      </c>
      <c r="AP215" s="79">
        <f t="shared" si="80"/>
        <v>2192</v>
      </c>
      <c r="AQ215" s="85">
        <f t="shared" si="81"/>
        <v>0.83399999999999996</v>
      </c>
      <c r="AR215" s="73" t="str">
        <f t="shared" si="82"/>
        <v>OK</v>
      </c>
      <c r="AS215" s="79">
        <f t="shared" si="83"/>
        <v>2280</v>
      </c>
      <c r="AT215" s="85">
        <f t="shared" si="84"/>
        <v>0.86799999999999999</v>
      </c>
      <c r="AU215" s="86" t="str">
        <f t="shared" si="85"/>
        <v>OK</v>
      </c>
      <c r="AV215" s="79">
        <f t="shared" si="69"/>
        <v>0</v>
      </c>
      <c r="AW215" s="85" t="e">
        <f t="shared" si="70"/>
        <v>#REF!</v>
      </c>
      <c r="AX215" s="87" t="e">
        <f t="shared" si="71"/>
        <v>#REF!</v>
      </c>
      <c r="AY215" s="72"/>
      <c r="AZ215" s="73"/>
      <c r="BA215" s="77">
        <f t="shared" si="72"/>
        <v>0</v>
      </c>
      <c r="BB215" s="88">
        <f t="shared" si="73"/>
        <v>1</v>
      </c>
      <c r="BC215" s="89" t="e">
        <f>SUMIF(#REF!,#REF!, BB20:BB333)</f>
        <v>#REF!</v>
      </c>
      <c r="BD215" s="89">
        <f t="shared" si="74"/>
        <v>1</v>
      </c>
      <c r="BE215" s="89" t="e">
        <f>SUMIF(#REF!,#REF!, BD20:BD333)</f>
        <v>#REF!</v>
      </c>
      <c r="BF215" s="89">
        <f t="shared" si="75"/>
        <v>0</v>
      </c>
      <c r="BG215" s="89" t="e">
        <f>SUMIF(#REF!,#REF!, BF20:BF333)</f>
        <v>#REF!</v>
      </c>
      <c r="BH215" s="89" t="e">
        <f t="shared" si="76"/>
        <v>#REF!</v>
      </c>
      <c r="BI215" s="90">
        <f>SUMIF(B20:B333, B215, BH20:BH333)</f>
        <v>0</v>
      </c>
      <c r="BJ215" s="91"/>
      <c r="BK215" s="92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4"/>
    </row>
    <row r="216" spans="1:82" x14ac:dyDescent="0.3">
      <c r="A216" s="95" t="s">
        <v>448</v>
      </c>
      <c r="B216" s="96"/>
      <c r="C216" s="97" t="s">
        <v>117</v>
      </c>
      <c r="D216" s="97" t="s">
        <v>181</v>
      </c>
      <c r="E216" s="98" t="s">
        <v>449</v>
      </c>
      <c r="F216" s="99" t="s">
        <v>109</v>
      </c>
      <c r="G216" s="100"/>
      <c r="H216" s="101" t="s">
        <v>109</v>
      </c>
      <c r="I216" s="99" t="s">
        <v>4</v>
      </c>
      <c r="J216" s="100" t="s">
        <v>6</v>
      </c>
      <c r="K216" s="102"/>
      <c r="L216" s="103"/>
      <c r="M216" s="104"/>
      <c r="N216" s="105">
        <v>22950</v>
      </c>
      <c r="O216" s="106">
        <v>24355</v>
      </c>
      <c r="P216" s="106">
        <v>25339</v>
      </c>
      <c r="Q216" s="107"/>
      <c r="R216" s="156">
        <v>0.09</v>
      </c>
      <c r="S216" s="105">
        <v>2066</v>
      </c>
      <c r="T216" s="106">
        <v>2192</v>
      </c>
      <c r="U216" s="106">
        <v>2280</v>
      </c>
      <c r="V216" s="107">
        <f t="shared" si="66"/>
        <v>0</v>
      </c>
      <c r="W216" s="109"/>
      <c r="X216" s="110"/>
      <c r="Y216" s="111" t="s">
        <v>104</v>
      </c>
      <c r="Z216" s="100" t="str">
        <f>'[1]Tier 1'!V216</f>
        <v>D</v>
      </c>
      <c r="AA216" s="100"/>
      <c r="AB216" s="100"/>
      <c r="AC216" s="100"/>
      <c r="AD216" s="101"/>
      <c r="AE216" s="105">
        <f>'[1]Tier 1'!W216</f>
        <v>2628</v>
      </c>
      <c r="AF216" s="106"/>
      <c r="AG216" s="106">
        <f>'[1]Tier 1'!X216</f>
        <v>2628</v>
      </c>
      <c r="AH216" s="106"/>
      <c r="AI216" s="106">
        <f>'[1]Tier 1'!Y216</f>
        <v>2628</v>
      </c>
      <c r="AJ216" s="106">
        <f t="shared" si="67"/>
        <v>2365.2000000000003</v>
      </c>
      <c r="AK216" s="106" t="e">
        <f>VLOOKUP(A216,#REF!,-1,FALSE)</f>
        <v>#REF!</v>
      </c>
      <c r="AL216" s="107" t="e">
        <f t="shared" si="68"/>
        <v>#REF!</v>
      </c>
      <c r="AM216" s="105">
        <f t="shared" si="77"/>
        <v>2066</v>
      </c>
      <c r="AN216" s="112">
        <f t="shared" si="78"/>
        <v>0.78600000000000003</v>
      </c>
      <c r="AO216" s="100" t="str">
        <f t="shared" si="79"/>
        <v>OK</v>
      </c>
      <c r="AP216" s="106">
        <f t="shared" si="80"/>
        <v>2192</v>
      </c>
      <c r="AQ216" s="112">
        <f t="shared" si="81"/>
        <v>0.83399999999999996</v>
      </c>
      <c r="AR216" s="100" t="str">
        <f t="shared" si="82"/>
        <v>OK</v>
      </c>
      <c r="AS216" s="106">
        <f t="shared" si="83"/>
        <v>2280</v>
      </c>
      <c r="AT216" s="112">
        <f t="shared" si="84"/>
        <v>0.86799999999999999</v>
      </c>
      <c r="AU216" s="113" t="str">
        <f t="shared" si="85"/>
        <v>OK</v>
      </c>
      <c r="AV216" s="106">
        <f t="shared" si="69"/>
        <v>0</v>
      </c>
      <c r="AW216" s="112" t="e">
        <f t="shared" si="70"/>
        <v>#REF!</v>
      </c>
      <c r="AX216" s="114" t="e">
        <f t="shared" si="71"/>
        <v>#REF!</v>
      </c>
      <c r="AY216" s="99"/>
      <c r="AZ216" s="100"/>
      <c r="BA216" s="104">
        <f t="shared" si="72"/>
        <v>0</v>
      </c>
      <c r="BB216" s="115">
        <f t="shared" si="73"/>
        <v>1</v>
      </c>
      <c r="BC216" s="116" t="e">
        <f>SUMIF(#REF!,#REF!, BB20:BB333)</f>
        <v>#REF!</v>
      </c>
      <c r="BD216" s="116">
        <f t="shared" si="74"/>
        <v>1</v>
      </c>
      <c r="BE216" s="116" t="e">
        <f>SUMIF(#REF!,#REF!, BD20:BD333)</f>
        <v>#REF!</v>
      </c>
      <c r="BF216" s="116">
        <f t="shared" si="75"/>
        <v>0</v>
      </c>
      <c r="BG216" s="116" t="e">
        <f>SUMIF(#REF!,#REF!, BF20:BF333)</f>
        <v>#REF!</v>
      </c>
      <c r="BH216" s="116" t="e">
        <f t="shared" si="76"/>
        <v>#REF!</v>
      </c>
      <c r="BI216" s="117">
        <f>SUMIF(B20:B333, B216, BH20:BH333)</f>
        <v>0</v>
      </c>
      <c r="BJ216" s="118"/>
      <c r="BK216" s="92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4"/>
    </row>
    <row r="217" spans="1:82" x14ac:dyDescent="0.3">
      <c r="A217" s="68" t="s">
        <v>450</v>
      </c>
      <c r="B217" s="69"/>
      <c r="C217" s="70" t="s">
        <v>117</v>
      </c>
      <c r="D217" s="70" t="s">
        <v>449</v>
      </c>
      <c r="E217" s="71" t="s">
        <v>451</v>
      </c>
      <c r="F217" s="72" t="s">
        <v>109</v>
      </c>
      <c r="G217" s="73"/>
      <c r="H217" s="74" t="s">
        <v>109</v>
      </c>
      <c r="I217" s="72" t="s">
        <v>4</v>
      </c>
      <c r="J217" s="73" t="s">
        <v>6</v>
      </c>
      <c r="K217" s="75"/>
      <c r="L217" s="76"/>
      <c r="M217" s="77"/>
      <c r="N217" s="78">
        <v>22950</v>
      </c>
      <c r="O217" s="79">
        <v>24355</v>
      </c>
      <c r="P217" s="79">
        <v>25339</v>
      </c>
      <c r="Q217" s="80"/>
      <c r="R217" s="155">
        <v>0.09</v>
      </c>
      <c r="S217" s="78">
        <v>2066</v>
      </c>
      <c r="T217" s="79">
        <v>2192</v>
      </c>
      <c r="U217" s="79">
        <v>2280</v>
      </c>
      <c r="V217" s="80">
        <f t="shared" si="66"/>
        <v>0</v>
      </c>
      <c r="W217" s="82"/>
      <c r="X217" s="83"/>
      <c r="Y217" s="84" t="s">
        <v>104</v>
      </c>
      <c r="Z217" s="73" t="str">
        <f>'[1]Tier 1'!V217</f>
        <v>D</v>
      </c>
      <c r="AA217" s="73"/>
      <c r="AB217" s="73"/>
      <c r="AC217" s="73"/>
      <c r="AD217" s="74"/>
      <c r="AE217" s="78">
        <f>'[1]Tier 1'!W217</f>
        <v>2628</v>
      </c>
      <c r="AF217" s="79"/>
      <c r="AG217" s="79">
        <f>'[1]Tier 1'!X217</f>
        <v>2628</v>
      </c>
      <c r="AH217" s="79"/>
      <c r="AI217" s="79">
        <f>'[1]Tier 1'!Y217</f>
        <v>2628</v>
      </c>
      <c r="AJ217" s="79">
        <f t="shared" si="67"/>
        <v>2365.2000000000003</v>
      </c>
      <c r="AK217" s="79" t="e">
        <f>VLOOKUP(A217,#REF!,-1,FALSE)</f>
        <v>#REF!</v>
      </c>
      <c r="AL217" s="80" t="e">
        <f t="shared" si="68"/>
        <v>#REF!</v>
      </c>
      <c r="AM217" s="78">
        <f t="shared" si="77"/>
        <v>2066</v>
      </c>
      <c r="AN217" s="85">
        <f t="shared" si="78"/>
        <v>0.78600000000000003</v>
      </c>
      <c r="AO217" s="73" t="str">
        <f t="shared" si="79"/>
        <v>OK</v>
      </c>
      <c r="AP217" s="79">
        <f t="shared" si="80"/>
        <v>2192</v>
      </c>
      <c r="AQ217" s="85">
        <f t="shared" si="81"/>
        <v>0.83399999999999996</v>
      </c>
      <c r="AR217" s="73" t="str">
        <f t="shared" si="82"/>
        <v>OK</v>
      </c>
      <c r="AS217" s="79">
        <f t="shared" si="83"/>
        <v>2280</v>
      </c>
      <c r="AT217" s="85">
        <f t="shared" si="84"/>
        <v>0.86799999999999999</v>
      </c>
      <c r="AU217" s="86" t="str">
        <f t="shared" si="85"/>
        <v>OK</v>
      </c>
      <c r="AV217" s="79">
        <f t="shared" si="69"/>
        <v>0</v>
      </c>
      <c r="AW217" s="85" t="e">
        <f t="shared" si="70"/>
        <v>#REF!</v>
      </c>
      <c r="AX217" s="87" t="e">
        <f t="shared" si="71"/>
        <v>#REF!</v>
      </c>
      <c r="AY217" s="72"/>
      <c r="AZ217" s="73"/>
      <c r="BA217" s="77">
        <f t="shared" si="72"/>
        <v>0</v>
      </c>
      <c r="BB217" s="88">
        <f t="shared" si="73"/>
        <v>1</v>
      </c>
      <c r="BC217" s="89" t="e">
        <f>SUMIF(#REF!,#REF!, BB20:BB333)</f>
        <v>#REF!</v>
      </c>
      <c r="BD217" s="89">
        <f t="shared" si="74"/>
        <v>1</v>
      </c>
      <c r="BE217" s="89" t="e">
        <f>SUMIF(#REF!,#REF!, BD20:BD333)</f>
        <v>#REF!</v>
      </c>
      <c r="BF217" s="89">
        <f t="shared" si="75"/>
        <v>0</v>
      </c>
      <c r="BG217" s="89" t="e">
        <f>SUMIF(#REF!,#REF!, BF20:BF333)</f>
        <v>#REF!</v>
      </c>
      <c r="BH217" s="89" t="e">
        <f t="shared" si="76"/>
        <v>#REF!</v>
      </c>
      <c r="BI217" s="90">
        <f>SUMIF(B20:B333, B217, BH20:BH333)</f>
        <v>0</v>
      </c>
      <c r="BJ217" s="91"/>
      <c r="BK217" s="92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4"/>
    </row>
    <row r="218" spans="1:82" x14ac:dyDescent="0.3">
      <c r="A218" s="95" t="s">
        <v>452</v>
      </c>
      <c r="B218" s="96"/>
      <c r="C218" s="97" t="s">
        <v>117</v>
      </c>
      <c r="D218" s="97" t="s">
        <v>451</v>
      </c>
      <c r="E218" s="98" t="s">
        <v>453</v>
      </c>
      <c r="F218" s="99" t="s">
        <v>109</v>
      </c>
      <c r="G218" s="100"/>
      <c r="H218" s="101" t="s">
        <v>109</v>
      </c>
      <c r="I218" s="99" t="s">
        <v>4</v>
      </c>
      <c r="J218" s="100" t="s">
        <v>6</v>
      </c>
      <c r="K218" s="102"/>
      <c r="L218" s="103"/>
      <c r="M218" s="104"/>
      <c r="N218" s="105">
        <v>22950</v>
      </c>
      <c r="O218" s="106">
        <v>24355</v>
      </c>
      <c r="P218" s="106">
        <v>25339</v>
      </c>
      <c r="Q218" s="107"/>
      <c r="R218" s="156">
        <v>0.09</v>
      </c>
      <c r="S218" s="105">
        <v>2066</v>
      </c>
      <c r="T218" s="106">
        <v>2192</v>
      </c>
      <c r="U218" s="106">
        <v>2280</v>
      </c>
      <c r="V218" s="107">
        <f t="shared" si="66"/>
        <v>0</v>
      </c>
      <c r="W218" s="109"/>
      <c r="X218" s="110"/>
      <c r="Y218" s="111" t="s">
        <v>104</v>
      </c>
      <c r="Z218" s="100" t="str">
        <f>'[1]Tier 1'!V218</f>
        <v>D</v>
      </c>
      <c r="AA218" s="100"/>
      <c r="AB218" s="100"/>
      <c r="AC218" s="100"/>
      <c r="AD218" s="101"/>
      <c r="AE218" s="105">
        <f>'[1]Tier 1'!W218</f>
        <v>2628</v>
      </c>
      <c r="AF218" s="106"/>
      <c r="AG218" s="106">
        <f>'[1]Tier 1'!X218</f>
        <v>2628</v>
      </c>
      <c r="AH218" s="106"/>
      <c r="AI218" s="106">
        <f>'[1]Tier 1'!Y218</f>
        <v>2628</v>
      </c>
      <c r="AJ218" s="106">
        <f t="shared" si="67"/>
        <v>2365.2000000000003</v>
      </c>
      <c r="AK218" s="106" t="e">
        <f>VLOOKUP(A218,#REF!,-1,FALSE)</f>
        <v>#REF!</v>
      </c>
      <c r="AL218" s="107" t="e">
        <f t="shared" si="68"/>
        <v>#REF!</v>
      </c>
      <c r="AM218" s="105">
        <f t="shared" si="77"/>
        <v>2066</v>
      </c>
      <c r="AN218" s="112">
        <f t="shared" si="78"/>
        <v>0.78600000000000003</v>
      </c>
      <c r="AO218" s="100" t="str">
        <f t="shared" si="79"/>
        <v>OK</v>
      </c>
      <c r="AP218" s="106">
        <f t="shared" si="80"/>
        <v>2192</v>
      </c>
      <c r="AQ218" s="112">
        <f t="shared" si="81"/>
        <v>0.83399999999999996</v>
      </c>
      <c r="AR218" s="100" t="str">
        <f t="shared" si="82"/>
        <v>OK</v>
      </c>
      <c r="AS218" s="106">
        <f t="shared" si="83"/>
        <v>2280</v>
      </c>
      <c r="AT218" s="112">
        <f t="shared" si="84"/>
        <v>0.86799999999999999</v>
      </c>
      <c r="AU218" s="113" t="str">
        <f t="shared" si="85"/>
        <v>OK</v>
      </c>
      <c r="AV218" s="106">
        <f t="shared" si="69"/>
        <v>0</v>
      </c>
      <c r="AW218" s="112" t="e">
        <f t="shared" si="70"/>
        <v>#REF!</v>
      </c>
      <c r="AX218" s="114" t="e">
        <f t="shared" si="71"/>
        <v>#REF!</v>
      </c>
      <c r="AY218" s="99"/>
      <c r="AZ218" s="100"/>
      <c r="BA218" s="104">
        <f t="shared" si="72"/>
        <v>0</v>
      </c>
      <c r="BB218" s="115">
        <f t="shared" si="73"/>
        <v>1</v>
      </c>
      <c r="BC218" s="116" t="e">
        <f>SUMIF(#REF!,#REF!, BB20:BB333)</f>
        <v>#REF!</v>
      </c>
      <c r="BD218" s="116">
        <f t="shared" si="74"/>
        <v>1</v>
      </c>
      <c r="BE218" s="116" t="e">
        <f>SUMIF(#REF!,#REF!, BD20:BD333)</f>
        <v>#REF!</v>
      </c>
      <c r="BF218" s="116">
        <f t="shared" si="75"/>
        <v>0</v>
      </c>
      <c r="BG218" s="116" t="e">
        <f>SUMIF(#REF!,#REF!, BF20:BF333)</f>
        <v>#REF!</v>
      </c>
      <c r="BH218" s="116" t="e">
        <f t="shared" si="76"/>
        <v>#REF!</v>
      </c>
      <c r="BI218" s="117">
        <f>SUMIF(B20:B333, B218, BH20:BH333)</f>
        <v>0</v>
      </c>
      <c r="BJ218" s="118"/>
      <c r="BK218" s="92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4"/>
    </row>
    <row r="219" spans="1:82" x14ac:dyDescent="0.3">
      <c r="A219" s="68" t="s">
        <v>454</v>
      </c>
      <c r="B219" s="69"/>
      <c r="C219" s="70" t="s">
        <v>117</v>
      </c>
      <c r="D219" s="70" t="s">
        <v>453</v>
      </c>
      <c r="E219" s="71" t="s">
        <v>455</v>
      </c>
      <c r="F219" s="72" t="s">
        <v>109</v>
      </c>
      <c r="G219" s="73"/>
      <c r="H219" s="74" t="s">
        <v>109</v>
      </c>
      <c r="I219" s="72" t="s">
        <v>4</v>
      </c>
      <c r="J219" s="73" t="s">
        <v>6</v>
      </c>
      <c r="K219" s="75"/>
      <c r="L219" s="76"/>
      <c r="M219" s="77"/>
      <c r="N219" s="78">
        <v>22950</v>
      </c>
      <c r="O219" s="79">
        <v>24355</v>
      </c>
      <c r="P219" s="79">
        <v>25339</v>
      </c>
      <c r="Q219" s="80"/>
      <c r="R219" s="155">
        <v>0.09</v>
      </c>
      <c r="S219" s="78">
        <v>2066</v>
      </c>
      <c r="T219" s="79">
        <v>2192</v>
      </c>
      <c r="U219" s="79">
        <v>2280</v>
      </c>
      <c r="V219" s="80">
        <f t="shared" si="66"/>
        <v>0</v>
      </c>
      <c r="W219" s="82"/>
      <c r="X219" s="83"/>
      <c r="Y219" s="84" t="s">
        <v>104</v>
      </c>
      <c r="Z219" s="73" t="str">
        <f>'[1]Tier 1'!V219</f>
        <v>D</v>
      </c>
      <c r="AA219" s="73"/>
      <c r="AB219" s="73"/>
      <c r="AC219" s="73"/>
      <c r="AD219" s="74"/>
      <c r="AE219" s="78">
        <f>'[1]Tier 1'!W219</f>
        <v>2628</v>
      </c>
      <c r="AF219" s="79"/>
      <c r="AG219" s="79">
        <f>'[1]Tier 1'!X219</f>
        <v>2628</v>
      </c>
      <c r="AH219" s="79"/>
      <c r="AI219" s="79">
        <f>'[1]Tier 1'!Y219</f>
        <v>2628</v>
      </c>
      <c r="AJ219" s="79">
        <f t="shared" si="67"/>
        <v>2365.2000000000003</v>
      </c>
      <c r="AK219" s="79" t="e">
        <f>VLOOKUP(A219,#REF!,-1,FALSE)</f>
        <v>#REF!</v>
      </c>
      <c r="AL219" s="80" t="e">
        <f t="shared" si="68"/>
        <v>#REF!</v>
      </c>
      <c r="AM219" s="78">
        <f t="shared" si="77"/>
        <v>2066</v>
      </c>
      <c r="AN219" s="85">
        <f t="shared" si="78"/>
        <v>0.78600000000000003</v>
      </c>
      <c r="AO219" s="73" t="str">
        <f t="shared" si="79"/>
        <v>OK</v>
      </c>
      <c r="AP219" s="79">
        <f t="shared" si="80"/>
        <v>2192</v>
      </c>
      <c r="AQ219" s="85">
        <f t="shared" si="81"/>
        <v>0.83399999999999996</v>
      </c>
      <c r="AR219" s="73" t="str">
        <f t="shared" si="82"/>
        <v>OK</v>
      </c>
      <c r="AS219" s="79">
        <f t="shared" si="83"/>
        <v>2280</v>
      </c>
      <c r="AT219" s="85">
        <f t="shared" si="84"/>
        <v>0.86799999999999999</v>
      </c>
      <c r="AU219" s="86" t="str">
        <f t="shared" si="85"/>
        <v>OK</v>
      </c>
      <c r="AV219" s="79">
        <f t="shared" si="69"/>
        <v>0</v>
      </c>
      <c r="AW219" s="85" t="e">
        <f t="shared" si="70"/>
        <v>#REF!</v>
      </c>
      <c r="AX219" s="87" t="e">
        <f t="shared" si="71"/>
        <v>#REF!</v>
      </c>
      <c r="AY219" s="72"/>
      <c r="AZ219" s="73"/>
      <c r="BA219" s="77">
        <f t="shared" si="72"/>
        <v>0</v>
      </c>
      <c r="BB219" s="88">
        <f t="shared" si="73"/>
        <v>1</v>
      </c>
      <c r="BC219" s="89" t="e">
        <f>SUMIF(#REF!,#REF!, BB20:BB333)</f>
        <v>#REF!</v>
      </c>
      <c r="BD219" s="89">
        <f t="shared" si="74"/>
        <v>1</v>
      </c>
      <c r="BE219" s="89" t="e">
        <f>SUMIF(#REF!,#REF!, BD20:BD333)</f>
        <v>#REF!</v>
      </c>
      <c r="BF219" s="89">
        <f t="shared" si="75"/>
        <v>0</v>
      </c>
      <c r="BG219" s="89" t="e">
        <f>SUMIF(#REF!,#REF!, BF20:BF333)</f>
        <v>#REF!</v>
      </c>
      <c r="BH219" s="89" t="e">
        <f t="shared" si="76"/>
        <v>#REF!</v>
      </c>
      <c r="BI219" s="90">
        <f>SUMIF(B20:B333, B219, BH20:BH333)</f>
        <v>0</v>
      </c>
      <c r="BJ219" s="91"/>
      <c r="BK219" s="92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4"/>
    </row>
    <row r="220" spans="1:82" x14ac:dyDescent="0.3">
      <c r="A220" s="95" t="s">
        <v>456</v>
      </c>
      <c r="B220" s="96"/>
      <c r="C220" s="97" t="s">
        <v>117</v>
      </c>
      <c r="D220" s="97" t="s">
        <v>455</v>
      </c>
      <c r="E220" s="98" t="s">
        <v>187</v>
      </c>
      <c r="F220" s="99" t="s">
        <v>109</v>
      </c>
      <c r="G220" s="100"/>
      <c r="H220" s="101" t="s">
        <v>109</v>
      </c>
      <c r="I220" s="99" t="s">
        <v>4</v>
      </c>
      <c r="J220" s="100" t="s">
        <v>6</v>
      </c>
      <c r="K220" s="102"/>
      <c r="L220" s="103"/>
      <c r="M220" s="104"/>
      <c r="N220" s="105">
        <v>22950</v>
      </c>
      <c r="O220" s="106">
        <v>24355</v>
      </c>
      <c r="P220" s="106">
        <v>25339</v>
      </c>
      <c r="Q220" s="107"/>
      <c r="R220" s="156">
        <v>0.09</v>
      </c>
      <c r="S220" s="105">
        <v>2066</v>
      </c>
      <c r="T220" s="106">
        <v>2192</v>
      </c>
      <c r="U220" s="106">
        <v>2280</v>
      </c>
      <c r="V220" s="107">
        <f t="shared" si="66"/>
        <v>0</v>
      </c>
      <c r="W220" s="109"/>
      <c r="X220" s="110"/>
      <c r="Y220" s="111" t="s">
        <v>104</v>
      </c>
      <c r="Z220" s="100" t="str">
        <f>'[1]Tier 1'!V220</f>
        <v>D</v>
      </c>
      <c r="AA220" s="100"/>
      <c r="AB220" s="100"/>
      <c r="AC220" s="100"/>
      <c r="AD220" s="101"/>
      <c r="AE220" s="105">
        <f>'[1]Tier 1'!W220</f>
        <v>2628</v>
      </c>
      <c r="AF220" s="106"/>
      <c r="AG220" s="106">
        <f>'[1]Tier 1'!X220</f>
        <v>2628</v>
      </c>
      <c r="AH220" s="106"/>
      <c r="AI220" s="106">
        <f>'[1]Tier 1'!Y220</f>
        <v>2628</v>
      </c>
      <c r="AJ220" s="106">
        <f t="shared" si="67"/>
        <v>2365.2000000000003</v>
      </c>
      <c r="AK220" s="106" t="e">
        <f>VLOOKUP(A220,#REF!,-1,FALSE)</f>
        <v>#REF!</v>
      </c>
      <c r="AL220" s="107" t="e">
        <f t="shared" si="68"/>
        <v>#REF!</v>
      </c>
      <c r="AM220" s="105">
        <f t="shared" si="77"/>
        <v>2066</v>
      </c>
      <c r="AN220" s="112">
        <f t="shared" si="78"/>
        <v>0.78600000000000003</v>
      </c>
      <c r="AO220" s="100" t="str">
        <f t="shared" si="79"/>
        <v>OK</v>
      </c>
      <c r="AP220" s="106">
        <f t="shared" si="80"/>
        <v>2192</v>
      </c>
      <c r="AQ220" s="112">
        <f t="shared" si="81"/>
        <v>0.83399999999999996</v>
      </c>
      <c r="AR220" s="100" t="str">
        <f t="shared" si="82"/>
        <v>OK</v>
      </c>
      <c r="AS220" s="106">
        <f t="shared" si="83"/>
        <v>2280</v>
      </c>
      <c r="AT220" s="112">
        <f t="shared" si="84"/>
        <v>0.86799999999999999</v>
      </c>
      <c r="AU220" s="113" t="str">
        <f t="shared" si="85"/>
        <v>OK</v>
      </c>
      <c r="AV220" s="106">
        <f t="shared" si="69"/>
        <v>0</v>
      </c>
      <c r="AW220" s="112" t="e">
        <f t="shared" si="70"/>
        <v>#REF!</v>
      </c>
      <c r="AX220" s="114" t="e">
        <f t="shared" si="71"/>
        <v>#REF!</v>
      </c>
      <c r="AY220" s="99"/>
      <c r="AZ220" s="100"/>
      <c r="BA220" s="104">
        <f t="shared" si="72"/>
        <v>0</v>
      </c>
      <c r="BB220" s="115">
        <f t="shared" si="73"/>
        <v>1</v>
      </c>
      <c r="BC220" s="116" t="e">
        <f>SUMIF(#REF!,#REF!, BB20:BB333)</f>
        <v>#REF!</v>
      </c>
      <c r="BD220" s="116">
        <f t="shared" si="74"/>
        <v>1</v>
      </c>
      <c r="BE220" s="116" t="e">
        <f>SUMIF(#REF!,#REF!, BD20:BD333)</f>
        <v>#REF!</v>
      </c>
      <c r="BF220" s="116">
        <f t="shared" si="75"/>
        <v>0</v>
      </c>
      <c r="BG220" s="116" t="e">
        <f>SUMIF(#REF!,#REF!, BF20:BF333)</f>
        <v>#REF!</v>
      </c>
      <c r="BH220" s="116" t="e">
        <f t="shared" si="76"/>
        <v>#REF!</v>
      </c>
      <c r="BI220" s="117">
        <f>SUMIF(B20:B333, B220, BH20:BH333)</f>
        <v>0</v>
      </c>
      <c r="BJ220" s="118"/>
      <c r="BK220" s="92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4"/>
    </row>
    <row r="221" spans="1:82" x14ac:dyDescent="0.3">
      <c r="A221" s="68" t="s">
        <v>457</v>
      </c>
      <c r="B221" s="69"/>
      <c r="C221" s="70" t="s">
        <v>117</v>
      </c>
      <c r="D221" s="70" t="s">
        <v>187</v>
      </c>
      <c r="E221" s="71" t="s">
        <v>458</v>
      </c>
      <c r="F221" s="72" t="s">
        <v>109</v>
      </c>
      <c r="G221" s="73"/>
      <c r="H221" s="74" t="s">
        <v>109</v>
      </c>
      <c r="I221" s="72" t="s">
        <v>4</v>
      </c>
      <c r="J221" s="73" t="s">
        <v>6</v>
      </c>
      <c r="K221" s="75"/>
      <c r="L221" s="76"/>
      <c r="M221" s="77"/>
      <c r="N221" s="78">
        <v>22950</v>
      </c>
      <c r="O221" s="79">
        <v>24355</v>
      </c>
      <c r="P221" s="79">
        <v>25339</v>
      </c>
      <c r="Q221" s="80"/>
      <c r="R221" s="155">
        <v>0.09</v>
      </c>
      <c r="S221" s="78">
        <v>2066</v>
      </c>
      <c r="T221" s="79">
        <v>2192</v>
      </c>
      <c r="U221" s="79">
        <v>2280</v>
      </c>
      <c r="V221" s="80">
        <f t="shared" si="66"/>
        <v>0</v>
      </c>
      <c r="W221" s="82"/>
      <c r="X221" s="83"/>
      <c r="Y221" s="84" t="s">
        <v>104</v>
      </c>
      <c r="Z221" s="73" t="str">
        <f>'[1]Tier 1'!V221</f>
        <v>D</v>
      </c>
      <c r="AA221" s="73"/>
      <c r="AB221" s="73"/>
      <c r="AC221" s="73"/>
      <c r="AD221" s="74"/>
      <c r="AE221" s="78">
        <f>'[1]Tier 1'!W221</f>
        <v>2628</v>
      </c>
      <c r="AF221" s="79"/>
      <c r="AG221" s="79">
        <f>'[1]Tier 1'!X221</f>
        <v>2628</v>
      </c>
      <c r="AH221" s="79"/>
      <c r="AI221" s="79">
        <f>'[1]Tier 1'!Y221</f>
        <v>2628</v>
      </c>
      <c r="AJ221" s="79">
        <f t="shared" si="67"/>
        <v>2365.2000000000003</v>
      </c>
      <c r="AK221" s="79" t="e">
        <f>VLOOKUP(A221,#REF!,-1,FALSE)</f>
        <v>#REF!</v>
      </c>
      <c r="AL221" s="80" t="e">
        <f t="shared" si="68"/>
        <v>#REF!</v>
      </c>
      <c r="AM221" s="78">
        <f t="shared" si="77"/>
        <v>2066</v>
      </c>
      <c r="AN221" s="85">
        <f t="shared" si="78"/>
        <v>0.78600000000000003</v>
      </c>
      <c r="AO221" s="73" t="str">
        <f t="shared" si="79"/>
        <v>OK</v>
      </c>
      <c r="AP221" s="79">
        <f t="shared" si="80"/>
        <v>2192</v>
      </c>
      <c r="AQ221" s="85">
        <f t="shared" si="81"/>
        <v>0.83399999999999996</v>
      </c>
      <c r="AR221" s="73" t="str">
        <f t="shared" si="82"/>
        <v>OK</v>
      </c>
      <c r="AS221" s="79">
        <f t="shared" si="83"/>
        <v>2280</v>
      </c>
      <c r="AT221" s="85">
        <f t="shared" si="84"/>
        <v>0.86799999999999999</v>
      </c>
      <c r="AU221" s="86" t="str">
        <f t="shared" si="85"/>
        <v>OK</v>
      </c>
      <c r="AV221" s="79">
        <f t="shared" si="69"/>
        <v>0</v>
      </c>
      <c r="AW221" s="85" t="e">
        <f t="shared" si="70"/>
        <v>#REF!</v>
      </c>
      <c r="AX221" s="87" t="e">
        <f t="shared" si="71"/>
        <v>#REF!</v>
      </c>
      <c r="AY221" s="72"/>
      <c r="AZ221" s="73"/>
      <c r="BA221" s="77">
        <f t="shared" si="72"/>
        <v>0</v>
      </c>
      <c r="BB221" s="88">
        <f t="shared" si="73"/>
        <v>1</v>
      </c>
      <c r="BC221" s="89" t="e">
        <f>SUMIF(#REF!,#REF!, BB20:BB333)</f>
        <v>#REF!</v>
      </c>
      <c r="BD221" s="89">
        <f t="shared" si="74"/>
        <v>1</v>
      </c>
      <c r="BE221" s="89" t="e">
        <f>SUMIF(#REF!,#REF!, BD20:BD333)</f>
        <v>#REF!</v>
      </c>
      <c r="BF221" s="89">
        <f t="shared" si="75"/>
        <v>0</v>
      </c>
      <c r="BG221" s="89" t="e">
        <f>SUMIF(#REF!,#REF!, BF20:BF333)</f>
        <v>#REF!</v>
      </c>
      <c r="BH221" s="89" t="e">
        <f t="shared" si="76"/>
        <v>#REF!</v>
      </c>
      <c r="BI221" s="90">
        <f>SUMIF(B20:B333, B221, BH20:BH333)</f>
        <v>0</v>
      </c>
      <c r="BJ221" s="91"/>
      <c r="BK221" s="92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4"/>
    </row>
    <row r="222" spans="1:82" x14ac:dyDescent="0.3">
      <c r="A222" s="95" t="s">
        <v>459</v>
      </c>
      <c r="B222" s="96"/>
      <c r="C222" s="97" t="s">
        <v>117</v>
      </c>
      <c r="D222" s="97" t="s">
        <v>458</v>
      </c>
      <c r="E222" s="98" t="s">
        <v>460</v>
      </c>
      <c r="F222" s="99" t="s">
        <v>109</v>
      </c>
      <c r="G222" s="100"/>
      <c r="H222" s="101" t="s">
        <v>109</v>
      </c>
      <c r="I222" s="99" t="s">
        <v>4</v>
      </c>
      <c r="J222" s="100" t="s">
        <v>6</v>
      </c>
      <c r="K222" s="102"/>
      <c r="L222" s="103"/>
      <c r="M222" s="104"/>
      <c r="N222" s="105">
        <v>21480</v>
      </c>
      <c r="O222" s="106">
        <v>23062</v>
      </c>
      <c r="P222" s="106">
        <v>24116</v>
      </c>
      <c r="Q222" s="107"/>
      <c r="R222" s="156">
        <v>0.09</v>
      </c>
      <c r="S222" s="105">
        <v>1933</v>
      </c>
      <c r="T222" s="106">
        <v>2076</v>
      </c>
      <c r="U222" s="106">
        <v>2170</v>
      </c>
      <c r="V222" s="107">
        <f t="shared" si="66"/>
        <v>0</v>
      </c>
      <c r="W222" s="109"/>
      <c r="X222" s="110"/>
      <c r="Y222" s="111" t="s">
        <v>104</v>
      </c>
      <c r="Z222" s="100" t="str">
        <f>'[1]Tier 1'!V222</f>
        <v>D</v>
      </c>
      <c r="AA222" s="100"/>
      <c r="AB222" s="100"/>
      <c r="AC222" s="100"/>
      <c r="AD222" s="101"/>
      <c r="AE222" s="105">
        <f>'[1]Tier 1'!W222</f>
        <v>2331</v>
      </c>
      <c r="AF222" s="106"/>
      <c r="AG222" s="106">
        <f>'[1]Tier 1'!X222</f>
        <v>2331</v>
      </c>
      <c r="AH222" s="106"/>
      <c r="AI222" s="106">
        <f>'[1]Tier 1'!Y222</f>
        <v>2331</v>
      </c>
      <c r="AJ222" s="106">
        <f t="shared" si="67"/>
        <v>2097.9</v>
      </c>
      <c r="AK222" s="106" t="e">
        <f>VLOOKUP(A222,#REF!,-1,FALSE)</f>
        <v>#REF!</v>
      </c>
      <c r="AL222" s="107" t="e">
        <f t="shared" si="68"/>
        <v>#REF!</v>
      </c>
      <c r="AM222" s="105">
        <f t="shared" si="77"/>
        <v>1933</v>
      </c>
      <c r="AN222" s="112">
        <f t="shared" si="78"/>
        <v>0.82899999999999996</v>
      </c>
      <c r="AO222" s="100" t="str">
        <f t="shared" si="79"/>
        <v>OK</v>
      </c>
      <c r="AP222" s="106">
        <f t="shared" si="80"/>
        <v>2076</v>
      </c>
      <c r="AQ222" s="112">
        <f t="shared" si="81"/>
        <v>0.89100000000000001</v>
      </c>
      <c r="AR222" s="100" t="str">
        <f t="shared" si="82"/>
        <v>OK</v>
      </c>
      <c r="AS222" s="106">
        <f t="shared" si="83"/>
        <v>2170</v>
      </c>
      <c r="AT222" s="112">
        <f t="shared" si="84"/>
        <v>0.93100000000000005</v>
      </c>
      <c r="AU222" s="113" t="str">
        <f t="shared" si="85"/>
        <v>OK</v>
      </c>
      <c r="AV222" s="106">
        <f t="shared" si="69"/>
        <v>0</v>
      </c>
      <c r="AW222" s="112" t="e">
        <f t="shared" si="70"/>
        <v>#REF!</v>
      </c>
      <c r="AX222" s="114" t="e">
        <f t="shared" si="71"/>
        <v>#REF!</v>
      </c>
      <c r="AY222" s="99"/>
      <c r="AZ222" s="100"/>
      <c r="BA222" s="104">
        <f t="shared" si="72"/>
        <v>0</v>
      </c>
      <c r="BB222" s="115">
        <f t="shared" si="73"/>
        <v>1</v>
      </c>
      <c r="BC222" s="116" t="e">
        <f>SUMIF(#REF!,#REF!, BB20:BB333)</f>
        <v>#REF!</v>
      </c>
      <c r="BD222" s="116">
        <f t="shared" si="74"/>
        <v>1</v>
      </c>
      <c r="BE222" s="116" t="e">
        <f>SUMIF(#REF!,#REF!, BD20:BD333)</f>
        <v>#REF!</v>
      </c>
      <c r="BF222" s="116">
        <f t="shared" si="75"/>
        <v>1</v>
      </c>
      <c r="BG222" s="116" t="e">
        <f>SUMIF(#REF!,#REF!, BF20:BF333)</f>
        <v>#REF!</v>
      </c>
      <c r="BH222" s="116" t="e">
        <f t="shared" si="76"/>
        <v>#REF!</v>
      </c>
      <c r="BI222" s="117">
        <f>SUMIF(B20:B333, B222, BH20:BH333)</f>
        <v>0</v>
      </c>
      <c r="BJ222" s="118"/>
      <c r="BK222" s="92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4"/>
    </row>
    <row r="223" spans="1:82" x14ac:dyDescent="0.3">
      <c r="A223" s="68" t="s">
        <v>461</v>
      </c>
      <c r="B223" s="69"/>
      <c r="C223" s="70" t="s">
        <v>117</v>
      </c>
      <c r="D223" s="70" t="s">
        <v>460</v>
      </c>
      <c r="E223" s="71" t="s">
        <v>462</v>
      </c>
      <c r="F223" s="72" t="s">
        <v>109</v>
      </c>
      <c r="G223" s="73"/>
      <c r="H223" s="74" t="s">
        <v>109</v>
      </c>
      <c r="I223" s="72" t="s">
        <v>4</v>
      </c>
      <c r="J223" s="73" t="s">
        <v>6</v>
      </c>
      <c r="K223" s="75"/>
      <c r="L223" s="76"/>
      <c r="M223" s="77"/>
      <c r="N223" s="78">
        <v>21480</v>
      </c>
      <c r="O223" s="79">
        <v>23062</v>
      </c>
      <c r="P223" s="79">
        <v>24116</v>
      </c>
      <c r="Q223" s="80"/>
      <c r="R223" s="155">
        <v>0.09</v>
      </c>
      <c r="S223" s="78">
        <v>1933</v>
      </c>
      <c r="T223" s="79">
        <v>2076</v>
      </c>
      <c r="U223" s="79">
        <v>2170</v>
      </c>
      <c r="V223" s="80">
        <f t="shared" si="66"/>
        <v>0</v>
      </c>
      <c r="W223" s="82"/>
      <c r="X223" s="83"/>
      <c r="Y223" s="84" t="s">
        <v>104</v>
      </c>
      <c r="Z223" s="73" t="str">
        <f>'[1]Tier 1'!V223</f>
        <v>D</v>
      </c>
      <c r="AA223" s="73"/>
      <c r="AB223" s="73"/>
      <c r="AC223" s="73"/>
      <c r="AD223" s="74"/>
      <c r="AE223" s="78">
        <f>'[1]Tier 1'!W223</f>
        <v>2628</v>
      </c>
      <c r="AF223" s="79"/>
      <c r="AG223" s="79">
        <f>'[1]Tier 1'!X223</f>
        <v>2628</v>
      </c>
      <c r="AH223" s="79"/>
      <c r="AI223" s="79">
        <f>'[1]Tier 1'!Y223</f>
        <v>2628</v>
      </c>
      <c r="AJ223" s="79">
        <f t="shared" si="67"/>
        <v>2365.2000000000003</v>
      </c>
      <c r="AK223" s="79" t="e">
        <f>VLOOKUP(A223,#REF!,-1,FALSE)</f>
        <v>#REF!</v>
      </c>
      <c r="AL223" s="80" t="e">
        <f t="shared" si="68"/>
        <v>#REF!</v>
      </c>
      <c r="AM223" s="78">
        <f t="shared" si="77"/>
        <v>1933</v>
      </c>
      <c r="AN223" s="85">
        <f t="shared" si="78"/>
        <v>0.73599999999999999</v>
      </c>
      <c r="AO223" s="73" t="str">
        <f t="shared" si="79"/>
        <v>OK</v>
      </c>
      <c r="AP223" s="79">
        <f t="shared" si="80"/>
        <v>2076</v>
      </c>
      <c r="AQ223" s="85">
        <f t="shared" si="81"/>
        <v>0.79</v>
      </c>
      <c r="AR223" s="73" t="str">
        <f t="shared" si="82"/>
        <v>OK</v>
      </c>
      <c r="AS223" s="79">
        <f t="shared" si="83"/>
        <v>2170</v>
      </c>
      <c r="AT223" s="85">
        <f t="shared" si="84"/>
        <v>0.82599999999999996</v>
      </c>
      <c r="AU223" s="86" t="str">
        <f t="shared" si="85"/>
        <v>OK</v>
      </c>
      <c r="AV223" s="79">
        <f t="shared" si="69"/>
        <v>0</v>
      </c>
      <c r="AW223" s="85" t="e">
        <f t="shared" si="70"/>
        <v>#REF!</v>
      </c>
      <c r="AX223" s="87" t="e">
        <f t="shared" si="71"/>
        <v>#REF!</v>
      </c>
      <c r="AY223" s="72"/>
      <c r="AZ223" s="73"/>
      <c r="BA223" s="77">
        <f t="shared" si="72"/>
        <v>0</v>
      </c>
      <c r="BB223" s="88">
        <f t="shared" si="73"/>
        <v>1</v>
      </c>
      <c r="BC223" s="89" t="e">
        <f>SUMIF(#REF!,#REF!, BB20:BB333)</f>
        <v>#REF!</v>
      </c>
      <c r="BD223" s="89">
        <f t="shared" si="74"/>
        <v>1</v>
      </c>
      <c r="BE223" s="89" t="e">
        <f>SUMIF(#REF!,#REF!, BD20:BD333)</f>
        <v>#REF!</v>
      </c>
      <c r="BF223" s="89">
        <f t="shared" si="75"/>
        <v>0</v>
      </c>
      <c r="BG223" s="89" t="e">
        <f>SUMIF(#REF!,#REF!, BF20:BF333)</f>
        <v>#REF!</v>
      </c>
      <c r="BH223" s="89" t="e">
        <f t="shared" si="76"/>
        <v>#REF!</v>
      </c>
      <c r="BI223" s="90">
        <f>SUMIF(B20:B333, B223, BH20:BH333)</f>
        <v>0</v>
      </c>
      <c r="BJ223" s="91"/>
      <c r="BK223" s="92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4"/>
    </row>
    <row r="224" spans="1:82" x14ac:dyDescent="0.3">
      <c r="A224" s="95" t="s">
        <v>463</v>
      </c>
      <c r="B224" s="96"/>
      <c r="C224" s="97" t="s">
        <v>117</v>
      </c>
      <c r="D224" s="97" t="s">
        <v>462</v>
      </c>
      <c r="E224" s="98" t="s">
        <v>202</v>
      </c>
      <c r="F224" s="99" t="s">
        <v>109</v>
      </c>
      <c r="G224" s="100"/>
      <c r="H224" s="101" t="s">
        <v>103</v>
      </c>
      <c r="I224" s="99" t="s">
        <v>4</v>
      </c>
      <c r="J224" s="100" t="s">
        <v>6</v>
      </c>
      <c r="K224" s="102"/>
      <c r="L224" s="103"/>
      <c r="M224" s="104"/>
      <c r="N224" s="105">
        <v>21480</v>
      </c>
      <c r="O224" s="106">
        <v>23062</v>
      </c>
      <c r="P224" s="106">
        <v>24116</v>
      </c>
      <c r="Q224" s="107"/>
      <c r="R224" s="156">
        <v>0.09</v>
      </c>
      <c r="S224" s="105">
        <v>1933</v>
      </c>
      <c r="T224" s="106">
        <v>2076</v>
      </c>
      <c r="U224" s="106">
        <v>2170</v>
      </c>
      <c r="V224" s="107">
        <f t="shared" si="66"/>
        <v>0</v>
      </c>
      <c r="W224" s="109"/>
      <c r="X224" s="110"/>
      <c r="Y224" s="111" t="s">
        <v>104</v>
      </c>
      <c r="Z224" s="100" t="str">
        <f>'[1]Tier 1'!V224</f>
        <v>D</v>
      </c>
      <c r="AA224" s="100"/>
      <c r="AB224" s="100"/>
      <c r="AC224" s="100"/>
      <c r="AD224" s="101"/>
      <c r="AE224" s="105">
        <f>'[1]Tier 1'!W224</f>
        <v>2628</v>
      </c>
      <c r="AF224" s="106"/>
      <c r="AG224" s="106">
        <f>'[1]Tier 1'!X224</f>
        <v>2628</v>
      </c>
      <c r="AH224" s="106"/>
      <c r="AI224" s="106">
        <f>'[1]Tier 1'!Y224</f>
        <v>2628</v>
      </c>
      <c r="AJ224" s="106">
        <f t="shared" si="67"/>
        <v>2365.2000000000003</v>
      </c>
      <c r="AK224" s="106" t="e">
        <f>VLOOKUP(A224,#REF!,-1,FALSE)</f>
        <v>#REF!</v>
      </c>
      <c r="AL224" s="107" t="e">
        <f t="shared" si="68"/>
        <v>#REF!</v>
      </c>
      <c r="AM224" s="105">
        <f t="shared" si="77"/>
        <v>1933</v>
      </c>
      <c r="AN224" s="112">
        <f t="shared" si="78"/>
        <v>0.73599999999999999</v>
      </c>
      <c r="AO224" s="100" t="str">
        <f t="shared" si="79"/>
        <v>OK</v>
      </c>
      <c r="AP224" s="106">
        <f t="shared" si="80"/>
        <v>2076</v>
      </c>
      <c r="AQ224" s="112">
        <f t="shared" si="81"/>
        <v>0.79</v>
      </c>
      <c r="AR224" s="100" t="str">
        <f t="shared" si="82"/>
        <v>OK</v>
      </c>
      <c r="AS224" s="106">
        <f t="shared" si="83"/>
        <v>2170</v>
      </c>
      <c r="AT224" s="112">
        <f t="shared" si="84"/>
        <v>0.82599999999999996</v>
      </c>
      <c r="AU224" s="113" t="str">
        <f t="shared" si="85"/>
        <v>OK</v>
      </c>
      <c r="AV224" s="106">
        <f t="shared" si="69"/>
        <v>0</v>
      </c>
      <c r="AW224" s="112" t="e">
        <f t="shared" si="70"/>
        <v>#REF!</v>
      </c>
      <c r="AX224" s="114" t="e">
        <f t="shared" si="71"/>
        <v>#REF!</v>
      </c>
      <c r="AY224" s="99"/>
      <c r="AZ224" s="100"/>
      <c r="BA224" s="104">
        <f t="shared" si="72"/>
        <v>0</v>
      </c>
      <c r="BB224" s="115">
        <f t="shared" si="73"/>
        <v>1</v>
      </c>
      <c r="BC224" s="116" t="e">
        <f>SUMIF(#REF!,#REF!, BB20:BB333)</f>
        <v>#REF!</v>
      </c>
      <c r="BD224" s="116">
        <f t="shared" si="74"/>
        <v>1</v>
      </c>
      <c r="BE224" s="116" t="e">
        <f>SUMIF(#REF!,#REF!, BD20:BD333)</f>
        <v>#REF!</v>
      </c>
      <c r="BF224" s="116">
        <f t="shared" si="75"/>
        <v>0</v>
      </c>
      <c r="BG224" s="116" t="e">
        <f>SUMIF(#REF!,#REF!, BF20:BF333)</f>
        <v>#REF!</v>
      </c>
      <c r="BH224" s="116" t="e">
        <f t="shared" si="76"/>
        <v>#REF!</v>
      </c>
      <c r="BI224" s="117">
        <f>SUMIF(B20:B333, B224, BH20:BH333)</f>
        <v>0</v>
      </c>
      <c r="BJ224" s="118"/>
      <c r="BK224" s="92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4"/>
    </row>
    <row r="225" spans="1:82" x14ac:dyDescent="0.3">
      <c r="A225" s="68" t="s">
        <v>464</v>
      </c>
      <c r="B225" s="69"/>
      <c r="C225" s="70" t="s">
        <v>117</v>
      </c>
      <c r="D225" s="70" t="s">
        <v>202</v>
      </c>
      <c r="E225" s="71" t="s">
        <v>111</v>
      </c>
      <c r="F225" s="72" t="s">
        <v>109</v>
      </c>
      <c r="G225" s="73"/>
      <c r="H225" s="74" t="s">
        <v>103</v>
      </c>
      <c r="I225" s="72" t="s">
        <v>4</v>
      </c>
      <c r="J225" s="73" t="s">
        <v>6</v>
      </c>
      <c r="K225" s="75"/>
      <c r="L225" s="76"/>
      <c r="M225" s="77"/>
      <c r="N225" s="78">
        <v>13443</v>
      </c>
      <c r="O225" s="79">
        <v>13846</v>
      </c>
      <c r="P225" s="79">
        <v>14115</v>
      </c>
      <c r="Q225" s="80"/>
      <c r="R225" s="155">
        <v>0.09</v>
      </c>
      <c r="S225" s="78">
        <v>1210</v>
      </c>
      <c r="T225" s="79">
        <v>1246</v>
      </c>
      <c r="U225" s="79">
        <v>1270</v>
      </c>
      <c r="V225" s="80">
        <f t="shared" si="66"/>
        <v>0</v>
      </c>
      <c r="W225" s="82"/>
      <c r="X225" s="83"/>
      <c r="Y225" s="84" t="s">
        <v>104</v>
      </c>
      <c r="Z225" s="73" t="str">
        <f>'[1]Tier 1'!V225</f>
        <v>D</v>
      </c>
      <c r="AA225" s="73"/>
      <c r="AB225" s="73"/>
      <c r="AC225" s="73"/>
      <c r="AD225" s="74"/>
      <c r="AE225" s="78">
        <f>'[1]Tier 1'!W225</f>
        <v>2628</v>
      </c>
      <c r="AF225" s="79"/>
      <c r="AG225" s="79">
        <f>'[1]Tier 1'!X225</f>
        <v>2628</v>
      </c>
      <c r="AH225" s="79"/>
      <c r="AI225" s="79">
        <f>'[1]Tier 1'!Y225</f>
        <v>2628</v>
      </c>
      <c r="AJ225" s="79">
        <f t="shared" si="67"/>
        <v>2365.2000000000003</v>
      </c>
      <c r="AK225" s="79" t="e">
        <f>VLOOKUP(A225,#REF!,-1,FALSE)</f>
        <v>#REF!</v>
      </c>
      <c r="AL225" s="80" t="e">
        <f t="shared" si="68"/>
        <v>#REF!</v>
      </c>
      <c r="AM225" s="78">
        <f t="shared" si="77"/>
        <v>1210</v>
      </c>
      <c r="AN225" s="85">
        <f t="shared" si="78"/>
        <v>0.46</v>
      </c>
      <c r="AO225" s="73" t="str">
        <f t="shared" si="79"/>
        <v>OK</v>
      </c>
      <c r="AP225" s="79">
        <f t="shared" si="80"/>
        <v>1246</v>
      </c>
      <c r="AQ225" s="85">
        <f t="shared" si="81"/>
        <v>0.47399999999999998</v>
      </c>
      <c r="AR225" s="73" t="str">
        <f t="shared" si="82"/>
        <v>OK</v>
      </c>
      <c r="AS225" s="79">
        <f t="shared" si="83"/>
        <v>1270</v>
      </c>
      <c r="AT225" s="85">
        <f t="shared" si="84"/>
        <v>0.48299999999999998</v>
      </c>
      <c r="AU225" s="86" t="str">
        <f t="shared" si="85"/>
        <v>OK</v>
      </c>
      <c r="AV225" s="79">
        <f t="shared" si="69"/>
        <v>0</v>
      </c>
      <c r="AW225" s="85" t="e">
        <f t="shared" si="70"/>
        <v>#REF!</v>
      </c>
      <c r="AX225" s="87" t="e">
        <f t="shared" si="71"/>
        <v>#REF!</v>
      </c>
      <c r="AY225" s="72"/>
      <c r="AZ225" s="73"/>
      <c r="BA225" s="77">
        <f t="shared" si="72"/>
        <v>0</v>
      </c>
      <c r="BB225" s="88">
        <f t="shared" si="73"/>
        <v>1</v>
      </c>
      <c r="BC225" s="89" t="e">
        <f>SUMIF(#REF!,#REF!, BB20:BB333)</f>
        <v>#REF!</v>
      </c>
      <c r="BD225" s="89">
        <f t="shared" si="74"/>
        <v>1</v>
      </c>
      <c r="BE225" s="89" t="e">
        <f>SUMIF(#REF!,#REF!, BD20:BD333)</f>
        <v>#REF!</v>
      </c>
      <c r="BF225" s="89">
        <f t="shared" si="75"/>
        <v>0</v>
      </c>
      <c r="BG225" s="89" t="e">
        <f>SUMIF(#REF!,#REF!, BF20:BF333)</f>
        <v>#REF!</v>
      </c>
      <c r="BH225" s="89" t="e">
        <f t="shared" si="76"/>
        <v>#REF!</v>
      </c>
      <c r="BI225" s="90">
        <f>SUMIF(B20:B333, B225, BH20:BH333)</f>
        <v>0</v>
      </c>
      <c r="BJ225" s="91"/>
      <c r="BK225" s="92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4"/>
    </row>
    <row r="226" spans="1:82" x14ac:dyDescent="0.3">
      <c r="A226" s="95" t="s">
        <v>465</v>
      </c>
      <c r="B226" s="96"/>
      <c r="C226" s="97" t="s">
        <v>302</v>
      </c>
      <c r="D226" s="97" t="s">
        <v>101</v>
      </c>
      <c r="E226" s="98" t="s">
        <v>102</v>
      </c>
      <c r="F226" s="99" t="s">
        <v>103</v>
      </c>
      <c r="G226" s="100"/>
      <c r="H226" s="101" t="s">
        <v>103</v>
      </c>
      <c r="I226" s="99" t="s">
        <v>6</v>
      </c>
      <c r="J226" s="100" t="s">
        <v>6</v>
      </c>
      <c r="K226" s="102"/>
      <c r="L226" s="103"/>
      <c r="M226" s="104"/>
      <c r="N226" s="105">
        <v>612</v>
      </c>
      <c r="O226" s="106">
        <v>649</v>
      </c>
      <c r="P226" s="106">
        <v>676</v>
      </c>
      <c r="Q226" s="107"/>
      <c r="R226" s="156">
        <v>0.09</v>
      </c>
      <c r="S226" s="105">
        <v>55</v>
      </c>
      <c r="T226" s="106">
        <v>58</v>
      </c>
      <c r="U226" s="106">
        <v>61</v>
      </c>
      <c r="V226" s="107">
        <f t="shared" si="66"/>
        <v>0</v>
      </c>
      <c r="W226" s="109"/>
      <c r="X226" s="110"/>
      <c r="Y226" s="111" t="s">
        <v>104</v>
      </c>
      <c r="Z226" s="100" t="str">
        <f>'[1]Tier 1'!V226</f>
        <v>D</v>
      </c>
      <c r="AA226" s="100"/>
      <c r="AB226" s="100"/>
      <c r="AC226" s="100"/>
      <c r="AD226" s="101"/>
      <c r="AE226" s="105">
        <f>'[1]Tier 1'!W226</f>
        <v>1197</v>
      </c>
      <c r="AF226" s="106"/>
      <c r="AG226" s="106">
        <f>'[1]Tier 1'!X226</f>
        <v>1197</v>
      </c>
      <c r="AH226" s="106"/>
      <c r="AI226" s="106">
        <f>'[1]Tier 1'!Y226</f>
        <v>1197</v>
      </c>
      <c r="AJ226" s="106">
        <f t="shared" si="67"/>
        <v>1077.3</v>
      </c>
      <c r="AK226" s="106" t="e">
        <f>VLOOKUP(A226,#REF!,-1,FALSE)</f>
        <v>#REF!</v>
      </c>
      <c r="AL226" s="107" t="e">
        <f t="shared" si="68"/>
        <v>#REF!</v>
      </c>
      <c r="AM226" s="105">
        <f t="shared" si="77"/>
        <v>55</v>
      </c>
      <c r="AN226" s="112">
        <f t="shared" si="78"/>
        <v>4.5999999999999999E-2</v>
      </c>
      <c r="AO226" s="100" t="str">
        <f t="shared" si="79"/>
        <v>OK</v>
      </c>
      <c r="AP226" s="106">
        <f t="shared" si="80"/>
        <v>58</v>
      </c>
      <c r="AQ226" s="112">
        <f t="shared" si="81"/>
        <v>4.8000000000000001E-2</v>
      </c>
      <c r="AR226" s="100" t="str">
        <f t="shared" si="82"/>
        <v>OK</v>
      </c>
      <c r="AS226" s="106">
        <f t="shared" si="83"/>
        <v>61</v>
      </c>
      <c r="AT226" s="112">
        <f t="shared" si="84"/>
        <v>5.0999999999999997E-2</v>
      </c>
      <c r="AU226" s="113" t="str">
        <f t="shared" si="85"/>
        <v>OK</v>
      </c>
      <c r="AV226" s="106">
        <f t="shared" si="69"/>
        <v>0</v>
      </c>
      <c r="AW226" s="112" t="e">
        <f t="shared" si="70"/>
        <v>#REF!</v>
      </c>
      <c r="AX226" s="114" t="e">
        <f t="shared" si="71"/>
        <v>#REF!</v>
      </c>
      <c r="AY226" s="99"/>
      <c r="AZ226" s="100"/>
      <c r="BA226" s="104">
        <f t="shared" si="72"/>
        <v>0</v>
      </c>
      <c r="BB226" s="115">
        <f t="shared" si="73"/>
        <v>1</v>
      </c>
      <c r="BC226" s="116" t="e">
        <f>SUMIF(#REF!,#REF!, BB20:BB333)</f>
        <v>#REF!</v>
      </c>
      <c r="BD226" s="116">
        <f t="shared" si="74"/>
        <v>1</v>
      </c>
      <c r="BE226" s="116" t="e">
        <f>SUMIF(#REF!,#REF!, BD20:BD333)</f>
        <v>#REF!</v>
      </c>
      <c r="BF226" s="116">
        <f t="shared" si="75"/>
        <v>0</v>
      </c>
      <c r="BG226" s="116" t="e">
        <f>SUMIF(#REF!,#REF!, BF20:BF333)</f>
        <v>#REF!</v>
      </c>
      <c r="BH226" s="116" t="e">
        <f t="shared" si="76"/>
        <v>#REF!</v>
      </c>
      <c r="BI226" s="117">
        <f>SUMIF(B20:B333, B226, BH20:BH333)</f>
        <v>0</v>
      </c>
      <c r="BJ226" s="118"/>
      <c r="BK226" s="92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4"/>
    </row>
    <row r="227" spans="1:82" x14ac:dyDescent="0.3">
      <c r="A227" s="68" t="s">
        <v>466</v>
      </c>
      <c r="B227" s="69"/>
      <c r="C227" s="70" t="s">
        <v>113</v>
      </c>
      <c r="D227" s="70" t="s">
        <v>111</v>
      </c>
      <c r="E227" s="71" t="s">
        <v>432</v>
      </c>
      <c r="F227" s="72" t="s">
        <v>103</v>
      </c>
      <c r="G227" s="73"/>
      <c r="H227" s="74" t="s">
        <v>103</v>
      </c>
      <c r="I227" s="72" t="s">
        <v>4</v>
      </c>
      <c r="J227" s="73" t="s">
        <v>6</v>
      </c>
      <c r="K227" s="75"/>
      <c r="L227" s="76"/>
      <c r="M227" s="77"/>
      <c r="N227" s="78">
        <v>4175</v>
      </c>
      <c r="O227" s="79">
        <v>4520</v>
      </c>
      <c r="P227" s="79">
        <v>4750</v>
      </c>
      <c r="Q227" s="80"/>
      <c r="R227" s="155">
        <v>0.09</v>
      </c>
      <c r="S227" s="78">
        <v>376</v>
      </c>
      <c r="T227" s="79">
        <v>407</v>
      </c>
      <c r="U227" s="79">
        <v>428</v>
      </c>
      <c r="V227" s="80">
        <f t="shared" si="66"/>
        <v>0</v>
      </c>
      <c r="W227" s="82"/>
      <c r="X227" s="83"/>
      <c r="Y227" s="84" t="s">
        <v>104</v>
      </c>
      <c r="Z227" s="73" t="str">
        <f>'[1]Tier 1'!V227</f>
        <v>D</v>
      </c>
      <c r="AA227" s="73"/>
      <c r="AB227" s="73"/>
      <c r="AC227" s="73"/>
      <c r="AD227" s="74"/>
      <c r="AE227" s="78">
        <f>'[1]Tier 1'!W227</f>
        <v>1818</v>
      </c>
      <c r="AF227" s="79"/>
      <c r="AG227" s="79">
        <f>'[1]Tier 1'!X227</f>
        <v>1818</v>
      </c>
      <c r="AH227" s="79"/>
      <c r="AI227" s="79">
        <f>'[1]Tier 1'!Y227</f>
        <v>1818</v>
      </c>
      <c r="AJ227" s="79">
        <f t="shared" si="67"/>
        <v>1636.2</v>
      </c>
      <c r="AK227" s="79" t="e">
        <f>VLOOKUP(A227,#REF!,-1,FALSE)</f>
        <v>#REF!</v>
      </c>
      <c r="AL227" s="80" t="e">
        <f t="shared" si="68"/>
        <v>#REF!</v>
      </c>
      <c r="AM227" s="78">
        <f t="shared" si="77"/>
        <v>376</v>
      </c>
      <c r="AN227" s="85">
        <f t="shared" si="78"/>
        <v>0.20699999999999999</v>
      </c>
      <c r="AO227" s="73" t="str">
        <f t="shared" si="79"/>
        <v>OK</v>
      </c>
      <c r="AP227" s="79">
        <f t="shared" si="80"/>
        <v>407</v>
      </c>
      <c r="AQ227" s="85">
        <f t="shared" si="81"/>
        <v>0.224</v>
      </c>
      <c r="AR227" s="73" t="str">
        <f t="shared" si="82"/>
        <v>OK</v>
      </c>
      <c r="AS227" s="79">
        <f t="shared" si="83"/>
        <v>428</v>
      </c>
      <c r="AT227" s="85">
        <f t="shared" si="84"/>
        <v>0.23499999999999999</v>
      </c>
      <c r="AU227" s="86" t="str">
        <f t="shared" si="85"/>
        <v>OK</v>
      </c>
      <c r="AV227" s="79">
        <f t="shared" si="69"/>
        <v>0</v>
      </c>
      <c r="AW227" s="85" t="e">
        <f t="shared" si="70"/>
        <v>#REF!</v>
      </c>
      <c r="AX227" s="87" t="e">
        <f t="shared" si="71"/>
        <v>#REF!</v>
      </c>
      <c r="AY227" s="72"/>
      <c r="AZ227" s="73"/>
      <c r="BA227" s="77">
        <f t="shared" si="72"/>
        <v>0</v>
      </c>
      <c r="BB227" s="88">
        <f t="shared" si="73"/>
        <v>1</v>
      </c>
      <c r="BC227" s="89" t="e">
        <f>SUMIF(#REF!,#REF!, BB20:BB333)</f>
        <v>#REF!</v>
      </c>
      <c r="BD227" s="89">
        <f t="shared" si="74"/>
        <v>1</v>
      </c>
      <c r="BE227" s="89" t="e">
        <f>SUMIF(#REF!,#REF!, BD20:BD333)</f>
        <v>#REF!</v>
      </c>
      <c r="BF227" s="89">
        <f t="shared" si="75"/>
        <v>0</v>
      </c>
      <c r="BG227" s="89" t="e">
        <f>SUMIF(#REF!,#REF!, BF20:BF333)</f>
        <v>#REF!</v>
      </c>
      <c r="BH227" s="89" t="e">
        <f t="shared" si="76"/>
        <v>#REF!</v>
      </c>
      <c r="BI227" s="90">
        <f>SUMIF(B20:B333, B227, BH20:BH333)</f>
        <v>0</v>
      </c>
      <c r="BJ227" s="91"/>
      <c r="BK227" s="92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4"/>
    </row>
    <row r="228" spans="1:82" x14ac:dyDescent="0.3">
      <c r="A228" s="95" t="s">
        <v>467</v>
      </c>
      <c r="B228" s="96"/>
      <c r="C228" s="97" t="s">
        <v>468</v>
      </c>
      <c r="D228" s="97" t="s">
        <v>432</v>
      </c>
      <c r="E228" s="98" t="s">
        <v>469</v>
      </c>
      <c r="F228" s="99" t="s">
        <v>103</v>
      </c>
      <c r="G228" s="100"/>
      <c r="H228" s="101" t="s">
        <v>103</v>
      </c>
      <c r="I228" s="99" t="s">
        <v>4</v>
      </c>
      <c r="J228" s="100" t="s">
        <v>6</v>
      </c>
      <c r="K228" s="102"/>
      <c r="L228" s="103"/>
      <c r="M228" s="104"/>
      <c r="N228" s="105">
        <v>4175</v>
      </c>
      <c r="O228" s="106">
        <v>4520</v>
      </c>
      <c r="P228" s="106">
        <v>4750</v>
      </c>
      <c r="Q228" s="107"/>
      <c r="R228" s="156">
        <v>0.09</v>
      </c>
      <c r="S228" s="105">
        <v>376</v>
      </c>
      <c r="T228" s="106">
        <v>407</v>
      </c>
      <c r="U228" s="106">
        <v>428</v>
      </c>
      <c r="V228" s="107">
        <f t="shared" si="66"/>
        <v>0</v>
      </c>
      <c r="W228" s="109"/>
      <c r="X228" s="110"/>
      <c r="Y228" s="111" t="s">
        <v>104</v>
      </c>
      <c r="Z228" s="100" t="str">
        <f>'[1]Tier 1'!V228</f>
        <v>D</v>
      </c>
      <c r="AA228" s="100"/>
      <c r="AB228" s="100"/>
      <c r="AC228" s="100"/>
      <c r="AD228" s="101"/>
      <c r="AE228" s="105">
        <f>'[1]Tier 1'!W228</f>
        <v>1818</v>
      </c>
      <c r="AF228" s="106"/>
      <c r="AG228" s="106">
        <f>'[1]Tier 1'!X228</f>
        <v>1818</v>
      </c>
      <c r="AH228" s="106"/>
      <c r="AI228" s="106">
        <f>'[1]Tier 1'!Y228</f>
        <v>1818</v>
      </c>
      <c r="AJ228" s="106">
        <f t="shared" si="67"/>
        <v>1636.2</v>
      </c>
      <c r="AK228" s="106" t="e">
        <f>VLOOKUP(A228,#REF!,-1,FALSE)</f>
        <v>#REF!</v>
      </c>
      <c r="AL228" s="107" t="e">
        <f t="shared" si="68"/>
        <v>#REF!</v>
      </c>
      <c r="AM228" s="105">
        <f t="shared" si="77"/>
        <v>376</v>
      </c>
      <c r="AN228" s="112">
        <f t="shared" si="78"/>
        <v>0.20699999999999999</v>
      </c>
      <c r="AO228" s="100" t="str">
        <f t="shared" si="79"/>
        <v>OK</v>
      </c>
      <c r="AP228" s="106">
        <f t="shared" si="80"/>
        <v>407</v>
      </c>
      <c r="AQ228" s="112">
        <f t="shared" si="81"/>
        <v>0.224</v>
      </c>
      <c r="AR228" s="100" t="str">
        <f t="shared" si="82"/>
        <v>OK</v>
      </c>
      <c r="AS228" s="106">
        <f t="shared" si="83"/>
        <v>428</v>
      </c>
      <c r="AT228" s="112">
        <f t="shared" si="84"/>
        <v>0.23499999999999999</v>
      </c>
      <c r="AU228" s="113" t="str">
        <f t="shared" si="85"/>
        <v>OK</v>
      </c>
      <c r="AV228" s="106">
        <f t="shared" si="69"/>
        <v>0</v>
      </c>
      <c r="AW228" s="112" t="e">
        <f t="shared" si="70"/>
        <v>#REF!</v>
      </c>
      <c r="AX228" s="114" t="e">
        <f t="shared" si="71"/>
        <v>#REF!</v>
      </c>
      <c r="AY228" s="99"/>
      <c r="AZ228" s="100"/>
      <c r="BA228" s="104">
        <f t="shared" si="72"/>
        <v>0</v>
      </c>
      <c r="BB228" s="115">
        <f t="shared" si="73"/>
        <v>1</v>
      </c>
      <c r="BC228" s="116" t="e">
        <f>SUMIF(#REF!,#REF!, BB20:BB333)</f>
        <v>#REF!</v>
      </c>
      <c r="BD228" s="116">
        <f t="shared" si="74"/>
        <v>1</v>
      </c>
      <c r="BE228" s="116" t="e">
        <f>SUMIF(#REF!,#REF!, BD20:BD333)</f>
        <v>#REF!</v>
      </c>
      <c r="BF228" s="116">
        <f t="shared" si="75"/>
        <v>0</v>
      </c>
      <c r="BG228" s="116" t="e">
        <f>SUMIF(#REF!,#REF!, BF20:BF333)</f>
        <v>#REF!</v>
      </c>
      <c r="BH228" s="116" t="e">
        <f t="shared" si="76"/>
        <v>#REF!</v>
      </c>
      <c r="BI228" s="117">
        <f>SUMIF(B20:B333, B228, BH20:BH333)</f>
        <v>0</v>
      </c>
      <c r="BJ228" s="118"/>
      <c r="BK228" s="92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4"/>
    </row>
    <row r="229" spans="1:82" x14ac:dyDescent="0.3">
      <c r="A229" s="68" t="s">
        <v>470</v>
      </c>
      <c r="B229" s="69"/>
      <c r="C229" s="70" t="s">
        <v>468</v>
      </c>
      <c r="D229" s="70" t="s">
        <v>469</v>
      </c>
      <c r="E229" s="71" t="s">
        <v>471</v>
      </c>
      <c r="F229" s="72" t="s">
        <v>103</v>
      </c>
      <c r="G229" s="73"/>
      <c r="H229" s="74" t="s">
        <v>109</v>
      </c>
      <c r="I229" s="72" t="s">
        <v>4</v>
      </c>
      <c r="J229" s="73" t="s">
        <v>6</v>
      </c>
      <c r="K229" s="75"/>
      <c r="L229" s="76"/>
      <c r="M229" s="77"/>
      <c r="N229" s="78">
        <v>4175</v>
      </c>
      <c r="O229" s="79">
        <v>4520</v>
      </c>
      <c r="P229" s="79">
        <v>4750</v>
      </c>
      <c r="Q229" s="80"/>
      <c r="R229" s="155">
        <v>0.09</v>
      </c>
      <c r="S229" s="78">
        <v>376</v>
      </c>
      <c r="T229" s="79">
        <v>407</v>
      </c>
      <c r="U229" s="79">
        <v>428</v>
      </c>
      <c r="V229" s="80">
        <f t="shared" si="66"/>
        <v>0</v>
      </c>
      <c r="W229" s="82"/>
      <c r="X229" s="83"/>
      <c r="Y229" s="84" t="s">
        <v>104</v>
      </c>
      <c r="Z229" s="73" t="str">
        <f>'[1]Tier 1'!V229</f>
        <v>D</v>
      </c>
      <c r="AA229" s="73"/>
      <c r="AB229" s="73"/>
      <c r="AC229" s="73"/>
      <c r="AD229" s="74"/>
      <c r="AE229" s="78">
        <f>'[1]Tier 1'!W229</f>
        <v>1818</v>
      </c>
      <c r="AF229" s="79"/>
      <c r="AG229" s="79">
        <f>'[1]Tier 1'!X229</f>
        <v>1818</v>
      </c>
      <c r="AH229" s="79"/>
      <c r="AI229" s="79">
        <f>'[1]Tier 1'!Y229</f>
        <v>1818</v>
      </c>
      <c r="AJ229" s="79">
        <f t="shared" si="67"/>
        <v>1636.2</v>
      </c>
      <c r="AK229" s="79" t="e">
        <f>VLOOKUP(A229,#REF!,-1,FALSE)</f>
        <v>#REF!</v>
      </c>
      <c r="AL229" s="80" t="e">
        <f t="shared" si="68"/>
        <v>#REF!</v>
      </c>
      <c r="AM229" s="78">
        <f t="shared" si="77"/>
        <v>376</v>
      </c>
      <c r="AN229" s="85">
        <f t="shared" si="78"/>
        <v>0.20699999999999999</v>
      </c>
      <c r="AO229" s="73" t="str">
        <f t="shared" si="79"/>
        <v>OK</v>
      </c>
      <c r="AP229" s="79">
        <f t="shared" si="80"/>
        <v>407</v>
      </c>
      <c r="AQ229" s="85">
        <f t="shared" si="81"/>
        <v>0.224</v>
      </c>
      <c r="AR229" s="73" t="str">
        <f t="shared" si="82"/>
        <v>OK</v>
      </c>
      <c r="AS229" s="79">
        <f t="shared" si="83"/>
        <v>428</v>
      </c>
      <c r="AT229" s="85">
        <f t="shared" si="84"/>
        <v>0.23499999999999999</v>
      </c>
      <c r="AU229" s="86" t="str">
        <f t="shared" si="85"/>
        <v>OK</v>
      </c>
      <c r="AV229" s="79">
        <f t="shared" si="69"/>
        <v>0</v>
      </c>
      <c r="AW229" s="85" t="e">
        <f t="shared" si="70"/>
        <v>#REF!</v>
      </c>
      <c r="AX229" s="87" t="e">
        <f t="shared" si="71"/>
        <v>#REF!</v>
      </c>
      <c r="AY229" s="72"/>
      <c r="AZ229" s="73"/>
      <c r="BA229" s="77">
        <f t="shared" si="72"/>
        <v>0</v>
      </c>
      <c r="BB229" s="88">
        <f t="shared" si="73"/>
        <v>1</v>
      </c>
      <c r="BC229" s="89" t="e">
        <f>SUMIF(#REF!,#REF!, BB20:BB333)</f>
        <v>#REF!</v>
      </c>
      <c r="BD229" s="89">
        <f t="shared" si="74"/>
        <v>1</v>
      </c>
      <c r="BE229" s="89" t="e">
        <f>SUMIF(#REF!,#REF!, BD20:BD333)</f>
        <v>#REF!</v>
      </c>
      <c r="BF229" s="89">
        <f t="shared" si="75"/>
        <v>0</v>
      </c>
      <c r="BG229" s="89" t="e">
        <f>SUMIF(#REF!,#REF!, BF20:BF333)</f>
        <v>#REF!</v>
      </c>
      <c r="BH229" s="89" t="e">
        <f t="shared" si="76"/>
        <v>#REF!</v>
      </c>
      <c r="BI229" s="90">
        <f>SUMIF(B20:B333, B229, BH20:BH333)</f>
        <v>0</v>
      </c>
      <c r="BJ229" s="91"/>
      <c r="BK229" s="92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4"/>
    </row>
    <row r="230" spans="1:82" x14ac:dyDescent="0.3">
      <c r="A230" s="95" t="s">
        <v>472</v>
      </c>
      <c r="B230" s="96"/>
      <c r="C230" s="97" t="s">
        <v>468</v>
      </c>
      <c r="D230" s="97" t="s">
        <v>471</v>
      </c>
      <c r="E230" s="98" t="s">
        <v>300</v>
      </c>
      <c r="F230" s="99" t="s">
        <v>103</v>
      </c>
      <c r="G230" s="100"/>
      <c r="H230" s="101" t="s">
        <v>109</v>
      </c>
      <c r="I230" s="99" t="s">
        <v>4</v>
      </c>
      <c r="J230" s="100" t="s">
        <v>6</v>
      </c>
      <c r="K230" s="102"/>
      <c r="L230" s="103"/>
      <c r="M230" s="104"/>
      <c r="N230" s="105">
        <v>4175</v>
      </c>
      <c r="O230" s="106">
        <v>4520</v>
      </c>
      <c r="P230" s="106">
        <v>4750</v>
      </c>
      <c r="Q230" s="107"/>
      <c r="R230" s="156">
        <v>0.09</v>
      </c>
      <c r="S230" s="105">
        <v>376</v>
      </c>
      <c r="T230" s="106">
        <v>407</v>
      </c>
      <c r="U230" s="106">
        <v>428</v>
      </c>
      <c r="V230" s="107">
        <f t="shared" si="66"/>
        <v>0</v>
      </c>
      <c r="W230" s="109"/>
      <c r="X230" s="110"/>
      <c r="Y230" s="111" t="s">
        <v>104</v>
      </c>
      <c r="Z230" s="100" t="str">
        <f>'[1]Tier 1'!V230</f>
        <v>D</v>
      </c>
      <c r="AA230" s="100"/>
      <c r="AB230" s="100"/>
      <c r="AC230" s="100"/>
      <c r="AD230" s="101"/>
      <c r="AE230" s="105">
        <f>'[1]Tier 1'!W230</f>
        <v>1818</v>
      </c>
      <c r="AF230" s="106"/>
      <c r="AG230" s="106">
        <f>'[1]Tier 1'!X230</f>
        <v>1818</v>
      </c>
      <c r="AH230" s="106"/>
      <c r="AI230" s="106">
        <f>'[1]Tier 1'!Y230</f>
        <v>1818</v>
      </c>
      <c r="AJ230" s="106">
        <f t="shared" si="67"/>
        <v>1636.2</v>
      </c>
      <c r="AK230" s="106" t="e">
        <f>VLOOKUP(A230,#REF!,-1,FALSE)</f>
        <v>#REF!</v>
      </c>
      <c r="AL230" s="107" t="e">
        <f t="shared" si="68"/>
        <v>#REF!</v>
      </c>
      <c r="AM230" s="105">
        <f t="shared" si="77"/>
        <v>376</v>
      </c>
      <c r="AN230" s="112">
        <f t="shared" si="78"/>
        <v>0.20699999999999999</v>
      </c>
      <c r="AO230" s="100" t="str">
        <f t="shared" si="79"/>
        <v>OK</v>
      </c>
      <c r="AP230" s="106">
        <f t="shared" si="80"/>
        <v>407</v>
      </c>
      <c r="AQ230" s="112">
        <f t="shared" si="81"/>
        <v>0.224</v>
      </c>
      <c r="AR230" s="100" t="str">
        <f t="shared" si="82"/>
        <v>OK</v>
      </c>
      <c r="AS230" s="106">
        <f t="shared" si="83"/>
        <v>428</v>
      </c>
      <c r="AT230" s="112">
        <f t="shared" si="84"/>
        <v>0.23499999999999999</v>
      </c>
      <c r="AU230" s="113" t="str">
        <f t="shared" si="85"/>
        <v>OK</v>
      </c>
      <c r="AV230" s="106">
        <f t="shared" si="69"/>
        <v>0</v>
      </c>
      <c r="AW230" s="112" t="e">
        <f t="shared" si="70"/>
        <v>#REF!</v>
      </c>
      <c r="AX230" s="114" t="e">
        <f t="shared" si="71"/>
        <v>#REF!</v>
      </c>
      <c r="AY230" s="99"/>
      <c r="AZ230" s="100"/>
      <c r="BA230" s="104">
        <f t="shared" si="72"/>
        <v>0</v>
      </c>
      <c r="BB230" s="115">
        <f t="shared" si="73"/>
        <v>1</v>
      </c>
      <c r="BC230" s="116" t="e">
        <f>SUMIF(#REF!,#REF!, BB20:BB333)</f>
        <v>#REF!</v>
      </c>
      <c r="BD230" s="116">
        <f t="shared" si="74"/>
        <v>1</v>
      </c>
      <c r="BE230" s="116" t="e">
        <f>SUMIF(#REF!,#REF!, BD20:BD333)</f>
        <v>#REF!</v>
      </c>
      <c r="BF230" s="116">
        <f t="shared" si="75"/>
        <v>0</v>
      </c>
      <c r="BG230" s="116" t="e">
        <f>SUMIF(#REF!,#REF!, BF20:BF333)</f>
        <v>#REF!</v>
      </c>
      <c r="BH230" s="116" t="e">
        <f t="shared" si="76"/>
        <v>#REF!</v>
      </c>
      <c r="BI230" s="117">
        <f>SUMIF(B20:B333, B230, BH20:BH333)</f>
        <v>0</v>
      </c>
      <c r="BJ230" s="118"/>
      <c r="BK230" s="92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4"/>
    </row>
    <row r="231" spans="1:82" x14ac:dyDescent="0.3">
      <c r="A231" s="68" t="s">
        <v>473</v>
      </c>
      <c r="B231" s="69"/>
      <c r="C231" s="70" t="s">
        <v>113</v>
      </c>
      <c r="D231" s="70" t="s">
        <v>112</v>
      </c>
      <c r="E231" s="71" t="s">
        <v>111</v>
      </c>
      <c r="F231" s="72" t="s">
        <v>109</v>
      </c>
      <c r="G231" s="73"/>
      <c r="H231" s="74" t="s">
        <v>109</v>
      </c>
      <c r="I231" s="72" t="s">
        <v>4</v>
      </c>
      <c r="J231" s="73" t="s">
        <v>6</v>
      </c>
      <c r="K231" s="75"/>
      <c r="L231" s="76"/>
      <c r="M231" s="77"/>
      <c r="N231" s="78">
        <v>4175</v>
      </c>
      <c r="O231" s="79">
        <v>4520</v>
      </c>
      <c r="P231" s="79">
        <v>4750</v>
      </c>
      <c r="Q231" s="80"/>
      <c r="R231" s="155">
        <v>0.09</v>
      </c>
      <c r="S231" s="78">
        <v>376</v>
      </c>
      <c r="T231" s="79">
        <v>407</v>
      </c>
      <c r="U231" s="79">
        <v>428</v>
      </c>
      <c r="V231" s="80">
        <f t="shared" si="66"/>
        <v>0</v>
      </c>
      <c r="W231" s="82"/>
      <c r="X231" s="83"/>
      <c r="Y231" s="84" t="s">
        <v>104</v>
      </c>
      <c r="Z231" s="73" t="str">
        <f>'[1]Tier 1'!V231</f>
        <v>D</v>
      </c>
      <c r="AA231" s="73"/>
      <c r="AB231" s="73"/>
      <c r="AC231" s="73"/>
      <c r="AD231" s="74"/>
      <c r="AE231" s="78">
        <f>'[1]Tier 1'!W231</f>
        <v>2628</v>
      </c>
      <c r="AF231" s="79"/>
      <c r="AG231" s="79">
        <f>'[1]Tier 1'!X231</f>
        <v>2628</v>
      </c>
      <c r="AH231" s="79"/>
      <c r="AI231" s="79">
        <f>'[1]Tier 1'!Y231</f>
        <v>2628</v>
      </c>
      <c r="AJ231" s="79">
        <f t="shared" si="67"/>
        <v>2365.2000000000003</v>
      </c>
      <c r="AK231" s="79" t="e">
        <f>VLOOKUP(A231,#REF!,-1,FALSE)</f>
        <v>#REF!</v>
      </c>
      <c r="AL231" s="80" t="e">
        <f t="shared" si="68"/>
        <v>#REF!</v>
      </c>
      <c r="AM231" s="78">
        <f t="shared" si="77"/>
        <v>376</v>
      </c>
      <c r="AN231" s="85">
        <f t="shared" si="78"/>
        <v>0.14299999999999999</v>
      </c>
      <c r="AO231" s="73" t="str">
        <f t="shared" si="79"/>
        <v>OK</v>
      </c>
      <c r="AP231" s="79">
        <f t="shared" si="80"/>
        <v>407</v>
      </c>
      <c r="AQ231" s="85">
        <f t="shared" si="81"/>
        <v>0.155</v>
      </c>
      <c r="AR231" s="73" t="str">
        <f t="shared" si="82"/>
        <v>OK</v>
      </c>
      <c r="AS231" s="79">
        <f t="shared" si="83"/>
        <v>428</v>
      </c>
      <c r="AT231" s="85">
        <f t="shared" si="84"/>
        <v>0.16300000000000001</v>
      </c>
      <c r="AU231" s="86" t="str">
        <f t="shared" si="85"/>
        <v>OK</v>
      </c>
      <c r="AV231" s="79">
        <f t="shared" si="69"/>
        <v>0</v>
      </c>
      <c r="AW231" s="85" t="e">
        <f t="shared" si="70"/>
        <v>#REF!</v>
      </c>
      <c r="AX231" s="87" t="e">
        <f t="shared" si="71"/>
        <v>#REF!</v>
      </c>
      <c r="AY231" s="72"/>
      <c r="AZ231" s="73"/>
      <c r="BA231" s="77">
        <f t="shared" si="72"/>
        <v>0</v>
      </c>
      <c r="BB231" s="88">
        <f t="shared" si="73"/>
        <v>1</v>
      </c>
      <c r="BC231" s="89" t="e">
        <f>SUMIF(#REF!,#REF!, BB20:BB333)</f>
        <v>#REF!</v>
      </c>
      <c r="BD231" s="89">
        <f t="shared" si="74"/>
        <v>1</v>
      </c>
      <c r="BE231" s="89" t="e">
        <f>SUMIF(#REF!,#REF!, BD20:BD333)</f>
        <v>#REF!</v>
      </c>
      <c r="BF231" s="89">
        <f t="shared" si="75"/>
        <v>0</v>
      </c>
      <c r="BG231" s="89" t="e">
        <f>SUMIF(#REF!,#REF!, BF20:BF333)</f>
        <v>#REF!</v>
      </c>
      <c r="BH231" s="89" t="e">
        <f t="shared" si="76"/>
        <v>#REF!</v>
      </c>
      <c r="BI231" s="90">
        <f>SUMIF(B20:B333, B231, BH20:BH333)</f>
        <v>0</v>
      </c>
      <c r="BJ231" s="91"/>
      <c r="BK231" s="92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4"/>
    </row>
    <row r="232" spans="1:82" x14ac:dyDescent="0.3">
      <c r="A232" s="95" t="s">
        <v>474</v>
      </c>
      <c r="B232" s="96"/>
      <c r="C232" s="97" t="s">
        <v>112</v>
      </c>
      <c r="D232" s="97" t="s">
        <v>475</v>
      </c>
      <c r="E232" s="98" t="s">
        <v>476</v>
      </c>
      <c r="F232" s="99" t="s">
        <v>109</v>
      </c>
      <c r="G232" s="100"/>
      <c r="H232" s="101" t="s">
        <v>103</v>
      </c>
      <c r="I232" s="99" t="s">
        <v>4</v>
      </c>
      <c r="J232" s="100" t="s">
        <v>6</v>
      </c>
      <c r="K232" s="102"/>
      <c r="L232" s="103"/>
      <c r="M232" s="104"/>
      <c r="N232" s="105">
        <v>21534</v>
      </c>
      <c r="O232" s="106">
        <v>22852</v>
      </c>
      <c r="P232" s="106">
        <v>23775</v>
      </c>
      <c r="Q232" s="107"/>
      <c r="R232" s="156">
        <v>0.09</v>
      </c>
      <c r="S232" s="105">
        <v>1938</v>
      </c>
      <c r="T232" s="106">
        <v>2057</v>
      </c>
      <c r="U232" s="106">
        <v>2140</v>
      </c>
      <c r="V232" s="107">
        <f t="shared" si="66"/>
        <v>0</v>
      </c>
      <c r="W232" s="109"/>
      <c r="X232" s="110"/>
      <c r="Y232" s="111" t="s">
        <v>104</v>
      </c>
      <c r="Z232" s="100" t="str">
        <f>'[1]Tier 1'!V232</f>
        <v>D</v>
      </c>
      <c r="AA232" s="100"/>
      <c r="AB232" s="100"/>
      <c r="AC232" s="100"/>
      <c r="AD232" s="101"/>
      <c r="AE232" s="105">
        <f>'[1]Tier 1'!W232</f>
        <v>3222</v>
      </c>
      <c r="AF232" s="106"/>
      <c r="AG232" s="106">
        <f>'[1]Tier 1'!X232</f>
        <v>3222</v>
      </c>
      <c r="AH232" s="106"/>
      <c r="AI232" s="106">
        <f>'[1]Tier 1'!Y232</f>
        <v>3222</v>
      </c>
      <c r="AJ232" s="106">
        <f t="shared" si="67"/>
        <v>2899.8</v>
      </c>
      <c r="AK232" s="106" t="e">
        <f>VLOOKUP(A232,#REF!,-1,FALSE)</f>
        <v>#REF!</v>
      </c>
      <c r="AL232" s="107" t="e">
        <f t="shared" si="68"/>
        <v>#REF!</v>
      </c>
      <c r="AM232" s="105">
        <f t="shared" si="77"/>
        <v>1938</v>
      </c>
      <c r="AN232" s="112">
        <f t="shared" si="78"/>
        <v>0.60099999999999998</v>
      </c>
      <c r="AO232" s="100" t="str">
        <f t="shared" si="79"/>
        <v>OK</v>
      </c>
      <c r="AP232" s="106">
        <f t="shared" si="80"/>
        <v>2057</v>
      </c>
      <c r="AQ232" s="112">
        <f t="shared" si="81"/>
        <v>0.63800000000000001</v>
      </c>
      <c r="AR232" s="100" t="str">
        <f t="shared" si="82"/>
        <v>OK</v>
      </c>
      <c r="AS232" s="106">
        <f t="shared" si="83"/>
        <v>2140</v>
      </c>
      <c r="AT232" s="112">
        <f t="shared" si="84"/>
        <v>0.66400000000000003</v>
      </c>
      <c r="AU232" s="113" t="str">
        <f t="shared" si="85"/>
        <v>OK</v>
      </c>
      <c r="AV232" s="106">
        <f t="shared" si="69"/>
        <v>0</v>
      </c>
      <c r="AW232" s="112" t="e">
        <f t="shared" si="70"/>
        <v>#REF!</v>
      </c>
      <c r="AX232" s="114" t="e">
        <f t="shared" si="71"/>
        <v>#REF!</v>
      </c>
      <c r="AY232" s="99"/>
      <c r="AZ232" s="100"/>
      <c r="BA232" s="104">
        <f t="shared" si="72"/>
        <v>0</v>
      </c>
      <c r="BB232" s="115">
        <f t="shared" si="73"/>
        <v>1</v>
      </c>
      <c r="BC232" s="116" t="e">
        <f>SUMIF(#REF!,#REF!, BB20:BB333)</f>
        <v>#REF!</v>
      </c>
      <c r="BD232" s="116">
        <f t="shared" si="74"/>
        <v>1</v>
      </c>
      <c r="BE232" s="116" t="e">
        <f>SUMIF(#REF!,#REF!, BD20:BD333)</f>
        <v>#REF!</v>
      </c>
      <c r="BF232" s="116">
        <f t="shared" si="75"/>
        <v>0</v>
      </c>
      <c r="BG232" s="116" t="e">
        <f>SUMIF(#REF!,#REF!, BF20:BF333)</f>
        <v>#REF!</v>
      </c>
      <c r="BH232" s="116" t="e">
        <f t="shared" si="76"/>
        <v>#REF!</v>
      </c>
      <c r="BI232" s="117">
        <f>SUMIF(B20:B333, B232, BH20:BH333)</f>
        <v>0</v>
      </c>
      <c r="BJ232" s="118"/>
      <c r="BK232" s="92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4"/>
    </row>
    <row r="233" spans="1:82" x14ac:dyDescent="0.3">
      <c r="A233" s="68" t="s">
        <v>477</v>
      </c>
      <c r="B233" s="69"/>
      <c r="C233" s="70" t="s">
        <v>112</v>
      </c>
      <c r="D233" s="70" t="s">
        <v>476</v>
      </c>
      <c r="E233" s="71" t="s">
        <v>478</v>
      </c>
      <c r="F233" s="72" t="s">
        <v>109</v>
      </c>
      <c r="G233" s="73"/>
      <c r="H233" s="74" t="s">
        <v>103</v>
      </c>
      <c r="I233" s="72" t="s">
        <v>4</v>
      </c>
      <c r="J233" s="73" t="s">
        <v>6</v>
      </c>
      <c r="K233" s="75"/>
      <c r="L233" s="76"/>
      <c r="M233" s="77"/>
      <c r="N233" s="78">
        <v>21534</v>
      </c>
      <c r="O233" s="79">
        <v>22852</v>
      </c>
      <c r="P233" s="79">
        <v>23775</v>
      </c>
      <c r="Q233" s="80"/>
      <c r="R233" s="155">
        <v>0.09</v>
      </c>
      <c r="S233" s="78">
        <v>1938</v>
      </c>
      <c r="T233" s="79">
        <v>2057</v>
      </c>
      <c r="U233" s="79">
        <v>2140</v>
      </c>
      <c r="V233" s="80">
        <f t="shared" si="66"/>
        <v>0</v>
      </c>
      <c r="W233" s="82"/>
      <c r="X233" s="83"/>
      <c r="Y233" s="84" t="s">
        <v>104</v>
      </c>
      <c r="Z233" s="73" t="str">
        <f>'[1]Tier 1'!V233</f>
        <v>D</v>
      </c>
      <c r="AA233" s="73"/>
      <c r="AB233" s="73"/>
      <c r="AC233" s="73"/>
      <c r="AD233" s="74"/>
      <c r="AE233" s="78">
        <f>'[1]Tier 1'!W233</f>
        <v>3222</v>
      </c>
      <c r="AF233" s="79"/>
      <c r="AG233" s="79">
        <f>'[1]Tier 1'!X233</f>
        <v>3222</v>
      </c>
      <c r="AH233" s="79"/>
      <c r="AI233" s="79">
        <f>'[1]Tier 1'!Y233</f>
        <v>3222</v>
      </c>
      <c r="AJ233" s="79">
        <f t="shared" si="67"/>
        <v>2899.8</v>
      </c>
      <c r="AK233" s="79" t="e">
        <f>VLOOKUP(A233,#REF!,-1,FALSE)</f>
        <v>#REF!</v>
      </c>
      <c r="AL233" s="80" t="e">
        <f t="shared" si="68"/>
        <v>#REF!</v>
      </c>
      <c r="AM233" s="78">
        <f t="shared" si="77"/>
        <v>1938</v>
      </c>
      <c r="AN233" s="85">
        <f t="shared" si="78"/>
        <v>0.60099999999999998</v>
      </c>
      <c r="AO233" s="73" t="str">
        <f t="shared" si="79"/>
        <v>OK</v>
      </c>
      <c r="AP233" s="79">
        <f t="shared" si="80"/>
        <v>2057</v>
      </c>
      <c r="AQ233" s="85">
        <f t="shared" si="81"/>
        <v>0.63800000000000001</v>
      </c>
      <c r="AR233" s="73" t="str">
        <f t="shared" si="82"/>
        <v>OK</v>
      </c>
      <c r="AS233" s="79">
        <f t="shared" si="83"/>
        <v>2140</v>
      </c>
      <c r="AT233" s="85">
        <f t="shared" si="84"/>
        <v>0.66400000000000003</v>
      </c>
      <c r="AU233" s="86" t="str">
        <f t="shared" si="85"/>
        <v>OK</v>
      </c>
      <c r="AV233" s="79">
        <f t="shared" si="69"/>
        <v>0</v>
      </c>
      <c r="AW233" s="85" t="e">
        <f t="shared" si="70"/>
        <v>#REF!</v>
      </c>
      <c r="AX233" s="87" t="e">
        <f t="shared" si="71"/>
        <v>#REF!</v>
      </c>
      <c r="AY233" s="72"/>
      <c r="AZ233" s="73"/>
      <c r="BA233" s="77">
        <f t="shared" si="72"/>
        <v>0</v>
      </c>
      <c r="BB233" s="88">
        <f t="shared" si="73"/>
        <v>1</v>
      </c>
      <c r="BC233" s="89" t="e">
        <f>SUMIF(#REF!,#REF!, BB20:BB333)</f>
        <v>#REF!</v>
      </c>
      <c r="BD233" s="89">
        <f t="shared" si="74"/>
        <v>1</v>
      </c>
      <c r="BE233" s="89" t="e">
        <f>SUMIF(#REF!,#REF!, BD20:BD333)</f>
        <v>#REF!</v>
      </c>
      <c r="BF233" s="89">
        <f t="shared" si="75"/>
        <v>0</v>
      </c>
      <c r="BG233" s="89" t="e">
        <f>SUMIF(#REF!,#REF!, BF20:BF333)</f>
        <v>#REF!</v>
      </c>
      <c r="BH233" s="89" t="e">
        <f t="shared" si="76"/>
        <v>#REF!</v>
      </c>
      <c r="BI233" s="90">
        <f>SUMIF(B20:B333, B233, BH20:BH333)</f>
        <v>0</v>
      </c>
      <c r="BJ233" s="91"/>
      <c r="BK233" s="92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4"/>
    </row>
    <row r="234" spans="1:82" x14ac:dyDescent="0.3">
      <c r="A234" s="95" t="s">
        <v>479</v>
      </c>
      <c r="B234" s="96"/>
      <c r="C234" s="97" t="s">
        <v>112</v>
      </c>
      <c r="D234" s="97" t="s">
        <v>478</v>
      </c>
      <c r="E234" s="98" t="s">
        <v>480</v>
      </c>
      <c r="F234" s="99" t="s">
        <v>103</v>
      </c>
      <c r="G234" s="100"/>
      <c r="H234" s="101" t="s">
        <v>103</v>
      </c>
      <c r="I234" s="99" t="s">
        <v>6</v>
      </c>
      <c r="J234" s="100" t="s">
        <v>6</v>
      </c>
      <c r="K234" s="102"/>
      <c r="L234" s="103"/>
      <c r="M234" s="104"/>
      <c r="N234" s="105">
        <v>25433</v>
      </c>
      <c r="O234" s="106">
        <v>28733</v>
      </c>
      <c r="P234" s="106">
        <v>30933</v>
      </c>
      <c r="Q234" s="107"/>
      <c r="R234" s="156">
        <v>0.09</v>
      </c>
      <c r="S234" s="105">
        <v>2289</v>
      </c>
      <c r="T234" s="106">
        <v>2586</v>
      </c>
      <c r="U234" s="106">
        <v>2784</v>
      </c>
      <c r="V234" s="107">
        <f t="shared" si="66"/>
        <v>0</v>
      </c>
      <c r="W234" s="109"/>
      <c r="X234" s="110"/>
      <c r="Y234" s="111" t="s">
        <v>104</v>
      </c>
      <c r="Z234" s="100" t="str">
        <f>'[1]Tier 1'!V234</f>
        <v>D</v>
      </c>
      <c r="AA234" s="100"/>
      <c r="AB234" s="100"/>
      <c r="AC234" s="100"/>
      <c r="AD234" s="101"/>
      <c r="AE234" s="105">
        <f>'[1]Tier 1'!W234</f>
        <v>1440</v>
      </c>
      <c r="AF234" s="106"/>
      <c r="AG234" s="106">
        <f>'[1]Tier 1'!X234</f>
        <v>1440</v>
      </c>
      <c r="AH234" s="106"/>
      <c r="AI234" s="106">
        <f>'[1]Tier 1'!Y234</f>
        <v>1440</v>
      </c>
      <c r="AJ234" s="106">
        <f t="shared" si="67"/>
        <v>1296</v>
      </c>
      <c r="AK234" s="106" t="e">
        <f>VLOOKUP(A234,#REF!,-1,FALSE)</f>
        <v>#REF!</v>
      </c>
      <c r="AL234" s="107" t="e">
        <f t="shared" si="68"/>
        <v>#REF!</v>
      </c>
      <c r="AM234" s="105">
        <f t="shared" si="77"/>
        <v>2289</v>
      </c>
      <c r="AN234" s="112">
        <f t="shared" si="78"/>
        <v>1.59</v>
      </c>
      <c r="AO234" s="100" t="str">
        <f t="shared" si="79"/>
        <v>OK</v>
      </c>
      <c r="AP234" s="106">
        <f t="shared" si="80"/>
        <v>2586</v>
      </c>
      <c r="AQ234" s="112">
        <f t="shared" si="81"/>
        <v>1.796</v>
      </c>
      <c r="AR234" s="100" t="str">
        <f t="shared" si="82"/>
        <v>OK</v>
      </c>
      <c r="AS234" s="106">
        <f t="shared" si="83"/>
        <v>2784</v>
      </c>
      <c r="AT234" s="112">
        <f t="shared" si="84"/>
        <v>1.9330000000000001</v>
      </c>
      <c r="AU234" s="113" t="str">
        <f t="shared" si="85"/>
        <v>OK</v>
      </c>
      <c r="AV234" s="106">
        <f t="shared" si="69"/>
        <v>0</v>
      </c>
      <c r="AW234" s="112" t="e">
        <f t="shared" si="70"/>
        <v>#REF!</v>
      </c>
      <c r="AX234" s="114" t="e">
        <f t="shared" si="71"/>
        <v>#REF!</v>
      </c>
      <c r="AY234" s="99"/>
      <c r="AZ234" s="100"/>
      <c r="BA234" s="104">
        <f t="shared" si="72"/>
        <v>0</v>
      </c>
      <c r="BB234" s="115">
        <f t="shared" si="73"/>
        <v>1</v>
      </c>
      <c r="BC234" s="116" t="e">
        <f>SUMIF(#REF!,#REF!, BB20:BB333)</f>
        <v>#REF!</v>
      </c>
      <c r="BD234" s="116">
        <f t="shared" si="74"/>
        <v>1</v>
      </c>
      <c r="BE234" s="116" t="e">
        <f>SUMIF(#REF!,#REF!, BD20:BD333)</f>
        <v>#REF!</v>
      </c>
      <c r="BF234" s="116">
        <f t="shared" si="75"/>
        <v>1</v>
      </c>
      <c r="BG234" s="116" t="e">
        <f>SUMIF(#REF!,#REF!, BF20:BF333)</f>
        <v>#REF!</v>
      </c>
      <c r="BH234" s="116" t="e">
        <f t="shared" si="76"/>
        <v>#REF!</v>
      </c>
      <c r="BI234" s="117">
        <f>SUMIF(B20:B333, B234, BH20:BH333)</f>
        <v>0</v>
      </c>
      <c r="BJ234" s="118"/>
      <c r="BK234" s="92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4"/>
    </row>
    <row r="235" spans="1:82" x14ac:dyDescent="0.3">
      <c r="A235" s="68" t="s">
        <v>481</v>
      </c>
      <c r="B235" s="69"/>
      <c r="C235" s="70" t="s">
        <v>112</v>
      </c>
      <c r="D235" s="70" t="s">
        <v>480</v>
      </c>
      <c r="E235" s="71" t="s">
        <v>446</v>
      </c>
      <c r="F235" s="72" t="s">
        <v>103</v>
      </c>
      <c r="G235" s="73"/>
      <c r="H235" s="74" t="s">
        <v>103</v>
      </c>
      <c r="I235" s="72" t="s">
        <v>4</v>
      </c>
      <c r="J235" s="73" t="s">
        <v>6</v>
      </c>
      <c r="K235" s="75"/>
      <c r="L235" s="76"/>
      <c r="M235" s="77"/>
      <c r="N235" s="78">
        <v>25433</v>
      </c>
      <c r="O235" s="79">
        <v>28733</v>
      </c>
      <c r="P235" s="79">
        <v>30933</v>
      </c>
      <c r="Q235" s="80"/>
      <c r="R235" s="155">
        <v>0.09</v>
      </c>
      <c r="S235" s="78">
        <v>2289</v>
      </c>
      <c r="T235" s="79">
        <v>2586</v>
      </c>
      <c r="U235" s="79">
        <v>2784</v>
      </c>
      <c r="V235" s="80">
        <f t="shared" si="66"/>
        <v>0</v>
      </c>
      <c r="W235" s="82"/>
      <c r="X235" s="83"/>
      <c r="Y235" s="84" t="s">
        <v>104</v>
      </c>
      <c r="Z235" s="73" t="str">
        <f>'[1]Tier 1'!V235</f>
        <v>D</v>
      </c>
      <c r="AA235" s="73"/>
      <c r="AB235" s="73"/>
      <c r="AC235" s="73"/>
      <c r="AD235" s="74"/>
      <c r="AE235" s="78">
        <f>'[1]Tier 1'!W235</f>
        <v>1152</v>
      </c>
      <c r="AF235" s="79"/>
      <c r="AG235" s="79">
        <f>'[1]Tier 1'!X235</f>
        <v>1152</v>
      </c>
      <c r="AH235" s="79"/>
      <c r="AI235" s="79">
        <f>'[1]Tier 1'!Y235</f>
        <v>1152</v>
      </c>
      <c r="AJ235" s="79">
        <f t="shared" si="67"/>
        <v>1036.8</v>
      </c>
      <c r="AK235" s="79" t="e">
        <f>VLOOKUP(A235,#REF!,-1,FALSE)</f>
        <v>#REF!</v>
      </c>
      <c r="AL235" s="80" t="e">
        <f t="shared" si="68"/>
        <v>#REF!</v>
      </c>
      <c r="AM235" s="78">
        <f t="shared" si="77"/>
        <v>2289</v>
      </c>
      <c r="AN235" s="85">
        <f t="shared" si="78"/>
        <v>1.9870000000000001</v>
      </c>
      <c r="AO235" s="73" t="str">
        <f t="shared" si="79"/>
        <v>OK</v>
      </c>
      <c r="AP235" s="79">
        <f t="shared" si="80"/>
        <v>2586</v>
      </c>
      <c r="AQ235" s="85">
        <f t="shared" si="81"/>
        <v>2.2450000000000001</v>
      </c>
      <c r="AR235" s="73" t="str">
        <f t="shared" si="82"/>
        <v>OK</v>
      </c>
      <c r="AS235" s="79">
        <f t="shared" si="83"/>
        <v>2784</v>
      </c>
      <c r="AT235" s="85">
        <f t="shared" si="84"/>
        <v>2.4169999999999998</v>
      </c>
      <c r="AU235" s="86" t="str">
        <f t="shared" si="85"/>
        <v>OK</v>
      </c>
      <c r="AV235" s="79">
        <f t="shared" si="69"/>
        <v>0</v>
      </c>
      <c r="AW235" s="85" t="e">
        <f t="shared" si="70"/>
        <v>#REF!</v>
      </c>
      <c r="AX235" s="87" t="e">
        <f t="shared" si="71"/>
        <v>#REF!</v>
      </c>
      <c r="AY235" s="72"/>
      <c r="AZ235" s="73"/>
      <c r="BA235" s="77">
        <f t="shared" si="72"/>
        <v>0</v>
      </c>
      <c r="BB235" s="88">
        <f t="shared" si="73"/>
        <v>1</v>
      </c>
      <c r="BC235" s="89" t="e">
        <f>SUMIF(#REF!,#REF!, BB20:BB333)</f>
        <v>#REF!</v>
      </c>
      <c r="BD235" s="89">
        <f t="shared" si="74"/>
        <v>1</v>
      </c>
      <c r="BE235" s="89" t="e">
        <f>SUMIF(#REF!,#REF!, BD20:BD333)</f>
        <v>#REF!</v>
      </c>
      <c r="BF235" s="89">
        <f t="shared" si="75"/>
        <v>1</v>
      </c>
      <c r="BG235" s="89" t="e">
        <f>SUMIF(#REF!,#REF!, BF20:BF333)</f>
        <v>#REF!</v>
      </c>
      <c r="BH235" s="89" t="e">
        <f t="shared" si="76"/>
        <v>#REF!</v>
      </c>
      <c r="BI235" s="90">
        <f>SUMIF(B20:B333, B235, BH20:BH333)</f>
        <v>0</v>
      </c>
      <c r="BJ235" s="91"/>
      <c r="BK235" s="92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4"/>
    </row>
    <row r="236" spans="1:82" x14ac:dyDescent="0.3">
      <c r="A236" s="95" t="s">
        <v>482</v>
      </c>
      <c r="B236" s="96"/>
      <c r="C236" s="97" t="s">
        <v>112</v>
      </c>
      <c r="D236" s="97" t="s">
        <v>446</v>
      </c>
      <c r="E236" s="98" t="s">
        <v>483</v>
      </c>
      <c r="F236" s="99" t="s">
        <v>103</v>
      </c>
      <c r="G236" s="100"/>
      <c r="H236" s="101" t="s">
        <v>103</v>
      </c>
      <c r="I236" s="99" t="s">
        <v>4</v>
      </c>
      <c r="J236" s="100" t="s">
        <v>6</v>
      </c>
      <c r="K236" s="102"/>
      <c r="L236" s="103"/>
      <c r="M236" s="104"/>
      <c r="N236" s="105">
        <v>21534</v>
      </c>
      <c r="O236" s="106">
        <v>22852</v>
      </c>
      <c r="P236" s="106">
        <v>23775</v>
      </c>
      <c r="Q236" s="107"/>
      <c r="R236" s="156">
        <v>0.09</v>
      </c>
      <c r="S236" s="105">
        <v>1938</v>
      </c>
      <c r="T236" s="106">
        <v>2057</v>
      </c>
      <c r="U236" s="106">
        <v>2140</v>
      </c>
      <c r="V236" s="107">
        <f t="shared" si="66"/>
        <v>0</v>
      </c>
      <c r="W236" s="109"/>
      <c r="X236" s="110"/>
      <c r="Y236" s="111" t="s">
        <v>104</v>
      </c>
      <c r="Z236" s="100" t="str">
        <f>'[1]Tier 1'!V236</f>
        <v>D</v>
      </c>
      <c r="AA236" s="100"/>
      <c r="AB236" s="100"/>
      <c r="AC236" s="100"/>
      <c r="AD236" s="101"/>
      <c r="AE236" s="105">
        <f>'[1]Tier 1'!W236</f>
        <v>1152</v>
      </c>
      <c r="AF236" s="106"/>
      <c r="AG236" s="106">
        <f>'[1]Tier 1'!X236</f>
        <v>1152</v>
      </c>
      <c r="AH236" s="106"/>
      <c r="AI236" s="106">
        <f>'[1]Tier 1'!Y236</f>
        <v>1152</v>
      </c>
      <c r="AJ236" s="106">
        <f t="shared" si="67"/>
        <v>1036.8</v>
      </c>
      <c r="AK236" s="106" t="e">
        <f>VLOOKUP(A236,#REF!,-1,FALSE)</f>
        <v>#REF!</v>
      </c>
      <c r="AL236" s="107" t="e">
        <f t="shared" si="68"/>
        <v>#REF!</v>
      </c>
      <c r="AM236" s="105">
        <f t="shared" si="77"/>
        <v>1938</v>
      </c>
      <c r="AN236" s="112">
        <f t="shared" si="78"/>
        <v>1.6819999999999999</v>
      </c>
      <c r="AO236" s="100" t="str">
        <f t="shared" si="79"/>
        <v>OK</v>
      </c>
      <c r="AP236" s="106">
        <f t="shared" si="80"/>
        <v>2057</v>
      </c>
      <c r="AQ236" s="112">
        <f t="shared" si="81"/>
        <v>1.786</v>
      </c>
      <c r="AR236" s="100" t="str">
        <f t="shared" si="82"/>
        <v>OK</v>
      </c>
      <c r="AS236" s="106">
        <f t="shared" si="83"/>
        <v>2140</v>
      </c>
      <c r="AT236" s="112">
        <f t="shared" si="84"/>
        <v>1.8580000000000001</v>
      </c>
      <c r="AU236" s="113" t="str">
        <f t="shared" si="85"/>
        <v>OK</v>
      </c>
      <c r="AV236" s="106">
        <f t="shared" si="69"/>
        <v>0</v>
      </c>
      <c r="AW236" s="112" t="e">
        <f t="shared" si="70"/>
        <v>#REF!</v>
      </c>
      <c r="AX236" s="114" t="e">
        <f t="shared" si="71"/>
        <v>#REF!</v>
      </c>
      <c r="AY236" s="99"/>
      <c r="AZ236" s="100"/>
      <c r="BA236" s="104">
        <f t="shared" si="72"/>
        <v>0</v>
      </c>
      <c r="BB236" s="115">
        <f t="shared" si="73"/>
        <v>1</v>
      </c>
      <c r="BC236" s="116" t="e">
        <f>SUMIF(#REF!,#REF!, BB20:BB333)</f>
        <v>#REF!</v>
      </c>
      <c r="BD236" s="116">
        <f t="shared" si="74"/>
        <v>1</v>
      </c>
      <c r="BE236" s="116" t="e">
        <f>SUMIF(#REF!,#REF!, BD20:BD333)</f>
        <v>#REF!</v>
      </c>
      <c r="BF236" s="116">
        <f t="shared" si="75"/>
        <v>1</v>
      </c>
      <c r="BG236" s="116" t="e">
        <f>SUMIF(#REF!,#REF!, BF20:BF333)</f>
        <v>#REF!</v>
      </c>
      <c r="BH236" s="116" t="e">
        <f t="shared" si="76"/>
        <v>#REF!</v>
      </c>
      <c r="BI236" s="117">
        <f>SUMIF(B20:B333, B236, BH20:BH333)</f>
        <v>0</v>
      </c>
      <c r="BJ236" s="118"/>
      <c r="BK236" s="92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4"/>
    </row>
    <row r="237" spans="1:82" x14ac:dyDescent="0.3">
      <c r="A237" s="68" t="s">
        <v>484</v>
      </c>
      <c r="B237" s="69"/>
      <c r="C237" s="70" t="s">
        <v>112</v>
      </c>
      <c r="D237" s="70" t="s">
        <v>483</v>
      </c>
      <c r="E237" s="71" t="s">
        <v>181</v>
      </c>
      <c r="F237" s="72" t="s">
        <v>109</v>
      </c>
      <c r="G237" s="73"/>
      <c r="H237" s="74" t="s">
        <v>103</v>
      </c>
      <c r="I237" s="72" t="s">
        <v>4</v>
      </c>
      <c r="J237" s="73" t="s">
        <v>6</v>
      </c>
      <c r="K237" s="75"/>
      <c r="L237" s="76"/>
      <c r="M237" s="77"/>
      <c r="N237" s="78">
        <v>21534</v>
      </c>
      <c r="O237" s="79">
        <v>22852</v>
      </c>
      <c r="P237" s="79">
        <v>23775</v>
      </c>
      <c r="Q237" s="80"/>
      <c r="R237" s="155">
        <v>0.09</v>
      </c>
      <c r="S237" s="78">
        <v>1938</v>
      </c>
      <c r="T237" s="79">
        <v>2057</v>
      </c>
      <c r="U237" s="79">
        <v>2140</v>
      </c>
      <c r="V237" s="80">
        <f t="shared" si="66"/>
        <v>0</v>
      </c>
      <c r="W237" s="82"/>
      <c r="X237" s="83"/>
      <c r="Y237" s="84" t="s">
        <v>104</v>
      </c>
      <c r="Z237" s="73" t="str">
        <f>'[1]Tier 1'!V237</f>
        <v>D</v>
      </c>
      <c r="AA237" s="73"/>
      <c r="AB237" s="73"/>
      <c r="AC237" s="73"/>
      <c r="AD237" s="74"/>
      <c r="AE237" s="78">
        <f>'[1]Tier 1'!W237</f>
        <v>3222</v>
      </c>
      <c r="AF237" s="79"/>
      <c r="AG237" s="79">
        <f>'[1]Tier 1'!X237</f>
        <v>3222</v>
      </c>
      <c r="AH237" s="79"/>
      <c r="AI237" s="79">
        <f>'[1]Tier 1'!Y237</f>
        <v>1440</v>
      </c>
      <c r="AJ237" s="79">
        <f t="shared" si="67"/>
        <v>1296</v>
      </c>
      <c r="AK237" s="79" t="e">
        <f>VLOOKUP(A237,#REF!,-1,FALSE)</f>
        <v>#REF!</v>
      </c>
      <c r="AL237" s="80" t="e">
        <f t="shared" si="68"/>
        <v>#REF!</v>
      </c>
      <c r="AM237" s="78">
        <f t="shared" si="77"/>
        <v>1938</v>
      </c>
      <c r="AN237" s="85">
        <f t="shared" si="78"/>
        <v>0.60099999999999998</v>
      </c>
      <c r="AO237" s="73" t="str">
        <f t="shared" si="79"/>
        <v>OK</v>
      </c>
      <c r="AP237" s="79">
        <f t="shared" si="80"/>
        <v>2057</v>
      </c>
      <c r="AQ237" s="85">
        <f t="shared" si="81"/>
        <v>0.63800000000000001</v>
      </c>
      <c r="AR237" s="73" t="str">
        <f t="shared" si="82"/>
        <v>OK</v>
      </c>
      <c r="AS237" s="79">
        <f t="shared" si="83"/>
        <v>2140</v>
      </c>
      <c r="AT237" s="85">
        <f t="shared" si="84"/>
        <v>1.486</v>
      </c>
      <c r="AU237" s="86" t="str">
        <f t="shared" si="85"/>
        <v>OK</v>
      </c>
      <c r="AV237" s="79">
        <f t="shared" si="69"/>
        <v>0</v>
      </c>
      <c r="AW237" s="85" t="e">
        <f t="shared" si="70"/>
        <v>#REF!</v>
      </c>
      <c r="AX237" s="87" t="e">
        <f t="shared" si="71"/>
        <v>#REF!</v>
      </c>
      <c r="AY237" s="72"/>
      <c r="AZ237" s="73"/>
      <c r="BA237" s="77">
        <f t="shared" si="72"/>
        <v>0</v>
      </c>
      <c r="BB237" s="88">
        <f t="shared" si="73"/>
        <v>1</v>
      </c>
      <c r="BC237" s="89" t="e">
        <f>SUMIF(#REF!,#REF!, BB20:BB333)</f>
        <v>#REF!</v>
      </c>
      <c r="BD237" s="89">
        <f t="shared" si="74"/>
        <v>1</v>
      </c>
      <c r="BE237" s="89" t="e">
        <f>SUMIF(#REF!,#REF!, BD20:BD333)</f>
        <v>#REF!</v>
      </c>
      <c r="BF237" s="89">
        <f t="shared" si="75"/>
        <v>1</v>
      </c>
      <c r="BG237" s="89" t="e">
        <f>SUMIF(#REF!,#REF!, BF20:BF333)</f>
        <v>#REF!</v>
      </c>
      <c r="BH237" s="89" t="e">
        <f t="shared" si="76"/>
        <v>#REF!</v>
      </c>
      <c r="BI237" s="90">
        <f>SUMIF(B20:B333, B237, BH20:BH333)</f>
        <v>0</v>
      </c>
      <c r="BJ237" s="91"/>
      <c r="BK237" s="92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4"/>
    </row>
    <row r="238" spans="1:82" x14ac:dyDescent="0.3">
      <c r="A238" s="95" t="s">
        <v>485</v>
      </c>
      <c r="B238" s="96"/>
      <c r="C238" s="97" t="s">
        <v>112</v>
      </c>
      <c r="D238" s="97" t="s">
        <v>181</v>
      </c>
      <c r="E238" s="98" t="s">
        <v>486</v>
      </c>
      <c r="F238" s="99" t="s">
        <v>109</v>
      </c>
      <c r="G238" s="100"/>
      <c r="H238" s="101" t="s">
        <v>103</v>
      </c>
      <c r="I238" s="99" t="s">
        <v>4</v>
      </c>
      <c r="J238" s="100" t="s">
        <v>6</v>
      </c>
      <c r="K238" s="102"/>
      <c r="L238" s="103"/>
      <c r="M238" s="104"/>
      <c r="N238" s="105">
        <v>21534</v>
      </c>
      <c r="O238" s="106">
        <v>22852</v>
      </c>
      <c r="P238" s="106">
        <v>23775</v>
      </c>
      <c r="Q238" s="107"/>
      <c r="R238" s="156">
        <v>0.09</v>
      </c>
      <c r="S238" s="105">
        <v>1938</v>
      </c>
      <c r="T238" s="106">
        <v>2057</v>
      </c>
      <c r="U238" s="106">
        <v>2140</v>
      </c>
      <c r="V238" s="107">
        <f t="shared" si="66"/>
        <v>0</v>
      </c>
      <c r="W238" s="109"/>
      <c r="X238" s="110"/>
      <c r="Y238" s="111" t="s">
        <v>104</v>
      </c>
      <c r="Z238" s="100" t="str">
        <f>'[1]Tier 1'!V238</f>
        <v>D</v>
      </c>
      <c r="AA238" s="100"/>
      <c r="AB238" s="100"/>
      <c r="AC238" s="100"/>
      <c r="AD238" s="101"/>
      <c r="AE238" s="105">
        <f>'[1]Tier 1'!W238</f>
        <v>3222</v>
      </c>
      <c r="AF238" s="106"/>
      <c r="AG238" s="106">
        <f>'[1]Tier 1'!X238</f>
        <v>3222</v>
      </c>
      <c r="AH238" s="106"/>
      <c r="AI238" s="106">
        <f>'[1]Tier 1'!Y238</f>
        <v>1440</v>
      </c>
      <c r="AJ238" s="106">
        <f t="shared" si="67"/>
        <v>1296</v>
      </c>
      <c r="AK238" s="106" t="e">
        <f>VLOOKUP(A238,#REF!,-1,FALSE)</f>
        <v>#REF!</v>
      </c>
      <c r="AL238" s="107" t="e">
        <f t="shared" si="68"/>
        <v>#REF!</v>
      </c>
      <c r="AM238" s="105">
        <f t="shared" si="77"/>
        <v>1938</v>
      </c>
      <c r="AN238" s="112">
        <f t="shared" si="78"/>
        <v>0.60099999999999998</v>
      </c>
      <c r="AO238" s="100" t="str">
        <f t="shared" si="79"/>
        <v>OK</v>
      </c>
      <c r="AP238" s="106">
        <f t="shared" si="80"/>
        <v>2057</v>
      </c>
      <c r="AQ238" s="112">
        <f t="shared" si="81"/>
        <v>0.63800000000000001</v>
      </c>
      <c r="AR238" s="100" t="str">
        <f t="shared" si="82"/>
        <v>OK</v>
      </c>
      <c r="AS238" s="106">
        <f t="shared" si="83"/>
        <v>2140</v>
      </c>
      <c r="AT238" s="112">
        <f t="shared" si="84"/>
        <v>1.486</v>
      </c>
      <c r="AU238" s="113" t="str">
        <f t="shared" si="85"/>
        <v>OK</v>
      </c>
      <c r="AV238" s="106">
        <f t="shared" si="69"/>
        <v>0</v>
      </c>
      <c r="AW238" s="112" t="e">
        <f t="shared" si="70"/>
        <v>#REF!</v>
      </c>
      <c r="AX238" s="114" t="e">
        <f t="shared" si="71"/>
        <v>#REF!</v>
      </c>
      <c r="AY238" s="99"/>
      <c r="AZ238" s="100"/>
      <c r="BA238" s="104">
        <f t="shared" si="72"/>
        <v>0</v>
      </c>
      <c r="BB238" s="115">
        <f t="shared" si="73"/>
        <v>1</v>
      </c>
      <c r="BC238" s="116" t="e">
        <f>SUMIF(#REF!,#REF!, BB20:BB333)</f>
        <v>#REF!</v>
      </c>
      <c r="BD238" s="116">
        <f t="shared" si="74"/>
        <v>1</v>
      </c>
      <c r="BE238" s="116" t="e">
        <f>SUMIF(#REF!,#REF!, BD20:BD333)</f>
        <v>#REF!</v>
      </c>
      <c r="BF238" s="116">
        <f t="shared" si="75"/>
        <v>1</v>
      </c>
      <c r="BG238" s="116" t="e">
        <f>SUMIF(#REF!,#REF!, BF20:BF333)</f>
        <v>#REF!</v>
      </c>
      <c r="BH238" s="116" t="e">
        <f t="shared" si="76"/>
        <v>#REF!</v>
      </c>
      <c r="BI238" s="117">
        <f>SUMIF(B20:B333, B238, BH20:BH333)</f>
        <v>0</v>
      </c>
      <c r="BJ238" s="118"/>
      <c r="BK238" s="92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4"/>
    </row>
    <row r="239" spans="1:82" x14ac:dyDescent="0.3">
      <c r="A239" s="68" t="s">
        <v>487</v>
      </c>
      <c r="B239" s="69"/>
      <c r="C239" s="70" t="s">
        <v>112</v>
      </c>
      <c r="D239" s="70" t="s">
        <v>486</v>
      </c>
      <c r="E239" s="71" t="s">
        <v>488</v>
      </c>
      <c r="F239" s="72" t="s">
        <v>103</v>
      </c>
      <c r="G239" s="73"/>
      <c r="H239" s="74" t="s">
        <v>103</v>
      </c>
      <c r="I239" s="72" t="s">
        <v>4</v>
      </c>
      <c r="J239" s="73" t="s">
        <v>6</v>
      </c>
      <c r="K239" s="75"/>
      <c r="L239" s="76"/>
      <c r="M239" s="77"/>
      <c r="N239" s="78">
        <v>21534</v>
      </c>
      <c r="O239" s="79">
        <v>22852</v>
      </c>
      <c r="P239" s="79">
        <v>23775</v>
      </c>
      <c r="Q239" s="80"/>
      <c r="R239" s="155">
        <v>0.09</v>
      </c>
      <c r="S239" s="78">
        <v>1938</v>
      </c>
      <c r="T239" s="79">
        <v>2057</v>
      </c>
      <c r="U239" s="79">
        <v>2140</v>
      </c>
      <c r="V239" s="80">
        <f t="shared" si="66"/>
        <v>0</v>
      </c>
      <c r="W239" s="82"/>
      <c r="X239" s="83"/>
      <c r="Y239" s="84" t="s">
        <v>104</v>
      </c>
      <c r="Z239" s="73" t="str">
        <f>'[1]Tier 1'!V239</f>
        <v>D</v>
      </c>
      <c r="AA239" s="73"/>
      <c r="AB239" s="73"/>
      <c r="AC239" s="73"/>
      <c r="AD239" s="74"/>
      <c r="AE239" s="78">
        <f>'[1]Tier 1'!W239</f>
        <v>1152</v>
      </c>
      <c r="AF239" s="79"/>
      <c r="AG239" s="79">
        <f>'[1]Tier 1'!X239</f>
        <v>1152</v>
      </c>
      <c r="AH239" s="79"/>
      <c r="AI239" s="79">
        <f>'[1]Tier 1'!Y239</f>
        <v>1152</v>
      </c>
      <c r="AJ239" s="79">
        <f t="shared" si="67"/>
        <v>1036.8</v>
      </c>
      <c r="AK239" s="79" t="e">
        <f>VLOOKUP(A239,#REF!,-1,FALSE)</f>
        <v>#REF!</v>
      </c>
      <c r="AL239" s="80" t="e">
        <f t="shared" si="68"/>
        <v>#REF!</v>
      </c>
      <c r="AM239" s="78">
        <f t="shared" si="77"/>
        <v>1938</v>
      </c>
      <c r="AN239" s="85">
        <f t="shared" si="78"/>
        <v>1.6819999999999999</v>
      </c>
      <c r="AO239" s="73" t="str">
        <f t="shared" si="79"/>
        <v>OK</v>
      </c>
      <c r="AP239" s="79">
        <f t="shared" si="80"/>
        <v>2057</v>
      </c>
      <c r="AQ239" s="85">
        <f t="shared" si="81"/>
        <v>1.786</v>
      </c>
      <c r="AR239" s="73" t="str">
        <f t="shared" si="82"/>
        <v>OK</v>
      </c>
      <c r="AS239" s="79">
        <f t="shared" si="83"/>
        <v>2140</v>
      </c>
      <c r="AT239" s="85">
        <f t="shared" si="84"/>
        <v>1.8580000000000001</v>
      </c>
      <c r="AU239" s="86" t="str">
        <f t="shared" si="85"/>
        <v>OK</v>
      </c>
      <c r="AV239" s="79">
        <f t="shared" si="69"/>
        <v>0</v>
      </c>
      <c r="AW239" s="85" t="e">
        <f t="shared" si="70"/>
        <v>#REF!</v>
      </c>
      <c r="AX239" s="87" t="e">
        <f t="shared" si="71"/>
        <v>#REF!</v>
      </c>
      <c r="AY239" s="72"/>
      <c r="AZ239" s="73"/>
      <c r="BA239" s="77">
        <f t="shared" si="72"/>
        <v>0</v>
      </c>
      <c r="BB239" s="88">
        <f t="shared" si="73"/>
        <v>1</v>
      </c>
      <c r="BC239" s="89" t="e">
        <f>SUMIF(#REF!,#REF!, BB20:BB333)</f>
        <v>#REF!</v>
      </c>
      <c r="BD239" s="89">
        <f t="shared" si="74"/>
        <v>1</v>
      </c>
      <c r="BE239" s="89" t="e">
        <f>SUMIF(#REF!,#REF!, BD20:BD333)</f>
        <v>#REF!</v>
      </c>
      <c r="BF239" s="89">
        <f t="shared" si="75"/>
        <v>1</v>
      </c>
      <c r="BG239" s="89" t="e">
        <f>SUMIF(#REF!,#REF!, BF20:BF333)</f>
        <v>#REF!</v>
      </c>
      <c r="BH239" s="89" t="e">
        <f t="shared" si="76"/>
        <v>#REF!</v>
      </c>
      <c r="BI239" s="90">
        <f>SUMIF(B20:B333, B239, BH20:BH333)</f>
        <v>0</v>
      </c>
      <c r="BJ239" s="91"/>
      <c r="BK239" s="92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4"/>
    </row>
    <row r="240" spans="1:82" x14ac:dyDescent="0.3">
      <c r="A240" s="95" t="s">
        <v>489</v>
      </c>
      <c r="B240" s="96"/>
      <c r="C240" s="97" t="s">
        <v>112</v>
      </c>
      <c r="D240" s="97" t="s">
        <v>488</v>
      </c>
      <c r="E240" s="98" t="s">
        <v>490</v>
      </c>
      <c r="F240" s="99" t="s">
        <v>103</v>
      </c>
      <c r="G240" s="100"/>
      <c r="H240" s="101" t="s">
        <v>109</v>
      </c>
      <c r="I240" s="99" t="s">
        <v>4</v>
      </c>
      <c r="J240" s="100" t="s">
        <v>6</v>
      </c>
      <c r="K240" s="102"/>
      <c r="L240" s="103"/>
      <c r="M240" s="104"/>
      <c r="N240" s="105">
        <v>21534</v>
      </c>
      <c r="O240" s="106">
        <v>22852</v>
      </c>
      <c r="P240" s="106">
        <v>23775</v>
      </c>
      <c r="Q240" s="107"/>
      <c r="R240" s="156">
        <v>0.09</v>
      </c>
      <c r="S240" s="105">
        <v>1938</v>
      </c>
      <c r="T240" s="106">
        <v>2057</v>
      </c>
      <c r="U240" s="106">
        <v>2140</v>
      </c>
      <c r="V240" s="107">
        <f t="shared" si="66"/>
        <v>0</v>
      </c>
      <c r="W240" s="109"/>
      <c r="X240" s="110"/>
      <c r="Y240" s="111" t="s">
        <v>104</v>
      </c>
      <c r="Z240" s="100" t="str">
        <f>'[1]Tier 1'!V240</f>
        <v>D</v>
      </c>
      <c r="AA240" s="100"/>
      <c r="AB240" s="100"/>
      <c r="AC240" s="100"/>
      <c r="AD240" s="101"/>
      <c r="AE240" s="105">
        <f>'[1]Tier 1'!W240</f>
        <v>1152</v>
      </c>
      <c r="AF240" s="106"/>
      <c r="AG240" s="106">
        <f>'[1]Tier 1'!X240</f>
        <v>1152</v>
      </c>
      <c r="AH240" s="106"/>
      <c r="AI240" s="106">
        <f>'[1]Tier 1'!Y240</f>
        <v>1152</v>
      </c>
      <c r="AJ240" s="106">
        <f t="shared" si="67"/>
        <v>1036.8</v>
      </c>
      <c r="AK240" s="106" t="e">
        <f>VLOOKUP(A240,#REF!,-1,FALSE)</f>
        <v>#REF!</v>
      </c>
      <c r="AL240" s="107" t="e">
        <f t="shared" si="68"/>
        <v>#REF!</v>
      </c>
      <c r="AM240" s="105">
        <f t="shared" si="77"/>
        <v>1938</v>
      </c>
      <c r="AN240" s="112">
        <f t="shared" si="78"/>
        <v>1.6819999999999999</v>
      </c>
      <c r="AO240" s="100" t="str">
        <f t="shared" si="79"/>
        <v>OK</v>
      </c>
      <c r="AP240" s="106">
        <f t="shared" si="80"/>
        <v>2057</v>
      </c>
      <c r="AQ240" s="112">
        <f t="shared" si="81"/>
        <v>1.786</v>
      </c>
      <c r="AR240" s="100" t="str">
        <f t="shared" si="82"/>
        <v>OK</v>
      </c>
      <c r="AS240" s="106">
        <f t="shared" si="83"/>
        <v>2140</v>
      </c>
      <c r="AT240" s="112">
        <f t="shared" si="84"/>
        <v>1.8580000000000001</v>
      </c>
      <c r="AU240" s="113" t="str">
        <f t="shared" si="85"/>
        <v>OK</v>
      </c>
      <c r="AV240" s="106">
        <f t="shared" si="69"/>
        <v>0</v>
      </c>
      <c r="AW240" s="112" t="e">
        <f t="shared" si="70"/>
        <v>#REF!</v>
      </c>
      <c r="AX240" s="114" t="e">
        <f t="shared" si="71"/>
        <v>#REF!</v>
      </c>
      <c r="AY240" s="99"/>
      <c r="AZ240" s="100"/>
      <c r="BA240" s="104">
        <f t="shared" si="72"/>
        <v>0</v>
      </c>
      <c r="BB240" s="115">
        <f t="shared" si="73"/>
        <v>1</v>
      </c>
      <c r="BC240" s="116" t="e">
        <f>SUMIF(#REF!,#REF!, BB20:BB333)</f>
        <v>#REF!</v>
      </c>
      <c r="BD240" s="116">
        <f t="shared" si="74"/>
        <v>1</v>
      </c>
      <c r="BE240" s="116" t="e">
        <f>SUMIF(#REF!,#REF!, BD20:BD333)</f>
        <v>#REF!</v>
      </c>
      <c r="BF240" s="116">
        <f t="shared" si="75"/>
        <v>1</v>
      </c>
      <c r="BG240" s="116" t="e">
        <f>SUMIF(#REF!,#REF!, BF20:BF333)</f>
        <v>#REF!</v>
      </c>
      <c r="BH240" s="116" t="e">
        <f t="shared" si="76"/>
        <v>#REF!</v>
      </c>
      <c r="BI240" s="117">
        <f>SUMIF(B20:B333, B240, BH20:BH333)</f>
        <v>0</v>
      </c>
      <c r="BJ240" s="118"/>
      <c r="BK240" s="92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4"/>
    </row>
    <row r="241" spans="1:82" x14ac:dyDescent="0.3">
      <c r="A241" s="68" t="s">
        <v>491</v>
      </c>
      <c r="B241" s="69"/>
      <c r="C241" s="70" t="s">
        <v>112</v>
      </c>
      <c r="D241" s="70" t="s">
        <v>490</v>
      </c>
      <c r="E241" s="71" t="s">
        <v>492</v>
      </c>
      <c r="F241" s="72" t="s">
        <v>103</v>
      </c>
      <c r="G241" s="73"/>
      <c r="H241" s="74" t="s">
        <v>109</v>
      </c>
      <c r="I241" s="72" t="s">
        <v>4</v>
      </c>
      <c r="J241" s="73" t="s">
        <v>6</v>
      </c>
      <c r="K241" s="75"/>
      <c r="L241" s="76"/>
      <c r="M241" s="77"/>
      <c r="N241" s="78">
        <v>21534</v>
      </c>
      <c r="O241" s="79">
        <v>22852</v>
      </c>
      <c r="P241" s="79">
        <v>23775</v>
      </c>
      <c r="Q241" s="80"/>
      <c r="R241" s="155">
        <v>0.09</v>
      </c>
      <c r="S241" s="78">
        <v>1938</v>
      </c>
      <c r="T241" s="79">
        <v>2057</v>
      </c>
      <c r="U241" s="79">
        <v>2140</v>
      </c>
      <c r="V241" s="80">
        <f t="shared" si="66"/>
        <v>0</v>
      </c>
      <c r="W241" s="82"/>
      <c r="X241" s="83"/>
      <c r="Y241" s="84" t="s">
        <v>104</v>
      </c>
      <c r="Z241" s="73" t="str">
        <f>'[1]Tier 1'!V241</f>
        <v>D</v>
      </c>
      <c r="AA241" s="73"/>
      <c r="AB241" s="73"/>
      <c r="AC241" s="73"/>
      <c r="AD241" s="74"/>
      <c r="AE241" s="78">
        <f>'[1]Tier 1'!W241</f>
        <v>1152</v>
      </c>
      <c r="AF241" s="79"/>
      <c r="AG241" s="79">
        <f>'[1]Tier 1'!X241</f>
        <v>1152</v>
      </c>
      <c r="AH241" s="79"/>
      <c r="AI241" s="79">
        <f>'[1]Tier 1'!Y241</f>
        <v>1152</v>
      </c>
      <c r="AJ241" s="79">
        <f t="shared" si="67"/>
        <v>1036.8</v>
      </c>
      <c r="AK241" s="79" t="e">
        <f>VLOOKUP(A241,#REF!,-1,FALSE)</f>
        <v>#REF!</v>
      </c>
      <c r="AL241" s="80" t="e">
        <f t="shared" si="68"/>
        <v>#REF!</v>
      </c>
      <c r="AM241" s="78">
        <f t="shared" si="77"/>
        <v>1938</v>
      </c>
      <c r="AN241" s="85">
        <f t="shared" si="78"/>
        <v>1.6819999999999999</v>
      </c>
      <c r="AO241" s="73" t="str">
        <f t="shared" si="79"/>
        <v>OK</v>
      </c>
      <c r="AP241" s="79">
        <f t="shared" si="80"/>
        <v>2057</v>
      </c>
      <c r="AQ241" s="85">
        <f t="shared" si="81"/>
        <v>1.786</v>
      </c>
      <c r="AR241" s="73" t="str">
        <f t="shared" si="82"/>
        <v>OK</v>
      </c>
      <c r="AS241" s="79">
        <f t="shared" si="83"/>
        <v>2140</v>
      </c>
      <c r="AT241" s="85">
        <f t="shared" si="84"/>
        <v>1.8580000000000001</v>
      </c>
      <c r="AU241" s="86" t="str">
        <f t="shared" si="85"/>
        <v>OK</v>
      </c>
      <c r="AV241" s="79">
        <f t="shared" si="69"/>
        <v>0</v>
      </c>
      <c r="AW241" s="85" t="e">
        <f t="shared" si="70"/>
        <v>#REF!</v>
      </c>
      <c r="AX241" s="87" t="e">
        <f t="shared" si="71"/>
        <v>#REF!</v>
      </c>
      <c r="AY241" s="72"/>
      <c r="AZ241" s="73"/>
      <c r="BA241" s="77">
        <f t="shared" si="72"/>
        <v>0</v>
      </c>
      <c r="BB241" s="88">
        <f t="shared" si="73"/>
        <v>1</v>
      </c>
      <c r="BC241" s="89" t="e">
        <f>SUMIF(#REF!,#REF!, BB20:BB333)</f>
        <v>#REF!</v>
      </c>
      <c r="BD241" s="89">
        <f t="shared" si="74"/>
        <v>1</v>
      </c>
      <c r="BE241" s="89" t="e">
        <f>SUMIF(#REF!,#REF!, BD20:BD333)</f>
        <v>#REF!</v>
      </c>
      <c r="BF241" s="89">
        <f t="shared" si="75"/>
        <v>1</v>
      </c>
      <c r="BG241" s="89" t="e">
        <f>SUMIF(#REF!,#REF!, BF20:BF333)</f>
        <v>#REF!</v>
      </c>
      <c r="BH241" s="89" t="e">
        <f t="shared" si="76"/>
        <v>#REF!</v>
      </c>
      <c r="BI241" s="90">
        <f>SUMIF(B20:B333, B241, BH20:BH333)</f>
        <v>0</v>
      </c>
      <c r="BJ241" s="91"/>
      <c r="BK241" s="92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4"/>
    </row>
    <row r="242" spans="1:82" x14ac:dyDescent="0.3">
      <c r="A242" s="95" t="s">
        <v>493</v>
      </c>
      <c r="B242" s="96"/>
      <c r="C242" s="97" t="s">
        <v>112</v>
      </c>
      <c r="D242" s="97" t="s">
        <v>492</v>
      </c>
      <c r="E242" s="98" t="s">
        <v>494</v>
      </c>
      <c r="F242" s="99" t="s">
        <v>109</v>
      </c>
      <c r="G242" s="100"/>
      <c r="H242" s="101" t="s">
        <v>109</v>
      </c>
      <c r="I242" s="99" t="s">
        <v>4</v>
      </c>
      <c r="J242" s="100" t="s">
        <v>6</v>
      </c>
      <c r="K242" s="102"/>
      <c r="L242" s="103"/>
      <c r="M242" s="104"/>
      <c r="N242" s="105">
        <v>21534</v>
      </c>
      <c r="O242" s="106">
        <v>22852</v>
      </c>
      <c r="P242" s="106">
        <v>23775</v>
      </c>
      <c r="Q242" s="107"/>
      <c r="R242" s="156">
        <v>0.09</v>
      </c>
      <c r="S242" s="105">
        <v>1938</v>
      </c>
      <c r="T242" s="106">
        <v>2057</v>
      </c>
      <c r="U242" s="106">
        <v>2140</v>
      </c>
      <c r="V242" s="107">
        <f t="shared" si="66"/>
        <v>0</v>
      </c>
      <c r="W242" s="109"/>
      <c r="X242" s="110"/>
      <c r="Y242" s="111" t="s">
        <v>104</v>
      </c>
      <c r="Z242" s="100" t="str">
        <f>'[1]Tier 1'!V242</f>
        <v>D</v>
      </c>
      <c r="AA242" s="100"/>
      <c r="AB242" s="100"/>
      <c r="AC242" s="100"/>
      <c r="AD242" s="101"/>
      <c r="AE242" s="105">
        <f>'[1]Tier 1'!W242</f>
        <v>3222</v>
      </c>
      <c r="AF242" s="106"/>
      <c r="AG242" s="106">
        <f>'[1]Tier 1'!X242</f>
        <v>3222</v>
      </c>
      <c r="AH242" s="106"/>
      <c r="AI242" s="106">
        <f>'[1]Tier 1'!Y242</f>
        <v>3222</v>
      </c>
      <c r="AJ242" s="106">
        <f t="shared" si="67"/>
        <v>2899.8</v>
      </c>
      <c r="AK242" s="106" t="e">
        <f>VLOOKUP(A242,#REF!,-1,FALSE)</f>
        <v>#REF!</v>
      </c>
      <c r="AL242" s="107" t="e">
        <f t="shared" si="68"/>
        <v>#REF!</v>
      </c>
      <c r="AM242" s="105">
        <f t="shared" si="77"/>
        <v>1938</v>
      </c>
      <c r="AN242" s="112">
        <f t="shared" si="78"/>
        <v>0.60099999999999998</v>
      </c>
      <c r="AO242" s="100" t="str">
        <f t="shared" si="79"/>
        <v>OK</v>
      </c>
      <c r="AP242" s="106">
        <f t="shared" si="80"/>
        <v>2057</v>
      </c>
      <c r="AQ242" s="112">
        <f t="shared" si="81"/>
        <v>0.63800000000000001</v>
      </c>
      <c r="AR242" s="100" t="str">
        <f t="shared" si="82"/>
        <v>OK</v>
      </c>
      <c r="AS242" s="106">
        <f t="shared" si="83"/>
        <v>2140</v>
      </c>
      <c r="AT242" s="112">
        <f t="shared" si="84"/>
        <v>0.66400000000000003</v>
      </c>
      <c r="AU242" s="113" t="str">
        <f t="shared" si="85"/>
        <v>OK</v>
      </c>
      <c r="AV242" s="106">
        <f t="shared" si="69"/>
        <v>0</v>
      </c>
      <c r="AW242" s="112" t="e">
        <f t="shared" si="70"/>
        <v>#REF!</v>
      </c>
      <c r="AX242" s="114" t="e">
        <f t="shared" si="71"/>
        <v>#REF!</v>
      </c>
      <c r="AY242" s="99"/>
      <c r="AZ242" s="100"/>
      <c r="BA242" s="104">
        <f t="shared" si="72"/>
        <v>0</v>
      </c>
      <c r="BB242" s="115">
        <f t="shared" si="73"/>
        <v>1</v>
      </c>
      <c r="BC242" s="116" t="e">
        <f>SUMIF(#REF!,#REF!, BB20:BB333)</f>
        <v>#REF!</v>
      </c>
      <c r="BD242" s="116">
        <f t="shared" si="74"/>
        <v>1</v>
      </c>
      <c r="BE242" s="116" t="e">
        <f>SUMIF(#REF!,#REF!, BD20:BD333)</f>
        <v>#REF!</v>
      </c>
      <c r="BF242" s="116">
        <f t="shared" si="75"/>
        <v>0</v>
      </c>
      <c r="BG242" s="116" t="e">
        <f>SUMIF(#REF!,#REF!, BF20:BF333)</f>
        <v>#REF!</v>
      </c>
      <c r="BH242" s="116" t="e">
        <f t="shared" si="76"/>
        <v>#REF!</v>
      </c>
      <c r="BI242" s="117">
        <f>SUMIF(B20:B333, B242, BH20:BH333)</f>
        <v>0</v>
      </c>
      <c r="BJ242" s="118"/>
      <c r="BK242" s="92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4"/>
    </row>
    <row r="243" spans="1:82" x14ac:dyDescent="0.3">
      <c r="A243" s="68" t="s">
        <v>495</v>
      </c>
      <c r="B243" s="69"/>
      <c r="C243" s="70" t="s">
        <v>112</v>
      </c>
      <c r="D243" s="70" t="s">
        <v>494</v>
      </c>
      <c r="E243" s="71" t="s">
        <v>496</v>
      </c>
      <c r="F243" s="72" t="s">
        <v>109</v>
      </c>
      <c r="G243" s="73"/>
      <c r="H243" s="74" t="s">
        <v>109</v>
      </c>
      <c r="I243" s="72" t="s">
        <v>4</v>
      </c>
      <c r="J243" s="73" t="s">
        <v>6</v>
      </c>
      <c r="K243" s="75"/>
      <c r="L243" s="76"/>
      <c r="M243" s="77"/>
      <c r="N243" s="78">
        <v>12240</v>
      </c>
      <c r="O243" s="79">
        <v>12380</v>
      </c>
      <c r="P243" s="79">
        <v>12828</v>
      </c>
      <c r="Q243" s="80"/>
      <c r="R243" s="155">
        <v>0.09</v>
      </c>
      <c r="S243" s="78">
        <v>1102</v>
      </c>
      <c r="T243" s="79">
        <v>1114</v>
      </c>
      <c r="U243" s="79">
        <v>1154</v>
      </c>
      <c r="V243" s="80">
        <f t="shared" si="66"/>
        <v>0</v>
      </c>
      <c r="W243" s="82"/>
      <c r="X243" s="83"/>
      <c r="Y243" s="84" t="s">
        <v>104</v>
      </c>
      <c r="Z243" s="73" t="str">
        <f>'[1]Tier 1'!V243</f>
        <v>D</v>
      </c>
      <c r="AA243" s="73"/>
      <c r="AB243" s="73"/>
      <c r="AC243" s="73"/>
      <c r="AD243" s="74"/>
      <c r="AE243" s="78">
        <f>'[1]Tier 1'!W243</f>
        <v>3222</v>
      </c>
      <c r="AF243" s="79"/>
      <c r="AG243" s="79">
        <f>'[1]Tier 1'!X243</f>
        <v>3222</v>
      </c>
      <c r="AH243" s="79"/>
      <c r="AI243" s="79">
        <f>'[1]Tier 1'!Y243</f>
        <v>3222</v>
      </c>
      <c r="AJ243" s="79">
        <f t="shared" si="67"/>
        <v>2899.8</v>
      </c>
      <c r="AK243" s="79" t="e">
        <f>VLOOKUP(A243,#REF!,-1,FALSE)</f>
        <v>#REF!</v>
      </c>
      <c r="AL243" s="80" t="e">
        <f t="shared" si="68"/>
        <v>#REF!</v>
      </c>
      <c r="AM243" s="78">
        <f t="shared" si="77"/>
        <v>1102</v>
      </c>
      <c r="AN243" s="85">
        <f t="shared" si="78"/>
        <v>0.34200000000000003</v>
      </c>
      <c r="AO243" s="73" t="str">
        <f t="shared" si="79"/>
        <v>OK</v>
      </c>
      <c r="AP243" s="79">
        <f t="shared" si="80"/>
        <v>1114</v>
      </c>
      <c r="AQ243" s="85">
        <f t="shared" si="81"/>
        <v>0.34599999999999997</v>
      </c>
      <c r="AR243" s="73" t="str">
        <f t="shared" si="82"/>
        <v>OK</v>
      </c>
      <c r="AS243" s="79">
        <f t="shared" si="83"/>
        <v>1154</v>
      </c>
      <c r="AT243" s="85">
        <f t="shared" si="84"/>
        <v>0.35799999999999998</v>
      </c>
      <c r="AU243" s="86" t="str">
        <f t="shared" si="85"/>
        <v>OK</v>
      </c>
      <c r="AV243" s="79">
        <f t="shared" si="69"/>
        <v>0</v>
      </c>
      <c r="AW243" s="85" t="e">
        <f t="shared" si="70"/>
        <v>#REF!</v>
      </c>
      <c r="AX243" s="87" t="e">
        <f t="shared" si="71"/>
        <v>#REF!</v>
      </c>
      <c r="AY243" s="72"/>
      <c r="AZ243" s="73"/>
      <c r="BA243" s="77">
        <f t="shared" si="72"/>
        <v>0</v>
      </c>
      <c r="BB243" s="88">
        <f t="shared" si="73"/>
        <v>1</v>
      </c>
      <c r="BC243" s="89" t="e">
        <f>SUMIF(#REF!,#REF!, BB20:BB333)</f>
        <v>#REF!</v>
      </c>
      <c r="BD243" s="89">
        <f t="shared" si="74"/>
        <v>1</v>
      </c>
      <c r="BE243" s="89" t="e">
        <f>SUMIF(#REF!,#REF!, BD20:BD333)</f>
        <v>#REF!</v>
      </c>
      <c r="BF243" s="89">
        <f t="shared" si="75"/>
        <v>0</v>
      </c>
      <c r="BG243" s="89" t="e">
        <f>SUMIF(#REF!,#REF!, BF20:BF333)</f>
        <v>#REF!</v>
      </c>
      <c r="BH243" s="89" t="e">
        <f t="shared" si="76"/>
        <v>#REF!</v>
      </c>
      <c r="BI243" s="90">
        <f>SUMIF(B20:B333, B243, BH20:BH333)</f>
        <v>0</v>
      </c>
      <c r="BJ243" s="91"/>
      <c r="BK243" s="92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4"/>
    </row>
    <row r="244" spans="1:82" x14ac:dyDescent="0.3">
      <c r="A244" s="95" t="s">
        <v>497</v>
      </c>
      <c r="B244" s="96"/>
      <c r="C244" s="97" t="s">
        <v>112</v>
      </c>
      <c r="D244" s="97" t="s">
        <v>496</v>
      </c>
      <c r="E244" s="98" t="s">
        <v>498</v>
      </c>
      <c r="F244" s="99" t="s">
        <v>109</v>
      </c>
      <c r="G244" s="100"/>
      <c r="H244" s="101" t="s">
        <v>103</v>
      </c>
      <c r="I244" s="99" t="s">
        <v>4</v>
      </c>
      <c r="J244" s="100" t="s">
        <v>6</v>
      </c>
      <c r="K244" s="102"/>
      <c r="L244" s="103"/>
      <c r="M244" s="104"/>
      <c r="N244" s="105">
        <v>12240</v>
      </c>
      <c r="O244" s="106">
        <v>12380</v>
      </c>
      <c r="P244" s="106">
        <v>12828</v>
      </c>
      <c r="Q244" s="107"/>
      <c r="R244" s="156">
        <v>0.09</v>
      </c>
      <c r="S244" s="105">
        <v>1102</v>
      </c>
      <c r="T244" s="106">
        <v>1114</v>
      </c>
      <c r="U244" s="106">
        <v>1154</v>
      </c>
      <c r="V244" s="107">
        <f t="shared" si="66"/>
        <v>0</v>
      </c>
      <c r="W244" s="109"/>
      <c r="X244" s="110"/>
      <c r="Y244" s="111" t="s">
        <v>104</v>
      </c>
      <c r="Z244" s="100" t="str">
        <f>'[1]Tier 1'!V244</f>
        <v>D</v>
      </c>
      <c r="AA244" s="100"/>
      <c r="AB244" s="100"/>
      <c r="AC244" s="100"/>
      <c r="AD244" s="101"/>
      <c r="AE244" s="105">
        <f>'[1]Tier 1'!W244</f>
        <v>3222</v>
      </c>
      <c r="AF244" s="106"/>
      <c r="AG244" s="106">
        <f>'[1]Tier 1'!X244</f>
        <v>3222</v>
      </c>
      <c r="AH244" s="106"/>
      <c r="AI244" s="106">
        <f>'[1]Tier 1'!Y244</f>
        <v>3222</v>
      </c>
      <c r="AJ244" s="106">
        <f t="shared" si="67"/>
        <v>2899.8</v>
      </c>
      <c r="AK244" s="106" t="e">
        <f>VLOOKUP(A244,#REF!,-1,FALSE)</f>
        <v>#REF!</v>
      </c>
      <c r="AL244" s="107" t="e">
        <f t="shared" si="68"/>
        <v>#REF!</v>
      </c>
      <c r="AM244" s="105">
        <f t="shared" si="77"/>
        <v>1102</v>
      </c>
      <c r="AN244" s="112">
        <f t="shared" si="78"/>
        <v>0.34200000000000003</v>
      </c>
      <c r="AO244" s="100" t="str">
        <f t="shared" si="79"/>
        <v>OK</v>
      </c>
      <c r="AP244" s="106">
        <f t="shared" si="80"/>
        <v>1114</v>
      </c>
      <c r="AQ244" s="112">
        <f t="shared" si="81"/>
        <v>0.34599999999999997</v>
      </c>
      <c r="AR244" s="100" t="str">
        <f t="shared" si="82"/>
        <v>OK</v>
      </c>
      <c r="AS244" s="106">
        <f t="shared" si="83"/>
        <v>1154</v>
      </c>
      <c r="AT244" s="112">
        <f t="shared" si="84"/>
        <v>0.35799999999999998</v>
      </c>
      <c r="AU244" s="113" t="str">
        <f t="shared" si="85"/>
        <v>OK</v>
      </c>
      <c r="AV244" s="106">
        <f t="shared" si="69"/>
        <v>0</v>
      </c>
      <c r="AW244" s="112" t="e">
        <f t="shared" si="70"/>
        <v>#REF!</v>
      </c>
      <c r="AX244" s="114" t="e">
        <f t="shared" si="71"/>
        <v>#REF!</v>
      </c>
      <c r="AY244" s="99"/>
      <c r="AZ244" s="100"/>
      <c r="BA244" s="104">
        <f t="shared" si="72"/>
        <v>0</v>
      </c>
      <c r="BB244" s="115">
        <f t="shared" si="73"/>
        <v>1</v>
      </c>
      <c r="BC244" s="116" t="e">
        <f>SUMIF(#REF!,#REF!, BB20:BB333)</f>
        <v>#REF!</v>
      </c>
      <c r="BD244" s="116">
        <f t="shared" si="74"/>
        <v>1</v>
      </c>
      <c r="BE244" s="116" t="e">
        <f>SUMIF(#REF!,#REF!, BD20:BD333)</f>
        <v>#REF!</v>
      </c>
      <c r="BF244" s="116">
        <f t="shared" si="75"/>
        <v>0</v>
      </c>
      <c r="BG244" s="116" t="e">
        <f>SUMIF(#REF!,#REF!, BF20:BF333)</f>
        <v>#REF!</v>
      </c>
      <c r="BH244" s="116" t="e">
        <f t="shared" si="76"/>
        <v>#REF!</v>
      </c>
      <c r="BI244" s="117">
        <f>SUMIF(B20:B333, B244, BH20:BH333)</f>
        <v>0</v>
      </c>
      <c r="BJ244" s="118"/>
      <c r="BK244" s="92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4"/>
    </row>
    <row r="245" spans="1:82" x14ac:dyDescent="0.3">
      <c r="A245" s="68" t="s">
        <v>499</v>
      </c>
      <c r="B245" s="69"/>
      <c r="C245" s="70" t="s">
        <v>112</v>
      </c>
      <c r="D245" s="70" t="s">
        <v>498</v>
      </c>
      <c r="E245" s="71" t="s">
        <v>113</v>
      </c>
      <c r="F245" s="72" t="s">
        <v>109</v>
      </c>
      <c r="G245" s="73"/>
      <c r="H245" s="74" t="s">
        <v>103</v>
      </c>
      <c r="I245" s="72" t="s">
        <v>4</v>
      </c>
      <c r="J245" s="73" t="s">
        <v>6</v>
      </c>
      <c r="K245" s="75"/>
      <c r="L245" s="76"/>
      <c r="M245" s="77"/>
      <c r="N245" s="78">
        <v>12240</v>
      </c>
      <c r="O245" s="79">
        <v>12380</v>
      </c>
      <c r="P245" s="79">
        <v>12828</v>
      </c>
      <c r="Q245" s="80"/>
      <c r="R245" s="155">
        <v>0.09</v>
      </c>
      <c r="S245" s="78">
        <v>1102</v>
      </c>
      <c r="T245" s="79">
        <v>1114</v>
      </c>
      <c r="U245" s="79">
        <v>1154</v>
      </c>
      <c r="V245" s="80">
        <f t="shared" si="66"/>
        <v>0</v>
      </c>
      <c r="W245" s="82"/>
      <c r="X245" s="83"/>
      <c r="Y245" s="84" t="s">
        <v>104</v>
      </c>
      <c r="Z245" s="73" t="str">
        <f>'[1]Tier 1'!V245</f>
        <v>D</v>
      </c>
      <c r="AA245" s="73"/>
      <c r="AB245" s="73"/>
      <c r="AC245" s="73"/>
      <c r="AD245" s="74"/>
      <c r="AE245" s="78">
        <f>'[1]Tier 1'!W245</f>
        <v>3222</v>
      </c>
      <c r="AF245" s="79"/>
      <c r="AG245" s="79">
        <f>'[1]Tier 1'!X245</f>
        <v>3222</v>
      </c>
      <c r="AH245" s="79"/>
      <c r="AI245" s="79">
        <f>'[1]Tier 1'!Y245</f>
        <v>3222</v>
      </c>
      <c r="AJ245" s="79">
        <f t="shared" si="67"/>
        <v>2899.8</v>
      </c>
      <c r="AK245" s="79" t="e">
        <f>VLOOKUP(A245,#REF!,-1,FALSE)</f>
        <v>#REF!</v>
      </c>
      <c r="AL245" s="80" t="e">
        <f t="shared" si="68"/>
        <v>#REF!</v>
      </c>
      <c r="AM245" s="78">
        <f t="shared" si="77"/>
        <v>1102</v>
      </c>
      <c r="AN245" s="85">
        <f t="shared" si="78"/>
        <v>0.34200000000000003</v>
      </c>
      <c r="AO245" s="73" t="str">
        <f t="shared" si="79"/>
        <v>OK</v>
      </c>
      <c r="AP245" s="79">
        <f t="shared" si="80"/>
        <v>1114</v>
      </c>
      <c r="AQ245" s="85">
        <f t="shared" si="81"/>
        <v>0.34599999999999997</v>
      </c>
      <c r="AR245" s="73" t="str">
        <f t="shared" si="82"/>
        <v>OK</v>
      </c>
      <c r="AS245" s="79">
        <f t="shared" si="83"/>
        <v>1154</v>
      </c>
      <c r="AT245" s="85">
        <f t="shared" si="84"/>
        <v>0.35799999999999998</v>
      </c>
      <c r="AU245" s="86" t="str">
        <f t="shared" si="85"/>
        <v>OK</v>
      </c>
      <c r="AV245" s="79">
        <f t="shared" si="69"/>
        <v>0</v>
      </c>
      <c r="AW245" s="85" t="e">
        <f t="shared" si="70"/>
        <v>#REF!</v>
      </c>
      <c r="AX245" s="87" t="e">
        <f t="shared" si="71"/>
        <v>#REF!</v>
      </c>
      <c r="AY245" s="72"/>
      <c r="AZ245" s="73"/>
      <c r="BA245" s="77">
        <f t="shared" si="72"/>
        <v>0</v>
      </c>
      <c r="BB245" s="88">
        <f t="shared" si="73"/>
        <v>1</v>
      </c>
      <c r="BC245" s="89" t="e">
        <f>SUMIF(#REF!,#REF!, BB20:BB333)</f>
        <v>#REF!</v>
      </c>
      <c r="BD245" s="89">
        <f t="shared" si="74"/>
        <v>1</v>
      </c>
      <c r="BE245" s="89" t="e">
        <f>SUMIF(#REF!,#REF!, BD20:BD333)</f>
        <v>#REF!</v>
      </c>
      <c r="BF245" s="89">
        <f t="shared" si="75"/>
        <v>0</v>
      </c>
      <c r="BG245" s="89" t="e">
        <f>SUMIF(#REF!,#REF!, BF20:BF333)</f>
        <v>#REF!</v>
      </c>
      <c r="BH245" s="89" t="e">
        <f t="shared" si="76"/>
        <v>#REF!</v>
      </c>
      <c r="BI245" s="90">
        <f>SUMIF(B20:B333, B245, BH20:BH333)</f>
        <v>0</v>
      </c>
      <c r="BJ245" s="91"/>
      <c r="BK245" s="92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4"/>
    </row>
    <row r="246" spans="1:82" x14ac:dyDescent="0.3">
      <c r="A246" s="95" t="s">
        <v>500</v>
      </c>
      <c r="B246" s="96"/>
      <c r="C246" s="97" t="s">
        <v>112</v>
      </c>
      <c r="D246" s="97" t="s">
        <v>111</v>
      </c>
      <c r="E246" s="98" t="s">
        <v>113</v>
      </c>
      <c r="F246" s="99" t="s">
        <v>103</v>
      </c>
      <c r="G246" s="100"/>
      <c r="H246" s="101" t="s">
        <v>103</v>
      </c>
      <c r="I246" s="99" t="s">
        <v>4</v>
      </c>
      <c r="J246" s="100" t="s">
        <v>6</v>
      </c>
      <c r="K246" s="102"/>
      <c r="L246" s="103"/>
      <c r="M246" s="104"/>
      <c r="N246" s="105">
        <v>12240</v>
      </c>
      <c r="O246" s="106">
        <v>12380</v>
      </c>
      <c r="P246" s="106">
        <v>12828</v>
      </c>
      <c r="Q246" s="107"/>
      <c r="R246" s="156">
        <v>0.09</v>
      </c>
      <c r="S246" s="105">
        <v>1102</v>
      </c>
      <c r="T246" s="106">
        <v>1114</v>
      </c>
      <c r="U246" s="106">
        <v>1154</v>
      </c>
      <c r="V246" s="107">
        <f t="shared" si="66"/>
        <v>0</v>
      </c>
      <c r="W246" s="109"/>
      <c r="X246" s="110"/>
      <c r="Y246" s="111" t="s">
        <v>104</v>
      </c>
      <c r="Z246" s="100" t="str">
        <f>'[1]Tier 1'!V246</f>
        <v>D</v>
      </c>
      <c r="AA246" s="100"/>
      <c r="AB246" s="100"/>
      <c r="AC246" s="100"/>
      <c r="AD246" s="101"/>
      <c r="AE246" s="105">
        <f>'[1]Tier 1'!W246</f>
        <v>1197</v>
      </c>
      <c r="AF246" s="106"/>
      <c r="AG246" s="106">
        <f>'[1]Tier 1'!X246</f>
        <v>1197</v>
      </c>
      <c r="AH246" s="106"/>
      <c r="AI246" s="106">
        <f>'[1]Tier 1'!Y246</f>
        <v>1197</v>
      </c>
      <c r="AJ246" s="106">
        <f t="shared" si="67"/>
        <v>1077.3</v>
      </c>
      <c r="AK246" s="106" t="e">
        <f>VLOOKUP(A246,#REF!,-1,FALSE)</f>
        <v>#REF!</v>
      </c>
      <c r="AL246" s="107" t="e">
        <f t="shared" si="68"/>
        <v>#REF!</v>
      </c>
      <c r="AM246" s="105">
        <f t="shared" si="77"/>
        <v>1102</v>
      </c>
      <c r="AN246" s="112">
        <f t="shared" si="78"/>
        <v>0.92100000000000004</v>
      </c>
      <c r="AO246" s="100" t="str">
        <f t="shared" si="79"/>
        <v>OK</v>
      </c>
      <c r="AP246" s="106">
        <f t="shared" si="80"/>
        <v>1114</v>
      </c>
      <c r="AQ246" s="112">
        <f t="shared" si="81"/>
        <v>0.93100000000000005</v>
      </c>
      <c r="AR246" s="100" t="str">
        <f t="shared" si="82"/>
        <v>OK</v>
      </c>
      <c r="AS246" s="106">
        <f t="shared" si="83"/>
        <v>1154</v>
      </c>
      <c r="AT246" s="112">
        <f t="shared" si="84"/>
        <v>0.96399999999999997</v>
      </c>
      <c r="AU246" s="113" t="str">
        <f t="shared" si="85"/>
        <v>OK</v>
      </c>
      <c r="AV246" s="106">
        <f t="shared" si="69"/>
        <v>0</v>
      </c>
      <c r="AW246" s="112" t="e">
        <f t="shared" si="70"/>
        <v>#REF!</v>
      </c>
      <c r="AX246" s="114" t="e">
        <f t="shared" si="71"/>
        <v>#REF!</v>
      </c>
      <c r="AY246" s="99"/>
      <c r="AZ246" s="100"/>
      <c r="BA246" s="104">
        <f t="shared" si="72"/>
        <v>0</v>
      </c>
      <c r="BB246" s="115">
        <f t="shared" si="73"/>
        <v>1</v>
      </c>
      <c r="BC246" s="116" t="e">
        <f>SUMIF(#REF!,#REF!, BB20:BB333)</f>
        <v>#REF!</v>
      </c>
      <c r="BD246" s="116">
        <f t="shared" si="74"/>
        <v>1</v>
      </c>
      <c r="BE246" s="116" t="e">
        <f>SUMIF(#REF!,#REF!, BD20:BD333)</f>
        <v>#REF!</v>
      </c>
      <c r="BF246" s="116">
        <f t="shared" si="75"/>
        <v>1</v>
      </c>
      <c r="BG246" s="116" t="e">
        <f>SUMIF(#REF!,#REF!, BF20:BF333)</f>
        <v>#REF!</v>
      </c>
      <c r="BH246" s="116" t="e">
        <f t="shared" si="76"/>
        <v>#REF!</v>
      </c>
      <c r="BI246" s="117">
        <f>SUMIF(B20:B333, B246, BH20:BH333)</f>
        <v>0</v>
      </c>
      <c r="BJ246" s="118"/>
      <c r="BK246" s="92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4"/>
    </row>
    <row r="247" spans="1:82" x14ac:dyDescent="0.3">
      <c r="A247" s="68" t="s">
        <v>501</v>
      </c>
      <c r="B247" s="69"/>
      <c r="C247" s="70" t="s">
        <v>432</v>
      </c>
      <c r="D247" s="70" t="s">
        <v>101</v>
      </c>
      <c r="E247" s="71" t="s">
        <v>113</v>
      </c>
      <c r="F247" s="72" t="s">
        <v>103</v>
      </c>
      <c r="G247" s="73"/>
      <c r="H247" s="74" t="s">
        <v>103</v>
      </c>
      <c r="I247" s="72" t="s">
        <v>4</v>
      </c>
      <c r="J247" s="73" t="s">
        <v>6</v>
      </c>
      <c r="K247" s="75"/>
      <c r="L247" s="76"/>
      <c r="M247" s="77"/>
      <c r="N247" s="78">
        <v>4020</v>
      </c>
      <c r="O247" s="79">
        <v>4266</v>
      </c>
      <c r="P247" s="79">
        <v>4438</v>
      </c>
      <c r="Q247" s="80"/>
      <c r="R247" s="155">
        <v>0.09</v>
      </c>
      <c r="S247" s="78">
        <v>362</v>
      </c>
      <c r="T247" s="79">
        <v>384</v>
      </c>
      <c r="U247" s="79">
        <v>399</v>
      </c>
      <c r="V247" s="80">
        <f t="shared" si="66"/>
        <v>0</v>
      </c>
      <c r="W247" s="82"/>
      <c r="X247" s="83"/>
      <c r="Y247" s="84" t="s">
        <v>104</v>
      </c>
      <c r="Z247" s="73" t="str">
        <f>'[1]Tier 1'!V247</f>
        <v>D</v>
      </c>
      <c r="AA247" s="73"/>
      <c r="AB247" s="73"/>
      <c r="AC247" s="73"/>
      <c r="AD247" s="74"/>
      <c r="AE247" s="78">
        <f>'[1]Tier 1'!W247</f>
        <v>1818</v>
      </c>
      <c r="AF247" s="79"/>
      <c r="AG247" s="79">
        <f>'[1]Tier 1'!X247</f>
        <v>1818</v>
      </c>
      <c r="AH247" s="79"/>
      <c r="AI247" s="79">
        <f>'[1]Tier 1'!Y247</f>
        <v>1818</v>
      </c>
      <c r="AJ247" s="79">
        <f t="shared" si="67"/>
        <v>1636.2</v>
      </c>
      <c r="AK247" s="79" t="e">
        <f>VLOOKUP(A247,#REF!,-1,FALSE)</f>
        <v>#REF!</v>
      </c>
      <c r="AL247" s="80" t="e">
        <f t="shared" si="68"/>
        <v>#REF!</v>
      </c>
      <c r="AM247" s="78">
        <f t="shared" si="77"/>
        <v>362</v>
      </c>
      <c r="AN247" s="85">
        <f t="shared" si="78"/>
        <v>0.19900000000000001</v>
      </c>
      <c r="AO247" s="73" t="str">
        <f t="shared" si="79"/>
        <v>OK</v>
      </c>
      <c r="AP247" s="79">
        <f t="shared" si="80"/>
        <v>384</v>
      </c>
      <c r="AQ247" s="85">
        <f t="shared" si="81"/>
        <v>0.21099999999999999</v>
      </c>
      <c r="AR247" s="73" t="str">
        <f t="shared" si="82"/>
        <v>OK</v>
      </c>
      <c r="AS247" s="79">
        <f t="shared" si="83"/>
        <v>399</v>
      </c>
      <c r="AT247" s="85">
        <f t="shared" si="84"/>
        <v>0.219</v>
      </c>
      <c r="AU247" s="86" t="str">
        <f t="shared" si="85"/>
        <v>OK</v>
      </c>
      <c r="AV247" s="79">
        <f t="shared" si="69"/>
        <v>0</v>
      </c>
      <c r="AW247" s="85" t="e">
        <f t="shared" si="70"/>
        <v>#REF!</v>
      </c>
      <c r="AX247" s="87" t="e">
        <f t="shared" si="71"/>
        <v>#REF!</v>
      </c>
      <c r="AY247" s="72"/>
      <c r="AZ247" s="73"/>
      <c r="BA247" s="77">
        <f t="shared" si="72"/>
        <v>0</v>
      </c>
      <c r="BB247" s="88">
        <f t="shared" si="73"/>
        <v>1</v>
      </c>
      <c r="BC247" s="89" t="e">
        <f>SUMIF(#REF!,#REF!, BB20:BB333)</f>
        <v>#REF!</v>
      </c>
      <c r="BD247" s="89">
        <f t="shared" si="74"/>
        <v>1</v>
      </c>
      <c r="BE247" s="89" t="e">
        <f>SUMIF(#REF!,#REF!, BD20:BD333)</f>
        <v>#REF!</v>
      </c>
      <c r="BF247" s="89">
        <f t="shared" si="75"/>
        <v>0</v>
      </c>
      <c r="BG247" s="89" t="e">
        <f>SUMIF(#REF!,#REF!, BF20:BF333)</f>
        <v>#REF!</v>
      </c>
      <c r="BH247" s="89" t="e">
        <f t="shared" si="76"/>
        <v>#REF!</v>
      </c>
      <c r="BI247" s="90">
        <f>SUMIF(B20:B333, B247, BH20:BH333)</f>
        <v>0</v>
      </c>
      <c r="BJ247" s="91"/>
      <c r="BK247" s="92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4"/>
    </row>
    <row r="248" spans="1:82" x14ac:dyDescent="0.3">
      <c r="A248" s="95" t="s">
        <v>502</v>
      </c>
      <c r="B248" s="96"/>
      <c r="C248" s="97" t="s">
        <v>432</v>
      </c>
      <c r="D248" s="97" t="s">
        <v>113</v>
      </c>
      <c r="E248" s="98" t="s">
        <v>120</v>
      </c>
      <c r="F248" s="99" t="s">
        <v>103</v>
      </c>
      <c r="G248" s="100"/>
      <c r="H248" s="101" t="s">
        <v>103</v>
      </c>
      <c r="I248" s="99" t="s">
        <v>4</v>
      </c>
      <c r="J248" s="100" t="s">
        <v>6</v>
      </c>
      <c r="K248" s="102"/>
      <c r="L248" s="103"/>
      <c r="M248" s="104"/>
      <c r="N248" s="105">
        <v>3137</v>
      </c>
      <c r="O248" s="106">
        <v>3329</v>
      </c>
      <c r="P248" s="106">
        <v>3464</v>
      </c>
      <c r="Q248" s="107"/>
      <c r="R248" s="156">
        <v>0.09</v>
      </c>
      <c r="S248" s="105">
        <v>282</v>
      </c>
      <c r="T248" s="106">
        <v>300</v>
      </c>
      <c r="U248" s="106">
        <v>312</v>
      </c>
      <c r="V248" s="107">
        <f t="shared" si="66"/>
        <v>0</v>
      </c>
      <c r="W248" s="109"/>
      <c r="X248" s="110"/>
      <c r="Y248" s="111" t="s">
        <v>104</v>
      </c>
      <c r="Z248" s="100" t="str">
        <f>'[1]Tier 1'!V248</f>
        <v>D</v>
      </c>
      <c r="AA248" s="100"/>
      <c r="AB248" s="100"/>
      <c r="AC248" s="100"/>
      <c r="AD248" s="101"/>
      <c r="AE248" s="105">
        <f>'[1]Tier 1'!W248</f>
        <v>1818</v>
      </c>
      <c r="AF248" s="106"/>
      <c r="AG248" s="106">
        <f>'[1]Tier 1'!X248</f>
        <v>1818</v>
      </c>
      <c r="AH248" s="106"/>
      <c r="AI248" s="106">
        <f>'[1]Tier 1'!Y248</f>
        <v>1818</v>
      </c>
      <c r="AJ248" s="106">
        <f t="shared" si="67"/>
        <v>1636.2</v>
      </c>
      <c r="AK248" s="106" t="e">
        <f>VLOOKUP(A248,#REF!,-1,FALSE)</f>
        <v>#REF!</v>
      </c>
      <c r="AL248" s="107" t="e">
        <f t="shared" si="68"/>
        <v>#REF!</v>
      </c>
      <c r="AM248" s="105">
        <f t="shared" si="77"/>
        <v>282</v>
      </c>
      <c r="AN248" s="112">
        <f t="shared" si="78"/>
        <v>0.155</v>
      </c>
      <c r="AO248" s="100" t="str">
        <f t="shared" si="79"/>
        <v>OK</v>
      </c>
      <c r="AP248" s="106">
        <f t="shared" si="80"/>
        <v>300</v>
      </c>
      <c r="AQ248" s="112">
        <f t="shared" si="81"/>
        <v>0.16500000000000001</v>
      </c>
      <c r="AR248" s="100" t="str">
        <f t="shared" si="82"/>
        <v>OK</v>
      </c>
      <c r="AS248" s="106">
        <f t="shared" si="83"/>
        <v>312</v>
      </c>
      <c r="AT248" s="112">
        <f t="shared" si="84"/>
        <v>0.17199999999999999</v>
      </c>
      <c r="AU248" s="113" t="str">
        <f t="shared" si="85"/>
        <v>OK</v>
      </c>
      <c r="AV248" s="106">
        <f t="shared" si="69"/>
        <v>0</v>
      </c>
      <c r="AW248" s="112" t="e">
        <f t="shared" si="70"/>
        <v>#REF!</v>
      </c>
      <c r="AX248" s="114" t="e">
        <f t="shared" si="71"/>
        <v>#REF!</v>
      </c>
      <c r="AY248" s="99"/>
      <c r="AZ248" s="100"/>
      <c r="BA248" s="104">
        <f t="shared" si="72"/>
        <v>0</v>
      </c>
      <c r="BB248" s="115">
        <f t="shared" si="73"/>
        <v>1</v>
      </c>
      <c r="BC248" s="116" t="e">
        <f>SUMIF(#REF!,#REF!, BB20:BB333)</f>
        <v>#REF!</v>
      </c>
      <c r="BD248" s="116">
        <f t="shared" si="74"/>
        <v>1</v>
      </c>
      <c r="BE248" s="116" t="e">
        <f>SUMIF(#REF!,#REF!, BD20:BD333)</f>
        <v>#REF!</v>
      </c>
      <c r="BF248" s="116">
        <f t="shared" si="75"/>
        <v>0</v>
      </c>
      <c r="BG248" s="116" t="e">
        <f>SUMIF(#REF!,#REF!, BF20:BF333)</f>
        <v>#REF!</v>
      </c>
      <c r="BH248" s="116" t="e">
        <f t="shared" si="76"/>
        <v>#REF!</v>
      </c>
      <c r="BI248" s="117">
        <f>SUMIF(B20:B333, B248, BH20:BH333)</f>
        <v>0</v>
      </c>
      <c r="BJ248" s="118"/>
      <c r="BK248" s="92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4"/>
    </row>
    <row r="249" spans="1:82" x14ac:dyDescent="0.3">
      <c r="A249" s="68" t="s">
        <v>503</v>
      </c>
      <c r="B249" s="69"/>
      <c r="C249" s="70" t="s">
        <v>280</v>
      </c>
      <c r="D249" s="70" t="s">
        <v>120</v>
      </c>
      <c r="E249" s="71" t="s">
        <v>164</v>
      </c>
      <c r="F249" s="72" t="s">
        <v>103</v>
      </c>
      <c r="G249" s="73"/>
      <c r="H249" s="74" t="s">
        <v>103</v>
      </c>
      <c r="I249" s="72" t="s">
        <v>4</v>
      </c>
      <c r="J249" s="73" t="s">
        <v>6</v>
      </c>
      <c r="K249" s="75"/>
      <c r="L249" s="76"/>
      <c r="M249" s="77"/>
      <c r="N249" s="78">
        <v>2346</v>
      </c>
      <c r="O249" s="79">
        <v>2387</v>
      </c>
      <c r="P249" s="79">
        <v>2485</v>
      </c>
      <c r="Q249" s="80"/>
      <c r="R249" s="155">
        <v>0.09</v>
      </c>
      <c r="S249" s="78">
        <v>211</v>
      </c>
      <c r="T249" s="79">
        <v>215</v>
      </c>
      <c r="U249" s="79">
        <v>224</v>
      </c>
      <c r="V249" s="80">
        <f t="shared" si="66"/>
        <v>0</v>
      </c>
      <c r="W249" s="82"/>
      <c r="X249" s="83"/>
      <c r="Y249" s="84" t="s">
        <v>104</v>
      </c>
      <c r="Z249" s="73" t="str">
        <f>'[1]Tier 1'!V249</f>
        <v>D</v>
      </c>
      <c r="AA249" s="73"/>
      <c r="AB249" s="73"/>
      <c r="AC249" s="73"/>
      <c r="AD249" s="74"/>
      <c r="AE249" s="78">
        <f>'[1]Tier 1'!W249</f>
        <v>1899</v>
      </c>
      <c r="AF249" s="79"/>
      <c r="AG249" s="79">
        <f>'[1]Tier 1'!X249</f>
        <v>1899</v>
      </c>
      <c r="AH249" s="79"/>
      <c r="AI249" s="79">
        <f>'[1]Tier 1'!Y249</f>
        <v>1899</v>
      </c>
      <c r="AJ249" s="79">
        <f t="shared" si="67"/>
        <v>1709.1000000000001</v>
      </c>
      <c r="AK249" s="79" t="e">
        <f>VLOOKUP(A249,#REF!,-1,FALSE)</f>
        <v>#REF!</v>
      </c>
      <c r="AL249" s="80" t="e">
        <f t="shared" si="68"/>
        <v>#REF!</v>
      </c>
      <c r="AM249" s="78">
        <f t="shared" si="77"/>
        <v>211</v>
      </c>
      <c r="AN249" s="85">
        <f t="shared" si="78"/>
        <v>0.111</v>
      </c>
      <c r="AO249" s="73" t="str">
        <f t="shared" si="79"/>
        <v>OK</v>
      </c>
      <c r="AP249" s="79">
        <f t="shared" si="80"/>
        <v>215</v>
      </c>
      <c r="AQ249" s="85">
        <f t="shared" si="81"/>
        <v>0.113</v>
      </c>
      <c r="AR249" s="73" t="str">
        <f t="shared" si="82"/>
        <v>OK</v>
      </c>
      <c r="AS249" s="79">
        <f t="shared" si="83"/>
        <v>224</v>
      </c>
      <c r="AT249" s="85">
        <f t="shared" si="84"/>
        <v>0.11799999999999999</v>
      </c>
      <c r="AU249" s="86" t="str">
        <f t="shared" si="85"/>
        <v>OK</v>
      </c>
      <c r="AV249" s="79">
        <f t="shared" si="69"/>
        <v>0</v>
      </c>
      <c r="AW249" s="85" t="e">
        <f t="shared" si="70"/>
        <v>#REF!</v>
      </c>
      <c r="AX249" s="87" t="e">
        <f t="shared" si="71"/>
        <v>#REF!</v>
      </c>
      <c r="AY249" s="72"/>
      <c r="AZ249" s="73"/>
      <c r="BA249" s="77">
        <f t="shared" si="72"/>
        <v>0</v>
      </c>
      <c r="BB249" s="88">
        <f t="shared" si="73"/>
        <v>1</v>
      </c>
      <c r="BC249" s="89" t="e">
        <f>SUMIF(#REF!,#REF!, BB20:BB333)</f>
        <v>#REF!</v>
      </c>
      <c r="BD249" s="89">
        <f t="shared" si="74"/>
        <v>1</v>
      </c>
      <c r="BE249" s="89" t="e">
        <f>SUMIF(#REF!,#REF!, BD20:BD333)</f>
        <v>#REF!</v>
      </c>
      <c r="BF249" s="89">
        <f t="shared" si="75"/>
        <v>0</v>
      </c>
      <c r="BG249" s="89" t="e">
        <f>SUMIF(#REF!,#REF!, BF20:BF333)</f>
        <v>#REF!</v>
      </c>
      <c r="BH249" s="89" t="e">
        <f t="shared" si="76"/>
        <v>#REF!</v>
      </c>
      <c r="BI249" s="90">
        <f>SUMIF(B20:B333, B249, BH20:BH333)</f>
        <v>0</v>
      </c>
      <c r="BJ249" s="91"/>
      <c r="BK249" s="92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4"/>
    </row>
    <row r="250" spans="1:82" x14ac:dyDescent="0.3">
      <c r="A250" s="95" t="s">
        <v>504</v>
      </c>
      <c r="B250" s="96"/>
      <c r="C250" s="97" t="s">
        <v>280</v>
      </c>
      <c r="D250" s="97" t="s">
        <v>164</v>
      </c>
      <c r="E250" s="98" t="s">
        <v>102</v>
      </c>
      <c r="F250" s="99" t="s">
        <v>103</v>
      </c>
      <c r="G250" s="100"/>
      <c r="H250" s="101" t="s">
        <v>103</v>
      </c>
      <c r="I250" s="99" t="s">
        <v>4</v>
      </c>
      <c r="J250" s="100" t="s">
        <v>6</v>
      </c>
      <c r="K250" s="102"/>
      <c r="L250" s="103"/>
      <c r="M250" s="104"/>
      <c r="N250" s="105">
        <v>2346</v>
      </c>
      <c r="O250" s="106">
        <v>2387</v>
      </c>
      <c r="P250" s="106">
        <v>2485</v>
      </c>
      <c r="Q250" s="107"/>
      <c r="R250" s="156">
        <v>0.09</v>
      </c>
      <c r="S250" s="105">
        <v>211</v>
      </c>
      <c r="T250" s="106">
        <v>215</v>
      </c>
      <c r="U250" s="106">
        <v>224</v>
      </c>
      <c r="V250" s="107">
        <f t="shared" si="66"/>
        <v>0</v>
      </c>
      <c r="W250" s="109"/>
      <c r="X250" s="110"/>
      <c r="Y250" s="111" t="s">
        <v>104</v>
      </c>
      <c r="Z250" s="100" t="str">
        <f>'[1]Tier 1'!V250</f>
        <v>D</v>
      </c>
      <c r="AA250" s="100"/>
      <c r="AB250" s="100"/>
      <c r="AC250" s="100"/>
      <c r="AD250" s="101"/>
      <c r="AE250" s="105">
        <f>'[1]Tier 1'!W250</f>
        <v>1962</v>
      </c>
      <c r="AF250" s="106"/>
      <c r="AG250" s="106">
        <f>'[1]Tier 1'!X250</f>
        <v>1962</v>
      </c>
      <c r="AH250" s="106"/>
      <c r="AI250" s="106">
        <f>'[1]Tier 1'!Y250</f>
        <v>1962</v>
      </c>
      <c r="AJ250" s="106">
        <f t="shared" si="67"/>
        <v>1765.8</v>
      </c>
      <c r="AK250" s="106" t="e">
        <f>VLOOKUP(A250,#REF!,-1,FALSE)</f>
        <v>#REF!</v>
      </c>
      <c r="AL250" s="107" t="e">
        <f t="shared" si="68"/>
        <v>#REF!</v>
      </c>
      <c r="AM250" s="105">
        <f t="shared" si="77"/>
        <v>211</v>
      </c>
      <c r="AN250" s="112">
        <f t="shared" si="78"/>
        <v>0.108</v>
      </c>
      <c r="AO250" s="100" t="str">
        <f t="shared" si="79"/>
        <v>OK</v>
      </c>
      <c r="AP250" s="106">
        <f t="shared" si="80"/>
        <v>215</v>
      </c>
      <c r="AQ250" s="112">
        <f t="shared" si="81"/>
        <v>0.11</v>
      </c>
      <c r="AR250" s="100" t="str">
        <f t="shared" si="82"/>
        <v>OK</v>
      </c>
      <c r="AS250" s="106">
        <f t="shared" si="83"/>
        <v>224</v>
      </c>
      <c r="AT250" s="112">
        <f t="shared" si="84"/>
        <v>0.114</v>
      </c>
      <c r="AU250" s="113" t="str">
        <f t="shared" si="85"/>
        <v>OK</v>
      </c>
      <c r="AV250" s="106">
        <f t="shared" si="69"/>
        <v>0</v>
      </c>
      <c r="AW250" s="112" t="e">
        <f t="shared" si="70"/>
        <v>#REF!</v>
      </c>
      <c r="AX250" s="114" t="e">
        <f t="shared" si="71"/>
        <v>#REF!</v>
      </c>
      <c r="AY250" s="99"/>
      <c r="AZ250" s="100"/>
      <c r="BA250" s="104">
        <f t="shared" si="72"/>
        <v>0</v>
      </c>
      <c r="BB250" s="115">
        <f t="shared" si="73"/>
        <v>1</v>
      </c>
      <c r="BC250" s="116" t="e">
        <f>SUMIF(#REF!,#REF!, BB20:BB333)</f>
        <v>#REF!</v>
      </c>
      <c r="BD250" s="116">
        <f t="shared" si="74"/>
        <v>1</v>
      </c>
      <c r="BE250" s="116" t="e">
        <f>SUMIF(#REF!,#REF!, BD20:BD333)</f>
        <v>#REF!</v>
      </c>
      <c r="BF250" s="116">
        <f t="shared" si="75"/>
        <v>0</v>
      </c>
      <c r="BG250" s="116" t="e">
        <f>SUMIF(#REF!,#REF!, BF20:BF333)</f>
        <v>#REF!</v>
      </c>
      <c r="BH250" s="116" t="e">
        <f t="shared" si="76"/>
        <v>#REF!</v>
      </c>
      <c r="BI250" s="117">
        <f>SUMIF(B20:B333, B250, BH20:BH333)</f>
        <v>0</v>
      </c>
      <c r="BJ250" s="118"/>
      <c r="BK250" s="92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4"/>
    </row>
    <row r="251" spans="1:82" x14ac:dyDescent="0.3">
      <c r="A251" s="68" t="s">
        <v>505</v>
      </c>
      <c r="B251" s="69"/>
      <c r="C251" s="70" t="s">
        <v>280</v>
      </c>
      <c r="D251" s="70" t="s">
        <v>102</v>
      </c>
      <c r="E251" s="71" t="s">
        <v>150</v>
      </c>
      <c r="F251" s="72" t="s">
        <v>103</v>
      </c>
      <c r="G251" s="73"/>
      <c r="H251" s="74" t="s">
        <v>103</v>
      </c>
      <c r="I251" s="72" t="s">
        <v>4</v>
      </c>
      <c r="J251" s="73" t="s">
        <v>6</v>
      </c>
      <c r="K251" s="75"/>
      <c r="L251" s="76"/>
      <c r="M251" s="77"/>
      <c r="N251" s="78">
        <v>2346</v>
      </c>
      <c r="O251" s="79">
        <v>2387</v>
      </c>
      <c r="P251" s="79">
        <v>2485</v>
      </c>
      <c r="Q251" s="80"/>
      <c r="R251" s="155">
        <v>0.09</v>
      </c>
      <c r="S251" s="78">
        <v>211</v>
      </c>
      <c r="T251" s="79">
        <v>215</v>
      </c>
      <c r="U251" s="79">
        <v>224</v>
      </c>
      <c r="V251" s="80">
        <f t="shared" si="66"/>
        <v>0</v>
      </c>
      <c r="W251" s="82"/>
      <c r="X251" s="83"/>
      <c r="Y251" s="84" t="s">
        <v>104</v>
      </c>
      <c r="Z251" s="73" t="str">
        <f>'[1]Tier 1'!V251</f>
        <v>D</v>
      </c>
      <c r="AA251" s="73"/>
      <c r="AB251" s="73"/>
      <c r="AC251" s="73"/>
      <c r="AD251" s="74"/>
      <c r="AE251" s="78">
        <f>'[1]Tier 1'!W251</f>
        <v>1962</v>
      </c>
      <c r="AF251" s="79"/>
      <c r="AG251" s="79">
        <f>'[1]Tier 1'!X251</f>
        <v>1962</v>
      </c>
      <c r="AH251" s="79"/>
      <c r="AI251" s="79">
        <f>'[1]Tier 1'!Y251</f>
        <v>1962</v>
      </c>
      <c r="AJ251" s="79">
        <f t="shared" si="67"/>
        <v>1765.8</v>
      </c>
      <c r="AK251" s="79" t="e">
        <f>VLOOKUP(A251,#REF!,-1,FALSE)</f>
        <v>#REF!</v>
      </c>
      <c r="AL251" s="80" t="e">
        <f t="shared" si="68"/>
        <v>#REF!</v>
      </c>
      <c r="AM251" s="78">
        <f t="shared" si="77"/>
        <v>211</v>
      </c>
      <c r="AN251" s="85">
        <f t="shared" si="78"/>
        <v>0.108</v>
      </c>
      <c r="AO251" s="73" t="str">
        <f t="shared" si="79"/>
        <v>OK</v>
      </c>
      <c r="AP251" s="79">
        <f t="shared" si="80"/>
        <v>215</v>
      </c>
      <c r="AQ251" s="85">
        <f t="shared" si="81"/>
        <v>0.11</v>
      </c>
      <c r="AR251" s="73" t="str">
        <f t="shared" si="82"/>
        <v>OK</v>
      </c>
      <c r="AS251" s="79">
        <f t="shared" si="83"/>
        <v>224</v>
      </c>
      <c r="AT251" s="85">
        <f t="shared" si="84"/>
        <v>0.114</v>
      </c>
      <c r="AU251" s="86" t="str">
        <f t="shared" si="85"/>
        <v>OK</v>
      </c>
      <c r="AV251" s="79">
        <f t="shared" si="69"/>
        <v>0</v>
      </c>
      <c r="AW251" s="85" t="e">
        <f t="shared" si="70"/>
        <v>#REF!</v>
      </c>
      <c r="AX251" s="87" t="e">
        <f t="shared" si="71"/>
        <v>#REF!</v>
      </c>
      <c r="AY251" s="72"/>
      <c r="AZ251" s="73"/>
      <c r="BA251" s="77">
        <f t="shared" si="72"/>
        <v>0</v>
      </c>
      <c r="BB251" s="88">
        <f t="shared" si="73"/>
        <v>1</v>
      </c>
      <c r="BC251" s="89" t="e">
        <f>SUMIF(#REF!,#REF!, BB20:BB333)</f>
        <v>#REF!</v>
      </c>
      <c r="BD251" s="89">
        <f t="shared" si="74"/>
        <v>1</v>
      </c>
      <c r="BE251" s="89" t="e">
        <f>SUMIF(#REF!,#REF!, BD20:BD333)</f>
        <v>#REF!</v>
      </c>
      <c r="BF251" s="89">
        <f t="shared" si="75"/>
        <v>0</v>
      </c>
      <c r="BG251" s="89" t="e">
        <f>SUMIF(#REF!,#REF!, BF20:BF333)</f>
        <v>#REF!</v>
      </c>
      <c r="BH251" s="89" t="e">
        <f t="shared" si="76"/>
        <v>#REF!</v>
      </c>
      <c r="BI251" s="90">
        <f>SUMIF(B20:B333, B251, BH20:BH333)</f>
        <v>0</v>
      </c>
      <c r="BJ251" s="91"/>
      <c r="BK251" s="92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4"/>
    </row>
    <row r="252" spans="1:82" x14ac:dyDescent="0.3">
      <c r="A252" s="95" t="s">
        <v>506</v>
      </c>
      <c r="B252" s="96"/>
      <c r="C252" s="97" t="s">
        <v>166</v>
      </c>
      <c r="D252" s="97" t="s">
        <v>111</v>
      </c>
      <c r="E252" s="98" t="s">
        <v>507</v>
      </c>
      <c r="F252" s="99" t="s">
        <v>103</v>
      </c>
      <c r="G252" s="100"/>
      <c r="H252" s="101" t="s">
        <v>103</v>
      </c>
      <c r="I252" s="99" t="s">
        <v>4</v>
      </c>
      <c r="J252" s="100" t="s">
        <v>6</v>
      </c>
      <c r="K252" s="102"/>
      <c r="L252" s="103"/>
      <c r="M252" s="104"/>
      <c r="N252" s="105">
        <v>3136</v>
      </c>
      <c r="O252" s="106">
        <v>3431</v>
      </c>
      <c r="P252" s="106">
        <v>3628</v>
      </c>
      <c r="Q252" s="107"/>
      <c r="R252" s="156">
        <v>0.09</v>
      </c>
      <c r="S252" s="105">
        <v>282</v>
      </c>
      <c r="T252" s="106">
        <v>309</v>
      </c>
      <c r="U252" s="106">
        <v>327</v>
      </c>
      <c r="V252" s="107">
        <f t="shared" si="66"/>
        <v>0</v>
      </c>
      <c r="W252" s="109"/>
      <c r="X252" s="110"/>
      <c r="Y252" s="111" t="s">
        <v>104</v>
      </c>
      <c r="Z252" s="100" t="str">
        <f>'[1]Tier 1'!V252</f>
        <v>D</v>
      </c>
      <c r="AA252" s="100"/>
      <c r="AB252" s="100"/>
      <c r="AC252" s="100"/>
      <c r="AD252" s="101"/>
      <c r="AE252" s="105">
        <f>'[1]Tier 1'!W252</f>
        <v>1818</v>
      </c>
      <c r="AF252" s="106"/>
      <c r="AG252" s="106">
        <f>'[1]Tier 1'!X252</f>
        <v>1818</v>
      </c>
      <c r="AH252" s="106"/>
      <c r="AI252" s="106">
        <f>'[1]Tier 1'!Y252</f>
        <v>1818</v>
      </c>
      <c r="AJ252" s="106">
        <f t="shared" si="67"/>
        <v>1636.2</v>
      </c>
      <c r="AK252" s="106" t="e">
        <f>VLOOKUP(A252,#REF!,-1,FALSE)</f>
        <v>#REF!</v>
      </c>
      <c r="AL252" s="107" t="e">
        <f t="shared" si="68"/>
        <v>#REF!</v>
      </c>
      <c r="AM252" s="105">
        <f t="shared" si="77"/>
        <v>282</v>
      </c>
      <c r="AN252" s="112">
        <f t="shared" si="78"/>
        <v>0.155</v>
      </c>
      <c r="AO252" s="100" t="str">
        <f t="shared" si="79"/>
        <v>OK</v>
      </c>
      <c r="AP252" s="106">
        <f t="shared" si="80"/>
        <v>309</v>
      </c>
      <c r="AQ252" s="112">
        <f t="shared" si="81"/>
        <v>0.17</v>
      </c>
      <c r="AR252" s="100" t="str">
        <f t="shared" si="82"/>
        <v>OK</v>
      </c>
      <c r="AS252" s="106">
        <f t="shared" si="83"/>
        <v>327</v>
      </c>
      <c r="AT252" s="112">
        <f t="shared" si="84"/>
        <v>0.18</v>
      </c>
      <c r="AU252" s="113" t="str">
        <f t="shared" si="85"/>
        <v>OK</v>
      </c>
      <c r="AV252" s="106">
        <f t="shared" si="69"/>
        <v>0</v>
      </c>
      <c r="AW252" s="112" t="e">
        <f t="shared" si="70"/>
        <v>#REF!</v>
      </c>
      <c r="AX252" s="114" t="e">
        <f t="shared" si="71"/>
        <v>#REF!</v>
      </c>
      <c r="AY252" s="99"/>
      <c r="AZ252" s="100"/>
      <c r="BA252" s="104">
        <f t="shared" si="72"/>
        <v>0</v>
      </c>
      <c r="BB252" s="115">
        <f t="shared" si="73"/>
        <v>1</v>
      </c>
      <c r="BC252" s="116" t="e">
        <f>SUMIF(#REF!,#REF!, BB20:BB333)</f>
        <v>#REF!</v>
      </c>
      <c r="BD252" s="116">
        <f t="shared" si="74"/>
        <v>1</v>
      </c>
      <c r="BE252" s="116" t="e">
        <f>SUMIF(#REF!,#REF!, BD20:BD333)</f>
        <v>#REF!</v>
      </c>
      <c r="BF252" s="116">
        <f t="shared" si="75"/>
        <v>0</v>
      </c>
      <c r="BG252" s="116" t="e">
        <f>SUMIF(#REF!,#REF!, BF20:BF333)</f>
        <v>#REF!</v>
      </c>
      <c r="BH252" s="116" t="e">
        <f t="shared" si="76"/>
        <v>#REF!</v>
      </c>
      <c r="BI252" s="117">
        <f>SUMIF(B20:B333, B252, BH20:BH333)</f>
        <v>0</v>
      </c>
      <c r="BJ252" s="118"/>
      <c r="BK252" s="92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4"/>
    </row>
    <row r="253" spans="1:82" x14ac:dyDescent="0.3">
      <c r="A253" s="68" t="s">
        <v>508</v>
      </c>
      <c r="B253" s="69"/>
      <c r="C253" s="70" t="s">
        <v>166</v>
      </c>
      <c r="D253" s="70" t="s">
        <v>507</v>
      </c>
      <c r="E253" s="71" t="s">
        <v>509</v>
      </c>
      <c r="F253" s="72" t="s">
        <v>103</v>
      </c>
      <c r="G253" s="73"/>
      <c r="H253" s="74" t="s">
        <v>103</v>
      </c>
      <c r="I253" s="72" t="s">
        <v>4</v>
      </c>
      <c r="J253" s="73" t="s">
        <v>6</v>
      </c>
      <c r="K253" s="75"/>
      <c r="L253" s="76"/>
      <c r="M253" s="77"/>
      <c r="N253" s="78">
        <v>3136</v>
      </c>
      <c r="O253" s="79">
        <v>3431</v>
      </c>
      <c r="P253" s="79">
        <v>3628</v>
      </c>
      <c r="Q253" s="80"/>
      <c r="R253" s="155">
        <v>0.09</v>
      </c>
      <c r="S253" s="78">
        <v>282</v>
      </c>
      <c r="T253" s="79">
        <v>309</v>
      </c>
      <c r="U253" s="79">
        <v>327</v>
      </c>
      <c r="V253" s="80">
        <f t="shared" si="66"/>
        <v>0</v>
      </c>
      <c r="W253" s="82"/>
      <c r="X253" s="83"/>
      <c r="Y253" s="84" t="s">
        <v>104</v>
      </c>
      <c r="Z253" s="73" t="str">
        <f>'[1]Tier 1'!V253</f>
        <v>D</v>
      </c>
      <c r="AA253" s="73"/>
      <c r="AB253" s="73"/>
      <c r="AC253" s="73"/>
      <c r="AD253" s="74"/>
      <c r="AE253" s="78">
        <f>'[1]Tier 1'!W253</f>
        <v>1818</v>
      </c>
      <c r="AF253" s="79"/>
      <c r="AG253" s="79">
        <f>'[1]Tier 1'!X253</f>
        <v>1818</v>
      </c>
      <c r="AH253" s="79"/>
      <c r="AI253" s="79">
        <f>'[1]Tier 1'!Y253</f>
        <v>1818</v>
      </c>
      <c r="AJ253" s="79">
        <f t="shared" si="67"/>
        <v>1636.2</v>
      </c>
      <c r="AK253" s="79" t="e">
        <f>VLOOKUP(A253,#REF!,-1,FALSE)</f>
        <v>#REF!</v>
      </c>
      <c r="AL253" s="80" t="e">
        <f t="shared" si="68"/>
        <v>#REF!</v>
      </c>
      <c r="AM253" s="78">
        <f t="shared" si="77"/>
        <v>282</v>
      </c>
      <c r="AN253" s="85">
        <f t="shared" si="78"/>
        <v>0.155</v>
      </c>
      <c r="AO253" s="73" t="str">
        <f t="shared" si="79"/>
        <v>OK</v>
      </c>
      <c r="AP253" s="79">
        <f t="shared" si="80"/>
        <v>309</v>
      </c>
      <c r="AQ253" s="85">
        <f t="shared" si="81"/>
        <v>0.17</v>
      </c>
      <c r="AR253" s="73" t="str">
        <f t="shared" si="82"/>
        <v>OK</v>
      </c>
      <c r="AS253" s="79">
        <f t="shared" si="83"/>
        <v>327</v>
      </c>
      <c r="AT253" s="85">
        <f t="shared" si="84"/>
        <v>0.18</v>
      </c>
      <c r="AU253" s="86" t="str">
        <f t="shared" si="85"/>
        <v>OK</v>
      </c>
      <c r="AV253" s="79">
        <f t="shared" si="69"/>
        <v>0</v>
      </c>
      <c r="AW253" s="85" t="e">
        <f t="shared" si="70"/>
        <v>#REF!</v>
      </c>
      <c r="AX253" s="87" t="e">
        <f t="shared" si="71"/>
        <v>#REF!</v>
      </c>
      <c r="AY253" s="72"/>
      <c r="AZ253" s="73"/>
      <c r="BA253" s="77">
        <f t="shared" si="72"/>
        <v>0</v>
      </c>
      <c r="BB253" s="88">
        <f t="shared" si="73"/>
        <v>1</v>
      </c>
      <c r="BC253" s="89" t="e">
        <f>SUMIF(#REF!,#REF!, BB20:BB333)</f>
        <v>#REF!</v>
      </c>
      <c r="BD253" s="89">
        <f t="shared" si="74"/>
        <v>1</v>
      </c>
      <c r="BE253" s="89" t="e">
        <f>SUMIF(#REF!,#REF!, BD20:BD333)</f>
        <v>#REF!</v>
      </c>
      <c r="BF253" s="89">
        <f t="shared" si="75"/>
        <v>0</v>
      </c>
      <c r="BG253" s="89" t="e">
        <f>SUMIF(#REF!,#REF!, BF20:BF333)</f>
        <v>#REF!</v>
      </c>
      <c r="BH253" s="89" t="e">
        <f t="shared" si="76"/>
        <v>#REF!</v>
      </c>
      <c r="BI253" s="90">
        <f>SUMIF(B20:B333, B253, BH20:BH333)</f>
        <v>0</v>
      </c>
      <c r="BJ253" s="91"/>
      <c r="BK253" s="92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4"/>
    </row>
    <row r="254" spans="1:82" x14ac:dyDescent="0.3">
      <c r="A254" s="95" t="s">
        <v>510</v>
      </c>
      <c r="B254" s="96"/>
      <c r="C254" s="97" t="s">
        <v>166</v>
      </c>
      <c r="D254" s="97" t="s">
        <v>509</v>
      </c>
      <c r="E254" s="98" t="s">
        <v>511</v>
      </c>
      <c r="F254" s="99" t="s">
        <v>103</v>
      </c>
      <c r="G254" s="100"/>
      <c r="H254" s="101" t="s">
        <v>109</v>
      </c>
      <c r="I254" s="99" t="s">
        <v>6</v>
      </c>
      <c r="J254" s="100" t="s">
        <v>6</v>
      </c>
      <c r="K254" s="102"/>
      <c r="L254" s="103"/>
      <c r="M254" s="104"/>
      <c r="N254" s="105">
        <v>3136</v>
      </c>
      <c r="O254" s="106">
        <v>3431</v>
      </c>
      <c r="P254" s="106">
        <v>3628</v>
      </c>
      <c r="Q254" s="107"/>
      <c r="R254" s="156">
        <v>0.09</v>
      </c>
      <c r="S254" s="105">
        <v>282</v>
      </c>
      <c r="T254" s="106">
        <v>309</v>
      </c>
      <c r="U254" s="106">
        <v>327</v>
      </c>
      <c r="V254" s="107">
        <f t="shared" si="66"/>
        <v>0</v>
      </c>
      <c r="W254" s="109"/>
      <c r="X254" s="110"/>
      <c r="Y254" s="111" t="s">
        <v>104</v>
      </c>
      <c r="Z254" s="100" t="str">
        <f>'[1]Tier 1'!V254</f>
        <v>D</v>
      </c>
      <c r="AA254" s="100"/>
      <c r="AB254" s="100"/>
      <c r="AC254" s="100"/>
      <c r="AD254" s="101"/>
      <c r="AE254" s="105">
        <f>'[1]Tier 1'!W254</f>
        <v>1197</v>
      </c>
      <c r="AF254" s="106"/>
      <c r="AG254" s="106">
        <f>'[1]Tier 1'!X254</f>
        <v>1197</v>
      </c>
      <c r="AH254" s="106"/>
      <c r="AI254" s="106">
        <f>'[1]Tier 1'!Y254</f>
        <v>1197</v>
      </c>
      <c r="AJ254" s="106">
        <f t="shared" si="67"/>
        <v>1077.3</v>
      </c>
      <c r="AK254" s="106" t="e">
        <f>VLOOKUP(A254,#REF!,-1,FALSE)</f>
        <v>#REF!</v>
      </c>
      <c r="AL254" s="107" t="e">
        <f t="shared" si="68"/>
        <v>#REF!</v>
      </c>
      <c r="AM254" s="105">
        <f t="shared" si="77"/>
        <v>282</v>
      </c>
      <c r="AN254" s="112">
        <f t="shared" si="78"/>
        <v>0.23599999999999999</v>
      </c>
      <c r="AO254" s="100" t="str">
        <f t="shared" si="79"/>
        <v>OK</v>
      </c>
      <c r="AP254" s="106">
        <f t="shared" si="80"/>
        <v>309</v>
      </c>
      <c r="AQ254" s="112">
        <f t="shared" si="81"/>
        <v>0.25800000000000001</v>
      </c>
      <c r="AR254" s="100" t="str">
        <f t="shared" si="82"/>
        <v>OK</v>
      </c>
      <c r="AS254" s="106">
        <f t="shared" si="83"/>
        <v>327</v>
      </c>
      <c r="AT254" s="112">
        <f t="shared" si="84"/>
        <v>0.27300000000000002</v>
      </c>
      <c r="AU254" s="113" t="str">
        <f t="shared" si="85"/>
        <v>OK</v>
      </c>
      <c r="AV254" s="106">
        <f t="shared" si="69"/>
        <v>0</v>
      </c>
      <c r="AW254" s="112" t="e">
        <f t="shared" si="70"/>
        <v>#REF!</v>
      </c>
      <c r="AX254" s="114" t="e">
        <f t="shared" si="71"/>
        <v>#REF!</v>
      </c>
      <c r="AY254" s="99"/>
      <c r="AZ254" s="100"/>
      <c r="BA254" s="104">
        <f t="shared" si="72"/>
        <v>0</v>
      </c>
      <c r="BB254" s="115">
        <f t="shared" si="73"/>
        <v>1</v>
      </c>
      <c r="BC254" s="116" t="e">
        <f>SUMIF(#REF!,#REF!, BB20:BB333)</f>
        <v>#REF!</v>
      </c>
      <c r="BD254" s="116">
        <f t="shared" si="74"/>
        <v>1</v>
      </c>
      <c r="BE254" s="116" t="e">
        <f>SUMIF(#REF!,#REF!, BD20:BD333)</f>
        <v>#REF!</v>
      </c>
      <c r="BF254" s="116">
        <f t="shared" si="75"/>
        <v>0</v>
      </c>
      <c r="BG254" s="116" t="e">
        <f>SUMIF(#REF!,#REF!, BF20:BF333)</f>
        <v>#REF!</v>
      </c>
      <c r="BH254" s="116" t="e">
        <f t="shared" si="76"/>
        <v>#REF!</v>
      </c>
      <c r="BI254" s="117">
        <f>SUMIF(B20:B333, B254, BH20:BH333)</f>
        <v>0</v>
      </c>
      <c r="BJ254" s="118"/>
      <c r="BK254" s="92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4"/>
    </row>
    <row r="255" spans="1:82" x14ac:dyDescent="0.3">
      <c r="A255" s="68" t="s">
        <v>512</v>
      </c>
      <c r="B255" s="69"/>
      <c r="C255" s="70" t="s">
        <v>166</v>
      </c>
      <c r="D255" s="70" t="s">
        <v>511</v>
      </c>
      <c r="E255" s="71" t="s">
        <v>170</v>
      </c>
      <c r="F255" s="72" t="s">
        <v>103</v>
      </c>
      <c r="G255" s="73"/>
      <c r="H255" s="74" t="s">
        <v>109</v>
      </c>
      <c r="I255" s="72" t="s">
        <v>4</v>
      </c>
      <c r="J255" s="73" t="s">
        <v>6</v>
      </c>
      <c r="K255" s="75"/>
      <c r="L255" s="76"/>
      <c r="M255" s="77"/>
      <c r="N255" s="78">
        <v>3336</v>
      </c>
      <c r="O255" s="79">
        <v>3631</v>
      </c>
      <c r="P255" s="79">
        <v>3828</v>
      </c>
      <c r="Q255" s="80"/>
      <c r="R255" s="155">
        <v>0.09</v>
      </c>
      <c r="S255" s="78">
        <v>300</v>
      </c>
      <c r="T255" s="79">
        <v>327</v>
      </c>
      <c r="U255" s="79">
        <v>345</v>
      </c>
      <c r="V255" s="80">
        <f t="shared" si="66"/>
        <v>0</v>
      </c>
      <c r="W255" s="82"/>
      <c r="X255" s="83"/>
      <c r="Y255" s="84" t="s">
        <v>104</v>
      </c>
      <c r="Z255" s="73" t="str">
        <f>'[1]Tier 1'!V255</f>
        <v>D</v>
      </c>
      <c r="AA255" s="73"/>
      <c r="AB255" s="73"/>
      <c r="AC255" s="73"/>
      <c r="AD255" s="74"/>
      <c r="AE255" s="78">
        <f>'[1]Tier 1'!W255</f>
        <v>1197</v>
      </c>
      <c r="AF255" s="79"/>
      <c r="AG255" s="79">
        <f>'[1]Tier 1'!X255</f>
        <v>1197</v>
      </c>
      <c r="AH255" s="79"/>
      <c r="AI255" s="79">
        <f>'[1]Tier 1'!Y255</f>
        <v>1197</v>
      </c>
      <c r="AJ255" s="79">
        <f t="shared" si="67"/>
        <v>1077.3</v>
      </c>
      <c r="AK255" s="79" t="e">
        <f>VLOOKUP(A255,#REF!,-1,FALSE)</f>
        <v>#REF!</v>
      </c>
      <c r="AL255" s="80" t="e">
        <f t="shared" si="68"/>
        <v>#REF!</v>
      </c>
      <c r="AM255" s="78">
        <f t="shared" si="77"/>
        <v>300</v>
      </c>
      <c r="AN255" s="85">
        <f t="shared" si="78"/>
        <v>0.251</v>
      </c>
      <c r="AO255" s="73" t="str">
        <f t="shared" si="79"/>
        <v>OK</v>
      </c>
      <c r="AP255" s="79">
        <f t="shared" si="80"/>
        <v>327</v>
      </c>
      <c r="AQ255" s="85">
        <f t="shared" si="81"/>
        <v>0.27300000000000002</v>
      </c>
      <c r="AR255" s="73" t="str">
        <f t="shared" si="82"/>
        <v>OK</v>
      </c>
      <c r="AS255" s="79">
        <f t="shared" si="83"/>
        <v>345</v>
      </c>
      <c r="AT255" s="85">
        <f t="shared" si="84"/>
        <v>0.28799999999999998</v>
      </c>
      <c r="AU255" s="86" t="str">
        <f t="shared" si="85"/>
        <v>OK</v>
      </c>
      <c r="AV255" s="79">
        <f t="shared" si="69"/>
        <v>0</v>
      </c>
      <c r="AW255" s="85" t="e">
        <f t="shared" si="70"/>
        <v>#REF!</v>
      </c>
      <c r="AX255" s="87" t="e">
        <f t="shared" si="71"/>
        <v>#REF!</v>
      </c>
      <c r="AY255" s="72"/>
      <c r="AZ255" s="73"/>
      <c r="BA255" s="77">
        <f t="shared" si="72"/>
        <v>0</v>
      </c>
      <c r="BB255" s="88">
        <f t="shared" si="73"/>
        <v>1</v>
      </c>
      <c r="BC255" s="89" t="e">
        <f>SUMIF(#REF!,#REF!, BB20:BB333)</f>
        <v>#REF!</v>
      </c>
      <c r="BD255" s="89">
        <f t="shared" si="74"/>
        <v>1</v>
      </c>
      <c r="BE255" s="89" t="e">
        <f>SUMIF(#REF!,#REF!, BD20:BD333)</f>
        <v>#REF!</v>
      </c>
      <c r="BF255" s="89">
        <f t="shared" si="75"/>
        <v>0</v>
      </c>
      <c r="BG255" s="89" t="e">
        <f>SUMIF(#REF!,#REF!, BF20:BF333)</f>
        <v>#REF!</v>
      </c>
      <c r="BH255" s="89" t="e">
        <f t="shared" si="76"/>
        <v>#REF!</v>
      </c>
      <c r="BI255" s="90">
        <f>SUMIF(B20:B333, B255, BH20:BH333)</f>
        <v>0</v>
      </c>
      <c r="BJ255" s="91"/>
      <c r="BK255" s="92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4"/>
    </row>
    <row r="256" spans="1:82" x14ac:dyDescent="0.3">
      <c r="A256" s="95" t="s">
        <v>513</v>
      </c>
      <c r="B256" s="96"/>
      <c r="C256" s="97" t="s">
        <v>202</v>
      </c>
      <c r="D256" s="97" t="s">
        <v>117</v>
      </c>
      <c r="E256" s="98" t="s">
        <v>120</v>
      </c>
      <c r="F256" s="99" t="s">
        <v>103</v>
      </c>
      <c r="G256" s="100"/>
      <c r="H256" s="101" t="s">
        <v>118</v>
      </c>
      <c r="I256" s="99" t="s">
        <v>6</v>
      </c>
      <c r="J256" s="100" t="s">
        <v>6</v>
      </c>
      <c r="K256" s="102"/>
      <c r="L256" s="103"/>
      <c r="M256" s="104"/>
      <c r="N256" s="105">
        <v>6969</v>
      </c>
      <c r="O256" s="106">
        <v>7564</v>
      </c>
      <c r="P256" s="106">
        <v>7961</v>
      </c>
      <c r="Q256" s="107"/>
      <c r="R256" s="156">
        <v>0.09</v>
      </c>
      <c r="S256" s="105">
        <v>627</v>
      </c>
      <c r="T256" s="106">
        <v>681</v>
      </c>
      <c r="U256" s="106">
        <v>716</v>
      </c>
      <c r="V256" s="107">
        <f t="shared" si="66"/>
        <v>0</v>
      </c>
      <c r="W256" s="109"/>
      <c r="X256" s="110"/>
      <c r="Y256" s="111" t="s">
        <v>104</v>
      </c>
      <c r="Z256" s="100" t="str">
        <f>'[1]Tier 1'!V256</f>
        <v>D</v>
      </c>
      <c r="AA256" s="100"/>
      <c r="AB256" s="100"/>
      <c r="AC256" s="100"/>
      <c r="AD256" s="101"/>
      <c r="AE256" s="105">
        <f>'[1]Tier 1'!W256</f>
        <v>1440</v>
      </c>
      <c r="AF256" s="106"/>
      <c r="AG256" s="106">
        <f>'[1]Tier 1'!X256</f>
        <v>1440</v>
      </c>
      <c r="AH256" s="106"/>
      <c r="AI256" s="106">
        <f>'[1]Tier 1'!Y256</f>
        <v>3222</v>
      </c>
      <c r="AJ256" s="106">
        <f t="shared" si="67"/>
        <v>2899.8</v>
      </c>
      <c r="AK256" s="106" t="e">
        <f>VLOOKUP(A256,#REF!,-1,FALSE)</f>
        <v>#REF!</v>
      </c>
      <c r="AL256" s="107" t="e">
        <f t="shared" si="68"/>
        <v>#REF!</v>
      </c>
      <c r="AM256" s="105">
        <f t="shared" si="77"/>
        <v>627</v>
      </c>
      <c r="AN256" s="112">
        <f t="shared" si="78"/>
        <v>0.435</v>
      </c>
      <c r="AO256" s="100" t="str">
        <f t="shared" si="79"/>
        <v>OK</v>
      </c>
      <c r="AP256" s="106">
        <f t="shared" si="80"/>
        <v>681</v>
      </c>
      <c r="AQ256" s="112">
        <f t="shared" si="81"/>
        <v>0.47299999999999998</v>
      </c>
      <c r="AR256" s="100" t="str">
        <f t="shared" si="82"/>
        <v>OK</v>
      </c>
      <c r="AS256" s="106">
        <f t="shared" si="83"/>
        <v>716</v>
      </c>
      <c r="AT256" s="112">
        <f t="shared" si="84"/>
        <v>0.222</v>
      </c>
      <c r="AU256" s="113" t="str">
        <f t="shared" si="85"/>
        <v>OK</v>
      </c>
      <c r="AV256" s="106">
        <f t="shared" si="69"/>
        <v>0</v>
      </c>
      <c r="AW256" s="112" t="e">
        <f t="shared" si="70"/>
        <v>#REF!</v>
      </c>
      <c r="AX256" s="114" t="e">
        <f t="shared" si="71"/>
        <v>#REF!</v>
      </c>
      <c r="AY256" s="99"/>
      <c r="AZ256" s="100"/>
      <c r="BA256" s="104">
        <f t="shared" si="72"/>
        <v>0</v>
      </c>
      <c r="BB256" s="115">
        <f t="shared" si="73"/>
        <v>1</v>
      </c>
      <c r="BC256" s="116" t="e">
        <f>SUMIF(#REF!,#REF!, BB20:BB333)</f>
        <v>#REF!</v>
      </c>
      <c r="BD256" s="116">
        <f t="shared" si="74"/>
        <v>1</v>
      </c>
      <c r="BE256" s="116" t="e">
        <f>SUMIF(#REF!,#REF!, BD20:BD333)</f>
        <v>#REF!</v>
      </c>
      <c r="BF256" s="116">
        <f t="shared" si="75"/>
        <v>0</v>
      </c>
      <c r="BG256" s="116" t="e">
        <f>SUMIF(#REF!,#REF!, BF20:BF333)</f>
        <v>#REF!</v>
      </c>
      <c r="BH256" s="116" t="e">
        <f t="shared" si="76"/>
        <v>#REF!</v>
      </c>
      <c r="BI256" s="117">
        <f>SUMIF(B20:B333, B256, BH20:BH333)</f>
        <v>0</v>
      </c>
      <c r="BJ256" s="118"/>
      <c r="BK256" s="92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4"/>
    </row>
    <row r="257" spans="1:82" x14ac:dyDescent="0.3">
      <c r="A257" s="68" t="s">
        <v>514</v>
      </c>
      <c r="B257" s="69"/>
      <c r="C257" s="70" t="s">
        <v>202</v>
      </c>
      <c r="D257" s="70" t="s">
        <v>120</v>
      </c>
      <c r="E257" s="71" t="s">
        <v>130</v>
      </c>
      <c r="F257" s="72" t="s">
        <v>103</v>
      </c>
      <c r="G257" s="73"/>
      <c r="H257" s="74" t="s">
        <v>103</v>
      </c>
      <c r="I257" s="72" t="s">
        <v>6</v>
      </c>
      <c r="J257" s="73" t="s">
        <v>6</v>
      </c>
      <c r="K257" s="75"/>
      <c r="L257" s="76"/>
      <c r="M257" s="77"/>
      <c r="N257" s="78">
        <v>5334</v>
      </c>
      <c r="O257" s="79">
        <v>5463</v>
      </c>
      <c r="P257" s="79">
        <v>5549</v>
      </c>
      <c r="Q257" s="80"/>
      <c r="R257" s="155">
        <v>0.09</v>
      </c>
      <c r="S257" s="78">
        <v>480</v>
      </c>
      <c r="T257" s="79">
        <v>492</v>
      </c>
      <c r="U257" s="79">
        <v>499</v>
      </c>
      <c r="V257" s="80">
        <f t="shared" si="66"/>
        <v>0</v>
      </c>
      <c r="W257" s="82"/>
      <c r="X257" s="83"/>
      <c r="Y257" s="84" t="s">
        <v>104</v>
      </c>
      <c r="Z257" s="73" t="str">
        <f>'[1]Tier 1'!V257</f>
        <v>D</v>
      </c>
      <c r="AA257" s="73"/>
      <c r="AB257" s="73"/>
      <c r="AC257" s="73"/>
      <c r="AD257" s="74"/>
      <c r="AE257" s="78">
        <f>'[1]Tier 1'!W257</f>
        <v>1440</v>
      </c>
      <c r="AF257" s="79"/>
      <c r="AG257" s="79">
        <f>'[1]Tier 1'!X257</f>
        <v>1440</v>
      </c>
      <c r="AH257" s="79"/>
      <c r="AI257" s="79">
        <f>'[1]Tier 1'!Y257</f>
        <v>3222</v>
      </c>
      <c r="AJ257" s="79">
        <f t="shared" si="67"/>
        <v>2899.8</v>
      </c>
      <c r="AK257" s="79" t="e">
        <f>VLOOKUP(A257,#REF!,-1,FALSE)</f>
        <v>#REF!</v>
      </c>
      <c r="AL257" s="80" t="e">
        <f t="shared" si="68"/>
        <v>#REF!</v>
      </c>
      <c r="AM257" s="78">
        <f t="shared" si="77"/>
        <v>480</v>
      </c>
      <c r="AN257" s="85">
        <f t="shared" si="78"/>
        <v>0.33300000000000002</v>
      </c>
      <c r="AO257" s="73" t="str">
        <f t="shared" si="79"/>
        <v>OK</v>
      </c>
      <c r="AP257" s="79">
        <f t="shared" si="80"/>
        <v>492</v>
      </c>
      <c r="AQ257" s="85">
        <f t="shared" si="81"/>
        <v>0.34200000000000003</v>
      </c>
      <c r="AR257" s="73" t="str">
        <f t="shared" si="82"/>
        <v>OK</v>
      </c>
      <c r="AS257" s="79">
        <f t="shared" si="83"/>
        <v>499</v>
      </c>
      <c r="AT257" s="85">
        <f t="shared" si="84"/>
        <v>0.155</v>
      </c>
      <c r="AU257" s="86" t="str">
        <f t="shared" si="85"/>
        <v>OK</v>
      </c>
      <c r="AV257" s="79">
        <f t="shared" si="69"/>
        <v>0</v>
      </c>
      <c r="AW257" s="85" t="e">
        <f t="shared" si="70"/>
        <v>#REF!</v>
      </c>
      <c r="AX257" s="87" t="e">
        <f t="shared" si="71"/>
        <v>#REF!</v>
      </c>
      <c r="AY257" s="72"/>
      <c r="AZ257" s="73"/>
      <c r="BA257" s="77">
        <f t="shared" si="72"/>
        <v>0</v>
      </c>
      <c r="BB257" s="88">
        <f t="shared" si="73"/>
        <v>1</v>
      </c>
      <c r="BC257" s="89" t="e">
        <f>SUMIF(#REF!,#REF!, BB20:BB333)</f>
        <v>#REF!</v>
      </c>
      <c r="BD257" s="89">
        <f t="shared" si="74"/>
        <v>1</v>
      </c>
      <c r="BE257" s="89" t="e">
        <f>SUMIF(#REF!,#REF!, BD20:BD333)</f>
        <v>#REF!</v>
      </c>
      <c r="BF257" s="89">
        <f t="shared" si="75"/>
        <v>0</v>
      </c>
      <c r="BG257" s="89" t="e">
        <f>SUMIF(#REF!,#REF!, BF20:BF333)</f>
        <v>#REF!</v>
      </c>
      <c r="BH257" s="89" t="e">
        <f t="shared" si="76"/>
        <v>#REF!</v>
      </c>
      <c r="BI257" s="90">
        <f>SUMIF(B20:B333, B257, BH20:BH333)</f>
        <v>0</v>
      </c>
      <c r="BJ257" s="91"/>
      <c r="BK257" s="92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4"/>
    </row>
    <row r="258" spans="1:82" x14ac:dyDescent="0.3">
      <c r="A258" s="95" t="s">
        <v>515</v>
      </c>
      <c r="B258" s="96"/>
      <c r="C258" s="97" t="s">
        <v>202</v>
      </c>
      <c r="D258" s="97" t="s">
        <v>130</v>
      </c>
      <c r="E258" s="98" t="s">
        <v>102</v>
      </c>
      <c r="F258" s="99" t="s">
        <v>103</v>
      </c>
      <c r="G258" s="100"/>
      <c r="H258" s="101" t="s">
        <v>109</v>
      </c>
      <c r="I258" s="99" t="s">
        <v>6</v>
      </c>
      <c r="J258" s="100" t="s">
        <v>6</v>
      </c>
      <c r="K258" s="102"/>
      <c r="L258" s="103"/>
      <c r="M258" s="104"/>
      <c r="N258" s="105">
        <v>5334</v>
      </c>
      <c r="O258" s="106">
        <v>5463</v>
      </c>
      <c r="P258" s="106">
        <v>5549</v>
      </c>
      <c r="Q258" s="107"/>
      <c r="R258" s="156">
        <v>0.09</v>
      </c>
      <c r="S258" s="105">
        <v>480</v>
      </c>
      <c r="T258" s="106">
        <v>492</v>
      </c>
      <c r="U258" s="106">
        <v>499</v>
      </c>
      <c r="V258" s="107">
        <f t="shared" si="66"/>
        <v>0</v>
      </c>
      <c r="W258" s="109"/>
      <c r="X258" s="110"/>
      <c r="Y258" s="111" t="s">
        <v>104</v>
      </c>
      <c r="Z258" s="100" t="str">
        <f>'[1]Tier 1'!V258</f>
        <v>D</v>
      </c>
      <c r="AA258" s="100"/>
      <c r="AB258" s="100"/>
      <c r="AC258" s="100"/>
      <c r="AD258" s="101"/>
      <c r="AE258" s="105">
        <f>'[1]Tier 1'!W258</f>
        <v>1440</v>
      </c>
      <c r="AF258" s="106"/>
      <c r="AG258" s="106">
        <f>'[1]Tier 1'!X258</f>
        <v>1440</v>
      </c>
      <c r="AH258" s="106"/>
      <c r="AI258" s="106">
        <f>'[1]Tier 1'!Y258</f>
        <v>4851</v>
      </c>
      <c r="AJ258" s="106">
        <f t="shared" si="67"/>
        <v>4365.9000000000005</v>
      </c>
      <c r="AK258" s="106" t="e">
        <f>VLOOKUP(A258,#REF!,-1,FALSE)</f>
        <v>#REF!</v>
      </c>
      <c r="AL258" s="107" t="e">
        <f t="shared" si="68"/>
        <v>#REF!</v>
      </c>
      <c r="AM258" s="105">
        <f t="shared" si="77"/>
        <v>480</v>
      </c>
      <c r="AN258" s="112">
        <f t="shared" si="78"/>
        <v>0.33300000000000002</v>
      </c>
      <c r="AO258" s="100" t="str">
        <f t="shared" si="79"/>
        <v>OK</v>
      </c>
      <c r="AP258" s="106">
        <f t="shared" si="80"/>
        <v>492</v>
      </c>
      <c r="AQ258" s="112">
        <f t="shared" si="81"/>
        <v>0.34200000000000003</v>
      </c>
      <c r="AR258" s="100" t="str">
        <f t="shared" si="82"/>
        <v>OK</v>
      </c>
      <c r="AS258" s="106">
        <f t="shared" si="83"/>
        <v>499</v>
      </c>
      <c r="AT258" s="112">
        <f t="shared" si="84"/>
        <v>0.10299999999999999</v>
      </c>
      <c r="AU258" s="113" t="str">
        <f t="shared" si="85"/>
        <v>OK</v>
      </c>
      <c r="AV258" s="106">
        <f t="shared" si="69"/>
        <v>0</v>
      </c>
      <c r="AW258" s="112" t="e">
        <f t="shared" si="70"/>
        <v>#REF!</v>
      </c>
      <c r="AX258" s="114" t="e">
        <f t="shared" si="71"/>
        <v>#REF!</v>
      </c>
      <c r="AY258" s="99"/>
      <c r="AZ258" s="100"/>
      <c r="BA258" s="104">
        <f t="shared" si="72"/>
        <v>0</v>
      </c>
      <c r="BB258" s="115">
        <f t="shared" si="73"/>
        <v>1</v>
      </c>
      <c r="BC258" s="116" t="e">
        <f>SUMIF(#REF!,#REF!, BB20:BB333)</f>
        <v>#REF!</v>
      </c>
      <c r="BD258" s="116">
        <f t="shared" si="74"/>
        <v>1</v>
      </c>
      <c r="BE258" s="116" t="e">
        <f>SUMIF(#REF!,#REF!, BD20:BD333)</f>
        <v>#REF!</v>
      </c>
      <c r="BF258" s="116">
        <f t="shared" si="75"/>
        <v>0</v>
      </c>
      <c r="BG258" s="116" t="e">
        <f>SUMIF(#REF!,#REF!, BF20:BF333)</f>
        <v>#REF!</v>
      </c>
      <c r="BH258" s="116" t="e">
        <f t="shared" si="76"/>
        <v>#REF!</v>
      </c>
      <c r="BI258" s="117">
        <f>SUMIF(B20:B333, B258, BH20:BH333)</f>
        <v>0</v>
      </c>
      <c r="BJ258" s="118"/>
      <c r="BK258" s="92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4"/>
    </row>
    <row r="259" spans="1:82" x14ac:dyDescent="0.3">
      <c r="A259" s="68" t="s">
        <v>516</v>
      </c>
      <c r="B259" s="69"/>
      <c r="C259" s="70" t="s">
        <v>494</v>
      </c>
      <c r="D259" s="70" t="s">
        <v>112</v>
      </c>
      <c r="E259" s="71" t="s">
        <v>517</v>
      </c>
      <c r="F259" s="72" t="s">
        <v>103</v>
      </c>
      <c r="G259" s="73"/>
      <c r="H259" s="74" t="s">
        <v>103</v>
      </c>
      <c r="I259" s="72" t="s">
        <v>6</v>
      </c>
      <c r="J259" s="73" t="s">
        <v>6</v>
      </c>
      <c r="K259" s="75"/>
      <c r="L259" s="76"/>
      <c r="M259" s="77"/>
      <c r="N259" s="78">
        <v>21420</v>
      </c>
      <c r="O259" s="79">
        <v>22178</v>
      </c>
      <c r="P259" s="79">
        <v>23844</v>
      </c>
      <c r="Q259" s="80"/>
      <c r="R259" s="155">
        <v>0.09</v>
      </c>
      <c r="S259" s="78">
        <v>1928</v>
      </c>
      <c r="T259" s="79">
        <v>1996</v>
      </c>
      <c r="U259" s="79">
        <v>2146</v>
      </c>
      <c r="V259" s="80">
        <f t="shared" si="66"/>
        <v>0</v>
      </c>
      <c r="W259" s="82"/>
      <c r="X259" s="83"/>
      <c r="Y259" s="84" t="s">
        <v>104</v>
      </c>
      <c r="Z259" s="73" t="str">
        <f>'[1]Tier 1'!V259</f>
        <v>D</v>
      </c>
      <c r="AA259" s="73"/>
      <c r="AB259" s="73"/>
      <c r="AC259" s="73"/>
      <c r="AD259" s="74"/>
      <c r="AE259" s="78">
        <f>'[1]Tier 1'!W259</f>
        <v>1440</v>
      </c>
      <c r="AF259" s="79"/>
      <c r="AG259" s="79">
        <f>'[1]Tier 1'!X259</f>
        <v>1440</v>
      </c>
      <c r="AH259" s="79"/>
      <c r="AI259" s="79">
        <f>'[1]Tier 1'!Y259</f>
        <v>1440</v>
      </c>
      <c r="AJ259" s="79">
        <f t="shared" si="67"/>
        <v>1296</v>
      </c>
      <c r="AK259" s="79" t="e">
        <f>VLOOKUP(A259,#REF!,-1,FALSE)</f>
        <v>#REF!</v>
      </c>
      <c r="AL259" s="80" t="e">
        <f t="shared" si="68"/>
        <v>#REF!</v>
      </c>
      <c r="AM259" s="78">
        <f t="shared" si="77"/>
        <v>1928</v>
      </c>
      <c r="AN259" s="85">
        <f t="shared" si="78"/>
        <v>1.339</v>
      </c>
      <c r="AO259" s="73" t="str">
        <f t="shared" si="79"/>
        <v>OK</v>
      </c>
      <c r="AP259" s="79">
        <f t="shared" si="80"/>
        <v>1996</v>
      </c>
      <c r="AQ259" s="85">
        <f t="shared" si="81"/>
        <v>1.3859999999999999</v>
      </c>
      <c r="AR259" s="73" t="str">
        <f t="shared" si="82"/>
        <v>OK</v>
      </c>
      <c r="AS259" s="79">
        <f t="shared" si="83"/>
        <v>2146</v>
      </c>
      <c r="AT259" s="85">
        <f t="shared" si="84"/>
        <v>1.49</v>
      </c>
      <c r="AU259" s="86" t="str">
        <f t="shared" si="85"/>
        <v>OK</v>
      </c>
      <c r="AV259" s="79">
        <f t="shared" si="69"/>
        <v>0</v>
      </c>
      <c r="AW259" s="85" t="e">
        <f t="shared" si="70"/>
        <v>#REF!</v>
      </c>
      <c r="AX259" s="87" t="e">
        <f t="shared" si="71"/>
        <v>#REF!</v>
      </c>
      <c r="AY259" s="72"/>
      <c r="AZ259" s="73"/>
      <c r="BA259" s="77">
        <f t="shared" si="72"/>
        <v>0</v>
      </c>
      <c r="BB259" s="88">
        <f t="shared" si="73"/>
        <v>1</v>
      </c>
      <c r="BC259" s="89" t="e">
        <f>SUMIF(#REF!,#REF!, BB20:BB333)</f>
        <v>#REF!</v>
      </c>
      <c r="BD259" s="89">
        <f t="shared" si="74"/>
        <v>1</v>
      </c>
      <c r="BE259" s="89" t="e">
        <f>SUMIF(#REF!,#REF!, BD20:BD333)</f>
        <v>#REF!</v>
      </c>
      <c r="BF259" s="89">
        <f t="shared" si="75"/>
        <v>1</v>
      </c>
      <c r="BG259" s="89" t="e">
        <f>SUMIF(#REF!,#REF!, BF20:BF333)</f>
        <v>#REF!</v>
      </c>
      <c r="BH259" s="89" t="e">
        <f t="shared" si="76"/>
        <v>#REF!</v>
      </c>
      <c r="BI259" s="90">
        <f>SUMIF(B20:B333, B259, BH20:BH333)</f>
        <v>0</v>
      </c>
      <c r="BJ259" s="91"/>
      <c r="BK259" s="92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4"/>
    </row>
    <row r="260" spans="1:82" x14ac:dyDescent="0.3">
      <c r="A260" s="95" t="s">
        <v>518</v>
      </c>
      <c r="B260" s="96"/>
      <c r="C260" s="97" t="s">
        <v>494</v>
      </c>
      <c r="D260" s="97" t="s">
        <v>517</v>
      </c>
      <c r="E260" s="98" t="s">
        <v>519</v>
      </c>
      <c r="F260" s="99" t="s">
        <v>103</v>
      </c>
      <c r="G260" s="100"/>
      <c r="H260" s="101" t="s">
        <v>109</v>
      </c>
      <c r="I260" s="99" t="s">
        <v>6</v>
      </c>
      <c r="J260" s="100" t="s">
        <v>6</v>
      </c>
      <c r="K260" s="102"/>
      <c r="L260" s="103"/>
      <c r="M260" s="104"/>
      <c r="N260" s="105">
        <v>21420</v>
      </c>
      <c r="O260" s="106">
        <v>22178</v>
      </c>
      <c r="P260" s="106">
        <v>23844</v>
      </c>
      <c r="Q260" s="107"/>
      <c r="R260" s="156">
        <v>0.09</v>
      </c>
      <c r="S260" s="105">
        <v>1928</v>
      </c>
      <c r="T260" s="106">
        <v>1996</v>
      </c>
      <c r="U260" s="106">
        <v>0</v>
      </c>
      <c r="V260" s="107">
        <f t="shared" si="66"/>
        <v>0</v>
      </c>
      <c r="W260" s="109"/>
      <c r="X260" s="110"/>
      <c r="Y260" s="111" t="s">
        <v>104</v>
      </c>
      <c r="Z260" s="100" t="str">
        <f>'[1]Tier 1'!V260</f>
        <v>D</v>
      </c>
      <c r="AA260" s="100"/>
      <c r="AB260" s="100"/>
      <c r="AC260" s="100"/>
      <c r="AD260" s="101"/>
      <c r="AE260" s="105">
        <f>'[1]Tier 1'!W260</f>
        <v>1962</v>
      </c>
      <c r="AF260" s="106"/>
      <c r="AG260" s="106">
        <f>'[1]Tier 1'!X260</f>
        <v>1962</v>
      </c>
      <c r="AH260" s="106"/>
      <c r="AI260" s="106">
        <f>'[1]Tier 1'!Y260</f>
        <v>0</v>
      </c>
      <c r="AJ260" s="106">
        <f t="shared" si="67"/>
        <v>0</v>
      </c>
      <c r="AK260" s="106" t="e">
        <f>VLOOKUP(A260,#REF!,-1,FALSE)</f>
        <v>#REF!</v>
      </c>
      <c r="AL260" s="107" t="e">
        <f t="shared" si="68"/>
        <v>#REF!</v>
      </c>
      <c r="AM260" s="105">
        <f t="shared" si="77"/>
        <v>1928</v>
      </c>
      <c r="AN260" s="112">
        <f t="shared" si="78"/>
        <v>0.98299999999999998</v>
      </c>
      <c r="AO260" s="100" t="str">
        <f t="shared" si="79"/>
        <v>OK</v>
      </c>
      <c r="AP260" s="106">
        <f t="shared" si="80"/>
        <v>1996</v>
      </c>
      <c r="AQ260" s="112">
        <f t="shared" si="81"/>
        <v>1.0169999999999999</v>
      </c>
      <c r="AR260" s="100" t="str">
        <f t="shared" si="82"/>
        <v>OK</v>
      </c>
      <c r="AS260" s="106">
        <f t="shared" si="83"/>
        <v>0</v>
      </c>
      <c r="AT260" s="112">
        <f t="shared" si="84"/>
        <v>0</v>
      </c>
      <c r="AU260" s="113" t="str">
        <f t="shared" si="85"/>
        <v>OK</v>
      </c>
      <c r="AV260" s="106">
        <f t="shared" si="69"/>
        <v>0</v>
      </c>
      <c r="AW260" s="112" t="e">
        <f t="shared" si="70"/>
        <v>#REF!</v>
      </c>
      <c r="AX260" s="114" t="e">
        <f t="shared" si="71"/>
        <v>#REF!</v>
      </c>
      <c r="AY260" s="99"/>
      <c r="AZ260" s="100"/>
      <c r="BA260" s="104">
        <f t="shared" si="72"/>
        <v>0</v>
      </c>
      <c r="BB260" s="115">
        <f t="shared" si="73"/>
        <v>1</v>
      </c>
      <c r="BC260" s="116" t="e">
        <f>SUMIF(#REF!,#REF!, BB20:BB333)</f>
        <v>#REF!</v>
      </c>
      <c r="BD260" s="116">
        <f t="shared" si="74"/>
        <v>1</v>
      </c>
      <c r="BE260" s="116" t="e">
        <f>SUMIF(#REF!,#REF!, BD20:BD333)</f>
        <v>#REF!</v>
      </c>
      <c r="BF260" s="116">
        <f t="shared" si="75"/>
        <v>0</v>
      </c>
      <c r="BG260" s="116" t="e">
        <f>SUMIF(#REF!,#REF!, BF20:BF333)</f>
        <v>#REF!</v>
      </c>
      <c r="BH260" s="116" t="e">
        <f t="shared" si="76"/>
        <v>#REF!</v>
      </c>
      <c r="BI260" s="117">
        <f>SUMIF(B20:B333, B260, BH20:BH333)</f>
        <v>0</v>
      </c>
      <c r="BJ260" s="118"/>
      <c r="BK260" s="92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4"/>
    </row>
    <row r="261" spans="1:82" x14ac:dyDescent="0.3">
      <c r="A261" s="68" t="s">
        <v>520</v>
      </c>
      <c r="B261" s="69"/>
      <c r="C261" s="70" t="s">
        <v>494</v>
      </c>
      <c r="D261" s="70" t="s">
        <v>519</v>
      </c>
      <c r="E261" s="71" t="s">
        <v>117</v>
      </c>
      <c r="F261" s="72" t="s">
        <v>103</v>
      </c>
      <c r="G261" s="73"/>
      <c r="H261" s="74" t="s">
        <v>103</v>
      </c>
      <c r="I261" s="72" t="s">
        <v>6</v>
      </c>
      <c r="J261" s="73" t="s">
        <v>6</v>
      </c>
      <c r="K261" s="75"/>
      <c r="L261" s="76"/>
      <c r="M261" s="77"/>
      <c r="N261" s="78">
        <v>21420</v>
      </c>
      <c r="O261" s="79">
        <v>22178</v>
      </c>
      <c r="P261" s="79">
        <v>23844</v>
      </c>
      <c r="Q261" s="80"/>
      <c r="R261" s="155">
        <v>0.09</v>
      </c>
      <c r="S261" s="78">
        <v>1928</v>
      </c>
      <c r="T261" s="79">
        <v>1996</v>
      </c>
      <c r="U261" s="79">
        <v>2146</v>
      </c>
      <c r="V261" s="80">
        <f t="shared" si="66"/>
        <v>0</v>
      </c>
      <c r="W261" s="82"/>
      <c r="X261" s="83"/>
      <c r="Y261" s="84" t="s">
        <v>104</v>
      </c>
      <c r="Z261" s="73" t="str">
        <f>'[1]Tier 1'!V261</f>
        <v>D</v>
      </c>
      <c r="AA261" s="73"/>
      <c r="AB261" s="73"/>
      <c r="AC261" s="73"/>
      <c r="AD261" s="74"/>
      <c r="AE261" s="78">
        <f>'[1]Tier 1'!W261</f>
        <v>1440</v>
      </c>
      <c r="AF261" s="79"/>
      <c r="AG261" s="79">
        <f>'[1]Tier 1'!X261</f>
        <v>1440</v>
      </c>
      <c r="AH261" s="79"/>
      <c r="AI261" s="79">
        <f>'[1]Tier 1'!Y261</f>
        <v>1440</v>
      </c>
      <c r="AJ261" s="79">
        <f t="shared" si="67"/>
        <v>1296</v>
      </c>
      <c r="AK261" s="79" t="e">
        <f>VLOOKUP(A261,#REF!,-1,FALSE)</f>
        <v>#REF!</v>
      </c>
      <c r="AL261" s="80" t="e">
        <f t="shared" si="68"/>
        <v>#REF!</v>
      </c>
      <c r="AM261" s="78">
        <f t="shared" si="77"/>
        <v>1928</v>
      </c>
      <c r="AN261" s="85">
        <f t="shared" si="78"/>
        <v>1.339</v>
      </c>
      <c r="AO261" s="73" t="str">
        <f t="shared" si="79"/>
        <v>OK</v>
      </c>
      <c r="AP261" s="79">
        <f t="shared" si="80"/>
        <v>1996</v>
      </c>
      <c r="AQ261" s="85">
        <f t="shared" si="81"/>
        <v>1.3859999999999999</v>
      </c>
      <c r="AR261" s="73" t="str">
        <f t="shared" si="82"/>
        <v>OK</v>
      </c>
      <c r="AS261" s="79">
        <f t="shared" si="83"/>
        <v>2146</v>
      </c>
      <c r="AT261" s="85">
        <f t="shared" si="84"/>
        <v>1.49</v>
      </c>
      <c r="AU261" s="86" t="str">
        <f t="shared" si="85"/>
        <v>OK</v>
      </c>
      <c r="AV261" s="79">
        <f t="shared" si="69"/>
        <v>0</v>
      </c>
      <c r="AW261" s="85" t="e">
        <f t="shared" si="70"/>
        <v>#REF!</v>
      </c>
      <c r="AX261" s="87" t="e">
        <f t="shared" si="71"/>
        <v>#REF!</v>
      </c>
      <c r="AY261" s="72"/>
      <c r="AZ261" s="73"/>
      <c r="BA261" s="77">
        <f t="shared" si="72"/>
        <v>0</v>
      </c>
      <c r="BB261" s="88">
        <f t="shared" si="73"/>
        <v>1</v>
      </c>
      <c r="BC261" s="89" t="e">
        <f>SUMIF(#REF!,#REF!, BB20:BB333)</f>
        <v>#REF!</v>
      </c>
      <c r="BD261" s="89">
        <f t="shared" si="74"/>
        <v>1</v>
      </c>
      <c r="BE261" s="89" t="e">
        <f>SUMIF(#REF!,#REF!, BD20:BD333)</f>
        <v>#REF!</v>
      </c>
      <c r="BF261" s="89">
        <f t="shared" si="75"/>
        <v>1</v>
      </c>
      <c r="BG261" s="89" t="e">
        <f>SUMIF(#REF!,#REF!, BF20:BF333)</f>
        <v>#REF!</v>
      </c>
      <c r="BH261" s="89" t="e">
        <f t="shared" si="76"/>
        <v>#REF!</v>
      </c>
      <c r="BI261" s="90">
        <f>SUMIF(B20:B333, B261, BH20:BH333)</f>
        <v>0</v>
      </c>
      <c r="BJ261" s="91"/>
      <c r="BK261" s="92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4"/>
    </row>
    <row r="262" spans="1:82" x14ac:dyDescent="0.3">
      <c r="A262" s="95" t="s">
        <v>521</v>
      </c>
      <c r="B262" s="96"/>
      <c r="C262" s="97" t="s">
        <v>187</v>
      </c>
      <c r="D262" s="97" t="s">
        <v>117</v>
      </c>
      <c r="E262" s="98" t="s">
        <v>120</v>
      </c>
      <c r="F262" s="99" t="s">
        <v>109</v>
      </c>
      <c r="G262" s="100"/>
      <c r="H262" s="101" t="s">
        <v>103</v>
      </c>
      <c r="I262" s="99" t="s">
        <v>6</v>
      </c>
      <c r="J262" s="100" t="s">
        <v>6</v>
      </c>
      <c r="K262" s="102"/>
      <c r="L262" s="103"/>
      <c r="M262" s="104"/>
      <c r="N262" s="105">
        <v>21420</v>
      </c>
      <c r="O262" s="106">
        <v>22178</v>
      </c>
      <c r="P262" s="106">
        <v>23844</v>
      </c>
      <c r="Q262" s="107"/>
      <c r="R262" s="156">
        <v>0.09</v>
      </c>
      <c r="S262" s="105">
        <v>1928</v>
      </c>
      <c r="T262" s="106">
        <v>1996</v>
      </c>
      <c r="U262" s="106">
        <v>2146</v>
      </c>
      <c r="V262" s="107">
        <f t="shared" si="66"/>
        <v>0</v>
      </c>
      <c r="W262" s="109"/>
      <c r="X262" s="110"/>
      <c r="Y262" s="111" t="s">
        <v>104</v>
      </c>
      <c r="Z262" s="100" t="str">
        <f>'[1]Tier 1'!V262</f>
        <v>D</v>
      </c>
      <c r="AA262" s="100"/>
      <c r="AB262" s="100"/>
      <c r="AC262" s="100"/>
      <c r="AD262" s="101"/>
      <c r="AE262" s="105">
        <f>'[1]Tier 1'!W262</f>
        <v>3222</v>
      </c>
      <c r="AF262" s="106"/>
      <c r="AG262" s="106">
        <f>'[1]Tier 1'!X262</f>
        <v>3222</v>
      </c>
      <c r="AH262" s="106"/>
      <c r="AI262" s="106">
        <f>'[1]Tier 1'!Y262</f>
        <v>3222</v>
      </c>
      <c r="AJ262" s="106">
        <f t="shared" si="67"/>
        <v>2899.8</v>
      </c>
      <c r="AK262" s="106" t="e">
        <f>VLOOKUP(A262,#REF!,-1,FALSE)</f>
        <v>#REF!</v>
      </c>
      <c r="AL262" s="107" t="e">
        <f t="shared" si="68"/>
        <v>#REF!</v>
      </c>
      <c r="AM262" s="105">
        <f t="shared" si="77"/>
        <v>1928</v>
      </c>
      <c r="AN262" s="112">
        <f t="shared" si="78"/>
        <v>0.59799999999999998</v>
      </c>
      <c r="AO262" s="100" t="str">
        <f t="shared" si="79"/>
        <v>OK</v>
      </c>
      <c r="AP262" s="106">
        <f t="shared" si="80"/>
        <v>1996</v>
      </c>
      <c r="AQ262" s="112">
        <f t="shared" si="81"/>
        <v>0.61899999999999999</v>
      </c>
      <c r="AR262" s="100" t="str">
        <f t="shared" si="82"/>
        <v>OK</v>
      </c>
      <c r="AS262" s="106">
        <f t="shared" si="83"/>
        <v>2146</v>
      </c>
      <c r="AT262" s="112">
        <f t="shared" si="84"/>
        <v>0.66600000000000004</v>
      </c>
      <c r="AU262" s="113" t="str">
        <f t="shared" si="85"/>
        <v>OK</v>
      </c>
      <c r="AV262" s="106">
        <f t="shared" si="69"/>
        <v>0</v>
      </c>
      <c r="AW262" s="112" t="e">
        <f t="shared" si="70"/>
        <v>#REF!</v>
      </c>
      <c r="AX262" s="114" t="e">
        <f t="shared" si="71"/>
        <v>#REF!</v>
      </c>
      <c r="AY262" s="99"/>
      <c r="AZ262" s="100"/>
      <c r="BA262" s="104">
        <f t="shared" si="72"/>
        <v>0</v>
      </c>
      <c r="BB262" s="115">
        <f t="shared" si="73"/>
        <v>1</v>
      </c>
      <c r="BC262" s="116" t="e">
        <f>SUMIF(#REF!,#REF!, BB20:BB333)</f>
        <v>#REF!</v>
      </c>
      <c r="BD262" s="116">
        <f t="shared" si="74"/>
        <v>1</v>
      </c>
      <c r="BE262" s="116" t="e">
        <f>SUMIF(#REF!,#REF!, BD20:BD333)</f>
        <v>#REF!</v>
      </c>
      <c r="BF262" s="116">
        <f t="shared" si="75"/>
        <v>0</v>
      </c>
      <c r="BG262" s="116" t="e">
        <f>SUMIF(#REF!,#REF!, BF20:BF333)</f>
        <v>#REF!</v>
      </c>
      <c r="BH262" s="116" t="e">
        <f t="shared" si="76"/>
        <v>#REF!</v>
      </c>
      <c r="BI262" s="117">
        <f>SUMIF(B20:B333, B262, BH20:BH333)</f>
        <v>0</v>
      </c>
      <c r="BJ262" s="118"/>
      <c r="BK262" s="92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4"/>
    </row>
    <row r="263" spans="1:82" x14ac:dyDescent="0.3">
      <c r="A263" s="68" t="s">
        <v>522</v>
      </c>
      <c r="B263" s="69"/>
      <c r="C263" s="70" t="s">
        <v>187</v>
      </c>
      <c r="D263" s="70" t="s">
        <v>120</v>
      </c>
      <c r="E263" s="71" t="s">
        <v>523</v>
      </c>
      <c r="F263" s="72" t="s">
        <v>103</v>
      </c>
      <c r="G263" s="73"/>
      <c r="H263" s="74" t="s">
        <v>103</v>
      </c>
      <c r="I263" s="72" t="s">
        <v>6</v>
      </c>
      <c r="J263" s="73" t="s">
        <v>6</v>
      </c>
      <c r="K263" s="75"/>
      <c r="L263" s="76"/>
      <c r="M263" s="77"/>
      <c r="N263" s="78">
        <v>12750</v>
      </c>
      <c r="O263" s="79">
        <v>13111</v>
      </c>
      <c r="P263" s="79">
        <v>13611</v>
      </c>
      <c r="Q263" s="80"/>
      <c r="R263" s="155">
        <v>0.09</v>
      </c>
      <c r="S263" s="78">
        <v>1148</v>
      </c>
      <c r="T263" s="79">
        <v>1180</v>
      </c>
      <c r="U263" s="79">
        <v>1225</v>
      </c>
      <c r="V263" s="80">
        <f t="shared" si="66"/>
        <v>0</v>
      </c>
      <c r="W263" s="82"/>
      <c r="X263" s="83"/>
      <c r="Y263" s="84" t="s">
        <v>104</v>
      </c>
      <c r="Z263" s="73" t="str">
        <f>'[1]Tier 1'!V263</f>
        <v>D</v>
      </c>
      <c r="AA263" s="73"/>
      <c r="AB263" s="73"/>
      <c r="AC263" s="73"/>
      <c r="AD263" s="74"/>
      <c r="AE263" s="78">
        <f>'[1]Tier 1'!W263</f>
        <v>1440</v>
      </c>
      <c r="AF263" s="79"/>
      <c r="AG263" s="79">
        <f>'[1]Tier 1'!X263</f>
        <v>1440</v>
      </c>
      <c r="AH263" s="79"/>
      <c r="AI263" s="79">
        <f>'[1]Tier 1'!Y263</f>
        <v>1440</v>
      </c>
      <c r="AJ263" s="79">
        <f t="shared" si="67"/>
        <v>1296</v>
      </c>
      <c r="AK263" s="79" t="e">
        <f>VLOOKUP(A263,#REF!,-1,FALSE)</f>
        <v>#REF!</v>
      </c>
      <c r="AL263" s="80" t="e">
        <f t="shared" si="68"/>
        <v>#REF!</v>
      </c>
      <c r="AM263" s="78">
        <f t="shared" si="77"/>
        <v>1148</v>
      </c>
      <c r="AN263" s="85">
        <f t="shared" si="78"/>
        <v>0.79700000000000004</v>
      </c>
      <c r="AO263" s="73" t="str">
        <f t="shared" si="79"/>
        <v>OK</v>
      </c>
      <c r="AP263" s="79">
        <f t="shared" si="80"/>
        <v>1180</v>
      </c>
      <c r="AQ263" s="85">
        <f t="shared" si="81"/>
        <v>0.81899999999999995</v>
      </c>
      <c r="AR263" s="73" t="str">
        <f t="shared" si="82"/>
        <v>OK</v>
      </c>
      <c r="AS263" s="79">
        <f t="shared" si="83"/>
        <v>1225</v>
      </c>
      <c r="AT263" s="85">
        <f t="shared" si="84"/>
        <v>0.85099999999999998</v>
      </c>
      <c r="AU263" s="86" t="str">
        <f t="shared" si="85"/>
        <v>OK</v>
      </c>
      <c r="AV263" s="79">
        <f t="shared" si="69"/>
        <v>0</v>
      </c>
      <c r="AW263" s="85" t="e">
        <f t="shared" si="70"/>
        <v>#REF!</v>
      </c>
      <c r="AX263" s="87" t="e">
        <f t="shared" si="71"/>
        <v>#REF!</v>
      </c>
      <c r="AY263" s="72"/>
      <c r="AZ263" s="73"/>
      <c r="BA263" s="77">
        <f t="shared" si="72"/>
        <v>0</v>
      </c>
      <c r="BB263" s="88">
        <f t="shared" si="73"/>
        <v>1</v>
      </c>
      <c r="BC263" s="89" t="e">
        <f>SUMIF(#REF!,#REF!, BB20:BB333)</f>
        <v>#REF!</v>
      </c>
      <c r="BD263" s="89">
        <f t="shared" si="74"/>
        <v>1</v>
      </c>
      <c r="BE263" s="89" t="e">
        <f>SUMIF(#REF!,#REF!, BD20:BD333)</f>
        <v>#REF!</v>
      </c>
      <c r="BF263" s="89">
        <f t="shared" si="75"/>
        <v>0</v>
      </c>
      <c r="BG263" s="89" t="e">
        <f>SUMIF(#REF!,#REF!, BF20:BF333)</f>
        <v>#REF!</v>
      </c>
      <c r="BH263" s="89" t="e">
        <f t="shared" si="76"/>
        <v>#REF!</v>
      </c>
      <c r="BI263" s="90">
        <f>SUMIF(B20:B333, B263, BH20:BH333)</f>
        <v>0</v>
      </c>
      <c r="BJ263" s="91"/>
      <c r="BK263" s="92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4"/>
    </row>
    <row r="264" spans="1:82" x14ac:dyDescent="0.3">
      <c r="A264" s="95" t="s">
        <v>524</v>
      </c>
      <c r="B264" s="96"/>
      <c r="C264" s="97" t="s">
        <v>187</v>
      </c>
      <c r="D264" s="97" t="s">
        <v>523</v>
      </c>
      <c r="E264" s="98" t="s">
        <v>525</v>
      </c>
      <c r="F264" s="99" t="s">
        <v>103</v>
      </c>
      <c r="G264" s="100"/>
      <c r="H264" s="101" t="s">
        <v>109</v>
      </c>
      <c r="I264" s="99" t="s">
        <v>6</v>
      </c>
      <c r="J264" s="100" t="s">
        <v>6</v>
      </c>
      <c r="K264" s="102"/>
      <c r="L264" s="103"/>
      <c r="M264" s="104"/>
      <c r="N264" s="105">
        <v>12750</v>
      </c>
      <c r="O264" s="106">
        <v>13111</v>
      </c>
      <c r="P264" s="106">
        <v>13611</v>
      </c>
      <c r="Q264" s="107"/>
      <c r="R264" s="156">
        <v>0.09</v>
      </c>
      <c r="S264" s="105">
        <v>1148</v>
      </c>
      <c r="T264" s="106">
        <v>1180</v>
      </c>
      <c r="U264" s="106">
        <v>1225</v>
      </c>
      <c r="V264" s="107">
        <f t="shared" si="66"/>
        <v>0</v>
      </c>
      <c r="W264" s="109"/>
      <c r="X264" s="110"/>
      <c r="Y264" s="111" t="s">
        <v>104</v>
      </c>
      <c r="Z264" s="100" t="str">
        <f>'[1]Tier 1'!V264</f>
        <v>D</v>
      </c>
      <c r="AA264" s="100"/>
      <c r="AB264" s="100"/>
      <c r="AC264" s="100"/>
      <c r="AD264" s="101"/>
      <c r="AE264" s="105">
        <f>'[1]Tier 1'!W264</f>
        <v>1962</v>
      </c>
      <c r="AF264" s="106"/>
      <c r="AG264" s="106">
        <f>'[1]Tier 1'!X264</f>
        <v>1962</v>
      </c>
      <c r="AH264" s="106"/>
      <c r="AI264" s="106">
        <f>'[1]Tier 1'!Y264</f>
        <v>1962</v>
      </c>
      <c r="AJ264" s="106">
        <f t="shared" si="67"/>
        <v>1765.8</v>
      </c>
      <c r="AK264" s="106" t="e">
        <f>VLOOKUP(A264,#REF!,-1,FALSE)</f>
        <v>#REF!</v>
      </c>
      <c r="AL264" s="107" t="e">
        <f t="shared" si="68"/>
        <v>#REF!</v>
      </c>
      <c r="AM264" s="105">
        <f t="shared" si="77"/>
        <v>1148</v>
      </c>
      <c r="AN264" s="112">
        <f t="shared" si="78"/>
        <v>0.58499999999999996</v>
      </c>
      <c r="AO264" s="100" t="str">
        <f t="shared" si="79"/>
        <v>OK</v>
      </c>
      <c r="AP264" s="106">
        <f t="shared" si="80"/>
        <v>1180</v>
      </c>
      <c r="AQ264" s="112">
        <f t="shared" si="81"/>
        <v>0.60099999999999998</v>
      </c>
      <c r="AR264" s="100" t="str">
        <f t="shared" si="82"/>
        <v>OK</v>
      </c>
      <c r="AS264" s="106">
        <f t="shared" si="83"/>
        <v>1225</v>
      </c>
      <c r="AT264" s="112">
        <f t="shared" si="84"/>
        <v>0.624</v>
      </c>
      <c r="AU264" s="113" t="str">
        <f t="shared" si="85"/>
        <v>OK</v>
      </c>
      <c r="AV264" s="106">
        <f t="shared" si="69"/>
        <v>0</v>
      </c>
      <c r="AW264" s="112" t="e">
        <f t="shared" si="70"/>
        <v>#REF!</v>
      </c>
      <c r="AX264" s="114" t="e">
        <f t="shared" si="71"/>
        <v>#REF!</v>
      </c>
      <c r="AY264" s="99"/>
      <c r="AZ264" s="100"/>
      <c r="BA264" s="104">
        <f t="shared" si="72"/>
        <v>0</v>
      </c>
      <c r="BB264" s="115">
        <f t="shared" si="73"/>
        <v>1</v>
      </c>
      <c r="BC264" s="116" t="e">
        <f>SUMIF(#REF!,#REF!, BB20:BB333)</f>
        <v>#REF!</v>
      </c>
      <c r="BD264" s="116">
        <f t="shared" si="74"/>
        <v>1</v>
      </c>
      <c r="BE264" s="116" t="e">
        <f>SUMIF(#REF!,#REF!, BD20:BD333)</f>
        <v>#REF!</v>
      </c>
      <c r="BF264" s="116">
        <f t="shared" si="75"/>
        <v>0</v>
      </c>
      <c r="BG264" s="116" t="e">
        <f>SUMIF(#REF!,#REF!, BF20:BF333)</f>
        <v>#REF!</v>
      </c>
      <c r="BH264" s="116" t="e">
        <f t="shared" si="76"/>
        <v>#REF!</v>
      </c>
      <c r="BI264" s="117">
        <f>SUMIF(B20:B333, B264, BH20:BH333)</f>
        <v>0</v>
      </c>
      <c r="BJ264" s="118"/>
      <c r="BK264" s="92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4"/>
    </row>
    <row r="265" spans="1:82" x14ac:dyDescent="0.3">
      <c r="A265" s="68" t="s">
        <v>526</v>
      </c>
      <c r="B265" s="69"/>
      <c r="C265" s="70" t="s">
        <v>187</v>
      </c>
      <c r="D265" s="70" t="s">
        <v>525</v>
      </c>
      <c r="E265" s="71" t="s">
        <v>102</v>
      </c>
      <c r="F265" s="72" t="s">
        <v>103</v>
      </c>
      <c r="G265" s="73"/>
      <c r="H265" s="74" t="s">
        <v>109</v>
      </c>
      <c r="I265" s="72" t="s">
        <v>6</v>
      </c>
      <c r="J265" s="73" t="s">
        <v>6</v>
      </c>
      <c r="K265" s="75"/>
      <c r="L265" s="76"/>
      <c r="M265" s="77"/>
      <c r="N265" s="78">
        <v>12750</v>
      </c>
      <c r="O265" s="79">
        <v>13111</v>
      </c>
      <c r="P265" s="79">
        <v>13611</v>
      </c>
      <c r="Q265" s="80"/>
      <c r="R265" s="155">
        <v>0.09</v>
      </c>
      <c r="S265" s="78">
        <v>1148</v>
      </c>
      <c r="T265" s="79">
        <v>1180</v>
      </c>
      <c r="U265" s="79">
        <v>1225</v>
      </c>
      <c r="V265" s="80">
        <f t="shared" si="66"/>
        <v>0</v>
      </c>
      <c r="W265" s="82"/>
      <c r="X265" s="83"/>
      <c r="Y265" s="84" t="s">
        <v>104</v>
      </c>
      <c r="Z265" s="73" t="str">
        <f>'[1]Tier 1'!V265</f>
        <v>D</v>
      </c>
      <c r="AA265" s="73"/>
      <c r="AB265" s="73"/>
      <c r="AC265" s="73"/>
      <c r="AD265" s="74"/>
      <c r="AE265" s="78">
        <f>'[1]Tier 1'!W265</f>
        <v>1440</v>
      </c>
      <c r="AF265" s="79"/>
      <c r="AG265" s="79">
        <f>'[1]Tier 1'!X265</f>
        <v>1440</v>
      </c>
      <c r="AH265" s="79"/>
      <c r="AI265" s="79">
        <f>'[1]Tier 1'!Y265</f>
        <v>1440</v>
      </c>
      <c r="AJ265" s="79">
        <f t="shared" si="67"/>
        <v>1296</v>
      </c>
      <c r="AK265" s="79" t="e">
        <f>VLOOKUP(A265,#REF!,-1,FALSE)</f>
        <v>#REF!</v>
      </c>
      <c r="AL265" s="80" t="e">
        <f t="shared" si="68"/>
        <v>#REF!</v>
      </c>
      <c r="AM265" s="78">
        <f t="shared" si="77"/>
        <v>1148</v>
      </c>
      <c r="AN265" s="85">
        <f t="shared" si="78"/>
        <v>0.79700000000000004</v>
      </c>
      <c r="AO265" s="73" t="str">
        <f t="shared" si="79"/>
        <v>OK</v>
      </c>
      <c r="AP265" s="79">
        <f t="shared" si="80"/>
        <v>1180</v>
      </c>
      <c r="AQ265" s="85">
        <f t="shared" si="81"/>
        <v>0.81899999999999995</v>
      </c>
      <c r="AR265" s="73" t="str">
        <f t="shared" si="82"/>
        <v>OK</v>
      </c>
      <c r="AS265" s="79">
        <f t="shared" si="83"/>
        <v>1225</v>
      </c>
      <c r="AT265" s="85">
        <f t="shared" si="84"/>
        <v>0.85099999999999998</v>
      </c>
      <c r="AU265" s="86" t="str">
        <f t="shared" si="85"/>
        <v>OK</v>
      </c>
      <c r="AV265" s="79">
        <f t="shared" si="69"/>
        <v>0</v>
      </c>
      <c r="AW265" s="85" t="e">
        <f t="shared" si="70"/>
        <v>#REF!</v>
      </c>
      <c r="AX265" s="87" t="e">
        <f t="shared" si="71"/>
        <v>#REF!</v>
      </c>
      <c r="AY265" s="72"/>
      <c r="AZ265" s="73"/>
      <c r="BA265" s="77">
        <f t="shared" si="72"/>
        <v>0</v>
      </c>
      <c r="BB265" s="88">
        <f t="shared" si="73"/>
        <v>1</v>
      </c>
      <c r="BC265" s="89" t="e">
        <f>SUMIF(#REF!,#REF!, BB20:BB333)</f>
        <v>#REF!</v>
      </c>
      <c r="BD265" s="89">
        <f t="shared" si="74"/>
        <v>1</v>
      </c>
      <c r="BE265" s="89" t="e">
        <f>SUMIF(#REF!,#REF!, BD20:BD333)</f>
        <v>#REF!</v>
      </c>
      <c r="BF265" s="89">
        <f t="shared" si="75"/>
        <v>0</v>
      </c>
      <c r="BG265" s="89" t="e">
        <f>SUMIF(#REF!,#REF!, BF20:BF333)</f>
        <v>#REF!</v>
      </c>
      <c r="BH265" s="89" t="e">
        <f t="shared" si="76"/>
        <v>#REF!</v>
      </c>
      <c r="BI265" s="90">
        <f>SUMIF(B20:B333, B265, BH20:BH333)</f>
        <v>0</v>
      </c>
      <c r="BJ265" s="91"/>
      <c r="BK265" s="92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4"/>
    </row>
    <row r="266" spans="1:82" x14ac:dyDescent="0.3">
      <c r="A266" s="95" t="s">
        <v>527</v>
      </c>
      <c r="B266" s="96"/>
      <c r="C266" s="97" t="s">
        <v>528</v>
      </c>
      <c r="D266" s="97" t="s">
        <v>112</v>
      </c>
      <c r="E266" s="98" t="s">
        <v>529</v>
      </c>
      <c r="F266" s="99" t="s">
        <v>109</v>
      </c>
      <c r="G266" s="100"/>
      <c r="H266" s="101" t="s">
        <v>109</v>
      </c>
      <c r="I266" s="99" t="s">
        <v>4</v>
      </c>
      <c r="J266" s="100" t="s">
        <v>6</v>
      </c>
      <c r="K266" s="102"/>
      <c r="L266" s="103"/>
      <c r="M266" s="104"/>
      <c r="N266" s="105">
        <v>29560</v>
      </c>
      <c r="O266" s="106">
        <v>33362</v>
      </c>
      <c r="P266" s="106">
        <v>35896</v>
      </c>
      <c r="Q266" s="107"/>
      <c r="R266" s="156">
        <v>0.09</v>
      </c>
      <c r="S266" s="105">
        <v>2660</v>
      </c>
      <c r="T266" s="106">
        <v>3003</v>
      </c>
      <c r="U266" s="106">
        <v>3231</v>
      </c>
      <c r="V266" s="107">
        <f t="shared" si="66"/>
        <v>0</v>
      </c>
      <c r="W266" s="109"/>
      <c r="X266" s="110"/>
      <c r="Y266" s="111" t="s">
        <v>104</v>
      </c>
      <c r="Z266" s="100" t="str">
        <f>'[1]Tier 1'!V266</f>
        <v>D</v>
      </c>
      <c r="AA266" s="100"/>
      <c r="AB266" s="100"/>
      <c r="AC266" s="100"/>
      <c r="AD266" s="101"/>
      <c r="AE266" s="105">
        <f>'[1]Tier 1'!W266</f>
        <v>3222</v>
      </c>
      <c r="AF266" s="106"/>
      <c r="AG266" s="106">
        <f>'[1]Tier 1'!X266</f>
        <v>3222</v>
      </c>
      <c r="AH266" s="106"/>
      <c r="AI266" s="106">
        <f>'[1]Tier 1'!Y266</f>
        <v>3222</v>
      </c>
      <c r="AJ266" s="106">
        <f t="shared" si="67"/>
        <v>2899.8</v>
      </c>
      <c r="AK266" s="106" t="e">
        <f>VLOOKUP(A266,#REF!,-1,FALSE)</f>
        <v>#REF!</v>
      </c>
      <c r="AL266" s="107" t="e">
        <f t="shared" si="68"/>
        <v>#REF!</v>
      </c>
      <c r="AM266" s="105">
        <f t="shared" si="77"/>
        <v>2660</v>
      </c>
      <c r="AN266" s="112">
        <f t="shared" si="78"/>
        <v>0.82599999999999996</v>
      </c>
      <c r="AO266" s="100" t="str">
        <f t="shared" si="79"/>
        <v>OK</v>
      </c>
      <c r="AP266" s="106">
        <f t="shared" si="80"/>
        <v>3003</v>
      </c>
      <c r="AQ266" s="112">
        <f t="shared" si="81"/>
        <v>0.93200000000000005</v>
      </c>
      <c r="AR266" s="100" t="str">
        <f t="shared" si="82"/>
        <v>OK</v>
      </c>
      <c r="AS266" s="106">
        <f t="shared" si="83"/>
        <v>3231</v>
      </c>
      <c r="AT266" s="112">
        <f t="shared" si="84"/>
        <v>1.0029999999999999</v>
      </c>
      <c r="AU266" s="113" t="str">
        <f t="shared" si="85"/>
        <v>OK</v>
      </c>
      <c r="AV266" s="106">
        <f t="shared" si="69"/>
        <v>0</v>
      </c>
      <c r="AW266" s="112" t="e">
        <f t="shared" si="70"/>
        <v>#REF!</v>
      </c>
      <c r="AX266" s="114" t="e">
        <f t="shared" si="71"/>
        <v>#REF!</v>
      </c>
      <c r="AY266" s="99"/>
      <c r="AZ266" s="100"/>
      <c r="BA266" s="104">
        <f t="shared" si="72"/>
        <v>0</v>
      </c>
      <c r="BB266" s="115">
        <f t="shared" si="73"/>
        <v>1</v>
      </c>
      <c r="BC266" s="116" t="e">
        <f>SUMIF(#REF!,#REF!, BB20:BB333)</f>
        <v>#REF!</v>
      </c>
      <c r="BD266" s="116">
        <f t="shared" si="74"/>
        <v>1</v>
      </c>
      <c r="BE266" s="116" t="e">
        <f>SUMIF(#REF!,#REF!, BD20:BD333)</f>
        <v>#REF!</v>
      </c>
      <c r="BF266" s="116">
        <f t="shared" si="75"/>
        <v>1</v>
      </c>
      <c r="BG266" s="116" t="e">
        <f>SUMIF(#REF!,#REF!, BF20:BF333)</f>
        <v>#REF!</v>
      </c>
      <c r="BH266" s="116" t="e">
        <f t="shared" si="76"/>
        <v>#REF!</v>
      </c>
      <c r="BI266" s="117">
        <f>SUMIF(B20:B333, B266, BH20:BH333)</f>
        <v>0</v>
      </c>
      <c r="BJ266" s="118"/>
      <c r="BK266" s="92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4"/>
    </row>
    <row r="267" spans="1:82" x14ac:dyDescent="0.3">
      <c r="A267" s="68" t="s">
        <v>530</v>
      </c>
      <c r="B267" s="69"/>
      <c r="C267" s="70" t="s">
        <v>528</v>
      </c>
      <c r="D267" s="70" t="s">
        <v>529</v>
      </c>
      <c r="E267" s="71" t="s">
        <v>531</v>
      </c>
      <c r="F267" s="72" t="s">
        <v>109</v>
      </c>
      <c r="G267" s="73"/>
      <c r="H267" s="74" t="s">
        <v>109</v>
      </c>
      <c r="I267" s="72" t="s">
        <v>4</v>
      </c>
      <c r="J267" s="73" t="s">
        <v>6</v>
      </c>
      <c r="K267" s="75"/>
      <c r="L267" s="76"/>
      <c r="M267" s="77"/>
      <c r="N267" s="78">
        <v>29560</v>
      </c>
      <c r="O267" s="79">
        <v>33362</v>
      </c>
      <c r="P267" s="79">
        <v>35896</v>
      </c>
      <c r="Q267" s="80"/>
      <c r="R267" s="155">
        <v>0.09</v>
      </c>
      <c r="S267" s="78">
        <v>2660</v>
      </c>
      <c r="T267" s="79">
        <v>3003</v>
      </c>
      <c r="U267" s="79">
        <v>3231</v>
      </c>
      <c r="V267" s="80">
        <f t="shared" si="66"/>
        <v>0</v>
      </c>
      <c r="W267" s="82"/>
      <c r="X267" s="83"/>
      <c r="Y267" s="84" t="s">
        <v>104</v>
      </c>
      <c r="Z267" s="73" t="str">
        <f>'[1]Tier 1'!V267</f>
        <v>D</v>
      </c>
      <c r="AA267" s="73"/>
      <c r="AB267" s="73"/>
      <c r="AC267" s="73"/>
      <c r="AD267" s="74"/>
      <c r="AE267" s="78">
        <f>'[1]Tier 1'!W267</f>
        <v>3222</v>
      </c>
      <c r="AF267" s="79"/>
      <c r="AG267" s="79">
        <f>'[1]Tier 1'!X267</f>
        <v>3222</v>
      </c>
      <c r="AH267" s="79"/>
      <c r="AI267" s="79">
        <f>'[1]Tier 1'!Y267</f>
        <v>3222</v>
      </c>
      <c r="AJ267" s="79">
        <f t="shared" si="67"/>
        <v>2899.8</v>
      </c>
      <c r="AK267" s="79" t="e">
        <f>VLOOKUP(A267,#REF!,-1,FALSE)</f>
        <v>#REF!</v>
      </c>
      <c r="AL267" s="80" t="e">
        <f t="shared" si="68"/>
        <v>#REF!</v>
      </c>
      <c r="AM267" s="78">
        <f t="shared" si="77"/>
        <v>2660</v>
      </c>
      <c r="AN267" s="85">
        <f t="shared" si="78"/>
        <v>0.82599999999999996</v>
      </c>
      <c r="AO267" s="73" t="str">
        <f t="shared" si="79"/>
        <v>OK</v>
      </c>
      <c r="AP267" s="79">
        <f t="shared" si="80"/>
        <v>3003</v>
      </c>
      <c r="AQ267" s="85">
        <f t="shared" si="81"/>
        <v>0.93200000000000005</v>
      </c>
      <c r="AR267" s="73" t="str">
        <f t="shared" si="82"/>
        <v>OK</v>
      </c>
      <c r="AS267" s="79">
        <f t="shared" si="83"/>
        <v>3231</v>
      </c>
      <c r="AT267" s="85">
        <f t="shared" si="84"/>
        <v>1.0029999999999999</v>
      </c>
      <c r="AU267" s="86" t="str">
        <f t="shared" si="85"/>
        <v>OK</v>
      </c>
      <c r="AV267" s="79">
        <f t="shared" si="69"/>
        <v>0</v>
      </c>
      <c r="AW267" s="85" t="e">
        <f t="shared" si="70"/>
        <v>#REF!</v>
      </c>
      <c r="AX267" s="87" t="e">
        <f t="shared" si="71"/>
        <v>#REF!</v>
      </c>
      <c r="AY267" s="72"/>
      <c r="AZ267" s="73"/>
      <c r="BA267" s="77">
        <f t="shared" si="72"/>
        <v>0</v>
      </c>
      <c r="BB267" s="88">
        <f t="shared" si="73"/>
        <v>1</v>
      </c>
      <c r="BC267" s="89" t="e">
        <f>SUMIF(#REF!,#REF!, BB20:BB333)</f>
        <v>#REF!</v>
      </c>
      <c r="BD267" s="89">
        <f t="shared" si="74"/>
        <v>1</v>
      </c>
      <c r="BE267" s="89" t="e">
        <f>SUMIF(#REF!,#REF!, BD20:BD333)</f>
        <v>#REF!</v>
      </c>
      <c r="BF267" s="89">
        <f t="shared" si="75"/>
        <v>1</v>
      </c>
      <c r="BG267" s="89" t="e">
        <f>SUMIF(#REF!,#REF!, BF20:BF333)</f>
        <v>#REF!</v>
      </c>
      <c r="BH267" s="89" t="e">
        <f t="shared" si="76"/>
        <v>#REF!</v>
      </c>
      <c r="BI267" s="90">
        <f>SUMIF(B20:B333, B267, BH20:BH333)</f>
        <v>0</v>
      </c>
      <c r="BJ267" s="91"/>
      <c r="BK267" s="92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4"/>
    </row>
    <row r="268" spans="1:82" x14ac:dyDescent="0.3">
      <c r="A268" s="95" t="s">
        <v>532</v>
      </c>
      <c r="B268" s="96"/>
      <c r="C268" s="97" t="s">
        <v>528</v>
      </c>
      <c r="D268" s="97" t="s">
        <v>531</v>
      </c>
      <c r="E268" s="98" t="s">
        <v>533</v>
      </c>
      <c r="F268" s="99" t="s">
        <v>109</v>
      </c>
      <c r="G268" s="100"/>
      <c r="H268" s="101" t="s">
        <v>109</v>
      </c>
      <c r="I268" s="99" t="s">
        <v>4</v>
      </c>
      <c r="J268" s="100" t="s">
        <v>6</v>
      </c>
      <c r="K268" s="102"/>
      <c r="L268" s="103"/>
      <c r="M268" s="104"/>
      <c r="N268" s="105">
        <v>29560</v>
      </c>
      <c r="O268" s="106">
        <v>33362</v>
      </c>
      <c r="P268" s="106">
        <v>35896</v>
      </c>
      <c r="Q268" s="107"/>
      <c r="R268" s="156">
        <v>0.09</v>
      </c>
      <c r="S268" s="105">
        <v>2660</v>
      </c>
      <c r="T268" s="106">
        <v>3003</v>
      </c>
      <c r="U268" s="106">
        <v>3231</v>
      </c>
      <c r="V268" s="107">
        <f t="shared" si="66"/>
        <v>0</v>
      </c>
      <c r="W268" s="109"/>
      <c r="X268" s="110"/>
      <c r="Y268" s="111" t="s">
        <v>104</v>
      </c>
      <c r="Z268" s="100" t="str">
        <f>'[1]Tier 1'!V268</f>
        <v>D</v>
      </c>
      <c r="AA268" s="100"/>
      <c r="AB268" s="100"/>
      <c r="AC268" s="100"/>
      <c r="AD268" s="101"/>
      <c r="AE268" s="105">
        <f>'[1]Tier 1'!W268</f>
        <v>3222</v>
      </c>
      <c r="AF268" s="106"/>
      <c r="AG268" s="106">
        <f>'[1]Tier 1'!X268</f>
        <v>3222</v>
      </c>
      <c r="AH268" s="106"/>
      <c r="AI268" s="106">
        <f>'[1]Tier 1'!Y268</f>
        <v>3222</v>
      </c>
      <c r="AJ268" s="106">
        <f t="shared" si="67"/>
        <v>2899.8</v>
      </c>
      <c r="AK268" s="106" t="e">
        <f>VLOOKUP(A268,#REF!,-1,FALSE)</f>
        <v>#REF!</v>
      </c>
      <c r="AL268" s="107" t="e">
        <f t="shared" si="68"/>
        <v>#REF!</v>
      </c>
      <c r="AM268" s="105">
        <f t="shared" si="77"/>
        <v>2660</v>
      </c>
      <c r="AN268" s="112">
        <f t="shared" si="78"/>
        <v>0.82599999999999996</v>
      </c>
      <c r="AO268" s="100" t="str">
        <f t="shared" si="79"/>
        <v>OK</v>
      </c>
      <c r="AP268" s="106">
        <f t="shared" si="80"/>
        <v>3003</v>
      </c>
      <c r="AQ268" s="112">
        <f t="shared" si="81"/>
        <v>0.93200000000000005</v>
      </c>
      <c r="AR268" s="100" t="str">
        <f t="shared" si="82"/>
        <v>OK</v>
      </c>
      <c r="AS268" s="106">
        <f t="shared" si="83"/>
        <v>3231</v>
      </c>
      <c r="AT268" s="112">
        <f t="shared" si="84"/>
        <v>1.0029999999999999</v>
      </c>
      <c r="AU268" s="113" t="str">
        <f t="shared" si="85"/>
        <v>OK</v>
      </c>
      <c r="AV268" s="106">
        <f t="shared" si="69"/>
        <v>0</v>
      </c>
      <c r="AW268" s="112" t="e">
        <f t="shared" si="70"/>
        <v>#REF!</v>
      </c>
      <c r="AX268" s="114" t="e">
        <f t="shared" si="71"/>
        <v>#REF!</v>
      </c>
      <c r="AY268" s="99"/>
      <c r="AZ268" s="100"/>
      <c r="BA268" s="104">
        <f t="shared" si="72"/>
        <v>0</v>
      </c>
      <c r="BB268" s="115">
        <f t="shared" si="73"/>
        <v>1</v>
      </c>
      <c r="BC268" s="116" t="e">
        <f>SUMIF(#REF!,#REF!, BB20:BB333)</f>
        <v>#REF!</v>
      </c>
      <c r="BD268" s="116">
        <f t="shared" si="74"/>
        <v>1</v>
      </c>
      <c r="BE268" s="116" t="e">
        <f>SUMIF(#REF!,#REF!, BD20:BD333)</f>
        <v>#REF!</v>
      </c>
      <c r="BF268" s="116">
        <f t="shared" si="75"/>
        <v>1</v>
      </c>
      <c r="BG268" s="116" t="e">
        <f>SUMIF(#REF!,#REF!, BF20:BF333)</f>
        <v>#REF!</v>
      </c>
      <c r="BH268" s="116" t="e">
        <f t="shared" si="76"/>
        <v>#REF!</v>
      </c>
      <c r="BI268" s="117">
        <f>SUMIF(B20:B333, B268, BH20:BH333)</f>
        <v>0</v>
      </c>
      <c r="BJ268" s="118"/>
      <c r="BK268" s="92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4"/>
    </row>
    <row r="269" spans="1:82" x14ac:dyDescent="0.3">
      <c r="A269" s="68" t="s">
        <v>534</v>
      </c>
      <c r="B269" s="69"/>
      <c r="C269" s="70" t="s">
        <v>528</v>
      </c>
      <c r="D269" s="70" t="s">
        <v>533</v>
      </c>
      <c r="E269" s="71" t="s">
        <v>535</v>
      </c>
      <c r="F269" s="72" t="s">
        <v>109</v>
      </c>
      <c r="G269" s="73"/>
      <c r="H269" s="74" t="s">
        <v>109</v>
      </c>
      <c r="I269" s="72" t="s">
        <v>4</v>
      </c>
      <c r="J269" s="73" t="s">
        <v>6</v>
      </c>
      <c r="K269" s="75"/>
      <c r="L269" s="76"/>
      <c r="M269" s="77"/>
      <c r="N269" s="78">
        <v>29560</v>
      </c>
      <c r="O269" s="79">
        <v>33362</v>
      </c>
      <c r="P269" s="79">
        <v>35896</v>
      </c>
      <c r="Q269" s="80"/>
      <c r="R269" s="155">
        <v>0.09</v>
      </c>
      <c r="S269" s="78">
        <v>2660</v>
      </c>
      <c r="T269" s="79">
        <v>3003</v>
      </c>
      <c r="U269" s="79">
        <v>3231</v>
      </c>
      <c r="V269" s="80">
        <f t="shared" si="66"/>
        <v>0</v>
      </c>
      <c r="W269" s="82"/>
      <c r="X269" s="83"/>
      <c r="Y269" s="84" t="s">
        <v>104</v>
      </c>
      <c r="Z269" s="73" t="str">
        <f>'[1]Tier 1'!V269</f>
        <v>D</v>
      </c>
      <c r="AA269" s="73"/>
      <c r="AB269" s="73"/>
      <c r="AC269" s="73"/>
      <c r="AD269" s="74"/>
      <c r="AE269" s="78">
        <f>'[1]Tier 1'!W269</f>
        <v>3222</v>
      </c>
      <c r="AF269" s="79"/>
      <c r="AG269" s="79">
        <f>'[1]Tier 1'!X269</f>
        <v>3222</v>
      </c>
      <c r="AH269" s="79"/>
      <c r="AI269" s="79">
        <f>'[1]Tier 1'!Y269</f>
        <v>3222</v>
      </c>
      <c r="AJ269" s="79">
        <f t="shared" si="67"/>
        <v>2899.8</v>
      </c>
      <c r="AK269" s="79" t="e">
        <f>VLOOKUP(A269,#REF!,-1,FALSE)</f>
        <v>#REF!</v>
      </c>
      <c r="AL269" s="80" t="e">
        <f t="shared" si="68"/>
        <v>#REF!</v>
      </c>
      <c r="AM269" s="78">
        <f t="shared" si="77"/>
        <v>2660</v>
      </c>
      <c r="AN269" s="85">
        <f t="shared" si="78"/>
        <v>0.82599999999999996</v>
      </c>
      <c r="AO269" s="73" t="str">
        <f t="shared" si="79"/>
        <v>OK</v>
      </c>
      <c r="AP269" s="79">
        <f t="shared" si="80"/>
        <v>3003</v>
      </c>
      <c r="AQ269" s="85">
        <f t="shared" si="81"/>
        <v>0.93200000000000005</v>
      </c>
      <c r="AR269" s="73" t="str">
        <f t="shared" si="82"/>
        <v>OK</v>
      </c>
      <c r="AS269" s="79">
        <f t="shared" si="83"/>
        <v>3231</v>
      </c>
      <c r="AT269" s="85">
        <f t="shared" si="84"/>
        <v>1.0029999999999999</v>
      </c>
      <c r="AU269" s="86" t="str">
        <f t="shared" si="85"/>
        <v>OK</v>
      </c>
      <c r="AV269" s="79">
        <f t="shared" si="69"/>
        <v>0</v>
      </c>
      <c r="AW269" s="85" t="e">
        <f t="shared" si="70"/>
        <v>#REF!</v>
      </c>
      <c r="AX269" s="87" t="e">
        <f t="shared" si="71"/>
        <v>#REF!</v>
      </c>
      <c r="AY269" s="72"/>
      <c r="AZ269" s="73"/>
      <c r="BA269" s="77">
        <f t="shared" si="72"/>
        <v>0</v>
      </c>
      <c r="BB269" s="88">
        <f t="shared" si="73"/>
        <v>1</v>
      </c>
      <c r="BC269" s="89" t="e">
        <f>SUMIF(#REF!,#REF!, BB20:BB333)</f>
        <v>#REF!</v>
      </c>
      <c r="BD269" s="89">
        <f t="shared" si="74"/>
        <v>1</v>
      </c>
      <c r="BE269" s="89" t="e">
        <f>SUMIF(#REF!,#REF!, BD20:BD333)</f>
        <v>#REF!</v>
      </c>
      <c r="BF269" s="89">
        <f t="shared" si="75"/>
        <v>1</v>
      </c>
      <c r="BG269" s="89" t="e">
        <f>SUMIF(#REF!,#REF!, BF20:BF333)</f>
        <v>#REF!</v>
      </c>
      <c r="BH269" s="89" t="e">
        <f t="shared" si="76"/>
        <v>#REF!</v>
      </c>
      <c r="BI269" s="90">
        <f>SUMIF(B20:B333, B269, BH20:BH333)</f>
        <v>0</v>
      </c>
      <c r="BJ269" s="91"/>
      <c r="BK269" s="92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4"/>
    </row>
    <row r="270" spans="1:82" x14ac:dyDescent="0.3">
      <c r="A270" s="95" t="s">
        <v>536</v>
      </c>
      <c r="B270" s="96"/>
      <c r="C270" s="97" t="s">
        <v>528</v>
      </c>
      <c r="D270" s="97" t="s">
        <v>535</v>
      </c>
      <c r="E270" s="98" t="s">
        <v>117</v>
      </c>
      <c r="F270" s="99" t="s">
        <v>109</v>
      </c>
      <c r="G270" s="100"/>
      <c r="H270" s="101" t="s">
        <v>109</v>
      </c>
      <c r="I270" s="99" t="s">
        <v>4</v>
      </c>
      <c r="J270" s="100" t="s">
        <v>6</v>
      </c>
      <c r="K270" s="102"/>
      <c r="L270" s="103"/>
      <c r="M270" s="104"/>
      <c r="N270" s="105">
        <v>29560</v>
      </c>
      <c r="O270" s="106">
        <v>33362</v>
      </c>
      <c r="P270" s="106">
        <v>35896</v>
      </c>
      <c r="Q270" s="107"/>
      <c r="R270" s="156">
        <v>0.09</v>
      </c>
      <c r="S270" s="105">
        <v>2660</v>
      </c>
      <c r="T270" s="106">
        <v>3003</v>
      </c>
      <c r="U270" s="106">
        <v>3231</v>
      </c>
      <c r="V270" s="107">
        <f t="shared" si="66"/>
        <v>0</v>
      </c>
      <c r="W270" s="109"/>
      <c r="X270" s="110"/>
      <c r="Y270" s="111" t="s">
        <v>104</v>
      </c>
      <c r="Z270" s="100" t="str">
        <f>'[1]Tier 1'!V270</f>
        <v>D</v>
      </c>
      <c r="AA270" s="100"/>
      <c r="AB270" s="100"/>
      <c r="AC270" s="100"/>
      <c r="AD270" s="101"/>
      <c r="AE270" s="105">
        <f>'[1]Tier 1'!W270</f>
        <v>3222</v>
      </c>
      <c r="AF270" s="106"/>
      <c r="AG270" s="106">
        <f>'[1]Tier 1'!X270</f>
        <v>3222</v>
      </c>
      <c r="AH270" s="106"/>
      <c r="AI270" s="106">
        <f>'[1]Tier 1'!Y270</f>
        <v>3222</v>
      </c>
      <c r="AJ270" s="106">
        <f t="shared" si="67"/>
        <v>2899.8</v>
      </c>
      <c r="AK270" s="106" t="e">
        <f>VLOOKUP(A270,#REF!,-1,FALSE)</f>
        <v>#REF!</v>
      </c>
      <c r="AL270" s="107" t="e">
        <f t="shared" si="68"/>
        <v>#REF!</v>
      </c>
      <c r="AM270" s="105">
        <f t="shared" si="77"/>
        <v>2660</v>
      </c>
      <c r="AN270" s="112">
        <f t="shared" si="78"/>
        <v>0.82599999999999996</v>
      </c>
      <c r="AO270" s="100" t="str">
        <f t="shared" si="79"/>
        <v>OK</v>
      </c>
      <c r="AP270" s="106">
        <f t="shared" si="80"/>
        <v>3003</v>
      </c>
      <c r="AQ270" s="112">
        <f t="shared" si="81"/>
        <v>0.93200000000000005</v>
      </c>
      <c r="AR270" s="100" t="str">
        <f t="shared" si="82"/>
        <v>OK</v>
      </c>
      <c r="AS270" s="106">
        <f t="shared" si="83"/>
        <v>3231</v>
      </c>
      <c r="AT270" s="112">
        <f t="shared" si="84"/>
        <v>1.0029999999999999</v>
      </c>
      <c r="AU270" s="113" t="str">
        <f t="shared" si="85"/>
        <v>OK</v>
      </c>
      <c r="AV270" s="106">
        <f t="shared" si="69"/>
        <v>0</v>
      </c>
      <c r="AW270" s="112" t="e">
        <f t="shared" si="70"/>
        <v>#REF!</v>
      </c>
      <c r="AX270" s="114" t="e">
        <f t="shared" si="71"/>
        <v>#REF!</v>
      </c>
      <c r="AY270" s="99"/>
      <c r="AZ270" s="100"/>
      <c r="BA270" s="104">
        <f t="shared" si="72"/>
        <v>0</v>
      </c>
      <c r="BB270" s="115">
        <f t="shared" si="73"/>
        <v>1</v>
      </c>
      <c r="BC270" s="116" t="e">
        <f>SUMIF(#REF!,#REF!, BB20:BB333)</f>
        <v>#REF!</v>
      </c>
      <c r="BD270" s="116">
        <f t="shared" si="74"/>
        <v>1</v>
      </c>
      <c r="BE270" s="116" t="e">
        <f>SUMIF(#REF!,#REF!, BD20:BD333)</f>
        <v>#REF!</v>
      </c>
      <c r="BF270" s="116">
        <f t="shared" si="75"/>
        <v>1</v>
      </c>
      <c r="BG270" s="116" t="e">
        <f>SUMIF(#REF!,#REF!, BF20:BF333)</f>
        <v>#REF!</v>
      </c>
      <c r="BH270" s="116" t="e">
        <f t="shared" si="76"/>
        <v>#REF!</v>
      </c>
      <c r="BI270" s="117">
        <f>SUMIF(B20:B333, B270, BH20:BH333)</f>
        <v>0</v>
      </c>
      <c r="BJ270" s="118"/>
      <c r="BK270" s="92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4"/>
    </row>
    <row r="271" spans="1:82" x14ac:dyDescent="0.3">
      <c r="A271" s="68" t="s">
        <v>537</v>
      </c>
      <c r="B271" s="69"/>
      <c r="C271" s="70" t="s">
        <v>528</v>
      </c>
      <c r="D271" s="70" t="s">
        <v>117</v>
      </c>
      <c r="E271" s="71" t="s">
        <v>490</v>
      </c>
      <c r="F271" s="72" t="s">
        <v>109</v>
      </c>
      <c r="G271" s="73"/>
      <c r="H271" s="74" t="s">
        <v>109</v>
      </c>
      <c r="I271" s="72" t="s">
        <v>4</v>
      </c>
      <c r="J271" s="73" t="s">
        <v>6</v>
      </c>
      <c r="K271" s="75"/>
      <c r="L271" s="76"/>
      <c r="M271" s="77"/>
      <c r="N271" s="78">
        <v>30600</v>
      </c>
      <c r="O271" s="79">
        <v>31091</v>
      </c>
      <c r="P271" s="79">
        <v>32018</v>
      </c>
      <c r="Q271" s="80"/>
      <c r="R271" s="155">
        <v>0.09</v>
      </c>
      <c r="S271" s="78">
        <v>2754</v>
      </c>
      <c r="T271" s="79">
        <v>2798</v>
      </c>
      <c r="U271" s="79">
        <v>2882</v>
      </c>
      <c r="V271" s="80">
        <f t="shared" si="66"/>
        <v>0</v>
      </c>
      <c r="W271" s="82"/>
      <c r="X271" s="83"/>
      <c r="Y271" s="84" t="s">
        <v>104</v>
      </c>
      <c r="Z271" s="73" t="str">
        <f>'[1]Tier 1'!V271</f>
        <v>D</v>
      </c>
      <c r="AA271" s="73"/>
      <c r="AB271" s="73"/>
      <c r="AC271" s="73"/>
      <c r="AD271" s="74"/>
      <c r="AE271" s="78">
        <f>'[1]Tier 1'!W271</f>
        <v>2628</v>
      </c>
      <c r="AF271" s="79"/>
      <c r="AG271" s="79">
        <f>'[1]Tier 1'!X271</f>
        <v>2628</v>
      </c>
      <c r="AH271" s="79"/>
      <c r="AI271" s="79">
        <f>'[1]Tier 1'!Y271</f>
        <v>2628</v>
      </c>
      <c r="AJ271" s="79">
        <f t="shared" si="67"/>
        <v>2365.2000000000003</v>
      </c>
      <c r="AK271" s="79" t="e">
        <f>VLOOKUP(A271,#REF!,-1,FALSE)</f>
        <v>#REF!</v>
      </c>
      <c r="AL271" s="80" t="e">
        <f t="shared" si="68"/>
        <v>#REF!</v>
      </c>
      <c r="AM271" s="78">
        <f t="shared" si="77"/>
        <v>2754</v>
      </c>
      <c r="AN271" s="85">
        <f t="shared" si="78"/>
        <v>1.048</v>
      </c>
      <c r="AO271" s="73" t="str">
        <f t="shared" si="79"/>
        <v>OK</v>
      </c>
      <c r="AP271" s="79">
        <f t="shared" si="80"/>
        <v>2798</v>
      </c>
      <c r="AQ271" s="85">
        <f t="shared" si="81"/>
        <v>1.0649999999999999</v>
      </c>
      <c r="AR271" s="73" t="str">
        <f t="shared" si="82"/>
        <v>OK</v>
      </c>
      <c r="AS271" s="79">
        <f t="shared" si="83"/>
        <v>2882</v>
      </c>
      <c r="AT271" s="85">
        <f t="shared" si="84"/>
        <v>1.097</v>
      </c>
      <c r="AU271" s="86" t="str">
        <f t="shared" si="85"/>
        <v>OK</v>
      </c>
      <c r="AV271" s="79">
        <f t="shared" si="69"/>
        <v>0</v>
      </c>
      <c r="AW271" s="85" t="e">
        <f t="shared" si="70"/>
        <v>#REF!</v>
      </c>
      <c r="AX271" s="87" t="e">
        <f t="shared" si="71"/>
        <v>#REF!</v>
      </c>
      <c r="AY271" s="72"/>
      <c r="AZ271" s="73"/>
      <c r="BA271" s="77">
        <f t="shared" si="72"/>
        <v>0</v>
      </c>
      <c r="BB271" s="88">
        <f t="shared" si="73"/>
        <v>1</v>
      </c>
      <c r="BC271" s="89" t="e">
        <f>SUMIF(#REF!,#REF!, BB20:BB333)</f>
        <v>#REF!</v>
      </c>
      <c r="BD271" s="89">
        <f t="shared" si="74"/>
        <v>1</v>
      </c>
      <c r="BE271" s="89" t="e">
        <f>SUMIF(#REF!,#REF!, BD20:BD333)</f>
        <v>#REF!</v>
      </c>
      <c r="BF271" s="89">
        <f t="shared" si="75"/>
        <v>1</v>
      </c>
      <c r="BG271" s="89" t="e">
        <f>SUMIF(#REF!,#REF!, BF20:BF333)</f>
        <v>#REF!</v>
      </c>
      <c r="BH271" s="89" t="e">
        <f t="shared" si="76"/>
        <v>#REF!</v>
      </c>
      <c r="BI271" s="90">
        <f>SUMIF(B20:B333, B271, BH20:BH333)</f>
        <v>0</v>
      </c>
      <c r="BJ271" s="91"/>
      <c r="BK271" s="92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4"/>
    </row>
    <row r="272" spans="1:82" x14ac:dyDescent="0.3">
      <c r="A272" s="95" t="s">
        <v>538</v>
      </c>
      <c r="B272" s="96"/>
      <c r="C272" s="97" t="s">
        <v>528</v>
      </c>
      <c r="D272" s="97" t="s">
        <v>490</v>
      </c>
      <c r="E272" s="98" t="s">
        <v>417</v>
      </c>
      <c r="F272" s="99" t="s">
        <v>109</v>
      </c>
      <c r="G272" s="100"/>
      <c r="H272" s="101" t="s">
        <v>109</v>
      </c>
      <c r="I272" s="99" t="s">
        <v>4</v>
      </c>
      <c r="J272" s="100" t="s">
        <v>6</v>
      </c>
      <c r="K272" s="102"/>
      <c r="L272" s="103"/>
      <c r="M272" s="104"/>
      <c r="N272" s="105">
        <v>30600</v>
      </c>
      <c r="O272" s="106">
        <v>31091</v>
      </c>
      <c r="P272" s="106">
        <v>32018</v>
      </c>
      <c r="Q272" s="107"/>
      <c r="R272" s="156">
        <v>0.09</v>
      </c>
      <c r="S272" s="105">
        <v>2754</v>
      </c>
      <c r="T272" s="106">
        <v>2798</v>
      </c>
      <c r="U272" s="106">
        <v>2882</v>
      </c>
      <c r="V272" s="107">
        <f t="shared" si="66"/>
        <v>0</v>
      </c>
      <c r="W272" s="109"/>
      <c r="X272" s="110"/>
      <c r="Y272" s="111" t="s">
        <v>104</v>
      </c>
      <c r="Z272" s="100" t="str">
        <f>'[1]Tier 1'!V272</f>
        <v>D</v>
      </c>
      <c r="AA272" s="100"/>
      <c r="AB272" s="100"/>
      <c r="AC272" s="100"/>
      <c r="AD272" s="101"/>
      <c r="AE272" s="105">
        <f>'[1]Tier 1'!W272</f>
        <v>2628</v>
      </c>
      <c r="AF272" s="106"/>
      <c r="AG272" s="106">
        <f>'[1]Tier 1'!X272</f>
        <v>2628</v>
      </c>
      <c r="AH272" s="106"/>
      <c r="AI272" s="106">
        <f>'[1]Tier 1'!Y272</f>
        <v>2628</v>
      </c>
      <c r="AJ272" s="106">
        <f t="shared" si="67"/>
        <v>2365.2000000000003</v>
      </c>
      <c r="AK272" s="106" t="e">
        <f>VLOOKUP(A272,#REF!,-1,FALSE)</f>
        <v>#REF!</v>
      </c>
      <c r="AL272" s="107" t="e">
        <f t="shared" si="68"/>
        <v>#REF!</v>
      </c>
      <c r="AM272" s="105">
        <f t="shared" si="77"/>
        <v>2754</v>
      </c>
      <c r="AN272" s="112">
        <f t="shared" si="78"/>
        <v>1.048</v>
      </c>
      <c r="AO272" s="100" t="str">
        <f t="shared" si="79"/>
        <v>OK</v>
      </c>
      <c r="AP272" s="106">
        <f t="shared" si="80"/>
        <v>2798</v>
      </c>
      <c r="AQ272" s="112">
        <f t="shared" si="81"/>
        <v>1.0649999999999999</v>
      </c>
      <c r="AR272" s="100" t="str">
        <f t="shared" si="82"/>
        <v>OK</v>
      </c>
      <c r="AS272" s="106">
        <f t="shared" si="83"/>
        <v>2882</v>
      </c>
      <c r="AT272" s="112">
        <f t="shared" si="84"/>
        <v>1.097</v>
      </c>
      <c r="AU272" s="113" t="str">
        <f t="shared" si="85"/>
        <v>OK</v>
      </c>
      <c r="AV272" s="106">
        <f t="shared" si="69"/>
        <v>0</v>
      </c>
      <c r="AW272" s="112" t="e">
        <f t="shared" si="70"/>
        <v>#REF!</v>
      </c>
      <c r="AX272" s="114" t="e">
        <f t="shared" si="71"/>
        <v>#REF!</v>
      </c>
      <c r="AY272" s="99"/>
      <c r="AZ272" s="100"/>
      <c r="BA272" s="104">
        <f t="shared" si="72"/>
        <v>0</v>
      </c>
      <c r="BB272" s="115">
        <f t="shared" si="73"/>
        <v>1</v>
      </c>
      <c r="BC272" s="116" t="e">
        <f>SUMIF(#REF!,#REF!, BB20:BB333)</f>
        <v>#REF!</v>
      </c>
      <c r="BD272" s="116">
        <f t="shared" si="74"/>
        <v>1</v>
      </c>
      <c r="BE272" s="116" t="e">
        <f>SUMIF(#REF!,#REF!, BD20:BD333)</f>
        <v>#REF!</v>
      </c>
      <c r="BF272" s="116">
        <f t="shared" si="75"/>
        <v>1</v>
      </c>
      <c r="BG272" s="116" t="e">
        <f>SUMIF(#REF!,#REF!, BF20:BF333)</f>
        <v>#REF!</v>
      </c>
      <c r="BH272" s="116" t="e">
        <f t="shared" si="76"/>
        <v>#REF!</v>
      </c>
      <c r="BI272" s="117">
        <f>SUMIF(B20:B333, B272, BH20:BH333)</f>
        <v>0</v>
      </c>
      <c r="BJ272" s="118"/>
      <c r="BK272" s="92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4"/>
    </row>
    <row r="273" spans="1:82" x14ac:dyDescent="0.3">
      <c r="A273" s="68" t="s">
        <v>539</v>
      </c>
      <c r="B273" s="69"/>
      <c r="C273" s="70" t="s">
        <v>528</v>
      </c>
      <c r="D273" s="70" t="s">
        <v>417</v>
      </c>
      <c r="E273" s="71" t="s">
        <v>223</v>
      </c>
      <c r="F273" s="72" t="s">
        <v>109</v>
      </c>
      <c r="G273" s="73"/>
      <c r="H273" s="74" t="s">
        <v>109</v>
      </c>
      <c r="I273" s="72" t="s">
        <v>4</v>
      </c>
      <c r="J273" s="73" t="s">
        <v>6</v>
      </c>
      <c r="K273" s="75"/>
      <c r="L273" s="76"/>
      <c r="M273" s="77"/>
      <c r="N273" s="78">
        <v>30600</v>
      </c>
      <c r="O273" s="79">
        <v>31091</v>
      </c>
      <c r="P273" s="79">
        <v>32018</v>
      </c>
      <c r="Q273" s="80"/>
      <c r="R273" s="155">
        <v>0.09</v>
      </c>
      <c r="S273" s="78">
        <v>2754</v>
      </c>
      <c r="T273" s="79">
        <v>2798</v>
      </c>
      <c r="U273" s="79">
        <v>2882</v>
      </c>
      <c r="V273" s="80">
        <f t="shared" si="66"/>
        <v>0</v>
      </c>
      <c r="W273" s="82"/>
      <c r="X273" s="83"/>
      <c r="Y273" s="84" t="s">
        <v>104</v>
      </c>
      <c r="Z273" s="73" t="str">
        <f>'[1]Tier 1'!V273</f>
        <v>D</v>
      </c>
      <c r="AA273" s="73"/>
      <c r="AB273" s="73"/>
      <c r="AC273" s="73"/>
      <c r="AD273" s="74"/>
      <c r="AE273" s="78">
        <f>'[1]Tier 1'!W273</f>
        <v>2628</v>
      </c>
      <c r="AF273" s="79"/>
      <c r="AG273" s="79">
        <f>'[1]Tier 1'!X273</f>
        <v>2628</v>
      </c>
      <c r="AH273" s="79"/>
      <c r="AI273" s="79">
        <f>'[1]Tier 1'!Y273</f>
        <v>2628</v>
      </c>
      <c r="AJ273" s="79">
        <f t="shared" si="67"/>
        <v>2365.2000000000003</v>
      </c>
      <c r="AK273" s="79" t="e">
        <f>VLOOKUP(A273,#REF!,-1,FALSE)</f>
        <v>#REF!</v>
      </c>
      <c r="AL273" s="80" t="e">
        <f t="shared" si="68"/>
        <v>#REF!</v>
      </c>
      <c r="AM273" s="78">
        <f t="shared" si="77"/>
        <v>2754</v>
      </c>
      <c r="AN273" s="85">
        <f t="shared" si="78"/>
        <v>1.048</v>
      </c>
      <c r="AO273" s="73" t="str">
        <f t="shared" si="79"/>
        <v>OK</v>
      </c>
      <c r="AP273" s="79">
        <f t="shared" si="80"/>
        <v>2798</v>
      </c>
      <c r="AQ273" s="85">
        <f t="shared" si="81"/>
        <v>1.0649999999999999</v>
      </c>
      <c r="AR273" s="73" t="str">
        <f t="shared" si="82"/>
        <v>OK</v>
      </c>
      <c r="AS273" s="79">
        <f t="shared" si="83"/>
        <v>2882</v>
      </c>
      <c r="AT273" s="85">
        <f t="shared" si="84"/>
        <v>1.097</v>
      </c>
      <c r="AU273" s="86" t="str">
        <f t="shared" si="85"/>
        <v>OK</v>
      </c>
      <c r="AV273" s="79">
        <f t="shared" si="69"/>
        <v>0</v>
      </c>
      <c r="AW273" s="85" t="e">
        <f t="shared" si="70"/>
        <v>#REF!</v>
      </c>
      <c r="AX273" s="87" t="e">
        <f t="shared" si="71"/>
        <v>#REF!</v>
      </c>
      <c r="AY273" s="72"/>
      <c r="AZ273" s="73"/>
      <c r="BA273" s="77">
        <f t="shared" si="72"/>
        <v>0</v>
      </c>
      <c r="BB273" s="88">
        <f t="shared" si="73"/>
        <v>1</v>
      </c>
      <c r="BC273" s="89" t="e">
        <f>SUMIF(#REF!,#REF!, BB20:BB333)</f>
        <v>#REF!</v>
      </c>
      <c r="BD273" s="89">
        <f t="shared" si="74"/>
        <v>1</v>
      </c>
      <c r="BE273" s="89" t="e">
        <f>SUMIF(#REF!,#REF!, BD20:BD333)</f>
        <v>#REF!</v>
      </c>
      <c r="BF273" s="89">
        <f t="shared" si="75"/>
        <v>1</v>
      </c>
      <c r="BG273" s="89" t="e">
        <f>SUMIF(#REF!,#REF!, BF20:BF333)</f>
        <v>#REF!</v>
      </c>
      <c r="BH273" s="89" t="e">
        <f t="shared" si="76"/>
        <v>#REF!</v>
      </c>
      <c r="BI273" s="90">
        <f>SUMIF(B20:B333, B273, BH20:BH333)</f>
        <v>0</v>
      </c>
      <c r="BJ273" s="91"/>
      <c r="BK273" s="92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4"/>
    </row>
    <row r="274" spans="1:82" x14ac:dyDescent="0.3">
      <c r="A274" s="95" t="s">
        <v>540</v>
      </c>
      <c r="B274" s="96"/>
      <c r="C274" s="97" t="s">
        <v>528</v>
      </c>
      <c r="D274" s="97" t="s">
        <v>223</v>
      </c>
      <c r="E274" s="98" t="s">
        <v>541</v>
      </c>
      <c r="F274" s="99" t="s">
        <v>109</v>
      </c>
      <c r="G274" s="100"/>
      <c r="H274" s="101" t="s">
        <v>109</v>
      </c>
      <c r="I274" s="99" t="s">
        <v>4</v>
      </c>
      <c r="J274" s="100" t="s">
        <v>6</v>
      </c>
      <c r="K274" s="102"/>
      <c r="L274" s="103"/>
      <c r="M274" s="104"/>
      <c r="N274" s="105">
        <v>1029</v>
      </c>
      <c r="O274" s="106">
        <v>1092</v>
      </c>
      <c r="P274" s="106">
        <v>1137</v>
      </c>
      <c r="Q274" s="107"/>
      <c r="R274" s="156">
        <v>0.09</v>
      </c>
      <c r="S274" s="105">
        <v>93</v>
      </c>
      <c r="T274" s="106">
        <v>98</v>
      </c>
      <c r="U274" s="106">
        <v>102</v>
      </c>
      <c r="V274" s="107">
        <f t="shared" si="66"/>
        <v>0</v>
      </c>
      <c r="W274" s="109"/>
      <c r="X274" s="110"/>
      <c r="Y274" s="111" t="s">
        <v>104</v>
      </c>
      <c r="Z274" s="100" t="str">
        <f>'[1]Tier 1'!V274</f>
        <v>D</v>
      </c>
      <c r="AA274" s="100"/>
      <c r="AB274" s="100"/>
      <c r="AC274" s="100"/>
      <c r="AD274" s="101"/>
      <c r="AE274" s="105">
        <f>'[1]Tier 1'!W274</f>
        <v>2628</v>
      </c>
      <c r="AF274" s="106"/>
      <c r="AG274" s="106">
        <f>'[1]Tier 1'!X274</f>
        <v>2628</v>
      </c>
      <c r="AH274" s="106"/>
      <c r="AI274" s="106">
        <f>'[1]Tier 1'!Y274</f>
        <v>2628</v>
      </c>
      <c r="AJ274" s="106">
        <f t="shared" si="67"/>
        <v>2365.2000000000003</v>
      </c>
      <c r="AK274" s="106" t="e">
        <f>VLOOKUP(A274,#REF!,-1,FALSE)</f>
        <v>#REF!</v>
      </c>
      <c r="AL274" s="107" t="e">
        <f t="shared" si="68"/>
        <v>#REF!</v>
      </c>
      <c r="AM274" s="105">
        <f t="shared" si="77"/>
        <v>93</v>
      </c>
      <c r="AN274" s="112">
        <f t="shared" si="78"/>
        <v>3.5000000000000003E-2</v>
      </c>
      <c r="AO274" s="100" t="str">
        <f t="shared" si="79"/>
        <v>OK</v>
      </c>
      <c r="AP274" s="106">
        <f t="shared" si="80"/>
        <v>98</v>
      </c>
      <c r="AQ274" s="112">
        <f t="shared" si="81"/>
        <v>3.6999999999999998E-2</v>
      </c>
      <c r="AR274" s="100" t="str">
        <f t="shared" si="82"/>
        <v>OK</v>
      </c>
      <c r="AS274" s="106">
        <f t="shared" si="83"/>
        <v>102</v>
      </c>
      <c r="AT274" s="112">
        <f t="shared" si="84"/>
        <v>3.9E-2</v>
      </c>
      <c r="AU274" s="113" t="str">
        <f t="shared" si="85"/>
        <v>OK</v>
      </c>
      <c r="AV274" s="106">
        <f t="shared" si="69"/>
        <v>0</v>
      </c>
      <c r="AW274" s="112" t="e">
        <f t="shared" si="70"/>
        <v>#REF!</v>
      </c>
      <c r="AX274" s="114" t="e">
        <f t="shared" si="71"/>
        <v>#REF!</v>
      </c>
      <c r="AY274" s="99"/>
      <c r="AZ274" s="100"/>
      <c r="BA274" s="104">
        <f t="shared" si="72"/>
        <v>0</v>
      </c>
      <c r="BB274" s="115">
        <f t="shared" si="73"/>
        <v>1</v>
      </c>
      <c r="BC274" s="116" t="e">
        <f>SUMIF(#REF!,#REF!, BB20:BB333)</f>
        <v>#REF!</v>
      </c>
      <c r="BD274" s="116">
        <f t="shared" si="74"/>
        <v>1</v>
      </c>
      <c r="BE274" s="116" t="e">
        <f>SUMIF(#REF!,#REF!, BD20:BD333)</f>
        <v>#REF!</v>
      </c>
      <c r="BF274" s="116">
        <f t="shared" si="75"/>
        <v>0</v>
      </c>
      <c r="BG274" s="116" t="e">
        <f>SUMIF(#REF!,#REF!, BF20:BF333)</f>
        <v>#REF!</v>
      </c>
      <c r="BH274" s="116" t="e">
        <f t="shared" si="76"/>
        <v>#REF!</v>
      </c>
      <c r="BI274" s="117">
        <f>SUMIF(B20:B333, B274, BH20:BH333)</f>
        <v>0</v>
      </c>
      <c r="BJ274" s="118"/>
      <c r="BK274" s="92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4"/>
    </row>
    <row r="275" spans="1:82" x14ac:dyDescent="0.3">
      <c r="A275" s="68" t="s">
        <v>542</v>
      </c>
      <c r="B275" s="69"/>
      <c r="C275" s="70" t="s">
        <v>528</v>
      </c>
      <c r="D275" s="70" t="s">
        <v>541</v>
      </c>
      <c r="E275" s="71" t="s">
        <v>414</v>
      </c>
      <c r="F275" s="72" t="s">
        <v>109</v>
      </c>
      <c r="G275" s="73"/>
      <c r="H275" s="74" t="s">
        <v>109</v>
      </c>
      <c r="I275" s="72" t="s">
        <v>4</v>
      </c>
      <c r="J275" s="73" t="s">
        <v>6</v>
      </c>
      <c r="K275" s="75"/>
      <c r="L275" s="76"/>
      <c r="M275" s="77"/>
      <c r="N275" s="78">
        <v>1029</v>
      </c>
      <c r="O275" s="79">
        <v>1092</v>
      </c>
      <c r="P275" s="79">
        <v>1137</v>
      </c>
      <c r="Q275" s="80"/>
      <c r="R275" s="155">
        <v>0.09</v>
      </c>
      <c r="S275" s="78">
        <v>93</v>
      </c>
      <c r="T275" s="79">
        <v>98</v>
      </c>
      <c r="U275" s="79">
        <v>102</v>
      </c>
      <c r="V275" s="80">
        <f t="shared" si="66"/>
        <v>0</v>
      </c>
      <c r="W275" s="82"/>
      <c r="X275" s="83"/>
      <c r="Y275" s="84" t="s">
        <v>104</v>
      </c>
      <c r="Z275" s="73" t="str">
        <f>'[1]Tier 1'!V275</f>
        <v>D</v>
      </c>
      <c r="AA275" s="73"/>
      <c r="AB275" s="73"/>
      <c r="AC275" s="73"/>
      <c r="AD275" s="74"/>
      <c r="AE275" s="78">
        <f>'[1]Tier 1'!W275</f>
        <v>2628</v>
      </c>
      <c r="AF275" s="79"/>
      <c r="AG275" s="79">
        <f>'[1]Tier 1'!X275</f>
        <v>2628</v>
      </c>
      <c r="AH275" s="79"/>
      <c r="AI275" s="79">
        <f>'[1]Tier 1'!Y275</f>
        <v>2628</v>
      </c>
      <c r="AJ275" s="79">
        <f t="shared" si="67"/>
        <v>2365.2000000000003</v>
      </c>
      <c r="AK275" s="79" t="e">
        <f>VLOOKUP(A275,#REF!,-1,FALSE)</f>
        <v>#REF!</v>
      </c>
      <c r="AL275" s="80" t="e">
        <f t="shared" si="68"/>
        <v>#REF!</v>
      </c>
      <c r="AM275" s="78">
        <f t="shared" si="77"/>
        <v>93</v>
      </c>
      <c r="AN275" s="85">
        <f t="shared" si="78"/>
        <v>3.5000000000000003E-2</v>
      </c>
      <c r="AO275" s="73" t="str">
        <f t="shared" si="79"/>
        <v>OK</v>
      </c>
      <c r="AP275" s="79">
        <f t="shared" si="80"/>
        <v>98</v>
      </c>
      <c r="AQ275" s="85">
        <f t="shared" si="81"/>
        <v>3.6999999999999998E-2</v>
      </c>
      <c r="AR275" s="73" t="str">
        <f t="shared" si="82"/>
        <v>OK</v>
      </c>
      <c r="AS275" s="79">
        <f t="shared" si="83"/>
        <v>102</v>
      </c>
      <c r="AT275" s="85">
        <f t="shared" si="84"/>
        <v>3.9E-2</v>
      </c>
      <c r="AU275" s="86" t="str">
        <f t="shared" si="85"/>
        <v>OK</v>
      </c>
      <c r="AV275" s="79">
        <f t="shared" si="69"/>
        <v>0</v>
      </c>
      <c r="AW275" s="85" t="e">
        <f t="shared" si="70"/>
        <v>#REF!</v>
      </c>
      <c r="AX275" s="87" t="e">
        <f t="shared" si="71"/>
        <v>#REF!</v>
      </c>
      <c r="AY275" s="72"/>
      <c r="AZ275" s="73"/>
      <c r="BA275" s="77">
        <f t="shared" si="72"/>
        <v>0</v>
      </c>
      <c r="BB275" s="88">
        <f t="shared" si="73"/>
        <v>1</v>
      </c>
      <c r="BC275" s="89" t="e">
        <f>SUMIF(#REF!,#REF!, BB20:BB333)</f>
        <v>#REF!</v>
      </c>
      <c r="BD275" s="89">
        <f t="shared" si="74"/>
        <v>1</v>
      </c>
      <c r="BE275" s="89" t="e">
        <f>SUMIF(#REF!,#REF!, BD20:BD333)</f>
        <v>#REF!</v>
      </c>
      <c r="BF275" s="89">
        <f t="shared" si="75"/>
        <v>0</v>
      </c>
      <c r="BG275" s="89" t="e">
        <f>SUMIF(#REF!,#REF!, BF20:BF333)</f>
        <v>#REF!</v>
      </c>
      <c r="BH275" s="89" t="e">
        <f t="shared" si="76"/>
        <v>#REF!</v>
      </c>
      <c r="BI275" s="90">
        <f>SUMIF(B20:B333, B275, BH20:BH333)</f>
        <v>0</v>
      </c>
      <c r="BJ275" s="91"/>
      <c r="BK275" s="92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4"/>
    </row>
    <row r="276" spans="1:82" x14ac:dyDescent="0.3">
      <c r="A276" s="95" t="s">
        <v>543</v>
      </c>
      <c r="B276" s="96"/>
      <c r="C276" s="97" t="s">
        <v>528</v>
      </c>
      <c r="D276" s="97" t="s">
        <v>414</v>
      </c>
      <c r="E276" s="98" t="s">
        <v>544</v>
      </c>
      <c r="F276" s="99" t="s">
        <v>109</v>
      </c>
      <c r="G276" s="100"/>
      <c r="H276" s="101" t="s">
        <v>103</v>
      </c>
      <c r="I276" s="99" t="s">
        <v>4</v>
      </c>
      <c r="J276" s="100" t="s">
        <v>6</v>
      </c>
      <c r="K276" s="102"/>
      <c r="L276" s="103"/>
      <c r="M276" s="104"/>
      <c r="N276" s="105">
        <v>25778</v>
      </c>
      <c r="O276" s="106">
        <v>27678</v>
      </c>
      <c r="P276" s="106">
        <v>28944</v>
      </c>
      <c r="Q276" s="107"/>
      <c r="R276" s="156">
        <v>0.09</v>
      </c>
      <c r="S276" s="105">
        <v>2320</v>
      </c>
      <c r="T276" s="106">
        <v>2491</v>
      </c>
      <c r="U276" s="106">
        <v>2605</v>
      </c>
      <c r="V276" s="107">
        <f t="shared" ref="V276:V332" si="86">ROUND(R276*Q276,0)</f>
        <v>0</v>
      </c>
      <c r="W276" s="109"/>
      <c r="X276" s="110"/>
      <c r="Y276" s="111" t="s">
        <v>104</v>
      </c>
      <c r="Z276" s="100" t="str">
        <f>'[1]Tier 1'!V276</f>
        <v>D</v>
      </c>
      <c r="AA276" s="100"/>
      <c r="AB276" s="100"/>
      <c r="AC276" s="100"/>
      <c r="AD276" s="101"/>
      <c r="AE276" s="105">
        <f>'[1]Tier 1'!W276</f>
        <v>2628</v>
      </c>
      <c r="AF276" s="106"/>
      <c r="AG276" s="106">
        <f>'[1]Tier 1'!X276</f>
        <v>2628</v>
      </c>
      <c r="AH276" s="106"/>
      <c r="AI276" s="106">
        <f>'[1]Tier 1'!Y276</f>
        <v>2628</v>
      </c>
      <c r="AJ276" s="106">
        <f t="shared" ref="AJ276:AJ332" si="87">AI276 * 0.9</f>
        <v>2365.2000000000003</v>
      </c>
      <c r="AK276" s="106" t="e">
        <f>VLOOKUP(A276,#REF!,-1,FALSE)</f>
        <v>#REF!</v>
      </c>
      <c r="AL276" s="107" t="e">
        <f t="shared" ref="AL276:AL332" si="88">AK276 * 0.9</f>
        <v>#REF!</v>
      </c>
      <c r="AM276" s="105">
        <f t="shared" si="77"/>
        <v>2320</v>
      </c>
      <c r="AN276" s="112">
        <f t="shared" si="78"/>
        <v>0.88300000000000001</v>
      </c>
      <c r="AO276" s="100" t="str">
        <f t="shared" si="79"/>
        <v>OK</v>
      </c>
      <c r="AP276" s="106">
        <f t="shared" si="80"/>
        <v>2491</v>
      </c>
      <c r="AQ276" s="112">
        <f t="shared" si="81"/>
        <v>0.94799999999999995</v>
      </c>
      <c r="AR276" s="100" t="str">
        <f t="shared" si="82"/>
        <v>OK</v>
      </c>
      <c r="AS276" s="106">
        <f t="shared" si="83"/>
        <v>2605</v>
      </c>
      <c r="AT276" s="112">
        <f t="shared" si="84"/>
        <v>0.99099999999999999</v>
      </c>
      <c r="AU276" s="113" t="str">
        <f t="shared" si="85"/>
        <v>OK</v>
      </c>
      <c r="AV276" s="106">
        <f t="shared" ref="AV276:AV332" si="89">V276+W276</f>
        <v>0</v>
      </c>
      <c r="AW276" s="112" t="e">
        <f t="shared" ref="AW276:AW332" si="90">IF(AK276&gt;0, ROUND(AV276/AK276,3),0)</f>
        <v>#REF!</v>
      </c>
      <c r="AX276" s="114" t="e">
        <f t="shared" ref="AX276:AX332" si="91">IF(AND(V276=0, AV276&gt;0), "DATA1", IF(OR(AV276&gt;AL276,BI276&gt;0), IF(Y276="CONC. (ART-PLAN)", "STUDY 1", "STUDY 2"), "OK"))</f>
        <v>#REF!</v>
      </c>
      <c r="AY276" s="99"/>
      <c r="AZ276" s="100"/>
      <c r="BA276" s="104">
        <f t="shared" ref="BA276:BA332" si="92">IF(AG276&gt;0, X276/AG276, 0)</f>
        <v>0</v>
      </c>
      <c r="BB276" s="115">
        <f t="shared" ref="BB276:BB332" si="93">IF(AM276&gt;AF276,1,0)</f>
        <v>1</v>
      </c>
      <c r="BC276" s="116" t="e">
        <f>SUMIF(#REF!,#REF!, BB20:BB333)</f>
        <v>#REF!</v>
      </c>
      <c r="BD276" s="116">
        <f t="shared" ref="BD276:BD332" si="94">IF(AP276&gt;AH276,1,0)</f>
        <v>1</v>
      </c>
      <c r="BE276" s="116" t="e">
        <f>SUMIF(#REF!,#REF!, BD20:BD333)</f>
        <v>#REF!</v>
      </c>
      <c r="BF276" s="116">
        <f t="shared" ref="BF276:BF332" si="95">IF(AS276&gt;AJ276,1,0)</f>
        <v>1</v>
      </c>
      <c r="BG276" s="116" t="e">
        <f>SUMIF(#REF!,#REF!, BF20:BF333)</f>
        <v>#REF!</v>
      </c>
      <c r="BH276" s="116" t="e">
        <f t="shared" ref="BH276:BH332" si="96">IF(AV276&gt;AL276,1,0)</f>
        <v>#REF!</v>
      </c>
      <c r="BI276" s="117">
        <f>SUMIF(B20:B333, B276, BH20:BH333)</f>
        <v>0</v>
      </c>
      <c r="BJ276" s="118"/>
      <c r="BK276" s="92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4"/>
    </row>
    <row r="277" spans="1:82" x14ac:dyDescent="0.3">
      <c r="A277" s="68" t="s">
        <v>545</v>
      </c>
      <c r="B277" s="69"/>
      <c r="C277" s="70" t="s">
        <v>528</v>
      </c>
      <c r="D277" s="70" t="s">
        <v>544</v>
      </c>
      <c r="E277" s="71" t="s">
        <v>102</v>
      </c>
      <c r="F277" s="72" t="s">
        <v>109</v>
      </c>
      <c r="G277" s="73"/>
      <c r="H277" s="74" t="s">
        <v>118</v>
      </c>
      <c r="I277" s="72" t="s">
        <v>4</v>
      </c>
      <c r="J277" s="73" t="s">
        <v>6</v>
      </c>
      <c r="K277" s="75"/>
      <c r="L277" s="76"/>
      <c r="M277" s="77"/>
      <c r="N277" s="78">
        <v>25778</v>
      </c>
      <c r="O277" s="79">
        <v>27678</v>
      </c>
      <c r="P277" s="79">
        <v>28944</v>
      </c>
      <c r="Q277" s="80"/>
      <c r="R277" s="155">
        <v>0.09</v>
      </c>
      <c r="S277" s="78">
        <v>2320</v>
      </c>
      <c r="T277" s="79">
        <v>2491</v>
      </c>
      <c r="U277" s="79">
        <v>2605</v>
      </c>
      <c r="V277" s="80">
        <f t="shared" si="86"/>
        <v>0</v>
      </c>
      <c r="W277" s="82"/>
      <c r="X277" s="83"/>
      <c r="Y277" s="84" t="s">
        <v>104</v>
      </c>
      <c r="Z277" s="73" t="str">
        <f>'[1]Tier 1'!V277</f>
        <v>D</v>
      </c>
      <c r="AA277" s="73"/>
      <c r="AB277" s="73"/>
      <c r="AC277" s="73"/>
      <c r="AD277" s="74"/>
      <c r="AE277" s="78">
        <f>'[1]Tier 1'!W277</f>
        <v>2628</v>
      </c>
      <c r="AF277" s="79"/>
      <c r="AG277" s="79">
        <f>'[1]Tier 1'!X277</f>
        <v>2628</v>
      </c>
      <c r="AH277" s="79"/>
      <c r="AI277" s="79">
        <f>'[1]Tier 1'!Y277</f>
        <v>2628</v>
      </c>
      <c r="AJ277" s="79">
        <f t="shared" si="87"/>
        <v>2365.2000000000003</v>
      </c>
      <c r="AK277" s="79" t="e">
        <f>VLOOKUP(A277,#REF!,-1,FALSE)</f>
        <v>#REF!</v>
      </c>
      <c r="AL277" s="80" t="e">
        <f t="shared" si="88"/>
        <v>#REF!</v>
      </c>
      <c r="AM277" s="78">
        <f t="shared" ref="AM277:AM340" si="97">S277+W277</f>
        <v>2320</v>
      </c>
      <c r="AN277" s="85">
        <f t="shared" ref="AN277:AN340" si="98">IF(AE277&gt;0, ROUND(AM277/AE277,3),0)</f>
        <v>0.88300000000000001</v>
      </c>
      <c r="AO277" s="73" t="str">
        <f t="shared" ref="AO277:AO340" si="99">IF($W277&gt;0,IF(AN277&gt;0.8999,"Study 1", "OK"),"OK")</f>
        <v>OK</v>
      </c>
      <c r="AP277" s="79">
        <f t="shared" ref="AP277:AP340" si="100">T277+W277</f>
        <v>2491</v>
      </c>
      <c r="AQ277" s="85">
        <f t="shared" ref="AQ277:AQ340" si="101">IF(AG277&gt;0, ROUND(AP277/AG277,3),0)</f>
        <v>0.94799999999999995</v>
      </c>
      <c r="AR277" s="73" t="str">
        <f t="shared" ref="AR277:AR340" si="102">IF($W277&gt;0,IF(AQ277&gt;0.8999,"Study 1", "OK"),"OK")</f>
        <v>OK</v>
      </c>
      <c r="AS277" s="79">
        <f t="shared" ref="AS277:AS340" si="103">U277+W277</f>
        <v>2605</v>
      </c>
      <c r="AT277" s="85">
        <f t="shared" ref="AT277:AT340" si="104">IF(AI277&gt;0, ROUND(AS277/AI277,3),0)</f>
        <v>0.99099999999999999</v>
      </c>
      <c r="AU277" s="86" t="str">
        <f t="shared" ref="AU277:AU340" si="105">IF($W277&gt;0,IF(AT277&gt;0.8999,"Study 1", "OK"),"OK")</f>
        <v>OK</v>
      </c>
      <c r="AV277" s="79">
        <f t="shared" si="89"/>
        <v>0</v>
      </c>
      <c r="AW277" s="85" t="e">
        <f t="shared" si="90"/>
        <v>#REF!</v>
      </c>
      <c r="AX277" s="87" t="e">
        <f t="shared" si="91"/>
        <v>#REF!</v>
      </c>
      <c r="AY277" s="72"/>
      <c r="AZ277" s="73"/>
      <c r="BA277" s="77">
        <f t="shared" si="92"/>
        <v>0</v>
      </c>
      <c r="BB277" s="88">
        <f t="shared" si="93"/>
        <v>1</v>
      </c>
      <c r="BC277" s="89" t="e">
        <f>SUMIF(#REF!,#REF!, BB20:BB333)</f>
        <v>#REF!</v>
      </c>
      <c r="BD277" s="89">
        <f t="shared" si="94"/>
        <v>1</v>
      </c>
      <c r="BE277" s="89" t="e">
        <f>SUMIF(#REF!,#REF!, BD20:BD333)</f>
        <v>#REF!</v>
      </c>
      <c r="BF277" s="89">
        <f t="shared" si="95"/>
        <v>1</v>
      </c>
      <c r="BG277" s="89" t="e">
        <f>SUMIF(#REF!,#REF!, BF20:BF333)</f>
        <v>#REF!</v>
      </c>
      <c r="BH277" s="89" t="e">
        <f t="shared" si="96"/>
        <v>#REF!</v>
      </c>
      <c r="BI277" s="90">
        <f>SUMIF(B20:B333, B277, BH20:BH333)</f>
        <v>0</v>
      </c>
      <c r="BJ277" s="91"/>
      <c r="BK277" s="92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4"/>
    </row>
    <row r="278" spans="1:82" hidden="1" x14ac:dyDescent="0.3">
      <c r="A278" s="95" t="s">
        <v>546</v>
      </c>
      <c r="B278" s="96"/>
      <c r="C278" s="97" t="s">
        <v>528</v>
      </c>
      <c r="D278" s="97" t="s">
        <v>102</v>
      </c>
      <c r="E278" s="98" t="s">
        <v>547</v>
      </c>
      <c r="F278" s="99" t="s">
        <v>103</v>
      </c>
      <c r="G278" s="100"/>
      <c r="H278" s="101" t="s">
        <v>118</v>
      </c>
      <c r="I278" s="99" t="s">
        <v>6</v>
      </c>
      <c r="J278" s="100" t="s">
        <v>6</v>
      </c>
      <c r="K278" s="102"/>
      <c r="L278" s="103"/>
      <c r="M278" s="104"/>
      <c r="N278" s="105" t="e">
        <v>#DIV/0!</v>
      </c>
      <c r="O278" s="106">
        <v>0</v>
      </c>
      <c r="P278" s="106" t="e">
        <v>#DIV/0!</v>
      </c>
      <c r="Q278" s="107"/>
      <c r="R278" s="156">
        <v>0.09</v>
      </c>
      <c r="S278" s="105" t="e">
        <v>#DIV/0!</v>
      </c>
      <c r="T278" s="106">
        <v>0</v>
      </c>
      <c r="U278" s="106" t="e">
        <v>#DIV/0!</v>
      </c>
      <c r="V278" s="107">
        <f t="shared" si="86"/>
        <v>0</v>
      </c>
      <c r="W278" s="109"/>
      <c r="X278" s="110"/>
      <c r="Y278" s="111" t="s">
        <v>104</v>
      </c>
      <c r="Z278" s="100" t="str">
        <f>'[1]Tier 1'!V278</f>
        <v>D</v>
      </c>
      <c r="AA278" s="100"/>
      <c r="AB278" s="100"/>
      <c r="AC278" s="100"/>
      <c r="AD278" s="101"/>
      <c r="AE278" s="105">
        <f>'[1]Tier 1'!W278</f>
        <v>1197</v>
      </c>
      <c r="AF278" s="106"/>
      <c r="AG278" s="106">
        <f>'[1]Tier 1'!X278</f>
        <v>1197</v>
      </c>
      <c r="AH278" s="106"/>
      <c r="AI278" s="106">
        <f>'[1]Tier 1'!Y278</f>
        <v>1197</v>
      </c>
      <c r="AJ278" s="106">
        <f t="shared" si="87"/>
        <v>1077.3</v>
      </c>
      <c r="AK278" s="106" t="e">
        <f>VLOOKUP(A278,#REF!,-1,FALSE)</f>
        <v>#REF!</v>
      </c>
      <c r="AL278" s="107" t="e">
        <f t="shared" si="88"/>
        <v>#REF!</v>
      </c>
      <c r="AM278" s="105" t="e">
        <f t="shared" si="97"/>
        <v>#DIV/0!</v>
      </c>
      <c r="AN278" s="112" t="e">
        <f t="shared" si="98"/>
        <v>#DIV/0!</v>
      </c>
      <c r="AO278" s="100" t="str">
        <f t="shared" si="99"/>
        <v>OK</v>
      </c>
      <c r="AP278" s="106">
        <f t="shared" si="100"/>
        <v>0</v>
      </c>
      <c r="AQ278" s="112">
        <f t="shared" si="101"/>
        <v>0</v>
      </c>
      <c r="AR278" s="100" t="str">
        <f t="shared" si="102"/>
        <v>OK</v>
      </c>
      <c r="AS278" s="106" t="e">
        <f t="shared" si="103"/>
        <v>#DIV/0!</v>
      </c>
      <c r="AT278" s="112" t="e">
        <f t="shared" si="104"/>
        <v>#DIV/0!</v>
      </c>
      <c r="AU278" s="113" t="str">
        <f t="shared" si="105"/>
        <v>OK</v>
      </c>
      <c r="AV278" s="106">
        <f t="shared" si="89"/>
        <v>0</v>
      </c>
      <c r="AW278" s="112" t="e">
        <f t="shared" si="90"/>
        <v>#REF!</v>
      </c>
      <c r="AX278" s="114" t="e">
        <f t="shared" si="91"/>
        <v>#REF!</v>
      </c>
      <c r="AY278" s="99"/>
      <c r="AZ278" s="100"/>
      <c r="BA278" s="104">
        <f t="shared" si="92"/>
        <v>0</v>
      </c>
      <c r="BB278" s="115" t="e">
        <f t="shared" si="93"/>
        <v>#DIV/0!</v>
      </c>
      <c r="BC278" s="116" t="e">
        <f>SUMIF(#REF!,#REF!, BB20:BB333)</f>
        <v>#REF!</v>
      </c>
      <c r="BD278" s="116">
        <f t="shared" si="94"/>
        <v>0</v>
      </c>
      <c r="BE278" s="116" t="e">
        <f>SUMIF(#REF!,#REF!, BD20:BD333)</f>
        <v>#REF!</v>
      </c>
      <c r="BF278" s="116" t="e">
        <f t="shared" si="95"/>
        <v>#DIV/0!</v>
      </c>
      <c r="BG278" s="116" t="e">
        <f>SUMIF(#REF!,#REF!, BF20:BF333)</f>
        <v>#REF!</v>
      </c>
      <c r="BH278" s="116" t="e">
        <f t="shared" si="96"/>
        <v>#REF!</v>
      </c>
      <c r="BI278" s="117">
        <f>SUMIF(B20:B333, B278, BH20:BH333)</f>
        <v>0</v>
      </c>
      <c r="BJ278" s="118"/>
      <c r="BK278" s="92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4"/>
    </row>
    <row r="279" spans="1:82" x14ac:dyDescent="0.3">
      <c r="A279" s="68" t="s">
        <v>548</v>
      </c>
      <c r="B279" s="69"/>
      <c r="C279" s="70" t="s">
        <v>173</v>
      </c>
      <c r="D279" s="70" t="s">
        <v>117</v>
      </c>
      <c r="E279" s="71" t="s">
        <v>549</v>
      </c>
      <c r="F279" s="72" t="s">
        <v>138</v>
      </c>
      <c r="G279" s="73"/>
      <c r="H279" s="74" t="s">
        <v>109</v>
      </c>
      <c r="I279" s="72" t="s">
        <v>4</v>
      </c>
      <c r="J279" s="73" t="s">
        <v>6</v>
      </c>
      <c r="K279" s="75"/>
      <c r="L279" s="76"/>
      <c r="M279" s="77"/>
      <c r="N279" s="78">
        <v>13431</v>
      </c>
      <c r="O279" s="79">
        <v>14253</v>
      </c>
      <c r="P279" s="79">
        <v>14829</v>
      </c>
      <c r="Q279" s="80"/>
      <c r="R279" s="155">
        <v>0.09</v>
      </c>
      <c r="S279" s="78">
        <v>1209</v>
      </c>
      <c r="T279" s="79">
        <v>1283</v>
      </c>
      <c r="U279" s="79">
        <v>1335</v>
      </c>
      <c r="V279" s="80">
        <f t="shared" si="86"/>
        <v>0</v>
      </c>
      <c r="W279" s="82"/>
      <c r="X279" s="83"/>
      <c r="Y279" s="84" t="s">
        <v>104</v>
      </c>
      <c r="Z279" s="73" t="str">
        <f>'[1]Tier 1'!V279</f>
        <v>D</v>
      </c>
      <c r="AA279" s="73"/>
      <c r="AB279" s="73"/>
      <c r="AC279" s="73"/>
      <c r="AD279" s="74"/>
      <c r="AE279" s="78">
        <f>'[1]Tier 1'!W279</f>
        <v>1257</v>
      </c>
      <c r="AF279" s="79"/>
      <c r="AG279" s="79">
        <f>'[1]Tier 1'!X279</f>
        <v>1257</v>
      </c>
      <c r="AH279" s="79"/>
      <c r="AI279" s="79">
        <f>'[1]Tier 1'!Y279</f>
        <v>4050</v>
      </c>
      <c r="AJ279" s="79">
        <f t="shared" si="87"/>
        <v>3645</v>
      </c>
      <c r="AK279" s="79" t="e">
        <f>VLOOKUP(A279,#REF!,-1,FALSE)</f>
        <v>#REF!</v>
      </c>
      <c r="AL279" s="80" t="e">
        <f t="shared" si="88"/>
        <v>#REF!</v>
      </c>
      <c r="AM279" s="78">
        <f t="shared" si="97"/>
        <v>1209</v>
      </c>
      <c r="AN279" s="85">
        <f t="shared" si="98"/>
        <v>0.96199999999999997</v>
      </c>
      <c r="AO279" s="73" t="str">
        <f t="shared" si="99"/>
        <v>OK</v>
      </c>
      <c r="AP279" s="79">
        <f t="shared" si="100"/>
        <v>1283</v>
      </c>
      <c r="AQ279" s="85">
        <f t="shared" si="101"/>
        <v>1.0209999999999999</v>
      </c>
      <c r="AR279" s="73" t="str">
        <f t="shared" si="102"/>
        <v>OK</v>
      </c>
      <c r="AS279" s="79">
        <f t="shared" si="103"/>
        <v>1335</v>
      </c>
      <c r="AT279" s="85">
        <f t="shared" si="104"/>
        <v>0.33</v>
      </c>
      <c r="AU279" s="86" t="str">
        <f t="shared" si="105"/>
        <v>OK</v>
      </c>
      <c r="AV279" s="79">
        <f t="shared" si="89"/>
        <v>0</v>
      </c>
      <c r="AW279" s="85" t="e">
        <f t="shared" si="90"/>
        <v>#REF!</v>
      </c>
      <c r="AX279" s="87" t="e">
        <f t="shared" si="91"/>
        <v>#REF!</v>
      </c>
      <c r="AY279" s="72"/>
      <c r="AZ279" s="73"/>
      <c r="BA279" s="77">
        <f t="shared" si="92"/>
        <v>0</v>
      </c>
      <c r="BB279" s="88">
        <f t="shared" si="93"/>
        <v>1</v>
      </c>
      <c r="BC279" s="89" t="e">
        <f>SUMIF(#REF!,#REF!, BB20:BB333)</f>
        <v>#REF!</v>
      </c>
      <c r="BD279" s="89">
        <f t="shared" si="94"/>
        <v>1</v>
      </c>
      <c r="BE279" s="89" t="e">
        <f>SUMIF(#REF!,#REF!, BD20:BD333)</f>
        <v>#REF!</v>
      </c>
      <c r="BF279" s="89">
        <f t="shared" si="95"/>
        <v>0</v>
      </c>
      <c r="BG279" s="89" t="e">
        <f>SUMIF(#REF!,#REF!, BF20:BF333)</f>
        <v>#REF!</v>
      </c>
      <c r="BH279" s="89" t="e">
        <f t="shared" si="96"/>
        <v>#REF!</v>
      </c>
      <c r="BI279" s="90">
        <f>SUMIF(B20:B333, B279, BH20:BH333)</f>
        <v>0</v>
      </c>
      <c r="BJ279" s="91"/>
      <c r="BK279" s="92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4"/>
    </row>
    <row r="280" spans="1:82" x14ac:dyDescent="0.3">
      <c r="A280" s="95" t="s">
        <v>550</v>
      </c>
      <c r="B280" s="96"/>
      <c r="C280" s="97" t="s">
        <v>173</v>
      </c>
      <c r="D280" s="97" t="s">
        <v>549</v>
      </c>
      <c r="E280" s="98" t="s">
        <v>217</v>
      </c>
      <c r="F280" s="99" t="s">
        <v>138</v>
      </c>
      <c r="G280" s="100"/>
      <c r="H280" s="101" t="s">
        <v>103</v>
      </c>
      <c r="I280" s="99" t="s">
        <v>4</v>
      </c>
      <c r="J280" s="100" t="s">
        <v>6</v>
      </c>
      <c r="K280" s="102"/>
      <c r="L280" s="103"/>
      <c r="M280" s="104"/>
      <c r="N280" s="105">
        <v>18360</v>
      </c>
      <c r="O280" s="106">
        <v>18141</v>
      </c>
      <c r="P280" s="106">
        <v>18585</v>
      </c>
      <c r="Q280" s="107"/>
      <c r="R280" s="156">
        <v>0.09</v>
      </c>
      <c r="S280" s="105">
        <v>1652</v>
      </c>
      <c r="T280" s="106">
        <v>1633</v>
      </c>
      <c r="U280" s="106">
        <v>1673</v>
      </c>
      <c r="V280" s="107">
        <f t="shared" si="86"/>
        <v>0</v>
      </c>
      <c r="W280" s="109"/>
      <c r="X280" s="110"/>
      <c r="Y280" s="111" t="s">
        <v>104</v>
      </c>
      <c r="Z280" s="100" t="str">
        <f>'[1]Tier 1'!V280</f>
        <v>D</v>
      </c>
      <c r="AA280" s="100"/>
      <c r="AB280" s="100"/>
      <c r="AC280" s="100"/>
      <c r="AD280" s="101"/>
      <c r="AE280" s="105">
        <f>'[1]Tier 1'!W280</f>
        <v>1257</v>
      </c>
      <c r="AF280" s="106"/>
      <c r="AG280" s="106">
        <f>'[1]Tier 1'!X280</f>
        <v>1257</v>
      </c>
      <c r="AH280" s="106"/>
      <c r="AI280" s="106">
        <f>'[1]Tier 1'!Y280</f>
        <v>4050</v>
      </c>
      <c r="AJ280" s="106">
        <f t="shared" si="87"/>
        <v>3645</v>
      </c>
      <c r="AK280" s="106" t="e">
        <f>VLOOKUP(A280,#REF!,-1,FALSE)</f>
        <v>#REF!</v>
      </c>
      <c r="AL280" s="107" t="e">
        <f t="shared" si="88"/>
        <v>#REF!</v>
      </c>
      <c r="AM280" s="105">
        <f t="shared" si="97"/>
        <v>1652</v>
      </c>
      <c r="AN280" s="112">
        <f t="shared" si="98"/>
        <v>1.3140000000000001</v>
      </c>
      <c r="AO280" s="100" t="str">
        <f t="shared" si="99"/>
        <v>OK</v>
      </c>
      <c r="AP280" s="106">
        <f t="shared" si="100"/>
        <v>1633</v>
      </c>
      <c r="AQ280" s="112">
        <f t="shared" si="101"/>
        <v>1.2989999999999999</v>
      </c>
      <c r="AR280" s="100" t="str">
        <f t="shared" si="102"/>
        <v>OK</v>
      </c>
      <c r="AS280" s="106">
        <f t="shared" si="103"/>
        <v>1673</v>
      </c>
      <c r="AT280" s="112">
        <f t="shared" si="104"/>
        <v>0.41299999999999998</v>
      </c>
      <c r="AU280" s="113" t="str">
        <f t="shared" si="105"/>
        <v>OK</v>
      </c>
      <c r="AV280" s="106">
        <f t="shared" si="89"/>
        <v>0</v>
      </c>
      <c r="AW280" s="112" t="e">
        <f t="shared" si="90"/>
        <v>#REF!</v>
      </c>
      <c r="AX280" s="114" t="e">
        <f t="shared" si="91"/>
        <v>#REF!</v>
      </c>
      <c r="AY280" s="99"/>
      <c r="AZ280" s="100"/>
      <c r="BA280" s="104">
        <f t="shared" si="92"/>
        <v>0</v>
      </c>
      <c r="BB280" s="115">
        <f t="shared" si="93"/>
        <v>1</v>
      </c>
      <c r="BC280" s="116" t="e">
        <f>SUMIF(#REF!,#REF!, BB20:BB333)</f>
        <v>#REF!</v>
      </c>
      <c r="BD280" s="116">
        <f t="shared" si="94"/>
        <v>1</v>
      </c>
      <c r="BE280" s="116" t="e">
        <f>SUMIF(#REF!,#REF!, BD20:BD333)</f>
        <v>#REF!</v>
      </c>
      <c r="BF280" s="116">
        <f t="shared" si="95"/>
        <v>0</v>
      </c>
      <c r="BG280" s="116" t="e">
        <f>SUMIF(#REF!,#REF!, BF20:BF333)</f>
        <v>#REF!</v>
      </c>
      <c r="BH280" s="116" t="e">
        <f t="shared" si="96"/>
        <v>#REF!</v>
      </c>
      <c r="BI280" s="117">
        <f>SUMIF(B20:B333, B280, BH20:BH333)</f>
        <v>0</v>
      </c>
      <c r="BJ280" s="118"/>
      <c r="BK280" s="92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4"/>
    </row>
    <row r="281" spans="1:82" x14ac:dyDescent="0.3">
      <c r="A281" s="68" t="s">
        <v>551</v>
      </c>
      <c r="B281" s="69"/>
      <c r="C281" s="70" t="s">
        <v>173</v>
      </c>
      <c r="D281" s="70" t="s">
        <v>217</v>
      </c>
      <c r="E281" s="71" t="s">
        <v>223</v>
      </c>
      <c r="F281" s="72" t="s">
        <v>109</v>
      </c>
      <c r="G281" s="73"/>
      <c r="H281" s="74" t="s">
        <v>103</v>
      </c>
      <c r="I281" s="72" t="s">
        <v>4</v>
      </c>
      <c r="J281" s="73" t="s">
        <v>6</v>
      </c>
      <c r="K281" s="75"/>
      <c r="L281" s="76"/>
      <c r="M281" s="77"/>
      <c r="N281" s="78">
        <v>18360</v>
      </c>
      <c r="O281" s="79">
        <v>18141</v>
      </c>
      <c r="P281" s="79">
        <v>18585</v>
      </c>
      <c r="Q281" s="80"/>
      <c r="R281" s="155">
        <v>0.09</v>
      </c>
      <c r="S281" s="78">
        <v>1652</v>
      </c>
      <c r="T281" s="79">
        <v>1633</v>
      </c>
      <c r="U281" s="79">
        <v>1673</v>
      </c>
      <c r="V281" s="80">
        <f t="shared" si="86"/>
        <v>0</v>
      </c>
      <c r="W281" s="82"/>
      <c r="X281" s="83"/>
      <c r="Y281" s="84" t="s">
        <v>104</v>
      </c>
      <c r="Z281" s="73" t="str">
        <f>'[1]Tier 1'!V281</f>
        <v>D</v>
      </c>
      <c r="AA281" s="73"/>
      <c r="AB281" s="73"/>
      <c r="AC281" s="73"/>
      <c r="AD281" s="74"/>
      <c r="AE281" s="78">
        <f>'[1]Tier 1'!W281</f>
        <v>2628</v>
      </c>
      <c r="AF281" s="79"/>
      <c r="AG281" s="79">
        <f>'[1]Tier 1'!X281</f>
        <v>2628</v>
      </c>
      <c r="AH281" s="79"/>
      <c r="AI281" s="79">
        <f>'[1]Tier 1'!Y281</f>
        <v>2628</v>
      </c>
      <c r="AJ281" s="79">
        <f t="shared" si="87"/>
        <v>2365.2000000000003</v>
      </c>
      <c r="AK281" s="79" t="e">
        <f>VLOOKUP(A281,#REF!,-1,FALSE)</f>
        <v>#REF!</v>
      </c>
      <c r="AL281" s="80" t="e">
        <f t="shared" si="88"/>
        <v>#REF!</v>
      </c>
      <c r="AM281" s="78">
        <f t="shared" si="97"/>
        <v>1652</v>
      </c>
      <c r="AN281" s="85">
        <f t="shared" si="98"/>
        <v>0.629</v>
      </c>
      <c r="AO281" s="73" t="str">
        <f t="shared" si="99"/>
        <v>OK</v>
      </c>
      <c r="AP281" s="79">
        <f t="shared" si="100"/>
        <v>1633</v>
      </c>
      <c r="AQ281" s="85">
        <f t="shared" si="101"/>
        <v>0.621</v>
      </c>
      <c r="AR281" s="73" t="str">
        <f t="shared" si="102"/>
        <v>OK</v>
      </c>
      <c r="AS281" s="79">
        <f t="shared" si="103"/>
        <v>1673</v>
      </c>
      <c r="AT281" s="85">
        <f t="shared" si="104"/>
        <v>0.63700000000000001</v>
      </c>
      <c r="AU281" s="86" t="str">
        <f t="shared" si="105"/>
        <v>OK</v>
      </c>
      <c r="AV281" s="79">
        <f t="shared" si="89"/>
        <v>0</v>
      </c>
      <c r="AW281" s="85" t="e">
        <f t="shared" si="90"/>
        <v>#REF!</v>
      </c>
      <c r="AX281" s="87" t="e">
        <f t="shared" si="91"/>
        <v>#REF!</v>
      </c>
      <c r="AY281" s="72"/>
      <c r="AZ281" s="73"/>
      <c r="BA281" s="77">
        <f t="shared" si="92"/>
        <v>0</v>
      </c>
      <c r="BB281" s="88">
        <f t="shared" si="93"/>
        <v>1</v>
      </c>
      <c r="BC281" s="89" t="e">
        <f>SUMIF(#REF!,#REF!, BB20:BB333)</f>
        <v>#REF!</v>
      </c>
      <c r="BD281" s="89">
        <f t="shared" si="94"/>
        <v>1</v>
      </c>
      <c r="BE281" s="89" t="e">
        <f>SUMIF(#REF!,#REF!, BD20:BD333)</f>
        <v>#REF!</v>
      </c>
      <c r="BF281" s="89">
        <f t="shared" si="95"/>
        <v>0</v>
      </c>
      <c r="BG281" s="89" t="e">
        <f>SUMIF(#REF!,#REF!, BF20:BF333)</f>
        <v>#REF!</v>
      </c>
      <c r="BH281" s="89" t="e">
        <f t="shared" si="96"/>
        <v>#REF!</v>
      </c>
      <c r="BI281" s="90">
        <f>SUMIF(B20:B333, B281, BH20:BH333)</f>
        <v>0</v>
      </c>
      <c r="BJ281" s="91"/>
      <c r="BK281" s="92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4"/>
    </row>
    <row r="282" spans="1:82" x14ac:dyDescent="0.3">
      <c r="A282" s="95" t="s">
        <v>552</v>
      </c>
      <c r="B282" s="96"/>
      <c r="C282" s="97" t="s">
        <v>173</v>
      </c>
      <c r="D282" s="97" t="s">
        <v>223</v>
      </c>
      <c r="E282" s="98" t="s">
        <v>414</v>
      </c>
      <c r="F282" s="99" t="s">
        <v>103</v>
      </c>
      <c r="G282" s="100"/>
      <c r="H282" s="101" t="s">
        <v>103</v>
      </c>
      <c r="I282" s="99" t="s">
        <v>4</v>
      </c>
      <c r="J282" s="100" t="s">
        <v>6</v>
      </c>
      <c r="K282" s="102"/>
      <c r="L282" s="103"/>
      <c r="M282" s="104"/>
      <c r="N282" s="105">
        <v>18360</v>
      </c>
      <c r="O282" s="106">
        <v>18141</v>
      </c>
      <c r="P282" s="106">
        <v>18585</v>
      </c>
      <c r="Q282" s="107"/>
      <c r="R282" s="156">
        <v>0.09</v>
      </c>
      <c r="S282" s="105">
        <v>1652</v>
      </c>
      <c r="T282" s="106">
        <v>1633</v>
      </c>
      <c r="U282" s="106">
        <v>1673</v>
      </c>
      <c r="V282" s="107">
        <f t="shared" si="86"/>
        <v>0</v>
      </c>
      <c r="W282" s="109"/>
      <c r="X282" s="110"/>
      <c r="Y282" s="111" t="s">
        <v>104</v>
      </c>
      <c r="Z282" s="100" t="str">
        <f>'[1]Tier 1'!V282</f>
        <v>D</v>
      </c>
      <c r="AA282" s="100"/>
      <c r="AB282" s="100"/>
      <c r="AC282" s="100"/>
      <c r="AD282" s="101"/>
      <c r="AE282" s="105">
        <f>'[1]Tier 1'!W282</f>
        <v>1197</v>
      </c>
      <c r="AF282" s="106"/>
      <c r="AG282" s="106">
        <f>'[1]Tier 1'!X282</f>
        <v>1197</v>
      </c>
      <c r="AH282" s="106"/>
      <c r="AI282" s="106">
        <f>'[1]Tier 1'!Y282</f>
        <v>1197</v>
      </c>
      <c r="AJ282" s="106">
        <f t="shared" si="87"/>
        <v>1077.3</v>
      </c>
      <c r="AK282" s="106" t="e">
        <f>VLOOKUP(A282,#REF!,-1,FALSE)</f>
        <v>#REF!</v>
      </c>
      <c r="AL282" s="107" t="e">
        <f t="shared" si="88"/>
        <v>#REF!</v>
      </c>
      <c r="AM282" s="105">
        <f t="shared" si="97"/>
        <v>1652</v>
      </c>
      <c r="AN282" s="112">
        <f t="shared" si="98"/>
        <v>1.38</v>
      </c>
      <c r="AO282" s="100" t="str">
        <f t="shared" si="99"/>
        <v>OK</v>
      </c>
      <c r="AP282" s="106">
        <f t="shared" si="100"/>
        <v>1633</v>
      </c>
      <c r="AQ282" s="112">
        <f t="shared" si="101"/>
        <v>1.3640000000000001</v>
      </c>
      <c r="AR282" s="100" t="str">
        <f t="shared" si="102"/>
        <v>OK</v>
      </c>
      <c r="AS282" s="106">
        <f t="shared" si="103"/>
        <v>1673</v>
      </c>
      <c r="AT282" s="112">
        <f t="shared" si="104"/>
        <v>1.3979999999999999</v>
      </c>
      <c r="AU282" s="113" t="str">
        <f t="shared" si="105"/>
        <v>OK</v>
      </c>
      <c r="AV282" s="106">
        <f t="shared" si="89"/>
        <v>0</v>
      </c>
      <c r="AW282" s="112" t="e">
        <f t="shared" si="90"/>
        <v>#REF!</v>
      </c>
      <c r="AX282" s="114" t="e">
        <f t="shared" si="91"/>
        <v>#REF!</v>
      </c>
      <c r="AY282" s="99"/>
      <c r="AZ282" s="100"/>
      <c r="BA282" s="104">
        <f t="shared" si="92"/>
        <v>0</v>
      </c>
      <c r="BB282" s="115">
        <f t="shared" si="93"/>
        <v>1</v>
      </c>
      <c r="BC282" s="116" t="e">
        <f>SUMIF(#REF!,#REF!, BB20:BB333)</f>
        <v>#REF!</v>
      </c>
      <c r="BD282" s="116">
        <f t="shared" si="94"/>
        <v>1</v>
      </c>
      <c r="BE282" s="116" t="e">
        <f>SUMIF(#REF!,#REF!, BD20:BD333)</f>
        <v>#REF!</v>
      </c>
      <c r="BF282" s="116">
        <f t="shared" si="95"/>
        <v>1</v>
      </c>
      <c r="BG282" s="116" t="e">
        <f>SUMIF(#REF!,#REF!, BF20:BF333)</f>
        <v>#REF!</v>
      </c>
      <c r="BH282" s="116" t="e">
        <f t="shared" si="96"/>
        <v>#REF!</v>
      </c>
      <c r="BI282" s="117">
        <f>SUMIF(B20:B333, B282, BH20:BH333)</f>
        <v>0</v>
      </c>
      <c r="BJ282" s="118"/>
      <c r="BK282" s="92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4"/>
    </row>
    <row r="283" spans="1:82" x14ac:dyDescent="0.3">
      <c r="A283" s="68" t="s">
        <v>553</v>
      </c>
      <c r="B283" s="69"/>
      <c r="C283" s="70" t="s">
        <v>173</v>
      </c>
      <c r="D283" s="70" t="s">
        <v>414</v>
      </c>
      <c r="E283" s="71" t="s">
        <v>102</v>
      </c>
      <c r="F283" s="72" t="s">
        <v>103</v>
      </c>
      <c r="G283" s="73"/>
      <c r="H283" s="74" t="s">
        <v>103</v>
      </c>
      <c r="I283" s="72" t="s">
        <v>4</v>
      </c>
      <c r="J283" s="73" t="s">
        <v>6</v>
      </c>
      <c r="K283" s="75"/>
      <c r="L283" s="76"/>
      <c r="M283" s="77"/>
      <c r="N283" s="78">
        <v>18360</v>
      </c>
      <c r="O283" s="79">
        <v>18141</v>
      </c>
      <c r="P283" s="79">
        <v>18585</v>
      </c>
      <c r="Q283" s="80"/>
      <c r="R283" s="155">
        <v>0.09</v>
      </c>
      <c r="S283" s="78">
        <v>1652</v>
      </c>
      <c r="T283" s="79">
        <v>1633</v>
      </c>
      <c r="U283" s="79">
        <v>1673</v>
      </c>
      <c r="V283" s="80">
        <f t="shared" si="86"/>
        <v>0</v>
      </c>
      <c r="W283" s="82"/>
      <c r="X283" s="83"/>
      <c r="Y283" s="84" t="s">
        <v>104</v>
      </c>
      <c r="Z283" s="73" t="str">
        <f>'[1]Tier 1'!V283</f>
        <v>D</v>
      </c>
      <c r="AA283" s="73"/>
      <c r="AB283" s="73"/>
      <c r="AC283" s="73"/>
      <c r="AD283" s="74"/>
      <c r="AE283" s="78">
        <f>'[1]Tier 1'!W283</f>
        <v>1197</v>
      </c>
      <c r="AF283" s="79"/>
      <c r="AG283" s="79">
        <f>'[1]Tier 1'!X283</f>
        <v>1197</v>
      </c>
      <c r="AH283" s="79"/>
      <c r="AI283" s="79">
        <f>'[1]Tier 1'!Y283</f>
        <v>1197</v>
      </c>
      <c r="AJ283" s="79">
        <f t="shared" si="87"/>
        <v>1077.3</v>
      </c>
      <c r="AK283" s="79" t="e">
        <f>VLOOKUP(A283,#REF!,-1,FALSE)</f>
        <v>#REF!</v>
      </c>
      <c r="AL283" s="80" t="e">
        <f t="shared" si="88"/>
        <v>#REF!</v>
      </c>
      <c r="AM283" s="78">
        <f t="shared" si="97"/>
        <v>1652</v>
      </c>
      <c r="AN283" s="85">
        <f t="shared" si="98"/>
        <v>1.38</v>
      </c>
      <c r="AO283" s="73" t="str">
        <f t="shared" si="99"/>
        <v>OK</v>
      </c>
      <c r="AP283" s="79">
        <f t="shared" si="100"/>
        <v>1633</v>
      </c>
      <c r="AQ283" s="85">
        <f t="shared" si="101"/>
        <v>1.3640000000000001</v>
      </c>
      <c r="AR283" s="73" t="str">
        <f t="shared" si="102"/>
        <v>OK</v>
      </c>
      <c r="AS283" s="79">
        <f t="shared" si="103"/>
        <v>1673</v>
      </c>
      <c r="AT283" s="85">
        <f t="shared" si="104"/>
        <v>1.3979999999999999</v>
      </c>
      <c r="AU283" s="86" t="str">
        <f t="shared" si="105"/>
        <v>OK</v>
      </c>
      <c r="AV283" s="79">
        <f t="shared" si="89"/>
        <v>0</v>
      </c>
      <c r="AW283" s="85" t="e">
        <f t="shared" si="90"/>
        <v>#REF!</v>
      </c>
      <c r="AX283" s="87" t="e">
        <f t="shared" si="91"/>
        <v>#REF!</v>
      </c>
      <c r="AY283" s="72"/>
      <c r="AZ283" s="73"/>
      <c r="BA283" s="77">
        <f t="shared" si="92"/>
        <v>0</v>
      </c>
      <c r="BB283" s="88">
        <f t="shared" si="93"/>
        <v>1</v>
      </c>
      <c r="BC283" s="89" t="e">
        <f>SUMIF(#REF!,#REF!, BB20:BB333)</f>
        <v>#REF!</v>
      </c>
      <c r="BD283" s="89">
        <f t="shared" si="94"/>
        <v>1</v>
      </c>
      <c r="BE283" s="89" t="e">
        <f>SUMIF(#REF!,#REF!, BD20:BD333)</f>
        <v>#REF!</v>
      </c>
      <c r="BF283" s="89">
        <f t="shared" si="95"/>
        <v>1</v>
      </c>
      <c r="BG283" s="89" t="e">
        <f>SUMIF(#REF!,#REF!, BF20:BF333)</f>
        <v>#REF!</v>
      </c>
      <c r="BH283" s="89" t="e">
        <f t="shared" si="96"/>
        <v>#REF!</v>
      </c>
      <c r="BI283" s="90">
        <f>SUMIF(B20:B333, B283, BH20:BH333)</f>
        <v>0</v>
      </c>
      <c r="BJ283" s="91"/>
      <c r="BK283" s="92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4"/>
    </row>
    <row r="284" spans="1:82" x14ac:dyDescent="0.3">
      <c r="A284" s="95" t="s">
        <v>554</v>
      </c>
      <c r="B284" s="96"/>
      <c r="C284" s="97" t="s">
        <v>404</v>
      </c>
      <c r="D284" s="97" t="s">
        <v>102</v>
      </c>
      <c r="E284" s="98" t="s">
        <v>555</v>
      </c>
      <c r="F284" s="99" t="s">
        <v>103</v>
      </c>
      <c r="G284" s="100"/>
      <c r="H284" s="101" t="s">
        <v>103</v>
      </c>
      <c r="I284" s="99" t="s">
        <v>4</v>
      </c>
      <c r="J284" s="100" t="s">
        <v>6</v>
      </c>
      <c r="K284" s="102"/>
      <c r="L284" s="103"/>
      <c r="M284" s="104"/>
      <c r="N284" s="105">
        <v>893</v>
      </c>
      <c r="O284" s="106">
        <v>996</v>
      </c>
      <c r="P284" s="106">
        <v>1065</v>
      </c>
      <c r="Q284" s="107"/>
      <c r="R284" s="156">
        <v>0.09</v>
      </c>
      <c r="S284" s="105">
        <v>80</v>
      </c>
      <c r="T284" s="106">
        <v>90</v>
      </c>
      <c r="U284" s="106">
        <v>96</v>
      </c>
      <c r="V284" s="107">
        <f t="shared" si="86"/>
        <v>0</v>
      </c>
      <c r="W284" s="109"/>
      <c r="X284" s="110"/>
      <c r="Y284" s="111" t="s">
        <v>104</v>
      </c>
      <c r="Z284" s="100" t="str">
        <f>'[1]Tier 1'!V284</f>
        <v>D</v>
      </c>
      <c r="AA284" s="100"/>
      <c r="AB284" s="100"/>
      <c r="AC284" s="100"/>
      <c r="AD284" s="101"/>
      <c r="AE284" s="105">
        <f>'[1]Tier 1'!W284</f>
        <v>1818</v>
      </c>
      <c r="AF284" s="106"/>
      <c r="AG284" s="106">
        <f>'[1]Tier 1'!X284</f>
        <v>1818</v>
      </c>
      <c r="AH284" s="106"/>
      <c r="AI284" s="106">
        <f>'[1]Tier 1'!Y284</f>
        <v>1818</v>
      </c>
      <c r="AJ284" s="106">
        <f t="shared" si="87"/>
        <v>1636.2</v>
      </c>
      <c r="AK284" s="106" t="e">
        <f>VLOOKUP(A284,#REF!,-1,FALSE)</f>
        <v>#REF!</v>
      </c>
      <c r="AL284" s="107" t="e">
        <f t="shared" si="88"/>
        <v>#REF!</v>
      </c>
      <c r="AM284" s="105">
        <f t="shared" si="97"/>
        <v>80</v>
      </c>
      <c r="AN284" s="112">
        <f t="shared" si="98"/>
        <v>4.3999999999999997E-2</v>
      </c>
      <c r="AO284" s="100" t="str">
        <f t="shared" si="99"/>
        <v>OK</v>
      </c>
      <c r="AP284" s="106">
        <f t="shared" si="100"/>
        <v>90</v>
      </c>
      <c r="AQ284" s="112">
        <f t="shared" si="101"/>
        <v>0.05</v>
      </c>
      <c r="AR284" s="100" t="str">
        <f t="shared" si="102"/>
        <v>OK</v>
      </c>
      <c r="AS284" s="106">
        <f t="shared" si="103"/>
        <v>96</v>
      </c>
      <c r="AT284" s="112">
        <f t="shared" si="104"/>
        <v>5.2999999999999999E-2</v>
      </c>
      <c r="AU284" s="113" t="str">
        <f t="shared" si="105"/>
        <v>OK</v>
      </c>
      <c r="AV284" s="106">
        <f t="shared" si="89"/>
        <v>0</v>
      </c>
      <c r="AW284" s="112" t="e">
        <f t="shared" si="90"/>
        <v>#REF!</v>
      </c>
      <c r="AX284" s="114" t="e">
        <f t="shared" si="91"/>
        <v>#REF!</v>
      </c>
      <c r="AY284" s="99"/>
      <c r="AZ284" s="100"/>
      <c r="BA284" s="104">
        <f t="shared" si="92"/>
        <v>0</v>
      </c>
      <c r="BB284" s="115">
        <f t="shared" si="93"/>
        <v>1</v>
      </c>
      <c r="BC284" s="116" t="e">
        <f>SUMIF(#REF!,#REF!, BB20:BB333)</f>
        <v>#REF!</v>
      </c>
      <c r="BD284" s="116">
        <f t="shared" si="94"/>
        <v>1</v>
      </c>
      <c r="BE284" s="116" t="e">
        <f>SUMIF(#REF!,#REF!, BD20:BD333)</f>
        <v>#REF!</v>
      </c>
      <c r="BF284" s="116">
        <f t="shared" si="95"/>
        <v>0</v>
      </c>
      <c r="BG284" s="116" t="e">
        <f>SUMIF(#REF!,#REF!, BF20:BF333)</f>
        <v>#REF!</v>
      </c>
      <c r="BH284" s="116" t="e">
        <f t="shared" si="96"/>
        <v>#REF!</v>
      </c>
      <c r="BI284" s="117">
        <f>SUMIF(B20:B333, B284, BH20:BH333)</f>
        <v>0</v>
      </c>
      <c r="BJ284" s="118"/>
      <c r="BK284" s="92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4"/>
    </row>
    <row r="285" spans="1:82" x14ac:dyDescent="0.3">
      <c r="A285" s="68" t="s">
        <v>556</v>
      </c>
      <c r="B285" s="69"/>
      <c r="C285" s="70" t="s">
        <v>404</v>
      </c>
      <c r="D285" s="70" t="s">
        <v>555</v>
      </c>
      <c r="E285" s="71" t="s">
        <v>557</v>
      </c>
      <c r="F285" s="72" t="s">
        <v>103</v>
      </c>
      <c r="G285" s="73"/>
      <c r="H285" s="74" t="s">
        <v>103</v>
      </c>
      <c r="I285" s="72" t="s">
        <v>4</v>
      </c>
      <c r="J285" s="73" t="s">
        <v>6</v>
      </c>
      <c r="K285" s="75"/>
      <c r="L285" s="76"/>
      <c r="M285" s="77"/>
      <c r="N285" s="78">
        <v>893</v>
      </c>
      <c r="O285" s="79">
        <v>996</v>
      </c>
      <c r="P285" s="79">
        <v>1065</v>
      </c>
      <c r="Q285" s="80"/>
      <c r="R285" s="155">
        <v>0.09</v>
      </c>
      <c r="S285" s="78">
        <v>80</v>
      </c>
      <c r="T285" s="79">
        <v>90</v>
      </c>
      <c r="U285" s="79">
        <v>96</v>
      </c>
      <c r="V285" s="80">
        <f t="shared" si="86"/>
        <v>0</v>
      </c>
      <c r="W285" s="82"/>
      <c r="X285" s="83"/>
      <c r="Y285" s="84" t="s">
        <v>104</v>
      </c>
      <c r="Z285" s="73" t="str">
        <f>'[1]Tier 1'!V285</f>
        <v>D</v>
      </c>
      <c r="AA285" s="73"/>
      <c r="AB285" s="73"/>
      <c r="AC285" s="73"/>
      <c r="AD285" s="74"/>
      <c r="AE285" s="78">
        <f>'[1]Tier 1'!W285</f>
        <v>1818</v>
      </c>
      <c r="AF285" s="79"/>
      <c r="AG285" s="79">
        <f>'[1]Tier 1'!X285</f>
        <v>1818</v>
      </c>
      <c r="AH285" s="79"/>
      <c r="AI285" s="79">
        <f>'[1]Tier 1'!Y285</f>
        <v>1818</v>
      </c>
      <c r="AJ285" s="79">
        <f t="shared" si="87"/>
        <v>1636.2</v>
      </c>
      <c r="AK285" s="79" t="e">
        <f>VLOOKUP(A285,#REF!,-1,FALSE)</f>
        <v>#REF!</v>
      </c>
      <c r="AL285" s="80" t="e">
        <f t="shared" si="88"/>
        <v>#REF!</v>
      </c>
      <c r="AM285" s="78">
        <f t="shared" si="97"/>
        <v>80</v>
      </c>
      <c r="AN285" s="85">
        <f t="shared" si="98"/>
        <v>4.3999999999999997E-2</v>
      </c>
      <c r="AO285" s="73" t="str">
        <f t="shared" si="99"/>
        <v>OK</v>
      </c>
      <c r="AP285" s="79">
        <f t="shared" si="100"/>
        <v>90</v>
      </c>
      <c r="AQ285" s="85">
        <f t="shared" si="101"/>
        <v>0.05</v>
      </c>
      <c r="AR285" s="73" t="str">
        <f t="shared" si="102"/>
        <v>OK</v>
      </c>
      <c r="AS285" s="79">
        <f t="shared" si="103"/>
        <v>96</v>
      </c>
      <c r="AT285" s="85">
        <f t="shared" si="104"/>
        <v>5.2999999999999999E-2</v>
      </c>
      <c r="AU285" s="86" t="str">
        <f t="shared" si="105"/>
        <v>OK</v>
      </c>
      <c r="AV285" s="79">
        <f t="shared" si="89"/>
        <v>0</v>
      </c>
      <c r="AW285" s="85" t="e">
        <f t="shared" si="90"/>
        <v>#REF!</v>
      </c>
      <c r="AX285" s="87" t="e">
        <f t="shared" si="91"/>
        <v>#REF!</v>
      </c>
      <c r="AY285" s="72"/>
      <c r="AZ285" s="73"/>
      <c r="BA285" s="77">
        <f t="shared" si="92"/>
        <v>0</v>
      </c>
      <c r="BB285" s="88">
        <f t="shared" si="93"/>
        <v>1</v>
      </c>
      <c r="BC285" s="89" t="e">
        <f>SUMIF(#REF!,#REF!, BB20:BB333)</f>
        <v>#REF!</v>
      </c>
      <c r="BD285" s="89">
        <f t="shared" si="94"/>
        <v>1</v>
      </c>
      <c r="BE285" s="89" t="e">
        <f>SUMIF(#REF!,#REF!, BD20:BD333)</f>
        <v>#REF!</v>
      </c>
      <c r="BF285" s="89">
        <f t="shared" si="95"/>
        <v>0</v>
      </c>
      <c r="BG285" s="89" t="e">
        <f>SUMIF(#REF!,#REF!, BF20:BF333)</f>
        <v>#REF!</v>
      </c>
      <c r="BH285" s="89" t="e">
        <f t="shared" si="96"/>
        <v>#REF!</v>
      </c>
      <c r="BI285" s="90">
        <f>SUMIF(B20:B333, B285, BH20:BH333)</f>
        <v>0</v>
      </c>
      <c r="BJ285" s="91"/>
      <c r="BK285" s="92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4"/>
    </row>
    <row r="286" spans="1:82" x14ac:dyDescent="0.3">
      <c r="A286" s="95" t="s">
        <v>558</v>
      </c>
      <c r="B286" s="96"/>
      <c r="C286" s="97" t="s">
        <v>406</v>
      </c>
      <c r="D286" s="97" t="s">
        <v>559</v>
      </c>
      <c r="E286" s="98" t="s">
        <v>164</v>
      </c>
      <c r="F286" s="99" t="s">
        <v>103</v>
      </c>
      <c r="G286" s="100"/>
      <c r="H286" s="101" t="s">
        <v>103</v>
      </c>
      <c r="I286" s="99" t="s">
        <v>4</v>
      </c>
      <c r="J286" s="100" t="s">
        <v>6</v>
      </c>
      <c r="K286" s="102"/>
      <c r="L286" s="103"/>
      <c r="M286" s="104"/>
      <c r="N286" s="105">
        <v>6869</v>
      </c>
      <c r="O286" s="106">
        <v>7464</v>
      </c>
      <c r="P286" s="106">
        <v>7861</v>
      </c>
      <c r="Q286" s="107"/>
      <c r="R286" s="156">
        <v>0</v>
      </c>
      <c r="S286" s="105">
        <v>0</v>
      </c>
      <c r="T286" s="106">
        <v>0</v>
      </c>
      <c r="U286" s="106">
        <v>0</v>
      </c>
      <c r="V286" s="107">
        <f t="shared" si="86"/>
        <v>0</v>
      </c>
      <c r="W286" s="109"/>
      <c r="X286" s="110"/>
      <c r="Y286" s="111" t="s">
        <v>104</v>
      </c>
      <c r="Z286" s="100" t="str">
        <f>'[1]Tier 1'!V286</f>
        <v>D</v>
      </c>
      <c r="AA286" s="100"/>
      <c r="AB286" s="100"/>
      <c r="AC286" s="100"/>
      <c r="AD286" s="101"/>
      <c r="AE286" s="105">
        <f>'[1]Tier 1'!W286</f>
        <v>0</v>
      </c>
      <c r="AF286" s="106"/>
      <c r="AG286" s="106">
        <f>'[1]Tier 1'!X286</f>
        <v>0</v>
      </c>
      <c r="AH286" s="106"/>
      <c r="AI286" s="106">
        <f>'[1]Tier 1'!Y286</f>
        <v>0</v>
      </c>
      <c r="AJ286" s="106">
        <f t="shared" si="87"/>
        <v>0</v>
      </c>
      <c r="AK286" s="106" t="e">
        <f>VLOOKUP(A286,#REF!,-1,FALSE)</f>
        <v>#REF!</v>
      </c>
      <c r="AL286" s="107" t="e">
        <f t="shared" si="88"/>
        <v>#REF!</v>
      </c>
      <c r="AM286" s="105">
        <f t="shared" si="97"/>
        <v>0</v>
      </c>
      <c r="AN286" s="112">
        <f t="shared" si="98"/>
        <v>0</v>
      </c>
      <c r="AO286" s="100" t="str">
        <f t="shared" si="99"/>
        <v>OK</v>
      </c>
      <c r="AP286" s="106">
        <f t="shared" si="100"/>
        <v>0</v>
      </c>
      <c r="AQ286" s="112">
        <f t="shared" si="101"/>
        <v>0</v>
      </c>
      <c r="AR286" s="100" t="str">
        <f t="shared" si="102"/>
        <v>OK</v>
      </c>
      <c r="AS286" s="106">
        <f t="shared" si="103"/>
        <v>0</v>
      </c>
      <c r="AT286" s="112">
        <f t="shared" si="104"/>
        <v>0</v>
      </c>
      <c r="AU286" s="113" t="str">
        <f t="shared" si="105"/>
        <v>OK</v>
      </c>
      <c r="AV286" s="106">
        <f t="shared" si="89"/>
        <v>0</v>
      </c>
      <c r="AW286" s="112" t="e">
        <f t="shared" si="90"/>
        <v>#REF!</v>
      </c>
      <c r="AX286" s="114" t="e">
        <f t="shared" si="91"/>
        <v>#REF!</v>
      </c>
      <c r="AY286" s="99"/>
      <c r="AZ286" s="100"/>
      <c r="BA286" s="104">
        <f t="shared" si="92"/>
        <v>0</v>
      </c>
      <c r="BB286" s="115">
        <f t="shared" si="93"/>
        <v>0</v>
      </c>
      <c r="BC286" s="116" t="e">
        <f>SUMIF(#REF!,#REF!, BB20:BB333)</f>
        <v>#REF!</v>
      </c>
      <c r="BD286" s="116">
        <f t="shared" si="94"/>
        <v>0</v>
      </c>
      <c r="BE286" s="116" t="e">
        <f>SUMIF(#REF!,#REF!, BD20:BD333)</f>
        <v>#REF!</v>
      </c>
      <c r="BF286" s="116">
        <f t="shared" si="95"/>
        <v>0</v>
      </c>
      <c r="BG286" s="116" t="e">
        <f>SUMIF(#REF!,#REF!, BF20:BF333)</f>
        <v>#REF!</v>
      </c>
      <c r="BH286" s="116" t="e">
        <f t="shared" si="96"/>
        <v>#REF!</v>
      </c>
      <c r="BI286" s="117">
        <f>SUMIF(B20:B333, B286, BH20:BH333)</f>
        <v>0</v>
      </c>
      <c r="BJ286" s="118"/>
      <c r="BK286" s="92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4"/>
    </row>
    <row r="287" spans="1:82" x14ac:dyDescent="0.3">
      <c r="A287" s="68" t="s">
        <v>560</v>
      </c>
      <c r="B287" s="69"/>
      <c r="C287" s="70" t="s">
        <v>406</v>
      </c>
      <c r="D287" s="70" t="s">
        <v>164</v>
      </c>
      <c r="E287" s="71" t="s">
        <v>561</v>
      </c>
      <c r="F287" s="72" t="s">
        <v>103</v>
      </c>
      <c r="G287" s="73"/>
      <c r="H287" s="74" t="s">
        <v>103</v>
      </c>
      <c r="I287" s="72" t="s">
        <v>4</v>
      </c>
      <c r="J287" s="73" t="s">
        <v>6</v>
      </c>
      <c r="K287" s="75"/>
      <c r="L287" s="76"/>
      <c r="M287" s="77"/>
      <c r="N287" s="78">
        <v>6869</v>
      </c>
      <c r="O287" s="79">
        <v>7464</v>
      </c>
      <c r="P287" s="79">
        <v>7861</v>
      </c>
      <c r="Q287" s="80"/>
      <c r="R287" s="155">
        <v>0.09</v>
      </c>
      <c r="S287" s="78">
        <v>618</v>
      </c>
      <c r="T287" s="79">
        <v>672</v>
      </c>
      <c r="U287" s="79">
        <v>707</v>
      </c>
      <c r="V287" s="80">
        <f t="shared" si="86"/>
        <v>0</v>
      </c>
      <c r="W287" s="82"/>
      <c r="X287" s="83"/>
      <c r="Y287" s="84" t="s">
        <v>104</v>
      </c>
      <c r="Z287" s="73" t="str">
        <f>'[1]Tier 1'!V287</f>
        <v>D</v>
      </c>
      <c r="AA287" s="73"/>
      <c r="AB287" s="73"/>
      <c r="AC287" s="73"/>
      <c r="AD287" s="74"/>
      <c r="AE287" s="78">
        <f>'[1]Tier 1'!W287</f>
        <v>1962</v>
      </c>
      <c r="AF287" s="79"/>
      <c r="AG287" s="79">
        <f>'[1]Tier 1'!X287</f>
        <v>1962</v>
      </c>
      <c r="AH287" s="79"/>
      <c r="AI287" s="79">
        <f>'[1]Tier 1'!Y287</f>
        <v>1962</v>
      </c>
      <c r="AJ287" s="79">
        <f t="shared" si="87"/>
        <v>1765.8</v>
      </c>
      <c r="AK287" s="79" t="e">
        <f>VLOOKUP(A287,#REF!,-1,FALSE)</f>
        <v>#REF!</v>
      </c>
      <c r="AL287" s="80" t="e">
        <f t="shared" si="88"/>
        <v>#REF!</v>
      </c>
      <c r="AM287" s="78">
        <f t="shared" si="97"/>
        <v>618</v>
      </c>
      <c r="AN287" s="85">
        <f t="shared" si="98"/>
        <v>0.315</v>
      </c>
      <c r="AO287" s="73" t="str">
        <f t="shared" si="99"/>
        <v>OK</v>
      </c>
      <c r="AP287" s="79">
        <f t="shared" si="100"/>
        <v>672</v>
      </c>
      <c r="AQ287" s="85">
        <f t="shared" si="101"/>
        <v>0.34300000000000003</v>
      </c>
      <c r="AR287" s="73" t="str">
        <f t="shared" si="102"/>
        <v>OK</v>
      </c>
      <c r="AS287" s="79">
        <f t="shared" si="103"/>
        <v>707</v>
      </c>
      <c r="AT287" s="85">
        <f t="shared" si="104"/>
        <v>0.36</v>
      </c>
      <c r="AU287" s="86" t="str">
        <f t="shared" si="105"/>
        <v>OK</v>
      </c>
      <c r="AV287" s="79">
        <f t="shared" si="89"/>
        <v>0</v>
      </c>
      <c r="AW287" s="85" t="e">
        <f t="shared" si="90"/>
        <v>#REF!</v>
      </c>
      <c r="AX287" s="87" t="e">
        <f t="shared" si="91"/>
        <v>#REF!</v>
      </c>
      <c r="AY287" s="72"/>
      <c r="AZ287" s="73"/>
      <c r="BA287" s="77">
        <f t="shared" si="92"/>
        <v>0</v>
      </c>
      <c r="BB287" s="88">
        <f t="shared" si="93"/>
        <v>1</v>
      </c>
      <c r="BC287" s="89" t="e">
        <f>SUMIF(#REF!,#REF!, BB20:BB333)</f>
        <v>#REF!</v>
      </c>
      <c r="BD287" s="89">
        <f t="shared" si="94"/>
        <v>1</v>
      </c>
      <c r="BE287" s="89" t="e">
        <f>SUMIF(#REF!,#REF!, BD20:BD333)</f>
        <v>#REF!</v>
      </c>
      <c r="BF287" s="89">
        <f t="shared" si="95"/>
        <v>0</v>
      </c>
      <c r="BG287" s="89" t="e">
        <f>SUMIF(#REF!,#REF!, BF20:BF333)</f>
        <v>#REF!</v>
      </c>
      <c r="BH287" s="89" t="e">
        <f t="shared" si="96"/>
        <v>#REF!</v>
      </c>
      <c r="BI287" s="90">
        <f>SUMIF(B20:B333, B287, BH20:BH333)</f>
        <v>0</v>
      </c>
      <c r="BJ287" s="91"/>
      <c r="BK287" s="92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4"/>
    </row>
    <row r="288" spans="1:82" x14ac:dyDescent="0.3">
      <c r="A288" s="95" t="s">
        <v>562</v>
      </c>
      <c r="B288" s="96"/>
      <c r="C288" s="97" t="s">
        <v>406</v>
      </c>
      <c r="D288" s="97" t="s">
        <v>561</v>
      </c>
      <c r="E288" s="98" t="s">
        <v>102</v>
      </c>
      <c r="F288" s="99" t="s">
        <v>103</v>
      </c>
      <c r="G288" s="100"/>
      <c r="H288" s="101" t="s">
        <v>109</v>
      </c>
      <c r="I288" s="99" t="s">
        <v>4</v>
      </c>
      <c r="J288" s="100" t="s">
        <v>6</v>
      </c>
      <c r="K288" s="102"/>
      <c r="L288" s="103"/>
      <c r="M288" s="104"/>
      <c r="N288" s="105">
        <v>6869</v>
      </c>
      <c r="O288" s="106">
        <v>7464</v>
      </c>
      <c r="P288" s="106">
        <v>7861</v>
      </c>
      <c r="Q288" s="107"/>
      <c r="R288" s="156">
        <v>0.09</v>
      </c>
      <c r="S288" s="105">
        <v>618</v>
      </c>
      <c r="T288" s="106">
        <v>672</v>
      </c>
      <c r="U288" s="106">
        <v>707</v>
      </c>
      <c r="V288" s="107">
        <f t="shared" si="86"/>
        <v>0</v>
      </c>
      <c r="W288" s="109"/>
      <c r="X288" s="110"/>
      <c r="Y288" s="111" t="s">
        <v>104</v>
      </c>
      <c r="Z288" s="100" t="str">
        <f>'[1]Tier 1'!V288</f>
        <v>D</v>
      </c>
      <c r="AA288" s="100"/>
      <c r="AB288" s="100"/>
      <c r="AC288" s="100"/>
      <c r="AD288" s="101"/>
      <c r="AE288" s="105">
        <f>'[1]Tier 1'!W288</f>
        <v>1962</v>
      </c>
      <c r="AF288" s="106"/>
      <c r="AG288" s="106">
        <f>'[1]Tier 1'!X288</f>
        <v>1962</v>
      </c>
      <c r="AH288" s="106"/>
      <c r="AI288" s="106">
        <f>'[1]Tier 1'!Y288</f>
        <v>1962</v>
      </c>
      <c r="AJ288" s="106">
        <f t="shared" si="87"/>
        <v>1765.8</v>
      </c>
      <c r="AK288" s="106" t="e">
        <f>VLOOKUP(A288,#REF!,-1,FALSE)</f>
        <v>#REF!</v>
      </c>
      <c r="AL288" s="107" t="e">
        <f t="shared" si="88"/>
        <v>#REF!</v>
      </c>
      <c r="AM288" s="105">
        <f t="shared" si="97"/>
        <v>618</v>
      </c>
      <c r="AN288" s="112">
        <f t="shared" si="98"/>
        <v>0.315</v>
      </c>
      <c r="AO288" s="100" t="str">
        <f t="shared" si="99"/>
        <v>OK</v>
      </c>
      <c r="AP288" s="106">
        <f t="shared" si="100"/>
        <v>672</v>
      </c>
      <c r="AQ288" s="112">
        <f t="shared" si="101"/>
        <v>0.34300000000000003</v>
      </c>
      <c r="AR288" s="100" t="str">
        <f t="shared" si="102"/>
        <v>OK</v>
      </c>
      <c r="AS288" s="106">
        <f t="shared" si="103"/>
        <v>707</v>
      </c>
      <c r="AT288" s="112">
        <f t="shared" si="104"/>
        <v>0.36</v>
      </c>
      <c r="AU288" s="113" t="str">
        <f t="shared" si="105"/>
        <v>OK</v>
      </c>
      <c r="AV288" s="106">
        <f t="shared" si="89"/>
        <v>0</v>
      </c>
      <c r="AW288" s="112" t="e">
        <f t="shared" si="90"/>
        <v>#REF!</v>
      </c>
      <c r="AX288" s="114" t="e">
        <f t="shared" si="91"/>
        <v>#REF!</v>
      </c>
      <c r="AY288" s="99"/>
      <c r="AZ288" s="100"/>
      <c r="BA288" s="104">
        <f t="shared" si="92"/>
        <v>0</v>
      </c>
      <c r="BB288" s="115">
        <f t="shared" si="93"/>
        <v>1</v>
      </c>
      <c r="BC288" s="116" t="e">
        <f>SUMIF(#REF!,#REF!, BB20:BB333)</f>
        <v>#REF!</v>
      </c>
      <c r="BD288" s="116">
        <f t="shared" si="94"/>
        <v>1</v>
      </c>
      <c r="BE288" s="116" t="e">
        <f>SUMIF(#REF!,#REF!, BD20:BD333)</f>
        <v>#REF!</v>
      </c>
      <c r="BF288" s="116">
        <f t="shared" si="95"/>
        <v>0</v>
      </c>
      <c r="BG288" s="116" t="e">
        <f>SUMIF(#REF!,#REF!, BF20:BF333)</f>
        <v>#REF!</v>
      </c>
      <c r="BH288" s="116" t="e">
        <f t="shared" si="96"/>
        <v>#REF!</v>
      </c>
      <c r="BI288" s="117">
        <f>SUMIF(B20:B333, B288, BH20:BH333)</f>
        <v>0</v>
      </c>
      <c r="BJ288" s="118"/>
      <c r="BK288" s="92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4"/>
    </row>
    <row r="289" spans="1:82" x14ac:dyDescent="0.3">
      <c r="A289" s="68" t="s">
        <v>563</v>
      </c>
      <c r="B289" s="69"/>
      <c r="C289" s="70" t="s">
        <v>160</v>
      </c>
      <c r="D289" s="70" t="s">
        <v>204</v>
      </c>
      <c r="E289" s="71" t="s">
        <v>140</v>
      </c>
      <c r="F289" s="72" t="s">
        <v>103</v>
      </c>
      <c r="G289" s="73"/>
      <c r="H289" s="74" t="s">
        <v>103</v>
      </c>
      <c r="I289" s="72" t="s">
        <v>6</v>
      </c>
      <c r="J289" s="73" t="s">
        <v>6</v>
      </c>
      <c r="K289" s="75"/>
      <c r="L289" s="76"/>
      <c r="M289" s="77"/>
      <c r="N289" s="78">
        <v>2856</v>
      </c>
      <c r="O289" s="79">
        <v>3031</v>
      </c>
      <c r="P289" s="79">
        <v>3153</v>
      </c>
      <c r="Q289" s="80"/>
      <c r="R289" s="155">
        <v>0.09</v>
      </c>
      <c r="S289" s="78">
        <v>257</v>
      </c>
      <c r="T289" s="79">
        <v>273</v>
      </c>
      <c r="U289" s="79">
        <v>284</v>
      </c>
      <c r="V289" s="80">
        <f t="shared" si="86"/>
        <v>0</v>
      </c>
      <c r="W289" s="82"/>
      <c r="X289" s="83"/>
      <c r="Y289" s="84" t="s">
        <v>104</v>
      </c>
      <c r="Z289" s="73" t="str">
        <f>'[1]Tier 1'!V289</f>
        <v>D</v>
      </c>
      <c r="AA289" s="73"/>
      <c r="AB289" s="73"/>
      <c r="AC289" s="73"/>
      <c r="AD289" s="74"/>
      <c r="AE289" s="78">
        <f>'[1]Tier 1'!W289</f>
        <v>1962</v>
      </c>
      <c r="AF289" s="79"/>
      <c r="AG289" s="79">
        <f>'[1]Tier 1'!X289</f>
        <v>1962</v>
      </c>
      <c r="AH289" s="79"/>
      <c r="AI289" s="79">
        <f>'[1]Tier 1'!Y289</f>
        <v>1962</v>
      </c>
      <c r="AJ289" s="79">
        <f t="shared" si="87"/>
        <v>1765.8</v>
      </c>
      <c r="AK289" s="79" t="e">
        <f>VLOOKUP(A289,#REF!,-1,FALSE)</f>
        <v>#REF!</v>
      </c>
      <c r="AL289" s="80" t="e">
        <f t="shared" si="88"/>
        <v>#REF!</v>
      </c>
      <c r="AM289" s="78">
        <f t="shared" si="97"/>
        <v>257</v>
      </c>
      <c r="AN289" s="85">
        <f t="shared" si="98"/>
        <v>0.13100000000000001</v>
      </c>
      <c r="AO289" s="73" t="str">
        <f t="shared" si="99"/>
        <v>OK</v>
      </c>
      <c r="AP289" s="79">
        <f t="shared" si="100"/>
        <v>273</v>
      </c>
      <c r="AQ289" s="85">
        <f t="shared" si="101"/>
        <v>0.13900000000000001</v>
      </c>
      <c r="AR289" s="73" t="str">
        <f t="shared" si="102"/>
        <v>OK</v>
      </c>
      <c r="AS289" s="79">
        <f t="shared" si="103"/>
        <v>284</v>
      </c>
      <c r="AT289" s="85">
        <f t="shared" si="104"/>
        <v>0.14499999999999999</v>
      </c>
      <c r="AU289" s="86" t="str">
        <f t="shared" si="105"/>
        <v>OK</v>
      </c>
      <c r="AV289" s="79">
        <f t="shared" si="89"/>
        <v>0</v>
      </c>
      <c r="AW289" s="85" t="e">
        <f t="shared" si="90"/>
        <v>#REF!</v>
      </c>
      <c r="AX289" s="87" t="e">
        <f t="shared" si="91"/>
        <v>#REF!</v>
      </c>
      <c r="AY289" s="72"/>
      <c r="AZ289" s="73"/>
      <c r="BA289" s="77">
        <f t="shared" si="92"/>
        <v>0</v>
      </c>
      <c r="BB289" s="88">
        <f t="shared" si="93"/>
        <v>1</v>
      </c>
      <c r="BC289" s="89" t="e">
        <f>SUMIF(#REF!,#REF!, BB20:BB333)</f>
        <v>#REF!</v>
      </c>
      <c r="BD289" s="89">
        <f t="shared" si="94"/>
        <v>1</v>
      </c>
      <c r="BE289" s="89" t="e">
        <f>SUMIF(#REF!,#REF!, BD20:BD333)</f>
        <v>#REF!</v>
      </c>
      <c r="BF289" s="89">
        <f t="shared" si="95"/>
        <v>0</v>
      </c>
      <c r="BG289" s="89" t="e">
        <f>SUMIF(#REF!,#REF!, BF20:BF333)</f>
        <v>#REF!</v>
      </c>
      <c r="BH289" s="89" t="e">
        <f t="shared" si="96"/>
        <v>#REF!</v>
      </c>
      <c r="BI289" s="90">
        <f>SUMIF(B20:B333, B289, BH20:BH333)</f>
        <v>0</v>
      </c>
      <c r="BJ289" s="91"/>
      <c r="BK289" s="92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4"/>
    </row>
    <row r="290" spans="1:82" x14ac:dyDescent="0.3">
      <c r="A290" s="95" t="s">
        <v>564</v>
      </c>
      <c r="B290" s="96"/>
      <c r="C290" s="97" t="s">
        <v>160</v>
      </c>
      <c r="D290" s="97" t="s">
        <v>140</v>
      </c>
      <c r="E290" s="98" t="s">
        <v>565</v>
      </c>
      <c r="F290" s="99" t="s">
        <v>103</v>
      </c>
      <c r="G290" s="100"/>
      <c r="H290" s="101" t="s">
        <v>109</v>
      </c>
      <c r="I290" s="99" t="s">
        <v>6</v>
      </c>
      <c r="J290" s="100" t="s">
        <v>6</v>
      </c>
      <c r="K290" s="102"/>
      <c r="L290" s="103"/>
      <c r="M290" s="104"/>
      <c r="N290" s="105">
        <v>3978</v>
      </c>
      <c r="O290" s="106">
        <v>4069</v>
      </c>
      <c r="P290" s="106">
        <v>4262</v>
      </c>
      <c r="Q290" s="107"/>
      <c r="R290" s="156">
        <v>0.09</v>
      </c>
      <c r="S290" s="105">
        <v>358</v>
      </c>
      <c r="T290" s="106">
        <v>366</v>
      </c>
      <c r="U290" s="106">
        <v>0</v>
      </c>
      <c r="V290" s="107">
        <f t="shared" si="86"/>
        <v>0</v>
      </c>
      <c r="W290" s="109"/>
      <c r="X290" s="110"/>
      <c r="Y290" s="111" t="s">
        <v>104</v>
      </c>
      <c r="Z290" s="100" t="str">
        <f>'[1]Tier 1'!V290</f>
        <v>D</v>
      </c>
      <c r="AA290" s="100"/>
      <c r="AB290" s="100"/>
      <c r="AC290" s="100"/>
      <c r="AD290" s="101"/>
      <c r="AE290" s="105">
        <f>'[1]Tier 1'!W290</f>
        <v>1962</v>
      </c>
      <c r="AF290" s="106"/>
      <c r="AG290" s="106">
        <f>'[1]Tier 1'!X290</f>
        <v>1962</v>
      </c>
      <c r="AH290" s="106"/>
      <c r="AI290" s="106">
        <f>'[1]Tier 1'!Y290</f>
        <v>0</v>
      </c>
      <c r="AJ290" s="106">
        <f t="shared" si="87"/>
        <v>0</v>
      </c>
      <c r="AK290" s="106" t="e">
        <f>VLOOKUP(A290,#REF!,-1,FALSE)</f>
        <v>#REF!</v>
      </c>
      <c r="AL290" s="107" t="e">
        <f t="shared" si="88"/>
        <v>#REF!</v>
      </c>
      <c r="AM290" s="105">
        <f t="shared" si="97"/>
        <v>358</v>
      </c>
      <c r="AN290" s="112">
        <f t="shared" si="98"/>
        <v>0.182</v>
      </c>
      <c r="AO290" s="100" t="str">
        <f t="shared" si="99"/>
        <v>OK</v>
      </c>
      <c r="AP290" s="106">
        <f t="shared" si="100"/>
        <v>366</v>
      </c>
      <c r="AQ290" s="112">
        <f t="shared" si="101"/>
        <v>0.187</v>
      </c>
      <c r="AR290" s="100" t="str">
        <f t="shared" si="102"/>
        <v>OK</v>
      </c>
      <c r="AS290" s="106">
        <f t="shared" si="103"/>
        <v>0</v>
      </c>
      <c r="AT290" s="112">
        <f t="shared" si="104"/>
        <v>0</v>
      </c>
      <c r="AU290" s="113" t="str">
        <f t="shared" si="105"/>
        <v>OK</v>
      </c>
      <c r="AV290" s="106">
        <f t="shared" si="89"/>
        <v>0</v>
      </c>
      <c r="AW290" s="112" t="e">
        <f t="shared" si="90"/>
        <v>#REF!</v>
      </c>
      <c r="AX290" s="114" t="e">
        <f t="shared" si="91"/>
        <v>#REF!</v>
      </c>
      <c r="AY290" s="99"/>
      <c r="AZ290" s="100"/>
      <c r="BA290" s="104">
        <f t="shared" si="92"/>
        <v>0</v>
      </c>
      <c r="BB290" s="115">
        <f t="shared" si="93"/>
        <v>1</v>
      </c>
      <c r="BC290" s="116" t="e">
        <f>SUMIF(#REF!,#REF!, BB20:BB333)</f>
        <v>#REF!</v>
      </c>
      <c r="BD290" s="116">
        <f t="shared" si="94"/>
        <v>1</v>
      </c>
      <c r="BE290" s="116" t="e">
        <f>SUMIF(#REF!,#REF!, BD20:BD333)</f>
        <v>#REF!</v>
      </c>
      <c r="BF290" s="116">
        <f t="shared" si="95"/>
        <v>0</v>
      </c>
      <c r="BG290" s="116" t="e">
        <f>SUMIF(#REF!,#REF!, BF20:BF333)</f>
        <v>#REF!</v>
      </c>
      <c r="BH290" s="116" t="e">
        <f t="shared" si="96"/>
        <v>#REF!</v>
      </c>
      <c r="BI290" s="117">
        <f>SUMIF(B20:B333, B290, BH20:BH333)</f>
        <v>0</v>
      </c>
      <c r="BJ290" s="118"/>
      <c r="BK290" s="92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4"/>
    </row>
    <row r="291" spans="1:82" x14ac:dyDescent="0.3">
      <c r="A291" s="68" t="s">
        <v>566</v>
      </c>
      <c r="B291" s="69"/>
      <c r="C291" s="70" t="s">
        <v>160</v>
      </c>
      <c r="D291" s="70" t="s">
        <v>565</v>
      </c>
      <c r="E291" s="71" t="s">
        <v>111</v>
      </c>
      <c r="F291" s="72" t="s">
        <v>103</v>
      </c>
      <c r="G291" s="73"/>
      <c r="H291" s="74" t="s">
        <v>103</v>
      </c>
      <c r="I291" s="72" t="s">
        <v>6</v>
      </c>
      <c r="J291" s="73" t="s">
        <v>6</v>
      </c>
      <c r="K291" s="75"/>
      <c r="L291" s="76"/>
      <c r="M291" s="77"/>
      <c r="N291" s="78">
        <v>3978</v>
      </c>
      <c r="O291" s="79">
        <v>0</v>
      </c>
      <c r="P291" s="79">
        <v>4262</v>
      </c>
      <c r="Q291" s="80"/>
      <c r="R291" s="155">
        <v>0.09</v>
      </c>
      <c r="S291" s="78">
        <v>358</v>
      </c>
      <c r="T291" s="79">
        <v>0</v>
      </c>
      <c r="U291" s="79">
        <v>384</v>
      </c>
      <c r="V291" s="80">
        <f t="shared" si="86"/>
        <v>0</v>
      </c>
      <c r="W291" s="82"/>
      <c r="X291" s="83"/>
      <c r="Y291" s="84" t="s">
        <v>104</v>
      </c>
      <c r="Z291" s="73" t="str">
        <f>'[1]Tier 1'!V291</f>
        <v>D</v>
      </c>
      <c r="AA291" s="73"/>
      <c r="AB291" s="73"/>
      <c r="AC291" s="73"/>
      <c r="AD291" s="74"/>
      <c r="AE291" s="78">
        <f>'[1]Tier 1'!W291</f>
        <v>1962</v>
      </c>
      <c r="AF291" s="79"/>
      <c r="AG291" s="79">
        <f>'[1]Tier 1'!X291</f>
        <v>1962</v>
      </c>
      <c r="AH291" s="79"/>
      <c r="AI291" s="79">
        <f>'[1]Tier 1'!Y291</f>
        <v>1962</v>
      </c>
      <c r="AJ291" s="79">
        <f t="shared" si="87"/>
        <v>1765.8</v>
      </c>
      <c r="AK291" s="79" t="e">
        <f>VLOOKUP(A291,#REF!,-1,FALSE)</f>
        <v>#REF!</v>
      </c>
      <c r="AL291" s="80" t="e">
        <f t="shared" si="88"/>
        <v>#REF!</v>
      </c>
      <c r="AM291" s="78">
        <f t="shared" si="97"/>
        <v>358</v>
      </c>
      <c r="AN291" s="85">
        <f t="shared" si="98"/>
        <v>0.182</v>
      </c>
      <c r="AO291" s="73" t="str">
        <f t="shared" si="99"/>
        <v>OK</v>
      </c>
      <c r="AP291" s="79">
        <f t="shared" si="100"/>
        <v>0</v>
      </c>
      <c r="AQ291" s="85">
        <f t="shared" si="101"/>
        <v>0</v>
      </c>
      <c r="AR291" s="73" t="str">
        <f t="shared" si="102"/>
        <v>OK</v>
      </c>
      <c r="AS291" s="79">
        <f t="shared" si="103"/>
        <v>384</v>
      </c>
      <c r="AT291" s="85">
        <f t="shared" si="104"/>
        <v>0.19600000000000001</v>
      </c>
      <c r="AU291" s="86" t="str">
        <f t="shared" si="105"/>
        <v>OK</v>
      </c>
      <c r="AV291" s="79">
        <f t="shared" si="89"/>
        <v>0</v>
      </c>
      <c r="AW291" s="85" t="e">
        <f t="shared" si="90"/>
        <v>#REF!</v>
      </c>
      <c r="AX291" s="87" t="e">
        <f t="shared" si="91"/>
        <v>#REF!</v>
      </c>
      <c r="AY291" s="72"/>
      <c r="AZ291" s="73"/>
      <c r="BA291" s="77">
        <f t="shared" si="92"/>
        <v>0</v>
      </c>
      <c r="BB291" s="88">
        <f t="shared" si="93"/>
        <v>1</v>
      </c>
      <c r="BC291" s="89" t="e">
        <f>SUMIF(#REF!,#REF!, BB20:BB333)</f>
        <v>#REF!</v>
      </c>
      <c r="BD291" s="89">
        <f t="shared" si="94"/>
        <v>0</v>
      </c>
      <c r="BE291" s="89" t="e">
        <f>SUMIF(#REF!,#REF!, BD20:BD333)</f>
        <v>#REF!</v>
      </c>
      <c r="BF291" s="89">
        <f t="shared" si="95"/>
        <v>0</v>
      </c>
      <c r="BG291" s="89" t="e">
        <f>SUMIF(#REF!,#REF!, BF20:BF333)</f>
        <v>#REF!</v>
      </c>
      <c r="BH291" s="89" t="e">
        <f t="shared" si="96"/>
        <v>#REF!</v>
      </c>
      <c r="BI291" s="90">
        <f>SUMIF(B20:B333, B291, BH20:BH333)</f>
        <v>0</v>
      </c>
      <c r="BJ291" s="91"/>
      <c r="BK291" s="92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4"/>
    </row>
    <row r="292" spans="1:82" hidden="1" x14ac:dyDescent="0.3">
      <c r="A292" s="95" t="s">
        <v>567</v>
      </c>
      <c r="B292" s="96"/>
      <c r="C292" s="97" t="s">
        <v>241</v>
      </c>
      <c r="D292" s="97" t="s">
        <v>304</v>
      </c>
      <c r="E292" s="98" t="s">
        <v>319</v>
      </c>
      <c r="F292" s="99" t="s">
        <v>103</v>
      </c>
      <c r="G292" s="100"/>
      <c r="H292" s="101" t="s">
        <v>103</v>
      </c>
      <c r="I292" s="99" t="s">
        <v>6</v>
      </c>
      <c r="J292" s="100" t="s">
        <v>6</v>
      </c>
      <c r="K292" s="102"/>
      <c r="L292" s="103"/>
      <c r="M292" s="104"/>
      <c r="N292" s="105" t="e">
        <v>#DIV/0!</v>
      </c>
      <c r="O292" s="106">
        <v>0</v>
      </c>
      <c r="P292" s="106" t="e">
        <v>#DIV/0!</v>
      </c>
      <c r="Q292" s="107"/>
      <c r="R292" s="156">
        <v>0.09</v>
      </c>
      <c r="S292" s="105" t="e">
        <v>#DIV/0!</v>
      </c>
      <c r="T292" s="106">
        <v>0</v>
      </c>
      <c r="U292" s="106" t="e">
        <v>#DIV/0!</v>
      </c>
      <c r="V292" s="107">
        <f t="shared" si="86"/>
        <v>0</v>
      </c>
      <c r="W292" s="109"/>
      <c r="X292" s="110"/>
      <c r="Y292" s="111" t="s">
        <v>104</v>
      </c>
      <c r="Z292" s="100" t="str">
        <f>'[1]Tier 1'!V292</f>
        <v>D</v>
      </c>
      <c r="AA292" s="100"/>
      <c r="AB292" s="100"/>
      <c r="AC292" s="100"/>
      <c r="AD292" s="101"/>
      <c r="AE292" s="105">
        <f>'[1]Tier 1'!W292</f>
        <v>1818</v>
      </c>
      <c r="AF292" s="106"/>
      <c r="AG292" s="106">
        <f>'[1]Tier 1'!X292</f>
        <v>1818</v>
      </c>
      <c r="AH292" s="106"/>
      <c r="AI292" s="106">
        <f>'[1]Tier 1'!Y292</f>
        <v>4617</v>
      </c>
      <c r="AJ292" s="106">
        <f t="shared" si="87"/>
        <v>4155.3</v>
      </c>
      <c r="AK292" s="106" t="e">
        <f>VLOOKUP(A292,#REF!,-1,FALSE)</f>
        <v>#REF!</v>
      </c>
      <c r="AL292" s="107" t="e">
        <f t="shared" si="88"/>
        <v>#REF!</v>
      </c>
      <c r="AM292" s="105" t="e">
        <f t="shared" si="97"/>
        <v>#DIV/0!</v>
      </c>
      <c r="AN292" s="112" t="e">
        <f t="shared" si="98"/>
        <v>#DIV/0!</v>
      </c>
      <c r="AO292" s="100" t="str">
        <f t="shared" si="99"/>
        <v>OK</v>
      </c>
      <c r="AP292" s="106">
        <f t="shared" si="100"/>
        <v>0</v>
      </c>
      <c r="AQ292" s="112">
        <f t="shared" si="101"/>
        <v>0</v>
      </c>
      <c r="AR292" s="100" t="str">
        <f t="shared" si="102"/>
        <v>OK</v>
      </c>
      <c r="AS292" s="106" t="e">
        <f t="shared" si="103"/>
        <v>#DIV/0!</v>
      </c>
      <c r="AT292" s="112" t="e">
        <f t="shared" si="104"/>
        <v>#DIV/0!</v>
      </c>
      <c r="AU292" s="113" t="str">
        <f t="shared" si="105"/>
        <v>OK</v>
      </c>
      <c r="AV292" s="106">
        <f t="shared" si="89"/>
        <v>0</v>
      </c>
      <c r="AW292" s="112" t="e">
        <f t="shared" si="90"/>
        <v>#REF!</v>
      </c>
      <c r="AX292" s="114" t="e">
        <f t="shared" si="91"/>
        <v>#REF!</v>
      </c>
      <c r="AY292" s="99"/>
      <c r="AZ292" s="100"/>
      <c r="BA292" s="104">
        <f t="shared" si="92"/>
        <v>0</v>
      </c>
      <c r="BB292" s="115" t="e">
        <f t="shared" si="93"/>
        <v>#DIV/0!</v>
      </c>
      <c r="BC292" s="116" t="e">
        <f>SUMIF(#REF!,#REF!, BB20:BB333)</f>
        <v>#REF!</v>
      </c>
      <c r="BD292" s="116">
        <f t="shared" si="94"/>
        <v>0</v>
      </c>
      <c r="BE292" s="116" t="e">
        <f>SUMIF(#REF!,#REF!, BD20:BD333)</f>
        <v>#REF!</v>
      </c>
      <c r="BF292" s="116" t="e">
        <f t="shared" si="95"/>
        <v>#DIV/0!</v>
      </c>
      <c r="BG292" s="116" t="e">
        <f>SUMIF(#REF!,#REF!, BF20:BF333)</f>
        <v>#REF!</v>
      </c>
      <c r="BH292" s="116" t="e">
        <f t="shared" si="96"/>
        <v>#REF!</v>
      </c>
      <c r="BI292" s="117">
        <f>SUMIF(B20:B333, B292, BH20:BH333)</f>
        <v>0</v>
      </c>
      <c r="BJ292" s="118"/>
      <c r="BK292" s="92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4"/>
    </row>
    <row r="293" spans="1:82" x14ac:dyDescent="0.3">
      <c r="A293" s="68" t="s">
        <v>568</v>
      </c>
      <c r="B293" s="69"/>
      <c r="C293" s="70" t="s">
        <v>331</v>
      </c>
      <c r="D293" s="70" t="s">
        <v>300</v>
      </c>
      <c r="E293" s="71" t="s">
        <v>569</v>
      </c>
      <c r="F293" s="72" t="s">
        <v>103</v>
      </c>
      <c r="G293" s="73"/>
      <c r="H293" s="74" t="s">
        <v>103</v>
      </c>
      <c r="I293" s="72" t="s">
        <v>6</v>
      </c>
      <c r="J293" s="73" t="s">
        <v>6</v>
      </c>
      <c r="K293" s="75"/>
      <c r="L293" s="76"/>
      <c r="M293" s="77"/>
      <c r="N293" s="78">
        <v>255</v>
      </c>
      <c r="O293" s="79">
        <v>271</v>
      </c>
      <c r="P293" s="79">
        <v>282</v>
      </c>
      <c r="Q293" s="80"/>
      <c r="R293" s="155">
        <v>0.09</v>
      </c>
      <c r="S293" s="78">
        <v>23</v>
      </c>
      <c r="T293" s="79">
        <v>24</v>
      </c>
      <c r="U293" s="79">
        <v>25</v>
      </c>
      <c r="V293" s="80">
        <f t="shared" si="86"/>
        <v>0</v>
      </c>
      <c r="W293" s="82"/>
      <c r="X293" s="83"/>
      <c r="Y293" s="84" t="s">
        <v>104</v>
      </c>
      <c r="Z293" s="73" t="str">
        <f>'[1]Tier 1'!V293</f>
        <v>D</v>
      </c>
      <c r="AA293" s="73"/>
      <c r="AB293" s="73"/>
      <c r="AC293" s="73"/>
      <c r="AD293" s="74"/>
      <c r="AE293" s="78">
        <f>'[1]Tier 1'!W293</f>
        <v>1197</v>
      </c>
      <c r="AF293" s="79"/>
      <c r="AG293" s="79">
        <f>'[1]Tier 1'!X293</f>
        <v>1197</v>
      </c>
      <c r="AH293" s="79"/>
      <c r="AI293" s="79">
        <f>'[1]Tier 1'!Y293</f>
        <v>1197</v>
      </c>
      <c r="AJ293" s="79">
        <f t="shared" si="87"/>
        <v>1077.3</v>
      </c>
      <c r="AK293" s="79" t="e">
        <f>VLOOKUP(A293,#REF!,-1,FALSE)</f>
        <v>#REF!</v>
      </c>
      <c r="AL293" s="80" t="e">
        <f t="shared" si="88"/>
        <v>#REF!</v>
      </c>
      <c r="AM293" s="78">
        <f t="shared" si="97"/>
        <v>23</v>
      </c>
      <c r="AN293" s="85">
        <f t="shared" si="98"/>
        <v>1.9E-2</v>
      </c>
      <c r="AO293" s="73" t="str">
        <f t="shared" si="99"/>
        <v>OK</v>
      </c>
      <c r="AP293" s="79">
        <f t="shared" si="100"/>
        <v>24</v>
      </c>
      <c r="AQ293" s="85">
        <f t="shared" si="101"/>
        <v>0.02</v>
      </c>
      <c r="AR293" s="73" t="str">
        <f t="shared" si="102"/>
        <v>OK</v>
      </c>
      <c r="AS293" s="79">
        <f t="shared" si="103"/>
        <v>25</v>
      </c>
      <c r="AT293" s="85">
        <f t="shared" si="104"/>
        <v>2.1000000000000001E-2</v>
      </c>
      <c r="AU293" s="86" t="str">
        <f t="shared" si="105"/>
        <v>OK</v>
      </c>
      <c r="AV293" s="79">
        <f t="shared" si="89"/>
        <v>0</v>
      </c>
      <c r="AW293" s="85" t="e">
        <f t="shared" si="90"/>
        <v>#REF!</v>
      </c>
      <c r="AX293" s="87" t="e">
        <f t="shared" si="91"/>
        <v>#REF!</v>
      </c>
      <c r="AY293" s="72"/>
      <c r="AZ293" s="73"/>
      <c r="BA293" s="77">
        <f t="shared" si="92"/>
        <v>0</v>
      </c>
      <c r="BB293" s="88">
        <f t="shared" si="93"/>
        <v>1</v>
      </c>
      <c r="BC293" s="89" t="e">
        <f>SUMIF(#REF!,#REF!, BB20:BB333)</f>
        <v>#REF!</v>
      </c>
      <c r="BD293" s="89">
        <f t="shared" si="94"/>
        <v>1</v>
      </c>
      <c r="BE293" s="89" t="e">
        <f>SUMIF(#REF!,#REF!, BD20:BD333)</f>
        <v>#REF!</v>
      </c>
      <c r="BF293" s="89">
        <f t="shared" si="95"/>
        <v>0</v>
      </c>
      <c r="BG293" s="89" t="e">
        <f>SUMIF(#REF!,#REF!, BF20:BF333)</f>
        <v>#REF!</v>
      </c>
      <c r="BH293" s="89" t="e">
        <f t="shared" si="96"/>
        <v>#REF!</v>
      </c>
      <c r="BI293" s="90">
        <f>SUMIF(B20:B333, B293, BH20:BH333)</f>
        <v>0</v>
      </c>
      <c r="BJ293" s="91"/>
      <c r="BK293" s="92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4"/>
    </row>
    <row r="294" spans="1:82" x14ac:dyDescent="0.3">
      <c r="A294" s="95" t="s">
        <v>570</v>
      </c>
      <c r="B294" s="96"/>
      <c r="C294" s="97" t="s">
        <v>278</v>
      </c>
      <c r="D294" s="97" t="s">
        <v>102</v>
      </c>
      <c r="E294" s="98" t="s">
        <v>291</v>
      </c>
      <c r="F294" s="99" t="s">
        <v>103</v>
      </c>
      <c r="G294" s="100"/>
      <c r="H294" s="101" t="s">
        <v>103</v>
      </c>
      <c r="I294" s="99" t="s">
        <v>6</v>
      </c>
      <c r="J294" s="100" t="s">
        <v>6</v>
      </c>
      <c r="K294" s="102"/>
      <c r="L294" s="103"/>
      <c r="M294" s="104"/>
      <c r="N294" s="105">
        <v>10200</v>
      </c>
      <c r="O294" s="106">
        <v>0</v>
      </c>
      <c r="P294" s="106">
        <v>10418</v>
      </c>
      <c r="Q294" s="107"/>
      <c r="R294" s="156">
        <v>0.09</v>
      </c>
      <c r="S294" s="105">
        <v>918</v>
      </c>
      <c r="T294" s="106">
        <v>0</v>
      </c>
      <c r="U294" s="106">
        <v>938</v>
      </c>
      <c r="V294" s="107">
        <f t="shared" si="86"/>
        <v>0</v>
      </c>
      <c r="W294" s="109"/>
      <c r="X294" s="110"/>
      <c r="Y294" s="111" t="s">
        <v>104</v>
      </c>
      <c r="Z294" s="100" t="str">
        <f>'[1]Tier 1'!V294</f>
        <v>D</v>
      </c>
      <c r="AA294" s="100"/>
      <c r="AB294" s="100"/>
      <c r="AC294" s="100"/>
      <c r="AD294" s="101"/>
      <c r="AE294" s="105">
        <f>'[1]Tier 1'!W294</f>
        <v>1197</v>
      </c>
      <c r="AF294" s="106"/>
      <c r="AG294" s="106">
        <f>'[1]Tier 1'!X294</f>
        <v>1197</v>
      </c>
      <c r="AH294" s="106"/>
      <c r="AI294" s="106">
        <f>'[1]Tier 1'!Y294</f>
        <v>1197</v>
      </c>
      <c r="AJ294" s="106">
        <f t="shared" si="87"/>
        <v>1077.3</v>
      </c>
      <c r="AK294" s="106" t="e">
        <f>VLOOKUP(A294,#REF!,-1,FALSE)</f>
        <v>#REF!</v>
      </c>
      <c r="AL294" s="107" t="e">
        <f t="shared" si="88"/>
        <v>#REF!</v>
      </c>
      <c r="AM294" s="105">
        <f t="shared" si="97"/>
        <v>918</v>
      </c>
      <c r="AN294" s="112">
        <f t="shared" si="98"/>
        <v>0.76700000000000002</v>
      </c>
      <c r="AO294" s="100" t="str">
        <f t="shared" si="99"/>
        <v>OK</v>
      </c>
      <c r="AP294" s="106">
        <f t="shared" si="100"/>
        <v>0</v>
      </c>
      <c r="AQ294" s="112">
        <f t="shared" si="101"/>
        <v>0</v>
      </c>
      <c r="AR294" s="100" t="str">
        <f t="shared" si="102"/>
        <v>OK</v>
      </c>
      <c r="AS294" s="106">
        <f t="shared" si="103"/>
        <v>938</v>
      </c>
      <c r="AT294" s="112">
        <f t="shared" si="104"/>
        <v>0.78400000000000003</v>
      </c>
      <c r="AU294" s="113" t="str">
        <f t="shared" si="105"/>
        <v>OK</v>
      </c>
      <c r="AV294" s="106">
        <f t="shared" si="89"/>
        <v>0</v>
      </c>
      <c r="AW294" s="112" t="e">
        <f t="shared" si="90"/>
        <v>#REF!</v>
      </c>
      <c r="AX294" s="114" t="e">
        <f t="shared" si="91"/>
        <v>#REF!</v>
      </c>
      <c r="AY294" s="99"/>
      <c r="AZ294" s="100"/>
      <c r="BA294" s="104">
        <f t="shared" si="92"/>
        <v>0</v>
      </c>
      <c r="BB294" s="115">
        <f t="shared" si="93"/>
        <v>1</v>
      </c>
      <c r="BC294" s="116" t="e">
        <f>SUMIF(#REF!,#REF!, BB20:BB333)</f>
        <v>#REF!</v>
      </c>
      <c r="BD294" s="116">
        <f t="shared" si="94"/>
        <v>0</v>
      </c>
      <c r="BE294" s="116" t="e">
        <f>SUMIF(#REF!,#REF!, BD20:BD333)</f>
        <v>#REF!</v>
      </c>
      <c r="BF294" s="116">
        <f t="shared" si="95"/>
        <v>0</v>
      </c>
      <c r="BG294" s="116" t="e">
        <f>SUMIF(#REF!,#REF!, BF20:BF333)</f>
        <v>#REF!</v>
      </c>
      <c r="BH294" s="116" t="e">
        <f t="shared" si="96"/>
        <v>#REF!</v>
      </c>
      <c r="BI294" s="117">
        <f>SUMIF(B20:B333, B294, BH20:BH333)</f>
        <v>0</v>
      </c>
      <c r="BJ294" s="118"/>
      <c r="BK294" s="92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4"/>
    </row>
    <row r="295" spans="1:82" x14ac:dyDescent="0.3">
      <c r="A295" s="68" t="s">
        <v>571</v>
      </c>
      <c r="B295" s="69"/>
      <c r="C295" s="70" t="s">
        <v>278</v>
      </c>
      <c r="D295" s="70" t="s">
        <v>291</v>
      </c>
      <c r="E295" s="71" t="s">
        <v>111</v>
      </c>
      <c r="F295" s="72" t="s">
        <v>103</v>
      </c>
      <c r="G295" s="73"/>
      <c r="H295" s="74" t="s">
        <v>103</v>
      </c>
      <c r="I295" s="72" t="s">
        <v>6</v>
      </c>
      <c r="J295" s="73" t="s">
        <v>6</v>
      </c>
      <c r="K295" s="75"/>
      <c r="L295" s="76"/>
      <c r="M295" s="77"/>
      <c r="N295" s="78">
        <v>10200</v>
      </c>
      <c r="O295" s="79">
        <v>10824</v>
      </c>
      <c r="P295" s="79">
        <v>10418</v>
      </c>
      <c r="Q295" s="80"/>
      <c r="R295" s="155">
        <v>0.09</v>
      </c>
      <c r="S295" s="78">
        <v>918</v>
      </c>
      <c r="T295" s="79">
        <v>974</v>
      </c>
      <c r="U295" s="79">
        <v>938</v>
      </c>
      <c r="V295" s="80">
        <f t="shared" si="86"/>
        <v>0</v>
      </c>
      <c r="W295" s="82"/>
      <c r="X295" s="83"/>
      <c r="Y295" s="84" t="s">
        <v>104</v>
      </c>
      <c r="Z295" s="73" t="str">
        <f>'[1]Tier 1'!V295</f>
        <v>D</v>
      </c>
      <c r="AA295" s="73"/>
      <c r="AB295" s="73"/>
      <c r="AC295" s="73"/>
      <c r="AD295" s="74"/>
      <c r="AE295" s="78">
        <f>'[1]Tier 1'!W295</f>
        <v>958</v>
      </c>
      <c r="AF295" s="79"/>
      <c r="AG295" s="79">
        <f>'[1]Tier 1'!X295</f>
        <v>958</v>
      </c>
      <c r="AH295" s="79"/>
      <c r="AI295" s="79">
        <f>'[1]Tier 1'!Y295</f>
        <v>958</v>
      </c>
      <c r="AJ295" s="79">
        <f t="shared" si="87"/>
        <v>862.2</v>
      </c>
      <c r="AK295" s="79" t="e">
        <f>VLOOKUP(A295,#REF!,-1,FALSE)</f>
        <v>#REF!</v>
      </c>
      <c r="AL295" s="80" t="e">
        <f t="shared" si="88"/>
        <v>#REF!</v>
      </c>
      <c r="AM295" s="78">
        <f t="shared" si="97"/>
        <v>918</v>
      </c>
      <c r="AN295" s="85">
        <f t="shared" si="98"/>
        <v>0.95799999999999996</v>
      </c>
      <c r="AO295" s="73" t="str">
        <f t="shared" si="99"/>
        <v>OK</v>
      </c>
      <c r="AP295" s="79">
        <f t="shared" si="100"/>
        <v>974</v>
      </c>
      <c r="AQ295" s="85">
        <f t="shared" si="101"/>
        <v>1.0169999999999999</v>
      </c>
      <c r="AR295" s="73" t="str">
        <f t="shared" si="102"/>
        <v>OK</v>
      </c>
      <c r="AS295" s="79">
        <f t="shared" si="103"/>
        <v>938</v>
      </c>
      <c r="AT295" s="85">
        <f t="shared" si="104"/>
        <v>0.97899999999999998</v>
      </c>
      <c r="AU295" s="86" t="str">
        <f t="shared" si="105"/>
        <v>OK</v>
      </c>
      <c r="AV295" s="79">
        <f t="shared" si="89"/>
        <v>0</v>
      </c>
      <c r="AW295" s="85" t="e">
        <f t="shared" si="90"/>
        <v>#REF!</v>
      </c>
      <c r="AX295" s="87" t="e">
        <f t="shared" si="91"/>
        <v>#REF!</v>
      </c>
      <c r="AY295" s="72"/>
      <c r="AZ295" s="73"/>
      <c r="BA295" s="77">
        <f t="shared" si="92"/>
        <v>0</v>
      </c>
      <c r="BB295" s="88">
        <f t="shared" si="93"/>
        <v>1</v>
      </c>
      <c r="BC295" s="89" t="e">
        <f>SUMIF(#REF!,#REF!, BB20:BB333)</f>
        <v>#REF!</v>
      </c>
      <c r="BD295" s="89">
        <f t="shared" si="94"/>
        <v>1</v>
      </c>
      <c r="BE295" s="89" t="e">
        <f>SUMIF(#REF!,#REF!, BD20:BD333)</f>
        <v>#REF!</v>
      </c>
      <c r="BF295" s="89">
        <f t="shared" si="95"/>
        <v>1</v>
      </c>
      <c r="BG295" s="89" t="e">
        <f>SUMIF(#REF!,#REF!, BF20:BF333)</f>
        <v>#REF!</v>
      </c>
      <c r="BH295" s="89" t="e">
        <f t="shared" si="96"/>
        <v>#REF!</v>
      </c>
      <c r="BI295" s="90">
        <f>SUMIF(B20:B333, B295, BH20:BH333)</f>
        <v>0</v>
      </c>
      <c r="BJ295" s="91"/>
      <c r="BK295" s="92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4"/>
    </row>
    <row r="296" spans="1:82" x14ac:dyDescent="0.3">
      <c r="A296" s="95" t="s">
        <v>572</v>
      </c>
      <c r="B296" s="96"/>
      <c r="C296" s="97" t="s">
        <v>278</v>
      </c>
      <c r="D296" s="97" t="s">
        <v>111</v>
      </c>
      <c r="E296" s="98" t="s">
        <v>150</v>
      </c>
      <c r="F296" s="99" t="s">
        <v>103</v>
      </c>
      <c r="G296" s="100"/>
      <c r="H296" s="101" t="s">
        <v>245</v>
      </c>
      <c r="I296" s="99" t="s">
        <v>6</v>
      </c>
      <c r="J296" s="100" t="s">
        <v>6</v>
      </c>
      <c r="K296" s="102"/>
      <c r="L296" s="103"/>
      <c r="M296" s="104"/>
      <c r="N296" s="105">
        <v>10200</v>
      </c>
      <c r="O296" s="106">
        <v>10824</v>
      </c>
      <c r="P296" s="106">
        <v>10418</v>
      </c>
      <c r="Q296" s="107"/>
      <c r="R296" s="156">
        <v>0.09</v>
      </c>
      <c r="S296" s="105">
        <v>918</v>
      </c>
      <c r="T296" s="106">
        <v>974</v>
      </c>
      <c r="U296" s="106">
        <v>938</v>
      </c>
      <c r="V296" s="107">
        <f t="shared" si="86"/>
        <v>0</v>
      </c>
      <c r="W296" s="109"/>
      <c r="X296" s="110"/>
      <c r="Y296" s="111" t="s">
        <v>104</v>
      </c>
      <c r="Z296" s="100" t="str">
        <f>'[1]Tier 1'!V296</f>
        <v>D</v>
      </c>
      <c r="AA296" s="100"/>
      <c r="AB296" s="100"/>
      <c r="AC296" s="100"/>
      <c r="AD296" s="101"/>
      <c r="AE296" s="105">
        <f>'[1]Tier 1'!W296</f>
        <v>958</v>
      </c>
      <c r="AF296" s="106"/>
      <c r="AG296" s="106">
        <f>'[1]Tier 1'!X296</f>
        <v>958</v>
      </c>
      <c r="AH296" s="106"/>
      <c r="AI296" s="106">
        <f>'[1]Tier 1'!Y296</f>
        <v>958</v>
      </c>
      <c r="AJ296" s="106">
        <f t="shared" si="87"/>
        <v>862.2</v>
      </c>
      <c r="AK296" s="106" t="e">
        <f>VLOOKUP(A296,#REF!,-1,FALSE)</f>
        <v>#REF!</v>
      </c>
      <c r="AL296" s="107" t="e">
        <f t="shared" si="88"/>
        <v>#REF!</v>
      </c>
      <c r="AM296" s="105">
        <f t="shared" si="97"/>
        <v>918</v>
      </c>
      <c r="AN296" s="112">
        <f t="shared" si="98"/>
        <v>0.95799999999999996</v>
      </c>
      <c r="AO296" s="100" t="str">
        <f t="shared" si="99"/>
        <v>OK</v>
      </c>
      <c r="AP296" s="106">
        <f t="shared" si="100"/>
        <v>974</v>
      </c>
      <c r="AQ296" s="112">
        <f t="shared" si="101"/>
        <v>1.0169999999999999</v>
      </c>
      <c r="AR296" s="100" t="str">
        <f t="shared" si="102"/>
        <v>OK</v>
      </c>
      <c r="AS296" s="106">
        <f t="shared" si="103"/>
        <v>938</v>
      </c>
      <c r="AT296" s="112">
        <f t="shared" si="104"/>
        <v>0.97899999999999998</v>
      </c>
      <c r="AU296" s="113" t="str">
        <f t="shared" si="105"/>
        <v>OK</v>
      </c>
      <c r="AV296" s="106">
        <f t="shared" si="89"/>
        <v>0</v>
      </c>
      <c r="AW296" s="112" t="e">
        <f t="shared" si="90"/>
        <v>#REF!</v>
      </c>
      <c r="AX296" s="114" t="e">
        <f t="shared" si="91"/>
        <v>#REF!</v>
      </c>
      <c r="AY296" s="99"/>
      <c r="AZ296" s="100"/>
      <c r="BA296" s="104">
        <f t="shared" si="92"/>
        <v>0</v>
      </c>
      <c r="BB296" s="115">
        <f t="shared" si="93"/>
        <v>1</v>
      </c>
      <c r="BC296" s="116" t="e">
        <f>SUMIF(#REF!,#REF!, BB20:BB333)</f>
        <v>#REF!</v>
      </c>
      <c r="BD296" s="116">
        <f t="shared" si="94"/>
        <v>1</v>
      </c>
      <c r="BE296" s="116" t="e">
        <f>SUMIF(#REF!,#REF!, BD20:BD333)</f>
        <v>#REF!</v>
      </c>
      <c r="BF296" s="116">
        <f t="shared" si="95"/>
        <v>1</v>
      </c>
      <c r="BG296" s="116" t="e">
        <f>SUMIF(#REF!,#REF!, BF20:BF333)</f>
        <v>#REF!</v>
      </c>
      <c r="BH296" s="116" t="e">
        <f t="shared" si="96"/>
        <v>#REF!</v>
      </c>
      <c r="BI296" s="117">
        <f>SUMIF(B20:B333, B296, BH20:BH333)</f>
        <v>0</v>
      </c>
      <c r="BJ296" s="118"/>
      <c r="BK296" s="92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4"/>
    </row>
    <row r="297" spans="1:82" x14ac:dyDescent="0.3">
      <c r="A297" s="68" t="s">
        <v>573</v>
      </c>
      <c r="B297" s="69"/>
      <c r="C297" s="70" t="s">
        <v>278</v>
      </c>
      <c r="D297" s="70" t="s">
        <v>150</v>
      </c>
      <c r="E297" s="71" t="s">
        <v>200</v>
      </c>
      <c r="F297" s="72" t="s">
        <v>103</v>
      </c>
      <c r="G297" s="73"/>
      <c r="H297" s="74" t="s">
        <v>103</v>
      </c>
      <c r="I297" s="72" t="s">
        <v>6</v>
      </c>
      <c r="J297" s="73" t="s">
        <v>6</v>
      </c>
      <c r="K297" s="75"/>
      <c r="L297" s="76"/>
      <c r="M297" s="77"/>
      <c r="N297" s="78">
        <v>10200</v>
      </c>
      <c r="O297" s="79">
        <v>10824</v>
      </c>
      <c r="P297" s="79">
        <v>10418</v>
      </c>
      <c r="Q297" s="80"/>
      <c r="R297" s="155">
        <v>0.09</v>
      </c>
      <c r="S297" s="78">
        <v>918</v>
      </c>
      <c r="T297" s="79">
        <v>974</v>
      </c>
      <c r="U297" s="79">
        <v>938</v>
      </c>
      <c r="V297" s="80">
        <f t="shared" si="86"/>
        <v>0</v>
      </c>
      <c r="W297" s="82"/>
      <c r="X297" s="83"/>
      <c r="Y297" s="84" t="s">
        <v>104</v>
      </c>
      <c r="Z297" s="73" t="str">
        <f>'[1]Tier 1'!V297</f>
        <v>D</v>
      </c>
      <c r="AA297" s="73"/>
      <c r="AB297" s="73"/>
      <c r="AC297" s="73"/>
      <c r="AD297" s="74"/>
      <c r="AE297" s="78">
        <f>'[1]Tier 1'!W297</f>
        <v>958</v>
      </c>
      <c r="AF297" s="79"/>
      <c r="AG297" s="79">
        <f>'[1]Tier 1'!X297</f>
        <v>958</v>
      </c>
      <c r="AH297" s="79"/>
      <c r="AI297" s="79">
        <f>'[1]Tier 1'!Y297</f>
        <v>958</v>
      </c>
      <c r="AJ297" s="79">
        <f t="shared" si="87"/>
        <v>862.2</v>
      </c>
      <c r="AK297" s="79" t="e">
        <f>VLOOKUP(A297,#REF!,-1,FALSE)</f>
        <v>#REF!</v>
      </c>
      <c r="AL297" s="80" t="e">
        <f t="shared" si="88"/>
        <v>#REF!</v>
      </c>
      <c r="AM297" s="78">
        <f t="shared" si="97"/>
        <v>918</v>
      </c>
      <c r="AN297" s="85">
        <f t="shared" si="98"/>
        <v>0.95799999999999996</v>
      </c>
      <c r="AO297" s="73" t="str">
        <f t="shared" si="99"/>
        <v>OK</v>
      </c>
      <c r="AP297" s="79">
        <f t="shared" si="100"/>
        <v>974</v>
      </c>
      <c r="AQ297" s="85">
        <f t="shared" si="101"/>
        <v>1.0169999999999999</v>
      </c>
      <c r="AR297" s="73" t="str">
        <f t="shared" si="102"/>
        <v>OK</v>
      </c>
      <c r="AS297" s="79">
        <f t="shared" si="103"/>
        <v>938</v>
      </c>
      <c r="AT297" s="85">
        <f t="shared" si="104"/>
        <v>0.97899999999999998</v>
      </c>
      <c r="AU297" s="86" t="str">
        <f t="shared" si="105"/>
        <v>OK</v>
      </c>
      <c r="AV297" s="79">
        <f t="shared" si="89"/>
        <v>0</v>
      </c>
      <c r="AW297" s="85" t="e">
        <f t="shared" si="90"/>
        <v>#REF!</v>
      </c>
      <c r="AX297" s="87" t="e">
        <f t="shared" si="91"/>
        <v>#REF!</v>
      </c>
      <c r="AY297" s="72"/>
      <c r="AZ297" s="73"/>
      <c r="BA297" s="77">
        <f t="shared" si="92"/>
        <v>0</v>
      </c>
      <c r="BB297" s="88">
        <f t="shared" si="93"/>
        <v>1</v>
      </c>
      <c r="BC297" s="89" t="e">
        <f>SUMIF(#REF!,#REF!, BB20:BB333)</f>
        <v>#REF!</v>
      </c>
      <c r="BD297" s="89">
        <f t="shared" si="94"/>
        <v>1</v>
      </c>
      <c r="BE297" s="89" t="e">
        <f>SUMIF(#REF!,#REF!, BD20:BD333)</f>
        <v>#REF!</v>
      </c>
      <c r="BF297" s="89">
        <f t="shared" si="95"/>
        <v>1</v>
      </c>
      <c r="BG297" s="89" t="e">
        <f>SUMIF(#REF!,#REF!, BF20:BF333)</f>
        <v>#REF!</v>
      </c>
      <c r="BH297" s="89" t="e">
        <f t="shared" si="96"/>
        <v>#REF!</v>
      </c>
      <c r="BI297" s="90">
        <f>SUMIF(B20:B333, B297, BH20:BH333)</f>
        <v>0</v>
      </c>
      <c r="BJ297" s="91"/>
      <c r="BK297" s="92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4"/>
    </row>
    <row r="298" spans="1:82" x14ac:dyDescent="0.3">
      <c r="A298" s="95" t="s">
        <v>574</v>
      </c>
      <c r="B298" s="96"/>
      <c r="C298" s="97" t="s">
        <v>162</v>
      </c>
      <c r="D298" s="97" t="s">
        <v>200</v>
      </c>
      <c r="E298" s="98" t="s">
        <v>160</v>
      </c>
      <c r="F298" s="99" t="s">
        <v>103</v>
      </c>
      <c r="G298" s="100"/>
      <c r="H298" s="101" t="s">
        <v>103</v>
      </c>
      <c r="I298" s="99" t="s">
        <v>6</v>
      </c>
      <c r="J298" s="100" t="s">
        <v>6</v>
      </c>
      <c r="K298" s="102"/>
      <c r="L298" s="103"/>
      <c r="M298" s="104"/>
      <c r="N298" s="105">
        <v>4218</v>
      </c>
      <c r="O298" s="106">
        <v>4476</v>
      </c>
      <c r="P298" s="106">
        <v>4657</v>
      </c>
      <c r="Q298" s="107"/>
      <c r="R298" s="156">
        <v>0.09</v>
      </c>
      <c r="S298" s="105">
        <v>380</v>
      </c>
      <c r="T298" s="106">
        <v>403</v>
      </c>
      <c r="U298" s="106">
        <v>0</v>
      </c>
      <c r="V298" s="107">
        <f t="shared" si="86"/>
        <v>0</v>
      </c>
      <c r="W298" s="109"/>
      <c r="X298" s="110"/>
      <c r="Y298" s="111" t="s">
        <v>104</v>
      </c>
      <c r="Z298" s="100" t="str">
        <f>'[1]Tier 1'!V298</f>
        <v>D</v>
      </c>
      <c r="AA298" s="100"/>
      <c r="AB298" s="100"/>
      <c r="AC298" s="100"/>
      <c r="AD298" s="101"/>
      <c r="AE298" s="105">
        <f>'[1]Tier 1'!W298</f>
        <v>1962</v>
      </c>
      <c r="AF298" s="106"/>
      <c r="AG298" s="106">
        <f>'[1]Tier 1'!X298</f>
        <v>1962</v>
      </c>
      <c r="AH298" s="106"/>
      <c r="AI298" s="106">
        <f>'[1]Tier 1'!Y298</f>
        <v>0</v>
      </c>
      <c r="AJ298" s="106">
        <f t="shared" si="87"/>
        <v>0</v>
      </c>
      <c r="AK298" s="106" t="e">
        <f>VLOOKUP(A298,#REF!,-1,FALSE)</f>
        <v>#REF!</v>
      </c>
      <c r="AL298" s="107" t="e">
        <f t="shared" si="88"/>
        <v>#REF!</v>
      </c>
      <c r="AM298" s="105">
        <f t="shared" si="97"/>
        <v>380</v>
      </c>
      <c r="AN298" s="112">
        <f t="shared" si="98"/>
        <v>0.19400000000000001</v>
      </c>
      <c r="AO298" s="100" t="str">
        <f t="shared" si="99"/>
        <v>OK</v>
      </c>
      <c r="AP298" s="106">
        <f t="shared" si="100"/>
        <v>403</v>
      </c>
      <c r="AQ298" s="112">
        <f t="shared" si="101"/>
        <v>0.20499999999999999</v>
      </c>
      <c r="AR298" s="100" t="str">
        <f t="shared" si="102"/>
        <v>OK</v>
      </c>
      <c r="AS298" s="106">
        <f t="shared" si="103"/>
        <v>0</v>
      </c>
      <c r="AT298" s="112">
        <f t="shared" si="104"/>
        <v>0</v>
      </c>
      <c r="AU298" s="113" t="str">
        <f t="shared" si="105"/>
        <v>OK</v>
      </c>
      <c r="AV298" s="106">
        <f t="shared" si="89"/>
        <v>0</v>
      </c>
      <c r="AW298" s="112" t="e">
        <f t="shared" si="90"/>
        <v>#REF!</v>
      </c>
      <c r="AX298" s="114" t="e">
        <f t="shared" si="91"/>
        <v>#REF!</v>
      </c>
      <c r="AY298" s="99"/>
      <c r="AZ298" s="100"/>
      <c r="BA298" s="104">
        <f t="shared" si="92"/>
        <v>0</v>
      </c>
      <c r="BB298" s="115">
        <f t="shared" si="93"/>
        <v>1</v>
      </c>
      <c r="BC298" s="116" t="e">
        <f>SUMIF(#REF!,#REF!, BB20:BB333)</f>
        <v>#REF!</v>
      </c>
      <c r="BD298" s="116">
        <f t="shared" si="94"/>
        <v>1</v>
      </c>
      <c r="BE298" s="116" t="e">
        <f>SUMIF(#REF!,#REF!, BD20:BD333)</f>
        <v>#REF!</v>
      </c>
      <c r="BF298" s="116">
        <f t="shared" si="95"/>
        <v>0</v>
      </c>
      <c r="BG298" s="116" t="e">
        <f>SUMIF(#REF!,#REF!, BF20:BF333)</f>
        <v>#REF!</v>
      </c>
      <c r="BH298" s="116" t="e">
        <f t="shared" si="96"/>
        <v>#REF!</v>
      </c>
      <c r="BI298" s="117">
        <f>SUMIF(B20:B333, B298, BH20:BH333)</f>
        <v>0</v>
      </c>
      <c r="BJ298" s="118"/>
      <c r="BK298" s="92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4"/>
    </row>
    <row r="299" spans="1:82" x14ac:dyDescent="0.3">
      <c r="A299" s="68" t="s">
        <v>575</v>
      </c>
      <c r="B299" s="69"/>
      <c r="C299" s="70" t="s">
        <v>162</v>
      </c>
      <c r="D299" s="70" t="s">
        <v>160</v>
      </c>
      <c r="E299" s="71" t="s">
        <v>111</v>
      </c>
      <c r="F299" s="72" t="s">
        <v>103</v>
      </c>
      <c r="G299" s="73"/>
      <c r="H299" s="74" t="s">
        <v>103</v>
      </c>
      <c r="I299" s="72" t="s">
        <v>6</v>
      </c>
      <c r="J299" s="73" t="s">
        <v>6</v>
      </c>
      <c r="K299" s="75"/>
      <c r="L299" s="76"/>
      <c r="M299" s="77"/>
      <c r="N299" s="78">
        <v>4218</v>
      </c>
      <c r="O299" s="79">
        <v>4476</v>
      </c>
      <c r="P299" s="79">
        <v>4657</v>
      </c>
      <c r="Q299" s="80"/>
      <c r="R299" s="155">
        <v>0.09</v>
      </c>
      <c r="S299" s="78">
        <v>380</v>
      </c>
      <c r="T299" s="79">
        <v>403</v>
      </c>
      <c r="U299" s="79">
        <v>419</v>
      </c>
      <c r="V299" s="80">
        <f t="shared" si="86"/>
        <v>0</v>
      </c>
      <c r="W299" s="82"/>
      <c r="X299" s="83"/>
      <c r="Y299" s="84" t="s">
        <v>104</v>
      </c>
      <c r="Z299" s="73" t="str">
        <f>'[1]Tier 1'!V299</f>
        <v>D</v>
      </c>
      <c r="AA299" s="73"/>
      <c r="AB299" s="73"/>
      <c r="AC299" s="73"/>
      <c r="AD299" s="74"/>
      <c r="AE299" s="78">
        <f>'[1]Tier 1'!W299</f>
        <v>1962</v>
      </c>
      <c r="AF299" s="79"/>
      <c r="AG299" s="79">
        <f>'[1]Tier 1'!X299</f>
        <v>1962</v>
      </c>
      <c r="AH299" s="79"/>
      <c r="AI299" s="79">
        <f>'[1]Tier 1'!Y299</f>
        <v>1962</v>
      </c>
      <c r="AJ299" s="79">
        <f t="shared" si="87"/>
        <v>1765.8</v>
      </c>
      <c r="AK299" s="79" t="e">
        <f>VLOOKUP(A299,#REF!,-1,FALSE)</f>
        <v>#REF!</v>
      </c>
      <c r="AL299" s="80" t="e">
        <f t="shared" si="88"/>
        <v>#REF!</v>
      </c>
      <c r="AM299" s="78">
        <f t="shared" si="97"/>
        <v>380</v>
      </c>
      <c r="AN299" s="85">
        <f t="shared" si="98"/>
        <v>0.19400000000000001</v>
      </c>
      <c r="AO299" s="73" t="str">
        <f t="shared" si="99"/>
        <v>OK</v>
      </c>
      <c r="AP299" s="79">
        <f t="shared" si="100"/>
        <v>403</v>
      </c>
      <c r="AQ299" s="85">
        <f t="shared" si="101"/>
        <v>0.20499999999999999</v>
      </c>
      <c r="AR299" s="73" t="str">
        <f t="shared" si="102"/>
        <v>OK</v>
      </c>
      <c r="AS299" s="79">
        <f t="shared" si="103"/>
        <v>419</v>
      </c>
      <c r="AT299" s="85">
        <f t="shared" si="104"/>
        <v>0.214</v>
      </c>
      <c r="AU299" s="86" t="str">
        <f t="shared" si="105"/>
        <v>OK</v>
      </c>
      <c r="AV299" s="79">
        <f t="shared" si="89"/>
        <v>0</v>
      </c>
      <c r="AW299" s="85" t="e">
        <f t="shared" si="90"/>
        <v>#REF!</v>
      </c>
      <c r="AX299" s="87" t="e">
        <f t="shared" si="91"/>
        <v>#REF!</v>
      </c>
      <c r="AY299" s="72"/>
      <c r="AZ299" s="73"/>
      <c r="BA299" s="77">
        <f t="shared" si="92"/>
        <v>0</v>
      </c>
      <c r="BB299" s="88">
        <f t="shared" si="93"/>
        <v>1</v>
      </c>
      <c r="BC299" s="89" t="e">
        <f>SUMIF(#REF!,#REF!, BB20:BB333)</f>
        <v>#REF!</v>
      </c>
      <c r="BD299" s="89">
        <f t="shared" si="94"/>
        <v>1</v>
      </c>
      <c r="BE299" s="89" t="e">
        <f>SUMIF(#REF!,#REF!, BD20:BD333)</f>
        <v>#REF!</v>
      </c>
      <c r="BF299" s="89">
        <f t="shared" si="95"/>
        <v>0</v>
      </c>
      <c r="BG299" s="89" t="e">
        <f>SUMIF(#REF!,#REF!, BF20:BF333)</f>
        <v>#REF!</v>
      </c>
      <c r="BH299" s="89" t="e">
        <f t="shared" si="96"/>
        <v>#REF!</v>
      </c>
      <c r="BI299" s="90">
        <f>SUMIF(B20:B333, B299, BH20:BH333)</f>
        <v>0</v>
      </c>
      <c r="BJ299" s="91"/>
      <c r="BK299" s="92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4"/>
    </row>
    <row r="300" spans="1:82" x14ac:dyDescent="0.3">
      <c r="A300" s="95" t="s">
        <v>576</v>
      </c>
      <c r="B300" s="96"/>
      <c r="C300" s="97" t="s">
        <v>297</v>
      </c>
      <c r="D300" s="97" t="s">
        <v>150</v>
      </c>
      <c r="E300" s="98" t="s">
        <v>152</v>
      </c>
      <c r="F300" s="99" t="s">
        <v>103</v>
      </c>
      <c r="G300" s="100"/>
      <c r="H300" s="101" t="s">
        <v>103</v>
      </c>
      <c r="I300" s="99" t="s">
        <v>6</v>
      </c>
      <c r="J300" s="100" t="s">
        <v>6</v>
      </c>
      <c r="K300" s="102"/>
      <c r="L300" s="103"/>
      <c r="M300" s="104"/>
      <c r="N300" s="105">
        <v>6675</v>
      </c>
      <c r="O300" s="106">
        <v>7020</v>
      </c>
      <c r="P300" s="106">
        <v>7250</v>
      </c>
      <c r="Q300" s="107"/>
      <c r="R300" s="156">
        <v>0.09</v>
      </c>
      <c r="S300" s="105">
        <v>601</v>
      </c>
      <c r="T300" s="106">
        <v>632</v>
      </c>
      <c r="U300" s="106">
        <v>653</v>
      </c>
      <c r="V300" s="107">
        <f t="shared" si="86"/>
        <v>0</v>
      </c>
      <c r="W300" s="109"/>
      <c r="X300" s="110"/>
      <c r="Y300" s="111" t="s">
        <v>104</v>
      </c>
      <c r="Z300" s="100" t="str">
        <f>'[1]Tier 1'!V300</f>
        <v>D</v>
      </c>
      <c r="AA300" s="100"/>
      <c r="AB300" s="100"/>
      <c r="AC300" s="100"/>
      <c r="AD300" s="101"/>
      <c r="AE300" s="105">
        <f>'[1]Tier 1'!W300</f>
        <v>1440</v>
      </c>
      <c r="AF300" s="106"/>
      <c r="AG300" s="106">
        <f>'[1]Tier 1'!X300</f>
        <v>1440</v>
      </c>
      <c r="AH300" s="106"/>
      <c r="AI300" s="106">
        <f>'[1]Tier 1'!Y300</f>
        <v>1440</v>
      </c>
      <c r="AJ300" s="106">
        <f t="shared" si="87"/>
        <v>1296</v>
      </c>
      <c r="AK300" s="106" t="e">
        <f>VLOOKUP(A300,#REF!,-1,FALSE)</f>
        <v>#REF!</v>
      </c>
      <c r="AL300" s="107" t="e">
        <f t="shared" si="88"/>
        <v>#REF!</v>
      </c>
      <c r="AM300" s="105">
        <f t="shared" si="97"/>
        <v>601</v>
      </c>
      <c r="AN300" s="112">
        <f t="shared" si="98"/>
        <v>0.41699999999999998</v>
      </c>
      <c r="AO300" s="100" t="str">
        <f t="shared" si="99"/>
        <v>OK</v>
      </c>
      <c r="AP300" s="106">
        <f t="shared" si="100"/>
        <v>632</v>
      </c>
      <c r="AQ300" s="112">
        <f t="shared" si="101"/>
        <v>0.439</v>
      </c>
      <c r="AR300" s="100" t="str">
        <f t="shared" si="102"/>
        <v>OK</v>
      </c>
      <c r="AS300" s="106">
        <f t="shared" si="103"/>
        <v>653</v>
      </c>
      <c r="AT300" s="112">
        <f t="shared" si="104"/>
        <v>0.45300000000000001</v>
      </c>
      <c r="AU300" s="113" t="str">
        <f t="shared" si="105"/>
        <v>OK</v>
      </c>
      <c r="AV300" s="106">
        <f t="shared" si="89"/>
        <v>0</v>
      </c>
      <c r="AW300" s="112" t="e">
        <f t="shared" si="90"/>
        <v>#REF!</v>
      </c>
      <c r="AX300" s="114" t="e">
        <f t="shared" si="91"/>
        <v>#REF!</v>
      </c>
      <c r="AY300" s="99"/>
      <c r="AZ300" s="100"/>
      <c r="BA300" s="104">
        <f t="shared" si="92"/>
        <v>0</v>
      </c>
      <c r="BB300" s="115">
        <f t="shared" si="93"/>
        <v>1</v>
      </c>
      <c r="BC300" s="116" t="e">
        <f>SUMIF(#REF!,#REF!, BB20:BB333)</f>
        <v>#REF!</v>
      </c>
      <c r="BD300" s="116">
        <f t="shared" si="94"/>
        <v>1</v>
      </c>
      <c r="BE300" s="116" t="e">
        <f>SUMIF(#REF!,#REF!, BD20:BD333)</f>
        <v>#REF!</v>
      </c>
      <c r="BF300" s="116">
        <f t="shared" si="95"/>
        <v>0</v>
      </c>
      <c r="BG300" s="116" t="e">
        <f>SUMIF(#REF!,#REF!, BF20:BF333)</f>
        <v>#REF!</v>
      </c>
      <c r="BH300" s="116" t="e">
        <f t="shared" si="96"/>
        <v>#REF!</v>
      </c>
      <c r="BI300" s="117">
        <f>SUMIF(B20:B333, B300, BH20:BH333)</f>
        <v>0</v>
      </c>
      <c r="BJ300" s="118"/>
      <c r="BK300" s="92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4"/>
    </row>
    <row r="301" spans="1:82" x14ac:dyDescent="0.3">
      <c r="A301" s="68" t="s">
        <v>577</v>
      </c>
      <c r="B301" s="69"/>
      <c r="C301" s="70" t="s">
        <v>319</v>
      </c>
      <c r="D301" s="70" t="s">
        <v>241</v>
      </c>
      <c r="E301" s="71" t="s">
        <v>578</v>
      </c>
      <c r="F301" s="72" t="s">
        <v>103</v>
      </c>
      <c r="G301" s="73"/>
      <c r="H301" s="74" t="s">
        <v>109</v>
      </c>
      <c r="I301" s="72" t="s">
        <v>6</v>
      </c>
      <c r="J301" s="73" t="s">
        <v>6</v>
      </c>
      <c r="K301" s="75"/>
      <c r="L301" s="76"/>
      <c r="M301" s="77"/>
      <c r="N301" s="78">
        <v>1896</v>
      </c>
      <c r="O301" s="79">
        <v>2012</v>
      </c>
      <c r="P301" s="79">
        <v>2093</v>
      </c>
      <c r="Q301" s="80"/>
      <c r="R301" s="155">
        <v>0.09</v>
      </c>
      <c r="S301" s="78">
        <v>171</v>
      </c>
      <c r="T301" s="79">
        <v>181</v>
      </c>
      <c r="U301" s="79">
        <v>188</v>
      </c>
      <c r="V301" s="80">
        <f t="shared" si="86"/>
        <v>0</v>
      </c>
      <c r="W301" s="82"/>
      <c r="X301" s="83"/>
      <c r="Y301" s="84" t="s">
        <v>104</v>
      </c>
      <c r="Z301" s="73" t="str">
        <f>'[1]Tier 1'!V301</f>
        <v>D</v>
      </c>
      <c r="AA301" s="73"/>
      <c r="AB301" s="73"/>
      <c r="AC301" s="73"/>
      <c r="AD301" s="74"/>
      <c r="AE301" s="78">
        <f>'[1]Tier 1'!W301</f>
        <v>972</v>
      </c>
      <c r="AF301" s="79"/>
      <c r="AG301" s="79">
        <f>'[1]Tier 1'!X301</f>
        <v>972</v>
      </c>
      <c r="AH301" s="79"/>
      <c r="AI301" s="79">
        <f>'[1]Tier 1'!Y301</f>
        <v>972</v>
      </c>
      <c r="AJ301" s="79">
        <f t="shared" si="87"/>
        <v>874.80000000000007</v>
      </c>
      <c r="AK301" s="79" t="e">
        <f>VLOOKUP(A301,#REF!,-1,FALSE)</f>
        <v>#REF!</v>
      </c>
      <c r="AL301" s="80" t="e">
        <f t="shared" si="88"/>
        <v>#REF!</v>
      </c>
      <c r="AM301" s="78">
        <f t="shared" si="97"/>
        <v>171</v>
      </c>
      <c r="AN301" s="85">
        <f t="shared" si="98"/>
        <v>0.17599999999999999</v>
      </c>
      <c r="AO301" s="73" t="str">
        <f t="shared" si="99"/>
        <v>OK</v>
      </c>
      <c r="AP301" s="79">
        <f t="shared" si="100"/>
        <v>181</v>
      </c>
      <c r="AQ301" s="85">
        <f t="shared" si="101"/>
        <v>0.186</v>
      </c>
      <c r="AR301" s="73" t="str">
        <f t="shared" si="102"/>
        <v>OK</v>
      </c>
      <c r="AS301" s="79">
        <f t="shared" si="103"/>
        <v>188</v>
      </c>
      <c r="AT301" s="85">
        <f t="shared" si="104"/>
        <v>0.193</v>
      </c>
      <c r="AU301" s="86" t="str">
        <f t="shared" si="105"/>
        <v>OK</v>
      </c>
      <c r="AV301" s="79">
        <f t="shared" si="89"/>
        <v>0</v>
      </c>
      <c r="AW301" s="85" t="e">
        <f t="shared" si="90"/>
        <v>#REF!</v>
      </c>
      <c r="AX301" s="87" t="e">
        <f t="shared" si="91"/>
        <v>#REF!</v>
      </c>
      <c r="AY301" s="72"/>
      <c r="AZ301" s="73"/>
      <c r="BA301" s="77">
        <f t="shared" si="92"/>
        <v>0</v>
      </c>
      <c r="BB301" s="88">
        <f t="shared" si="93"/>
        <v>1</v>
      </c>
      <c r="BC301" s="89" t="e">
        <f>SUMIF(#REF!,#REF!, BB20:BB333)</f>
        <v>#REF!</v>
      </c>
      <c r="BD301" s="89">
        <f t="shared" si="94"/>
        <v>1</v>
      </c>
      <c r="BE301" s="89" t="e">
        <f>SUMIF(#REF!,#REF!, BD20:BD333)</f>
        <v>#REF!</v>
      </c>
      <c r="BF301" s="89">
        <f t="shared" si="95"/>
        <v>0</v>
      </c>
      <c r="BG301" s="89" t="e">
        <f>SUMIF(#REF!,#REF!, BF20:BF333)</f>
        <v>#REF!</v>
      </c>
      <c r="BH301" s="89" t="e">
        <f t="shared" si="96"/>
        <v>#REF!</v>
      </c>
      <c r="BI301" s="90">
        <f>SUMIF(B20:B333, B301, BH20:BH333)</f>
        <v>0</v>
      </c>
      <c r="BJ301" s="91"/>
      <c r="BK301" s="92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4"/>
    </row>
    <row r="302" spans="1:82" x14ac:dyDescent="0.3">
      <c r="A302" s="95" t="s">
        <v>579</v>
      </c>
      <c r="B302" s="96"/>
      <c r="C302" s="97" t="s">
        <v>319</v>
      </c>
      <c r="D302" s="97" t="s">
        <v>578</v>
      </c>
      <c r="E302" s="98" t="s">
        <v>102</v>
      </c>
      <c r="F302" s="99" t="s">
        <v>109</v>
      </c>
      <c r="G302" s="100"/>
      <c r="H302" s="101" t="s">
        <v>103</v>
      </c>
      <c r="I302" s="99" t="s">
        <v>6</v>
      </c>
      <c r="J302" s="100" t="s">
        <v>6</v>
      </c>
      <c r="K302" s="102"/>
      <c r="L302" s="103"/>
      <c r="M302" s="104"/>
      <c r="N302" s="105">
        <v>1896</v>
      </c>
      <c r="O302" s="106">
        <v>2012</v>
      </c>
      <c r="P302" s="106">
        <v>2093</v>
      </c>
      <c r="Q302" s="107"/>
      <c r="R302" s="156">
        <v>0.09</v>
      </c>
      <c r="S302" s="105">
        <v>171</v>
      </c>
      <c r="T302" s="106">
        <v>181</v>
      </c>
      <c r="U302" s="106">
        <v>188</v>
      </c>
      <c r="V302" s="107">
        <f t="shared" si="86"/>
        <v>0</v>
      </c>
      <c r="W302" s="109"/>
      <c r="X302" s="110"/>
      <c r="Y302" s="111" t="s">
        <v>104</v>
      </c>
      <c r="Z302" s="100" t="str">
        <f>'[1]Tier 1'!V302</f>
        <v>D</v>
      </c>
      <c r="AA302" s="100"/>
      <c r="AB302" s="100"/>
      <c r="AC302" s="100"/>
      <c r="AD302" s="101"/>
      <c r="AE302" s="105">
        <f>'[1]Tier 1'!W302</f>
        <v>4617</v>
      </c>
      <c r="AF302" s="106"/>
      <c r="AG302" s="106">
        <f>'[1]Tier 1'!X302</f>
        <v>4617</v>
      </c>
      <c r="AH302" s="106"/>
      <c r="AI302" s="106">
        <f>'[1]Tier 1'!Y302</f>
        <v>1818</v>
      </c>
      <c r="AJ302" s="106">
        <f t="shared" si="87"/>
        <v>1636.2</v>
      </c>
      <c r="AK302" s="106" t="e">
        <f>VLOOKUP(A302,#REF!,-1,FALSE)</f>
        <v>#REF!</v>
      </c>
      <c r="AL302" s="107" t="e">
        <f t="shared" si="88"/>
        <v>#REF!</v>
      </c>
      <c r="AM302" s="105">
        <f t="shared" si="97"/>
        <v>171</v>
      </c>
      <c r="AN302" s="112">
        <f t="shared" si="98"/>
        <v>3.6999999999999998E-2</v>
      </c>
      <c r="AO302" s="100" t="str">
        <f t="shared" si="99"/>
        <v>OK</v>
      </c>
      <c r="AP302" s="106">
        <f t="shared" si="100"/>
        <v>181</v>
      </c>
      <c r="AQ302" s="112">
        <f t="shared" si="101"/>
        <v>3.9E-2</v>
      </c>
      <c r="AR302" s="100" t="str">
        <f t="shared" si="102"/>
        <v>OK</v>
      </c>
      <c r="AS302" s="106">
        <f t="shared" si="103"/>
        <v>188</v>
      </c>
      <c r="AT302" s="112">
        <f t="shared" si="104"/>
        <v>0.10299999999999999</v>
      </c>
      <c r="AU302" s="113" t="str">
        <f t="shared" si="105"/>
        <v>OK</v>
      </c>
      <c r="AV302" s="106">
        <f t="shared" si="89"/>
        <v>0</v>
      </c>
      <c r="AW302" s="112" t="e">
        <f t="shared" si="90"/>
        <v>#REF!</v>
      </c>
      <c r="AX302" s="114" t="e">
        <f t="shared" si="91"/>
        <v>#REF!</v>
      </c>
      <c r="AY302" s="99"/>
      <c r="AZ302" s="100"/>
      <c r="BA302" s="104">
        <f t="shared" si="92"/>
        <v>0</v>
      </c>
      <c r="BB302" s="115">
        <f t="shared" si="93"/>
        <v>1</v>
      </c>
      <c r="BC302" s="116" t="e">
        <f>SUMIF(#REF!,#REF!, BB20:BB333)</f>
        <v>#REF!</v>
      </c>
      <c r="BD302" s="116">
        <f t="shared" si="94"/>
        <v>1</v>
      </c>
      <c r="BE302" s="116" t="e">
        <f>SUMIF(#REF!,#REF!, BD20:BD333)</f>
        <v>#REF!</v>
      </c>
      <c r="BF302" s="116">
        <f t="shared" si="95"/>
        <v>0</v>
      </c>
      <c r="BG302" s="116" t="e">
        <f>SUMIF(#REF!,#REF!, BF20:BF333)</f>
        <v>#REF!</v>
      </c>
      <c r="BH302" s="116" t="e">
        <f t="shared" si="96"/>
        <v>#REF!</v>
      </c>
      <c r="BI302" s="117">
        <f>SUMIF(B20:B333, B302, BH20:BH333)</f>
        <v>0</v>
      </c>
      <c r="BJ302" s="118"/>
      <c r="BK302" s="92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4"/>
    </row>
    <row r="303" spans="1:82" x14ac:dyDescent="0.3">
      <c r="A303" s="68" t="s">
        <v>580</v>
      </c>
      <c r="B303" s="69"/>
      <c r="C303" s="70" t="s">
        <v>490</v>
      </c>
      <c r="D303" s="70" t="s">
        <v>528</v>
      </c>
      <c r="E303" s="71" t="s">
        <v>581</v>
      </c>
      <c r="F303" s="72" t="s">
        <v>103</v>
      </c>
      <c r="G303" s="73"/>
      <c r="H303" s="74" t="s">
        <v>118</v>
      </c>
      <c r="I303" s="72" t="s">
        <v>6</v>
      </c>
      <c r="J303" s="73" t="s">
        <v>6</v>
      </c>
      <c r="K303" s="75"/>
      <c r="L303" s="76"/>
      <c r="M303" s="77"/>
      <c r="N303" s="78">
        <v>5920</v>
      </c>
      <c r="O303" s="79">
        <v>6282</v>
      </c>
      <c r="P303" s="79">
        <v>6536</v>
      </c>
      <c r="Q303" s="80"/>
      <c r="R303" s="155">
        <v>0.09</v>
      </c>
      <c r="S303" s="78">
        <v>533</v>
      </c>
      <c r="T303" s="79">
        <v>565</v>
      </c>
      <c r="U303" s="79">
        <v>588</v>
      </c>
      <c r="V303" s="80">
        <f t="shared" si="86"/>
        <v>0</v>
      </c>
      <c r="W303" s="82"/>
      <c r="X303" s="83"/>
      <c r="Y303" s="84" t="s">
        <v>104</v>
      </c>
      <c r="Z303" s="73" t="str">
        <f>'[1]Tier 1'!V303</f>
        <v>D</v>
      </c>
      <c r="AA303" s="73"/>
      <c r="AB303" s="73"/>
      <c r="AC303" s="73"/>
      <c r="AD303" s="74"/>
      <c r="AE303" s="78">
        <f>'[1]Tier 1'!W303</f>
        <v>1197</v>
      </c>
      <c r="AF303" s="79"/>
      <c r="AG303" s="79">
        <f>'[1]Tier 1'!X303</f>
        <v>1197</v>
      </c>
      <c r="AH303" s="79"/>
      <c r="AI303" s="79">
        <f>'[1]Tier 1'!Y303</f>
        <v>2628</v>
      </c>
      <c r="AJ303" s="79">
        <f t="shared" si="87"/>
        <v>2365.2000000000003</v>
      </c>
      <c r="AK303" s="79" t="e">
        <f>VLOOKUP(A303,#REF!,-1,FALSE)</f>
        <v>#REF!</v>
      </c>
      <c r="AL303" s="80" t="e">
        <f t="shared" si="88"/>
        <v>#REF!</v>
      </c>
      <c r="AM303" s="78">
        <f t="shared" si="97"/>
        <v>533</v>
      </c>
      <c r="AN303" s="85">
        <f t="shared" si="98"/>
        <v>0.44500000000000001</v>
      </c>
      <c r="AO303" s="73" t="str">
        <f t="shared" si="99"/>
        <v>OK</v>
      </c>
      <c r="AP303" s="79">
        <f t="shared" si="100"/>
        <v>565</v>
      </c>
      <c r="AQ303" s="85">
        <f t="shared" si="101"/>
        <v>0.47199999999999998</v>
      </c>
      <c r="AR303" s="73" t="str">
        <f t="shared" si="102"/>
        <v>OK</v>
      </c>
      <c r="AS303" s="79">
        <f t="shared" si="103"/>
        <v>588</v>
      </c>
      <c r="AT303" s="85">
        <f t="shared" si="104"/>
        <v>0.224</v>
      </c>
      <c r="AU303" s="86" t="str">
        <f t="shared" si="105"/>
        <v>OK</v>
      </c>
      <c r="AV303" s="79">
        <f t="shared" si="89"/>
        <v>0</v>
      </c>
      <c r="AW303" s="85" t="e">
        <f t="shared" si="90"/>
        <v>#REF!</v>
      </c>
      <c r="AX303" s="87" t="e">
        <f t="shared" si="91"/>
        <v>#REF!</v>
      </c>
      <c r="AY303" s="72"/>
      <c r="AZ303" s="73"/>
      <c r="BA303" s="77">
        <f t="shared" si="92"/>
        <v>0</v>
      </c>
      <c r="BB303" s="88">
        <f t="shared" si="93"/>
        <v>1</v>
      </c>
      <c r="BC303" s="89" t="e">
        <f>SUMIF(#REF!,#REF!, BB20:BB333)</f>
        <v>#REF!</v>
      </c>
      <c r="BD303" s="89">
        <f t="shared" si="94"/>
        <v>1</v>
      </c>
      <c r="BE303" s="89" t="e">
        <f>SUMIF(#REF!,#REF!, BD20:BD333)</f>
        <v>#REF!</v>
      </c>
      <c r="BF303" s="89">
        <f t="shared" si="95"/>
        <v>0</v>
      </c>
      <c r="BG303" s="89" t="e">
        <f>SUMIF(#REF!,#REF!, BF20:BF333)</f>
        <v>#REF!</v>
      </c>
      <c r="BH303" s="89" t="e">
        <f t="shared" si="96"/>
        <v>#REF!</v>
      </c>
      <c r="BI303" s="90">
        <f>SUMIF(B20:B333, B303, BH20:BH333)</f>
        <v>0</v>
      </c>
      <c r="BJ303" s="91"/>
      <c r="BK303" s="92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4"/>
    </row>
    <row r="304" spans="1:82" x14ac:dyDescent="0.3">
      <c r="A304" s="95" t="s">
        <v>582</v>
      </c>
      <c r="B304" s="96"/>
      <c r="C304" s="97" t="s">
        <v>490</v>
      </c>
      <c r="D304" s="97" t="s">
        <v>117</v>
      </c>
      <c r="E304" s="98" t="s">
        <v>528</v>
      </c>
      <c r="F304" s="99" t="s">
        <v>103</v>
      </c>
      <c r="G304" s="100"/>
      <c r="H304" s="101" t="s">
        <v>103</v>
      </c>
      <c r="I304" s="99" t="s">
        <v>6</v>
      </c>
      <c r="J304" s="100" t="s">
        <v>6</v>
      </c>
      <c r="K304" s="102"/>
      <c r="L304" s="103"/>
      <c r="M304" s="104"/>
      <c r="N304" s="105">
        <v>5920</v>
      </c>
      <c r="O304" s="106">
        <v>6282</v>
      </c>
      <c r="P304" s="106">
        <v>6536</v>
      </c>
      <c r="Q304" s="107"/>
      <c r="R304" s="156">
        <v>0.09</v>
      </c>
      <c r="S304" s="105">
        <v>533</v>
      </c>
      <c r="T304" s="106">
        <v>565</v>
      </c>
      <c r="U304" s="106">
        <v>588</v>
      </c>
      <c r="V304" s="107">
        <f t="shared" si="86"/>
        <v>0</v>
      </c>
      <c r="W304" s="109"/>
      <c r="X304" s="110"/>
      <c r="Y304" s="111" t="s">
        <v>104</v>
      </c>
      <c r="Z304" s="100" t="str">
        <f>'[1]Tier 1'!V304</f>
        <v>D</v>
      </c>
      <c r="AA304" s="100"/>
      <c r="AB304" s="100"/>
      <c r="AC304" s="100"/>
      <c r="AD304" s="101"/>
      <c r="AE304" s="105">
        <f>'[1]Tier 1'!W304</f>
        <v>1197</v>
      </c>
      <c r="AF304" s="106"/>
      <c r="AG304" s="106">
        <f>'[1]Tier 1'!X304</f>
        <v>1197</v>
      </c>
      <c r="AH304" s="106"/>
      <c r="AI304" s="106">
        <f>'[1]Tier 1'!Y304</f>
        <v>1197</v>
      </c>
      <c r="AJ304" s="106">
        <f t="shared" si="87"/>
        <v>1077.3</v>
      </c>
      <c r="AK304" s="106" t="e">
        <f>VLOOKUP(A304,#REF!,-1,FALSE)</f>
        <v>#REF!</v>
      </c>
      <c r="AL304" s="107" t="e">
        <f t="shared" si="88"/>
        <v>#REF!</v>
      </c>
      <c r="AM304" s="105">
        <f t="shared" si="97"/>
        <v>533</v>
      </c>
      <c r="AN304" s="112">
        <f t="shared" si="98"/>
        <v>0.44500000000000001</v>
      </c>
      <c r="AO304" s="100" t="str">
        <f t="shared" si="99"/>
        <v>OK</v>
      </c>
      <c r="AP304" s="106">
        <f t="shared" si="100"/>
        <v>565</v>
      </c>
      <c r="AQ304" s="112">
        <f t="shared" si="101"/>
        <v>0.47199999999999998</v>
      </c>
      <c r="AR304" s="100" t="str">
        <f t="shared" si="102"/>
        <v>OK</v>
      </c>
      <c r="AS304" s="106">
        <f t="shared" si="103"/>
        <v>588</v>
      </c>
      <c r="AT304" s="112">
        <f t="shared" si="104"/>
        <v>0.49099999999999999</v>
      </c>
      <c r="AU304" s="113" t="str">
        <f t="shared" si="105"/>
        <v>OK</v>
      </c>
      <c r="AV304" s="106">
        <f t="shared" si="89"/>
        <v>0</v>
      </c>
      <c r="AW304" s="112" t="e">
        <f t="shared" si="90"/>
        <v>#REF!</v>
      </c>
      <c r="AX304" s="114" t="e">
        <f t="shared" si="91"/>
        <v>#REF!</v>
      </c>
      <c r="AY304" s="99"/>
      <c r="AZ304" s="100"/>
      <c r="BA304" s="104">
        <f t="shared" si="92"/>
        <v>0</v>
      </c>
      <c r="BB304" s="115">
        <f t="shared" si="93"/>
        <v>1</v>
      </c>
      <c r="BC304" s="116" t="e">
        <f>SUMIF(#REF!,#REF!, BB20:BB333)</f>
        <v>#REF!</v>
      </c>
      <c r="BD304" s="116">
        <f t="shared" si="94"/>
        <v>1</v>
      </c>
      <c r="BE304" s="116" t="e">
        <f>SUMIF(#REF!,#REF!, BD20:BD333)</f>
        <v>#REF!</v>
      </c>
      <c r="BF304" s="116">
        <f t="shared" si="95"/>
        <v>0</v>
      </c>
      <c r="BG304" s="116" t="e">
        <f>SUMIF(#REF!,#REF!, BF20:BF333)</f>
        <v>#REF!</v>
      </c>
      <c r="BH304" s="116" t="e">
        <f t="shared" si="96"/>
        <v>#REF!</v>
      </c>
      <c r="BI304" s="117">
        <f>SUMIF(B20:B333, B304, BH20:BH333)</f>
        <v>0</v>
      </c>
      <c r="BJ304" s="118"/>
      <c r="BK304" s="92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4"/>
    </row>
    <row r="305" spans="1:82" x14ac:dyDescent="0.3">
      <c r="A305" s="68" t="s">
        <v>583</v>
      </c>
      <c r="B305" s="69"/>
      <c r="C305" s="70" t="s">
        <v>490</v>
      </c>
      <c r="D305" s="70" t="s">
        <v>455</v>
      </c>
      <c r="E305" s="71" t="s">
        <v>117</v>
      </c>
      <c r="F305" s="72" t="s">
        <v>103</v>
      </c>
      <c r="G305" s="73"/>
      <c r="H305" s="74" t="s">
        <v>103</v>
      </c>
      <c r="I305" s="72" t="s">
        <v>6</v>
      </c>
      <c r="J305" s="73" t="s">
        <v>6</v>
      </c>
      <c r="K305" s="75"/>
      <c r="L305" s="76"/>
      <c r="M305" s="77"/>
      <c r="N305" s="78">
        <v>5920</v>
      </c>
      <c r="O305" s="79">
        <v>6282</v>
      </c>
      <c r="P305" s="79">
        <v>6536</v>
      </c>
      <c r="Q305" s="80"/>
      <c r="R305" s="155">
        <v>0.09</v>
      </c>
      <c r="S305" s="78">
        <v>533</v>
      </c>
      <c r="T305" s="79">
        <v>565</v>
      </c>
      <c r="U305" s="79">
        <v>588</v>
      </c>
      <c r="V305" s="80">
        <f t="shared" si="86"/>
        <v>0</v>
      </c>
      <c r="W305" s="82"/>
      <c r="X305" s="83"/>
      <c r="Y305" s="84" t="s">
        <v>104</v>
      </c>
      <c r="Z305" s="73" t="str">
        <f>'[1]Tier 1'!V305</f>
        <v>D</v>
      </c>
      <c r="AA305" s="73"/>
      <c r="AB305" s="73"/>
      <c r="AC305" s="73"/>
      <c r="AD305" s="74"/>
      <c r="AE305" s="78">
        <f>'[1]Tier 1'!W305</f>
        <v>1197</v>
      </c>
      <c r="AF305" s="79"/>
      <c r="AG305" s="79">
        <f>'[1]Tier 1'!X305</f>
        <v>1197</v>
      </c>
      <c r="AH305" s="79"/>
      <c r="AI305" s="79">
        <f>'[1]Tier 1'!Y305</f>
        <v>4050</v>
      </c>
      <c r="AJ305" s="79">
        <f t="shared" si="87"/>
        <v>3645</v>
      </c>
      <c r="AK305" s="79" t="e">
        <f>VLOOKUP(A305,#REF!,-1,FALSE)</f>
        <v>#REF!</v>
      </c>
      <c r="AL305" s="80" t="e">
        <f t="shared" si="88"/>
        <v>#REF!</v>
      </c>
      <c r="AM305" s="78">
        <f t="shared" si="97"/>
        <v>533</v>
      </c>
      <c r="AN305" s="85">
        <f t="shared" si="98"/>
        <v>0.44500000000000001</v>
      </c>
      <c r="AO305" s="73" t="str">
        <f t="shared" si="99"/>
        <v>OK</v>
      </c>
      <c r="AP305" s="79">
        <f t="shared" si="100"/>
        <v>565</v>
      </c>
      <c r="AQ305" s="85">
        <f t="shared" si="101"/>
        <v>0.47199999999999998</v>
      </c>
      <c r="AR305" s="73" t="str">
        <f t="shared" si="102"/>
        <v>OK</v>
      </c>
      <c r="AS305" s="79">
        <f t="shared" si="103"/>
        <v>588</v>
      </c>
      <c r="AT305" s="85">
        <f t="shared" si="104"/>
        <v>0.14499999999999999</v>
      </c>
      <c r="AU305" s="86" t="str">
        <f t="shared" si="105"/>
        <v>OK</v>
      </c>
      <c r="AV305" s="79">
        <f t="shared" si="89"/>
        <v>0</v>
      </c>
      <c r="AW305" s="85" t="e">
        <f t="shared" si="90"/>
        <v>#REF!</v>
      </c>
      <c r="AX305" s="87" t="e">
        <f t="shared" si="91"/>
        <v>#REF!</v>
      </c>
      <c r="AY305" s="72"/>
      <c r="AZ305" s="73"/>
      <c r="BA305" s="77">
        <f t="shared" si="92"/>
        <v>0</v>
      </c>
      <c r="BB305" s="88">
        <f t="shared" si="93"/>
        <v>1</v>
      </c>
      <c r="BC305" s="89" t="e">
        <f>SUMIF(#REF!,#REF!, BB20:BB333)</f>
        <v>#REF!</v>
      </c>
      <c r="BD305" s="89">
        <f t="shared" si="94"/>
        <v>1</v>
      </c>
      <c r="BE305" s="89" t="e">
        <f>SUMIF(#REF!,#REF!, BD20:BD333)</f>
        <v>#REF!</v>
      </c>
      <c r="BF305" s="89">
        <f t="shared" si="95"/>
        <v>0</v>
      </c>
      <c r="BG305" s="89" t="e">
        <f>SUMIF(#REF!,#REF!, BF20:BF333)</f>
        <v>#REF!</v>
      </c>
      <c r="BH305" s="89" t="e">
        <f t="shared" si="96"/>
        <v>#REF!</v>
      </c>
      <c r="BI305" s="90">
        <f>SUMIF(B20:B333, B305, BH20:BH333)</f>
        <v>0</v>
      </c>
      <c r="BJ305" s="91"/>
      <c r="BK305" s="92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4"/>
    </row>
    <row r="306" spans="1:82" x14ac:dyDescent="0.3">
      <c r="A306" s="95" t="s">
        <v>584</v>
      </c>
      <c r="B306" s="96"/>
      <c r="C306" s="97" t="s">
        <v>490</v>
      </c>
      <c r="D306" s="97" t="s">
        <v>585</v>
      </c>
      <c r="E306" s="98" t="s">
        <v>455</v>
      </c>
      <c r="F306" s="99" t="s">
        <v>103</v>
      </c>
      <c r="G306" s="100"/>
      <c r="H306" s="101" t="s">
        <v>103</v>
      </c>
      <c r="I306" s="99" t="s">
        <v>6</v>
      </c>
      <c r="J306" s="100" t="s">
        <v>6</v>
      </c>
      <c r="K306" s="102"/>
      <c r="L306" s="103"/>
      <c r="M306" s="104"/>
      <c r="N306" s="105">
        <v>5920</v>
      </c>
      <c r="O306" s="106">
        <v>6282</v>
      </c>
      <c r="P306" s="106">
        <v>6536</v>
      </c>
      <c r="Q306" s="107"/>
      <c r="R306" s="156">
        <v>0.09</v>
      </c>
      <c r="S306" s="105">
        <v>533</v>
      </c>
      <c r="T306" s="106">
        <v>565</v>
      </c>
      <c r="U306" s="106">
        <v>588</v>
      </c>
      <c r="V306" s="107">
        <f t="shared" si="86"/>
        <v>0</v>
      </c>
      <c r="W306" s="109"/>
      <c r="X306" s="110"/>
      <c r="Y306" s="111" t="s">
        <v>104</v>
      </c>
      <c r="Z306" s="100" t="str">
        <f>'[1]Tier 1'!V306</f>
        <v>D</v>
      </c>
      <c r="AA306" s="100"/>
      <c r="AB306" s="100"/>
      <c r="AC306" s="100"/>
      <c r="AD306" s="101"/>
      <c r="AE306" s="105">
        <f>'[1]Tier 1'!W306</f>
        <v>958</v>
      </c>
      <c r="AF306" s="106"/>
      <c r="AG306" s="106">
        <f>'[1]Tier 1'!X306</f>
        <v>958</v>
      </c>
      <c r="AH306" s="106"/>
      <c r="AI306" s="106">
        <f>'[1]Tier 1'!Y306</f>
        <v>958</v>
      </c>
      <c r="AJ306" s="106">
        <f t="shared" si="87"/>
        <v>862.2</v>
      </c>
      <c r="AK306" s="106" t="e">
        <f>VLOOKUP(A306,#REF!,-1,FALSE)</f>
        <v>#REF!</v>
      </c>
      <c r="AL306" s="107" t="e">
        <f t="shared" si="88"/>
        <v>#REF!</v>
      </c>
      <c r="AM306" s="105">
        <f t="shared" si="97"/>
        <v>533</v>
      </c>
      <c r="AN306" s="112">
        <f t="shared" si="98"/>
        <v>0.55600000000000005</v>
      </c>
      <c r="AO306" s="100" t="str">
        <f t="shared" si="99"/>
        <v>OK</v>
      </c>
      <c r="AP306" s="106">
        <f t="shared" si="100"/>
        <v>565</v>
      </c>
      <c r="AQ306" s="112">
        <f t="shared" si="101"/>
        <v>0.59</v>
      </c>
      <c r="AR306" s="100" t="str">
        <f t="shared" si="102"/>
        <v>OK</v>
      </c>
      <c r="AS306" s="106">
        <f t="shared" si="103"/>
        <v>588</v>
      </c>
      <c r="AT306" s="112">
        <f t="shared" si="104"/>
        <v>0.61399999999999999</v>
      </c>
      <c r="AU306" s="113" t="str">
        <f t="shared" si="105"/>
        <v>OK</v>
      </c>
      <c r="AV306" s="106">
        <f t="shared" si="89"/>
        <v>0</v>
      </c>
      <c r="AW306" s="112" t="e">
        <f t="shared" si="90"/>
        <v>#REF!</v>
      </c>
      <c r="AX306" s="114" t="e">
        <f t="shared" si="91"/>
        <v>#REF!</v>
      </c>
      <c r="AY306" s="99"/>
      <c r="AZ306" s="100"/>
      <c r="BA306" s="104">
        <f t="shared" si="92"/>
        <v>0</v>
      </c>
      <c r="BB306" s="115">
        <f t="shared" si="93"/>
        <v>1</v>
      </c>
      <c r="BC306" s="116" t="e">
        <f>SUMIF(#REF!,#REF!, BB20:BB333)</f>
        <v>#REF!</v>
      </c>
      <c r="BD306" s="116">
        <f t="shared" si="94"/>
        <v>1</v>
      </c>
      <c r="BE306" s="116" t="e">
        <f>SUMIF(#REF!,#REF!, BD20:BD333)</f>
        <v>#REF!</v>
      </c>
      <c r="BF306" s="116">
        <f t="shared" si="95"/>
        <v>0</v>
      </c>
      <c r="BG306" s="116" t="e">
        <f>SUMIF(#REF!,#REF!, BF20:BF333)</f>
        <v>#REF!</v>
      </c>
      <c r="BH306" s="116" t="e">
        <f t="shared" si="96"/>
        <v>#REF!</v>
      </c>
      <c r="BI306" s="117">
        <f>SUMIF(B20:B333, B306, BH20:BH333)</f>
        <v>0</v>
      </c>
      <c r="BJ306" s="118"/>
      <c r="BK306" s="92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4"/>
    </row>
    <row r="307" spans="1:82" x14ac:dyDescent="0.3">
      <c r="A307" s="68" t="s">
        <v>586</v>
      </c>
      <c r="B307" s="69"/>
      <c r="C307" s="70" t="s">
        <v>490</v>
      </c>
      <c r="D307" s="70" t="s">
        <v>112</v>
      </c>
      <c r="E307" s="71" t="s">
        <v>585</v>
      </c>
      <c r="F307" s="72" t="s">
        <v>103</v>
      </c>
      <c r="G307" s="73"/>
      <c r="H307" s="74" t="s">
        <v>103</v>
      </c>
      <c r="I307" s="72" t="s">
        <v>6</v>
      </c>
      <c r="J307" s="73" t="s">
        <v>6</v>
      </c>
      <c r="K307" s="75"/>
      <c r="L307" s="76"/>
      <c r="M307" s="77"/>
      <c r="N307" s="78">
        <v>5920</v>
      </c>
      <c r="O307" s="79">
        <v>6282</v>
      </c>
      <c r="P307" s="79">
        <v>6536</v>
      </c>
      <c r="Q307" s="80"/>
      <c r="R307" s="155">
        <v>0.09</v>
      </c>
      <c r="S307" s="78">
        <v>533</v>
      </c>
      <c r="T307" s="79">
        <v>565</v>
      </c>
      <c r="U307" s="79">
        <v>588</v>
      </c>
      <c r="V307" s="80">
        <f t="shared" si="86"/>
        <v>0</v>
      </c>
      <c r="W307" s="82"/>
      <c r="X307" s="83"/>
      <c r="Y307" s="84" t="s">
        <v>104</v>
      </c>
      <c r="Z307" s="73" t="str">
        <f>'[1]Tier 1'!V307</f>
        <v>D</v>
      </c>
      <c r="AA307" s="73"/>
      <c r="AB307" s="73"/>
      <c r="AC307" s="73"/>
      <c r="AD307" s="74"/>
      <c r="AE307" s="78">
        <f>'[1]Tier 1'!W307</f>
        <v>1197</v>
      </c>
      <c r="AF307" s="79"/>
      <c r="AG307" s="79">
        <f>'[1]Tier 1'!X307</f>
        <v>1197</v>
      </c>
      <c r="AH307" s="79"/>
      <c r="AI307" s="79">
        <f>'[1]Tier 1'!Y307</f>
        <v>1197</v>
      </c>
      <c r="AJ307" s="79">
        <f t="shared" si="87"/>
        <v>1077.3</v>
      </c>
      <c r="AK307" s="79" t="e">
        <f>VLOOKUP(A307,#REF!,-1,FALSE)</f>
        <v>#REF!</v>
      </c>
      <c r="AL307" s="80" t="e">
        <f t="shared" si="88"/>
        <v>#REF!</v>
      </c>
      <c r="AM307" s="78">
        <f t="shared" si="97"/>
        <v>533</v>
      </c>
      <c r="AN307" s="85">
        <f t="shared" si="98"/>
        <v>0.44500000000000001</v>
      </c>
      <c r="AO307" s="73" t="str">
        <f t="shared" si="99"/>
        <v>OK</v>
      </c>
      <c r="AP307" s="79">
        <f t="shared" si="100"/>
        <v>565</v>
      </c>
      <c r="AQ307" s="85">
        <f t="shared" si="101"/>
        <v>0.47199999999999998</v>
      </c>
      <c r="AR307" s="73" t="str">
        <f t="shared" si="102"/>
        <v>OK</v>
      </c>
      <c r="AS307" s="79">
        <f t="shared" si="103"/>
        <v>588</v>
      </c>
      <c r="AT307" s="85">
        <f t="shared" si="104"/>
        <v>0.49099999999999999</v>
      </c>
      <c r="AU307" s="86" t="str">
        <f t="shared" si="105"/>
        <v>OK</v>
      </c>
      <c r="AV307" s="79">
        <f t="shared" si="89"/>
        <v>0</v>
      </c>
      <c r="AW307" s="85" t="e">
        <f t="shared" si="90"/>
        <v>#REF!</v>
      </c>
      <c r="AX307" s="87" t="e">
        <f t="shared" si="91"/>
        <v>#REF!</v>
      </c>
      <c r="AY307" s="72"/>
      <c r="AZ307" s="73"/>
      <c r="BA307" s="77">
        <f t="shared" si="92"/>
        <v>0</v>
      </c>
      <c r="BB307" s="88">
        <f t="shared" si="93"/>
        <v>1</v>
      </c>
      <c r="BC307" s="89" t="e">
        <f>SUMIF(#REF!,#REF!, BB20:BB333)</f>
        <v>#REF!</v>
      </c>
      <c r="BD307" s="89">
        <f t="shared" si="94"/>
        <v>1</v>
      </c>
      <c r="BE307" s="89" t="e">
        <f>SUMIF(#REF!,#REF!, BD20:BD333)</f>
        <v>#REF!</v>
      </c>
      <c r="BF307" s="89">
        <f t="shared" si="95"/>
        <v>0</v>
      </c>
      <c r="BG307" s="89" t="e">
        <f>SUMIF(#REF!,#REF!, BF20:BF333)</f>
        <v>#REF!</v>
      </c>
      <c r="BH307" s="89" t="e">
        <f t="shared" si="96"/>
        <v>#REF!</v>
      </c>
      <c r="BI307" s="90">
        <f>SUMIF(B20:B333, B307, BH20:BH333)</f>
        <v>0</v>
      </c>
      <c r="BJ307" s="91"/>
      <c r="BK307" s="92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4"/>
    </row>
    <row r="308" spans="1:82" x14ac:dyDescent="0.3">
      <c r="A308" s="95" t="s">
        <v>587</v>
      </c>
      <c r="B308" s="96"/>
      <c r="C308" s="97" t="s">
        <v>304</v>
      </c>
      <c r="D308" s="97" t="s">
        <v>588</v>
      </c>
      <c r="E308" s="98" t="s">
        <v>241</v>
      </c>
      <c r="F308" s="99" t="s">
        <v>103</v>
      </c>
      <c r="G308" s="100"/>
      <c r="H308" s="101" t="s">
        <v>103</v>
      </c>
      <c r="I308" s="99" t="s">
        <v>6</v>
      </c>
      <c r="J308" s="100" t="s">
        <v>6</v>
      </c>
      <c r="K308" s="102"/>
      <c r="L308" s="103"/>
      <c r="M308" s="104"/>
      <c r="N308" s="105">
        <v>1388</v>
      </c>
      <c r="O308" s="106">
        <v>1540</v>
      </c>
      <c r="P308" s="106">
        <v>1642</v>
      </c>
      <c r="Q308" s="107"/>
      <c r="R308" s="156">
        <v>0.09</v>
      </c>
      <c r="S308" s="105">
        <v>125</v>
      </c>
      <c r="T308" s="106">
        <v>139</v>
      </c>
      <c r="U308" s="106">
        <v>148</v>
      </c>
      <c r="V308" s="107">
        <f t="shared" si="86"/>
        <v>0</v>
      </c>
      <c r="W308" s="109"/>
      <c r="X308" s="110"/>
      <c r="Y308" s="111" t="s">
        <v>104</v>
      </c>
      <c r="Z308" s="100" t="str">
        <f>'[1]Tier 1'!V308</f>
        <v>D</v>
      </c>
      <c r="AA308" s="100"/>
      <c r="AB308" s="100"/>
      <c r="AC308" s="100"/>
      <c r="AD308" s="101"/>
      <c r="AE308" s="105">
        <f>'[1]Tier 1'!W308</f>
        <v>1818</v>
      </c>
      <c r="AF308" s="106"/>
      <c r="AG308" s="106">
        <f>'[1]Tier 1'!X308</f>
        <v>1818</v>
      </c>
      <c r="AH308" s="106"/>
      <c r="AI308" s="106">
        <f>'[1]Tier 1'!Y308</f>
        <v>1818</v>
      </c>
      <c r="AJ308" s="106">
        <f t="shared" si="87"/>
        <v>1636.2</v>
      </c>
      <c r="AK308" s="106" t="e">
        <f>VLOOKUP(A308,#REF!,-1,FALSE)</f>
        <v>#REF!</v>
      </c>
      <c r="AL308" s="107" t="e">
        <f t="shared" si="88"/>
        <v>#REF!</v>
      </c>
      <c r="AM308" s="105">
        <f t="shared" si="97"/>
        <v>125</v>
      </c>
      <c r="AN308" s="112">
        <f t="shared" si="98"/>
        <v>6.9000000000000006E-2</v>
      </c>
      <c r="AO308" s="100" t="str">
        <f t="shared" si="99"/>
        <v>OK</v>
      </c>
      <c r="AP308" s="106">
        <f t="shared" si="100"/>
        <v>139</v>
      </c>
      <c r="AQ308" s="112">
        <f t="shared" si="101"/>
        <v>7.5999999999999998E-2</v>
      </c>
      <c r="AR308" s="100" t="str">
        <f t="shared" si="102"/>
        <v>OK</v>
      </c>
      <c r="AS308" s="106">
        <f t="shared" si="103"/>
        <v>148</v>
      </c>
      <c r="AT308" s="112">
        <f t="shared" si="104"/>
        <v>8.1000000000000003E-2</v>
      </c>
      <c r="AU308" s="113" t="str">
        <f t="shared" si="105"/>
        <v>OK</v>
      </c>
      <c r="AV308" s="106">
        <f t="shared" si="89"/>
        <v>0</v>
      </c>
      <c r="AW308" s="112" t="e">
        <f t="shared" si="90"/>
        <v>#REF!</v>
      </c>
      <c r="AX308" s="114" t="e">
        <f t="shared" si="91"/>
        <v>#REF!</v>
      </c>
      <c r="AY308" s="99"/>
      <c r="AZ308" s="100"/>
      <c r="BA308" s="104">
        <f t="shared" si="92"/>
        <v>0</v>
      </c>
      <c r="BB308" s="115">
        <f t="shared" si="93"/>
        <v>1</v>
      </c>
      <c r="BC308" s="116" t="e">
        <f>SUMIF(#REF!,#REF!, BB20:BB333)</f>
        <v>#REF!</v>
      </c>
      <c r="BD308" s="116">
        <f t="shared" si="94"/>
        <v>1</v>
      </c>
      <c r="BE308" s="116" t="e">
        <f>SUMIF(#REF!,#REF!, BD20:BD333)</f>
        <v>#REF!</v>
      </c>
      <c r="BF308" s="116">
        <f t="shared" si="95"/>
        <v>0</v>
      </c>
      <c r="BG308" s="116" t="e">
        <f>SUMIF(#REF!,#REF!, BF20:BF333)</f>
        <v>#REF!</v>
      </c>
      <c r="BH308" s="116" t="e">
        <f t="shared" si="96"/>
        <v>#REF!</v>
      </c>
      <c r="BI308" s="117">
        <f>SUMIF(B20:B333, B308, BH20:BH333)</f>
        <v>0</v>
      </c>
      <c r="BJ308" s="118"/>
      <c r="BK308" s="92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4"/>
    </row>
    <row r="309" spans="1:82" x14ac:dyDescent="0.3">
      <c r="A309" s="68" t="s">
        <v>589</v>
      </c>
      <c r="B309" s="69"/>
      <c r="C309" s="70" t="s">
        <v>304</v>
      </c>
      <c r="D309" s="70" t="s">
        <v>240</v>
      </c>
      <c r="E309" s="71" t="s">
        <v>578</v>
      </c>
      <c r="F309" s="72" t="s">
        <v>103</v>
      </c>
      <c r="G309" s="73"/>
      <c r="H309" s="74" t="s">
        <v>103</v>
      </c>
      <c r="I309" s="72" t="s">
        <v>6</v>
      </c>
      <c r="J309" s="73" t="s">
        <v>6</v>
      </c>
      <c r="K309" s="75"/>
      <c r="L309" s="76"/>
      <c r="M309" s="77"/>
      <c r="N309" s="78">
        <v>1388</v>
      </c>
      <c r="O309" s="79">
        <v>1540</v>
      </c>
      <c r="P309" s="79">
        <v>1642</v>
      </c>
      <c r="Q309" s="80"/>
      <c r="R309" s="155">
        <v>0.09</v>
      </c>
      <c r="S309" s="78">
        <v>125</v>
      </c>
      <c r="T309" s="79">
        <v>139</v>
      </c>
      <c r="U309" s="79">
        <v>148</v>
      </c>
      <c r="V309" s="80">
        <f t="shared" si="86"/>
        <v>0</v>
      </c>
      <c r="W309" s="82"/>
      <c r="X309" s="83"/>
      <c r="Y309" s="84" t="s">
        <v>104</v>
      </c>
      <c r="Z309" s="73" t="str">
        <f>'[1]Tier 1'!V309</f>
        <v>D</v>
      </c>
      <c r="AA309" s="73"/>
      <c r="AB309" s="73"/>
      <c r="AC309" s="73"/>
      <c r="AD309" s="74"/>
      <c r="AE309" s="78">
        <f>'[1]Tier 1'!W309</f>
        <v>1818</v>
      </c>
      <c r="AF309" s="79"/>
      <c r="AG309" s="79">
        <f>'[1]Tier 1'!X309</f>
        <v>1818</v>
      </c>
      <c r="AH309" s="79"/>
      <c r="AI309" s="79">
        <f>'[1]Tier 1'!Y309</f>
        <v>1818</v>
      </c>
      <c r="AJ309" s="79">
        <f t="shared" si="87"/>
        <v>1636.2</v>
      </c>
      <c r="AK309" s="79" t="e">
        <f>VLOOKUP(A309,#REF!,-1,FALSE)</f>
        <v>#REF!</v>
      </c>
      <c r="AL309" s="80" t="e">
        <f t="shared" si="88"/>
        <v>#REF!</v>
      </c>
      <c r="AM309" s="78">
        <f t="shared" si="97"/>
        <v>125</v>
      </c>
      <c r="AN309" s="85">
        <f t="shared" si="98"/>
        <v>6.9000000000000006E-2</v>
      </c>
      <c r="AO309" s="73" t="str">
        <f t="shared" si="99"/>
        <v>OK</v>
      </c>
      <c r="AP309" s="79">
        <f t="shared" si="100"/>
        <v>139</v>
      </c>
      <c r="AQ309" s="85">
        <f t="shared" si="101"/>
        <v>7.5999999999999998E-2</v>
      </c>
      <c r="AR309" s="73" t="str">
        <f t="shared" si="102"/>
        <v>OK</v>
      </c>
      <c r="AS309" s="79">
        <f t="shared" si="103"/>
        <v>148</v>
      </c>
      <c r="AT309" s="85">
        <f t="shared" si="104"/>
        <v>8.1000000000000003E-2</v>
      </c>
      <c r="AU309" s="86" t="str">
        <f t="shared" si="105"/>
        <v>OK</v>
      </c>
      <c r="AV309" s="79">
        <f t="shared" si="89"/>
        <v>0</v>
      </c>
      <c r="AW309" s="85" t="e">
        <f t="shared" si="90"/>
        <v>#REF!</v>
      </c>
      <c r="AX309" s="87" t="e">
        <f t="shared" si="91"/>
        <v>#REF!</v>
      </c>
      <c r="AY309" s="72"/>
      <c r="AZ309" s="73"/>
      <c r="BA309" s="77">
        <f t="shared" si="92"/>
        <v>0</v>
      </c>
      <c r="BB309" s="88">
        <f t="shared" si="93"/>
        <v>1</v>
      </c>
      <c r="BC309" s="89" t="e">
        <f>SUMIF(#REF!,#REF!, BB20:BB333)</f>
        <v>#REF!</v>
      </c>
      <c r="BD309" s="89">
        <f t="shared" si="94"/>
        <v>1</v>
      </c>
      <c r="BE309" s="89" t="e">
        <f>SUMIF(#REF!,#REF!, BD20:BD333)</f>
        <v>#REF!</v>
      </c>
      <c r="BF309" s="89">
        <f t="shared" si="95"/>
        <v>0</v>
      </c>
      <c r="BG309" s="89" t="e">
        <f>SUMIF(#REF!,#REF!, BF20:BF333)</f>
        <v>#REF!</v>
      </c>
      <c r="BH309" s="89" t="e">
        <f t="shared" si="96"/>
        <v>#REF!</v>
      </c>
      <c r="BI309" s="90">
        <f>SUMIF(B20:B333, B309, BH20:BH333)</f>
        <v>0</v>
      </c>
      <c r="BJ309" s="91"/>
      <c r="BK309" s="92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4"/>
    </row>
    <row r="310" spans="1:82" x14ac:dyDescent="0.3">
      <c r="A310" s="95" t="s">
        <v>590</v>
      </c>
      <c r="B310" s="96"/>
      <c r="C310" s="97" t="s">
        <v>304</v>
      </c>
      <c r="D310" s="97" t="s">
        <v>578</v>
      </c>
      <c r="E310" s="98" t="s">
        <v>102</v>
      </c>
      <c r="F310" s="99" t="s">
        <v>103</v>
      </c>
      <c r="G310" s="100"/>
      <c r="H310" s="101" t="s">
        <v>109</v>
      </c>
      <c r="I310" s="99" t="s">
        <v>6</v>
      </c>
      <c r="J310" s="100" t="s">
        <v>6</v>
      </c>
      <c r="K310" s="102"/>
      <c r="L310" s="103"/>
      <c r="M310" s="104"/>
      <c r="N310" s="105">
        <v>1388</v>
      </c>
      <c r="O310" s="106">
        <v>1540</v>
      </c>
      <c r="P310" s="106">
        <v>1642</v>
      </c>
      <c r="Q310" s="107"/>
      <c r="R310" s="156">
        <v>0.09</v>
      </c>
      <c r="S310" s="105">
        <v>125</v>
      </c>
      <c r="T310" s="106">
        <v>139</v>
      </c>
      <c r="U310" s="106">
        <v>148</v>
      </c>
      <c r="V310" s="107">
        <f t="shared" si="86"/>
        <v>0</v>
      </c>
      <c r="W310" s="109"/>
      <c r="X310" s="110"/>
      <c r="Y310" s="111" t="s">
        <v>104</v>
      </c>
      <c r="Z310" s="100" t="str">
        <f>'[1]Tier 1'!V310</f>
        <v>D</v>
      </c>
      <c r="AA310" s="100"/>
      <c r="AB310" s="100"/>
      <c r="AC310" s="100"/>
      <c r="AD310" s="101"/>
      <c r="AE310" s="105">
        <f>'[1]Tier 1'!W310</f>
        <v>1818</v>
      </c>
      <c r="AF310" s="106"/>
      <c r="AG310" s="106">
        <f>'[1]Tier 1'!X310</f>
        <v>1818</v>
      </c>
      <c r="AH310" s="106"/>
      <c r="AI310" s="106">
        <f>'[1]Tier 1'!Y310</f>
        <v>1818</v>
      </c>
      <c r="AJ310" s="106">
        <f t="shared" si="87"/>
        <v>1636.2</v>
      </c>
      <c r="AK310" s="106" t="e">
        <f>VLOOKUP(A310,#REF!,-1,FALSE)</f>
        <v>#REF!</v>
      </c>
      <c r="AL310" s="107" t="e">
        <f t="shared" si="88"/>
        <v>#REF!</v>
      </c>
      <c r="AM310" s="105">
        <f t="shared" si="97"/>
        <v>125</v>
      </c>
      <c r="AN310" s="112">
        <f t="shared" si="98"/>
        <v>6.9000000000000006E-2</v>
      </c>
      <c r="AO310" s="100" t="str">
        <f t="shared" si="99"/>
        <v>OK</v>
      </c>
      <c r="AP310" s="106">
        <f t="shared" si="100"/>
        <v>139</v>
      </c>
      <c r="AQ310" s="112">
        <f t="shared" si="101"/>
        <v>7.5999999999999998E-2</v>
      </c>
      <c r="AR310" s="100" t="str">
        <f t="shared" si="102"/>
        <v>OK</v>
      </c>
      <c r="AS310" s="106">
        <f t="shared" si="103"/>
        <v>148</v>
      </c>
      <c r="AT310" s="112">
        <f t="shared" si="104"/>
        <v>8.1000000000000003E-2</v>
      </c>
      <c r="AU310" s="113" t="str">
        <f t="shared" si="105"/>
        <v>OK</v>
      </c>
      <c r="AV310" s="106">
        <f t="shared" si="89"/>
        <v>0</v>
      </c>
      <c r="AW310" s="112" t="e">
        <f t="shared" si="90"/>
        <v>#REF!</v>
      </c>
      <c r="AX310" s="114" t="e">
        <f t="shared" si="91"/>
        <v>#REF!</v>
      </c>
      <c r="AY310" s="99"/>
      <c r="AZ310" s="100"/>
      <c r="BA310" s="104">
        <f t="shared" si="92"/>
        <v>0</v>
      </c>
      <c r="BB310" s="115">
        <f t="shared" si="93"/>
        <v>1</v>
      </c>
      <c r="BC310" s="116" t="e">
        <f>SUMIF(#REF!,#REF!, BB20:BB333)</f>
        <v>#REF!</v>
      </c>
      <c r="BD310" s="116">
        <f t="shared" si="94"/>
        <v>1</v>
      </c>
      <c r="BE310" s="116" t="e">
        <f>SUMIF(#REF!,#REF!, BD20:BD333)</f>
        <v>#REF!</v>
      </c>
      <c r="BF310" s="116">
        <f t="shared" si="95"/>
        <v>0</v>
      </c>
      <c r="BG310" s="116" t="e">
        <f>SUMIF(#REF!,#REF!, BF20:BF333)</f>
        <v>#REF!</v>
      </c>
      <c r="BH310" s="116" t="e">
        <f t="shared" si="96"/>
        <v>#REF!</v>
      </c>
      <c r="BI310" s="117">
        <f>SUMIF(B20:B333, B310, BH20:BH333)</f>
        <v>0</v>
      </c>
      <c r="BJ310" s="118"/>
      <c r="BK310" s="92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4"/>
    </row>
    <row r="311" spans="1:82" x14ac:dyDescent="0.3">
      <c r="A311" s="68" t="s">
        <v>591</v>
      </c>
      <c r="B311" s="69"/>
      <c r="C311" s="70" t="s">
        <v>355</v>
      </c>
      <c r="D311" s="70" t="s">
        <v>152</v>
      </c>
      <c r="E311" s="71" t="s">
        <v>156</v>
      </c>
      <c r="F311" s="72" t="s">
        <v>103</v>
      </c>
      <c r="G311" s="73"/>
      <c r="H311" s="74" t="s">
        <v>103</v>
      </c>
      <c r="I311" s="72" t="s">
        <v>6</v>
      </c>
      <c r="J311" s="73" t="s">
        <v>6</v>
      </c>
      <c r="K311" s="75"/>
      <c r="L311" s="76"/>
      <c r="M311" s="77"/>
      <c r="N311" s="78">
        <v>2350</v>
      </c>
      <c r="O311" s="79">
        <v>2767</v>
      </c>
      <c r="P311" s="79">
        <v>3045</v>
      </c>
      <c r="Q311" s="80"/>
      <c r="R311" s="155">
        <v>0.09</v>
      </c>
      <c r="S311" s="78">
        <v>212</v>
      </c>
      <c r="T311" s="79">
        <v>249</v>
      </c>
      <c r="U311" s="79">
        <v>274</v>
      </c>
      <c r="V311" s="80">
        <f t="shared" si="86"/>
        <v>0</v>
      </c>
      <c r="W311" s="82"/>
      <c r="X311" s="83"/>
      <c r="Y311" s="84" t="s">
        <v>104</v>
      </c>
      <c r="Z311" s="73" t="str">
        <f>'[1]Tier 1'!V311</f>
        <v>D</v>
      </c>
      <c r="AA311" s="73"/>
      <c r="AB311" s="73"/>
      <c r="AC311" s="73"/>
      <c r="AD311" s="74"/>
      <c r="AE311" s="78">
        <f>'[1]Tier 1'!W311</f>
        <v>1962</v>
      </c>
      <c r="AF311" s="79"/>
      <c r="AG311" s="79">
        <f>'[1]Tier 1'!X311</f>
        <v>1962</v>
      </c>
      <c r="AH311" s="79"/>
      <c r="AI311" s="79">
        <f>'[1]Tier 1'!Y311</f>
        <v>1962</v>
      </c>
      <c r="AJ311" s="79">
        <f t="shared" si="87"/>
        <v>1765.8</v>
      </c>
      <c r="AK311" s="79" t="e">
        <f>VLOOKUP(A311,#REF!,-1,FALSE)</f>
        <v>#REF!</v>
      </c>
      <c r="AL311" s="80" t="e">
        <f t="shared" si="88"/>
        <v>#REF!</v>
      </c>
      <c r="AM311" s="78">
        <f t="shared" si="97"/>
        <v>212</v>
      </c>
      <c r="AN311" s="85">
        <f t="shared" si="98"/>
        <v>0.108</v>
      </c>
      <c r="AO311" s="73" t="str">
        <f t="shared" si="99"/>
        <v>OK</v>
      </c>
      <c r="AP311" s="79">
        <f t="shared" si="100"/>
        <v>249</v>
      </c>
      <c r="AQ311" s="85">
        <f t="shared" si="101"/>
        <v>0.127</v>
      </c>
      <c r="AR311" s="73" t="str">
        <f t="shared" si="102"/>
        <v>OK</v>
      </c>
      <c r="AS311" s="79">
        <f t="shared" si="103"/>
        <v>274</v>
      </c>
      <c r="AT311" s="85">
        <f t="shared" si="104"/>
        <v>0.14000000000000001</v>
      </c>
      <c r="AU311" s="86" t="str">
        <f t="shared" si="105"/>
        <v>OK</v>
      </c>
      <c r="AV311" s="79">
        <f t="shared" si="89"/>
        <v>0</v>
      </c>
      <c r="AW311" s="85" t="e">
        <f t="shared" si="90"/>
        <v>#REF!</v>
      </c>
      <c r="AX311" s="87" t="e">
        <f t="shared" si="91"/>
        <v>#REF!</v>
      </c>
      <c r="AY311" s="72"/>
      <c r="AZ311" s="73"/>
      <c r="BA311" s="77">
        <f t="shared" si="92"/>
        <v>0</v>
      </c>
      <c r="BB311" s="88">
        <f t="shared" si="93"/>
        <v>1</v>
      </c>
      <c r="BC311" s="89" t="e">
        <f>SUMIF(#REF!,#REF!, BB20:BB333)</f>
        <v>#REF!</v>
      </c>
      <c r="BD311" s="89">
        <f t="shared" si="94"/>
        <v>1</v>
      </c>
      <c r="BE311" s="89" t="e">
        <f>SUMIF(#REF!,#REF!, BD20:BD333)</f>
        <v>#REF!</v>
      </c>
      <c r="BF311" s="89">
        <f t="shared" si="95"/>
        <v>0</v>
      </c>
      <c r="BG311" s="89" t="e">
        <f>SUMIF(#REF!,#REF!, BF20:BF333)</f>
        <v>#REF!</v>
      </c>
      <c r="BH311" s="89" t="e">
        <f t="shared" si="96"/>
        <v>#REF!</v>
      </c>
      <c r="BI311" s="90">
        <f>SUMIF(B20:B333, B311, BH20:BH333)</f>
        <v>0</v>
      </c>
      <c r="BJ311" s="91"/>
      <c r="BK311" s="92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4"/>
    </row>
    <row r="312" spans="1:82" x14ac:dyDescent="0.3">
      <c r="A312" s="95" t="s">
        <v>592</v>
      </c>
      <c r="B312" s="96"/>
      <c r="C312" s="97" t="s">
        <v>175</v>
      </c>
      <c r="D312" s="97" t="s">
        <v>102</v>
      </c>
      <c r="E312" s="98" t="s">
        <v>226</v>
      </c>
      <c r="F312" s="99" t="s">
        <v>103</v>
      </c>
      <c r="G312" s="100"/>
      <c r="H312" s="101" t="s">
        <v>103</v>
      </c>
      <c r="I312" s="99" t="s">
        <v>6</v>
      </c>
      <c r="J312" s="100" t="s">
        <v>6</v>
      </c>
      <c r="K312" s="102"/>
      <c r="L312" s="103"/>
      <c r="M312" s="104"/>
      <c r="N312" s="105">
        <v>2354</v>
      </c>
      <c r="O312" s="106">
        <v>2498</v>
      </c>
      <c r="P312" s="106">
        <v>2599</v>
      </c>
      <c r="Q312" s="107"/>
      <c r="R312" s="156">
        <v>0.09</v>
      </c>
      <c r="S312" s="105">
        <v>212</v>
      </c>
      <c r="T312" s="106">
        <v>225</v>
      </c>
      <c r="U312" s="106">
        <v>234</v>
      </c>
      <c r="V312" s="107">
        <f t="shared" si="86"/>
        <v>0</v>
      </c>
      <c r="W312" s="109"/>
      <c r="X312" s="110"/>
      <c r="Y312" s="111" t="s">
        <v>104</v>
      </c>
      <c r="Z312" s="100" t="str">
        <f>'[1]Tier 1'!V312</f>
        <v>D</v>
      </c>
      <c r="AA312" s="100"/>
      <c r="AB312" s="100"/>
      <c r="AC312" s="100"/>
      <c r="AD312" s="101"/>
      <c r="AE312" s="105">
        <f>'[1]Tier 1'!W312</f>
        <v>1197</v>
      </c>
      <c r="AF312" s="106"/>
      <c r="AG312" s="106">
        <f>'[1]Tier 1'!X312</f>
        <v>1197</v>
      </c>
      <c r="AH312" s="106"/>
      <c r="AI312" s="106">
        <f>'[1]Tier 1'!Y312</f>
        <v>2628</v>
      </c>
      <c r="AJ312" s="106">
        <f t="shared" si="87"/>
        <v>2365.2000000000003</v>
      </c>
      <c r="AK312" s="106" t="e">
        <f>VLOOKUP(A312,#REF!,-1,FALSE)</f>
        <v>#REF!</v>
      </c>
      <c r="AL312" s="107" t="e">
        <f t="shared" si="88"/>
        <v>#REF!</v>
      </c>
      <c r="AM312" s="105">
        <f t="shared" si="97"/>
        <v>212</v>
      </c>
      <c r="AN312" s="112">
        <f t="shared" si="98"/>
        <v>0.17699999999999999</v>
      </c>
      <c r="AO312" s="100" t="str">
        <f t="shared" si="99"/>
        <v>OK</v>
      </c>
      <c r="AP312" s="106">
        <f t="shared" si="100"/>
        <v>225</v>
      </c>
      <c r="AQ312" s="112">
        <f t="shared" si="101"/>
        <v>0.188</v>
      </c>
      <c r="AR312" s="100" t="str">
        <f t="shared" si="102"/>
        <v>OK</v>
      </c>
      <c r="AS312" s="106">
        <f t="shared" si="103"/>
        <v>234</v>
      </c>
      <c r="AT312" s="112">
        <f t="shared" si="104"/>
        <v>8.8999999999999996E-2</v>
      </c>
      <c r="AU312" s="113" t="str">
        <f t="shared" si="105"/>
        <v>OK</v>
      </c>
      <c r="AV312" s="106">
        <f t="shared" si="89"/>
        <v>0</v>
      </c>
      <c r="AW312" s="112" t="e">
        <f t="shared" si="90"/>
        <v>#REF!</v>
      </c>
      <c r="AX312" s="114" t="e">
        <f t="shared" si="91"/>
        <v>#REF!</v>
      </c>
      <c r="AY312" s="99"/>
      <c r="AZ312" s="100"/>
      <c r="BA312" s="104">
        <f t="shared" si="92"/>
        <v>0</v>
      </c>
      <c r="BB312" s="115">
        <f t="shared" si="93"/>
        <v>1</v>
      </c>
      <c r="BC312" s="116" t="e">
        <f>SUMIF(#REF!,#REF!, BB20:BB333)</f>
        <v>#REF!</v>
      </c>
      <c r="BD312" s="116">
        <f t="shared" si="94"/>
        <v>1</v>
      </c>
      <c r="BE312" s="116" t="e">
        <f>SUMIF(#REF!,#REF!, BD20:BD333)</f>
        <v>#REF!</v>
      </c>
      <c r="BF312" s="116">
        <f t="shared" si="95"/>
        <v>0</v>
      </c>
      <c r="BG312" s="116" t="e">
        <f>SUMIF(#REF!,#REF!, BF20:BF333)</f>
        <v>#REF!</v>
      </c>
      <c r="BH312" s="116" t="e">
        <f t="shared" si="96"/>
        <v>#REF!</v>
      </c>
      <c r="BI312" s="117">
        <f>SUMIF(B20:B333, B312, BH20:BH333)</f>
        <v>0</v>
      </c>
      <c r="BJ312" s="118"/>
      <c r="BK312" s="92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4"/>
    </row>
    <row r="313" spans="1:82" x14ac:dyDescent="0.3">
      <c r="A313" s="68" t="s">
        <v>593</v>
      </c>
      <c r="B313" s="69"/>
      <c r="C313" s="70" t="s">
        <v>175</v>
      </c>
      <c r="D313" s="70" t="s">
        <v>226</v>
      </c>
      <c r="E313" s="71" t="s">
        <v>594</v>
      </c>
      <c r="F313" s="72" t="s">
        <v>103</v>
      </c>
      <c r="G313" s="73"/>
      <c r="H313" s="74" t="s">
        <v>103</v>
      </c>
      <c r="I313" s="72" t="s">
        <v>6</v>
      </c>
      <c r="J313" s="73" t="s">
        <v>6</v>
      </c>
      <c r="K313" s="75"/>
      <c r="L313" s="76"/>
      <c r="M313" s="77"/>
      <c r="N313" s="78">
        <v>2354</v>
      </c>
      <c r="O313" s="79">
        <v>2498</v>
      </c>
      <c r="P313" s="79">
        <v>2599</v>
      </c>
      <c r="Q313" s="80"/>
      <c r="R313" s="155">
        <v>0.09</v>
      </c>
      <c r="S313" s="78">
        <v>212</v>
      </c>
      <c r="T313" s="79">
        <v>225</v>
      </c>
      <c r="U313" s="79">
        <v>234</v>
      </c>
      <c r="V313" s="80">
        <f t="shared" si="86"/>
        <v>0</v>
      </c>
      <c r="W313" s="82"/>
      <c r="X313" s="83"/>
      <c r="Y313" s="84" t="s">
        <v>104</v>
      </c>
      <c r="Z313" s="73" t="str">
        <f>'[1]Tier 1'!V313</f>
        <v>D</v>
      </c>
      <c r="AA313" s="73"/>
      <c r="AB313" s="73"/>
      <c r="AC313" s="73"/>
      <c r="AD313" s="74"/>
      <c r="AE313" s="78">
        <f>'[1]Tier 1'!W313</f>
        <v>1962</v>
      </c>
      <c r="AF313" s="79"/>
      <c r="AG313" s="79">
        <f>'[1]Tier 1'!X313</f>
        <v>1962</v>
      </c>
      <c r="AH313" s="79"/>
      <c r="AI313" s="79">
        <f>'[1]Tier 1'!Y313</f>
        <v>1962</v>
      </c>
      <c r="AJ313" s="79">
        <f t="shared" si="87"/>
        <v>1765.8</v>
      </c>
      <c r="AK313" s="79" t="e">
        <f>VLOOKUP(A313,#REF!,-1,FALSE)</f>
        <v>#REF!</v>
      </c>
      <c r="AL313" s="80" t="e">
        <f t="shared" si="88"/>
        <v>#REF!</v>
      </c>
      <c r="AM313" s="78">
        <f t="shared" si="97"/>
        <v>212</v>
      </c>
      <c r="AN313" s="85">
        <f t="shared" si="98"/>
        <v>0.108</v>
      </c>
      <c r="AO313" s="73" t="str">
        <f t="shared" si="99"/>
        <v>OK</v>
      </c>
      <c r="AP313" s="79">
        <f t="shared" si="100"/>
        <v>225</v>
      </c>
      <c r="AQ313" s="85">
        <f t="shared" si="101"/>
        <v>0.115</v>
      </c>
      <c r="AR313" s="73" t="str">
        <f t="shared" si="102"/>
        <v>OK</v>
      </c>
      <c r="AS313" s="79">
        <f t="shared" si="103"/>
        <v>234</v>
      </c>
      <c r="AT313" s="85">
        <f t="shared" si="104"/>
        <v>0.11899999999999999</v>
      </c>
      <c r="AU313" s="86" t="str">
        <f t="shared" si="105"/>
        <v>OK</v>
      </c>
      <c r="AV313" s="79">
        <f t="shared" si="89"/>
        <v>0</v>
      </c>
      <c r="AW313" s="85" t="e">
        <f t="shared" si="90"/>
        <v>#REF!</v>
      </c>
      <c r="AX313" s="87" t="e">
        <f t="shared" si="91"/>
        <v>#REF!</v>
      </c>
      <c r="AY313" s="72"/>
      <c r="AZ313" s="73"/>
      <c r="BA313" s="77">
        <f t="shared" si="92"/>
        <v>0</v>
      </c>
      <c r="BB313" s="88">
        <f t="shared" si="93"/>
        <v>1</v>
      </c>
      <c r="BC313" s="89" t="e">
        <f>SUMIF(#REF!,#REF!, BB20:BB333)</f>
        <v>#REF!</v>
      </c>
      <c r="BD313" s="89">
        <f t="shared" si="94"/>
        <v>1</v>
      </c>
      <c r="BE313" s="89" t="e">
        <f>SUMIF(#REF!,#REF!, BD20:BD333)</f>
        <v>#REF!</v>
      </c>
      <c r="BF313" s="89">
        <f t="shared" si="95"/>
        <v>0</v>
      </c>
      <c r="BG313" s="89" t="e">
        <f>SUMIF(#REF!,#REF!, BF20:BF333)</f>
        <v>#REF!</v>
      </c>
      <c r="BH313" s="89" t="e">
        <f t="shared" si="96"/>
        <v>#REF!</v>
      </c>
      <c r="BI313" s="90">
        <f>SUMIF(B20:B333, B313, BH20:BH333)</f>
        <v>0</v>
      </c>
      <c r="BJ313" s="91"/>
      <c r="BK313" s="92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4"/>
    </row>
    <row r="314" spans="1:82" x14ac:dyDescent="0.3">
      <c r="A314" s="95" t="s">
        <v>595</v>
      </c>
      <c r="B314" s="96"/>
      <c r="C314" s="97" t="s">
        <v>594</v>
      </c>
      <c r="D314" s="97" t="s">
        <v>175</v>
      </c>
      <c r="E314" s="98" t="s">
        <v>596</v>
      </c>
      <c r="F314" s="99" t="s">
        <v>103</v>
      </c>
      <c r="G314" s="100"/>
      <c r="H314" s="101" t="s">
        <v>109</v>
      </c>
      <c r="I314" s="99" t="s">
        <v>6</v>
      </c>
      <c r="J314" s="100" t="s">
        <v>6</v>
      </c>
      <c r="K314" s="102"/>
      <c r="L314" s="103"/>
      <c r="M314" s="104"/>
      <c r="N314" s="105">
        <v>2354</v>
      </c>
      <c r="O314" s="106">
        <v>2498</v>
      </c>
      <c r="P314" s="106">
        <v>2599</v>
      </c>
      <c r="Q314" s="107"/>
      <c r="R314" s="156">
        <v>0.09</v>
      </c>
      <c r="S314" s="105">
        <v>212</v>
      </c>
      <c r="T314" s="106">
        <v>225</v>
      </c>
      <c r="U314" s="106">
        <v>234</v>
      </c>
      <c r="V314" s="107">
        <f t="shared" si="86"/>
        <v>0</v>
      </c>
      <c r="W314" s="109"/>
      <c r="X314" s="110"/>
      <c r="Y314" s="111" t="s">
        <v>104</v>
      </c>
      <c r="Z314" s="100" t="str">
        <f>'[1]Tier 1'!V314</f>
        <v>D</v>
      </c>
      <c r="AA314" s="100"/>
      <c r="AB314" s="100"/>
      <c r="AC314" s="100"/>
      <c r="AD314" s="101"/>
      <c r="AE314" s="105">
        <f>'[1]Tier 1'!W314</f>
        <v>1962</v>
      </c>
      <c r="AF314" s="106"/>
      <c r="AG314" s="106">
        <f>'[1]Tier 1'!X314</f>
        <v>1962</v>
      </c>
      <c r="AH314" s="106"/>
      <c r="AI314" s="106">
        <f>'[1]Tier 1'!Y314</f>
        <v>1962</v>
      </c>
      <c r="AJ314" s="106">
        <f t="shared" si="87"/>
        <v>1765.8</v>
      </c>
      <c r="AK314" s="106" t="e">
        <f>VLOOKUP(A314,#REF!,-1,FALSE)</f>
        <v>#REF!</v>
      </c>
      <c r="AL314" s="107" t="e">
        <f t="shared" si="88"/>
        <v>#REF!</v>
      </c>
      <c r="AM314" s="105">
        <f t="shared" si="97"/>
        <v>212</v>
      </c>
      <c r="AN314" s="112">
        <f t="shared" si="98"/>
        <v>0.108</v>
      </c>
      <c r="AO314" s="100" t="str">
        <f t="shared" si="99"/>
        <v>OK</v>
      </c>
      <c r="AP314" s="106">
        <f t="shared" si="100"/>
        <v>225</v>
      </c>
      <c r="AQ314" s="112">
        <f t="shared" si="101"/>
        <v>0.115</v>
      </c>
      <c r="AR314" s="100" t="str">
        <f t="shared" si="102"/>
        <v>OK</v>
      </c>
      <c r="AS314" s="106">
        <f t="shared" si="103"/>
        <v>234</v>
      </c>
      <c r="AT314" s="112">
        <f t="shared" si="104"/>
        <v>0.11899999999999999</v>
      </c>
      <c r="AU314" s="113" t="str">
        <f t="shared" si="105"/>
        <v>OK</v>
      </c>
      <c r="AV314" s="106">
        <f t="shared" si="89"/>
        <v>0</v>
      </c>
      <c r="AW314" s="112" t="e">
        <f t="shared" si="90"/>
        <v>#REF!</v>
      </c>
      <c r="AX314" s="114" t="e">
        <f t="shared" si="91"/>
        <v>#REF!</v>
      </c>
      <c r="AY314" s="99"/>
      <c r="AZ314" s="100"/>
      <c r="BA314" s="104">
        <f t="shared" si="92"/>
        <v>0</v>
      </c>
      <c r="BB314" s="115">
        <f t="shared" si="93"/>
        <v>1</v>
      </c>
      <c r="BC314" s="116" t="e">
        <f>SUMIF(#REF!,#REF!, BB20:BB333)</f>
        <v>#REF!</v>
      </c>
      <c r="BD314" s="116">
        <f t="shared" si="94"/>
        <v>1</v>
      </c>
      <c r="BE314" s="116" t="e">
        <f>SUMIF(#REF!,#REF!, BD20:BD333)</f>
        <v>#REF!</v>
      </c>
      <c r="BF314" s="116">
        <f t="shared" si="95"/>
        <v>0</v>
      </c>
      <c r="BG314" s="116" t="e">
        <f>SUMIF(#REF!,#REF!, BF20:BF333)</f>
        <v>#REF!</v>
      </c>
      <c r="BH314" s="116" t="e">
        <f t="shared" si="96"/>
        <v>#REF!</v>
      </c>
      <c r="BI314" s="117">
        <f>SUMIF(B20:B333, B314, BH20:BH333)</f>
        <v>0</v>
      </c>
      <c r="BJ314" s="118"/>
      <c r="BK314" s="92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4"/>
    </row>
    <row r="315" spans="1:82" x14ac:dyDescent="0.3">
      <c r="A315" s="68" t="s">
        <v>597</v>
      </c>
      <c r="B315" s="69"/>
      <c r="C315" s="70" t="s">
        <v>223</v>
      </c>
      <c r="D315" s="70" t="s">
        <v>172</v>
      </c>
      <c r="E315" s="71" t="s">
        <v>173</v>
      </c>
      <c r="F315" s="72" t="s">
        <v>109</v>
      </c>
      <c r="G315" s="73"/>
      <c r="H315" s="74" t="s">
        <v>109</v>
      </c>
      <c r="I315" s="72" t="s">
        <v>6</v>
      </c>
      <c r="J315" s="73" t="s">
        <v>6</v>
      </c>
      <c r="K315" s="75"/>
      <c r="L315" s="76"/>
      <c r="M315" s="77"/>
      <c r="N315" s="78">
        <v>19073</v>
      </c>
      <c r="O315" s="79">
        <v>20735</v>
      </c>
      <c r="P315" s="79">
        <v>21843</v>
      </c>
      <c r="Q315" s="80"/>
      <c r="R315" s="155">
        <v>0.09</v>
      </c>
      <c r="S315" s="78">
        <v>1717</v>
      </c>
      <c r="T315" s="79">
        <v>1866</v>
      </c>
      <c r="U315" s="79">
        <v>1966</v>
      </c>
      <c r="V315" s="80">
        <f t="shared" si="86"/>
        <v>0</v>
      </c>
      <c r="W315" s="82"/>
      <c r="X315" s="83"/>
      <c r="Y315" s="84" t="s">
        <v>104</v>
      </c>
      <c r="Z315" s="73" t="str">
        <f>'[1]Tier 1'!V315</f>
        <v>D</v>
      </c>
      <c r="AA315" s="73"/>
      <c r="AB315" s="73"/>
      <c r="AC315" s="73"/>
      <c r="AD315" s="74"/>
      <c r="AE315" s="78">
        <f>'[1]Tier 1'!W315</f>
        <v>2628</v>
      </c>
      <c r="AF315" s="79"/>
      <c r="AG315" s="79">
        <f>'[1]Tier 1'!X315</f>
        <v>2628</v>
      </c>
      <c r="AH315" s="79"/>
      <c r="AI315" s="79">
        <f>'[1]Tier 1'!Y315</f>
        <v>1197</v>
      </c>
      <c r="AJ315" s="79">
        <f t="shared" si="87"/>
        <v>1077.3</v>
      </c>
      <c r="AK315" s="79" t="e">
        <f>VLOOKUP(A315,#REF!,-1,FALSE)</f>
        <v>#REF!</v>
      </c>
      <c r="AL315" s="80" t="e">
        <f t="shared" si="88"/>
        <v>#REF!</v>
      </c>
      <c r="AM315" s="78">
        <f t="shared" si="97"/>
        <v>1717</v>
      </c>
      <c r="AN315" s="85">
        <f t="shared" si="98"/>
        <v>0.65300000000000002</v>
      </c>
      <c r="AO315" s="73" t="str">
        <f t="shared" si="99"/>
        <v>OK</v>
      </c>
      <c r="AP315" s="79">
        <f t="shared" si="100"/>
        <v>1866</v>
      </c>
      <c r="AQ315" s="85">
        <f t="shared" si="101"/>
        <v>0.71</v>
      </c>
      <c r="AR315" s="73" t="str">
        <f t="shared" si="102"/>
        <v>OK</v>
      </c>
      <c r="AS315" s="79">
        <f t="shared" si="103"/>
        <v>1966</v>
      </c>
      <c r="AT315" s="85">
        <f t="shared" si="104"/>
        <v>1.6419999999999999</v>
      </c>
      <c r="AU315" s="86" t="str">
        <f t="shared" si="105"/>
        <v>OK</v>
      </c>
      <c r="AV315" s="79">
        <f t="shared" si="89"/>
        <v>0</v>
      </c>
      <c r="AW315" s="85" t="e">
        <f t="shared" si="90"/>
        <v>#REF!</v>
      </c>
      <c r="AX315" s="87" t="e">
        <f t="shared" si="91"/>
        <v>#REF!</v>
      </c>
      <c r="AY315" s="72"/>
      <c r="AZ315" s="73"/>
      <c r="BA315" s="77">
        <f t="shared" si="92"/>
        <v>0</v>
      </c>
      <c r="BB315" s="88">
        <f t="shared" si="93"/>
        <v>1</v>
      </c>
      <c r="BC315" s="89" t="e">
        <f>SUMIF(#REF!,#REF!, BB20:BB333)</f>
        <v>#REF!</v>
      </c>
      <c r="BD315" s="89">
        <f t="shared" si="94"/>
        <v>1</v>
      </c>
      <c r="BE315" s="89" t="e">
        <f>SUMIF(#REF!,#REF!, BD20:BD333)</f>
        <v>#REF!</v>
      </c>
      <c r="BF315" s="89">
        <f t="shared" si="95"/>
        <v>1</v>
      </c>
      <c r="BG315" s="89" t="e">
        <f>SUMIF(#REF!,#REF!, BF20:BF333)</f>
        <v>#REF!</v>
      </c>
      <c r="BH315" s="89" t="e">
        <f t="shared" si="96"/>
        <v>#REF!</v>
      </c>
      <c r="BI315" s="90">
        <f>SUMIF(B20:B333, B315, BH20:BH333)</f>
        <v>0</v>
      </c>
      <c r="BJ315" s="91"/>
      <c r="BK315" s="92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4"/>
    </row>
    <row r="316" spans="1:82" x14ac:dyDescent="0.3">
      <c r="A316" s="95" t="s">
        <v>598</v>
      </c>
      <c r="B316" s="96"/>
      <c r="C316" s="97" t="s">
        <v>223</v>
      </c>
      <c r="D316" s="97" t="s">
        <v>173</v>
      </c>
      <c r="E316" s="98" t="s">
        <v>599</v>
      </c>
      <c r="F316" s="99" t="s">
        <v>109</v>
      </c>
      <c r="G316" s="100"/>
      <c r="H316" s="101" t="s">
        <v>109</v>
      </c>
      <c r="I316" s="99" t="s">
        <v>6</v>
      </c>
      <c r="J316" s="100" t="s">
        <v>6</v>
      </c>
      <c r="K316" s="102"/>
      <c r="L316" s="103"/>
      <c r="M316" s="104"/>
      <c r="N316" s="105">
        <v>22383</v>
      </c>
      <c r="O316" s="106">
        <v>23753</v>
      </c>
      <c r="P316" s="106">
        <v>24713</v>
      </c>
      <c r="Q316" s="107"/>
      <c r="R316" s="156">
        <v>0.09</v>
      </c>
      <c r="S316" s="105">
        <v>2014</v>
      </c>
      <c r="T316" s="106">
        <v>2138</v>
      </c>
      <c r="U316" s="106">
        <v>2224</v>
      </c>
      <c r="V316" s="107">
        <f t="shared" si="86"/>
        <v>0</v>
      </c>
      <c r="W316" s="109"/>
      <c r="X316" s="110"/>
      <c r="Y316" s="111" t="s">
        <v>104</v>
      </c>
      <c r="Z316" s="100" t="str">
        <f>'[1]Tier 1'!V316</f>
        <v>D</v>
      </c>
      <c r="AA316" s="100"/>
      <c r="AB316" s="100"/>
      <c r="AC316" s="100"/>
      <c r="AD316" s="101"/>
      <c r="AE316" s="105">
        <f>'[1]Tier 1'!W316</f>
        <v>2628</v>
      </c>
      <c r="AF316" s="106"/>
      <c r="AG316" s="106">
        <f>'[1]Tier 1'!X316</f>
        <v>2628</v>
      </c>
      <c r="AH316" s="106"/>
      <c r="AI316" s="106">
        <f>'[1]Tier 1'!Y316</f>
        <v>2628</v>
      </c>
      <c r="AJ316" s="106">
        <f t="shared" si="87"/>
        <v>2365.2000000000003</v>
      </c>
      <c r="AK316" s="106" t="e">
        <f>VLOOKUP(A316,#REF!,-1,FALSE)</f>
        <v>#REF!</v>
      </c>
      <c r="AL316" s="107" t="e">
        <f t="shared" si="88"/>
        <v>#REF!</v>
      </c>
      <c r="AM316" s="105">
        <f t="shared" si="97"/>
        <v>2014</v>
      </c>
      <c r="AN316" s="112">
        <f t="shared" si="98"/>
        <v>0.76600000000000001</v>
      </c>
      <c r="AO316" s="100" t="str">
        <f t="shared" si="99"/>
        <v>OK</v>
      </c>
      <c r="AP316" s="106">
        <f t="shared" si="100"/>
        <v>2138</v>
      </c>
      <c r="AQ316" s="112">
        <f t="shared" si="101"/>
        <v>0.81399999999999995</v>
      </c>
      <c r="AR316" s="100" t="str">
        <f t="shared" si="102"/>
        <v>OK</v>
      </c>
      <c r="AS316" s="106">
        <f t="shared" si="103"/>
        <v>2224</v>
      </c>
      <c r="AT316" s="112">
        <f t="shared" si="104"/>
        <v>0.84599999999999997</v>
      </c>
      <c r="AU316" s="113" t="str">
        <f t="shared" si="105"/>
        <v>OK</v>
      </c>
      <c r="AV316" s="106">
        <f t="shared" si="89"/>
        <v>0</v>
      </c>
      <c r="AW316" s="112" t="e">
        <f t="shared" si="90"/>
        <v>#REF!</v>
      </c>
      <c r="AX316" s="114" t="e">
        <f t="shared" si="91"/>
        <v>#REF!</v>
      </c>
      <c r="AY316" s="99"/>
      <c r="AZ316" s="100"/>
      <c r="BA316" s="104">
        <f t="shared" si="92"/>
        <v>0</v>
      </c>
      <c r="BB316" s="115">
        <f t="shared" si="93"/>
        <v>1</v>
      </c>
      <c r="BC316" s="116" t="e">
        <f>SUMIF(#REF!,#REF!, BB20:BB333)</f>
        <v>#REF!</v>
      </c>
      <c r="BD316" s="116">
        <f t="shared" si="94"/>
        <v>1</v>
      </c>
      <c r="BE316" s="116" t="e">
        <f>SUMIF(#REF!,#REF!, BD20:BD333)</f>
        <v>#REF!</v>
      </c>
      <c r="BF316" s="116">
        <f t="shared" si="95"/>
        <v>0</v>
      </c>
      <c r="BG316" s="116" t="e">
        <f>SUMIF(#REF!,#REF!, BF20:BF333)</f>
        <v>#REF!</v>
      </c>
      <c r="BH316" s="116" t="e">
        <f t="shared" si="96"/>
        <v>#REF!</v>
      </c>
      <c r="BI316" s="117">
        <f>SUMIF(B20:B333, B316, BH20:BH333)</f>
        <v>0</v>
      </c>
      <c r="BJ316" s="118"/>
      <c r="BK316" s="92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4"/>
    </row>
    <row r="317" spans="1:82" x14ac:dyDescent="0.3">
      <c r="A317" s="68" t="s">
        <v>600</v>
      </c>
      <c r="B317" s="69"/>
      <c r="C317" s="70" t="s">
        <v>223</v>
      </c>
      <c r="D317" s="70" t="s">
        <v>599</v>
      </c>
      <c r="E317" s="71" t="s">
        <v>601</v>
      </c>
      <c r="F317" s="72" t="s">
        <v>109</v>
      </c>
      <c r="G317" s="73"/>
      <c r="H317" s="74" t="s">
        <v>109</v>
      </c>
      <c r="I317" s="72" t="s">
        <v>6</v>
      </c>
      <c r="J317" s="73" t="s">
        <v>6</v>
      </c>
      <c r="K317" s="75"/>
      <c r="L317" s="76"/>
      <c r="M317" s="77"/>
      <c r="N317" s="78">
        <v>22383</v>
      </c>
      <c r="O317" s="79">
        <v>23753</v>
      </c>
      <c r="P317" s="79">
        <v>24713</v>
      </c>
      <c r="Q317" s="80"/>
      <c r="R317" s="155">
        <v>0.09</v>
      </c>
      <c r="S317" s="78">
        <v>2014</v>
      </c>
      <c r="T317" s="79">
        <v>2138</v>
      </c>
      <c r="U317" s="79">
        <v>2224</v>
      </c>
      <c r="V317" s="80">
        <f t="shared" si="86"/>
        <v>0</v>
      </c>
      <c r="W317" s="82"/>
      <c r="X317" s="83"/>
      <c r="Y317" s="84" t="s">
        <v>104</v>
      </c>
      <c r="Z317" s="73" t="str">
        <f>'[1]Tier 1'!V317</f>
        <v>D</v>
      </c>
      <c r="AA317" s="73"/>
      <c r="AB317" s="73"/>
      <c r="AC317" s="73"/>
      <c r="AD317" s="74"/>
      <c r="AE317" s="78">
        <f>'[1]Tier 1'!W317</f>
        <v>2628</v>
      </c>
      <c r="AF317" s="79"/>
      <c r="AG317" s="79">
        <f>'[1]Tier 1'!X317</f>
        <v>2628</v>
      </c>
      <c r="AH317" s="79"/>
      <c r="AI317" s="79">
        <f>'[1]Tier 1'!Y317</f>
        <v>2628</v>
      </c>
      <c r="AJ317" s="79">
        <f t="shared" si="87"/>
        <v>2365.2000000000003</v>
      </c>
      <c r="AK317" s="79" t="e">
        <f>VLOOKUP(A317,#REF!,-1,FALSE)</f>
        <v>#REF!</v>
      </c>
      <c r="AL317" s="80" t="e">
        <f t="shared" si="88"/>
        <v>#REF!</v>
      </c>
      <c r="AM317" s="78">
        <f t="shared" si="97"/>
        <v>2014</v>
      </c>
      <c r="AN317" s="85">
        <f t="shared" si="98"/>
        <v>0.76600000000000001</v>
      </c>
      <c r="AO317" s="73" t="str">
        <f t="shared" si="99"/>
        <v>OK</v>
      </c>
      <c r="AP317" s="79">
        <f t="shared" si="100"/>
        <v>2138</v>
      </c>
      <c r="AQ317" s="85">
        <f t="shared" si="101"/>
        <v>0.81399999999999995</v>
      </c>
      <c r="AR317" s="73" t="str">
        <f t="shared" si="102"/>
        <v>OK</v>
      </c>
      <c r="AS317" s="79">
        <f t="shared" si="103"/>
        <v>2224</v>
      </c>
      <c r="AT317" s="85">
        <f t="shared" si="104"/>
        <v>0.84599999999999997</v>
      </c>
      <c r="AU317" s="86" t="str">
        <f t="shared" si="105"/>
        <v>OK</v>
      </c>
      <c r="AV317" s="79">
        <f t="shared" si="89"/>
        <v>0</v>
      </c>
      <c r="AW317" s="85" t="e">
        <f t="shared" si="90"/>
        <v>#REF!</v>
      </c>
      <c r="AX317" s="87" t="e">
        <f t="shared" si="91"/>
        <v>#REF!</v>
      </c>
      <c r="AY317" s="72"/>
      <c r="AZ317" s="73"/>
      <c r="BA317" s="77">
        <f t="shared" si="92"/>
        <v>0</v>
      </c>
      <c r="BB317" s="88">
        <f t="shared" si="93"/>
        <v>1</v>
      </c>
      <c r="BC317" s="89" t="e">
        <f>SUMIF(#REF!,#REF!, BB20:BB333)</f>
        <v>#REF!</v>
      </c>
      <c r="BD317" s="89">
        <f t="shared" si="94"/>
        <v>1</v>
      </c>
      <c r="BE317" s="89" t="e">
        <f>SUMIF(#REF!,#REF!, BD20:BD333)</f>
        <v>#REF!</v>
      </c>
      <c r="BF317" s="89">
        <f t="shared" si="95"/>
        <v>0</v>
      </c>
      <c r="BG317" s="89" t="e">
        <f>SUMIF(#REF!,#REF!, BF20:BF333)</f>
        <v>#REF!</v>
      </c>
      <c r="BH317" s="89" t="e">
        <f t="shared" si="96"/>
        <v>#REF!</v>
      </c>
      <c r="BI317" s="90">
        <f>SUMIF(B20:B333, B317, BH20:BH333)</f>
        <v>0</v>
      </c>
      <c r="BJ317" s="91"/>
      <c r="BK317" s="92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4"/>
    </row>
    <row r="318" spans="1:82" x14ac:dyDescent="0.3">
      <c r="A318" s="95" t="s">
        <v>602</v>
      </c>
      <c r="B318" s="96"/>
      <c r="C318" s="97" t="s">
        <v>223</v>
      </c>
      <c r="D318" s="97" t="s">
        <v>601</v>
      </c>
      <c r="E318" s="98" t="s">
        <v>603</v>
      </c>
      <c r="F318" s="99" t="s">
        <v>109</v>
      </c>
      <c r="G318" s="100"/>
      <c r="H318" s="101" t="s">
        <v>109</v>
      </c>
      <c r="I318" s="99" t="s">
        <v>6</v>
      </c>
      <c r="J318" s="100" t="s">
        <v>6</v>
      </c>
      <c r="K318" s="102"/>
      <c r="L318" s="103"/>
      <c r="M318" s="104"/>
      <c r="N318" s="105">
        <v>22383</v>
      </c>
      <c r="O318" s="106">
        <v>23753</v>
      </c>
      <c r="P318" s="106">
        <v>24713</v>
      </c>
      <c r="Q318" s="107"/>
      <c r="R318" s="156">
        <v>0.09</v>
      </c>
      <c r="S318" s="105">
        <v>2014</v>
      </c>
      <c r="T318" s="106">
        <v>2138</v>
      </c>
      <c r="U318" s="106">
        <v>2224</v>
      </c>
      <c r="V318" s="107">
        <f t="shared" si="86"/>
        <v>0</v>
      </c>
      <c r="W318" s="109"/>
      <c r="X318" s="110"/>
      <c r="Y318" s="111" t="s">
        <v>104</v>
      </c>
      <c r="Z318" s="100" t="str">
        <f>'[1]Tier 1'!V318</f>
        <v>D</v>
      </c>
      <c r="AA318" s="100"/>
      <c r="AB318" s="100"/>
      <c r="AC318" s="100"/>
      <c r="AD318" s="101"/>
      <c r="AE318" s="105">
        <f>'[1]Tier 1'!W318</f>
        <v>2628</v>
      </c>
      <c r="AF318" s="106"/>
      <c r="AG318" s="106">
        <f>'[1]Tier 1'!X318</f>
        <v>2628</v>
      </c>
      <c r="AH318" s="106"/>
      <c r="AI318" s="106">
        <f>'[1]Tier 1'!Y318</f>
        <v>2628</v>
      </c>
      <c r="AJ318" s="106">
        <f t="shared" si="87"/>
        <v>2365.2000000000003</v>
      </c>
      <c r="AK318" s="106" t="e">
        <f>VLOOKUP(A318,#REF!,-1,FALSE)</f>
        <v>#REF!</v>
      </c>
      <c r="AL318" s="107" t="e">
        <f t="shared" si="88"/>
        <v>#REF!</v>
      </c>
      <c r="AM318" s="105">
        <f t="shared" si="97"/>
        <v>2014</v>
      </c>
      <c r="AN318" s="112">
        <f t="shared" si="98"/>
        <v>0.76600000000000001</v>
      </c>
      <c r="AO318" s="100" t="str">
        <f t="shared" si="99"/>
        <v>OK</v>
      </c>
      <c r="AP318" s="106">
        <f t="shared" si="100"/>
        <v>2138</v>
      </c>
      <c r="AQ318" s="112">
        <f t="shared" si="101"/>
        <v>0.81399999999999995</v>
      </c>
      <c r="AR318" s="100" t="str">
        <f t="shared" si="102"/>
        <v>OK</v>
      </c>
      <c r="AS318" s="106">
        <f t="shared" si="103"/>
        <v>2224</v>
      </c>
      <c r="AT318" s="112">
        <f t="shared" si="104"/>
        <v>0.84599999999999997</v>
      </c>
      <c r="AU318" s="113" t="str">
        <f t="shared" si="105"/>
        <v>OK</v>
      </c>
      <c r="AV318" s="106">
        <f t="shared" si="89"/>
        <v>0</v>
      </c>
      <c r="AW318" s="112" t="e">
        <f t="shared" si="90"/>
        <v>#REF!</v>
      </c>
      <c r="AX318" s="114" t="e">
        <f t="shared" si="91"/>
        <v>#REF!</v>
      </c>
      <c r="AY318" s="99"/>
      <c r="AZ318" s="100"/>
      <c r="BA318" s="104">
        <f t="shared" si="92"/>
        <v>0</v>
      </c>
      <c r="BB318" s="115">
        <f t="shared" si="93"/>
        <v>1</v>
      </c>
      <c r="BC318" s="116" t="e">
        <f>SUMIF(#REF!,#REF!, BB20:BB333)</f>
        <v>#REF!</v>
      </c>
      <c r="BD318" s="116">
        <f t="shared" si="94"/>
        <v>1</v>
      </c>
      <c r="BE318" s="116" t="e">
        <f>SUMIF(#REF!,#REF!, BD20:BD333)</f>
        <v>#REF!</v>
      </c>
      <c r="BF318" s="116">
        <f t="shared" si="95"/>
        <v>0</v>
      </c>
      <c r="BG318" s="116" t="e">
        <f>SUMIF(#REF!,#REF!, BF20:BF333)</f>
        <v>#REF!</v>
      </c>
      <c r="BH318" s="116" t="e">
        <f t="shared" si="96"/>
        <v>#REF!</v>
      </c>
      <c r="BI318" s="117">
        <f>SUMIF(B20:B333, B318, BH20:BH333)</f>
        <v>0</v>
      </c>
      <c r="BJ318" s="118"/>
      <c r="BK318" s="92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4"/>
    </row>
    <row r="319" spans="1:82" x14ac:dyDescent="0.3">
      <c r="A319" s="68" t="s">
        <v>604</v>
      </c>
      <c r="B319" s="69"/>
      <c r="C319" s="70" t="s">
        <v>223</v>
      </c>
      <c r="D319" s="70" t="s">
        <v>603</v>
      </c>
      <c r="E319" s="71" t="s">
        <v>181</v>
      </c>
      <c r="F319" s="72" t="s">
        <v>109</v>
      </c>
      <c r="G319" s="73"/>
      <c r="H319" s="74" t="s">
        <v>103</v>
      </c>
      <c r="I319" s="72" t="s">
        <v>6</v>
      </c>
      <c r="J319" s="73" t="s">
        <v>6</v>
      </c>
      <c r="K319" s="75"/>
      <c r="L319" s="76"/>
      <c r="M319" s="77"/>
      <c r="N319" s="78">
        <v>22383</v>
      </c>
      <c r="O319" s="79">
        <v>23753</v>
      </c>
      <c r="P319" s="79">
        <v>24713</v>
      </c>
      <c r="Q319" s="80"/>
      <c r="R319" s="155">
        <v>0.09</v>
      </c>
      <c r="S319" s="78">
        <v>2014</v>
      </c>
      <c r="T319" s="79">
        <v>2138</v>
      </c>
      <c r="U319" s="79">
        <v>2224</v>
      </c>
      <c r="V319" s="80">
        <f t="shared" si="86"/>
        <v>0</v>
      </c>
      <c r="W319" s="82"/>
      <c r="X319" s="83"/>
      <c r="Y319" s="84" t="s">
        <v>104</v>
      </c>
      <c r="Z319" s="73" t="str">
        <f>'[1]Tier 1'!V319</f>
        <v>D</v>
      </c>
      <c r="AA319" s="73"/>
      <c r="AB319" s="73"/>
      <c r="AC319" s="73"/>
      <c r="AD319" s="74"/>
      <c r="AE319" s="78">
        <f>'[1]Tier 1'!W319</f>
        <v>2628</v>
      </c>
      <c r="AF319" s="79"/>
      <c r="AG319" s="79">
        <f>'[1]Tier 1'!X319</f>
        <v>2628</v>
      </c>
      <c r="AH319" s="79"/>
      <c r="AI319" s="79">
        <f>'[1]Tier 1'!Y319</f>
        <v>2628</v>
      </c>
      <c r="AJ319" s="79">
        <f t="shared" si="87"/>
        <v>2365.2000000000003</v>
      </c>
      <c r="AK319" s="79" t="e">
        <f>VLOOKUP(A319,#REF!,-1,FALSE)</f>
        <v>#REF!</v>
      </c>
      <c r="AL319" s="80" t="e">
        <f t="shared" si="88"/>
        <v>#REF!</v>
      </c>
      <c r="AM319" s="78">
        <f t="shared" si="97"/>
        <v>2014</v>
      </c>
      <c r="AN319" s="85">
        <f t="shared" si="98"/>
        <v>0.76600000000000001</v>
      </c>
      <c r="AO319" s="73" t="str">
        <f t="shared" si="99"/>
        <v>OK</v>
      </c>
      <c r="AP319" s="79">
        <f t="shared" si="100"/>
        <v>2138</v>
      </c>
      <c r="AQ319" s="85">
        <f t="shared" si="101"/>
        <v>0.81399999999999995</v>
      </c>
      <c r="AR319" s="73" t="str">
        <f t="shared" si="102"/>
        <v>OK</v>
      </c>
      <c r="AS319" s="79">
        <f t="shared" si="103"/>
        <v>2224</v>
      </c>
      <c r="AT319" s="85">
        <f t="shared" si="104"/>
        <v>0.84599999999999997</v>
      </c>
      <c r="AU319" s="86" t="str">
        <f t="shared" si="105"/>
        <v>OK</v>
      </c>
      <c r="AV319" s="79">
        <f t="shared" si="89"/>
        <v>0</v>
      </c>
      <c r="AW319" s="85" t="e">
        <f t="shared" si="90"/>
        <v>#REF!</v>
      </c>
      <c r="AX319" s="87" t="e">
        <f t="shared" si="91"/>
        <v>#REF!</v>
      </c>
      <c r="AY319" s="72"/>
      <c r="AZ319" s="73"/>
      <c r="BA319" s="77">
        <f t="shared" si="92"/>
        <v>0</v>
      </c>
      <c r="BB319" s="88">
        <f t="shared" si="93"/>
        <v>1</v>
      </c>
      <c r="BC319" s="89" t="e">
        <f>SUMIF(#REF!,#REF!, BB20:BB333)</f>
        <v>#REF!</v>
      </c>
      <c r="BD319" s="89">
        <f t="shared" si="94"/>
        <v>1</v>
      </c>
      <c r="BE319" s="89" t="e">
        <f>SUMIF(#REF!,#REF!, BD20:BD333)</f>
        <v>#REF!</v>
      </c>
      <c r="BF319" s="89">
        <f t="shared" si="95"/>
        <v>0</v>
      </c>
      <c r="BG319" s="89" t="e">
        <f>SUMIF(#REF!,#REF!, BF20:BF333)</f>
        <v>#REF!</v>
      </c>
      <c r="BH319" s="89" t="e">
        <f t="shared" si="96"/>
        <v>#REF!</v>
      </c>
      <c r="BI319" s="90">
        <f>SUMIF(B20:B333, B319, BH20:BH333)</f>
        <v>0</v>
      </c>
      <c r="BJ319" s="91"/>
      <c r="BK319" s="92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4"/>
    </row>
    <row r="320" spans="1:82" x14ac:dyDescent="0.3">
      <c r="A320" s="95" t="s">
        <v>605</v>
      </c>
      <c r="B320" s="96"/>
      <c r="C320" s="97" t="s">
        <v>606</v>
      </c>
      <c r="D320" s="97" t="s">
        <v>406</v>
      </c>
      <c r="E320" s="98" t="s">
        <v>172</v>
      </c>
      <c r="F320" s="99" t="s">
        <v>103</v>
      </c>
      <c r="G320" s="100"/>
      <c r="H320" s="101" t="s">
        <v>103</v>
      </c>
      <c r="I320" s="99" t="s">
        <v>4</v>
      </c>
      <c r="J320" s="100" t="s">
        <v>6</v>
      </c>
      <c r="K320" s="102"/>
      <c r="L320" s="103"/>
      <c r="M320" s="104"/>
      <c r="N320" s="105">
        <v>22950</v>
      </c>
      <c r="O320" s="106">
        <v>24355</v>
      </c>
      <c r="P320" s="106">
        <v>25339</v>
      </c>
      <c r="Q320" s="107"/>
      <c r="R320" s="156">
        <v>0.09</v>
      </c>
      <c r="S320" s="105">
        <v>2066</v>
      </c>
      <c r="T320" s="106">
        <v>2192</v>
      </c>
      <c r="U320" s="106">
        <v>2280</v>
      </c>
      <c r="V320" s="107">
        <f t="shared" si="86"/>
        <v>0</v>
      </c>
      <c r="W320" s="109"/>
      <c r="X320" s="110"/>
      <c r="Y320" s="111" t="s">
        <v>104</v>
      </c>
      <c r="Z320" s="100" t="str">
        <f>'[1]Tier 1'!V320</f>
        <v>D</v>
      </c>
      <c r="AA320" s="100"/>
      <c r="AB320" s="100"/>
      <c r="AC320" s="100"/>
      <c r="AD320" s="101"/>
      <c r="AE320" s="105">
        <f>'[1]Tier 1'!W320</f>
        <v>1314</v>
      </c>
      <c r="AF320" s="106"/>
      <c r="AG320" s="106">
        <f>'[1]Tier 1'!X320</f>
        <v>1314</v>
      </c>
      <c r="AH320" s="106"/>
      <c r="AI320" s="106">
        <f>'[1]Tier 1'!Y320</f>
        <v>2880</v>
      </c>
      <c r="AJ320" s="106">
        <f t="shared" si="87"/>
        <v>2592</v>
      </c>
      <c r="AK320" s="106" t="e">
        <f>VLOOKUP(A320,#REF!,-1,FALSE)</f>
        <v>#REF!</v>
      </c>
      <c r="AL320" s="107" t="e">
        <f t="shared" si="88"/>
        <v>#REF!</v>
      </c>
      <c r="AM320" s="105">
        <f t="shared" si="97"/>
        <v>2066</v>
      </c>
      <c r="AN320" s="112">
        <f t="shared" si="98"/>
        <v>1.5720000000000001</v>
      </c>
      <c r="AO320" s="100" t="str">
        <f t="shared" si="99"/>
        <v>OK</v>
      </c>
      <c r="AP320" s="106">
        <f t="shared" si="100"/>
        <v>2192</v>
      </c>
      <c r="AQ320" s="112">
        <f t="shared" si="101"/>
        <v>1.6679999999999999</v>
      </c>
      <c r="AR320" s="100" t="str">
        <f t="shared" si="102"/>
        <v>OK</v>
      </c>
      <c r="AS320" s="106">
        <f t="shared" si="103"/>
        <v>2280</v>
      </c>
      <c r="AT320" s="112">
        <f t="shared" si="104"/>
        <v>0.79200000000000004</v>
      </c>
      <c r="AU320" s="113" t="str">
        <f t="shared" si="105"/>
        <v>OK</v>
      </c>
      <c r="AV320" s="106">
        <f t="shared" si="89"/>
        <v>0</v>
      </c>
      <c r="AW320" s="112" t="e">
        <f t="shared" si="90"/>
        <v>#REF!</v>
      </c>
      <c r="AX320" s="114" t="e">
        <f t="shared" si="91"/>
        <v>#REF!</v>
      </c>
      <c r="AY320" s="99"/>
      <c r="AZ320" s="100"/>
      <c r="BA320" s="104">
        <f t="shared" si="92"/>
        <v>0</v>
      </c>
      <c r="BB320" s="115">
        <f t="shared" si="93"/>
        <v>1</v>
      </c>
      <c r="BC320" s="116" t="e">
        <f>SUMIF(#REF!,#REF!, BB20:BB333)</f>
        <v>#REF!</v>
      </c>
      <c r="BD320" s="116">
        <f t="shared" si="94"/>
        <v>1</v>
      </c>
      <c r="BE320" s="116" t="e">
        <f>SUMIF(#REF!,#REF!, BD20:BD333)</f>
        <v>#REF!</v>
      </c>
      <c r="BF320" s="116">
        <f t="shared" si="95"/>
        <v>0</v>
      </c>
      <c r="BG320" s="116" t="e">
        <f>SUMIF(#REF!,#REF!, BF20:BF333)</f>
        <v>#REF!</v>
      </c>
      <c r="BH320" s="116" t="e">
        <f t="shared" si="96"/>
        <v>#REF!</v>
      </c>
      <c r="BI320" s="117">
        <f>SUMIF(B20:B333, B320, BH20:BH333)</f>
        <v>0</v>
      </c>
      <c r="BJ320" s="118"/>
      <c r="BK320" s="92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4"/>
    </row>
    <row r="321" spans="1:82" x14ac:dyDescent="0.3">
      <c r="A321" s="68" t="s">
        <v>607</v>
      </c>
      <c r="B321" s="69"/>
      <c r="C321" s="70" t="s">
        <v>226</v>
      </c>
      <c r="D321" s="70" t="s">
        <v>172</v>
      </c>
      <c r="E321" s="71" t="s">
        <v>175</v>
      </c>
      <c r="F321" s="72" t="s">
        <v>103</v>
      </c>
      <c r="G321" s="73"/>
      <c r="H321" s="74" t="s">
        <v>103</v>
      </c>
      <c r="I321" s="72" t="s">
        <v>6</v>
      </c>
      <c r="J321" s="73" t="s">
        <v>6</v>
      </c>
      <c r="K321" s="75"/>
      <c r="L321" s="76"/>
      <c r="M321" s="77"/>
      <c r="N321" s="78">
        <v>953</v>
      </c>
      <c r="O321" s="79">
        <v>1012</v>
      </c>
      <c r="P321" s="79">
        <v>1053</v>
      </c>
      <c r="Q321" s="80"/>
      <c r="R321" s="155">
        <v>0.09</v>
      </c>
      <c r="S321" s="78">
        <v>86</v>
      </c>
      <c r="T321" s="79">
        <v>91</v>
      </c>
      <c r="U321" s="79">
        <v>95</v>
      </c>
      <c r="V321" s="80">
        <f t="shared" si="86"/>
        <v>0</v>
      </c>
      <c r="W321" s="82"/>
      <c r="X321" s="83"/>
      <c r="Y321" s="84" t="s">
        <v>104</v>
      </c>
      <c r="Z321" s="73" t="str">
        <f>'[1]Tier 1'!V321</f>
        <v>D</v>
      </c>
      <c r="AA321" s="73"/>
      <c r="AB321" s="73"/>
      <c r="AC321" s="73"/>
      <c r="AD321" s="74"/>
      <c r="AE321" s="78">
        <f>'[1]Tier 1'!W321</f>
        <v>1962</v>
      </c>
      <c r="AF321" s="79"/>
      <c r="AG321" s="79">
        <f>'[1]Tier 1'!X321</f>
        <v>1962</v>
      </c>
      <c r="AH321" s="79"/>
      <c r="AI321" s="79">
        <f>'[1]Tier 1'!Y321</f>
        <v>1962</v>
      </c>
      <c r="AJ321" s="79">
        <f t="shared" si="87"/>
        <v>1765.8</v>
      </c>
      <c r="AK321" s="79" t="e">
        <f>VLOOKUP(A321,#REF!,-1,FALSE)</f>
        <v>#REF!</v>
      </c>
      <c r="AL321" s="80" t="e">
        <f t="shared" si="88"/>
        <v>#REF!</v>
      </c>
      <c r="AM321" s="78">
        <f t="shared" si="97"/>
        <v>86</v>
      </c>
      <c r="AN321" s="85">
        <f t="shared" si="98"/>
        <v>4.3999999999999997E-2</v>
      </c>
      <c r="AO321" s="73" t="str">
        <f t="shared" si="99"/>
        <v>OK</v>
      </c>
      <c r="AP321" s="79">
        <f t="shared" si="100"/>
        <v>91</v>
      </c>
      <c r="AQ321" s="85">
        <f t="shared" si="101"/>
        <v>4.5999999999999999E-2</v>
      </c>
      <c r="AR321" s="73" t="str">
        <f t="shared" si="102"/>
        <v>OK</v>
      </c>
      <c r="AS321" s="79">
        <f t="shared" si="103"/>
        <v>95</v>
      </c>
      <c r="AT321" s="85">
        <f t="shared" si="104"/>
        <v>4.8000000000000001E-2</v>
      </c>
      <c r="AU321" s="86" t="str">
        <f t="shared" si="105"/>
        <v>OK</v>
      </c>
      <c r="AV321" s="79">
        <f t="shared" si="89"/>
        <v>0</v>
      </c>
      <c r="AW321" s="85" t="e">
        <f t="shared" si="90"/>
        <v>#REF!</v>
      </c>
      <c r="AX321" s="87" t="e">
        <f t="shared" si="91"/>
        <v>#REF!</v>
      </c>
      <c r="AY321" s="72"/>
      <c r="AZ321" s="73"/>
      <c r="BA321" s="77">
        <f t="shared" si="92"/>
        <v>0</v>
      </c>
      <c r="BB321" s="88">
        <f t="shared" si="93"/>
        <v>1</v>
      </c>
      <c r="BC321" s="89" t="e">
        <f>SUMIF(#REF!,#REF!, BB20:BB333)</f>
        <v>#REF!</v>
      </c>
      <c r="BD321" s="89">
        <f t="shared" si="94"/>
        <v>1</v>
      </c>
      <c r="BE321" s="89" t="e">
        <f>SUMIF(#REF!,#REF!, BD20:BD333)</f>
        <v>#REF!</v>
      </c>
      <c r="BF321" s="89">
        <f t="shared" si="95"/>
        <v>0</v>
      </c>
      <c r="BG321" s="89" t="e">
        <f>SUMIF(#REF!,#REF!, BF20:BF333)</f>
        <v>#REF!</v>
      </c>
      <c r="BH321" s="89" t="e">
        <f t="shared" si="96"/>
        <v>#REF!</v>
      </c>
      <c r="BI321" s="90">
        <f>SUMIF(B20:B333, B321, BH20:BH333)</f>
        <v>0</v>
      </c>
      <c r="BJ321" s="91"/>
      <c r="BK321" s="92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4"/>
    </row>
    <row r="322" spans="1:82" x14ac:dyDescent="0.3">
      <c r="A322" s="95" t="s">
        <v>608</v>
      </c>
      <c r="B322" s="96"/>
      <c r="C322" s="97" t="s">
        <v>106</v>
      </c>
      <c r="D322" s="97" t="s">
        <v>102</v>
      </c>
      <c r="E322" s="98" t="s">
        <v>609</v>
      </c>
      <c r="F322" s="99" t="s">
        <v>103</v>
      </c>
      <c r="G322" s="100"/>
      <c r="H322" s="101" t="s">
        <v>103</v>
      </c>
      <c r="I322" s="99" t="s">
        <v>6</v>
      </c>
      <c r="J322" s="100" t="s">
        <v>6</v>
      </c>
      <c r="K322" s="102"/>
      <c r="L322" s="103"/>
      <c r="M322" s="104"/>
      <c r="N322" s="105">
        <v>1213</v>
      </c>
      <c r="O322" s="106">
        <v>1288</v>
      </c>
      <c r="P322" s="106">
        <v>1340</v>
      </c>
      <c r="Q322" s="107"/>
      <c r="R322" s="156">
        <v>0.09</v>
      </c>
      <c r="S322" s="105">
        <v>109</v>
      </c>
      <c r="T322" s="106">
        <v>116</v>
      </c>
      <c r="U322" s="106">
        <v>121</v>
      </c>
      <c r="V322" s="107">
        <f t="shared" si="86"/>
        <v>0</v>
      </c>
      <c r="W322" s="109"/>
      <c r="X322" s="110"/>
      <c r="Y322" s="111" t="s">
        <v>104</v>
      </c>
      <c r="Z322" s="100" t="str">
        <f>'[1]Tier 1'!V322</f>
        <v>D</v>
      </c>
      <c r="AA322" s="100"/>
      <c r="AB322" s="100"/>
      <c r="AC322" s="100"/>
      <c r="AD322" s="101"/>
      <c r="AE322" s="105">
        <f>'[1]Tier 1'!W322</f>
        <v>1818</v>
      </c>
      <c r="AF322" s="106"/>
      <c r="AG322" s="106">
        <f>'[1]Tier 1'!X322</f>
        <v>1818</v>
      </c>
      <c r="AH322" s="106"/>
      <c r="AI322" s="106">
        <f>'[1]Tier 1'!Y322</f>
        <v>1818</v>
      </c>
      <c r="AJ322" s="106">
        <f t="shared" si="87"/>
        <v>1636.2</v>
      </c>
      <c r="AK322" s="106" t="e">
        <f>VLOOKUP(A322,#REF!,-1,FALSE)</f>
        <v>#REF!</v>
      </c>
      <c r="AL322" s="107" t="e">
        <f t="shared" si="88"/>
        <v>#REF!</v>
      </c>
      <c r="AM322" s="105">
        <f t="shared" si="97"/>
        <v>109</v>
      </c>
      <c r="AN322" s="112">
        <f t="shared" si="98"/>
        <v>0.06</v>
      </c>
      <c r="AO322" s="100" t="str">
        <f t="shared" si="99"/>
        <v>OK</v>
      </c>
      <c r="AP322" s="106">
        <f t="shared" si="100"/>
        <v>116</v>
      </c>
      <c r="AQ322" s="112">
        <f t="shared" si="101"/>
        <v>6.4000000000000001E-2</v>
      </c>
      <c r="AR322" s="100" t="str">
        <f t="shared" si="102"/>
        <v>OK</v>
      </c>
      <c r="AS322" s="106">
        <f t="shared" si="103"/>
        <v>121</v>
      </c>
      <c r="AT322" s="112">
        <f t="shared" si="104"/>
        <v>6.7000000000000004E-2</v>
      </c>
      <c r="AU322" s="113" t="str">
        <f t="shared" si="105"/>
        <v>OK</v>
      </c>
      <c r="AV322" s="106">
        <f t="shared" si="89"/>
        <v>0</v>
      </c>
      <c r="AW322" s="112" t="e">
        <f t="shared" si="90"/>
        <v>#REF!</v>
      </c>
      <c r="AX322" s="114" t="e">
        <f t="shared" si="91"/>
        <v>#REF!</v>
      </c>
      <c r="AY322" s="99"/>
      <c r="AZ322" s="100"/>
      <c r="BA322" s="104">
        <f t="shared" si="92"/>
        <v>0</v>
      </c>
      <c r="BB322" s="115">
        <f t="shared" si="93"/>
        <v>1</v>
      </c>
      <c r="BC322" s="116" t="e">
        <f>SUMIF(#REF!,#REF!, BB20:BB333)</f>
        <v>#REF!</v>
      </c>
      <c r="BD322" s="116">
        <f t="shared" si="94"/>
        <v>1</v>
      </c>
      <c r="BE322" s="116" t="e">
        <f>SUMIF(#REF!,#REF!, BD20:BD333)</f>
        <v>#REF!</v>
      </c>
      <c r="BF322" s="116">
        <f t="shared" si="95"/>
        <v>0</v>
      </c>
      <c r="BG322" s="116" t="e">
        <f>SUMIF(#REF!,#REF!, BF20:BF333)</f>
        <v>#REF!</v>
      </c>
      <c r="BH322" s="116" t="e">
        <f t="shared" si="96"/>
        <v>#REF!</v>
      </c>
      <c r="BI322" s="117">
        <f>SUMIF(B20:B333, B322, BH20:BH333)</f>
        <v>0</v>
      </c>
      <c r="BJ322" s="118"/>
      <c r="BK322" s="92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4"/>
    </row>
    <row r="323" spans="1:82" x14ac:dyDescent="0.3">
      <c r="A323" s="68" t="s">
        <v>610</v>
      </c>
      <c r="B323" s="69"/>
      <c r="C323" s="70" t="s">
        <v>106</v>
      </c>
      <c r="D323" s="70" t="s">
        <v>609</v>
      </c>
      <c r="E323" s="71" t="s">
        <v>100</v>
      </c>
      <c r="F323" s="72" t="s">
        <v>103</v>
      </c>
      <c r="G323" s="73"/>
      <c r="H323" s="74" t="s">
        <v>103</v>
      </c>
      <c r="I323" s="72" t="s">
        <v>6</v>
      </c>
      <c r="J323" s="73" t="s">
        <v>6</v>
      </c>
      <c r="K323" s="75"/>
      <c r="L323" s="76"/>
      <c r="M323" s="77"/>
      <c r="N323" s="78">
        <v>1213</v>
      </c>
      <c r="O323" s="79">
        <v>1288</v>
      </c>
      <c r="P323" s="79">
        <v>1340</v>
      </c>
      <c r="Q323" s="80"/>
      <c r="R323" s="155">
        <v>0.09</v>
      </c>
      <c r="S323" s="78">
        <v>109</v>
      </c>
      <c r="T323" s="79">
        <v>116</v>
      </c>
      <c r="U323" s="79">
        <v>121</v>
      </c>
      <c r="V323" s="80">
        <f t="shared" si="86"/>
        <v>0</v>
      </c>
      <c r="W323" s="82"/>
      <c r="X323" s="83"/>
      <c r="Y323" s="84" t="s">
        <v>104</v>
      </c>
      <c r="Z323" s="73" t="str">
        <f>'[1]Tier 1'!V323</f>
        <v>D</v>
      </c>
      <c r="AA323" s="73"/>
      <c r="AB323" s="73"/>
      <c r="AC323" s="73"/>
      <c r="AD323" s="74"/>
      <c r="AE323" s="78">
        <f>'[1]Tier 1'!W323</f>
        <v>1818</v>
      </c>
      <c r="AF323" s="79"/>
      <c r="AG323" s="79">
        <f>'[1]Tier 1'!X323</f>
        <v>1818</v>
      </c>
      <c r="AH323" s="79"/>
      <c r="AI323" s="79">
        <f>'[1]Tier 1'!Y323</f>
        <v>1818</v>
      </c>
      <c r="AJ323" s="79">
        <f t="shared" si="87"/>
        <v>1636.2</v>
      </c>
      <c r="AK323" s="79" t="e">
        <f>VLOOKUP(A323,#REF!,-1,FALSE)</f>
        <v>#REF!</v>
      </c>
      <c r="AL323" s="80" t="e">
        <f t="shared" si="88"/>
        <v>#REF!</v>
      </c>
      <c r="AM323" s="78">
        <f t="shared" si="97"/>
        <v>109</v>
      </c>
      <c r="AN323" s="85">
        <f t="shared" si="98"/>
        <v>0.06</v>
      </c>
      <c r="AO323" s="73" t="str">
        <f t="shared" si="99"/>
        <v>OK</v>
      </c>
      <c r="AP323" s="79">
        <f t="shared" si="100"/>
        <v>116</v>
      </c>
      <c r="AQ323" s="85">
        <f t="shared" si="101"/>
        <v>6.4000000000000001E-2</v>
      </c>
      <c r="AR323" s="73" t="str">
        <f t="shared" si="102"/>
        <v>OK</v>
      </c>
      <c r="AS323" s="79">
        <f t="shared" si="103"/>
        <v>121</v>
      </c>
      <c r="AT323" s="85">
        <f t="shared" si="104"/>
        <v>6.7000000000000004E-2</v>
      </c>
      <c r="AU323" s="86" t="str">
        <f t="shared" si="105"/>
        <v>OK</v>
      </c>
      <c r="AV323" s="79">
        <f t="shared" si="89"/>
        <v>0</v>
      </c>
      <c r="AW323" s="85" t="e">
        <f t="shared" si="90"/>
        <v>#REF!</v>
      </c>
      <c r="AX323" s="87" t="e">
        <f t="shared" si="91"/>
        <v>#REF!</v>
      </c>
      <c r="AY323" s="72"/>
      <c r="AZ323" s="73"/>
      <c r="BA323" s="77">
        <f t="shared" si="92"/>
        <v>0</v>
      </c>
      <c r="BB323" s="88">
        <f t="shared" si="93"/>
        <v>1</v>
      </c>
      <c r="BC323" s="89" t="e">
        <f>SUMIF(#REF!,#REF!, BB20:BB333)</f>
        <v>#REF!</v>
      </c>
      <c r="BD323" s="89">
        <f t="shared" si="94"/>
        <v>1</v>
      </c>
      <c r="BE323" s="89" t="e">
        <f>SUMIF(#REF!,#REF!, BD20:BD333)</f>
        <v>#REF!</v>
      </c>
      <c r="BF323" s="89">
        <f t="shared" si="95"/>
        <v>0</v>
      </c>
      <c r="BG323" s="89" t="e">
        <f>SUMIF(#REF!,#REF!, BF20:BF333)</f>
        <v>#REF!</v>
      </c>
      <c r="BH323" s="89" t="e">
        <f t="shared" si="96"/>
        <v>#REF!</v>
      </c>
      <c r="BI323" s="90">
        <f>SUMIF(B20:B333, B323, BH20:BH333)</f>
        <v>0</v>
      </c>
      <c r="BJ323" s="91"/>
      <c r="BK323" s="92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4"/>
    </row>
    <row r="324" spans="1:82" x14ac:dyDescent="0.3">
      <c r="A324" s="95" t="s">
        <v>611</v>
      </c>
      <c r="B324" s="96"/>
      <c r="C324" s="97" t="s">
        <v>291</v>
      </c>
      <c r="D324" s="97" t="s">
        <v>111</v>
      </c>
      <c r="E324" s="98" t="s">
        <v>278</v>
      </c>
      <c r="F324" s="99" t="s">
        <v>103</v>
      </c>
      <c r="G324" s="100"/>
      <c r="H324" s="101" t="s">
        <v>103</v>
      </c>
      <c r="I324" s="99" t="s">
        <v>6</v>
      </c>
      <c r="J324" s="100" t="s">
        <v>6</v>
      </c>
      <c r="K324" s="102"/>
      <c r="L324" s="103"/>
      <c r="M324" s="104"/>
      <c r="N324" s="105">
        <v>25447</v>
      </c>
      <c r="O324" s="106">
        <v>26956</v>
      </c>
      <c r="P324" s="106">
        <v>27962</v>
      </c>
      <c r="Q324" s="107"/>
      <c r="R324" s="156">
        <v>0.09</v>
      </c>
      <c r="S324" s="105">
        <v>2290</v>
      </c>
      <c r="T324" s="106">
        <v>2426</v>
      </c>
      <c r="U324" s="106">
        <v>2517</v>
      </c>
      <c r="V324" s="107">
        <f t="shared" si="86"/>
        <v>0</v>
      </c>
      <c r="W324" s="109"/>
      <c r="X324" s="110"/>
      <c r="Y324" s="111" t="s">
        <v>104</v>
      </c>
      <c r="Z324" s="100" t="str">
        <f>'[1]Tier 1'!V324</f>
        <v>D</v>
      </c>
      <c r="AA324" s="100"/>
      <c r="AB324" s="100"/>
      <c r="AC324" s="100"/>
      <c r="AD324" s="101"/>
      <c r="AE324" s="105">
        <f>'[1]Tier 1'!W324</f>
        <v>1197</v>
      </c>
      <c r="AF324" s="106"/>
      <c r="AG324" s="106">
        <f>'[1]Tier 1'!X324</f>
        <v>1197</v>
      </c>
      <c r="AH324" s="106"/>
      <c r="AI324" s="106">
        <f>'[1]Tier 1'!Y324</f>
        <v>1197</v>
      </c>
      <c r="AJ324" s="106">
        <f t="shared" si="87"/>
        <v>1077.3</v>
      </c>
      <c r="AK324" s="106" t="e">
        <f>VLOOKUP(A324,#REF!,-1,FALSE)</f>
        <v>#REF!</v>
      </c>
      <c r="AL324" s="107" t="e">
        <f t="shared" si="88"/>
        <v>#REF!</v>
      </c>
      <c r="AM324" s="105">
        <f t="shared" si="97"/>
        <v>2290</v>
      </c>
      <c r="AN324" s="112">
        <f t="shared" si="98"/>
        <v>1.913</v>
      </c>
      <c r="AO324" s="100" t="str">
        <f t="shared" si="99"/>
        <v>OK</v>
      </c>
      <c r="AP324" s="106">
        <f t="shared" si="100"/>
        <v>2426</v>
      </c>
      <c r="AQ324" s="112">
        <f t="shared" si="101"/>
        <v>2.0270000000000001</v>
      </c>
      <c r="AR324" s="100" t="str">
        <f t="shared" si="102"/>
        <v>OK</v>
      </c>
      <c r="AS324" s="106">
        <f t="shared" si="103"/>
        <v>2517</v>
      </c>
      <c r="AT324" s="112">
        <f t="shared" si="104"/>
        <v>2.1030000000000002</v>
      </c>
      <c r="AU324" s="113" t="str">
        <f t="shared" si="105"/>
        <v>OK</v>
      </c>
      <c r="AV324" s="106">
        <f t="shared" si="89"/>
        <v>0</v>
      </c>
      <c r="AW324" s="112" t="e">
        <f t="shared" si="90"/>
        <v>#REF!</v>
      </c>
      <c r="AX324" s="114" t="e">
        <f t="shared" si="91"/>
        <v>#REF!</v>
      </c>
      <c r="AY324" s="99"/>
      <c r="AZ324" s="100"/>
      <c r="BA324" s="104">
        <f t="shared" si="92"/>
        <v>0</v>
      </c>
      <c r="BB324" s="115">
        <f t="shared" si="93"/>
        <v>1</v>
      </c>
      <c r="BC324" s="116" t="e">
        <f>SUMIF(#REF!,#REF!, BB20:BB333)</f>
        <v>#REF!</v>
      </c>
      <c r="BD324" s="116">
        <f t="shared" si="94"/>
        <v>1</v>
      </c>
      <c r="BE324" s="116" t="e">
        <f>SUMIF(#REF!,#REF!, BD20:BD333)</f>
        <v>#REF!</v>
      </c>
      <c r="BF324" s="116">
        <f t="shared" si="95"/>
        <v>1</v>
      </c>
      <c r="BG324" s="116" t="e">
        <f>SUMIF(#REF!,#REF!, BF20:BF333)</f>
        <v>#REF!</v>
      </c>
      <c r="BH324" s="116" t="e">
        <f t="shared" si="96"/>
        <v>#REF!</v>
      </c>
      <c r="BI324" s="117">
        <f>SUMIF(B20:B333, B324, BH20:BH333)</f>
        <v>0</v>
      </c>
      <c r="BJ324" s="118"/>
      <c r="BK324" s="92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4"/>
    </row>
    <row r="325" spans="1:82" x14ac:dyDescent="0.3">
      <c r="A325" s="68" t="s">
        <v>612</v>
      </c>
      <c r="B325" s="69"/>
      <c r="C325" s="70" t="s">
        <v>291</v>
      </c>
      <c r="D325" s="70" t="s">
        <v>278</v>
      </c>
      <c r="E325" s="71" t="s">
        <v>255</v>
      </c>
      <c r="F325" s="72" t="s">
        <v>103</v>
      </c>
      <c r="G325" s="73"/>
      <c r="H325" s="74" t="s">
        <v>103</v>
      </c>
      <c r="I325" s="72" t="s">
        <v>6</v>
      </c>
      <c r="J325" s="73" t="s">
        <v>6</v>
      </c>
      <c r="K325" s="75"/>
      <c r="L325" s="76"/>
      <c r="M325" s="77"/>
      <c r="N325" s="78">
        <v>5889</v>
      </c>
      <c r="O325" s="79">
        <v>6369</v>
      </c>
      <c r="P325" s="79">
        <v>6689</v>
      </c>
      <c r="Q325" s="80"/>
      <c r="R325" s="155">
        <v>0.09</v>
      </c>
      <c r="S325" s="78">
        <v>530</v>
      </c>
      <c r="T325" s="79">
        <v>573</v>
      </c>
      <c r="U325" s="79">
        <v>602</v>
      </c>
      <c r="V325" s="80">
        <f t="shared" si="86"/>
        <v>0</v>
      </c>
      <c r="W325" s="82"/>
      <c r="X325" s="83"/>
      <c r="Y325" s="84" t="s">
        <v>104</v>
      </c>
      <c r="Z325" s="73" t="str">
        <f>'[1]Tier 1'!V325</f>
        <v>D</v>
      </c>
      <c r="AA325" s="73"/>
      <c r="AB325" s="73"/>
      <c r="AC325" s="73"/>
      <c r="AD325" s="74"/>
      <c r="AE325" s="78">
        <f>'[1]Tier 1'!W325</f>
        <v>1197</v>
      </c>
      <c r="AF325" s="79"/>
      <c r="AG325" s="79">
        <f>'[1]Tier 1'!X325</f>
        <v>1197</v>
      </c>
      <c r="AH325" s="79"/>
      <c r="AI325" s="79">
        <f>'[1]Tier 1'!Y325</f>
        <v>1197</v>
      </c>
      <c r="AJ325" s="79">
        <f t="shared" si="87"/>
        <v>1077.3</v>
      </c>
      <c r="AK325" s="79" t="e">
        <f>VLOOKUP(A325,#REF!,-1,FALSE)</f>
        <v>#REF!</v>
      </c>
      <c r="AL325" s="80" t="e">
        <f t="shared" si="88"/>
        <v>#REF!</v>
      </c>
      <c r="AM325" s="78">
        <f t="shared" si="97"/>
        <v>530</v>
      </c>
      <c r="AN325" s="85">
        <f t="shared" si="98"/>
        <v>0.443</v>
      </c>
      <c r="AO325" s="73" t="str">
        <f t="shared" si="99"/>
        <v>OK</v>
      </c>
      <c r="AP325" s="79">
        <f t="shared" si="100"/>
        <v>573</v>
      </c>
      <c r="AQ325" s="85">
        <f t="shared" si="101"/>
        <v>0.47899999999999998</v>
      </c>
      <c r="AR325" s="73" t="str">
        <f t="shared" si="102"/>
        <v>OK</v>
      </c>
      <c r="AS325" s="79">
        <f t="shared" si="103"/>
        <v>602</v>
      </c>
      <c r="AT325" s="85">
        <f t="shared" si="104"/>
        <v>0.503</v>
      </c>
      <c r="AU325" s="86" t="str">
        <f t="shared" si="105"/>
        <v>OK</v>
      </c>
      <c r="AV325" s="79">
        <f t="shared" si="89"/>
        <v>0</v>
      </c>
      <c r="AW325" s="85" t="e">
        <f t="shared" si="90"/>
        <v>#REF!</v>
      </c>
      <c r="AX325" s="87" t="e">
        <f t="shared" si="91"/>
        <v>#REF!</v>
      </c>
      <c r="AY325" s="72"/>
      <c r="AZ325" s="73"/>
      <c r="BA325" s="77">
        <f t="shared" si="92"/>
        <v>0</v>
      </c>
      <c r="BB325" s="88">
        <f t="shared" si="93"/>
        <v>1</v>
      </c>
      <c r="BC325" s="89" t="e">
        <f>SUMIF(#REF!,#REF!, BB20:BB333)</f>
        <v>#REF!</v>
      </c>
      <c r="BD325" s="89">
        <f t="shared" si="94"/>
        <v>1</v>
      </c>
      <c r="BE325" s="89" t="e">
        <f>SUMIF(#REF!,#REF!, BD20:BD333)</f>
        <v>#REF!</v>
      </c>
      <c r="BF325" s="89">
        <f t="shared" si="95"/>
        <v>0</v>
      </c>
      <c r="BG325" s="89" t="e">
        <f>SUMIF(#REF!,#REF!, BF20:BF333)</f>
        <v>#REF!</v>
      </c>
      <c r="BH325" s="89" t="e">
        <f t="shared" si="96"/>
        <v>#REF!</v>
      </c>
      <c r="BI325" s="90">
        <f>SUMIF(B20:B333, B325, BH20:BH333)</f>
        <v>0</v>
      </c>
      <c r="BJ325" s="91"/>
      <c r="BK325" s="92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4"/>
    </row>
    <row r="326" spans="1:82" x14ac:dyDescent="0.3">
      <c r="A326" s="95" t="s">
        <v>613</v>
      </c>
      <c r="B326" s="96"/>
      <c r="C326" s="97" t="s">
        <v>185</v>
      </c>
      <c r="D326" s="97" t="s">
        <v>228</v>
      </c>
      <c r="E326" s="98" t="s">
        <v>232</v>
      </c>
      <c r="F326" s="99" t="s">
        <v>103</v>
      </c>
      <c r="G326" s="100"/>
      <c r="H326" s="101" t="s">
        <v>103</v>
      </c>
      <c r="I326" s="99" t="s">
        <v>6</v>
      </c>
      <c r="J326" s="100" t="s">
        <v>6</v>
      </c>
      <c r="K326" s="102"/>
      <c r="L326" s="103"/>
      <c r="M326" s="104"/>
      <c r="N326" s="105">
        <v>3106</v>
      </c>
      <c r="O326" s="106">
        <v>3356</v>
      </c>
      <c r="P326" s="106">
        <v>3522</v>
      </c>
      <c r="Q326" s="107"/>
      <c r="R326" s="156">
        <v>0.09</v>
      </c>
      <c r="S326" s="105">
        <v>279</v>
      </c>
      <c r="T326" s="106">
        <v>302</v>
      </c>
      <c r="U326" s="106">
        <v>317</v>
      </c>
      <c r="V326" s="107">
        <f t="shared" si="86"/>
        <v>0</v>
      </c>
      <c r="W326" s="109"/>
      <c r="X326" s="110"/>
      <c r="Y326" s="111" t="s">
        <v>104</v>
      </c>
      <c r="Z326" s="100" t="str">
        <f>'[1]Tier 1'!V326</f>
        <v>D</v>
      </c>
      <c r="AA326" s="100"/>
      <c r="AB326" s="100"/>
      <c r="AC326" s="100"/>
      <c r="AD326" s="101"/>
      <c r="AE326" s="105">
        <f>'[1]Tier 1'!W326</f>
        <v>1818</v>
      </c>
      <c r="AF326" s="106"/>
      <c r="AG326" s="106">
        <f>'[1]Tier 1'!X326</f>
        <v>1818</v>
      </c>
      <c r="AH326" s="106"/>
      <c r="AI326" s="106">
        <f>'[1]Tier 1'!Y326</f>
        <v>1818</v>
      </c>
      <c r="AJ326" s="106">
        <f t="shared" si="87"/>
        <v>1636.2</v>
      </c>
      <c r="AK326" s="106" t="e">
        <f>VLOOKUP(A326,#REF!,-1,FALSE)</f>
        <v>#REF!</v>
      </c>
      <c r="AL326" s="107" t="e">
        <f t="shared" si="88"/>
        <v>#REF!</v>
      </c>
      <c r="AM326" s="105">
        <f t="shared" si="97"/>
        <v>279</v>
      </c>
      <c r="AN326" s="112">
        <f t="shared" si="98"/>
        <v>0.153</v>
      </c>
      <c r="AO326" s="100" t="str">
        <f t="shared" si="99"/>
        <v>OK</v>
      </c>
      <c r="AP326" s="106">
        <f t="shared" si="100"/>
        <v>302</v>
      </c>
      <c r="AQ326" s="112">
        <f t="shared" si="101"/>
        <v>0.16600000000000001</v>
      </c>
      <c r="AR326" s="100" t="str">
        <f t="shared" si="102"/>
        <v>OK</v>
      </c>
      <c r="AS326" s="106">
        <f t="shared" si="103"/>
        <v>317</v>
      </c>
      <c r="AT326" s="112">
        <f t="shared" si="104"/>
        <v>0.17399999999999999</v>
      </c>
      <c r="AU326" s="113" t="str">
        <f t="shared" si="105"/>
        <v>OK</v>
      </c>
      <c r="AV326" s="106">
        <f t="shared" si="89"/>
        <v>0</v>
      </c>
      <c r="AW326" s="112" t="e">
        <f t="shared" si="90"/>
        <v>#REF!</v>
      </c>
      <c r="AX326" s="114" t="e">
        <f t="shared" si="91"/>
        <v>#REF!</v>
      </c>
      <c r="AY326" s="99"/>
      <c r="AZ326" s="100"/>
      <c r="BA326" s="104">
        <f t="shared" si="92"/>
        <v>0</v>
      </c>
      <c r="BB326" s="115">
        <f t="shared" si="93"/>
        <v>1</v>
      </c>
      <c r="BC326" s="116" t="e">
        <f>SUMIF(#REF!,#REF!, BB20:BB333)</f>
        <v>#REF!</v>
      </c>
      <c r="BD326" s="116">
        <f t="shared" si="94"/>
        <v>1</v>
      </c>
      <c r="BE326" s="116" t="e">
        <f>SUMIF(#REF!,#REF!, BD20:BD333)</f>
        <v>#REF!</v>
      </c>
      <c r="BF326" s="116">
        <f t="shared" si="95"/>
        <v>0</v>
      </c>
      <c r="BG326" s="116" t="e">
        <f>SUMIF(#REF!,#REF!, BF20:BF333)</f>
        <v>#REF!</v>
      </c>
      <c r="BH326" s="116" t="e">
        <f t="shared" si="96"/>
        <v>#REF!</v>
      </c>
      <c r="BI326" s="117">
        <f>SUMIF(B20:B333, B326, BH20:BH333)</f>
        <v>0</v>
      </c>
      <c r="BJ326" s="118"/>
      <c r="BK326" s="92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4"/>
    </row>
    <row r="327" spans="1:82" x14ac:dyDescent="0.3">
      <c r="A327" s="68" t="s">
        <v>614</v>
      </c>
      <c r="B327" s="69"/>
      <c r="C327" s="70" t="s">
        <v>615</v>
      </c>
      <c r="D327" s="70" t="s">
        <v>172</v>
      </c>
      <c r="E327" s="71" t="s">
        <v>616</v>
      </c>
      <c r="F327" s="72" t="s">
        <v>103</v>
      </c>
      <c r="G327" s="73"/>
      <c r="H327" s="74" t="s">
        <v>103</v>
      </c>
      <c r="I327" s="72" t="s">
        <v>6</v>
      </c>
      <c r="J327" s="73" t="s">
        <v>6</v>
      </c>
      <c r="K327" s="75"/>
      <c r="L327" s="76"/>
      <c r="M327" s="77"/>
      <c r="N327" s="78">
        <v>1204</v>
      </c>
      <c r="O327" s="79">
        <v>1316</v>
      </c>
      <c r="P327" s="79">
        <v>1391</v>
      </c>
      <c r="Q327" s="80"/>
      <c r="R327" s="155">
        <v>0.09</v>
      </c>
      <c r="S327" s="78">
        <v>108</v>
      </c>
      <c r="T327" s="79">
        <v>118</v>
      </c>
      <c r="U327" s="79">
        <v>125</v>
      </c>
      <c r="V327" s="80">
        <f t="shared" si="86"/>
        <v>0</v>
      </c>
      <c r="W327" s="82"/>
      <c r="X327" s="83"/>
      <c r="Y327" s="84" t="s">
        <v>104</v>
      </c>
      <c r="Z327" s="73" t="str">
        <f>'[1]Tier 1'!V327</f>
        <v>D</v>
      </c>
      <c r="AA327" s="73"/>
      <c r="AB327" s="73"/>
      <c r="AC327" s="73"/>
      <c r="AD327" s="74"/>
      <c r="AE327" s="78">
        <f>'[1]Tier 1'!W327</f>
        <v>1899</v>
      </c>
      <c r="AF327" s="79"/>
      <c r="AG327" s="79">
        <f>'[1]Tier 1'!X327</f>
        <v>1899</v>
      </c>
      <c r="AH327" s="79"/>
      <c r="AI327" s="79">
        <f>'[1]Tier 1'!Y327</f>
        <v>1899</v>
      </c>
      <c r="AJ327" s="79">
        <f t="shared" si="87"/>
        <v>1709.1000000000001</v>
      </c>
      <c r="AK327" s="79" t="e">
        <f>VLOOKUP(A327,#REF!,-1,FALSE)</f>
        <v>#REF!</v>
      </c>
      <c r="AL327" s="80" t="e">
        <f t="shared" si="88"/>
        <v>#REF!</v>
      </c>
      <c r="AM327" s="78">
        <f t="shared" si="97"/>
        <v>108</v>
      </c>
      <c r="AN327" s="85">
        <f t="shared" si="98"/>
        <v>5.7000000000000002E-2</v>
      </c>
      <c r="AO327" s="73" t="str">
        <f t="shared" si="99"/>
        <v>OK</v>
      </c>
      <c r="AP327" s="79">
        <f t="shared" si="100"/>
        <v>118</v>
      </c>
      <c r="AQ327" s="85">
        <f t="shared" si="101"/>
        <v>6.2E-2</v>
      </c>
      <c r="AR327" s="73" t="str">
        <f t="shared" si="102"/>
        <v>OK</v>
      </c>
      <c r="AS327" s="79">
        <f t="shared" si="103"/>
        <v>125</v>
      </c>
      <c r="AT327" s="85">
        <f t="shared" si="104"/>
        <v>6.6000000000000003E-2</v>
      </c>
      <c r="AU327" s="86" t="str">
        <f t="shared" si="105"/>
        <v>OK</v>
      </c>
      <c r="AV327" s="79">
        <f t="shared" si="89"/>
        <v>0</v>
      </c>
      <c r="AW327" s="85" t="e">
        <f t="shared" si="90"/>
        <v>#REF!</v>
      </c>
      <c r="AX327" s="87" t="e">
        <f t="shared" si="91"/>
        <v>#REF!</v>
      </c>
      <c r="AY327" s="72"/>
      <c r="AZ327" s="73"/>
      <c r="BA327" s="77">
        <f t="shared" si="92"/>
        <v>0</v>
      </c>
      <c r="BB327" s="88">
        <f t="shared" si="93"/>
        <v>1</v>
      </c>
      <c r="BC327" s="89" t="e">
        <f>SUMIF(#REF!,#REF!, BB20:BB333)</f>
        <v>#REF!</v>
      </c>
      <c r="BD327" s="89">
        <f t="shared" si="94"/>
        <v>1</v>
      </c>
      <c r="BE327" s="89" t="e">
        <f>SUMIF(#REF!,#REF!, BD20:BD333)</f>
        <v>#REF!</v>
      </c>
      <c r="BF327" s="89">
        <f t="shared" si="95"/>
        <v>0</v>
      </c>
      <c r="BG327" s="89" t="e">
        <f>SUMIF(#REF!,#REF!, BF20:BF333)</f>
        <v>#REF!</v>
      </c>
      <c r="BH327" s="89" t="e">
        <f t="shared" si="96"/>
        <v>#REF!</v>
      </c>
      <c r="BI327" s="90">
        <f>SUMIF(B20:B333, B327, BH20:BH333)</f>
        <v>0</v>
      </c>
      <c r="BJ327" s="91"/>
      <c r="BK327" s="92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4"/>
    </row>
    <row r="328" spans="1:82" x14ac:dyDescent="0.3">
      <c r="A328" s="95" t="s">
        <v>617</v>
      </c>
      <c r="B328" s="96"/>
      <c r="C328" s="97" t="s">
        <v>615</v>
      </c>
      <c r="D328" s="97" t="s">
        <v>616</v>
      </c>
      <c r="E328" s="98" t="s">
        <v>618</v>
      </c>
      <c r="F328" s="99" t="s">
        <v>103</v>
      </c>
      <c r="G328" s="100"/>
      <c r="H328" s="101" t="s">
        <v>103</v>
      </c>
      <c r="I328" s="99" t="s">
        <v>6</v>
      </c>
      <c r="J328" s="100" t="s">
        <v>6</v>
      </c>
      <c r="K328" s="102"/>
      <c r="L328" s="103"/>
      <c r="M328" s="104"/>
      <c r="N328" s="105">
        <v>1204</v>
      </c>
      <c r="O328" s="106">
        <v>1316</v>
      </c>
      <c r="P328" s="106">
        <v>1391</v>
      </c>
      <c r="Q328" s="107"/>
      <c r="R328" s="156">
        <v>0.09</v>
      </c>
      <c r="S328" s="105">
        <v>108</v>
      </c>
      <c r="T328" s="106">
        <v>118</v>
      </c>
      <c r="U328" s="106">
        <v>125</v>
      </c>
      <c r="V328" s="107">
        <f t="shared" si="86"/>
        <v>0</v>
      </c>
      <c r="W328" s="109"/>
      <c r="X328" s="110"/>
      <c r="Y328" s="111" t="s">
        <v>104</v>
      </c>
      <c r="Z328" s="100" t="str">
        <f>'[1]Tier 1'!V328</f>
        <v>D</v>
      </c>
      <c r="AA328" s="100"/>
      <c r="AB328" s="100"/>
      <c r="AC328" s="100"/>
      <c r="AD328" s="101"/>
      <c r="AE328" s="105">
        <f>'[1]Tier 1'!W328</f>
        <v>1899</v>
      </c>
      <c r="AF328" s="106"/>
      <c r="AG328" s="106">
        <f>'[1]Tier 1'!X328</f>
        <v>1899</v>
      </c>
      <c r="AH328" s="106"/>
      <c r="AI328" s="106">
        <f>'[1]Tier 1'!Y328</f>
        <v>1899</v>
      </c>
      <c r="AJ328" s="106">
        <f t="shared" si="87"/>
        <v>1709.1000000000001</v>
      </c>
      <c r="AK328" s="106" t="e">
        <f>VLOOKUP(A328,#REF!,-1,FALSE)</f>
        <v>#REF!</v>
      </c>
      <c r="AL328" s="107" t="e">
        <f t="shared" si="88"/>
        <v>#REF!</v>
      </c>
      <c r="AM328" s="105">
        <f t="shared" si="97"/>
        <v>108</v>
      </c>
      <c r="AN328" s="112">
        <f t="shared" si="98"/>
        <v>5.7000000000000002E-2</v>
      </c>
      <c r="AO328" s="100" t="str">
        <f t="shared" si="99"/>
        <v>OK</v>
      </c>
      <c r="AP328" s="106">
        <f t="shared" si="100"/>
        <v>118</v>
      </c>
      <c r="AQ328" s="112">
        <f t="shared" si="101"/>
        <v>6.2E-2</v>
      </c>
      <c r="AR328" s="100" t="str">
        <f t="shared" si="102"/>
        <v>OK</v>
      </c>
      <c r="AS328" s="106">
        <f t="shared" si="103"/>
        <v>125</v>
      </c>
      <c r="AT328" s="112">
        <f t="shared" si="104"/>
        <v>6.6000000000000003E-2</v>
      </c>
      <c r="AU328" s="113" t="str">
        <f t="shared" si="105"/>
        <v>OK</v>
      </c>
      <c r="AV328" s="106">
        <f t="shared" si="89"/>
        <v>0</v>
      </c>
      <c r="AW328" s="112" t="e">
        <f t="shared" si="90"/>
        <v>#REF!</v>
      </c>
      <c r="AX328" s="114" t="e">
        <f t="shared" si="91"/>
        <v>#REF!</v>
      </c>
      <c r="AY328" s="99"/>
      <c r="AZ328" s="100"/>
      <c r="BA328" s="104">
        <f t="shared" si="92"/>
        <v>0</v>
      </c>
      <c r="BB328" s="115">
        <f t="shared" si="93"/>
        <v>1</v>
      </c>
      <c r="BC328" s="116" t="e">
        <f>SUMIF(#REF!,#REF!, BB20:BB333)</f>
        <v>#REF!</v>
      </c>
      <c r="BD328" s="116">
        <f t="shared" si="94"/>
        <v>1</v>
      </c>
      <c r="BE328" s="116" t="e">
        <f>SUMIF(#REF!,#REF!, BD20:BD333)</f>
        <v>#REF!</v>
      </c>
      <c r="BF328" s="116">
        <f t="shared" si="95"/>
        <v>0</v>
      </c>
      <c r="BG328" s="116" t="e">
        <f>SUMIF(#REF!,#REF!, BF20:BF333)</f>
        <v>#REF!</v>
      </c>
      <c r="BH328" s="116" t="e">
        <f t="shared" si="96"/>
        <v>#REF!</v>
      </c>
      <c r="BI328" s="117">
        <f>SUMIF(B20:B333, B328, BH20:BH333)</f>
        <v>0</v>
      </c>
      <c r="BJ328" s="118"/>
      <c r="BK328" s="92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4"/>
    </row>
    <row r="329" spans="1:82" x14ac:dyDescent="0.3">
      <c r="A329" s="68" t="s">
        <v>619</v>
      </c>
      <c r="B329" s="69"/>
      <c r="C329" s="70" t="s">
        <v>446</v>
      </c>
      <c r="D329" s="70" t="s">
        <v>112</v>
      </c>
      <c r="E329" s="71" t="s">
        <v>117</v>
      </c>
      <c r="F329" s="72" t="s">
        <v>103</v>
      </c>
      <c r="G329" s="73"/>
      <c r="H329" s="74" t="s">
        <v>103</v>
      </c>
      <c r="I329" s="72" t="s">
        <v>6</v>
      </c>
      <c r="J329" s="73" t="s">
        <v>6</v>
      </c>
      <c r="K329" s="75"/>
      <c r="L329" s="76"/>
      <c r="M329" s="77"/>
      <c r="N329" s="78">
        <v>4957</v>
      </c>
      <c r="O329" s="79">
        <v>5260</v>
      </c>
      <c r="P329" s="79">
        <v>5473</v>
      </c>
      <c r="Q329" s="80"/>
      <c r="R329" s="155">
        <v>0.09</v>
      </c>
      <c r="S329" s="78">
        <v>446</v>
      </c>
      <c r="T329" s="79">
        <v>473</v>
      </c>
      <c r="U329" s="79">
        <v>493</v>
      </c>
      <c r="V329" s="80">
        <f t="shared" si="86"/>
        <v>0</v>
      </c>
      <c r="W329" s="82"/>
      <c r="X329" s="83"/>
      <c r="Y329" s="84" t="s">
        <v>104</v>
      </c>
      <c r="Z329" s="73" t="str">
        <f>'[1]Tier 1'!V329</f>
        <v>D</v>
      </c>
      <c r="AA329" s="73"/>
      <c r="AB329" s="73"/>
      <c r="AC329" s="73"/>
      <c r="AD329" s="74"/>
      <c r="AE329" s="78">
        <f>'[1]Tier 1'!W329</f>
        <v>958</v>
      </c>
      <c r="AF329" s="79"/>
      <c r="AG329" s="79">
        <f>'[1]Tier 1'!X329</f>
        <v>958</v>
      </c>
      <c r="AH329" s="79"/>
      <c r="AI329" s="79">
        <f>'[1]Tier 1'!Y329</f>
        <v>958</v>
      </c>
      <c r="AJ329" s="79">
        <f t="shared" si="87"/>
        <v>862.2</v>
      </c>
      <c r="AK329" s="79" t="e">
        <f>VLOOKUP(A329,#REF!,-1,FALSE)</f>
        <v>#REF!</v>
      </c>
      <c r="AL329" s="80" t="e">
        <f t="shared" si="88"/>
        <v>#REF!</v>
      </c>
      <c r="AM329" s="78">
        <f t="shared" si="97"/>
        <v>446</v>
      </c>
      <c r="AN329" s="85">
        <f t="shared" si="98"/>
        <v>0.46600000000000003</v>
      </c>
      <c r="AO329" s="73" t="str">
        <f t="shared" si="99"/>
        <v>OK</v>
      </c>
      <c r="AP329" s="79">
        <f t="shared" si="100"/>
        <v>473</v>
      </c>
      <c r="AQ329" s="85">
        <f t="shared" si="101"/>
        <v>0.49399999999999999</v>
      </c>
      <c r="AR329" s="73" t="str">
        <f t="shared" si="102"/>
        <v>OK</v>
      </c>
      <c r="AS329" s="79">
        <f t="shared" si="103"/>
        <v>493</v>
      </c>
      <c r="AT329" s="85">
        <f t="shared" si="104"/>
        <v>0.51500000000000001</v>
      </c>
      <c r="AU329" s="86" t="str">
        <f t="shared" si="105"/>
        <v>OK</v>
      </c>
      <c r="AV329" s="79">
        <f t="shared" si="89"/>
        <v>0</v>
      </c>
      <c r="AW329" s="85" t="e">
        <f t="shared" si="90"/>
        <v>#REF!</v>
      </c>
      <c r="AX329" s="87" t="e">
        <f t="shared" si="91"/>
        <v>#REF!</v>
      </c>
      <c r="AY329" s="72"/>
      <c r="AZ329" s="73"/>
      <c r="BA329" s="77">
        <f t="shared" si="92"/>
        <v>0</v>
      </c>
      <c r="BB329" s="88">
        <f t="shared" si="93"/>
        <v>1</v>
      </c>
      <c r="BC329" s="89" t="e">
        <f>SUMIF(#REF!,#REF!, BB20:BB333)</f>
        <v>#REF!</v>
      </c>
      <c r="BD329" s="89">
        <f t="shared" si="94"/>
        <v>1</v>
      </c>
      <c r="BE329" s="89" t="e">
        <f>SUMIF(#REF!,#REF!, BD20:BD333)</f>
        <v>#REF!</v>
      </c>
      <c r="BF329" s="89">
        <f t="shared" si="95"/>
        <v>0</v>
      </c>
      <c r="BG329" s="89" t="e">
        <f>SUMIF(#REF!,#REF!, BF20:BF333)</f>
        <v>#REF!</v>
      </c>
      <c r="BH329" s="89" t="e">
        <f t="shared" si="96"/>
        <v>#REF!</v>
      </c>
      <c r="BI329" s="90">
        <f>SUMIF(B20:B333, B329, BH20:BH333)</f>
        <v>0</v>
      </c>
      <c r="BJ329" s="91"/>
      <c r="BK329" s="92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4"/>
    </row>
    <row r="330" spans="1:82" hidden="1" x14ac:dyDescent="0.3">
      <c r="A330" s="95" t="s">
        <v>620</v>
      </c>
      <c r="B330" s="96"/>
      <c r="C330" s="97" t="s">
        <v>325</v>
      </c>
      <c r="D330" s="97" t="s">
        <v>300</v>
      </c>
      <c r="E330" s="98" t="s">
        <v>588</v>
      </c>
      <c r="F330" s="99" t="s">
        <v>103</v>
      </c>
      <c r="G330" s="100"/>
      <c r="H330" s="101" t="s">
        <v>103</v>
      </c>
      <c r="I330" s="99" t="s">
        <v>6</v>
      </c>
      <c r="J330" s="100" t="s">
        <v>6</v>
      </c>
      <c r="K330" s="102"/>
      <c r="L330" s="103"/>
      <c r="M330" s="104"/>
      <c r="N330" s="105" t="e">
        <v>#N/A</v>
      </c>
      <c r="O330" s="106" t="e">
        <v>#N/A</v>
      </c>
      <c r="P330" s="106" t="e">
        <v>#N/A</v>
      </c>
      <c r="Q330" s="107"/>
      <c r="R330" s="156">
        <v>0.09</v>
      </c>
      <c r="S330" s="105" t="e">
        <v>#N/A</v>
      </c>
      <c r="T330" s="106" t="e">
        <v>#N/A</v>
      </c>
      <c r="U330" s="106" t="e">
        <v>#N/A</v>
      </c>
      <c r="V330" s="107">
        <f t="shared" si="86"/>
        <v>0</v>
      </c>
      <c r="W330" s="109"/>
      <c r="X330" s="110"/>
      <c r="Y330" s="111" t="s">
        <v>104</v>
      </c>
      <c r="Z330" s="100" t="str">
        <f>'[1]Tier 1'!V330</f>
        <v>D</v>
      </c>
      <c r="AA330" s="100"/>
      <c r="AB330" s="100"/>
      <c r="AC330" s="100"/>
      <c r="AD330" s="101"/>
      <c r="AE330" s="105">
        <f>'[1]Tier 1'!W330</f>
        <v>1197</v>
      </c>
      <c r="AF330" s="106"/>
      <c r="AG330" s="106">
        <f>'[1]Tier 1'!X330</f>
        <v>1197</v>
      </c>
      <c r="AH330" s="106"/>
      <c r="AI330" s="106">
        <f>'[1]Tier 1'!Y330</f>
        <v>1197</v>
      </c>
      <c r="AJ330" s="106">
        <f t="shared" si="87"/>
        <v>1077.3</v>
      </c>
      <c r="AK330" s="106" t="e">
        <f>VLOOKUP(A330,#REF!,-1,FALSE)</f>
        <v>#REF!</v>
      </c>
      <c r="AL330" s="107" t="e">
        <f t="shared" si="88"/>
        <v>#REF!</v>
      </c>
      <c r="AM330" s="105" t="e">
        <f t="shared" si="97"/>
        <v>#N/A</v>
      </c>
      <c r="AN330" s="112" t="e">
        <f t="shared" si="98"/>
        <v>#N/A</v>
      </c>
      <c r="AO330" s="100" t="str">
        <f t="shared" si="99"/>
        <v>OK</v>
      </c>
      <c r="AP330" s="106" t="e">
        <f t="shared" si="100"/>
        <v>#N/A</v>
      </c>
      <c r="AQ330" s="112" t="e">
        <f t="shared" si="101"/>
        <v>#N/A</v>
      </c>
      <c r="AR330" s="100" t="str">
        <f t="shared" si="102"/>
        <v>OK</v>
      </c>
      <c r="AS330" s="106" t="e">
        <f t="shared" si="103"/>
        <v>#N/A</v>
      </c>
      <c r="AT330" s="112" t="e">
        <f t="shared" si="104"/>
        <v>#N/A</v>
      </c>
      <c r="AU330" s="113" t="str">
        <f t="shared" si="105"/>
        <v>OK</v>
      </c>
      <c r="AV330" s="106">
        <f t="shared" si="89"/>
        <v>0</v>
      </c>
      <c r="AW330" s="112" t="e">
        <f t="shared" si="90"/>
        <v>#REF!</v>
      </c>
      <c r="AX330" s="114" t="e">
        <f t="shared" si="91"/>
        <v>#REF!</v>
      </c>
      <c r="AY330" s="99"/>
      <c r="AZ330" s="100"/>
      <c r="BA330" s="104">
        <f t="shared" si="92"/>
        <v>0</v>
      </c>
      <c r="BB330" s="115" t="e">
        <f t="shared" si="93"/>
        <v>#N/A</v>
      </c>
      <c r="BC330" s="116" t="e">
        <f>SUMIF(#REF!,#REF!, BB20:BB333)</f>
        <v>#REF!</v>
      </c>
      <c r="BD330" s="116" t="e">
        <f t="shared" si="94"/>
        <v>#N/A</v>
      </c>
      <c r="BE330" s="116" t="e">
        <f>SUMIF(#REF!,#REF!, BD20:BD333)</f>
        <v>#REF!</v>
      </c>
      <c r="BF330" s="116" t="e">
        <f t="shared" si="95"/>
        <v>#N/A</v>
      </c>
      <c r="BG330" s="116" t="e">
        <f>SUMIF(#REF!,#REF!, BF20:BF333)</f>
        <v>#REF!</v>
      </c>
      <c r="BH330" s="116" t="e">
        <f t="shared" si="96"/>
        <v>#REF!</v>
      </c>
      <c r="BI330" s="117">
        <f>SUMIF(B20:B333, B330, BH20:BH333)</f>
        <v>0</v>
      </c>
      <c r="BJ330" s="118"/>
      <c r="BK330" s="92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4"/>
    </row>
    <row r="331" spans="1:82" x14ac:dyDescent="0.3">
      <c r="A331" s="68" t="s">
        <v>621</v>
      </c>
      <c r="B331" s="69"/>
      <c r="C331" s="70" t="s">
        <v>588</v>
      </c>
      <c r="D331" s="70" t="s">
        <v>101</v>
      </c>
      <c r="E331" s="71" t="s">
        <v>325</v>
      </c>
      <c r="F331" s="72" t="s">
        <v>103</v>
      </c>
      <c r="G331" s="73"/>
      <c r="H331" s="74" t="s">
        <v>103</v>
      </c>
      <c r="I331" s="72" t="s">
        <v>6</v>
      </c>
      <c r="J331" s="73" t="s">
        <v>6</v>
      </c>
      <c r="K331" s="75"/>
      <c r="L331" s="76"/>
      <c r="M331" s="77"/>
      <c r="N331" s="78">
        <v>358</v>
      </c>
      <c r="O331" s="79">
        <v>380</v>
      </c>
      <c r="P331" s="79">
        <v>395</v>
      </c>
      <c r="Q331" s="80"/>
      <c r="R331" s="155">
        <v>0.09</v>
      </c>
      <c r="S331" s="78">
        <v>32</v>
      </c>
      <c r="T331" s="79">
        <v>34</v>
      </c>
      <c r="U331" s="79">
        <v>36</v>
      </c>
      <c r="V331" s="80">
        <f t="shared" si="86"/>
        <v>0</v>
      </c>
      <c r="W331" s="82"/>
      <c r="X331" s="83"/>
      <c r="Y331" s="84" t="s">
        <v>104</v>
      </c>
      <c r="Z331" s="73" t="str">
        <f>'[1]Tier 1'!V331</f>
        <v>D</v>
      </c>
      <c r="AA331" s="73"/>
      <c r="AB331" s="73"/>
      <c r="AC331" s="73"/>
      <c r="AD331" s="74"/>
      <c r="AE331" s="78">
        <f>'[1]Tier 1'!W331</f>
        <v>1818</v>
      </c>
      <c r="AF331" s="79"/>
      <c r="AG331" s="79">
        <f>'[1]Tier 1'!X331</f>
        <v>1818</v>
      </c>
      <c r="AH331" s="79"/>
      <c r="AI331" s="79">
        <f>'[1]Tier 1'!Y331</f>
        <v>1818</v>
      </c>
      <c r="AJ331" s="79">
        <f t="shared" si="87"/>
        <v>1636.2</v>
      </c>
      <c r="AK331" s="79" t="e">
        <f>VLOOKUP(A331,#REF!,-1,FALSE)</f>
        <v>#REF!</v>
      </c>
      <c r="AL331" s="80" t="e">
        <f t="shared" si="88"/>
        <v>#REF!</v>
      </c>
      <c r="AM331" s="78">
        <f t="shared" si="97"/>
        <v>32</v>
      </c>
      <c r="AN331" s="85">
        <f t="shared" si="98"/>
        <v>1.7999999999999999E-2</v>
      </c>
      <c r="AO331" s="73" t="str">
        <f t="shared" si="99"/>
        <v>OK</v>
      </c>
      <c r="AP331" s="79">
        <f t="shared" si="100"/>
        <v>34</v>
      </c>
      <c r="AQ331" s="85">
        <f t="shared" si="101"/>
        <v>1.9E-2</v>
      </c>
      <c r="AR331" s="73" t="str">
        <f t="shared" si="102"/>
        <v>OK</v>
      </c>
      <c r="AS331" s="79">
        <f t="shared" si="103"/>
        <v>36</v>
      </c>
      <c r="AT331" s="85">
        <f t="shared" si="104"/>
        <v>0.02</v>
      </c>
      <c r="AU331" s="86" t="str">
        <f t="shared" si="105"/>
        <v>OK</v>
      </c>
      <c r="AV331" s="79">
        <f t="shared" si="89"/>
        <v>0</v>
      </c>
      <c r="AW331" s="85" t="e">
        <f t="shared" si="90"/>
        <v>#REF!</v>
      </c>
      <c r="AX331" s="87" t="e">
        <f t="shared" si="91"/>
        <v>#REF!</v>
      </c>
      <c r="AY331" s="72"/>
      <c r="AZ331" s="73"/>
      <c r="BA331" s="77">
        <f t="shared" si="92"/>
        <v>0</v>
      </c>
      <c r="BB331" s="88">
        <f t="shared" si="93"/>
        <v>1</v>
      </c>
      <c r="BC331" s="89" t="e">
        <f>SUMIF(#REF!,#REF!, BB20:BB333)</f>
        <v>#REF!</v>
      </c>
      <c r="BD331" s="89">
        <f t="shared" si="94"/>
        <v>1</v>
      </c>
      <c r="BE331" s="89" t="e">
        <f>SUMIF(#REF!,#REF!, BD20:BD333)</f>
        <v>#REF!</v>
      </c>
      <c r="BF331" s="89">
        <f t="shared" si="95"/>
        <v>0</v>
      </c>
      <c r="BG331" s="89" t="e">
        <f>SUMIF(#REF!,#REF!, BF20:BF333)</f>
        <v>#REF!</v>
      </c>
      <c r="BH331" s="89" t="e">
        <f t="shared" si="96"/>
        <v>#REF!</v>
      </c>
      <c r="BI331" s="90">
        <f>SUMIF(B20:B333, B331, BH20:BH333)</f>
        <v>0</v>
      </c>
      <c r="BJ331" s="91"/>
      <c r="BK331" s="92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4"/>
    </row>
    <row r="332" spans="1:82" x14ac:dyDescent="0.3">
      <c r="A332" s="95" t="s">
        <v>622</v>
      </c>
      <c r="B332" s="96"/>
      <c r="C332" s="97" t="s">
        <v>367</v>
      </c>
      <c r="D332" s="97" t="s">
        <v>102</v>
      </c>
      <c r="E332" s="98" t="s">
        <v>623</v>
      </c>
      <c r="F332" s="99" t="s">
        <v>103</v>
      </c>
      <c r="G332" s="100"/>
      <c r="H332" s="101" t="s">
        <v>103</v>
      </c>
      <c r="I332" s="99" t="s">
        <v>6</v>
      </c>
      <c r="J332" s="100" t="s">
        <v>6</v>
      </c>
      <c r="K332" s="102"/>
      <c r="L332" s="103"/>
      <c r="M332" s="104"/>
      <c r="N332" s="105">
        <v>392</v>
      </c>
      <c r="O332" s="106">
        <v>416</v>
      </c>
      <c r="P332" s="106">
        <v>433</v>
      </c>
      <c r="Q332" s="107"/>
      <c r="R332" s="156">
        <v>0.09</v>
      </c>
      <c r="S332" s="105">
        <v>35</v>
      </c>
      <c r="T332" s="106">
        <v>37</v>
      </c>
      <c r="U332" s="106">
        <v>39</v>
      </c>
      <c r="V332" s="107">
        <f t="shared" si="86"/>
        <v>0</v>
      </c>
      <c r="W332" s="109"/>
      <c r="X332" s="110"/>
      <c r="Y332" s="111" t="s">
        <v>104</v>
      </c>
      <c r="Z332" s="100" t="str">
        <f>'[1]Tier 1'!V332</f>
        <v>D</v>
      </c>
      <c r="AA332" s="100"/>
      <c r="AB332" s="100"/>
      <c r="AC332" s="100"/>
      <c r="AD332" s="101"/>
      <c r="AE332" s="105">
        <f>'[1]Tier 1'!W332</f>
        <v>1197</v>
      </c>
      <c r="AF332" s="106"/>
      <c r="AG332" s="106">
        <f>'[1]Tier 1'!X332</f>
        <v>1197</v>
      </c>
      <c r="AH332" s="106"/>
      <c r="AI332" s="106">
        <f>'[1]Tier 1'!Y332</f>
        <v>1197</v>
      </c>
      <c r="AJ332" s="106">
        <f t="shared" si="87"/>
        <v>1077.3</v>
      </c>
      <c r="AK332" s="106" t="e">
        <f>VLOOKUP(A332,#REF!,-1,FALSE)</f>
        <v>#REF!</v>
      </c>
      <c r="AL332" s="107" t="e">
        <f t="shared" si="88"/>
        <v>#REF!</v>
      </c>
      <c r="AM332" s="105">
        <f t="shared" si="97"/>
        <v>35</v>
      </c>
      <c r="AN332" s="112">
        <f t="shared" si="98"/>
        <v>2.9000000000000001E-2</v>
      </c>
      <c r="AO332" s="100" t="str">
        <f t="shared" si="99"/>
        <v>OK</v>
      </c>
      <c r="AP332" s="106">
        <f t="shared" si="100"/>
        <v>37</v>
      </c>
      <c r="AQ332" s="112">
        <f t="shared" si="101"/>
        <v>3.1E-2</v>
      </c>
      <c r="AR332" s="100" t="str">
        <f t="shared" si="102"/>
        <v>OK</v>
      </c>
      <c r="AS332" s="106">
        <f t="shared" si="103"/>
        <v>39</v>
      </c>
      <c r="AT332" s="112">
        <f t="shared" si="104"/>
        <v>3.3000000000000002E-2</v>
      </c>
      <c r="AU332" s="113" t="str">
        <f t="shared" si="105"/>
        <v>OK</v>
      </c>
      <c r="AV332" s="106">
        <f t="shared" si="89"/>
        <v>0</v>
      </c>
      <c r="AW332" s="112" t="e">
        <f t="shared" si="90"/>
        <v>#REF!</v>
      </c>
      <c r="AX332" s="114" t="e">
        <f t="shared" si="91"/>
        <v>#REF!</v>
      </c>
      <c r="AY332" s="99"/>
      <c r="AZ332" s="100"/>
      <c r="BA332" s="104">
        <f t="shared" si="92"/>
        <v>0</v>
      </c>
      <c r="BB332" s="115">
        <f t="shared" si="93"/>
        <v>1</v>
      </c>
      <c r="BC332" s="116" t="e">
        <f>SUMIF(#REF!,#REF!, BB20:BB333)</f>
        <v>#REF!</v>
      </c>
      <c r="BD332" s="116">
        <f t="shared" si="94"/>
        <v>1</v>
      </c>
      <c r="BE332" s="116" t="e">
        <f>SUMIF(#REF!,#REF!, BD20:BD333)</f>
        <v>#REF!</v>
      </c>
      <c r="BF332" s="116">
        <f t="shared" si="95"/>
        <v>0</v>
      </c>
      <c r="BG332" s="116" t="e">
        <f>SUMIF(#REF!,#REF!, BF20:BF333)</f>
        <v>#REF!</v>
      </c>
      <c r="BH332" s="116" t="e">
        <f t="shared" si="96"/>
        <v>#REF!</v>
      </c>
      <c r="BI332" s="117">
        <f>SUMIF(B20:B333, B332, BH20:BH333)</f>
        <v>0</v>
      </c>
      <c r="BJ332" s="118"/>
      <c r="BK332" s="92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4"/>
    </row>
    <row r="333" spans="1:82" x14ac:dyDescent="0.3">
      <c r="A333" s="68" t="s">
        <v>624</v>
      </c>
      <c r="B333" s="69"/>
      <c r="C333" s="70" t="s">
        <v>367</v>
      </c>
      <c r="D333" s="70" t="s">
        <v>623</v>
      </c>
      <c r="E333" s="71" t="s">
        <v>156</v>
      </c>
      <c r="F333" s="72" t="s">
        <v>103</v>
      </c>
      <c r="G333" s="73"/>
      <c r="H333" s="74" t="s">
        <v>103</v>
      </c>
      <c r="I333" s="72" t="s">
        <v>6</v>
      </c>
      <c r="J333" s="73" t="s">
        <v>6</v>
      </c>
      <c r="K333" s="75"/>
      <c r="L333" s="76"/>
      <c r="M333" s="77"/>
      <c r="N333" s="78">
        <v>469</v>
      </c>
      <c r="O333" s="79">
        <v>497</v>
      </c>
      <c r="P333" s="79">
        <v>517</v>
      </c>
      <c r="Q333" s="80"/>
      <c r="R333" s="155">
        <v>0.09</v>
      </c>
      <c r="S333" s="78">
        <v>42</v>
      </c>
      <c r="T333" s="79">
        <v>45</v>
      </c>
      <c r="U333" s="79">
        <v>47</v>
      </c>
      <c r="V333" s="80">
        <f t="shared" ref="V333:V352" si="106">ROUND(R333*Q333,0)</f>
        <v>0</v>
      </c>
      <c r="W333" s="82"/>
      <c r="X333" s="83"/>
      <c r="Y333" s="84" t="s">
        <v>104</v>
      </c>
      <c r="Z333" s="73" t="str">
        <f>'[1]Tier 1'!V333</f>
        <v>D</v>
      </c>
      <c r="AA333" s="73"/>
      <c r="AB333" s="73"/>
      <c r="AC333" s="73"/>
      <c r="AD333" s="74"/>
      <c r="AE333" s="78">
        <f>'[1]Tier 1'!W333</f>
        <v>1197</v>
      </c>
      <c r="AF333" s="79"/>
      <c r="AG333" s="79">
        <f>'[1]Tier 1'!X333</f>
        <v>1197</v>
      </c>
      <c r="AH333" s="79"/>
      <c r="AI333" s="79">
        <f>'[1]Tier 1'!Y333</f>
        <v>1197</v>
      </c>
      <c r="AJ333" s="79">
        <f t="shared" ref="AJ333:AJ352" si="107">AI333 * 0.9</f>
        <v>1077.3</v>
      </c>
      <c r="AK333" s="79" t="e">
        <f>VLOOKUP(A333,#REF!,-1,FALSE)</f>
        <v>#REF!</v>
      </c>
      <c r="AL333" s="80" t="e">
        <f t="shared" ref="AL333:AL352" si="108">AK333 * 0.9</f>
        <v>#REF!</v>
      </c>
      <c r="AM333" s="78">
        <f t="shared" si="97"/>
        <v>42</v>
      </c>
      <c r="AN333" s="85">
        <f t="shared" si="98"/>
        <v>3.5000000000000003E-2</v>
      </c>
      <c r="AO333" s="73" t="str">
        <f t="shared" si="99"/>
        <v>OK</v>
      </c>
      <c r="AP333" s="79">
        <f t="shared" si="100"/>
        <v>45</v>
      </c>
      <c r="AQ333" s="85">
        <f t="shared" si="101"/>
        <v>3.7999999999999999E-2</v>
      </c>
      <c r="AR333" s="73" t="str">
        <f t="shared" si="102"/>
        <v>OK</v>
      </c>
      <c r="AS333" s="79">
        <f t="shared" si="103"/>
        <v>47</v>
      </c>
      <c r="AT333" s="85">
        <f t="shared" si="104"/>
        <v>3.9E-2</v>
      </c>
      <c r="AU333" s="86" t="str">
        <f t="shared" si="105"/>
        <v>OK</v>
      </c>
      <c r="AV333" s="79">
        <f t="shared" ref="AV333:AV352" si="109">V333+W333</f>
        <v>0</v>
      </c>
      <c r="AW333" s="85" t="e">
        <f t="shared" ref="AW333:AW352" si="110">IF(AK333&gt;0, ROUND(AV333/AK333,3),0)</f>
        <v>#REF!</v>
      </c>
      <c r="AX333" s="87" t="e">
        <f t="shared" ref="AX333:AX352" si="111">IF(AND(V333=0, AV333&gt;0), "DATA1", IF(OR(AV333&gt;AL333,BI333&gt;0), IF(Y333="CONC. (ART-PLAN)", "STUDY 1", "STUDY 2"), "OK"))</f>
        <v>#REF!</v>
      </c>
      <c r="AY333" s="72"/>
      <c r="AZ333" s="73"/>
      <c r="BA333" s="77">
        <f t="shared" ref="BA333:BA352" si="112">IF(AG333&gt;0, X333/AG333, 0)</f>
        <v>0</v>
      </c>
      <c r="BB333" s="88">
        <f t="shared" ref="BB333:BB352" si="113">IF(AM333&gt;AF333,1,0)</f>
        <v>1</v>
      </c>
      <c r="BC333" s="89" t="e">
        <f>SUMIF(#REF!,#REF!, BB24:BB337)</f>
        <v>#REF!</v>
      </c>
      <c r="BD333" s="89">
        <f t="shared" ref="BD333:BD352" si="114">IF(AP333&gt;AH333,1,0)</f>
        <v>1</v>
      </c>
      <c r="BE333" s="89" t="e">
        <f>SUMIF(#REF!,#REF!, BD24:BD337)</f>
        <v>#REF!</v>
      </c>
      <c r="BF333" s="89">
        <f t="shared" ref="BF333:BF352" si="115">IF(AS333&gt;AJ333,1,0)</f>
        <v>0</v>
      </c>
      <c r="BG333" s="89" t="e">
        <f>SUMIF(#REF!,#REF!, BF24:BF337)</f>
        <v>#REF!</v>
      </c>
      <c r="BH333" s="89" t="e">
        <f t="shared" ref="BH333:BH352" si="116">IF(AV333&gt;AL333,1,0)</f>
        <v>#REF!</v>
      </c>
      <c r="BI333" s="90">
        <f t="shared" ref="BI333" si="117">SUMIF(B24:B337, B333, BH24:BH337)</f>
        <v>0</v>
      </c>
      <c r="BJ333" s="91"/>
      <c r="BK333" s="92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4"/>
    </row>
    <row r="334" spans="1:82" x14ac:dyDescent="0.3">
      <c r="A334" s="95" t="s">
        <v>625</v>
      </c>
      <c r="B334" s="96"/>
      <c r="C334" s="97" t="s">
        <v>351</v>
      </c>
      <c r="D334" s="97" t="s">
        <v>156</v>
      </c>
      <c r="E334" s="98" t="s">
        <v>168</v>
      </c>
      <c r="F334" s="99" t="s">
        <v>103</v>
      </c>
      <c r="G334" s="100"/>
      <c r="H334" s="101" t="s">
        <v>103</v>
      </c>
      <c r="I334" s="99" t="s">
        <v>6</v>
      </c>
      <c r="J334" s="100" t="s">
        <v>6</v>
      </c>
      <c r="K334" s="102"/>
      <c r="L334" s="103"/>
      <c r="M334" s="104"/>
      <c r="N334" s="105">
        <v>469</v>
      </c>
      <c r="O334" s="106">
        <v>497</v>
      </c>
      <c r="P334" s="106">
        <v>517</v>
      </c>
      <c r="Q334" s="107"/>
      <c r="R334" s="156">
        <v>0.09</v>
      </c>
      <c r="S334" s="105">
        <v>42</v>
      </c>
      <c r="T334" s="106">
        <v>45</v>
      </c>
      <c r="U334" s="106">
        <v>47</v>
      </c>
      <c r="V334" s="107">
        <f t="shared" si="106"/>
        <v>0</v>
      </c>
      <c r="W334" s="109"/>
      <c r="X334" s="110"/>
      <c r="Y334" s="111" t="s">
        <v>104</v>
      </c>
      <c r="Z334" s="100" t="str">
        <f>'[1]Tier 1'!V334</f>
        <v>D</v>
      </c>
      <c r="AA334" s="100"/>
      <c r="AB334" s="100"/>
      <c r="AC334" s="100"/>
      <c r="AD334" s="101"/>
      <c r="AE334" s="105">
        <f>'[1]Tier 1'!W334</f>
        <v>1197</v>
      </c>
      <c r="AF334" s="106"/>
      <c r="AG334" s="106">
        <f>'[1]Tier 1'!X334</f>
        <v>1197</v>
      </c>
      <c r="AH334" s="106"/>
      <c r="AI334" s="106">
        <f>'[1]Tier 1'!Y334</f>
        <v>1197</v>
      </c>
      <c r="AJ334" s="106">
        <f t="shared" si="107"/>
        <v>1077.3</v>
      </c>
      <c r="AK334" s="106" t="e">
        <f>VLOOKUP(A334,#REF!,-1,FALSE)</f>
        <v>#REF!</v>
      </c>
      <c r="AL334" s="107" t="e">
        <f t="shared" si="108"/>
        <v>#REF!</v>
      </c>
      <c r="AM334" s="105">
        <f t="shared" si="97"/>
        <v>42</v>
      </c>
      <c r="AN334" s="112">
        <f t="shared" si="98"/>
        <v>3.5000000000000003E-2</v>
      </c>
      <c r="AO334" s="100" t="str">
        <f t="shared" si="99"/>
        <v>OK</v>
      </c>
      <c r="AP334" s="106">
        <f t="shared" si="100"/>
        <v>45</v>
      </c>
      <c r="AQ334" s="112">
        <f t="shared" si="101"/>
        <v>3.7999999999999999E-2</v>
      </c>
      <c r="AR334" s="100" t="str">
        <f t="shared" si="102"/>
        <v>OK</v>
      </c>
      <c r="AS334" s="106">
        <f t="shared" si="103"/>
        <v>47</v>
      </c>
      <c r="AT334" s="112">
        <f t="shared" si="104"/>
        <v>3.9E-2</v>
      </c>
      <c r="AU334" s="113" t="str">
        <f t="shared" si="105"/>
        <v>OK</v>
      </c>
      <c r="AV334" s="106">
        <f t="shared" si="109"/>
        <v>0</v>
      </c>
      <c r="AW334" s="112" t="e">
        <f t="shared" si="110"/>
        <v>#REF!</v>
      </c>
      <c r="AX334" s="114" t="e">
        <f t="shared" si="111"/>
        <v>#REF!</v>
      </c>
      <c r="AY334" s="99"/>
      <c r="AZ334" s="100"/>
      <c r="BA334" s="104">
        <f t="shared" si="112"/>
        <v>0</v>
      </c>
      <c r="BB334" s="115">
        <f t="shared" si="113"/>
        <v>1</v>
      </c>
      <c r="BC334" s="116" t="e">
        <f>SUMIF(#REF!,#REF!, BB24:BB337)</f>
        <v>#REF!</v>
      </c>
      <c r="BD334" s="116">
        <f t="shared" si="114"/>
        <v>1</v>
      </c>
      <c r="BE334" s="116" t="e">
        <f>SUMIF(#REF!,#REF!, BD24:BD337)</f>
        <v>#REF!</v>
      </c>
      <c r="BF334" s="116">
        <f t="shared" si="115"/>
        <v>0</v>
      </c>
      <c r="BG334" s="116" t="e">
        <f>SUMIF(#REF!,#REF!, BF24:BF337)</f>
        <v>#REF!</v>
      </c>
      <c r="BH334" s="116" t="e">
        <f t="shared" si="116"/>
        <v>#REF!</v>
      </c>
      <c r="BI334" s="117">
        <f t="shared" ref="BI334" si="118">SUMIF(B24:B337, B334, BH24:BH337)</f>
        <v>0</v>
      </c>
      <c r="BJ334" s="118"/>
      <c r="BK334" s="92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4"/>
    </row>
    <row r="335" spans="1:82" x14ac:dyDescent="0.3">
      <c r="A335" s="68" t="s">
        <v>626</v>
      </c>
      <c r="B335" s="69"/>
      <c r="C335" s="70" t="s">
        <v>298</v>
      </c>
      <c r="D335" s="70" t="s">
        <v>120</v>
      </c>
      <c r="E335" s="71" t="s">
        <v>102</v>
      </c>
      <c r="F335" s="72" t="s">
        <v>103</v>
      </c>
      <c r="G335" s="73"/>
      <c r="H335" s="74" t="s">
        <v>103</v>
      </c>
      <c r="I335" s="72" t="s">
        <v>6</v>
      </c>
      <c r="J335" s="73" t="s">
        <v>6</v>
      </c>
      <c r="K335" s="75"/>
      <c r="L335" s="76"/>
      <c r="M335" s="77"/>
      <c r="N335" s="78">
        <v>1010</v>
      </c>
      <c r="O335" s="79">
        <v>1071</v>
      </c>
      <c r="P335" s="79">
        <v>1115</v>
      </c>
      <c r="Q335" s="80"/>
      <c r="R335" s="155">
        <v>0.09</v>
      </c>
      <c r="S335" s="78">
        <v>91</v>
      </c>
      <c r="T335" s="79">
        <v>96</v>
      </c>
      <c r="U335" s="79">
        <v>100</v>
      </c>
      <c r="V335" s="80">
        <f t="shared" si="106"/>
        <v>0</v>
      </c>
      <c r="W335" s="82"/>
      <c r="X335" s="83"/>
      <c r="Y335" s="84" t="s">
        <v>104</v>
      </c>
      <c r="Z335" s="73" t="str">
        <f>'[1]Tier 1'!V335</f>
        <v>D</v>
      </c>
      <c r="AA335" s="73"/>
      <c r="AB335" s="73"/>
      <c r="AC335" s="73"/>
      <c r="AD335" s="74"/>
      <c r="AE335" s="78">
        <f>'[1]Tier 1'!W335</f>
        <v>1818</v>
      </c>
      <c r="AF335" s="79"/>
      <c r="AG335" s="79">
        <f>'[1]Tier 1'!X335</f>
        <v>1818</v>
      </c>
      <c r="AH335" s="79"/>
      <c r="AI335" s="79">
        <f>'[1]Tier 1'!Y335</f>
        <v>1818</v>
      </c>
      <c r="AJ335" s="79">
        <f t="shared" si="107"/>
        <v>1636.2</v>
      </c>
      <c r="AK335" s="79" t="e">
        <f>VLOOKUP(A335,#REF!,-1,FALSE)</f>
        <v>#REF!</v>
      </c>
      <c r="AL335" s="80" t="e">
        <f t="shared" si="108"/>
        <v>#REF!</v>
      </c>
      <c r="AM335" s="78">
        <f t="shared" si="97"/>
        <v>91</v>
      </c>
      <c r="AN335" s="85">
        <f t="shared" si="98"/>
        <v>0.05</v>
      </c>
      <c r="AO335" s="73" t="str">
        <f t="shared" si="99"/>
        <v>OK</v>
      </c>
      <c r="AP335" s="79">
        <f t="shared" si="100"/>
        <v>96</v>
      </c>
      <c r="AQ335" s="85">
        <f t="shared" si="101"/>
        <v>5.2999999999999999E-2</v>
      </c>
      <c r="AR335" s="73" t="str">
        <f t="shared" si="102"/>
        <v>OK</v>
      </c>
      <c r="AS335" s="79">
        <f t="shared" si="103"/>
        <v>100</v>
      </c>
      <c r="AT335" s="85">
        <f t="shared" si="104"/>
        <v>5.5E-2</v>
      </c>
      <c r="AU335" s="86" t="str">
        <f t="shared" si="105"/>
        <v>OK</v>
      </c>
      <c r="AV335" s="79">
        <f t="shared" si="109"/>
        <v>0</v>
      </c>
      <c r="AW335" s="85" t="e">
        <f t="shared" si="110"/>
        <v>#REF!</v>
      </c>
      <c r="AX335" s="87" t="e">
        <f t="shared" si="111"/>
        <v>#REF!</v>
      </c>
      <c r="AY335" s="72"/>
      <c r="AZ335" s="73"/>
      <c r="BA335" s="77">
        <f t="shared" si="112"/>
        <v>0</v>
      </c>
      <c r="BB335" s="88">
        <f t="shared" si="113"/>
        <v>1</v>
      </c>
      <c r="BC335" s="89" t="e">
        <f>SUMIF(#REF!,#REF!, BB26:BB339)</f>
        <v>#REF!</v>
      </c>
      <c r="BD335" s="89">
        <f t="shared" si="114"/>
        <v>1</v>
      </c>
      <c r="BE335" s="89" t="e">
        <f>SUMIF(#REF!,#REF!, BD26:BD339)</f>
        <v>#REF!</v>
      </c>
      <c r="BF335" s="89">
        <f t="shared" si="115"/>
        <v>0</v>
      </c>
      <c r="BG335" s="89" t="e">
        <f>SUMIF(#REF!,#REF!, BF26:BF339)</f>
        <v>#REF!</v>
      </c>
      <c r="BH335" s="89" t="e">
        <f t="shared" si="116"/>
        <v>#REF!</v>
      </c>
      <c r="BI335" s="90">
        <f t="shared" ref="BI335" si="119">SUMIF(B26:B339, B335, BH26:BH339)</f>
        <v>0</v>
      </c>
      <c r="BJ335" s="91"/>
      <c r="BK335" s="92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4"/>
    </row>
    <row r="336" spans="1:82" x14ac:dyDescent="0.3">
      <c r="A336" s="95" t="s">
        <v>627</v>
      </c>
      <c r="B336" s="96"/>
      <c r="C336" s="97" t="s">
        <v>348</v>
      </c>
      <c r="D336" s="97" t="s">
        <v>156</v>
      </c>
      <c r="E336" s="98" t="s">
        <v>168</v>
      </c>
      <c r="F336" s="99" t="s">
        <v>103</v>
      </c>
      <c r="G336" s="100"/>
      <c r="H336" s="101" t="s">
        <v>109</v>
      </c>
      <c r="I336" s="99" t="s">
        <v>6</v>
      </c>
      <c r="J336" s="100" t="s">
        <v>6</v>
      </c>
      <c r="K336" s="102"/>
      <c r="L336" s="103"/>
      <c r="M336" s="104"/>
      <c r="N336" s="105">
        <v>539</v>
      </c>
      <c r="O336" s="106">
        <v>572</v>
      </c>
      <c r="P336" s="106">
        <v>595</v>
      </c>
      <c r="Q336" s="107"/>
      <c r="R336" s="156">
        <v>0.09</v>
      </c>
      <c r="S336" s="105">
        <v>49</v>
      </c>
      <c r="T336" s="106">
        <v>51</v>
      </c>
      <c r="U336" s="106">
        <v>54</v>
      </c>
      <c r="V336" s="107">
        <f t="shared" si="106"/>
        <v>0</v>
      </c>
      <c r="W336" s="109"/>
      <c r="X336" s="110"/>
      <c r="Y336" s="111" t="s">
        <v>104</v>
      </c>
      <c r="Z336" s="100" t="str">
        <f>'[1]Tier 1'!V336</f>
        <v>D</v>
      </c>
      <c r="AA336" s="100"/>
      <c r="AB336" s="100"/>
      <c r="AC336" s="100"/>
      <c r="AD336" s="101"/>
      <c r="AE336" s="105">
        <f>'[1]Tier 1'!W336</f>
        <v>1818</v>
      </c>
      <c r="AF336" s="106"/>
      <c r="AG336" s="106">
        <f>'[1]Tier 1'!X336</f>
        <v>1818</v>
      </c>
      <c r="AH336" s="106"/>
      <c r="AI336" s="106">
        <f>'[1]Tier 1'!Y336</f>
        <v>1818</v>
      </c>
      <c r="AJ336" s="106">
        <f t="shared" si="107"/>
        <v>1636.2</v>
      </c>
      <c r="AK336" s="106" t="e">
        <f>VLOOKUP(A336,#REF!,-1,FALSE)</f>
        <v>#REF!</v>
      </c>
      <c r="AL336" s="107" t="e">
        <f t="shared" si="108"/>
        <v>#REF!</v>
      </c>
      <c r="AM336" s="105">
        <f t="shared" si="97"/>
        <v>49</v>
      </c>
      <c r="AN336" s="112">
        <f t="shared" si="98"/>
        <v>2.7E-2</v>
      </c>
      <c r="AO336" s="100" t="str">
        <f t="shared" si="99"/>
        <v>OK</v>
      </c>
      <c r="AP336" s="106">
        <f t="shared" si="100"/>
        <v>51</v>
      </c>
      <c r="AQ336" s="112">
        <f t="shared" si="101"/>
        <v>2.8000000000000001E-2</v>
      </c>
      <c r="AR336" s="100" t="str">
        <f t="shared" si="102"/>
        <v>OK</v>
      </c>
      <c r="AS336" s="106">
        <f t="shared" si="103"/>
        <v>54</v>
      </c>
      <c r="AT336" s="112">
        <f t="shared" si="104"/>
        <v>0.03</v>
      </c>
      <c r="AU336" s="113" t="str">
        <f t="shared" si="105"/>
        <v>OK</v>
      </c>
      <c r="AV336" s="106">
        <f t="shared" si="109"/>
        <v>0</v>
      </c>
      <c r="AW336" s="112" t="e">
        <f t="shared" si="110"/>
        <v>#REF!</v>
      </c>
      <c r="AX336" s="114" t="e">
        <f t="shared" si="111"/>
        <v>#REF!</v>
      </c>
      <c r="AY336" s="99"/>
      <c r="AZ336" s="100"/>
      <c r="BA336" s="104">
        <f t="shared" si="112"/>
        <v>0</v>
      </c>
      <c r="BB336" s="115">
        <f t="shared" si="113"/>
        <v>1</v>
      </c>
      <c r="BC336" s="116" t="e">
        <f>SUMIF(#REF!,#REF!, BB26:BB339)</f>
        <v>#REF!</v>
      </c>
      <c r="BD336" s="116">
        <f t="shared" si="114"/>
        <v>1</v>
      </c>
      <c r="BE336" s="116" t="e">
        <f>SUMIF(#REF!,#REF!, BD26:BD339)</f>
        <v>#REF!</v>
      </c>
      <c r="BF336" s="116">
        <f t="shared" si="115"/>
        <v>0</v>
      </c>
      <c r="BG336" s="116" t="e">
        <f>SUMIF(#REF!,#REF!, BF26:BF339)</f>
        <v>#REF!</v>
      </c>
      <c r="BH336" s="116" t="e">
        <f t="shared" si="116"/>
        <v>#REF!</v>
      </c>
      <c r="BI336" s="117">
        <f t="shared" ref="BI336" si="120">SUMIF(B26:B339, B336, BH26:BH339)</f>
        <v>0</v>
      </c>
      <c r="BJ336" s="118"/>
      <c r="BK336" s="92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4"/>
    </row>
    <row r="337" spans="1:82" hidden="1" x14ac:dyDescent="0.3">
      <c r="A337" s="68" t="s">
        <v>628</v>
      </c>
      <c r="B337" s="69"/>
      <c r="C337" s="70" t="s">
        <v>359</v>
      </c>
      <c r="D337" s="70" t="s">
        <v>152</v>
      </c>
      <c r="E337" s="71" t="s">
        <v>156</v>
      </c>
      <c r="F337" s="72" t="s">
        <v>103</v>
      </c>
      <c r="G337" s="73"/>
      <c r="H337" s="74" t="s">
        <v>103</v>
      </c>
      <c r="I337" s="72" t="s">
        <v>6</v>
      </c>
      <c r="J337" s="73" t="s">
        <v>6</v>
      </c>
      <c r="K337" s="75"/>
      <c r="L337" s="76"/>
      <c r="M337" s="77"/>
      <c r="N337" s="78" t="e">
        <v>#DIV/0!</v>
      </c>
      <c r="O337" s="79">
        <v>0</v>
      </c>
      <c r="P337" s="79" t="e">
        <v>#DIV/0!</v>
      </c>
      <c r="Q337" s="80"/>
      <c r="R337" s="155">
        <v>0.09</v>
      </c>
      <c r="S337" s="78" t="e">
        <v>#DIV/0!</v>
      </c>
      <c r="T337" s="79">
        <v>0</v>
      </c>
      <c r="U337" s="79" t="e">
        <v>#DIV/0!</v>
      </c>
      <c r="V337" s="80">
        <f t="shared" si="106"/>
        <v>0</v>
      </c>
      <c r="W337" s="82"/>
      <c r="X337" s="83"/>
      <c r="Y337" s="84" t="s">
        <v>104</v>
      </c>
      <c r="Z337" s="73" t="str">
        <f>'[1]Tier 1'!V337</f>
        <v>D</v>
      </c>
      <c r="AA337" s="73"/>
      <c r="AB337" s="73"/>
      <c r="AC337" s="73"/>
      <c r="AD337" s="74"/>
      <c r="AE337" s="78">
        <f>'[1]Tier 1'!W337</f>
        <v>1899</v>
      </c>
      <c r="AF337" s="79"/>
      <c r="AG337" s="79">
        <f>'[1]Tier 1'!X337</f>
        <v>1899</v>
      </c>
      <c r="AH337" s="79"/>
      <c r="AI337" s="79">
        <f>'[1]Tier 1'!Y337</f>
        <v>1899</v>
      </c>
      <c r="AJ337" s="79">
        <f t="shared" si="107"/>
        <v>1709.1000000000001</v>
      </c>
      <c r="AK337" s="79" t="e">
        <f>VLOOKUP(A337,#REF!,-1,FALSE)</f>
        <v>#REF!</v>
      </c>
      <c r="AL337" s="80" t="e">
        <f t="shared" si="108"/>
        <v>#REF!</v>
      </c>
      <c r="AM337" s="78" t="e">
        <f t="shared" si="97"/>
        <v>#DIV/0!</v>
      </c>
      <c r="AN337" s="85" t="e">
        <f t="shared" si="98"/>
        <v>#DIV/0!</v>
      </c>
      <c r="AO337" s="73" t="str">
        <f t="shared" si="99"/>
        <v>OK</v>
      </c>
      <c r="AP337" s="79">
        <f t="shared" si="100"/>
        <v>0</v>
      </c>
      <c r="AQ337" s="85">
        <f t="shared" si="101"/>
        <v>0</v>
      </c>
      <c r="AR337" s="73" t="str">
        <f t="shared" si="102"/>
        <v>OK</v>
      </c>
      <c r="AS337" s="79" t="e">
        <f t="shared" si="103"/>
        <v>#DIV/0!</v>
      </c>
      <c r="AT337" s="85" t="e">
        <f t="shared" si="104"/>
        <v>#DIV/0!</v>
      </c>
      <c r="AU337" s="86" t="str">
        <f t="shared" si="105"/>
        <v>OK</v>
      </c>
      <c r="AV337" s="79">
        <f t="shared" si="109"/>
        <v>0</v>
      </c>
      <c r="AW337" s="85" t="e">
        <f t="shared" si="110"/>
        <v>#REF!</v>
      </c>
      <c r="AX337" s="87" t="e">
        <f t="shared" si="111"/>
        <v>#REF!</v>
      </c>
      <c r="AY337" s="72"/>
      <c r="AZ337" s="73"/>
      <c r="BA337" s="77">
        <f t="shared" si="112"/>
        <v>0</v>
      </c>
      <c r="BB337" s="88" t="e">
        <f t="shared" si="113"/>
        <v>#DIV/0!</v>
      </c>
      <c r="BC337" s="89" t="e">
        <f>SUMIF(#REF!,#REF!, BB28:BB341)</f>
        <v>#REF!</v>
      </c>
      <c r="BD337" s="89">
        <f t="shared" si="114"/>
        <v>0</v>
      </c>
      <c r="BE337" s="89" t="e">
        <f>SUMIF(#REF!,#REF!, BD28:BD341)</f>
        <v>#REF!</v>
      </c>
      <c r="BF337" s="89" t="e">
        <f t="shared" si="115"/>
        <v>#DIV/0!</v>
      </c>
      <c r="BG337" s="89" t="e">
        <f>SUMIF(#REF!,#REF!, BF28:BF341)</f>
        <v>#REF!</v>
      </c>
      <c r="BH337" s="89" t="e">
        <f t="shared" si="116"/>
        <v>#REF!</v>
      </c>
      <c r="BI337" s="90">
        <f t="shared" ref="BI337" si="121">SUMIF(B28:B341, B337, BH28:BH341)</f>
        <v>0</v>
      </c>
      <c r="BJ337" s="91"/>
      <c r="BK337" s="92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4"/>
    </row>
    <row r="338" spans="1:82" x14ac:dyDescent="0.3">
      <c r="A338" s="95" t="s">
        <v>629</v>
      </c>
      <c r="B338" s="96"/>
      <c r="C338" s="97" t="s">
        <v>217</v>
      </c>
      <c r="D338" s="97" t="s">
        <v>172</v>
      </c>
      <c r="E338" s="98" t="s">
        <v>630</v>
      </c>
      <c r="F338" s="99" t="s">
        <v>109</v>
      </c>
      <c r="G338" s="100"/>
      <c r="H338" s="101" t="s">
        <v>103</v>
      </c>
      <c r="I338" s="99" t="s">
        <v>6</v>
      </c>
      <c r="J338" s="100" t="s">
        <v>6</v>
      </c>
      <c r="K338" s="102"/>
      <c r="L338" s="103"/>
      <c r="M338" s="104"/>
      <c r="N338" s="105">
        <v>10710</v>
      </c>
      <c r="O338" s="106">
        <v>10975</v>
      </c>
      <c r="P338" s="106">
        <v>11336</v>
      </c>
      <c r="Q338" s="107"/>
      <c r="R338" s="156">
        <v>0.09</v>
      </c>
      <c r="S338" s="105">
        <v>964</v>
      </c>
      <c r="T338" s="106">
        <v>988</v>
      </c>
      <c r="U338" s="106">
        <v>1020</v>
      </c>
      <c r="V338" s="107">
        <f t="shared" si="106"/>
        <v>0</v>
      </c>
      <c r="W338" s="109"/>
      <c r="X338" s="110"/>
      <c r="Y338" s="111" t="s">
        <v>104</v>
      </c>
      <c r="Z338" s="100" t="str">
        <f>'[1]Tier 1'!V338</f>
        <v>D</v>
      </c>
      <c r="AA338" s="100"/>
      <c r="AB338" s="100"/>
      <c r="AC338" s="100"/>
      <c r="AD338" s="101"/>
      <c r="AE338" s="105">
        <f>'[1]Tier 1'!W338</f>
        <v>2628</v>
      </c>
      <c r="AF338" s="106"/>
      <c r="AG338" s="106">
        <f>'[1]Tier 1'!X338</f>
        <v>2628</v>
      </c>
      <c r="AH338" s="106"/>
      <c r="AI338" s="106">
        <f>'[1]Tier 1'!Y338</f>
        <v>2628</v>
      </c>
      <c r="AJ338" s="106">
        <f t="shared" si="107"/>
        <v>2365.2000000000003</v>
      </c>
      <c r="AK338" s="106" t="e">
        <f>VLOOKUP(A338,#REF!,-1,FALSE)</f>
        <v>#REF!</v>
      </c>
      <c r="AL338" s="107" t="e">
        <f t="shared" si="108"/>
        <v>#REF!</v>
      </c>
      <c r="AM338" s="105">
        <f t="shared" si="97"/>
        <v>964</v>
      </c>
      <c r="AN338" s="112">
        <f t="shared" si="98"/>
        <v>0.36699999999999999</v>
      </c>
      <c r="AO338" s="100" t="str">
        <f t="shared" si="99"/>
        <v>OK</v>
      </c>
      <c r="AP338" s="106">
        <f t="shared" si="100"/>
        <v>988</v>
      </c>
      <c r="AQ338" s="112">
        <f t="shared" si="101"/>
        <v>0.376</v>
      </c>
      <c r="AR338" s="100" t="str">
        <f t="shared" si="102"/>
        <v>OK</v>
      </c>
      <c r="AS338" s="106">
        <f t="shared" si="103"/>
        <v>1020</v>
      </c>
      <c r="AT338" s="112">
        <f t="shared" si="104"/>
        <v>0.38800000000000001</v>
      </c>
      <c r="AU338" s="113" t="str">
        <f t="shared" si="105"/>
        <v>OK</v>
      </c>
      <c r="AV338" s="106">
        <f t="shared" si="109"/>
        <v>0</v>
      </c>
      <c r="AW338" s="112" t="e">
        <f t="shared" si="110"/>
        <v>#REF!</v>
      </c>
      <c r="AX338" s="114" t="e">
        <f t="shared" si="111"/>
        <v>#REF!</v>
      </c>
      <c r="AY338" s="99"/>
      <c r="AZ338" s="100"/>
      <c r="BA338" s="104">
        <f t="shared" si="112"/>
        <v>0</v>
      </c>
      <c r="BB338" s="115">
        <f t="shared" si="113"/>
        <v>1</v>
      </c>
      <c r="BC338" s="116" t="e">
        <f>SUMIF(#REF!,#REF!, BB28:BB341)</f>
        <v>#REF!</v>
      </c>
      <c r="BD338" s="116">
        <f t="shared" si="114"/>
        <v>1</v>
      </c>
      <c r="BE338" s="116" t="e">
        <f>SUMIF(#REF!,#REF!, BD28:BD341)</f>
        <v>#REF!</v>
      </c>
      <c r="BF338" s="116">
        <f t="shared" si="115"/>
        <v>0</v>
      </c>
      <c r="BG338" s="116" t="e">
        <f>SUMIF(#REF!,#REF!, BF28:BF341)</f>
        <v>#REF!</v>
      </c>
      <c r="BH338" s="116" t="e">
        <f t="shared" si="116"/>
        <v>#REF!</v>
      </c>
      <c r="BI338" s="117">
        <f t="shared" ref="BI338" si="122">SUMIF(B28:B341, B338, BH28:BH341)</f>
        <v>0</v>
      </c>
      <c r="BJ338" s="118"/>
      <c r="BK338" s="92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4"/>
    </row>
    <row r="339" spans="1:82" x14ac:dyDescent="0.3">
      <c r="A339" s="68" t="s">
        <v>631</v>
      </c>
      <c r="B339" s="69"/>
      <c r="C339" s="70" t="s">
        <v>217</v>
      </c>
      <c r="D339" s="70" t="s">
        <v>630</v>
      </c>
      <c r="E339" s="71" t="s">
        <v>173</v>
      </c>
      <c r="F339" s="72" t="s">
        <v>103</v>
      </c>
      <c r="G339" s="73"/>
      <c r="H339" s="74" t="s">
        <v>103</v>
      </c>
      <c r="I339" s="72" t="s">
        <v>6</v>
      </c>
      <c r="J339" s="73" t="s">
        <v>6</v>
      </c>
      <c r="K339" s="75"/>
      <c r="L339" s="76"/>
      <c r="M339" s="77"/>
      <c r="N339" s="78">
        <v>10710</v>
      </c>
      <c r="O339" s="79">
        <v>10975</v>
      </c>
      <c r="P339" s="79">
        <v>11336</v>
      </c>
      <c r="Q339" s="80"/>
      <c r="R339" s="155">
        <v>0.09</v>
      </c>
      <c r="S339" s="78">
        <v>964</v>
      </c>
      <c r="T339" s="79">
        <v>988</v>
      </c>
      <c r="U339" s="79">
        <v>1020</v>
      </c>
      <c r="V339" s="80">
        <f t="shared" si="106"/>
        <v>0</v>
      </c>
      <c r="W339" s="82"/>
      <c r="X339" s="83"/>
      <c r="Y339" s="84" t="s">
        <v>104</v>
      </c>
      <c r="Z339" s="73" t="str">
        <f>'[1]Tier 1'!V339</f>
        <v>D</v>
      </c>
      <c r="AA339" s="73"/>
      <c r="AB339" s="73"/>
      <c r="AC339" s="73"/>
      <c r="AD339" s="74"/>
      <c r="AE339" s="78">
        <f>'[1]Tier 1'!W339</f>
        <v>1197</v>
      </c>
      <c r="AF339" s="79"/>
      <c r="AG339" s="79">
        <f>'[1]Tier 1'!X339</f>
        <v>1197</v>
      </c>
      <c r="AH339" s="79"/>
      <c r="AI339" s="79">
        <f>'[1]Tier 1'!Y339</f>
        <v>1197</v>
      </c>
      <c r="AJ339" s="79">
        <f t="shared" si="107"/>
        <v>1077.3</v>
      </c>
      <c r="AK339" s="79" t="e">
        <f>VLOOKUP(A339,#REF!,-1,FALSE)</f>
        <v>#REF!</v>
      </c>
      <c r="AL339" s="80" t="e">
        <f t="shared" si="108"/>
        <v>#REF!</v>
      </c>
      <c r="AM339" s="78">
        <f t="shared" si="97"/>
        <v>964</v>
      </c>
      <c r="AN339" s="85">
        <f t="shared" si="98"/>
        <v>0.80500000000000005</v>
      </c>
      <c r="AO339" s="73" t="str">
        <f t="shared" si="99"/>
        <v>OK</v>
      </c>
      <c r="AP339" s="79">
        <f t="shared" si="100"/>
        <v>988</v>
      </c>
      <c r="AQ339" s="85">
        <f t="shared" si="101"/>
        <v>0.82499999999999996</v>
      </c>
      <c r="AR339" s="73" t="str">
        <f t="shared" si="102"/>
        <v>OK</v>
      </c>
      <c r="AS339" s="79">
        <f t="shared" si="103"/>
        <v>1020</v>
      </c>
      <c r="AT339" s="85">
        <f t="shared" si="104"/>
        <v>0.85199999999999998</v>
      </c>
      <c r="AU339" s="86" t="str">
        <f t="shared" si="105"/>
        <v>OK</v>
      </c>
      <c r="AV339" s="79">
        <f t="shared" si="109"/>
        <v>0</v>
      </c>
      <c r="AW339" s="85" t="e">
        <f t="shared" si="110"/>
        <v>#REF!</v>
      </c>
      <c r="AX339" s="87" t="e">
        <f t="shared" si="111"/>
        <v>#REF!</v>
      </c>
      <c r="AY339" s="72"/>
      <c r="AZ339" s="73"/>
      <c r="BA339" s="77">
        <f t="shared" si="112"/>
        <v>0</v>
      </c>
      <c r="BB339" s="88">
        <f t="shared" si="113"/>
        <v>1</v>
      </c>
      <c r="BC339" s="89" t="e">
        <f>SUMIF(#REF!,#REF!, BB30:BB343)</f>
        <v>#REF!</v>
      </c>
      <c r="BD339" s="89">
        <f t="shared" si="114"/>
        <v>1</v>
      </c>
      <c r="BE339" s="89" t="e">
        <f>SUMIF(#REF!,#REF!, BD30:BD343)</f>
        <v>#REF!</v>
      </c>
      <c r="BF339" s="89">
        <f t="shared" si="115"/>
        <v>0</v>
      </c>
      <c r="BG339" s="89" t="e">
        <f>SUMIF(#REF!,#REF!, BF30:BF343)</f>
        <v>#REF!</v>
      </c>
      <c r="BH339" s="89" t="e">
        <f t="shared" si="116"/>
        <v>#REF!</v>
      </c>
      <c r="BI339" s="90">
        <f t="shared" ref="BI339" si="123">SUMIF(B30:B343, B339, BH30:BH343)</f>
        <v>0</v>
      </c>
      <c r="BJ339" s="91"/>
      <c r="BK339" s="92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4"/>
    </row>
    <row r="340" spans="1:82" hidden="1" x14ac:dyDescent="0.3">
      <c r="A340" s="95" t="s">
        <v>632</v>
      </c>
      <c r="B340" s="96"/>
      <c r="C340" s="97" t="s">
        <v>337</v>
      </c>
      <c r="D340" s="97" t="s">
        <v>232</v>
      </c>
      <c r="E340" s="98" t="s">
        <v>234</v>
      </c>
      <c r="F340" s="99" t="s">
        <v>103</v>
      </c>
      <c r="G340" s="100"/>
      <c r="H340" s="101" t="s">
        <v>103</v>
      </c>
      <c r="I340" s="99" t="s">
        <v>6</v>
      </c>
      <c r="J340" s="100" t="s">
        <v>6</v>
      </c>
      <c r="K340" s="102"/>
      <c r="L340" s="103"/>
      <c r="M340" s="104"/>
      <c r="N340" s="105" t="e">
        <v>#DIV/0!</v>
      </c>
      <c r="O340" s="106">
        <v>0</v>
      </c>
      <c r="P340" s="106" t="e">
        <v>#DIV/0!</v>
      </c>
      <c r="Q340" s="107"/>
      <c r="R340" s="156">
        <v>0</v>
      </c>
      <c r="S340" s="105" t="e">
        <v>#DIV/0!</v>
      </c>
      <c r="T340" s="106">
        <v>0</v>
      </c>
      <c r="U340" s="106" t="e">
        <v>#DIV/0!</v>
      </c>
      <c r="V340" s="107">
        <f t="shared" si="106"/>
        <v>0</v>
      </c>
      <c r="W340" s="109"/>
      <c r="X340" s="110"/>
      <c r="Y340" s="111" t="s">
        <v>104</v>
      </c>
      <c r="Z340" s="100" t="str">
        <f>'[1]Tier 1'!V340</f>
        <v>D</v>
      </c>
      <c r="AA340" s="100"/>
      <c r="AB340" s="100"/>
      <c r="AC340" s="100"/>
      <c r="AD340" s="101"/>
      <c r="AE340" s="105">
        <f>'[1]Tier 1'!W340</f>
        <v>0</v>
      </c>
      <c r="AF340" s="106"/>
      <c r="AG340" s="106">
        <f>'[1]Tier 1'!X340</f>
        <v>0</v>
      </c>
      <c r="AH340" s="106"/>
      <c r="AI340" s="106">
        <f>'[1]Tier 1'!Y340</f>
        <v>0</v>
      </c>
      <c r="AJ340" s="106">
        <f t="shared" si="107"/>
        <v>0</v>
      </c>
      <c r="AK340" s="106" t="e">
        <f>VLOOKUP(A340,#REF!,-1,FALSE)</f>
        <v>#REF!</v>
      </c>
      <c r="AL340" s="107" t="e">
        <f t="shared" si="108"/>
        <v>#REF!</v>
      </c>
      <c r="AM340" s="105" t="e">
        <f t="shared" si="97"/>
        <v>#DIV/0!</v>
      </c>
      <c r="AN340" s="112">
        <f t="shared" si="98"/>
        <v>0</v>
      </c>
      <c r="AO340" s="100" t="str">
        <f t="shared" si="99"/>
        <v>OK</v>
      </c>
      <c r="AP340" s="106">
        <f t="shared" si="100"/>
        <v>0</v>
      </c>
      <c r="AQ340" s="112">
        <f t="shared" si="101"/>
        <v>0</v>
      </c>
      <c r="AR340" s="100" t="str">
        <f t="shared" si="102"/>
        <v>OK</v>
      </c>
      <c r="AS340" s="106" t="e">
        <f t="shared" si="103"/>
        <v>#DIV/0!</v>
      </c>
      <c r="AT340" s="112">
        <f t="shared" si="104"/>
        <v>0</v>
      </c>
      <c r="AU340" s="113" t="str">
        <f t="shared" si="105"/>
        <v>OK</v>
      </c>
      <c r="AV340" s="106">
        <f t="shared" si="109"/>
        <v>0</v>
      </c>
      <c r="AW340" s="112" t="e">
        <f t="shared" si="110"/>
        <v>#REF!</v>
      </c>
      <c r="AX340" s="114" t="e">
        <f t="shared" si="111"/>
        <v>#REF!</v>
      </c>
      <c r="AY340" s="99"/>
      <c r="AZ340" s="100"/>
      <c r="BA340" s="104">
        <f t="shared" si="112"/>
        <v>0</v>
      </c>
      <c r="BB340" s="115" t="e">
        <f t="shared" si="113"/>
        <v>#DIV/0!</v>
      </c>
      <c r="BC340" s="116" t="e">
        <f>SUMIF(#REF!,#REF!, BB30:BB343)</f>
        <v>#REF!</v>
      </c>
      <c r="BD340" s="116">
        <f t="shared" si="114"/>
        <v>0</v>
      </c>
      <c r="BE340" s="116" t="e">
        <f>SUMIF(#REF!,#REF!, BD30:BD343)</f>
        <v>#REF!</v>
      </c>
      <c r="BF340" s="116" t="e">
        <f t="shared" si="115"/>
        <v>#DIV/0!</v>
      </c>
      <c r="BG340" s="116" t="e">
        <f>SUMIF(#REF!,#REF!, BF30:BF343)</f>
        <v>#REF!</v>
      </c>
      <c r="BH340" s="116" t="e">
        <f t="shared" si="116"/>
        <v>#REF!</v>
      </c>
      <c r="BI340" s="117">
        <f t="shared" ref="BI340" si="124">SUMIF(B30:B343, B340, BH30:BH343)</f>
        <v>0</v>
      </c>
      <c r="BJ340" s="118"/>
      <c r="BK340" s="92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4"/>
    </row>
    <row r="341" spans="1:82" hidden="1" x14ac:dyDescent="0.3">
      <c r="A341" s="68" t="s">
        <v>633</v>
      </c>
      <c r="B341" s="69"/>
      <c r="C341" s="70" t="s">
        <v>634</v>
      </c>
      <c r="D341" s="70" t="s">
        <v>635</v>
      </c>
      <c r="E341" s="71" t="s">
        <v>117</v>
      </c>
      <c r="F341" s="72" t="s">
        <v>103</v>
      </c>
      <c r="G341" s="73"/>
      <c r="H341" s="74" t="s">
        <v>103</v>
      </c>
      <c r="I341" s="72" t="s">
        <v>6</v>
      </c>
      <c r="J341" s="73" t="s">
        <v>6</v>
      </c>
      <c r="K341" s="75"/>
      <c r="L341" s="76"/>
      <c r="M341" s="77"/>
      <c r="N341" s="78" t="e">
        <v>#DIV/0!</v>
      </c>
      <c r="O341" s="79">
        <v>0</v>
      </c>
      <c r="P341" s="79" t="e">
        <v>#DIV/0!</v>
      </c>
      <c r="Q341" s="80"/>
      <c r="R341" s="155">
        <v>0.09</v>
      </c>
      <c r="S341" s="78" t="e">
        <v>#DIV/0!</v>
      </c>
      <c r="T341" s="79">
        <v>0</v>
      </c>
      <c r="U341" s="79" t="e">
        <v>#DIV/0!</v>
      </c>
      <c r="V341" s="80">
        <f t="shared" si="106"/>
        <v>0</v>
      </c>
      <c r="W341" s="82"/>
      <c r="X341" s="83"/>
      <c r="Y341" s="84" t="s">
        <v>104</v>
      </c>
      <c r="Z341" s="73" t="str">
        <f>'[1]Tier 1'!V341</f>
        <v>D</v>
      </c>
      <c r="AA341" s="73"/>
      <c r="AB341" s="73"/>
      <c r="AC341" s="73"/>
      <c r="AD341" s="74"/>
      <c r="AE341" s="78">
        <f>'[1]Tier 1'!W341</f>
        <v>1197</v>
      </c>
      <c r="AF341" s="79"/>
      <c r="AG341" s="79">
        <f>'[1]Tier 1'!X341</f>
        <v>1197</v>
      </c>
      <c r="AH341" s="79"/>
      <c r="AI341" s="79">
        <f>'[1]Tier 1'!Y341</f>
        <v>1197</v>
      </c>
      <c r="AJ341" s="79">
        <f t="shared" si="107"/>
        <v>1077.3</v>
      </c>
      <c r="AK341" s="79" t="e">
        <f>VLOOKUP(A341,#REF!,-1,FALSE)</f>
        <v>#REF!</v>
      </c>
      <c r="AL341" s="80" t="e">
        <f t="shared" si="108"/>
        <v>#REF!</v>
      </c>
      <c r="AM341" s="78" t="e">
        <f t="shared" ref="AM341:AM352" si="125">S341+W341</f>
        <v>#DIV/0!</v>
      </c>
      <c r="AN341" s="85" t="e">
        <f t="shared" ref="AN341:AN352" si="126">IF(AE341&gt;0, ROUND(AM341/AE341,3),0)</f>
        <v>#DIV/0!</v>
      </c>
      <c r="AO341" s="73" t="str">
        <f t="shared" ref="AO341:AO352" si="127">IF($W341&gt;0,IF(AN341&gt;0.8999,"Study 1", "OK"),"OK")</f>
        <v>OK</v>
      </c>
      <c r="AP341" s="79">
        <f t="shared" ref="AP341:AP352" si="128">T341+W341</f>
        <v>0</v>
      </c>
      <c r="AQ341" s="85">
        <f t="shared" ref="AQ341:AQ352" si="129">IF(AG341&gt;0, ROUND(AP341/AG341,3),0)</f>
        <v>0</v>
      </c>
      <c r="AR341" s="73" t="str">
        <f t="shared" ref="AR341:AR352" si="130">IF($W341&gt;0,IF(AQ341&gt;0.8999,"Study 1", "OK"),"OK")</f>
        <v>OK</v>
      </c>
      <c r="AS341" s="79" t="e">
        <f t="shared" ref="AS341:AS352" si="131">U341+W341</f>
        <v>#DIV/0!</v>
      </c>
      <c r="AT341" s="85" t="e">
        <f t="shared" ref="AT341:AT352" si="132">IF(AI341&gt;0, ROUND(AS341/AI341,3),0)</f>
        <v>#DIV/0!</v>
      </c>
      <c r="AU341" s="86" t="str">
        <f t="shared" ref="AU341:AU352" si="133">IF($W341&gt;0,IF(AT341&gt;0.8999,"Study 1", "OK"),"OK")</f>
        <v>OK</v>
      </c>
      <c r="AV341" s="79">
        <f t="shared" si="109"/>
        <v>0</v>
      </c>
      <c r="AW341" s="85" t="e">
        <f t="shared" si="110"/>
        <v>#REF!</v>
      </c>
      <c r="AX341" s="87" t="e">
        <f t="shared" si="111"/>
        <v>#REF!</v>
      </c>
      <c r="AY341" s="72"/>
      <c r="AZ341" s="73"/>
      <c r="BA341" s="77">
        <f t="shared" si="112"/>
        <v>0</v>
      </c>
      <c r="BB341" s="88" t="e">
        <f t="shared" si="113"/>
        <v>#DIV/0!</v>
      </c>
      <c r="BC341" s="89" t="e">
        <f>SUMIF(#REF!,#REF!, BB32:BB345)</f>
        <v>#REF!</v>
      </c>
      <c r="BD341" s="89">
        <f t="shared" si="114"/>
        <v>0</v>
      </c>
      <c r="BE341" s="89" t="e">
        <f>SUMIF(#REF!,#REF!, BD32:BD345)</f>
        <v>#REF!</v>
      </c>
      <c r="BF341" s="89" t="e">
        <f t="shared" si="115"/>
        <v>#DIV/0!</v>
      </c>
      <c r="BG341" s="89" t="e">
        <f>SUMIF(#REF!,#REF!, BF32:BF345)</f>
        <v>#REF!</v>
      </c>
      <c r="BH341" s="89" t="e">
        <f t="shared" si="116"/>
        <v>#REF!</v>
      </c>
      <c r="BI341" s="90">
        <f t="shared" ref="BI341" si="134">SUMIF(B32:B345, B341, BH32:BH345)</f>
        <v>0</v>
      </c>
      <c r="BJ341" s="91"/>
      <c r="BK341" s="92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4"/>
    </row>
    <row r="342" spans="1:82" hidden="1" x14ac:dyDescent="0.3">
      <c r="A342" s="95" t="s">
        <v>636</v>
      </c>
      <c r="B342" s="96"/>
      <c r="C342" s="97" t="s">
        <v>234</v>
      </c>
      <c r="D342" s="97" t="s">
        <v>172</v>
      </c>
      <c r="E342" s="98" t="s">
        <v>637</v>
      </c>
      <c r="F342" s="99" t="s">
        <v>103</v>
      </c>
      <c r="G342" s="100"/>
      <c r="H342" s="101" t="s">
        <v>103</v>
      </c>
      <c r="I342" s="99" t="s">
        <v>6</v>
      </c>
      <c r="J342" s="100" t="s">
        <v>6</v>
      </c>
      <c r="K342" s="102"/>
      <c r="L342" s="103"/>
      <c r="M342" s="104"/>
      <c r="N342" s="105" t="e">
        <v>#DIV/0!</v>
      </c>
      <c r="O342" s="106">
        <v>0</v>
      </c>
      <c r="P342" s="106" t="e">
        <v>#DIV/0!</v>
      </c>
      <c r="Q342" s="107"/>
      <c r="R342" s="156">
        <v>0.09</v>
      </c>
      <c r="S342" s="105" t="e">
        <v>#DIV/0!</v>
      </c>
      <c r="T342" s="106">
        <v>0</v>
      </c>
      <c r="U342" s="106" t="e">
        <v>#DIV/0!</v>
      </c>
      <c r="V342" s="107">
        <f t="shared" si="106"/>
        <v>0</v>
      </c>
      <c r="W342" s="109"/>
      <c r="X342" s="110"/>
      <c r="Y342" s="111" t="s">
        <v>104</v>
      </c>
      <c r="Z342" s="100" t="str">
        <f>'[1]Tier 1'!V342</f>
        <v>D</v>
      </c>
      <c r="AA342" s="100"/>
      <c r="AB342" s="100"/>
      <c r="AC342" s="100"/>
      <c r="AD342" s="101"/>
      <c r="AE342" s="105">
        <f>'[1]Tier 1'!W342</f>
        <v>1899</v>
      </c>
      <c r="AF342" s="106"/>
      <c r="AG342" s="106">
        <f>'[1]Tier 1'!X342</f>
        <v>1899</v>
      </c>
      <c r="AH342" s="106"/>
      <c r="AI342" s="106">
        <f>'[1]Tier 1'!Y342</f>
        <v>1899</v>
      </c>
      <c r="AJ342" s="106">
        <f t="shared" si="107"/>
        <v>1709.1000000000001</v>
      </c>
      <c r="AK342" s="106" t="e">
        <f>VLOOKUP(A342,#REF!,-1,FALSE)</f>
        <v>#REF!</v>
      </c>
      <c r="AL342" s="107" t="e">
        <f t="shared" si="108"/>
        <v>#REF!</v>
      </c>
      <c r="AM342" s="105" t="e">
        <f t="shared" si="125"/>
        <v>#DIV/0!</v>
      </c>
      <c r="AN342" s="112" t="e">
        <f t="shared" si="126"/>
        <v>#DIV/0!</v>
      </c>
      <c r="AO342" s="100" t="str">
        <f t="shared" si="127"/>
        <v>OK</v>
      </c>
      <c r="AP342" s="106">
        <f t="shared" si="128"/>
        <v>0</v>
      </c>
      <c r="AQ342" s="112">
        <f t="shared" si="129"/>
        <v>0</v>
      </c>
      <c r="AR342" s="100" t="str">
        <f t="shared" si="130"/>
        <v>OK</v>
      </c>
      <c r="AS342" s="106" t="e">
        <f t="shared" si="131"/>
        <v>#DIV/0!</v>
      </c>
      <c r="AT342" s="112" t="e">
        <f t="shared" si="132"/>
        <v>#DIV/0!</v>
      </c>
      <c r="AU342" s="113" t="str">
        <f t="shared" si="133"/>
        <v>OK</v>
      </c>
      <c r="AV342" s="106">
        <f t="shared" si="109"/>
        <v>0</v>
      </c>
      <c r="AW342" s="112" t="e">
        <f t="shared" si="110"/>
        <v>#REF!</v>
      </c>
      <c r="AX342" s="114" t="e">
        <f t="shared" si="111"/>
        <v>#REF!</v>
      </c>
      <c r="AY342" s="99"/>
      <c r="AZ342" s="100"/>
      <c r="BA342" s="104">
        <f t="shared" si="112"/>
        <v>0</v>
      </c>
      <c r="BB342" s="115" t="e">
        <f t="shared" si="113"/>
        <v>#DIV/0!</v>
      </c>
      <c r="BC342" s="116" t="e">
        <f>SUMIF(#REF!,#REF!, BB32:BB345)</f>
        <v>#REF!</v>
      </c>
      <c r="BD342" s="116">
        <f t="shared" si="114"/>
        <v>0</v>
      </c>
      <c r="BE342" s="116" t="e">
        <f>SUMIF(#REF!,#REF!, BD32:BD345)</f>
        <v>#REF!</v>
      </c>
      <c r="BF342" s="116" t="e">
        <f t="shared" si="115"/>
        <v>#DIV/0!</v>
      </c>
      <c r="BG342" s="116" t="e">
        <f>SUMIF(#REF!,#REF!, BF32:BF345)</f>
        <v>#REF!</v>
      </c>
      <c r="BH342" s="116" t="e">
        <f t="shared" si="116"/>
        <v>#REF!</v>
      </c>
      <c r="BI342" s="117">
        <f t="shared" ref="BI342" si="135">SUMIF(B32:B345, B342, BH32:BH345)</f>
        <v>0</v>
      </c>
      <c r="BJ342" s="118"/>
      <c r="BK342" s="92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4"/>
    </row>
    <row r="343" spans="1:82" hidden="1" x14ac:dyDescent="0.3">
      <c r="A343" s="68" t="s">
        <v>638</v>
      </c>
      <c r="B343" s="69"/>
      <c r="C343" s="70" t="s">
        <v>639</v>
      </c>
      <c r="D343" s="70" t="s">
        <v>172</v>
      </c>
      <c r="E343" s="71" t="s">
        <v>640</v>
      </c>
      <c r="F343" s="72" t="s">
        <v>103</v>
      </c>
      <c r="G343" s="73"/>
      <c r="H343" s="74" t="s">
        <v>103</v>
      </c>
      <c r="I343" s="72" t="s">
        <v>6</v>
      </c>
      <c r="J343" s="73" t="s">
        <v>6</v>
      </c>
      <c r="K343" s="75"/>
      <c r="L343" s="76"/>
      <c r="M343" s="77"/>
      <c r="N343" s="78" t="e">
        <v>#DIV/0!</v>
      </c>
      <c r="O343" s="79">
        <v>0</v>
      </c>
      <c r="P343" s="79" t="e">
        <v>#DIV/0!</v>
      </c>
      <c r="Q343" s="80"/>
      <c r="R343" s="155">
        <v>0.09</v>
      </c>
      <c r="S343" s="78" t="e">
        <v>#DIV/0!</v>
      </c>
      <c r="T343" s="79">
        <v>0</v>
      </c>
      <c r="U343" s="79" t="e">
        <v>#DIV/0!</v>
      </c>
      <c r="V343" s="80">
        <f t="shared" si="106"/>
        <v>0</v>
      </c>
      <c r="W343" s="82"/>
      <c r="X343" s="83"/>
      <c r="Y343" s="84" t="s">
        <v>104</v>
      </c>
      <c r="Z343" s="73" t="str">
        <f>'[1]Tier 1'!V343</f>
        <v>D</v>
      </c>
      <c r="AA343" s="73"/>
      <c r="AB343" s="73"/>
      <c r="AC343" s="73"/>
      <c r="AD343" s="74"/>
      <c r="AE343" s="78">
        <f>'[1]Tier 1'!W343</f>
        <v>958</v>
      </c>
      <c r="AF343" s="79"/>
      <c r="AG343" s="79">
        <f>'[1]Tier 1'!X343</f>
        <v>958</v>
      </c>
      <c r="AH343" s="79"/>
      <c r="AI343" s="79">
        <f>'[1]Tier 1'!Y343</f>
        <v>958</v>
      </c>
      <c r="AJ343" s="79">
        <f t="shared" si="107"/>
        <v>862.2</v>
      </c>
      <c r="AK343" s="79" t="e">
        <f>VLOOKUP(A343,#REF!,-1,FALSE)</f>
        <v>#REF!</v>
      </c>
      <c r="AL343" s="80" t="e">
        <f t="shared" si="108"/>
        <v>#REF!</v>
      </c>
      <c r="AM343" s="78" t="e">
        <f t="shared" si="125"/>
        <v>#DIV/0!</v>
      </c>
      <c r="AN343" s="85" t="e">
        <f t="shared" si="126"/>
        <v>#DIV/0!</v>
      </c>
      <c r="AO343" s="73" t="str">
        <f t="shared" si="127"/>
        <v>OK</v>
      </c>
      <c r="AP343" s="79">
        <f t="shared" si="128"/>
        <v>0</v>
      </c>
      <c r="AQ343" s="85">
        <f t="shared" si="129"/>
        <v>0</v>
      </c>
      <c r="AR343" s="73" t="str">
        <f t="shared" si="130"/>
        <v>OK</v>
      </c>
      <c r="AS343" s="79" t="e">
        <f t="shared" si="131"/>
        <v>#DIV/0!</v>
      </c>
      <c r="AT343" s="85" t="e">
        <f t="shared" si="132"/>
        <v>#DIV/0!</v>
      </c>
      <c r="AU343" s="86" t="str">
        <f t="shared" si="133"/>
        <v>OK</v>
      </c>
      <c r="AV343" s="79">
        <f t="shared" si="109"/>
        <v>0</v>
      </c>
      <c r="AW343" s="85" t="e">
        <f t="shared" si="110"/>
        <v>#REF!</v>
      </c>
      <c r="AX343" s="87" t="e">
        <f t="shared" si="111"/>
        <v>#REF!</v>
      </c>
      <c r="AY343" s="72"/>
      <c r="AZ343" s="73"/>
      <c r="BA343" s="77">
        <f t="shared" si="112"/>
        <v>0</v>
      </c>
      <c r="BB343" s="88" t="e">
        <f t="shared" si="113"/>
        <v>#DIV/0!</v>
      </c>
      <c r="BC343" s="89" t="e">
        <f>SUMIF(#REF!,#REF!, BB34:BB347)</f>
        <v>#REF!</v>
      </c>
      <c r="BD343" s="89">
        <f t="shared" si="114"/>
        <v>0</v>
      </c>
      <c r="BE343" s="89" t="e">
        <f>SUMIF(#REF!,#REF!, BD34:BD347)</f>
        <v>#REF!</v>
      </c>
      <c r="BF343" s="89" t="e">
        <f t="shared" si="115"/>
        <v>#DIV/0!</v>
      </c>
      <c r="BG343" s="89" t="e">
        <f>SUMIF(#REF!,#REF!, BF34:BF347)</f>
        <v>#REF!</v>
      </c>
      <c r="BH343" s="89" t="e">
        <f t="shared" si="116"/>
        <v>#REF!</v>
      </c>
      <c r="BI343" s="90">
        <f t="shared" ref="BI343" si="136">SUMIF(B34:B347, B343, BH34:BH347)</f>
        <v>0</v>
      </c>
      <c r="BJ343" s="91"/>
      <c r="BK343" s="92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4"/>
    </row>
    <row r="344" spans="1:82" hidden="1" x14ac:dyDescent="0.3">
      <c r="A344" s="95" t="s">
        <v>641</v>
      </c>
      <c r="B344" s="96"/>
      <c r="C344" s="97" t="s">
        <v>640</v>
      </c>
      <c r="D344" s="97" t="s">
        <v>642</v>
      </c>
      <c r="E344" s="98" t="s">
        <v>639</v>
      </c>
      <c r="F344" s="99" t="s">
        <v>103</v>
      </c>
      <c r="G344" s="100"/>
      <c r="H344" s="101" t="s">
        <v>103</v>
      </c>
      <c r="I344" s="99" t="s">
        <v>6</v>
      </c>
      <c r="J344" s="100" t="s">
        <v>6</v>
      </c>
      <c r="K344" s="102"/>
      <c r="L344" s="103"/>
      <c r="M344" s="104"/>
      <c r="N344" s="105" t="e">
        <v>#DIV/0!</v>
      </c>
      <c r="O344" s="106">
        <v>0</v>
      </c>
      <c r="P344" s="106" t="e">
        <v>#DIV/0!</v>
      </c>
      <c r="Q344" s="107"/>
      <c r="R344" s="156">
        <v>0.09</v>
      </c>
      <c r="S344" s="105" t="e">
        <v>#DIV/0!</v>
      </c>
      <c r="T344" s="106">
        <v>0</v>
      </c>
      <c r="U344" s="106" t="e">
        <v>#DIV/0!</v>
      </c>
      <c r="V344" s="107">
        <f t="shared" si="106"/>
        <v>0</v>
      </c>
      <c r="W344" s="109"/>
      <c r="X344" s="110"/>
      <c r="Y344" s="111" t="s">
        <v>104</v>
      </c>
      <c r="Z344" s="100" t="str">
        <f>'[1]Tier 1'!V344</f>
        <v>D</v>
      </c>
      <c r="AA344" s="100"/>
      <c r="AB344" s="100"/>
      <c r="AC344" s="100"/>
      <c r="AD344" s="101"/>
      <c r="AE344" s="105">
        <f>'[1]Tier 1'!W344</f>
        <v>1899</v>
      </c>
      <c r="AF344" s="106"/>
      <c r="AG344" s="106">
        <f>'[1]Tier 1'!X344</f>
        <v>1899</v>
      </c>
      <c r="AH344" s="106"/>
      <c r="AI344" s="106">
        <f>'[1]Tier 1'!Y344</f>
        <v>1899</v>
      </c>
      <c r="AJ344" s="106">
        <f t="shared" si="107"/>
        <v>1709.1000000000001</v>
      </c>
      <c r="AK344" s="106" t="e">
        <f>VLOOKUP(A344,#REF!,-1,FALSE)</f>
        <v>#REF!</v>
      </c>
      <c r="AL344" s="107" t="e">
        <f t="shared" si="108"/>
        <v>#REF!</v>
      </c>
      <c r="AM344" s="105" t="e">
        <f t="shared" si="125"/>
        <v>#DIV/0!</v>
      </c>
      <c r="AN344" s="112" t="e">
        <f t="shared" si="126"/>
        <v>#DIV/0!</v>
      </c>
      <c r="AO344" s="100" t="str">
        <f t="shared" si="127"/>
        <v>OK</v>
      </c>
      <c r="AP344" s="106">
        <f t="shared" si="128"/>
        <v>0</v>
      </c>
      <c r="AQ344" s="112">
        <f t="shared" si="129"/>
        <v>0</v>
      </c>
      <c r="AR344" s="100" t="str">
        <f t="shared" si="130"/>
        <v>OK</v>
      </c>
      <c r="AS344" s="106" t="e">
        <f t="shared" si="131"/>
        <v>#DIV/0!</v>
      </c>
      <c r="AT344" s="112" t="e">
        <f t="shared" si="132"/>
        <v>#DIV/0!</v>
      </c>
      <c r="AU344" s="113" t="str">
        <f t="shared" si="133"/>
        <v>OK</v>
      </c>
      <c r="AV344" s="106">
        <f t="shared" si="109"/>
        <v>0</v>
      </c>
      <c r="AW344" s="112" t="e">
        <f t="shared" si="110"/>
        <v>#REF!</v>
      </c>
      <c r="AX344" s="114" t="e">
        <f t="shared" si="111"/>
        <v>#REF!</v>
      </c>
      <c r="AY344" s="99"/>
      <c r="AZ344" s="100"/>
      <c r="BA344" s="104">
        <f t="shared" si="112"/>
        <v>0</v>
      </c>
      <c r="BB344" s="115" t="e">
        <f t="shared" si="113"/>
        <v>#DIV/0!</v>
      </c>
      <c r="BC344" s="116" t="e">
        <f>SUMIF(#REF!,#REF!, BB34:BB347)</f>
        <v>#REF!</v>
      </c>
      <c r="BD344" s="116">
        <f t="shared" si="114"/>
        <v>0</v>
      </c>
      <c r="BE344" s="116" t="e">
        <f>SUMIF(#REF!,#REF!, BD34:BD347)</f>
        <v>#REF!</v>
      </c>
      <c r="BF344" s="116" t="e">
        <f t="shared" si="115"/>
        <v>#DIV/0!</v>
      </c>
      <c r="BG344" s="116" t="e">
        <f>SUMIF(#REF!,#REF!, BF34:BF347)</f>
        <v>#REF!</v>
      </c>
      <c r="BH344" s="116" t="e">
        <f t="shared" si="116"/>
        <v>#REF!</v>
      </c>
      <c r="BI344" s="117">
        <f t="shared" ref="BI344" si="137">SUMIF(B34:B347, B344, BH34:BH347)</f>
        <v>0</v>
      </c>
      <c r="BJ344" s="118"/>
      <c r="BK344" s="92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4"/>
    </row>
    <row r="345" spans="1:82" hidden="1" x14ac:dyDescent="0.3">
      <c r="A345" s="68" t="s">
        <v>643</v>
      </c>
      <c r="B345" s="69"/>
      <c r="C345" s="70" t="s">
        <v>642</v>
      </c>
      <c r="D345" s="70" t="s">
        <v>640</v>
      </c>
      <c r="E345" s="71" t="s">
        <v>173</v>
      </c>
      <c r="F345" s="72" t="s">
        <v>103</v>
      </c>
      <c r="G345" s="73"/>
      <c r="H345" s="74" t="s">
        <v>109</v>
      </c>
      <c r="I345" s="72" t="s">
        <v>6</v>
      </c>
      <c r="J345" s="73" t="s">
        <v>6</v>
      </c>
      <c r="K345" s="75"/>
      <c r="L345" s="76"/>
      <c r="M345" s="77"/>
      <c r="N345" s="78" t="e">
        <v>#DIV/0!</v>
      </c>
      <c r="O345" s="79">
        <v>0</v>
      </c>
      <c r="P345" s="79" t="e">
        <v>#DIV/0!</v>
      </c>
      <c r="Q345" s="80"/>
      <c r="R345" s="155">
        <v>0.09</v>
      </c>
      <c r="S345" s="78" t="e">
        <v>#DIV/0!</v>
      </c>
      <c r="T345" s="79">
        <v>0</v>
      </c>
      <c r="U345" s="79" t="e">
        <v>#DIV/0!</v>
      </c>
      <c r="V345" s="80">
        <f t="shared" si="106"/>
        <v>0</v>
      </c>
      <c r="W345" s="82"/>
      <c r="X345" s="83"/>
      <c r="Y345" s="84" t="s">
        <v>104</v>
      </c>
      <c r="Z345" s="73" t="str">
        <f>'[1]Tier 1'!V345</f>
        <v>D</v>
      </c>
      <c r="AA345" s="73"/>
      <c r="AB345" s="73"/>
      <c r="AC345" s="73"/>
      <c r="AD345" s="74"/>
      <c r="AE345" s="78">
        <f>'[1]Tier 1'!W345</f>
        <v>1899</v>
      </c>
      <c r="AF345" s="79"/>
      <c r="AG345" s="79">
        <f>'[1]Tier 1'!X345</f>
        <v>1899</v>
      </c>
      <c r="AH345" s="79"/>
      <c r="AI345" s="79">
        <f>'[1]Tier 1'!Y345</f>
        <v>1899</v>
      </c>
      <c r="AJ345" s="79">
        <f t="shared" si="107"/>
        <v>1709.1000000000001</v>
      </c>
      <c r="AK345" s="79" t="e">
        <f>VLOOKUP(A345,#REF!,-1,FALSE)</f>
        <v>#REF!</v>
      </c>
      <c r="AL345" s="80" t="e">
        <f t="shared" si="108"/>
        <v>#REF!</v>
      </c>
      <c r="AM345" s="78" t="e">
        <f t="shared" si="125"/>
        <v>#DIV/0!</v>
      </c>
      <c r="AN345" s="85" t="e">
        <f t="shared" si="126"/>
        <v>#DIV/0!</v>
      </c>
      <c r="AO345" s="73" t="str">
        <f t="shared" si="127"/>
        <v>OK</v>
      </c>
      <c r="AP345" s="79">
        <f t="shared" si="128"/>
        <v>0</v>
      </c>
      <c r="AQ345" s="85">
        <f t="shared" si="129"/>
        <v>0</v>
      </c>
      <c r="AR345" s="73" t="str">
        <f t="shared" si="130"/>
        <v>OK</v>
      </c>
      <c r="AS345" s="79" t="e">
        <f t="shared" si="131"/>
        <v>#DIV/0!</v>
      </c>
      <c r="AT345" s="85" t="e">
        <f t="shared" si="132"/>
        <v>#DIV/0!</v>
      </c>
      <c r="AU345" s="86" t="str">
        <f t="shared" si="133"/>
        <v>OK</v>
      </c>
      <c r="AV345" s="79">
        <f t="shared" si="109"/>
        <v>0</v>
      </c>
      <c r="AW345" s="85" t="e">
        <f t="shared" si="110"/>
        <v>#REF!</v>
      </c>
      <c r="AX345" s="87" t="e">
        <f t="shared" si="111"/>
        <v>#REF!</v>
      </c>
      <c r="AY345" s="72"/>
      <c r="AZ345" s="73"/>
      <c r="BA345" s="77">
        <f t="shared" si="112"/>
        <v>0</v>
      </c>
      <c r="BB345" s="88" t="e">
        <f t="shared" si="113"/>
        <v>#DIV/0!</v>
      </c>
      <c r="BC345" s="89" t="e">
        <f>SUMIF(#REF!,#REF!, BB36:BB349)</f>
        <v>#REF!</v>
      </c>
      <c r="BD345" s="89">
        <f t="shared" si="114"/>
        <v>0</v>
      </c>
      <c r="BE345" s="89" t="e">
        <f>SUMIF(#REF!,#REF!, BD36:BD349)</f>
        <v>#REF!</v>
      </c>
      <c r="BF345" s="89" t="e">
        <f t="shared" si="115"/>
        <v>#DIV/0!</v>
      </c>
      <c r="BG345" s="89" t="e">
        <f>SUMIF(#REF!,#REF!, BF36:BF349)</f>
        <v>#REF!</v>
      </c>
      <c r="BH345" s="89" t="e">
        <f t="shared" si="116"/>
        <v>#REF!</v>
      </c>
      <c r="BI345" s="90">
        <f t="shared" ref="BI345" si="138">SUMIF(B36:B349, B345, BH36:BH349)</f>
        <v>0</v>
      </c>
      <c r="BJ345" s="91"/>
      <c r="BK345" s="92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4"/>
    </row>
    <row r="346" spans="1:82" x14ac:dyDescent="0.3">
      <c r="A346" s="95" t="s">
        <v>644</v>
      </c>
      <c r="B346" s="96"/>
      <c r="C346" s="97" t="s">
        <v>645</v>
      </c>
      <c r="D346" s="97" t="s">
        <v>223</v>
      </c>
      <c r="E346" s="98" t="s">
        <v>646</v>
      </c>
      <c r="F346" s="99" t="s">
        <v>103</v>
      </c>
      <c r="G346" s="100"/>
      <c r="H346" s="101" t="s">
        <v>103</v>
      </c>
      <c r="I346" s="99" t="s">
        <v>6</v>
      </c>
      <c r="J346" s="100" t="s">
        <v>6</v>
      </c>
      <c r="K346" s="102"/>
      <c r="L346" s="103"/>
      <c r="M346" s="104"/>
      <c r="N346" s="105">
        <v>8723</v>
      </c>
      <c r="O346" s="106">
        <v>9257</v>
      </c>
      <c r="P346" s="106">
        <v>8443</v>
      </c>
      <c r="Q346" s="107"/>
      <c r="R346" s="156">
        <v>0.09</v>
      </c>
      <c r="S346" s="105">
        <v>785</v>
      </c>
      <c r="T346" s="106">
        <v>833</v>
      </c>
      <c r="U346" s="106">
        <v>760</v>
      </c>
      <c r="V346" s="107">
        <f t="shared" si="106"/>
        <v>0</v>
      </c>
      <c r="W346" s="109"/>
      <c r="X346" s="110"/>
      <c r="Y346" s="111" t="s">
        <v>104</v>
      </c>
      <c r="Z346" s="100" t="str">
        <f>'[1]Tier 1'!V346</f>
        <v>D</v>
      </c>
      <c r="AA346" s="100"/>
      <c r="AB346" s="100"/>
      <c r="AC346" s="100"/>
      <c r="AD346" s="101"/>
      <c r="AE346" s="105">
        <f>'[1]Tier 1'!W346</f>
        <v>1197</v>
      </c>
      <c r="AF346" s="106"/>
      <c r="AG346" s="106">
        <f>'[1]Tier 1'!X346</f>
        <v>1197</v>
      </c>
      <c r="AH346" s="106"/>
      <c r="AI346" s="106">
        <f>'[1]Tier 1'!Y346</f>
        <v>1197</v>
      </c>
      <c r="AJ346" s="106">
        <f t="shared" si="107"/>
        <v>1077.3</v>
      </c>
      <c r="AK346" s="106" t="e">
        <f>VLOOKUP(A346,#REF!,-1,FALSE)</f>
        <v>#REF!</v>
      </c>
      <c r="AL346" s="107" t="e">
        <f t="shared" si="108"/>
        <v>#REF!</v>
      </c>
      <c r="AM346" s="105">
        <f t="shared" si="125"/>
        <v>785</v>
      </c>
      <c r="AN346" s="112">
        <f t="shared" si="126"/>
        <v>0.65600000000000003</v>
      </c>
      <c r="AO346" s="100" t="str">
        <f t="shared" si="127"/>
        <v>OK</v>
      </c>
      <c r="AP346" s="106">
        <f t="shared" si="128"/>
        <v>833</v>
      </c>
      <c r="AQ346" s="112">
        <f t="shared" si="129"/>
        <v>0.69599999999999995</v>
      </c>
      <c r="AR346" s="100" t="str">
        <f t="shared" si="130"/>
        <v>OK</v>
      </c>
      <c r="AS346" s="106">
        <f t="shared" si="131"/>
        <v>760</v>
      </c>
      <c r="AT346" s="112">
        <f t="shared" si="132"/>
        <v>0.63500000000000001</v>
      </c>
      <c r="AU346" s="113" t="str">
        <f t="shared" si="133"/>
        <v>OK</v>
      </c>
      <c r="AV346" s="106">
        <f t="shared" si="109"/>
        <v>0</v>
      </c>
      <c r="AW346" s="112" t="e">
        <f t="shared" si="110"/>
        <v>#REF!</v>
      </c>
      <c r="AX346" s="114" t="e">
        <f t="shared" si="111"/>
        <v>#REF!</v>
      </c>
      <c r="AY346" s="99"/>
      <c r="AZ346" s="100"/>
      <c r="BA346" s="104">
        <f t="shared" si="112"/>
        <v>0</v>
      </c>
      <c r="BB346" s="115">
        <f t="shared" si="113"/>
        <v>1</v>
      </c>
      <c r="BC346" s="116" t="e">
        <f>SUMIF(#REF!,#REF!, BB36:BB349)</f>
        <v>#REF!</v>
      </c>
      <c r="BD346" s="116">
        <f t="shared" si="114"/>
        <v>1</v>
      </c>
      <c r="BE346" s="116" t="e">
        <f>SUMIF(#REF!,#REF!, BD36:BD349)</f>
        <v>#REF!</v>
      </c>
      <c r="BF346" s="116">
        <f t="shared" si="115"/>
        <v>0</v>
      </c>
      <c r="BG346" s="116" t="e">
        <f>SUMIF(#REF!,#REF!, BF36:BF349)</f>
        <v>#REF!</v>
      </c>
      <c r="BH346" s="116" t="e">
        <f t="shared" si="116"/>
        <v>#REF!</v>
      </c>
      <c r="BI346" s="117">
        <f t="shared" ref="BI346" si="139">SUMIF(B36:B349, B346, BH36:BH349)</f>
        <v>0</v>
      </c>
      <c r="BJ346" s="118"/>
      <c r="BK346" s="92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4"/>
    </row>
    <row r="347" spans="1:82" hidden="1" x14ac:dyDescent="0.3">
      <c r="A347" s="68" t="s">
        <v>647</v>
      </c>
      <c r="B347" s="69"/>
      <c r="C347" s="70" t="s">
        <v>648</v>
      </c>
      <c r="D347" s="70" t="s">
        <v>649</v>
      </c>
      <c r="E347" s="71" t="s">
        <v>416</v>
      </c>
      <c r="F347" s="72" t="s">
        <v>109</v>
      </c>
      <c r="G347" s="73"/>
      <c r="H347" s="74" t="s">
        <v>103</v>
      </c>
      <c r="I347" s="72" t="s">
        <v>6</v>
      </c>
      <c r="J347" s="73" t="s">
        <v>6</v>
      </c>
      <c r="K347" s="75"/>
      <c r="L347" s="76"/>
      <c r="M347" s="77"/>
      <c r="N347" s="78" t="e">
        <v>#DIV/0!</v>
      </c>
      <c r="O347" s="79">
        <v>0</v>
      </c>
      <c r="P347" s="79" t="e">
        <v>#DIV/0!</v>
      </c>
      <c r="Q347" s="80"/>
      <c r="R347" s="155">
        <v>0</v>
      </c>
      <c r="S347" s="78" t="e">
        <v>#DIV/0!</v>
      </c>
      <c r="T347" s="79">
        <v>0</v>
      </c>
      <c r="U347" s="79" t="e">
        <v>#DIV/0!</v>
      </c>
      <c r="V347" s="80">
        <f t="shared" si="106"/>
        <v>0</v>
      </c>
      <c r="W347" s="82"/>
      <c r="X347" s="83"/>
      <c r="Y347" s="84" t="s">
        <v>104</v>
      </c>
      <c r="Z347" s="73" t="str">
        <f>'[1]Tier 1'!V347</f>
        <v>D</v>
      </c>
      <c r="AA347" s="73"/>
      <c r="AB347" s="73"/>
      <c r="AC347" s="73"/>
      <c r="AD347" s="74"/>
      <c r="AE347" s="78">
        <f>'[1]Tier 1'!W347</f>
        <v>0</v>
      </c>
      <c r="AF347" s="79"/>
      <c r="AG347" s="79">
        <f>'[1]Tier 1'!X347</f>
        <v>0</v>
      </c>
      <c r="AH347" s="79"/>
      <c r="AI347" s="79">
        <f>'[1]Tier 1'!Y347</f>
        <v>0</v>
      </c>
      <c r="AJ347" s="79">
        <f t="shared" si="107"/>
        <v>0</v>
      </c>
      <c r="AK347" s="79" t="e">
        <f>VLOOKUP(A347,#REF!,-1,FALSE)</f>
        <v>#REF!</v>
      </c>
      <c r="AL347" s="80" t="e">
        <f t="shared" si="108"/>
        <v>#REF!</v>
      </c>
      <c r="AM347" s="78" t="e">
        <f t="shared" si="125"/>
        <v>#DIV/0!</v>
      </c>
      <c r="AN347" s="85">
        <f t="shared" si="126"/>
        <v>0</v>
      </c>
      <c r="AO347" s="73" t="str">
        <f t="shared" si="127"/>
        <v>OK</v>
      </c>
      <c r="AP347" s="79">
        <f t="shared" si="128"/>
        <v>0</v>
      </c>
      <c r="AQ347" s="85">
        <f t="shared" si="129"/>
        <v>0</v>
      </c>
      <c r="AR347" s="73" t="str">
        <f t="shared" si="130"/>
        <v>OK</v>
      </c>
      <c r="AS347" s="79" t="e">
        <f t="shared" si="131"/>
        <v>#DIV/0!</v>
      </c>
      <c r="AT347" s="85">
        <f t="shared" si="132"/>
        <v>0</v>
      </c>
      <c r="AU347" s="86" t="str">
        <f t="shared" si="133"/>
        <v>OK</v>
      </c>
      <c r="AV347" s="79">
        <f t="shared" si="109"/>
        <v>0</v>
      </c>
      <c r="AW347" s="85" t="e">
        <f t="shared" si="110"/>
        <v>#REF!</v>
      </c>
      <c r="AX347" s="87" t="e">
        <f t="shared" si="111"/>
        <v>#REF!</v>
      </c>
      <c r="AY347" s="72"/>
      <c r="AZ347" s="73"/>
      <c r="BA347" s="77">
        <f t="shared" si="112"/>
        <v>0</v>
      </c>
      <c r="BB347" s="88" t="e">
        <f t="shared" si="113"/>
        <v>#DIV/0!</v>
      </c>
      <c r="BC347" s="89" t="e">
        <f>SUMIF(#REF!,#REF!, BB38:BB351)</f>
        <v>#REF!</v>
      </c>
      <c r="BD347" s="89">
        <f t="shared" si="114"/>
        <v>0</v>
      </c>
      <c r="BE347" s="89" t="e">
        <f>SUMIF(#REF!,#REF!, BD38:BD351)</f>
        <v>#REF!</v>
      </c>
      <c r="BF347" s="89" t="e">
        <f t="shared" si="115"/>
        <v>#DIV/0!</v>
      </c>
      <c r="BG347" s="89" t="e">
        <f>SUMIF(#REF!,#REF!, BF38:BF351)</f>
        <v>#REF!</v>
      </c>
      <c r="BH347" s="89" t="e">
        <f t="shared" si="116"/>
        <v>#REF!</v>
      </c>
      <c r="BI347" s="90">
        <f t="shared" ref="BI347" si="140">SUMIF(B38:B351, B347, BH38:BH351)</f>
        <v>0</v>
      </c>
      <c r="BJ347" s="91"/>
      <c r="BK347" s="92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4"/>
    </row>
    <row r="348" spans="1:82" x14ac:dyDescent="0.3">
      <c r="A348" s="95" t="s">
        <v>650</v>
      </c>
      <c r="B348" s="96"/>
      <c r="C348" s="97" t="s">
        <v>635</v>
      </c>
      <c r="D348" s="97" t="s">
        <v>113</v>
      </c>
      <c r="E348" s="98" t="s">
        <v>115</v>
      </c>
      <c r="F348" s="99" t="s">
        <v>103</v>
      </c>
      <c r="G348" s="100"/>
      <c r="H348" s="101" t="s">
        <v>103</v>
      </c>
      <c r="I348" s="99" t="s">
        <v>6</v>
      </c>
      <c r="J348" s="100" t="s">
        <v>6</v>
      </c>
      <c r="K348" s="102"/>
      <c r="L348" s="103"/>
      <c r="M348" s="104"/>
      <c r="N348" s="105">
        <v>5294</v>
      </c>
      <c r="O348" s="106">
        <v>5618</v>
      </c>
      <c r="P348" s="106">
        <v>5845</v>
      </c>
      <c r="Q348" s="107"/>
      <c r="R348" s="156">
        <v>0.09</v>
      </c>
      <c r="S348" s="105">
        <v>476</v>
      </c>
      <c r="T348" s="106">
        <v>506</v>
      </c>
      <c r="U348" s="106">
        <v>526</v>
      </c>
      <c r="V348" s="107">
        <f t="shared" si="106"/>
        <v>0</v>
      </c>
      <c r="W348" s="109"/>
      <c r="X348" s="110"/>
      <c r="Y348" s="111" t="s">
        <v>104</v>
      </c>
      <c r="Z348" s="100" t="str">
        <f>'[1]Tier 1'!V348</f>
        <v>D</v>
      </c>
      <c r="AA348" s="100"/>
      <c r="AB348" s="100"/>
      <c r="AC348" s="100"/>
      <c r="AD348" s="101"/>
      <c r="AE348" s="105">
        <f>'[1]Tier 1'!W348</f>
        <v>1962</v>
      </c>
      <c r="AF348" s="106"/>
      <c r="AG348" s="106">
        <f>'[1]Tier 1'!X348</f>
        <v>1962</v>
      </c>
      <c r="AH348" s="106"/>
      <c r="AI348" s="106">
        <f>'[1]Tier 1'!Y348</f>
        <v>1962</v>
      </c>
      <c r="AJ348" s="106">
        <f t="shared" si="107"/>
        <v>1765.8</v>
      </c>
      <c r="AK348" s="106" t="e">
        <f>VLOOKUP(A348,#REF!,-1,FALSE)</f>
        <v>#REF!</v>
      </c>
      <c r="AL348" s="107" t="e">
        <f t="shared" si="108"/>
        <v>#REF!</v>
      </c>
      <c r="AM348" s="105">
        <f t="shared" si="125"/>
        <v>476</v>
      </c>
      <c r="AN348" s="112">
        <f t="shared" si="126"/>
        <v>0.24299999999999999</v>
      </c>
      <c r="AO348" s="100" t="str">
        <f t="shared" si="127"/>
        <v>OK</v>
      </c>
      <c r="AP348" s="106">
        <f t="shared" si="128"/>
        <v>506</v>
      </c>
      <c r="AQ348" s="112">
        <f t="shared" si="129"/>
        <v>0.25800000000000001</v>
      </c>
      <c r="AR348" s="100" t="str">
        <f t="shared" si="130"/>
        <v>OK</v>
      </c>
      <c r="AS348" s="106">
        <f t="shared" si="131"/>
        <v>526</v>
      </c>
      <c r="AT348" s="112">
        <f t="shared" si="132"/>
        <v>0.26800000000000002</v>
      </c>
      <c r="AU348" s="113" t="str">
        <f t="shared" si="133"/>
        <v>OK</v>
      </c>
      <c r="AV348" s="106">
        <f t="shared" si="109"/>
        <v>0</v>
      </c>
      <c r="AW348" s="112" t="e">
        <f t="shared" si="110"/>
        <v>#REF!</v>
      </c>
      <c r="AX348" s="114" t="e">
        <f t="shared" si="111"/>
        <v>#REF!</v>
      </c>
      <c r="AY348" s="99"/>
      <c r="AZ348" s="100"/>
      <c r="BA348" s="104">
        <f t="shared" si="112"/>
        <v>0</v>
      </c>
      <c r="BB348" s="115">
        <f t="shared" si="113"/>
        <v>1</v>
      </c>
      <c r="BC348" s="116" t="e">
        <f>SUMIF(#REF!,#REF!, BB38:BB351)</f>
        <v>#REF!</v>
      </c>
      <c r="BD348" s="116">
        <f t="shared" si="114"/>
        <v>1</v>
      </c>
      <c r="BE348" s="116" t="e">
        <f>SUMIF(#REF!,#REF!, BD38:BD351)</f>
        <v>#REF!</v>
      </c>
      <c r="BF348" s="116">
        <f t="shared" si="115"/>
        <v>0</v>
      </c>
      <c r="BG348" s="116" t="e">
        <f>SUMIF(#REF!,#REF!, BF38:BF351)</f>
        <v>#REF!</v>
      </c>
      <c r="BH348" s="116" t="e">
        <f t="shared" si="116"/>
        <v>#REF!</v>
      </c>
      <c r="BI348" s="117">
        <f t="shared" ref="BI348" si="141">SUMIF(B38:B351, B348, BH38:BH351)</f>
        <v>0</v>
      </c>
      <c r="BJ348" s="118"/>
      <c r="BK348" s="92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4"/>
    </row>
    <row r="349" spans="1:82" x14ac:dyDescent="0.3">
      <c r="A349" s="68" t="s">
        <v>651</v>
      </c>
      <c r="B349" s="69"/>
      <c r="C349" s="70" t="s">
        <v>635</v>
      </c>
      <c r="D349" s="70" t="s">
        <v>115</v>
      </c>
      <c r="E349" s="71" t="s">
        <v>652</v>
      </c>
      <c r="F349" s="72" t="s">
        <v>103</v>
      </c>
      <c r="G349" s="73"/>
      <c r="H349" s="74" t="s">
        <v>103</v>
      </c>
      <c r="I349" s="72" t="s">
        <v>6</v>
      </c>
      <c r="J349" s="73" t="s">
        <v>6</v>
      </c>
      <c r="K349" s="75"/>
      <c r="L349" s="76"/>
      <c r="M349" s="77"/>
      <c r="N349" s="78">
        <v>5294</v>
      </c>
      <c r="O349" s="79">
        <v>5618</v>
      </c>
      <c r="P349" s="79">
        <v>5845</v>
      </c>
      <c r="Q349" s="80"/>
      <c r="R349" s="155">
        <v>0.09</v>
      </c>
      <c r="S349" s="78">
        <v>476</v>
      </c>
      <c r="T349" s="79">
        <v>506</v>
      </c>
      <c r="U349" s="79">
        <v>526</v>
      </c>
      <c r="V349" s="80">
        <f t="shared" si="106"/>
        <v>0</v>
      </c>
      <c r="W349" s="82"/>
      <c r="X349" s="83"/>
      <c r="Y349" s="84" t="s">
        <v>104</v>
      </c>
      <c r="Z349" s="73" t="str">
        <f>'[1]Tier 1'!V349</f>
        <v>D</v>
      </c>
      <c r="AA349" s="73"/>
      <c r="AB349" s="73"/>
      <c r="AC349" s="73"/>
      <c r="AD349" s="74"/>
      <c r="AE349" s="78">
        <f>'[1]Tier 1'!W349</f>
        <v>1962</v>
      </c>
      <c r="AF349" s="79"/>
      <c r="AG349" s="79">
        <f>'[1]Tier 1'!X349</f>
        <v>1962</v>
      </c>
      <c r="AH349" s="79"/>
      <c r="AI349" s="79">
        <f>'[1]Tier 1'!Y349</f>
        <v>1962</v>
      </c>
      <c r="AJ349" s="79">
        <f t="shared" si="107"/>
        <v>1765.8</v>
      </c>
      <c r="AK349" s="79" t="e">
        <f>VLOOKUP(A349,#REF!,-1,FALSE)</f>
        <v>#REF!</v>
      </c>
      <c r="AL349" s="80" t="e">
        <f t="shared" si="108"/>
        <v>#REF!</v>
      </c>
      <c r="AM349" s="78">
        <f t="shared" si="125"/>
        <v>476</v>
      </c>
      <c r="AN349" s="85">
        <f t="shared" si="126"/>
        <v>0.24299999999999999</v>
      </c>
      <c r="AO349" s="73" t="str">
        <f t="shared" si="127"/>
        <v>OK</v>
      </c>
      <c r="AP349" s="79">
        <f t="shared" si="128"/>
        <v>506</v>
      </c>
      <c r="AQ349" s="85">
        <f t="shared" si="129"/>
        <v>0.25800000000000001</v>
      </c>
      <c r="AR349" s="73" t="str">
        <f t="shared" si="130"/>
        <v>OK</v>
      </c>
      <c r="AS349" s="79">
        <f t="shared" si="131"/>
        <v>526</v>
      </c>
      <c r="AT349" s="85">
        <f t="shared" si="132"/>
        <v>0.26800000000000002</v>
      </c>
      <c r="AU349" s="86" t="str">
        <f t="shared" si="133"/>
        <v>OK</v>
      </c>
      <c r="AV349" s="79">
        <f t="shared" si="109"/>
        <v>0</v>
      </c>
      <c r="AW349" s="85" t="e">
        <f t="shared" si="110"/>
        <v>#REF!</v>
      </c>
      <c r="AX349" s="87" t="e">
        <f t="shared" si="111"/>
        <v>#REF!</v>
      </c>
      <c r="AY349" s="72"/>
      <c r="AZ349" s="73"/>
      <c r="BA349" s="77">
        <f t="shared" si="112"/>
        <v>0</v>
      </c>
      <c r="BB349" s="88">
        <f t="shared" si="113"/>
        <v>1</v>
      </c>
      <c r="BC349" s="89" t="e">
        <f>SUMIF(#REF!,#REF!, BB40:BB353)</f>
        <v>#REF!</v>
      </c>
      <c r="BD349" s="89">
        <f t="shared" si="114"/>
        <v>1</v>
      </c>
      <c r="BE349" s="89" t="e">
        <f>SUMIF(#REF!,#REF!, BD40:BD353)</f>
        <v>#REF!</v>
      </c>
      <c r="BF349" s="89">
        <f t="shared" si="115"/>
        <v>0</v>
      </c>
      <c r="BG349" s="89" t="e">
        <f>SUMIF(#REF!,#REF!, BF40:BF353)</f>
        <v>#REF!</v>
      </c>
      <c r="BH349" s="89" t="e">
        <f t="shared" si="116"/>
        <v>#REF!</v>
      </c>
      <c r="BI349" s="90">
        <f t="shared" ref="BI349" si="142">SUMIF(B40:B353, B349, BH40:BH353)</f>
        <v>0</v>
      </c>
      <c r="BJ349" s="91"/>
      <c r="BK349" s="92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4"/>
    </row>
    <row r="350" spans="1:82" x14ac:dyDescent="0.3">
      <c r="A350" s="95" t="s">
        <v>653</v>
      </c>
      <c r="B350" s="96"/>
      <c r="C350" s="97" t="s">
        <v>635</v>
      </c>
      <c r="D350" s="97" t="s">
        <v>652</v>
      </c>
      <c r="E350" s="98" t="s">
        <v>654</v>
      </c>
      <c r="F350" s="99" t="s">
        <v>103</v>
      </c>
      <c r="G350" s="100"/>
      <c r="H350" s="101" t="s">
        <v>103</v>
      </c>
      <c r="I350" s="99" t="s">
        <v>6</v>
      </c>
      <c r="J350" s="100" t="s">
        <v>6</v>
      </c>
      <c r="K350" s="102"/>
      <c r="L350" s="103"/>
      <c r="M350" s="104"/>
      <c r="N350" s="105">
        <v>5294</v>
      </c>
      <c r="O350" s="106">
        <v>5618</v>
      </c>
      <c r="P350" s="106">
        <v>5845</v>
      </c>
      <c r="Q350" s="107"/>
      <c r="R350" s="156">
        <v>0.09</v>
      </c>
      <c r="S350" s="105">
        <v>476</v>
      </c>
      <c r="T350" s="106">
        <v>506</v>
      </c>
      <c r="U350" s="106">
        <v>526</v>
      </c>
      <c r="V350" s="107">
        <f t="shared" si="106"/>
        <v>0</v>
      </c>
      <c r="W350" s="109"/>
      <c r="X350" s="110"/>
      <c r="Y350" s="111" t="s">
        <v>104</v>
      </c>
      <c r="Z350" s="100" t="str">
        <f>'[1]Tier 1'!V350</f>
        <v>D</v>
      </c>
      <c r="AA350" s="100"/>
      <c r="AB350" s="100"/>
      <c r="AC350" s="100"/>
      <c r="AD350" s="101"/>
      <c r="AE350" s="105">
        <f>'[1]Tier 1'!W350</f>
        <v>1962</v>
      </c>
      <c r="AF350" s="106"/>
      <c r="AG350" s="106">
        <f>'[1]Tier 1'!X350</f>
        <v>1962</v>
      </c>
      <c r="AH350" s="106"/>
      <c r="AI350" s="106">
        <f>'[1]Tier 1'!Y350</f>
        <v>1962</v>
      </c>
      <c r="AJ350" s="106">
        <f t="shared" si="107"/>
        <v>1765.8</v>
      </c>
      <c r="AK350" s="106" t="e">
        <f>VLOOKUP(A350,#REF!,-1,FALSE)</f>
        <v>#REF!</v>
      </c>
      <c r="AL350" s="107" t="e">
        <f t="shared" si="108"/>
        <v>#REF!</v>
      </c>
      <c r="AM350" s="105">
        <f t="shared" si="125"/>
        <v>476</v>
      </c>
      <c r="AN350" s="112">
        <f t="shared" si="126"/>
        <v>0.24299999999999999</v>
      </c>
      <c r="AO350" s="100" t="str">
        <f t="shared" si="127"/>
        <v>OK</v>
      </c>
      <c r="AP350" s="106">
        <f t="shared" si="128"/>
        <v>506</v>
      </c>
      <c r="AQ350" s="112">
        <f t="shared" si="129"/>
        <v>0.25800000000000001</v>
      </c>
      <c r="AR350" s="100" t="str">
        <f t="shared" si="130"/>
        <v>OK</v>
      </c>
      <c r="AS350" s="106">
        <f t="shared" si="131"/>
        <v>526</v>
      </c>
      <c r="AT350" s="112">
        <f t="shared" si="132"/>
        <v>0.26800000000000002</v>
      </c>
      <c r="AU350" s="113" t="str">
        <f t="shared" si="133"/>
        <v>OK</v>
      </c>
      <c r="AV350" s="106">
        <f t="shared" si="109"/>
        <v>0</v>
      </c>
      <c r="AW350" s="112" t="e">
        <f t="shared" si="110"/>
        <v>#REF!</v>
      </c>
      <c r="AX350" s="114" t="e">
        <f t="shared" si="111"/>
        <v>#REF!</v>
      </c>
      <c r="AY350" s="99"/>
      <c r="AZ350" s="100"/>
      <c r="BA350" s="104">
        <f t="shared" si="112"/>
        <v>0</v>
      </c>
      <c r="BB350" s="115">
        <f t="shared" si="113"/>
        <v>1</v>
      </c>
      <c r="BC350" s="116" t="e">
        <f>SUMIF(#REF!,#REF!, BB40:BB353)</f>
        <v>#REF!</v>
      </c>
      <c r="BD350" s="116">
        <f t="shared" si="114"/>
        <v>1</v>
      </c>
      <c r="BE350" s="116" t="e">
        <f>SUMIF(#REF!,#REF!, BD40:BD353)</f>
        <v>#REF!</v>
      </c>
      <c r="BF350" s="116">
        <f t="shared" si="115"/>
        <v>0</v>
      </c>
      <c r="BG350" s="116" t="e">
        <f>SUMIF(#REF!,#REF!, BF40:BF353)</f>
        <v>#REF!</v>
      </c>
      <c r="BH350" s="116" t="e">
        <f t="shared" si="116"/>
        <v>#REF!</v>
      </c>
      <c r="BI350" s="117">
        <f t="shared" ref="BI350" si="143">SUMIF(B40:B353, B350, BH40:BH353)</f>
        <v>0</v>
      </c>
      <c r="BJ350" s="118"/>
      <c r="BK350" s="92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4"/>
    </row>
    <row r="351" spans="1:82" x14ac:dyDescent="0.3">
      <c r="A351" s="68" t="s">
        <v>655</v>
      </c>
      <c r="B351" s="69"/>
      <c r="C351" s="70" t="s">
        <v>656</v>
      </c>
      <c r="D351" s="70" t="s">
        <v>494</v>
      </c>
      <c r="E351" s="71" t="s">
        <v>635</v>
      </c>
      <c r="F351" s="72" t="s">
        <v>103</v>
      </c>
      <c r="G351" s="73"/>
      <c r="H351" s="74" t="s">
        <v>103</v>
      </c>
      <c r="I351" s="72" t="s">
        <v>6</v>
      </c>
      <c r="J351" s="73" t="s">
        <v>6</v>
      </c>
      <c r="K351" s="75"/>
      <c r="L351" s="76"/>
      <c r="M351" s="77"/>
      <c r="N351" s="78">
        <v>4314</v>
      </c>
      <c r="O351" s="79">
        <v>4578</v>
      </c>
      <c r="P351" s="79">
        <v>4763</v>
      </c>
      <c r="Q351" s="80"/>
      <c r="R351" s="155">
        <v>0.09</v>
      </c>
      <c r="S351" s="78">
        <v>388</v>
      </c>
      <c r="T351" s="79">
        <v>412</v>
      </c>
      <c r="U351" s="79">
        <v>429</v>
      </c>
      <c r="V351" s="80">
        <f t="shared" si="106"/>
        <v>0</v>
      </c>
      <c r="W351" s="82"/>
      <c r="X351" s="83"/>
      <c r="Y351" s="84" t="s">
        <v>104</v>
      </c>
      <c r="Z351" s="73" t="str">
        <f>'[1]Tier 1'!V351</f>
        <v>D</v>
      </c>
      <c r="AA351" s="73"/>
      <c r="AB351" s="73"/>
      <c r="AC351" s="73"/>
      <c r="AD351" s="74"/>
      <c r="AE351" s="78">
        <f>'[1]Tier 1'!W351</f>
        <v>1962</v>
      </c>
      <c r="AF351" s="79"/>
      <c r="AG351" s="79">
        <f>'[1]Tier 1'!X351</f>
        <v>1962</v>
      </c>
      <c r="AH351" s="79"/>
      <c r="AI351" s="79">
        <f>'[1]Tier 1'!Y351</f>
        <v>1962</v>
      </c>
      <c r="AJ351" s="79">
        <f t="shared" si="107"/>
        <v>1765.8</v>
      </c>
      <c r="AK351" s="79" t="e">
        <f>VLOOKUP(A351,#REF!,-1,FALSE)</f>
        <v>#REF!</v>
      </c>
      <c r="AL351" s="80" t="e">
        <f t="shared" si="108"/>
        <v>#REF!</v>
      </c>
      <c r="AM351" s="78">
        <f t="shared" si="125"/>
        <v>388</v>
      </c>
      <c r="AN351" s="85">
        <f t="shared" si="126"/>
        <v>0.19800000000000001</v>
      </c>
      <c r="AO351" s="73" t="str">
        <f t="shared" si="127"/>
        <v>OK</v>
      </c>
      <c r="AP351" s="79">
        <f t="shared" si="128"/>
        <v>412</v>
      </c>
      <c r="AQ351" s="85">
        <f t="shared" si="129"/>
        <v>0.21</v>
      </c>
      <c r="AR351" s="73" t="str">
        <f t="shared" si="130"/>
        <v>OK</v>
      </c>
      <c r="AS351" s="79">
        <f t="shared" si="131"/>
        <v>429</v>
      </c>
      <c r="AT351" s="85">
        <f t="shared" si="132"/>
        <v>0.219</v>
      </c>
      <c r="AU351" s="86" t="str">
        <f t="shared" si="133"/>
        <v>OK</v>
      </c>
      <c r="AV351" s="79">
        <f t="shared" si="109"/>
        <v>0</v>
      </c>
      <c r="AW351" s="85" t="e">
        <f t="shared" si="110"/>
        <v>#REF!</v>
      </c>
      <c r="AX351" s="87" t="e">
        <f t="shared" si="111"/>
        <v>#REF!</v>
      </c>
      <c r="AY351" s="72"/>
      <c r="AZ351" s="73"/>
      <c r="BA351" s="77">
        <f t="shared" si="112"/>
        <v>0</v>
      </c>
      <c r="BB351" s="88">
        <f t="shared" si="113"/>
        <v>1</v>
      </c>
      <c r="BC351" s="89" t="e">
        <f>SUMIF(#REF!,#REF!, BB42:BB355)</f>
        <v>#REF!</v>
      </c>
      <c r="BD351" s="89">
        <f t="shared" si="114"/>
        <v>1</v>
      </c>
      <c r="BE351" s="89" t="e">
        <f>SUMIF(#REF!,#REF!, BD42:BD355)</f>
        <v>#REF!</v>
      </c>
      <c r="BF351" s="89">
        <f t="shared" si="115"/>
        <v>0</v>
      </c>
      <c r="BG351" s="89" t="e">
        <f>SUMIF(#REF!,#REF!, BF42:BF355)</f>
        <v>#REF!</v>
      </c>
      <c r="BH351" s="89" t="e">
        <f t="shared" si="116"/>
        <v>#REF!</v>
      </c>
      <c r="BI351" s="90">
        <f t="shared" ref="BI351" si="144">SUMIF(B42:B355, B351, BH42:BH355)</f>
        <v>0</v>
      </c>
      <c r="BJ351" s="91"/>
      <c r="BK351" s="92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4"/>
    </row>
    <row r="352" spans="1:82" hidden="1" x14ac:dyDescent="0.3">
      <c r="A352" s="95" t="s">
        <v>657</v>
      </c>
      <c r="B352" s="96"/>
      <c r="C352" s="97" t="s">
        <v>658</v>
      </c>
      <c r="D352" s="97" t="s">
        <v>635</v>
      </c>
      <c r="E352" s="98" t="s">
        <v>111</v>
      </c>
      <c r="F352" s="99" t="s">
        <v>103</v>
      </c>
      <c r="G352" s="100"/>
      <c r="H352" s="101" t="s">
        <v>103</v>
      </c>
      <c r="I352" s="99" t="s">
        <v>6</v>
      </c>
      <c r="J352" s="100" t="s">
        <v>6</v>
      </c>
      <c r="K352" s="102"/>
      <c r="L352" s="103"/>
      <c r="M352" s="104"/>
      <c r="N352" s="105" t="e">
        <v>#DIV/0!</v>
      </c>
      <c r="O352" s="106">
        <v>0</v>
      </c>
      <c r="P352" s="106" t="e">
        <v>#DIV/0!</v>
      </c>
      <c r="Q352" s="107"/>
      <c r="R352" s="156">
        <v>0.09</v>
      </c>
      <c r="S352" s="105" t="e">
        <v>#DIV/0!</v>
      </c>
      <c r="T352" s="106">
        <v>0</v>
      </c>
      <c r="U352" s="106" t="e">
        <v>#DIV/0!</v>
      </c>
      <c r="V352" s="107">
        <f t="shared" si="106"/>
        <v>0</v>
      </c>
      <c r="W352" s="109"/>
      <c r="X352" s="110"/>
      <c r="Y352" s="111" t="s">
        <v>104</v>
      </c>
      <c r="Z352" s="100" t="str">
        <f>'[1]Tier 1'!V352</f>
        <v>D</v>
      </c>
      <c r="AA352" s="100"/>
      <c r="AB352" s="100"/>
      <c r="AC352" s="100"/>
      <c r="AD352" s="101"/>
      <c r="AE352" s="105">
        <f>'[1]Tier 1'!W352</f>
        <v>1962</v>
      </c>
      <c r="AF352" s="106"/>
      <c r="AG352" s="106">
        <f>'[1]Tier 1'!X352</f>
        <v>1962</v>
      </c>
      <c r="AH352" s="106"/>
      <c r="AI352" s="106">
        <f>'[1]Tier 1'!Y352</f>
        <v>1962</v>
      </c>
      <c r="AJ352" s="106">
        <f t="shared" si="107"/>
        <v>1765.8</v>
      </c>
      <c r="AK352" s="106" t="e">
        <f>VLOOKUP(A352,#REF!,-1,FALSE)</f>
        <v>#REF!</v>
      </c>
      <c r="AL352" s="107" t="e">
        <f t="shared" si="108"/>
        <v>#REF!</v>
      </c>
      <c r="AM352" s="105" t="e">
        <f t="shared" si="125"/>
        <v>#DIV/0!</v>
      </c>
      <c r="AN352" s="112" t="e">
        <f t="shared" si="126"/>
        <v>#DIV/0!</v>
      </c>
      <c r="AO352" s="100" t="str">
        <f t="shared" si="127"/>
        <v>OK</v>
      </c>
      <c r="AP352" s="106">
        <f t="shared" si="128"/>
        <v>0</v>
      </c>
      <c r="AQ352" s="112">
        <f t="shared" si="129"/>
        <v>0</v>
      </c>
      <c r="AR352" s="100" t="str">
        <f t="shared" si="130"/>
        <v>OK</v>
      </c>
      <c r="AS352" s="106" t="e">
        <f t="shared" si="131"/>
        <v>#DIV/0!</v>
      </c>
      <c r="AT352" s="112" t="e">
        <f t="shared" si="132"/>
        <v>#DIV/0!</v>
      </c>
      <c r="AU352" s="113" t="str">
        <f t="shared" si="133"/>
        <v>OK</v>
      </c>
      <c r="AV352" s="106">
        <f t="shared" si="109"/>
        <v>0</v>
      </c>
      <c r="AW352" s="112" t="e">
        <f t="shared" si="110"/>
        <v>#REF!</v>
      </c>
      <c r="AX352" s="114" t="e">
        <f t="shared" si="111"/>
        <v>#REF!</v>
      </c>
      <c r="AY352" s="99"/>
      <c r="AZ352" s="100"/>
      <c r="BA352" s="104">
        <f t="shared" si="112"/>
        <v>0</v>
      </c>
      <c r="BB352" s="115" t="e">
        <f t="shared" si="113"/>
        <v>#DIV/0!</v>
      </c>
      <c r="BC352" s="116" t="e">
        <f>SUMIF(#REF!,#REF!, BB42:BB355)</f>
        <v>#REF!</v>
      </c>
      <c r="BD352" s="116">
        <f t="shared" si="114"/>
        <v>0</v>
      </c>
      <c r="BE352" s="116" t="e">
        <f>SUMIF(#REF!,#REF!, BD42:BD355)</f>
        <v>#REF!</v>
      </c>
      <c r="BF352" s="116" t="e">
        <f t="shared" si="115"/>
        <v>#DIV/0!</v>
      </c>
      <c r="BG352" s="116" t="e">
        <f>SUMIF(#REF!,#REF!, BF42:BF355)</f>
        <v>#REF!</v>
      </c>
      <c r="BH352" s="116" t="e">
        <f t="shared" si="116"/>
        <v>#REF!</v>
      </c>
      <c r="BI352" s="117">
        <f t="shared" ref="BI352" si="145">SUMIF(B42:B355, B352, BH42:BH355)</f>
        <v>0</v>
      </c>
      <c r="BJ352" s="118"/>
      <c r="BK352" s="92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4"/>
    </row>
    <row r="353" spans="1:82" x14ac:dyDescent="0.3">
      <c r="A353" s="68" t="s">
        <v>659</v>
      </c>
      <c r="B353" s="69"/>
      <c r="C353" s="70" t="s">
        <v>660</v>
      </c>
      <c r="D353" s="70" t="s">
        <v>130</v>
      </c>
      <c r="E353" s="71" t="s">
        <v>273</v>
      </c>
      <c r="F353" s="72" t="s">
        <v>103</v>
      </c>
      <c r="G353" s="73"/>
      <c r="H353" s="74" t="s">
        <v>103</v>
      </c>
      <c r="I353" s="72" t="s">
        <v>6</v>
      </c>
      <c r="J353" s="73" t="s">
        <v>6</v>
      </c>
      <c r="K353" s="75"/>
      <c r="L353" s="76"/>
      <c r="M353" s="77"/>
      <c r="N353" s="78">
        <v>1375</v>
      </c>
      <c r="O353" s="79">
        <v>1520</v>
      </c>
      <c r="P353" s="79">
        <v>1617</v>
      </c>
      <c r="Q353" s="80"/>
      <c r="R353" s="155">
        <v>0.09</v>
      </c>
      <c r="S353" s="78">
        <v>124</v>
      </c>
      <c r="T353" s="79">
        <v>137</v>
      </c>
      <c r="U353" s="79">
        <v>145</v>
      </c>
      <c r="V353" s="80">
        <f t="shared" ref="V353" si="146">ROUND(R353*Q353,0)</f>
        <v>0</v>
      </c>
      <c r="W353" s="82"/>
      <c r="X353" s="83"/>
      <c r="Y353" s="84" t="s">
        <v>104</v>
      </c>
      <c r="Z353" s="73" t="str">
        <f>'[1]Tier 1'!V353</f>
        <v>D</v>
      </c>
      <c r="AA353" s="73"/>
      <c r="AB353" s="73"/>
      <c r="AC353" s="73"/>
      <c r="AD353" s="74"/>
      <c r="AE353" s="78">
        <f>'[1]Tier 1'!W353</f>
        <v>1962</v>
      </c>
      <c r="AF353" s="79"/>
      <c r="AG353" s="79">
        <f>'[1]Tier 1'!X353</f>
        <v>1962</v>
      </c>
      <c r="AH353" s="79"/>
      <c r="AI353" s="79">
        <f>'[1]Tier 1'!Y353</f>
        <v>1962</v>
      </c>
      <c r="AJ353" s="79">
        <f t="shared" ref="AJ353" si="147">AI353 * 0.9</f>
        <v>1765.8</v>
      </c>
      <c r="AK353" s="79" t="e">
        <f>VLOOKUP(A353,#REF!,-1,FALSE)</f>
        <v>#REF!</v>
      </c>
      <c r="AL353" s="80" t="e">
        <f t="shared" ref="AL353" si="148">AK353 * 0.9</f>
        <v>#REF!</v>
      </c>
      <c r="AM353" s="78">
        <f t="shared" ref="AM353" si="149">S353+W353</f>
        <v>124</v>
      </c>
      <c r="AN353" s="85">
        <f t="shared" ref="AN353" si="150">IF(AE353&gt;0, ROUND(AM353/AE353,3),0)</f>
        <v>6.3E-2</v>
      </c>
      <c r="AO353" s="73" t="str">
        <f t="shared" ref="AO353" si="151">IF($W353&gt;0,IF(AN353&gt;0.8999,"Study 1", "OK"),"OK")</f>
        <v>OK</v>
      </c>
      <c r="AP353" s="79">
        <f t="shared" ref="AP353" si="152">T353+W353</f>
        <v>137</v>
      </c>
      <c r="AQ353" s="85">
        <f t="shared" ref="AQ353" si="153">IF(AG353&gt;0, ROUND(AP353/AG353,3),0)</f>
        <v>7.0000000000000007E-2</v>
      </c>
      <c r="AR353" s="73" t="str">
        <f t="shared" ref="AR353" si="154">IF($W353&gt;0,IF(AQ353&gt;0.8999,"Study 1", "OK"),"OK")</f>
        <v>OK</v>
      </c>
      <c r="AS353" s="79">
        <f t="shared" ref="AS353" si="155">U353+W353</f>
        <v>145</v>
      </c>
      <c r="AT353" s="85">
        <f t="shared" ref="AT353" si="156">IF(AI353&gt;0, ROUND(AS353/AI353,3),0)</f>
        <v>7.3999999999999996E-2</v>
      </c>
      <c r="AU353" s="86" t="str">
        <f t="shared" ref="AU353" si="157">IF($W353&gt;0,IF(AT353&gt;0.8999,"Study 1", "OK"),"OK")</f>
        <v>OK</v>
      </c>
      <c r="AV353" s="79">
        <f t="shared" ref="AV353" si="158">V353+W353</f>
        <v>0</v>
      </c>
      <c r="AW353" s="85" t="e">
        <f t="shared" ref="AW353" si="159">IF(AK353&gt;0, ROUND(AV353/AK353,3),0)</f>
        <v>#REF!</v>
      </c>
      <c r="AX353" s="87" t="e">
        <f t="shared" ref="AX353" si="160">IF(AND(V353=0, AV353&gt;0), "DATA1", IF(OR(AV353&gt;AL353,BI353&gt;0), IF(Y353="CONC. (ART-PLAN)", "STUDY 1", "STUDY 2"), "OK"))</f>
        <v>#REF!</v>
      </c>
      <c r="AY353" s="72"/>
      <c r="AZ353" s="73"/>
      <c r="BA353" s="77">
        <f t="shared" ref="BA353" si="161">IF(AG353&gt;0, X353/AG353, 0)</f>
        <v>0</v>
      </c>
      <c r="BB353" s="88">
        <f t="shared" ref="BB353" si="162">IF(AM353&gt;AF353,1,0)</f>
        <v>1</v>
      </c>
      <c r="BC353" s="89" t="e">
        <f>SUMIF(#REF!,#REF!, BB44:BB357)</f>
        <v>#REF!</v>
      </c>
      <c r="BD353" s="89">
        <f t="shared" ref="BD353" si="163">IF(AP353&gt;AH353,1,0)</f>
        <v>1</v>
      </c>
      <c r="BE353" s="89" t="e">
        <f>SUMIF(#REF!,#REF!, BD44:BD357)</f>
        <v>#REF!</v>
      </c>
      <c r="BF353" s="89">
        <f t="shared" ref="BF353" si="164">IF(AS353&gt;AJ353,1,0)</f>
        <v>0</v>
      </c>
      <c r="BG353" s="89" t="e">
        <f>SUMIF(#REF!,#REF!, BF44:BF357)</f>
        <v>#REF!</v>
      </c>
      <c r="BH353" s="89" t="e">
        <f t="shared" ref="BH353" si="165">IF(AV353&gt;AL353,1,0)</f>
        <v>#REF!</v>
      </c>
      <c r="BI353" s="90">
        <f t="shared" ref="BI353" si="166">SUMIF(B44:B357, B353, BH44:BH357)</f>
        <v>0</v>
      </c>
      <c r="BJ353" s="91"/>
      <c r="BK353" s="92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4"/>
    </row>
    <row r="354" spans="1:82" hidden="1" x14ac:dyDescent="0.3">
      <c r="A354" s="95" t="s">
        <v>661</v>
      </c>
      <c r="B354" s="96"/>
      <c r="C354" s="97" t="s">
        <v>662</v>
      </c>
      <c r="D354" s="97" t="s">
        <v>130</v>
      </c>
      <c r="E354" s="98" t="s">
        <v>102</v>
      </c>
      <c r="F354" s="99" t="s">
        <v>103</v>
      </c>
      <c r="G354" s="100"/>
      <c r="H354" s="101" t="s">
        <v>103</v>
      </c>
      <c r="I354" s="99" t="s">
        <v>6</v>
      </c>
      <c r="J354" s="100" t="s">
        <v>6</v>
      </c>
      <c r="K354" s="102"/>
      <c r="L354" s="103"/>
      <c r="M354" s="104"/>
      <c r="N354" s="105" t="e">
        <v>#DIV/0!</v>
      </c>
      <c r="O354" s="106">
        <v>0</v>
      </c>
      <c r="P354" s="106" t="e">
        <v>#DIV/0!</v>
      </c>
      <c r="Q354" s="107"/>
      <c r="R354" s="156">
        <v>0.09</v>
      </c>
      <c r="S354" s="105" t="e">
        <v>#DIV/0!</v>
      </c>
      <c r="T354" s="106">
        <v>0</v>
      </c>
      <c r="U354" s="106" t="e">
        <v>#DIV/0!</v>
      </c>
      <c r="V354" s="107">
        <f t="shared" ref="V354:V378" si="167">ROUND(R354*Q354,0)</f>
        <v>0</v>
      </c>
      <c r="W354" s="109"/>
      <c r="X354" s="110"/>
      <c r="Y354" s="111" t="s">
        <v>104</v>
      </c>
      <c r="Z354" s="100" t="str">
        <f>'[1]Tier 1'!V354</f>
        <v>D</v>
      </c>
      <c r="AA354" s="100"/>
      <c r="AB354" s="100"/>
      <c r="AC354" s="100"/>
      <c r="AD354" s="101"/>
      <c r="AE354" s="105">
        <f>'[1]Tier 1'!W354</f>
        <v>1962</v>
      </c>
      <c r="AF354" s="106"/>
      <c r="AG354" s="106">
        <f>'[1]Tier 1'!X354</f>
        <v>1962</v>
      </c>
      <c r="AH354" s="106"/>
      <c r="AI354" s="106">
        <f>'[1]Tier 1'!Y354</f>
        <v>1962</v>
      </c>
      <c r="AJ354" s="106">
        <f t="shared" ref="AJ354:AJ378" si="168">AI354 * 0.9</f>
        <v>1765.8</v>
      </c>
      <c r="AK354" s="106" t="e">
        <f>VLOOKUP(A354,#REF!,-1,FALSE)</f>
        <v>#REF!</v>
      </c>
      <c r="AL354" s="107" t="e">
        <f t="shared" ref="AL354:AL378" si="169">AK354 * 0.9</f>
        <v>#REF!</v>
      </c>
      <c r="AM354" s="105" t="e">
        <f t="shared" ref="AM354:AM378" si="170">S354+W354</f>
        <v>#DIV/0!</v>
      </c>
      <c r="AN354" s="112" t="e">
        <f t="shared" ref="AN354:AN378" si="171">IF(AE354&gt;0, ROUND(AM354/AE354,3),0)</f>
        <v>#DIV/0!</v>
      </c>
      <c r="AO354" s="100" t="str">
        <f t="shared" ref="AO354:AO378" si="172">IF($W354&gt;0,IF(AN354&gt;0.8999,"Study 1", "OK"),"OK")</f>
        <v>OK</v>
      </c>
      <c r="AP354" s="106">
        <f t="shared" ref="AP354:AP378" si="173">T354+W354</f>
        <v>0</v>
      </c>
      <c r="AQ354" s="112">
        <f t="shared" ref="AQ354:AQ378" si="174">IF(AG354&gt;0, ROUND(AP354/AG354,3),0)</f>
        <v>0</v>
      </c>
      <c r="AR354" s="100" t="str">
        <f t="shared" ref="AR354:AR378" si="175">IF($W354&gt;0,IF(AQ354&gt;0.8999,"Study 1", "OK"),"OK")</f>
        <v>OK</v>
      </c>
      <c r="AS354" s="106" t="e">
        <f t="shared" ref="AS354:AS378" si="176">U354+W354</f>
        <v>#DIV/0!</v>
      </c>
      <c r="AT354" s="112" t="e">
        <f t="shared" ref="AT354:AT378" si="177">IF(AI354&gt;0, ROUND(AS354/AI354,3),0)</f>
        <v>#DIV/0!</v>
      </c>
      <c r="AU354" s="113" t="str">
        <f t="shared" ref="AU354:AU378" si="178">IF($W354&gt;0,IF(AT354&gt;0.8999,"Study 1", "OK"),"OK")</f>
        <v>OK</v>
      </c>
      <c r="AV354" s="106">
        <f t="shared" ref="AV354:AV378" si="179">V354+W354</f>
        <v>0</v>
      </c>
      <c r="AW354" s="112" t="e">
        <f t="shared" ref="AW354:AW378" si="180">IF(AK354&gt;0, ROUND(AV354/AK354,3),0)</f>
        <v>#REF!</v>
      </c>
      <c r="AX354" s="114" t="e">
        <f t="shared" ref="AX354:AX378" si="181">IF(AND(V354=0, AV354&gt;0), "DATA1", IF(OR(AV354&gt;AL354,BI354&gt;0), IF(Y354="CONC. (ART-PLAN)", "STUDY 1", "STUDY 2"), "OK"))</f>
        <v>#REF!</v>
      </c>
      <c r="AY354" s="99"/>
      <c r="AZ354" s="100"/>
      <c r="BA354" s="104">
        <f t="shared" ref="BA354:BA378" si="182">IF(AG354&gt;0, X354/AG354, 0)</f>
        <v>0</v>
      </c>
      <c r="BB354" s="115" t="e">
        <f t="shared" ref="BB354:BB378" si="183">IF(AM354&gt;AF354,1,0)</f>
        <v>#DIV/0!</v>
      </c>
      <c r="BC354" s="116" t="e">
        <f>SUMIF(#REF!,#REF!, BB44:BB357)</f>
        <v>#REF!</v>
      </c>
      <c r="BD354" s="116">
        <f t="shared" ref="BD354:BD378" si="184">IF(AP354&gt;AH354,1,0)</f>
        <v>0</v>
      </c>
      <c r="BE354" s="116" t="e">
        <f>SUMIF(#REF!,#REF!, BD44:BD357)</f>
        <v>#REF!</v>
      </c>
      <c r="BF354" s="116" t="e">
        <f t="shared" ref="BF354:BF378" si="185">IF(AS354&gt;AJ354,1,0)</f>
        <v>#DIV/0!</v>
      </c>
      <c r="BG354" s="116" t="e">
        <f>SUMIF(#REF!,#REF!, BF44:BF357)</f>
        <v>#REF!</v>
      </c>
      <c r="BH354" s="116" t="e">
        <f t="shared" ref="BH354:BH378" si="186">IF(AV354&gt;AL354,1,0)</f>
        <v>#REF!</v>
      </c>
      <c r="BI354" s="117">
        <f t="shared" ref="BI354" si="187">SUMIF(B44:B357, B354, BH44:BH357)</f>
        <v>0</v>
      </c>
      <c r="BJ354" s="118"/>
      <c r="BK354" s="92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4"/>
    </row>
    <row r="355" spans="1:82" x14ac:dyDescent="0.3">
      <c r="A355" s="68" t="s">
        <v>663</v>
      </c>
      <c r="B355" s="69"/>
      <c r="C355" s="70" t="s">
        <v>664</v>
      </c>
      <c r="D355" s="70" t="s">
        <v>102</v>
      </c>
      <c r="E355" s="71" t="s">
        <v>547</v>
      </c>
      <c r="F355" s="72" t="s">
        <v>103</v>
      </c>
      <c r="G355" s="73"/>
      <c r="H355" s="74" t="s">
        <v>103</v>
      </c>
      <c r="I355" s="72" t="s">
        <v>6</v>
      </c>
      <c r="J355" s="73" t="s">
        <v>6</v>
      </c>
      <c r="K355" s="75"/>
      <c r="L355" s="76"/>
      <c r="M355" s="77"/>
      <c r="N355" s="78">
        <v>2980</v>
      </c>
      <c r="O355" s="79">
        <v>3256</v>
      </c>
      <c r="P355" s="79">
        <v>3440</v>
      </c>
      <c r="Q355" s="80"/>
      <c r="R355" s="155">
        <v>0.09</v>
      </c>
      <c r="S355" s="78">
        <v>268</v>
      </c>
      <c r="T355" s="79">
        <v>293</v>
      </c>
      <c r="U355" s="79">
        <v>310</v>
      </c>
      <c r="V355" s="80">
        <f t="shared" si="167"/>
        <v>0</v>
      </c>
      <c r="W355" s="82"/>
      <c r="X355" s="83"/>
      <c r="Y355" s="84" t="s">
        <v>104</v>
      </c>
      <c r="Z355" s="73" t="str">
        <f>'[1]Tier 1'!V355</f>
        <v>D</v>
      </c>
      <c r="AA355" s="73"/>
      <c r="AB355" s="73"/>
      <c r="AC355" s="73"/>
      <c r="AD355" s="74"/>
      <c r="AE355" s="78">
        <f>'[1]Tier 1'!W355</f>
        <v>1962</v>
      </c>
      <c r="AF355" s="79"/>
      <c r="AG355" s="79">
        <f>'[1]Tier 1'!X355</f>
        <v>1962</v>
      </c>
      <c r="AH355" s="79"/>
      <c r="AI355" s="79">
        <f>'[1]Tier 1'!Y355</f>
        <v>1962</v>
      </c>
      <c r="AJ355" s="79">
        <f t="shared" si="168"/>
        <v>1765.8</v>
      </c>
      <c r="AK355" s="79" t="e">
        <f>VLOOKUP(A355,#REF!,-1,FALSE)</f>
        <v>#REF!</v>
      </c>
      <c r="AL355" s="80" t="e">
        <f t="shared" si="169"/>
        <v>#REF!</v>
      </c>
      <c r="AM355" s="78">
        <f t="shared" si="170"/>
        <v>268</v>
      </c>
      <c r="AN355" s="85">
        <f t="shared" si="171"/>
        <v>0.13700000000000001</v>
      </c>
      <c r="AO355" s="73" t="str">
        <f t="shared" si="172"/>
        <v>OK</v>
      </c>
      <c r="AP355" s="79">
        <f t="shared" si="173"/>
        <v>293</v>
      </c>
      <c r="AQ355" s="85">
        <f t="shared" si="174"/>
        <v>0.14899999999999999</v>
      </c>
      <c r="AR355" s="73" t="str">
        <f t="shared" si="175"/>
        <v>OK</v>
      </c>
      <c r="AS355" s="79">
        <f t="shared" si="176"/>
        <v>310</v>
      </c>
      <c r="AT355" s="85">
        <f t="shared" si="177"/>
        <v>0.158</v>
      </c>
      <c r="AU355" s="86" t="str">
        <f t="shared" si="178"/>
        <v>OK</v>
      </c>
      <c r="AV355" s="79">
        <f t="shared" si="179"/>
        <v>0</v>
      </c>
      <c r="AW355" s="85" t="e">
        <f t="shared" si="180"/>
        <v>#REF!</v>
      </c>
      <c r="AX355" s="87" t="e">
        <f t="shared" si="181"/>
        <v>#REF!</v>
      </c>
      <c r="AY355" s="72"/>
      <c r="AZ355" s="73"/>
      <c r="BA355" s="77">
        <f t="shared" si="182"/>
        <v>0</v>
      </c>
      <c r="BB355" s="88">
        <f t="shared" si="183"/>
        <v>1</v>
      </c>
      <c r="BC355" s="89" t="e">
        <f>SUMIF(#REF!,#REF!, BB46:BB358)</f>
        <v>#REF!</v>
      </c>
      <c r="BD355" s="89">
        <f t="shared" si="184"/>
        <v>1</v>
      </c>
      <c r="BE355" s="89" t="e">
        <f>SUMIF(#REF!,#REF!, BD46:BD358)</f>
        <v>#REF!</v>
      </c>
      <c r="BF355" s="89">
        <f t="shared" si="185"/>
        <v>0</v>
      </c>
      <c r="BG355" s="89" t="e">
        <f>SUMIF(#REF!,#REF!, BF46:BF358)</f>
        <v>#REF!</v>
      </c>
      <c r="BH355" s="89" t="e">
        <f t="shared" si="186"/>
        <v>#REF!</v>
      </c>
      <c r="BI355" s="90">
        <f>SUMIF(B46:B358, B355, BH46:BH358)</f>
        <v>0</v>
      </c>
      <c r="BJ355" s="91"/>
      <c r="BK355" s="92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4"/>
    </row>
    <row r="356" spans="1:82" x14ac:dyDescent="0.3">
      <c r="A356" s="95" t="s">
        <v>665</v>
      </c>
      <c r="B356" s="96"/>
      <c r="C356" s="97" t="s">
        <v>664</v>
      </c>
      <c r="D356" s="97" t="s">
        <v>547</v>
      </c>
      <c r="E356" s="98" t="s">
        <v>666</v>
      </c>
      <c r="F356" s="99" t="s">
        <v>103</v>
      </c>
      <c r="G356" s="100"/>
      <c r="H356" s="101" t="s">
        <v>103</v>
      </c>
      <c r="I356" s="99" t="s">
        <v>6</v>
      </c>
      <c r="J356" s="100" t="s">
        <v>6</v>
      </c>
      <c r="K356" s="102"/>
      <c r="L356" s="103"/>
      <c r="M356" s="104"/>
      <c r="N356" s="105">
        <v>2980</v>
      </c>
      <c r="O356" s="106">
        <v>3256</v>
      </c>
      <c r="P356" s="106">
        <v>3440</v>
      </c>
      <c r="Q356" s="107"/>
      <c r="R356" s="156">
        <v>0.09</v>
      </c>
      <c r="S356" s="105">
        <v>268</v>
      </c>
      <c r="T356" s="106">
        <v>293</v>
      </c>
      <c r="U356" s="106">
        <v>310</v>
      </c>
      <c r="V356" s="107">
        <f t="shared" si="167"/>
        <v>0</v>
      </c>
      <c r="W356" s="109"/>
      <c r="X356" s="110"/>
      <c r="Y356" s="111" t="s">
        <v>104</v>
      </c>
      <c r="Z356" s="100" t="str">
        <f>'[1]Tier 1'!V356</f>
        <v>D</v>
      </c>
      <c r="AA356" s="100"/>
      <c r="AB356" s="100"/>
      <c r="AC356" s="100"/>
      <c r="AD356" s="101"/>
      <c r="AE356" s="105">
        <f>'[1]Tier 1'!W356</f>
        <v>1962</v>
      </c>
      <c r="AF356" s="106"/>
      <c r="AG356" s="106">
        <f>'[1]Tier 1'!X356</f>
        <v>1962</v>
      </c>
      <c r="AH356" s="106"/>
      <c r="AI356" s="106">
        <f>'[1]Tier 1'!Y356</f>
        <v>1962</v>
      </c>
      <c r="AJ356" s="106">
        <f t="shared" si="168"/>
        <v>1765.8</v>
      </c>
      <c r="AK356" s="106" t="e">
        <f>VLOOKUP(A356,#REF!,-1,FALSE)</f>
        <v>#REF!</v>
      </c>
      <c r="AL356" s="107" t="e">
        <f t="shared" si="169"/>
        <v>#REF!</v>
      </c>
      <c r="AM356" s="105">
        <f t="shared" si="170"/>
        <v>268</v>
      </c>
      <c r="AN356" s="112">
        <f t="shared" si="171"/>
        <v>0.13700000000000001</v>
      </c>
      <c r="AO356" s="100" t="str">
        <f t="shared" si="172"/>
        <v>OK</v>
      </c>
      <c r="AP356" s="106">
        <f t="shared" si="173"/>
        <v>293</v>
      </c>
      <c r="AQ356" s="112">
        <f t="shared" si="174"/>
        <v>0.14899999999999999</v>
      </c>
      <c r="AR356" s="100" t="str">
        <f t="shared" si="175"/>
        <v>OK</v>
      </c>
      <c r="AS356" s="106">
        <f t="shared" si="176"/>
        <v>310</v>
      </c>
      <c r="AT356" s="112">
        <f t="shared" si="177"/>
        <v>0.158</v>
      </c>
      <c r="AU356" s="113" t="str">
        <f t="shared" si="178"/>
        <v>OK</v>
      </c>
      <c r="AV356" s="106">
        <f t="shared" si="179"/>
        <v>0</v>
      </c>
      <c r="AW356" s="112" t="e">
        <f t="shared" si="180"/>
        <v>#REF!</v>
      </c>
      <c r="AX356" s="114" t="e">
        <f t="shared" si="181"/>
        <v>#REF!</v>
      </c>
      <c r="AY356" s="99"/>
      <c r="AZ356" s="100"/>
      <c r="BA356" s="104">
        <f t="shared" si="182"/>
        <v>0</v>
      </c>
      <c r="BB356" s="115">
        <f t="shared" si="183"/>
        <v>1</v>
      </c>
      <c r="BC356" s="116" t="e">
        <f>SUMIF(#REF!,#REF!, BB46:BB358)</f>
        <v>#REF!</v>
      </c>
      <c r="BD356" s="116">
        <f t="shared" si="184"/>
        <v>1</v>
      </c>
      <c r="BE356" s="116" t="e">
        <f>SUMIF(#REF!,#REF!, BD46:BD358)</f>
        <v>#REF!</v>
      </c>
      <c r="BF356" s="116">
        <f t="shared" si="185"/>
        <v>0</v>
      </c>
      <c r="BG356" s="116" t="e">
        <f>SUMIF(#REF!,#REF!, BF46:BF358)</f>
        <v>#REF!</v>
      </c>
      <c r="BH356" s="116" t="e">
        <f t="shared" si="186"/>
        <v>#REF!</v>
      </c>
      <c r="BI356" s="117">
        <f>SUMIF(B46:B358, B356, BH46:BH358)</f>
        <v>0</v>
      </c>
      <c r="BJ356" s="118"/>
      <c r="BK356" s="92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4"/>
    </row>
    <row r="357" spans="1:82" x14ac:dyDescent="0.3">
      <c r="A357" s="68" t="s">
        <v>667</v>
      </c>
      <c r="B357" s="69"/>
      <c r="C357" s="70" t="s">
        <v>664</v>
      </c>
      <c r="D357" s="70" t="s">
        <v>666</v>
      </c>
      <c r="E357" s="71" t="s">
        <v>668</v>
      </c>
      <c r="F357" s="72" t="s">
        <v>103</v>
      </c>
      <c r="G357" s="73"/>
      <c r="H357" s="74" t="s">
        <v>103</v>
      </c>
      <c r="I357" s="72" t="s">
        <v>6</v>
      </c>
      <c r="J357" s="73" t="s">
        <v>6</v>
      </c>
      <c r="K357" s="75"/>
      <c r="L357" s="76"/>
      <c r="M357" s="77"/>
      <c r="N357" s="78">
        <v>2980</v>
      </c>
      <c r="O357" s="79">
        <v>3256</v>
      </c>
      <c r="P357" s="79">
        <v>3440</v>
      </c>
      <c r="Q357" s="80"/>
      <c r="R357" s="155">
        <v>0.09</v>
      </c>
      <c r="S357" s="78">
        <v>268</v>
      </c>
      <c r="T357" s="79">
        <v>293</v>
      </c>
      <c r="U357" s="79">
        <v>310</v>
      </c>
      <c r="V357" s="80">
        <f t="shared" si="167"/>
        <v>0</v>
      </c>
      <c r="W357" s="82"/>
      <c r="X357" s="83"/>
      <c r="Y357" s="84" t="s">
        <v>104</v>
      </c>
      <c r="Z357" s="73" t="str">
        <f>'[1]Tier 1'!V357</f>
        <v>D</v>
      </c>
      <c r="AA357" s="73"/>
      <c r="AB357" s="73"/>
      <c r="AC357" s="73"/>
      <c r="AD357" s="74"/>
      <c r="AE357" s="78">
        <f>'[1]Tier 1'!W357</f>
        <v>1962</v>
      </c>
      <c r="AF357" s="79"/>
      <c r="AG357" s="79">
        <f>'[1]Tier 1'!X357</f>
        <v>1962</v>
      </c>
      <c r="AH357" s="79"/>
      <c r="AI357" s="79">
        <f>'[1]Tier 1'!Y357</f>
        <v>1962</v>
      </c>
      <c r="AJ357" s="79">
        <f t="shared" si="168"/>
        <v>1765.8</v>
      </c>
      <c r="AK357" s="79" t="e">
        <f>VLOOKUP(A357,#REF!,-1,FALSE)</f>
        <v>#REF!</v>
      </c>
      <c r="AL357" s="80" t="e">
        <f t="shared" si="169"/>
        <v>#REF!</v>
      </c>
      <c r="AM357" s="78">
        <f t="shared" si="170"/>
        <v>268</v>
      </c>
      <c r="AN357" s="85">
        <f t="shared" si="171"/>
        <v>0.13700000000000001</v>
      </c>
      <c r="AO357" s="73" t="str">
        <f t="shared" si="172"/>
        <v>OK</v>
      </c>
      <c r="AP357" s="79">
        <f t="shared" si="173"/>
        <v>293</v>
      </c>
      <c r="AQ357" s="85">
        <f t="shared" si="174"/>
        <v>0.14899999999999999</v>
      </c>
      <c r="AR357" s="73" t="str">
        <f t="shared" si="175"/>
        <v>OK</v>
      </c>
      <c r="AS357" s="79">
        <f t="shared" si="176"/>
        <v>310</v>
      </c>
      <c r="AT357" s="85">
        <f t="shared" si="177"/>
        <v>0.158</v>
      </c>
      <c r="AU357" s="86" t="str">
        <f t="shared" si="178"/>
        <v>OK</v>
      </c>
      <c r="AV357" s="79">
        <f t="shared" si="179"/>
        <v>0</v>
      </c>
      <c r="AW357" s="85" t="e">
        <f t="shared" si="180"/>
        <v>#REF!</v>
      </c>
      <c r="AX357" s="87" t="e">
        <f t="shared" si="181"/>
        <v>#REF!</v>
      </c>
      <c r="AY357" s="72"/>
      <c r="AZ357" s="73"/>
      <c r="BA357" s="77">
        <f t="shared" si="182"/>
        <v>0</v>
      </c>
      <c r="BB357" s="88">
        <f t="shared" si="183"/>
        <v>1</v>
      </c>
      <c r="BC357" s="89" t="e">
        <f>SUMIF(#REF!,#REF!, BB48:BB360)</f>
        <v>#REF!</v>
      </c>
      <c r="BD357" s="89">
        <f t="shared" si="184"/>
        <v>1</v>
      </c>
      <c r="BE357" s="89" t="e">
        <f>SUMIF(#REF!,#REF!, BD48:BD360)</f>
        <v>#REF!</v>
      </c>
      <c r="BF357" s="89">
        <f t="shared" si="185"/>
        <v>0</v>
      </c>
      <c r="BG357" s="89" t="e">
        <f>SUMIF(#REF!,#REF!, BF48:BF360)</f>
        <v>#REF!</v>
      </c>
      <c r="BH357" s="89" t="e">
        <f t="shared" si="186"/>
        <v>#REF!</v>
      </c>
      <c r="BI357" s="90">
        <f>SUMIF(B48:B360, B357, BH48:BH360)</f>
        <v>0</v>
      </c>
      <c r="BJ357" s="91"/>
      <c r="BK357" s="92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4"/>
    </row>
    <row r="358" spans="1:82" x14ac:dyDescent="0.3">
      <c r="A358" s="95" t="s">
        <v>669</v>
      </c>
      <c r="B358" s="96"/>
      <c r="C358" s="97" t="s">
        <v>664</v>
      </c>
      <c r="D358" s="97" t="s">
        <v>668</v>
      </c>
      <c r="E358" s="98" t="s">
        <v>670</v>
      </c>
      <c r="F358" s="99" t="s">
        <v>103</v>
      </c>
      <c r="G358" s="100"/>
      <c r="H358" s="101" t="s">
        <v>109</v>
      </c>
      <c r="I358" s="99" t="s">
        <v>6</v>
      </c>
      <c r="J358" s="100" t="s">
        <v>6</v>
      </c>
      <c r="K358" s="102"/>
      <c r="L358" s="103"/>
      <c r="M358" s="104"/>
      <c r="N358" s="105">
        <v>2980</v>
      </c>
      <c r="O358" s="106">
        <v>3256</v>
      </c>
      <c r="P358" s="106">
        <v>3440</v>
      </c>
      <c r="Q358" s="107"/>
      <c r="R358" s="156">
        <v>0.09</v>
      </c>
      <c r="S358" s="105">
        <v>268</v>
      </c>
      <c r="T358" s="106">
        <v>293</v>
      </c>
      <c r="U358" s="106">
        <v>310</v>
      </c>
      <c r="V358" s="107">
        <f t="shared" si="167"/>
        <v>0</v>
      </c>
      <c r="W358" s="109"/>
      <c r="X358" s="110"/>
      <c r="Y358" s="111" t="s">
        <v>104</v>
      </c>
      <c r="Z358" s="100" t="str">
        <f>'[1]Tier 1'!V358</f>
        <v>D</v>
      </c>
      <c r="AA358" s="100"/>
      <c r="AB358" s="100"/>
      <c r="AC358" s="100"/>
      <c r="AD358" s="101"/>
      <c r="AE358" s="105">
        <f>'[1]Tier 1'!W358</f>
        <v>1962</v>
      </c>
      <c r="AF358" s="106"/>
      <c r="AG358" s="106">
        <f>'[1]Tier 1'!X358</f>
        <v>1962</v>
      </c>
      <c r="AH358" s="106"/>
      <c r="AI358" s="106">
        <f>'[1]Tier 1'!Y358</f>
        <v>1962</v>
      </c>
      <c r="AJ358" s="106">
        <f t="shared" si="168"/>
        <v>1765.8</v>
      </c>
      <c r="AK358" s="106" t="e">
        <f>VLOOKUP(A358,#REF!,-1,FALSE)</f>
        <v>#REF!</v>
      </c>
      <c r="AL358" s="107" t="e">
        <f t="shared" si="169"/>
        <v>#REF!</v>
      </c>
      <c r="AM358" s="105">
        <f t="shared" si="170"/>
        <v>268</v>
      </c>
      <c r="AN358" s="112">
        <f t="shared" si="171"/>
        <v>0.13700000000000001</v>
      </c>
      <c r="AO358" s="100" t="str">
        <f t="shared" si="172"/>
        <v>OK</v>
      </c>
      <c r="AP358" s="106">
        <f t="shared" si="173"/>
        <v>293</v>
      </c>
      <c r="AQ358" s="112">
        <f t="shared" si="174"/>
        <v>0.14899999999999999</v>
      </c>
      <c r="AR358" s="100" t="str">
        <f t="shared" si="175"/>
        <v>OK</v>
      </c>
      <c r="AS358" s="106">
        <f t="shared" si="176"/>
        <v>310</v>
      </c>
      <c r="AT358" s="112">
        <f t="shared" si="177"/>
        <v>0.158</v>
      </c>
      <c r="AU358" s="113" t="str">
        <f t="shared" si="178"/>
        <v>OK</v>
      </c>
      <c r="AV358" s="106">
        <f t="shared" si="179"/>
        <v>0</v>
      </c>
      <c r="AW358" s="112" t="e">
        <f t="shared" si="180"/>
        <v>#REF!</v>
      </c>
      <c r="AX358" s="114" t="e">
        <f t="shared" si="181"/>
        <v>#REF!</v>
      </c>
      <c r="AY358" s="99"/>
      <c r="AZ358" s="100"/>
      <c r="BA358" s="104">
        <f t="shared" si="182"/>
        <v>0</v>
      </c>
      <c r="BB358" s="115">
        <f t="shared" si="183"/>
        <v>1</v>
      </c>
      <c r="BC358" s="116" t="e">
        <f>SUMIF(#REF!,#REF!, BB47:BB359)</f>
        <v>#REF!</v>
      </c>
      <c r="BD358" s="116">
        <f t="shared" si="184"/>
        <v>1</v>
      </c>
      <c r="BE358" s="116" t="e">
        <f>SUMIF(#REF!,#REF!, BD47:BD359)</f>
        <v>#REF!</v>
      </c>
      <c r="BF358" s="116">
        <f t="shared" si="185"/>
        <v>0</v>
      </c>
      <c r="BG358" s="116" t="e">
        <f>SUMIF(#REF!,#REF!, BF47:BF359)</f>
        <v>#REF!</v>
      </c>
      <c r="BH358" s="116" t="e">
        <f t="shared" si="186"/>
        <v>#REF!</v>
      </c>
      <c r="BI358" s="117">
        <f>SUMIF(B47:B359, B358, BH47:BH359)</f>
        <v>0</v>
      </c>
      <c r="BJ358" s="118"/>
      <c r="BK358" s="92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4"/>
    </row>
    <row r="359" spans="1:82" x14ac:dyDescent="0.3">
      <c r="A359" s="68" t="s">
        <v>671</v>
      </c>
      <c r="B359" s="69"/>
      <c r="C359" s="70" t="s">
        <v>664</v>
      </c>
      <c r="D359" s="70" t="s">
        <v>670</v>
      </c>
      <c r="E359" s="71" t="s">
        <v>228</v>
      </c>
      <c r="F359" s="72" t="s">
        <v>103</v>
      </c>
      <c r="G359" s="73"/>
      <c r="H359" s="74" t="s">
        <v>118</v>
      </c>
      <c r="I359" s="72" t="s">
        <v>6</v>
      </c>
      <c r="J359" s="73" t="s">
        <v>6</v>
      </c>
      <c r="K359" s="75"/>
      <c r="L359" s="76"/>
      <c r="M359" s="77"/>
      <c r="N359" s="78">
        <v>2980</v>
      </c>
      <c r="O359" s="79">
        <v>3256</v>
      </c>
      <c r="P359" s="79">
        <v>3440</v>
      </c>
      <c r="Q359" s="80"/>
      <c r="R359" s="155">
        <v>0.09</v>
      </c>
      <c r="S359" s="78">
        <v>268</v>
      </c>
      <c r="T359" s="79">
        <v>293</v>
      </c>
      <c r="U359" s="79">
        <v>310</v>
      </c>
      <c r="V359" s="80">
        <f t="shared" si="167"/>
        <v>0</v>
      </c>
      <c r="W359" s="82"/>
      <c r="X359" s="83"/>
      <c r="Y359" s="84" t="s">
        <v>104</v>
      </c>
      <c r="Z359" s="73" t="str">
        <f>'[1]Tier 1'!V359</f>
        <v>D</v>
      </c>
      <c r="AA359" s="73"/>
      <c r="AB359" s="73"/>
      <c r="AC359" s="73"/>
      <c r="AD359" s="74"/>
      <c r="AE359" s="78">
        <f>'[1]Tier 1'!W359</f>
        <v>1962</v>
      </c>
      <c r="AF359" s="79"/>
      <c r="AG359" s="79">
        <f>'[1]Tier 1'!X359</f>
        <v>1962</v>
      </c>
      <c r="AH359" s="79"/>
      <c r="AI359" s="79">
        <f>'[1]Tier 1'!Y359</f>
        <v>1962</v>
      </c>
      <c r="AJ359" s="79">
        <f t="shared" si="168"/>
        <v>1765.8</v>
      </c>
      <c r="AK359" s="79" t="e">
        <f>VLOOKUP(A359,#REF!,-1,FALSE)</f>
        <v>#REF!</v>
      </c>
      <c r="AL359" s="80" t="e">
        <f t="shared" si="169"/>
        <v>#REF!</v>
      </c>
      <c r="AM359" s="78">
        <f t="shared" si="170"/>
        <v>268</v>
      </c>
      <c r="AN359" s="85">
        <f t="shared" si="171"/>
        <v>0.13700000000000001</v>
      </c>
      <c r="AO359" s="73" t="str">
        <f t="shared" si="172"/>
        <v>OK</v>
      </c>
      <c r="AP359" s="79">
        <f t="shared" si="173"/>
        <v>293</v>
      </c>
      <c r="AQ359" s="85">
        <f t="shared" si="174"/>
        <v>0.14899999999999999</v>
      </c>
      <c r="AR359" s="73" t="str">
        <f t="shared" si="175"/>
        <v>OK</v>
      </c>
      <c r="AS359" s="79">
        <f t="shared" si="176"/>
        <v>310</v>
      </c>
      <c r="AT359" s="85">
        <f t="shared" si="177"/>
        <v>0.158</v>
      </c>
      <c r="AU359" s="86" t="str">
        <f t="shared" si="178"/>
        <v>OK</v>
      </c>
      <c r="AV359" s="79">
        <f t="shared" si="179"/>
        <v>0</v>
      </c>
      <c r="AW359" s="85" t="e">
        <f t="shared" si="180"/>
        <v>#REF!</v>
      </c>
      <c r="AX359" s="87" t="e">
        <f t="shared" si="181"/>
        <v>#REF!</v>
      </c>
      <c r="AY359" s="72"/>
      <c r="AZ359" s="73"/>
      <c r="BA359" s="77">
        <f t="shared" si="182"/>
        <v>0</v>
      </c>
      <c r="BB359" s="88">
        <f t="shared" si="183"/>
        <v>1</v>
      </c>
      <c r="BC359" s="89" t="e">
        <f>SUMIF(#REF!,#REF!, BB51:BB363)</f>
        <v>#REF!</v>
      </c>
      <c r="BD359" s="89">
        <f t="shared" si="184"/>
        <v>1</v>
      </c>
      <c r="BE359" s="89" t="e">
        <f>SUMIF(#REF!,#REF!, BD51:BD363)</f>
        <v>#REF!</v>
      </c>
      <c r="BF359" s="89">
        <f t="shared" si="185"/>
        <v>0</v>
      </c>
      <c r="BG359" s="89" t="e">
        <f>SUMIF(#REF!,#REF!, BF51:BF363)</f>
        <v>#REF!</v>
      </c>
      <c r="BH359" s="89" t="e">
        <f t="shared" si="186"/>
        <v>#REF!</v>
      </c>
      <c r="BI359" s="90">
        <f>SUMIF(B51:B363, B359, BH51:BH363)</f>
        <v>0</v>
      </c>
      <c r="BJ359" s="91"/>
      <c r="BK359" s="92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4"/>
    </row>
    <row r="360" spans="1:82" hidden="1" x14ac:dyDescent="0.3">
      <c r="A360" s="95" t="s">
        <v>672</v>
      </c>
      <c r="B360" s="96"/>
      <c r="C360" s="97" t="s">
        <v>673</v>
      </c>
      <c r="D360" s="97" t="s">
        <v>185</v>
      </c>
      <c r="E360" s="98" t="s">
        <v>427</v>
      </c>
      <c r="F360" s="99" t="s">
        <v>103</v>
      </c>
      <c r="G360" s="100"/>
      <c r="H360" s="101" t="s">
        <v>109</v>
      </c>
      <c r="I360" s="99" t="s">
        <v>6</v>
      </c>
      <c r="J360" s="100" t="s">
        <v>6</v>
      </c>
      <c r="K360" s="102"/>
      <c r="L360" s="103"/>
      <c r="M360" s="104"/>
      <c r="N360" s="105" t="e">
        <v>#DIV/0!</v>
      </c>
      <c r="O360" s="106">
        <v>0</v>
      </c>
      <c r="P360" s="106" t="e">
        <v>#DIV/0!</v>
      </c>
      <c r="Q360" s="107"/>
      <c r="R360" s="156">
        <v>0.09</v>
      </c>
      <c r="S360" s="105" t="e">
        <v>#DIV/0!</v>
      </c>
      <c r="T360" s="106">
        <v>0</v>
      </c>
      <c r="U360" s="106" t="e">
        <v>#DIV/0!</v>
      </c>
      <c r="V360" s="107">
        <f t="shared" si="167"/>
        <v>0</v>
      </c>
      <c r="W360" s="109"/>
      <c r="X360" s="110"/>
      <c r="Y360" s="111" t="s">
        <v>104</v>
      </c>
      <c r="Z360" s="100" t="str">
        <f>'[1]Tier 1'!V360</f>
        <v>D</v>
      </c>
      <c r="AA360" s="100"/>
      <c r="AB360" s="100"/>
      <c r="AC360" s="100"/>
      <c r="AD360" s="101"/>
      <c r="AE360" s="105">
        <f>'[1]Tier 1'!W360</f>
        <v>1962</v>
      </c>
      <c r="AF360" s="106"/>
      <c r="AG360" s="106">
        <f>'[1]Tier 1'!X360</f>
        <v>1962</v>
      </c>
      <c r="AH360" s="106"/>
      <c r="AI360" s="106">
        <f>'[1]Tier 1'!Y360</f>
        <v>0</v>
      </c>
      <c r="AJ360" s="106">
        <f t="shared" si="168"/>
        <v>0</v>
      </c>
      <c r="AK360" s="106" t="e">
        <f>VLOOKUP(A360,#REF!,-1,FALSE)</f>
        <v>#REF!</v>
      </c>
      <c r="AL360" s="107" t="e">
        <f t="shared" si="169"/>
        <v>#REF!</v>
      </c>
      <c r="AM360" s="105" t="e">
        <f t="shared" si="170"/>
        <v>#DIV/0!</v>
      </c>
      <c r="AN360" s="112" t="e">
        <f t="shared" si="171"/>
        <v>#DIV/0!</v>
      </c>
      <c r="AO360" s="100" t="str">
        <f t="shared" si="172"/>
        <v>OK</v>
      </c>
      <c r="AP360" s="106">
        <f t="shared" si="173"/>
        <v>0</v>
      </c>
      <c r="AQ360" s="112">
        <f t="shared" si="174"/>
        <v>0</v>
      </c>
      <c r="AR360" s="100" t="str">
        <f t="shared" si="175"/>
        <v>OK</v>
      </c>
      <c r="AS360" s="106" t="e">
        <f t="shared" si="176"/>
        <v>#DIV/0!</v>
      </c>
      <c r="AT360" s="112">
        <f t="shared" si="177"/>
        <v>0</v>
      </c>
      <c r="AU360" s="113" t="str">
        <f t="shared" si="178"/>
        <v>OK</v>
      </c>
      <c r="AV360" s="106">
        <f t="shared" si="179"/>
        <v>0</v>
      </c>
      <c r="AW360" s="112" t="e">
        <f t="shared" si="180"/>
        <v>#REF!</v>
      </c>
      <c r="AX360" s="114" t="e">
        <f t="shared" si="181"/>
        <v>#REF!</v>
      </c>
      <c r="AY360" s="99"/>
      <c r="AZ360" s="100"/>
      <c r="BA360" s="104">
        <f t="shared" si="182"/>
        <v>0</v>
      </c>
      <c r="BB360" s="115" t="e">
        <f t="shared" si="183"/>
        <v>#DIV/0!</v>
      </c>
      <c r="BC360" s="116" t="e">
        <f>SUMIF(#REF!,#REF!, BB51:BB363)</f>
        <v>#REF!</v>
      </c>
      <c r="BD360" s="116">
        <f t="shared" si="184"/>
        <v>0</v>
      </c>
      <c r="BE360" s="116" t="e">
        <f>SUMIF(#REF!,#REF!, BD51:BD363)</f>
        <v>#REF!</v>
      </c>
      <c r="BF360" s="116" t="e">
        <f t="shared" si="185"/>
        <v>#DIV/0!</v>
      </c>
      <c r="BG360" s="116" t="e">
        <f>SUMIF(#REF!,#REF!, BF51:BF363)</f>
        <v>#REF!</v>
      </c>
      <c r="BH360" s="116" t="e">
        <f t="shared" si="186"/>
        <v>#REF!</v>
      </c>
      <c r="BI360" s="117">
        <f>SUMIF(B51:B363, B360, BH51:BH363)</f>
        <v>0</v>
      </c>
      <c r="BJ360" s="118"/>
      <c r="BK360" s="92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4"/>
    </row>
    <row r="361" spans="1:82" hidden="1" x14ac:dyDescent="0.3">
      <c r="A361" s="68" t="s">
        <v>674</v>
      </c>
      <c r="B361" s="69"/>
      <c r="C361" s="70" t="s">
        <v>673</v>
      </c>
      <c r="D361" s="70" t="s">
        <v>427</v>
      </c>
      <c r="E361" s="71" t="s">
        <v>675</v>
      </c>
      <c r="F361" s="72" t="s">
        <v>103</v>
      </c>
      <c r="G361" s="73"/>
      <c r="H361" s="74" t="s">
        <v>109</v>
      </c>
      <c r="I361" s="72" t="s">
        <v>6</v>
      </c>
      <c r="J361" s="73" t="s">
        <v>6</v>
      </c>
      <c r="K361" s="75"/>
      <c r="L361" s="76"/>
      <c r="M361" s="77"/>
      <c r="N361" s="78" t="e">
        <v>#DIV/0!</v>
      </c>
      <c r="O361" s="79">
        <v>0</v>
      </c>
      <c r="P361" s="79" t="e">
        <v>#DIV/0!</v>
      </c>
      <c r="Q361" s="80"/>
      <c r="R361" s="155">
        <v>0.09</v>
      </c>
      <c r="S361" s="78" t="e">
        <v>#DIV/0!</v>
      </c>
      <c r="T361" s="79">
        <v>0</v>
      </c>
      <c r="U361" s="79" t="e">
        <v>#DIV/0!</v>
      </c>
      <c r="V361" s="80">
        <f t="shared" si="167"/>
        <v>0</v>
      </c>
      <c r="W361" s="82"/>
      <c r="X361" s="83"/>
      <c r="Y361" s="84" t="s">
        <v>104</v>
      </c>
      <c r="Z361" s="73" t="str">
        <f>'[1]Tier 1'!V361</f>
        <v>D</v>
      </c>
      <c r="AA361" s="73"/>
      <c r="AB361" s="73"/>
      <c r="AC361" s="73"/>
      <c r="AD361" s="74"/>
      <c r="AE361" s="78">
        <f>'[1]Tier 1'!W361</f>
        <v>1962</v>
      </c>
      <c r="AF361" s="79"/>
      <c r="AG361" s="79">
        <f>'[1]Tier 1'!X361</f>
        <v>1962</v>
      </c>
      <c r="AH361" s="79"/>
      <c r="AI361" s="79">
        <f>'[1]Tier 1'!Y361</f>
        <v>0</v>
      </c>
      <c r="AJ361" s="79">
        <f t="shared" si="168"/>
        <v>0</v>
      </c>
      <c r="AK361" s="79" t="e">
        <f>VLOOKUP(A361,#REF!,-1,FALSE)</f>
        <v>#REF!</v>
      </c>
      <c r="AL361" s="80" t="e">
        <f t="shared" si="169"/>
        <v>#REF!</v>
      </c>
      <c r="AM361" s="78" t="e">
        <f t="shared" si="170"/>
        <v>#DIV/0!</v>
      </c>
      <c r="AN361" s="85" t="e">
        <f t="shared" si="171"/>
        <v>#DIV/0!</v>
      </c>
      <c r="AO361" s="73" t="str">
        <f t="shared" si="172"/>
        <v>OK</v>
      </c>
      <c r="AP361" s="79">
        <f t="shared" si="173"/>
        <v>0</v>
      </c>
      <c r="AQ361" s="85">
        <f t="shared" si="174"/>
        <v>0</v>
      </c>
      <c r="AR361" s="73" t="str">
        <f t="shared" si="175"/>
        <v>OK</v>
      </c>
      <c r="AS361" s="79" t="e">
        <f t="shared" si="176"/>
        <v>#DIV/0!</v>
      </c>
      <c r="AT361" s="85">
        <f t="shared" si="177"/>
        <v>0</v>
      </c>
      <c r="AU361" s="86" t="str">
        <f t="shared" si="178"/>
        <v>OK</v>
      </c>
      <c r="AV361" s="79">
        <f t="shared" si="179"/>
        <v>0</v>
      </c>
      <c r="AW361" s="85" t="e">
        <f t="shared" si="180"/>
        <v>#REF!</v>
      </c>
      <c r="AX361" s="87" t="e">
        <f t="shared" si="181"/>
        <v>#REF!</v>
      </c>
      <c r="AY361" s="72"/>
      <c r="AZ361" s="73"/>
      <c r="BA361" s="77">
        <f t="shared" si="182"/>
        <v>0</v>
      </c>
      <c r="BB361" s="88" t="e">
        <f t="shared" si="183"/>
        <v>#DIV/0!</v>
      </c>
      <c r="BC361" s="89" t="e">
        <f>SUMIF(#REF!,#REF!, BB53:BB365)</f>
        <v>#REF!</v>
      </c>
      <c r="BD361" s="89">
        <f t="shared" si="184"/>
        <v>0</v>
      </c>
      <c r="BE361" s="89" t="e">
        <f>SUMIF(#REF!,#REF!, BD53:BD365)</f>
        <v>#REF!</v>
      </c>
      <c r="BF361" s="89" t="e">
        <f t="shared" si="185"/>
        <v>#DIV/0!</v>
      </c>
      <c r="BG361" s="89" t="e">
        <f>SUMIF(#REF!,#REF!, BF53:BF365)</f>
        <v>#REF!</v>
      </c>
      <c r="BH361" s="89" t="e">
        <f t="shared" si="186"/>
        <v>#REF!</v>
      </c>
      <c r="BI361" s="90">
        <f>SUMIF(B53:B365, B361, BH53:BH365)</f>
        <v>0</v>
      </c>
      <c r="BJ361" s="91"/>
      <c r="BK361" s="92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4"/>
    </row>
    <row r="362" spans="1:82" hidden="1" x14ac:dyDescent="0.3">
      <c r="A362" s="95" t="s">
        <v>676</v>
      </c>
      <c r="B362" s="96"/>
      <c r="C362" s="97" t="s">
        <v>675</v>
      </c>
      <c r="D362" s="97" t="s">
        <v>673</v>
      </c>
      <c r="E362" s="98" t="s">
        <v>652</v>
      </c>
      <c r="F362" s="99" t="s">
        <v>103</v>
      </c>
      <c r="G362" s="100"/>
      <c r="H362" s="101" t="s">
        <v>118</v>
      </c>
      <c r="I362" s="99" t="s">
        <v>6</v>
      </c>
      <c r="J362" s="100" t="s">
        <v>6</v>
      </c>
      <c r="K362" s="102"/>
      <c r="L362" s="103"/>
      <c r="M362" s="104"/>
      <c r="N362" s="105" t="e">
        <v>#DIV/0!</v>
      </c>
      <c r="O362" s="106">
        <v>0</v>
      </c>
      <c r="P362" s="106" t="e">
        <v>#DIV/0!</v>
      </c>
      <c r="Q362" s="107"/>
      <c r="R362" s="156">
        <v>0.09</v>
      </c>
      <c r="S362" s="105" t="e">
        <v>#DIV/0!</v>
      </c>
      <c r="T362" s="106">
        <v>0</v>
      </c>
      <c r="U362" s="106" t="e">
        <v>#DIV/0!</v>
      </c>
      <c r="V362" s="107">
        <f t="shared" si="167"/>
        <v>0</v>
      </c>
      <c r="W362" s="109"/>
      <c r="X362" s="110"/>
      <c r="Y362" s="111" t="s">
        <v>104</v>
      </c>
      <c r="Z362" s="100" t="str">
        <f>'[1]Tier 1'!V362</f>
        <v>D</v>
      </c>
      <c r="AA362" s="100"/>
      <c r="AB362" s="100"/>
      <c r="AC362" s="100"/>
      <c r="AD362" s="101"/>
      <c r="AE362" s="105">
        <f>'[1]Tier 1'!W362</f>
        <v>1962</v>
      </c>
      <c r="AF362" s="106"/>
      <c r="AG362" s="106">
        <f>'[1]Tier 1'!X362</f>
        <v>1962</v>
      </c>
      <c r="AH362" s="106"/>
      <c r="AI362" s="106">
        <f>'[1]Tier 1'!Y362</f>
        <v>0</v>
      </c>
      <c r="AJ362" s="106">
        <f t="shared" si="168"/>
        <v>0</v>
      </c>
      <c r="AK362" s="106" t="e">
        <f>VLOOKUP(A362,#REF!,-1,FALSE)</f>
        <v>#REF!</v>
      </c>
      <c r="AL362" s="107" t="e">
        <f t="shared" si="169"/>
        <v>#REF!</v>
      </c>
      <c r="AM362" s="105" t="e">
        <f t="shared" si="170"/>
        <v>#DIV/0!</v>
      </c>
      <c r="AN362" s="112" t="e">
        <f t="shared" si="171"/>
        <v>#DIV/0!</v>
      </c>
      <c r="AO362" s="100" t="str">
        <f t="shared" si="172"/>
        <v>OK</v>
      </c>
      <c r="AP362" s="106">
        <f t="shared" si="173"/>
        <v>0</v>
      </c>
      <c r="AQ362" s="112">
        <f t="shared" si="174"/>
        <v>0</v>
      </c>
      <c r="AR362" s="100" t="str">
        <f t="shared" si="175"/>
        <v>OK</v>
      </c>
      <c r="AS362" s="106" t="e">
        <f t="shared" si="176"/>
        <v>#DIV/0!</v>
      </c>
      <c r="AT362" s="112">
        <f t="shared" si="177"/>
        <v>0</v>
      </c>
      <c r="AU362" s="113" t="str">
        <f t="shared" si="178"/>
        <v>OK</v>
      </c>
      <c r="AV362" s="106">
        <f t="shared" si="179"/>
        <v>0</v>
      </c>
      <c r="AW362" s="112" t="e">
        <f t="shared" si="180"/>
        <v>#REF!</v>
      </c>
      <c r="AX362" s="114" t="e">
        <f t="shared" si="181"/>
        <v>#REF!</v>
      </c>
      <c r="AY362" s="99"/>
      <c r="AZ362" s="100"/>
      <c r="BA362" s="104">
        <f t="shared" si="182"/>
        <v>0</v>
      </c>
      <c r="BB362" s="115" t="e">
        <f t="shared" si="183"/>
        <v>#DIV/0!</v>
      </c>
      <c r="BC362" s="116" t="e">
        <f>SUMIF(#REF!,#REF!, BB53:BB365)</f>
        <v>#REF!</v>
      </c>
      <c r="BD362" s="116">
        <f t="shared" si="184"/>
        <v>0</v>
      </c>
      <c r="BE362" s="116" t="e">
        <f>SUMIF(#REF!,#REF!, BD53:BD365)</f>
        <v>#REF!</v>
      </c>
      <c r="BF362" s="116" t="e">
        <f t="shared" si="185"/>
        <v>#DIV/0!</v>
      </c>
      <c r="BG362" s="116" t="e">
        <f>SUMIF(#REF!,#REF!, BF53:BF365)</f>
        <v>#REF!</v>
      </c>
      <c r="BH362" s="116" t="e">
        <f t="shared" si="186"/>
        <v>#REF!</v>
      </c>
      <c r="BI362" s="117">
        <f>SUMIF(B53:B365, B362, BH53:BH365)</f>
        <v>0</v>
      </c>
      <c r="BJ362" s="118"/>
      <c r="BK362" s="92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4"/>
    </row>
    <row r="363" spans="1:82" hidden="1" x14ac:dyDescent="0.3">
      <c r="A363" s="68" t="s">
        <v>677</v>
      </c>
      <c r="B363" s="69"/>
      <c r="C363" s="70" t="s">
        <v>675</v>
      </c>
      <c r="D363" s="70" t="s">
        <v>652</v>
      </c>
      <c r="E363" s="71" t="s">
        <v>678</v>
      </c>
      <c r="F363" s="72" t="s">
        <v>103</v>
      </c>
      <c r="G363" s="73"/>
      <c r="H363" s="74" t="s">
        <v>103</v>
      </c>
      <c r="I363" s="72" t="s">
        <v>6</v>
      </c>
      <c r="J363" s="73" t="s">
        <v>6</v>
      </c>
      <c r="K363" s="75"/>
      <c r="L363" s="76"/>
      <c r="M363" s="77"/>
      <c r="N363" s="78" t="e">
        <v>#DIV/0!</v>
      </c>
      <c r="O363" s="79">
        <v>0</v>
      </c>
      <c r="P363" s="79" t="e">
        <v>#DIV/0!</v>
      </c>
      <c r="Q363" s="80"/>
      <c r="R363" s="155">
        <v>0.09</v>
      </c>
      <c r="S363" s="78" t="e">
        <v>#DIV/0!</v>
      </c>
      <c r="T363" s="79">
        <v>0</v>
      </c>
      <c r="U363" s="79" t="e">
        <v>#DIV/0!</v>
      </c>
      <c r="V363" s="80">
        <f t="shared" si="167"/>
        <v>0</v>
      </c>
      <c r="W363" s="82"/>
      <c r="X363" s="83"/>
      <c r="Y363" s="84" t="s">
        <v>104</v>
      </c>
      <c r="Z363" s="73" t="str">
        <f>'[1]Tier 1'!V363</f>
        <v>D</v>
      </c>
      <c r="AA363" s="73"/>
      <c r="AB363" s="73"/>
      <c r="AC363" s="73"/>
      <c r="AD363" s="74"/>
      <c r="AE363" s="78">
        <f>'[1]Tier 1'!W363</f>
        <v>1962</v>
      </c>
      <c r="AF363" s="79"/>
      <c r="AG363" s="79">
        <f>'[1]Tier 1'!X363</f>
        <v>1962</v>
      </c>
      <c r="AH363" s="79"/>
      <c r="AI363" s="79">
        <f>'[1]Tier 1'!Y363</f>
        <v>0</v>
      </c>
      <c r="AJ363" s="79">
        <f t="shared" si="168"/>
        <v>0</v>
      </c>
      <c r="AK363" s="79" t="e">
        <f>VLOOKUP(A363,#REF!,-1,FALSE)</f>
        <v>#REF!</v>
      </c>
      <c r="AL363" s="80" t="e">
        <f t="shared" si="169"/>
        <v>#REF!</v>
      </c>
      <c r="AM363" s="78" t="e">
        <f t="shared" si="170"/>
        <v>#DIV/0!</v>
      </c>
      <c r="AN363" s="85" t="e">
        <f t="shared" si="171"/>
        <v>#DIV/0!</v>
      </c>
      <c r="AO363" s="73" t="str">
        <f t="shared" si="172"/>
        <v>OK</v>
      </c>
      <c r="AP363" s="79">
        <f t="shared" si="173"/>
        <v>0</v>
      </c>
      <c r="AQ363" s="85">
        <f t="shared" si="174"/>
        <v>0</v>
      </c>
      <c r="AR363" s="73" t="str">
        <f t="shared" si="175"/>
        <v>OK</v>
      </c>
      <c r="AS363" s="79" t="e">
        <f t="shared" si="176"/>
        <v>#DIV/0!</v>
      </c>
      <c r="AT363" s="85">
        <f t="shared" si="177"/>
        <v>0</v>
      </c>
      <c r="AU363" s="86" t="str">
        <f t="shared" si="178"/>
        <v>OK</v>
      </c>
      <c r="AV363" s="79">
        <f t="shared" si="179"/>
        <v>0</v>
      </c>
      <c r="AW363" s="85" t="e">
        <f t="shared" si="180"/>
        <v>#REF!</v>
      </c>
      <c r="AX363" s="87" t="e">
        <f t="shared" si="181"/>
        <v>#REF!</v>
      </c>
      <c r="AY363" s="72"/>
      <c r="AZ363" s="73"/>
      <c r="BA363" s="77">
        <f t="shared" si="182"/>
        <v>0</v>
      </c>
      <c r="BB363" s="88" t="e">
        <f t="shared" si="183"/>
        <v>#DIV/0!</v>
      </c>
      <c r="BC363" s="89" t="e">
        <f>SUMIF(#REF!,#REF!, BB55:BB367)</f>
        <v>#REF!</v>
      </c>
      <c r="BD363" s="89">
        <f t="shared" si="184"/>
        <v>0</v>
      </c>
      <c r="BE363" s="89" t="e">
        <f>SUMIF(#REF!,#REF!, BD55:BD367)</f>
        <v>#REF!</v>
      </c>
      <c r="BF363" s="89" t="e">
        <f t="shared" si="185"/>
        <v>#DIV/0!</v>
      </c>
      <c r="BG363" s="89" t="e">
        <f>SUMIF(#REF!,#REF!, BF55:BF367)</f>
        <v>#REF!</v>
      </c>
      <c r="BH363" s="89" t="e">
        <f t="shared" si="186"/>
        <v>#REF!</v>
      </c>
      <c r="BI363" s="90">
        <f>SUMIF(B55:B367, B363, BH55:BH367)</f>
        <v>0</v>
      </c>
      <c r="BJ363" s="91"/>
      <c r="BK363" s="92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4"/>
    </row>
    <row r="364" spans="1:82" hidden="1" x14ac:dyDescent="0.3">
      <c r="A364" s="95" t="s">
        <v>679</v>
      </c>
      <c r="B364" s="96"/>
      <c r="C364" s="97" t="s">
        <v>675</v>
      </c>
      <c r="D364" s="97" t="s">
        <v>678</v>
      </c>
      <c r="E364" s="98" t="s">
        <v>202</v>
      </c>
      <c r="F364" s="99" t="s">
        <v>103</v>
      </c>
      <c r="G364" s="100"/>
      <c r="H364" s="101" t="s">
        <v>103</v>
      </c>
      <c r="I364" s="99" t="s">
        <v>6</v>
      </c>
      <c r="J364" s="100" t="s">
        <v>6</v>
      </c>
      <c r="K364" s="102"/>
      <c r="L364" s="103"/>
      <c r="M364" s="104"/>
      <c r="N364" s="105" t="e">
        <v>#DIV/0!</v>
      </c>
      <c r="O364" s="106">
        <v>0</v>
      </c>
      <c r="P364" s="106" t="e">
        <v>#DIV/0!</v>
      </c>
      <c r="Q364" s="107"/>
      <c r="R364" s="156">
        <v>0.09</v>
      </c>
      <c r="S364" s="105" t="e">
        <v>#DIV/0!</v>
      </c>
      <c r="T364" s="106">
        <v>0</v>
      </c>
      <c r="U364" s="106" t="e">
        <v>#DIV/0!</v>
      </c>
      <c r="V364" s="107">
        <f t="shared" si="167"/>
        <v>0</v>
      </c>
      <c r="W364" s="109"/>
      <c r="X364" s="110"/>
      <c r="Y364" s="111" t="s">
        <v>104</v>
      </c>
      <c r="Z364" s="100" t="str">
        <f>'[1]Tier 1'!V364</f>
        <v>D</v>
      </c>
      <c r="AA364" s="100"/>
      <c r="AB364" s="100"/>
      <c r="AC364" s="100"/>
      <c r="AD364" s="101"/>
      <c r="AE364" s="105">
        <f>'[1]Tier 1'!W364</f>
        <v>1962</v>
      </c>
      <c r="AF364" s="106"/>
      <c r="AG364" s="106">
        <f>'[1]Tier 1'!X364</f>
        <v>1962</v>
      </c>
      <c r="AH364" s="106"/>
      <c r="AI364" s="106">
        <f>'[1]Tier 1'!Y364</f>
        <v>0</v>
      </c>
      <c r="AJ364" s="106">
        <f t="shared" si="168"/>
        <v>0</v>
      </c>
      <c r="AK364" s="106" t="e">
        <f>VLOOKUP(A364,#REF!,-1,FALSE)</f>
        <v>#REF!</v>
      </c>
      <c r="AL364" s="107" t="e">
        <f t="shared" si="169"/>
        <v>#REF!</v>
      </c>
      <c r="AM364" s="105" t="e">
        <f t="shared" si="170"/>
        <v>#DIV/0!</v>
      </c>
      <c r="AN364" s="112" t="e">
        <f t="shared" si="171"/>
        <v>#DIV/0!</v>
      </c>
      <c r="AO364" s="100" t="str">
        <f t="shared" si="172"/>
        <v>OK</v>
      </c>
      <c r="AP364" s="106">
        <f t="shared" si="173"/>
        <v>0</v>
      </c>
      <c r="AQ364" s="112">
        <f t="shared" si="174"/>
        <v>0</v>
      </c>
      <c r="AR364" s="100" t="str">
        <f t="shared" si="175"/>
        <v>OK</v>
      </c>
      <c r="AS364" s="106" t="e">
        <f t="shared" si="176"/>
        <v>#DIV/0!</v>
      </c>
      <c r="AT364" s="112">
        <f t="shared" si="177"/>
        <v>0</v>
      </c>
      <c r="AU364" s="113" t="str">
        <f t="shared" si="178"/>
        <v>OK</v>
      </c>
      <c r="AV364" s="106">
        <f t="shared" si="179"/>
        <v>0</v>
      </c>
      <c r="AW364" s="112" t="e">
        <f t="shared" si="180"/>
        <v>#REF!</v>
      </c>
      <c r="AX364" s="114" t="e">
        <f t="shared" si="181"/>
        <v>#REF!</v>
      </c>
      <c r="AY364" s="99"/>
      <c r="AZ364" s="100"/>
      <c r="BA364" s="104">
        <f t="shared" si="182"/>
        <v>0</v>
      </c>
      <c r="BB364" s="115" t="e">
        <f t="shared" si="183"/>
        <v>#DIV/0!</v>
      </c>
      <c r="BC364" s="116" t="e">
        <f>SUMIF(#REF!,#REF!, BB55:BB367)</f>
        <v>#REF!</v>
      </c>
      <c r="BD364" s="116">
        <f t="shared" si="184"/>
        <v>0</v>
      </c>
      <c r="BE364" s="116" t="e">
        <f>SUMIF(#REF!,#REF!, BD55:BD367)</f>
        <v>#REF!</v>
      </c>
      <c r="BF364" s="116" t="e">
        <f t="shared" si="185"/>
        <v>#DIV/0!</v>
      </c>
      <c r="BG364" s="116" t="e">
        <f>SUMIF(#REF!,#REF!, BF55:BF367)</f>
        <v>#REF!</v>
      </c>
      <c r="BH364" s="116" t="e">
        <f t="shared" si="186"/>
        <v>#REF!</v>
      </c>
      <c r="BI364" s="117">
        <f>SUMIF(B55:B367, B364, BH55:BH367)</f>
        <v>0</v>
      </c>
      <c r="BJ364" s="118"/>
      <c r="BK364" s="92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4"/>
    </row>
    <row r="365" spans="1:82" x14ac:dyDescent="0.3">
      <c r="A365" s="68" t="s">
        <v>680</v>
      </c>
      <c r="B365" s="69"/>
      <c r="C365" s="70" t="s">
        <v>547</v>
      </c>
      <c r="D365" s="70" t="s">
        <v>664</v>
      </c>
      <c r="E365" s="71" t="s">
        <v>528</v>
      </c>
      <c r="F365" s="72" t="s">
        <v>103</v>
      </c>
      <c r="G365" s="73"/>
      <c r="H365" s="74" t="s">
        <v>103</v>
      </c>
      <c r="I365" s="72" t="s">
        <v>6</v>
      </c>
      <c r="J365" s="73" t="s">
        <v>6</v>
      </c>
      <c r="K365" s="75"/>
      <c r="L365" s="76"/>
      <c r="M365" s="77"/>
      <c r="N365" s="78">
        <v>2727</v>
      </c>
      <c r="O365" s="79">
        <v>2736</v>
      </c>
      <c r="P365" s="79">
        <v>2742</v>
      </c>
      <c r="Q365" s="80"/>
      <c r="R365" s="155">
        <v>0.09</v>
      </c>
      <c r="S365" s="78">
        <v>245</v>
      </c>
      <c r="T365" s="79">
        <v>246</v>
      </c>
      <c r="U365" s="79">
        <v>247</v>
      </c>
      <c r="V365" s="80">
        <f t="shared" si="167"/>
        <v>0</v>
      </c>
      <c r="W365" s="82"/>
      <c r="X365" s="83"/>
      <c r="Y365" s="84" t="s">
        <v>104</v>
      </c>
      <c r="Z365" s="73" t="str">
        <f>'[1]Tier 1'!V365</f>
        <v>D</v>
      </c>
      <c r="AA365" s="73"/>
      <c r="AB365" s="73"/>
      <c r="AC365" s="73"/>
      <c r="AD365" s="74"/>
      <c r="AE365" s="78">
        <f>'[1]Tier 1'!W365</f>
        <v>1962</v>
      </c>
      <c r="AF365" s="79"/>
      <c r="AG365" s="79">
        <f>'[1]Tier 1'!X365</f>
        <v>1962</v>
      </c>
      <c r="AH365" s="79"/>
      <c r="AI365" s="79">
        <f>'[1]Tier 1'!Y365</f>
        <v>1962</v>
      </c>
      <c r="AJ365" s="79">
        <f t="shared" si="168"/>
        <v>1765.8</v>
      </c>
      <c r="AK365" s="79" t="e">
        <f>VLOOKUP(A365,#REF!,-1,FALSE)</f>
        <v>#REF!</v>
      </c>
      <c r="AL365" s="80" t="e">
        <f t="shared" si="169"/>
        <v>#REF!</v>
      </c>
      <c r="AM365" s="78">
        <f t="shared" si="170"/>
        <v>245</v>
      </c>
      <c r="AN365" s="85">
        <f t="shared" si="171"/>
        <v>0.125</v>
      </c>
      <c r="AO365" s="73" t="str">
        <f t="shared" si="172"/>
        <v>OK</v>
      </c>
      <c r="AP365" s="79">
        <f t="shared" si="173"/>
        <v>246</v>
      </c>
      <c r="AQ365" s="85">
        <f t="shared" si="174"/>
        <v>0.125</v>
      </c>
      <c r="AR365" s="73" t="str">
        <f t="shared" si="175"/>
        <v>OK</v>
      </c>
      <c r="AS365" s="79">
        <f t="shared" si="176"/>
        <v>247</v>
      </c>
      <c r="AT365" s="85">
        <f t="shared" si="177"/>
        <v>0.126</v>
      </c>
      <c r="AU365" s="86" t="str">
        <f t="shared" si="178"/>
        <v>OK</v>
      </c>
      <c r="AV365" s="79">
        <f t="shared" si="179"/>
        <v>0</v>
      </c>
      <c r="AW365" s="85" t="e">
        <f t="shared" si="180"/>
        <v>#REF!</v>
      </c>
      <c r="AX365" s="87" t="e">
        <f t="shared" si="181"/>
        <v>#REF!</v>
      </c>
      <c r="AY365" s="72"/>
      <c r="AZ365" s="73"/>
      <c r="BA365" s="77">
        <f t="shared" si="182"/>
        <v>0</v>
      </c>
      <c r="BB365" s="88">
        <f t="shared" si="183"/>
        <v>1</v>
      </c>
      <c r="BC365" s="89" t="e">
        <f>SUMIF(#REF!,#REF!, BB57:BB369)</f>
        <v>#REF!</v>
      </c>
      <c r="BD365" s="89">
        <f t="shared" si="184"/>
        <v>1</v>
      </c>
      <c r="BE365" s="89" t="e">
        <f>SUMIF(#REF!,#REF!, BD57:BD369)</f>
        <v>#REF!</v>
      </c>
      <c r="BF365" s="89">
        <f t="shared" si="185"/>
        <v>0</v>
      </c>
      <c r="BG365" s="89" t="e">
        <f>SUMIF(#REF!,#REF!, BF57:BF369)</f>
        <v>#REF!</v>
      </c>
      <c r="BH365" s="89" t="e">
        <f t="shared" si="186"/>
        <v>#REF!</v>
      </c>
      <c r="BI365" s="90">
        <f>SUMIF(B57:B369, B365, BH57:BH369)</f>
        <v>0</v>
      </c>
      <c r="BJ365" s="91"/>
      <c r="BK365" s="92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4"/>
    </row>
    <row r="366" spans="1:82" x14ac:dyDescent="0.3">
      <c r="A366" s="95" t="s">
        <v>681</v>
      </c>
      <c r="B366" s="96"/>
      <c r="C366" s="97" t="s">
        <v>547</v>
      </c>
      <c r="D366" s="97" t="s">
        <v>528</v>
      </c>
      <c r="E366" s="98" t="s">
        <v>185</v>
      </c>
      <c r="F366" s="99" t="s">
        <v>103</v>
      </c>
      <c r="G366" s="100"/>
      <c r="H366" s="101" t="s">
        <v>103</v>
      </c>
      <c r="I366" s="99" t="s">
        <v>6</v>
      </c>
      <c r="J366" s="100" t="s">
        <v>6</v>
      </c>
      <c r="K366" s="102"/>
      <c r="L366" s="103"/>
      <c r="M366" s="104"/>
      <c r="N366" s="105">
        <v>2727</v>
      </c>
      <c r="O366" s="106">
        <v>2736</v>
      </c>
      <c r="P366" s="106">
        <v>2742</v>
      </c>
      <c r="Q366" s="107"/>
      <c r="R366" s="156">
        <v>0.09</v>
      </c>
      <c r="S366" s="105">
        <v>245</v>
      </c>
      <c r="T366" s="106">
        <v>246</v>
      </c>
      <c r="U366" s="106">
        <v>247</v>
      </c>
      <c r="V366" s="107">
        <f t="shared" si="167"/>
        <v>0</v>
      </c>
      <c r="W366" s="109"/>
      <c r="X366" s="110"/>
      <c r="Y366" s="111" t="s">
        <v>104</v>
      </c>
      <c r="Z366" s="100" t="str">
        <f>'[1]Tier 1'!V366</f>
        <v>D</v>
      </c>
      <c r="AA366" s="100"/>
      <c r="AB366" s="100"/>
      <c r="AC366" s="100"/>
      <c r="AD366" s="101"/>
      <c r="AE366" s="105">
        <f>'[1]Tier 1'!W366</f>
        <v>1962</v>
      </c>
      <c r="AF366" s="106"/>
      <c r="AG366" s="106">
        <f>'[1]Tier 1'!X366</f>
        <v>1962</v>
      </c>
      <c r="AH366" s="106"/>
      <c r="AI366" s="106">
        <f>'[1]Tier 1'!Y366</f>
        <v>1962</v>
      </c>
      <c r="AJ366" s="106">
        <f t="shared" si="168"/>
        <v>1765.8</v>
      </c>
      <c r="AK366" s="106" t="e">
        <f>VLOOKUP(A366,#REF!,-1,FALSE)</f>
        <v>#REF!</v>
      </c>
      <c r="AL366" s="107" t="e">
        <f t="shared" si="169"/>
        <v>#REF!</v>
      </c>
      <c r="AM366" s="105">
        <f t="shared" si="170"/>
        <v>245</v>
      </c>
      <c r="AN366" s="112">
        <f t="shared" si="171"/>
        <v>0.125</v>
      </c>
      <c r="AO366" s="100" t="str">
        <f t="shared" si="172"/>
        <v>OK</v>
      </c>
      <c r="AP366" s="106">
        <f t="shared" si="173"/>
        <v>246</v>
      </c>
      <c r="AQ366" s="112">
        <f t="shared" si="174"/>
        <v>0.125</v>
      </c>
      <c r="AR366" s="100" t="str">
        <f t="shared" si="175"/>
        <v>OK</v>
      </c>
      <c r="AS366" s="106">
        <f t="shared" si="176"/>
        <v>247</v>
      </c>
      <c r="AT366" s="112">
        <f t="shared" si="177"/>
        <v>0.126</v>
      </c>
      <c r="AU366" s="113" t="str">
        <f t="shared" si="178"/>
        <v>OK</v>
      </c>
      <c r="AV366" s="106">
        <f t="shared" si="179"/>
        <v>0</v>
      </c>
      <c r="AW366" s="112" t="e">
        <f t="shared" si="180"/>
        <v>#REF!</v>
      </c>
      <c r="AX366" s="114" t="e">
        <f t="shared" si="181"/>
        <v>#REF!</v>
      </c>
      <c r="AY366" s="99"/>
      <c r="AZ366" s="100"/>
      <c r="BA366" s="104">
        <f t="shared" si="182"/>
        <v>0</v>
      </c>
      <c r="BB366" s="115">
        <f t="shared" si="183"/>
        <v>1</v>
      </c>
      <c r="BC366" s="116" t="e">
        <f>SUMIF(#REF!,#REF!, BB57:BB369)</f>
        <v>#REF!</v>
      </c>
      <c r="BD366" s="116">
        <f t="shared" si="184"/>
        <v>1</v>
      </c>
      <c r="BE366" s="116" t="e">
        <f>SUMIF(#REF!,#REF!, BD57:BD369)</f>
        <v>#REF!</v>
      </c>
      <c r="BF366" s="116">
        <f t="shared" si="185"/>
        <v>0</v>
      </c>
      <c r="BG366" s="116" t="e">
        <f>SUMIF(#REF!,#REF!, BF57:BF369)</f>
        <v>#REF!</v>
      </c>
      <c r="BH366" s="116" t="e">
        <f t="shared" si="186"/>
        <v>#REF!</v>
      </c>
      <c r="BI366" s="117">
        <f>SUMIF(B57:B369, B366, BH57:BH369)</f>
        <v>0</v>
      </c>
      <c r="BJ366" s="118"/>
      <c r="BK366" s="92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4"/>
    </row>
    <row r="367" spans="1:82" hidden="1" x14ac:dyDescent="0.3">
      <c r="A367" s="68" t="s">
        <v>682</v>
      </c>
      <c r="B367" s="69"/>
      <c r="C367" s="70" t="s">
        <v>666</v>
      </c>
      <c r="D367" s="70" t="s">
        <v>664</v>
      </c>
      <c r="E367" s="71" t="s">
        <v>185</v>
      </c>
      <c r="F367" s="72" t="s">
        <v>103</v>
      </c>
      <c r="G367" s="73"/>
      <c r="H367" s="74" t="s">
        <v>103</v>
      </c>
      <c r="I367" s="72" t="s">
        <v>6</v>
      </c>
      <c r="J367" s="73" t="s">
        <v>6</v>
      </c>
      <c r="K367" s="75"/>
      <c r="L367" s="76"/>
      <c r="M367" s="77"/>
      <c r="N367" s="78" t="e">
        <v>#DIV/0!</v>
      </c>
      <c r="O367" s="79">
        <v>0</v>
      </c>
      <c r="P367" s="79" t="e">
        <v>#DIV/0!</v>
      </c>
      <c r="Q367" s="80"/>
      <c r="R367" s="155">
        <v>0.09</v>
      </c>
      <c r="S367" s="78" t="e">
        <v>#DIV/0!</v>
      </c>
      <c r="T367" s="79">
        <v>0</v>
      </c>
      <c r="U367" s="79" t="e">
        <v>#DIV/0!</v>
      </c>
      <c r="V367" s="80">
        <f t="shared" si="167"/>
        <v>0</v>
      </c>
      <c r="W367" s="82"/>
      <c r="X367" s="83"/>
      <c r="Y367" s="84" t="s">
        <v>104</v>
      </c>
      <c r="Z367" s="73" t="str">
        <f>'[1]Tier 1'!V367</f>
        <v>D</v>
      </c>
      <c r="AA367" s="73"/>
      <c r="AB367" s="73"/>
      <c r="AC367" s="73"/>
      <c r="AD367" s="74"/>
      <c r="AE367" s="78">
        <f>'[1]Tier 1'!W367</f>
        <v>1962</v>
      </c>
      <c r="AF367" s="79"/>
      <c r="AG367" s="79">
        <f>'[1]Tier 1'!X367</f>
        <v>1962</v>
      </c>
      <c r="AH367" s="79"/>
      <c r="AI367" s="79">
        <f>'[1]Tier 1'!Y367</f>
        <v>1962</v>
      </c>
      <c r="AJ367" s="79">
        <f t="shared" si="168"/>
        <v>1765.8</v>
      </c>
      <c r="AK367" s="79" t="e">
        <f>VLOOKUP(A367,#REF!,-1,FALSE)</f>
        <v>#REF!</v>
      </c>
      <c r="AL367" s="80" t="e">
        <f t="shared" si="169"/>
        <v>#REF!</v>
      </c>
      <c r="AM367" s="78" t="e">
        <f t="shared" si="170"/>
        <v>#DIV/0!</v>
      </c>
      <c r="AN367" s="85" t="e">
        <f t="shared" si="171"/>
        <v>#DIV/0!</v>
      </c>
      <c r="AO367" s="73" t="str">
        <f t="shared" si="172"/>
        <v>OK</v>
      </c>
      <c r="AP367" s="79">
        <f t="shared" si="173"/>
        <v>0</v>
      </c>
      <c r="AQ367" s="85">
        <f t="shared" si="174"/>
        <v>0</v>
      </c>
      <c r="AR367" s="73" t="str">
        <f t="shared" si="175"/>
        <v>OK</v>
      </c>
      <c r="AS367" s="79" t="e">
        <f t="shared" si="176"/>
        <v>#DIV/0!</v>
      </c>
      <c r="AT367" s="85" t="e">
        <f t="shared" si="177"/>
        <v>#DIV/0!</v>
      </c>
      <c r="AU367" s="86" t="str">
        <f t="shared" si="178"/>
        <v>OK</v>
      </c>
      <c r="AV367" s="79">
        <f t="shared" si="179"/>
        <v>0</v>
      </c>
      <c r="AW367" s="85" t="e">
        <f t="shared" si="180"/>
        <v>#REF!</v>
      </c>
      <c r="AX367" s="87" t="e">
        <f t="shared" si="181"/>
        <v>#REF!</v>
      </c>
      <c r="AY367" s="72"/>
      <c r="AZ367" s="73"/>
      <c r="BA367" s="77">
        <f t="shared" si="182"/>
        <v>0</v>
      </c>
      <c r="BB367" s="88" t="e">
        <f t="shared" si="183"/>
        <v>#DIV/0!</v>
      </c>
      <c r="BC367" s="89" t="e">
        <f>SUMIF(#REF!,#REF!, BB59:BB371)</f>
        <v>#REF!</v>
      </c>
      <c r="BD367" s="89">
        <f t="shared" si="184"/>
        <v>0</v>
      </c>
      <c r="BE367" s="89" t="e">
        <f>SUMIF(#REF!,#REF!, BD59:BD371)</f>
        <v>#REF!</v>
      </c>
      <c r="BF367" s="89" t="e">
        <f t="shared" si="185"/>
        <v>#DIV/0!</v>
      </c>
      <c r="BG367" s="89" t="e">
        <f>SUMIF(#REF!,#REF!, BF59:BF371)</f>
        <v>#REF!</v>
      </c>
      <c r="BH367" s="89" t="e">
        <f t="shared" si="186"/>
        <v>#REF!</v>
      </c>
      <c r="BI367" s="90">
        <f>SUMIF(B59:B371, B367, BH59:BH371)</f>
        <v>0</v>
      </c>
      <c r="BJ367" s="91"/>
      <c r="BK367" s="92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4"/>
    </row>
    <row r="368" spans="1:82" x14ac:dyDescent="0.3">
      <c r="A368" s="95" t="s">
        <v>683</v>
      </c>
      <c r="B368" s="96"/>
      <c r="C368" s="97" t="s">
        <v>668</v>
      </c>
      <c r="D368" s="97" t="s">
        <v>664</v>
      </c>
      <c r="E368" s="98" t="s">
        <v>185</v>
      </c>
      <c r="F368" s="99" t="s">
        <v>103</v>
      </c>
      <c r="G368" s="100"/>
      <c r="H368" s="101" t="s">
        <v>103</v>
      </c>
      <c r="I368" s="99" t="s">
        <v>6</v>
      </c>
      <c r="J368" s="100" t="s">
        <v>6</v>
      </c>
      <c r="K368" s="102"/>
      <c r="L368" s="103"/>
      <c r="M368" s="104"/>
      <c r="N368" s="105">
        <v>2336</v>
      </c>
      <c r="O368" s="106">
        <v>2568</v>
      </c>
      <c r="P368" s="106">
        <v>2723</v>
      </c>
      <c r="Q368" s="107"/>
      <c r="R368" s="156">
        <v>0.09</v>
      </c>
      <c r="S368" s="105">
        <v>210</v>
      </c>
      <c r="T368" s="106">
        <v>231</v>
      </c>
      <c r="U368" s="106">
        <v>245</v>
      </c>
      <c r="V368" s="107">
        <f t="shared" si="167"/>
        <v>0</v>
      </c>
      <c r="W368" s="109"/>
      <c r="X368" s="110"/>
      <c r="Y368" s="111" t="s">
        <v>104</v>
      </c>
      <c r="Z368" s="100" t="str">
        <f>'[1]Tier 1'!V368</f>
        <v>D</v>
      </c>
      <c r="AA368" s="100"/>
      <c r="AB368" s="100"/>
      <c r="AC368" s="100"/>
      <c r="AD368" s="101"/>
      <c r="AE368" s="105">
        <f>'[1]Tier 1'!W368</f>
        <v>1962</v>
      </c>
      <c r="AF368" s="106"/>
      <c r="AG368" s="106">
        <f>'[1]Tier 1'!X368</f>
        <v>1962</v>
      </c>
      <c r="AH368" s="106"/>
      <c r="AI368" s="106">
        <f>'[1]Tier 1'!Y368</f>
        <v>1962</v>
      </c>
      <c r="AJ368" s="106">
        <f t="shared" si="168"/>
        <v>1765.8</v>
      </c>
      <c r="AK368" s="106" t="e">
        <f>VLOOKUP(A368,#REF!,-1,FALSE)</f>
        <v>#REF!</v>
      </c>
      <c r="AL368" s="107" t="e">
        <f t="shared" si="169"/>
        <v>#REF!</v>
      </c>
      <c r="AM368" s="105">
        <f t="shared" si="170"/>
        <v>210</v>
      </c>
      <c r="AN368" s="112">
        <f t="shared" si="171"/>
        <v>0.107</v>
      </c>
      <c r="AO368" s="100" t="str">
        <f t="shared" si="172"/>
        <v>OK</v>
      </c>
      <c r="AP368" s="106">
        <f t="shared" si="173"/>
        <v>231</v>
      </c>
      <c r="AQ368" s="112">
        <f t="shared" si="174"/>
        <v>0.11799999999999999</v>
      </c>
      <c r="AR368" s="100" t="str">
        <f t="shared" si="175"/>
        <v>OK</v>
      </c>
      <c r="AS368" s="106">
        <f t="shared" si="176"/>
        <v>245</v>
      </c>
      <c r="AT368" s="112">
        <f t="shared" si="177"/>
        <v>0.125</v>
      </c>
      <c r="AU368" s="113" t="str">
        <f t="shared" si="178"/>
        <v>OK</v>
      </c>
      <c r="AV368" s="106">
        <f t="shared" si="179"/>
        <v>0</v>
      </c>
      <c r="AW368" s="112" t="e">
        <f t="shared" si="180"/>
        <v>#REF!</v>
      </c>
      <c r="AX368" s="114" t="e">
        <f t="shared" si="181"/>
        <v>#REF!</v>
      </c>
      <c r="AY368" s="99"/>
      <c r="AZ368" s="100"/>
      <c r="BA368" s="104">
        <f t="shared" si="182"/>
        <v>0</v>
      </c>
      <c r="BB368" s="115">
        <f t="shared" si="183"/>
        <v>1</v>
      </c>
      <c r="BC368" s="116" t="e">
        <f>SUMIF(#REF!,#REF!, BB59:BB371)</f>
        <v>#REF!</v>
      </c>
      <c r="BD368" s="116">
        <f t="shared" si="184"/>
        <v>1</v>
      </c>
      <c r="BE368" s="116" t="e">
        <f>SUMIF(#REF!,#REF!, BD59:BD371)</f>
        <v>#REF!</v>
      </c>
      <c r="BF368" s="116">
        <f t="shared" si="185"/>
        <v>0</v>
      </c>
      <c r="BG368" s="116" t="e">
        <f>SUMIF(#REF!,#REF!, BF59:BF371)</f>
        <v>#REF!</v>
      </c>
      <c r="BH368" s="116" t="e">
        <f t="shared" si="186"/>
        <v>#REF!</v>
      </c>
      <c r="BI368" s="117">
        <f>SUMIF(B59:B371, B368, BH59:BH371)</f>
        <v>0</v>
      </c>
      <c r="BJ368" s="118"/>
      <c r="BK368" s="92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4"/>
    </row>
    <row r="369" spans="1:82" x14ac:dyDescent="0.3">
      <c r="A369" s="68" t="s">
        <v>684</v>
      </c>
      <c r="B369" s="69"/>
      <c r="C369" s="70" t="s">
        <v>394</v>
      </c>
      <c r="D369" s="70" t="s">
        <v>185</v>
      </c>
      <c r="E369" s="71" t="s">
        <v>370</v>
      </c>
      <c r="F369" s="72" t="s">
        <v>103</v>
      </c>
      <c r="G369" s="73"/>
      <c r="H369" s="74" t="s">
        <v>103</v>
      </c>
      <c r="I369" s="72" t="s">
        <v>6</v>
      </c>
      <c r="J369" s="73" t="s">
        <v>6</v>
      </c>
      <c r="K369" s="75"/>
      <c r="L369" s="76"/>
      <c r="M369" s="77"/>
      <c r="N369" s="78">
        <v>2336</v>
      </c>
      <c r="O369" s="79">
        <v>2568</v>
      </c>
      <c r="P369" s="79">
        <v>2723</v>
      </c>
      <c r="Q369" s="80"/>
      <c r="R369" s="155">
        <v>0.09</v>
      </c>
      <c r="S369" s="78">
        <v>210</v>
      </c>
      <c r="T369" s="79">
        <v>231</v>
      </c>
      <c r="U369" s="79">
        <v>245</v>
      </c>
      <c r="V369" s="80">
        <f t="shared" si="167"/>
        <v>0</v>
      </c>
      <c r="W369" s="82"/>
      <c r="X369" s="83"/>
      <c r="Y369" s="84" t="s">
        <v>104</v>
      </c>
      <c r="Z369" s="73" t="str">
        <f>'[1]Tier 1'!V369</f>
        <v>D</v>
      </c>
      <c r="AA369" s="73"/>
      <c r="AB369" s="73"/>
      <c r="AC369" s="73"/>
      <c r="AD369" s="74"/>
      <c r="AE369" s="78">
        <f>'[1]Tier 1'!W369</f>
        <v>1197</v>
      </c>
      <c r="AF369" s="79"/>
      <c r="AG369" s="79">
        <f>'[1]Tier 1'!X369</f>
        <v>1197</v>
      </c>
      <c r="AH369" s="79"/>
      <c r="AI369" s="79">
        <f>'[1]Tier 1'!Y369</f>
        <v>1197</v>
      </c>
      <c r="AJ369" s="79">
        <f t="shared" si="168"/>
        <v>1077.3</v>
      </c>
      <c r="AK369" s="79" t="e">
        <f>VLOOKUP(A369,#REF!,-1,FALSE)</f>
        <v>#REF!</v>
      </c>
      <c r="AL369" s="80" t="e">
        <f t="shared" si="169"/>
        <v>#REF!</v>
      </c>
      <c r="AM369" s="78">
        <f t="shared" si="170"/>
        <v>210</v>
      </c>
      <c r="AN369" s="85">
        <f t="shared" si="171"/>
        <v>0.17499999999999999</v>
      </c>
      <c r="AO369" s="73" t="str">
        <f t="shared" si="172"/>
        <v>OK</v>
      </c>
      <c r="AP369" s="79">
        <f t="shared" si="173"/>
        <v>231</v>
      </c>
      <c r="AQ369" s="85">
        <f t="shared" si="174"/>
        <v>0.193</v>
      </c>
      <c r="AR369" s="73" t="str">
        <f t="shared" si="175"/>
        <v>OK</v>
      </c>
      <c r="AS369" s="79">
        <f t="shared" si="176"/>
        <v>245</v>
      </c>
      <c r="AT369" s="85">
        <f t="shared" si="177"/>
        <v>0.20499999999999999</v>
      </c>
      <c r="AU369" s="86" t="str">
        <f t="shared" si="178"/>
        <v>OK</v>
      </c>
      <c r="AV369" s="79">
        <f t="shared" si="179"/>
        <v>0</v>
      </c>
      <c r="AW369" s="85" t="e">
        <f t="shared" si="180"/>
        <v>#REF!</v>
      </c>
      <c r="AX369" s="87" t="e">
        <f t="shared" si="181"/>
        <v>#REF!</v>
      </c>
      <c r="AY369" s="72"/>
      <c r="AZ369" s="73"/>
      <c r="BA369" s="77">
        <f t="shared" si="182"/>
        <v>0</v>
      </c>
      <c r="BB369" s="88">
        <f t="shared" si="183"/>
        <v>1</v>
      </c>
      <c r="BC369" s="89" t="e">
        <f>SUMIF(#REF!,#REF!, BB61:BB373)</f>
        <v>#REF!</v>
      </c>
      <c r="BD369" s="89">
        <f t="shared" si="184"/>
        <v>1</v>
      </c>
      <c r="BE369" s="89" t="e">
        <f>SUMIF(#REF!,#REF!, BD61:BD373)</f>
        <v>#REF!</v>
      </c>
      <c r="BF369" s="89">
        <f t="shared" si="185"/>
        <v>0</v>
      </c>
      <c r="BG369" s="89" t="e">
        <f>SUMIF(#REF!,#REF!, BF61:BF373)</f>
        <v>#REF!</v>
      </c>
      <c r="BH369" s="89" t="e">
        <f t="shared" si="186"/>
        <v>#REF!</v>
      </c>
      <c r="BI369" s="90">
        <f>SUMIF(B61:B373, B369, BH61:BH373)</f>
        <v>0</v>
      </c>
      <c r="BJ369" s="91"/>
      <c r="BK369" s="92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4"/>
    </row>
    <row r="370" spans="1:82" x14ac:dyDescent="0.3">
      <c r="A370" s="95" t="s">
        <v>685</v>
      </c>
      <c r="B370" s="96"/>
      <c r="C370" s="97" t="s">
        <v>370</v>
      </c>
      <c r="D370" s="97" t="s">
        <v>394</v>
      </c>
      <c r="E370" s="98" t="s">
        <v>652</v>
      </c>
      <c r="F370" s="99" t="s">
        <v>103</v>
      </c>
      <c r="G370" s="100"/>
      <c r="H370" s="101" t="s">
        <v>103</v>
      </c>
      <c r="I370" s="99" t="s">
        <v>6</v>
      </c>
      <c r="J370" s="100" t="s">
        <v>6</v>
      </c>
      <c r="K370" s="102"/>
      <c r="L370" s="103"/>
      <c r="M370" s="104"/>
      <c r="N370" s="105">
        <v>2336</v>
      </c>
      <c r="O370" s="106">
        <v>2568</v>
      </c>
      <c r="P370" s="106">
        <v>2723</v>
      </c>
      <c r="Q370" s="107"/>
      <c r="R370" s="156">
        <v>0.09</v>
      </c>
      <c r="S370" s="105">
        <v>210</v>
      </c>
      <c r="T370" s="106">
        <v>231</v>
      </c>
      <c r="U370" s="106">
        <v>245</v>
      </c>
      <c r="V370" s="107">
        <f t="shared" si="167"/>
        <v>0</v>
      </c>
      <c r="W370" s="109"/>
      <c r="X370" s="110"/>
      <c r="Y370" s="111" t="s">
        <v>104</v>
      </c>
      <c r="Z370" s="100" t="str">
        <f>'[1]Tier 1'!V370</f>
        <v>D</v>
      </c>
      <c r="AA370" s="100"/>
      <c r="AB370" s="100"/>
      <c r="AC370" s="100"/>
      <c r="AD370" s="101"/>
      <c r="AE370" s="105">
        <f>'[1]Tier 1'!W370</f>
        <v>1962</v>
      </c>
      <c r="AF370" s="106"/>
      <c r="AG370" s="106">
        <f>'[1]Tier 1'!X370</f>
        <v>1962</v>
      </c>
      <c r="AH370" s="106"/>
      <c r="AI370" s="106">
        <f>'[1]Tier 1'!Y370</f>
        <v>1962</v>
      </c>
      <c r="AJ370" s="106">
        <f t="shared" si="168"/>
        <v>1765.8</v>
      </c>
      <c r="AK370" s="106" t="e">
        <f>VLOOKUP(A370,#REF!,-1,FALSE)</f>
        <v>#REF!</v>
      </c>
      <c r="AL370" s="107" t="e">
        <f t="shared" si="169"/>
        <v>#REF!</v>
      </c>
      <c r="AM370" s="105">
        <f t="shared" si="170"/>
        <v>210</v>
      </c>
      <c r="AN370" s="112">
        <f t="shared" si="171"/>
        <v>0.107</v>
      </c>
      <c r="AO370" s="100" t="str">
        <f t="shared" si="172"/>
        <v>OK</v>
      </c>
      <c r="AP370" s="106">
        <f t="shared" si="173"/>
        <v>231</v>
      </c>
      <c r="AQ370" s="112">
        <f t="shared" si="174"/>
        <v>0.11799999999999999</v>
      </c>
      <c r="AR370" s="100" t="str">
        <f t="shared" si="175"/>
        <v>OK</v>
      </c>
      <c r="AS370" s="106">
        <f t="shared" si="176"/>
        <v>245</v>
      </c>
      <c r="AT370" s="112">
        <f t="shared" si="177"/>
        <v>0.125</v>
      </c>
      <c r="AU370" s="113" t="str">
        <f t="shared" si="178"/>
        <v>OK</v>
      </c>
      <c r="AV370" s="106">
        <f t="shared" si="179"/>
        <v>0</v>
      </c>
      <c r="AW370" s="112" t="e">
        <f t="shared" si="180"/>
        <v>#REF!</v>
      </c>
      <c r="AX370" s="114" t="e">
        <f t="shared" si="181"/>
        <v>#REF!</v>
      </c>
      <c r="AY370" s="99"/>
      <c r="AZ370" s="100"/>
      <c r="BA370" s="104">
        <f t="shared" si="182"/>
        <v>0</v>
      </c>
      <c r="BB370" s="115">
        <f t="shared" si="183"/>
        <v>1</v>
      </c>
      <c r="BC370" s="116" t="e">
        <f>SUMIF(#REF!,#REF!, BB61:BB373)</f>
        <v>#REF!</v>
      </c>
      <c r="BD370" s="116">
        <f t="shared" si="184"/>
        <v>1</v>
      </c>
      <c r="BE370" s="116" t="e">
        <f>SUMIF(#REF!,#REF!, BD61:BD373)</f>
        <v>#REF!</v>
      </c>
      <c r="BF370" s="116">
        <f t="shared" si="185"/>
        <v>0</v>
      </c>
      <c r="BG370" s="116" t="e">
        <f>SUMIF(#REF!,#REF!, BF61:BF373)</f>
        <v>#REF!</v>
      </c>
      <c r="BH370" s="116" t="e">
        <f t="shared" si="186"/>
        <v>#REF!</v>
      </c>
      <c r="BI370" s="117">
        <f>SUMIF(B61:B373, B370, BH61:BH373)</f>
        <v>0</v>
      </c>
      <c r="BJ370" s="118"/>
      <c r="BK370" s="92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4"/>
    </row>
    <row r="371" spans="1:82" hidden="1" x14ac:dyDescent="0.3">
      <c r="A371" s="68" t="s">
        <v>686</v>
      </c>
      <c r="B371" s="69"/>
      <c r="C371" s="70" t="s">
        <v>588</v>
      </c>
      <c r="D371" s="70" t="s">
        <v>325</v>
      </c>
      <c r="E371" s="71" t="s">
        <v>304</v>
      </c>
      <c r="F371" s="72" t="s">
        <v>103</v>
      </c>
      <c r="G371" s="73"/>
      <c r="H371" s="74" t="s">
        <v>103</v>
      </c>
      <c r="I371" s="72" t="s">
        <v>6</v>
      </c>
      <c r="J371" s="73" t="s">
        <v>6</v>
      </c>
      <c r="K371" s="75"/>
      <c r="L371" s="76"/>
      <c r="M371" s="77"/>
      <c r="N371" s="78" t="e">
        <v>#DIV/0!</v>
      </c>
      <c r="O371" s="79">
        <v>0</v>
      </c>
      <c r="P371" s="79" t="e">
        <v>#DIV/0!</v>
      </c>
      <c r="Q371" s="80"/>
      <c r="R371" s="155">
        <v>0.09</v>
      </c>
      <c r="S371" s="78" t="e">
        <v>#DIV/0!</v>
      </c>
      <c r="T371" s="79">
        <v>0</v>
      </c>
      <c r="U371" s="79" t="e">
        <v>#DIV/0!</v>
      </c>
      <c r="V371" s="80">
        <f t="shared" si="167"/>
        <v>0</v>
      </c>
      <c r="W371" s="82"/>
      <c r="X371" s="83"/>
      <c r="Y371" s="84" t="s">
        <v>104</v>
      </c>
      <c r="Z371" s="73" t="str">
        <f>'[1]Tier 1'!V371</f>
        <v>D</v>
      </c>
      <c r="AA371" s="73"/>
      <c r="AB371" s="73"/>
      <c r="AC371" s="73"/>
      <c r="AD371" s="74"/>
      <c r="AE371" s="78">
        <f>'[1]Tier 1'!W371</f>
        <v>1818</v>
      </c>
      <c r="AF371" s="79"/>
      <c r="AG371" s="79">
        <f>'[1]Tier 1'!X371</f>
        <v>1818</v>
      </c>
      <c r="AH371" s="79"/>
      <c r="AI371" s="79">
        <f>'[1]Tier 1'!Y371</f>
        <v>1818</v>
      </c>
      <c r="AJ371" s="79">
        <f t="shared" si="168"/>
        <v>1636.2</v>
      </c>
      <c r="AK371" s="79" t="e">
        <f>VLOOKUP(A371,#REF!,-1,FALSE)</f>
        <v>#REF!</v>
      </c>
      <c r="AL371" s="80" t="e">
        <f t="shared" si="169"/>
        <v>#REF!</v>
      </c>
      <c r="AM371" s="78" t="e">
        <f t="shared" si="170"/>
        <v>#DIV/0!</v>
      </c>
      <c r="AN371" s="85" t="e">
        <f t="shared" si="171"/>
        <v>#DIV/0!</v>
      </c>
      <c r="AO371" s="73" t="str">
        <f t="shared" si="172"/>
        <v>OK</v>
      </c>
      <c r="AP371" s="79">
        <f t="shared" si="173"/>
        <v>0</v>
      </c>
      <c r="AQ371" s="85">
        <f t="shared" si="174"/>
        <v>0</v>
      </c>
      <c r="AR371" s="73" t="str">
        <f t="shared" si="175"/>
        <v>OK</v>
      </c>
      <c r="AS371" s="79" t="e">
        <f t="shared" si="176"/>
        <v>#DIV/0!</v>
      </c>
      <c r="AT371" s="85" t="e">
        <f t="shared" si="177"/>
        <v>#DIV/0!</v>
      </c>
      <c r="AU371" s="86" t="str">
        <f t="shared" si="178"/>
        <v>OK</v>
      </c>
      <c r="AV371" s="79">
        <f t="shared" si="179"/>
        <v>0</v>
      </c>
      <c r="AW371" s="85" t="e">
        <f t="shared" si="180"/>
        <v>#REF!</v>
      </c>
      <c r="AX371" s="87" t="e">
        <f t="shared" si="181"/>
        <v>#REF!</v>
      </c>
      <c r="AY371" s="72"/>
      <c r="AZ371" s="73"/>
      <c r="BA371" s="77">
        <f t="shared" si="182"/>
        <v>0</v>
      </c>
      <c r="BB371" s="88" t="e">
        <f t="shared" si="183"/>
        <v>#DIV/0!</v>
      </c>
      <c r="BC371" s="89" t="e">
        <f>SUMIF(#REF!,#REF!, BB63:BB375)</f>
        <v>#REF!</v>
      </c>
      <c r="BD371" s="89">
        <f t="shared" si="184"/>
        <v>0</v>
      </c>
      <c r="BE371" s="89" t="e">
        <f>SUMIF(#REF!,#REF!, BD63:BD375)</f>
        <v>#REF!</v>
      </c>
      <c r="BF371" s="89" t="e">
        <f t="shared" si="185"/>
        <v>#DIV/0!</v>
      </c>
      <c r="BG371" s="89" t="e">
        <f>SUMIF(#REF!,#REF!, BF63:BF375)</f>
        <v>#REF!</v>
      </c>
      <c r="BH371" s="89" t="e">
        <f t="shared" si="186"/>
        <v>#REF!</v>
      </c>
      <c r="BI371" s="90">
        <f>SUMIF(B63:B375, B371, BH63:BH375)</f>
        <v>0</v>
      </c>
      <c r="BJ371" s="91"/>
      <c r="BK371" s="92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4"/>
    </row>
    <row r="372" spans="1:82" x14ac:dyDescent="0.3">
      <c r="A372" s="95" t="s">
        <v>687</v>
      </c>
      <c r="B372" s="96"/>
      <c r="C372" s="97" t="s">
        <v>645</v>
      </c>
      <c r="D372" s="97" t="s">
        <v>688</v>
      </c>
      <c r="E372" s="98" t="s">
        <v>223</v>
      </c>
      <c r="F372" s="99" t="s">
        <v>103</v>
      </c>
      <c r="G372" s="100"/>
      <c r="H372" s="101" t="s">
        <v>103</v>
      </c>
      <c r="I372" s="99" t="s">
        <v>6</v>
      </c>
      <c r="J372" s="100" t="s">
        <v>6</v>
      </c>
      <c r="K372" s="102"/>
      <c r="L372" s="103"/>
      <c r="M372" s="104"/>
      <c r="N372" s="105">
        <v>8723</v>
      </c>
      <c r="O372" s="106">
        <v>9257</v>
      </c>
      <c r="P372" s="106">
        <v>8443</v>
      </c>
      <c r="Q372" s="107"/>
      <c r="R372" s="156">
        <v>0.09</v>
      </c>
      <c r="S372" s="105">
        <v>785</v>
      </c>
      <c r="T372" s="106">
        <v>833</v>
      </c>
      <c r="U372" s="106">
        <v>760</v>
      </c>
      <c r="V372" s="107">
        <f t="shared" si="167"/>
        <v>0</v>
      </c>
      <c r="W372" s="109"/>
      <c r="X372" s="110"/>
      <c r="Y372" s="111" t="s">
        <v>104</v>
      </c>
      <c r="Z372" s="100" t="str">
        <f>'[1]Tier 1'!V372</f>
        <v>D</v>
      </c>
      <c r="AA372" s="100"/>
      <c r="AB372" s="100"/>
      <c r="AC372" s="100"/>
      <c r="AD372" s="101"/>
      <c r="AE372" s="105">
        <f>'[1]Tier 1'!W372</f>
        <v>1197</v>
      </c>
      <c r="AF372" s="106"/>
      <c r="AG372" s="106">
        <f>'[1]Tier 1'!X372</f>
        <v>1197</v>
      </c>
      <c r="AH372" s="106"/>
      <c r="AI372" s="106">
        <f>'[1]Tier 1'!Y372</f>
        <v>1197</v>
      </c>
      <c r="AJ372" s="106">
        <f t="shared" si="168"/>
        <v>1077.3</v>
      </c>
      <c r="AK372" s="106" t="e">
        <f>VLOOKUP(A372,#REF!,-1,FALSE)</f>
        <v>#REF!</v>
      </c>
      <c r="AL372" s="107" t="e">
        <f t="shared" si="169"/>
        <v>#REF!</v>
      </c>
      <c r="AM372" s="105">
        <f t="shared" si="170"/>
        <v>785</v>
      </c>
      <c r="AN372" s="112">
        <f t="shared" si="171"/>
        <v>0.65600000000000003</v>
      </c>
      <c r="AO372" s="100" t="str">
        <f t="shared" si="172"/>
        <v>OK</v>
      </c>
      <c r="AP372" s="106">
        <f t="shared" si="173"/>
        <v>833</v>
      </c>
      <c r="AQ372" s="112">
        <f t="shared" si="174"/>
        <v>0.69599999999999995</v>
      </c>
      <c r="AR372" s="100" t="str">
        <f t="shared" si="175"/>
        <v>OK</v>
      </c>
      <c r="AS372" s="106">
        <f t="shared" si="176"/>
        <v>760</v>
      </c>
      <c r="AT372" s="112">
        <f t="shared" si="177"/>
        <v>0.63500000000000001</v>
      </c>
      <c r="AU372" s="113" t="str">
        <f t="shared" si="178"/>
        <v>OK</v>
      </c>
      <c r="AV372" s="106">
        <f t="shared" si="179"/>
        <v>0</v>
      </c>
      <c r="AW372" s="112" t="e">
        <f t="shared" si="180"/>
        <v>#REF!</v>
      </c>
      <c r="AX372" s="114" t="e">
        <f t="shared" si="181"/>
        <v>#REF!</v>
      </c>
      <c r="AY372" s="99"/>
      <c r="AZ372" s="100"/>
      <c r="BA372" s="104">
        <f t="shared" si="182"/>
        <v>0</v>
      </c>
      <c r="BB372" s="115">
        <f t="shared" si="183"/>
        <v>1</v>
      </c>
      <c r="BC372" s="116" t="e">
        <f>SUMIF(#REF!,#REF!, BB63:BB375)</f>
        <v>#REF!</v>
      </c>
      <c r="BD372" s="116">
        <f t="shared" si="184"/>
        <v>1</v>
      </c>
      <c r="BE372" s="116" t="e">
        <f>SUMIF(#REF!,#REF!, BD63:BD375)</f>
        <v>#REF!</v>
      </c>
      <c r="BF372" s="116">
        <f t="shared" si="185"/>
        <v>0</v>
      </c>
      <c r="BG372" s="116" t="e">
        <f>SUMIF(#REF!,#REF!, BF63:BF375)</f>
        <v>#REF!</v>
      </c>
      <c r="BH372" s="116" t="e">
        <f t="shared" si="186"/>
        <v>#REF!</v>
      </c>
      <c r="BI372" s="117">
        <f>SUMIF(B63:B375, B372, BH63:BH375)</f>
        <v>0</v>
      </c>
      <c r="BJ372" s="118"/>
      <c r="BK372" s="92"/>
      <c r="BL372" s="93"/>
      <c r="BM372" s="93"/>
      <c r="BN372" s="93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4"/>
    </row>
    <row r="373" spans="1:82" x14ac:dyDescent="0.3">
      <c r="A373" s="68" t="s">
        <v>689</v>
      </c>
      <c r="B373" s="69"/>
      <c r="C373" s="70" t="s">
        <v>645</v>
      </c>
      <c r="D373" s="70" t="s">
        <v>646</v>
      </c>
      <c r="E373" s="71" t="s">
        <v>414</v>
      </c>
      <c r="F373" s="72" t="s">
        <v>103</v>
      </c>
      <c r="G373" s="73"/>
      <c r="H373" s="74" t="s">
        <v>103</v>
      </c>
      <c r="I373" s="72" t="s">
        <v>6</v>
      </c>
      <c r="J373" s="73" t="s">
        <v>6</v>
      </c>
      <c r="K373" s="75"/>
      <c r="L373" s="76"/>
      <c r="M373" s="77"/>
      <c r="N373" s="78">
        <v>8723</v>
      </c>
      <c r="O373" s="79">
        <v>9257</v>
      </c>
      <c r="P373" s="79">
        <v>8443</v>
      </c>
      <c r="Q373" s="80"/>
      <c r="R373" s="155">
        <v>0.09</v>
      </c>
      <c r="S373" s="78">
        <v>785</v>
      </c>
      <c r="T373" s="79">
        <v>833</v>
      </c>
      <c r="U373" s="79">
        <v>760</v>
      </c>
      <c r="V373" s="80">
        <f t="shared" si="167"/>
        <v>0</v>
      </c>
      <c r="W373" s="82"/>
      <c r="X373" s="83"/>
      <c r="Y373" s="84" t="s">
        <v>104</v>
      </c>
      <c r="Z373" s="73" t="str">
        <f>'[1]Tier 1'!V373</f>
        <v>D</v>
      </c>
      <c r="AA373" s="73"/>
      <c r="AB373" s="73"/>
      <c r="AC373" s="73"/>
      <c r="AD373" s="74"/>
      <c r="AE373" s="78">
        <f>'[1]Tier 1'!W373</f>
        <v>1197</v>
      </c>
      <c r="AF373" s="79"/>
      <c r="AG373" s="79">
        <f>'[1]Tier 1'!X373</f>
        <v>1197</v>
      </c>
      <c r="AH373" s="79"/>
      <c r="AI373" s="79">
        <f>'[1]Tier 1'!Y373</f>
        <v>1197</v>
      </c>
      <c r="AJ373" s="79">
        <f t="shared" si="168"/>
        <v>1077.3</v>
      </c>
      <c r="AK373" s="79" t="e">
        <f>VLOOKUP(A373,#REF!,-1,FALSE)</f>
        <v>#REF!</v>
      </c>
      <c r="AL373" s="80" t="e">
        <f t="shared" si="169"/>
        <v>#REF!</v>
      </c>
      <c r="AM373" s="78">
        <f t="shared" si="170"/>
        <v>785</v>
      </c>
      <c r="AN373" s="85">
        <f t="shared" si="171"/>
        <v>0.65600000000000003</v>
      </c>
      <c r="AO373" s="73" t="str">
        <f t="shared" si="172"/>
        <v>OK</v>
      </c>
      <c r="AP373" s="79">
        <f t="shared" si="173"/>
        <v>833</v>
      </c>
      <c r="AQ373" s="85">
        <f t="shared" si="174"/>
        <v>0.69599999999999995</v>
      </c>
      <c r="AR373" s="73" t="str">
        <f t="shared" si="175"/>
        <v>OK</v>
      </c>
      <c r="AS373" s="79">
        <f t="shared" si="176"/>
        <v>760</v>
      </c>
      <c r="AT373" s="85">
        <f t="shared" si="177"/>
        <v>0.63500000000000001</v>
      </c>
      <c r="AU373" s="86" t="str">
        <f t="shared" si="178"/>
        <v>OK</v>
      </c>
      <c r="AV373" s="79">
        <f t="shared" si="179"/>
        <v>0</v>
      </c>
      <c r="AW373" s="85" t="e">
        <f t="shared" si="180"/>
        <v>#REF!</v>
      </c>
      <c r="AX373" s="87" t="e">
        <f t="shared" si="181"/>
        <v>#REF!</v>
      </c>
      <c r="AY373" s="72"/>
      <c r="AZ373" s="73"/>
      <c r="BA373" s="77">
        <f t="shared" si="182"/>
        <v>0</v>
      </c>
      <c r="BB373" s="88">
        <f t="shared" si="183"/>
        <v>1</v>
      </c>
      <c r="BC373" s="89" t="e">
        <f>SUMIF(#REF!,#REF!, BB65:BB377)</f>
        <v>#REF!</v>
      </c>
      <c r="BD373" s="89">
        <f t="shared" si="184"/>
        <v>1</v>
      </c>
      <c r="BE373" s="89" t="e">
        <f>SUMIF(#REF!,#REF!, BD65:BD377)</f>
        <v>#REF!</v>
      </c>
      <c r="BF373" s="89">
        <f t="shared" si="185"/>
        <v>0</v>
      </c>
      <c r="BG373" s="89" t="e">
        <f>SUMIF(#REF!,#REF!, BF65:BF377)</f>
        <v>#REF!</v>
      </c>
      <c r="BH373" s="89" t="e">
        <f t="shared" si="186"/>
        <v>#REF!</v>
      </c>
      <c r="BI373" s="90">
        <f>SUMIF(B65:B377, B373, BH65:BH377)</f>
        <v>0</v>
      </c>
      <c r="BJ373" s="91"/>
      <c r="BK373" s="92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4"/>
    </row>
    <row r="374" spans="1:82" x14ac:dyDescent="0.3">
      <c r="A374" s="95" t="s">
        <v>690</v>
      </c>
      <c r="B374" s="96"/>
      <c r="C374" s="97" t="s">
        <v>645</v>
      </c>
      <c r="D374" s="97" t="s">
        <v>414</v>
      </c>
      <c r="E374" s="98" t="s">
        <v>691</v>
      </c>
      <c r="F374" s="99" t="s">
        <v>103</v>
      </c>
      <c r="G374" s="100"/>
      <c r="H374" s="101" t="s">
        <v>103</v>
      </c>
      <c r="I374" s="99" t="s">
        <v>6</v>
      </c>
      <c r="J374" s="100" t="s">
        <v>6</v>
      </c>
      <c r="K374" s="102"/>
      <c r="L374" s="103"/>
      <c r="M374" s="104"/>
      <c r="N374" s="105">
        <v>8723</v>
      </c>
      <c r="O374" s="106">
        <v>9257</v>
      </c>
      <c r="P374" s="106">
        <v>8443</v>
      </c>
      <c r="Q374" s="107"/>
      <c r="R374" s="156">
        <v>0.09</v>
      </c>
      <c r="S374" s="105">
        <v>785</v>
      </c>
      <c r="T374" s="106">
        <v>833</v>
      </c>
      <c r="U374" s="106">
        <v>760</v>
      </c>
      <c r="V374" s="107">
        <f t="shared" si="167"/>
        <v>0</v>
      </c>
      <c r="W374" s="109"/>
      <c r="X374" s="110"/>
      <c r="Y374" s="111" t="s">
        <v>104</v>
      </c>
      <c r="Z374" s="100" t="str">
        <f>'[1]Tier 1'!V374</f>
        <v>D</v>
      </c>
      <c r="AA374" s="100"/>
      <c r="AB374" s="100"/>
      <c r="AC374" s="100"/>
      <c r="AD374" s="101"/>
      <c r="AE374" s="105">
        <f>'[1]Tier 1'!W374</f>
        <v>1197</v>
      </c>
      <c r="AF374" s="106"/>
      <c r="AG374" s="106">
        <f>'[1]Tier 1'!X374</f>
        <v>1197</v>
      </c>
      <c r="AH374" s="106"/>
      <c r="AI374" s="106">
        <f>'[1]Tier 1'!Y374</f>
        <v>1197</v>
      </c>
      <c r="AJ374" s="106">
        <f t="shared" si="168"/>
        <v>1077.3</v>
      </c>
      <c r="AK374" s="106" t="e">
        <f>VLOOKUP(A374,#REF!,-1,FALSE)</f>
        <v>#REF!</v>
      </c>
      <c r="AL374" s="107" t="e">
        <f t="shared" si="169"/>
        <v>#REF!</v>
      </c>
      <c r="AM374" s="105">
        <f t="shared" si="170"/>
        <v>785</v>
      </c>
      <c r="AN374" s="112">
        <f t="shared" si="171"/>
        <v>0.65600000000000003</v>
      </c>
      <c r="AO374" s="100" t="str">
        <f t="shared" si="172"/>
        <v>OK</v>
      </c>
      <c r="AP374" s="106">
        <f t="shared" si="173"/>
        <v>833</v>
      </c>
      <c r="AQ374" s="112">
        <f t="shared" si="174"/>
        <v>0.69599999999999995</v>
      </c>
      <c r="AR374" s="100" t="str">
        <f t="shared" si="175"/>
        <v>OK</v>
      </c>
      <c r="AS374" s="106">
        <f t="shared" si="176"/>
        <v>760</v>
      </c>
      <c r="AT374" s="112">
        <f t="shared" si="177"/>
        <v>0.63500000000000001</v>
      </c>
      <c r="AU374" s="113" t="str">
        <f t="shared" si="178"/>
        <v>OK</v>
      </c>
      <c r="AV374" s="106">
        <f t="shared" si="179"/>
        <v>0</v>
      </c>
      <c r="AW374" s="112" t="e">
        <f t="shared" si="180"/>
        <v>#REF!</v>
      </c>
      <c r="AX374" s="114" t="e">
        <f t="shared" si="181"/>
        <v>#REF!</v>
      </c>
      <c r="AY374" s="99"/>
      <c r="AZ374" s="100"/>
      <c r="BA374" s="104">
        <f t="shared" si="182"/>
        <v>0</v>
      </c>
      <c r="BB374" s="115">
        <f t="shared" si="183"/>
        <v>1</v>
      </c>
      <c r="BC374" s="116" t="e">
        <f>SUMIF(#REF!,#REF!, BB65:BB377)</f>
        <v>#REF!</v>
      </c>
      <c r="BD374" s="116">
        <f t="shared" si="184"/>
        <v>1</v>
      </c>
      <c r="BE374" s="116" t="e">
        <f>SUMIF(#REF!,#REF!, BD65:BD377)</f>
        <v>#REF!</v>
      </c>
      <c r="BF374" s="116">
        <f t="shared" si="185"/>
        <v>0</v>
      </c>
      <c r="BG374" s="116" t="e">
        <f>SUMIF(#REF!,#REF!, BF65:BF377)</f>
        <v>#REF!</v>
      </c>
      <c r="BH374" s="116" t="e">
        <f t="shared" si="186"/>
        <v>#REF!</v>
      </c>
      <c r="BI374" s="117">
        <f>SUMIF(B65:B377, B374, BH65:BH377)</f>
        <v>0</v>
      </c>
      <c r="BJ374" s="118"/>
      <c r="BK374" s="92"/>
      <c r="BL374" s="93"/>
      <c r="BM374" s="93"/>
      <c r="BN374" s="93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4"/>
    </row>
    <row r="375" spans="1:82" hidden="1" x14ac:dyDescent="0.3">
      <c r="A375" s="68" t="s">
        <v>692</v>
      </c>
      <c r="B375" s="69"/>
      <c r="C375" s="70" t="s">
        <v>649</v>
      </c>
      <c r="D375" s="70" t="s">
        <v>645</v>
      </c>
      <c r="E375" s="71" t="s">
        <v>693</v>
      </c>
      <c r="F375" s="72" t="s">
        <v>103</v>
      </c>
      <c r="G375" s="73"/>
      <c r="H375" s="74" t="s">
        <v>103</v>
      </c>
      <c r="I375" s="72" t="s">
        <v>6</v>
      </c>
      <c r="J375" s="73" t="s">
        <v>6</v>
      </c>
      <c r="K375" s="75"/>
      <c r="L375" s="76"/>
      <c r="M375" s="77"/>
      <c r="N375" s="78" t="e">
        <v>#DIV/0!</v>
      </c>
      <c r="O375" s="79">
        <v>0</v>
      </c>
      <c r="P375" s="79" t="e">
        <v>#DIV/0!</v>
      </c>
      <c r="Q375" s="80"/>
      <c r="R375" s="155">
        <v>0.09</v>
      </c>
      <c r="S375" s="78" t="e">
        <v>#DIV/0!</v>
      </c>
      <c r="T375" s="79">
        <v>0</v>
      </c>
      <c r="U375" s="79" t="e">
        <v>#DIV/0!</v>
      </c>
      <c r="V375" s="80">
        <f t="shared" si="167"/>
        <v>0</v>
      </c>
      <c r="W375" s="82"/>
      <c r="X375" s="83"/>
      <c r="Y375" s="84" t="s">
        <v>104</v>
      </c>
      <c r="Z375" s="73" t="str">
        <f>'[1]Tier 1'!V375</f>
        <v>D</v>
      </c>
      <c r="AA375" s="73"/>
      <c r="AB375" s="73"/>
      <c r="AC375" s="73"/>
      <c r="AD375" s="74"/>
      <c r="AE375" s="78">
        <f>'[1]Tier 1'!W375</f>
        <v>1962</v>
      </c>
      <c r="AF375" s="79"/>
      <c r="AG375" s="79">
        <f>'[1]Tier 1'!X375</f>
        <v>1962</v>
      </c>
      <c r="AH375" s="79"/>
      <c r="AI375" s="79">
        <f>'[1]Tier 1'!Y375</f>
        <v>1962</v>
      </c>
      <c r="AJ375" s="79">
        <f t="shared" si="168"/>
        <v>1765.8</v>
      </c>
      <c r="AK375" s="79" t="e">
        <f>VLOOKUP(A375,#REF!,-1,FALSE)</f>
        <v>#REF!</v>
      </c>
      <c r="AL375" s="80" t="e">
        <f t="shared" si="169"/>
        <v>#REF!</v>
      </c>
      <c r="AM375" s="78" t="e">
        <f t="shared" si="170"/>
        <v>#DIV/0!</v>
      </c>
      <c r="AN375" s="85" t="e">
        <f t="shared" si="171"/>
        <v>#DIV/0!</v>
      </c>
      <c r="AO375" s="73" t="str">
        <f t="shared" si="172"/>
        <v>OK</v>
      </c>
      <c r="AP375" s="79">
        <f t="shared" si="173"/>
        <v>0</v>
      </c>
      <c r="AQ375" s="85">
        <f t="shared" si="174"/>
        <v>0</v>
      </c>
      <c r="AR375" s="73" t="str">
        <f t="shared" si="175"/>
        <v>OK</v>
      </c>
      <c r="AS375" s="79" t="e">
        <f t="shared" si="176"/>
        <v>#DIV/0!</v>
      </c>
      <c r="AT375" s="85" t="e">
        <f t="shared" si="177"/>
        <v>#DIV/0!</v>
      </c>
      <c r="AU375" s="86" t="str">
        <f t="shared" si="178"/>
        <v>OK</v>
      </c>
      <c r="AV375" s="79">
        <f t="shared" si="179"/>
        <v>0</v>
      </c>
      <c r="AW375" s="85" t="e">
        <f t="shared" si="180"/>
        <v>#REF!</v>
      </c>
      <c r="AX375" s="87" t="e">
        <f t="shared" si="181"/>
        <v>#REF!</v>
      </c>
      <c r="AY375" s="72"/>
      <c r="AZ375" s="73"/>
      <c r="BA375" s="77">
        <f t="shared" si="182"/>
        <v>0</v>
      </c>
      <c r="BB375" s="88" t="e">
        <f t="shared" si="183"/>
        <v>#DIV/0!</v>
      </c>
      <c r="BC375" s="89" t="e">
        <f>SUMIF(#REF!,#REF!, BB67:BB379)</f>
        <v>#REF!</v>
      </c>
      <c r="BD375" s="89">
        <f t="shared" si="184"/>
        <v>0</v>
      </c>
      <c r="BE375" s="89" t="e">
        <f>SUMIF(#REF!,#REF!, BD67:BD379)</f>
        <v>#REF!</v>
      </c>
      <c r="BF375" s="89" t="e">
        <f t="shared" si="185"/>
        <v>#DIV/0!</v>
      </c>
      <c r="BG375" s="89" t="e">
        <f>SUMIF(#REF!,#REF!, BF67:BF379)</f>
        <v>#REF!</v>
      </c>
      <c r="BH375" s="89" t="e">
        <f t="shared" si="186"/>
        <v>#REF!</v>
      </c>
      <c r="BI375" s="90">
        <f>SUMIF(B67:B379, B375, BH67:BH379)</f>
        <v>0</v>
      </c>
      <c r="BJ375" s="91"/>
      <c r="BK375" s="92"/>
      <c r="BL375" s="93"/>
      <c r="BM375" s="93"/>
      <c r="BN375" s="93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4"/>
    </row>
    <row r="376" spans="1:82" hidden="1" x14ac:dyDescent="0.3">
      <c r="A376" s="95" t="s">
        <v>694</v>
      </c>
      <c r="B376" s="96"/>
      <c r="C376" s="97" t="s">
        <v>649</v>
      </c>
      <c r="D376" s="97" t="s">
        <v>181</v>
      </c>
      <c r="E376" s="98" t="s">
        <v>645</v>
      </c>
      <c r="F376" s="99" t="s">
        <v>103</v>
      </c>
      <c r="G376" s="100"/>
      <c r="H376" s="101" t="s">
        <v>103</v>
      </c>
      <c r="I376" s="99" t="s">
        <v>6</v>
      </c>
      <c r="J376" s="100" t="s">
        <v>6</v>
      </c>
      <c r="K376" s="102"/>
      <c r="L376" s="103"/>
      <c r="M376" s="104"/>
      <c r="N376" s="105" t="e">
        <v>#DIV/0!</v>
      </c>
      <c r="O376" s="106">
        <v>0</v>
      </c>
      <c r="P376" s="106" t="e">
        <v>#DIV/0!</v>
      </c>
      <c r="Q376" s="107"/>
      <c r="R376" s="156">
        <v>0.09</v>
      </c>
      <c r="S376" s="105" t="e">
        <v>#DIV/0!</v>
      </c>
      <c r="T376" s="106">
        <v>0</v>
      </c>
      <c r="U376" s="106" t="e">
        <v>#DIV/0!</v>
      </c>
      <c r="V376" s="107">
        <f t="shared" si="167"/>
        <v>0</v>
      </c>
      <c r="W376" s="109"/>
      <c r="X376" s="110"/>
      <c r="Y376" s="111" t="s">
        <v>104</v>
      </c>
      <c r="Z376" s="100" t="str">
        <f>'[1]Tier 1'!V376</f>
        <v>D</v>
      </c>
      <c r="AA376" s="100"/>
      <c r="AB376" s="100"/>
      <c r="AC376" s="100"/>
      <c r="AD376" s="101"/>
      <c r="AE376" s="105">
        <f>'[1]Tier 1'!W376</f>
        <v>1962</v>
      </c>
      <c r="AF376" s="106"/>
      <c r="AG376" s="106">
        <f>'[1]Tier 1'!X376</f>
        <v>1962</v>
      </c>
      <c r="AH376" s="106"/>
      <c r="AI376" s="106">
        <f>'[1]Tier 1'!Y376</f>
        <v>1962</v>
      </c>
      <c r="AJ376" s="106">
        <f t="shared" si="168"/>
        <v>1765.8</v>
      </c>
      <c r="AK376" s="106" t="e">
        <f>VLOOKUP(A376,#REF!,-1,FALSE)</f>
        <v>#REF!</v>
      </c>
      <c r="AL376" s="107" t="e">
        <f t="shared" si="169"/>
        <v>#REF!</v>
      </c>
      <c r="AM376" s="105" t="e">
        <f t="shared" si="170"/>
        <v>#DIV/0!</v>
      </c>
      <c r="AN376" s="112" t="e">
        <f t="shared" si="171"/>
        <v>#DIV/0!</v>
      </c>
      <c r="AO376" s="100" t="str">
        <f t="shared" si="172"/>
        <v>OK</v>
      </c>
      <c r="AP376" s="106">
        <f t="shared" si="173"/>
        <v>0</v>
      </c>
      <c r="AQ376" s="112">
        <f t="shared" si="174"/>
        <v>0</v>
      </c>
      <c r="AR376" s="100" t="str">
        <f t="shared" si="175"/>
        <v>OK</v>
      </c>
      <c r="AS376" s="106" t="e">
        <f t="shared" si="176"/>
        <v>#DIV/0!</v>
      </c>
      <c r="AT376" s="112" t="e">
        <f t="shared" si="177"/>
        <v>#DIV/0!</v>
      </c>
      <c r="AU376" s="113" t="str">
        <f t="shared" si="178"/>
        <v>OK</v>
      </c>
      <c r="AV376" s="106">
        <f t="shared" si="179"/>
        <v>0</v>
      </c>
      <c r="AW376" s="112" t="e">
        <f t="shared" si="180"/>
        <v>#REF!</v>
      </c>
      <c r="AX376" s="114" t="e">
        <f t="shared" si="181"/>
        <v>#REF!</v>
      </c>
      <c r="AY376" s="99"/>
      <c r="AZ376" s="100"/>
      <c r="BA376" s="104">
        <f t="shared" si="182"/>
        <v>0</v>
      </c>
      <c r="BB376" s="115" t="e">
        <f t="shared" si="183"/>
        <v>#DIV/0!</v>
      </c>
      <c r="BC376" s="116" t="e">
        <f>SUMIF(#REF!,#REF!, BB67:BB379)</f>
        <v>#REF!</v>
      </c>
      <c r="BD376" s="116">
        <f t="shared" si="184"/>
        <v>0</v>
      </c>
      <c r="BE376" s="116" t="e">
        <f>SUMIF(#REF!,#REF!, BD67:BD379)</f>
        <v>#REF!</v>
      </c>
      <c r="BF376" s="116" t="e">
        <f t="shared" si="185"/>
        <v>#DIV/0!</v>
      </c>
      <c r="BG376" s="116" t="e">
        <f>SUMIF(#REF!,#REF!, BF67:BF379)</f>
        <v>#REF!</v>
      </c>
      <c r="BH376" s="116" t="e">
        <f t="shared" si="186"/>
        <v>#REF!</v>
      </c>
      <c r="BI376" s="117">
        <f>SUMIF(B67:B379, B376, BH67:BH379)</f>
        <v>0</v>
      </c>
      <c r="BJ376" s="118"/>
      <c r="BK376" s="92"/>
      <c r="BL376" s="93"/>
      <c r="BM376" s="93"/>
      <c r="BN376" s="93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4"/>
    </row>
    <row r="377" spans="1:82" hidden="1" x14ac:dyDescent="0.3">
      <c r="A377" s="68" t="s">
        <v>695</v>
      </c>
      <c r="B377" s="69"/>
      <c r="C377" s="70" t="s">
        <v>649</v>
      </c>
      <c r="D377" s="70" t="s">
        <v>688</v>
      </c>
      <c r="E377" s="71" t="s">
        <v>181</v>
      </c>
      <c r="F377" s="72" t="s">
        <v>103</v>
      </c>
      <c r="G377" s="73"/>
      <c r="H377" s="74" t="s">
        <v>103</v>
      </c>
      <c r="I377" s="72" t="s">
        <v>6</v>
      </c>
      <c r="J377" s="73" t="s">
        <v>6</v>
      </c>
      <c r="K377" s="75"/>
      <c r="L377" s="76"/>
      <c r="M377" s="77"/>
      <c r="N377" s="78" t="e">
        <v>#DIV/0!</v>
      </c>
      <c r="O377" s="79">
        <v>0</v>
      </c>
      <c r="P377" s="79" t="e">
        <v>#DIV/0!</v>
      </c>
      <c r="Q377" s="80"/>
      <c r="R377" s="155">
        <v>0.09</v>
      </c>
      <c r="S377" s="78" t="e">
        <v>#DIV/0!</v>
      </c>
      <c r="T377" s="79">
        <v>0</v>
      </c>
      <c r="U377" s="79" t="e">
        <v>#DIV/0!</v>
      </c>
      <c r="V377" s="80">
        <f t="shared" si="167"/>
        <v>0</v>
      </c>
      <c r="W377" s="82"/>
      <c r="X377" s="83"/>
      <c r="Y377" s="84" t="s">
        <v>104</v>
      </c>
      <c r="Z377" s="73" t="str">
        <f>'[1]Tier 1'!V377</f>
        <v>D</v>
      </c>
      <c r="AA377" s="73"/>
      <c r="AB377" s="73"/>
      <c r="AC377" s="73"/>
      <c r="AD377" s="74"/>
      <c r="AE377" s="78">
        <f>'[1]Tier 1'!W377</f>
        <v>1962</v>
      </c>
      <c r="AF377" s="79"/>
      <c r="AG377" s="79">
        <f>'[1]Tier 1'!X377</f>
        <v>1962</v>
      </c>
      <c r="AH377" s="79"/>
      <c r="AI377" s="79">
        <f>'[1]Tier 1'!Y377</f>
        <v>1962</v>
      </c>
      <c r="AJ377" s="79">
        <f t="shared" si="168"/>
        <v>1765.8</v>
      </c>
      <c r="AK377" s="79" t="e">
        <f>VLOOKUP(A377,#REF!,-1,FALSE)</f>
        <v>#REF!</v>
      </c>
      <c r="AL377" s="80" t="e">
        <f t="shared" si="169"/>
        <v>#REF!</v>
      </c>
      <c r="AM377" s="78" t="e">
        <f t="shared" si="170"/>
        <v>#DIV/0!</v>
      </c>
      <c r="AN377" s="85" t="e">
        <f t="shared" si="171"/>
        <v>#DIV/0!</v>
      </c>
      <c r="AO377" s="73" t="str">
        <f t="shared" si="172"/>
        <v>OK</v>
      </c>
      <c r="AP377" s="79">
        <f t="shared" si="173"/>
        <v>0</v>
      </c>
      <c r="AQ377" s="85">
        <f t="shared" si="174"/>
        <v>0</v>
      </c>
      <c r="AR377" s="73" t="str">
        <f t="shared" si="175"/>
        <v>OK</v>
      </c>
      <c r="AS377" s="79" t="e">
        <f t="shared" si="176"/>
        <v>#DIV/0!</v>
      </c>
      <c r="AT377" s="85" t="e">
        <f t="shared" si="177"/>
        <v>#DIV/0!</v>
      </c>
      <c r="AU377" s="86" t="str">
        <f t="shared" si="178"/>
        <v>OK</v>
      </c>
      <c r="AV377" s="79">
        <f t="shared" si="179"/>
        <v>0</v>
      </c>
      <c r="AW377" s="85" t="e">
        <f t="shared" si="180"/>
        <v>#REF!</v>
      </c>
      <c r="AX377" s="87" t="e">
        <f t="shared" si="181"/>
        <v>#REF!</v>
      </c>
      <c r="AY377" s="72"/>
      <c r="AZ377" s="73"/>
      <c r="BA377" s="77">
        <f t="shared" si="182"/>
        <v>0</v>
      </c>
      <c r="BB377" s="88" t="e">
        <f t="shared" si="183"/>
        <v>#DIV/0!</v>
      </c>
      <c r="BC377" s="89" t="e">
        <f>SUMIF(#REF!,#REF!, BB69:BB381)</f>
        <v>#REF!</v>
      </c>
      <c r="BD377" s="89">
        <f t="shared" si="184"/>
        <v>0</v>
      </c>
      <c r="BE377" s="89" t="e">
        <f>SUMIF(#REF!,#REF!, BD69:BD381)</f>
        <v>#REF!</v>
      </c>
      <c r="BF377" s="89" t="e">
        <f t="shared" si="185"/>
        <v>#DIV/0!</v>
      </c>
      <c r="BG377" s="89" t="e">
        <f>SUMIF(#REF!,#REF!, BF69:BF381)</f>
        <v>#REF!</v>
      </c>
      <c r="BH377" s="89" t="e">
        <f t="shared" si="186"/>
        <v>#REF!</v>
      </c>
      <c r="BI377" s="90">
        <f>SUMIF(B69:B381, B377, BH69:BH381)</f>
        <v>0</v>
      </c>
      <c r="BJ377" s="91"/>
      <c r="BK377" s="92"/>
      <c r="BL377" s="93"/>
      <c r="BM377" s="93"/>
      <c r="BN377" s="93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4"/>
    </row>
    <row r="378" spans="1:82" x14ac:dyDescent="0.3">
      <c r="A378" s="95" t="s">
        <v>696</v>
      </c>
      <c r="B378" s="96"/>
      <c r="C378" s="97" t="s">
        <v>478</v>
      </c>
      <c r="D378" s="97" t="s">
        <v>112</v>
      </c>
      <c r="E378" s="98" t="s">
        <v>117</v>
      </c>
      <c r="F378" s="99" t="s">
        <v>103</v>
      </c>
      <c r="G378" s="100"/>
      <c r="H378" s="101" t="s">
        <v>103</v>
      </c>
      <c r="I378" s="99" t="s">
        <v>6</v>
      </c>
      <c r="J378" s="100" t="s">
        <v>6</v>
      </c>
      <c r="K378" s="102"/>
      <c r="L378" s="103"/>
      <c r="M378" s="104"/>
      <c r="N378" s="105">
        <v>4830</v>
      </c>
      <c r="O378" s="106">
        <v>5155</v>
      </c>
      <c r="P378" s="106">
        <v>5371</v>
      </c>
      <c r="Q378" s="107"/>
      <c r="R378" s="156">
        <v>0.09</v>
      </c>
      <c r="S378" s="105">
        <v>435</v>
      </c>
      <c r="T378" s="106">
        <v>464</v>
      </c>
      <c r="U378" s="106">
        <v>483</v>
      </c>
      <c r="V378" s="107">
        <f t="shared" si="167"/>
        <v>0</v>
      </c>
      <c r="W378" s="109"/>
      <c r="X378" s="110"/>
      <c r="Y378" s="111" t="s">
        <v>104</v>
      </c>
      <c r="Z378" s="100" t="str">
        <f>'[1]Tier 1'!V378</f>
        <v>D</v>
      </c>
      <c r="AA378" s="100"/>
      <c r="AB378" s="100"/>
      <c r="AC378" s="100"/>
      <c r="AD378" s="101"/>
      <c r="AE378" s="105">
        <f>'[1]Tier 1'!W378</f>
        <v>1440</v>
      </c>
      <c r="AF378" s="106"/>
      <c r="AG378" s="106">
        <f>'[1]Tier 1'!X378</f>
        <v>1440</v>
      </c>
      <c r="AH378" s="106"/>
      <c r="AI378" s="106">
        <f>'[1]Tier 1'!Y378</f>
        <v>1440</v>
      </c>
      <c r="AJ378" s="106">
        <f t="shared" si="168"/>
        <v>1296</v>
      </c>
      <c r="AK378" s="106" t="e">
        <f>VLOOKUP(A378,#REF!,-1,FALSE)</f>
        <v>#REF!</v>
      </c>
      <c r="AL378" s="107" t="e">
        <f t="shared" si="169"/>
        <v>#REF!</v>
      </c>
      <c r="AM378" s="105">
        <f t="shared" si="170"/>
        <v>435</v>
      </c>
      <c r="AN378" s="112">
        <f t="shared" si="171"/>
        <v>0.30199999999999999</v>
      </c>
      <c r="AO378" s="100" t="str">
        <f t="shared" si="172"/>
        <v>OK</v>
      </c>
      <c r="AP378" s="106">
        <f t="shared" si="173"/>
        <v>464</v>
      </c>
      <c r="AQ378" s="112">
        <f t="shared" si="174"/>
        <v>0.32200000000000001</v>
      </c>
      <c r="AR378" s="100" t="str">
        <f t="shared" si="175"/>
        <v>OK</v>
      </c>
      <c r="AS378" s="106">
        <f t="shared" si="176"/>
        <v>483</v>
      </c>
      <c r="AT378" s="112">
        <f t="shared" si="177"/>
        <v>0.33500000000000002</v>
      </c>
      <c r="AU378" s="113" t="str">
        <f t="shared" si="178"/>
        <v>OK</v>
      </c>
      <c r="AV378" s="106">
        <f t="shared" si="179"/>
        <v>0</v>
      </c>
      <c r="AW378" s="112" t="e">
        <f t="shared" si="180"/>
        <v>#REF!</v>
      </c>
      <c r="AX378" s="114" t="e">
        <f t="shared" si="181"/>
        <v>#REF!</v>
      </c>
      <c r="AY378" s="99"/>
      <c r="AZ378" s="100"/>
      <c r="BA378" s="104">
        <f t="shared" si="182"/>
        <v>0</v>
      </c>
      <c r="BB378" s="115">
        <f t="shared" si="183"/>
        <v>1</v>
      </c>
      <c r="BC378" s="116" t="e">
        <f>SUMIF(#REF!,#REF!, BB69:BB381)</f>
        <v>#REF!</v>
      </c>
      <c r="BD378" s="116">
        <f t="shared" si="184"/>
        <v>1</v>
      </c>
      <c r="BE378" s="116" t="e">
        <f>SUMIF(#REF!,#REF!, BD69:BD381)</f>
        <v>#REF!</v>
      </c>
      <c r="BF378" s="116">
        <f t="shared" si="185"/>
        <v>0</v>
      </c>
      <c r="BG378" s="116" t="e">
        <f>SUMIF(#REF!,#REF!, BF69:BF381)</f>
        <v>#REF!</v>
      </c>
      <c r="BH378" s="116" t="e">
        <f t="shared" si="186"/>
        <v>#REF!</v>
      </c>
      <c r="BI378" s="117">
        <f>SUMIF(B69:B381, B378, BH69:BH381)</f>
        <v>0</v>
      </c>
      <c r="BJ378" s="118"/>
      <c r="BK378" s="92"/>
      <c r="BL378" s="93"/>
      <c r="BM378" s="93"/>
      <c r="BN378" s="93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4"/>
    </row>
    <row r="379" spans="1:82" x14ac:dyDescent="0.3">
      <c r="A379" s="68" t="s">
        <v>697</v>
      </c>
      <c r="B379" s="69"/>
      <c r="C379" s="70" t="s">
        <v>606</v>
      </c>
      <c r="D379" s="70" t="s">
        <v>101</v>
      </c>
      <c r="E379" s="71" t="s">
        <v>698</v>
      </c>
      <c r="F379" s="72" t="s">
        <v>103</v>
      </c>
      <c r="G379" s="73"/>
      <c r="H379" s="74" t="s">
        <v>103</v>
      </c>
      <c r="I379" s="72" t="s">
        <v>4</v>
      </c>
      <c r="J379" s="73" t="s">
        <v>6</v>
      </c>
      <c r="K379" s="75"/>
      <c r="L379" s="76"/>
      <c r="M379" s="77"/>
      <c r="N379" s="78">
        <v>1586</v>
      </c>
      <c r="O379" s="79">
        <v>1793</v>
      </c>
      <c r="P379" s="79">
        <v>1931</v>
      </c>
      <c r="Q379" s="80"/>
      <c r="R379" s="155">
        <v>0.09</v>
      </c>
      <c r="S379" s="78">
        <v>143</v>
      </c>
      <c r="T379" s="79">
        <v>161</v>
      </c>
      <c r="U379" s="79">
        <v>174</v>
      </c>
      <c r="V379" s="80">
        <f t="shared" ref="V379:V399" si="188">ROUND(R379*Q379,0)</f>
        <v>0</v>
      </c>
      <c r="W379" s="82"/>
      <c r="X379" s="83"/>
      <c r="Y379" s="84" t="s">
        <v>104</v>
      </c>
      <c r="Z379" s="73" t="str">
        <f>'[1]Tier 1'!V379</f>
        <v>D</v>
      </c>
      <c r="AA379" s="73"/>
      <c r="AB379" s="73"/>
      <c r="AC379" s="73"/>
      <c r="AD379" s="74"/>
      <c r="AE379" s="78">
        <f>'[1]Tier 1'!W379</f>
        <v>1818</v>
      </c>
      <c r="AF379" s="79"/>
      <c r="AG379" s="79">
        <f>'[1]Tier 1'!X379</f>
        <v>1818</v>
      </c>
      <c r="AH379" s="79"/>
      <c r="AI379" s="79">
        <f>'[1]Tier 1'!Y379</f>
        <v>1818</v>
      </c>
      <c r="AJ379" s="79">
        <f t="shared" ref="AJ379:AJ399" si="189">AI379 * 0.9</f>
        <v>1636.2</v>
      </c>
      <c r="AK379" s="79" t="e">
        <f>VLOOKUP(A379,#REF!,-1,FALSE)</f>
        <v>#REF!</v>
      </c>
      <c r="AL379" s="80" t="e">
        <f t="shared" ref="AL379:AL399" si="190">AK379 * 0.9</f>
        <v>#REF!</v>
      </c>
      <c r="AM379" s="78">
        <f t="shared" ref="AM379:AM399" si="191">S379+W379</f>
        <v>143</v>
      </c>
      <c r="AN379" s="85">
        <f t="shared" ref="AN379:AN399" si="192">IF(AE379&gt;0, ROUND(AM379/AE379,3),0)</f>
        <v>7.9000000000000001E-2</v>
      </c>
      <c r="AO379" s="73" t="str">
        <f t="shared" ref="AO379:AO399" si="193">IF($W379&gt;0,IF(AN379&gt;0.8999,"Study 1", "OK"),"OK")</f>
        <v>OK</v>
      </c>
      <c r="AP379" s="79">
        <f t="shared" ref="AP379:AP399" si="194">T379+W379</f>
        <v>161</v>
      </c>
      <c r="AQ379" s="85">
        <f t="shared" ref="AQ379:AQ399" si="195">IF(AG379&gt;0, ROUND(AP379/AG379,3),0)</f>
        <v>8.8999999999999996E-2</v>
      </c>
      <c r="AR379" s="73" t="str">
        <f t="shared" ref="AR379:AR399" si="196">IF($W379&gt;0,IF(AQ379&gt;0.8999,"Study 1", "OK"),"OK")</f>
        <v>OK</v>
      </c>
      <c r="AS379" s="79">
        <f t="shared" ref="AS379:AS399" si="197">U379+W379</f>
        <v>174</v>
      </c>
      <c r="AT379" s="85">
        <f t="shared" ref="AT379:AT399" si="198">IF(AI379&gt;0, ROUND(AS379/AI379,3),0)</f>
        <v>9.6000000000000002E-2</v>
      </c>
      <c r="AU379" s="86" t="str">
        <f t="shared" ref="AU379:AU399" si="199">IF($W379&gt;0,IF(AT379&gt;0.8999,"Study 1", "OK"),"OK")</f>
        <v>OK</v>
      </c>
      <c r="AV379" s="79">
        <f t="shared" ref="AV379:AV399" si="200">V379+W379</f>
        <v>0</v>
      </c>
      <c r="AW379" s="85" t="e">
        <f t="shared" ref="AW379:AW399" si="201">IF(AK379&gt;0, ROUND(AV379/AK379,3),0)</f>
        <v>#REF!</v>
      </c>
      <c r="AX379" s="87" t="e">
        <f t="shared" ref="AX379:AX399" si="202">IF(AND(V379=0, AV379&gt;0), "DATA1", IF(OR(AV379&gt;AL379,BI379&gt;0), IF(Y379="CONC. (ART-PLAN)", "STUDY 1", "STUDY 2"), "OK"))</f>
        <v>#REF!</v>
      </c>
      <c r="AY379" s="72"/>
      <c r="AZ379" s="73"/>
      <c r="BA379" s="77">
        <f t="shared" ref="BA379:BA399" si="203">IF(AG379&gt;0, X379/AG379, 0)</f>
        <v>0</v>
      </c>
      <c r="BB379" s="88">
        <f t="shared" ref="BB379:BB399" si="204">IF(AM379&gt;AF379,1,0)</f>
        <v>1</v>
      </c>
      <c r="BC379" s="89" t="e">
        <f>SUMIF(#REF!,#REF!, BB69:BB381)</f>
        <v>#REF!</v>
      </c>
      <c r="BD379" s="89">
        <f t="shared" ref="BD379:BD399" si="205">IF(AP379&gt;AH379,1,0)</f>
        <v>1</v>
      </c>
      <c r="BE379" s="89" t="e">
        <f>SUMIF(#REF!,#REF!, BD69:BD381)</f>
        <v>#REF!</v>
      </c>
      <c r="BF379" s="89">
        <f t="shared" ref="BF379:BF399" si="206">IF(AS379&gt;AJ379,1,0)</f>
        <v>0</v>
      </c>
      <c r="BG379" s="89" t="e">
        <f>SUMIF(#REF!,#REF!, BF69:BF381)</f>
        <v>#REF!</v>
      </c>
      <c r="BH379" s="89" t="e">
        <f t="shared" ref="BH379:BH399" si="207">IF(AV379&gt;AL379,1,0)</f>
        <v>#REF!</v>
      </c>
      <c r="BI379" s="90">
        <f>SUMIF(B69:B381, B379, BH69:BH381)</f>
        <v>0</v>
      </c>
      <c r="BJ379" s="91"/>
      <c r="BK379" s="92"/>
      <c r="BL379" s="93"/>
      <c r="BM379" s="93"/>
      <c r="BN379" s="93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4"/>
    </row>
    <row r="380" spans="1:82" x14ac:dyDescent="0.3">
      <c r="A380" s="95" t="s">
        <v>699</v>
      </c>
      <c r="B380" s="96"/>
      <c r="C380" s="97" t="s">
        <v>606</v>
      </c>
      <c r="D380" s="97" t="s">
        <v>698</v>
      </c>
      <c r="E380" s="98" t="s">
        <v>406</v>
      </c>
      <c r="F380" s="99" t="s">
        <v>103</v>
      </c>
      <c r="G380" s="100"/>
      <c r="H380" s="101" t="s">
        <v>103</v>
      </c>
      <c r="I380" s="99" t="s">
        <v>4</v>
      </c>
      <c r="J380" s="100" t="s">
        <v>6</v>
      </c>
      <c r="K380" s="102"/>
      <c r="L380" s="103"/>
      <c r="M380" s="104"/>
      <c r="N380" s="105">
        <v>1586</v>
      </c>
      <c r="O380" s="106">
        <v>1793</v>
      </c>
      <c r="P380" s="106">
        <v>1931</v>
      </c>
      <c r="Q380" s="107"/>
      <c r="R380" s="156">
        <v>0.09</v>
      </c>
      <c r="S380" s="105">
        <v>143</v>
      </c>
      <c r="T380" s="106">
        <v>161</v>
      </c>
      <c r="U380" s="106">
        <v>174</v>
      </c>
      <c r="V380" s="107">
        <f t="shared" si="188"/>
        <v>0</v>
      </c>
      <c r="W380" s="109"/>
      <c r="X380" s="110"/>
      <c r="Y380" s="111" t="s">
        <v>104</v>
      </c>
      <c r="Z380" s="100" t="str">
        <f>'[1]Tier 1'!V380</f>
        <v>D</v>
      </c>
      <c r="AA380" s="100"/>
      <c r="AB380" s="100"/>
      <c r="AC380" s="100"/>
      <c r="AD380" s="101"/>
      <c r="AE380" s="105">
        <f>'[1]Tier 1'!W380</f>
        <v>1818</v>
      </c>
      <c r="AF380" s="106"/>
      <c r="AG380" s="106">
        <f>'[1]Tier 1'!X380</f>
        <v>1818</v>
      </c>
      <c r="AH380" s="106"/>
      <c r="AI380" s="106">
        <f>'[1]Tier 1'!Y380</f>
        <v>1818</v>
      </c>
      <c r="AJ380" s="106">
        <f t="shared" si="189"/>
        <v>1636.2</v>
      </c>
      <c r="AK380" s="106" t="e">
        <f>VLOOKUP(A380,#REF!,-1,FALSE)</f>
        <v>#REF!</v>
      </c>
      <c r="AL380" s="107" t="e">
        <f t="shared" si="190"/>
        <v>#REF!</v>
      </c>
      <c r="AM380" s="105">
        <f t="shared" si="191"/>
        <v>143</v>
      </c>
      <c r="AN380" s="112">
        <f t="shared" si="192"/>
        <v>7.9000000000000001E-2</v>
      </c>
      <c r="AO380" s="100" t="str">
        <f t="shared" si="193"/>
        <v>OK</v>
      </c>
      <c r="AP380" s="106">
        <f t="shared" si="194"/>
        <v>161</v>
      </c>
      <c r="AQ380" s="112">
        <f t="shared" si="195"/>
        <v>8.8999999999999996E-2</v>
      </c>
      <c r="AR380" s="100" t="str">
        <f t="shared" si="196"/>
        <v>OK</v>
      </c>
      <c r="AS380" s="106">
        <f t="shared" si="197"/>
        <v>174</v>
      </c>
      <c r="AT380" s="112">
        <f t="shared" si="198"/>
        <v>9.6000000000000002E-2</v>
      </c>
      <c r="AU380" s="113" t="str">
        <f t="shared" si="199"/>
        <v>OK</v>
      </c>
      <c r="AV380" s="106">
        <f t="shared" si="200"/>
        <v>0</v>
      </c>
      <c r="AW380" s="112" t="e">
        <f t="shared" si="201"/>
        <v>#REF!</v>
      </c>
      <c r="AX380" s="114" t="e">
        <f t="shared" si="202"/>
        <v>#REF!</v>
      </c>
      <c r="AY380" s="99"/>
      <c r="AZ380" s="100"/>
      <c r="BA380" s="104">
        <f t="shared" si="203"/>
        <v>0</v>
      </c>
      <c r="BB380" s="115">
        <f t="shared" si="204"/>
        <v>1</v>
      </c>
      <c r="BC380" s="116" t="e">
        <f>SUMIF(#REF!,#REF!, BB69:BB381)</f>
        <v>#REF!</v>
      </c>
      <c r="BD380" s="116">
        <f t="shared" si="205"/>
        <v>1</v>
      </c>
      <c r="BE380" s="116" t="e">
        <f>SUMIF(#REF!,#REF!, BD69:BD381)</f>
        <v>#REF!</v>
      </c>
      <c r="BF380" s="116">
        <f t="shared" si="206"/>
        <v>0</v>
      </c>
      <c r="BG380" s="116" t="e">
        <f>SUMIF(#REF!,#REF!, BF69:BF381)</f>
        <v>#REF!</v>
      </c>
      <c r="BH380" s="116" t="e">
        <f t="shared" si="207"/>
        <v>#REF!</v>
      </c>
      <c r="BI380" s="117">
        <f>SUMIF(B69:B381, B380, BH69:BH381)</f>
        <v>0</v>
      </c>
      <c r="BJ380" s="118"/>
      <c r="BK380" s="92"/>
      <c r="BL380" s="93"/>
      <c r="BM380" s="93"/>
      <c r="BN380" s="93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4"/>
    </row>
    <row r="381" spans="1:82" x14ac:dyDescent="0.3">
      <c r="A381" s="68"/>
      <c r="B381" s="69"/>
      <c r="C381" s="70"/>
      <c r="D381" s="70"/>
      <c r="E381" s="71"/>
      <c r="F381" s="72"/>
      <c r="G381" s="73"/>
      <c r="H381" s="74"/>
      <c r="I381" s="72"/>
      <c r="J381" s="73"/>
      <c r="K381" s="75"/>
      <c r="L381" s="76"/>
      <c r="M381" s="77"/>
      <c r="N381" s="78"/>
      <c r="O381" s="79"/>
      <c r="P381" s="79"/>
      <c r="Q381" s="80"/>
      <c r="R381" s="81"/>
      <c r="S381" s="78"/>
      <c r="T381" s="79"/>
      <c r="U381" s="79"/>
      <c r="V381" s="80">
        <f t="shared" si="188"/>
        <v>0</v>
      </c>
      <c r="W381" s="82"/>
      <c r="X381" s="83"/>
      <c r="Y381" s="84" t="s">
        <v>104</v>
      </c>
      <c r="Z381" s="73"/>
      <c r="AA381" s="73"/>
      <c r="AB381" s="73"/>
      <c r="AC381" s="73"/>
      <c r="AD381" s="74"/>
      <c r="AE381" s="78"/>
      <c r="AF381" s="79"/>
      <c r="AG381" s="79"/>
      <c r="AH381" s="79"/>
      <c r="AI381" s="79"/>
      <c r="AJ381" s="79">
        <f t="shared" si="189"/>
        <v>0</v>
      </c>
      <c r="AK381" s="79" t="e">
        <f>VLOOKUP(A381,#REF!,-1,FALSE)</f>
        <v>#REF!</v>
      </c>
      <c r="AL381" s="80" t="e">
        <f t="shared" si="190"/>
        <v>#REF!</v>
      </c>
      <c r="AM381" s="78">
        <f t="shared" si="191"/>
        <v>0</v>
      </c>
      <c r="AN381" s="85">
        <f t="shared" si="192"/>
        <v>0</v>
      </c>
      <c r="AO381" s="73" t="str">
        <f t="shared" si="193"/>
        <v>OK</v>
      </c>
      <c r="AP381" s="79">
        <f t="shared" si="194"/>
        <v>0</v>
      </c>
      <c r="AQ381" s="85">
        <f t="shared" si="195"/>
        <v>0</v>
      </c>
      <c r="AR381" s="73" t="str">
        <f t="shared" si="196"/>
        <v>OK</v>
      </c>
      <c r="AS381" s="79">
        <f t="shared" si="197"/>
        <v>0</v>
      </c>
      <c r="AT381" s="85">
        <f t="shared" si="198"/>
        <v>0</v>
      </c>
      <c r="AU381" s="86" t="str">
        <f t="shared" si="199"/>
        <v>OK</v>
      </c>
      <c r="AV381" s="79">
        <f t="shared" si="200"/>
        <v>0</v>
      </c>
      <c r="AW381" s="85" t="e">
        <f t="shared" si="201"/>
        <v>#REF!</v>
      </c>
      <c r="AX381" s="87" t="e">
        <f t="shared" si="202"/>
        <v>#REF!</v>
      </c>
      <c r="AY381" s="72"/>
      <c r="AZ381" s="73"/>
      <c r="BA381" s="77">
        <f t="shared" si="203"/>
        <v>0</v>
      </c>
      <c r="BB381" s="88">
        <f t="shared" si="204"/>
        <v>0</v>
      </c>
      <c r="BC381" s="89" t="e">
        <f>SUMIF(#REF!,#REF!, BB73:BB385)</f>
        <v>#REF!</v>
      </c>
      <c r="BD381" s="89">
        <f t="shared" si="205"/>
        <v>0</v>
      </c>
      <c r="BE381" s="89" t="e">
        <f>SUMIF(#REF!,#REF!, BD73:BD385)</f>
        <v>#REF!</v>
      </c>
      <c r="BF381" s="89">
        <f t="shared" si="206"/>
        <v>0</v>
      </c>
      <c r="BG381" s="89" t="e">
        <f>SUMIF(#REF!,#REF!, BF73:BF385)</f>
        <v>#REF!</v>
      </c>
      <c r="BH381" s="89" t="e">
        <f t="shared" si="207"/>
        <v>#REF!</v>
      </c>
      <c r="BI381" s="90">
        <f>SUMIF(B73:B385, B381, BH73:BH385)</f>
        <v>0</v>
      </c>
      <c r="BJ381" s="91"/>
      <c r="BK381" s="92"/>
      <c r="BL381" s="93"/>
      <c r="BM381" s="93"/>
      <c r="BN381" s="93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4"/>
    </row>
    <row r="382" spans="1:82" x14ac:dyDescent="0.3">
      <c r="A382" s="95"/>
      <c r="B382" s="96"/>
      <c r="C382" s="97"/>
      <c r="D382" s="97"/>
      <c r="E382" s="98"/>
      <c r="F382" s="99"/>
      <c r="G382" s="100"/>
      <c r="H382" s="101"/>
      <c r="I382" s="99"/>
      <c r="J382" s="100"/>
      <c r="K382" s="102"/>
      <c r="L382" s="103"/>
      <c r="M382" s="104"/>
      <c r="N382" s="105"/>
      <c r="O382" s="106"/>
      <c r="P382" s="106"/>
      <c r="Q382" s="107"/>
      <c r="R382" s="108"/>
      <c r="S382" s="105"/>
      <c r="T382" s="106"/>
      <c r="U382" s="106"/>
      <c r="V382" s="107">
        <f t="shared" si="188"/>
        <v>0</v>
      </c>
      <c r="W382" s="109"/>
      <c r="X382" s="110"/>
      <c r="Y382" s="111" t="s">
        <v>104</v>
      </c>
      <c r="Z382" s="100"/>
      <c r="AA382" s="100"/>
      <c r="AB382" s="100"/>
      <c r="AC382" s="100"/>
      <c r="AD382" s="101"/>
      <c r="AE382" s="105"/>
      <c r="AF382" s="106"/>
      <c r="AG382" s="106"/>
      <c r="AH382" s="106"/>
      <c r="AI382" s="106"/>
      <c r="AJ382" s="106">
        <f t="shared" si="189"/>
        <v>0</v>
      </c>
      <c r="AK382" s="106" t="e">
        <f>VLOOKUP(A382,#REF!,-1,FALSE)</f>
        <v>#REF!</v>
      </c>
      <c r="AL382" s="107" t="e">
        <f t="shared" si="190"/>
        <v>#REF!</v>
      </c>
      <c r="AM382" s="105">
        <f t="shared" si="191"/>
        <v>0</v>
      </c>
      <c r="AN382" s="112">
        <f t="shared" si="192"/>
        <v>0</v>
      </c>
      <c r="AO382" s="100" t="str">
        <f t="shared" si="193"/>
        <v>OK</v>
      </c>
      <c r="AP382" s="106">
        <f t="shared" si="194"/>
        <v>0</v>
      </c>
      <c r="AQ382" s="112">
        <f t="shared" si="195"/>
        <v>0</v>
      </c>
      <c r="AR382" s="100" t="str">
        <f t="shared" si="196"/>
        <v>OK</v>
      </c>
      <c r="AS382" s="106">
        <f t="shared" si="197"/>
        <v>0</v>
      </c>
      <c r="AT382" s="112">
        <f t="shared" si="198"/>
        <v>0</v>
      </c>
      <c r="AU382" s="113" t="str">
        <f t="shared" si="199"/>
        <v>OK</v>
      </c>
      <c r="AV382" s="106">
        <f t="shared" si="200"/>
        <v>0</v>
      </c>
      <c r="AW382" s="112" t="e">
        <f t="shared" si="201"/>
        <v>#REF!</v>
      </c>
      <c r="AX382" s="114" t="e">
        <f t="shared" si="202"/>
        <v>#REF!</v>
      </c>
      <c r="AY382" s="99"/>
      <c r="AZ382" s="100"/>
      <c r="BA382" s="104">
        <f t="shared" si="203"/>
        <v>0</v>
      </c>
      <c r="BB382" s="115">
        <f t="shared" si="204"/>
        <v>0</v>
      </c>
      <c r="BC382" s="116" t="e">
        <f>SUMIF(#REF!,#REF!, BB73:BB385)</f>
        <v>#REF!</v>
      </c>
      <c r="BD382" s="116">
        <f t="shared" si="205"/>
        <v>0</v>
      </c>
      <c r="BE382" s="116" t="e">
        <f>SUMIF(#REF!,#REF!, BD73:BD385)</f>
        <v>#REF!</v>
      </c>
      <c r="BF382" s="116">
        <f t="shared" si="206"/>
        <v>0</v>
      </c>
      <c r="BG382" s="116" t="e">
        <f>SUMIF(#REF!,#REF!, BF73:BF385)</f>
        <v>#REF!</v>
      </c>
      <c r="BH382" s="116" t="e">
        <f t="shared" si="207"/>
        <v>#REF!</v>
      </c>
      <c r="BI382" s="117">
        <f>SUMIF(B73:B385, B382, BH73:BH385)</f>
        <v>0</v>
      </c>
      <c r="BJ382" s="118"/>
      <c r="BK382" s="92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4"/>
    </row>
    <row r="383" spans="1:82" x14ac:dyDescent="0.3">
      <c r="A383" s="68"/>
      <c r="B383" s="69"/>
      <c r="C383" s="70"/>
      <c r="D383" s="70"/>
      <c r="E383" s="71"/>
      <c r="F383" s="72"/>
      <c r="G383" s="73"/>
      <c r="H383" s="74"/>
      <c r="I383" s="72"/>
      <c r="J383" s="73"/>
      <c r="K383" s="75"/>
      <c r="L383" s="76"/>
      <c r="M383" s="77"/>
      <c r="N383" s="78"/>
      <c r="O383" s="79"/>
      <c r="P383" s="79"/>
      <c r="Q383" s="80"/>
      <c r="R383" s="81"/>
      <c r="S383" s="78"/>
      <c r="T383" s="79"/>
      <c r="U383" s="79"/>
      <c r="V383" s="80">
        <f t="shared" si="188"/>
        <v>0</v>
      </c>
      <c r="W383" s="82"/>
      <c r="X383" s="83"/>
      <c r="Y383" s="84" t="s">
        <v>104</v>
      </c>
      <c r="Z383" s="73"/>
      <c r="AA383" s="73"/>
      <c r="AB383" s="73"/>
      <c r="AC383" s="73"/>
      <c r="AD383" s="74"/>
      <c r="AE383" s="78"/>
      <c r="AF383" s="79"/>
      <c r="AG383" s="79"/>
      <c r="AH383" s="79"/>
      <c r="AI383" s="79"/>
      <c r="AJ383" s="79">
        <f t="shared" si="189"/>
        <v>0</v>
      </c>
      <c r="AK383" s="79" t="e">
        <f>VLOOKUP(A383,#REF!,-1,FALSE)</f>
        <v>#REF!</v>
      </c>
      <c r="AL383" s="80" t="e">
        <f t="shared" si="190"/>
        <v>#REF!</v>
      </c>
      <c r="AM383" s="78">
        <f t="shared" si="191"/>
        <v>0</v>
      </c>
      <c r="AN383" s="85">
        <f t="shared" si="192"/>
        <v>0</v>
      </c>
      <c r="AO383" s="73" t="str">
        <f t="shared" si="193"/>
        <v>OK</v>
      </c>
      <c r="AP383" s="79">
        <f t="shared" si="194"/>
        <v>0</v>
      </c>
      <c r="AQ383" s="85">
        <f t="shared" si="195"/>
        <v>0</v>
      </c>
      <c r="AR383" s="73" t="str">
        <f t="shared" si="196"/>
        <v>OK</v>
      </c>
      <c r="AS383" s="79">
        <f t="shared" si="197"/>
        <v>0</v>
      </c>
      <c r="AT383" s="85">
        <f t="shared" si="198"/>
        <v>0</v>
      </c>
      <c r="AU383" s="86" t="str">
        <f t="shared" si="199"/>
        <v>OK</v>
      </c>
      <c r="AV383" s="79">
        <f t="shared" si="200"/>
        <v>0</v>
      </c>
      <c r="AW383" s="85" t="e">
        <f t="shared" si="201"/>
        <v>#REF!</v>
      </c>
      <c r="AX383" s="87" t="e">
        <f t="shared" si="202"/>
        <v>#REF!</v>
      </c>
      <c r="AY383" s="72"/>
      <c r="AZ383" s="73"/>
      <c r="BA383" s="77">
        <f t="shared" si="203"/>
        <v>0</v>
      </c>
      <c r="BB383" s="88">
        <f t="shared" si="204"/>
        <v>0</v>
      </c>
      <c r="BC383" s="89" t="e">
        <f>SUMIF(#REF!,#REF!, BB75:BB387)</f>
        <v>#REF!</v>
      </c>
      <c r="BD383" s="89">
        <f t="shared" si="205"/>
        <v>0</v>
      </c>
      <c r="BE383" s="89" t="e">
        <f>SUMIF(#REF!,#REF!, BD75:BD387)</f>
        <v>#REF!</v>
      </c>
      <c r="BF383" s="89">
        <f t="shared" si="206"/>
        <v>0</v>
      </c>
      <c r="BG383" s="89" t="e">
        <f>SUMIF(#REF!,#REF!, BF75:BF387)</f>
        <v>#REF!</v>
      </c>
      <c r="BH383" s="89" t="e">
        <f t="shared" si="207"/>
        <v>#REF!</v>
      </c>
      <c r="BI383" s="90">
        <f>SUMIF(B75:B387, B383, BH75:BH387)</f>
        <v>0</v>
      </c>
      <c r="BJ383" s="91"/>
      <c r="BK383" s="92"/>
      <c r="BL383" s="93"/>
      <c r="BM383" s="93"/>
      <c r="BN383" s="93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4"/>
    </row>
    <row r="384" spans="1:82" x14ac:dyDescent="0.3">
      <c r="A384" s="95"/>
      <c r="B384" s="96"/>
      <c r="C384" s="97"/>
      <c r="D384" s="97"/>
      <c r="E384" s="98"/>
      <c r="F384" s="99"/>
      <c r="G384" s="100"/>
      <c r="H384" s="101"/>
      <c r="I384" s="99"/>
      <c r="J384" s="100"/>
      <c r="K384" s="102"/>
      <c r="L384" s="103"/>
      <c r="M384" s="104"/>
      <c r="N384" s="105"/>
      <c r="O384" s="106"/>
      <c r="P384" s="106"/>
      <c r="Q384" s="107"/>
      <c r="R384" s="108"/>
      <c r="S384" s="105"/>
      <c r="T384" s="106"/>
      <c r="U384" s="106"/>
      <c r="V384" s="107">
        <f t="shared" si="188"/>
        <v>0</v>
      </c>
      <c r="W384" s="109"/>
      <c r="X384" s="110"/>
      <c r="Y384" s="111" t="s">
        <v>104</v>
      </c>
      <c r="Z384" s="100"/>
      <c r="AA384" s="100"/>
      <c r="AB384" s="100"/>
      <c r="AC384" s="100"/>
      <c r="AD384" s="101"/>
      <c r="AE384" s="105"/>
      <c r="AF384" s="106"/>
      <c r="AG384" s="106"/>
      <c r="AH384" s="106"/>
      <c r="AI384" s="106"/>
      <c r="AJ384" s="106">
        <f t="shared" si="189"/>
        <v>0</v>
      </c>
      <c r="AK384" s="106" t="e">
        <f>VLOOKUP(A384,#REF!,-1,FALSE)</f>
        <v>#REF!</v>
      </c>
      <c r="AL384" s="107" t="e">
        <f t="shared" si="190"/>
        <v>#REF!</v>
      </c>
      <c r="AM384" s="105">
        <f t="shared" si="191"/>
        <v>0</v>
      </c>
      <c r="AN384" s="112">
        <f t="shared" si="192"/>
        <v>0</v>
      </c>
      <c r="AO384" s="100" t="str">
        <f t="shared" si="193"/>
        <v>OK</v>
      </c>
      <c r="AP384" s="106">
        <f t="shared" si="194"/>
        <v>0</v>
      </c>
      <c r="AQ384" s="112">
        <f t="shared" si="195"/>
        <v>0</v>
      </c>
      <c r="AR384" s="100" t="str">
        <f t="shared" si="196"/>
        <v>OK</v>
      </c>
      <c r="AS384" s="106">
        <f t="shared" si="197"/>
        <v>0</v>
      </c>
      <c r="AT384" s="112">
        <f t="shared" si="198"/>
        <v>0</v>
      </c>
      <c r="AU384" s="113" t="str">
        <f t="shared" si="199"/>
        <v>OK</v>
      </c>
      <c r="AV384" s="106">
        <f t="shared" si="200"/>
        <v>0</v>
      </c>
      <c r="AW384" s="112" t="e">
        <f t="shared" si="201"/>
        <v>#REF!</v>
      </c>
      <c r="AX384" s="114" t="e">
        <f t="shared" si="202"/>
        <v>#REF!</v>
      </c>
      <c r="AY384" s="99"/>
      <c r="AZ384" s="100"/>
      <c r="BA384" s="104">
        <f t="shared" si="203"/>
        <v>0</v>
      </c>
      <c r="BB384" s="115">
        <f t="shared" si="204"/>
        <v>0</v>
      </c>
      <c r="BC384" s="116" t="e">
        <f>SUMIF(#REF!,#REF!, BB75:BB387)</f>
        <v>#REF!</v>
      </c>
      <c r="BD384" s="116">
        <f t="shared" si="205"/>
        <v>0</v>
      </c>
      <c r="BE384" s="116" t="e">
        <f>SUMIF(#REF!,#REF!, BD75:BD387)</f>
        <v>#REF!</v>
      </c>
      <c r="BF384" s="116">
        <f t="shared" si="206"/>
        <v>0</v>
      </c>
      <c r="BG384" s="116" t="e">
        <f>SUMIF(#REF!,#REF!, BF75:BF387)</f>
        <v>#REF!</v>
      </c>
      <c r="BH384" s="116" t="e">
        <f t="shared" si="207"/>
        <v>#REF!</v>
      </c>
      <c r="BI384" s="117">
        <f>SUMIF(B75:B387, B384, BH75:BH387)</f>
        <v>0</v>
      </c>
      <c r="BJ384" s="118"/>
      <c r="BK384" s="92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4"/>
    </row>
    <row r="385" spans="1:82" x14ac:dyDescent="0.3">
      <c r="A385" s="68"/>
      <c r="B385" s="69"/>
      <c r="C385" s="70"/>
      <c r="D385" s="70"/>
      <c r="E385" s="71"/>
      <c r="F385" s="72"/>
      <c r="G385" s="73"/>
      <c r="H385" s="74"/>
      <c r="I385" s="72"/>
      <c r="J385" s="73"/>
      <c r="K385" s="75"/>
      <c r="L385" s="76"/>
      <c r="M385" s="77"/>
      <c r="N385" s="78"/>
      <c r="O385" s="79"/>
      <c r="P385" s="79"/>
      <c r="Q385" s="80"/>
      <c r="R385" s="81"/>
      <c r="S385" s="78"/>
      <c r="T385" s="79"/>
      <c r="U385" s="79"/>
      <c r="V385" s="80">
        <f t="shared" si="188"/>
        <v>0</v>
      </c>
      <c r="W385" s="82"/>
      <c r="X385" s="83"/>
      <c r="Y385" s="84" t="s">
        <v>104</v>
      </c>
      <c r="Z385" s="73"/>
      <c r="AA385" s="73"/>
      <c r="AB385" s="73"/>
      <c r="AC385" s="73"/>
      <c r="AD385" s="74"/>
      <c r="AE385" s="78"/>
      <c r="AF385" s="79"/>
      <c r="AG385" s="79"/>
      <c r="AH385" s="79"/>
      <c r="AI385" s="79"/>
      <c r="AJ385" s="79">
        <f t="shared" si="189"/>
        <v>0</v>
      </c>
      <c r="AK385" s="79" t="e">
        <f>VLOOKUP(A385,#REF!,-1,FALSE)</f>
        <v>#REF!</v>
      </c>
      <c r="AL385" s="80" t="e">
        <f t="shared" si="190"/>
        <v>#REF!</v>
      </c>
      <c r="AM385" s="78">
        <f t="shared" si="191"/>
        <v>0</v>
      </c>
      <c r="AN385" s="85">
        <f t="shared" si="192"/>
        <v>0</v>
      </c>
      <c r="AO385" s="73" t="str">
        <f t="shared" si="193"/>
        <v>OK</v>
      </c>
      <c r="AP385" s="79">
        <f t="shared" si="194"/>
        <v>0</v>
      </c>
      <c r="AQ385" s="85">
        <f t="shared" si="195"/>
        <v>0</v>
      </c>
      <c r="AR385" s="73" t="str">
        <f t="shared" si="196"/>
        <v>OK</v>
      </c>
      <c r="AS385" s="79">
        <f t="shared" si="197"/>
        <v>0</v>
      </c>
      <c r="AT385" s="85">
        <f t="shared" si="198"/>
        <v>0</v>
      </c>
      <c r="AU385" s="86" t="str">
        <f t="shared" si="199"/>
        <v>OK</v>
      </c>
      <c r="AV385" s="79">
        <f t="shared" si="200"/>
        <v>0</v>
      </c>
      <c r="AW385" s="85" t="e">
        <f t="shared" si="201"/>
        <v>#REF!</v>
      </c>
      <c r="AX385" s="87" t="e">
        <f t="shared" si="202"/>
        <v>#REF!</v>
      </c>
      <c r="AY385" s="72"/>
      <c r="AZ385" s="73"/>
      <c r="BA385" s="77">
        <f t="shared" si="203"/>
        <v>0</v>
      </c>
      <c r="BB385" s="88">
        <f t="shared" si="204"/>
        <v>0</v>
      </c>
      <c r="BC385" s="89" t="e">
        <f>SUMIF(#REF!,#REF!, BB77:BB389)</f>
        <v>#REF!</v>
      </c>
      <c r="BD385" s="89">
        <f t="shared" si="205"/>
        <v>0</v>
      </c>
      <c r="BE385" s="89" t="e">
        <f>SUMIF(#REF!,#REF!, BD77:BD389)</f>
        <v>#REF!</v>
      </c>
      <c r="BF385" s="89">
        <f t="shared" si="206"/>
        <v>0</v>
      </c>
      <c r="BG385" s="89" t="e">
        <f>SUMIF(#REF!,#REF!, BF77:BF389)</f>
        <v>#REF!</v>
      </c>
      <c r="BH385" s="89" t="e">
        <f t="shared" si="207"/>
        <v>#REF!</v>
      </c>
      <c r="BI385" s="90">
        <f>SUMIF(B77:B389, B385, BH77:BH389)</f>
        <v>0</v>
      </c>
      <c r="BJ385" s="91"/>
      <c r="BK385" s="92"/>
      <c r="BL385" s="93"/>
      <c r="BM385" s="93"/>
      <c r="BN385" s="93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4"/>
    </row>
    <row r="386" spans="1:82" x14ac:dyDescent="0.3">
      <c r="A386" s="95"/>
      <c r="B386" s="96"/>
      <c r="C386" s="97"/>
      <c r="D386" s="97"/>
      <c r="E386" s="98"/>
      <c r="F386" s="99"/>
      <c r="G386" s="100"/>
      <c r="H386" s="101"/>
      <c r="I386" s="99"/>
      <c r="J386" s="100"/>
      <c r="K386" s="102"/>
      <c r="L386" s="103"/>
      <c r="M386" s="104"/>
      <c r="N386" s="105"/>
      <c r="O386" s="106"/>
      <c r="P386" s="106"/>
      <c r="Q386" s="107"/>
      <c r="R386" s="108"/>
      <c r="S386" s="105"/>
      <c r="T386" s="106"/>
      <c r="U386" s="106"/>
      <c r="V386" s="107">
        <f t="shared" si="188"/>
        <v>0</v>
      </c>
      <c r="W386" s="109"/>
      <c r="X386" s="110"/>
      <c r="Y386" s="111" t="s">
        <v>104</v>
      </c>
      <c r="Z386" s="100"/>
      <c r="AA386" s="100"/>
      <c r="AB386" s="100"/>
      <c r="AC386" s="100"/>
      <c r="AD386" s="101"/>
      <c r="AE386" s="105"/>
      <c r="AF386" s="106"/>
      <c r="AG386" s="106"/>
      <c r="AH386" s="106"/>
      <c r="AI386" s="106"/>
      <c r="AJ386" s="106">
        <f t="shared" si="189"/>
        <v>0</v>
      </c>
      <c r="AK386" s="106" t="e">
        <f>VLOOKUP(A386,#REF!,-1,FALSE)</f>
        <v>#REF!</v>
      </c>
      <c r="AL386" s="107" t="e">
        <f t="shared" si="190"/>
        <v>#REF!</v>
      </c>
      <c r="AM386" s="105">
        <f t="shared" si="191"/>
        <v>0</v>
      </c>
      <c r="AN386" s="112">
        <f t="shared" si="192"/>
        <v>0</v>
      </c>
      <c r="AO386" s="100" t="str">
        <f t="shared" si="193"/>
        <v>OK</v>
      </c>
      <c r="AP386" s="106">
        <f t="shared" si="194"/>
        <v>0</v>
      </c>
      <c r="AQ386" s="112">
        <f t="shared" si="195"/>
        <v>0</v>
      </c>
      <c r="AR386" s="100" t="str">
        <f t="shared" si="196"/>
        <v>OK</v>
      </c>
      <c r="AS386" s="106">
        <f t="shared" si="197"/>
        <v>0</v>
      </c>
      <c r="AT386" s="112">
        <f t="shared" si="198"/>
        <v>0</v>
      </c>
      <c r="AU386" s="113" t="str">
        <f t="shared" si="199"/>
        <v>OK</v>
      </c>
      <c r="AV386" s="106">
        <f t="shared" si="200"/>
        <v>0</v>
      </c>
      <c r="AW386" s="112" t="e">
        <f t="shared" si="201"/>
        <v>#REF!</v>
      </c>
      <c r="AX386" s="114" t="e">
        <f t="shared" si="202"/>
        <v>#REF!</v>
      </c>
      <c r="AY386" s="99"/>
      <c r="AZ386" s="100"/>
      <c r="BA386" s="104">
        <f t="shared" si="203"/>
        <v>0</v>
      </c>
      <c r="BB386" s="115">
        <f t="shared" si="204"/>
        <v>0</v>
      </c>
      <c r="BC386" s="116" t="e">
        <f>SUMIF(#REF!,#REF!, BB77:BB389)</f>
        <v>#REF!</v>
      </c>
      <c r="BD386" s="116">
        <f t="shared" si="205"/>
        <v>0</v>
      </c>
      <c r="BE386" s="116" t="e">
        <f>SUMIF(#REF!,#REF!, BD77:BD389)</f>
        <v>#REF!</v>
      </c>
      <c r="BF386" s="116">
        <f t="shared" si="206"/>
        <v>0</v>
      </c>
      <c r="BG386" s="116" t="e">
        <f>SUMIF(#REF!,#REF!, BF77:BF389)</f>
        <v>#REF!</v>
      </c>
      <c r="BH386" s="116" t="e">
        <f t="shared" si="207"/>
        <v>#REF!</v>
      </c>
      <c r="BI386" s="117">
        <f>SUMIF(B77:B389, B386, BH77:BH389)</f>
        <v>0</v>
      </c>
      <c r="BJ386" s="118"/>
      <c r="BK386" s="92"/>
      <c r="BL386" s="93"/>
      <c r="BM386" s="93"/>
      <c r="BN386" s="93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4"/>
    </row>
    <row r="387" spans="1:82" x14ac:dyDescent="0.3">
      <c r="A387" s="68"/>
      <c r="B387" s="69"/>
      <c r="C387" s="70"/>
      <c r="D387" s="70"/>
      <c r="E387" s="71"/>
      <c r="F387" s="72"/>
      <c r="G387" s="73"/>
      <c r="H387" s="74"/>
      <c r="I387" s="72"/>
      <c r="J387" s="73"/>
      <c r="K387" s="75"/>
      <c r="L387" s="76"/>
      <c r="M387" s="77"/>
      <c r="N387" s="78"/>
      <c r="O387" s="79"/>
      <c r="P387" s="79"/>
      <c r="Q387" s="80"/>
      <c r="R387" s="81"/>
      <c r="S387" s="78"/>
      <c r="T387" s="79"/>
      <c r="U387" s="79"/>
      <c r="V387" s="80">
        <f t="shared" si="188"/>
        <v>0</v>
      </c>
      <c r="W387" s="82"/>
      <c r="X387" s="83"/>
      <c r="Y387" s="84" t="s">
        <v>104</v>
      </c>
      <c r="Z387" s="73"/>
      <c r="AA387" s="73"/>
      <c r="AB387" s="73"/>
      <c r="AC387" s="73"/>
      <c r="AD387" s="74"/>
      <c r="AE387" s="78"/>
      <c r="AF387" s="79"/>
      <c r="AG387" s="79"/>
      <c r="AH387" s="79"/>
      <c r="AI387" s="79"/>
      <c r="AJ387" s="79">
        <f t="shared" si="189"/>
        <v>0</v>
      </c>
      <c r="AK387" s="79" t="e">
        <f>VLOOKUP(A387,#REF!,-1,FALSE)</f>
        <v>#REF!</v>
      </c>
      <c r="AL387" s="80" t="e">
        <f t="shared" si="190"/>
        <v>#REF!</v>
      </c>
      <c r="AM387" s="78">
        <f t="shared" si="191"/>
        <v>0</v>
      </c>
      <c r="AN387" s="85">
        <f t="shared" si="192"/>
        <v>0</v>
      </c>
      <c r="AO387" s="73" t="str">
        <f t="shared" si="193"/>
        <v>OK</v>
      </c>
      <c r="AP387" s="79">
        <f t="shared" si="194"/>
        <v>0</v>
      </c>
      <c r="AQ387" s="85">
        <f t="shared" si="195"/>
        <v>0</v>
      </c>
      <c r="AR387" s="73" t="str">
        <f t="shared" si="196"/>
        <v>OK</v>
      </c>
      <c r="AS387" s="79">
        <f t="shared" si="197"/>
        <v>0</v>
      </c>
      <c r="AT387" s="85">
        <f t="shared" si="198"/>
        <v>0</v>
      </c>
      <c r="AU387" s="86" t="str">
        <f t="shared" si="199"/>
        <v>OK</v>
      </c>
      <c r="AV387" s="79">
        <f t="shared" si="200"/>
        <v>0</v>
      </c>
      <c r="AW387" s="85" t="e">
        <f t="shared" si="201"/>
        <v>#REF!</v>
      </c>
      <c r="AX387" s="87" t="e">
        <f t="shared" si="202"/>
        <v>#REF!</v>
      </c>
      <c r="AY387" s="72"/>
      <c r="AZ387" s="73"/>
      <c r="BA387" s="77">
        <f t="shared" si="203"/>
        <v>0</v>
      </c>
      <c r="BB387" s="88">
        <f t="shared" si="204"/>
        <v>0</v>
      </c>
      <c r="BC387" s="89" t="e">
        <f>SUMIF(#REF!,#REF!, BB79:BB391)</f>
        <v>#REF!</v>
      </c>
      <c r="BD387" s="89">
        <f t="shared" si="205"/>
        <v>0</v>
      </c>
      <c r="BE387" s="89" t="e">
        <f>SUMIF(#REF!,#REF!, BD79:BD391)</f>
        <v>#REF!</v>
      </c>
      <c r="BF387" s="89">
        <f t="shared" si="206"/>
        <v>0</v>
      </c>
      <c r="BG387" s="89" t="e">
        <f>SUMIF(#REF!,#REF!, BF79:BF391)</f>
        <v>#REF!</v>
      </c>
      <c r="BH387" s="89" t="e">
        <f t="shared" si="207"/>
        <v>#REF!</v>
      </c>
      <c r="BI387" s="90">
        <f>SUMIF(B79:B391, B387, BH79:BH391)</f>
        <v>0</v>
      </c>
      <c r="BJ387" s="91"/>
      <c r="BK387" s="92"/>
      <c r="BL387" s="93"/>
      <c r="BM387" s="93"/>
      <c r="BN387" s="93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4"/>
    </row>
    <row r="388" spans="1:82" x14ac:dyDescent="0.3">
      <c r="A388" s="95"/>
      <c r="B388" s="96"/>
      <c r="C388" s="97"/>
      <c r="D388" s="97"/>
      <c r="E388" s="98"/>
      <c r="F388" s="99"/>
      <c r="G388" s="100"/>
      <c r="H388" s="101"/>
      <c r="I388" s="99"/>
      <c r="J388" s="100"/>
      <c r="K388" s="102"/>
      <c r="L388" s="103"/>
      <c r="M388" s="104"/>
      <c r="N388" s="105"/>
      <c r="O388" s="106"/>
      <c r="P388" s="106"/>
      <c r="Q388" s="107"/>
      <c r="R388" s="108"/>
      <c r="S388" s="105"/>
      <c r="T388" s="106"/>
      <c r="U388" s="106"/>
      <c r="V388" s="107">
        <f t="shared" si="188"/>
        <v>0</v>
      </c>
      <c r="W388" s="109"/>
      <c r="X388" s="110"/>
      <c r="Y388" s="111" t="s">
        <v>104</v>
      </c>
      <c r="Z388" s="100"/>
      <c r="AA388" s="100"/>
      <c r="AB388" s="100"/>
      <c r="AC388" s="100"/>
      <c r="AD388" s="101"/>
      <c r="AE388" s="105"/>
      <c r="AF388" s="106"/>
      <c r="AG388" s="106"/>
      <c r="AH388" s="106"/>
      <c r="AI388" s="106"/>
      <c r="AJ388" s="106">
        <f t="shared" si="189"/>
        <v>0</v>
      </c>
      <c r="AK388" s="106" t="e">
        <f>VLOOKUP(A388,#REF!,-1,FALSE)</f>
        <v>#REF!</v>
      </c>
      <c r="AL388" s="107" t="e">
        <f t="shared" si="190"/>
        <v>#REF!</v>
      </c>
      <c r="AM388" s="105">
        <f t="shared" si="191"/>
        <v>0</v>
      </c>
      <c r="AN388" s="112">
        <f t="shared" si="192"/>
        <v>0</v>
      </c>
      <c r="AO388" s="100" t="str">
        <f t="shared" si="193"/>
        <v>OK</v>
      </c>
      <c r="AP388" s="106">
        <f t="shared" si="194"/>
        <v>0</v>
      </c>
      <c r="AQ388" s="112">
        <f t="shared" si="195"/>
        <v>0</v>
      </c>
      <c r="AR388" s="100" t="str">
        <f t="shared" si="196"/>
        <v>OK</v>
      </c>
      <c r="AS388" s="106">
        <f t="shared" si="197"/>
        <v>0</v>
      </c>
      <c r="AT388" s="112">
        <f t="shared" si="198"/>
        <v>0</v>
      </c>
      <c r="AU388" s="113" t="str">
        <f t="shared" si="199"/>
        <v>OK</v>
      </c>
      <c r="AV388" s="106">
        <f t="shared" si="200"/>
        <v>0</v>
      </c>
      <c r="AW388" s="112" t="e">
        <f t="shared" si="201"/>
        <v>#REF!</v>
      </c>
      <c r="AX388" s="114" t="e">
        <f t="shared" si="202"/>
        <v>#REF!</v>
      </c>
      <c r="AY388" s="99"/>
      <c r="AZ388" s="100"/>
      <c r="BA388" s="104">
        <f t="shared" si="203"/>
        <v>0</v>
      </c>
      <c r="BB388" s="115">
        <f t="shared" si="204"/>
        <v>0</v>
      </c>
      <c r="BC388" s="116" t="e">
        <f>SUMIF(#REF!,#REF!, BB79:BB391)</f>
        <v>#REF!</v>
      </c>
      <c r="BD388" s="116">
        <f t="shared" si="205"/>
        <v>0</v>
      </c>
      <c r="BE388" s="116" t="e">
        <f>SUMIF(#REF!,#REF!, BD79:BD391)</f>
        <v>#REF!</v>
      </c>
      <c r="BF388" s="116">
        <f t="shared" si="206"/>
        <v>0</v>
      </c>
      <c r="BG388" s="116" t="e">
        <f>SUMIF(#REF!,#REF!, BF79:BF391)</f>
        <v>#REF!</v>
      </c>
      <c r="BH388" s="116" t="e">
        <f t="shared" si="207"/>
        <v>#REF!</v>
      </c>
      <c r="BI388" s="117">
        <f>SUMIF(B79:B391, B388, BH79:BH391)</f>
        <v>0</v>
      </c>
      <c r="BJ388" s="118"/>
      <c r="BK388" s="92"/>
      <c r="BL388" s="93"/>
      <c r="BM388" s="93"/>
      <c r="BN388" s="93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4"/>
    </row>
    <row r="389" spans="1:82" x14ac:dyDescent="0.3">
      <c r="A389" s="68"/>
      <c r="B389" s="69"/>
      <c r="C389" s="70"/>
      <c r="D389" s="70"/>
      <c r="E389" s="71"/>
      <c r="F389" s="72"/>
      <c r="G389" s="73"/>
      <c r="H389" s="74"/>
      <c r="I389" s="72"/>
      <c r="J389" s="73"/>
      <c r="K389" s="75"/>
      <c r="L389" s="76"/>
      <c r="M389" s="77"/>
      <c r="N389" s="78"/>
      <c r="O389" s="79"/>
      <c r="P389" s="79"/>
      <c r="Q389" s="80"/>
      <c r="R389" s="81"/>
      <c r="S389" s="78"/>
      <c r="T389" s="79"/>
      <c r="U389" s="79"/>
      <c r="V389" s="80">
        <f t="shared" si="188"/>
        <v>0</v>
      </c>
      <c r="W389" s="82"/>
      <c r="X389" s="83"/>
      <c r="Y389" s="84" t="s">
        <v>104</v>
      </c>
      <c r="Z389" s="73"/>
      <c r="AA389" s="73"/>
      <c r="AB389" s="73"/>
      <c r="AC389" s="73"/>
      <c r="AD389" s="74"/>
      <c r="AE389" s="78"/>
      <c r="AF389" s="79"/>
      <c r="AG389" s="79"/>
      <c r="AH389" s="79"/>
      <c r="AI389" s="79"/>
      <c r="AJ389" s="79">
        <f t="shared" si="189"/>
        <v>0</v>
      </c>
      <c r="AK389" s="79" t="e">
        <f>VLOOKUP(A389,#REF!,-1,FALSE)</f>
        <v>#REF!</v>
      </c>
      <c r="AL389" s="80" t="e">
        <f t="shared" si="190"/>
        <v>#REF!</v>
      </c>
      <c r="AM389" s="78">
        <f t="shared" si="191"/>
        <v>0</v>
      </c>
      <c r="AN389" s="85">
        <f t="shared" si="192"/>
        <v>0</v>
      </c>
      <c r="AO389" s="73" t="str">
        <f t="shared" si="193"/>
        <v>OK</v>
      </c>
      <c r="AP389" s="79">
        <f t="shared" si="194"/>
        <v>0</v>
      </c>
      <c r="AQ389" s="85">
        <f t="shared" si="195"/>
        <v>0</v>
      </c>
      <c r="AR389" s="73" t="str">
        <f t="shared" si="196"/>
        <v>OK</v>
      </c>
      <c r="AS389" s="79">
        <f t="shared" si="197"/>
        <v>0</v>
      </c>
      <c r="AT389" s="85">
        <f t="shared" si="198"/>
        <v>0</v>
      </c>
      <c r="AU389" s="86" t="str">
        <f t="shared" si="199"/>
        <v>OK</v>
      </c>
      <c r="AV389" s="79">
        <f t="shared" si="200"/>
        <v>0</v>
      </c>
      <c r="AW389" s="85" t="e">
        <f t="shared" si="201"/>
        <v>#REF!</v>
      </c>
      <c r="AX389" s="87" t="e">
        <f t="shared" si="202"/>
        <v>#REF!</v>
      </c>
      <c r="AY389" s="72"/>
      <c r="AZ389" s="73"/>
      <c r="BA389" s="77">
        <f t="shared" si="203"/>
        <v>0</v>
      </c>
      <c r="BB389" s="88">
        <f t="shared" si="204"/>
        <v>0</v>
      </c>
      <c r="BC389" s="89" t="e">
        <f>SUMIF(#REF!,#REF!, BB81:BB393)</f>
        <v>#REF!</v>
      </c>
      <c r="BD389" s="89">
        <f t="shared" si="205"/>
        <v>0</v>
      </c>
      <c r="BE389" s="89" t="e">
        <f>SUMIF(#REF!,#REF!, BD81:BD393)</f>
        <v>#REF!</v>
      </c>
      <c r="BF389" s="89">
        <f t="shared" si="206"/>
        <v>0</v>
      </c>
      <c r="BG389" s="89" t="e">
        <f>SUMIF(#REF!,#REF!, BF81:BF393)</f>
        <v>#REF!</v>
      </c>
      <c r="BH389" s="89" t="e">
        <f t="shared" si="207"/>
        <v>#REF!</v>
      </c>
      <c r="BI389" s="90">
        <f>SUMIF(B81:B393, B389, BH81:BH393)</f>
        <v>0</v>
      </c>
      <c r="BJ389" s="91"/>
      <c r="BK389" s="92"/>
      <c r="BL389" s="93"/>
      <c r="BM389" s="93"/>
      <c r="BN389" s="93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4"/>
    </row>
    <row r="390" spans="1:82" x14ac:dyDescent="0.3">
      <c r="A390" s="95"/>
      <c r="B390" s="96"/>
      <c r="C390" s="97"/>
      <c r="D390" s="97"/>
      <c r="E390" s="98"/>
      <c r="F390" s="99"/>
      <c r="G390" s="100"/>
      <c r="H390" s="101"/>
      <c r="I390" s="99"/>
      <c r="J390" s="100"/>
      <c r="K390" s="102"/>
      <c r="L390" s="103"/>
      <c r="M390" s="104"/>
      <c r="N390" s="105"/>
      <c r="O390" s="106"/>
      <c r="P390" s="106"/>
      <c r="Q390" s="107"/>
      <c r="R390" s="108"/>
      <c r="S390" s="105"/>
      <c r="T390" s="106"/>
      <c r="U390" s="106"/>
      <c r="V390" s="107">
        <f t="shared" si="188"/>
        <v>0</v>
      </c>
      <c r="W390" s="109"/>
      <c r="X390" s="110"/>
      <c r="Y390" s="111" t="s">
        <v>104</v>
      </c>
      <c r="Z390" s="100"/>
      <c r="AA390" s="100"/>
      <c r="AB390" s="100"/>
      <c r="AC390" s="100"/>
      <c r="AD390" s="101"/>
      <c r="AE390" s="105"/>
      <c r="AF390" s="106"/>
      <c r="AG390" s="106"/>
      <c r="AH390" s="106"/>
      <c r="AI390" s="106"/>
      <c r="AJ390" s="106">
        <f t="shared" si="189"/>
        <v>0</v>
      </c>
      <c r="AK390" s="106" t="e">
        <f>VLOOKUP(A390,#REF!,-1,FALSE)</f>
        <v>#REF!</v>
      </c>
      <c r="AL390" s="107" t="e">
        <f t="shared" si="190"/>
        <v>#REF!</v>
      </c>
      <c r="AM390" s="105">
        <f t="shared" si="191"/>
        <v>0</v>
      </c>
      <c r="AN390" s="112">
        <f t="shared" si="192"/>
        <v>0</v>
      </c>
      <c r="AO390" s="100" t="str">
        <f t="shared" si="193"/>
        <v>OK</v>
      </c>
      <c r="AP390" s="106">
        <f t="shared" si="194"/>
        <v>0</v>
      </c>
      <c r="AQ390" s="112">
        <f t="shared" si="195"/>
        <v>0</v>
      </c>
      <c r="AR390" s="100" t="str">
        <f t="shared" si="196"/>
        <v>OK</v>
      </c>
      <c r="AS390" s="106">
        <f t="shared" si="197"/>
        <v>0</v>
      </c>
      <c r="AT390" s="112">
        <f t="shared" si="198"/>
        <v>0</v>
      </c>
      <c r="AU390" s="113" t="str">
        <f t="shared" si="199"/>
        <v>OK</v>
      </c>
      <c r="AV390" s="106">
        <f t="shared" si="200"/>
        <v>0</v>
      </c>
      <c r="AW390" s="112" t="e">
        <f t="shared" si="201"/>
        <v>#REF!</v>
      </c>
      <c r="AX390" s="114" t="e">
        <f t="shared" si="202"/>
        <v>#REF!</v>
      </c>
      <c r="AY390" s="99"/>
      <c r="AZ390" s="100"/>
      <c r="BA390" s="104">
        <f t="shared" si="203"/>
        <v>0</v>
      </c>
      <c r="BB390" s="115">
        <f t="shared" si="204"/>
        <v>0</v>
      </c>
      <c r="BC390" s="116" t="e">
        <f>SUMIF(#REF!,#REF!, BB81:BB393)</f>
        <v>#REF!</v>
      </c>
      <c r="BD390" s="116">
        <f t="shared" si="205"/>
        <v>0</v>
      </c>
      <c r="BE390" s="116" t="e">
        <f>SUMIF(#REF!,#REF!, BD81:BD393)</f>
        <v>#REF!</v>
      </c>
      <c r="BF390" s="116">
        <f t="shared" si="206"/>
        <v>0</v>
      </c>
      <c r="BG390" s="116" t="e">
        <f>SUMIF(#REF!,#REF!, BF81:BF393)</f>
        <v>#REF!</v>
      </c>
      <c r="BH390" s="116" t="e">
        <f t="shared" si="207"/>
        <v>#REF!</v>
      </c>
      <c r="BI390" s="117">
        <f>SUMIF(B81:B393, B390, BH81:BH393)</f>
        <v>0</v>
      </c>
      <c r="BJ390" s="118"/>
      <c r="BK390" s="92"/>
      <c r="BL390" s="93"/>
      <c r="BM390" s="93"/>
      <c r="BN390" s="93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4"/>
    </row>
    <row r="391" spans="1:82" x14ac:dyDescent="0.3">
      <c r="A391" s="68"/>
      <c r="B391" s="69"/>
      <c r="C391" s="70"/>
      <c r="D391" s="70"/>
      <c r="E391" s="71"/>
      <c r="F391" s="72"/>
      <c r="G391" s="73"/>
      <c r="H391" s="74"/>
      <c r="I391" s="72"/>
      <c r="J391" s="73"/>
      <c r="K391" s="75"/>
      <c r="L391" s="76"/>
      <c r="M391" s="77"/>
      <c r="N391" s="78"/>
      <c r="O391" s="79"/>
      <c r="P391" s="79"/>
      <c r="Q391" s="80"/>
      <c r="R391" s="81"/>
      <c r="S391" s="78"/>
      <c r="T391" s="79"/>
      <c r="U391" s="79"/>
      <c r="V391" s="80">
        <f t="shared" si="188"/>
        <v>0</v>
      </c>
      <c r="W391" s="82"/>
      <c r="X391" s="83"/>
      <c r="Y391" s="84" t="s">
        <v>104</v>
      </c>
      <c r="Z391" s="73"/>
      <c r="AA391" s="73"/>
      <c r="AB391" s="73"/>
      <c r="AC391" s="73"/>
      <c r="AD391" s="74"/>
      <c r="AE391" s="78"/>
      <c r="AF391" s="79"/>
      <c r="AG391" s="79"/>
      <c r="AH391" s="79"/>
      <c r="AI391" s="79"/>
      <c r="AJ391" s="79">
        <f t="shared" si="189"/>
        <v>0</v>
      </c>
      <c r="AK391" s="79" t="e">
        <f>VLOOKUP(A391,#REF!,-1,FALSE)</f>
        <v>#REF!</v>
      </c>
      <c r="AL391" s="80" t="e">
        <f t="shared" si="190"/>
        <v>#REF!</v>
      </c>
      <c r="AM391" s="78">
        <f t="shared" si="191"/>
        <v>0</v>
      </c>
      <c r="AN391" s="85">
        <f t="shared" si="192"/>
        <v>0</v>
      </c>
      <c r="AO391" s="73" t="str">
        <f t="shared" si="193"/>
        <v>OK</v>
      </c>
      <c r="AP391" s="79">
        <f t="shared" si="194"/>
        <v>0</v>
      </c>
      <c r="AQ391" s="85">
        <f t="shared" si="195"/>
        <v>0</v>
      </c>
      <c r="AR391" s="73" t="str">
        <f t="shared" si="196"/>
        <v>OK</v>
      </c>
      <c r="AS391" s="79">
        <f t="shared" si="197"/>
        <v>0</v>
      </c>
      <c r="AT391" s="85">
        <f t="shared" si="198"/>
        <v>0</v>
      </c>
      <c r="AU391" s="86" t="str">
        <f t="shared" si="199"/>
        <v>OK</v>
      </c>
      <c r="AV391" s="79">
        <f t="shared" si="200"/>
        <v>0</v>
      </c>
      <c r="AW391" s="85" t="e">
        <f t="shared" si="201"/>
        <v>#REF!</v>
      </c>
      <c r="AX391" s="87" t="e">
        <f t="shared" si="202"/>
        <v>#REF!</v>
      </c>
      <c r="AY391" s="72"/>
      <c r="AZ391" s="73"/>
      <c r="BA391" s="77">
        <f t="shared" si="203"/>
        <v>0</v>
      </c>
      <c r="BB391" s="88">
        <f t="shared" si="204"/>
        <v>0</v>
      </c>
      <c r="BC391" s="89" t="e">
        <f>SUMIF(#REF!,#REF!, BB83:BB395)</f>
        <v>#REF!</v>
      </c>
      <c r="BD391" s="89">
        <f t="shared" si="205"/>
        <v>0</v>
      </c>
      <c r="BE391" s="89" t="e">
        <f>SUMIF(#REF!,#REF!, BD83:BD395)</f>
        <v>#REF!</v>
      </c>
      <c r="BF391" s="89">
        <f t="shared" si="206"/>
        <v>0</v>
      </c>
      <c r="BG391" s="89" t="e">
        <f>SUMIF(#REF!,#REF!, BF83:BF395)</f>
        <v>#REF!</v>
      </c>
      <c r="BH391" s="89" t="e">
        <f t="shared" si="207"/>
        <v>#REF!</v>
      </c>
      <c r="BI391" s="90">
        <f>SUMIF(B83:B395, B391, BH83:BH395)</f>
        <v>0</v>
      </c>
      <c r="BJ391" s="91"/>
      <c r="BK391" s="92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4"/>
    </row>
    <row r="392" spans="1:82" x14ac:dyDescent="0.3">
      <c r="A392" s="95"/>
      <c r="B392" s="96"/>
      <c r="C392" s="97"/>
      <c r="D392" s="97"/>
      <c r="E392" s="98"/>
      <c r="F392" s="99"/>
      <c r="G392" s="100"/>
      <c r="H392" s="101"/>
      <c r="I392" s="99"/>
      <c r="J392" s="100"/>
      <c r="K392" s="102"/>
      <c r="L392" s="103"/>
      <c r="M392" s="104"/>
      <c r="N392" s="105"/>
      <c r="O392" s="106"/>
      <c r="P392" s="106"/>
      <c r="Q392" s="107"/>
      <c r="R392" s="108"/>
      <c r="S392" s="105"/>
      <c r="T392" s="106"/>
      <c r="U392" s="106"/>
      <c r="V392" s="107">
        <f t="shared" si="188"/>
        <v>0</v>
      </c>
      <c r="W392" s="109"/>
      <c r="X392" s="110"/>
      <c r="Y392" s="111" t="s">
        <v>104</v>
      </c>
      <c r="Z392" s="100"/>
      <c r="AA392" s="100"/>
      <c r="AB392" s="100"/>
      <c r="AC392" s="100"/>
      <c r="AD392" s="101"/>
      <c r="AE392" s="105"/>
      <c r="AF392" s="106"/>
      <c r="AG392" s="106"/>
      <c r="AH392" s="106"/>
      <c r="AI392" s="106"/>
      <c r="AJ392" s="106">
        <f t="shared" si="189"/>
        <v>0</v>
      </c>
      <c r="AK392" s="106" t="e">
        <f>VLOOKUP(A392,#REF!,-1,FALSE)</f>
        <v>#REF!</v>
      </c>
      <c r="AL392" s="107" t="e">
        <f t="shared" si="190"/>
        <v>#REF!</v>
      </c>
      <c r="AM392" s="105">
        <f t="shared" si="191"/>
        <v>0</v>
      </c>
      <c r="AN392" s="112">
        <f t="shared" si="192"/>
        <v>0</v>
      </c>
      <c r="AO392" s="100" t="str">
        <f t="shared" si="193"/>
        <v>OK</v>
      </c>
      <c r="AP392" s="106">
        <f t="shared" si="194"/>
        <v>0</v>
      </c>
      <c r="AQ392" s="112">
        <f t="shared" si="195"/>
        <v>0</v>
      </c>
      <c r="AR392" s="100" t="str">
        <f t="shared" si="196"/>
        <v>OK</v>
      </c>
      <c r="AS392" s="106">
        <f t="shared" si="197"/>
        <v>0</v>
      </c>
      <c r="AT392" s="112">
        <f t="shared" si="198"/>
        <v>0</v>
      </c>
      <c r="AU392" s="113" t="str">
        <f t="shared" si="199"/>
        <v>OK</v>
      </c>
      <c r="AV392" s="106">
        <f t="shared" si="200"/>
        <v>0</v>
      </c>
      <c r="AW392" s="112" t="e">
        <f t="shared" si="201"/>
        <v>#REF!</v>
      </c>
      <c r="AX392" s="114" t="e">
        <f t="shared" si="202"/>
        <v>#REF!</v>
      </c>
      <c r="AY392" s="99"/>
      <c r="AZ392" s="100"/>
      <c r="BA392" s="104">
        <f t="shared" si="203"/>
        <v>0</v>
      </c>
      <c r="BB392" s="115">
        <f t="shared" si="204"/>
        <v>0</v>
      </c>
      <c r="BC392" s="116" t="e">
        <f>SUMIF(#REF!,#REF!, BB83:BB395)</f>
        <v>#REF!</v>
      </c>
      <c r="BD392" s="116">
        <f t="shared" si="205"/>
        <v>0</v>
      </c>
      <c r="BE392" s="116" t="e">
        <f>SUMIF(#REF!,#REF!, BD83:BD395)</f>
        <v>#REF!</v>
      </c>
      <c r="BF392" s="116">
        <f t="shared" si="206"/>
        <v>0</v>
      </c>
      <c r="BG392" s="116" t="e">
        <f>SUMIF(#REF!,#REF!, BF83:BF395)</f>
        <v>#REF!</v>
      </c>
      <c r="BH392" s="116" t="e">
        <f t="shared" si="207"/>
        <v>#REF!</v>
      </c>
      <c r="BI392" s="117">
        <f>SUMIF(B83:B395, B392, BH83:BH395)</f>
        <v>0</v>
      </c>
      <c r="BJ392" s="118"/>
      <c r="BK392" s="92"/>
      <c r="BL392" s="93"/>
      <c r="BM392" s="93"/>
      <c r="BN392" s="93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4"/>
    </row>
    <row r="393" spans="1:82" x14ac:dyDescent="0.3">
      <c r="A393" s="68"/>
      <c r="B393" s="69"/>
      <c r="C393" s="70"/>
      <c r="D393" s="70"/>
      <c r="E393" s="71"/>
      <c r="F393" s="72"/>
      <c r="G393" s="73"/>
      <c r="H393" s="74"/>
      <c r="I393" s="72"/>
      <c r="J393" s="73"/>
      <c r="K393" s="75"/>
      <c r="L393" s="76"/>
      <c r="M393" s="77"/>
      <c r="N393" s="78"/>
      <c r="O393" s="79"/>
      <c r="P393" s="79"/>
      <c r="Q393" s="80"/>
      <c r="R393" s="81"/>
      <c r="S393" s="78"/>
      <c r="T393" s="79"/>
      <c r="U393" s="79"/>
      <c r="V393" s="80">
        <f t="shared" si="188"/>
        <v>0</v>
      </c>
      <c r="W393" s="82"/>
      <c r="X393" s="83"/>
      <c r="Y393" s="84" t="s">
        <v>104</v>
      </c>
      <c r="Z393" s="73"/>
      <c r="AA393" s="73"/>
      <c r="AB393" s="73"/>
      <c r="AC393" s="73"/>
      <c r="AD393" s="74"/>
      <c r="AE393" s="78"/>
      <c r="AF393" s="79"/>
      <c r="AG393" s="79"/>
      <c r="AH393" s="79"/>
      <c r="AI393" s="79"/>
      <c r="AJ393" s="79">
        <f t="shared" si="189"/>
        <v>0</v>
      </c>
      <c r="AK393" s="79" t="e">
        <f>VLOOKUP(A393,#REF!,-1,FALSE)</f>
        <v>#REF!</v>
      </c>
      <c r="AL393" s="80" t="e">
        <f t="shared" si="190"/>
        <v>#REF!</v>
      </c>
      <c r="AM393" s="78">
        <f t="shared" si="191"/>
        <v>0</v>
      </c>
      <c r="AN393" s="85">
        <f t="shared" si="192"/>
        <v>0</v>
      </c>
      <c r="AO393" s="73" t="str">
        <f t="shared" si="193"/>
        <v>OK</v>
      </c>
      <c r="AP393" s="79">
        <f t="shared" si="194"/>
        <v>0</v>
      </c>
      <c r="AQ393" s="85">
        <f t="shared" si="195"/>
        <v>0</v>
      </c>
      <c r="AR393" s="73" t="str">
        <f t="shared" si="196"/>
        <v>OK</v>
      </c>
      <c r="AS393" s="79">
        <f t="shared" si="197"/>
        <v>0</v>
      </c>
      <c r="AT393" s="85">
        <f t="shared" si="198"/>
        <v>0</v>
      </c>
      <c r="AU393" s="86" t="str">
        <f t="shared" si="199"/>
        <v>OK</v>
      </c>
      <c r="AV393" s="79">
        <f t="shared" si="200"/>
        <v>0</v>
      </c>
      <c r="AW393" s="85" t="e">
        <f t="shared" si="201"/>
        <v>#REF!</v>
      </c>
      <c r="AX393" s="87" t="e">
        <f t="shared" si="202"/>
        <v>#REF!</v>
      </c>
      <c r="AY393" s="72"/>
      <c r="AZ393" s="73"/>
      <c r="BA393" s="77">
        <f t="shared" si="203"/>
        <v>0</v>
      </c>
      <c r="BB393" s="88">
        <f t="shared" si="204"/>
        <v>0</v>
      </c>
      <c r="BC393" s="89" t="e">
        <f>SUMIF(#REF!,#REF!, BB85:BB397)</f>
        <v>#REF!</v>
      </c>
      <c r="BD393" s="89">
        <f t="shared" si="205"/>
        <v>0</v>
      </c>
      <c r="BE393" s="89" t="e">
        <f>SUMIF(#REF!,#REF!, BD85:BD397)</f>
        <v>#REF!</v>
      </c>
      <c r="BF393" s="89">
        <f t="shared" si="206"/>
        <v>0</v>
      </c>
      <c r="BG393" s="89" t="e">
        <f>SUMIF(#REF!,#REF!, BF85:BF397)</f>
        <v>#REF!</v>
      </c>
      <c r="BH393" s="89" t="e">
        <f t="shared" si="207"/>
        <v>#REF!</v>
      </c>
      <c r="BI393" s="90">
        <f>SUMIF(B85:B397, B393, BH85:BH397)</f>
        <v>0</v>
      </c>
      <c r="BJ393" s="91"/>
      <c r="BK393" s="92"/>
      <c r="BL393" s="93"/>
      <c r="BM393" s="93"/>
      <c r="BN393" s="93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4"/>
    </row>
    <row r="394" spans="1:82" x14ac:dyDescent="0.3">
      <c r="A394" s="95"/>
      <c r="B394" s="96"/>
      <c r="C394" s="97"/>
      <c r="D394" s="97"/>
      <c r="E394" s="98"/>
      <c r="F394" s="99"/>
      <c r="G394" s="100"/>
      <c r="H394" s="101"/>
      <c r="I394" s="99"/>
      <c r="J394" s="100"/>
      <c r="K394" s="102"/>
      <c r="L394" s="103"/>
      <c r="M394" s="104"/>
      <c r="N394" s="105"/>
      <c r="O394" s="106"/>
      <c r="P394" s="106"/>
      <c r="Q394" s="107"/>
      <c r="R394" s="108"/>
      <c r="S394" s="105"/>
      <c r="T394" s="106"/>
      <c r="U394" s="106"/>
      <c r="V394" s="107">
        <f t="shared" si="188"/>
        <v>0</v>
      </c>
      <c r="W394" s="109"/>
      <c r="X394" s="110"/>
      <c r="Y394" s="111" t="s">
        <v>104</v>
      </c>
      <c r="Z394" s="100"/>
      <c r="AA394" s="100"/>
      <c r="AB394" s="100"/>
      <c r="AC394" s="100"/>
      <c r="AD394" s="101"/>
      <c r="AE394" s="105"/>
      <c r="AF394" s="106"/>
      <c r="AG394" s="106"/>
      <c r="AH394" s="106"/>
      <c r="AI394" s="106"/>
      <c r="AJ394" s="106">
        <f t="shared" si="189"/>
        <v>0</v>
      </c>
      <c r="AK394" s="106" t="e">
        <f>VLOOKUP(A394,#REF!,-1,FALSE)</f>
        <v>#REF!</v>
      </c>
      <c r="AL394" s="107" t="e">
        <f t="shared" si="190"/>
        <v>#REF!</v>
      </c>
      <c r="AM394" s="105">
        <f t="shared" si="191"/>
        <v>0</v>
      </c>
      <c r="AN394" s="112">
        <f t="shared" si="192"/>
        <v>0</v>
      </c>
      <c r="AO394" s="100" t="str">
        <f t="shared" si="193"/>
        <v>OK</v>
      </c>
      <c r="AP394" s="106">
        <f t="shared" si="194"/>
        <v>0</v>
      </c>
      <c r="AQ394" s="112">
        <f t="shared" si="195"/>
        <v>0</v>
      </c>
      <c r="AR394" s="100" t="str">
        <f t="shared" si="196"/>
        <v>OK</v>
      </c>
      <c r="AS394" s="106">
        <f t="shared" si="197"/>
        <v>0</v>
      </c>
      <c r="AT394" s="112">
        <f t="shared" si="198"/>
        <v>0</v>
      </c>
      <c r="AU394" s="113" t="str">
        <f t="shared" si="199"/>
        <v>OK</v>
      </c>
      <c r="AV394" s="106">
        <f t="shared" si="200"/>
        <v>0</v>
      </c>
      <c r="AW394" s="112" t="e">
        <f t="shared" si="201"/>
        <v>#REF!</v>
      </c>
      <c r="AX394" s="114" t="e">
        <f t="shared" si="202"/>
        <v>#REF!</v>
      </c>
      <c r="AY394" s="99"/>
      <c r="AZ394" s="100"/>
      <c r="BA394" s="104">
        <f t="shared" si="203"/>
        <v>0</v>
      </c>
      <c r="BB394" s="115">
        <f t="shared" si="204"/>
        <v>0</v>
      </c>
      <c r="BC394" s="116" t="e">
        <f>SUMIF(#REF!,#REF!, BB85:BB397)</f>
        <v>#REF!</v>
      </c>
      <c r="BD394" s="116">
        <f t="shared" si="205"/>
        <v>0</v>
      </c>
      <c r="BE394" s="116" t="e">
        <f>SUMIF(#REF!,#REF!, BD85:BD397)</f>
        <v>#REF!</v>
      </c>
      <c r="BF394" s="116">
        <f t="shared" si="206"/>
        <v>0</v>
      </c>
      <c r="BG394" s="116" t="e">
        <f>SUMIF(#REF!,#REF!, BF85:BF397)</f>
        <v>#REF!</v>
      </c>
      <c r="BH394" s="116" t="e">
        <f t="shared" si="207"/>
        <v>#REF!</v>
      </c>
      <c r="BI394" s="117">
        <f>SUMIF(B85:B397, B394, BH85:BH397)</f>
        <v>0</v>
      </c>
      <c r="BJ394" s="118"/>
      <c r="BK394" s="92"/>
      <c r="BL394" s="93"/>
      <c r="BM394" s="93"/>
      <c r="BN394" s="93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4"/>
    </row>
    <row r="395" spans="1:82" x14ac:dyDescent="0.3">
      <c r="A395" s="68"/>
      <c r="B395" s="69"/>
      <c r="C395" s="70"/>
      <c r="D395" s="70"/>
      <c r="E395" s="71"/>
      <c r="F395" s="72"/>
      <c r="G395" s="73"/>
      <c r="H395" s="74"/>
      <c r="I395" s="72"/>
      <c r="J395" s="73"/>
      <c r="K395" s="75"/>
      <c r="L395" s="76"/>
      <c r="M395" s="77"/>
      <c r="N395" s="78"/>
      <c r="O395" s="79"/>
      <c r="P395" s="79"/>
      <c r="Q395" s="80"/>
      <c r="R395" s="81"/>
      <c r="S395" s="78"/>
      <c r="T395" s="79"/>
      <c r="U395" s="79"/>
      <c r="V395" s="80">
        <f t="shared" si="188"/>
        <v>0</v>
      </c>
      <c r="W395" s="82"/>
      <c r="X395" s="83"/>
      <c r="Y395" s="84" t="s">
        <v>104</v>
      </c>
      <c r="Z395" s="73"/>
      <c r="AA395" s="73"/>
      <c r="AB395" s="73"/>
      <c r="AC395" s="73"/>
      <c r="AD395" s="74"/>
      <c r="AE395" s="78"/>
      <c r="AF395" s="79"/>
      <c r="AG395" s="79"/>
      <c r="AH395" s="79"/>
      <c r="AI395" s="79"/>
      <c r="AJ395" s="79">
        <f t="shared" si="189"/>
        <v>0</v>
      </c>
      <c r="AK395" s="79" t="e">
        <f>VLOOKUP(A395,#REF!,-1,FALSE)</f>
        <v>#REF!</v>
      </c>
      <c r="AL395" s="80" t="e">
        <f t="shared" si="190"/>
        <v>#REF!</v>
      </c>
      <c r="AM395" s="78">
        <f t="shared" si="191"/>
        <v>0</v>
      </c>
      <c r="AN395" s="85">
        <f t="shared" si="192"/>
        <v>0</v>
      </c>
      <c r="AO395" s="73" t="str">
        <f t="shared" si="193"/>
        <v>OK</v>
      </c>
      <c r="AP395" s="79">
        <f t="shared" si="194"/>
        <v>0</v>
      </c>
      <c r="AQ395" s="85">
        <f t="shared" si="195"/>
        <v>0</v>
      </c>
      <c r="AR395" s="73" t="str">
        <f t="shared" si="196"/>
        <v>OK</v>
      </c>
      <c r="AS395" s="79">
        <f t="shared" si="197"/>
        <v>0</v>
      </c>
      <c r="AT395" s="85">
        <f t="shared" si="198"/>
        <v>0</v>
      </c>
      <c r="AU395" s="86" t="str">
        <f t="shared" si="199"/>
        <v>OK</v>
      </c>
      <c r="AV395" s="79">
        <f t="shared" si="200"/>
        <v>0</v>
      </c>
      <c r="AW395" s="85" t="e">
        <f t="shared" si="201"/>
        <v>#REF!</v>
      </c>
      <c r="AX395" s="87" t="e">
        <f t="shared" si="202"/>
        <v>#REF!</v>
      </c>
      <c r="AY395" s="72"/>
      <c r="AZ395" s="73"/>
      <c r="BA395" s="77">
        <f t="shared" si="203"/>
        <v>0</v>
      </c>
      <c r="BB395" s="88">
        <f t="shared" si="204"/>
        <v>0</v>
      </c>
      <c r="BC395" s="89" t="e">
        <f>SUMIF(#REF!,#REF!, BB87:BB399)</f>
        <v>#REF!</v>
      </c>
      <c r="BD395" s="89">
        <f t="shared" si="205"/>
        <v>0</v>
      </c>
      <c r="BE395" s="89" t="e">
        <f>SUMIF(#REF!,#REF!, BD87:BD399)</f>
        <v>#REF!</v>
      </c>
      <c r="BF395" s="89">
        <f t="shared" si="206"/>
        <v>0</v>
      </c>
      <c r="BG395" s="89" t="e">
        <f>SUMIF(#REF!,#REF!, BF87:BF399)</f>
        <v>#REF!</v>
      </c>
      <c r="BH395" s="89" t="e">
        <f t="shared" si="207"/>
        <v>#REF!</v>
      </c>
      <c r="BI395" s="90">
        <f>SUMIF(B87:B399, B395, BH87:BH399)</f>
        <v>0</v>
      </c>
      <c r="BJ395" s="91"/>
      <c r="BK395" s="92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4"/>
    </row>
    <row r="396" spans="1:82" x14ac:dyDescent="0.3">
      <c r="A396" s="95"/>
      <c r="B396" s="96"/>
      <c r="C396" s="97"/>
      <c r="D396" s="97"/>
      <c r="E396" s="98"/>
      <c r="F396" s="99"/>
      <c r="G396" s="100"/>
      <c r="H396" s="101"/>
      <c r="I396" s="99"/>
      <c r="J396" s="100"/>
      <c r="K396" s="102"/>
      <c r="L396" s="103"/>
      <c r="M396" s="104"/>
      <c r="N396" s="105"/>
      <c r="O396" s="106"/>
      <c r="P396" s="106"/>
      <c r="Q396" s="107"/>
      <c r="R396" s="108"/>
      <c r="S396" s="105"/>
      <c r="T396" s="106"/>
      <c r="U396" s="106"/>
      <c r="V396" s="107">
        <f t="shared" si="188"/>
        <v>0</v>
      </c>
      <c r="W396" s="109"/>
      <c r="X396" s="110"/>
      <c r="Y396" s="111" t="s">
        <v>104</v>
      </c>
      <c r="Z396" s="100"/>
      <c r="AA396" s="100"/>
      <c r="AB396" s="100"/>
      <c r="AC396" s="100"/>
      <c r="AD396" s="101"/>
      <c r="AE396" s="105"/>
      <c r="AF396" s="106"/>
      <c r="AG396" s="106"/>
      <c r="AH396" s="106"/>
      <c r="AI396" s="106"/>
      <c r="AJ396" s="106">
        <f t="shared" si="189"/>
        <v>0</v>
      </c>
      <c r="AK396" s="106" t="e">
        <f>VLOOKUP(A396,#REF!,-1,FALSE)</f>
        <v>#REF!</v>
      </c>
      <c r="AL396" s="107" t="e">
        <f t="shared" si="190"/>
        <v>#REF!</v>
      </c>
      <c r="AM396" s="105">
        <f t="shared" si="191"/>
        <v>0</v>
      </c>
      <c r="AN396" s="112">
        <f t="shared" si="192"/>
        <v>0</v>
      </c>
      <c r="AO396" s="100" t="str">
        <f t="shared" si="193"/>
        <v>OK</v>
      </c>
      <c r="AP396" s="106">
        <f t="shared" si="194"/>
        <v>0</v>
      </c>
      <c r="AQ396" s="112">
        <f t="shared" si="195"/>
        <v>0</v>
      </c>
      <c r="AR396" s="100" t="str">
        <f t="shared" si="196"/>
        <v>OK</v>
      </c>
      <c r="AS396" s="106">
        <f t="shared" si="197"/>
        <v>0</v>
      </c>
      <c r="AT396" s="112">
        <f t="shared" si="198"/>
        <v>0</v>
      </c>
      <c r="AU396" s="113" t="str">
        <f t="shared" si="199"/>
        <v>OK</v>
      </c>
      <c r="AV396" s="106">
        <f t="shared" si="200"/>
        <v>0</v>
      </c>
      <c r="AW396" s="112" t="e">
        <f t="shared" si="201"/>
        <v>#REF!</v>
      </c>
      <c r="AX396" s="114" t="e">
        <f t="shared" si="202"/>
        <v>#REF!</v>
      </c>
      <c r="AY396" s="99"/>
      <c r="AZ396" s="100"/>
      <c r="BA396" s="104">
        <f t="shared" si="203"/>
        <v>0</v>
      </c>
      <c r="BB396" s="115">
        <f t="shared" si="204"/>
        <v>0</v>
      </c>
      <c r="BC396" s="116" t="e">
        <f>SUMIF(#REF!,#REF!, BB87:BB399)</f>
        <v>#REF!</v>
      </c>
      <c r="BD396" s="116">
        <f t="shared" si="205"/>
        <v>0</v>
      </c>
      <c r="BE396" s="116" t="e">
        <f>SUMIF(#REF!,#REF!, BD87:BD399)</f>
        <v>#REF!</v>
      </c>
      <c r="BF396" s="116">
        <f t="shared" si="206"/>
        <v>0</v>
      </c>
      <c r="BG396" s="116" t="e">
        <f>SUMIF(#REF!,#REF!, BF87:BF399)</f>
        <v>#REF!</v>
      </c>
      <c r="BH396" s="116" t="e">
        <f t="shared" si="207"/>
        <v>#REF!</v>
      </c>
      <c r="BI396" s="117">
        <f>SUMIF(B87:B399, B396, BH87:BH399)</f>
        <v>0</v>
      </c>
      <c r="BJ396" s="118"/>
      <c r="BK396" s="92"/>
      <c r="BL396" s="93"/>
      <c r="BM396" s="93"/>
      <c r="BN396" s="93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4"/>
    </row>
    <row r="397" spans="1:82" x14ac:dyDescent="0.3">
      <c r="A397" s="68"/>
      <c r="B397" s="69"/>
      <c r="C397" s="70"/>
      <c r="D397" s="70"/>
      <c r="E397" s="71"/>
      <c r="F397" s="72"/>
      <c r="G397" s="73"/>
      <c r="H397" s="74"/>
      <c r="I397" s="72"/>
      <c r="J397" s="73"/>
      <c r="K397" s="75"/>
      <c r="L397" s="76"/>
      <c r="M397" s="77"/>
      <c r="N397" s="78"/>
      <c r="O397" s="79"/>
      <c r="P397" s="79"/>
      <c r="Q397" s="80"/>
      <c r="R397" s="81"/>
      <c r="S397" s="78"/>
      <c r="T397" s="79"/>
      <c r="U397" s="79"/>
      <c r="V397" s="80">
        <f t="shared" si="188"/>
        <v>0</v>
      </c>
      <c r="W397" s="82"/>
      <c r="X397" s="83"/>
      <c r="Y397" s="84" t="s">
        <v>104</v>
      </c>
      <c r="Z397" s="73"/>
      <c r="AA397" s="73"/>
      <c r="AB397" s="73"/>
      <c r="AC397" s="73"/>
      <c r="AD397" s="74"/>
      <c r="AE397" s="78"/>
      <c r="AF397" s="79"/>
      <c r="AG397" s="79"/>
      <c r="AH397" s="79"/>
      <c r="AI397" s="79"/>
      <c r="AJ397" s="79">
        <f t="shared" si="189"/>
        <v>0</v>
      </c>
      <c r="AK397" s="79" t="e">
        <f>VLOOKUP(A397,#REF!,-1,FALSE)</f>
        <v>#REF!</v>
      </c>
      <c r="AL397" s="80" t="e">
        <f t="shared" si="190"/>
        <v>#REF!</v>
      </c>
      <c r="AM397" s="78">
        <f t="shared" si="191"/>
        <v>0</v>
      </c>
      <c r="AN397" s="85">
        <f t="shared" si="192"/>
        <v>0</v>
      </c>
      <c r="AO397" s="73" t="str">
        <f t="shared" si="193"/>
        <v>OK</v>
      </c>
      <c r="AP397" s="79">
        <f t="shared" si="194"/>
        <v>0</v>
      </c>
      <c r="AQ397" s="85">
        <f t="shared" si="195"/>
        <v>0</v>
      </c>
      <c r="AR397" s="73" t="str">
        <f t="shared" si="196"/>
        <v>OK</v>
      </c>
      <c r="AS397" s="79">
        <f t="shared" si="197"/>
        <v>0</v>
      </c>
      <c r="AT397" s="85">
        <f t="shared" si="198"/>
        <v>0</v>
      </c>
      <c r="AU397" s="86" t="str">
        <f t="shared" si="199"/>
        <v>OK</v>
      </c>
      <c r="AV397" s="79">
        <f t="shared" si="200"/>
        <v>0</v>
      </c>
      <c r="AW397" s="85" t="e">
        <f t="shared" si="201"/>
        <v>#REF!</v>
      </c>
      <c r="AX397" s="87" t="e">
        <f t="shared" si="202"/>
        <v>#REF!</v>
      </c>
      <c r="AY397" s="72"/>
      <c r="AZ397" s="73"/>
      <c r="BA397" s="77">
        <f t="shared" si="203"/>
        <v>0</v>
      </c>
      <c r="BB397" s="88">
        <f t="shared" si="204"/>
        <v>0</v>
      </c>
      <c r="BC397" s="89" t="e">
        <f>SUMIF(#REF!,#REF!, BB89:BB401)</f>
        <v>#REF!</v>
      </c>
      <c r="BD397" s="89">
        <f t="shared" si="205"/>
        <v>0</v>
      </c>
      <c r="BE397" s="89" t="e">
        <f>SUMIF(#REF!,#REF!, BD89:BD401)</f>
        <v>#REF!</v>
      </c>
      <c r="BF397" s="89">
        <f t="shared" si="206"/>
        <v>0</v>
      </c>
      <c r="BG397" s="89" t="e">
        <f>SUMIF(#REF!,#REF!, BF89:BF401)</f>
        <v>#REF!</v>
      </c>
      <c r="BH397" s="89" t="e">
        <f t="shared" si="207"/>
        <v>#REF!</v>
      </c>
      <c r="BI397" s="90">
        <f>SUMIF(B89:B401, B397, BH89:BH401)</f>
        <v>0</v>
      </c>
      <c r="BJ397" s="91"/>
      <c r="BK397" s="92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4"/>
    </row>
    <row r="398" spans="1:82" x14ac:dyDescent="0.3">
      <c r="A398" s="95"/>
      <c r="B398" s="96"/>
      <c r="C398" s="97"/>
      <c r="D398" s="97"/>
      <c r="E398" s="98"/>
      <c r="F398" s="99"/>
      <c r="G398" s="100"/>
      <c r="H398" s="101"/>
      <c r="I398" s="99"/>
      <c r="J398" s="100"/>
      <c r="K398" s="102"/>
      <c r="L398" s="103"/>
      <c r="M398" s="104"/>
      <c r="N398" s="105"/>
      <c r="O398" s="106"/>
      <c r="P398" s="106"/>
      <c r="Q398" s="107"/>
      <c r="R398" s="108"/>
      <c r="S398" s="105"/>
      <c r="T398" s="106"/>
      <c r="U398" s="106"/>
      <c r="V398" s="107">
        <f t="shared" si="188"/>
        <v>0</v>
      </c>
      <c r="W398" s="109"/>
      <c r="X398" s="110"/>
      <c r="Y398" s="111" t="s">
        <v>104</v>
      </c>
      <c r="Z398" s="100"/>
      <c r="AA398" s="100"/>
      <c r="AB398" s="100"/>
      <c r="AC398" s="100"/>
      <c r="AD398" s="101"/>
      <c r="AE398" s="105"/>
      <c r="AF398" s="106"/>
      <c r="AG398" s="106"/>
      <c r="AH398" s="106"/>
      <c r="AI398" s="106"/>
      <c r="AJ398" s="106">
        <f t="shared" si="189"/>
        <v>0</v>
      </c>
      <c r="AK398" s="106" t="e">
        <f>VLOOKUP(A398,#REF!,-1,FALSE)</f>
        <v>#REF!</v>
      </c>
      <c r="AL398" s="107" t="e">
        <f t="shared" si="190"/>
        <v>#REF!</v>
      </c>
      <c r="AM398" s="105">
        <f t="shared" si="191"/>
        <v>0</v>
      </c>
      <c r="AN398" s="112">
        <f t="shared" si="192"/>
        <v>0</v>
      </c>
      <c r="AO398" s="100" t="str">
        <f t="shared" si="193"/>
        <v>OK</v>
      </c>
      <c r="AP398" s="106">
        <f t="shared" si="194"/>
        <v>0</v>
      </c>
      <c r="AQ398" s="112">
        <f t="shared" si="195"/>
        <v>0</v>
      </c>
      <c r="AR398" s="100" t="str">
        <f t="shared" si="196"/>
        <v>OK</v>
      </c>
      <c r="AS398" s="106">
        <f t="shared" si="197"/>
        <v>0</v>
      </c>
      <c r="AT398" s="112">
        <f t="shared" si="198"/>
        <v>0</v>
      </c>
      <c r="AU398" s="113" t="str">
        <f t="shared" si="199"/>
        <v>OK</v>
      </c>
      <c r="AV398" s="106">
        <f t="shared" si="200"/>
        <v>0</v>
      </c>
      <c r="AW398" s="112" t="e">
        <f t="shared" si="201"/>
        <v>#REF!</v>
      </c>
      <c r="AX398" s="114" t="e">
        <f t="shared" si="202"/>
        <v>#REF!</v>
      </c>
      <c r="AY398" s="99"/>
      <c r="AZ398" s="100"/>
      <c r="BA398" s="104">
        <f t="shared" si="203"/>
        <v>0</v>
      </c>
      <c r="BB398" s="115">
        <f t="shared" si="204"/>
        <v>0</v>
      </c>
      <c r="BC398" s="116" t="e">
        <f>SUMIF(#REF!,#REF!, BB89:BB401)</f>
        <v>#REF!</v>
      </c>
      <c r="BD398" s="116">
        <f t="shared" si="205"/>
        <v>0</v>
      </c>
      <c r="BE398" s="116" t="e">
        <f>SUMIF(#REF!,#REF!, BD89:BD401)</f>
        <v>#REF!</v>
      </c>
      <c r="BF398" s="116">
        <f t="shared" si="206"/>
        <v>0</v>
      </c>
      <c r="BG398" s="116" t="e">
        <f>SUMIF(#REF!,#REF!, BF89:BF401)</f>
        <v>#REF!</v>
      </c>
      <c r="BH398" s="116" t="e">
        <f t="shared" si="207"/>
        <v>#REF!</v>
      </c>
      <c r="BI398" s="117">
        <f>SUMIF(B89:B401, B398, BH89:BH401)</f>
        <v>0</v>
      </c>
      <c r="BJ398" s="118"/>
      <c r="BK398" s="92"/>
      <c r="BL398" s="93"/>
      <c r="BM398" s="93"/>
      <c r="BN398" s="93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4"/>
    </row>
    <row r="399" spans="1:82" x14ac:dyDescent="0.3">
      <c r="A399" s="68"/>
      <c r="B399" s="69"/>
      <c r="C399" s="70"/>
      <c r="D399" s="70"/>
      <c r="E399" s="71"/>
      <c r="F399" s="72"/>
      <c r="G399" s="73"/>
      <c r="H399" s="74"/>
      <c r="I399" s="72"/>
      <c r="J399" s="73"/>
      <c r="K399" s="75"/>
      <c r="L399" s="76"/>
      <c r="M399" s="77"/>
      <c r="N399" s="78"/>
      <c r="O399" s="79"/>
      <c r="P399" s="79"/>
      <c r="Q399" s="80"/>
      <c r="R399" s="81"/>
      <c r="S399" s="78"/>
      <c r="T399" s="79"/>
      <c r="U399" s="79"/>
      <c r="V399" s="80">
        <f t="shared" si="188"/>
        <v>0</v>
      </c>
      <c r="W399" s="82"/>
      <c r="X399" s="83"/>
      <c r="Y399" s="84" t="s">
        <v>104</v>
      </c>
      <c r="Z399" s="73"/>
      <c r="AA399" s="73"/>
      <c r="AB399" s="73"/>
      <c r="AC399" s="73"/>
      <c r="AD399" s="74"/>
      <c r="AE399" s="78"/>
      <c r="AF399" s="79"/>
      <c r="AG399" s="79"/>
      <c r="AH399" s="79"/>
      <c r="AI399" s="79"/>
      <c r="AJ399" s="79">
        <f t="shared" si="189"/>
        <v>0</v>
      </c>
      <c r="AK399" s="79" t="e">
        <f>VLOOKUP(A399,#REF!,-1,FALSE)</f>
        <v>#REF!</v>
      </c>
      <c r="AL399" s="80" t="e">
        <f t="shared" si="190"/>
        <v>#REF!</v>
      </c>
      <c r="AM399" s="78">
        <f t="shared" si="191"/>
        <v>0</v>
      </c>
      <c r="AN399" s="85">
        <f t="shared" si="192"/>
        <v>0</v>
      </c>
      <c r="AO399" s="73" t="str">
        <f t="shared" si="193"/>
        <v>OK</v>
      </c>
      <c r="AP399" s="79">
        <f t="shared" si="194"/>
        <v>0</v>
      </c>
      <c r="AQ399" s="85">
        <f t="shared" si="195"/>
        <v>0</v>
      </c>
      <c r="AR399" s="73" t="str">
        <f t="shared" si="196"/>
        <v>OK</v>
      </c>
      <c r="AS399" s="79">
        <f t="shared" si="197"/>
        <v>0</v>
      </c>
      <c r="AT399" s="85">
        <f t="shared" si="198"/>
        <v>0</v>
      </c>
      <c r="AU399" s="86" t="str">
        <f t="shared" si="199"/>
        <v>OK</v>
      </c>
      <c r="AV399" s="79">
        <f t="shared" si="200"/>
        <v>0</v>
      </c>
      <c r="AW399" s="85" t="e">
        <f t="shared" si="201"/>
        <v>#REF!</v>
      </c>
      <c r="AX399" s="87" t="e">
        <f t="shared" si="202"/>
        <v>#REF!</v>
      </c>
      <c r="AY399" s="72"/>
      <c r="AZ399" s="73"/>
      <c r="BA399" s="77">
        <f t="shared" si="203"/>
        <v>0</v>
      </c>
      <c r="BB399" s="88">
        <f t="shared" si="204"/>
        <v>0</v>
      </c>
      <c r="BC399" s="89" t="e">
        <f>SUMIF(#REF!,#REF!, BB91:BB403)</f>
        <v>#REF!</v>
      </c>
      <c r="BD399" s="89">
        <f t="shared" si="205"/>
        <v>0</v>
      </c>
      <c r="BE399" s="89" t="e">
        <f>SUMIF(#REF!,#REF!, BD91:BD403)</f>
        <v>#REF!</v>
      </c>
      <c r="BF399" s="89">
        <f t="shared" si="206"/>
        <v>0</v>
      </c>
      <c r="BG399" s="89" t="e">
        <f>SUMIF(#REF!,#REF!, BF91:BF403)</f>
        <v>#REF!</v>
      </c>
      <c r="BH399" s="89" t="e">
        <f t="shared" si="207"/>
        <v>#REF!</v>
      </c>
      <c r="BI399" s="90">
        <f>SUMIF(B91:B403, B399, BH91:BH403)</f>
        <v>0</v>
      </c>
      <c r="BJ399" s="91"/>
      <c r="BK399" s="92"/>
      <c r="BL399" s="93"/>
      <c r="BM399" s="93"/>
      <c r="BN399" s="93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4"/>
    </row>
  </sheetData>
  <sheetProtection algorithmName="SHA-512" hashValue="uLcEBtUwokrMGNEDV4cTNxNRlDvy1bY51yed37P4WIJydpe3bxD78CbIhFtSeMKablL8/ab7IqQNN6qTqyM47A==" saltValue="5vghmrff5YzYtyPa9qobCA==" spinCount="100000" sheet="1" objects="1" scenarios="1"/>
  <protectedRanges>
    <protectedRange sqref="W20:X59090" name="Range1"/>
  </protectedRanges>
  <mergeCells count="26">
    <mergeCell ref="A17:E17"/>
    <mergeCell ref="F17:H17"/>
    <mergeCell ref="I17:I18"/>
    <mergeCell ref="J17:J18"/>
    <mergeCell ref="K17:M17"/>
    <mergeCell ref="BB17:BB19"/>
    <mergeCell ref="N17:Q17"/>
    <mergeCell ref="R17:R18"/>
    <mergeCell ref="S17:V17"/>
    <mergeCell ref="W17:W18"/>
    <mergeCell ref="X17:X18"/>
    <mergeCell ref="Y17:AD17"/>
    <mergeCell ref="AE17:AL17"/>
    <mergeCell ref="AM17:AX17"/>
    <mergeCell ref="AY17:AY18"/>
    <mergeCell ref="AZ17:AZ18"/>
    <mergeCell ref="BA17:BA18"/>
    <mergeCell ref="BI17:BI19"/>
    <mergeCell ref="BJ17:BJ18"/>
    <mergeCell ref="BK17:CD17"/>
    <mergeCell ref="BC17:BC19"/>
    <mergeCell ref="BD17:BD19"/>
    <mergeCell ref="BE17:BE19"/>
    <mergeCell ref="BF17:BF19"/>
    <mergeCell ref="BG17:BG19"/>
    <mergeCell ref="BH17:BH19"/>
  </mergeCells>
  <conditionalFormatting sqref="AM20:AN399">
    <cfRule type="expression" dxfId="62" priority="1" stopIfTrue="1">
      <formula>$BC20&gt;0</formula>
    </cfRule>
  </conditionalFormatting>
  <conditionalFormatting sqref="AO18:AO19 AR18:AR19">
    <cfRule type="cellIs" dxfId="61" priority="173" stopIfTrue="1" operator="equal">
      <formula>#REF!</formula>
    </cfRule>
  </conditionalFormatting>
  <conditionalFormatting sqref="AO20:AO378">
    <cfRule type="expression" dxfId="60" priority="84" stopIfTrue="1">
      <formula>$AO20&lt;&gt;"OK"</formula>
    </cfRule>
    <cfRule type="expression" dxfId="59" priority="83" stopIfTrue="1">
      <formula>$BC20&gt;0</formula>
    </cfRule>
    <cfRule type="expression" dxfId="58" priority="82" stopIfTrue="1">
      <formula>AND($BC20&gt;0, $AO20&lt;&gt;"OK")</formula>
    </cfRule>
  </conditionalFormatting>
  <conditionalFormatting sqref="AO354:AO357">
    <cfRule type="expression" dxfId="57" priority="34" stopIfTrue="1">
      <formula>AND($BC354&gt;0, $AO354&lt;&gt;"OK")</formula>
    </cfRule>
    <cfRule type="expression" dxfId="56" priority="35" stopIfTrue="1">
      <formula>$BC354&gt;0</formula>
    </cfRule>
    <cfRule type="expression" dxfId="55" priority="36" stopIfTrue="1">
      <formula>$AO354&lt;&gt;"OK"</formula>
    </cfRule>
  </conditionalFormatting>
  <conditionalFormatting sqref="AO379:AO380">
    <cfRule type="expression" dxfId="54" priority="2" stopIfTrue="1">
      <formula>AND($BC379&gt;0, $AO379&lt;&gt;"OK")</formula>
    </cfRule>
    <cfRule type="expression" dxfId="53" priority="3" stopIfTrue="1">
      <formula>$BC379&gt;0</formula>
    </cfRule>
    <cfRule type="expression" dxfId="52" priority="4" stopIfTrue="1">
      <formula>$AO379&lt;&gt;"OK"</formula>
    </cfRule>
  </conditionalFormatting>
  <conditionalFormatting sqref="AO379:AO399">
    <cfRule type="expression" dxfId="51" priority="18" stopIfTrue="1">
      <formula>AND($BC379&gt;0, $AO379&lt;&gt;"OK")</formula>
    </cfRule>
    <cfRule type="expression" dxfId="50" priority="19" stopIfTrue="1">
      <formula>$BC379&gt;0</formula>
    </cfRule>
    <cfRule type="expression" dxfId="49" priority="20" stopIfTrue="1">
      <formula>$AO379&lt;&gt;"OK"</formula>
    </cfRule>
  </conditionalFormatting>
  <conditionalFormatting sqref="AP20:AQ399">
    <cfRule type="expression" dxfId="48" priority="5" stopIfTrue="1">
      <formula>$BE20&gt;0</formula>
    </cfRule>
  </conditionalFormatting>
  <conditionalFormatting sqref="AR20">
    <cfRule type="expression" dxfId="47" priority="134" stopIfTrue="1">
      <formula>$AO20&lt;&gt;"OK"</formula>
    </cfRule>
    <cfRule type="expression" dxfId="46" priority="133" stopIfTrue="1">
      <formula>$BC20&gt;0</formula>
    </cfRule>
    <cfRule type="expression" dxfId="45" priority="132" stopIfTrue="1">
      <formula>AND($BC20&gt;0, $AO20&lt;&gt;"OK")</formula>
    </cfRule>
  </conditionalFormatting>
  <conditionalFormatting sqref="AR21:AR378">
    <cfRule type="expression" dxfId="44" priority="88" stopIfTrue="1">
      <formula>$AR21&lt;&gt;"OK"</formula>
    </cfRule>
    <cfRule type="expression" dxfId="43" priority="87" stopIfTrue="1">
      <formula>$BE21&gt;0</formula>
    </cfRule>
    <cfRule type="expression" dxfId="42" priority="86" stopIfTrue="1">
      <formula>AND($BE21&gt;0, $AR21&lt;&gt;"OK")</formula>
    </cfRule>
  </conditionalFormatting>
  <conditionalFormatting sqref="AR354:AR357">
    <cfRule type="expression" dxfId="41" priority="38" stopIfTrue="1">
      <formula>AND($BE354&gt;0, $AR354&lt;&gt;"OK")</formula>
    </cfRule>
    <cfRule type="expression" dxfId="40" priority="40" stopIfTrue="1">
      <formula>$AR354&lt;&gt;"OK"</formula>
    </cfRule>
    <cfRule type="expression" dxfId="39" priority="39" stopIfTrue="1">
      <formula>$BE354&gt;0</formula>
    </cfRule>
  </conditionalFormatting>
  <conditionalFormatting sqref="AR379:AR380">
    <cfRule type="expression" dxfId="38" priority="6" stopIfTrue="1">
      <formula>AND($BE379&gt;0, $AR379&lt;&gt;"OK")</formula>
    </cfRule>
    <cfRule type="expression" dxfId="37" priority="7" stopIfTrue="1">
      <formula>$BE379&gt;0</formula>
    </cfRule>
    <cfRule type="expression" dxfId="36" priority="8" stopIfTrue="1">
      <formula>$AR379&lt;&gt;"OK"</formula>
    </cfRule>
  </conditionalFormatting>
  <conditionalFormatting sqref="AR379:AR399">
    <cfRule type="expression" dxfId="35" priority="22" stopIfTrue="1">
      <formula>AND($BE379&gt;0, $AR379&lt;&gt;"OK")</formula>
    </cfRule>
    <cfRule type="expression" dxfId="34" priority="23" stopIfTrue="1">
      <formula>$BE379&gt;0</formula>
    </cfRule>
    <cfRule type="expression" dxfId="33" priority="24" stopIfTrue="1">
      <formula>$AR379&lt;&gt;"OK"</formula>
    </cfRule>
  </conditionalFormatting>
  <conditionalFormatting sqref="AS20:AT399">
    <cfRule type="expression" dxfId="32" priority="9" stopIfTrue="1">
      <formula>$BG20&gt;0</formula>
    </cfRule>
  </conditionalFormatting>
  <conditionalFormatting sqref="AU20">
    <cfRule type="expression" dxfId="31" priority="131" stopIfTrue="1">
      <formula>$AO20&lt;&gt;"OK"</formula>
    </cfRule>
    <cfRule type="expression" dxfId="30" priority="129" stopIfTrue="1">
      <formula>AND($BC20&gt;0, $AO20&lt;&gt;"OK")</formula>
    </cfRule>
    <cfRule type="expression" dxfId="29" priority="130" stopIfTrue="1">
      <formula>$BC20&gt;0</formula>
    </cfRule>
  </conditionalFormatting>
  <conditionalFormatting sqref="AU21:AU378">
    <cfRule type="expression" dxfId="28" priority="90" stopIfTrue="1">
      <formula>AND($BG21&gt;0, $AU21&lt;&gt;"OK")</formula>
    </cfRule>
    <cfRule type="expression" dxfId="27" priority="92" stopIfTrue="1">
      <formula>$AU21&lt;&gt;"OK"</formula>
    </cfRule>
    <cfRule type="expression" dxfId="26" priority="91" stopIfTrue="1">
      <formula>$BG21&gt;0</formula>
    </cfRule>
  </conditionalFormatting>
  <conditionalFormatting sqref="AU354:AU357">
    <cfRule type="expression" dxfId="25" priority="42" stopIfTrue="1">
      <formula>AND($BG354&gt;0, $AU354&lt;&gt;"OK")</formula>
    </cfRule>
    <cfRule type="expression" dxfId="24" priority="43" stopIfTrue="1">
      <formula>$BG354&gt;0</formula>
    </cfRule>
    <cfRule type="expression" dxfId="23" priority="44" stopIfTrue="1">
      <formula>$AU354&lt;&gt;"OK"</formula>
    </cfRule>
  </conditionalFormatting>
  <conditionalFormatting sqref="AU379:AU380">
    <cfRule type="expression" dxfId="22" priority="12" stopIfTrue="1">
      <formula>$AU379&lt;&gt;"OK"</formula>
    </cfRule>
    <cfRule type="expression" dxfId="21" priority="11" stopIfTrue="1">
      <formula>$BG379&gt;0</formula>
    </cfRule>
    <cfRule type="expression" dxfId="20" priority="10" stopIfTrue="1">
      <formula>AND($BG379&gt;0, $AU379&lt;&gt;"OK")</formula>
    </cfRule>
  </conditionalFormatting>
  <conditionalFormatting sqref="AU379:AU399">
    <cfRule type="expression" dxfId="19" priority="27" stopIfTrue="1">
      <formula>$BG379&gt;0</formula>
    </cfRule>
    <cfRule type="expression" dxfId="18" priority="26" stopIfTrue="1">
      <formula>AND($BG379&gt;0, $AU379&lt;&gt;"OK")</formula>
    </cfRule>
    <cfRule type="expression" dxfId="17" priority="28" stopIfTrue="1">
      <formula>$AU379&lt;&gt;"OK"</formula>
    </cfRule>
  </conditionalFormatting>
  <conditionalFormatting sqref="AV20:AW399">
    <cfRule type="expression" dxfId="16" priority="13" stopIfTrue="1">
      <formula>$BI20&gt;0</formula>
    </cfRule>
  </conditionalFormatting>
  <conditionalFormatting sqref="AX20:AX378">
    <cfRule type="expression" dxfId="15" priority="94" stopIfTrue="1">
      <formula>AND($BI20&gt;0, $AX20&lt;&gt;"OK")</formula>
    </cfRule>
    <cfRule type="expression" dxfId="14" priority="95" stopIfTrue="1">
      <formula>$BI20&gt;0</formula>
    </cfRule>
    <cfRule type="expression" dxfId="13" priority="96" stopIfTrue="1">
      <formula>$AX20&lt;&gt;"OK"</formula>
    </cfRule>
  </conditionalFormatting>
  <conditionalFormatting sqref="AX354:AX357">
    <cfRule type="expression" dxfId="12" priority="46" stopIfTrue="1">
      <formula>AND($BI354&gt;0, $AX354&lt;&gt;"OK")</formula>
    </cfRule>
    <cfRule type="expression" dxfId="11" priority="47" stopIfTrue="1">
      <formula>$BI354&gt;0</formula>
    </cfRule>
    <cfRule type="expression" dxfId="10" priority="48" stopIfTrue="1">
      <formula>$AX354&lt;&gt;"OK"</formula>
    </cfRule>
  </conditionalFormatting>
  <conditionalFormatting sqref="AX379:AX380">
    <cfRule type="expression" dxfId="9" priority="16" stopIfTrue="1">
      <formula>$AX379&lt;&gt;"OK"</formula>
    </cfRule>
    <cfRule type="expression" dxfId="8" priority="15" stopIfTrue="1">
      <formula>$BI379&gt;0</formula>
    </cfRule>
    <cfRule type="expression" dxfId="7" priority="14" stopIfTrue="1">
      <formula>AND($BI379&gt;0, $AX379&lt;&gt;"OK")</formula>
    </cfRule>
  </conditionalFormatting>
  <conditionalFormatting sqref="AX379:AX399">
    <cfRule type="expression" dxfId="6" priority="30" stopIfTrue="1">
      <formula>AND($BI379&gt;0, $AX379&lt;&gt;"OK")</formula>
    </cfRule>
    <cfRule type="expression" dxfId="5" priority="32" stopIfTrue="1">
      <formula>$AX379&lt;&gt;"OK"</formula>
    </cfRule>
    <cfRule type="expression" dxfId="4" priority="31" stopIfTrue="1">
      <formula>$BI379&gt;0</formula>
    </cfRule>
  </conditionalFormatting>
  <conditionalFormatting sqref="AX2:AZ5 AX7:AZ16 AU18:AU19 AX18:AX19 AZ19">
    <cfRule type="cellIs" dxfId="3" priority="170" stopIfTrue="1" operator="equal">
      <formula>#REF!</formula>
    </cfRule>
  </conditionalFormatting>
  <conditionalFormatting sqref="BK1:BK16">
    <cfRule type="cellIs" dxfId="2" priority="171" stopIfTrue="1" operator="greaterThanOrEqual">
      <formula>0.9</formula>
    </cfRule>
    <cfRule type="cellIs" dxfId="1" priority="172" stopIfTrue="1" operator="greaterThanOrEqual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807A-CF81-4EA2-B6F6-D499C44C213E}">
  <sheetPr>
    <tabColor theme="4" tint="0.59999389629810485"/>
    <pageSetUpPr fitToPage="1"/>
  </sheetPr>
  <dimension ref="A1:AM536"/>
  <sheetViews>
    <sheetView tabSelected="1" zoomScale="85" zoomScaleNormal="85" workbookViewId="0"/>
  </sheetViews>
  <sheetFormatPr defaultColWidth="9.109375" defaultRowHeight="13.8" x14ac:dyDescent="0.25"/>
  <cols>
    <col min="1" max="1" width="9.109375" style="159"/>
    <col min="2" max="2" width="8.88671875" style="159" bestFit="1" customWidth="1"/>
    <col min="3" max="5" width="22.6640625" style="159" customWidth="1"/>
    <col min="6" max="11" width="5.6640625" style="159" customWidth="1"/>
    <col min="12" max="13" width="7.6640625" style="159" customWidth="1"/>
    <col min="14" max="14" width="6.6640625" style="159" customWidth="1"/>
    <col min="15" max="15" width="7.6640625" style="159" bestFit="1" customWidth="1"/>
    <col min="16" max="17" width="6.6640625" style="159" customWidth="1"/>
    <col min="18" max="18" width="9.33203125" style="159" bestFit="1" customWidth="1"/>
    <col min="19" max="19" width="6.5546875" style="159" customWidth="1"/>
    <col min="20" max="20" width="5.6640625" style="159" customWidth="1"/>
    <col min="21" max="21" width="7" style="159" customWidth="1"/>
    <col min="22" max="23" width="5.6640625" style="159" customWidth="1"/>
    <col min="24" max="24" width="7" style="159" customWidth="1"/>
    <col min="25" max="26" width="5.6640625" style="159" customWidth="1"/>
    <col min="27" max="28" width="9.109375" style="159"/>
    <col min="29" max="29" width="6.5546875" style="159" customWidth="1"/>
    <col min="30" max="30" width="5.6640625" style="159" customWidth="1"/>
    <col min="31" max="32" width="9.109375" style="159"/>
    <col min="33" max="33" width="6.5546875" style="159" customWidth="1"/>
    <col min="34" max="35" width="5.6640625" style="159" customWidth="1"/>
    <col min="36" max="16384" width="9.109375" style="159"/>
  </cols>
  <sheetData>
    <row r="1" spans="1:39" x14ac:dyDescent="0.25">
      <c r="A1" s="158"/>
      <c r="B1" s="192"/>
    </row>
    <row r="2" spans="1:39" x14ac:dyDescent="0.25">
      <c r="A2" s="158"/>
      <c r="B2" s="192"/>
      <c r="E2" s="160"/>
      <c r="G2" s="161"/>
      <c r="L2" s="161"/>
      <c r="M2" s="161"/>
      <c r="O2" s="161"/>
    </row>
    <row r="3" spans="1:39" x14ac:dyDescent="0.25">
      <c r="A3" s="158"/>
      <c r="B3" s="192"/>
      <c r="E3" s="160"/>
      <c r="G3" s="161"/>
      <c r="L3" s="161"/>
      <c r="M3" s="161"/>
      <c r="O3" s="161"/>
    </row>
    <row r="4" spans="1:39" x14ac:dyDescent="0.25">
      <c r="A4" s="162"/>
    </row>
    <row r="5" spans="1:39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</row>
    <row r="6" spans="1:39" x14ac:dyDescent="0.25">
      <c r="A6" s="163"/>
      <c r="B6" s="165"/>
      <c r="C6" s="166"/>
      <c r="D6" s="166"/>
      <c r="E6" s="167"/>
      <c r="F6" s="165"/>
      <c r="G6" s="165"/>
      <c r="H6" s="165"/>
      <c r="I6" s="188"/>
      <c r="J6" s="188"/>
      <c r="K6" s="188"/>
      <c r="L6" s="168" t="s">
        <v>702</v>
      </c>
      <c r="M6" s="169"/>
      <c r="N6" s="169"/>
      <c r="O6" s="168" t="s">
        <v>703</v>
      </c>
      <c r="P6" s="169"/>
      <c r="Q6" s="169"/>
      <c r="R6" s="231" t="str">
        <f>$AA$2&amp;" Existing Conditions"</f>
        <v xml:space="preserve"> Existing Conditions</v>
      </c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3"/>
      <c r="AJ6" s="234" t="s">
        <v>704</v>
      </c>
      <c r="AK6" s="235"/>
      <c r="AL6" s="235"/>
      <c r="AM6" s="236"/>
    </row>
    <row r="7" spans="1:39" x14ac:dyDescent="0.25">
      <c r="A7" s="163"/>
      <c r="B7" s="170" t="s">
        <v>705</v>
      </c>
      <c r="C7" s="171" t="s">
        <v>706</v>
      </c>
      <c r="D7" s="171"/>
      <c r="E7" s="172"/>
      <c r="F7" s="170" t="s">
        <v>707</v>
      </c>
      <c r="G7" s="170" t="s">
        <v>708</v>
      </c>
      <c r="H7" s="170" t="s">
        <v>709</v>
      </c>
      <c r="I7" s="170" t="s">
        <v>733</v>
      </c>
      <c r="J7" s="170" t="s">
        <v>735</v>
      </c>
      <c r="K7" s="170" t="s">
        <v>737</v>
      </c>
      <c r="L7" s="173" t="s">
        <v>710</v>
      </c>
      <c r="M7" s="174" t="s">
        <v>711</v>
      </c>
      <c r="N7" s="175" t="s">
        <v>712</v>
      </c>
      <c r="O7" s="173" t="s">
        <v>710</v>
      </c>
      <c r="P7" s="174" t="s">
        <v>713</v>
      </c>
      <c r="Q7" s="175" t="s">
        <v>712</v>
      </c>
      <c r="R7" s="237" t="s">
        <v>710</v>
      </c>
      <c r="S7" s="237"/>
      <c r="T7" s="237"/>
      <c r="U7" s="238" t="s">
        <v>714</v>
      </c>
      <c r="V7" s="239"/>
      <c r="W7" s="240"/>
      <c r="X7" s="238" t="s">
        <v>715</v>
      </c>
      <c r="Y7" s="239"/>
      <c r="Z7" s="240"/>
      <c r="AA7" s="241" t="s">
        <v>716</v>
      </c>
      <c r="AB7" s="242"/>
      <c r="AC7" s="242"/>
      <c r="AD7" s="243"/>
      <c r="AE7" s="241" t="s">
        <v>717</v>
      </c>
      <c r="AF7" s="242"/>
      <c r="AG7" s="242"/>
      <c r="AH7" s="243"/>
      <c r="AI7" s="244" t="s">
        <v>718</v>
      </c>
      <c r="AJ7" s="189" t="s">
        <v>719</v>
      </c>
      <c r="AK7" s="189"/>
      <c r="AL7" s="189"/>
      <c r="AM7" s="189"/>
    </row>
    <row r="8" spans="1:39" x14ac:dyDescent="0.25">
      <c r="A8" s="163"/>
      <c r="B8" s="176" t="s">
        <v>720</v>
      </c>
      <c r="C8" s="177" t="s">
        <v>721</v>
      </c>
      <c r="D8" s="177" t="s">
        <v>722</v>
      </c>
      <c r="E8" s="177" t="s">
        <v>723</v>
      </c>
      <c r="F8" s="176" t="s">
        <v>724</v>
      </c>
      <c r="G8" s="176" t="s">
        <v>724</v>
      </c>
      <c r="H8" s="176" t="s">
        <v>725</v>
      </c>
      <c r="I8" s="176" t="s">
        <v>734</v>
      </c>
      <c r="J8" s="176" t="s">
        <v>736</v>
      </c>
      <c r="K8" s="176" t="s">
        <v>734</v>
      </c>
      <c r="L8" s="178" t="s">
        <v>726</v>
      </c>
      <c r="M8" s="179" t="s">
        <v>726</v>
      </c>
      <c r="N8" s="180" t="s">
        <v>726</v>
      </c>
      <c r="O8" s="178" t="s">
        <v>726</v>
      </c>
      <c r="P8" s="179" t="s">
        <v>726</v>
      </c>
      <c r="Q8" s="180" t="s">
        <v>726</v>
      </c>
      <c r="R8" s="178" t="s">
        <v>727</v>
      </c>
      <c r="S8" s="178" t="s">
        <v>728</v>
      </c>
      <c r="T8" s="178" t="s">
        <v>709</v>
      </c>
      <c r="U8" s="179" t="s">
        <v>729</v>
      </c>
      <c r="V8" s="179" t="s">
        <v>728</v>
      </c>
      <c r="W8" s="179" t="s">
        <v>709</v>
      </c>
      <c r="X8" s="179" t="s">
        <v>729</v>
      </c>
      <c r="Y8" s="179" t="s">
        <v>728</v>
      </c>
      <c r="Z8" s="179" t="s">
        <v>709</v>
      </c>
      <c r="AA8" s="181" t="s">
        <v>730</v>
      </c>
      <c r="AB8" s="181" t="s">
        <v>731</v>
      </c>
      <c r="AC8" s="180" t="s">
        <v>728</v>
      </c>
      <c r="AD8" s="182" t="s">
        <v>709</v>
      </c>
      <c r="AE8" s="181" t="s">
        <v>730</v>
      </c>
      <c r="AF8" s="181" t="s">
        <v>731</v>
      </c>
      <c r="AG8" s="180" t="s">
        <v>728</v>
      </c>
      <c r="AH8" s="182" t="s">
        <v>709</v>
      </c>
      <c r="AI8" s="245"/>
      <c r="AJ8" s="190" t="s">
        <v>732</v>
      </c>
      <c r="AK8" s="190" t="s">
        <v>62</v>
      </c>
      <c r="AL8" s="190" t="s">
        <v>63</v>
      </c>
      <c r="AM8" s="190" t="s">
        <v>64</v>
      </c>
    </row>
    <row r="9" spans="1:39" ht="18" customHeight="1" x14ac:dyDescent="0.25">
      <c r="A9" s="163"/>
      <c r="B9" s="193" t="str">
        <f>Sheet1!A20</f>
        <v>10810</v>
      </c>
      <c r="C9" s="183" t="str">
        <f>Sheet1!C20</f>
        <v>TREIMAN BLVD (US301/SR35)</v>
      </c>
      <c r="D9" s="183" t="str">
        <f>Sheet1!D20</f>
        <v>PASCO COUNTY LINE</v>
      </c>
      <c r="E9" s="183" t="str">
        <f>Sheet1!E20</f>
        <v>CORTEZ BLVD (SR50)</v>
      </c>
      <c r="F9" s="184" t="str">
        <f>Sheet1!F20</f>
        <v>2U</v>
      </c>
      <c r="G9" s="184" t="str">
        <f>Sheet1!H20</f>
        <v>2U</v>
      </c>
      <c r="H9" s="185" t="str">
        <f>Sheet1!Z20</f>
        <v>C</v>
      </c>
      <c r="I9" s="185"/>
      <c r="J9" s="185"/>
      <c r="K9" s="185"/>
      <c r="L9" s="184"/>
      <c r="M9" s="184">
        <f>Sheet1!AI20</f>
        <v>4020</v>
      </c>
      <c r="N9" s="184"/>
      <c r="O9" s="184"/>
      <c r="P9" s="184"/>
      <c r="Q9" s="184"/>
      <c r="R9" s="184">
        <f>Sheet1!P20</f>
        <v>7287</v>
      </c>
      <c r="S9" s="186"/>
      <c r="T9" s="184"/>
      <c r="U9" s="184"/>
      <c r="V9" s="184"/>
      <c r="W9" s="184"/>
      <c r="X9" s="184">
        <f>Sheet1!AS20</f>
        <v>656</v>
      </c>
      <c r="Y9" s="184">
        <f>Sheet1!AT20</f>
        <v>0.16300000000000001</v>
      </c>
      <c r="Z9" s="184"/>
      <c r="AA9" s="184"/>
      <c r="AB9" s="184"/>
      <c r="AC9" s="186"/>
      <c r="AD9" s="184"/>
      <c r="AE9" s="184"/>
      <c r="AF9" s="184"/>
      <c r="AG9" s="186"/>
      <c r="AH9" s="184"/>
      <c r="AI9" s="187"/>
      <c r="AJ9" s="191"/>
      <c r="AK9" s="191"/>
      <c r="AL9" s="191"/>
      <c r="AM9" s="191"/>
    </row>
    <row r="10" spans="1:39" ht="18" customHeight="1" x14ac:dyDescent="0.25">
      <c r="A10" s="163"/>
      <c r="B10" s="193" t="str">
        <f>Sheet1!A21</f>
        <v>10820</v>
      </c>
      <c r="C10" s="183" t="str">
        <f>Sheet1!C21</f>
        <v>TREIMAN BLVD (US301/SR35)</v>
      </c>
      <c r="D10" s="183" t="str">
        <f>Sheet1!D21</f>
        <v>CORTEZ BLVD (SR50)</v>
      </c>
      <c r="E10" s="183" t="str">
        <f>Sheet1!E21</f>
        <v>RIDGE MANOR BLVD</v>
      </c>
      <c r="F10" s="184" t="str">
        <f>Sheet1!F21</f>
        <v>2U</v>
      </c>
      <c r="G10" s="184" t="str">
        <f>Sheet1!H21</f>
        <v>2U</v>
      </c>
      <c r="H10" s="185" t="str">
        <f>Sheet1!Z21</f>
        <v>C</v>
      </c>
      <c r="I10" s="185"/>
      <c r="J10" s="185"/>
      <c r="K10" s="185"/>
      <c r="L10" s="184"/>
      <c r="M10" s="184">
        <f>Sheet1!AI21</f>
        <v>820</v>
      </c>
      <c r="N10" s="184"/>
      <c r="O10" s="184"/>
      <c r="P10" s="184"/>
      <c r="Q10" s="184"/>
      <c r="R10" s="184">
        <f>Sheet1!P21</f>
        <v>8669</v>
      </c>
      <c r="S10" s="186"/>
      <c r="T10" s="184"/>
      <c r="U10" s="184"/>
      <c r="V10" s="184"/>
      <c r="W10" s="184"/>
      <c r="X10" s="184">
        <f>Sheet1!AS21</f>
        <v>780</v>
      </c>
      <c r="Y10" s="184">
        <f>Sheet1!AT21</f>
        <v>0.95099999999999996</v>
      </c>
      <c r="Z10" s="184"/>
      <c r="AA10" s="184"/>
      <c r="AB10" s="184"/>
      <c r="AC10" s="186"/>
      <c r="AD10" s="184"/>
      <c r="AE10" s="184"/>
      <c r="AF10" s="184"/>
      <c r="AG10" s="186"/>
      <c r="AH10" s="184"/>
      <c r="AI10" s="187"/>
      <c r="AJ10" s="191"/>
      <c r="AK10" s="191"/>
      <c r="AL10" s="191"/>
      <c r="AM10" s="191"/>
    </row>
    <row r="11" spans="1:39" ht="18" customHeight="1" x14ac:dyDescent="0.25">
      <c r="A11" s="163"/>
      <c r="B11" s="193" t="str">
        <f>Sheet1!A22</f>
        <v>10830</v>
      </c>
      <c r="C11" s="183" t="str">
        <f>Sheet1!C22</f>
        <v>TREIMAN BLVD (US301/SR35)</v>
      </c>
      <c r="D11" s="183" t="str">
        <f>Sheet1!D22</f>
        <v>RIDGE MANOR BLVD</v>
      </c>
      <c r="E11" s="183" t="str">
        <f>Sheet1!E22</f>
        <v>SUMTER COUNTY LINE</v>
      </c>
      <c r="F11" s="184" t="str">
        <f>Sheet1!F22</f>
        <v>2U</v>
      </c>
      <c r="G11" s="184" t="str">
        <f>Sheet1!H22</f>
        <v>4D</v>
      </c>
      <c r="H11" s="185" t="str">
        <f>Sheet1!Z22</f>
        <v>C</v>
      </c>
      <c r="I11" s="185"/>
      <c r="J11" s="185"/>
      <c r="K11" s="185"/>
      <c r="L11" s="184"/>
      <c r="M11" s="184">
        <f>Sheet1!AI22</f>
        <v>1490</v>
      </c>
      <c r="N11" s="184"/>
      <c r="O11" s="184"/>
      <c r="P11" s="184"/>
      <c r="Q11" s="184"/>
      <c r="R11" s="184">
        <f>Sheet1!P22</f>
        <v>5327</v>
      </c>
      <c r="S11" s="186"/>
      <c r="T11" s="184"/>
      <c r="U11" s="184"/>
      <c r="V11" s="184"/>
      <c r="W11" s="184"/>
      <c r="X11" s="184">
        <f>Sheet1!AS22</f>
        <v>479</v>
      </c>
      <c r="Y11" s="184">
        <f>Sheet1!AT22</f>
        <v>0.32100000000000001</v>
      </c>
      <c r="Z11" s="184"/>
      <c r="AA11" s="184"/>
      <c r="AB11" s="184"/>
      <c r="AC11" s="186"/>
      <c r="AD11" s="184"/>
      <c r="AE11" s="184"/>
      <c r="AF11" s="184"/>
      <c r="AG11" s="186"/>
      <c r="AH11" s="184"/>
      <c r="AI11" s="187"/>
      <c r="AJ11" s="191"/>
      <c r="AK11" s="191"/>
      <c r="AL11" s="191"/>
      <c r="AM11" s="191"/>
    </row>
    <row r="12" spans="1:39" ht="18" customHeight="1" x14ac:dyDescent="0.25">
      <c r="A12" s="163"/>
      <c r="B12" s="193" t="str">
        <f>Sheet1!A23</f>
        <v>10060</v>
      </c>
      <c r="C12" s="183" t="str">
        <f>Sheet1!C23</f>
        <v>BROAD ST (US41/SR45)</v>
      </c>
      <c r="D12" s="183" t="str">
        <f>Sheet1!D23</f>
        <v>COUNTY LINE RD</v>
      </c>
      <c r="E12" s="183" t="str">
        <f>Sheet1!E23</f>
        <v>AYERS RD</v>
      </c>
      <c r="F12" s="184" t="str">
        <f>Sheet1!F23</f>
        <v>2U</v>
      </c>
      <c r="G12" s="184" t="str">
        <f>Sheet1!H23</f>
        <v>4D</v>
      </c>
      <c r="H12" s="185" t="str">
        <f>Sheet1!Z23</f>
        <v>C</v>
      </c>
      <c r="I12" s="185"/>
      <c r="J12" s="185"/>
      <c r="K12" s="185"/>
      <c r="L12" s="184"/>
      <c r="M12" s="184">
        <f>Sheet1!AI23</f>
        <v>1510</v>
      </c>
      <c r="N12" s="184"/>
      <c r="O12" s="184"/>
      <c r="P12" s="184"/>
      <c r="Q12" s="184"/>
      <c r="R12" s="184">
        <f>Sheet1!P23</f>
        <v>17465</v>
      </c>
      <c r="S12" s="186"/>
      <c r="T12" s="184"/>
      <c r="U12" s="184"/>
      <c r="V12" s="184"/>
      <c r="W12" s="184"/>
      <c r="X12" s="184">
        <f>Sheet1!AS23</f>
        <v>1572</v>
      </c>
      <c r="Y12" s="184">
        <f>Sheet1!AT23</f>
        <v>1.0409999999999999</v>
      </c>
      <c r="Z12" s="184"/>
      <c r="AA12" s="184"/>
      <c r="AB12" s="184"/>
      <c r="AC12" s="186"/>
      <c r="AD12" s="184"/>
      <c r="AE12" s="184"/>
      <c r="AF12" s="184"/>
      <c r="AG12" s="186"/>
      <c r="AH12" s="184"/>
      <c r="AI12" s="187"/>
      <c r="AJ12" s="191"/>
      <c r="AK12" s="191"/>
      <c r="AL12" s="191"/>
      <c r="AM12" s="191"/>
    </row>
    <row r="13" spans="1:39" ht="18" customHeight="1" x14ac:dyDescent="0.25">
      <c r="A13" s="163"/>
      <c r="B13" s="193" t="str">
        <f>Sheet1!A24</f>
        <v>10070.1</v>
      </c>
      <c r="C13" s="183" t="str">
        <f>Sheet1!C24</f>
        <v>BROAD ST (US41/SR45)</v>
      </c>
      <c r="D13" s="183" t="str">
        <f>Sheet1!D24</f>
        <v>AYERS RD</v>
      </c>
      <c r="E13" s="183" t="str">
        <f>Sheet1!E24</f>
        <v>SGT LEA MILLS BLVD</v>
      </c>
      <c r="F13" s="184" t="str">
        <f>Sheet1!F24</f>
        <v>4D</v>
      </c>
      <c r="G13" s="184" t="str">
        <f>Sheet1!H24</f>
        <v>4D</v>
      </c>
      <c r="H13" s="185" t="str">
        <f>Sheet1!Z24</f>
        <v>C</v>
      </c>
      <c r="I13" s="185"/>
      <c r="J13" s="185"/>
      <c r="K13" s="185"/>
      <c r="L13" s="184"/>
      <c r="M13" s="184">
        <f>Sheet1!AI24</f>
        <v>3420</v>
      </c>
      <c r="N13" s="184"/>
      <c r="O13" s="184"/>
      <c r="P13" s="184"/>
      <c r="Q13" s="184"/>
      <c r="R13" s="184">
        <f>Sheet1!P24</f>
        <v>17233</v>
      </c>
      <c r="S13" s="186"/>
      <c r="T13" s="184"/>
      <c r="U13" s="184"/>
      <c r="V13" s="184"/>
      <c r="W13" s="184"/>
      <c r="X13" s="184">
        <f>Sheet1!AS24</f>
        <v>1551</v>
      </c>
      <c r="Y13" s="184">
        <f>Sheet1!AT24</f>
        <v>0.45400000000000001</v>
      </c>
      <c r="Z13" s="184"/>
      <c r="AA13" s="184"/>
      <c r="AB13" s="184"/>
      <c r="AC13" s="186"/>
      <c r="AD13" s="184"/>
      <c r="AE13" s="184"/>
      <c r="AF13" s="184"/>
      <c r="AG13" s="186"/>
      <c r="AH13" s="184"/>
      <c r="AI13" s="187"/>
      <c r="AJ13" s="191"/>
      <c r="AK13" s="191"/>
      <c r="AL13" s="191"/>
      <c r="AM13" s="191"/>
    </row>
    <row r="14" spans="1:39" ht="18" customHeight="1" x14ac:dyDescent="0.25">
      <c r="A14" s="163"/>
      <c r="B14" s="193" t="str">
        <f>Sheet1!A25</f>
        <v>10070.2</v>
      </c>
      <c r="C14" s="183" t="str">
        <f>Sheet1!C25</f>
        <v>BROAD ST (US41/SR45)</v>
      </c>
      <c r="D14" s="183" t="str">
        <f>Sheet1!D25</f>
        <v>SGT LEA MILLS BLVD</v>
      </c>
      <c r="E14" s="183" t="str">
        <f>Sheet1!E25</f>
        <v>SPRING HILL DR</v>
      </c>
      <c r="F14" s="184" t="str">
        <f>Sheet1!F25</f>
        <v>4D</v>
      </c>
      <c r="G14" s="184" t="str">
        <f>Sheet1!H25</f>
        <v>6D</v>
      </c>
      <c r="H14" s="185" t="str">
        <f>Sheet1!Z25</f>
        <v>C</v>
      </c>
      <c r="I14" s="185"/>
      <c r="J14" s="185"/>
      <c r="K14" s="185"/>
      <c r="L14" s="184"/>
      <c r="M14" s="184">
        <f>Sheet1!AI25</f>
        <v>3420</v>
      </c>
      <c r="N14" s="184"/>
      <c r="O14" s="184"/>
      <c r="P14" s="184"/>
      <c r="Q14" s="184"/>
      <c r="R14" s="184">
        <f>Sheet1!P25</f>
        <v>17233</v>
      </c>
      <c r="S14" s="186"/>
      <c r="T14" s="184"/>
      <c r="U14" s="184"/>
      <c r="V14" s="184"/>
      <c r="W14" s="184"/>
      <c r="X14" s="184">
        <f>Sheet1!AS25</f>
        <v>1551</v>
      </c>
      <c r="Y14" s="184">
        <f>Sheet1!AT25</f>
        <v>0.45400000000000001</v>
      </c>
      <c r="Z14" s="184"/>
      <c r="AA14" s="184"/>
      <c r="AB14" s="184"/>
      <c r="AC14" s="186"/>
      <c r="AD14" s="184"/>
      <c r="AE14" s="184"/>
      <c r="AF14" s="184"/>
      <c r="AG14" s="186"/>
      <c r="AH14" s="184"/>
      <c r="AI14" s="187"/>
      <c r="AJ14" s="191"/>
      <c r="AK14" s="191"/>
      <c r="AL14" s="191"/>
      <c r="AM14" s="191"/>
    </row>
    <row r="15" spans="1:39" ht="18" customHeight="1" x14ac:dyDescent="0.25">
      <c r="A15" s="163"/>
      <c r="B15" s="193" t="str">
        <f>Sheet1!A26</f>
        <v>10080</v>
      </c>
      <c r="C15" s="183" t="str">
        <f>Sheet1!C26</f>
        <v>BROAD ST (US41/SR45)</v>
      </c>
      <c r="D15" s="183" t="str">
        <f>Sheet1!D26</f>
        <v>SPRING HILL DR</v>
      </c>
      <c r="E15" s="183" t="str">
        <f>Sheet1!E26</f>
        <v>POWELL RD</v>
      </c>
      <c r="F15" s="184" t="str">
        <f>Sheet1!F26</f>
        <v>4D</v>
      </c>
      <c r="G15" s="184" t="str">
        <f>Sheet1!H26</f>
        <v>6D</v>
      </c>
      <c r="H15" s="185" t="str">
        <f>Sheet1!Z26</f>
        <v>C</v>
      </c>
      <c r="I15" s="185"/>
      <c r="J15" s="185"/>
      <c r="K15" s="185"/>
      <c r="L15" s="184"/>
      <c r="M15" s="184">
        <f>Sheet1!AI26</f>
        <v>3420</v>
      </c>
      <c r="N15" s="184"/>
      <c r="O15" s="184"/>
      <c r="P15" s="184"/>
      <c r="Q15" s="184"/>
      <c r="R15" s="184">
        <f>Sheet1!P26</f>
        <v>25487</v>
      </c>
      <c r="S15" s="186"/>
      <c r="T15" s="184"/>
      <c r="U15" s="184"/>
      <c r="V15" s="184"/>
      <c r="W15" s="184"/>
      <c r="X15" s="184">
        <f>Sheet1!AS26</f>
        <v>2294</v>
      </c>
      <c r="Y15" s="184">
        <f>Sheet1!AT26</f>
        <v>0.67100000000000004</v>
      </c>
      <c r="Z15" s="184"/>
      <c r="AA15" s="184"/>
      <c r="AB15" s="184"/>
      <c r="AC15" s="186"/>
      <c r="AD15" s="184"/>
      <c r="AE15" s="184"/>
      <c r="AF15" s="184"/>
      <c r="AG15" s="186"/>
      <c r="AH15" s="184"/>
      <c r="AI15" s="187"/>
      <c r="AJ15" s="191"/>
      <c r="AK15" s="191"/>
      <c r="AL15" s="191"/>
      <c r="AM15" s="191"/>
    </row>
    <row r="16" spans="1:39" ht="18" customHeight="1" x14ac:dyDescent="0.25">
      <c r="A16" s="163"/>
      <c r="B16" s="193" t="str">
        <f>Sheet1!A27</f>
        <v>10090</v>
      </c>
      <c r="C16" s="183" t="str">
        <f>Sheet1!C27</f>
        <v>BROAD ST (US41/SR45)</v>
      </c>
      <c r="D16" s="183" t="str">
        <f>Sheet1!D27</f>
        <v>POWELL RD</v>
      </c>
      <c r="E16" s="183" t="str">
        <f>Sheet1!E27</f>
        <v>PINE CABIN RD</v>
      </c>
      <c r="F16" s="184" t="str">
        <f>Sheet1!F27</f>
        <v>6D</v>
      </c>
      <c r="G16" s="184" t="str">
        <f>Sheet1!H27</f>
        <v>6D</v>
      </c>
      <c r="H16" s="185" t="str">
        <f>Sheet1!Z27</f>
        <v>C</v>
      </c>
      <c r="I16" s="185"/>
      <c r="J16" s="185"/>
      <c r="K16" s="185"/>
      <c r="L16" s="184"/>
      <c r="M16" s="184">
        <f>Sheet1!AI27</f>
        <v>5250</v>
      </c>
      <c r="N16" s="184"/>
      <c r="O16" s="184"/>
      <c r="P16" s="184"/>
      <c r="Q16" s="184"/>
      <c r="R16" s="184">
        <f>Sheet1!P27</f>
        <v>27904</v>
      </c>
      <c r="S16" s="186"/>
      <c r="T16" s="184"/>
      <c r="U16" s="184"/>
      <c r="V16" s="184"/>
      <c r="W16" s="184"/>
      <c r="X16" s="184">
        <f>Sheet1!AS27</f>
        <v>2511</v>
      </c>
      <c r="Y16" s="184">
        <f>Sheet1!AT27</f>
        <v>0.47799999999999998</v>
      </c>
      <c r="Z16" s="184"/>
      <c r="AA16" s="184"/>
      <c r="AB16" s="184"/>
      <c r="AC16" s="186"/>
      <c r="AD16" s="184"/>
      <c r="AE16" s="184"/>
      <c r="AF16" s="184"/>
      <c r="AG16" s="186"/>
      <c r="AH16" s="184"/>
      <c r="AI16" s="187"/>
      <c r="AJ16" s="191"/>
      <c r="AK16" s="191"/>
      <c r="AL16" s="191"/>
      <c r="AM16" s="191"/>
    </row>
    <row r="17" spans="1:39" ht="18" customHeight="1" x14ac:dyDescent="0.25">
      <c r="A17" s="163"/>
      <c r="B17" s="193" t="str">
        <f>Sheet1!A28</f>
        <v>10100</v>
      </c>
      <c r="C17" s="183" t="str">
        <f>Sheet1!C28</f>
        <v>BROAD ST (US41/SR45)</v>
      </c>
      <c r="D17" s="183" t="str">
        <f>Sheet1!D28</f>
        <v>PINE CABIN RD</v>
      </c>
      <c r="E17" s="183" t="str">
        <f>Sheet1!E28</f>
        <v>HENNES COVE</v>
      </c>
      <c r="F17" s="184" t="str">
        <f>Sheet1!F28</f>
        <v>6D</v>
      </c>
      <c r="G17" s="184" t="str">
        <f>Sheet1!H28</f>
        <v>6D</v>
      </c>
      <c r="H17" s="185" t="str">
        <f>Sheet1!Z28</f>
        <v>C</v>
      </c>
      <c r="I17" s="185"/>
      <c r="J17" s="185"/>
      <c r="K17" s="185"/>
      <c r="L17" s="184"/>
      <c r="M17" s="184">
        <f>Sheet1!AI28</f>
        <v>5250</v>
      </c>
      <c r="N17" s="184"/>
      <c r="O17" s="184"/>
      <c r="P17" s="184"/>
      <c r="Q17" s="184"/>
      <c r="R17" s="184">
        <f>Sheet1!P28</f>
        <v>27904</v>
      </c>
      <c r="S17" s="186"/>
      <c r="T17" s="184"/>
      <c r="U17" s="184"/>
      <c r="V17" s="184"/>
      <c r="W17" s="184"/>
      <c r="X17" s="184">
        <f>Sheet1!AS28</f>
        <v>2511</v>
      </c>
      <c r="Y17" s="184">
        <f>Sheet1!AT28</f>
        <v>0.47799999999999998</v>
      </c>
      <c r="Z17" s="184"/>
      <c r="AA17" s="184"/>
      <c r="AB17" s="184"/>
      <c r="AC17" s="186"/>
      <c r="AD17" s="184"/>
      <c r="AE17" s="184"/>
      <c r="AF17" s="184"/>
      <c r="AG17" s="186"/>
      <c r="AH17" s="184"/>
      <c r="AI17" s="187"/>
      <c r="AJ17" s="191"/>
      <c r="AK17" s="191"/>
      <c r="AL17" s="191"/>
      <c r="AM17" s="191"/>
    </row>
    <row r="18" spans="1:39" ht="18" customHeight="1" x14ac:dyDescent="0.25">
      <c r="A18" s="163"/>
      <c r="B18" s="193" t="str">
        <f>Sheet1!A29</f>
        <v>10110.1</v>
      </c>
      <c r="C18" s="183" t="str">
        <f>Sheet1!C29</f>
        <v>BROAD ST (US41/SR45)</v>
      </c>
      <c r="D18" s="183" t="str">
        <f>Sheet1!D29</f>
        <v>HENNES COVE</v>
      </c>
      <c r="E18" s="183" t="str">
        <f>Sheet1!E29</f>
        <v>JOHN MARTIN LN</v>
      </c>
      <c r="F18" s="184" t="str">
        <f>Sheet1!F29</f>
        <v>6D</v>
      </c>
      <c r="G18" s="184" t="str">
        <f>Sheet1!H29</f>
        <v>6D</v>
      </c>
      <c r="H18" s="185" t="str">
        <f>Sheet1!Z29</f>
        <v>C</v>
      </c>
      <c r="I18" s="185"/>
      <c r="J18" s="185"/>
      <c r="K18" s="185"/>
      <c r="L18" s="184"/>
      <c r="M18" s="184">
        <f>Sheet1!AI29</f>
        <v>5250</v>
      </c>
      <c r="N18" s="184"/>
      <c r="O18" s="184"/>
      <c r="P18" s="184"/>
      <c r="Q18" s="184"/>
      <c r="R18" s="184">
        <f>Sheet1!P29</f>
        <v>27904</v>
      </c>
      <c r="S18" s="186"/>
      <c r="T18" s="184"/>
      <c r="U18" s="184"/>
      <c r="V18" s="184"/>
      <c r="W18" s="184"/>
      <c r="X18" s="184">
        <f>Sheet1!AS29</f>
        <v>2511</v>
      </c>
      <c r="Y18" s="184">
        <f>Sheet1!AT29</f>
        <v>0.47799999999999998</v>
      </c>
      <c r="Z18" s="184"/>
      <c r="AA18" s="184"/>
      <c r="AB18" s="184"/>
      <c r="AC18" s="186"/>
      <c r="AD18" s="184"/>
      <c r="AE18" s="184"/>
      <c r="AF18" s="184"/>
      <c r="AG18" s="186"/>
      <c r="AH18" s="184"/>
      <c r="AI18" s="187"/>
      <c r="AJ18" s="191"/>
      <c r="AK18" s="191"/>
      <c r="AL18" s="191"/>
      <c r="AM18" s="191"/>
    </row>
    <row r="19" spans="1:39" ht="18" customHeight="1" x14ac:dyDescent="0.25">
      <c r="A19" s="163"/>
      <c r="B19" s="193" t="str">
        <f>Sheet1!A30</f>
        <v>10110.2</v>
      </c>
      <c r="C19" s="183" t="str">
        <f>Sheet1!C30</f>
        <v>BROAD ST (US41/SR45)</v>
      </c>
      <c r="D19" s="183" t="str">
        <f>Sheet1!D30</f>
        <v>JOHN MARTIN LN</v>
      </c>
      <c r="E19" s="183" t="str">
        <f>Sheet1!E30</f>
        <v>VFW RD</v>
      </c>
      <c r="F19" s="184" t="str">
        <f>Sheet1!F30</f>
        <v>6D</v>
      </c>
      <c r="G19" s="184" t="str">
        <f>Sheet1!H30</f>
        <v>6D</v>
      </c>
      <c r="H19" s="185" t="str">
        <f>Sheet1!Z30</f>
        <v>C</v>
      </c>
      <c r="I19" s="185"/>
      <c r="J19" s="185"/>
      <c r="K19" s="185"/>
      <c r="L19" s="184"/>
      <c r="M19" s="184">
        <f>Sheet1!AI30</f>
        <v>5250</v>
      </c>
      <c r="N19" s="184"/>
      <c r="O19" s="184"/>
      <c r="P19" s="184"/>
      <c r="Q19" s="184"/>
      <c r="R19" s="184">
        <f>Sheet1!P30</f>
        <v>27904</v>
      </c>
      <c r="S19" s="186"/>
      <c r="T19" s="184"/>
      <c r="U19" s="184"/>
      <c r="V19" s="184"/>
      <c r="W19" s="184"/>
      <c r="X19" s="184">
        <f>Sheet1!AS30</f>
        <v>2511</v>
      </c>
      <c r="Y19" s="184">
        <f>Sheet1!AT30</f>
        <v>0.47799999999999998</v>
      </c>
      <c r="Z19" s="184"/>
      <c r="AA19" s="184"/>
      <c r="AB19" s="184"/>
      <c r="AC19" s="186"/>
      <c r="AD19" s="184"/>
      <c r="AE19" s="184"/>
      <c r="AF19" s="184"/>
      <c r="AG19" s="186"/>
      <c r="AH19" s="184"/>
      <c r="AI19" s="187"/>
      <c r="AJ19" s="191"/>
      <c r="AK19" s="191"/>
      <c r="AL19" s="191"/>
      <c r="AM19" s="191"/>
    </row>
    <row r="20" spans="1:39" ht="18" customHeight="1" x14ac:dyDescent="0.25">
      <c r="A20" s="163"/>
      <c r="B20" s="193" t="str">
        <f>Sheet1!A31</f>
        <v>10115</v>
      </c>
      <c r="C20" s="183" t="str">
        <f>Sheet1!C31</f>
        <v>BROAD ST (US41/SR45)</v>
      </c>
      <c r="D20" s="183" t="str">
        <f>Sheet1!D31</f>
        <v>VFW RD</v>
      </c>
      <c r="E20" s="183" t="str">
        <f>Sheet1!E31</f>
        <v>WISCON RD</v>
      </c>
      <c r="F20" s="184" t="str">
        <f>Sheet1!F31</f>
        <v>6D</v>
      </c>
      <c r="G20" s="184" t="str">
        <f>Sheet1!H31</f>
        <v>6D</v>
      </c>
      <c r="H20" s="185" t="str">
        <f>Sheet1!Z31</f>
        <v>C</v>
      </c>
      <c r="I20" s="185"/>
      <c r="J20" s="185"/>
      <c r="K20" s="185"/>
      <c r="L20" s="184"/>
      <c r="M20" s="184">
        <f>Sheet1!AI31</f>
        <v>5250</v>
      </c>
      <c r="N20" s="184"/>
      <c r="O20" s="184"/>
      <c r="P20" s="184"/>
      <c r="Q20" s="184"/>
      <c r="R20" s="184">
        <f>Sheet1!P31</f>
        <v>27904</v>
      </c>
      <c r="S20" s="186"/>
      <c r="T20" s="184"/>
      <c r="U20" s="184"/>
      <c r="V20" s="184"/>
      <c r="W20" s="184"/>
      <c r="X20" s="184">
        <f>Sheet1!AS31</f>
        <v>2511</v>
      </c>
      <c r="Y20" s="184">
        <f>Sheet1!AT31</f>
        <v>0.47799999999999998</v>
      </c>
      <c r="Z20" s="184"/>
      <c r="AA20" s="184"/>
      <c r="AB20" s="184"/>
      <c r="AC20" s="186"/>
      <c r="AD20" s="184"/>
      <c r="AE20" s="184"/>
      <c r="AF20" s="184"/>
      <c r="AG20" s="186"/>
      <c r="AH20" s="184"/>
      <c r="AI20" s="187"/>
      <c r="AJ20" s="191"/>
      <c r="AK20" s="191"/>
      <c r="AL20" s="191"/>
      <c r="AM20" s="191"/>
    </row>
    <row r="21" spans="1:39" ht="18" customHeight="1" x14ac:dyDescent="0.25">
      <c r="A21" s="163"/>
      <c r="B21" s="193" t="str">
        <f>Sheet1!A32</f>
        <v>10120</v>
      </c>
      <c r="C21" s="183" t="str">
        <f>Sheet1!C32</f>
        <v>BROAD ST (US41/SR45)</v>
      </c>
      <c r="D21" s="183" t="str">
        <f>Sheet1!D32</f>
        <v>WISCON RD</v>
      </c>
      <c r="E21" s="183" t="str">
        <f>Sheet1!E32</f>
        <v>CORTEZ BLVD (SR50)</v>
      </c>
      <c r="F21" s="184" t="str">
        <f>Sheet1!F32</f>
        <v>6D</v>
      </c>
      <c r="G21" s="184" t="str">
        <f>Sheet1!H32</f>
        <v>6D</v>
      </c>
      <c r="H21" s="185" t="str">
        <f>Sheet1!Z32</f>
        <v>C</v>
      </c>
      <c r="I21" s="185"/>
      <c r="J21" s="185"/>
      <c r="K21" s="185"/>
      <c r="L21" s="184"/>
      <c r="M21" s="184">
        <f>Sheet1!AI32</f>
        <v>2090</v>
      </c>
      <c r="N21" s="184"/>
      <c r="O21" s="184"/>
      <c r="P21" s="184"/>
      <c r="Q21" s="184"/>
      <c r="R21" s="184">
        <f>Sheet1!P32</f>
        <v>36037</v>
      </c>
      <c r="S21" s="186"/>
      <c r="T21" s="184"/>
      <c r="U21" s="184"/>
      <c r="V21" s="184"/>
      <c r="W21" s="184"/>
      <c r="X21" s="184">
        <f>Sheet1!AS32</f>
        <v>3243</v>
      </c>
      <c r="Y21" s="184">
        <f>Sheet1!AT32</f>
        <v>1.552</v>
      </c>
      <c r="Z21" s="184"/>
      <c r="AA21" s="184"/>
      <c r="AB21" s="184"/>
      <c r="AC21" s="186"/>
      <c r="AD21" s="184"/>
      <c r="AE21" s="184"/>
      <c r="AF21" s="184"/>
      <c r="AG21" s="186"/>
      <c r="AH21" s="184"/>
      <c r="AI21" s="187"/>
      <c r="AJ21" s="191"/>
      <c r="AK21" s="191"/>
      <c r="AL21" s="191"/>
      <c r="AM21" s="191"/>
    </row>
    <row r="22" spans="1:39" ht="18" customHeight="1" x14ac:dyDescent="0.25">
      <c r="A22" s="163"/>
      <c r="B22" s="193" t="str">
        <f>Sheet1!A33</f>
        <v>10130</v>
      </c>
      <c r="C22" s="183" t="str">
        <f>Sheet1!C33</f>
        <v>BROAD ST (US41/SR45)</v>
      </c>
      <c r="D22" s="183" t="str">
        <f>Sheet1!D33</f>
        <v>CORTEZ BLVD (SR50)</v>
      </c>
      <c r="E22" s="183" t="str">
        <f>Sheet1!E33</f>
        <v>WINN DIXIE PLAZA</v>
      </c>
      <c r="F22" s="184" t="str">
        <f>Sheet1!F33</f>
        <v>6D</v>
      </c>
      <c r="G22" s="184" t="str">
        <f>Sheet1!H33</f>
        <v>6D</v>
      </c>
      <c r="H22" s="185" t="str">
        <f>Sheet1!Z33</f>
        <v>C</v>
      </c>
      <c r="I22" s="185"/>
      <c r="J22" s="185"/>
      <c r="K22" s="185"/>
      <c r="L22" s="184"/>
      <c r="M22" s="184">
        <f>Sheet1!AI33</f>
        <v>2090</v>
      </c>
      <c r="N22" s="184"/>
      <c r="O22" s="184"/>
      <c r="P22" s="184"/>
      <c r="Q22" s="184"/>
      <c r="R22" s="184">
        <f>Sheet1!P33</f>
        <v>36037</v>
      </c>
      <c r="S22" s="186"/>
      <c r="T22" s="184"/>
      <c r="U22" s="184"/>
      <c r="V22" s="184"/>
      <c r="W22" s="184"/>
      <c r="X22" s="184">
        <f>Sheet1!AS33</f>
        <v>3243</v>
      </c>
      <c r="Y22" s="184">
        <f>Sheet1!AT33</f>
        <v>1.552</v>
      </c>
      <c r="Z22" s="184"/>
      <c r="AA22" s="184"/>
      <c r="AB22" s="184"/>
      <c r="AC22" s="186"/>
      <c r="AD22" s="184"/>
      <c r="AE22" s="184"/>
      <c r="AF22" s="184"/>
      <c r="AG22" s="186"/>
      <c r="AH22" s="184"/>
      <c r="AI22" s="187"/>
      <c r="AJ22" s="191"/>
      <c r="AK22" s="191"/>
      <c r="AL22" s="191"/>
      <c r="AM22" s="191"/>
    </row>
    <row r="23" spans="1:39" ht="18" customHeight="1" x14ac:dyDescent="0.25">
      <c r="A23" s="163"/>
      <c r="B23" s="193" t="str">
        <f>Sheet1!A34</f>
        <v>10140</v>
      </c>
      <c r="C23" s="183" t="str">
        <f>Sheet1!C34</f>
        <v>BROAD ST (US41/SR45)</v>
      </c>
      <c r="D23" s="183" t="str">
        <f>Sheet1!D34</f>
        <v>WINN DIXIE PLAZA</v>
      </c>
      <c r="E23" s="183" t="str">
        <f>Sheet1!E34</f>
        <v>CANDLELIGHT BLVD</v>
      </c>
      <c r="F23" s="184" t="str">
        <f>Sheet1!F34</f>
        <v>6D</v>
      </c>
      <c r="G23" s="184" t="str">
        <f>Sheet1!H34</f>
        <v>6D</v>
      </c>
      <c r="H23" s="185" t="str">
        <f>Sheet1!Z34</f>
        <v>C</v>
      </c>
      <c r="I23" s="185"/>
      <c r="J23" s="185"/>
      <c r="K23" s="185"/>
      <c r="L23" s="184"/>
      <c r="M23" s="184">
        <f>Sheet1!AI34</f>
        <v>2090</v>
      </c>
      <c r="N23" s="184"/>
      <c r="O23" s="184"/>
      <c r="P23" s="184"/>
      <c r="Q23" s="184"/>
      <c r="R23" s="184">
        <f>Sheet1!P34</f>
        <v>27962</v>
      </c>
      <c r="S23" s="186"/>
      <c r="T23" s="184"/>
      <c r="U23" s="184"/>
      <c r="V23" s="184"/>
      <c r="W23" s="184"/>
      <c r="X23" s="184">
        <f>Sheet1!AS34</f>
        <v>2517</v>
      </c>
      <c r="Y23" s="184">
        <f>Sheet1!AT34</f>
        <v>1.204</v>
      </c>
      <c r="Z23" s="184"/>
      <c r="AA23" s="184"/>
      <c r="AB23" s="184"/>
      <c r="AC23" s="186"/>
      <c r="AD23" s="184"/>
      <c r="AE23" s="184"/>
      <c r="AF23" s="184"/>
      <c r="AG23" s="186"/>
      <c r="AH23" s="184"/>
      <c r="AI23" s="187"/>
      <c r="AJ23" s="191"/>
      <c r="AK23" s="191"/>
      <c r="AL23" s="191"/>
      <c r="AM23" s="191"/>
    </row>
    <row r="24" spans="1:39" ht="18" customHeight="1" x14ac:dyDescent="0.25">
      <c r="A24" s="163"/>
      <c r="B24" s="193" t="str">
        <f>Sheet1!A35</f>
        <v>10150</v>
      </c>
      <c r="C24" s="183" t="str">
        <f>Sheet1!C35</f>
        <v>BROAD ST (US41/SR45)</v>
      </c>
      <c r="D24" s="183" t="str">
        <f>Sheet1!D35</f>
        <v>CANDLELIGHT BLVD</v>
      </c>
      <c r="E24" s="183" t="str">
        <f>Sheet1!E35</f>
        <v>MLK BLVD</v>
      </c>
      <c r="F24" s="184" t="str">
        <f>Sheet1!F35</f>
        <v>6D</v>
      </c>
      <c r="G24" s="184" t="str">
        <f>Sheet1!H35</f>
        <v>2D</v>
      </c>
      <c r="H24" s="185" t="str">
        <f>Sheet1!Z35</f>
        <v>C</v>
      </c>
      <c r="I24" s="185"/>
      <c r="J24" s="185"/>
      <c r="K24" s="185"/>
      <c r="L24" s="184"/>
      <c r="M24" s="184">
        <f>Sheet1!AI35</f>
        <v>2090</v>
      </c>
      <c r="N24" s="184"/>
      <c r="O24" s="184"/>
      <c r="P24" s="184"/>
      <c r="Q24" s="184"/>
      <c r="R24" s="184">
        <f>Sheet1!P35</f>
        <v>27962</v>
      </c>
      <c r="S24" s="186"/>
      <c r="T24" s="184"/>
      <c r="U24" s="184"/>
      <c r="V24" s="184"/>
      <c r="W24" s="184"/>
      <c r="X24" s="184">
        <f>Sheet1!AS35</f>
        <v>2517</v>
      </c>
      <c r="Y24" s="184">
        <f>Sheet1!AT35</f>
        <v>1.204</v>
      </c>
      <c r="Z24" s="184"/>
      <c r="AA24" s="184"/>
      <c r="AB24" s="184"/>
      <c r="AC24" s="186"/>
      <c r="AD24" s="184"/>
      <c r="AE24" s="184"/>
      <c r="AF24" s="184"/>
      <c r="AG24" s="186"/>
      <c r="AH24" s="184"/>
      <c r="AI24" s="187"/>
      <c r="AJ24" s="191"/>
      <c r="AK24" s="191"/>
      <c r="AL24" s="191"/>
      <c r="AM24" s="191"/>
    </row>
    <row r="25" spans="1:39" ht="18" customHeight="1" x14ac:dyDescent="0.25">
      <c r="A25" s="163"/>
      <c r="B25" s="193" t="str">
        <f>Sheet1!A36</f>
        <v>10160</v>
      </c>
      <c r="C25" s="183" t="str">
        <f>Sheet1!C36</f>
        <v>BROAD ST (US41/SR45)</v>
      </c>
      <c r="D25" s="183" t="str">
        <f>Sheet1!D36</f>
        <v>MLK BLVD</v>
      </c>
      <c r="E25" s="183" t="str">
        <f>Sheet1!E36</f>
        <v>PONCE DE LEON BLVD (US98/SR700)</v>
      </c>
      <c r="F25" s="184" t="str">
        <f>Sheet1!F36</f>
        <v>6D</v>
      </c>
      <c r="G25" s="184" t="str">
        <f>Sheet1!H36</f>
        <v>2D</v>
      </c>
      <c r="H25" s="185" t="str">
        <f>Sheet1!Z36</f>
        <v>C</v>
      </c>
      <c r="I25" s="185"/>
      <c r="J25" s="185"/>
      <c r="K25" s="185"/>
      <c r="L25" s="184"/>
      <c r="M25" s="184">
        <f>Sheet1!AI36</f>
        <v>2090</v>
      </c>
      <c r="N25" s="184"/>
      <c r="O25" s="184"/>
      <c r="P25" s="184"/>
      <c r="Q25" s="184"/>
      <c r="R25" s="184">
        <f>Sheet1!P36</f>
        <v>27962</v>
      </c>
      <c r="S25" s="186"/>
      <c r="T25" s="184"/>
      <c r="U25" s="184"/>
      <c r="V25" s="184"/>
      <c r="W25" s="184"/>
      <c r="X25" s="184">
        <f>Sheet1!AS36</f>
        <v>2517</v>
      </c>
      <c r="Y25" s="184">
        <f>Sheet1!AT36</f>
        <v>1.204</v>
      </c>
      <c r="Z25" s="184"/>
      <c r="AA25" s="184"/>
      <c r="AB25" s="184"/>
      <c r="AC25" s="186"/>
      <c r="AD25" s="184"/>
      <c r="AE25" s="184"/>
      <c r="AF25" s="184"/>
      <c r="AG25" s="186"/>
      <c r="AH25" s="184"/>
      <c r="AI25" s="187"/>
      <c r="AJ25" s="191"/>
      <c r="AK25" s="191"/>
      <c r="AL25" s="191"/>
      <c r="AM25" s="191"/>
    </row>
    <row r="26" spans="1:39" ht="18" customHeight="1" x14ac:dyDescent="0.25">
      <c r="A26" s="163"/>
      <c r="B26" s="193" t="str">
        <f>Sheet1!A37</f>
        <v>10170</v>
      </c>
      <c r="C26" s="183" t="str">
        <f>Sheet1!C37</f>
        <v>BROAD ST (US41/SR45)</v>
      </c>
      <c r="D26" s="183" t="str">
        <f>Sheet1!D37</f>
        <v>PONCE DE LEON BLVD (US98/SR700)</v>
      </c>
      <c r="E26" s="183" t="str">
        <f>Sheet1!E37</f>
        <v>BENTON AVE</v>
      </c>
      <c r="F26" s="184" t="str">
        <f>Sheet1!F37</f>
        <v>2D</v>
      </c>
      <c r="G26" s="184" t="str">
        <f>Sheet1!H37</f>
        <v>2D</v>
      </c>
      <c r="H26" s="185" t="str">
        <f>Sheet1!Z37</f>
        <v>C</v>
      </c>
      <c r="I26" s="185"/>
      <c r="J26" s="185"/>
      <c r="K26" s="185"/>
      <c r="L26" s="184"/>
      <c r="M26" s="184">
        <f>Sheet1!AI37</f>
        <v>2090</v>
      </c>
      <c r="N26" s="184"/>
      <c r="O26" s="184"/>
      <c r="P26" s="184"/>
      <c r="Q26" s="184"/>
      <c r="R26" s="184">
        <f>Sheet1!P37</f>
        <v>27962</v>
      </c>
      <c r="S26" s="186"/>
      <c r="T26" s="184"/>
      <c r="U26" s="184"/>
      <c r="V26" s="184"/>
      <c r="W26" s="184"/>
      <c r="X26" s="184">
        <f>Sheet1!AS37</f>
        <v>2517</v>
      </c>
      <c r="Y26" s="184">
        <f>Sheet1!AT37</f>
        <v>1.204</v>
      </c>
      <c r="Z26" s="184"/>
      <c r="AA26" s="184"/>
      <c r="AB26" s="184"/>
      <c r="AC26" s="186"/>
      <c r="AD26" s="184"/>
      <c r="AE26" s="184"/>
      <c r="AF26" s="184"/>
      <c r="AG26" s="186"/>
      <c r="AH26" s="184"/>
      <c r="AI26" s="187"/>
      <c r="AJ26" s="191"/>
      <c r="AK26" s="191"/>
      <c r="AL26" s="191"/>
      <c r="AM26" s="191"/>
    </row>
    <row r="27" spans="1:39" ht="18" customHeight="1" x14ac:dyDescent="0.25">
      <c r="A27" s="163"/>
      <c r="B27" s="193" t="str">
        <f>Sheet1!A38</f>
        <v>10180</v>
      </c>
      <c r="C27" s="183" t="str">
        <f>Sheet1!C38</f>
        <v>BROAD ST (US41/SR45)</v>
      </c>
      <c r="D27" s="183" t="str">
        <f>Sheet1!D38</f>
        <v>BENTON AVE</v>
      </c>
      <c r="E27" s="183" t="str">
        <f>Sheet1!E38</f>
        <v>OLD HOSPITAL DR</v>
      </c>
      <c r="F27" s="184" t="str">
        <f>Sheet1!F38</f>
        <v>2D</v>
      </c>
      <c r="G27" s="184" t="str">
        <f>Sheet1!H38</f>
        <v>6D</v>
      </c>
      <c r="H27" s="185" t="str">
        <f>Sheet1!Z38</f>
        <v>C</v>
      </c>
      <c r="I27" s="185"/>
      <c r="J27" s="185"/>
      <c r="K27" s="185"/>
      <c r="L27" s="184"/>
      <c r="M27" s="184">
        <f>Sheet1!AI38</f>
        <v>2090</v>
      </c>
      <c r="N27" s="184"/>
      <c r="O27" s="184"/>
      <c r="P27" s="184"/>
      <c r="Q27" s="184"/>
      <c r="R27" s="184">
        <f>Sheet1!P38</f>
        <v>13514</v>
      </c>
      <c r="S27" s="186"/>
      <c r="T27" s="184"/>
      <c r="U27" s="184"/>
      <c r="V27" s="184"/>
      <c r="W27" s="184"/>
      <c r="X27" s="184">
        <f>Sheet1!AS38</f>
        <v>1216</v>
      </c>
      <c r="Y27" s="184">
        <f>Sheet1!AT38</f>
        <v>0.58199999999999996</v>
      </c>
      <c r="Z27" s="184"/>
      <c r="AA27" s="184"/>
      <c r="AB27" s="184"/>
      <c r="AC27" s="186"/>
      <c r="AD27" s="184"/>
      <c r="AE27" s="184"/>
      <c r="AF27" s="184"/>
      <c r="AG27" s="186"/>
      <c r="AH27" s="184"/>
      <c r="AI27" s="187"/>
      <c r="AJ27" s="191"/>
      <c r="AK27" s="191"/>
      <c r="AL27" s="191"/>
      <c r="AM27" s="191"/>
    </row>
    <row r="28" spans="1:39" ht="18" customHeight="1" x14ac:dyDescent="0.25">
      <c r="A28" s="163"/>
      <c r="B28" s="193" t="str">
        <f>Sheet1!A39</f>
        <v>10190</v>
      </c>
      <c r="C28" s="183" t="str">
        <f>Sheet1!C39</f>
        <v>BROAD ST (US41/SR45)</v>
      </c>
      <c r="D28" s="183" t="str">
        <f>Sheet1!D39</f>
        <v>OLD HOSPITAL DR</v>
      </c>
      <c r="E28" s="183" t="str">
        <f>Sheet1!E39</f>
        <v>MILDRED AVE</v>
      </c>
      <c r="F28" s="184" t="str">
        <f>Sheet1!F39</f>
        <v>2D</v>
      </c>
      <c r="G28" s="184" t="str">
        <f>Sheet1!H39</f>
        <v>2U</v>
      </c>
      <c r="H28" s="185" t="str">
        <f>Sheet1!Z39</f>
        <v>C</v>
      </c>
      <c r="I28" s="185"/>
      <c r="J28" s="185"/>
      <c r="K28" s="185"/>
      <c r="L28" s="184"/>
      <c r="M28" s="184">
        <f>Sheet1!AI39</f>
        <v>2090</v>
      </c>
      <c r="N28" s="184"/>
      <c r="O28" s="184"/>
      <c r="P28" s="184"/>
      <c r="Q28" s="184"/>
      <c r="R28" s="184">
        <f>Sheet1!P39</f>
        <v>27962</v>
      </c>
      <c r="S28" s="186"/>
      <c r="T28" s="184"/>
      <c r="U28" s="184"/>
      <c r="V28" s="184"/>
      <c r="W28" s="184"/>
      <c r="X28" s="184">
        <f>Sheet1!AS39</f>
        <v>2517</v>
      </c>
      <c r="Y28" s="184">
        <f>Sheet1!AT39</f>
        <v>1.204</v>
      </c>
      <c r="Z28" s="184"/>
      <c r="AA28" s="184"/>
      <c r="AB28" s="184"/>
      <c r="AC28" s="186"/>
      <c r="AD28" s="184"/>
      <c r="AE28" s="184"/>
      <c r="AF28" s="184"/>
      <c r="AG28" s="186"/>
      <c r="AH28" s="184"/>
      <c r="AI28" s="187"/>
      <c r="AJ28" s="191"/>
      <c r="AK28" s="191"/>
      <c r="AL28" s="191"/>
      <c r="AM28" s="191"/>
    </row>
    <row r="29" spans="1:39" ht="18" customHeight="1" x14ac:dyDescent="0.25">
      <c r="A29" s="163"/>
      <c r="B29" s="193" t="str">
        <f>Sheet1!A40</f>
        <v>10200</v>
      </c>
      <c r="C29" s="183" t="str">
        <f>Sheet1!C40</f>
        <v>BROAD ST (US41/SR45)</v>
      </c>
      <c r="D29" s="183" t="str">
        <f>Sheet1!D40</f>
        <v>MILDRED AVE</v>
      </c>
      <c r="E29" s="183" t="str">
        <f>Sheet1!E40</f>
        <v>MAIN ST (CR445)</v>
      </c>
      <c r="F29" s="184" t="str">
        <f>Sheet1!F40</f>
        <v>4D</v>
      </c>
      <c r="G29" s="184" t="str">
        <f>Sheet1!H40</f>
        <v>2U</v>
      </c>
      <c r="H29" s="185" t="str">
        <f>Sheet1!Z40</f>
        <v>C</v>
      </c>
      <c r="I29" s="185"/>
      <c r="J29" s="185"/>
      <c r="K29" s="185"/>
      <c r="L29" s="184"/>
      <c r="M29" s="184">
        <f>Sheet1!AI40</f>
        <v>786</v>
      </c>
      <c r="N29" s="184"/>
      <c r="O29" s="184"/>
      <c r="P29" s="184"/>
      <c r="Q29" s="184"/>
      <c r="R29" s="184">
        <f>Sheet1!P40</f>
        <v>10418</v>
      </c>
      <c r="S29" s="186"/>
      <c r="T29" s="184"/>
      <c r="U29" s="184"/>
      <c r="V29" s="184"/>
      <c r="W29" s="184"/>
      <c r="X29" s="184">
        <f>Sheet1!AS40</f>
        <v>938</v>
      </c>
      <c r="Y29" s="184">
        <f>Sheet1!AT40</f>
        <v>1.1930000000000001</v>
      </c>
      <c r="Z29" s="184"/>
      <c r="AA29" s="184"/>
      <c r="AB29" s="184"/>
      <c r="AC29" s="186"/>
      <c r="AD29" s="184"/>
      <c r="AE29" s="184"/>
      <c r="AF29" s="184"/>
      <c r="AG29" s="186"/>
      <c r="AH29" s="184"/>
      <c r="AI29" s="187"/>
      <c r="AJ29" s="191"/>
      <c r="AK29" s="191"/>
      <c r="AL29" s="191"/>
      <c r="AM29" s="191"/>
    </row>
    <row r="30" spans="1:39" ht="18" customHeight="1" x14ac:dyDescent="0.25">
      <c r="A30" s="163"/>
      <c r="B30" s="193" t="str">
        <f>Sheet1!A41</f>
        <v>10210</v>
      </c>
      <c r="C30" s="183" t="str">
        <f>Sheet1!C41</f>
        <v>BROAD ST (US41/SR45)</v>
      </c>
      <c r="D30" s="183" t="str">
        <f>Sheet1!D41</f>
        <v>MAIN ST (CR445)</v>
      </c>
      <c r="E30" s="183" t="str">
        <f>Sheet1!E41</f>
        <v>JEFFERSON ST (SR50)</v>
      </c>
      <c r="F30" s="184" t="str">
        <f>Sheet1!F41</f>
        <v>2U</v>
      </c>
      <c r="G30" s="184" t="str">
        <f>Sheet1!H41</f>
        <v>2U</v>
      </c>
      <c r="H30" s="185" t="str">
        <f>Sheet1!Z41</f>
        <v>C</v>
      </c>
      <c r="I30" s="185"/>
      <c r="J30" s="185"/>
      <c r="K30" s="185"/>
      <c r="L30" s="184"/>
      <c r="M30" s="184">
        <f>Sheet1!AI41</f>
        <v>786</v>
      </c>
      <c r="N30" s="184"/>
      <c r="O30" s="184"/>
      <c r="P30" s="184"/>
      <c r="Q30" s="184"/>
      <c r="R30" s="184">
        <f>Sheet1!P41</f>
        <v>9416</v>
      </c>
      <c r="S30" s="186"/>
      <c r="T30" s="184"/>
      <c r="U30" s="184"/>
      <c r="V30" s="184"/>
      <c r="W30" s="184"/>
      <c r="X30" s="184">
        <f>Sheet1!AS41</f>
        <v>847</v>
      </c>
      <c r="Y30" s="184">
        <f>Sheet1!AT41</f>
        <v>1.0780000000000001</v>
      </c>
      <c r="Z30" s="184"/>
      <c r="AA30" s="184"/>
      <c r="AB30" s="184"/>
      <c r="AC30" s="186"/>
      <c r="AD30" s="184"/>
      <c r="AE30" s="184"/>
      <c r="AF30" s="184"/>
      <c r="AG30" s="186"/>
      <c r="AH30" s="184"/>
      <c r="AI30" s="187"/>
      <c r="AJ30" s="191"/>
      <c r="AK30" s="191"/>
      <c r="AL30" s="191"/>
      <c r="AM30" s="191"/>
    </row>
    <row r="31" spans="1:39" ht="18" customHeight="1" x14ac:dyDescent="0.25">
      <c r="A31" s="163"/>
      <c r="B31" s="193" t="str">
        <f>Sheet1!A42</f>
        <v>10220</v>
      </c>
      <c r="C31" s="183" t="str">
        <f>Sheet1!C42</f>
        <v>BROAD ST (US41/SR45)</v>
      </c>
      <c r="D31" s="183" t="str">
        <f>Sheet1!D42</f>
        <v>JEFFERSON ST (SR50)</v>
      </c>
      <c r="E31" s="183" t="str">
        <f>Sheet1!E42</f>
        <v>MONDON HILL RD</v>
      </c>
      <c r="F31" s="184" t="str">
        <f>Sheet1!F42</f>
        <v>2U</v>
      </c>
      <c r="G31" s="184" t="str">
        <f>Sheet1!H42</f>
        <v>2U</v>
      </c>
      <c r="H31" s="185" t="str">
        <f>Sheet1!Z42</f>
        <v>C</v>
      </c>
      <c r="I31" s="185"/>
      <c r="J31" s="185"/>
      <c r="K31" s="185"/>
      <c r="L31" s="184"/>
      <c r="M31" s="184">
        <f>Sheet1!AI42</f>
        <v>1620</v>
      </c>
      <c r="N31" s="184"/>
      <c r="O31" s="184"/>
      <c r="P31" s="184"/>
      <c r="Q31" s="184"/>
      <c r="R31" s="184">
        <f>Sheet1!P42</f>
        <v>11262</v>
      </c>
      <c r="S31" s="186"/>
      <c r="T31" s="184"/>
      <c r="U31" s="184"/>
      <c r="V31" s="184"/>
      <c r="W31" s="184"/>
      <c r="X31" s="184">
        <f>Sheet1!AS42</f>
        <v>1014</v>
      </c>
      <c r="Y31" s="184">
        <f>Sheet1!AT42</f>
        <v>0.626</v>
      </c>
      <c r="Z31" s="184"/>
      <c r="AA31" s="184"/>
      <c r="AB31" s="184"/>
      <c r="AC31" s="186"/>
      <c r="AD31" s="184"/>
      <c r="AE31" s="184"/>
      <c r="AF31" s="184"/>
      <c r="AG31" s="186"/>
      <c r="AH31" s="184"/>
      <c r="AI31" s="187"/>
      <c r="AJ31" s="191"/>
      <c r="AK31" s="191"/>
      <c r="AL31" s="191"/>
      <c r="AM31" s="191"/>
    </row>
    <row r="32" spans="1:39" ht="18" customHeight="1" x14ac:dyDescent="0.25">
      <c r="A32" s="163"/>
      <c r="B32" s="193" t="str">
        <f>Sheet1!A43</f>
        <v>10230.1</v>
      </c>
      <c r="C32" s="183" t="str">
        <f>Sheet1!C43</f>
        <v>BROAD ST (US41/SR45)</v>
      </c>
      <c r="D32" s="183" t="str">
        <f>Sheet1!D43</f>
        <v>MONDON HILL RD</v>
      </c>
      <c r="E32" s="183" t="str">
        <f>Sheet1!E43</f>
        <v>N OF OAK ST</v>
      </c>
      <c r="F32" s="184" t="str">
        <f>Sheet1!F43</f>
        <v>2U</v>
      </c>
      <c r="G32" s="184" t="str">
        <f>Sheet1!H43</f>
        <v>2U</v>
      </c>
      <c r="H32" s="185" t="str">
        <f>Sheet1!Z43</f>
        <v>C</v>
      </c>
      <c r="I32" s="185"/>
      <c r="J32" s="185"/>
      <c r="K32" s="185"/>
      <c r="L32" s="184"/>
      <c r="M32" s="184">
        <f>Sheet1!AI43</f>
        <v>1620</v>
      </c>
      <c r="N32" s="184"/>
      <c r="O32" s="184"/>
      <c r="P32" s="184"/>
      <c r="Q32" s="184"/>
      <c r="R32" s="184">
        <f>Sheet1!P43</f>
        <v>10996</v>
      </c>
      <c r="S32" s="186"/>
      <c r="T32" s="184"/>
      <c r="U32" s="184"/>
      <c r="V32" s="184"/>
      <c r="W32" s="184"/>
      <c r="X32" s="184">
        <f>Sheet1!AS43</f>
        <v>990</v>
      </c>
      <c r="Y32" s="184">
        <f>Sheet1!AT43</f>
        <v>0.61099999999999999</v>
      </c>
      <c r="Z32" s="184"/>
      <c r="AA32" s="184"/>
      <c r="AB32" s="184"/>
      <c r="AC32" s="186"/>
      <c r="AD32" s="184"/>
      <c r="AE32" s="184"/>
      <c r="AF32" s="184"/>
      <c r="AG32" s="186"/>
      <c r="AH32" s="184"/>
      <c r="AI32" s="187"/>
      <c r="AJ32" s="191"/>
      <c r="AK32" s="191"/>
      <c r="AL32" s="191"/>
      <c r="AM32" s="191"/>
    </row>
    <row r="33" spans="1:39" ht="18" customHeight="1" x14ac:dyDescent="0.25">
      <c r="A33" s="163"/>
      <c r="B33" s="193" t="str">
        <f>Sheet1!A44</f>
        <v>10230.2</v>
      </c>
      <c r="C33" s="183" t="str">
        <f>Sheet1!C44</f>
        <v>BROAD ST (US41/SR45)</v>
      </c>
      <c r="D33" s="183" t="str">
        <f>Sheet1!D44</f>
        <v>N OF OAK ST</v>
      </c>
      <c r="E33" s="183" t="str">
        <f>Sheet1!E44</f>
        <v>CROOM RD</v>
      </c>
      <c r="F33" s="184" t="str">
        <f>Sheet1!F44</f>
        <v>2U</v>
      </c>
      <c r="G33" s="184" t="str">
        <f>Sheet1!H44</f>
        <v>2U</v>
      </c>
      <c r="H33" s="185" t="str">
        <f>Sheet1!Z44</f>
        <v>C</v>
      </c>
      <c r="I33" s="185"/>
      <c r="J33" s="185"/>
      <c r="K33" s="185"/>
      <c r="L33" s="184"/>
      <c r="M33" s="184">
        <f>Sheet1!AI44</f>
        <v>1620</v>
      </c>
      <c r="N33" s="184"/>
      <c r="O33" s="184"/>
      <c r="P33" s="184"/>
      <c r="Q33" s="184"/>
      <c r="R33" s="184">
        <f>Sheet1!P44</f>
        <v>10996</v>
      </c>
      <c r="S33" s="186"/>
      <c r="T33" s="184"/>
      <c r="U33" s="184"/>
      <c r="V33" s="184"/>
      <c r="W33" s="184"/>
      <c r="X33" s="184">
        <f>Sheet1!AS44</f>
        <v>990</v>
      </c>
      <c r="Y33" s="184">
        <f>Sheet1!AT44</f>
        <v>0.61099999999999999</v>
      </c>
      <c r="Z33" s="184"/>
      <c r="AA33" s="184"/>
      <c r="AB33" s="184"/>
      <c r="AC33" s="186"/>
      <c r="AD33" s="184"/>
      <c r="AE33" s="184"/>
      <c r="AF33" s="184"/>
      <c r="AG33" s="186"/>
      <c r="AH33" s="184"/>
      <c r="AI33" s="187"/>
      <c r="AJ33" s="191"/>
      <c r="AK33" s="191"/>
      <c r="AL33" s="191"/>
      <c r="AM33" s="191"/>
    </row>
    <row r="34" spans="1:39" ht="18" customHeight="1" x14ac:dyDescent="0.25">
      <c r="A34" s="163"/>
      <c r="B34" s="193" t="str">
        <f>Sheet1!A45</f>
        <v>10240</v>
      </c>
      <c r="C34" s="183" t="str">
        <f>Sheet1!C45</f>
        <v>BROAD ST (US41/SR45)</v>
      </c>
      <c r="D34" s="183" t="str">
        <f>Sheet1!D45</f>
        <v>CROOM RD</v>
      </c>
      <c r="E34" s="183" t="str">
        <f>Sheet1!E45</f>
        <v>CHATFIELD DR</v>
      </c>
      <c r="F34" s="184" t="str">
        <f>Sheet1!F45</f>
        <v>2U</v>
      </c>
      <c r="G34" s="184" t="str">
        <f>Sheet1!H45</f>
        <v>2U</v>
      </c>
      <c r="H34" s="185" t="str">
        <f>Sheet1!Z45</f>
        <v>C</v>
      </c>
      <c r="I34" s="185"/>
      <c r="J34" s="185"/>
      <c r="K34" s="185"/>
      <c r="L34" s="184"/>
      <c r="M34" s="184">
        <f>Sheet1!AI45</f>
        <v>1620</v>
      </c>
      <c r="N34" s="184"/>
      <c r="O34" s="184"/>
      <c r="P34" s="184"/>
      <c r="Q34" s="184"/>
      <c r="R34" s="184">
        <f>Sheet1!P45</f>
        <v>8755</v>
      </c>
      <c r="S34" s="186"/>
      <c r="T34" s="184"/>
      <c r="U34" s="184"/>
      <c r="V34" s="184"/>
      <c r="W34" s="184"/>
      <c r="X34" s="184">
        <f>Sheet1!AS45</f>
        <v>788</v>
      </c>
      <c r="Y34" s="184">
        <f>Sheet1!AT45</f>
        <v>0.48599999999999999</v>
      </c>
      <c r="Z34" s="184"/>
      <c r="AA34" s="184"/>
      <c r="AB34" s="184"/>
      <c r="AC34" s="186"/>
      <c r="AD34" s="184"/>
      <c r="AE34" s="184"/>
      <c r="AF34" s="184"/>
      <c r="AG34" s="186"/>
      <c r="AH34" s="184"/>
      <c r="AI34" s="187"/>
      <c r="AJ34" s="191"/>
      <c r="AK34" s="191"/>
      <c r="AL34" s="191"/>
      <c r="AM34" s="191"/>
    </row>
    <row r="35" spans="1:39" ht="18" customHeight="1" x14ac:dyDescent="0.25">
      <c r="A35" s="163"/>
      <c r="B35" s="193" t="str">
        <f>Sheet1!A46</f>
        <v>10250.1</v>
      </c>
      <c r="C35" s="183" t="str">
        <f>Sheet1!C46</f>
        <v>BROAD ST (US41/SR45)</v>
      </c>
      <c r="D35" s="183" t="str">
        <f>Sheet1!D46</f>
        <v>CHATFIELD DR</v>
      </c>
      <c r="E35" s="183" t="str">
        <f>Sheet1!E46</f>
        <v>YONTZ RD</v>
      </c>
      <c r="F35" s="184" t="str">
        <f>Sheet1!F46</f>
        <v>2U</v>
      </c>
      <c r="G35" s="184" t="str">
        <f>Sheet1!H46</f>
        <v>2U</v>
      </c>
      <c r="H35" s="185" t="str">
        <f>Sheet1!Z46</f>
        <v>C</v>
      </c>
      <c r="I35" s="185"/>
      <c r="J35" s="185"/>
      <c r="K35" s="185"/>
      <c r="L35" s="184"/>
      <c r="M35" s="184">
        <f>Sheet1!AI46</f>
        <v>1620</v>
      </c>
      <c r="N35" s="184"/>
      <c r="O35" s="184"/>
      <c r="P35" s="184"/>
      <c r="Q35" s="184"/>
      <c r="R35" s="184">
        <f>Sheet1!P46</f>
        <v>8755</v>
      </c>
      <c r="S35" s="186"/>
      <c r="T35" s="184"/>
      <c r="U35" s="184"/>
      <c r="V35" s="184"/>
      <c r="W35" s="184"/>
      <c r="X35" s="184">
        <f>Sheet1!AS46</f>
        <v>788</v>
      </c>
      <c r="Y35" s="184">
        <f>Sheet1!AT46</f>
        <v>0.48599999999999999</v>
      </c>
      <c r="Z35" s="184"/>
      <c r="AA35" s="184"/>
      <c r="AB35" s="184"/>
      <c r="AC35" s="186"/>
      <c r="AD35" s="184"/>
      <c r="AE35" s="184"/>
      <c r="AF35" s="184"/>
      <c r="AG35" s="186"/>
      <c r="AH35" s="184"/>
      <c r="AI35" s="187"/>
      <c r="AJ35" s="191"/>
      <c r="AK35" s="191"/>
      <c r="AL35" s="191"/>
      <c r="AM35" s="191"/>
    </row>
    <row r="36" spans="1:39" ht="18" customHeight="1" x14ac:dyDescent="0.25">
      <c r="A36" s="163"/>
      <c r="B36" s="193" t="str">
        <f>Sheet1!A47</f>
        <v>10250.2</v>
      </c>
      <c r="C36" s="183" t="str">
        <f>Sheet1!C47</f>
        <v>BROAD ST (US41/SR45)</v>
      </c>
      <c r="D36" s="183" t="str">
        <f>Sheet1!D47</f>
        <v>YONTZ RD</v>
      </c>
      <c r="E36" s="183" t="str">
        <f>Sheet1!E47</f>
        <v>HOWELL AVE</v>
      </c>
      <c r="F36" s="184" t="str">
        <f>Sheet1!F47</f>
        <v>2U</v>
      </c>
      <c r="G36" s="184" t="str">
        <f>Sheet1!H47</f>
        <v>2U</v>
      </c>
      <c r="H36" s="185" t="str">
        <f>Sheet1!Z47</f>
        <v>C</v>
      </c>
      <c r="I36" s="185"/>
      <c r="J36" s="185"/>
      <c r="K36" s="185"/>
      <c r="L36" s="184"/>
      <c r="M36" s="184">
        <f>Sheet1!AI47</f>
        <v>1620</v>
      </c>
      <c r="N36" s="184"/>
      <c r="O36" s="184"/>
      <c r="P36" s="184"/>
      <c r="Q36" s="184"/>
      <c r="R36" s="184">
        <f>Sheet1!P47</f>
        <v>8755</v>
      </c>
      <c r="S36" s="186"/>
      <c r="T36" s="184"/>
      <c r="U36" s="184"/>
      <c r="V36" s="184"/>
      <c r="W36" s="184"/>
      <c r="X36" s="184">
        <f>Sheet1!AS47</f>
        <v>788</v>
      </c>
      <c r="Y36" s="184">
        <f>Sheet1!AT47</f>
        <v>0.48599999999999999</v>
      </c>
      <c r="Z36" s="184"/>
      <c r="AA36" s="184"/>
      <c r="AB36" s="184"/>
      <c r="AC36" s="186"/>
      <c r="AD36" s="184"/>
      <c r="AE36" s="184"/>
      <c r="AF36" s="184"/>
      <c r="AG36" s="186"/>
      <c r="AH36" s="184"/>
      <c r="AI36" s="187"/>
      <c r="AJ36" s="191"/>
      <c r="AK36" s="191"/>
      <c r="AL36" s="191"/>
      <c r="AM36" s="191"/>
    </row>
    <row r="37" spans="1:39" ht="18" customHeight="1" x14ac:dyDescent="0.25">
      <c r="A37" s="163"/>
      <c r="B37" s="193" t="str">
        <f>Sheet1!A48</f>
        <v>10260.3</v>
      </c>
      <c r="C37" s="183" t="str">
        <f>Sheet1!C48</f>
        <v>BROAD ST (US41/SR45)</v>
      </c>
      <c r="D37" s="183" t="str">
        <f>Sheet1!D48</f>
        <v>HOWELL AVE</v>
      </c>
      <c r="E37" s="183" t="str">
        <f>Sheet1!E48</f>
        <v>URBAN BOUNDARY</v>
      </c>
      <c r="F37" s="184" t="str">
        <f>Sheet1!F48</f>
        <v>2U</v>
      </c>
      <c r="G37" s="184" t="str">
        <f>Sheet1!H48</f>
        <v>2U</v>
      </c>
      <c r="H37" s="185" t="str">
        <f>Sheet1!Z48</f>
        <v>C</v>
      </c>
      <c r="I37" s="185"/>
      <c r="J37" s="185"/>
      <c r="K37" s="185"/>
      <c r="L37" s="184"/>
      <c r="M37" s="184">
        <f>Sheet1!AI48</f>
        <v>1620</v>
      </c>
      <c r="N37" s="184"/>
      <c r="O37" s="184"/>
      <c r="P37" s="184"/>
      <c r="Q37" s="184"/>
      <c r="R37" s="184">
        <f>Sheet1!P48</f>
        <v>1456</v>
      </c>
      <c r="S37" s="186"/>
      <c r="T37" s="184"/>
      <c r="U37" s="184"/>
      <c r="V37" s="184"/>
      <c r="W37" s="184"/>
      <c r="X37" s="184">
        <f>Sheet1!AS48</f>
        <v>131</v>
      </c>
      <c r="Y37" s="184">
        <f>Sheet1!AT48</f>
        <v>8.1000000000000003E-2</v>
      </c>
      <c r="Z37" s="184"/>
      <c r="AA37" s="184"/>
      <c r="AB37" s="184"/>
      <c r="AC37" s="186"/>
      <c r="AD37" s="184"/>
      <c r="AE37" s="184"/>
      <c r="AF37" s="184"/>
      <c r="AG37" s="186"/>
      <c r="AH37" s="184"/>
      <c r="AI37" s="187"/>
      <c r="AJ37" s="191"/>
      <c r="AK37" s="191"/>
      <c r="AL37" s="191"/>
      <c r="AM37" s="191"/>
    </row>
    <row r="38" spans="1:39" ht="18" customHeight="1" x14ac:dyDescent="0.25">
      <c r="A38" s="163"/>
      <c r="B38" s="193" t="str">
        <f>Sheet1!A49</f>
        <v>10260.4</v>
      </c>
      <c r="C38" s="183" t="str">
        <f>Sheet1!C49</f>
        <v>BROAD ST (US41/SR45)</v>
      </c>
      <c r="D38" s="183" t="str">
        <f>Sheet1!D49</f>
        <v>URBAN BOUNDARY</v>
      </c>
      <c r="E38" s="183" t="str">
        <f>Sheet1!E49</f>
        <v>SNOW MEMORIAL HWY</v>
      </c>
      <c r="F38" s="184" t="str">
        <f>Sheet1!F49</f>
        <v>2U</v>
      </c>
      <c r="G38" s="184" t="str">
        <f>Sheet1!H49</f>
        <v>2U</v>
      </c>
      <c r="H38" s="185" t="str">
        <f>Sheet1!Z49</f>
        <v>C</v>
      </c>
      <c r="I38" s="185"/>
      <c r="J38" s="185"/>
      <c r="K38" s="185"/>
      <c r="L38" s="184"/>
      <c r="M38" s="184">
        <f>Sheet1!AI49</f>
        <v>1560</v>
      </c>
      <c r="N38" s="184"/>
      <c r="O38" s="184"/>
      <c r="P38" s="184"/>
      <c r="Q38" s="184"/>
      <c r="R38" s="184">
        <f>Sheet1!P49</f>
        <v>12353</v>
      </c>
      <c r="S38" s="186"/>
      <c r="T38" s="184"/>
      <c r="U38" s="184"/>
      <c r="V38" s="184"/>
      <c r="W38" s="184"/>
      <c r="X38" s="184">
        <f>Sheet1!AS49</f>
        <v>1112</v>
      </c>
      <c r="Y38" s="184">
        <f>Sheet1!AT49</f>
        <v>0.71299999999999997</v>
      </c>
      <c r="Z38" s="184"/>
      <c r="AA38" s="184"/>
      <c r="AB38" s="184"/>
      <c r="AC38" s="186"/>
      <c r="AD38" s="184"/>
      <c r="AE38" s="184"/>
      <c r="AF38" s="184"/>
      <c r="AG38" s="186"/>
      <c r="AH38" s="184"/>
      <c r="AI38" s="187"/>
      <c r="AJ38" s="191"/>
      <c r="AK38" s="191"/>
      <c r="AL38" s="191"/>
      <c r="AM38" s="191"/>
    </row>
    <row r="39" spans="1:39" ht="18" customHeight="1" x14ac:dyDescent="0.25">
      <c r="A39" s="163"/>
      <c r="B39" s="193" t="str">
        <f>Sheet1!A50</f>
        <v>10270</v>
      </c>
      <c r="C39" s="183" t="str">
        <f>Sheet1!C50</f>
        <v>BROAD ST (US41/SR45)</v>
      </c>
      <c r="D39" s="183" t="str">
        <f>Sheet1!D50</f>
        <v>SNOW MEMORIAL HWY</v>
      </c>
      <c r="E39" s="183" t="str">
        <f>Sheet1!E50</f>
        <v>LAKE LINDSEY RD</v>
      </c>
      <c r="F39" s="184" t="str">
        <f>Sheet1!F50</f>
        <v>2U</v>
      </c>
      <c r="G39" s="184" t="str">
        <f>Sheet1!H50</f>
        <v>6D</v>
      </c>
      <c r="H39" s="185" t="str">
        <f>Sheet1!Z50</f>
        <v>C</v>
      </c>
      <c r="I39" s="185"/>
      <c r="J39" s="185"/>
      <c r="K39" s="185"/>
      <c r="L39" s="184"/>
      <c r="M39" s="184">
        <f>Sheet1!AI50</f>
        <v>1490</v>
      </c>
      <c r="N39" s="184"/>
      <c r="O39" s="184"/>
      <c r="P39" s="184"/>
      <c r="Q39" s="184"/>
      <c r="R39" s="184">
        <f>Sheet1!P50</f>
        <v>6318</v>
      </c>
      <c r="S39" s="186"/>
      <c r="T39" s="184"/>
      <c r="U39" s="184"/>
      <c r="V39" s="184"/>
      <c r="W39" s="184"/>
      <c r="X39" s="184">
        <f>Sheet1!AS50</f>
        <v>569</v>
      </c>
      <c r="Y39" s="184">
        <f>Sheet1!AT50</f>
        <v>0.38200000000000001</v>
      </c>
      <c r="Z39" s="184"/>
      <c r="AA39" s="184"/>
      <c r="AB39" s="184"/>
      <c r="AC39" s="186"/>
      <c r="AD39" s="184"/>
      <c r="AE39" s="184"/>
      <c r="AF39" s="184"/>
      <c r="AG39" s="186"/>
      <c r="AH39" s="184"/>
      <c r="AI39" s="187"/>
      <c r="AJ39" s="191"/>
      <c r="AK39" s="191"/>
      <c r="AL39" s="191"/>
      <c r="AM39" s="191"/>
    </row>
    <row r="40" spans="1:39" ht="18" customHeight="1" x14ac:dyDescent="0.25">
      <c r="A40" s="163"/>
      <c r="B40" s="193" t="str">
        <f>Sheet1!A51</f>
        <v>10280</v>
      </c>
      <c r="C40" s="183" t="str">
        <f>Sheet1!C51</f>
        <v>BROAD ST (US41/SR45)</v>
      </c>
      <c r="D40" s="183" t="str">
        <f>Sheet1!D51</f>
        <v>LAKE LINDSEY RD</v>
      </c>
      <c r="E40" s="183" t="str">
        <f>Sheet1!E51</f>
        <v>CITRUS COUNTY LINE</v>
      </c>
      <c r="F40" s="184" t="str">
        <f>Sheet1!F51</f>
        <v>2U</v>
      </c>
      <c r="G40" s="184" t="str">
        <f>Sheet1!H51</f>
        <v>6D</v>
      </c>
      <c r="H40" s="185" t="str">
        <f>Sheet1!Z51</f>
        <v>C</v>
      </c>
      <c r="I40" s="185"/>
      <c r="J40" s="185"/>
      <c r="K40" s="185"/>
      <c r="L40" s="184"/>
      <c r="M40" s="184">
        <f>Sheet1!AI51</f>
        <v>1490</v>
      </c>
      <c r="N40" s="184"/>
      <c r="O40" s="184"/>
      <c r="P40" s="184"/>
      <c r="Q40" s="184"/>
      <c r="R40" s="184">
        <f>Sheet1!P51</f>
        <v>4405</v>
      </c>
      <c r="S40" s="186"/>
      <c r="T40" s="184"/>
      <c r="U40" s="184"/>
      <c r="V40" s="184"/>
      <c r="W40" s="184"/>
      <c r="X40" s="184">
        <f>Sheet1!AS51</f>
        <v>396</v>
      </c>
      <c r="Y40" s="184">
        <f>Sheet1!AT51</f>
        <v>0.26600000000000001</v>
      </c>
      <c r="Z40" s="184"/>
      <c r="AA40" s="184"/>
      <c r="AB40" s="184"/>
      <c r="AC40" s="186"/>
      <c r="AD40" s="184"/>
      <c r="AE40" s="184"/>
      <c r="AF40" s="184"/>
      <c r="AG40" s="186"/>
      <c r="AH40" s="184"/>
      <c r="AI40" s="187"/>
      <c r="AJ40" s="191"/>
      <c r="AK40" s="191"/>
      <c r="AL40" s="191"/>
      <c r="AM40" s="191"/>
    </row>
    <row r="41" spans="1:39" ht="18" customHeight="1" x14ac:dyDescent="0.25">
      <c r="A41" s="163"/>
      <c r="B41" s="193" t="str">
        <f>Sheet1!A52</f>
        <v>2005</v>
      </c>
      <c r="C41" s="183" t="str">
        <f>Sheet1!C52</f>
        <v>CORTEZ BLVD (SR50)</v>
      </c>
      <c r="D41" s="183" t="str">
        <f>Sheet1!D52</f>
        <v>US19 (SR55)</v>
      </c>
      <c r="E41" s="183" t="str">
        <f>Sheet1!E52</f>
        <v>DELTONA BLVD</v>
      </c>
      <c r="F41" s="184" t="str">
        <f>Sheet1!F52</f>
        <v>6D</v>
      </c>
      <c r="G41" s="184" t="str">
        <f>Sheet1!H52</f>
        <v>6D</v>
      </c>
      <c r="H41" s="185" t="str">
        <f>Sheet1!Z52</f>
        <v>C</v>
      </c>
      <c r="I41" s="185"/>
      <c r="J41" s="185"/>
      <c r="K41" s="185"/>
      <c r="L41" s="184"/>
      <c r="M41" s="184">
        <f>Sheet1!AI52</f>
        <v>5250</v>
      </c>
      <c r="N41" s="184"/>
      <c r="O41" s="184"/>
      <c r="P41" s="184"/>
      <c r="Q41" s="184"/>
      <c r="R41" s="184">
        <f>Sheet1!P52</f>
        <v>29773</v>
      </c>
      <c r="S41" s="186"/>
      <c r="T41" s="184"/>
      <c r="U41" s="184"/>
      <c r="V41" s="184"/>
      <c r="W41" s="184"/>
      <c r="X41" s="184">
        <f>Sheet1!AS52</f>
        <v>2680</v>
      </c>
      <c r="Y41" s="184">
        <f>Sheet1!AT52</f>
        <v>0.51</v>
      </c>
      <c r="Z41" s="184"/>
      <c r="AA41" s="184"/>
      <c r="AB41" s="184"/>
      <c r="AC41" s="186"/>
      <c r="AD41" s="184"/>
      <c r="AE41" s="184"/>
      <c r="AF41" s="184"/>
      <c r="AG41" s="186"/>
      <c r="AH41" s="184"/>
      <c r="AI41" s="187"/>
      <c r="AJ41" s="191"/>
      <c r="AK41" s="191"/>
      <c r="AL41" s="191"/>
      <c r="AM41" s="191"/>
    </row>
    <row r="42" spans="1:39" ht="18" customHeight="1" x14ac:dyDescent="0.25">
      <c r="A42" s="163"/>
      <c r="B42" s="193" t="str">
        <f>Sheet1!A53</f>
        <v>2010</v>
      </c>
      <c r="C42" s="183" t="str">
        <f>Sheet1!C53</f>
        <v>CORTEZ BLVD (SR50)</v>
      </c>
      <c r="D42" s="183" t="str">
        <f>Sheet1!D53</f>
        <v>DELTONA BLVD</v>
      </c>
      <c r="E42" s="183" t="str">
        <f>Sheet1!E53</f>
        <v>NIGHTWALKER RD</v>
      </c>
      <c r="F42" s="184" t="str">
        <f>Sheet1!F53</f>
        <v>6D</v>
      </c>
      <c r="G42" s="184" t="str">
        <f>Sheet1!H53</f>
        <v>6D</v>
      </c>
      <c r="H42" s="185" t="str">
        <f>Sheet1!Z53</f>
        <v>C</v>
      </c>
      <c r="I42" s="185"/>
      <c r="J42" s="185"/>
      <c r="K42" s="185"/>
      <c r="L42" s="184"/>
      <c r="M42" s="184">
        <f>Sheet1!AI53</f>
        <v>5250</v>
      </c>
      <c r="N42" s="184"/>
      <c r="O42" s="184"/>
      <c r="P42" s="184"/>
      <c r="Q42" s="184"/>
      <c r="R42" s="184">
        <f>Sheet1!P53</f>
        <v>35179</v>
      </c>
      <c r="S42" s="186"/>
      <c r="T42" s="184"/>
      <c r="U42" s="184"/>
      <c r="V42" s="184"/>
      <c r="W42" s="184"/>
      <c r="X42" s="184">
        <f>Sheet1!AS53</f>
        <v>3166</v>
      </c>
      <c r="Y42" s="184">
        <f>Sheet1!AT53</f>
        <v>0.60299999999999998</v>
      </c>
      <c r="Z42" s="184"/>
      <c r="AA42" s="184"/>
      <c r="AB42" s="184"/>
      <c r="AC42" s="186"/>
      <c r="AD42" s="184"/>
      <c r="AE42" s="184"/>
      <c r="AF42" s="184"/>
      <c r="AG42" s="186"/>
      <c r="AH42" s="184"/>
      <c r="AI42" s="187"/>
      <c r="AJ42" s="191"/>
      <c r="AK42" s="191"/>
      <c r="AL42" s="191"/>
      <c r="AM42" s="191"/>
    </row>
    <row r="43" spans="1:39" ht="18" customHeight="1" x14ac:dyDescent="0.25">
      <c r="A43" s="163"/>
      <c r="B43" s="193" t="str">
        <f>Sheet1!A54</f>
        <v>2015</v>
      </c>
      <c r="C43" s="183" t="str">
        <f>Sheet1!C54</f>
        <v>CORTEZ BLVD (SR50)</v>
      </c>
      <c r="D43" s="183" t="str">
        <f>Sheet1!D54</f>
        <v>NIGHTWALKER RD</v>
      </c>
      <c r="E43" s="183" t="str">
        <f>Sheet1!E54</f>
        <v>OAK HILL HOSPITAL</v>
      </c>
      <c r="F43" s="184" t="str">
        <f>Sheet1!F54</f>
        <v>6D</v>
      </c>
      <c r="G43" s="184" t="str">
        <f>Sheet1!H54</f>
        <v>6D</v>
      </c>
      <c r="H43" s="185" t="str">
        <f>Sheet1!Z54</f>
        <v>C</v>
      </c>
      <c r="I43" s="185"/>
      <c r="J43" s="185"/>
      <c r="K43" s="185"/>
      <c r="L43" s="184"/>
      <c r="M43" s="184">
        <f>Sheet1!AI54</f>
        <v>5250</v>
      </c>
      <c r="N43" s="184"/>
      <c r="O43" s="184"/>
      <c r="P43" s="184"/>
      <c r="Q43" s="184"/>
      <c r="R43" s="184">
        <f>Sheet1!P54</f>
        <v>42689</v>
      </c>
      <c r="S43" s="186"/>
      <c r="T43" s="184"/>
      <c r="U43" s="184"/>
      <c r="V43" s="184"/>
      <c r="W43" s="184"/>
      <c r="X43" s="184">
        <f>Sheet1!AS54</f>
        <v>3842</v>
      </c>
      <c r="Y43" s="184">
        <f>Sheet1!AT54</f>
        <v>0.73199999999999998</v>
      </c>
      <c r="Z43" s="184"/>
      <c r="AA43" s="184"/>
      <c r="AB43" s="184"/>
      <c r="AC43" s="186"/>
      <c r="AD43" s="184"/>
      <c r="AE43" s="184"/>
      <c r="AF43" s="184"/>
      <c r="AG43" s="186"/>
      <c r="AH43" s="184"/>
      <c r="AI43" s="187"/>
      <c r="AJ43" s="191"/>
      <c r="AK43" s="191"/>
      <c r="AL43" s="191"/>
      <c r="AM43" s="191"/>
    </row>
    <row r="44" spans="1:39" ht="18" customHeight="1" x14ac:dyDescent="0.25">
      <c r="A44" s="163"/>
      <c r="B44" s="193" t="str">
        <f>Sheet1!A55</f>
        <v>2020</v>
      </c>
      <c r="C44" s="183" t="str">
        <f>Sheet1!C55</f>
        <v>CORTEZ BLVD (SR50)</v>
      </c>
      <c r="D44" s="183" t="str">
        <f>Sheet1!D55</f>
        <v>OAK HILL HOSPITAL</v>
      </c>
      <c r="E44" s="183" t="str">
        <f>Sheet1!E55</f>
        <v>HIGHPOINT BLVD</v>
      </c>
      <c r="F44" s="184" t="str">
        <f>Sheet1!F55</f>
        <v>6D</v>
      </c>
      <c r="G44" s="184" t="str">
        <f>Sheet1!H55</f>
        <v>6D</v>
      </c>
      <c r="H44" s="185" t="str">
        <f>Sheet1!Z55</f>
        <v>C</v>
      </c>
      <c r="I44" s="185"/>
      <c r="J44" s="185"/>
      <c r="K44" s="185"/>
      <c r="L44" s="184"/>
      <c r="M44" s="184">
        <f>Sheet1!AI55</f>
        <v>5250</v>
      </c>
      <c r="N44" s="184"/>
      <c r="O44" s="184"/>
      <c r="P44" s="184"/>
      <c r="Q44" s="184"/>
      <c r="R44" s="184">
        <f>Sheet1!P55</f>
        <v>42689</v>
      </c>
      <c r="S44" s="186"/>
      <c r="T44" s="184"/>
      <c r="U44" s="184"/>
      <c r="V44" s="184"/>
      <c r="W44" s="184"/>
      <c r="X44" s="184">
        <f>Sheet1!AS55</f>
        <v>3842</v>
      </c>
      <c r="Y44" s="184">
        <f>Sheet1!AT55</f>
        <v>0.73199999999999998</v>
      </c>
      <c r="Z44" s="184"/>
      <c r="AA44" s="184"/>
      <c r="AB44" s="184"/>
      <c r="AC44" s="186"/>
      <c r="AD44" s="184"/>
      <c r="AE44" s="184"/>
      <c r="AF44" s="184"/>
      <c r="AG44" s="186"/>
      <c r="AH44" s="184"/>
      <c r="AI44" s="187"/>
      <c r="AJ44" s="191"/>
      <c r="AK44" s="191"/>
      <c r="AL44" s="191"/>
      <c r="AM44" s="191"/>
    </row>
    <row r="45" spans="1:39" ht="18" customHeight="1" x14ac:dyDescent="0.25">
      <c r="A45" s="163"/>
      <c r="B45" s="193" t="str">
        <f>Sheet1!A56</f>
        <v>2025</v>
      </c>
      <c r="C45" s="183" t="str">
        <f>Sheet1!C56</f>
        <v>CORTEZ BLVD (SR50)</v>
      </c>
      <c r="D45" s="183" t="str">
        <f>Sheet1!D56</f>
        <v>HIGHPOINT BLVD</v>
      </c>
      <c r="E45" s="183" t="str">
        <f>Sheet1!E56</f>
        <v>MARINER BLVD</v>
      </c>
      <c r="F45" s="184" t="str">
        <f>Sheet1!F56</f>
        <v>6D</v>
      </c>
      <c r="G45" s="184" t="str">
        <f>Sheet1!H56</f>
        <v>6D</v>
      </c>
      <c r="H45" s="185" t="str">
        <f>Sheet1!Z56</f>
        <v>C</v>
      </c>
      <c r="I45" s="185"/>
      <c r="J45" s="185"/>
      <c r="K45" s="185"/>
      <c r="L45" s="184"/>
      <c r="M45" s="184">
        <f>Sheet1!AI56</f>
        <v>5250</v>
      </c>
      <c r="N45" s="184"/>
      <c r="O45" s="184"/>
      <c r="P45" s="184"/>
      <c r="Q45" s="184"/>
      <c r="R45" s="184">
        <f>Sheet1!P56</f>
        <v>42689</v>
      </c>
      <c r="S45" s="186"/>
      <c r="T45" s="184"/>
      <c r="U45" s="184"/>
      <c r="V45" s="184"/>
      <c r="W45" s="184"/>
      <c r="X45" s="184">
        <f>Sheet1!AS56</f>
        <v>3842</v>
      </c>
      <c r="Y45" s="184">
        <f>Sheet1!AT56</f>
        <v>0.73199999999999998</v>
      </c>
      <c r="Z45" s="184"/>
      <c r="AA45" s="184"/>
      <c r="AB45" s="184"/>
      <c r="AC45" s="186"/>
      <c r="AD45" s="184"/>
      <c r="AE45" s="184"/>
      <c r="AF45" s="184"/>
      <c r="AG45" s="186"/>
      <c r="AH45" s="184"/>
      <c r="AI45" s="187"/>
      <c r="AJ45" s="191"/>
      <c r="AK45" s="191"/>
      <c r="AL45" s="191"/>
      <c r="AM45" s="191"/>
    </row>
    <row r="46" spans="1:39" ht="18" customHeight="1" x14ac:dyDescent="0.25">
      <c r="A46" s="163"/>
      <c r="B46" s="193" t="str">
        <f>Sheet1!A57</f>
        <v>2030.1</v>
      </c>
      <c r="C46" s="183" t="str">
        <f>Sheet1!C57</f>
        <v>CORTEZ BLVD (SR50)</v>
      </c>
      <c r="D46" s="183" t="str">
        <f>Sheet1!D57</f>
        <v>MARINER BLVD</v>
      </c>
      <c r="E46" s="183" t="str">
        <f>Sheet1!E57</f>
        <v>CHAMBORD</v>
      </c>
      <c r="F46" s="184" t="str">
        <f>Sheet1!F57</f>
        <v>6D</v>
      </c>
      <c r="G46" s="184" t="str">
        <f>Sheet1!H57</f>
        <v>6D</v>
      </c>
      <c r="H46" s="185" t="str">
        <f>Sheet1!Z57</f>
        <v>C</v>
      </c>
      <c r="I46" s="185"/>
      <c r="J46" s="185"/>
      <c r="K46" s="185"/>
      <c r="L46" s="184"/>
      <c r="M46" s="184">
        <f>Sheet1!AI57</f>
        <v>5250</v>
      </c>
      <c r="N46" s="184"/>
      <c r="O46" s="184"/>
      <c r="P46" s="184"/>
      <c r="Q46" s="184"/>
      <c r="R46" s="184">
        <f>Sheet1!P57</f>
        <v>49664</v>
      </c>
      <c r="S46" s="186"/>
      <c r="T46" s="184"/>
      <c r="U46" s="184"/>
      <c r="V46" s="184"/>
      <c r="W46" s="184"/>
      <c r="X46" s="184">
        <f>Sheet1!AS57</f>
        <v>4470</v>
      </c>
      <c r="Y46" s="184">
        <f>Sheet1!AT57</f>
        <v>0.85099999999999998</v>
      </c>
      <c r="Z46" s="184"/>
      <c r="AA46" s="184"/>
      <c r="AB46" s="184"/>
      <c r="AC46" s="186"/>
      <c r="AD46" s="184"/>
      <c r="AE46" s="184"/>
      <c r="AF46" s="184"/>
      <c r="AG46" s="186"/>
      <c r="AH46" s="184"/>
      <c r="AI46" s="187"/>
      <c r="AJ46" s="191"/>
      <c r="AK46" s="191"/>
      <c r="AL46" s="191"/>
      <c r="AM46" s="191"/>
    </row>
    <row r="47" spans="1:39" ht="18" customHeight="1" x14ac:dyDescent="0.25">
      <c r="A47" s="163"/>
      <c r="B47" s="193" t="str">
        <f>Sheet1!A58</f>
        <v>2030.2</v>
      </c>
      <c r="C47" s="183" t="str">
        <f>Sheet1!C58</f>
        <v>CORTEZ BLVD (SR50)</v>
      </c>
      <c r="D47" s="183" t="str">
        <f>Sheet1!D58</f>
        <v>CHAMBORD</v>
      </c>
      <c r="E47" s="183" t="str">
        <f>Sheet1!E58</f>
        <v>SUNSHINE GROVE RD</v>
      </c>
      <c r="F47" s="184" t="str">
        <f>Sheet1!F58</f>
        <v>6D</v>
      </c>
      <c r="G47" s="184" t="str">
        <f>Sheet1!H58</f>
        <v>6D</v>
      </c>
      <c r="H47" s="185" t="str">
        <f>Sheet1!Z58</f>
        <v>C</v>
      </c>
      <c r="I47" s="185"/>
      <c r="J47" s="185"/>
      <c r="K47" s="185"/>
      <c r="L47" s="184"/>
      <c r="M47" s="184">
        <f>Sheet1!AI58</f>
        <v>5250</v>
      </c>
      <c r="N47" s="184"/>
      <c r="O47" s="184"/>
      <c r="P47" s="184"/>
      <c r="Q47" s="184"/>
      <c r="R47" s="184">
        <f>Sheet1!P58</f>
        <v>49664</v>
      </c>
      <c r="S47" s="186"/>
      <c r="T47" s="184"/>
      <c r="U47" s="184"/>
      <c r="V47" s="184"/>
      <c r="W47" s="184"/>
      <c r="X47" s="184">
        <f>Sheet1!AS58</f>
        <v>4470</v>
      </c>
      <c r="Y47" s="184">
        <f>Sheet1!AT58</f>
        <v>0.85099999999999998</v>
      </c>
      <c r="Z47" s="184"/>
      <c r="AA47" s="184"/>
      <c r="AB47" s="184"/>
      <c r="AC47" s="186"/>
      <c r="AD47" s="184"/>
      <c r="AE47" s="184"/>
      <c r="AF47" s="184"/>
      <c r="AG47" s="186"/>
      <c r="AH47" s="184"/>
      <c r="AI47" s="187"/>
      <c r="AJ47" s="191"/>
      <c r="AK47" s="191"/>
      <c r="AL47" s="191"/>
      <c r="AM47" s="191"/>
    </row>
    <row r="48" spans="1:39" ht="18" customHeight="1" x14ac:dyDescent="0.25">
      <c r="A48" s="163"/>
      <c r="B48" s="193" t="str">
        <f>Sheet1!A59</f>
        <v>2035</v>
      </c>
      <c r="C48" s="183" t="str">
        <f>Sheet1!C59</f>
        <v>CORTEZ BLVD (SR50)</v>
      </c>
      <c r="D48" s="183" t="str">
        <f>Sheet1!D59</f>
        <v>SUNSHINE GROVE RD</v>
      </c>
      <c r="E48" s="183" t="str">
        <f>Sheet1!E59</f>
        <v>BARCLAY AVE</v>
      </c>
      <c r="F48" s="184" t="str">
        <f>Sheet1!F59</f>
        <v>6D</v>
      </c>
      <c r="G48" s="184" t="str">
        <f>Sheet1!H59</f>
        <v>6D</v>
      </c>
      <c r="H48" s="185" t="str">
        <f>Sheet1!Z59</f>
        <v>C</v>
      </c>
      <c r="I48" s="185"/>
      <c r="J48" s="185"/>
      <c r="K48" s="185"/>
      <c r="L48" s="184"/>
      <c r="M48" s="184">
        <f>Sheet1!AI59</f>
        <v>5250</v>
      </c>
      <c r="N48" s="184"/>
      <c r="O48" s="184"/>
      <c r="P48" s="184"/>
      <c r="Q48" s="184"/>
      <c r="R48" s="184">
        <f>Sheet1!P59</f>
        <v>49664</v>
      </c>
      <c r="S48" s="186"/>
      <c r="T48" s="184"/>
      <c r="U48" s="184"/>
      <c r="V48" s="184"/>
      <c r="W48" s="184"/>
      <c r="X48" s="184">
        <f>Sheet1!AS59</f>
        <v>4470</v>
      </c>
      <c r="Y48" s="184">
        <f>Sheet1!AT59</f>
        <v>0.85099999999999998</v>
      </c>
      <c r="Z48" s="184"/>
      <c r="AA48" s="184"/>
      <c r="AB48" s="184"/>
      <c r="AC48" s="186"/>
      <c r="AD48" s="184"/>
      <c r="AE48" s="184"/>
      <c r="AF48" s="184"/>
      <c r="AG48" s="186"/>
      <c r="AH48" s="184"/>
      <c r="AI48" s="187"/>
      <c r="AJ48" s="191"/>
      <c r="AK48" s="191"/>
      <c r="AL48" s="191"/>
      <c r="AM48" s="191"/>
    </row>
    <row r="49" spans="1:39" ht="18" customHeight="1" x14ac:dyDescent="0.25">
      <c r="A49" s="163"/>
      <c r="B49" s="193" t="str">
        <f>Sheet1!A60</f>
        <v>2040.3</v>
      </c>
      <c r="C49" s="183" t="str">
        <f>Sheet1!C60</f>
        <v>CORTEZ BLVD (SR50)</v>
      </c>
      <c r="D49" s="183" t="str">
        <f>Sheet1!D60</f>
        <v>BARCLAY AVE</v>
      </c>
      <c r="E49" s="183" t="str">
        <f>Sheet1!E60</f>
        <v>GROVE RD</v>
      </c>
      <c r="F49" s="184" t="str">
        <f>Sheet1!F60</f>
        <v>6D</v>
      </c>
      <c r="G49" s="184" t="str">
        <f>Sheet1!H60</f>
        <v>6D</v>
      </c>
      <c r="H49" s="185" t="str">
        <f>Sheet1!Z60</f>
        <v>C</v>
      </c>
      <c r="I49" s="185"/>
      <c r="J49" s="185"/>
      <c r="K49" s="185"/>
      <c r="L49" s="184"/>
      <c r="M49" s="184">
        <f>Sheet1!AI60</f>
        <v>5250</v>
      </c>
      <c r="N49" s="184"/>
      <c r="O49" s="184"/>
      <c r="P49" s="184"/>
      <c r="Q49" s="184"/>
      <c r="R49" s="184">
        <f>Sheet1!P60</f>
        <v>39416</v>
      </c>
      <c r="S49" s="186"/>
      <c r="T49" s="184"/>
      <c r="U49" s="184"/>
      <c r="V49" s="184"/>
      <c r="W49" s="184"/>
      <c r="X49" s="184">
        <f>Sheet1!AS60</f>
        <v>3547</v>
      </c>
      <c r="Y49" s="184">
        <f>Sheet1!AT60</f>
        <v>0.67600000000000005</v>
      </c>
      <c r="Z49" s="184"/>
      <c r="AA49" s="184"/>
      <c r="AB49" s="184"/>
      <c r="AC49" s="186"/>
      <c r="AD49" s="184"/>
      <c r="AE49" s="184"/>
      <c r="AF49" s="184"/>
      <c r="AG49" s="186"/>
      <c r="AH49" s="184"/>
      <c r="AI49" s="187"/>
      <c r="AJ49" s="191"/>
      <c r="AK49" s="191"/>
      <c r="AL49" s="191"/>
      <c r="AM49" s="191"/>
    </row>
    <row r="50" spans="1:39" ht="18" customHeight="1" x14ac:dyDescent="0.25">
      <c r="A50" s="163"/>
      <c r="B50" s="193" t="str">
        <f>Sheet1!A61</f>
        <v>2040.5</v>
      </c>
      <c r="C50" s="183" t="str">
        <f>Sheet1!C61</f>
        <v>CORTEZ BLVD (SR50)</v>
      </c>
      <c r="D50" s="183" t="str">
        <f>Sheet1!D61</f>
        <v>GROVE RD</v>
      </c>
      <c r="E50" s="183" t="str">
        <f>Sheet1!E61</f>
        <v>S SUNCOAST PKWY RAMP</v>
      </c>
      <c r="F50" s="184" t="str">
        <f>Sheet1!F61</f>
        <v>6D</v>
      </c>
      <c r="G50" s="184" t="str">
        <f>Sheet1!H61</f>
        <v>4D</v>
      </c>
      <c r="H50" s="185" t="str">
        <f>Sheet1!Z61</f>
        <v>C</v>
      </c>
      <c r="I50" s="185"/>
      <c r="J50" s="185"/>
      <c r="K50" s="185"/>
      <c r="L50" s="184"/>
      <c r="M50" s="184">
        <f>Sheet1!AI61</f>
        <v>5250</v>
      </c>
      <c r="N50" s="184"/>
      <c r="O50" s="184"/>
      <c r="P50" s="184"/>
      <c r="Q50" s="184"/>
      <c r="R50" s="184">
        <f>Sheet1!P61</f>
        <v>39416</v>
      </c>
      <c r="S50" s="186"/>
      <c r="T50" s="184"/>
      <c r="U50" s="184"/>
      <c r="V50" s="184"/>
      <c r="W50" s="184"/>
      <c r="X50" s="184">
        <f>Sheet1!AS61</f>
        <v>3547</v>
      </c>
      <c r="Y50" s="184">
        <f>Sheet1!AT61</f>
        <v>0.67600000000000005</v>
      </c>
      <c r="Z50" s="184"/>
      <c r="AA50" s="184"/>
      <c r="AB50" s="184"/>
      <c r="AC50" s="186"/>
      <c r="AD50" s="184"/>
      <c r="AE50" s="184"/>
      <c r="AF50" s="184"/>
      <c r="AG50" s="186"/>
      <c r="AH50" s="184"/>
      <c r="AI50" s="187"/>
      <c r="AJ50" s="191"/>
      <c r="AK50" s="191"/>
      <c r="AL50" s="191"/>
      <c r="AM50" s="191"/>
    </row>
    <row r="51" spans="1:39" ht="18" customHeight="1" x14ac:dyDescent="0.25">
      <c r="A51" s="163"/>
      <c r="B51" s="193" t="str">
        <f>Sheet1!A62</f>
        <v>20565</v>
      </c>
      <c r="C51" s="183" t="str">
        <f>Sheet1!C62</f>
        <v>CORTEZ BLVD (SR50)</v>
      </c>
      <c r="D51" s="183" t="str">
        <f>Sheet1!D62</f>
        <v>S SUNCOAST PKWY RAMP</v>
      </c>
      <c r="E51" s="183" t="str">
        <f>Sheet1!E62</f>
        <v>N SUNCOAST PKWY RAMP</v>
      </c>
      <c r="F51" s="184" t="str">
        <f>Sheet1!F62</f>
        <v>6D</v>
      </c>
      <c r="G51" s="184" t="str">
        <f>Sheet1!H62</f>
        <v>4D</v>
      </c>
      <c r="H51" s="185" t="str">
        <f>Sheet1!Z62</f>
        <v>C</v>
      </c>
      <c r="I51" s="185"/>
      <c r="J51" s="185"/>
      <c r="K51" s="185"/>
      <c r="L51" s="184"/>
      <c r="M51" s="184">
        <f>Sheet1!AI62</f>
        <v>5250</v>
      </c>
      <c r="N51" s="184"/>
      <c r="O51" s="184"/>
      <c r="P51" s="184"/>
      <c r="Q51" s="184"/>
      <c r="R51" s="184">
        <f>Sheet1!P62</f>
        <v>39416</v>
      </c>
      <c r="S51" s="186"/>
      <c r="T51" s="184"/>
      <c r="U51" s="184"/>
      <c r="V51" s="184"/>
      <c r="W51" s="184"/>
      <c r="X51" s="184">
        <f>Sheet1!AS62</f>
        <v>3547</v>
      </c>
      <c r="Y51" s="184">
        <f>Sheet1!AT62</f>
        <v>0.67600000000000005</v>
      </c>
      <c r="Z51" s="184"/>
      <c r="AA51" s="184"/>
      <c r="AB51" s="184"/>
      <c r="AC51" s="186"/>
      <c r="AD51" s="184"/>
      <c r="AE51" s="184"/>
      <c r="AF51" s="184"/>
      <c r="AG51" s="186"/>
      <c r="AH51" s="184"/>
      <c r="AI51" s="187"/>
      <c r="AJ51" s="191"/>
      <c r="AK51" s="191"/>
      <c r="AL51" s="191"/>
      <c r="AM51" s="191"/>
    </row>
    <row r="52" spans="1:39" ht="18" customHeight="1" x14ac:dyDescent="0.25">
      <c r="A52" s="163"/>
      <c r="B52" s="193" t="str">
        <f>Sheet1!A63</f>
        <v>20570</v>
      </c>
      <c r="C52" s="183" t="str">
        <f>Sheet1!C63</f>
        <v>CORTEZ BLVD (SR50)</v>
      </c>
      <c r="D52" s="183" t="str">
        <f>Sheet1!D63</f>
        <v>N SUNCOAST PKWY RAMP</v>
      </c>
      <c r="E52" s="183" t="str">
        <f>Sheet1!E63</f>
        <v>SUMMER ST</v>
      </c>
      <c r="F52" s="184" t="str">
        <f>Sheet1!F63</f>
        <v>4D</v>
      </c>
      <c r="G52" s="184" t="str">
        <f>Sheet1!H63</f>
        <v>4D</v>
      </c>
      <c r="H52" s="185" t="str">
        <f>Sheet1!Z63</f>
        <v>C</v>
      </c>
      <c r="I52" s="185"/>
      <c r="J52" s="185"/>
      <c r="K52" s="185"/>
      <c r="L52" s="184"/>
      <c r="M52" s="184">
        <f>Sheet1!AI63</f>
        <v>3420</v>
      </c>
      <c r="N52" s="184"/>
      <c r="O52" s="184"/>
      <c r="P52" s="184"/>
      <c r="Q52" s="184"/>
      <c r="R52" s="184">
        <f>Sheet1!P63</f>
        <v>28154</v>
      </c>
      <c r="S52" s="186"/>
      <c r="T52" s="184"/>
      <c r="U52" s="184"/>
      <c r="V52" s="184"/>
      <c r="W52" s="184"/>
      <c r="X52" s="184">
        <f>Sheet1!AS63</f>
        <v>2534</v>
      </c>
      <c r="Y52" s="184">
        <f>Sheet1!AT63</f>
        <v>0.74099999999999999</v>
      </c>
      <c r="Z52" s="184"/>
      <c r="AA52" s="184"/>
      <c r="AB52" s="184"/>
      <c r="AC52" s="186"/>
      <c r="AD52" s="184"/>
      <c r="AE52" s="184"/>
      <c r="AF52" s="184"/>
      <c r="AG52" s="186"/>
      <c r="AH52" s="184"/>
      <c r="AI52" s="187"/>
      <c r="AJ52" s="191"/>
      <c r="AK52" s="191"/>
      <c r="AL52" s="191"/>
      <c r="AM52" s="191"/>
    </row>
    <row r="53" spans="1:39" ht="18" customHeight="1" x14ac:dyDescent="0.25">
      <c r="A53" s="163"/>
      <c r="B53" s="193" t="str">
        <f>Sheet1!A64</f>
        <v>2043</v>
      </c>
      <c r="C53" s="183" t="str">
        <f>Sheet1!C64</f>
        <v>CORTEZ BLVD (SR50)</v>
      </c>
      <c r="D53" s="183" t="str">
        <f>Sheet1!D64</f>
        <v>SUMMER ST</v>
      </c>
      <c r="E53" s="183" t="str">
        <f>Sheet1!E64</f>
        <v>WISCON RD</v>
      </c>
      <c r="F53" s="184" t="str">
        <f>Sheet1!F64</f>
        <v>4D</v>
      </c>
      <c r="G53" s="184" t="str">
        <f>Sheet1!H64</f>
        <v>4D</v>
      </c>
      <c r="H53" s="185" t="str">
        <f>Sheet1!Z64</f>
        <v>C</v>
      </c>
      <c r="I53" s="185"/>
      <c r="J53" s="185"/>
      <c r="K53" s="185"/>
      <c r="L53" s="184"/>
      <c r="M53" s="184">
        <f>Sheet1!AI64</f>
        <v>3420</v>
      </c>
      <c r="N53" s="184"/>
      <c r="O53" s="184"/>
      <c r="P53" s="184"/>
      <c r="Q53" s="184"/>
      <c r="R53" s="184">
        <f>Sheet1!P64</f>
        <v>28154</v>
      </c>
      <c r="S53" s="186"/>
      <c r="T53" s="184"/>
      <c r="U53" s="184"/>
      <c r="V53" s="184"/>
      <c r="W53" s="184"/>
      <c r="X53" s="184">
        <f>Sheet1!AS64</f>
        <v>2534</v>
      </c>
      <c r="Y53" s="184">
        <f>Sheet1!AT64</f>
        <v>0.74099999999999999</v>
      </c>
      <c r="Z53" s="184"/>
      <c r="AA53" s="184"/>
      <c r="AB53" s="184"/>
      <c r="AC53" s="186"/>
      <c r="AD53" s="184"/>
      <c r="AE53" s="184"/>
      <c r="AF53" s="184"/>
      <c r="AG53" s="186"/>
      <c r="AH53" s="184"/>
      <c r="AI53" s="187"/>
      <c r="AJ53" s="191"/>
      <c r="AK53" s="191"/>
      <c r="AL53" s="191"/>
      <c r="AM53" s="191"/>
    </row>
    <row r="54" spans="1:39" ht="18" customHeight="1" x14ac:dyDescent="0.25">
      <c r="A54" s="163"/>
      <c r="B54" s="193" t="str">
        <f>Sheet1!A65</f>
        <v>2045.1</v>
      </c>
      <c r="C54" s="183" t="str">
        <f>Sheet1!C65</f>
        <v>CORTEZ BLVD (SR50)</v>
      </c>
      <c r="D54" s="183" t="str">
        <f>Sheet1!D65</f>
        <v>WISCON RD</v>
      </c>
      <c r="E54" s="183" t="str">
        <f>Sheet1!E65</f>
        <v>WINTER ST</v>
      </c>
      <c r="F54" s="184" t="str">
        <f>Sheet1!F65</f>
        <v>4D</v>
      </c>
      <c r="G54" s="184" t="str">
        <f>Sheet1!H65</f>
        <v>4D</v>
      </c>
      <c r="H54" s="185" t="str">
        <f>Sheet1!Z65</f>
        <v>C</v>
      </c>
      <c r="I54" s="185"/>
      <c r="J54" s="185"/>
      <c r="K54" s="185"/>
      <c r="L54" s="184"/>
      <c r="M54" s="184">
        <f>Sheet1!AI65</f>
        <v>3420</v>
      </c>
      <c r="N54" s="184"/>
      <c r="O54" s="184"/>
      <c r="P54" s="184"/>
      <c r="Q54" s="184"/>
      <c r="R54" s="184">
        <f>Sheet1!P65</f>
        <v>28154</v>
      </c>
      <c r="S54" s="186"/>
      <c r="T54" s="184"/>
      <c r="U54" s="184"/>
      <c r="V54" s="184"/>
      <c r="W54" s="184"/>
      <c r="X54" s="184">
        <f>Sheet1!AS65</f>
        <v>2534</v>
      </c>
      <c r="Y54" s="184">
        <f>Sheet1!AT65</f>
        <v>0.74099999999999999</v>
      </c>
      <c r="Z54" s="184"/>
      <c r="AA54" s="184"/>
      <c r="AB54" s="184"/>
      <c r="AC54" s="186"/>
      <c r="AD54" s="184"/>
      <c r="AE54" s="184"/>
      <c r="AF54" s="184"/>
      <c r="AG54" s="186"/>
      <c r="AH54" s="184"/>
      <c r="AI54" s="187"/>
      <c r="AJ54" s="191"/>
      <c r="AK54" s="191"/>
      <c r="AL54" s="191"/>
      <c r="AM54" s="191"/>
    </row>
    <row r="55" spans="1:39" ht="18" customHeight="1" x14ac:dyDescent="0.25">
      <c r="A55" s="163"/>
      <c r="B55" s="193" t="str">
        <f>Sheet1!A66</f>
        <v>2045.2</v>
      </c>
      <c r="C55" s="183" t="str">
        <f>Sheet1!C66</f>
        <v>CORTEZ BLVD (SR50)</v>
      </c>
      <c r="D55" s="183" t="str">
        <f>Sheet1!D66</f>
        <v>WINTER ST</v>
      </c>
      <c r="E55" s="183" t="str">
        <f>Sheet1!E66</f>
        <v>FORT DADE AVE</v>
      </c>
      <c r="F55" s="184" t="str">
        <f>Sheet1!F66</f>
        <v>4D</v>
      </c>
      <c r="G55" s="184" t="str">
        <f>Sheet1!H66</f>
        <v>4D</v>
      </c>
      <c r="H55" s="185" t="str">
        <f>Sheet1!Z66</f>
        <v>C</v>
      </c>
      <c r="I55" s="185"/>
      <c r="J55" s="185"/>
      <c r="K55" s="185"/>
      <c r="L55" s="184"/>
      <c r="M55" s="184">
        <f>Sheet1!AI66</f>
        <v>3420</v>
      </c>
      <c r="N55" s="184"/>
      <c r="O55" s="184"/>
      <c r="P55" s="184"/>
      <c r="Q55" s="184"/>
      <c r="R55" s="184">
        <f>Sheet1!P66</f>
        <v>28154</v>
      </c>
      <c r="S55" s="186"/>
      <c r="T55" s="184"/>
      <c r="U55" s="184"/>
      <c r="V55" s="184"/>
      <c r="W55" s="184"/>
      <c r="X55" s="184">
        <f>Sheet1!AS66</f>
        <v>2534</v>
      </c>
      <c r="Y55" s="184">
        <f>Sheet1!AT66</f>
        <v>0.74099999999999999</v>
      </c>
      <c r="Z55" s="184"/>
      <c r="AA55" s="184"/>
      <c r="AB55" s="184"/>
      <c r="AC55" s="186"/>
      <c r="AD55" s="184"/>
      <c r="AE55" s="184"/>
      <c r="AF55" s="184"/>
      <c r="AG55" s="186"/>
      <c r="AH55" s="184"/>
      <c r="AI55" s="187"/>
      <c r="AJ55" s="191"/>
      <c r="AK55" s="191"/>
      <c r="AL55" s="191"/>
      <c r="AM55" s="191"/>
    </row>
    <row r="56" spans="1:39" ht="18" customHeight="1" x14ac:dyDescent="0.25">
      <c r="A56" s="163"/>
      <c r="B56" s="193" t="str">
        <f>Sheet1!A67</f>
        <v>2050</v>
      </c>
      <c r="C56" s="183" t="str">
        <f>Sheet1!C67</f>
        <v>CORTEZ BLVD (SR50)</v>
      </c>
      <c r="D56" s="183" t="str">
        <f>Sheet1!D67</f>
        <v>FORT DADE AVE</v>
      </c>
      <c r="E56" s="183" t="str">
        <f>Sheet1!E67</f>
        <v>CALIFORNIA ST</v>
      </c>
      <c r="F56" s="184" t="str">
        <f>Sheet1!F67</f>
        <v>4D</v>
      </c>
      <c r="G56" s="184" t="str">
        <f>Sheet1!H67</f>
        <v>6D</v>
      </c>
      <c r="H56" s="185" t="str">
        <f>Sheet1!Z67</f>
        <v>C</v>
      </c>
      <c r="I56" s="185"/>
      <c r="J56" s="185"/>
      <c r="K56" s="185"/>
      <c r="L56" s="184"/>
      <c r="M56" s="184">
        <f>Sheet1!AI67</f>
        <v>3420</v>
      </c>
      <c r="N56" s="184"/>
      <c r="O56" s="184"/>
      <c r="P56" s="184"/>
      <c r="Q56" s="184"/>
      <c r="R56" s="184">
        <f>Sheet1!P67</f>
        <v>28154</v>
      </c>
      <c r="S56" s="186"/>
      <c r="T56" s="184"/>
      <c r="U56" s="184"/>
      <c r="V56" s="184"/>
      <c r="W56" s="184"/>
      <c r="X56" s="184">
        <f>Sheet1!AS67</f>
        <v>2534</v>
      </c>
      <c r="Y56" s="184">
        <f>Sheet1!AT67</f>
        <v>0.74099999999999999</v>
      </c>
      <c r="Z56" s="184"/>
      <c r="AA56" s="184"/>
      <c r="AB56" s="184"/>
      <c r="AC56" s="186"/>
      <c r="AD56" s="184"/>
      <c r="AE56" s="184"/>
      <c r="AF56" s="184"/>
      <c r="AG56" s="186"/>
      <c r="AH56" s="184"/>
      <c r="AI56" s="187"/>
      <c r="AJ56" s="191"/>
      <c r="AK56" s="191"/>
      <c r="AL56" s="191"/>
      <c r="AM56" s="191"/>
    </row>
    <row r="57" spans="1:39" ht="18" customHeight="1" x14ac:dyDescent="0.25">
      <c r="A57" s="163"/>
      <c r="B57" s="193" t="str">
        <f>Sheet1!A68</f>
        <v>2055</v>
      </c>
      <c r="C57" s="183" t="str">
        <f>Sheet1!C68</f>
        <v>CORTEZ BLVD (SR50)</v>
      </c>
      <c r="D57" s="183" t="str">
        <f>Sheet1!D68</f>
        <v>CALIFORNIA ST</v>
      </c>
      <c r="E57" s="183" t="str">
        <f>Sheet1!E68</f>
        <v>COBB RD</v>
      </c>
      <c r="F57" s="184" t="str">
        <f>Sheet1!F68</f>
        <v>4D</v>
      </c>
      <c r="G57" s="184" t="str">
        <f>Sheet1!H68</f>
        <v>6D</v>
      </c>
      <c r="H57" s="185" t="str">
        <f>Sheet1!Z68</f>
        <v>C</v>
      </c>
      <c r="I57" s="185"/>
      <c r="J57" s="185"/>
      <c r="K57" s="185"/>
      <c r="L57" s="184"/>
      <c r="M57" s="184">
        <f>Sheet1!AI68</f>
        <v>3420</v>
      </c>
      <c r="N57" s="184"/>
      <c r="O57" s="184"/>
      <c r="P57" s="184"/>
      <c r="Q57" s="184"/>
      <c r="R57" s="184">
        <f>Sheet1!P68</f>
        <v>26131</v>
      </c>
      <c r="S57" s="186"/>
      <c r="T57" s="184"/>
      <c r="U57" s="184"/>
      <c r="V57" s="184"/>
      <c r="W57" s="184"/>
      <c r="X57" s="184">
        <f>Sheet1!AS68</f>
        <v>2352</v>
      </c>
      <c r="Y57" s="184">
        <f>Sheet1!AT68</f>
        <v>0.68799999999999994</v>
      </c>
      <c r="Z57" s="184"/>
      <c r="AA57" s="184"/>
      <c r="AB57" s="184"/>
      <c r="AC57" s="186"/>
      <c r="AD57" s="184"/>
      <c r="AE57" s="184"/>
      <c r="AF57" s="184"/>
      <c r="AG57" s="186"/>
      <c r="AH57" s="184"/>
      <c r="AI57" s="187"/>
      <c r="AJ57" s="191"/>
      <c r="AK57" s="191"/>
      <c r="AL57" s="191"/>
      <c r="AM57" s="191"/>
    </row>
    <row r="58" spans="1:39" ht="18" customHeight="1" x14ac:dyDescent="0.25">
      <c r="A58" s="163"/>
      <c r="B58" s="193" t="str">
        <f>Sheet1!A69</f>
        <v>10840</v>
      </c>
      <c r="C58" s="183" t="str">
        <f>Sheet1!C69</f>
        <v>US19 (SR55)</v>
      </c>
      <c r="D58" s="183" t="str">
        <f>Sheet1!D69</f>
        <v>COUNTY LINE RD</v>
      </c>
      <c r="E58" s="183" t="str">
        <f>Sheet1!E69</f>
        <v>APPLEGATE DR</v>
      </c>
      <c r="F58" s="184" t="str">
        <f>Sheet1!F69</f>
        <v>6D</v>
      </c>
      <c r="G58" s="184" t="str">
        <f>Sheet1!H69</f>
        <v>6D</v>
      </c>
      <c r="H58" s="185" t="str">
        <f>Sheet1!Z69</f>
        <v>C</v>
      </c>
      <c r="I58" s="185"/>
      <c r="J58" s="185"/>
      <c r="K58" s="185"/>
      <c r="L58" s="184"/>
      <c r="M58" s="184">
        <f>Sheet1!AI69</f>
        <v>5250</v>
      </c>
      <c r="N58" s="184"/>
      <c r="O58" s="184"/>
      <c r="P58" s="184"/>
      <c r="Q58" s="184"/>
      <c r="R58" s="184">
        <f>Sheet1!P69</f>
        <v>39464</v>
      </c>
      <c r="S58" s="186"/>
      <c r="T58" s="184"/>
      <c r="U58" s="184"/>
      <c r="V58" s="184"/>
      <c r="W58" s="184"/>
      <c r="X58" s="184">
        <f>Sheet1!AS69</f>
        <v>3552</v>
      </c>
      <c r="Y58" s="184">
        <f>Sheet1!AT69</f>
        <v>0.67700000000000005</v>
      </c>
      <c r="Z58" s="184"/>
      <c r="AA58" s="184"/>
      <c r="AB58" s="184"/>
      <c r="AC58" s="186"/>
      <c r="AD58" s="184"/>
      <c r="AE58" s="184"/>
      <c r="AF58" s="184"/>
      <c r="AG58" s="186"/>
      <c r="AH58" s="184"/>
      <c r="AI58" s="187"/>
      <c r="AJ58" s="191"/>
      <c r="AK58" s="191"/>
      <c r="AL58" s="191"/>
      <c r="AM58" s="191"/>
    </row>
    <row r="59" spans="1:39" ht="18" customHeight="1" x14ac:dyDescent="0.25">
      <c r="A59" s="163"/>
      <c r="B59" s="193" t="str">
        <f>Sheet1!A70</f>
        <v>10850</v>
      </c>
      <c r="C59" s="183" t="str">
        <f>Sheet1!C70</f>
        <v>US19 (SR55)</v>
      </c>
      <c r="D59" s="183" t="str">
        <f>Sheet1!D70</f>
        <v>APPLEGATE DR</v>
      </c>
      <c r="E59" s="183" t="str">
        <f>Sheet1!E70</f>
        <v>SPRING HILL DR</v>
      </c>
      <c r="F59" s="184" t="str">
        <f>Sheet1!F70</f>
        <v>6D</v>
      </c>
      <c r="G59" s="184" t="str">
        <f>Sheet1!H70</f>
        <v>6D</v>
      </c>
      <c r="H59" s="185" t="str">
        <f>Sheet1!Z70</f>
        <v>C</v>
      </c>
      <c r="I59" s="185"/>
      <c r="J59" s="185"/>
      <c r="K59" s="185"/>
      <c r="L59" s="184"/>
      <c r="M59" s="184">
        <f>Sheet1!AI70</f>
        <v>5250</v>
      </c>
      <c r="N59" s="184"/>
      <c r="O59" s="184"/>
      <c r="P59" s="184"/>
      <c r="Q59" s="184"/>
      <c r="R59" s="184">
        <f>Sheet1!P70</f>
        <v>39464</v>
      </c>
      <c r="S59" s="186"/>
      <c r="T59" s="184"/>
      <c r="U59" s="184"/>
      <c r="V59" s="184"/>
      <c r="W59" s="184"/>
      <c r="X59" s="184">
        <f>Sheet1!AS70</f>
        <v>3552</v>
      </c>
      <c r="Y59" s="184">
        <f>Sheet1!AT70</f>
        <v>0.67700000000000005</v>
      </c>
      <c r="Z59" s="184"/>
      <c r="AA59" s="184"/>
      <c r="AB59" s="184"/>
      <c r="AC59" s="186"/>
      <c r="AD59" s="184"/>
      <c r="AE59" s="184"/>
      <c r="AF59" s="184"/>
      <c r="AG59" s="186"/>
      <c r="AH59" s="184"/>
      <c r="AI59" s="187"/>
      <c r="AJ59" s="191"/>
      <c r="AK59" s="191"/>
      <c r="AL59" s="191"/>
      <c r="AM59" s="191"/>
    </row>
    <row r="60" spans="1:39" ht="18" customHeight="1" x14ac:dyDescent="0.25">
      <c r="A60" s="163"/>
      <c r="B60" s="193" t="str">
        <f>Sheet1!A71</f>
        <v>10860.3</v>
      </c>
      <c r="C60" s="183" t="str">
        <f>Sheet1!C71</f>
        <v>US19 (SR55)</v>
      </c>
      <c r="D60" s="183" t="str">
        <f>Sheet1!D71</f>
        <v>SPRING HILL DR</v>
      </c>
      <c r="E60" s="183" t="str">
        <f>Sheet1!E71</f>
        <v>TRENTON</v>
      </c>
      <c r="F60" s="184" t="str">
        <f>Sheet1!F71</f>
        <v>6D</v>
      </c>
      <c r="G60" s="184" t="str">
        <f>Sheet1!H71</f>
        <v>6D</v>
      </c>
      <c r="H60" s="185" t="str">
        <f>Sheet1!Z71</f>
        <v>C</v>
      </c>
      <c r="I60" s="185"/>
      <c r="J60" s="185"/>
      <c r="K60" s="185"/>
      <c r="L60" s="184"/>
      <c r="M60" s="184">
        <f>Sheet1!AI71</f>
        <v>5250</v>
      </c>
      <c r="N60" s="184"/>
      <c r="O60" s="184"/>
      <c r="P60" s="184"/>
      <c r="Q60" s="184"/>
      <c r="R60" s="184">
        <f>Sheet1!P71</f>
        <v>47418</v>
      </c>
      <c r="S60" s="186"/>
      <c r="T60" s="184"/>
      <c r="U60" s="184"/>
      <c r="V60" s="184"/>
      <c r="W60" s="184"/>
      <c r="X60" s="184">
        <f>Sheet1!AS71</f>
        <v>4268</v>
      </c>
      <c r="Y60" s="184">
        <f>Sheet1!AT71</f>
        <v>0.81299999999999994</v>
      </c>
      <c r="Z60" s="184"/>
      <c r="AA60" s="184"/>
      <c r="AB60" s="184"/>
      <c r="AC60" s="186"/>
      <c r="AD60" s="184"/>
      <c r="AE60" s="184"/>
      <c r="AF60" s="184"/>
      <c r="AG60" s="186"/>
      <c r="AH60" s="184"/>
      <c r="AI60" s="187"/>
      <c r="AJ60" s="191"/>
      <c r="AK60" s="191"/>
      <c r="AL60" s="191"/>
      <c r="AM60" s="191"/>
    </row>
    <row r="61" spans="1:39" ht="18" customHeight="1" x14ac:dyDescent="0.25">
      <c r="A61" s="163"/>
      <c r="B61" s="193" t="str">
        <f>Sheet1!A72</f>
        <v>10860.4</v>
      </c>
      <c r="C61" s="183" t="str">
        <f>Sheet1!C72</f>
        <v>US19 (SR55)</v>
      </c>
      <c r="D61" s="183" t="str">
        <f>Sheet1!D72</f>
        <v>TRENTON</v>
      </c>
      <c r="E61" s="183" t="str">
        <f>Sheet1!E72</f>
        <v>TIMBER PINES DR</v>
      </c>
      <c r="F61" s="184" t="str">
        <f>Sheet1!F72</f>
        <v>6D</v>
      </c>
      <c r="G61" s="184" t="str">
        <f>Sheet1!H72</f>
        <v>6D</v>
      </c>
      <c r="H61" s="185" t="str">
        <f>Sheet1!Z72</f>
        <v>C</v>
      </c>
      <c r="I61" s="185"/>
      <c r="J61" s="185"/>
      <c r="K61" s="185"/>
      <c r="L61" s="184"/>
      <c r="M61" s="184">
        <f>Sheet1!AI72</f>
        <v>5250</v>
      </c>
      <c r="N61" s="184"/>
      <c r="O61" s="184"/>
      <c r="P61" s="184"/>
      <c r="Q61" s="184"/>
      <c r="R61" s="184">
        <f>Sheet1!P72</f>
        <v>47418</v>
      </c>
      <c r="S61" s="186"/>
      <c r="T61" s="184"/>
      <c r="U61" s="184"/>
      <c r="V61" s="184"/>
      <c r="W61" s="184"/>
      <c r="X61" s="184">
        <f>Sheet1!AS72</f>
        <v>4268</v>
      </c>
      <c r="Y61" s="184">
        <f>Sheet1!AT72</f>
        <v>0.81299999999999994</v>
      </c>
      <c r="Z61" s="184"/>
      <c r="AA61" s="184"/>
      <c r="AB61" s="184"/>
      <c r="AC61" s="186"/>
      <c r="AD61" s="184"/>
      <c r="AE61" s="184"/>
      <c r="AF61" s="184"/>
      <c r="AG61" s="186"/>
      <c r="AH61" s="184"/>
      <c r="AI61" s="187"/>
      <c r="AJ61" s="191"/>
      <c r="AK61" s="191"/>
      <c r="AL61" s="191"/>
      <c r="AM61" s="191"/>
    </row>
    <row r="62" spans="1:39" ht="18" customHeight="1" x14ac:dyDescent="0.25">
      <c r="A62" s="163"/>
      <c r="B62" s="193" t="str">
        <f>Sheet1!A73</f>
        <v>10870.3</v>
      </c>
      <c r="C62" s="183" t="str">
        <f>Sheet1!C73</f>
        <v>US19 (SR55)</v>
      </c>
      <c r="D62" s="183" t="str">
        <f>Sheet1!D73</f>
        <v>TIMBER PINES DR</v>
      </c>
      <c r="E62" s="183" t="str">
        <f>Sheet1!E73</f>
        <v>PINE FOREST DR</v>
      </c>
      <c r="F62" s="184" t="str">
        <f>Sheet1!F73</f>
        <v>6D</v>
      </c>
      <c r="G62" s="184" t="str">
        <f>Sheet1!H73</f>
        <v>6D</v>
      </c>
      <c r="H62" s="185" t="str">
        <f>Sheet1!Z73</f>
        <v>C</v>
      </c>
      <c r="I62" s="185"/>
      <c r="J62" s="185"/>
      <c r="K62" s="185"/>
      <c r="L62" s="184"/>
      <c r="M62" s="184">
        <f>Sheet1!AI73</f>
        <v>5250</v>
      </c>
      <c r="N62" s="184"/>
      <c r="O62" s="184"/>
      <c r="P62" s="184"/>
      <c r="Q62" s="184"/>
      <c r="R62" s="184">
        <f>Sheet1!P73</f>
        <v>47418</v>
      </c>
      <c r="S62" s="186"/>
      <c r="T62" s="184"/>
      <c r="U62" s="184"/>
      <c r="V62" s="184"/>
      <c r="W62" s="184"/>
      <c r="X62" s="184">
        <f>Sheet1!AS73</f>
        <v>4268</v>
      </c>
      <c r="Y62" s="184">
        <f>Sheet1!AT73</f>
        <v>0.81299999999999994</v>
      </c>
      <c r="Z62" s="184"/>
      <c r="AA62" s="184"/>
      <c r="AB62" s="184"/>
      <c r="AC62" s="186"/>
      <c r="AD62" s="184"/>
      <c r="AE62" s="184"/>
      <c r="AF62" s="184"/>
      <c r="AG62" s="186"/>
      <c r="AH62" s="184"/>
      <c r="AI62" s="187"/>
      <c r="AJ62" s="191"/>
      <c r="AK62" s="191"/>
      <c r="AL62" s="191"/>
      <c r="AM62" s="191"/>
    </row>
    <row r="63" spans="1:39" ht="18" customHeight="1" x14ac:dyDescent="0.25">
      <c r="A63" s="163"/>
      <c r="B63" s="193" t="str">
        <f>Sheet1!A74</f>
        <v>10870.4</v>
      </c>
      <c r="C63" s="183" t="str">
        <f>Sheet1!C74</f>
        <v>US19 (SR55)</v>
      </c>
      <c r="D63" s="183" t="str">
        <f>Sheet1!D74</f>
        <v>PINE FOREST DR</v>
      </c>
      <c r="E63" s="183" t="str">
        <f>Sheet1!E74</f>
        <v>BRANDY DR</v>
      </c>
      <c r="F63" s="184" t="str">
        <f>Sheet1!F74</f>
        <v>6D</v>
      </c>
      <c r="G63" s="184" t="str">
        <f>Sheet1!H74</f>
        <v>6D</v>
      </c>
      <c r="H63" s="185" t="str">
        <f>Sheet1!Z74</f>
        <v>C</v>
      </c>
      <c r="I63" s="185"/>
      <c r="J63" s="185"/>
      <c r="K63" s="185"/>
      <c r="L63" s="184"/>
      <c r="M63" s="184">
        <f>Sheet1!AI74</f>
        <v>5250</v>
      </c>
      <c r="N63" s="184"/>
      <c r="O63" s="184"/>
      <c r="P63" s="184"/>
      <c r="Q63" s="184"/>
      <c r="R63" s="184">
        <f>Sheet1!P74</f>
        <v>47418</v>
      </c>
      <c r="S63" s="186"/>
      <c r="T63" s="184"/>
      <c r="U63" s="184"/>
      <c r="V63" s="184"/>
      <c r="W63" s="184"/>
      <c r="X63" s="184">
        <f>Sheet1!AS74</f>
        <v>4268</v>
      </c>
      <c r="Y63" s="184">
        <f>Sheet1!AT74</f>
        <v>0.81299999999999994</v>
      </c>
      <c r="Z63" s="184"/>
      <c r="AA63" s="184"/>
      <c r="AB63" s="184"/>
      <c r="AC63" s="186"/>
      <c r="AD63" s="184"/>
      <c r="AE63" s="184"/>
      <c r="AF63" s="184"/>
      <c r="AG63" s="186"/>
      <c r="AH63" s="184"/>
      <c r="AI63" s="187"/>
      <c r="AJ63" s="191"/>
      <c r="AK63" s="191"/>
      <c r="AL63" s="191"/>
      <c r="AM63" s="191"/>
    </row>
    <row r="64" spans="1:39" ht="18" customHeight="1" x14ac:dyDescent="0.25">
      <c r="A64" s="163"/>
      <c r="B64" s="193" t="str">
        <f>Sheet1!A75</f>
        <v>10880</v>
      </c>
      <c r="C64" s="183" t="str">
        <f>Sheet1!C75</f>
        <v>US19 (SR55)</v>
      </c>
      <c r="D64" s="183" t="str">
        <f>Sheet1!D75</f>
        <v>BRANDY DR</v>
      </c>
      <c r="E64" s="183" t="str">
        <f>Sheet1!E75</f>
        <v>FOREST OAKS BLVD</v>
      </c>
      <c r="F64" s="184" t="str">
        <f>Sheet1!F75</f>
        <v>6D</v>
      </c>
      <c r="G64" s="184" t="str">
        <f>Sheet1!H75</f>
        <v>6D</v>
      </c>
      <c r="H64" s="185" t="str">
        <f>Sheet1!Z75</f>
        <v>C</v>
      </c>
      <c r="I64" s="185"/>
      <c r="J64" s="185"/>
      <c r="K64" s="185"/>
      <c r="L64" s="184"/>
      <c r="M64" s="184">
        <f>Sheet1!AI75</f>
        <v>5250</v>
      </c>
      <c r="N64" s="184"/>
      <c r="O64" s="184"/>
      <c r="P64" s="184"/>
      <c r="Q64" s="184"/>
      <c r="R64" s="184">
        <f>Sheet1!P75</f>
        <v>46173</v>
      </c>
      <c r="S64" s="186"/>
      <c r="T64" s="184"/>
      <c r="U64" s="184"/>
      <c r="V64" s="184"/>
      <c r="W64" s="184"/>
      <c r="X64" s="184">
        <f>Sheet1!AS75</f>
        <v>4156</v>
      </c>
      <c r="Y64" s="184">
        <f>Sheet1!AT75</f>
        <v>0.79200000000000004</v>
      </c>
      <c r="Z64" s="184"/>
      <c r="AA64" s="184"/>
      <c r="AB64" s="184"/>
      <c r="AC64" s="186"/>
      <c r="AD64" s="184"/>
      <c r="AE64" s="184"/>
      <c r="AF64" s="184"/>
      <c r="AG64" s="186"/>
      <c r="AH64" s="184"/>
      <c r="AI64" s="187"/>
      <c r="AJ64" s="191"/>
      <c r="AK64" s="191"/>
      <c r="AL64" s="191"/>
      <c r="AM64" s="191"/>
    </row>
    <row r="65" spans="1:39" ht="18" customHeight="1" x14ac:dyDescent="0.25">
      <c r="A65" s="163"/>
      <c r="B65" s="193" t="str">
        <f>Sheet1!A76</f>
        <v>10890.3</v>
      </c>
      <c r="C65" s="183" t="str">
        <f>Sheet1!C76</f>
        <v>US19 (SR55)</v>
      </c>
      <c r="D65" s="183" t="str">
        <f>Sheet1!D76</f>
        <v>FOREST OAKS BLVD</v>
      </c>
      <c r="E65" s="183" t="str">
        <f>Sheet1!E76</f>
        <v>BERKELEY MANOR BLVD</v>
      </c>
      <c r="F65" s="184" t="str">
        <f>Sheet1!F76</f>
        <v>6D</v>
      </c>
      <c r="G65" s="184" t="str">
        <f>Sheet1!H76</f>
        <v>6D</v>
      </c>
      <c r="H65" s="185" t="str">
        <f>Sheet1!Z76</f>
        <v>C</v>
      </c>
      <c r="I65" s="185"/>
      <c r="J65" s="185"/>
      <c r="K65" s="185"/>
      <c r="L65" s="184"/>
      <c r="M65" s="184">
        <f>Sheet1!AI76</f>
        <v>5250</v>
      </c>
      <c r="N65" s="184"/>
      <c r="O65" s="184"/>
      <c r="P65" s="184"/>
      <c r="Q65" s="184"/>
      <c r="R65" s="184">
        <f>Sheet1!P76</f>
        <v>46173</v>
      </c>
      <c r="S65" s="186"/>
      <c r="T65" s="184"/>
      <c r="U65" s="184"/>
      <c r="V65" s="184"/>
      <c r="W65" s="184"/>
      <c r="X65" s="184">
        <f>Sheet1!AS76</f>
        <v>4156</v>
      </c>
      <c r="Y65" s="184">
        <f>Sheet1!AT76</f>
        <v>0.79200000000000004</v>
      </c>
      <c r="Z65" s="184"/>
      <c r="AA65" s="184"/>
      <c r="AB65" s="184"/>
      <c r="AC65" s="186"/>
      <c r="AD65" s="184"/>
      <c r="AE65" s="184"/>
      <c r="AF65" s="184"/>
      <c r="AG65" s="186"/>
      <c r="AH65" s="184"/>
      <c r="AI65" s="187"/>
      <c r="AJ65" s="191"/>
      <c r="AK65" s="191"/>
      <c r="AL65" s="191"/>
      <c r="AM65" s="191"/>
    </row>
    <row r="66" spans="1:39" ht="18" customHeight="1" x14ac:dyDescent="0.25">
      <c r="A66" s="163"/>
      <c r="B66" s="193" t="str">
        <f>Sheet1!A77</f>
        <v>10890.4</v>
      </c>
      <c r="C66" s="183" t="str">
        <f>Sheet1!C77</f>
        <v>US19 (SR55)</v>
      </c>
      <c r="D66" s="183" t="str">
        <f>Sheet1!D77</f>
        <v>BERKELEY MANOR BLVD</v>
      </c>
      <c r="E66" s="183" t="str">
        <f>Sheet1!E77</f>
        <v>PACIFIC AVE</v>
      </c>
      <c r="F66" s="184" t="str">
        <f>Sheet1!F77</f>
        <v>6D</v>
      </c>
      <c r="G66" s="184" t="str">
        <f>Sheet1!H77</f>
        <v>6D</v>
      </c>
      <c r="H66" s="185" t="str">
        <f>Sheet1!Z77</f>
        <v>C</v>
      </c>
      <c r="I66" s="185"/>
      <c r="J66" s="185"/>
      <c r="K66" s="185"/>
      <c r="L66" s="184"/>
      <c r="M66" s="184">
        <f>Sheet1!AI77</f>
        <v>5250</v>
      </c>
      <c r="N66" s="184"/>
      <c r="O66" s="184"/>
      <c r="P66" s="184"/>
      <c r="Q66" s="184"/>
      <c r="R66" s="184">
        <f>Sheet1!P77</f>
        <v>46173</v>
      </c>
      <c r="S66" s="186"/>
      <c r="T66" s="184"/>
      <c r="U66" s="184"/>
      <c r="V66" s="184"/>
      <c r="W66" s="184"/>
      <c r="X66" s="184">
        <f>Sheet1!AS77</f>
        <v>4156</v>
      </c>
      <c r="Y66" s="184">
        <f>Sheet1!AT77</f>
        <v>0.79200000000000004</v>
      </c>
      <c r="Z66" s="184"/>
      <c r="AA66" s="184"/>
      <c r="AB66" s="184"/>
      <c r="AC66" s="186"/>
      <c r="AD66" s="184"/>
      <c r="AE66" s="184"/>
      <c r="AF66" s="184"/>
      <c r="AG66" s="186"/>
      <c r="AH66" s="184"/>
      <c r="AI66" s="187"/>
      <c r="AJ66" s="191"/>
      <c r="AK66" s="191"/>
      <c r="AL66" s="191"/>
      <c r="AM66" s="191"/>
    </row>
    <row r="67" spans="1:39" ht="18" customHeight="1" x14ac:dyDescent="0.25">
      <c r="A67" s="163"/>
      <c r="B67" s="193" t="str">
        <f>Sheet1!A78</f>
        <v>10890.2</v>
      </c>
      <c r="C67" s="183" t="str">
        <f>Sheet1!C78</f>
        <v>US19 (SR55)</v>
      </c>
      <c r="D67" s="183" t="str">
        <f>Sheet1!D78</f>
        <v>PACIFIC AVE</v>
      </c>
      <c r="E67" s="183" t="str">
        <f>Sheet1!E78</f>
        <v>NORTHCLIFFE BLVD</v>
      </c>
      <c r="F67" s="184" t="str">
        <f>Sheet1!F78</f>
        <v>6D</v>
      </c>
      <c r="G67" s="184" t="str">
        <f>Sheet1!H78</f>
        <v>4D</v>
      </c>
      <c r="H67" s="185" t="str">
        <f>Sheet1!Z78</f>
        <v>C</v>
      </c>
      <c r="I67" s="185"/>
      <c r="J67" s="185"/>
      <c r="K67" s="185"/>
      <c r="L67" s="184"/>
      <c r="M67" s="184">
        <f>Sheet1!AI78</f>
        <v>5250</v>
      </c>
      <c r="N67" s="184"/>
      <c r="O67" s="184"/>
      <c r="P67" s="184"/>
      <c r="Q67" s="184"/>
      <c r="R67" s="184">
        <f>Sheet1!P78</f>
        <v>46173</v>
      </c>
      <c r="S67" s="186"/>
      <c r="T67" s="184"/>
      <c r="U67" s="184"/>
      <c r="V67" s="184"/>
      <c r="W67" s="184"/>
      <c r="X67" s="184">
        <f>Sheet1!AS78</f>
        <v>4156</v>
      </c>
      <c r="Y67" s="184">
        <f>Sheet1!AT78</f>
        <v>0.79200000000000004</v>
      </c>
      <c r="Z67" s="184"/>
      <c r="AA67" s="184"/>
      <c r="AB67" s="184"/>
      <c r="AC67" s="186"/>
      <c r="AD67" s="184"/>
      <c r="AE67" s="184"/>
      <c r="AF67" s="184"/>
      <c r="AG67" s="186"/>
      <c r="AH67" s="184"/>
      <c r="AI67" s="187"/>
      <c r="AJ67" s="191"/>
      <c r="AK67" s="191"/>
      <c r="AL67" s="191"/>
      <c r="AM67" s="191"/>
    </row>
    <row r="68" spans="1:39" ht="18" customHeight="1" x14ac:dyDescent="0.25">
      <c r="A68" s="163"/>
      <c r="B68" s="193" t="str">
        <f>Sheet1!A79</f>
        <v>10900</v>
      </c>
      <c r="C68" s="183" t="str">
        <f>Sheet1!C79</f>
        <v>US19 (SR55)</v>
      </c>
      <c r="D68" s="183" t="str">
        <f>Sheet1!D79</f>
        <v>NORTHCLIFFE BLVD</v>
      </c>
      <c r="E68" s="183" t="str">
        <f>Sheet1!E79</f>
        <v>CORTEZ BLVD (SR50)</v>
      </c>
      <c r="F68" s="184" t="str">
        <f>Sheet1!F79</f>
        <v>6D</v>
      </c>
      <c r="G68" s="184" t="str">
        <f>Sheet1!H79</f>
        <v>4D</v>
      </c>
      <c r="H68" s="185" t="str">
        <f>Sheet1!Z79</f>
        <v>C</v>
      </c>
      <c r="I68" s="185"/>
      <c r="J68" s="185"/>
      <c r="K68" s="185"/>
      <c r="L68" s="184"/>
      <c r="M68" s="184">
        <f>Sheet1!AI79</f>
        <v>5250</v>
      </c>
      <c r="N68" s="184"/>
      <c r="O68" s="184"/>
      <c r="P68" s="184"/>
      <c r="Q68" s="184"/>
      <c r="R68" s="184">
        <f>Sheet1!P79</f>
        <v>37726</v>
      </c>
      <c r="S68" s="186"/>
      <c r="T68" s="184"/>
      <c r="U68" s="184"/>
      <c r="V68" s="184"/>
      <c r="W68" s="184"/>
      <c r="X68" s="184">
        <f>Sheet1!AS79</f>
        <v>3395</v>
      </c>
      <c r="Y68" s="184">
        <f>Sheet1!AT79</f>
        <v>0.64700000000000002</v>
      </c>
      <c r="Z68" s="184"/>
      <c r="AA68" s="184"/>
      <c r="AB68" s="184"/>
      <c r="AC68" s="186"/>
      <c r="AD68" s="184"/>
      <c r="AE68" s="184"/>
      <c r="AF68" s="184"/>
      <c r="AG68" s="186"/>
      <c r="AH68" s="184"/>
      <c r="AI68" s="187"/>
      <c r="AJ68" s="191"/>
      <c r="AK68" s="191"/>
      <c r="AL68" s="191"/>
      <c r="AM68" s="191"/>
    </row>
    <row r="69" spans="1:39" ht="18" customHeight="1" x14ac:dyDescent="0.25">
      <c r="A69" s="163"/>
      <c r="B69" s="193" t="str">
        <f>Sheet1!A80</f>
        <v>11000</v>
      </c>
      <c r="C69" s="183" t="str">
        <f>Sheet1!C80</f>
        <v>US19 (SR55)</v>
      </c>
      <c r="D69" s="183" t="str">
        <f>Sheet1!D80</f>
        <v>CORTEZ BLVD (SR50)</v>
      </c>
      <c r="E69" s="183" t="str">
        <f>Sheet1!E80</f>
        <v>RIDGE RD</v>
      </c>
      <c r="F69" s="184" t="str">
        <f>Sheet1!F80</f>
        <v>4D</v>
      </c>
      <c r="G69" s="184" t="str">
        <f>Sheet1!H80</f>
        <v>4D</v>
      </c>
      <c r="H69" s="185" t="str">
        <f>Sheet1!Z80</f>
        <v>C</v>
      </c>
      <c r="I69" s="185"/>
      <c r="J69" s="185"/>
      <c r="K69" s="185"/>
      <c r="L69" s="184"/>
      <c r="M69" s="184">
        <f>Sheet1!AI80</f>
        <v>4730</v>
      </c>
      <c r="N69" s="184"/>
      <c r="O69" s="184"/>
      <c r="P69" s="184"/>
      <c r="Q69" s="184"/>
      <c r="R69" s="184">
        <f>Sheet1!P80</f>
        <v>37726</v>
      </c>
      <c r="S69" s="186"/>
      <c r="T69" s="184"/>
      <c r="U69" s="184"/>
      <c r="V69" s="184"/>
      <c r="W69" s="184"/>
      <c r="X69" s="184">
        <f>Sheet1!AS80</f>
        <v>3395</v>
      </c>
      <c r="Y69" s="184">
        <f>Sheet1!AT80</f>
        <v>0.71799999999999997</v>
      </c>
      <c r="Z69" s="184"/>
      <c r="AA69" s="184"/>
      <c r="AB69" s="184"/>
      <c r="AC69" s="186"/>
      <c r="AD69" s="184"/>
      <c r="AE69" s="184"/>
      <c r="AF69" s="184"/>
      <c r="AG69" s="186"/>
      <c r="AH69" s="184"/>
      <c r="AI69" s="187"/>
      <c r="AJ69" s="191"/>
      <c r="AK69" s="191"/>
      <c r="AL69" s="191"/>
      <c r="AM69" s="191"/>
    </row>
    <row r="70" spans="1:39" ht="18" customHeight="1" x14ac:dyDescent="0.25">
      <c r="A70" s="163"/>
      <c r="B70" s="193" t="str">
        <f>Sheet1!A81</f>
        <v>11010</v>
      </c>
      <c r="C70" s="183" t="str">
        <f>Sheet1!C81</f>
        <v>US19 (SR55)</v>
      </c>
      <c r="D70" s="183" t="str">
        <f>Sheet1!D81</f>
        <v>RIDGE RD</v>
      </c>
      <c r="E70" s="183" t="str">
        <f>Sheet1!E81</f>
        <v>HEXAM RD</v>
      </c>
      <c r="F70" s="184" t="str">
        <f>Sheet1!F81</f>
        <v>4D</v>
      </c>
      <c r="G70" s="184" t="str">
        <f>Sheet1!H81</f>
        <v>4D</v>
      </c>
      <c r="H70" s="185" t="str">
        <f>Sheet1!Z81</f>
        <v>C</v>
      </c>
      <c r="I70" s="185"/>
      <c r="J70" s="185"/>
      <c r="K70" s="185"/>
      <c r="L70" s="184"/>
      <c r="M70" s="184">
        <f>Sheet1!AI81</f>
        <v>4730</v>
      </c>
      <c r="N70" s="184"/>
      <c r="O70" s="184"/>
      <c r="P70" s="184"/>
      <c r="Q70" s="184"/>
      <c r="R70" s="184">
        <f>Sheet1!P81</f>
        <v>24896</v>
      </c>
      <c r="S70" s="186"/>
      <c r="T70" s="184"/>
      <c r="U70" s="184"/>
      <c r="V70" s="184"/>
      <c r="W70" s="184"/>
      <c r="X70" s="184">
        <f>Sheet1!AS81</f>
        <v>2241</v>
      </c>
      <c r="Y70" s="184">
        <f>Sheet1!AT81</f>
        <v>0.47399999999999998</v>
      </c>
      <c r="Z70" s="184"/>
      <c r="AA70" s="184"/>
      <c r="AB70" s="184"/>
      <c r="AC70" s="186"/>
      <c r="AD70" s="184"/>
      <c r="AE70" s="184"/>
      <c r="AF70" s="184"/>
      <c r="AG70" s="186"/>
      <c r="AH70" s="184"/>
      <c r="AI70" s="187"/>
      <c r="AJ70" s="191"/>
      <c r="AK70" s="191"/>
      <c r="AL70" s="191"/>
      <c r="AM70" s="191"/>
    </row>
    <row r="71" spans="1:39" ht="18" customHeight="1" x14ac:dyDescent="0.25">
      <c r="A71" s="163"/>
      <c r="B71" s="193" t="str">
        <f>Sheet1!A82</f>
        <v>11020.1</v>
      </c>
      <c r="C71" s="183" t="str">
        <f>Sheet1!C82</f>
        <v>US19 (SR55)</v>
      </c>
      <c r="D71" s="183" t="str">
        <f>Sheet1!D82</f>
        <v>HEXAM RD</v>
      </c>
      <c r="E71" s="183" t="str">
        <f>Sheet1!E82</f>
        <v>VESPA WAY</v>
      </c>
      <c r="F71" s="184" t="str">
        <f>Sheet1!F82</f>
        <v>4D</v>
      </c>
      <c r="G71" s="184" t="str">
        <f>Sheet1!H82</f>
        <v>4D</v>
      </c>
      <c r="H71" s="185" t="str">
        <f>Sheet1!Z82</f>
        <v>C</v>
      </c>
      <c r="I71" s="185"/>
      <c r="J71" s="185"/>
      <c r="K71" s="185"/>
      <c r="L71" s="184"/>
      <c r="M71" s="184">
        <f>Sheet1!AI82</f>
        <v>4730</v>
      </c>
      <c r="N71" s="184"/>
      <c r="O71" s="184"/>
      <c r="P71" s="184"/>
      <c r="Q71" s="184"/>
      <c r="R71" s="184">
        <f>Sheet1!P82</f>
        <v>48709</v>
      </c>
      <c r="S71" s="186"/>
      <c r="T71" s="184"/>
      <c r="U71" s="184"/>
      <c r="V71" s="184"/>
      <c r="W71" s="184"/>
      <c r="X71" s="184">
        <f>Sheet1!AS82</f>
        <v>4384</v>
      </c>
      <c r="Y71" s="184">
        <f>Sheet1!AT82</f>
        <v>0.92700000000000005</v>
      </c>
      <c r="Z71" s="184"/>
      <c r="AA71" s="184"/>
      <c r="AB71" s="184"/>
      <c r="AC71" s="186"/>
      <c r="AD71" s="184"/>
      <c r="AE71" s="184"/>
      <c r="AF71" s="184"/>
      <c r="AG71" s="186"/>
      <c r="AH71" s="184"/>
      <c r="AI71" s="187"/>
      <c r="AJ71" s="191"/>
      <c r="AK71" s="191"/>
      <c r="AL71" s="191"/>
      <c r="AM71" s="191"/>
    </row>
    <row r="72" spans="1:39" ht="18" customHeight="1" x14ac:dyDescent="0.25">
      <c r="A72" s="163"/>
      <c r="B72" s="193" t="str">
        <f>Sheet1!A83</f>
        <v>11020.2</v>
      </c>
      <c r="C72" s="183" t="str">
        <f>Sheet1!C83</f>
        <v>US19 (SR55)</v>
      </c>
      <c r="D72" s="183" t="str">
        <f>Sheet1!D83</f>
        <v>VESPA WAY</v>
      </c>
      <c r="E72" s="183" t="str">
        <f>Sheet1!E83</f>
        <v>CENTRALIA RD</v>
      </c>
      <c r="F72" s="184" t="str">
        <f>Sheet1!F83</f>
        <v>4D</v>
      </c>
      <c r="G72" s="184" t="str">
        <f>Sheet1!H83</f>
        <v>4D</v>
      </c>
      <c r="H72" s="185" t="str">
        <f>Sheet1!Z83</f>
        <v>C</v>
      </c>
      <c r="I72" s="185"/>
      <c r="J72" s="185"/>
      <c r="K72" s="185"/>
      <c r="L72" s="184"/>
      <c r="M72" s="184">
        <f>Sheet1!AI83</f>
        <v>4730</v>
      </c>
      <c r="N72" s="184"/>
      <c r="O72" s="184"/>
      <c r="P72" s="184"/>
      <c r="Q72" s="184"/>
      <c r="R72" s="184">
        <f>Sheet1!P83</f>
        <v>18209</v>
      </c>
      <c r="S72" s="186"/>
      <c r="T72" s="184"/>
      <c r="U72" s="184"/>
      <c r="V72" s="184"/>
      <c r="W72" s="184"/>
      <c r="X72" s="184">
        <f>Sheet1!AS83</f>
        <v>1639</v>
      </c>
      <c r="Y72" s="184">
        <f>Sheet1!AT83</f>
        <v>0.34699999999999998</v>
      </c>
      <c r="Z72" s="184"/>
      <c r="AA72" s="184"/>
      <c r="AB72" s="184"/>
      <c r="AC72" s="186"/>
      <c r="AD72" s="184"/>
      <c r="AE72" s="184"/>
      <c r="AF72" s="184"/>
      <c r="AG72" s="186"/>
      <c r="AH72" s="184"/>
      <c r="AI72" s="187"/>
      <c r="AJ72" s="191"/>
      <c r="AK72" s="191"/>
      <c r="AL72" s="191"/>
      <c r="AM72" s="191"/>
    </row>
    <row r="73" spans="1:39" ht="18" customHeight="1" x14ac:dyDescent="0.25">
      <c r="A73" s="163"/>
      <c r="B73" s="193" t="str">
        <f>Sheet1!A84</f>
        <v>11030</v>
      </c>
      <c r="C73" s="183" t="str">
        <f>Sheet1!C84</f>
        <v>US19 (SR55)</v>
      </c>
      <c r="D73" s="183" t="str">
        <f>Sheet1!D84</f>
        <v>CENTRALIA RD</v>
      </c>
      <c r="E73" s="183" t="str">
        <f>Sheet1!E84</f>
        <v>KNUCKEY RD</v>
      </c>
      <c r="F73" s="184" t="str">
        <f>Sheet1!F84</f>
        <v>4D</v>
      </c>
      <c r="G73" s="184" t="str">
        <f>Sheet1!H84</f>
        <v>4D</v>
      </c>
      <c r="H73" s="185" t="str">
        <f>Sheet1!Z84</f>
        <v>C</v>
      </c>
      <c r="I73" s="185"/>
      <c r="J73" s="185"/>
      <c r="K73" s="185"/>
      <c r="L73" s="184"/>
      <c r="M73" s="184">
        <f>Sheet1!AI84</f>
        <v>4490</v>
      </c>
      <c r="N73" s="184"/>
      <c r="O73" s="184"/>
      <c r="P73" s="184"/>
      <c r="Q73" s="184"/>
      <c r="R73" s="184">
        <f>Sheet1!P84</f>
        <v>15804</v>
      </c>
      <c r="S73" s="186"/>
      <c r="T73" s="184"/>
      <c r="U73" s="184"/>
      <c r="V73" s="184"/>
      <c r="W73" s="184"/>
      <c r="X73" s="184">
        <f>Sheet1!AS84</f>
        <v>1422</v>
      </c>
      <c r="Y73" s="184">
        <f>Sheet1!AT84</f>
        <v>0.317</v>
      </c>
      <c r="Z73" s="184"/>
      <c r="AA73" s="184"/>
      <c r="AB73" s="184"/>
      <c r="AC73" s="186"/>
      <c r="AD73" s="184"/>
      <c r="AE73" s="184"/>
      <c r="AF73" s="184"/>
      <c r="AG73" s="186"/>
      <c r="AH73" s="184"/>
      <c r="AI73" s="187"/>
      <c r="AJ73" s="191"/>
      <c r="AK73" s="191"/>
      <c r="AL73" s="191"/>
      <c r="AM73" s="191"/>
    </row>
    <row r="74" spans="1:39" ht="18" customHeight="1" x14ac:dyDescent="0.25">
      <c r="A74" s="163"/>
      <c r="B74" s="193" t="str">
        <f>Sheet1!A85</f>
        <v>11040</v>
      </c>
      <c r="C74" s="183" t="str">
        <f>Sheet1!C85</f>
        <v>US19 (SR55)</v>
      </c>
      <c r="D74" s="183" t="str">
        <f>Sheet1!D85</f>
        <v>KNUCKEY RD</v>
      </c>
      <c r="E74" s="183" t="str">
        <f>Sheet1!E85</f>
        <v>THRASHER RD</v>
      </c>
      <c r="F74" s="184" t="str">
        <f>Sheet1!F85</f>
        <v>4D</v>
      </c>
      <c r="G74" s="184" t="str">
        <f>Sheet1!H85</f>
        <v>6F</v>
      </c>
      <c r="H74" s="185" t="str">
        <f>Sheet1!Z85</f>
        <v>C</v>
      </c>
      <c r="I74" s="185"/>
      <c r="J74" s="185"/>
      <c r="K74" s="185"/>
      <c r="L74" s="184"/>
      <c r="M74" s="184">
        <f>Sheet1!AI85</f>
        <v>4490</v>
      </c>
      <c r="N74" s="184"/>
      <c r="O74" s="184"/>
      <c r="P74" s="184"/>
      <c r="Q74" s="184"/>
      <c r="R74" s="184">
        <f>Sheet1!P85</f>
        <v>15804</v>
      </c>
      <c r="S74" s="186"/>
      <c r="T74" s="184"/>
      <c r="U74" s="184"/>
      <c r="V74" s="184"/>
      <c r="W74" s="184"/>
      <c r="X74" s="184">
        <f>Sheet1!AS85</f>
        <v>1422</v>
      </c>
      <c r="Y74" s="184">
        <f>Sheet1!AT85</f>
        <v>0.317</v>
      </c>
      <c r="Z74" s="184"/>
      <c r="AA74" s="184"/>
      <c r="AB74" s="184"/>
      <c r="AC74" s="186"/>
      <c r="AD74" s="184"/>
      <c r="AE74" s="184"/>
      <c r="AF74" s="184"/>
      <c r="AG74" s="186"/>
      <c r="AH74" s="184"/>
      <c r="AI74" s="187"/>
      <c r="AJ74" s="191"/>
      <c r="AK74" s="191"/>
      <c r="AL74" s="191"/>
      <c r="AM74" s="191"/>
    </row>
    <row r="75" spans="1:39" ht="18" customHeight="1" x14ac:dyDescent="0.25">
      <c r="A75" s="163"/>
      <c r="B75" s="193" t="str">
        <f>Sheet1!A86</f>
        <v>11050</v>
      </c>
      <c r="C75" s="183" t="str">
        <f>Sheet1!C86</f>
        <v>US19 (SR55)</v>
      </c>
      <c r="D75" s="183" t="str">
        <f>Sheet1!D86</f>
        <v>THRASHER RD</v>
      </c>
      <c r="E75" s="183" t="str">
        <f>Sheet1!E86</f>
        <v>CITRUS COUNTY LINE</v>
      </c>
      <c r="F75" s="184" t="str">
        <f>Sheet1!F86</f>
        <v>4D</v>
      </c>
      <c r="G75" s="184" t="str">
        <f>Sheet1!H86</f>
        <v>6F</v>
      </c>
      <c r="H75" s="185" t="str">
        <f>Sheet1!Z86</f>
        <v>C</v>
      </c>
      <c r="I75" s="185"/>
      <c r="J75" s="185"/>
      <c r="K75" s="185"/>
      <c r="L75" s="184"/>
      <c r="M75" s="184">
        <f>Sheet1!AI86</f>
        <v>4490</v>
      </c>
      <c r="N75" s="184"/>
      <c r="O75" s="184"/>
      <c r="P75" s="184"/>
      <c r="Q75" s="184"/>
      <c r="R75" s="184">
        <f>Sheet1!P86</f>
        <v>13231</v>
      </c>
      <c r="S75" s="186"/>
      <c r="T75" s="184"/>
      <c r="U75" s="184"/>
      <c r="V75" s="184"/>
      <c r="W75" s="184"/>
      <c r="X75" s="184">
        <f>Sheet1!AS86</f>
        <v>1191</v>
      </c>
      <c r="Y75" s="184">
        <f>Sheet1!AT86</f>
        <v>0.26500000000000001</v>
      </c>
      <c r="Z75" s="184"/>
      <c r="AA75" s="184"/>
      <c r="AB75" s="184"/>
      <c r="AC75" s="186"/>
      <c r="AD75" s="184"/>
      <c r="AE75" s="184"/>
      <c r="AF75" s="184"/>
      <c r="AG75" s="186"/>
      <c r="AH75" s="184"/>
      <c r="AI75" s="187"/>
      <c r="AJ75" s="191"/>
      <c r="AK75" s="191"/>
      <c r="AL75" s="191"/>
      <c r="AM75" s="191"/>
    </row>
    <row r="76" spans="1:39" ht="18" customHeight="1" x14ac:dyDescent="0.25">
      <c r="A76" s="163"/>
      <c r="B76" s="193" t="str">
        <f>Sheet1!A87</f>
        <v>10460</v>
      </c>
      <c r="C76" s="183" t="str">
        <f>Sheet1!C87</f>
        <v>I-75 (SR93)</v>
      </c>
      <c r="D76" s="183" t="str">
        <f>Sheet1!D87</f>
        <v>PASCO COUNTY LINE</v>
      </c>
      <c r="E76" s="183" t="str">
        <f>Sheet1!E87</f>
        <v>POWERLINE RD</v>
      </c>
      <c r="F76" s="184" t="str">
        <f>Sheet1!F87</f>
        <v>6F</v>
      </c>
      <c r="G76" s="184" t="str">
        <f>Sheet1!H87</f>
        <v>6F</v>
      </c>
      <c r="H76" s="185" t="str">
        <f>Sheet1!Z87</f>
        <v>C</v>
      </c>
      <c r="I76" s="185"/>
      <c r="J76" s="185"/>
      <c r="K76" s="185"/>
      <c r="L76" s="184"/>
      <c r="M76" s="184">
        <f>Sheet1!AI87</f>
        <v>8490</v>
      </c>
      <c r="N76" s="184"/>
      <c r="O76" s="184"/>
      <c r="P76" s="184"/>
      <c r="Q76" s="184"/>
      <c r="R76" s="184">
        <f>Sheet1!P87</f>
        <v>5169</v>
      </c>
      <c r="S76" s="186"/>
      <c r="T76" s="184"/>
      <c r="U76" s="184"/>
      <c r="V76" s="184"/>
      <c r="W76" s="184"/>
      <c r="X76" s="184">
        <f>Sheet1!AS87</f>
        <v>465</v>
      </c>
      <c r="Y76" s="184">
        <f>Sheet1!AT87</f>
        <v>5.5E-2</v>
      </c>
      <c r="Z76" s="184"/>
      <c r="AA76" s="184"/>
      <c r="AB76" s="184"/>
      <c r="AC76" s="186"/>
      <c r="AD76" s="184"/>
      <c r="AE76" s="184"/>
      <c r="AF76" s="184"/>
      <c r="AG76" s="186"/>
      <c r="AH76" s="184"/>
      <c r="AI76" s="187"/>
      <c r="AJ76" s="191"/>
      <c r="AK76" s="191"/>
      <c r="AL76" s="191"/>
      <c r="AM76" s="191"/>
    </row>
    <row r="77" spans="1:39" x14ac:dyDescent="0.25">
      <c r="B77" s="193" t="str">
        <f>Sheet1!A88</f>
        <v>6</v>
      </c>
      <c r="C77" s="183" t="str">
        <f>Sheet1!C88</f>
        <v>I-75 (SR93)</v>
      </c>
      <c r="D77" s="183" t="str">
        <f>Sheet1!D88</f>
        <v>POWERLINE RD</v>
      </c>
      <c r="E77" s="183" t="str">
        <f>Sheet1!E88</f>
        <v>CORTEZ BLVD (SR50)</v>
      </c>
      <c r="F77" s="184" t="str">
        <f>Sheet1!F88</f>
        <v>6F</v>
      </c>
      <c r="G77" s="184" t="str">
        <f>Sheet1!H88</f>
        <v>6F</v>
      </c>
      <c r="H77" s="185" t="str">
        <f>Sheet1!Z88</f>
        <v>C</v>
      </c>
      <c r="I77" s="185"/>
      <c r="J77" s="185"/>
      <c r="K77" s="185"/>
      <c r="L77" s="184"/>
      <c r="M77" s="184">
        <f>Sheet1!AI88</f>
        <v>8450</v>
      </c>
      <c r="N77" s="184"/>
      <c r="O77" s="184"/>
      <c r="P77" s="184"/>
      <c r="Q77" s="184"/>
      <c r="R77" s="184">
        <f>Sheet1!P88</f>
        <v>5169</v>
      </c>
      <c r="S77" s="186"/>
      <c r="T77" s="184"/>
      <c r="U77" s="184"/>
      <c r="V77" s="184"/>
      <c r="W77" s="184"/>
      <c r="X77" s="184">
        <f>Sheet1!AS88</f>
        <v>465</v>
      </c>
      <c r="Y77" s="184">
        <f>Sheet1!AT88</f>
        <v>5.5E-2</v>
      </c>
      <c r="Z77" s="184"/>
      <c r="AA77" s="184"/>
      <c r="AB77" s="184"/>
      <c r="AC77" s="186"/>
      <c r="AD77" s="184"/>
      <c r="AE77" s="184"/>
      <c r="AF77" s="184"/>
      <c r="AG77" s="186"/>
      <c r="AH77" s="184"/>
      <c r="AI77" s="187"/>
      <c r="AJ77" s="191"/>
      <c r="AK77" s="191"/>
      <c r="AL77" s="191"/>
      <c r="AM77" s="191"/>
    </row>
    <row r="78" spans="1:39" x14ac:dyDescent="0.25">
      <c r="B78" s="193" t="str">
        <f>Sheet1!A89</f>
        <v>10480</v>
      </c>
      <c r="C78" s="183" t="str">
        <f>Sheet1!C89</f>
        <v>I-75 (SR93)</v>
      </c>
      <c r="D78" s="183" t="str">
        <f>Sheet1!D89</f>
        <v>CORTEZ BLVD (SR50)</v>
      </c>
      <c r="E78" s="183" t="str">
        <f>Sheet1!E89</f>
        <v>1 MILE NORTH OF CORTEZ BLVD</v>
      </c>
      <c r="F78" s="184" t="str">
        <f>Sheet1!F89</f>
        <v>6F</v>
      </c>
      <c r="G78" s="184" t="str">
        <f>Sheet1!H89</f>
        <v>4F</v>
      </c>
      <c r="H78" s="185" t="str">
        <f>Sheet1!Z89</f>
        <v>C</v>
      </c>
      <c r="I78" s="185"/>
      <c r="J78" s="185"/>
      <c r="K78" s="185"/>
      <c r="L78" s="184"/>
      <c r="M78" s="184">
        <f>Sheet1!AI89</f>
        <v>8450</v>
      </c>
      <c r="N78" s="184"/>
      <c r="O78" s="184"/>
      <c r="P78" s="184"/>
      <c r="Q78" s="184"/>
      <c r="R78" s="184">
        <f>Sheet1!P89</f>
        <v>7138</v>
      </c>
      <c r="S78" s="186"/>
      <c r="T78" s="184"/>
      <c r="U78" s="184"/>
      <c r="V78" s="184"/>
      <c r="W78" s="184"/>
      <c r="X78" s="184">
        <f>Sheet1!AS89</f>
        <v>642</v>
      </c>
      <c r="Y78" s="184">
        <f>Sheet1!AT89</f>
        <v>7.5999999999999998E-2</v>
      </c>
      <c r="Z78" s="184"/>
      <c r="AA78" s="184"/>
      <c r="AB78" s="184"/>
      <c r="AC78" s="186"/>
      <c r="AD78" s="184"/>
      <c r="AE78" s="184"/>
      <c r="AF78" s="184"/>
      <c r="AG78" s="186"/>
      <c r="AH78" s="184"/>
      <c r="AI78" s="187"/>
      <c r="AJ78" s="191"/>
      <c r="AK78" s="191"/>
      <c r="AL78" s="191"/>
      <c r="AM78" s="191"/>
    </row>
    <row r="79" spans="1:39" x14ac:dyDescent="0.25">
      <c r="B79" s="193" t="str">
        <f>Sheet1!A90</f>
        <v>10490</v>
      </c>
      <c r="C79" s="183" t="str">
        <f>Sheet1!C90</f>
        <v>I-75 (SR93)</v>
      </c>
      <c r="D79" s="183" t="str">
        <f>Sheet1!D90</f>
        <v>1 MILE NORTH OF CORTEZ BLVD</v>
      </c>
      <c r="E79" s="183" t="str">
        <f>Sheet1!E90</f>
        <v>SUMTER COUNTY LINE</v>
      </c>
      <c r="F79" s="184" t="str">
        <f>Sheet1!F90</f>
        <v>6F</v>
      </c>
      <c r="G79" s="184" t="str">
        <f>Sheet1!H90</f>
        <v>4F</v>
      </c>
      <c r="H79" s="185" t="str">
        <f>Sheet1!Z90</f>
        <v>C</v>
      </c>
      <c r="I79" s="185"/>
      <c r="J79" s="185"/>
      <c r="K79" s="185"/>
      <c r="L79" s="184"/>
      <c r="M79" s="184">
        <f>Sheet1!AI90</f>
        <v>8490</v>
      </c>
      <c r="N79" s="184"/>
      <c r="O79" s="184"/>
      <c r="P79" s="184"/>
      <c r="Q79" s="184"/>
      <c r="R79" s="184">
        <f>Sheet1!P90</f>
        <v>7138</v>
      </c>
      <c r="S79" s="186"/>
      <c r="T79" s="184"/>
      <c r="U79" s="184"/>
      <c r="V79" s="184"/>
      <c r="W79" s="184"/>
      <c r="X79" s="184">
        <f>Sheet1!AS90</f>
        <v>642</v>
      </c>
      <c r="Y79" s="184">
        <f>Sheet1!AT90</f>
        <v>7.5999999999999998E-2</v>
      </c>
      <c r="Z79" s="184"/>
      <c r="AA79" s="184"/>
      <c r="AB79" s="184"/>
      <c r="AC79" s="186"/>
      <c r="AD79" s="184"/>
      <c r="AE79" s="184"/>
      <c r="AF79" s="184"/>
      <c r="AG79" s="186"/>
      <c r="AH79" s="184"/>
      <c r="AI79" s="187"/>
      <c r="AJ79" s="191"/>
      <c r="AK79" s="191"/>
      <c r="AL79" s="191"/>
      <c r="AM79" s="191"/>
    </row>
    <row r="80" spans="1:39" x14ac:dyDescent="0.25">
      <c r="B80" s="193" t="str">
        <f>Sheet1!A91</f>
        <v>11260</v>
      </c>
      <c r="C80" s="183" t="str">
        <f>Sheet1!C91</f>
        <v>SUNCOAST PKWY (SR589)</v>
      </c>
      <c r="D80" s="183" t="str">
        <f>Sheet1!D91</f>
        <v>COUNTY LINE RD</v>
      </c>
      <c r="E80" s="183" t="str">
        <f>Sheet1!E91</f>
        <v>SPRING HILL DR</v>
      </c>
      <c r="F80" s="184" t="str">
        <f>Sheet1!F91</f>
        <v>4F</v>
      </c>
      <c r="G80" s="184" t="str">
        <f>Sheet1!H91</f>
        <v>4F</v>
      </c>
      <c r="H80" s="185" t="str">
        <f>Sheet1!Z91</f>
        <v>C</v>
      </c>
      <c r="I80" s="185"/>
      <c r="J80" s="185"/>
      <c r="K80" s="185"/>
      <c r="L80" s="184"/>
      <c r="M80" s="184">
        <f>Sheet1!AI91</f>
        <v>5640</v>
      </c>
      <c r="N80" s="184"/>
      <c r="O80" s="184"/>
      <c r="P80" s="184"/>
      <c r="Q80" s="184"/>
      <c r="R80" s="184">
        <f>Sheet1!P91</f>
        <v>20609</v>
      </c>
      <c r="S80" s="186"/>
      <c r="T80" s="184"/>
      <c r="U80" s="184"/>
      <c r="V80" s="184"/>
      <c r="W80" s="184"/>
      <c r="X80" s="184">
        <f>Sheet1!AS91</f>
        <v>1855</v>
      </c>
      <c r="Y80" s="184">
        <f>Sheet1!AT91</f>
        <v>0.32900000000000001</v>
      </c>
      <c r="Z80" s="184"/>
      <c r="AA80" s="184"/>
      <c r="AB80" s="184"/>
      <c r="AC80" s="186"/>
      <c r="AD80" s="184"/>
      <c r="AE80" s="184"/>
      <c r="AF80" s="184"/>
      <c r="AG80" s="186"/>
      <c r="AH80" s="184"/>
      <c r="AI80" s="187"/>
      <c r="AJ80" s="191"/>
      <c r="AK80" s="191"/>
      <c r="AL80" s="191"/>
      <c r="AM80" s="191"/>
    </row>
    <row r="81" spans="2:39" x14ac:dyDescent="0.25">
      <c r="B81" s="193" t="str">
        <f>Sheet1!A92</f>
        <v>11280</v>
      </c>
      <c r="C81" s="183" t="str">
        <f>Sheet1!C92</f>
        <v>SUNCOAST PKWY (SR589)</v>
      </c>
      <c r="D81" s="183" t="str">
        <f>Sheet1!D92</f>
        <v>SPRING HILL DR</v>
      </c>
      <c r="E81" s="183" t="str">
        <f>Sheet1!E92</f>
        <v>CORTEZ BLVD (SR50)</v>
      </c>
      <c r="F81" s="184" t="str">
        <f>Sheet1!F92</f>
        <v>4F</v>
      </c>
      <c r="G81" s="184" t="str">
        <f>Sheet1!H92</f>
        <v>4F</v>
      </c>
      <c r="H81" s="185" t="str">
        <f>Sheet1!Z92</f>
        <v>C</v>
      </c>
      <c r="I81" s="185"/>
      <c r="J81" s="185"/>
      <c r="K81" s="185"/>
      <c r="L81" s="184"/>
      <c r="M81" s="184">
        <f>Sheet1!AI92</f>
        <v>5640</v>
      </c>
      <c r="N81" s="184"/>
      <c r="O81" s="184"/>
      <c r="P81" s="184"/>
      <c r="Q81" s="184"/>
      <c r="R81" s="184">
        <f>Sheet1!P92</f>
        <v>11262</v>
      </c>
      <c r="S81" s="186"/>
      <c r="T81" s="184"/>
      <c r="U81" s="184"/>
      <c r="V81" s="184"/>
      <c r="W81" s="184"/>
      <c r="X81" s="184">
        <f>Sheet1!AS92</f>
        <v>1014</v>
      </c>
      <c r="Y81" s="184">
        <f>Sheet1!AT92</f>
        <v>0.18</v>
      </c>
      <c r="Z81" s="184"/>
      <c r="AA81" s="184"/>
      <c r="AB81" s="184"/>
      <c r="AC81" s="186"/>
      <c r="AD81" s="184"/>
      <c r="AE81" s="184"/>
      <c r="AF81" s="184"/>
      <c r="AG81" s="186"/>
      <c r="AH81" s="184"/>
      <c r="AI81" s="187"/>
      <c r="AJ81" s="191"/>
      <c r="AK81" s="191"/>
      <c r="AL81" s="191"/>
      <c r="AM81" s="191"/>
    </row>
    <row r="82" spans="2:39" x14ac:dyDescent="0.25">
      <c r="B82" s="193" t="str">
        <f>Sheet1!A93</f>
        <v>11290.6</v>
      </c>
      <c r="C82" s="183" t="str">
        <f>Sheet1!C93</f>
        <v>SUNCOAST PKWY (SR589)</v>
      </c>
      <c r="D82" s="183" t="str">
        <f>Sheet1!D93</f>
        <v>CORTEZ BLVD (SR50)</v>
      </c>
      <c r="E82" s="183" t="str">
        <f>Sheet1!E93</f>
        <v>URBAN BOUNDARY</v>
      </c>
      <c r="F82" s="184" t="str">
        <f>Sheet1!F93</f>
        <v>4F</v>
      </c>
      <c r="G82" s="184" t="str">
        <f>Sheet1!H93</f>
        <v>4F</v>
      </c>
      <c r="H82" s="185" t="str">
        <f>Sheet1!Z93</f>
        <v>C</v>
      </c>
      <c r="I82" s="185"/>
      <c r="J82" s="185"/>
      <c r="K82" s="185"/>
      <c r="L82" s="184"/>
      <c r="M82" s="184">
        <f>Sheet1!AI93</f>
        <v>5640</v>
      </c>
      <c r="N82" s="184"/>
      <c r="O82" s="184"/>
      <c r="P82" s="184"/>
      <c r="Q82" s="184"/>
      <c r="R82" s="184">
        <f>Sheet1!P93</f>
        <v>7831</v>
      </c>
      <c r="S82" s="186"/>
      <c r="T82" s="184"/>
      <c r="U82" s="184"/>
      <c r="V82" s="184"/>
      <c r="W82" s="184"/>
      <c r="X82" s="184">
        <f>Sheet1!AS93</f>
        <v>705</v>
      </c>
      <c r="Y82" s="184">
        <f>Sheet1!AT93</f>
        <v>0.125</v>
      </c>
      <c r="Z82" s="184"/>
      <c r="AA82" s="184"/>
      <c r="AB82" s="184"/>
      <c r="AC82" s="186"/>
      <c r="AD82" s="184"/>
      <c r="AE82" s="184"/>
      <c r="AF82" s="184"/>
      <c r="AG82" s="186"/>
      <c r="AH82" s="184"/>
      <c r="AI82" s="187"/>
      <c r="AJ82" s="191"/>
      <c r="AK82" s="191"/>
      <c r="AL82" s="191"/>
      <c r="AM82" s="191"/>
    </row>
    <row r="83" spans="2:39" x14ac:dyDescent="0.25">
      <c r="B83" s="193" t="str">
        <f>Sheet1!A94</f>
        <v>11290.8</v>
      </c>
      <c r="C83" s="183" t="str">
        <f>Sheet1!C94</f>
        <v>SUNCOAST PKWY (SR589)</v>
      </c>
      <c r="D83" s="183" t="str">
        <f>Sheet1!D94</f>
        <v>URBAN BOUNDARY</v>
      </c>
      <c r="E83" s="183" t="str">
        <f>Sheet1!E94</f>
        <v>CENTRALIA</v>
      </c>
      <c r="F83" s="184" t="str">
        <f>Sheet1!F94</f>
        <v>4F</v>
      </c>
      <c r="G83" s="184" t="str">
        <f>Sheet1!H94</f>
        <v>2U</v>
      </c>
      <c r="H83" s="185" t="str">
        <f>Sheet1!Z94</f>
        <v>C</v>
      </c>
      <c r="I83" s="185"/>
      <c r="J83" s="185"/>
      <c r="K83" s="185"/>
      <c r="L83" s="184"/>
      <c r="M83" s="184">
        <f>Sheet1!AI94</f>
        <v>5640</v>
      </c>
      <c r="N83" s="184"/>
      <c r="O83" s="184"/>
      <c r="P83" s="184"/>
      <c r="Q83" s="184"/>
      <c r="R83" s="184">
        <f>Sheet1!P94</f>
        <v>7831</v>
      </c>
      <c r="S83" s="186"/>
      <c r="T83" s="184"/>
      <c r="U83" s="184"/>
      <c r="V83" s="184"/>
      <c r="W83" s="184"/>
      <c r="X83" s="184">
        <f>Sheet1!AS94</f>
        <v>705</v>
      </c>
      <c r="Y83" s="184">
        <f>Sheet1!AT94</f>
        <v>0.125</v>
      </c>
      <c r="Z83" s="184"/>
      <c r="AA83" s="184"/>
      <c r="AB83" s="184"/>
      <c r="AC83" s="186"/>
      <c r="AD83" s="184"/>
      <c r="AE83" s="184"/>
      <c r="AF83" s="184"/>
      <c r="AG83" s="186"/>
      <c r="AH83" s="184"/>
      <c r="AI83" s="187"/>
      <c r="AJ83" s="191"/>
      <c r="AK83" s="191"/>
      <c r="AL83" s="191"/>
      <c r="AM83" s="191"/>
    </row>
    <row r="84" spans="2:39" x14ac:dyDescent="0.25">
      <c r="B84" s="193" t="str">
        <f>Sheet1!A95</f>
        <v>11290.9</v>
      </c>
      <c r="C84" s="183" t="str">
        <f>Sheet1!C95</f>
        <v>SUNCOAST PKWY (SR589)</v>
      </c>
      <c r="D84" s="183" t="str">
        <f>Sheet1!D95</f>
        <v>CENTRALIA</v>
      </c>
      <c r="E84" s="183" t="str">
        <f>Sheet1!E95</f>
        <v>PONCE DE LEON BLVD (US98/SR700)</v>
      </c>
      <c r="F84" s="184" t="str">
        <f>Sheet1!F95</f>
        <v>4F</v>
      </c>
      <c r="G84" s="184" t="str">
        <f>Sheet1!H95</f>
        <v>2D</v>
      </c>
      <c r="H84" s="185" t="str">
        <f>Sheet1!Z95</f>
        <v>C</v>
      </c>
      <c r="I84" s="185"/>
      <c r="J84" s="185"/>
      <c r="K84" s="185"/>
      <c r="L84" s="184"/>
      <c r="M84" s="184">
        <f>Sheet1!AI95</f>
        <v>5780</v>
      </c>
      <c r="N84" s="184"/>
      <c r="O84" s="184"/>
      <c r="P84" s="184"/>
      <c r="Q84" s="184"/>
      <c r="R84" s="184">
        <f>Sheet1!P95</f>
        <v>7831</v>
      </c>
      <c r="S84" s="186"/>
      <c r="T84" s="184"/>
      <c r="U84" s="184"/>
      <c r="V84" s="184"/>
      <c r="W84" s="184"/>
      <c r="X84" s="184">
        <f>Sheet1!AS95</f>
        <v>705</v>
      </c>
      <c r="Y84" s="184">
        <f>Sheet1!AT95</f>
        <v>0.122</v>
      </c>
      <c r="Z84" s="184"/>
      <c r="AA84" s="184"/>
      <c r="AB84" s="184"/>
      <c r="AC84" s="186"/>
      <c r="AD84" s="184"/>
      <c r="AE84" s="184"/>
      <c r="AF84" s="184"/>
      <c r="AG84" s="186"/>
      <c r="AH84" s="184"/>
      <c r="AI84" s="187"/>
      <c r="AJ84" s="191"/>
      <c r="AK84" s="191"/>
      <c r="AL84" s="191"/>
      <c r="AM84" s="191"/>
    </row>
    <row r="85" spans="2:39" x14ac:dyDescent="0.25">
      <c r="B85" s="193" t="str">
        <f>Sheet1!A96</f>
        <v>10615</v>
      </c>
      <c r="C85" s="183" t="str">
        <f>Sheet1!C96</f>
        <v>PONCE DE LEON BLVD (US98/SR700)</v>
      </c>
      <c r="D85" s="183" t="str">
        <f>Sheet1!D96</f>
        <v>BROAD ST (US41/SR45)</v>
      </c>
      <c r="E85" s="183" t="str">
        <f>Sheet1!E96</f>
        <v>JEFFERSON ST (SR50A)</v>
      </c>
      <c r="F85" s="184" t="str">
        <f>Sheet1!F96</f>
        <v>2U</v>
      </c>
      <c r="G85" s="184" t="str">
        <f>Sheet1!H96</f>
        <v>2D</v>
      </c>
      <c r="H85" s="185" t="str">
        <f>Sheet1!Z96</f>
        <v>C</v>
      </c>
      <c r="I85" s="185"/>
      <c r="J85" s="185"/>
      <c r="K85" s="185"/>
      <c r="L85" s="184"/>
      <c r="M85" s="184">
        <f>Sheet1!AI96</f>
        <v>660</v>
      </c>
      <c r="N85" s="184"/>
      <c r="O85" s="184"/>
      <c r="P85" s="184"/>
      <c r="Q85" s="184"/>
      <c r="R85" s="184">
        <f>Sheet1!P96</f>
        <v>7438</v>
      </c>
      <c r="S85" s="186"/>
      <c r="T85" s="184"/>
      <c r="U85" s="184"/>
      <c r="V85" s="184"/>
      <c r="W85" s="184"/>
      <c r="X85" s="184">
        <f>Sheet1!AS96</f>
        <v>669</v>
      </c>
      <c r="Y85" s="184">
        <f>Sheet1!AT96</f>
        <v>1.014</v>
      </c>
      <c r="Z85" s="184"/>
      <c r="AA85" s="184"/>
      <c r="AB85" s="184"/>
      <c r="AC85" s="186"/>
      <c r="AD85" s="184"/>
      <c r="AE85" s="184"/>
      <c r="AF85" s="184"/>
      <c r="AG85" s="186"/>
      <c r="AH85" s="184"/>
      <c r="AI85" s="187"/>
      <c r="AJ85" s="191"/>
      <c r="AK85" s="191"/>
      <c r="AL85" s="191"/>
      <c r="AM85" s="191"/>
    </row>
    <row r="86" spans="2:39" x14ac:dyDescent="0.25">
      <c r="B86" s="193" t="str">
        <f>Sheet1!A97</f>
        <v>10620</v>
      </c>
      <c r="C86" s="183" t="str">
        <f>Sheet1!C97</f>
        <v>PONCE DE LEON BLVD (US98/SR700)</v>
      </c>
      <c r="D86" s="183" t="str">
        <f>Sheet1!D97</f>
        <v>JEFFERSON ST (SR50A)</v>
      </c>
      <c r="E86" s="183" t="str">
        <f>Sheet1!E97</f>
        <v>FORT DADE AVE</v>
      </c>
      <c r="F86" s="184" t="str">
        <f>Sheet1!F97</f>
        <v>2D</v>
      </c>
      <c r="G86" s="184" t="str">
        <f>Sheet1!H97</f>
        <v>2U</v>
      </c>
      <c r="H86" s="185" t="str">
        <f>Sheet1!Z97</f>
        <v>C</v>
      </c>
      <c r="I86" s="185"/>
      <c r="J86" s="185"/>
      <c r="K86" s="185"/>
      <c r="L86" s="184"/>
      <c r="M86" s="184">
        <f>Sheet1!AI97</f>
        <v>693</v>
      </c>
      <c r="N86" s="184"/>
      <c r="O86" s="184"/>
      <c r="P86" s="184"/>
      <c r="Q86" s="184"/>
      <c r="R86" s="184">
        <f>Sheet1!P97</f>
        <v>11825</v>
      </c>
      <c r="S86" s="186"/>
      <c r="T86" s="184"/>
      <c r="U86" s="184"/>
      <c r="V86" s="184"/>
      <c r="W86" s="184"/>
      <c r="X86" s="184">
        <f>Sheet1!AS97</f>
        <v>1064</v>
      </c>
      <c r="Y86" s="184">
        <f>Sheet1!AT97</f>
        <v>1.5349999999999999</v>
      </c>
      <c r="Z86" s="184"/>
      <c r="AA86" s="184"/>
      <c r="AB86" s="184"/>
      <c r="AC86" s="186"/>
      <c r="AD86" s="184"/>
      <c r="AE86" s="184"/>
      <c r="AF86" s="184"/>
      <c r="AG86" s="186"/>
      <c r="AH86" s="184"/>
      <c r="AI86" s="187"/>
      <c r="AJ86" s="191"/>
      <c r="AK86" s="191"/>
      <c r="AL86" s="191"/>
      <c r="AM86" s="191"/>
    </row>
    <row r="87" spans="2:39" x14ac:dyDescent="0.25">
      <c r="B87" s="193" t="str">
        <f>Sheet1!A98</f>
        <v>10630</v>
      </c>
      <c r="C87" s="183" t="str">
        <f>Sheet1!C98</f>
        <v>PONCE DE LEON BLVD (US98/SR700)</v>
      </c>
      <c r="D87" s="183" t="str">
        <f>Sheet1!D98</f>
        <v>FORT DADE AVE</v>
      </c>
      <c r="E87" s="183" t="str">
        <f>Sheet1!E98</f>
        <v>YONTZ RD</v>
      </c>
      <c r="F87" s="184" t="str">
        <f>Sheet1!F98</f>
        <v>2D</v>
      </c>
      <c r="G87" s="184" t="str">
        <f>Sheet1!H98</f>
        <v>2U</v>
      </c>
      <c r="H87" s="185" t="str">
        <f>Sheet1!Z98</f>
        <v>C</v>
      </c>
      <c r="I87" s="185"/>
      <c r="J87" s="185"/>
      <c r="K87" s="185"/>
      <c r="L87" s="184"/>
      <c r="M87" s="184">
        <f>Sheet1!AI98</f>
        <v>693</v>
      </c>
      <c r="N87" s="184"/>
      <c r="O87" s="184"/>
      <c r="P87" s="184"/>
      <c r="Q87" s="184"/>
      <c r="R87" s="184">
        <f>Sheet1!P98</f>
        <v>7320</v>
      </c>
      <c r="S87" s="186"/>
      <c r="T87" s="184"/>
      <c r="U87" s="184"/>
      <c r="V87" s="184"/>
      <c r="W87" s="184"/>
      <c r="X87" s="184">
        <f>Sheet1!AS98</f>
        <v>659</v>
      </c>
      <c r="Y87" s="184">
        <f>Sheet1!AT98</f>
        <v>0.95099999999999996</v>
      </c>
      <c r="Z87" s="184"/>
      <c r="AA87" s="184"/>
      <c r="AB87" s="184"/>
      <c r="AC87" s="186"/>
      <c r="AD87" s="184"/>
      <c r="AE87" s="184"/>
      <c r="AF87" s="184"/>
      <c r="AG87" s="186"/>
      <c r="AH87" s="184"/>
      <c r="AI87" s="187"/>
      <c r="AJ87" s="191"/>
      <c r="AK87" s="191"/>
      <c r="AL87" s="191"/>
      <c r="AM87" s="191"/>
    </row>
    <row r="88" spans="2:39" x14ac:dyDescent="0.25">
      <c r="B88" s="193" t="str">
        <f>Sheet1!A99</f>
        <v>10640</v>
      </c>
      <c r="C88" s="183" t="str">
        <f>Sheet1!C99</f>
        <v>PONCE DE LEON BLVD (US98/SR700)</v>
      </c>
      <c r="D88" s="183" t="str">
        <f>Sheet1!D99</f>
        <v>YONTZ RD</v>
      </c>
      <c r="E88" s="183" t="str">
        <f>Sheet1!E99</f>
        <v>COBB RD</v>
      </c>
      <c r="F88" s="184" t="str">
        <f>Sheet1!F99</f>
        <v>2U</v>
      </c>
      <c r="G88" s="184" t="str">
        <f>Sheet1!H99</f>
        <v>2U</v>
      </c>
      <c r="H88" s="185" t="str">
        <f>Sheet1!Z99</f>
        <v>C</v>
      </c>
      <c r="I88" s="185"/>
      <c r="J88" s="185"/>
      <c r="K88" s="185"/>
      <c r="L88" s="184"/>
      <c r="M88" s="184">
        <f>Sheet1!AI99</f>
        <v>1510</v>
      </c>
      <c r="N88" s="184"/>
      <c r="O88" s="184"/>
      <c r="P88" s="184"/>
      <c r="Q88" s="184"/>
      <c r="R88" s="184">
        <f>Sheet1!P99</f>
        <v>6339</v>
      </c>
      <c r="S88" s="186"/>
      <c r="T88" s="184"/>
      <c r="U88" s="184"/>
      <c r="V88" s="184"/>
      <c r="W88" s="184"/>
      <c r="X88" s="184">
        <f>Sheet1!AS99</f>
        <v>570</v>
      </c>
      <c r="Y88" s="184">
        <f>Sheet1!AT99</f>
        <v>0.377</v>
      </c>
      <c r="Z88" s="184"/>
      <c r="AA88" s="184"/>
      <c r="AB88" s="184"/>
      <c r="AC88" s="186"/>
      <c r="AD88" s="184"/>
      <c r="AE88" s="184"/>
      <c r="AF88" s="184"/>
      <c r="AG88" s="186"/>
      <c r="AH88" s="184"/>
      <c r="AI88" s="187"/>
      <c r="AJ88" s="191"/>
      <c r="AK88" s="191"/>
      <c r="AL88" s="191"/>
      <c r="AM88" s="191"/>
    </row>
    <row r="89" spans="2:39" x14ac:dyDescent="0.25">
      <c r="B89" s="193" t="str">
        <f>Sheet1!A100</f>
        <v>10650</v>
      </c>
      <c r="C89" s="183" t="str">
        <f>Sheet1!C100</f>
        <v>PONCE DE LEON BLVD (US98/SR700)</v>
      </c>
      <c r="D89" s="183" t="str">
        <f>Sheet1!D100</f>
        <v>COBB RD</v>
      </c>
      <c r="E89" s="183" t="str">
        <f>Sheet1!E100</f>
        <v>LAKE LINDSEY RD</v>
      </c>
      <c r="F89" s="184" t="str">
        <f>Sheet1!F100</f>
        <v>2U</v>
      </c>
      <c r="G89" s="184" t="str">
        <f>Sheet1!H100</f>
        <v>2U</v>
      </c>
      <c r="H89" s="185" t="str">
        <f>Sheet1!Z100</f>
        <v>C</v>
      </c>
      <c r="I89" s="185"/>
      <c r="J89" s="185"/>
      <c r="K89" s="185"/>
      <c r="L89" s="184"/>
      <c r="M89" s="184">
        <f>Sheet1!AI100</f>
        <v>1560</v>
      </c>
      <c r="N89" s="184"/>
      <c r="O89" s="184"/>
      <c r="P89" s="184"/>
      <c r="Q89" s="184"/>
      <c r="R89" s="184">
        <f>Sheet1!P100</f>
        <v>6564</v>
      </c>
      <c r="S89" s="186"/>
      <c r="T89" s="184"/>
      <c r="U89" s="184"/>
      <c r="V89" s="184"/>
      <c r="W89" s="184"/>
      <c r="X89" s="184">
        <f>Sheet1!AS100</f>
        <v>591</v>
      </c>
      <c r="Y89" s="184">
        <f>Sheet1!AT100</f>
        <v>0.379</v>
      </c>
      <c r="Z89" s="184"/>
      <c r="AA89" s="184"/>
      <c r="AB89" s="184"/>
      <c r="AC89" s="186"/>
      <c r="AD89" s="184"/>
      <c r="AE89" s="184"/>
      <c r="AF89" s="184"/>
      <c r="AG89" s="186"/>
      <c r="AH89" s="184"/>
      <c r="AI89" s="187"/>
      <c r="AJ89" s="191"/>
      <c r="AK89" s="191"/>
      <c r="AL89" s="191"/>
      <c r="AM89" s="191"/>
    </row>
    <row r="90" spans="2:39" x14ac:dyDescent="0.25">
      <c r="B90" s="193" t="str">
        <f>Sheet1!A101</f>
        <v>10660</v>
      </c>
      <c r="C90" s="183" t="str">
        <f>Sheet1!C101</f>
        <v>PONCE DE LEON BLVD (US98/SR700)</v>
      </c>
      <c r="D90" s="183" t="str">
        <f>Sheet1!D101</f>
        <v>LAKE LINDSEY RD</v>
      </c>
      <c r="E90" s="183" t="str">
        <f>Sheet1!E101</f>
        <v>CITRUS WAY</v>
      </c>
      <c r="F90" s="184" t="str">
        <f>Sheet1!F101</f>
        <v>2U</v>
      </c>
      <c r="G90" s="184" t="str">
        <f>Sheet1!H101</f>
        <v>4D</v>
      </c>
      <c r="H90" s="185" t="str">
        <f>Sheet1!Z101</f>
        <v>C</v>
      </c>
      <c r="I90" s="185"/>
      <c r="J90" s="185"/>
      <c r="K90" s="185"/>
      <c r="L90" s="184"/>
      <c r="M90" s="184">
        <f>Sheet1!AI101</f>
        <v>1490</v>
      </c>
      <c r="N90" s="184"/>
      <c r="O90" s="184"/>
      <c r="P90" s="184"/>
      <c r="Q90" s="184"/>
      <c r="R90" s="184">
        <f>Sheet1!P101</f>
        <v>5133</v>
      </c>
      <c r="S90" s="186"/>
      <c r="T90" s="184"/>
      <c r="U90" s="184"/>
      <c r="V90" s="184"/>
      <c r="W90" s="184"/>
      <c r="X90" s="184">
        <f>Sheet1!AS101</f>
        <v>462</v>
      </c>
      <c r="Y90" s="184">
        <f>Sheet1!AT101</f>
        <v>0.31</v>
      </c>
      <c r="Z90" s="184"/>
      <c r="AA90" s="184"/>
      <c r="AB90" s="184"/>
      <c r="AC90" s="186"/>
      <c r="AD90" s="184"/>
      <c r="AE90" s="184"/>
      <c r="AF90" s="184"/>
      <c r="AG90" s="186"/>
      <c r="AH90" s="184"/>
      <c r="AI90" s="187"/>
      <c r="AJ90" s="191"/>
      <c r="AK90" s="191"/>
      <c r="AL90" s="191"/>
      <c r="AM90" s="191"/>
    </row>
    <row r="91" spans="2:39" x14ac:dyDescent="0.25">
      <c r="B91" s="193" t="str">
        <f>Sheet1!A102</f>
        <v>10670.6</v>
      </c>
      <c r="C91" s="183" t="str">
        <f>Sheet1!C102</f>
        <v>PONCE DE LEON BLVD (US98/SR700)</v>
      </c>
      <c r="D91" s="183" t="str">
        <f>Sheet1!D102</f>
        <v>CITRUS WAY</v>
      </c>
      <c r="E91" s="183" t="str">
        <f>Sheet1!E102</f>
        <v>LANDFILL RD</v>
      </c>
      <c r="F91" s="184" t="str">
        <f>Sheet1!F102</f>
        <v>2U</v>
      </c>
      <c r="G91" s="184" t="str">
        <f>Sheet1!H102</f>
        <v>4D</v>
      </c>
      <c r="H91" s="185" t="str">
        <f>Sheet1!Z102</f>
        <v>C</v>
      </c>
      <c r="I91" s="185"/>
      <c r="J91" s="185"/>
      <c r="K91" s="185"/>
      <c r="L91" s="184"/>
      <c r="M91" s="184">
        <f>Sheet1!AI102</f>
        <v>1490</v>
      </c>
      <c r="N91" s="184"/>
      <c r="O91" s="184"/>
      <c r="P91" s="184"/>
      <c r="Q91" s="184"/>
      <c r="R91" s="184">
        <f>Sheet1!P102</f>
        <v>5575</v>
      </c>
      <c r="S91" s="186"/>
      <c r="T91" s="184"/>
      <c r="U91" s="184"/>
      <c r="V91" s="184"/>
      <c r="W91" s="184"/>
      <c r="X91" s="184">
        <f>Sheet1!AS102</f>
        <v>502</v>
      </c>
      <c r="Y91" s="184">
        <f>Sheet1!AT102</f>
        <v>0.33700000000000002</v>
      </c>
      <c r="Z91" s="184"/>
      <c r="AA91" s="184"/>
      <c r="AB91" s="184"/>
      <c r="AC91" s="186"/>
      <c r="AD91" s="184"/>
      <c r="AE91" s="184"/>
      <c r="AF91" s="184"/>
      <c r="AG91" s="186"/>
      <c r="AH91" s="184"/>
      <c r="AI91" s="187"/>
      <c r="AJ91" s="191"/>
      <c r="AK91" s="191"/>
      <c r="AL91" s="191"/>
      <c r="AM91" s="191"/>
    </row>
    <row r="92" spans="2:39" x14ac:dyDescent="0.25">
      <c r="B92" s="193" t="str">
        <f>Sheet1!A103</f>
        <v>10670.8</v>
      </c>
      <c r="C92" s="183" t="str">
        <f>Sheet1!C103</f>
        <v>PONCE DE LEON BLVD (US98/SR700)</v>
      </c>
      <c r="D92" s="183" t="str">
        <f>Sheet1!D103</f>
        <v>LANDFILL RD</v>
      </c>
      <c r="E92" s="183" t="str">
        <f>Sheet1!E103</f>
        <v>\</v>
      </c>
      <c r="F92" s="184" t="str">
        <f>Sheet1!F103</f>
        <v>4D</v>
      </c>
      <c r="G92" s="184" t="str">
        <f>Sheet1!H103</f>
        <v>4D</v>
      </c>
      <c r="H92" s="185" t="str">
        <f>Sheet1!Z103</f>
        <v>C</v>
      </c>
      <c r="I92" s="185"/>
      <c r="J92" s="185"/>
      <c r="K92" s="185"/>
      <c r="L92" s="184"/>
      <c r="M92" s="184">
        <f>Sheet1!AI103</f>
        <v>4490</v>
      </c>
      <c r="N92" s="184"/>
      <c r="O92" s="184"/>
      <c r="P92" s="184"/>
      <c r="Q92" s="184"/>
      <c r="R92" s="184">
        <f>Sheet1!P103</f>
        <v>5575</v>
      </c>
      <c r="S92" s="186"/>
      <c r="T92" s="184"/>
      <c r="U92" s="184"/>
      <c r="V92" s="184"/>
      <c r="W92" s="184"/>
      <c r="X92" s="184">
        <f>Sheet1!AS103</f>
        <v>502</v>
      </c>
      <c r="Y92" s="184">
        <f>Sheet1!AT103</f>
        <v>0.112</v>
      </c>
      <c r="Z92" s="184"/>
      <c r="AA92" s="184"/>
      <c r="AB92" s="184"/>
      <c r="AC92" s="186"/>
      <c r="AD92" s="184"/>
      <c r="AE92" s="184"/>
      <c r="AF92" s="184"/>
      <c r="AG92" s="186"/>
      <c r="AH92" s="184"/>
      <c r="AI92" s="187"/>
      <c r="AJ92" s="191"/>
      <c r="AK92" s="191"/>
      <c r="AL92" s="191"/>
      <c r="AM92" s="191"/>
    </row>
    <row r="93" spans="2:39" x14ac:dyDescent="0.25">
      <c r="B93" s="193" t="str">
        <f>Sheet1!A104</f>
        <v>10670.9</v>
      </c>
      <c r="C93" s="183" t="str">
        <f>Sheet1!C104</f>
        <v>PONCE DE LEON BLVD (US98/SR700)</v>
      </c>
      <c r="D93" s="183" t="str">
        <f>Sheet1!D104</f>
        <v>SUNCOAST PKWY NB RAMP</v>
      </c>
      <c r="E93" s="183" t="str">
        <f>Sheet1!E104</f>
        <v>SUNCOAST PKWY SB RAMP</v>
      </c>
      <c r="F93" s="184" t="str">
        <f>Sheet1!F104</f>
        <v>4D</v>
      </c>
      <c r="G93" s="184" t="str">
        <f>Sheet1!H104</f>
        <v>4D</v>
      </c>
      <c r="H93" s="185" t="str">
        <f>Sheet1!Z104</f>
        <v>C</v>
      </c>
      <c r="I93" s="185"/>
      <c r="J93" s="185"/>
      <c r="K93" s="185"/>
      <c r="L93" s="184"/>
      <c r="M93" s="184">
        <f>Sheet1!AI104</f>
        <v>4490</v>
      </c>
      <c r="N93" s="184"/>
      <c r="O93" s="184"/>
      <c r="P93" s="184"/>
      <c r="Q93" s="184"/>
      <c r="R93" s="184">
        <f>Sheet1!P104</f>
        <v>5575</v>
      </c>
      <c r="S93" s="186"/>
      <c r="T93" s="184"/>
      <c r="U93" s="184"/>
      <c r="V93" s="184"/>
      <c r="W93" s="184"/>
      <c r="X93" s="184">
        <f>Sheet1!AS104</f>
        <v>502</v>
      </c>
      <c r="Y93" s="184">
        <f>Sheet1!AT104</f>
        <v>0.112</v>
      </c>
      <c r="Z93" s="184"/>
      <c r="AA93" s="184"/>
      <c r="AB93" s="184"/>
      <c r="AC93" s="186"/>
      <c r="AD93" s="184"/>
      <c r="AE93" s="184"/>
      <c r="AF93" s="184"/>
      <c r="AG93" s="186"/>
      <c r="AH93" s="184"/>
      <c r="AI93" s="187"/>
      <c r="AJ93" s="191"/>
      <c r="AK93" s="191"/>
      <c r="AL93" s="191"/>
      <c r="AM93" s="191"/>
    </row>
    <row r="94" spans="2:39" x14ac:dyDescent="0.25">
      <c r="B94" s="193" t="str">
        <f>Sheet1!A105</f>
        <v>10680.3</v>
      </c>
      <c r="C94" s="183" t="str">
        <f>Sheet1!C105</f>
        <v>PONCE DE LEON BLVD (US98/SR700)</v>
      </c>
      <c r="D94" s="183" t="str">
        <f>Sheet1!D105</f>
        <v>SUNCOAST PKWY SB RAMP</v>
      </c>
      <c r="E94" s="183" t="str">
        <f>Sheet1!E105</f>
        <v>SUNSHINE GROVE RD</v>
      </c>
      <c r="F94" s="184" t="str">
        <f>Sheet1!F105</f>
        <v>4D</v>
      </c>
      <c r="G94" s="184" t="str">
        <f>Sheet1!H105</f>
        <v>2U</v>
      </c>
      <c r="H94" s="185" t="str">
        <f>Sheet1!Z105</f>
        <v>C</v>
      </c>
      <c r="I94" s="185"/>
      <c r="J94" s="185"/>
      <c r="K94" s="185"/>
      <c r="L94" s="184"/>
      <c r="M94" s="184">
        <f>Sheet1!AI105</f>
        <v>4490</v>
      </c>
      <c r="N94" s="184"/>
      <c r="O94" s="184"/>
      <c r="P94" s="184"/>
      <c r="Q94" s="184"/>
      <c r="R94" s="184">
        <f>Sheet1!P105</f>
        <v>9365</v>
      </c>
      <c r="S94" s="186"/>
      <c r="T94" s="184"/>
      <c r="U94" s="184"/>
      <c r="V94" s="184"/>
      <c r="W94" s="184"/>
      <c r="X94" s="184">
        <f>Sheet1!AS105</f>
        <v>843</v>
      </c>
      <c r="Y94" s="184">
        <f>Sheet1!AT105</f>
        <v>0.188</v>
      </c>
      <c r="Z94" s="184"/>
      <c r="AA94" s="184"/>
      <c r="AB94" s="184"/>
      <c r="AC94" s="186"/>
      <c r="AD94" s="184"/>
      <c r="AE94" s="184"/>
      <c r="AF94" s="184"/>
      <c r="AG94" s="186"/>
      <c r="AH94" s="184"/>
      <c r="AI94" s="187"/>
      <c r="AJ94" s="191"/>
      <c r="AK94" s="191"/>
      <c r="AL94" s="191"/>
      <c r="AM94" s="191"/>
    </row>
    <row r="95" spans="2:39" x14ac:dyDescent="0.25">
      <c r="B95" s="193" t="str">
        <f>Sheet1!A106</f>
        <v>10690</v>
      </c>
      <c r="C95" s="183" t="str">
        <f>Sheet1!C106</f>
        <v>PONCE DE LEON BLVD (US98/SR700)</v>
      </c>
      <c r="D95" s="183" t="str">
        <f>Sheet1!D106</f>
        <v>SUNSHINE GROVE RD</v>
      </c>
      <c r="E95" s="183" t="str">
        <f>Sheet1!E106</f>
        <v>CITRUS COUNTY LINE</v>
      </c>
      <c r="F95" s="184" t="str">
        <f>Sheet1!F106</f>
        <v>4D</v>
      </c>
      <c r="G95" s="184" t="str">
        <f>Sheet1!H106</f>
        <v>6D</v>
      </c>
      <c r="H95" s="185" t="str">
        <f>Sheet1!Z106</f>
        <v>C</v>
      </c>
      <c r="I95" s="185"/>
      <c r="J95" s="185"/>
      <c r="K95" s="185"/>
      <c r="L95" s="184"/>
      <c r="M95" s="184">
        <f>Sheet1!AI106</f>
        <v>4490</v>
      </c>
      <c r="N95" s="184"/>
      <c r="O95" s="184"/>
      <c r="P95" s="184"/>
      <c r="Q95" s="184"/>
      <c r="R95" s="184">
        <f>Sheet1!P106</f>
        <v>9365</v>
      </c>
      <c r="S95" s="186"/>
      <c r="T95" s="184"/>
      <c r="U95" s="184"/>
      <c r="V95" s="184"/>
      <c r="W95" s="184"/>
      <c r="X95" s="184">
        <f>Sheet1!AS106</f>
        <v>843</v>
      </c>
      <c r="Y95" s="184">
        <f>Sheet1!AT106</f>
        <v>0.188</v>
      </c>
      <c r="Z95" s="184"/>
      <c r="AA95" s="184"/>
      <c r="AB95" s="184"/>
      <c r="AC95" s="186"/>
      <c r="AD95" s="184"/>
      <c r="AE95" s="184"/>
      <c r="AF95" s="184"/>
      <c r="AG95" s="186"/>
      <c r="AH95" s="184"/>
      <c r="AI95" s="187"/>
      <c r="AJ95" s="191"/>
      <c r="AK95" s="191"/>
      <c r="AL95" s="191"/>
      <c r="AM95" s="191"/>
    </row>
    <row r="96" spans="2:39" x14ac:dyDescent="0.25">
      <c r="B96" s="193" t="str">
        <f>Sheet1!A107</f>
        <v>1333</v>
      </c>
      <c r="C96" s="183" t="str">
        <f>Sheet1!C107</f>
        <v>MILDRED AVE (SR45/SR700/SR50A)</v>
      </c>
      <c r="D96" s="183" t="str">
        <f>Sheet1!D107</f>
        <v>BROAD ST (US41/SR45)</v>
      </c>
      <c r="E96" s="183" t="str">
        <f>Sheet1!E107</f>
        <v>JEFFERSON ST (SR50)</v>
      </c>
      <c r="F96" s="184" t="str">
        <f>Sheet1!F107</f>
        <v>2U</v>
      </c>
      <c r="G96" s="184" t="str">
        <f>Sheet1!H107</f>
        <v>6D</v>
      </c>
      <c r="H96" s="185" t="str">
        <f>Sheet1!Z107</f>
        <v>C</v>
      </c>
      <c r="I96" s="185"/>
      <c r="J96" s="185"/>
      <c r="K96" s="185"/>
      <c r="L96" s="184"/>
      <c r="M96" s="184">
        <f>Sheet1!AI107</f>
        <v>660</v>
      </c>
      <c r="N96" s="184"/>
      <c r="O96" s="184"/>
      <c r="P96" s="184"/>
      <c r="Q96" s="184"/>
      <c r="R96" s="184">
        <f>Sheet1!P107</f>
        <v>9544</v>
      </c>
      <c r="S96" s="186"/>
      <c r="T96" s="184"/>
      <c r="U96" s="184"/>
      <c r="V96" s="184"/>
      <c r="W96" s="184"/>
      <c r="X96" s="184">
        <f>Sheet1!AS107</f>
        <v>859</v>
      </c>
      <c r="Y96" s="184">
        <f>Sheet1!AT107</f>
        <v>1.302</v>
      </c>
      <c r="Z96" s="184"/>
      <c r="AA96" s="184"/>
      <c r="AB96" s="184"/>
      <c r="AC96" s="186"/>
      <c r="AD96" s="184"/>
      <c r="AE96" s="184"/>
      <c r="AF96" s="184"/>
      <c r="AG96" s="186"/>
      <c r="AH96" s="184"/>
      <c r="AI96" s="187"/>
      <c r="AJ96" s="191"/>
      <c r="AK96" s="191"/>
      <c r="AL96" s="191"/>
      <c r="AM96" s="191"/>
    </row>
    <row r="97" spans="2:39" x14ac:dyDescent="0.25">
      <c r="B97" s="193" t="str">
        <f>Sheet1!A108</f>
        <v>2110</v>
      </c>
      <c r="C97" s="183" t="str">
        <f>Sheet1!C108</f>
        <v>CORTEZ BLVD BYPASS (SR50)</v>
      </c>
      <c r="D97" s="183" t="str">
        <f>Sheet1!D108</f>
        <v>COBB RD</v>
      </c>
      <c r="E97" s="183" t="str">
        <f>Sheet1!E108</f>
        <v>W OF BUCK HOPE RD</v>
      </c>
      <c r="F97" s="184" t="str">
        <f>Sheet1!F108</f>
        <v>4D</v>
      </c>
      <c r="G97" s="184" t="str">
        <f>Sheet1!H108</f>
        <v>6D</v>
      </c>
      <c r="H97" s="185" t="str">
        <f>Sheet1!Z108</f>
        <v>C</v>
      </c>
      <c r="I97" s="185"/>
      <c r="J97" s="185"/>
      <c r="K97" s="185"/>
      <c r="L97" s="184"/>
      <c r="M97" s="184">
        <f>Sheet1!AI108</f>
        <v>2090</v>
      </c>
      <c r="N97" s="184"/>
      <c r="O97" s="184"/>
      <c r="P97" s="184"/>
      <c r="Q97" s="184"/>
      <c r="R97" s="184">
        <f>Sheet1!P108</f>
        <v>36037</v>
      </c>
      <c r="S97" s="186"/>
      <c r="T97" s="184"/>
      <c r="U97" s="184"/>
      <c r="V97" s="184"/>
      <c r="W97" s="184"/>
      <c r="X97" s="184">
        <f>Sheet1!AS108</f>
        <v>3243</v>
      </c>
      <c r="Y97" s="184">
        <f>Sheet1!AT108</f>
        <v>1.552</v>
      </c>
      <c r="Z97" s="184"/>
      <c r="AA97" s="184"/>
      <c r="AB97" s="184"/>
      <c r="AC97" s="186"/>
      <c r="AD97" s="184"/>
      <c r="AE97" s="184"/>
      <c r="AF97" s="184"/>
      <c r="AG97" s="186"/>
      <c r="AH97" s="184"/>
      <c r="AI97" s="187"/>
      <c r="AJ97" s="191"/>
      <c r="AK97" s="191"/>
      <c r="AL97" s="191"/>
      <c r="AM97" s="191"/>
    </row>
    <row r="98" spans="2:39" x14ac:dyDescent="0.25">
      <c r="B98" s="193" t="str">
        <f>Sheet1!A109</f>
        <v>2120.1</v>
      </c>
      <c r="C98" s="183" t="str">
        <f>Sheet1!C109</f>
        <v>CORTEZ BLVD BYPASS (SR50)</v>
      </c>
      <c r="D98" s="183" t="str">
        <f>Sheet1!D109</f>
        <v>W OF BUCK HOPE RD</v>
      </c>
      <c r="E98" s="183" t="str">
        <f>Sheet1!E109</f>
        <v>RAY BROWNING RD</v>
      </c>
      <c r="F98" s="184" t="str">
        <f>Sheet1!F109</f>
        <v>4D</v>
      </c>
      <c r="G98" s="184" t="str">
        <f>Sheet1!H109</f>
        <v>6D</v>
      </c>
      <c r="H98" s="185" t="str">
        <f>Sheet1!Z109</f>
        <v>C</v>
      </c>
      <c r="I98" s="185"/>
      <c r="J98" s="185"/>
      <c r="K98" s="185"/>
      <c r="L98" s="184"/>
      <c r="M98" s="184">
        <f>Sheet1!AI109</f>
        <v>2090</v>
      </c>
      <c r="N98" s="184"/>
      <c r="O98" s="184"/>
      <c r="P98" s="184"/>
      <c r="Q98" s="184"/>
      <c r="R98" s="184">
        <f>Sheet1!P109</f>
        <v>36037</v>
      </c>
      <c r="S98" s="186"/>
      <c r="T98" s="184"/>
      <c r="U98" s="184"/>
      <c r="V98" s="184"/>
      <c r="W98" s="184"/>
      <c r="X98" s="184">
        <f>Sheet1!AS109</f>
        <v>3243</v>
      </c>
      <c r="Y98" s="184">
        <f>Sheet1!AT109</f>
        <v>1.552</v>
      </c>
      <c r="Z98" s="184"/>
      <c r="AA98" s="184"/>
      <c r="AB98" s="184"/>
      <c r="AC98" s="186"/>
      <c r="AD98" s="184"/>
      <c r="AE98" s="184"/>
      <c r="AF98" s="184"/>
      <c r="AG98" s="186"/>
      <c r="AH98" s="184"/>
      <c r="AI98" s="187"/>
      <c r="AJ98" s="191"/>
      <c r="AK98" s="191"/>
      <c r="AL98" s="191"/>
      <c r="AM98" s="191"/>
    </row>
    <row r="99" spans="2:39" x14ac:dyDescent="0.25">
      <c r="B99" s="193" t="str">
        <f>Sheet1!A110</f>
        <v>2120.2</v>
      </c>
      <c r="C99" s="183" t="str">
        <f>Sheet1!C110</f>
        <v>CORTEZ BLVD BYPASS (SR50)</v>
      </c>
      <c r="D99" s="183" t="str">
        <f>Sheet1!D110</f>
        <v>RAY BROWNING RD</v>
      </c>
      <c r="E99" s="183" t="str">
        <f>Sheet1!E110</f>
        <v>MAIN ST</v>
      </c>
      <c r="F99" s="184" t="str">
        <f>Sheet1!F110</f>
        <v>4D</v>
      </c>
      <c r="G99" s="184" t="str">
        <f>Sheet1!H110</f>
        <v>6D</v>
      </c>
      <c r="H99" s="185" t="str">
        <f>Sheet1!Z110</f>
        <v>C</v>
      </c>
      <c r="I99" s="185"/>
      <c r="J99" s="185"/>
      <c r="K99" s="185"/>
      <c r="L99" s="184"/>
      <c r="M99" s="184">
        <f>Sheet1!AI110</f>
        <v>2090</v>
      </c>
      <c r="N99" s="184"/>
      <c r="O99" s="184"/>
      <c r="P99" s="184"/>
      <c r="Q99" s="184"/>
      <c r="R99" s="184">
        <f>Sheet1!P110</f>
        <v>22182</v>
      </c>
      <c r="S99" s="186"/>
      <c r="T99" s="184"/>
      <c r="U99" s="184"/>
      <c r="V99" s="184"/>
      <c r="W99" s="184"/>
      <c r="X99" s="184">
        <f>Sheet1!AS110</f>
        <v>1996</v>
      </c>
      <c r="Y99" s="184">
        <f>Sheet1!AT110</f>
        <v>0.95499999999999996</v>
      </c>
      <c r="Z99" s="184"/>
      <c r="AA99" s="184"/>
      <c r="AB99" s="184"/>
      <c r="AC99" s="186"/>
      <c r="AD99" s="184"/>
      <c r="AE99" s="184"/>
      <c r="AF99" s="184"/>
      <c r="AG99" s="186"/>
      <c r="AH99" s="184"/>
      <c r="AI99" s="187"/>
      <c r="AJ99" s="191"/>
      <c r="AK99" s="191"/>
      <c r="AL99" s="191"/>
      <c r="AM99" s="191"/>
    </row>
    <row r="100" spans="2:39" x14ac:dyDescent="0.25">
      <c r="B100" s="193" t="str">
        <f>Sheet1!A111</f>
        <v>2130</v>
      </c>
      <c r="C100" s="183" t="str">
        <f>Sheet1!C111</f>
        <v>CORTEZ BLVD BYPASS (SR50)</v>
      </c>
      <c r="D100" s="183" t="str">
        <f>Sheet1!D111</f>
        <v>MAIN ST</v>
      </c>
      <c r="E100" s="183" t="str">
        <f>Sheet1!E111</f>
        <v>EMERSON RD</v>
      </c>
      <c r="F100" s="184" t="str">
        <f>Sheet1!F111</f>
        <v>4D</v>
      </c>
      <c r="G100" s="184" t="str">
        <f>Sheet1!H111</f>
        <v>2U</v>
      </c>
      <c r="H100" s="185" t="str">
        <f>Sheet1!Z111</f>
        <v>C</v>
      </c>
      <c r="I100" s="185"/>
      <c r="J100" s="185"/>
      <c r="K100" s="185"/>
      <c r="L100" s="184"/>
      <c r="M100" s="184">
        <f>Sheet1!AI111</f>
        <v>2090</v>
      </c>
      <c r="N100" s="184"/>
      <c r="O100" s="184"/>
      <c r="P100" s="184"/>
      <c r="Q100" s="184"/>
      <c r="R100" s="184">
        <f>Sheet1!P111</f>
        <v>22182</v>
      </c>
      <c r="S100" s="186"/>
      <c r="T100" s="184"/>
      <c r="U100" s="184"/>
      <c r="V100" s="184"/>
      <c r="W100" s="184"/>
      <c r="X100" s="184">
        <f>Sheet1!AS111</f>
        <v>1996</v>
      </c>
      <c r="Y100" s="184">
        <f>Sheet1!AT111</f>
        <v>0.95499999999999996</v>
      </c>
      <c r="Z100" s="184"/>
      <c r="AA100" s="184"/>
      <c r="AB100" s="184"/>
      <c r="AC100" s="186"/>
      <c r="AD100" s="184"/>
      <c r="AE100" s="184"/>
      <c r="AF100" s="184"/>
      <c r="AG100" s="186"/>
      <c r="AH100" s="184"/>
      <c r="AI100" s="187"/>
      <c r="AJ100" s="191"/>
      <c r="AK100" s="191"/>
      <c r="AL100" s="191"/>
      <c r="AM100" s="191"/>
    </row>
    <row r="101" spans="2:39" x14ac:dyDescent="0.25">
      <c r="B101" s="193" t="str">
        <f>Sheet1!A112</f>
        <v>2140</v>
      </c>
      <c r="C101" s="183" t="str">
        <f>Sheet1!C112</f>
        <v>CORTEZ BLVD BYPASS (SR50)</v>
      </c>
      <c r="D101" s="183" t="str">
        <f>Sheet1!D112</f>
        <v>EMERSON RD</v>
      </c>
      <c r="E101" s="183" t="str">
        <f>Sheet1!E112</f>
        <v>JEFFERSON ST (SR50)</v>
      </c>
      <c r="F101" s="184" t="str">
        <f>Sheet1!F112</f>
        <v>4D</v>
      </c>
      <c r="G101" s="184" t="str">
        <f>Sheet1!H112</f>
        <v>2D</v>
      </c>
      <c r="H101" s="185" t="str">
        <f>Sheet1!Z112</f>
        <v>C</v>
      </c>
      <c r="I101" s="185"/>
      <c r="J101" s="185"/>
      <c r="K101" s="185"/>
      <c r="L101" s="184"/>
      <c r="M101" s="184">
        <f>Sheet1!AI112</f>
        <v>2090</v>
      </c>
      <c r="N101" s="184"/>
      <c r="O101" s="184"/>
      <c r="P101" s="184"/>
      <c r="Q101" s="184"/>
      <c r="R101" s="184">
        <f>Sheet1!P112</f>
        <v>24907</v>
      </c>
      <c r="S101" s="186"/>
      <c r="T101" s="184"/>
      <c r="U101" s="184"/>
      <c r="V101" s="184"/>
      <c r="W101" s="184"/>
      <c r="X101" s="184">
        <f>Sheet1!AS112</f>
        <v>2242</v>
      </c>
      <c r="Y101" s="184">
        <f>Sheet1!AT112</f>
        <v>1.073</v>
      </c>
      <c r="Z101" s="184"/>
      <c r="AA101" s="184"/>
      <c r="AB101" s="184"/>
      <c r="AC101" s="186"/>
      <c r="AD101" s="184"/>
      <c r="AE101" s="184"/>
      <c r="AF101" s="184"/>
      <c r="AG101" s="186"/>
      <c r="AH101" s="184"/>
      <c r="AI101" s="187"/>
      <c r="AJ101" s="191"/>
      <c r="AK101" s="191"/>
      <c r="AL101" s="191"/>
      <c r="AM101" s="191"/>
    </row>
    <row r="102" spans="2:39" x14ac:dyDescent="0.25">
      <c r="B102" s="193" t="str">
        <f>Sheet1!A113</f>
        <v>4010</v>
      </c>
      <c r="C102" s="183" t="str">
        <f>Sheet1!C113</f>
        <v>MCKETHAN RD (US98/SR700)</v>
      </c>
      <c r="D102" s="183" t="str">
        <f>Sheet1!D113</f>
        <v>PASCO COUNTY LINE</v>
      </c>
      <c r="E102" s="183" t="str">
        <f>Sheet1!E113</f>
        <v>CORTEZ BLVD (SR50)</v>
      </c>
      <c r="F102" s="184" t="str">
        <f>Sheet1!F113</f>
        <v>2U</v>
      </c>
      <c r="G102" s="184" t="str">
        <f>Sheet1!H113</f>
        <v>2D</v>
      </c>
      <c r="H102" s="185" t="str">
        <f>Sheet1!Z113</f>
        <v>C</v>
      </c>
      <c r="I102" s="185"/>
      <c r="J102" s="185"/>
      <c r="K102" s="185"/>
      <c r="L102" s="184"/>
      <c r="M102" s="184">
        <f>Sheet1!AI113</f>
        <v>1490</v>
      </c>
      <c r="N102" s="184"/>
      <c r="O102" s="184"/>
      <c r="P102" s="184"/>
      <c r="Q102" s="184"/>
      <c r="R102" s="184">
        <f>Sheet1!P113</f>
        <v>7971</v>
      </c>
      <c r="S102" s="186"/>
      <c r="T102" s="184"/>
      <c r="U102" s="184"/>
      <c r="V102" s="184"/>
      <c r="W102" s="184"/>
      <c r="X102" s="184">
        <f>Sheet1!AS113</f>
        <v>717</v>
      </c>
      <c r="Y102" s="184">
        <f>Sheet1!AT113</f>
        <v>0.48099999999999998</v>
      </c>
      <c r="Z102" s="184"/>
      <c r="AA102" s="184"/>
      <c r="AB102" s="184"/>
      <c r="AC102" s="186"/>
      <c r="AD102" s="184"/>
      <c r="AE102" s="184"/>
      <c r="AF102" s="184"/>
      <c r="AG102" s="186"/>
      <c r="AH102" s="184"/>
      <c r="AI102" s="187"/>
      <c r="AJ102" s="191"/>
      <c r="AK102" s="191"/>
      <c r="AL102" s="191"/>
      <c r="AM102" s="191"/>
    </row>
    <row r="103" spans="2:39" x14ac:dyDescent="0.25">
      <c r="B103" s="193" t="str">
        <f>Sheet1!A114</f>
        <v>3510</v>
      </c>
      <c r="C103" s="183" t="str">
        <f>Sheet1!C114</f>
        <v>JEFFERSON ST (SR50A)</v>
      </c>
      <c r="D103" s="183" t="str">
        <f>Sheet1!D114</f>
        <v>COBB RD (CR485)</v>
      </c>
      <c r="E103" s="183" t="str">
        <f>Sheet1!E114</f>
        <v>PONCE DE LEON BLVD (US98/SR700)</v>
      </c>
      <c r="F103" s="184" t="str">
        <f>Sheet1!F114</f>
        <v>2O</v>
      </c>
      <c r="G103" s="184" t="str">
        <f>Sheet1!H114</f>
        <v>4D</v>
      </c>
      <c r="H103" s="185" t="str">
        <f>Sheet1!Z114</f>
        <v>C</v>
      </c>
      <c r="I103" s="185"/>
      <c r="J103" s="185"/>
      <c r="K103" s="185"/>
      <c r="L103" s="184"/>
      <c r="M103" s="184">
        <f>Sheet1!AI114</f>
        <v>0</v>
      </c>
      <c r="N103" s="184"/>
      <c r="O103" s="184"/>
      <c r="P103" s="184"/>
      <c r="Q103" s="184"/>
      <c r="R103" s="184">
        <f>Sheet1!P114</f>
        <v>12367</v>
      </c>
      <c r="S103" s="186"/>
      <c r="T103" s="184"/>
      <c r="U103" s="184"/>
      <c r="V103" s="184"/>
      <c r="W103" s="184"/>
      <c r="X103" s="184">
        <f>Sheet1!AS114</f>
        <v>0</v>
      </c>
      <c r="Y103" s="184">
        <f>Sheet1!AT114</f>
        <v>0</v>
      </c>
      <c r="Z103" s="184"/>
      <c r="AA103" s="184"/>
      <c r="AB103" s="184"/>
      <c r="AC103" s="186"/>
      <c r="AD103" s="184"/>
      <c r="AE103" s="184"/>
      <c r="AF103" s="184"/>
      <c r="AG103" s="186"/>
      <c r="AH103" s="184"/>
      <c r="AI103" s="187"/>
      <c r="AJ103" s="191"/>
      <c r="AK103" s="191"/>
      <c r="AL103" s="191"/>
      <c r="AM103" s="191"/>
    </row>
    <row r="104" spans="2:39" x14ac:dyDescent="0.25">
      <c r="B104" s="193" t="str">
        <f>Sheet1!A115</f>
        <v>3520</v>
      </c>
      <c r="C104" s="183" t="str">
        <f>Sheet1!C115</f>
        <v>JEFFERSON ST (SR50A)</v>
      </c>
      <c r="D104" s="183" t="str">
        <f>Sheet1!D115</f>
        <v>PONCE DE LEON BLVD (US98/SR700)</v>
      </c>
      <c r="E104" s="183" t="str">
        <f>Sheet1!E115</f>
        <v>MILDRED AVE</v>
      </c>
      <c r="F104" s="184" t="str">
        <f>Sheet1!F115</f>
        <v>2O</v>
      </c>
      <c r="G104" s="184" t="str">
        <f>Sheet1!H115</f>
        <v>2U</v>
      </c>
      <c r="H104" s="185" t="str">
        <f>Sheet1!Z115</f>
        <v>C</v>
      </c>
      <c r="I104" s="185"/>
      <c r="J104" s="185"/>
      <c r="K104" s="185"/>
      <c r="L104" s="184"/>
      <c r="M104" s="184">
        <f>Sheet1!AI115</f>
        <v>0</v>
      </c>
      <c r="N104" s="184"/>
      <c r="O104" s="184"/>
      <c r="P104" s="184"/>
      <c r="Q104" s="184"/>
      <c r="R104" s="184">
        <f>Sheet1!P115</f>
        <v>9453</v>
      </c>
      <c r="S104" s="186"/>
      <c r="T104" s="184"/>
      <c r="U104" s="184"/>
      <c r="V104" s="184"/>
      <c r="W104" s="184"/>
      <c r="X104" s="184">
        <f>Sheet1!AS115</f>
        <v>0</v>
      </c>
      <c r="Y104" s="184">
        <f>Sheet1!AT115</f>
        <v>0</v>
      </c>
      <c r="Z104" s="184"/>
      <c r="AA104" s="184"/>
      <c r="AB104" s="184"/>
      <c r="AC104" s="186"/>
      <c r="AD104" s="184"/>
      <c r="AE104" s="184"/>
      <c r="AF104" s="184"/>
      <c r="AG104" s="186"/>
      <c r="AH104" s="184"/>
      <c r="AI104" s="187"/>
      <c r="AJ104" s="191"/>
      <c r="AK104" s="191"/>
      <c r="AL104" s="191"/>
      <c r="AM104" s="191"/>
    </row>
    <row r="105" spans="2:39" x14ac:dyDescent="0.25">
      <c r="B105" s="193" t="str">
        <f>Sheet1!A116</f>
        <v>3530</v>
      </c>
      <c r="C105" s="183" t="str">
        <f>Sheet1!C116</f>
        <v>JEFFERSON ST (SR50A)</v>
      </c>
      <c r="D105" s="183" t="str">
        <f>Sheet1!D116</f>
        <v>MILDRED AVE</v>
      </c>
      <c r="E105" s="183" t="str">
        <f>Sheet1!E116</f>
        <v>MAIN ST</v>
      </c>
      <c r="F105" s="184" t="str">
        <f>Sheet1!F116</f>
        <v>2O</v>
      </c>
      <c r="G105" s="184" t="str">
        <f>Sheet1!H116</f>
        <v>6D</v>
      </c>
      <c r="H105" s="185" t="str">
        <f>Sheet1!Z116</f>
        <v>C</v>
      </c>
      <c r="I105" s="185"/>
      <c r="J105" s="185"/>
      <c r="K105" s="185"/>
      <c r="L105" s="184"/>
      <c r="M105" s="184">
        <f>Sheet1!AI116</f>
        <v>0</v>
      </c>
      <c r="N105" s="184"/>
      <c r="O105" s="184"/>
      <c r="P105" s="184"/>
      <c r="Q105" s="184"/>
      <c r="R105" s="184">
        <f>Sheet1!P116</f>
        <v>9416</v>
      </c>
      <c r="S105" s="186"/>
      <c r="T105" s="184"/>
      <c r="U105" s="184"/>
      <c r="V105" s="184"/>
      <c r="W105" s="184"/>
      <c r="X105" s="184">
        <f>Sheet1!AS116</f>
        <v>0</v>
      </c>
      <c r="Y105" s="184">
        <f>Sheet1!AT116</f>
        <v>0</v>
      </c>
      <c r="Z105" s="184"/>
      <c r="AA105" s="184"/>
      <c r="AB105" s="184"/>
      <c r="AC105" s="186"/>
      <c r="AD105" s="184"/>
      <c r="AE105" s="184"/>
      <c r="AF105" s="184"/>
      <c r="AG105" s="186"/>
      <c r="AH105" s="184"/>
      <c r="AI105" s="187"/>
      <c r="AJ105" s="191"/>
      <c r="AK105" s="191"/>
      <c r="AL105" s="191"/>
      <c r="AM105" s="191"/>
    </row>
    <row r="106" spans="2:39" x14ac:dyDescent="0.25">
      <c r="B106" s="193" t="str">
        <f>Sheet1!A117</f>
        <v>3540</v>
      </c>
      <c r="C106" s="183" t="str">
        <f>Sheet1!C117</f>
        <v>JEFFERSON ST (SR50A)</v>
      </c>
      <c r="D106" s="183" t="str">
        <f>Sheet1!D117</f>
        <v>MAIN ST</v>
      </c>
      <c r="E106" s="183" t="str">
        <f>Sheet1!E117</f>
        <v>BROAD ST (US41/SR45)</v>
      </c>
      <c r="F106" s="184" t="str">
        <f>Sheet1!F117</f>
        <v>2O</v>
      </c>
      <c r="G106" s="184" t="str">
        <f>Sheet1!H117</f>
        <v>6D</v>
      </c>
      <c r="H106" s="185" t="str">
        <f>Sheet1!Z117</f>
        <v>C</v>
      </c>
      <c r="I106" s="185"/>
      <c r="J106" s="185"/>
      <c r="K106" s="185"/>
      <c r="L106" s="184"/>
      <c r="M106" s="184">
        <f>Sheet1!AI117</f>
        <v>528</v>
      </c>
      <c r="N106" s="184"/>
      <c r="O106" s="184"/>
      <c r="P106" s="184"/>
      <c r="Q106" s="184"/>
      <c r="R106" s="184">
        <f>Sheet1!P117</f>
        <v>9416</v>
      </c>
      <c r="S106" s="186"/>
      <c r="T106" s="184"/>
      <c r="U106" s="184"/>
      <c r="V106" s="184"/>
      <c r="W106" s="184"/>
      <c r="X106" s="184">
        <f>Sheet1!AS117</f>
        <v>847</v>
      </c>
      <c r="Y106" s="184">
        <f>Sheet1!AT117</f>
        <v>1.6040000000000001</v>
      </c>
      <c r="Z106" s="184"/>
      <c r="AA106" s="184"/>
      <c r="AB106" s="184"/>
      <c r="AC106" s="186"/>
      <c r="AD106" s="184"/>
      <c r="AE106" s="184"/>
      <c r="AF106" s="184"/>
      <c r="AG106" s="186"/>
      <c r="AH106" s="184"/>
      <c r="AI106" s="187"/>
      <c r="AJ106" s="191"/>
      <c r="AK106" s="191"/>
      <c r="AL106" s="191"/>
      <c r="AM106" s="191"/>
    </row>
    <row r="107" spans="2:39" x14ac:dyDescent="0.25">
      <c r="B107" s="193" t="str">
        <f>Sheet1!A118</f>
        <v>3545</v>
      </c>
      <c r="C107" s="183" t="str">
        <f>Sheet1!C118</f>
        <v>JEFFERSON ST (SR50A)</v>
      </c>
      <c r="D107" s="183" t="str">
        <f>Sheet1!D118</f>
        <v>BROAD ST (US41/SR45)</v>
      </c>
      <c r="E107" s="183" t="str">
        <f>Sheet1!E118</f>
        <v>MLK</v>
      </c>
      <c r="F107" s="184" t="str">
        <f>Sheet1!F118</f>
        <v>2U</v>
      </c>
      <c r="G107" s="184" t="str">
        <f>Sheet1!H118</f>
        <v>6D</v>
      </c>
      <c r="H107" s="185" t="str">
        <f>Sheet1!Z118</f>
        <v>C</v>
      </c>
      <c r="I107" s="185"/>
      <c r="J107" s="185"/>
      <c r="K107" s="185"/>
      <c r="L107" s="184"/>
      <c r="M107" s="184">
        <f>Sheet1!AI118</f>
        <v>2090</v>
      </c>
      <c r="N107" s="184"/>
      <c r="O107" s="184"/>
      <c r="P107" s="184"/>
      <c r="Q107" s="184"/>
      <c r="R107" s="184">
        <f>Sheet1!P118</f>
        <v>9416</v>
      </c>
      <c r="S107" s="186"/>
      <c r="T107" s="184"/>
      <c r="U107" s="184"/>
      <c r="V107" s="184"/>
      <c r="W107" s="184"/>
      <c r="X107" s="184">
        <f>Sheet1!AS118</f>
        <v>847</v>
      </c>
      <c r="Y107" s="184">
        <f>Sheet1!AT118</f>
        <v>0.40500000000000003</v>
      </c>
      <c r="Z107" s="184"/>
      <c r="AA107" s="184"/>
      <c r="AB107" s="184"/>
      <c r="AC107" s="186"/>
      <c r="AD107" s="184"/>
      <c r="AE107" s="184"/>
      <c r="AF107" s="184"/>
      <c r="AG107" s="186"/>
      <c r="AH107" s="184"/>
      <c r="AI107" s="187"/>
      <c r="AJ107" s="191"/>
      <c r="AK107" s="191"/>
      <c r="AL107" s="191"/>
      <c r="AM107" s="191"/>
    </row>
    <row r="108" spans="2:39" x14ac:dyDescent="0.25">
      <c r="B108" s="193" t="str">
        <f>Sheet1!A119</f>
        <v>3550</v>
      </c>
      <c r="C108" s="183" t="str">
        <f>Sheet1!C119</f>
        <v>JEFFERSON ST (SR50A)</v>
      </c>
      <c r="D108" s="183" t="str">
        <f>Sheet1!D119</f>
        <v>MLK</v>
      </c>
      <c r="E108" s="183" t="str">
        <f>Sheet1!E119</f>
        <v>EMERSON RD (CR581)</v>
      </c>
      <c r="F108" s="184" t="str">
        <f>Sheet1!F119</f>
        <v>2U</v>
      </c>
      <c r="G108" s="184" t="str">
        <f>Sheet1!H119</f>
        <v>4D</v>
      </c>
      <c r="H108" s="185" t="str">
        <f>Sheet1!Z119</f>
        <v>C</v>
      </c>
      <c r="I108" s="185"/>
      <c r="J108" s="185"/>
      <c r="K108" s="185"/>
      <c r="L108" s="184"/>
      <c r="M108" s="184">
        <f>Sheet1!AI119</f>
        <v>2090</v>
      </c>
      <c r="N108" s="184"/>
      <c r="O108" s="184"/>
      <c r="P108" s="184"/>
      <c r="Q108" s="184"/>
      <c r="R108" s="184">
        <f>Sheet1!P119</f>
        <v>12435</v>
      </c>
      <c r="S108" s="186"/>
      <c r="T108" s="184"/>
      <c r="U108" s="184"/>
      <c r="V108" s="184"/>
      <c r="W108" s="184"/>
      <c r="X108" s="184">
        <f>Sheet1!AS119</f>
        <v>1119</v>
      </c>
      <c r="Y108" s="184">
        <f>Sheet1!AT119</f>
        <v>0.53500000000000003</v>
      </c>
      <c r="Z108" s="184"/>
      <c r="AA108" s="184"/>
      <c r="AB108" s="184"/>
      <c r="AC108" s="186"/>
      <c r="AD108" s="184"/>
      <c r="AE108" s="184"/>
      <c r="AF108" s="184"/>
      <c r="AG108" s="186"/>
      <c r="AH108" s="184"/>
      <c r="AI108" s="187"/>
      <c r="AJ108" s="191"/>
      <c r="AK108" s="191"/>
      <c r="AL108" s="191"/>
      <c r="AM108" s="191"/>
    </row>
    <row r="109" spans="2:39" x14ac:dyDescent="0.25">
      <c r="B109" s="193" t="str">
        <f>Sheet1!A120</f>
        <v>3560</v>
      </c>
      <c r="C109" s="183" t="str">
        <f>Sheet1!C120</f>
        <v>JEFFERSON ST (SR50A)</v>
      </c>
      <c r="D109" s="183" t="str">
        <f>Sheet1!D120</f>
        <v>EMERSON RD (CR581)</v>
      </c>
      <c r="E109" s="183" t="str">
        <f>Sheet1!E120</f>
        <v>CORTEZ BLVD (SR50)</v>
      </c>
      <c r="F109" s="184" t="str">
        <f>Sheet1!F120</f>
        <v>2U</v>
      </c>
      <c r="G109" s="184" t="str">
        <f>Sheet1!H120</f>
        <v>4D</v>
      </c>
      <c r="H109" s="185" t="str">
        <f>Sheet1!Z120</f>
        <v>C</v>
      </c>
      <c r="I109" s="185"/>
      <c r="J109" s="185"/>
      <c r="K109" s="185"/>
      <c r="L109" s="184"/>
      <c r="M109" s="184">
        <f>Sheet1!AI120</f>
        <v>2090</v>
      </c>
      <c r="N109" s="184"/>
      <c r="O109" s="184"/>
      <c r="P109" s="184"/>
      <c r="Q109" s="184"/>
      <c r="R109" s="184">
        <f>Sheet1!P120</f>
        <v>12435</v>
      </c>
      <c r="S109" s="186"/>
      <c r="T109" s="184"/>
      <c r="U109" s="184"/>
      <c r="V109" s="184"/>
      <c r="W109" s="184"/>
      <c r="X109" s="184">
        <f>Sheet1!AS120</f>
        <v>1119</v>
      </c>
      <c r="Y109" s="184">
        <f>Sheet1!AT120</f>
        <v>0.53500000000000003</v>
      </c>
      <c r="Z109" s="184"/>
      <c r="AA109" s="184"/>
      <c r="AB109" s="184"/>
      <c r="AC109" s="186"/>
      <c r="AD109" s="184"/>
      <c r="AE109" s="184"/>
      <c r="AF109" s="184"/>
      <c r="AG109" s="186"/>
      <c r="AH109" s="184"/>
      <c r="AI109" s="187"/>
      <c r="AJ109" s="191"/>
      <c r="AK109" s="191"/>
      <c r="AL109" s="191"/>
      <c r="AM109" s="191"/>
    </row>
    <row r="110" spans="2:39" x14ac:dyDescent="0.25">
      <c r="B110" s="193" t="str">
        <f>Sheet1!A121</f>
        <v>2205</v>
      </c>
      <c r="C110" s="183" t="str">
        <f>Sheet1!C121</f>
        <v>CORTEZ BLVD (US98/SR50)</v>
      </c>
      <c r="D110" s="183" t="str">
        <f>Sheet1!D121</f>
        <v>JASMINE DR</v>
      </c>
      <c r="E110" s="183" t="str">
        <f>Sheet1!E121</f>
        <v>CEDAR LN</v>
      </c>
      <c r="F110" s="184" t="str">
        <f>Sheet1!F121</f>
        <v>4D</v>
      </c>
      <c r="G110" s="184" t="str">
        <f>Sheet1!H121</f>
        <v>2U</v>
      </c>
      <c r="H110" s="185" t="str">
        <f>Sheet1!Z121</f>
        <v>C</v>
      </c>
      <c r="I110" s="185"/>
      <c r="J110" s="185"/>
      <c r="K110" s="185"/>
      <c r="L110" s="184"/>
      <c r="M110" s="184">
        <f>Sheet1!AI121</f>
        <v>3420</v>
      </c>
      <c r="N110" s="184"/>
      <c r="O110" s="184"/>
      <c r="P110" s="184"/>
      <c r="Q110" s="184"/>
      <c r="R110" s="184">
        <f>Sheet1!P121</f>
        <v>12435</v>
      </c>
      <c r="S110" s="186"/>
      <c r="T110" s="184"/>
      <c r="U110" s="184"/>
      <c r="V110" s="184"/>
      <c r="W110" s="184"/>
      <c r="X110" s="184">
        <f>Sheet1!AS121</f>
        <v>1119</v>
      </c>
      <c r="Y110" s="184">
        <f>Sheet1!AT121</f>
        <v>0.32700000000000001</v>
      </c>
      <c r="Z110" s="184"/>
      <c r="AA110" s="184"/>
      <c r="AB110" s="184"/>
      <c r="AC110" s="186"/>
      <c r="AD110" s="184"/>
      <c r="AE110" s="184"/>
      <c r="AF110" s="184"/>
      <c r="AG110" s="186"/>
      <c r="AH110" s="184"/>
      <c r="AI110" s="187"/>
      <c r="AJ110" s="191"/>
      <c r="AK110" s="191"/>
      <c r="AL110" s="191"/>
      <c r="AM110" s="191"/>
    </row>
    <row r="111" spans="2:39" x14ac:dyDescent="0.25">
      <c r="B111" s="193" t="str">
        <f>Sheet1!A122</f>
        <v>8</v>
      </c>
      <c r="C111" s="183" t="str">
        <f>Sheet1!C122</f>
        <v>CORTEZ BLVD (US98/SR50)</v>
      </c>
      <c r="D111" s="183" t="str">
        <f>Sheet1!D122</f>
        <v>CEDAR LN</v>
      </c>
      <c r="E111" s="183" t="str">
        <f>Sheet1!E122</f>
        <v>SPRING LAKE HWY</v>
      </c>
      <c r="F111" s="184" t="str">
        <f>Sheet1!F122</f>
        <v>4D</v>
      </c>
      <c r="G111" s="184" t="str">
        <f>Sheet1!H122</f>
        <v>4D</v>
      </c>
      <c r="H111" s="185" t="str">
        <f>Sheet1!Z122</f>
        <v>C</v>
      </c>
      <c r="I111" s="185"/>
      <c r="J111" s="185"/>
      <c r="K111" s="185"/>
      <c r="L111" s="184"/>
      <c r="M111" s="184">
        <f>Sheet1!AI122</f>
        <v>3420</v>
      </c>
      <c r="N111" s="184"/>
      <c r="O111" s="184"/>
      <c r="P111" s="184"/>
      <c r="Q111" s="184"/>
      <c r="R111" s="184">
        <f>Sheet1!P122</f>
        <v>25264</v>
      </c>
      <c r="S111" s="186"/>
      <c r="T111" s="184"/>
      <c r="U111" s="184"/>
      <c r="V111" s="184"/>
      <c r="W111" s="184"/>
      <c r="X111" s="184">
        <f>Sheet1!AS122</f>
        <v>2274</v>
      </c>
      <c r="Y111" s="184">
        <f>Sheet1!AT122</f>
        <v>0.66500000000000004</v>
      </c>
      <c r="Z111" s="184"/>
      <c r="AA111" s="184"/>
      <c r="AB111" s="184"/>
      <c r="AC111" s="186"/>
      <c r="AD111" s="184"/>
      <c r="AE111" s="184"/>
      <c r="AF111" s="184"/>
      <c r="AG111" s="186"/>
      <c r="AH111" s="184"/>
      <c r="AI111" s="187"/>
      <c r="AJ111" s="191"/>
      <c r="AK111" s="191"/>
      <c r="AL111" s="191"/>
      <c r="AM111" s="191"/>
    </row>
    <row r="112" spans="2:39" x14ac:dyDescent="0.25">
      <c r="B112" s="193" t="str">
        <f>Sheet1!A123</f>
        <v>2255</v>
      </c>
      <c r="C112" s="183" t="str">
        <f>Sheet1!C123</f>
        <v>CORTEZ BLVD (US98/SR50)</v>
      </c>
      <c r="D112" s="183" t="str">
        <f>Sheet1!D123</f>
        <v>BURWELL RD</v>
      </c>
      <c r="E112" s="183" t="str">
        <f>Sheet1!E123</f>
        <v>SUMTER COUNTY LINE</v>
      </c>
      <c r="F112" s="184" t="str">
        <f>Sheet1!F123</f>
        <v>2U</v>
      </c>
      <c r="G112" s="184" t="str">
        <f>Sheet1!H123</f>
        <v>6D</v>
      </c>
      <c r="H112" s="185" t="str">
        <f>Sheet1!Z123</f>
        <v>C</v>
      </c>
      <c r="I112" s="185"/>
      <c r="J112" s="185"/>
      <c r="K112" s="185"/>
      <c r="L112" s="184"/>
      <c r="M112" s="184">
        <f>Sheet1!AI123</f>
        <v>1220</v>
      </c>
      <c r="N112" s="184"/>
      <c r="O112" s="184"/>
      <c r="P112" s="184"/>
      <c r="Q112" s="184"/>
      <c r="R112" s="184">
        <f>Sheet1!P123</f>
        <v>8395</v>
      </c>
      <c r="S112" s="186"/>
      <c r="T112" s="184"/>
      <c r="U112" s="184"/>
      <c r="V112" s="184"/>
      <c r="W112" s="184"/>
      <c r="X112" s="184">
        <f>Sheet1!AS123</f>
        <v>756</v>
      </c>
      <c r="Y112" s="184">
        <f>Sheet1!AT123</f>
        <v>0.62</v>
      </c>
      <c r="Z112" s="184"/>
      <c r="AA112" s="184"/>
      <c r="AB112" s="184"/>
      <c r="AC112" s="186"/>
      <c r="AD112" s="184"/>
      <c r="AE112" s="184"/>
      <c r="AF112" s="184"/>
      <c r="AG112" s="186"/>
      <c r="AH112" s="184"/>
      <c r="AI112" s="187"/>
      <c r="AJ112" s="191"/>
      <c r="AK112" s="191"/>
      <c r="AL112" s="191"/>
      <c r="AM112" s="191"/>
    </row>
    <row r="113" spans="2:39" x14ac:dyDescent="0.25">
      <c r="B113" s="193" t="str">
        <f>Sheet1!A124</f>
        <v>2215</v>
      </c>
      <c r="C113" s="183" t="str">
        <f>Sheet1!C124</f>
        <v>CORTEZ BLVD (US98/SR50)</v>
      </c>
      <c r="D113" s="183" t="str">
        <f>Sheet1!D124</f>
        <v>SPRING LAKE HWY</v>
      </c>
      <c r="E113" s="183" t="str">
        <f>Sheet1!E124</f>
        <v>LOCKHART RD</v>
      </c>
      <c r="F113" s="184" t="str">
        <f>Sheet1!F124</f>
        <v>4D</v>
      </c>
      <c r="G113" s="184" t="str">
        <f>Sheet1!H124</f>
        <v>6D</v>
      </c>
      <c r="H113" s="185" t="str">
        <f>Sheet1!Z124</f>
        <v>C</v>
      </c>
      <c r="I113" s="185"/>
      <c r="J113" s="185"/>
      <c r="K113" s="185"/>
      <c r="L113" s="184"/>
      <c r="M113" s="184">
        <f>Sheet1!AI124</f>
        <v>4730</v>
      </c>
      <c r="N113" s="184"/>
      <c r="O113" s="184"/>
      <c r="P113" s="184"/>
      <c r="Q113" s="184"/>
      <c r="R113" s="184">
        <f>Sheet1!P124</f>
        <v>21649</v>
      </c>
      <c r="S113" s="186"/>
      <c r="T113" s="184"/>
      <c r="U113" s="184"/>
      <c r="V113" s="184"/>
      <c r="W113" s="184"/>
      <c r="X113" s="184">
        <f>Sheet1!AS124</f>
        <v>1948</v>
      </c>
      <c r="Y113" s="184">
        <f>Sheet1!AT124</f>
        <v>0.41199999999999998</v>
      </c>
      <c r="Z113" s="184"/>
      <c r="AA113" s="184"/>
      <c r="AB113" s="184"/>
      <c r="AC113" s="186"/>
      <c r="AD113" s="184"/>
      <c r="AE113" s="184"/>
      <c r="AF113" s="184"/>
      <c r="AG113" s="186"/>
      <c r="AH113" s="184"/>
      <c r="AI113" s="187"/>
      <c r="AJ113" s="191"/>
      <c r="AK113" s="191"/>
      <c r="AL113" s="191"/>
      <c r="AM113" s="191"/>
    </row>
    <row r="114" spans="2:39" x14ac:dyDescent="0.25">
      <c r="B114" s="193" t="str">
        <f>Sheet1!A125</f>
        <v>2220.1</v>
      </c>
      <c r="C114" s="183" t="str">
        <f>Sheet1!C125</f>
        <v>CORTEZ BLVD (US98/SR50)</v>
      </c>
      <c r="D114" s="183" t="str">
        <f>Sheet1!D125</f>
        <v>LOCKHART RD</v>
      </c>
      <c r="E114" s="183" t="str">
        <f>Sheet1!E125</f>
        <v>NEW RD C</v>
      </c>
      <c r="F114" s="184" t="str">
        <f>Sheet1!F125</f>
        <v>4D</v>
      </c>
      <c r="G114" s="184" t="str">
        <f>Sheet1!H125</f>
        <v>6D</v>
      </c>
      <c r="H114" s="185" t="str">
        <f>Sheet1!Z125</f>
        <v>C</v>
      </c>
      <c r="I114" s="185"/>
      <c r="J114" s="185"/>
      <c r="K114" s="185"/>
      <c r="L114" s="184"/>
      <c r="M114" s="184">
        <f>Sheet1!AI125</f>
        <v>7090</v>
      </c>
      <c r="N114" s="184"/>
      <c r="O114" s="184"/>
      <c r="P114" s="184"/>
      <c r="Q114" s="184"/>
      <c r="R114" s="184">
        <f>Sheet1!P125</f>
        <v>23295</v>
      </c>
      <c r="S114" s="186"/>
      <c r="T114" s="184"/>
      <c r="U114" s="184"/>
      <c r="V114" s="184"/>
      <c r="W114" s="184"/>
      <c r="X114" s="184">
        <f>Sheet1!AS125</f>
        <v>2097</v>
      </c>
      <c r="Y114" s="184">
        <f>Sheet1!AT125</f>
        <v>0.29599999999999999</v>
      </c>
      <c r="Z114" s="184"/>
      <c r="AA114" s="184"/>
      <c r="AB114" s="184"/>
      <c r="AC114" s="186"/>
      <c r="AD114" s="184"/>
      <c r="AE114" s="184"/>
      <c r="AF114" s="184"/>
      <c r="AG114" s="186"/>
      <c r="AH114" s="184"/>
      <c r="AI114" s="187"/>
      <c r="AJ114" s="191"/>
      <c r="AK114" s="191"/>
      <c r="AL114" s="191"/>
      <c r="AM114" s="191"/>
    </row>
    <row r="115" spans="2:39" x14ac:dyDescent="0.25">
      <c r="B115" s="193" t="str">
        <f>Sheet1!A126</f>
        <v>2220.2</v>
      </c>
      <c r="C115" s="183" t="str">
        <f>Sheet1!C126</f>
        <v>CORTEZ BLVD (US98/SR50)</v>
      </c>
      <c r="D115" s="183" t="str">
        <f>Sheet1!D126</f>
        <v>NEW RD C</v>
      </c>
      <c r="E115" s="183" t="str">
        <f>Sheet1!E126</f>
        <v>I-75 (SR93) FRONTAGE (W)</v>
      </c>
      <c r="F115" s="184" t="str">
        <f>Sheet1!F126</f>
        <v>6D</v>
      </c>
      <c r="G115" s="184" t="str">
        <f>Sheet1!H126</f>
        <v>6D</v>
      </c>
      <c r="H115" s="185" t="str">
        <f>Sheet1!Z126</f>
        <v>C</v>
      </c>
      <c r="I115" s="185"/>
      <c r="J115" s="185"/>
      <c r="K115" s="185"/>
      <c r="L115" s="184"/>
      <c r="M115" s="184">
        <f>Sheet1!AI126</f>
        <v>5250</v>
      </c>
      <c r="N115" s="184"/>
      <c r="O115" s="184"/>
      <c r="P115" s="184"/>
      <c r="Q115" s="184"/>
      <c r="R115" s="184">
        <f>Sheet1!P126</f>
        <v>23295</v>
      </c>
      <c r="S115" s="186"/>
      <c r="T115" s="184"/>
      <c r="U115" s="184"/>
      <c r="V115" s="184"/>
      <c r="W115" s="184"/>
      <c r="X115" s="184">
        <f>Sheet1!AS126</f>
        <v>2097</v>
      </c>
      <c r="Y115" s="184">
        <f>Sheet1!AT126</f>
        <v>0.39900000000000002</v>
      </c>
      <c r="Z115" s="184"/>
      <c r="AA115" s="184"/>
      <c r="AB115" s="184"/>
      <c r="AC115" s="186"/>
      <c r="AD115" s="184"/>
      <c r="AE115" s="184"/>
      <c r="AF115" s="184"/>
      <c r="AG115" s="186"/>
      <c r="AH115" s="184"/>
      <c r="AI115" s="187"/>
      <c r="AJ115" s="191"/>
      <c r="AK115" s="191"/>
      <c r="AL115" s="191"/>
      <c r="AM115" s="191"/>
    </row>
    <row r="116" spans="2:39" x14ac:dyDescent="0.25">
      <c r="B116" s="193" t="str">
        <f>Sheet1!A127</f>
        <v>2223.1</v>
      </c>
      <c r="C116" s="183" t="str">
        <f>Sheet1!C127</f>
        <v>CORTEZ BLVD (US98/SR50)</v>
      </c>
      <c r="D116" s="183" t="str">
        <f>Sheet1!D127</f>
        <v>I-75 (SR93) FRONTAGE (W)</v>
      </c>
      <c r="E116" s="183" t="str">
        <f>Sheet1!E127</f>
        <v>I-75 SB RAMPS</v>
      </c>
      <c r="F116" s="184" t="str">
        <f>Sheet1!F127</f>
        <v>6D</v>
      </c>
      <c r="G116" s="184" t="str">
        <f>Sheet1!H127</f>
        <v>6D</v>
      </c>
      <c r="H116" s="185" t="str">
        <f>Sheet1!Z127</f>
        <v>C</v>
      </c>
      <c r="I116" s="185"/>
      <c r="J116" s="185"/>
      <c r="K116" s="185"/>
      <c r="L116" s="184"/>
      <c r="M116" s="184">
        <f>Sheet1!AI127</f>
        <v>5250</v>
      </c>
      <c r="N116" s="184"/>
      <c r="O116" s="184"/>
      <c r="P116" s="184"/>
      <c r="Q116" s="184"/>
      <c r="R116" s="184">
        <f>Sheet1!P127</f>
        <v>23295</v>
      </c>
      <c r="S116" s="186"/>
      <c r="T116" s="184"/>
      <c r="U116" s="184"/>
      <c r="V116" s="184"/>
      <c r="W116" s="184"/>
      <c r="X116" s="184">
        <f>Sheet1!AS127</f>
        <v>2097</v>
      </c>
      <c r="Y116" s="184">
        <f>Sheet1!AT127</f>
        <v>0.39900000000000002</v>
      </c>
      <c r="Z116" s="184"/>
      <c r="AA116" s="184"/>
      <c r="AB116" s="184"/>
      <c r="AC116" s="186"/>
      <c r="AD116" s="184"/>
      <c r="AE116" s="184"/>
      <c r="AF116" s="184"/>
      <c r="AG116" s="186"/>
      <c r="AH116" s="184"/>
      <c r="AI116" s="187"/>
      <c r="AJ116" s="191"/>
      <c r="AK116" s="191"/>
      <c r="AL116" s="191"/>
      <c r="AM116" s="191"/>
    </row>
    <row r="117" spans="2:39" x14ac:dyDescent="0.25">
      <c r="B117" s="193" t="str">
        <f>Sheet1!A128</f>
        <v>2223.2</v>
      </c>
      <c r="C117" s="183" t="str">
        <f>Sheet1!C128</f>
        <v>CORTEZ BLVD (US98/SR50)</v>
      </c>
      <c r="D117" s="183" t="str">
        <f>Sheet1!D128</f>
        <v>I-75 SB RAMPS</v>
      </c>
      <c r="E117" s="183" t="str">
        <f>Sheet1!E128</f>
        <v>I-75 (SR93)</v>
      </c>
      <c r="F117" s="184" t="str">
        <f>Sheet1!F128</f>
        <v>6D</v>
      </c>
      <c r="G117" s="184" t="str">
        <f>Sheet1!H128</f>
        <v>6D</v>
      </c>
      <c r="H117" s="185" t="str">
        <f>Sheet1!Z128</f>
        <v>C</v>
      </c>
      <c r="I117" s="185"/>
      <c r="J117" s="185"/>
      <c r="K117" s="185"/>
      <c r="L117" s="184"/>
      <c r="M117" s="184">
        <f>Sheet1!AI128</f>
        <v>5250</v>
      </c>
      <c r="N117" s="184"/>
      <c r="O117" s="184"/>
      <c r="P117" s="184"/>
      <c r="Q117" s="184"/>
      <c r="R117" s="184">
        <f>Sheet1!P128</f>
        <v>23295</v>
      </c>
      <c r="S117" s="186"/>
      <c r="T117" s="184"/>
      <c r="U117" s="184"/>
      <c r="V117" s="184"/>
      <c r="W117" s="184"/>
      <c r="X117" s="184">
        <f>Sheet1!AS128</f>
        <v>2097</v>
      </c>
      <c r="Y117" s="184">
        <f>Sheet1!AT128</f>
        <v>0.39900000000000002</v>
      </c>
      <c r="Z117" s="184"/>
      <c r="AA117" s="184"/>
      <c r="AB117" s="184"/>
      <c r="AC117" s="186"/>
      <c r="AD117" s="184"/>
      <c r="AE117" s="184"/>
      <c r="AF117" s="184"/>
      <c r="AG117" s="186"/>
      <c r="AH117" s="184"/>
      <c r="AI117" s="187"/>
      <c r="AJ117" s="191"/>
      <c r="AK117" s="191"/>
      <c r="AL117" s="191"/>
      <c r="AM117" s="191"/>
    </row>
    <row r="118" spans="2:39" x14ac:dyDescent="0.25">
      <c r="B118" s="193" t="str">
        <f>Sheet1!A129</f>
        <v>2225.1</v>
      </c>
      <c r="C118" s="183" t="str">
        <f>Sheet1!C129</f>
        <v>CORTEZ BLVD (US98/SR50)</v>
      </c>
      <c r="D118" s="183" t="str">
        <f>Sheet1!D129</f>
        <v>I-75 (SR93)</v>
      </c>
      <c r="E118" s="183" t="str">
        <f>Sheet1!E129</f>
        <v>I-75 NB RAMPS</v>
      </c>
      <c r="F118" s="184" t="str">
        <f>Sheet1!F129</f>
        <v>6D</v>
      </c>
      <c r="G118" s="184" t="str">
        <f>Sheet1!H129</f>
        <v>6D</v>
      </c>
      <c r="H118" s="185" t="str">
        <f>Sheet1!Z129</f>
        <v>C</v>
      </c>
      <c r="I118" s="185"/>
      <c r="J118" s="185"/>
      <c r="K118" s="185"/>
      <c r="L118" s="184"/>
      <c r="M118" s="184">
        <f>Sheet1!AI129</f>
        <v>5250</v>
      </c>
      <c r="N118" s="184"/>
      <c r="O118" s="184"/>
      <c r="P118" s="184"/>
      <c r="Q118" s="184"/>
      <c r="R118" s="184">
        <f>Sheet1!P129</f>
        <v>23295</v>
      </c>
      <c r="S118" s="186"/>
      <c r="T118" s="184"/>
      <c r="U118" s="184"/>
      <c r="V118" s="184"/>
      <c r="W118" s="184"/>
      <c r="X118" s="184">
        <f>Sheet1!AS129</f>
        <v>2097</v>
      </c>
      <c r="Y118" s="184">
        <f>Sheet1!AT129</f>
        <v>0.39900000000000002</v>
      </c>
      <c r="Z118" s="184"/>
      <c r="AA118" s="184"/>
      <c r="AB118" s="184"/>
      <c r="AC118" s="186"/>
      <c r="AD118" s="184"/>
      <c r="AE118" s="184"/>
      <c r="AF118" s="184"/>
      <c r="AG118" s="186"/>
      <c r="AH118" s="184"/>
      <c r="AI118" s="187"/>
      <c r="AJ118" s="191"/>
      <c r="AK118" s="191"/>
      <c r="AL118" s="191"/>
      <c r="AM118" s="191"/>
    </row>
    <row r="119" spans="2:39" x14ac:dyDescent="0.25">
      <c r="B119" s="193" t="str">
        <f>Sheet1!A130</f>
        <v>2225.2</v>
      </c>
      <c r="C119" s="183" t="str">
        <f>Sheet1!C130</f>
        <v>CORTEZ BLVD (US98/SR50)</v>
      </c>
      <c r="D119" s="183" t="str">
        <f>Sheet1!D130</f>
        <v>I-75 NB RAMPS</v>
      </c>
      <c r="E119" s="183" t="str">
        <f>Sheet1!E130</f>
        <v>I-75 (SR93) FRONTAGE (E)</v>
      </c>
      <c r="F119" s="184" t="str">
        <f>Sheet1!F130</f>
        <v>6D</v>
      </c>
      <c r="G119" s="184" t="str">
        <f>Sheet1!H130</f>
        <v>6D</v>
      </c>
      <c r="H119" s="185" t="str">
        <f>Sheet1!Z130</f>
        <v>C</v>
      </c>
      <c r="I119" s="185"/>
      <c r="J119" s="185"/>
      <c r="K119" s="185"/>
      <c r="L119" s="184"/>
      <c r="M119" s="184">
        <f>Sheet1!AI130</f>
        <v>5250</v>
      </c>
      <c r="N119" s="184"/>
      <c r="O119" s="184"/>
      <c r="P119" s="184"/>
      <c r="Q119" s="184"/>
      <c r="R119" s="184">
        <f>Sheet1!P130</f>
        <v>22265</v>
      </c>
      <c r="S119" s="186"/>
      <c r="T119" s="184"/>
      <c r="U119" s="184"/>
      <c r="V119" s="184"/>
      <c r="W119" s="184"/>
      <c r="X119" s="184">
        <f>Sheet1!AS130</f>
        <v>2004</v>
      </c>
      <c r="Y119" s="184">
        <f>Sheet1!AT130</f>
        <v>0.38200000000000001</v>
      </c>
      <c r="Z119" s="184"/>
      <c r="AA119" s="184"/>
      <c r="AB119" s="184"/>
      <c r="AC119" s="186"/>
      <c r="AD119" s="184"/>
      <c r="AE119" s="184"/>
      <c r="AF119" s="184"/>
      <c r="AG119" s="186"/>
      <c r="AH119" s="184"/>
      <c r="AI119" s="187"/>
      <c r="AJ119" s="191"/>
      <c r="AK119" s="191"/>
      <c r="AL119" s="191"/>
      <c r="AM119" s="191"/>
    </row>
    <row r="120" spans="2:39" x14ac:dyDescent="0.25">
      <c r="B120" s="193" t="str">
        <f>Sheet1!A131</f>
        <v>2228</v>
      </c>
      <c r="C120" s="183" t="str">
        <f>Sheet1!C131</f>
        <v>CORTEZ BLVD (US98/SR50)</v>
      </c>
      <c r="D120" s="183" t="str">
        <f>Sheet1!D131</f>
        <v>I-75 (SR93) FRONTAGE (E)</v>
      </c>
      <c r="E120" s="183" t="str">
        <f>Sheet1!E131</f>
        <v>WINDMERE RD</v>
      </c>
      <c r="F120" s="184" t="str">
        <f>Sheet1!F131</f>
        <v>6D</v>
      </c>
      <c r="G120" s="184" t="str">
        <f>Sheet1!H131</f>
        <v>6D</v>
      </c>
      <c r="H120" s="185" t="str">
        <f>Sheet1!Z131</f>
        <v>C</v>
      </c>
      <c r="I120" s="185"/>
      <c r="J120" s="185"/>
      <c r="K120" s="185"/>
      <c r="L120" s="184"/>
      <c r="M120" s="184">
        <f>Sheet1!AI131</f>
        <v>5250</v>
      </c>
      <c r="N120" s="184"/>
      <c r="O120" s="184"/>
      <c r="P120" s="184"/>
      <c r="Q120" s="184"/>
      <c r="R120" s="184">
        <f>Sheet1!P131</f>
        <v>22265</v>
      </c>
      <c r="S120" s="186"/>
      <c r="T120" s="184"/>
      <c r="U120" s="184"/>
      <c r="V120" s="184"/>
      <c r="W120" s="184"/>
      <c r="X120" s="184">
        <f>Sheet1!AS131</f>
        <v>2004</v>
      </c>
      <c r="Y120" s="184">
        <f>Sheet1!AT131</f>
        <v>0.38200000000000001</v>
      </c>
      <c r="Z120" s="184"/>
      <c r="AA120" s="184"/>
      <c r="AB120" s="184"/>
      <c r="AC120" s="186"/>
      <c r="AD120" s="184"/>
      <c r="AE120" s="184"/>
      <c r="AF120" s="184"/>
      <c r="AG120" s="186"/>
      <c r="AH120" s="184"/>
      <c r="AI120" s="187"/>
      <c r="AJ120" s="191"/>
      <c r="AK120" s="191"/>
      <c r="AL120" s="191"/>
      <c r="AM120" s="191"/>
    </row>
    <row r="121" spans="2:39" x14ac:dyDescent="0.25">
      <c r="B121" s="193" t="str">
        <f>Sheet1!A132</f>
        <v>2230</v>
      </c>
      <c r="C121" s="183" t="str">
        <f>Sheet1!C132</f>
        <v>CORTEZ BLVD (US98/SR50)</v>
      </c>
      <c r="D121" s="183" t="str">
        <f>Sheet1!D132</f>
        <v>WINDMERE RD</v>
      </c>
      <c r="E121" s="183" t="str">
        <f>Sheet1!E132</f>
        <v>KETTERING RD</v>
      </c>
      <c r="F121" s="184" t="str">
        <f>Sheet1!F132</f>
        <v>4D</v>
      </c>
      <c r="G121" s="184" t="str">
        <f>Sheet1!H132</f>
        <v>6D</v>
      </c>
      <c r="H121" s="185" t="str">
        <f>Sheet1!Z132</f>
        <v>C</v>
      </c>
      <c r="I121" s="185"/>
      <c r="J121" s="185"/>
      <c r="K121" s="185"/>
      <c r="L121" s="184"/>
      <c r="M121" s="184">
        <f>Sheet1!AI132</f>
        <v>5250</v>
      </c>
      <c r="N121" s="184"/>
      <c r="O121" s="184"/>
      <c r="P121" s="184"/>
      <c r="Q121" s="184"/>
      <c r="R121" s="184">
        <f>Sheet1!P132</f>
        <v>22265</v>
      </c>
      <c r="S121" s="186"/>
      <c r="T121" s="184"/>
      <c r="U121" s="184"/>
      <c r="V121" s="184"/>
      <c r="W121" s="184"/>
      <c r="X121" s="184">
        <f>Sheet1!AS132</f>
        <v>2004</v>
      </c>
      <c r="Y121" s="184">
        <f>Sheet1!AT132</f>
        <v>0.38200000000000001</v>
      </c>
      <c r="Z121" s="184"/>
      <c r="AA121" s="184"/>
      <c r="AB121" s="184"/>
      <c r="AC121" s="186"/>
      <c r="AD121" s="184"/>
      <c r="AE121" s="184"/>
      <c r="AF121" s="184"/>
      <c r="AG121" s="186"/>
      <c r="AH121" s="184"/>
      <c r="AI121" s="187"/>
      <c r="AJ121" s="191"/>
      <c r="AK121" s="191"/>
      <c r="AL121" s="191"/>
      <c r="AM121" s="191"/>
    </row>
    <row r="122" spans="2:39" x14ac:dyDescent="0.25">
      <c r="B122" s="193" t="str">
        <f>Sheet1!A133</f>
        <v>2235</v>
      </c>
      <c r="C122" s="183" t="str">
        <f>Sheet1!C133</f>
        <v>CORTEZ BLVD (US98/SR50)</v>
      </c>
      <c r="D122" s="183" t="str">
        <f>Sheet1!D133</f>
        <v>KETTERING RD</v>
      </c>
      <c r="E122" s="183" t="str">
        <f>Sheet1!E133</f>
        <v>RIDGE MANOR BLVD</v>
      </c>
      <c r="F122" s="184" t="str">
        <f>Sheet1!F133</f>
        <v>4D</v>
      </c>
      <c r="G122" s="184" t="str">
        <f>Sheet1!H133</f>
        <v>4D</v>
      </c>
      <c r="H122" s="185" t="str">
        <f>Sheet1!Z133</f>
        <v>C</v>
      </c>
      <c r="I122" s="185"/>
      <c r="J122" s="185"/>
      <c r="K122" s="185"/>
      <c r="L122" s="184"/>
      <c r="M122" s="184">
        <f>Sheet1!AI133</f>
        <v>5250</v>
      </c>
      <c r="N122" s="184"/>
      <c r="O122" s="184"/>
      <c r="P122" s="184"/>
      <c r="Q122" s="184"/>
      <c r="R122" s="184">
        <f>Sheet1!P133</f>
        <v>22265</v>
      </c>
      <c r="S122" s="186"/>
      <c r="T122" s="184"/>
      <c r="U122" s="184"/>
      <c r="V122" s="184"/>
      <c r="W122" s="184"/>
      <c r="X122" s="184">
        <f>Sheet1!AS133</f>
        <v>2004</v>
      </c>
      <c r="Y122" s="184">
        <f>Sheet1!AT133</f>
        <v>0.38200000000000001</v>
      </c>
      <c r="Z122" s="184"/>
      <c r="AA122" s="184"/>
      <c r="AB122" s="184"/>
      <c r="AC122" s="186"/>
      <c r="AD122" s="184"/>
      <c r="AE122" s="184"/>
      <c r="AF122" s="184"/>
      <c r="AG122" s="186"/>
      <c r="AH122" s="184"/>
      <c r="AI122" s="187"/>
      <c r="AJ122" s="191"/>
      <c r="AK122" s="191"/>
      <c r="AL122" s="191"/>
      <c r="AM122" s="191"/>
    </row>
    <row r="123" spans="2:39" x14ac:dyDescent="0.25">
      <c r="B123" s="193" t="str">
        <f>Sheet1!A134</f>
        <v>2240</v>
      </c>
      <c r="C123" s="183" t="str">
        <f>Sheet1!C134</f>
        <v>CORTEZ BLVD (US98/SR50)</v>
      </c>
      <c r="D123" s="183" t="str">
        <f>Sheet1!D134</f>
        <v>RIDGE MANOR BLVD</v>
      </c>
      <c r="E123" s="183" t="str">
        <f>Sheet1!E134</f>
        <v>MCKETHAN RD (US98/SR700)</v>
      </c>
      <c r="F123" s="184" t="str">
        <f>Sheet1!F134</f>
        <v>4D</v>
      </c>
      <c r="G123" s="184" t="str">
        <f>Sheet1!H134</f>
        <v>2U</v>
      </c>
      <c r="H123" s="185" t="str">
        <f>Sheet1!Z134</f>
        <v>C</v>
      </c>
      <c r="I123" s="185"/>
      <c r="J123" s="185"/>
      <c r="K123" s="185"/>
      <c r="L123" s="184"/>
      <c r="M123" s="184">
        <f>Sheet1!AI134</f>
        <v>5250</v>
      </c>
      <c r="N123" s="184"/>
      <c r="O123" s="184"/>
      <c r="P123" s="184"/>
      <c r="Q123" s="184"/>
      <c r="R123" s="184">
        <f>Sheet1!P134</f>
        <v>22265</v>
      </c>
      <c r="S123" s="186"/>
      <c r="T123" s="184"/>
      <c r="U123" s="184"/>
      <c r="V123" s="184"/>
      <c r="W123" s="184"/>
      <c r="X123" s="184">
        <f>Sheet1!AS134</f>
        <v>2004</v>
      </c>
      <c r="Y123" s="184">
        <f>Sheet1!AT134</f>
        <v>0.38200000000000001</v>
      </c>
      <c r="Z123" s="184"/>
      <c r="AA123" s="184"/>
      <c r="AB123" s="184"/>
      <c r="AC123" s="186"/>
      <c r="AD123" s="184"/>
      <c r="AE123" s="184"/>
      <c r="AF123" s="184"/>
      <c r="AG123" s="186"/>
      <c r="AH123" s="184"/>
      <c r="AI123" s="187"/>
      <c r="AJ123" s="191"/>
      <c r="AK123" s="191"/>
      <c r="AL123" s="191"/>
      <c r="AM123" s="191"/>
    </row>
    <row r="124" spans="2:39" x14ac:dyDescent="0.25">
      <c r="B124" s="193" t="str">
        <f>Sheet1!A135</f>
        <v>2245</v>
      </c>
      <c r="C124" s="183" t="str">
        <f>Sheet1!C135</f>
        <v>CORTEZ BLVD (US98/SR50)</v>
      </c>
      <c r="D124" s="183" t="str">
        <f>Sheet1!D135</f>
        <v>MCKETHAN RD (US98/SR700)</v>
      </c>
      <c r="E124" s="183" t="str">
        <f>Sheet1!E135</f>
        <v>TREIMAN BLVD (US301/SR35)</v>
      </c>
      <c r="F124" s="184" t="str">
        <f>Sheet1!F135</f>
        <v>2U</v>
      </c>
      <c r="G124" s="184" t="str">
        <f>Sheet1!H135</f>
        <v>2U</v>
      </c>
      <c r="H124" s="185" t="str">
        <f>Sheet1!Z135</f>
        <v>C</v>
      </c>
      <c r="I124" s="185"/>
      <c r="J124" s="185"/>
      <c r="K124" s="185"/>
      <c r="L124" s="184"/>
      <c r="M124" s="184">
        <f>Sheet1!AI135</f>
        <v>0</v>
      </c>
      <c r="N124" s="184"/>
      <c r="O124" s="184"/>
      <c r="P124" s="184"/>
      <c r="Q124" s="184"/>
      <c r="R124" s="184">
        <f>Sheet1!P135</f>
        <v>10589</v>
      </c>
      <c r="S124" s="186"/>
      <c r="T124" s="184"/>
      <c r="U124" s="184"/>
      <c r="V124" s="184"/>
      <c r="W124" s="184"/>
      <c r="X124" s="184">
        <f>Sheet1!AS135</f>
        <v>0</v>
      </c>
      <c r="Y124" s="184">
        <f>Sheet1!AT135</f>
        <v>0</v>
      </c>
      <c r="Z124" s="184"/>
      <c r="AA124" s="184"/>
      <c r="AB124" s="184"/>
      <c r="AC124" s="186"/>
      <c r="AD124" s="184"/>
      <c r="AE124" s="184"/>
      <c r="AF124" s="184"/>
      <c r="AG124" s="186"/>
      <c r="AH124" s="184"/>
      <c r="AI124" s="187"/>
      <c r="AJ124" s="191"/>
      <c r="AK124" s="191"/>
      <c r="AL124" s="191"/>
      <c r="AM124" s="191"/>
    </row>
    <row r="125" spans="2:39" x14ac:dyDescent="0.25">
      <c r="B125" s="193" t="str">
        <f>Sheet1!A136</f>
        <v>2250</v>
      </c>
      <c r="C125" s="183" t="str">
        <f>Sheet1!C136</f>
        <v>CORTEZ BLVD (US98/SR50)</v>
      </c>
      <c r="D125" s="183" t="str">
        <f>Sheet1!D136</f>
        <v>TREIMAN BLVD (US301/SR35)</v>
      </c>
      <c r="E125" s="183" t="str">
        <f>Sheet1!E136</f>
        <v>BURWELL RD</v>
      </c>
      <c r="F125" s="184" t="str">
        <f>Sheet1!F136</f>
        <v>2U</v>
      </c>
      <c r="G125" s="184" t="str">
        <f>Sheet1!H136</f>
        <v>2U</v>
      </c>
      <c r="H125" s="185" t="str">
        <f>Sheet1!Z136</f>
        <v>C</v>
      </c>
      <c r="I125" s="185"/>
      <c r="J125" s="185"/>
      <c r="K125" s="185"/>
      <c r="L125" s="184"/>
      <c r="M125" s="184">
        <f>Sheet1!AI136</f>
        <v>1490</v>
      </c>
      <c r="N125" s="184"/>
      <c r="O125" s="184"/>
      <c r="P125" s="184"/>
      <c r="Q125" s="184"/>
      <c r="R125" s="184">
        <f>Sheet1!P136</f>
        <v>8669</v>
      </c>
      <c r="S125" s="186"/>
      <c r="T125" s="184"/>
      <c r="U125" s="184"/>
      <c r="V125" s="184"/>
      <c r="W125" s="184"/>
      <c r="X125" s="184">
        <f>Sheet1!AS136</f>
        <v>780</v>
      </c>
      <c r="Y125" s="184">
        <f>Sheet1!AT136</f>
        <v>0.52300000000000002</v>
      </c>
      <c r="Z125" s="184"/>
      <c r="AA125" s="184"/>
      <c r="AB125" s="184"/>
      <c r="AC125" s="186"/>
      <c r="AD125" s="184"/>
      <c r="AE125" s="184"/>
      <c r="AF125" s="184"/>
      <c r="AG125" s="186"/>
      <c r="AH125" s="184"/>
      <c r="AI125" s="187"/>
      <c r="AJ125" s="191"/>
      <c r="AK125" s="191"/>
      <c r="AL125" s="191"/>
      <c r="AM125" s="191"/>
    </row>
    <row r="126" spans="2:39" x14ac:dyDescent="0.25">
      <c r="B126" s="193" t="str">
        <f>Sheet1!A137</f>
        <v>10730</v>
      </c>
      <c r="C126" s="183" t="str">
        <f>Sheet1!C137</f>
        <v>SPRING LAKE HWY</v>
      </c>
      <c r="D126" s="183" t="str">
        <f>Sheet1!D137</f>
        <v>PASCO COUNTY LINE</v>
      </c>
      <c r="E126" s="183" t="str">
        <f>Sheet1!E137</f>
        <v>CHURCH RD</v>
      </c>
      <c r="F126" s="184" t="str">
        <f>Sheet1!F137</f>
        <v>2U</v>
      </c>
      <c r="G126" s="184" t="str">
        <f>Sheet1!H137</f>
        <v>2U</v>
      </c>
      <c r="H126" s="185" t="str">
        <f>Sheet1!Z137</f>
        <v>D</v>
      </c>
      <c r="I126" s="185"/>
      <c r="J126" s="185"/>
      <c r="K126" s="185"/>
      <c r="L126" s="184"/>
      <c r="M126" s="184">
        <f>Sheet1!AI137</f>
        <v>1818</v>
      </c>
      <c r="N126" s="184"/>
      <c r="O126" s="184"/>
      <c r="P126" s="184"/>
      <c r="Q126" s="184"/>
      <c r="R126" s="184">
        <f>Sheet1!P137</f>
        <v>5222</v>
      </c>
      <c r="S126" s="186"/>
      <c r="T126" s="184"/>
      <c r="U126" s="184"/>
      <c r="V126" s="184"/>
      <c r="W126" s="184"/>
      <c r="X126" s="184">
        <f>Sheet1!AS137</f>
        <v>470</v>
      </c>
      <c r="Y126" s="184">
        <f>Sheet1!AT137</f>
        <v>0.25900000000000001</v>
      </c>
      <c r="Z126" s="184"/>
      <c r="AA126" s="184"/>
      <c r="AB126" s="184"/>
      <c r="AC126" s="186"/>
      <c r="AD126" s="184"/>
      <c r="AE126" s="184"/>
      <c r="AF126" s="184"/>
      <c r="AG126" s="186"/>
      <c r="AH126" s="184"/>
      <c r="AI126" s="187"/>
      <c r="AJ126" s="191"/>
      <c r="AK126" s="191"/>
      <c r="AL126" s="191"/>
      <c r="AM126" s="191"/>
    </row>
    <row r="127" spans="2:39" x14ac:dyDescent="0.25">
      <c r="B127" s="193" t="str">
        <f>Sheet1!A138</f>
        <v>10740</v>
      </c>
      <c r="C127" s="183" t="str">
        <f>Sheet1!C138</f>
        <v>SPRING LAKE HWY</v>
      </c>
      <c r="D127" s="183" t="str">
        <f>Sheet1!D138</f>
        <v>CHURCH RD</v>
      </c>
      <c r="E127" s="183" t="str">
        <f>Sheet1!E138</f>
        <v>AYERS RD EXT</v>
      </c>
      <c r="F127" s="184" t="str">
        <f>Sheet1!F138</f>
        <v>2U</v>
      </c>
      <c r="G127" s="184" t="str">
        <f>Sheet1!H138</f>
        <v>2U</v>
      </c>
      <c r="H127" s="185" t="str">
        <f>Sheet1!Z138</f>
        <v>D</v>
      </c>
      <c r="I127" s="185"/>
      <c r="J127" s="185"/>
      <c r="K127" s="185"/>
      <c r="L127" s="184"/>
      <c r="M127" s="184">
        <f>Sheet1!AI138</f>
        <v>1197</v>
      </c>
      <c r="N127" s="184"/>
      <c r="O127" s="184"/>
      <c r="P127" s="184"/>
      <c r="Q127" s="184"/>
      <c r="R127" s="184">
        <f>Sheet1!P138</f>
        <v>5222</v>
      </c>
      <c r="S127" s="186"/>
      <c r="T127" s="184"/>
      <c r="U127" s="184"/>
      <c r="V127" s="184"/>
      <c r="W127" s="184"/>
      <c r="X127" s="184">
        <f>Sheet1!AS138</f>
        <v>470</v>
      </c>
      <c r="Y127" s="184">
        <f>Sheet1!AT138</f>
        <v>0.39300000000000002</v>
      </c>
      <c r="Z127" s="184"/>
      <c r="AA127" s="184"/>
      <c r="AB127" s="184"/>
      <c r="AC127" s="186"/>
      <c r="AD127" s="184"/>
      <c r="AE127" s="184"/>
      <c r="AF127" s="184"/>
      <c r="AG127" s="186"/>
      <c r="AH127" s="184"/>
      <c r="AI127" s="187"/>
      <c r="AJ127" s="191"/>
      <c r="AK127" s="191"/>
      <c r="AL127" s="191"/>
      <c r="AM127" s="191"/>
    </row>
    <row r="128" spans="2:39" x14ac:dyDescent="0.25">
      <c r="B128" s="193" t="str">
        <f>Sheet1!A139</f>
        <v>10750</v>
      </c>
      <c r="C128" s="183" t="str">
        <f>Sheet1!C139</f>
        <v>SPRING LAKE HWY</v>
      </c>
      <c r="D128" s="183" t="str">
        <f>Sheet1!D139</f>
        <v>AYERS RD EXT</v>
      </c>
      <c r="E128" s="183" t="str">
        <f>Sheet1!E139</f>
        <v>AYERS/HAYMAN RD</v>
      </c>
      <c r="F128" s="184" t="str">
        <f>Sheet1!F139</f>
        <v>2U</v>
      </c>
      <c r="G128" s="184" t="str">
        <f>Sheet1!H139</f>
        <v>2U</v>
      </c>
      <c r="H128" s="185" t="str">
        <f>Sheet1!Z139</f>
        <v>D</v>
      </c>
      <c r="I128" s="185"/>
      <c r="J128" s="185"/>
      <c r="K128" s="185"/>
      <c r="L128" s="184"/>
      <c r="M128" s="184">
        <f>Sheet1!AI139</f>
        <v>1197</v>
      </c>
      <c r="N128" s="184"/>
      <c r="O128" s="184"/>
      <c r="P128" s="184"/>
      <c r="Q128" s="184"/>
      <c r="R128" s="184">
        <f>Sheet1!P139</f>
        <v>5222</v>
      </c>
      <c r="S128" s="186"/>
      <c r="T128" s="184"/>
      <c r="U128" s="184"/>
      <c r="V128" s="184"/>
      <c r="W128" s="184"/>
      <c r="X128" s="184">
        <f>Sheet1!AS139</f>
        <v>470</v>
      </c>
      <c r="Y128" s="184">
        <f>Sheet1!AT139</f>
        <v>0.39300000000000002</v>
      </c>
      <c r="Z128" s="184"/>
      <c r="AA128" s="184"/>
      <c r="AB128" s="184"/>
      <c r="AC128" s="186"/>
      <c r="AD128" s="184"/>
      <c r="AE128" s="184"/>
      <c r="AF128" s="184"/>
      <c r="AG128" s="186"/>
      <c r="AH128" s="184"/>
      <c r="AI128" s="187"/>
      <c r="AJ128" s="191"/>
      <c r="AK128" s="191"/>
      <c r="AL128" s="191"/>
      <c r="AM128" s="191"/>
    </row>
    <row r="129" spans="2:39" x14ac:dyDescent="0.25">
      <c r="B129" s="193" t="str">
        <f>Sheet1!A140</f>
        <v>10760</v>
      </c>
      <c r="C129" s="183" t="str">
        <f>Sheet1!C140</f>
        <v>SPRING LAKE HWY</v>
      </c>
      <c r="D129" s="183" t="str">
        <f>Sheet1!D140</f>
        <v>AYERS/HAYMAN RD</v>
      </c>
      <c r="E129" s="183" t="str">
        <f>Sheet1!E140</f>
        <v>HICKORY HILL RD</v>
      </c>
      <c r="F129" s="184" t="str">
        <f>Sheet1!F140</f>
        <v>2U</v>
      </c>
      <c r="G129" s="184" t="str">
        <f>Sheet1!H140</f>
        <v>2U</v>
      </c>
      <c r="H129" s="185" t="str">
        <f>Sheet1!Z140</f>
        <v>D</v>
      </c>
      <c r="I129" s="185"/>
      <c r="J129" s="185"/>
      <c r="K129" s="185"/>
      <c r="L129" s="184"/>
      <c r="M129" s="184">
        <f>Sheet1!AI140</f>
        <v>1197</v>
      </c>
      <c r="N129" s="184"/>
      <c r="O129" s="184"/>
      <c r="P129" s="184"/>
      <c r="Q129" s="184"/>
      <c r="R129" s="184">
        <f>Sheet1!P140</f>
        <v>5222</v>
      </c>
      <c r="S129" s="186"/>
      <c r="T129" s="184"/>
      <c r="U129" s="184"/>
      <c r="V129" s="184"/>
      <c r="W129" s="184"/>
      <c r="X129" s="184">
        <f>Sheet1!AS140</f>
        <v>470</v>
      </c>
      <c r="Y129" s="184">
        <f>Sheet1!AT140</f>
        <v>0.39300000000000002</v>
      </c>
      <c r="Z129" s="184"/>
      <c r="AA129" s="184"/>
      <c r="AB129" s="184"/>
      <c r="AC129" s="186"/>
      <c r="AD129" s="184"/>
      <c r="AE129" s="184"/>
      <c r="AF129" s="184"/>
      <c r="AG129" s="186"/>
      <c r="AH129" s="184"/>
      <c r="AI129" s="187"/>
      <c r="AJ129" s="191"/>
      <c r="AK129" s="191"/>
      <c r="AL129" s="191"/>
      <c r="AM129" s="191"/>
    </row>
    <row r="130" spans="2:39" x14ac:dyDescent="0.25">
      <c r="B130" s="193" t="str">
        <f>Sheet1!A141</f>
        <v>10770</v>
      </c>
      <c r="C130" s="183" t="str">
        <f>Sheet1!C141</f>
        <v>SPRING LAKE HWY</v>
      </c>
      <c r="D130" s="183" t="str">
        <f>Sheet1!D141</f>
        <v>HICKORY HILL RD</v>
      </c>
      <c r="E130" s="183" t="str">
        <f>Sheet1!E141</f>
        <v>POWELL RD</v>
      </c>
      <c r="F130" s="184" t="str">
        <f>Sheet1!F141</f>
        <v>2U</v>
      </c>
      <c r="G130" s="184" t="str">
        <f>Sheet1!H141</f>
        <v>2U</v>
      </c>
      <c r="H130" s="185" t="str">
        <f>Sheet1!Z141</f>
        <v>D</v>
      </c>
      <c r="I130" s="185"/>
      <c r="J130" s="185"/>
      <c r="K130" s="185"/>
      <c r="L130" s="184"/>
      <c r="M130" s="184">
        <f>Sheet1!AI141</f>
        <v>1197</v>
      </c>
      <c r="N130" s="184"/>
      <c r="O130" s="184"/>
      <c r="P130" s="184"/>
      <c r="Q130" s="184"/>
      <c r="R130" s="184">
        <f>Sheet1!P141</f>
        <v>5222</v>
      </c>
      <c r="S130" s="186"/>
      <c r="T130" s="184"/>
      <c r="U130" s="184"/>
      <c r="V130" s="184"/>
      <c r="W130" s="184"/>
      <c r="X130" s="184">
        <f>Sheet1!AS141</f>
        <v>470</v>
      </c>
      <c r="Y130" s="184">
        <f>Sheet1!AT141</f>
        <v>0.39300000000000002</v>
      </c>
      <c r="Z130" s="184"/>
      <c r="AA130" s="184"/>
      <c r="AB130" s="184"/>
      <c r="AC130" s="186"/>
      <c r="AD130" s="184"/>
      <c r="AE130" s="184"/>
      <c r="AF130" s="184"/>
      <c r="AG130" s="186"/>
      <c r="AH130" s="184"/>
      <c r="AI130" s="187"/>
      <c r="AJ130" s="191"/>
      <c r="AK130" s="191"/>
      <c r="AL130" s="191"/>
      <c r="AM130" s="191"/>
    </row>
    <row r="131" spans="2:39" x14ac:dyDescent="0.25">
      <c r="B131" s="193" t="str">
        <f>Sheet1!A142</f>
        <v>10780</v>
      </c>
      <c r="C131" s="183" t="str">
        <f>Sheet1!C142</f>
        <v>SPRING LAKE HWY</v>
      </c>
      <c r="D131" s="183" t="str">
        <f>Sheet1!D142</f>
        <v>POWELL RD</v>
      </c>
      <c r="E131" s="183" t="str">
        <f>Sheet1!E142</f>
        <v>CORTEZ BLVD (SR50)</v>
      </c>
      <c r="F131" s="184" t="str">
        <f>Sheet1!F142</f>
        <v>2U</v>
      </c>
      <c r="G131" s="184" t="str">
        <f>Sheet1!H142</f>
        <v>2U</v>
      </c>
      <c r="H131" s="185" t="str">
        <f>Sheet1!Z142</f>
        <v>D</v>
      </c>
      <c r="I131" s="185"/>
      <c r="J131" s="185"/>
      <c r="K131" s="185"/>
      <c r="L131" s="184"/>
      <c r="M131" s="184">
        <f>Sheet1!AI142</f>
        <v>1899</v>
      </c>
      <c r="N131" s="184"/>
      <c r="O131" s="184"/>
      <c r="P131" s="184"/>
      <c r="Q131" s="184"/>
      <c r="R131" s="184">
        <f>Sheet1!P142</f>
        <v>8876</v>
      </c>
      <c r="S131" s="186"/>
      <c r="T131" s="184"/>
      <c r="U131" s="184"/>
      <c r="V131" s="184"/>
      <c r="W131" s="184"/>
      <c r="X131" s="184">
        <f>Sheet1!AS142</f>
        <v>799</v>
      </c>
      <c r="Y131" s="184">
        <f>Sheet1!AT142</f>
        <v>0.42099999999999999</v>
      </c>
      <c r="Z131" s="184"/>
      <c r="AA131" s="184"/>
      <c r="AB131" s="184"/>
      <c r="AC131" s="186"/>
      <c r="AD131" s="184"/>
      <c r="AE131" s="184"/>
      <c r="AF131" s="184"/>
      <c r="AG131" s="186"/>
      <c r="AH131" s="184"/>
      <c r="AI131" s="187"/>
      <c r="AJ131" s="191"/>
      <c r="AK131" s="191"/>
      <c r="AL131" s="191"/>
      <c r="AM131" s="191"/>
    </row>
    <row r="132" spans="2:39" x14ac:dyDescent="0.25">
      <c r="B132" s="193" t="str">
        <f>Sheet1!A143</f>
        <v>3810</v>
      </c>
      <c r="C132" s="183" t="str">
        <f>Sheet1!C143</f>
        <v>LINGLE RD</v>
      </c>
      <c r="D132" s="183" t="str">
        <f>Sheet1!D143</f>
        <v>LAKE LINDSEY RD</v>
      </c>
      <c r="E132" s="183" t="str">
        <f>Sheet1!E143</f>
        <v>CITRUS COUNTY LINE</v>
      </c>
      <c r="F132" s="184" t="str">
        <f>Sheet1!F143</f>
        <v>2U</v>
      </c>
      <c r="G132" s="184" t="str">
        <f>Sheet1!H143</f>
        <v>2U</v>
      </c>
      <c r="H132" s="185" t="str">
        <f>Sheet1!Z143</f>
        <v>D</v>
      </c>
      <c r="I132" s="185"/>
      <c r="J132" s="185"/>
      <c r="K132" s="185"/>
      <c r="L132" s="184"/>
      <c r="M132" s="184">
        <f>Sheet1!AI143</f>
        <v>1818</v>
      </c>
      <c r="N132" s="184"/>
      <c r="O132" s="184"/>
      <c r="P132" s="184"/>
      <c r="Q132" s="184"/>
      <c r="R132" s="184" t="e">
        <f>Sheet1!P143</f>
        <v>#DIV/0!</v>
      </c>
      <c r="S132" s="186"/>
      <c r="T132" s="184"/>
      <c r="U132" s="184"/>
      <c r="V132" s="184"/>
      <c r="W132" s="184"/>
      <c r="X132" s="184" t="e">
        <f>Sheet1!AS143</f>
        <v>#DIV/0!</v>
      </c>
      <c r="Y132" s="184" t="e">
        <f>Sheet1!AT143</f>
        <v>#DIV/0!</v>
      </c>
      <c r="Z132" s="184"/>
      <c r="AA132" s="184"/>
      <c r="AB132" s="184"/>
      <c r="AC132" s="186"/>
      <c r="AD132" s="184"/>
      <c r="AE132" s="184"/>
      <c r="AF132" s="184"/>
      <c r="AG132" s="186"/>
      <c r="AH132" s="184"/>
      <c r="AI132" s="187"/>
      <c r="AJ132" s="191"/>
      <c r="AK132" s="191"/>
      <c r="AL132" s="191"/>
      <c r="AM132" s="191"/>
    </row>
    <row r="133" spans="2:39" x14ac:dyDescent="0.25">
      <c r="B133" s="193" t="str">
        <f>Sheet1!A144</f>
        <v>1610.3</v>
      </c>
      <c r="C133" s="183" t="str">
        <f>Sheet1!C144</f>
        <v>CENTRALIA RD</v>
      </c>
      <c r="D133" s="183" t="str">
        <f>Sheet1!D144</f>
        <v>US19 (SR55)</v>
      </c>
      <c r="E133" s="183" t="str">
        <f>Sheet1!E144</f>
        <v>LELANI DR</v>
      </c>
      <c r="F133" s="184" t="str">
        <f>Sheet1!F144</f>
        <v>2U</v>
      </c>
      <c r="G133" s="184" t="str">
        <f>Sheet1!H144</f>
        <v>2U</v>
      </c>
      <c r="H133" s="185" t="str">
        <f>Sheet1!Z144</f>
        <v>D</v>
      </c>
      <c r="I133" s="185"/>
      <c r="J133" s="185"/>
      <c r="K133" s="185"/>
      <c r="L133" s="184"/>
      <c r="M133" s="184">
        <f>Sheet1!AI144</f>
        <v>1962</v>
      </c>
      <c r="N133" s="184"/>
      <c r="O133" s="184"/>
      <c r="P133" s="184"/>
      <c r="Q133" s="184"/>
      <c r="R133" s="184">
        <f>Sheet1!P144</f>
        <v>2356</v>
      </c>
      <c r="S133" s="186"/>
      <c r="T133" s="184"/>
      <c r="U133" s="184"/>
      <c r="V133" s="184"/>
      <c r="W133" s="184"/>
      <c r="X133" s="184">
        <f>Sheet1!AS144</f>
        <v>212</v>
      </c>
      <c r="Y133" s="184">
        <f>Sheet1!AT144</f>
        <v>0.108</v>
      </c>
      <c r="Z133" s="184"/>
      <c r="AA133" s="184"/>
      <c r="AB133" s="184"/>
      <c r="AC133" s="186"/>
      <c r="AD133" s="184"/>
      <c r="AE133" s="184"/>
      <c r="AF133" s="184"/>
      <c r="AG133" s="186"/>
      <c r="AH133" s="184"/>
      <c r="AI133" s="187"/>
      <c r="AJ133" s="191"/>
      <c r="AK133" s="191"/>
      <c r="AL133" s="191"/>
      <c r="AM133" s="191"/>
    </row>
    <row r="134" spans="2:39" x14ac:dyDescent="0.25">
      <c r="B134" s="193" t="str">
        <f>Sheet1!A145</f>
        <v>1610.4</v>
      </c>
      <c r="C134" s="183" t="str">
        <f>Sheet1!C145</f>
        <v>CENTRALIA RD</v>
      </c>
      <c r="D134" s="183" t="str">
        <f>Sheet1!D145</f>
        <v>LELANI DR</v>
      </c>
      <c r="E134" s="183" t="str">
        <f>Sheet1!E145</f>
        <v>SUNSHINE GROVE RD</v>
      </c>
      <c r="F134" s="184" t="str">
        <f>Sheet1!F145</f>
        <v>2U</v>
      </c>
      <c r="G134" s="184" t="str">
        <f>Sheet1!H145</f>
        <v>2U</v>
      </c>
      <c r="H134" s="185" t="str">
        <f>Sheet1!Z145</f>
        <v>D</v>
      </c>
      <c r="I134" s="185"/>
      <c r="J134" s="185"/>
      <c r="K134" s="185"/>
      <c r="L134" s="184"/>
      <c r="M134" s="184">
        <f>Sheet1!AI145</f>
        <v>1962</v>
      </c>
      <c r="N134" s="184"/>
      <c r="O134" s="184"/>
      <c r="P134" s="184"/>
      <c r="Q134" s="184"/>
      <c r="R134" s="184">
        <f>Sheet1!P145</f>
        <v>2356</v>
      </c>
      <c r="S134" s="186"/>
      <c r="T134" s="184"/>
      <c r="U134" s="184"/>
      <c r="V134" s="184"/>
      <c r="W134" s="184"/>
      <c r="X134" s="184">
        <f>Sheet1!AS145</f>
        <v>212</v>
      </c>
      <c r="Y134" s="184">
        <f>Sheet1!AT145</f>
        <v>0.108</v>
      </c>
      <c r="Z134" s="184"/>
      <c r="AA134" s="184"/>
      <c r="AB134" s="184"/>
      <c r="AC134" s="186"/>
      <c r="AD134" s="184"/>
      <c r="AE134" s="184"/>
      <c r="AF134" s="184"/>
      <c r="AG134" s="186"/>
      <c r="AH134" s="184"/>
      <c r="AI134" s="187"/>
      <c r="AJ134" s="191"/>
      <c r="AK134" s="191"/>
      <c r="AL134" s="191"/>
      <c r="AM134" s="191"/>
    </row>
    <row r="135" spans="2:39" x14ac:dyDescent="0.25">
      <c r="B135" s="193" t="str">
        <f>Sheet1!A146</f>
        <v>1620</v>
      </c>
      <c r="C135" s="183" t="str">
        <f>Sheet1!C146</f>
        <v>CENTRALIA RD</v>
      </c>
      <c r="D135" s="183" t="str">
        <f>Sheet1!D146</f>
        <v>SUNSHINE GROVE RD</v>
      </c>
      <c r="E135" s="183" t="str">
        <f>Sheet1!E146</f>
        <v>BUCZAK RD</v>
      </c>
      <c r="F135" s="184" t="str">
        <f>Sheet1!F146</f>
        <v>2U</v>
      </c>
      <c r="G135" s="184" t="str">
        <f>Sheet1!H146</f>
        <v>2U</v>
      </c>
      <c r="H135" s="185" t="str">
        <f>Sheet1!Z146</f>
        <v>D</v>
      </c>
      <c r="I135" s="185"/>
      <c r="J135" s="185"/>
      <c r="K135" s="185"/>
      <c r="L135" s="184"/>
      <c r="M135" s="184">
        <f>Sheet1!AI146</f>
        <v>1818</v>
      </c>
      <c r="N135" s="184"/>
      <c r="O135" s="184"/>
      <c r="P135" s="184"/>
      <c r="Q135" s="184"/>
      <c r="R135" s="184">
        <f>Sheet1!P146</f>
        <v>2356</v>
      </c>
      <c r="S135" s="186"/>
      <c r="T135" s="184"/>
      <c r="U135" s="184"/>
      <c r="V135" s="184"/>
      <c r="W135" s="184"/>
      <c r="X135" s="184">
        <f>Sheet1!AS146</f>
        <v>212</v>
      </c>
      <c r="Y135" s="184">
        <f>Sheet1!AT146</f>
        <v>0.11700000000000001</v>
      </c>
      <c r="Z135" s="184"/>
      <c r="AA135" s="184"/>
      <c r="AB135" s="184"/>
      <c r="AC135" s="186"/>
      <c r="AD135" s="184"/>
      <c r="AE135" s="184"/>
      <c r="AF135" s="184"/>
      <c r="AG135" s="186"/>
      <c r="AH135" s="184"/>
      <c r="AI135" s="187"/>
      <c r="AJ135" s="191"/>
      <c r="AK135" s="191"/>
      <c r="AL135" s="191"/>
      <c r="AM135" s="191"/>
    </row>
    <row r="136" spans="2:39" x14ac:dyDescent="0.25">
      <c r="B136" s="193" t="str">
        <f>Sheet1!A147</f>
        <v>1625</v>
      </c>
      <c r="C136" s="183" t="str">
        <f>Sheet1!C147</f>
        <v>CENTRALIA RD</v>
      </c>
      <c r="D136" s="183" t="str">
        <f>Sheet1!D147</f>
        <v>BUCZAK RD</v>
      </c>
      <c r="E136" s="183" t="str">
        <f>Sheet1!E147</f>
        <v>CITRUS WAY</v>
      </c>
      <c r="F136" s="184" t="str">
        <f>Sheet1!F147</f>
        <v>2U</v>
      </c>
      <c r="G136" s="184" t="str">
        <f>Sheet1!H147</f>
        <v>2U</v>
      </c>
      <c r="H136" s="185" t="str">
        <f>Sheet1!Z147</f>
        <v>D</v>
      </c>
      <c r="I136" s="185"/>
      <c r="J136" s="185"/>
      <c r="K136" s="185"/>
      <c r="L136" s="184"/>
      <c r="M136" s="184">
        <f>Sheet1!AI147</f>
        <v>1899</v>
      </c>
      <c r="N136" s="184"/>
      <c r="O136" s="184"/>
      <c r="P136" s="184"/>
      <c r="Q136" s="184"/>
      <c r="R136" s="184">
        <f>Sheet1!P147</f>
        <v>2356</v>
      </c>
      <c r="S136" s="186"/>
      <c r="T136" s="184"/>
      <c r="U136" s="184"/>
      <c r="V136" s="184"/>
      <c r="W136" s="184"/>
      <c r="X136" s="184">
        <f>Sheet1!AS147</f>
        <v>212</v>
      </c>
      <c r="Y136" s="184">
        <f>Sheet1!AT147</f>
        <v>0.112</v>
      </c>
      <c r="Z136" s="184"/>
      <c r="AA136" s="184"/>
      <c r="AB136" s="184"/>
      <c r="AC136" s="186"/>
      <c r="AD136" s="184"/>
      <c r="AE136" s="184"/>
      <c r="AF136" s="184"/>
      <c r="AG136" s="186"/>
      <c r="AH136" s="184"/>
      <c r="AI136" s="187"/>
      <c r="AJ136" s="191"/>
      <c r="AK136" s="191"/>
      <c r="AL136" s="191"/>
      <c r="AM136" s="191"/>
    </row>
    <row r="137" spans="2:39" x14ac:dyDescent="0.25">
      <c r="B137" s="193" t="str">
        <f>Sheet1!A148</f>
        <v>3610</v>
      </c>
      <c r="C137" s="183" t="str">
        <f>Sheet1!C148</f>
        <v>LAKE LINDSEY RD</v>
      </c>
      <c r="D137" s="183" t="str">
        <f>Sheet1!D148</f>
        <v>CITRUS WAY</v>
      </c>
      <c r="E137" s="183" t="str">
        <f>Sheet1!E148</f>
        <v>PONCE DE LEON BLVD (US98/SR700)</v>
      </c>
      <c r="F137" s="184" t="str">
        <f>Sheet1!F148</f>
        <v>2U</v>
      </c>
      <c r="G137" s="184" t="str">
        <f>Sheet1!H148</f>
        <v>4D</v>
      </c>
      <c r="H137" s="185" t="str">
        <f>Sheet1!Z148</f>
        <v>D</v>
      </c>
      <c r="I137" s="185"/>
      <c r="J137" s="185"/>
      <c r="K137" s="185"/>
      <c r="L137" s="184"/>
      <c r="M137" s="184">
        <f>Sheet1!AI148</f>
        <v>1818</v>
      </c>
      <c r="N137" s="184"/>
      <c r="O137" s="184"/>
      <c r="P137" s="184"/>
      <c r="Q137" s="184"/>
      <c r="R137" s="184">
        <f>Sheet1!P148</f>
        <v>1128</v>
      </c>
      <c r="S137" s="186"/>
      <c r="T137" s="184"/>
      <c r="U137" s="184"/>
      <c r="V137" s="184"/>
      <c r="W137" s="184"/>
      <c r="X137" s="184">
        <f>Sheet1!AS148</f>
        <v>102</v>
      </c>
      <c r="Y137" s="184">
        <f>Sheet1!AT148</f>
        <v>5.6000000000000001E-2</v>
      </c>
      <c r="Z137" s="184"/>
      <c r="AA137" s="184"/>
      <c r="AB137" s="184"/>
      <c r="AC137" s="186"/>
      <c r="AD137" s="184"/>
      <c r="AE137" s="184"/>
      <c r="AF137" s="184"/>
      <c r="AG137" s="186"/>
      <c r="AH137" s="184"/>
      <c r="AI137" s="187"/>
      <c r="AJ137" s="191"/>
      <c r="AK137" s="191"/>
      <c r="AL137" s="191"/>
      <c r="AM137" s="191"/>
    </row>
    <row r="138" spans="2:39" x14ac:dyDescent="0.25">
      <c r="B138" s="193" t="str">
        <f>Sheet1!A149</f>
        <v>3620</v>
      </c>
      <c r="C138" s="183" t="str">
        <f>Sheet1!C149</f>
        <v>LAKE LINDSEY RD</v>
      </c>
      <c r="D138" s="183" t="str">
        <f>Sheet1!D149</f>
        <v>PONCE DE LEON BLVD (US98/SR700)</v>
      </c>
      <c r="E138" s="183" t="str">
        <f>Sheet1!E149</f>
        <v>OLD CRYSTAL RIVER</v>
      </c>
      <c r="F138" s="184" t="str">
        <f>Sheet1!F149</f>
        <v>2U</v>
      </c>
      <c r="G138" s="184" t="str">
        <f>Sheet1!H149</f>
        <v>2U</v>
      </c>
      <c r="H138" s="185" t="str">
        <f>Sheet1!Z149</f>
        <v>D</v>
      </c>
      <c r="I138" s="185"/>
      <c r="J138" s="185"/>
      <c r="K138" s="185"/>
      <c r="L138" s="184"/>
      <c r="M138" s="184">
        <f>Sheet1!AI149</f>
        <v>1197</v>
      </c>
      <c r="N138" s="184"/>
      <c r="O138" s="184"/>
      <c r="P138" s="184"/>
      <c r="Q138" s="184"/>
      <c r="R138" s="184">
        <f>Sheet1!P149</f>
        <v>1786</v>
      </c>
      <c r="S138" s="186"/>
      <c r="T138" s="184"/>
      <c r="U138" s="184"/>
      <c r="V138" s="184"/>
      <c r="W138" s="184"/>
      <c r="X138" s="184">
        <f>Sheet1!AS149</f>
        <v>161</v>
      </c>
      <c r="Y138" s="184">
        <f>Sheet1!AT149</f>
        <v>0.13500000000000001</v>
      </c>
      <c r="Z138" s="184"/>
      <c r="AA138" s="184"/>
      <c r="AB138" s="184"/>
      <c r="AC138" s="186"/>
      <c r="AD138" s="184"/>
      <c r="AE138" s="184"/>
      <c r="AF138" s="184"/>
      <c r="AG138" s="186"/>
      <c r="AH138" s="184"/>
      <c r="AI138" s="187"/>
      <c r="AJ138" s="191"/>
      <c r="AK138" s="191"/>
      <c r="AL138" s="191"/>
      <c r="AM138" s="191"/>
    </row>
    <row r="139" spans="2:39" x14ac:dyDescent="0.25">
      <c r="B139" s="193" t="str">
        <f>Sheet1!A150</f>
        <v>3625</v>
      </c>
      <c r="C139" s="183" t="str">
        <f>Sheet1!C150</f>
        <v>LAKE LINDSEY RD</v>
      </c>
      <c r="D139" s="183" t="str">
        <f>Sheet1!D150</f>
        <v>OLD CRYSTAL RIVER</v>
      </c>
      <c r="E139" s="183" t="str">
        <f>Sheet1!E150</f>
        <v>SNOW MEMORIAL HWY</v>
      </c>
      <c r="F139" s="184" t="str">
        <f>Sheet1!F150</f>
        <v>2U</v>
      </c>
      <c r="G139" s="184" t="str">
        <f>Sheet1!H150</f>
        <v>2U</v>
      </c>
      <c r="H139" s="185" t="str">
        <f>Sheet1!Z150</f>
        <v>D</v>
      </c>
      <c r="I139" s="185"/>
      <c r="J139" s="185"/>
      <c r="K139" s="185"/>
      <c r="L139" s="184"/>
      <c r="M139" s="184">
        <f>Sheet1!AI150</f>
        <v>4761</v>
      </c>
      <c r="N139" s="184"/>
      <c r="O139" s="184"/>
      <c r="P139" s="184"/>
      <c r="Q139" s="184"/>
      <c r="R139" s="184">
        <f>Sheet1!P150</f>
        <v>1786</v>
      </c>
      <c r="S139" s="186"/>
      <c r="T139" s="184"/>
      <c r="U139" s="184"/>
      <c r="V139" s="184"/>
      <c r="W139" s="184"/>
      <c r="X139" s="184">
        <f>Sheet1!AS150</f>
        <v>161</v>
      </c>
      <c r="Y139" s="184">
        <f>Sheet1!AT150</f>
        <v>3.4000000000000002E-2</v>
      </c>
      <c r="Z139" s="184"/>
      <c r="AA139" s="184"/>
      <c r="AB139" s="184"/>
      <c r="AC139" s="186"/>
      <c r="AD139" s="184"/>
      <c r="AE139" s="184"/>
      <c r="AF139" s="184"/>
      <c r="AG139" s="186"/>
      <c r="AH139" s="184"/>
      <c r="AI139" s="187"/>
      <c r="AJ139" s="191"/>
      <c r="AK139" s="191"/>
      <c r="AL139" s="191"/>
      <c r="AM139" s="191"/>
    </row>
    <row r="140" spans="2:39" x14ac:dyDescent="0.25">
      <c r="B140" s="193" t="str">
        <f>Sheet1!A151</f>
        <v>3630</v>
      </c>
      <c r="C140" s="183" t="str">
        <f>Sheet1!C151</f>
        <v>LAKE LINDSEY RD</v>
      </c>
      <c r="D140" s="183" t="str">
        <f>Sheet1!D151</f>
        <v>SNOW MEMORIAL HWY</v>
      </c>
      <c r="E140" s="183" t="str">
        <f>Sheet1!E151</f>
        <v>BROAD ST (US41/SR45)</v>
      </c>
      <c r="F140" s="184" t="str">
        <f>Sheet1!F151</f>
        <v>2U</v>
      </c>
      <c r="G140" s="184" t="str">
        <f>Sheet1!H151</f>
        <v>2U</v>
      </c>
      <c r="H140" s="185" t="str">
        <f>Sheet1!Z151</f>
        <v>D</v>
      </c>
      <c r="I140" s="185"/>
      <c r="J140" s="185"/>
      <c r="K140" s="185"/>
      <c r="L140" s="184"/>
      <c r="M140" s="184">
        <f>Sheet1!AI151</f>
        <v>1197</v>
      </c>
      <c r="N140" s="184"/>
      <c r="O140" s="184"/>
      <c r="P140" s="184"/>
      <c r="Q140" s="184"/>
      <c r="R140" s="184">
        <f>Sheet1!P151</f>
        <v>1128</v>
      </c>
      <c r="S140" s="186"/>
      <c r="T140" s="184"/>
      <c r="U140" s="184"/>
      <c r="V140" s="184"/>
      <c r="W140" s="184"/>
      <c r="X140" s="184">
        <f>Sheet1!AS151</f>
        <v>102</v>
      </c>
      <c r="Y140" s="184">
        <f>Sheet1!AT151</f>
        <v>8.5000000000000006E-2</v>
      </c>
      <c r="Z140" s="184"/>
      <c r="AA140" s="184"/>
      <c r="AB140" s="184"/>
      <c r="AC140" s="186"/>
      <c r="AD140" s="184"/>
      <c r="AE140" s="184"/>
      <c r="AF140" s="184"/>
      <c r="AG140" s="186"/>
      <c r="AH140" s="184"/>
      <c r="AI140" s="187"/>
      <c r="AJ140" s="191"/>
      <c r="AK140" s="191"/>
      <c r="AL140" s="191"/>
      <c r="AM140" s="191"/>
    </row>
    <row r="141" spans="2:39" x14ac:dyDescent="0.25">
      <c r="B141" s="193" t="str">
        <f>Sheet1!A152</f>
        <v>3640</v>
      </c>
      <c r="C141" s="183" t="str">
        <f>Sheet1!C152</f>
        <v>LAKE LINDSEY RD</v>
      </c>
      <c r="D141" s="183" t="str">
        <f>Sheet1!D152</f>
        <v>BROAD ST (US41/SR45)</v>
      </c>
      <c r="E141" s="183" t="str">
        <f>Sheet1!E152</f>
        <v>DALY RD</v>
      </c>
      <c r="F141" s="184" t="str">
        <f>Sheet1!F152</f>
        <v>2U</v>
      </c>
      <c r="G141" s="184" t="str">
        <f>Sheet1!H152</f>
        <v>2U</v>
      </c>
      <c r="H141" s="185" t="str">
        <f>Sheet1!Z152</f>
        <v>D</v>
      </c>
      <c r="I141" s="185"/>
      <c r="J141" s="185"/>
      <c r="K141" s="185"/>
      <c r="L141" s="184"/>
      <c r="M141" s="184">
        <f>Sheet1!AI152</f>
        <v>1197</v>
      </c>
      <c r="N141" s="184"/>
      <c r="O141" s="184"/>
      <c r="P141" s="184"/>
      <c r="Q141" s="184"/>
      <c r="R141" s="184">
        <f>Sheet1!P152</f>
        <v>1128</v>
      </c>
      <c r="S141" s="186"/>
      <c r="T141" s="184"/>
      <c r="U141" s="184"/>
      <c r="V141" s="184"/>
      <c r="W141" s="184"/>
      <c r="X141" s="184">
        <f>Sheet1!AS152</f>
        <v>102</v>
      </c>
      <c r="Y141" s="184">
        <f>Sheet1!AT152</f>
        <v>8.5000000000000006E-2</v>
      </c>
      <c r="Z141" s="184"/>
      <c r="AA141" s="184"/>
      <c r="AB141" s="184"/>
      <c r="AC141" s="186"/>
      <c r="AD141" s="184"/>
      <c r="AE141" s="184"/>
      <c r="AF141" s="184"/>
      <c r="AG141" s="186"/>
      <c r="AH141" s="184"/>
      <c r="AI141" s="187"/>
      <c r="AJ141" s="191"/>
      <c r="AK141" s="191"/>
      <c r="AL141" s="191"/>
      <c r="AM141" s="191"/>
    </row>
    <row r="142" spans="2:39" x14ac:dyDescent="0.25">
      <c r="B142" s="193" t="str">
        <f>Sheet1!A153</f>
        <v>3643</v>
      </c>
      <c r="C142" s="183" t="str">
        <f>Sheet1!C153</f>
        <v>LAKE LINDSEY RD</v>
      </c>
      <c r="D142" s="183" t="str">
        <f>Sheet1!D153</f>
        <v>DALY RD</v>
      </c>
      <c r="E142" s="183" t="str">
        <f>Sheet1!E153</f>
        <v>LINGLE RD</v>
      </c>
      <c r="F142" s="184" t="str">
        <f>Sheet1!F153</f>
        <v>2U</v>
      </c>
      <c r="G142" s="184" t="str">
        <f>Sheet1!H153</f>
        <v>2U</v>
      </c>
      <c r="H142" s="185" t="str">
        <f>Sheet1!Z153</f>
        <v>D</v>
      </c>
      <c r="I142" s="185"/>
      <c r="J142" s="185"/>
      <c r="K142" s="185"/>
      <c r="L142" s="184"/>
      <c r="M142" s="184">
        <f>Sheet1!AI153</f>
        <v>1818</v>
      </c>
      <c r="N142" s="184"/>
      <c r="O142" s="184"/>
      <c r="P142" s="184"/>
      <c r="Q142" s="184"/>
      <c r="R142" s="184">
        <f>Sheet1!P153</f>
        <v>3628</v>
      </c>
      <c r="S142" s="186"/>
      <c r="T142" s="184"/>
      <c r="U142" s="184"/>
      <c r="V142" s="184"/>
      <c r="W142" s="184"/>
      <c r="X142" s="184">
        <f>Sheet1!AS153</f>
        <v>327</v>
      </c>
      <c r="Y142" s="184">
        <f>Sheet1!AT153</f>
        <v>0.18</v>
      </c>
      <c r="Z142" s="184"/>
      <c r="AA142" s="184"/>
      <c r="AB142" s="184"/>
      <c r="AC142" s="186"/>
      <c r="AD142" s="184"/>
      <c r="AE142" s="184"/>
      <c r="AF142" s="184"/>
      <c r="AG142" s="186"/>
      <c r="AH142" s="184"/>
      <c r="AI142" s="187"/>
      <c r="AJ142" s="191"/>
      <c r="AK142" s="191"/>
      <c r="AL142" s="191"/>
      <c r="AM142" s="191"/>
    </row>
    <row r="143" spans="2:39" x14ac:dyDescent="0.25">
      <c r="B143" s="193" t="str">
        <f>Sheet1!A154</f>
        <v>3650</v>
      </c>
      <c r="C143" s="183" t="str">
        <f>Sheet1!C154</f>
        <v>LAKE LINDSEY RD</v>
      </c>
      <c r="D143" s="183" t="str">
        <f>Sheet1!D154</f>
        <v>LINGLE RD</v>
      </c>
      <c r="E143" s="183" t="str">
        <f>Sheet1!E154</f>
        <v>NOBLETON - CROOM  RD</v>
      </c>
      <c r="F143" s="184" t="str">
        <f>Sheet1!F154</f>
        <v>2U</v>
      </c>
      <c r="G143" s="184" t="str">
        <f>Sheet1!H154</f>
        <v>2U</v>
      </c>
      <c r="H143" s="185" t="str">
        <f>Sheet1!Z154</f>
        <v>D</v>
      </c>
      <c r="I143" s="185"/>
      <c r="J143" s="185"/>
      <c r="K143" s="185"/>
      <c r="L143" s="184"/>
      <c r="M143" s="184">
        <f>Sheet1!AI154</f>
        <v>1197</v>
      </c>
      <c r="N143" s="184"/>
      <c r="O143" s="184"/>
      <c r="P143" s="184"/>
      <c r="Q143" s="184"/>
      <c r="R143" s="184">
        <f>Sheet1!P154</f>
        <v>3628</v>
      </c>
      <c r="S143" s="186"/>
      <c r="T143" s="184"/>
      <c r="U143" s="184"/>
      <c r="V143" s="184"/>
      <c r="W143" s="184"/>
      <c r="X143" s="184">
        <f>Sheet1!AS154</f>
        <v>327</v>
      </c>
      <c r="Y143" s="184">
        <f>Sheet1!AT154</f>
        <v>0.27300000000000002</v>
      </c>
      <c r="Z143" s="184"/>
      <c r="AA143" s="184"/>
      <c r="AB143" s="184"/>
      <c r="AC143" s="186"/>
      <c r="AD143" s="184"/>
      <c r="AE143" s="184"/>
      <c r="AF143" s="184"/>
      <c r="AG143" s="186"/>
      <c r="AH143" s="184"/>
      <c r="AI143" s="187"/>
      <c r="AJ143" s="191"/>
      <c r="AK143" s="191"/>
      <c r="AL143" s="191"/>
      <c r="AM143" s="191"/>
    </row>
    <row r="144" spans="2:39" x14ac:dyDescent="0.25">
      <c r="B144" s="193" t="str">
        <f>Sheet1!A155</f>
        <v>3660</v>
      </c>
      <c r="C144" s="183" t="str">
        <f>Sheet1!C155</f>
        <v>LAKE LINDSEY RD</v>
      </c>
      <c r="D144" s="183" t="str">
        <f>Sheet1!D155</f>
        <v>NOBLETON - CROOM  RD</v>
      </c>
      <c r="E144" s="183" t="str">
        <f>Sheet1!E155</f>
        <v>SUMTER COUNTY</v>
      </c>
      <c r="F144" s="184" t="str">
        <f>Sheet1!F155</f>
        <v>2U</v>
      </c>
      <c r="G144" s="184" t="str">
        <f>Sheet1!H155</f>
        <v>2U</v>
      </c>
      <c r="H144" s="185" t="str">
        <f>Sheet1!Z155</f>
        <v>D</v>
      </c>
      <c r="I144" s="185"/>
      <c r="J144" s="185"/>
      <c r="K144" s="185"/>
      <c r="L144" s="184"/>
      <c r="M144" s="184">
        <f>Sheet1!AI155</f>
        <v>1197</v>
      </c>
      <c r="N144" s="184"/>
      <c r="O144" s="184"/>
      <c r="P144" s="184"/>
      <c r="Q144" s="184"/>
      <c r="R144" s="184">
        <f>Sheet1!P155</f>
        <v>3628</v>
      </c>
      <c r="S144" s="186"/>
      <c r="T144" s="184"/>
      <c r="U144" s="184"/>
      <c r="V144" s="184"/>
      <c r="W144" s="184"/>
      <c r="X144" s="184">
        <f>Sheet1!AS155</f>
        <v>327</v>
      </c>
      <c r="Y144" s="184">
        <f>Sheet1!AT155</f>
        <v>0.27300000000000002</v>
      </c>
      <c r="Z144" s="184"/>
      <c r="AA144" s="184"/>
      <c r="AB144" s="184"/>
      <c r="AC144" s="186"/>
      <c r="AD144" s="184"/>
      <c r="AE144" s="184"/>
      <c r="AF144" s="184"/>
      <c r="AG144" s="186"/>
      <c r="AH144" s="184"/>
      <c r="AI144" s="187"/>
      <c r="AJ144" s="191"/>
      <c r="AK144" s="191"/>
      <c r="AL144" s="191"/>
      <c r="AM144" s="191"/>
    </row>
    <row r="145" spans="2:39" x14ac:dyDescent="0.25">
      <c r="B145" s="193" t="str">
        <f>Sheet1!A156</f>
        <v>11060</v>
      </c>
      <c r="C145" s="183" t="str">
        <f>Sheet1!C156</f>
        <v>CROOM RD</v>
      </c>
      <c r="D145" s="183" t="str">
        <f>Sheet1!D156</f>
        <v>BROAD ST (US41/SR45)</v>
      </c>
      <c r="E145" s="183" t="str">
        <f>Sheet1!E156</f>
        <v>MCINTYRE RD</v>
      </c>
      <c r="F145" s="184" t="str">
        <f>Sheet1!F156</f>
        <v>2U</v>
      </c>
      <c r="G145" s="184" t="str">
        <f>Sheet1!H156</f>
        <v>2U</v>
      </c>
      <c r="H145" s="185" t="str">
        <f>Sheet1!Z156</f>
        <v>D</v>
      </c>
      <c r="I145" s="185"/>
      <c r="J145" s="185"/>
      <c r="K145" s="185"/>
      <c r="L145" s="184"/>
      <c r="M145" s="184">
        <f>Sheet1!AI156</f>
        <v>1962</v>
      </c>
      <c r="N145" s="184"/>
      <c r="O145" s="184"/>
      <c r="P145" s="184"/>
      <c r="Q145" s="184"/>
      <c r="R145" s="184">
        <f>Sheet1!P156</f>
        <v>4250</v>
      </c>
      <c r="S145" s="186"/>
      <c r="T145" s="184"/>
      <c r="U145" s="184"/>
      <c r="V145" s="184"/>
      <c r="W145" s="184"/>
      <c r="X145" s="184">
        <f>Sheet1!AS156</f>
        <v>383</v>
      </c>
      <c r="Y145" s="184">
        <f>Sheet1!AT156</f>
        <v>0.19500000000000001</v>
      </c>
      <c r="Z145" s="184"/>
      <c r="AA145" s="184"/>
      <c r="AB145" s="184"/>
      <c r="AC145" s="186"/>
      <c r="AD145" s="184"/>
      <c r="AE145" s="184"/>
      <c r="AF145" s="184"/>
      <c r="AG145" s="186"/>
      <c r="AH145" s="184"/>
      <c r="AI145" s="187"/>
      <c r="AJ145" s="191"/>
      <c r="AK145" s="191"/>
      <c r="AL145" s="191"/>
      <c r="AM145" s="191"/>
    </row>
    <row r="146" spans="2:39" x14ac:dyDescent="0.25">
      <c r="B146" s="193" t="str">
        <f>Sheet1!A157</f>
        <v>11070</v>
      </c>
      <c r="C146" s="183" t="str">
        <f>Sheet1!C157</f>
        <v>CROOM RD</v>
      </c>
      <c r="D146" s="183" t="str">
        <f>Sheet1!D157</f>
        <v>MCINTYRE RD</v>
      </c>
      <c r="E146" s="183" t="str">
        <f>Sheet1!E157</f>
        <v>YONTZ RD EXT</v>
      </c>
      <c r="F146" s="184" t="str">
        <f>Sheet1!F157</f>
        <v>2U</v>
      </c>
      <c r="G146" s="184" t="str">
        <f>Sheet1!H157</f>
        <v>2U</v>
      </c>
      <c r="H146" s="185" t="str">
        <f>Sheet1!Z157</f>
        <v>D</v>
      </c>
      <c r="I146" s="185"/>
      <c r="J146" s="185"/>
      <c r="K146" s="185"/>
      <c r="L146" s="184"/>
      <c r="M146" s="184">
        <f>Sheet1!AI157</f>
        <v>1962</v>
      </c>
      <c r="N146" s="184"/>
      <c r="O146" s="184"/>
      <c r="P146" s="184"/>
      <c r="Q146" s="184"/>
      <c r="R146" s="184">
        <f>Sheet1!P157</f>
        <v>216</v>
      </c>
      <c r="S146" s="186"/>
      <c r="T146" s="184"/>
      <c r="U146" s="184"/>
      <c r="V146" s="184"/>
      <c r="W146" s="184"/>
      <c r="X146" s="184">
        <f>Sheet1!AS157</f>
        <v>19</v>
      </c>
      <c r="Y146" s="184">
        <f>Sheet1!AT157</f>
        <v>0.01</v>
      </c>
      <c r="Z146" s="184"/>
      <c r="AA146" s="184"/>
      <c r="AB146" s="184"/>
      <c r="AC146" s="186"/>
      <c r="AD146" s="184"/>
      <c r="AE146" s="184"/>
      <c r="AF146" s="184"/>
      <c r="AG146" s="186"/>
      <c r="AH146" s="184"/>
      <c r="AI146" s="187"/>
      <c r="AJ146" s="191"/>
      <c r="AK146" s="191"/>
      <c r="AL146" s="191"/>
      <c r="AM146" s="191"/>
    </row>
    <row r="147" spans="2:39" x14ac:dyDescent="0.25">
      <c r="B147" s="193" t="str">
        <f>Sheet1!A158</f>
        <v>11080</v>
      </c>
      <c r="C147" s="183" t="str">
        <f>Sheet1!C158</f>
        <v>CROOM RD</v>
      </c>
      <c r="D147" s="183" t="str">
        <f>Sheet1!D158</f>
        <v>YONTZ RD EXT</v>
      </c>
      <c r="E147" s="183" t="str">
        <f>Sheet1!E158</f>
        <v>WEATHERLY RD</v>
      </c>
      <c r="F147" s="184" t="str">
        <f>Sheet1!F158</f>
        <v>2U</v>
      </c>
      <c r="G147" s="184" t="str">
        <f>Sheet1!H158</f>
        <v>2U</v>
      </c>
      <c r="H147" s="185" t="str">
        <f>Sheet1!Z158</f>
        <v>D</v>
      </c>
      <c r="I147" s="185"/>
      <c r="J147" s="185"/>
      <c r="K147" s="185"/>
      <c r="L147" s="184"/>
      <c r="M147" s="184">
        <f>Sheet1!AI158</f>
        <v>1962</v>
      </c>
      <c r="N147" s="184"/>
      <c r="O147" s="184"/>
      <c r="P147" s="184"/>
      <c r="Q147" s="184"/>
      <c r="R147" s="184">
        <f>Sheet1!P158</f>
        <v>216</v>
      </c>
      <c r="S147" s="186"/>
      <c r="T147" s="184"/>
      <c r="U147" s="184"/>
      <c r="V147" s="184"/>
      <c r="W147" s="184"/>
      <c r="X147" s="184">
        <f>Sheet1!AS158</f>
        <v>19</v>
      </c>
      <c r="Y147" s="184">
        <f>Sheet1!AT158</f>
        <v>0.01</v>
      </c>
      <c r="Z147" s="184"/>
      <c r="AA147" s="184"/>
      <c r="AB147" s="184"/>
      <c r="AC147" s="186"/>
      <c r="AD147" s="184"/>
      <c r="AE147" s="184"/>
      <c r="AF147" s="184"/>
      <c r="AG147" s="186"/>
      <c r="AH147" s="184"/>
      <c r="AI147" s="187"/>
      <c r="AJ147" s="191"/>
      <c r="AK147" s="191"/>
      <c r="AL147" s="191"/>
      <c r="AM147" s="191"/>
    </row>
    <row r="148" spans="2:39" x14ac:dyDescent="0.25">
      <c r="B148" s="193" t="str">
        <f>Sheet1!A159</f>
        <v>11090</v>
      </c>
      <c r="C148" s="183" t="str">
        <f>Sheet1!C159</f>
        <v>CROOM RD</v>
      </c>
      <c r="D148" s="183" t="str">
        <f>Sheet1!D159</f>
        <v>WEATHERLY RD</v>
      </c>
      <c r="E148" s="183" t="str">
        <f>Sheet1!E159</f>
        <v>ALCOTT RD</v>
      </c>
      <c r="F148" s="184" t="str">
        <f>Sheet1!F159</f>
        <v>2U</v>
      </c>
      <c r="G148" s="184" t="str">
        <f>Sheet1!H159</f>
        <v>2U</v>
      </c>
      <c r="H148" s="185" t="str">
        <f>Sheet1!Z159</f>
        <v>D</v>
      </c>
      <c r="I148" s="185"/>
      <c r="J148" s="185"/>
      <c r="K148" s="185"/>
      <c r="L148" s="184"/>
      <c r="M148" s="184">
        <f>Sheet1!AI159</f>
        <v>1818</v>
      </c>
      <c r="N148" s="184"/>
      <c r="O148" s="184"/>
      <c r="P148" s="184"/>
      <c r="Q148" s="184"/>
      <c r="R148" s="184">
        <f>Sheet1!P159</f>
        <v>1948</v>
      </c>
      <c r="S148" s="186"/>
      <c r="T148" s="184"/>
      <c r="U148" s="184"/>
      <c r="V148" s="184"/>
      <c r="W148" s="184"/>
      <c r="X148" s="184">
        <f>Sheet1!AS159</f>
        <v>175</v>
      </c>
      <c r="Y148" s="184">
        <f>Sheet1!AT159</f>
        <v>9.6000000000000002E-2</v>
      </c>
      <c r="Z148" s="184"/>
      <c r="AA148" s="184"/>
      <c r="AB148" s="184"/>
      <c r="AC148" s="186"/>
      <c r="AD148" s="184"/>
      <c r="AE148" s="184"/>
      <c r="AF148" s="184"/>
      <c r="AG148" s="186"/>
      <c r="AH148" s="184"/>
      <c r="AI148" s="187"/>
      <c r="AJ148" s="191"/>
      <c r="AK148" s="191"/>
      <c r="AL148" s="191"/>
      <c r="AM148" s="191"/>
    </row>
    <row r="149" spans="2:39" x14ac:dyDescent="0.25">
      <c r="B149" s="193" t="str">
        <f>Sheet1!A160</f>
        <v>11100</v>
      </c>
      <c r="C149" s="183" t="str">
        <f>Sheet1!C160</f>
        <v>CROOM RD</v>
      </c>
      <c r="D149" s="183" t="str">
        <f>Sheet1!D160</f>
        <v>ALCOTT RD</v>
      </c>
      <c r="E149" s="183" t="str">
        <f>Sheet1!E160</f>
        <v>WITHROW RD</v>
      </c>
      <c r="F149" s="184" t="str">
        <f>Sheet1!F160</f>
        <v>2U</v>
      </c>
      <c r="G149" s="184" t="str">
        <f>Sheet1!H160</f>
        <v>2U</v>
      </c>
      <c r="H149" s="185" t="str">
        <f>Sheet1!Z160</f>
        <v>D</v>
      </c>
      <c r="I149" s="185"/>
      <c r="J149" s="185"/>
      <c r="K149" s="185"/>
      <c r="L149" s="184"/>
      <c r="M149" s="184">
        <f>Sheet1!AI160</f>
        <v>1818</v>
      </c>
      <c r="N149" s="184"/>
      <c r="O149" s="184"/>
      <c r="P149" s="184"/>
      <c r="Q149" s="184"/>
      <c r="R149" s="184">
        <f>Sheet1!P160</f>
        <v>1948</v>
      </c>
      <c r="S149" s="186"/>
      <c r="T149" s="184"/>
      <c r="U149" s="184"/>
      <c r="V149" s="184"/>
      <c r="W149" s="184"/>
      <c r="X149" s="184">
        <f>Sheet1!AS160</f>
        <v>175</v>
      </c>
      <c r="Y149" s="184">
        <f>Sheet1!AT160</f>
        <v>9.6000000000000002E-2</v>
      </c>
      <c r="Z149" s="184"/>
      <c r="AA149" s="184"/>
      <c r="AB149" s="184"/>
      <c r="AC149" s="186"/>
      <c r="AD149" s="184"/>
      <c r="AE149" s="184"/>
      <c r="AF149" s="184"/>
      <c r="AG149" s="186"/>
      <c r="AH149" s="184"/>
      <c r="AI149" s="187"/>
      <c r="AJ149" s="191"/>
      <c r="AK149" s="191"/>
      <c r="AL149" s="191"/>
      <c r="AM149" s="191"/>
    </row>
    <row r="150" spans="2:39" x14ac:dyDescent="0.25">
      <c r="B150" s="193" t="str">
        <f>Sheet1!A161</f>
        <v>11110.1</v>
      </c>
      <c r="C150" s="183" t="str">
        <f>Sheet1!C161</f>
        <v>CROOM RD</v>
      </c>
      <c r="D150" s="183" t="str">
        <f>Sheet1!D161</f>
        <v>WITHROW RD</v>
      </c>
      <c r="E150" s="183" t="str">
        <f>Sheet1!E161</f>
        <v>NEW ROAD</v>
      </c>
      <c r="F150" s="184" t="str">
        <f>Sheet1!F161</f>
        <v>2U</v>
      </c>
      <c r="G150" s="184" t="str">
        <f>Sheet1!H161</f>
        <v>2U</v>
      </c>
      <c r="H150" s="185" t="str">
        <f>Sheet1!Z161</f>
        <v>D</v>
      </c>
      <c r="I150" s="185"/>
      <c r="J150" s="185"/>
      <c r="K150" s="185"/>
      <c r="L150" s="184"/>
      <c r="M150" s="184">
        <f>Sheet1!AI161</f>
        <v>1818</v>
      </c>
      <c r="N150" s="184"/>
      <c r="O150" s="184"/>
      <c r="P150" s="184"/>
      <c r="Q150" s="184"/>
      <c r="R150" s="184">
        <f>Sheet1!P161</f>
        <v>1948</v>
      </c>
      <c r="S150" s="186"/>
      <c r="T150" s="184"/>
      <c r="U150" s="184"/>
      <c r="V150" s="184"/>
      <c r="W150" s="184"/>
      <c r="X150" s="184">
        <f>Sheet1!AS161</f>
        <v>175</v>
      </c>
      <c r="Y150" s="184">
        <f>Sheet1!AT161</f>
        <v>9.6000000000000002E-2</v>
      </c>
      <c r="Z150" s="184"/>
      <c r="AA150" s="184"/>
      <c r="AB150" s="184"/>
      <c r="AC150" s="186"/>
      <c r="AD150" s="184"/>
      <c r="AE150" s="184"/>
      <c r="AF150" s="184"/>
      <c r="AG150" s="186"/>
      <c r="AH150" s="184"/>
      <c r="AI150" s="187"/>
      <c r="AJ150" s="191"/>
      <c r="AK150" s="191"/>
      <c r="AL150" s="191"/>
      <c r="AM150" s="191"/>
    </row>
    <row r="151" spans="2:39" x14ac:dyDescent="0.25">
      <c r="B151" s="193" t="str">
        <f>Sheet1!A162</f>
        <v>11110.2</v>
      </c>
      <c r="C151" s="183" t="str">
        <f>Sheet1!C162</f>
        <v>CROOM RD</v>
      </c>
      <c r="D151" s="183" t="str">
        <f>Sheet1!D162</f>
        <v>NEW ROAD</v>
      </c>
      <c r="E151" s="183" t="str">
        <f>Sheet1!E162</f>
        <v>CROOM RITAL RD</v>
      </c>
      <c r="F151" s="184" t="str">
        <f>Sheet1!F162</f>
        <v>2U</v>
      </c>
      <c r="G151" s="184" t="str">
        <f>Sheet1!H162</f>
        <v>2U</v>
      </c>
      <c r="H151" s="185" t="str">
        <f>Sheet1!Z162</f>
        <v>D</v>
      </c>
      <c r="I151" s="185"/>
      <c r="J151" s="185"/>
      <c r="K151" s="185"/>
      <c r="L151" s="184"/>
      <c r="M151" s="184">
        <f>Sheet1!AI162</f>
        <v>1197</v>
      </c>
      <c r="N151" s="184"/>
      <c r="O151" s="184"/>
      <c r="P151" s="184"/>
      <c r="Q151" s="184"/>
      <c r="R151" s="184">
        <f>Sheet1!P162</f>
        <v>1948</v>
      </c>
      <c r="S151" s="186"/>
      <c r="T151" s="184"/>
      <c r="U151" s="184"/>
      <c r="V151" s="184"/>
      <c r="W151" s="184"/>
      <c r="X151" s="184">
        <f>Sheet1!AS162</f>
        <v>175</v>
      </c>
      <c r="Y151" s="184">
        <f>Sheet1!AT162</f>
        <v>0.14599999999999999</v>
      </c>
      <c r="Z151" s="184"/>
      <c r="AA151" s="184"/>
      <c r="AB151" s="184"/>
      <c r="AC151" s="186"/>
      <c r="AD151" s="184"/>
      <c r="AE151" s="184"/>
      <c r="AF151" s="184"/>
      <c r="AG151" s="186"/>
      <c r="AH151" s="184"/>
      <c r="AI151" s="187"/>
      <c r="AJ151" s="191"/>
      <c r="AK151" s="191"/>
      <c r="AL151" s="191"/>
      <c r="AM151" s="191"/>
    </row>
    <row r="152" spans="2:39" x14ac:dyDescent="0.25">
      <c r="B152" s="193" t="str">
        <f>Sheet1!A163</f>
        <v>20060</v>
      </c>
      <c r="C152" s="183" t="str">
        <f>Sheet1!C163</f>
        <v>FORT DADE AVE</v>
      </c>
      <c r="D152" s="183" t="str">
        <f>Sheet1!D163</f>
        <v>WISCON RD</v>
      </c>
      <c r="E152" s="183" t="str">
        <f>Sheet1!E163</f>
        <v>CORTEZ BLVD (SR50)</v>
      </c>
      <c r="F152" s="184" t="str">
        <f>Sheet1!F163</f>
        <v>2U</v>
      </c>
      <c r="G152" s="184" t="str">
        <f>Sheet1!H163</f>
        <v>2U</v>
      </c>
      <c r="H152" s="185" t="str">
        <f>Sheet1!Z163</f>
        <v>D</v>
      </c>
      <c r="I152" s="185"/>
      <c r="J152" s="185"/>
      <c r="K152" s="185"/>
      <c r="L152" s="184"/>
      <c r="M152" s="184">
        <f>Sheet1!AI163</f>
        <v>1899</v>
      </c>
      <c r="N152" s="184"/>
      <c r="O152" s="184"/>
      <c r="P152" s="184"/>
      <c r="Q152" s="184"/>
      <c r="R152" s="184">
        <f>Sheet1!P163</f>
        <v>2624</v>
      </c>
      <c r="S152" s="186"/>
      <c r="T152" s="184"/>
      <c r="U152" s="184"/>
      <c r="V152" s="184"/>
      <c r="W152" s="184"/>
      <c r="X152" s="184">
        <f>Sheet1!AS163</f>
        <v>236</v>
      </c>
      <c r="Y152" s="184">
        <f>Sheet1!AT163</f>
        <v>0.124</v>
      </c>
      <c r="Z152" s="184"/>
      <c r="AA152" s="184"/>
      <c r="AB152" s="184"/>
      <c r="AC152" s="186"/>
      <c r="AD152" s="184"/>
      <c r="AE152" s="184"/>
      <c r="AF152" s="184"/>
      <c r="AG152" s="186"/>
      <c r="AH152" s="184"/>
      <c r="AI152" s="187"/>
      <c r="AJ152" s="191"/>
      <c r="AK152" s="191"/>
      <c r="AL152" s="191"/>
      <c r="AM152" s="191"/>
    </row>
    <row r="153" spans="2:39" x14ac:dyDescent="0.25">
      <c r="B153" s="193" t="str">
        <f>Sheet1!A164</f>
        <v>3010.1</v>
      </c>
      <c r="C153" s="183" t="str">
        <f>Sheet1!C164</f>
        <v>FORT DADE AVE</v>
      </c>
      <c r="D153" s="183" t="str">
        <f>Sheet1!D164</f>
        <v>CORTEZ BLVD (SR50)</v>
      </c>
      <c r="E153" s="183" t="str">
        <f>Sheet1!E164</f>
        <v>RESTER DR</v>
      </c>
      <c r="F153" s="184" t="str">
        <f>Sheet1!F164</f>
        <v>2U</v>
      </c>
      <c r="G153" s="184" t="str">
        <f>Sheet1!H164</f>
        <v>2U</v>
      </c>
      <c r="H153" s="185" t="str">
        <f>Sheet1!Z164</f>
        <v>D</v>
      </c>
      <c r="I153" s="185"/>
      <c r="J153" s="185"/>
      <c r="K153" s="185"/>
      <c r="L153" s="184"/>
      <c r="M153" s="184">
        <f>Sheet1!AI164</f>
        <v>1899</v>
      </c>
      <c r="N153" s="184"/>
      <c r="O153" s="184"/>
      <c r="P153" s="184"/>
      <c r="Q153" s="184"/>
      <c r="R153" s="184">
        <f>Sheet1!P164</f>
        <v>2624</v>
      </c>
      <c r="S153" s="186"/>
      <c r="T153" s="184"/>
      <c r="U153" s="184"/>
      <c r="V153" s="184"/>
      <c r="W153" s="184"/>
      <c r="X153" s="184">
        <f>Sheet1!AS164</f>
        <v>236</v>
      </c>
      <c r="Y153" s="184">
        <f>Sheet1!AT164</f>
        <v>0.124</v>
      </c>
      <c r="Z153" s="184"/>
      <c r="AA153" s="184"/>
      <c r="AB153" s="184"/>
      <c r="AC153" s="186"/>
      <c r="AD153" s="184"/>
      <c r="AE153" s="184"/>
      <c r="AF153" s="184"/>
      <c r="AG153" s="186"/>
      <c r="AH153" s="184"/>
      <c r="AI153" s="187"/>
      <c r="AJ153" s="191"/>
      <c r="AK153" s="191"/>
      <c r="AL153" s="191"/>
      <c r="AM153" s="191"/>
    </row>
    <row r="154" spans="2:39" x14ac:dyDescent="0.25">
      <c r="B154" s="193" t="str">
        <f>Sheet1!A165</f>
        <v>3010.2</v>
      </c>
      <c r="C154" s="183" t="str">
        <f>Sheet1!C165</f>
        <v>FORT DADE AVE</v>
      </c>
      <c r="D154" s="183" t="str">
        <f>Sheet1!D165</f>
        <v>RESTER DR</v>
      </c>
      <c r="E154" s="183" t="str">
        <f>Sheet1!E165</f>
        <v>CITRUS WAY</v>
      </c>
      <c r="F154" s="184" t="str">
        <f>Sheet1!F165</f>
        <v>2U</v>
      </c>
      <c r="G154" s="184" t="str">
        <f>Sheet1!H165</f>
        <v>2U</v>
      </c>
      <c r="H154" s="185" t="str">
        <f>Sheet1!Z165</f>
        <v>D</v>
      </c>
      <c r="I154" s="185"/>
      <c r="J154" s="185"/>
      <c r="K154" s="185"/>
      <c r="L154" s="184"/>
      <c r="M154" s="184">
        <f>Sheet1!AI165</f>
        <v>1899</v>
      </c>
      <c r="N154" s="184"/>
      <c r="O154" s="184"/>
      <c r="P154" s="184"/>
      <c r="Q154" s="184"/>
      <c r="R154" s="184">
        <f>Sheet1!P165</f>
        <v>2723</v>
      </c>
      <c r="S154" s="186"/>
      <c r="T154" s="184"/>
      <c r="U154" s="184"/>
      <c r="V154" s="184"/>
      <c r="W154" s="184"/>
      <c r="X154" s="184">
        <f>Sheet1!AS165</f>
        <v>245</v>
      </c>
      <c r="Y154" s="184">
        <f>Sheet1!AT165</f>
        <v>0.129</v>
      </c>
      <c r="Z154" s="184"/>
      <c r="AA154" s="184"/>
      <c r="AB154" s="184"/>
      <c r="AC154" s="186"/>
      <c r="AD154" s="184"/>
      <c r="AE154" s="184"/>
      <c r="AF154" s="184"/>
      <c r="AG154" s="186"/>
      <c r="AH154" s="184"/>
      <c r="AI154" s="187"/>
      <c r="AJ154" s="191"/>
      <c r="AK154" s="191"/>
      <c r="AL154" s="191"/>
      <c r="AM154" s="191"/>
    </row>
    <row r="155" spans="2:39" x14ac:dyDescent="0.25">
      <c r="B155" s="193" t="str">
        <f>Sheet1!A166</f>
        <v>3020.3</v>
      </c>
      <c r="C155" s="183" t="str">
        <f>Sheet1!C166</f>
        <v>FORT DADE AVE</v>
      </c>
      <c r="D155" s="183" t="str">
        <f>Sheet1!D166</f>
        <v>CITRUS WAY</v>
      </c>
      <c r="E155" s="183" t="str">
        <f>Sheet1!E166</f>
        <v>KOCHER DR</v>
      </c>
      <c r="F155" s="184" t="str">
        <f>Sheet1!F166</f>
        <v>2U</v>
      </c>
      <c r="G155" s="184" t="str">
        <f>Sheet1!H166</f>
        <v>2U</v>
      </c>
      <c r="H155" s="185" t="str">
        <f>Sheet1!Z166</f>
        <v>D</v>
      </c>
      <c r="I155" s="185"/>
      <c r="J155" s="185"/>
      <c r="K155" s="185"/>
      <c r="L155" s="184"/>
      <c r="M155" s="184">
        <f>Sheet1!AI166</f>
        <v>1899</v>
      </c>
      <c r="N155" s="184"/>
      <c r="O155" s="184"/>
      <c r="P155" s="184"/>
      <c r="Q155" s="184"/>
      <c r="R155" s="184">
        <f>Sheet1!P166</f>
        <v>2723</v>
      </c>
      <c r="S155" s="186"/>
      <c r="T155" s="184"/>
      <c r="U155" s="184"/>
      <c r="V155" s="184"/>
      <c r="W155" s="184"/>
      <c r="X155" s="184">
        <f>Sheet1!AS166</f>
        <v>245</v>
      </c>
      <c r="Y155" s="184">
        <f>Sheet1!AT166</f>
        <v>0.129</v>
      </c>
      <c r="Z155" s="184"/>
      <c r="AA155" s="184"/>
      <c r="AB155" s="184"/>
      <c r="AC155" s="186"/>
      <c r="AD155" s="184"/>
      <c r="AE155" s="184"/>
      <c r="AF155" s="184"/>
      <c r="AG155" s="186"/>
      <c r="AH155" s="184"/>
      <c r="AI155" s="187"/>
      <c r="AJ155" s="191"/>
      <c r="AK155" s="191"/>
      <c r="AL155" s="191"/>
      <c r="AM155" s="191"/>
    </row>
    <row r="156" spans="2:39" x14ac:dyDescent="0.25">
      <c r="B156" s="193" t="str">
        <f>Sheet1!A167</f>
        <v>3020.4</v>
      </c>
      <c r="C156" s="183" t="str">
        <f>Sheet1!C167</f>
        <v>FORT DADE AVE</v>
      </c>
      <c r="D156" s="183" t="str">
        <f>Sheet1!D167</f>
        <v>KOCHER DR</v>
      </c>
      <c r="E156" s="183" t="str">
        <f>Sheet1!E167</f>
        <v>COBB RD</v>
      </c>
      <c r="F156" s="184" t="str">
        <f>Sheet1!F167</f>
        <v>2U</v>
      </c>
      <c r="G156" s="184" t="str">
        <f>Sheet1!H167</f>
        <v>2U</v>
      </c>
      <c r="H156" s="185" t="str">
        <f>Sheet1!Z167</f>
        <v>D</v>
      </c>
      <c r="I156" s="185"/>
      <c r="J156" s="185"/>
      <c r="K156" s="185"/>
      <c r="L156" s="184"/>
      <c r="M156" s="184">
        <f>Sheet1!AI167</f>
        <v>1962</v>
      </c>
      <c r="N156" s="184"/>
      <c r="O156" s="184"/>
      <c r="P156" s="184"/>
      <c r="Q156" s="184"/>
      <c r="R156" s="184">
        <f>Sheet1!P167</f>
        <v>2723</v>
      </c>
      <c r="S156" s="186"/>
      <c r="T156" s="184"/>
      <c r="U156" s="184"/>
      <c r="V156" s="184"/>
      <c r="W156" s="184"/>
      <c r="X156" s="184">
        <f>Sheet1!AS167</f>
        <v>245</v>
      </c>
      <c r="Y156" s="184">
        <f>Sheet1!AT167</f>
        <v>0.125</v>
      </c>
      <c r="Z156" s="184"/>
      <c r="AA156" s="184"/>
      <c r="AB156" s="184"/>
      <c r="AC156" s="186"/>
      <c r="AD156" s="184"/>
      <c r="AE156" s="184"/>
      <c r="AF156" s="184"/>
      <c r="AG156" s="186"/>
      <c r="AH156" s="184"/>
      <c r="AI156" s="187"/>
      <c r="AJ156" s="191"/>
      <c r="AK156" s="191"/>
      <c r="AL156" s="191"/>
      <c r="AM156" s="191"/>
    </row>
    <row r="157" spans="2:39" x14ac:dyDescent="0.25">
      <c r="B157" s="193" t="str">
        <f>Sheet1!A168</f>
        <v>3030</v>
      </c>
      <c r="C157" s="183" t="str">
        <f>Sheet1!C168</f>
        <v>FORT DADE AVE</v>
      </c>
      <c r="D157" s="183" t="str">
        <f>Sheet1!D168</f>
        <v>COBB RD</v>
      </c>
      <c r="E157" s="183" t="str">
        <f>Sheet1!E168</f>
        <v>PONCE DE LEON BLVD (US98/SR700)</v>
      </c>
      <c r="F157" s="184" t="str">
        <f>Sheet1!F168</f>
        <v>2U</v>
      </c>
      <c r="G157" s="184" t="str">
        <f>Sheet1!H168</f>
        <v>2U</v>
      </c>
      <c r="H157" s="185" t="str">
        <f>Sheet1!Z168</f>
        <v>D</v>
      </c>
      <c r="I157" s="185"/>
      <c r="J157" s="185"/>
      <c r="K157" s="185"/>
      <c r="L157" s="184"/>
      <c r="M157" s="184">
        <f>Sheet1!AI168</f>
        <v>1962</v>
      </c>
      <c r="N157" s="184"/>
      <c r="O157" s="184"/>
      <c r="P157" s="184"/>
      <c r="Q157" s="184"/>
      <c r="R157" s="184">
        <f>Sheet1!P168</f>
        <v>2209</v>
      </c>
      <c r="S157" s="186"/>
      <c r="T157" s="184"/>
      <c r="U157" s="184"/>
      <c r="V157" s="184"/>
      <c r="W157" s="184"/>
      <c r="X157" s="184">
        <f>Sheet1!AS168</f>
        <v>199</v>
      </c>
      <c r="Y157" s="184">
        <f>Sheet1!AT168</f>
        <v>0.10100000000000001</v>
      </c>
      <c r="Z157" s="184"/>
      <c r="AA157" s="184"/>
      <c r="AB157" s="184"/>
      <c r="AC157" s="186"/>
      <c r="AD157" s="184"/>
      <c r="AE157" s="184"/>
      <c r="AF157" s="184"/>
      <c r="AG157" s="186"/>
      <c r="AH157" s="184"/>
      <c r="AI157" s="187"/>
      <c r="AJ157" s="191"/>
      <c r="AK157" s="191"/>
      <c r="AL157" s="191"/>
      <c r="AM157" s="191"/>
    </row>
    <row r="158" spans="2:39" x14ac:dyDescent="0.25">
      <c r="B158" s="193" t="str">
        <f>Sheet1!A169</f>
        <v>3040</v>
      </c>
      <c r="C158" s="183" t="str">
        <f>Sheet1!C169</f>
        <v>FORT DADE AVE</v>
      </c>
      <c r="D158" s="183" t="str">
        <f>Sheet1!D169</f>
        <v>PONCE DE LEON BLVD (US98/SR700)</v>
      </c>
      <c r="E158" s="183" t="str">
        <f>Sheet1!E169</f>
        <v>HOWELL AVE</v>
      </c>
      <c r="F158" s="184" t="str">
        <f>Sheet1!F169</f>
        <v>2U</v>
      </c>
      <c r="G158" s="184" t="str">
        <f>Sheet1!H169</f>
        <v>2U</v>
      </c>
      <c r="H158" s="185" t="str">
        <f>Sheet1!Z169</f>
        <v>D</v>
      </c>
      <c r="I158" s="185"/>
      <c r="J158" s="185"/>
      <c r="K158" s="185"/>
      <c r="L158" s="184"/>
      <c r="M158" s="184">
        <f>Sheet1!AI169</f>
        <v>958</v>
      </c>
      <c r="N158" s="184"/>
      <c r="O158" s="184"/>
      <c r="P158" s="184"/>
      <c r="Q158" s="184"/>
      <c r="R158" s="184">
        <f>Sheet1!P169</f>
        <v>11825</v>
      </c>
      <c r="S158" s="186"/>
      <c r="T158" s="184"/>
      <c r="U158" s="184"/>
      <c r="V158" s="184"/>
      <c r="W158" s="184"/>
      <c r="X158" s="184">
        <f>Sheet1!AS169</f>
        <v>1064</v>
      </c>
      <c r="Y158" s="184">
        <f>Sheet1!AT169</f>
        <v>1.111</v>
      </c>
      <c r="Z158" s="184"/>
      <c r="AA158" s="184"/>
      <c r="AB158" s="184"/>
      <c r="AC158" s="186"/>
      <c r="AD158" s="184"/>
      <c r="AE158" s="184"/>
      <c r="AF158" s="184"/>
      <c r="AG158" s="186"/>
      <c r="AH158" s="184"/>
      <c r="AI158" s="187"/>
      <c r="AJ158" s="191"/>
      <c r="AK158" s="191"/>
      <c r="AL158" s="191"/>
      <c r="AM158" s="191"/>
    </row>
    <row r="159" spans="2:39" x14ac:dyDescent="0.25">
      <c r="B159" s="193" t="str">
        <f>Sheet1!A170</f>
        <v>4100</v>
      </c>
      <c r="C159" s="183" t="str">
        <f>Sheet1!C170</f>
        <v>MONDON HILL RD</v>
      </c>
      <c r="D159" s="183" t="str">
        <f>Sheet1!D170</f>
        <v>BROAD ST (US41/SR45)</v>
      </c>
      <c r="E159" s="183" t="str">
        <f>Sheet1!E170</f>
        <v>JASMINE DR</v>
      </c>
      <c r="F159" s="184" t="str">
        <f>Sheet1!F170</f>
        <v>2U</v>
      </c>
      <c r="G159" s="184" t="str">
        <f>Sheet1!H170</f>
        <v>2U</v>
      </c>
      <c r="H159" s="185" t="str">
        <f>Sheet1!Z170</f>
        <v>D</v>
      </c>
      <c r="I159" s="185"/>
      <c r="J159" s="185"/>
      <c r="K159" s="185"/>
      <c r="L159" s="184"/>
      <c r="M159" s="184">
        <f>Sheet1!AI170</f>
        <v>1818</v>
      </c>
      <c r="N159" s="184"/>
      <c r="O159" s="184"/>
      <c r="P159" s="184"/>
      <c r="Q159" s="184"/>
      <c r="R159" s="184">
        <f>Sheet1!P170</f>
        <v>2264</v>
      </c>
      <c r="S159" s="186"/>
      <c r="T159" s="184"/>
      <c r="U159" s="184"/>
      <c r="V159" s="184"/>
      <c r="W159" s="184"/>
      <c r="X159" s="184">
        <f>Sheet1!AS170</f>
        <v>204</v>
      </c>
      <c r="Y159" s="184">
        <f>Sheet1!AT170</f>
        <v>0.112</v>
      </c>
      <c r="Z159" s="184"/>
      <c r="AA159" s="184"/>
      <c r="AB159" s="184"/>
      <c r="AC159" s="186"/>
      <c r="AD159" s="184"/>
      <c r="AE159" s="184"/>
      <c r="AF159" s="184"/>
      <c r="AG159" s="186"/>
      <c r="AH159" s="184"/>
      <c r="AI159" s="187"/>
      <c r="AJ159" s="191"/>
      <c r="AK159" s="191"/>
      <c r="AL159" s="191"/>
      <c r="AM159" s="191"/>
    </row>
    <row r="160" spans="2:39" x14ac:dyDescent="0.25">
      <c r="B160" s="193" t="str">
        <f>Sheet1!A171</f>
        <v>4110</v>
      </c>
      <c r="C160" s="183" t="str">
        <f>Sheet1!C171</f>
        <v>MONDON HILL RD</v>
      </c>
      <c r="D160" s="183" t="str">
        <f>Sheet1!D171</f>
        <v>JASMINE DR</v>
      </c>
      <c r="E160" s="183" t="str">
        <f>Sheet1!E171</f>
        <v>MCINTYRE RD</v>
      </c>
      <c r="F160" s="184" t="str">
        <f>Sheet1!F171</f>
        <v>2U</v>
      </c>
      <c r="G160" s="184" t="str">
        <f>Sheet1!H171</f>
        <v>2U</v>
      </c>
      <c r="H160" s="185" t="str">
        <f>Sheet1!Z171</f>
        <v>D</v>
      </c>
      <c r="I160" s="185"/>
      <c r="J160" s="185"/>
      <c r="K160" s="185"/>
      <c r="L160" s="184"/>
      <c r="M160" s="184">
        <f>Sheet1!AI171</f>
        <v>1818</v>
      </c>
      <c r="N160" s="184"/>
      <c r="O160" s="184"/>
      <c r="P160" s="184"/>
      <c r="Q160" s="184"/>
      <c r="R160" s="184">
        <f>Sheet1!P171</f>
        <v>2264</v>
      </c>
      <c r="S160" s="186"/>
      <c r="T160" s="184"/>
      <c r="U160" s="184"/>
      <c r="V160" s="184"/>
      <c r="W160" s="184"/>
      <c r="X160" s="184">
        <f>Sheet1!AS171</f>
        <v>204</v>
      </c>
      <c r="Y160" s="184">
        <f>Sheet1!AT171</f>
        <v>0.112</v>
      </c>
      <c r="Z160" s="184"/>
      <c r="AA160" s="184"/>
      <c r="AB160" s="184"/>
      <c r="AC160" s="186"/>
      <c r="AD160" s="184"/>
      <c r="AE160" s="184"/>
      <c r="AF160" s="184"/>
      <c r="AG160" s="186"/>
      <c r="AH160" s="184"/>
      <c r="AI160" s="187"/>
      <c r="AJ160" s="191"/>
      <c r="AK160" s="191"/>
      <c r="AL160" s="191"/>
      <c r="AM160" s="191"/>
    </row>
    <row r="161" spans="2:39" x14ac:dyDescent="0.25">
      <c r="B161" s="193" t="str">
        <f>Sheet1!A172</f>
        <v>4115</v>
      </c>
      <c r="C161" s="183" t="str">
        <f>Sheet1!C172</f>
        <v>MONDON HILL RD</v>
      </c>
      <c r="D161" s="183" t="str">
        <f>Sheet1!D172</f>
        <v>MCINTYRE RD</v>
      </c>
      <c r="E161" s="183" t="str">
        <f>Sheet1!E172</f>
        <v>WEATHERLY RD</v>
      </c>
      <c r="F161" s="184" t="str">
        <f>Sheet1!F172</f>
        <v>2U</v>
      </c>
      <c r="G161" s="184" t="str">
        <f>Sheet1!H172</f>
        <v>2U</v>
      </c>
      <c r="H161" s="185" t="str">
        <f>Sheet1!Z172</f>
        <v>D</v>
      </c>
      <c r="I161" s="185"/>
      <c r="J161" s="185"/>
      <c r="K161" s="185"/>
      <c r="L161" s="184"/>
      <c r="M161" s="184">
        <f>Sheet1!AI172</f>
        <v>1818</v>
      </c>
      <c r="N161" s="184"/>
      <c r="O161" s="184"/>
      <c r="P161" s="184"/>
      <c r="Q161" s="184"/>
      <c r="R161" s="184">
        <f>Sheet1!P172</f>
        <v>2264</v>
      </c>
      <c r="S161" s="186"/>
      <c r="T161" s="184"/>
      <c r="U161" s="184"/>
      <c r="V161" s="184"/>
      <c r="W161" s="184"/>
      <c r="X161" s="184">
        <f>Sheet1!AS172</f>
        <v>204</v>
      </c>
      <c r="Y161" s="184">
        <f>Sheet1!AT172</f>
        <v>0.112</v>
      </c>
      <c r="Z161" s="184"/>
      <c r="AA161" s="184"/>
      <c r="AB161" s="184"/>
      <c r="AC161" s="186"/>
      <c r="AD161" s="184"/>
      <c r="AE161" s="184"/>
      <c r="AF161" s="184"/>
      <c r="AG161" s="186"/>
      <c r="AH161" s="184"/>
      <c r="AI161" s="187"/>
      <c r="AJ161" s="191"/>
      <c r="AK161" s="191"/>
      <c r="AL161" s="191"/>
      <c r="AM161" s="191"/>
    </row>
    <row r="162" spans="2:39" x14ac:dyDescent="0.25">
      <c r="B162" s="193" t="str">
        <f>Sheet1!A173</f>
        <v>4117</v>
      </c>
      <c r="C162" s="183" t="str">
        <f>Sheet1!C173</f>
        <v>MONDON HILL RD</v>
      </c>
      <c r="D162" s="183" t="str">
        <f>Sheet1!D173</f>
        <v>WEATHERLY RD</v>
      </c>
      <c r="E162" s="183" t="str">
        <f>Sheet1!E173</f>
        <v>SOULT RD</v>
      </c>
      <c r="F162" s="184" t="str">
        <f>Sheet1!F173</f>
        <v>2U</v>
      </c>
      <c r="G162" s="184" t="str">
        <f>Sheet1!H173</f>
        <v>6D</v>
      </c>
      <c r="H162" s="185" t="str">
        <f>Sheet1!Z173</f>
        <v>D</v>
      </c>
      <c r="I162" s="185"/>
      <c r="J162" s="185"/>
      <c r="K162" s="185"/>
      <c r="L162" s="184"/>
      <c r="M162" s="184">
        <f>Sheet1!AI173</f>
        <v>1818</v>
      </c>
      <c r="N162" s="184"/>
      <c r="O162" s="184"/>
      <c r="P162" s="184"/>
      <c r="Q162" s="184"/>
      <c r="R162" s="184">
        <f>Sheet1!P173</f>
        <v>2264</v>
      </c>
      <c r="S162" s="186"/>
      <c r="T162" s="184"/>
      <c r="U162" s="184"/>
      <c r="V162" s="184"/>
      <c r="W162" s="184"/>
      <c r="X162" s="184">
        <f>Sheet1!AS173</f>
        <v>204</v>
      </c>
      <c r="Y162" s="184">
        <f>Sheet1!AT173</f>
        <v>0.112</v>
      </c>
      <c r="Z162" s="184"/>
      <c r="AA162" s="184"/>
      <c r="AB162" s="184"/>
      <c r="AC162" s="186"/>
      <c r="AD162" s="184"/>
      <c r="AE162" s="184"/>
      <c r="AF162" s="184"/>
      <c r="AG162" s="186"/>
      <c r="AH162" s="184"/>
      <c r="AI162" s="187"/>
      <c r="AJ162" s="191"/>
      <c r="AK162" s="191"/>
      <c r="AL162" s="191"/>
      <c r="AM162" s="191"/>
    </row>
    <row r="163" spans="2:39" x14ac:dyDescent="0.25">
      <c r="B163" s="193" t="str">
        <f>Sheet1!A174</f>
        <v>4120</v>
      </c>
      <c r="C163" s="183" t="str">
        <f>Sheet1!C174</f>
        <v>MONDON HILL RD</v>
      </c>
      <c r="D163" s="183" t="str">
        <f>Sheet1!D174</f>
        <v>SOULT RD</v>
      </c>
      <c r="E163" s="183" t="str">
        <f>Sheet1!E174</f>
        <v>CORTEZ BLVD (SR50)</v>
      </c>
      <c r="F163" s="184" t="str">
        <f>Sheet1!F174</f>
        <v>2U</v>
      </c>
      <c r="G163" s="184" t="str">
        <f>Sheet1!H174</f>
        <v>2U</v>
      </c>
      <c r="H163" s="185" t="str">
        <f>Sheet1!Z174</f>
        <v>D</v>
      </c>
      <c r="I163" s="185"/>
      <c r="J163" s="185"/>
      <c r="K163" s="185"/>
      <c r="L163" s="184"/>
      <c r="M163" s="184">
        <f>Sheet1!AI174</f>
        <v>0</v>
      </c>
      <c r="N163" s="184"/>
      <c r="O163" s="184"/>
      <c r="P163" s="184"/>
      <c r="Q163" s="184"/>
      <c r="R163" s="184">
        <f>Sheet1!P174</f>
        <v>25264</v>
      </c>
      <c r="S163" s="186"/>
      <c r="T163" s="184"/>
      <c r="U163" s="184"/>
      <c r="V163" s="184"/>
      <c r="W163" s="184"/>
      <c r="X163" s="184">
        <f>Sheet1!AS174</f>
        <v>0</v>
      </c>
      <c r="Y163" s="184">
        <f>Sheet1!AT174</f>
        <v>0</v>
      </c>
      <c r="Z163" s="184"/>
      <c r="AA163" s="184"/>
      <c r="AB163" s="184"/>
      <c r="AC163" s="186"/>
      <c r="AD163" s="184"/>
      <c r="AE163" s="184"/>
      <c r="AF163" s="184"/>
      <c r="AG163" s="186"/>
      <c r="AH163" s="184"/>
      <c r="AI163" s="187"/>
      <c r="AJ163" s="191"/>
      <c r="AK163" s="191"/>
      <c r="AL163" s="191"/>
      <c r="AM163" s="191"/>
    </row>
    <row r="164" spans="2:39" x14ac:dyDescent="0.25">
      <c r="B164" s="193" t="str">
        <f>Sheet1!A175</f>
        <v>10360</v>
      </c>
      <c r="C164" s="183" t="str">
        <f>Sheet1!C175</f>
        <v>COBB RD (US98)</v>
      </c>
      <c r="D164" s="183" t="str">
        <f>Sheet1!D175</f>
        <v>CORTEZ BLVD (SR50)</v>
      </c>
      <c r="E164" s="183" t="str">
        <f>Sheet1!E175</f>
        <v>FORT DADE AVE</v>
      </c>
      <c r="F164" s="184" t="str">
        <f>Sheet1!F175</f>
        <v>2U</v>
      </c>
      <c r="G164" s="184" t="str">
        <f>Sheet1!H175</f>
        <v>2U</v>
      </c>
      <c r="H164" s="185" t="str">
        <f>Sheet1!Z175</f>
        <v>D</v>
      </c>
      <c r="I164" s="185"/>
      <c r="J164" s="185"/>
      <c r="K164" s="185"/>
      <c r="L164" s="184"/>
      <c r="M164" s="184">
        <f>Sheet1!AI175</f>
        <v>0</v>
      </c>
      <c r="N164" s="184"/>
      <c r="O164" s="184"/>
      <c r="P164" s="184"/>
      <c r="Q164" s="184"/>
      <c r="R164" s="184">
        <f>Sheet1!P175</f>
        <v>10617</v>
      </c>
      <c r="S164" s="186"/>
      <c r="T164" s="184"/>
      <c r="U164" s="184"/>
      <c r="V164" s="184"/>
      <c r="W164" s="184"/>
      <c r="X164" s="184">
        <f>Sheet1!AS175</f>
        <v>0</v>
      </c>
      <c r="Y164" s="184">
        <f>Sheet1!AT175</f>
        <v>0</v>
      </c>
      <c r="Z164" s="184"/>
      <c r="AA164" s="184"/>
      <c r="AB164" s="184"/>
      <c r="AC164" s="186"/>
      <c r="AD164" s="184"/>
      <c r="AE164" s="184"/>
      <c r="AF164" s="184"/>
      <c r="AG164" s="186"/>
      <c r="AH164" s="184"/>
      <c r="AI164" s="187"/>
      <c r="AJ164" s="191"/>
      <c r="AK164" s="191"/>
      <c r="AL164" s="191"/>
      <c r="AM164" s="191"/>
    </row>
    <row r="165" spans="2:39" x14ac:dyDescent="0.25">
      <c r="B165" s="193" t="str">
        <f>Sheet1!A176</f>
        <v>10370</v>
      </c>
      <c r="C165" s="183" t="str">
        <f>Sheet1!C176</f>
        <v>COBB RD (US98)</v>
      </c>
      <c r="D165" s="183" t="str">
        <f>Sheet1!D176</f>
        <v>FORT DADE AVE</v>
      </c>
      <c r="E165" s="183" t="str">
        <f>Sheet1!E176</f>
        <v>YONTZ RD</v>
      </c>
      <c r="F165" s="184" t="str">
        <f>Sheet1!F176</f>
        <v>2U</v>
      </c>
      <c r="G165" s="184" t="str">
        <f>Sheet1!H176</f>
        <v>2U</v>
      </c>
      <c r="H165" s="185" t="str">
        <f>Sheet1!Z176</f>
        <v>D</v>
      </c>
      <c r="I165" s="185"/>
      <c r="J165" s="185"/>
      <c r="K165" s="185"/>
      <c r="L165" s="184"/>
      <c r="M165" s="184">
        <f>Sheet1!AI176</f>
        <v>1962</v>
      </c>
      <c r="N165" s="184"/>
      <c r="O165" s="184"/>
      <c r="P165" s="184"/>
      <c r="Q165" s="184"/>
      <c r="R165" s="184">
        <f>Sheet1!P176</f>
        <v>6212</v>
      </c>
      <c r="S165" s="186"/>
      <c r="T165" s="184"/>
      <c r="U165" s="184"/>
      <c r="V165" s="184"/>
      <c r="W165" s="184"/>
      <c r="X165" s="184">
        <f>Sheet1!AS176</f>
        <v>559</v>
      </c>
      <c r="Y165" s="184">
        <f>Sheet1!AT176</f>
        <v>0.28499999999999998</v>
      </c>
      <c r="Z165" s="184"/>
      <c r="AA165" s="184"/>
      <c r="AB165" s="184"/>
      <c r="AC165" s="186"/>
      <c r="AD165" s="184"/>
      <c r="AE165" s="184"/>
      <c r="AF165" s="184"/>
      <c r="AG165" s="186"/>
      <c r="AH165" s="184"/>
      <c r="AI165" s="187"/>
      <c r="AJ165" s="191"/>
      <c r="AK165" s="191"/>
      <c r="AL165" s="191"/>
      <c r="AM165" s="191"/>
    </row>
    <row r="166" spans="2:39" x14ac:dyDescent="0.25">
      <c r="B166" s="193" t="str">
        <f>Sheet1!A177</f>
        <v>10380</v>
      </c>
      <c r="C166" s="183" t="str">
        <f>Sheet1!C177</f>
        <v>COBB RD (US98)</v>
      </c>
      <c r="D166" s="183" t="str">
        <f>Sheet1!D177</f>
        <v>YONTZ RD</v>
      </c>
      <c r="E166" s="183" t="str">
        <f>Sheet1!E177</f>
        <v>PONCE DE LEON BLVD (US98/SR700)</v>
      </c>
      <c r="F166" s="184" t="str">
        <f>Sheet1!F177</f>
        <v>2U</v>
      </c>
      <c r="G166" s="184" t="str">
        <f>Sheet1!H177</f>
        <v>2U</v>
      </c>
      <c r="H166" s="185" t="str">
        <f>Sheet1!Z177</f>
        <v>D</v>
      </c>
      <c r="I166" s="185"/>
      <c r="J166" s="185"/>
      <c r="K166" s="185"/>
      <c r="L166" s="184"/>
      <c r="M166" s="184">
        <f>Sheet1!AI177</f>
        <v>1962</v>
      </c>
      <c r="N166" s="184"/>
      <c r="O166" s="184"/>
      <c r="P166" s="184"/>
      <c r="Q166" s="184"/>
      <c r="R166" s="184">
        <f>Sheet1!P177</f>
        <v>2835</v>
      </c>
      <c r="S166" s="186"/>
      <c r="T166" s="184"/>
      <c r="U166" s="184"/>
      <c r="V166" s="184"/>
      <c r="W166" s="184"/>
      <c r="X166" s="184">
        <f>Sheet1!AS177</f>
        <v>255</v>
      </c>
      <c r="Y166" s="184">
        <f>Sheet1!AT177</f>
        <v>0.13</v>
      </c>
      <c r="Z166" s="184"/>
      <c r="AA166" s="184"/>
      <c r="AB166" s="184"/>
      <c r="AC166" s="186"/>
      <c r="AD166" s="184"/>
      <c r="AE166" s="184"/>
      <c r="AF166" s="184"/>
      <c r="AG166" s="186"/>
      <c r="AH166" s="184"/>
      <c r="AI166" s="187"/>
      <c r="AJ166" s="191"/>
      <c r="AK166" s="191"/>
      <c r="AL166" s="191"/>
      <c r="AM166" s="191"/>
    </row>
    <row r="167" spans="2:39" x14ac:dyDescent="0.25">
      <c r="B167" s="193" t="str">
        <f>Sheet1!A178</f>
        <v>10320</v>
      </c>
      <c r="C167" s="183" t="str">
        <f>Sheet1!C178</f>
        <v>CITRUS WAY</v>
      </c>
      <c r="D167" s="183" t="str">
        <f>Sheet1!D178</f>
        <v>FORT DADE AVE</v>
      </c>
      <c r="E167" s="183" t="str">
        <f>Sheet1!E178</f>
        <v>CENTRALIA RD</v>
      </c>
      <c r="F167" s="184" t="str">
        <f>Sheet1!F178</f>
        <v>2U</v>
      </c>
      <c r="G167" s="184" t="str">
        <f>Sheet1!H178</f>
        <v>2U</v>
      </c>
      <c r="H167" s="185" t="str">
        <f>Sheet1!Z178</f>
        <v>D</v>
      </c>
      <c r="I167" s="185"/>
      <c r="J167" s="185"/>
      <c r="K167" s="185"/>
      <c r="L167" s="184"/>
      <c r="M167" s="184">
        <f>Sheet1!AI178</f>
        <v>1899</v>
      </c>
      <c r="N167" s="184"/>
      <c r="O167" s="184"/>
      <c r="P167" s="184"/>
      <c r="Q167" s="184"/>
      <c r="R167" s="184">
        <f>Sheet1!P178</f>
        <v>1456</v>
      </c>
      <c r="S167" s="186"/>
      <c r="T167" s="184"/>
      <c r="U167" s="184"/>
      <c r="V167" s="184"/>
      <c r="W167" s="184"/>
      <c r="X167" s="184">
        <f>Sheet1!AS178</f>
        <v>131</v>
      </c>
      <c r="Y167" s="184">
        <f>Sheet1!AT178</f>
        <v>6.9000000000000006E-2</v>
      </c>
      <c r="Z167" s="184"/>
      <c r="AA167" s="184"/>
      <c r="AB167" s="184"/>
      <c r="AC167" s="186"/>
      <c r="AD167" s="184"/>
      <c r="AE167" s="184"/>
      <c r="AF167" s="184"/>
      <c r="AG167" s="186"/>
      <c r="AH167" s="184"/>
      <c r="AI167" s="187"/>
      <c r="AJ167" s="191"/>
      <c r="AK167" s="191"/>
      <c r="AL167" s="191"/>
      <c r="AM167" s="191"/>
    </row>
    <row r="168" spans="2:39" x14ac:dyDescent="0.25">
      <c r="B168" s="193" t="str">
        <f>Sheet1!A179</f>
        <v>10330</v>
      </c>
      <c r="C168" s="183" t="str">
        <f>Sheet1!C179</f>
        <v>CITRUS WAY</v>
      </c>
      <c r="D168" s="183" t="str">
        <f>Sheet1!D179</f>
        <v>CENTRALIA RD</v>
      </c>
      <c r="E168" s="183" t="str">
        <f>Sheet1!E179</f>
        <v>LAKE LINDSEY RD</v>
      </c>
      <c r="F168" s="184" t="str">
        <f>Sheet1!F179</f>
        <v>2U</v>
      </c>
      <c r="G168" s="184" t="str">
        <f>Sheet1!H179</f>
        <v>2U</v>
      </c>
      <c r="H168" s="185" t="str">
        <f>Sheet1!Z179</f>
        <v>D</v>
      </c>
      <c r="I168" s="185"/>
      <c r="J168" s="185"/>
      <c r="K168" s="185"/>
      <c r="L168" s="184"/>
      <c r="M168" s="184">
        <f>Sheet1!AI179</f>
        <v>1818</v>
      </c>
      <c r="N168" s="184"/>
      <c r="O168" s="184"/>
      <c r="P168" s="184"/>
      <c r="Q168" s="184"/>
      <c r="R168" s="184">
        <f>Sheet1!P179</f>
        <v>1456</v>
      </c>
      <c r="S168" s="186"/>
      <c r="T168" s="184"/>
      <c r="U168" s="184"/>
      <c r="V168" s="184"/>
      <c r="W168" s="184"/>
      <c r="X168" s="184">
        <f>Sheet1!AS179</f>
        <v>131</v>
      </c>
      <c r="Y168" s="184">
        <f>Sheet1!AT179</f>
        <v>7.1999999999999995E-2</v>
      </c>
      <c r="Z168" s="184"/>
      <c r="AA168" s="184"/>
      <c r="AB168" s="184"/>
      <c r="AC168" s="186"/>
      <c r="AD168" s="184"/>
      <c r="AE168" s="184"/>
      <c r="AF168" s="184"/>
      <c r="AG168" s="186"/>
      <c r="AH168" s="184"/>
      <c r="AI168" s="187"/>
      <c r="AJ168" s="191"/>
      <c r="AK168" s="191"/>
      <c r="AL168" s="191"/>
      <c r="AM168" s="191"/>
    </row>
    <row r="169" spans="2:39" x14ac:dyDescent="0.25">
      <c r="B169" s="193" t="str">
        <f>Sheet1!A180</f>
        <v>10340</v>
      </c>
      <c r="C169" s="183" t="str">
        <f>Sheet1!C180</f>
        <v>CITRUS WAY</v>
      </c>
      <c r="D169" s="183" t="str">
        <f>Sheet1!D180</f>
        <v>LAKE LINDSEY RD</v>
      </c>
      <c r="E169" s="183" t="str">
        <f>Sheet1!E180</f>
        <v>PONCE DE LEON BLVD (US98/SR700)</v>
      </c>
      <c r="F169" s="184" t="str">
        <f>Sheet1!F180</f>
        <v>2U</v>
      </c>
      <c r="G169" s="184" t="str">
        <f>Sheet1!H180</f>
        <v>4D</v>
      </c>
      <c r="H169" s="185" t="str">
        <f>Sheet1!Z180</f>
        <v>D</v>
      </c>
      <c r="I169" s="185"/>
      <c r="J169" s="185"/>
      <c r="K169" s="185"/>
      <c r="L169" s="184"/>
      <c r="M169" s="184">
        <f>Sheet1!AI180</f>
        <v>1818</v>
      </c>
      <c r="N169" s="184"/>
      <c r="O169" s="184"/>
      <c r="P169" s="184"/>
      <c r="Q169" s="184"/>
      <c r="R169" s="184">
        <f>Sheet1!P180</f>
        <v>1456</v>
      </c>
      <c r="S169" s="186"/>
      <c r="T169" s="184"/>
      <c r="U169" s="184"/>
      <c r="V169" s="184"/>
      <c r="W169" s="184"/>
      <c r="X169" s="184">
        <f>Sheet1!AS180</f>
        <v>131</v>
      </c>
      <c r="Y169" s="184">
        <f>Sheet1!AT180</f>
        <v>7.1999999999999995E-2</v>
      </c>
      <c r="Z169" s="184"/>
      <c r="AA169" s="184"/>
      <c r="AB169" s="184"/>
      <c r="AC169" s="186"/>
      <c r="AD169" s="184"/>
      <c r="AE169" s="184"/>
      <c r="AF169" s="184"/>
      <c r="AG169" s="186"/>
      <c r="AH169" s="184"/>
      <c r="AI169" s="187"/>
      <c r="AJ169" s="191"/>
      <c r="AK169" s="191"/>
      <c r="AL169" s="191"/>
      <c r="AM169" s="191"/>
    </row>
    <row r="170" spans="2:39" x14ac:dyDescent="0.25">
      <c r="B170" s="193" t="str">
        <f>Sheet1!A181</f>
        <v>10350</v>
      </c>
      <c r="C170" s="183" t="str">
        <f>Sheet1!C181</f>
        <v>CITRUS WAY</v>
      </c>
      <c r="D170" s="183" t="str">
        <f>Sheet1!D181</f>
        <v>PONCE DE LEON BLVD (US98/SR700)</v>
      </c>
      <c r="E170" s="183" t="str">
        <f>Sheet1!E181</f>
        <v>CITRUS COUNTY LINE</v>
      </c>
      <c r="F170" s="184" t="str">
        <f>Sheet1!F181</f>
        <v>2U</v>
      </c>
      <c r="G170" s="184" t="str">
        <f>Sheet1!H181</f>
        <v>4D</v>
      </c>
      <c r="H170" s="185" t="str">
        <f>Sheet1!Z181</f>
        <v>D</v>
      </c>
      <c r="I170" s="185"/>
      <c r="J170" s="185"/>
      <c r="K170" s="185"/>
      <c r="L170" s="184"/>
      <c r="M170" s="184">
        <f>Sheet1!AI181</f>
        <v>1197</v>
      </c>
      <c r="N170" s="184"/>
      <c r="O170" s="184"/>
      <c r="P170" s="184"/>
      <c r="Q170" s="184"/>
      <c r="R170" s="184">
        <f>Sheet1!P181</f>
        <v>5133</v>
      </c>
      <c r="S170" s="186"/>
      <c r="T170" s="184"/>
      <c r="U170" s="184"/>
      <c r="V170" s="184"/>
      <c r="W170" s="184"/>
      <c r="X170" s="184">
        <f>Sheet1!AS181</f>
        <v>462</v>
      </c>
      <c r="Y170" s="184">
        <f>Sheet1!AT181</f>
        <v>0.38600000000000001</v>
      </c>
      <c r="Z170" s="184"/>
      <c r="AA170" s="184"/>
      <c r="AB170" s="184"/>
      <c r="AC170" s="186"/>
      <c r="AD170" s="184"/>
      <c r="AE170" s="184"/>
      <c r="AF170" s="184"/>
      <c r="AG170" s="186"/>
      <c r="AH170" s="184"/>
      <c r="AI170" s="187"/>
      <c r="AJ170" s="191"/>
      <c r="AK170" s="191"/>
      <c r="AL170" s="191"/>
      <c r="AM170" s="191"/>
    </row>
    <row r="171" spans="2:39" x14ac:dyDescent="0.25">
      <c r="B171" s="193" t="str">
        <f>Sheet1!A182</f>
        <v>11160</v>
      </c>
      <c r="C171" s="183" t="str">
        <f>Sheet1!C182</f>
        <v>SUNSHINE GROVE RD</v>
      </c>
      <c r="D171" s="183" t="str">
        <f>Sheet1!D182</f>
        <v>CORTEZ BLVD (SR50)</v>
      </c>
      <c r="E171" s="183" t="str">
        <f>Sheet1!E182</f>
        <v>HARRISON ST</v>
      </c>
      <c r="F171" s="184" t="str">
        <f>Sheet1!F182</f>
        <v>4D</v>
      </c>
      <c r="G171" s="184" t="str">
        <f>Sheet1!H182</f>
        <v>2U</v>
      </c>
      <c r="H171" s="185" t="str">
        <f>Sheet1!Z182</f>
        <v>D</v>
      </c>
      <c r="I171" s="185"/>
      <c r="J171" s="185"/>
      <c r="K171" s="185"/>
      <c r="L171" s="184"/>
      <c r="M171" s="184">
        <f>Sheet1!AI182</f>
        <v>2331</v>
      </c>
      <c r="N171" s="184"/>
      <c r="O171" s="184"/>
      <c r="P171" s="184"/>
      <c r="Q171" s="184"/>
      <c r="R171" s="184">
        <f>Sheet1!P182</f>
        <v>11171</v>
      </c>
      <c r="S171" s="186"/>
      <c r="T171" s="184"/>
      <c r="U171" s="184"/>
      <c r="V171" s="184"/>
      <c r="W171" s="184"/>
      <c r="X171" s="184">
        <f>Sheet1!AS182</f>
        <v>1005</v>
      </c>
      <c r="Y171" s="184">
        <f>Sheet1!AT182</f>
        <v>0.43099999999999999</v>
      </c>
      <c r="Z171" s="184"/>
      <c r="AA171" s="184"/>
      <c r="AB171" s="184"/>
      <c r="AC171" s="186"/>
      <c r="AD171" s="184"/>
      <c r="AE171" s="184"/>
      <c r="AF171" s="184"/>
      <c r="AG171" s="186"/>
      <c r="AH171" s="184"/>
      <c r="AI171" s="187"/>
      <c r="AJ171" s="191"/>
      <c r="AK171" s="191"/>
      <c r="AL171" s="191"/>
      <c r="AM171" s="191"/>
    </row>
    <row r="172" spans="2:39" x14ac:dyDescent="0.25">
      <c r="B172" s="193" t="str">
        <f>Sheet1!A183</f>
        <v>11170.1</v>
      </c>
      <c r="C172" s="183" t="str">
        <f>Sheet1!C183</f>
        <v>SUNSHINE GROVE RD</v>
      </c>
      <c r="D172" s="183" t="str">
        <f>Sheet1!D183</f>
        <v>HARRISON ST</v>
      </c>
      <c r="E172" s="183" t="str">
        <f>Sheet1!E183</f>
        <v>KEN AUSTIN PKWY</v>
      </c>
      <c r="F172" s="184" t="str">
        <f>Sheet1!F183</f>
        <v>4D</v>
      </c>
      <c r="G172" s="184" t="str">
        <f>Sheet1!H183</f>
        <v>4D</v>
      </c>
      <c r="H172" s="185" t="str">
        <f>Sheet1!Z183</f>
        <v>D</v>
      </c>
      <c r="I172" s="185"/>
      <c r="J172" s="185"/>
      <c r="K172" s="185"/>
      <c r="L172" s="184"/>
      <c r="M172" s="184">
        <f>Sheet1!AI183</f>
        <v>5103</v>
      </c>
      <c r="N172" s="184"/>
      <c r="O172" s="184"/>
      <c r="P172" s="184"/>
      <c r="Q172" s="184"/>
      <c r="R172" s="184">
        <f>Sheet1!P183</f>
        <v>11799</v>
      </c>
      <c r="S172" s="186"/>
      <c r="T172" s="184"/>
      <c r="U172" s="184"/>
      <c r="V172" s="184"/>
      <c r="W172" s="184"/>
      <c r="X172" s="184">
        <f>Sheet1!AS183</f>
        <v>1062</v>
      </c>
      <c r="Y172" s="184">
        <f>Sheet1!AT183</f>
        <v>0.20799999999999999</v>
      </c>
      <c r="Z172" s="184"/>
      <c r="AA172" s="184"/>
      <c r="AB172" s="184"/>
      <c r="AC172" s="186"/>
      <c r="AD172" s="184"/>
      <c r="AE172" s="184"/>
      <c r="AF172" s="184"/>
      <c r="AG172" s="186"/>
      <c r="AH172" s="184"/>
      <c r="AI172" s="187"/>
      <c r="AJ172" s="191"/>
      <c r="AK172" s="191"/>
      <c r="AL172" s="191"/>
      <c r="AM172" s="191"/>
    </row>
    <row r="173" spans="2:39" x14ac:dyDescent="0.25">
      <c r="B173" s="193" t="str">
        <f>Sheet1!A184</f>
        <v>11170.2</v>
      </c>
      <c r="C173" s="183" t="str">
        <f>Sheet1!C184</f>
        <v>SUNSHINE GROVE RD</v>
      </c>
      <c r="D173" s="183" t="str">
        <f>Sheet1!D184</f>
        <v>KEN AUSTIN PKWY</v>
      </c>
      <c r="E173" s="183" t="str">
        <f>Sheet1!E184</f>
        <v>HEXAM RD</v>
      </c>
      <c r="F173" s="184" t="str">
        <f>Sheet1!F184</f>
        <v>2U</v>
      </c>
      <c r="G173" s="184" t="str">
        <f>Sheet1!H184</f>
        <v>2U</v>
      </c>
      <c r="H173" s="185" t="str">
        <f>Sheet1!Z184</f>
        <v>D</v>
      </c>
      <c r="I173" s="185"/>
      <c r="J173" s="185"/>
      <c r="K173" s="185"/>
      <c r="L173" s="184"/>
      <c r="M173" s="184">
        <f>Sheet1!AI184</f>
        <v>1899</v>
      </c>
      <c r="N173" s="184"/>
      <c r="O173" s="184"/>
      <c r="P173" s="184"/>
      <c r="Q173" s="184"/>
      <c r="R173" s="184">
        <f>Sheet1!P184</f>
        <v>11799</v>
      </c>
      <c r="S173" s="186"/>
      <c r="T173" s="184"/>
      <c r="U173" s="184"/>
      <c r="V173" s="184"/>
      <c r="W173" s="184"/>
      <c r="X173" s="184">
        <f>Sheet1!AS184</f>
        <v>1062</v>
      </c>
      <c r="Y173" s="184">
        <f>Sheet1!AT184</f>
        <v>0.55900000000000005</v>
      </c>
      <c r="Z173" s="184"/>
      <c r="AA173" s="184"/>
      <c r="AB173" s="184"/>
      <c r="AC173" s="186"/>
      <c r="AD173" s="184"/>
      <c r="AE173" s="184"/>
      <c r="AF173" s="184"/>
      <c r="AG173" s="186"/>
      <c r="AH173" s="184"/>
      <c r="AI173" s="187"/>
      <c r="AJ173" s="191"/>
      <c r="AK173" s="191"/>
      <c r="AL173" s="191"/>
      <c r="AM173" s="191"/>
    </row>
    <row r="174" spans="2:39" x14ac:dyDescent="0.25">
      <c r="B174" s="193" t="str">
        <f>Sheet1!A185</f>
        <v>3110.6</v>
      </c>
      <c r="C174" s="183" t="str">
        <f>Sheet1!C185</f>
        <v>HEXAM RD</v>
      </c>
      <c r="D174" s="183" t="str">
        <f>Sheet1!D185</f>
        <v>SUNSHINE GROVE RD</v>
      </c>
      <c r="E174" s="183" t="str">
        <f>Sheet1!E185</f>
        <v>SUNSHINE GROVE RD (N)</v>
      </c>
      <c r="F174" s="184" t="str">
        <f>Sheet1!F185</f>
        <v>2U</v>
      </c>
      <c r="G174" s="184" t="str">
        <f>Sheet1!H185</f>
        <v>2U</v>
      </c>
      <c r="H174" s="185" t="str">
        <f>Sheet1!Z185</f>
        <v>D</v>
      </c>
      <c r="I174" s="185"/>
      <c r="J174" s="185"/>
      <c r="K174" s="185"/>
      <c r="L174" s="184"/>
      <c r="M174" s="184">
        <f>Sheet1!AI185</f>
        <v>4617</v>
      </c>
      <c r="N174" s="184"/>
      <c r="O174" s="184"/>
      <c r="P174" s="184"/>
      <c r="Q174" s="184"/>
      <c r="R174" s="184">
        <f>Sheet1!P185</f>
        <v>6819</v>
      </c>
      <c r="S174" s="186"/>
      <c r="T174" s="184"/>
      <c r="U174" s="184"/>
      <c r="V174" s="184"/>
      <c r="W174" s="184"/>
      <c r="X174" s="184">
        <f>Sheet1!AS185</f>
        <v>614</v>
      </c>
      <c r="Y174" s="184">
        <f>Sheet1!AT185</f>
        <v>0.13300000000000001</v>
      </c>
      <c r="Z174" s="184"/>
      <c r="AA174" s="184"/>
      <c r="AB174" s="184"/>
      <c r="AC174" s="186"/>
      <c r="AD174" s="184"/>
      <c r="AE174" s="184"/>
      <c r="AF174" s="184"/>
      <c r="AG174" s="186"/>
      <c r="AH174" s="184"/>
      <c r="AI174" s="187"/>
      <c r="AJ174" s="191"/>
      <c r="AK174" s="191"/>
      <c r="AL174" s="191"/>
      <c r="AM174" s="191"/>
    </row>
    <row r="175" spans="2:39" x14ac:dyDescent="0.25">
      <c r="B175" s="193" t="str">
        <f>Sheet1!A186</f>
        <v>3110.7</v>
      </c>
      <c r="C175" s="183" t="str">
        <f>Sheet1!C186</f>
        <v>HEXAM RD</v>
      </c>
      <c r="D175" s="183" t="str">
        <f>Sheet1!D186</f>
        <v>SUNSHINE GROVE RD (N)</v>
      </c>
      <c r="E175" s="183" t="str">
        <f>Sheet1!E186</f>
        <v>US19 (SR55)</v>
      </c>
      <c r="F175" s="184" t="str">
        <f>Sheet1!F186</f>
        <v>2U</v>
      </c>
      <c r="G175" s="184" t="str">
        <f>Sheet1!H186</f>
        <v>2U</v>
      </c>
      <c r="H175" s="185" t="str">
        <f>Sheet1!Z186</f>
        <v>D</v>
      </c>
      <c r="I175" s="185"/>
      <c r="J175" s="185"/>
      <c r="K175" s="185"/>
      <c r="L175" s="184"/>
      <c r="M175" s="184">
        <f>Sheet1!AI186</f>
        <v>1962</v>
      </c>
      <c r="N175" s="184"/>
      <c r="O175" s="184"/>
      <c r="P175" s="184"/>
      <c r="Q175" s="184"/>
      <c r="R175" s="184">
        <f>Sheet1!P186</f>
        <v>6819</v>
      </c>
      <c r="S175" s="186"/>
      <c r="T175" s="184"/>
      <c r="U175" s="184"/>
      <c r="V175" s="184"/>
      <c r="W175" s="184"/>
      <c r="X175" s="184">
        <f>Sheet1!AS186</f>
        <v>614</v>
      </c>
      <c r="Y175" s="184">
        <f>Sheet1!AT186</f>
        <v>0.313</v>
      </c>
      <c r="Z175" s="184"/>
      <c r="AA175" s="184"/>
      <c r="AB175" s="184"/>
      <c r="AC175" s="186"/>
      <c r="AD175" s="184"/>
      <c r="AE175" s="184"/>
      <c r="AF175" s="184"/>
      <c r="AG175" s="186"/>
      <c r="AH175" s="184"/>
      <c r="AI175" s="187"/>
      <c r="AJ175" s="191"/>
      <c r="AK175" s="191"/>
      <c r="AL175" s="191"/>
      <c r="AM175" s="191"/>
    </row>
    <row r="176" spans="2:39" x14ac:dyDescent="0.25">
      <c r="B176" s="193" t="str">
        <f>Sheet1!A187</f>
        <v>1905.1</v>
      </c>
      <c r="C176" s="183" t="str">
        <f>Sheet1!C187</f>
        <v>CORTEZ BLVD (CR550)</v>
      </c>
      <c r="D176" s="183" t="str">
        <f>Sheet1!D187</f>
        <v>TERMINUS</v>
      </c>
      <c r="E176" s="183" t="str">
        <f>Sheet1!E187</f>
        <v>1200 FT N OF AZTEC CT</v>
      </c>
      <c r="F176" s="184" t="str">
        <f>Sheet1!F187</f>
        <v>2U</v>
      </c>
      <c r="G176" s="184" t="str">
        <f>Sheet1!H187</f>
        <v>2U</v>
      </c>
      <c r="H176" s="185" t="str">
        <f>Sheet1!Z187</f>
        <v>D</v>
      </c>
      <c r="I176" s="185"/>
      <c r="J176" s="185"/>
      <c r="K176" s="185"/>
      <c r="L176" s="184"/>
      <c r="M176" s="184">
        <f>Sheet1!AI187</f>
        <v>1818</v>
      </c>
      <c r="N176" s="184"/>
      <c r="O176" s="184"/>
      <c r="P176" s="184"/>
      <c r="Q176" s="184"/>
      <c r="R176" s="184">
        <f>Sheet1!P187</f>
        <v>2917</v>
      </c>
      <c r="S176" s="186"/>
      <c r="T176" s="184"/>
      <c r="U176" s="184"/>
      <c r="V176" s="184"/>
      <c r="W176" s="184"/>
      <c r="X176" s="184">
        <f>Sheet1!AS187</f>
        <v>263</v>
      </c>
      <c r="Y176" s="184">
        <f>Sheet1!AT187</f>
        <v>0.14499999999999999</v>
      </c>
      <c r="Z176" s="184"/>
      <c r="AA176" s="184"/>
      <c r="AB176" s="184"/>
      <c r="AC176" s="186"/>
      <c r="AD176" s="184"/>
      <c r="AE176" s="184"/>
      <c r="AF176" s="184"/>
      <c r="AG176" s="186"/>
      <c r="AH176" s="184"/>
      <c r="AI176" s="187"/>
      <c r="AJ176" s="191"/>
      <c r="AK176" s="191"/>
      <c r="AL176" s="191"/>
      <c r="AM176" s="191"/>
    </row>
    <row r="177" spans="2:39" x14ac:dyDescent="0.25">
      <c r="B177" s="193" t="str">
        <f>Sheet1!A188</f>
        <v>1905.2</v>
      </c>
      <c r="C177" s="183" t="str">
        <f>Sheet1!C188</f>
        <v>CORTEZ BLVD (CR550)</v>
      </c>
      <c r="D177" s="183" t="str">
        <f>Sheet1!D188</f>
        <v>1200 FT N OF AZTEC CT</v>
      </c>
      <c r="E177" s="183" t="str">
        <f>Sheet1!E188</f>
        <v>PINE ISLAND DR</v>
      </c>
      <c r="F177" s="184" t="str">
        <f>Sheet1!F188</f>
        <v>2U</v>
      </c>
      <c r="G177" s="184" t="str">
        <f>Sheet1!H188</f>
        <v>4D</v>
      </c>
      <c r="H177" s="185" t="str">
        <f>Sheet1!Z188</f>
        <v>D</v>
      </c>
      <c r="I177" s="185"/>
      <c r="J177" s="185"/>
      <c r="K177" s="185"/>
      <c r="L177" s="184"/>
      <c r="M177" s="184">
        <f>Sheet1!AI188</f>
        <v>1818</v>
      </c>
      <c r="N177" s="184"/>
      <c r="O177" s="184"/>
      <c r="P177" s="184"/>
      <c r="Q177" s="184"/>
      <c r="R177" s="184">
        <f>Sheet1!P188</f>
        <v>2917</v>
      </c>
      <c r="S177" s="186"/>
      <c r="T177" s="184"/>
      <c r="U177" s="184"/>
      <c r="V177" s="184"/>
      <c r="W177" s="184"/>
      <c r="X177" s="184">
        <f>Sheet1!AS188</f>
        <v>263</v>
      </c>
      <c r="Y177" s="184">
        <f>Sheet1!AT188</f>
        <v>0.14499999999999999</v>
      </c>
      <c r="Z177" s="184"/>
      <c r="AA177" s="184"/>
      <c r="AB177" s="184"/>
      <c r="AC177" s="186"/>
      <c r="AD177" s="184"/>
      <c r="AE177" s="184"/>
      <c r="AF177" s="184"/>
      <c r="AG177" s="186"/>
      <c r="AH177" s="184"/>
      <c r="AI177" s="187"/>
      <c r="AJ177" s="191"/>
      <c r="AK177" s="191"/>
      <c r="AL177" s="191"/>
      <c r="AM177" s="191"/>
    </row>
    <row r="178" spans="2:39" x14ac:dyDescent="0.25">
      <c r="B178" s="193" t="str">
        <f>Sheet1!A189</f>
        <v>1910</v>
      </c>
      <c r="C178" s="183" t="str">
        <f>Sheet1!C189</f>
        <v>CORTEZ BLVD (CR550)</v>
      </c>
      <c r="D178" s="183" t="str">
        <f>Sheet1!D189</f>
        <v>PINE ISLAND DR</v>
      </c>
      <c r="E178" s="183" t="str">
        <f>Sheet1!E189</f>
        <v>SHOAL LINE BLVD</v>
      </c>
      <c r="F178" s="184" t="str">
        <f>Sheet1!F189</f>
        <v>2U</v>
      </c>
      <c r="G178" s="184" t="str">
        <f>Sheet1!H189</f>
        <v>2U</v>
      </c>
      <c r="H178" s="185" t="str">
        <f>Sheet1!Z189</f>
        <v>D</v>
      </c>
      <c r="I178" s="185"/>
      <c r="J178" s="185"/>
      <c r="K178" s="185"/>
      <c r="L178" s="184"/>
      <c r="M178" s="184">
        <f>Sheet1!AI189</f>
        <v>1899</v>
      </c>
      <c r="N178" s="184"/>
      <c r="O178" s="184"/>
      <c r="P178" s="184"/>
      <c r="Q178" s="184"/>
      <c r="R178" s="184">
        <f>Sheet1!P189</f>
        <v>2917</v>
      </c>
      <c r="S178" s="186"/>
      <c r="T178" s="184"/>
      <c r="U178" s="184"/>
      <c r="V178" s="184"/>
      <c r="W178" s="184"/>
      <c r="X178" s="184">
        <f>Sheet1!AS189</f>
        <v>263</v>
      </c>
      <c r="Y178" s="184">
        <f>Sheet1!AT189</f>
        <v>0.13800000000000001</v>
      </c>
      <c r="Z178" s="184"/>
      <c r="AA178" s="184"/>
      <c r="AB178" s="184"/>
      <c r="AC178" s="186"/>
      <c r="AD178" s="184"/>
      <c r="AE178" s="184"/>
      <c r="AF178" s="184"/>
      <c r="AG178" s="186"/>
      <c r="AH178" s="184"/>
      <c r="AI178" s="187"/>
      <c r="AJ178" s="191"/>
      <c r="AK178" s="191"/>
      <c r="AL178" s="191"/>
      <c r="AM178" s="191"/>
    </row>
    <row r="179" spans="2:39" x14ac:dyDescent="0.25">
      <c r="B179" s="193" t="str">
        <f>Sheet1!A190</f>
        <v>1920</v>
      </c>
      <c r="C179" s="183" t="str">
        <f>Sheet1!C190</f>
        <v>CORTEZ BLVD (CR550)</v>
      </c>
      <c r="D179" s="183" t="str">
        <f>Sheet1!D190</f>
        <v>SHOAL LINE BLVD</v>
      </c>
      <c r="E179" s="183" t="str">
        <f>Sheet1!E190</f>
        <v>US19 (SR55)</v>
      </c>
      <c r="F179" s="184" t="str">
        <f>Sheet1!F190</f>
        <v>2U</v>
      </c>
      <c r="G179" s="184" t="str">
        <f>Sheet1!H190</f>
        <v>2U</v>
      </c>
      <c r="H179" s="185" t="str">
        <f>Sheet1!Z190</f>
        <v>D</v>
      </c>
      <c r="I179" s="185"/>
      <c r="J179" s="185"/>
      <c r="K179" s="185"/>
      <c r="L179" s="184"/>
      <c r="M179" s="184">
        <f>Sheet1!AI190</f>
        <v>0</v>
      </c>
      <c r="N179" s="184"/>
      <c r="O179" s="184"/>
      <c r="P179" s="184"/>
      <c r="Q179" s="184"/>
      <c r="R179" s="184">
        <f>Sheet1!P190</f>
        <v>9207</v>
      </c>
      <c r="S179" s="186"/>
      <c r="T179" s="184"/>
      <c r="U179" s="184"/>
      <c r="V179" s="184"/>
      <c r="W179" s="184"/>
      <c r="X179" s="184">
        <f>Sheet1!AS190</f>
        <v>0</v>
      </c>
      <c r="Y179" s="184">
        <f>Sheet1!AT190</f>
        <v>0</v>
      </c>
      <c r="Z179" s="184"/>
      <c r="AA179" s="184"/>
      <c r="AB179" s="184"/>
      <c r="AC179" s="186"/>
      <c r="AD179" s="184"/>
      <c r="AE179" s="184"/>
      <c r="AF179" s="184"/>
      <c r="AG179" s="186"/>
      <c r="AH179" s="184"/>
      <c r="AI179" s="187"/>
      <c r="AJ179" s="191"/>
      <c r="AK179" s="191"/>
      <c r="AL179" s="191"/>
      <c r="AM179" s="191"/>
    </row>
    <row r="180" spans="2:39" x14ac:dyDescent="0.25">
      <c r="B180" s="193" t="str">
        <f>Sheet1!A191</f>
        <v>6110</v>
      </c>
      <c r="C180" s="183" t="str">
        <f>Sheet1!C191</f>
        <v>WISCON RD</v>
      </c>
      <c r="D180" s="183" t="str">
        <f>Sheet1!D191</f>
        <v>CORTEZ BLVD (SR50)</v>
      </c>
      <c r="E180" s="183" t="str">
        <f>Sheet1!E191</f>
        <v>FORT DADE AVE</v>
      </c>
      <c r="F180" s="184" t="str">
        <f>Sheet1!F191</f>
        <v>2U</v>
      </c>
      <c r="G180" s="184" t="str">
        <f>Sheet1!H191</f>
        <v>4D</v>
      </c>
      <c r="H180" s="185" t="str">
        <f>Sheet1!Z191</f>
        <v>D</v>
      </c>
      <c r="I180" s="185"/>
      <c r="J180" s="185"/>
      <c r="K180" s="185"/>
      <c r="L180" s="184"/>
      <c r="M180" s="184">
        <f>Sheet1!AI191</f>
        <v>1962</v>
      </c>
      <c r="N180" s="184"/>
      <c r="O180" s="184"/>
      <c r="P180" s="184"/>
      <c r="Q180" s="184"/>
      <c r="R180" s="184">
        <f>Sheet1!P191</f>
        <v>9742</v>
      </c>
      <c r="S180" s="186"/>
      <c r="T180" s="184"/>
      <c r="U180" s="184"/>
      <c r="V180" s="184"/>
      <c r="W180" s="184"/>
      <c r="X180" s="184">
        <f>Sheet1!AS191</f>
        <v>877</v>
      </c>
      <c r="Y180" s="184">
        <f>Sheet1!AT191</f>
        <v>0.44700000000000001</v>
      </c>
      <c r="Z180" s="184"/>
      <c r="AA180" s="184"/>
      <c r="AB180" s="184"/>
      <c r="AC180" s="186"/>
      <c r="AD180" s="184"/>
      <c r="AE180" s="184"/>
      <c r="AF180" s="184"/>
      <c r="AG180" s="186"/>
      <c r="AH180" s="184"/>
      <c r="AI180" s="187"/>
      <c r="AJ180" s="191"/>
      <c r="AK180" s="191"/>
      <c r="AL180" s="191"/>
      <c r="AM180" s="191"/>
    </row>
    <row r="181" spans="2:39" x14ac:dyDescent="0.25">
      <c r="B181" s="193" t="str">
        <f>Sheet1!A192</f>
        <v>6115</v>
      </c>
      <c r="C181" s="183" t="str">
        <f>Sheet1!C192</f>
        <v>WISCON RD</v>
      </c>
      <c r="D181" s="183" t="str">
        <f>Sheet1!D192</f>
        <v>FORT DADE AVE</v>
      </c>
      <c r="E181" s="183" t="str">
        <f>Sheet1!E192</f>
        <v>CALIFORNIA ST</v>
      </c>
      <c r="F181" s="184" t="str">
        <f>Sheet1!F192</f>
        <v>2U</v>
      </c>
      <c r="G181" s="184" t="str">
        <f>Sheet1!H192</f>
        <v>4D</v>
      </c>
      <c r="H181" s="185" t="str">
        <f>Sheet1!Z192</f>
        <v>D</v>
      </c>
      <c r="I181" s="185"/>
      <c r="J181" s="185"/>
      <c r="K181" s="185"/>
      <c r="L181" s="184"/>
      <c r="M181" s="184">
        <f>Sheet1!AI192</f>
        <v>1962</v>
      </c>
      <c r="N181" s="184"/>
      <c r="O181" s="184"/>
      <c r="P181" s="184"/>
      <c r="Q181" s="184"/>
      <c r="R181" s="184">
        <f>Sheet1!P192</f>
        <v>9742</v>
      </c>
      <c r="S181" s="186"/>
      <c r="T181" s="184"/>
      <c r="U181" s="184"/>
      <c r="V181" s="184"/>
      <c r="W181" s="184"/>
      <c r="X181" s="184">
        <f>Sheet1!AS192</f>
        <v>877</v>
      </c>
      <c r="Y181" s="184">
        <f>Sheet1!AT192</f>
        <v>0.44700000000000001</v>
      </c>
      <c r="Z181" s="184"/>
      <c r="AA181" s="184"/>
      <c r="AB181" s="184"/>
      <c r="AC181" s="186"/>
      <c r="AD181" s="184"/>
      <c r="AE181" s="184"/>
      <c r="AF181" s="184"/>
      <c r="AG181" s="186"/>
      <c r="AH181" s="184"/>
      <c r="AI181" s="187"/>
      <c r="AJ181" s="191"/>
      <c r="AK181" s="191"/>
      <c r="AL181" s="191"/>
      <c r="AM181" s="191"/>
    </row>
    <row r="182" spans="2:39" x14ac:dyDescent="0.25">
      <c r="B182" s="193" t="str">
        <f>Sheet1!A193</f>
        <v>6120</v>
      </c>
      <c r="C182" s="183" t="str">
        <f>Sheet1!C193</f>
        <v>WISCON RD</v>
      </c>
      <c r="D182" s="183" t="str">
        <f>Sheet1!D193</f>
        <v>CALIFORNIA ST</v>
      </c>
      <c r="E182" s="183" t="str">
        <f>Sheet1!E193</f>
        <v>MOBLEY RD</v>
      </c>
      <c r="F182" s="184" t="str">
        <f>Sheet1!F193</f>
        <v>2U</v>
      </c>
      <c r="G182" s="184" t="str">
        <f>Sheet1!H193</f>
        <v>2U</v>
      </c>
      <c r="H182" s="185" t="str">
        <f>Sheet1!Z193</f>
        <v>D</v>
      </c>
      <c r="I182" s="185"/>
      <c r="J182" s="185"/>
      <c r="K182" s="185"/>
      <c r="L182" s="184"/>
      <c r="M182" s="184">
        <f>Sheet1!AI193</f>
        <v>0</v>
      </c>
      <c r="N182" s="184"/>
      <c r="O182" s="184"/>
      <c r="P182" s="184"/>
      <c r="Q182" s="184"/>
      <c r="R182" s="184">
        <f>Sheet1!P193</f>
        <v>9742</v>
      </c>
      <c r="S182" s="186"/>
      <c r="T182" s="184"/>
      <c r="U182" s="184"/>
      <c r="V182" s="184"/>
      <c r="W182" s="184"/>
      <c r="X182" s="184">
        <f>Sheet1!AS193</f>
        <v>0</v>
      </c>
      <c r="Y182" s="184">
        <f>Sheet1!AT193</f>
        <v>0</v>
      </c>
      <c r="Z182" s="184"/>
      <c r="AA182" s="184"/>
      <c r="AB182" s="184"/>
      <c r="AC182" s="186"/>
      <c r="AD182" s="184"/>
      <c r="AE182" s="184"/>
      <c r="AF182" s="184"/>
      <c r="AG182" s="186"/>
      <c r="AH182" s="184"/>
      <c r="AI182" s="187"/>
      <c r="AJ182" s="191"/>
      <c r="AK182" s="191"/>
      <c r="AL182" s="191"/>
      <c r="AM182" s="191"/>
    </row>
    <row r="183" spans="2:39" x14ac:dyDescent="0.25">
      <c r="B183" s="193" t="str">
        <f>Sheet1!A194</f>
        <v>6125</v>
      </c>
      <c r="C183" s="183" t="str">
        <f>Sheet1!C194</f>
        <v>WISCON RD</v>
      </c>
      <c r="D183" s="183" t="str">
        <f>Sheet1!D194</f>
        <v>MOBLEY RD</v>
      </c>
      <c r="E183" s="183" t="str">
        <f>Sheet1!E194</f>
        <v>BROAD ST (US41/SR45)</v>
      </c>
      <c r="F183" s="184" t="str">
        <f>Sheet1!F194</f>
        <v>2U</v>
      </c>
      <c r="G183" s="184" t="str">
        <f>Sheet1!H194</f>
        <v>4D</v>
      </c>
      <c r="H183" s="185" t="str">
        <f>Sheet1!Z194</f>
        <v>D</v>
      </c>
      <c r="I183" s="185"/>
      <c r="J183" s="185"/>
      <c r="K183" s="185"/>
      <c r="L183" s="184"/>
      <c r="M183" s="184">
        <f>Sheet1!AI194</f>
        <v>2628</v>
      </c>
      <c r="N183" s="184"/>
      <c r="O183" s="184"/>
      <c r="P183" s="184"/>
      <c r="Q183" s="184"/>
      <c r="R183" s="184">
        <f>Sheet1!P194</f>
        <v>9742</v>
      </c>
      <c r="S183" s="186"/>
      <c r="T183" s="184"/>
      <c r="U183" s="184"/>
      <c r="V183" s="184"/>
      <c r="W183" s="184"/>
      <c r="X183" s="184">
        <f>Sheet1!AS194</f>
        <v>877</v>
      </c>
      <c r="Y183" s="184">
        <f>Sheet1!AT194</f>
        <v>0.33400000000000002</v>
      </c>
      <c r="Z183" s="184"/>
      <c r="AA183" s="184"/>
      <c r="AB183" s="184"/>
      <c r="AC183" s="186"/>
      <c r="AD183" s="184"/>
      <c r="AE183" s="184"/>
      <c r="AF183" s="184"/>
      <c r="AG183" s="186"/>
      <c r="AH183" s="184"/>
      <c r="AI183" s="187"/>
      <c r="AJ183" s="191"/>
      <c r="AK183" s="191"/>
      <c r="AL183" s="191"/>
      <c r="AM183" s="191"/>
    </row>
    <row r="184" spans="2:39" x14ac:dyDescent="0.25">
      <c r="B184" s="193" t="str">
        <f>Sheet1!A195</f>
        <v>2805</v>
      </c>
      <c r="C184" s="183" t="str">
        <f>Sheet1!C195</f>
        <v>ELGIN BLVD</v>
      </c>
      <c r="D184" s="183" t="str">
        <f>Sheet1!D195</f>
        <v>DELTONA BLVD</v>
      </c>
      <c r="E184" s="183" t="str">
        <f>Sheet1!E195</f>
        <v>MARINER BLVD</v>
      </c>
      <c r="F184" s="184" t="str">
        <f>Sheet1!F195</f>
        <v>2U</v>
      </c>
      <c r="G184" s="184" t="str">
        <f>Sheet1!H195</f>
        <v>4D</v>
      </c>
      <c r="H184" s="185" t="str">
        <f>Sheet1!Z195</f>
        <v>D</v>
      </c>
      <c r="I184" s="185"/>
      <c r="J184" s="185"/>
      <c r="K184" s="185"/>
      <c r="L184" s="184"/>
      <c r="M184" s="184">
        <f>Sheet1!AI195</f>
        <v>1197</v>
      </c>
      <c r="N184" s="184"/>
      <c r="O184" s="184"/>
      <c r="P184" s="184"/>
      <c r="Q184" s="184"/>
      <c r="R184" s="184">
        <f>Sheet1!P195</f>
        <v>1191</v>
      </c>
      <c r="S184" s="186"/>
      <c r="T184" s="184"/>
      <c r="U184" s="184"/>
      <c r="V184" s="184"/>
      <c r="W184" s="184"/>
      <c r="X184" s="184">
        <f>Sheet1!AS195</f>
        <v>107</v>
      </c>
      <c r="Y184" s="184">
        <f>Sheet1!AT195</f>
        <v>8.8999999999999996E-2</v>
      </c>
      <c r="Z184" s="184"/>
      <c r="AA184" s="184"/>
      <c r="AB184" s="184"/>
      <c r="AC184" s="186"/>
      <c r="AD184" s="184"/>
      <c r="AE184" s="184"/>
      <c r="AF184" s="184"/>
      <c r="AG184" s="186"/>
      <c r="AH184" s="184"/>
      <c r="AI184" s="187"/>
      <c r="AJ184" s="191"/>
      <c r="AK184" s="191"/>
      <c r="AL184" s="191"/>
      <c r="AM184" s="191"/>
    </row>
    <row r="185" spans="2:39" x14ac:dyDescent="0.25">
      <c r="B185" s="193" t="str">
        <f>Sheet1!A196</f>
        <v>2810</v>
      </c>
      <c r="C185" s="183" t="str">
        <f>Sheet1!C196</f>
        <v>ELGIN BLVD/POWELL RD</v>
      </c>
      <c r="D185" s="183" t="str">
        <f>Sheet1!D196</f>
        <v>MARINER BLVD</v>
      </c>
      <c r="E185" s="183" t="str">
        <f>Sheet1!E196</f>
        <v>LANDOVER RD</v>
      </c>
      <c r="F185" s="184" t="str">
        <f>Sheet1!F196</f>
        <v>4D</v>
      </c>
      <c r="G185" s="184" t="str">
        <f>Sheet1!H196</f>
        <v>4D</v>
      </c>
      <c r="H185" s="185" t="str">
        <f>Sheet1!Z196</f>
        <v>D</v>
      </c>
      <c r="I185" s="185"/>
      <c r="J185" s="185"/>
      <c r="K185" s="185"/>
      <c r="L185" s="184"/>
      <c r="M185" s="184">
        <f>Sheet1!AI196</f>
        <v>2628</v>
      </c>
      <c r="N185" s="184"/>
      <c r="O185" s="184"/>
      <c r="P185" s="184"/>
      <c r="Q185" s="184"/>
      <c r="R185" s="184">
        <f>Sheet1!P196</f>
        <v>9453</v>
      </c>
      <c r="S185" s="186"/>
      <c r="T185" s="184"/>
      <c r="U185" s="184"/>
      <c r="V185" s="184"/>
      <c r="W185" s="184"/>
      <c r="X185" s="184">
        <f>Sheet1!AS196</f>
        <v>851</v>
      </c>
      <c r="Y185" s="184">
        <f>Sheet1!AT196</f>
        <v>0.32400000000000001</v>
      </c>
      <c r="Z185" s="184"/>
      <c r="AA185" s="184"/>
      <c r="AB185" s="184"/>
      <c r="AC185" s="186"/>
      <c r="AD185" s="184"/>
      <c r="AE185" s="184"/>
      <c r="AF185" s="184"/>
      <c r="AG185" s="186"/>
      <c r="AH185" s="184"/>
      <c r="AI185" s="187"/>
      <c r="AJ185" s="191"/>
      <c r="AK185" s="191"/>
      <c r="AL185" s="191"/>
      <c r="AM185" s="191"/>
    </row>
    <row r="186" spans="2:39" x14ac:dyDescent="0.25">
      <c r="B186" s="193" t="str">
        <f>Sheet1!A197</f>
        <v>2813.1</v>
      </c>
      <c r="C186" s="183" t="str">
        <f>Sheet1!C197</f>
        <v>ELGIN BLVD/POWELL RD</v>
      </c>
      <c r="D186" s="183" t="str">
        <f>Sheet1!D197</f>
        <v>LANDOVER RD</v>
      </c>
      <c r="E186" s="183" t="str">
        <f>Sheet1!E197</f>
        <v>TANNER RD</v>
      </c>
      <c r="F186" s="184" t="str">
        <f>Sheet1!F197</f>
        <v>4D</v>
      </c>
      <c r="G186" s="184" t="str">
        <f>Sheet1!H197</f>
        <v>4D</v>
      </c>
      <c r="H186" s="185" t="str">
        <f>Sheet1!Z197</f>
        <v>D</v>
      </c>
      <c r="I186" s="185"/>
      <c r="J186" s="185"/>
      <c r="K186" s="185"/>
      <c r="L186" s="184"/>
      <c r="M186" s="184">
        <f>Sheet1!AI197</f>
        <v>2628</v>
      </c>
      <c r="N186" s="184"/>
      <c r="O186" s="184"/>
      <c r="P186" s="184"/>
      <c r="Q186" s="184"/>
      <c r="R186" s="184">
        <f>Sheet1!P197</f>
        <v>9453</v>
      </c>
      <c r="S186" s="186"/>
      <c r="T186" s="184"/>
      <c r="U186" s="184"/>
      <c r="V186" s="184"/>
      <c r="W186" s="184"/>
      <c r="X186" s="184">
        <f>Sheet1!AS197</f>
        <v>851</v>
      </c>
      <c r="Y186" s="184">
        <f>Sheet1!AT197</f>
        <v>0.32400000000000001</v>
      </c>
      <c r="Z186" s="184"/>
      <c r="AA186" s="184"/>
      <c r="AB186" s="184"/>
      <c r="AC186" s="186"/>
      <c r="AD186" s="184"/>
      <c r="AE186" s="184"/>
      <c r="AF186" s="184"/>
      <c r="AG186" s="186"/>
      <c r="AH186" s="184"/>
      <c r="AI186" s="187"/>
      <c r="AJ186" s="191"/>
      <c r="AK186" s="191"/>
      <c r="AL186" s="191"/>
      <c r="AM186" s="191"/>
    </row>
    <row r="187" spans="2:39" x14ac:dyDescent="0.25">
      <c r="B187" s="193" t="str">
        <f>Sheet1!A198</f>
        <v>2813.2</v>
      </c>
      <c r="C187" s="183" t="str">
        <f>Sheet1!C198</f>
        <v>ELGIN BLVD/POWELL RD</v>
      </c>
      <c r="D187" s="183" t="str">
        <f>Sheet1!D198</f>
        <v>TANNER RD</v>
      </c>
      <c r="E187" s="183" t="str">
        <f>Sheet1!E198</f>
        <v>LAUREN DR</v>
      </c>
      <c r="F187" s="184" t="str">
        <f>Sheet1!F198</f>
        <v>4D</v>
      </c>
      <c r="G187" s="184" t="str">
        <f>Sheet1!H198</f>
        <v>4D</v>
      </c>
      <c r="H187" s="185" t="str">
        <f>Sheet1!Z198</f>
        <v>D</v>
      </c>
      <c r="I187" s="185"/>
      <c r="J187" s="185"/>
      <c r="K187" s="185"/>
      <c r="L187" s="184"/>
      <c r="M187" s="184">
        <f>Sheet1!AI198</f>
        <v>2628</v>
      </c>
      <c r="N187" s="184"/>
      <c r="O187" s="184"/>
      <c r="P187" s="184"/>
      <c r="Q187" s="184"/>
      <c r="R187" s="184">
        <f>Sheet1!P198</f>
        <v>9453</v>
      </c>
      <c r="S187" s="186"/>
      <c r="T187" s="184"/>
      <c r="U187" s="184"/>
      <c r="V187" s="184"/>
      <c r="W187" s="184"/>
      <c r="X187" s="184">
        <f>Sheet1!AS198</f>
        <v>851</v>
      </c>
      <c r="Y187" s="184">
        <f>Sheet1!AT198</f>
        <v>0.32400000000000001</v>
      </c>
      <c r="Z187" s="184"/>
      <c r="AA187" s="184"/>
      <c r="AB187" s="184"/>
      <c r="AC187" s="186"/>
      <c r="AD187" s="184"/>
      <c r="AE187" s="184"/>
      <c r="AF187" s="184"/>
      <c r="AG187" s="186"/>
      <c r="AH187" s="184"/>
      <c r="AI187" s="187"/>
      <c r="AJ187" s="191"/>
      <c r="AK187" s="191"/>
      <c r="AL187" s="191"/>
      <c r="AM187" s="191"/>
    </row>
    <row r="188" spans="2:39" x14ac:dyDescent="0.25">
      <c r="B188" s="193" t="str">
        <f>Sheet1!A199</f>
        <v>2816</v>
      </c>
      <c r="C188" s="183" t="str">
        <f>Sheet1!C199</f>
        <v>ELGIN BLVD/POWELL RD</v>
      </c>
      <c r="D188" s="183" t="str">
        <f>Sheet1!D199</f>
        <v>LAUREN DR</v>
      </c>
      <c r="E188" s="183" t="str">
        <f>Sheet1!E199</f>
        <v>FENIAN DR</v>
      </c>
      <c r="F188" s="184" t="str">
        <f>Sheet1!F199</f>
        <v>4D</v>
      </c>
      <c r="G188" s="184" t="str">
        <f>Sheet1!H199</f>
        <v>4D</v>
      </c>
      <c r="H188" s="185" t="str">
        <f>Sheet1!Z199</f>
        <v>D</v>
      </c>
      <c r="I188" s="185"/>
      <c r="J188" s="185"/>
      <c r="K188" s="185"/>
      <c r="L188" s="184"/>
      <c r="M188" s="184">
        <f>Sheet1!AI199</f>
        <v>2628</v>
      </c>
      <c r="N188" s="184"/>
      <c r="O188" s="184"/>
      <c r="P188" s="184"/>
      <c r="Q188" s="184"/>
      <c r="R188" s="184">
        <f>Sheet1!P199</f>
        <v>9453</v>
      </c>
      <c r="S188" s="186"/>
      <c r="T188" s="184"/>
      <c r="U188" s="184"/>
      <c r="V188" s="184"/>
      <c r="W188" s="184"/>
      <c r="X188" s="184">
        <f>Sheet1!AS199</f>
        <v>851</v>
      </c>
      <c r="Y188" s="184">
        <f>Sheet1!AT199</f>
        <v>0.32400000000000001</v>
      </c>
      <c r="Z188" s="184"/>
      <c r="AA188" s="184"/>
      <c r="AB188" s="184"/>
      <c r="AC188" s="186"/>
      <c r="AD188" s="184"/>
      <c r="AE188" s="184"/>
      <c r="AF188" s="184"/>
      <c r="AG188" s="186"/>
      <c r="AH188" s="184"/>
      <c r="AI188" s="187"/>
      <c r="AJ188" s="191"/>
      <c r="AK188" s="191"/>
      <c r="AL188" s="191"/>
      <c r="AM188" s="191"/>
    </row>
    <row r="189" spans="2:39" x14ac:dyDescent="0.25">
      <c r="B189" s="193" t="str">
        <f>Sheet1!A200</f>
        <v>2819.1</v>
      </c>
      <c r="C189" s="183" t="str">
        <f>Sheet1!C200</f>
        <v>ELGIN BLVD/POWELL RD</v>
      </c>
      <c r="D189" s="183" t="str">
        <f>Sheet1!D200</f>
        <v>FENIAN DR</v>
      </c>
      <c r="E189" s="183" t="str">
        <f>Sheet1!E200</f>
        <v>STERLING HILL BLVD</v>
      </c>
      <c r="F189" s="184" t="str">
        <f>Sheet1!F200</f>
        <v>4D</v>
      </c>
      <c r="G189" s="184" t="str">
        <f>Sheet1!H200</f>
        <v>2U</v>
      </c>
      <c r="H189" s="185" t="str">
        <f>Sheet1!Z200</f>
        <v>D</v>
      </c>
      <c r="I189" s="185"/>
      <c r="J189" s="185"/>
      <c r="K189" s="185"/>
      <c r="L189" s="184"/>
      <c r="M189" s="184">
        <f>Sheet1!AI200</f>
        <v>2628</v>
      </c>
      <c r="N189" s="184"/>
      <c r="O189" s="184"/>
      <c r="P189" s="184"/>
      <c r="Q189" s="184"/>
      <c r="R189" s="184">
        <f>Sheet1!P200</f>
        <v>15154</v>
      </c>
      <c r="S189" s="186"/>
      <c r="T189" s="184"/>
      <c r="U189" s="184"/>
      <c r="V189" s="184"/>
      <c r="W189" s="184"/>
      <c r="X189" s="184">
        <f>Sheet1!AS200</f>
        <v>1364</v>
      </c>
      <c r="Y189" s="184">
        <f>Sheet1!AT200</f>
        <v>0.51900000000000002</v>
      </c>
      <c r="Z189" s="184"/>
      <c r="AA189" s="184"/>
      <c r="AB189" s="184"/>
      <c r="AC189" s="186"/>
      <c r="AD189" s="184"/>
      <c r="AE189" s="184"/>
      <c r="AF189" s="184"/>
      <c r="AG189" s="186"/>
      <c r="AH189" s="184"/>
      <c r="AI189" s="187"/>
      <c r="AJ189" s="191"/>
      <c r="AK189" s="191"/>
      <c r="AL189" s="191"/>
      <c r="AM189" s="191"/>
    </row>
    <row r="190" spans="2:39" x14ac:dyDescent="0.25">
      <c r="B190" s="193" t="str">
        <f>Sheet1!A201</f>
        <v>2819.2</v>
      </c>
      <c r="C190" s="183" t="str">
        <f>Sheet1!C201</f>
        <v>ELGIN BLVD/POWELL RD</v>
      </c>
      <c r="D190" s="183" t="str">
        <f>Sheet1!D201</f>
        <v>STERLING HILL BLVD</v>
      </c>
      <c r="E190" s="183" t="str">
        <f>Sheet1!E201</f>
        <v>BARCLAY RD</v>
      </c>
      <c r="F190" s="184" t="str">
        <f>Sheet1!F201</f>
        <v>4D</v>
      </c>
      <c r="G190" s="184" t="str">
        <f>Sheet1!H201</f>
        <v>2U</v>
      </c>
      <c r="H190" s="185" t="str">
        <f>Sheet1!Z201</f>
        <v>D</v>
      </c>
      <c r="I190" s="185"/>
      <c r="J190" s="185"/>
      <c r="K190" s="185"/>
      <c r="L190" s="184"/>
      <c r="M190" s="184">
        <f>Sheet1!AI201</f>
        <v>2628</v>
      </c>
      <c r="N190" s="184"/>
      <c r="O190" s="184"/>
      <c r="P190" s="184"/>
      <c r="Q190" s="184"/>
      <c r="R190" s="184">
        <f>Sheet1!P201</f>
        <v>9453</v>
      </c>
      <c r="S190" s="186"/>
      <c r="T190" s="184"/>
      <c r="U190" s="184"/>
      <c r="V190" s="184"/>
      <c r="W190" s="184"/>
      <c r="X190" s="184">
        <f>Sheet1!AS201</f>
        <v>851</v>
      </c>
      <c r="Y190" s="184">
        <f>Sheet1!AT201</f>
        <v>0.32400000000000001</v>
      </c>
      <c r="Z190" s="184"/>
      <c r="AA190" s="184"/>
      <c r="AB190" s="184"/>
      <c r="AC190" s="186"/>
      <c r="AD190" s="184"/>
      <c r="AE190" s="184"/>
      <c r="AF190" s="184"/>
      <c r="AG190" s="186"/>
      <c r="AH190" s="184"/>
      <c r="AI190" s="187"/>
      <c r="AJ190" s="191"/>
      <c r="AK190" s="191"/>
      <c r="AL190" s="191"/>
      <c r="AM190" s="191"/>
    </row>
    <row r="191" spans="2:39" x14ac:dyDescent="0.25">
      <c r="B191" s="193" t="str">
        <f>Sheet1!A202</f>
        <v>2820</v>
      </c>
      <c r="C191" s="183" t="str">
        <f>Sheet1!C202</f>
        <v>POWELL RD</v>
      </c>
      <c r="D191" s="183" t="str">
        <f>Sheet1!D202</f>
        <v>BARCLAY AVE</v>
      </c>
      <c r="E191" s="183" t="str">
        <f>Sheet1!E202</f>
        <v>CALIFORNIA ST</v>
      </c>
      <c r="F191" s="184" t="str">
        <f>Sheet1!F202</f>
        <v>2U</v>
      </c>
      <c r="G191" s="184" t="str">
        <f>Sheet1!H202</f>
        <v>2U</v>
      </c>
      <c r="H191" s="185" t="str">
        <f>Sheet1!Z202</f>
        <v>D</v>
      </c>
      <c r="I191" s="185"/>
      <c r="J191" s="185"/>
      <c r="K191" s="185"/>
      <c r="L191" s="184"/>
      <c r="M191" s="184">
        <f>Sheet1!AI202</f>
        <v>1197</v>
      </c>
      <c r="N191" s="184"/>
      <c r="O191" s="184"/>
      <c r="P191" s="184"/>
      <c r="Q191" s="184"/>
      <c r="R191" s="184">
        <f>Sheet1!P202</f>
        <v>16041</v>
      </c>
      <c r="S191" s="186"/>
      <c r="T191" s="184"/>
      <c r="U191" s="184"/>
      <c r="V191" s="184"/>
      <c r="W191" s="184"/>
      <c r="X191" s="184">
        <f>Sheet1!AS202</f>
        <v>1444</v>
      </c>
      <c r="Y191" s="184">
        <f>Sheet1!AT202</f>
        <v>1.206</v>
      </c>
      <c r="Z191" s="184"/>
      <c r="AA191" s="184"/>
      <c r="AB191" s="184"/>
      <c r="AC191" s="186"/>
      <c r="AD191" s="184"/>
      <c r="AE191" s="184"/>
      <c r="AF191" s="184"/>
      <c r="AG191" s="186"/>
      <c r="AH191" s="184"/>
      <c r="AI191" s="187"/>
      <c r="AJ191" s="191"/>
      <c r="AK191" s="191"/>
      <c r="AL191" s="191"/>
      <c r="AM191" s="191"/>
    </row>
    <row r="192" spans="2:39" x14ac:dyDescent="0.25">
      <c r="B192" s="193" t="str">
        <f>Sheet1!A203</f>
        <v>2830</v>
      </c>
      <c r="C192" s="183" t="str">
        <f>Sheet1!C203</f>
        <v>POWELL RD</v>
      </c>
      <c r="D192" s="183" t="str">
        <f>Sheet1!D203</f>
        <v>CALIFORNIA ST</v>
      </c>
      <c r="E192" s="183" t="str">
        <f>Sheet1!E203</f>
        <v>BROAD ST (US41/SR45)</v>
      </c>
      <c r="F192" s="184" t="str">
        <f>Sheet1!F203</f>
        <v>2U</v>
      </c>
      <c r="G192" s="184" t="str">
        <f>Sheet1!H203</f>
        <v>2U</v>
      </c>
      <c r="H192" s="185" t="str">
        <f>Sheet1!Z203</f>
        <v>D</v>
      </c>
      <c r="I192" s="185"/>
      <c r="J192" s="185"/>
      <c r="K192" s="185"/>
      <c r="L192" s="184"/>
      <c r="M192" s="184">
        <f>Sheet1!AI203</f>
        <v>1197</v>
      </c>
      <c r="N192" s="184"/>
      <c r="O192" s="184"/>
      <c r="P192" s="184"/>
      <c r="Q192" s="184"/>
      <c r="R192" s="184">
        <f>Sheet1!P203</f>
        <v>6062</v>
      </c>
      <c r="S192" s="186"/>
      <c r="T192" s="184"/>
      <c r="U192" s="184"/>
      <c r="V192" s="184"/>
      <c r="W192" s="184"/>
      <c r="X192" s="184">
        <f>Sheet1!AS203</f>
        <v>546</v>
      </c>
      <c r="Y192" s="184">
        <f>Sheet1!AT203</f>
        <v>0.45600000000000002</v>
      </c>
      <c r="Z192" s="184"/>
      <c r="AA192" s="184"/>
      <c r="AB192" s="184"/>
      <c r="AC192" s="186"/>
      <c r="AD192" s="184"/>
      <c r="AE192" s="184"/>
      <c r="AF192" s="184"/>
      <c r="AG192" s="186"/>
      <c r="AH192" s="184"/>
      <c r="AI192" s="187"/>
      <c r="AJ192" s="191"/>
      <c r="AK192" s="191"/>
      <c r="AL192" s="191"/>
      <c r="AM192" s="191"/>
    </row>
    <row r="193" spans="2:39" x14ac:dyDescent="0.25">
      <c r="B193" s="193" t="str">
        <f>Sheet1!A204</f>
        <v>2840.4</v>
      </c>
      <c r="C193" s="183" t="str">
        <f>Sheet1!C204</f>
        <v>POWELL RD</v>
      </c>
      <c r="D193" s="183" t="str">
        <f>Sheet1!D204</f>
        <v>BROAD ST (US41/SR45)</v>
      </c>
      <c r="E193" s="183" t="str">
        <f>Sheet1!E204</f>
        <v>URBAN BOUNDARY</v>
      </c>
      <c r="F193" s="184" t="str">
        <f>Sheet1!F204</f>
        <v>2U</v>
      </c>
      <c r="G193" s="184" t="str">
        <f>Sheet1!H204</f>
        <v>2U</v>
      </c>
      <c r="H193" s="185" t="str">
        <f>Sheet1!Z204</f>
        <v>D</v>
      </c>
      <c r="I193" s="185"/>
      <c r="J193" s="185"/>
      <c r="K193" s="185"/>
      <c r="L193" s="184"/>
      <c r="M193" s="184">
        <f>Sheet1!AI204</f>
        <v>1899</v>
      </c>
      <c r="N193" s="184"/>
      <c r="O193" s="184"/>
      <c r="P193" s="184"/>
      <c r="Q193" s="184"/>
      <c r="R193" s="184">
        <f>Sheet1!P204</f>
        <v>6062</v>
      </c>
      <c r="S193" s="186"/>
      <c r="T193" s="184"/>
      <c r="U193" s="184"/>
      <c r="V193" s="184"/>
      <c r="W193" s="184"/>
      <c r="X193" s="184" t="e">
        <f>Sheet1!AS204</f>
        <v>#VALUE!</v>
      </c>
      <c r="Y193" s="184" t="e">
        <f>Sheet1!AT204</f>
        <v>#VALUE!</v>
      </c>
      <c r="Z193" s="184"/>
      <c r="AA193" s="184"/>
      <c r="AB193" s="184"/>
      <c r="AC193" s="186"/>
      <c r="AD193" s="184"/>
      <c r="AE193" s="184"/>
      <c r="AF193" s="184"/>
      <c r="AG193" s="186"/>
      <c r="AH193" s="184"/>
      <c r="AI193" s="187"/>
      <c r="AJ193" s="191"/>
      <c r="AK193" s="191"/>
      <c r="AL193" s="191"/>
      <c r="AM193" s="191"/>
    </row>
    <row r="194" spans="2:39" x14ac:dyDescent="0.25">
      <c r="B194" s="193" t="str">
        <f>Sheet1!A205</f>
        <v>2840.5</v>
      </c>
      <c r="C194" s="183" t="str">
        <f>Sheet1!C205</f>
        <v>POWELL RD</v>
      </c>
      <c r="D194" s="183" t="str">
        <f>Sheet1!D205</f>
        <v>URBAN BOUNDARY</v>
      </c>
      <c r="E194" s="183" t="str">
        <f>Sheet1!E205</f>
        <v>CULBREATH RD</v>
      </c>
      <c r="F194" s="184" t="str">
        <f>Sheet1!F205</f>
        <v>2U</v>
      </c>
      <c r="G194" s="184" t="str">
        <f>Sheet1!H205</f>
        <v>2U</v>
      </c>
      <c r="H194" s="185" t="str">
        <f>Sheet1!Z205</f>
        <v>D</v>
      </c>
      <c r="I194" s="185"/>
      <c r="J194" s="185"/>
      <c r="K194" s="185"/>
      <c r="L194" s="184"/>
      <c r="M194" s="184">
        <f>Sheet1!AI205</f>
        <v>1818</v>
      </c>
      <c r="N194" s="184"/>
      <c r="O194" s="184"/>
      <c r="P194" s="184"/>
      <c r="Q194" s="184"/>
      <c r="R194" s="184">
        <f>Sheet1!P205</f>
        <v>3139</v>
      </c>
      <c r="S194" s="186"/>
      <c r="T194" s="184"/>
      <c r="U194" s="184"/>
      <c r="V194" s="184"/>
      <c r="W194" s="184"/>
      <c r="X194" s="184">
        <f>Sheet1!AS205</f>
        <v>283</v>
      </c>
      <c r="Y194" s="184">
        <f>Sheet1!AT205</f>
        <v>0.156</v>
      </c>
      <c r="Z194" s="184"/>
      <c r="AA194" s="184"/>
      <c r="AB194" s="184"/>
      <c r="AC194" s="186"/>
      <c r="AD194" s="184"/>
      <c r="AE194" s="184"/>
      <c r="AF194" s="184"/>
      <c r="AG194" s="186"/>
      <c r="AH194" s="184"/>
      <c r="AI194" s="187"/>
      <c r="AJ194" s="191"/>
      <c r="AK194" s="191"/>
      <c r="AL194" s="191"/>
      <c r="AM194" s="191"/>
    </row>
    <row r="195" spans="2:39" x14ac:dyDescent="0.25">
      <c r="B195" s="193" t="str">
        <f>Sheet1!A206</f>
        <v>2850</v>
      </c>
      <c r="C195" s="183" t="str">
        <f>Sheet1!C206</f>
        <v>POWELL RD</v>
      </c>
      <c r="D195" s="183" t="str">
        <f>Sheet1!D206</f>
        <v>CULBREATH RD</v>
      </c>
      <c r="E195" s="183" t="str">
        <f>Sheet1!E206</f>
        <v>EMERSON RD</v>
      </c>
      <c r="F195" s="184" t="str">
        <f>Sheet1!F206</f>
        <v>2U</v>
      </c>
      <c r="G195" s="184" t="str">
        <f>Sheet1!H206</f>
        <v>2U</v>
      </c>
      <c r="H195" s="185" t="str">
        <f>Sheet1!Z206</f>
        <v>D</v>
      </c>
      <c r="I195" s="185"/>
      <c r="J195" s="185"/>
      <c r="K195" s="185"/>
      <c r="L195" s="184"/>
      <c r="M195" s="184">
        <f>Sheet1!AI206</f>
        <v>1818</v>
      </c>
      <c r="N195" s="184"/>
      <c r="O195" s="184"/>
      <c r="P195" s="184"/>
      <c r="Q195" s="184"/>
      <c r="R195" s="184">
        <f>Sheet1!P206</f>
        <v>3139</v>
      </c>
      <c r="S195" s="186"/>
      <c r="T195" s="184"/>
      <c r="U195" s="184"/>
      <c r="V195" s="184"/>
      <c r="W195" s="184"/>
      <c r="X195" s="184">
        <f>Sheet1!AS206</f>
        <v>283</v>
      </c>
      <c r="Y195" s="184">
        <f>Sheet1!AT206</f>
        <v>0.156</v>
      </c>
      <c r="Z195" s="184"/>
      <c r="AA195" s="184"/>
      <c r="AB195" s="184"/>
      <c r="AC195" s="186"/>
      <c r="AD195" s="184"/>
      <c r="AE195" s="184"/>
      <c r="AF195" s="184"/>
      <c r="AG195" s="186"/>
      <c r="AH195" s="184"/>
      <c r="AI195" s="187"/>
      <c r="AJ195" s="191"/>
      <c r="AK195" s="191"/>
      <c r="AL195" s="191"/>
      <c r="AM195" s="191"/>
    </row>
    <row r="196" spans="2:39" x14ac:dyDescent="0.25">
      <c r="B196" s="193" t="str">
        <f>Sheet1!A207</f>
        <v>2860</v>
      </c>
      <c r="C196" s="183" t="str">
        <f>Sheet1!C207</f>
        <v>POWELL RD</v>
      </c>
      <c r="D196" s="183" t="str">
        <f>Sheet1!D207</f>
        <v>EMERSON RD</v>
      </c>
      <c r="E196" s="183" t="str">
        <f>Sheet1!E207</f>
        <v>CEDAR LN</v>
      </c>
      <c r="F196" s="184" t="str">
        <f>Sheet1!F207</f>
        <v>2U</v>
      </c>
      <c r="G196" s="184" t="str">
        <f>Sheet1!H207</f>
        <v>4D</v>
      </c>
      <c r="H196" s="185" t="str">
        <f>Sheet1!Z207</f>
        <v>D</v>
      </c>
      <c r="I196" s="185"/>
      <c r="J196" s="185"/>
      <c r="K196" s="185"/>
      <c r="L196" s="184"/>
      <c r="M196" s="184">
        <f>Sheet1!AI207</f>
        <v>1818</v>
      </c>
      <c r="N196" s="184"/>
      <c r="O196" s="184"/>
      <c r="P196" s="184"/>
      <c r="Q196" s="184"/>
      <c r="R196" s="184">
        <f>Sheet1!P207</f>
        <v>3139</v>
      </c>
      <c r="S196" s="186"/>
      <c r="T196" s="184"/>
      <c r="U196" s="184"/>
      <c r="V196" s="184"/>
      <c r="W196" s="184"/>
      <c r="X196" s="184">
        <f>Sheet1!AS207</f>
        <v>283</v>
      </c>
      <c r="Y196" s="184">
        <f>Sheet1!AT207</f>
        <v>0.156</v>
      </c>
      <c r="Z196" s="184"/>
      <c r="AA196" s="184"/>
      <c r="AB196" s="184"/>
      <c r="AC196" s="186"/>
      <c r="AD196" s="184"/>
      <c r="AE196" s="184"/>
      <c r="AF196" s="184"/>
      <c r="AG196" s="186"/>
      <c r="AH196" s="184"/>
      <c r="AI196" s="187"/>
      <c r="AJ196" s="191"/>
      <c r="AK196" s="191"/>
      <c r="AL196" s="191"/>
      <c r="AM196" s="191"/>
    </row>
    <row r="197" spans="2:39" x14ac:dyDescent="0.25">
      <c r="B197" s="193" t="str">
        <f>Sheet1!A208</f>
        <v>2870</v>
      </c>
      <c r="C197" s="183" t="str">
        <f>Sheet1!C208</f>
        <v>POWELL RD</v>
      </c>
      <c r="D197" s="183" t="str">
        <f>Sheet1!D208</f>
        <v>CEDAR LN</v>
      </c>
      <c r="E197" s="183" t="str">
        <f>Sheet1!E208</f>
        <v>SPRING LAKE HWY</v>
      </c>
      <c r="F197" s="184" t="str">
        <f>Sheet1!F208</f>
        <v>2U</v>
      </c>
      <c r="G197" s="184" t="str">
        <f>Sheet1!H208</f>
        <v>4D</v>
      </c>
      <c r="H197" s="185" t="str">
        <f>Sheet1!Z208</f>
        <v>D</v>
      </c>
      <c r="I197" s="185"/>
      <c r="J197" s="185"/>
      <c r="K197" s="185"/>
      <c r="L197" s="184"/>
      <c r="M197" s="184">
        <f>Sheet1!AI208</f>
        <v>1818</v>
      </c>
      <c r="N197" s="184"/>
      <c r="O197" s="184"/>
      <c r="P197" s="184"/>
      <c r="Q197" s="184"/>
      <c r="R197" s="184">
        <f>Sheet1!P208</f>
        <v>1948</v>
      </c>
      <c r="S197" s="186"/>
      <c r="T197" s="184"/>
      <c r="U197" s="184"/>
      <c r="V197" s="184"/>
      <c r="W197" s="184"/>
      <c r="X197" s="184">
        <f>Sheet1!AS208</f>
        <v>175</v>
      </c>
      <c r="Y197" s="184">
        <f>Sheet1!AT208</f>
        <v>9.6000000000000002E-2</v>
      </c>
      <c r="Z197" s="184"/>
      <c r="AA197" s="184"/>
      <c r="AB197" s="184"/>
      <c r="AC197" s="186"/>
      <c r="AD197" s="184"/>
      <c r="AE197" s="184"/>
      <c r="AF197" s="184"/>
      <c r="AG197" s="186"/>
      <c r="AH197" s="184"/>
      <c r="AI197" s="187"/>
      <c r="AJ197" s="191"/>
      <c r="AK197" s="191"/>
      <c r="AL197" s="191"/>
      <c r="AM197" s="191"/>
    </row>
    <row r="198" spans="2:39" x14ac:dyDescent="0.25">
      <c r="B198" s="193" t="str">
        <f>Sheet1!A209</f>
        <v>5400</v>
      </c>
      <c r="C198" s="183" t="str">
        <f>Sheet1!C209</f>
        <v>SPRING HILL DR</v>
      </c>
      <c r="D198" s="183" t="str">
        <f>Sheet1!D209</f>
        <v>US19 (SR55)</v>
      </c>
      <c r="E198" s="183" t="str">
        <f>Sheet1!E209</f>
        <v>KENLAKE AVE</v>
      </c>
      <c r="F198" s="184" t="str">
        <f>Sheet1!F209</f>
        <v>4D</v>
      </c>
      <c r="G198" s="184" t="str">
        <f>Sheet1!H209</f>
        <v>4D</v>
      </c>
      <c r="H198" s="185" t="str">
        <f>Sheet1!Z209</f>
        <v>D</v>
      </c>
      <c r="I198" s="185"/>
      <c r="J198" s="185"/>
      <c r="K198" s="185"/>
      <c r="L198" s="184"/>
      <c r="M198" s="184">
        <f>Sheet1!AI209</f>
        <v>2628</v>
      </c>
      <c r="N198" s="184"/>
      <c r="O198" s="184"/>
      <c r="P198" s="184"/>
      <c r="Q198" s="184"/>
      <c r="R198" s="184">
        <f>Sheet1!P209</f>
        <v>25339</v>
      </c>
      <c r="S198" s="186"/>
      <c r="T198" s="184"/>
      <c r="U198" s="184"/>
      <c r="V198" s="184"/>
      <c r="W198" s="184"/>
      <c r="X198" s="184">
        <f>Sheet1!AS209</f>
        <v>2280</v>
      </c>
      <c r="Y198" s="184">
        <f>Sheet1!AT209</f>
        <v>0.86799999999999999</v>
      </c>
      <c r="Z198" s="184"/>
      <c r="AA198" s="184"/>
      <c r="AB198" s="184"/>
      <c r="AC198" s="186"/>
      <c r="AD198" s="184"/>
      <c r="AE198" s="184"/>
      <c r="AF198" s="184"/>
      <c r="AG198" s="186"/>
      <c r="AH198" s="184"/>
      <c r="AI198" s="187"/>
      <c r="AJ198" s="191"/>
      <c r="AK198" s="191"/>
      <c r="AL198" s="191"/>
      <c r="AM198" s="191"/>
    </row>
    <row r="199" spans="2:39" x14ac:dyDescent="0.25">
      <c r="B199" s="193" t="str">
        <f>Sheet1!A210</f>
        <v>5402</v>
      </c>
      <c r="C199" s="183" t="str">
        <f>Sheet1!C210</f>
        <v>SPRING HILL DR</v>
      </c>
      <c r="D199" s="183" t="str">
        <f>Sheet1!D210</f>
        <v>KENLAKE AVE</v>
      </c>
      <c r="E199" s="183" t="str">
        <f>Sheet1!E210</f>
        <v>TREE HAVEN DR</v>
      </c>
      <c r="F199" s="184" t="str">
        <f>Sheet1!F210</f>
        <v>4D</v>
      </c>
      <c r="G199" s="184" t="str">
        <f>Sheet1!H210</f>
        <v>4D</v>
      </c>
      <c r="H199" s="185" t="str">
        <f>Sheet1!Z210</f>
        <v>D</v>
      </c>
      <c r="I199" s="185"/>
      <c r="J199" s="185"/>
      <c r="K199" s="185"/>
      <c r="L199" s="184"/>
      <c r="M199" s="184">
        <f>Sheet1!AI210</f>
        <v>2628</v>
      </c>
      <c r="N199" s="184"/>
      <c r="O199" s="184"/>
      <c r="P199" s="184"/>
      <c r="Q199" s="184"/>
      <c r="R199" s="184">
        <f>Sheet1!P210</f>
        <v>25339</v>
      </c>
      <c r="S199" s="186"/>
      <c r="T199" s="184"/>
      <c r="U199" s="184"/>
      <c r="V199" s="184"/>
      <c r="W199" s="184"/>
      <c r="X199" s="184">
        <f>Sheet1!AS210</f>
        <v>2280</v>
      </c>
      <c r="Y199" s="184">
        <f>Sheet1!AT210</f>
        <v>0.86799999999999999</v>
      </c>
      <c r="Z199" s="184"/>
      <c r="AA199" s="184"/>
      <c r="AB199" s="184"/>
      <c r="AC199" s="186"/>
      <c r="AD199" s="184"/>
      <c r="AE199" s="184"/>
      <c r="AF199" s="184"/>
      <c r="AG199" s="186"/>
      <c r="AH199" s="184"/>
      <c r="AI199" s="187"/>
      <c r="AJ199" s="191"/>
      <c r="AK199" s="191"/>
      <c r="AL199" s="191"/>
      <c r="AM199" s="191"/>
    </row>
    <row r="200" spans="2:39" x14ac:dyDescent="0.25">
      <c r="B200" s="193" t="str">
        <f>Sheet1!A211</f>
        <v>5405</v>
      </c>
      <c r="C200" s="183" t="str">
        <f>Sheet1!C211</f>
        <v>SPRING HILL DR</v>
      </c>
      <c r="D200" s="183" t="str">
        <f>Sheet1!D211</f>
        <v>TREE HAVEN DR</v>
      </c>
      <c r="E200" s="183" t="str">
        <f>Sheet1!E211</f>
        <v>PINEHURST DR (W)</v>
      </c>
      <c r="F200" s="184" t="str">
        <f>Sheet1!F211</f>
        <v>4D</v>
      </c>
      <c r="G200" s="184" t="str">
        <f>Sheet1!H211</f>
        <v>4D</v>
      </c>
      <c r="H200" s="185" t="str">
        <f>Sheet1!Z211</f>
        <v>D</v>
      </c>
      <c r="I200" s="185"/>
      <c r="J200" s="185"/>
      <c r="K200" s="185"/>
      <c r="L200" s="184"/>
      <c r="M200" s="184">
        <f>Sheet1!AI211</f>
        <v>2628</v>
      </c>
      <c r="N200" s="184"/>
      <c r="O200" s="184"/>
      <c r="P200" s="184"/>
      <c r="Q200" s="184"/>
      <c r="R200" s="184">
        <f>Sheet1!P211</f>
        <v>25339</v>
      </c>
      <c r="S200" s="186"/>
      <c r="T200" s="184"/>
      <c r="U200" s="184"/>
      <c r="V200" s="184"/>
      <c r="W200" s="184"/>
      <c r="X200" s="184">
        <f>Sheet1!AS211</f>
        <v>2280</v>
      </c>
      <c r="Y200" s="184">
        <f>Sheet1!AT211</f>
        <v>0.86799999999999999</v>
      </c>
      <c r="Z200" s="184"/>
      <c r="AA200" s="184"/>
      <c r="AB200" s="184"/>
      <c r="AC200" s="186"/>
      <c r="AD200" s="184"/>
      <c r="AE200" s="184"/>
      <c r="AF200" s="184"/>
      <c r="AG200" s="186"/>
      <c r="AH200" s="184"/>
      <c r="AI200" s="187"/>
      <c r="AJ200" s="191"/>
      <c r="AK200" s="191"/>
      <c r="AL200" s="191"/>
      <c r="AM200" s="191"/>
    </row>
    <row r="201" spans="2:39" x14ac:dyDescent="0.25">
      <c r="B201" s="193" t="str">
        <f>Sheet1!A212</f>
        <v>5407</v>
      </c>
      <c r="C201" s="183" t="str">
        <f>Sheet1!C212</f>
        <v>SPRING HILL DR</v>
      </c>
      <c r="D201" s="183" t="str">
        <f>Sheet1!D212</f>
        <v>PINEHURST DR (W)</v>
      </c>
      <c r="E201" s="183" t="str">
        <f>Sheet1!E212</f>
        <v>PINEHURST DR (E)</v>
      </c>
      <c r="F201" s="184" t="str">
        <f>Sheet1!F212</f>
        <v>4D</v>
      </c>
      <c r="G201" s="184" t="str">
        <f>Sheet1!H212</f>
        <v>4D</v>
      </c>
      <c r="H201" s="185" t="str">
        <f>Sheet1!Z212</f>
        <v>D</v>
      </c>
      <c r="I201" s="185"/>
      <c r="J201" s="185"/>
      <c r="K201" s="185"/>
      <c r="L201" s="184"/>
      <c r="M201" s="184">
        <f>Sheet1!AI212</f>
        <v>2628</v>
      </c>
      <c r="N201" s="184"/>
      <c r="O201" s="184"/>
      <c r="P201" s="184"/>
      <c r="Q201" s="184"/>
      <c r="R201" s="184">
        <f>Sheet1!P212</f>
        <v>25339</v>
      </c>
      <c r="S201" s="186"/>
      <c r="T201" s="184"/>
      <c r="U201" s="184"/>
      <c r="V201" s="184"/>
      <c r="W201" s="184"/>
      <c r="X201" s="184">
        <f>Sheet1!AS212</f>
        <v>2280</v>
      </c>
      <c r="Y201" s="184">
        <f>Sheet1!AT212</f>
        <v>0.86799999999999999</v>
      </c>
      <c r="Z201" s="184"/>
      <c r="AA201" s="184"/>
      <c r="AB201" s="184"/>
      <c r="AC201" s="186"/>
      <c r="AD201" s="184"/>
      <c r="AE201" s="184"/>
      <c r="AF201" s="184"/>
      <c r="AG201" s="186"/>
      <c r="AH201" s="184"/>
      <c r="AI201" s="187"/>
      <c r="AJ201" s="191"/>
      <c r="AK201" s="191"/>
      <c r="AL201" s="191"/>
      <c r="AM201" s="191"/>
    </row>
    <row r="202" spans="2:39" x14ac:dyDescent="0.25">
      <c r="B202" s="193" t="str">
        <f>Sheet1!A213</f>
        <v>5410</v>
      </c>
      <c r="C202" s="183" t="str">
        <f>Sheet1!C213</f>
        <v>SPRING HILL DR</v>
      </c>
      <c r="D202" s="183" t="str">
        <f>Sheet1!D213</f>
        <v>PINEHURST DR (E)</v>
      </c>
      <c r="E202" s="183" t="str">
        <f>Sheet1!E213</f>
        <v>DELTONA BLVD</v>
      </c>
      <c r="F202" s="184" t="str">
        <f>Sheet1!F213</f>
        <v>4D</v>
      </c>
      <c r="G202" s="184" t="str">
        <f>Sheet1!H213</f>
        <v>4D</v>
      </c>
      <c r="H202" s="185" t="str">
        <f>Sheet1!Z213</f>
        <v>D</v>
      </c>
      <c r="I202" s="185"/>
      <c r="J202" s="185"/>
      <c r="K202" s="185"/>
      <c r="L202" s="184"/>
      <c r="M202" s="184">
        <f>Sheet1!AI213</f>
        <v>2628</v>
      </c>
      <c r="N202" s="184"/>
      <c r="O202" s="184"/>
      <c r="P202" s="184"/>
      <c r="Q202" s="184"/>
      <c r="R202" s="184">
        <f>Sheet1!P213</f>
        <v>25339</v>
      </c>
      <c r="S202" s="186"/>
      <c r="T202" s="184"/>
      <c r="U202" s="184"/>
      <c r="V202" s="184"/>
      <c r="W202" s="184"/>
      <c r="X202" s="184">
        <f>Sheet1!AS213</f>
        <v>2280</v>
      </c>
      <c r="Y202" s="184">
        <f>Sheet1!AT213</f>
        <v>0.86799999999999999</v>
      </c>
      <c r="Z202" s="184"/>
      <c r="AA202" s="184"/>
      <c r="AB202" s="184"/>
      <c r="AC202" s="186"/>
      <c r="AD202" s="184"/>
      <c r="AE202" s="184"/>
      <c r="AF202" s="184"/>
      <c r="AG202" s="186"/>
      <c r="AH202" s="184"/>
      <c r="AI202" s="187"/>
      <c r="AJ202" s="191"/>
      <c r="AK202" s="191"/>
      <c r="AL202" s="191"/>
      <c r="AM202" s="191"/>
    </row>
    <row r="203" spans="2:39" x14ac:dyDescent="0.25">
      <c r="B203" s="193" t="str">
        <f>Sheet1!A214</f>
        <v>5415</v>
      </c>
      <c r="C203" s="183" t="str">
        <f>Sheet1!C214</f>
        <v>SPRING HILL DR</v>
      </c>
      <c r="D203" s="183" t="str">
        <f>Sheet1!D214</f>
        <v>DELTONA BLVD</v>
      </c>
      <c r="E203" s="183" t="str">
        <f>Sheet1!E214</f>
        <v>WATERFALL DR</v>
      </c>
      <c r="F203" s="184" t="str">
        <f>Sheet1!F214</f>
        <v>4D</v>
      </c>
      <c r="G203" s="184" t="str">
        <f>Sheet1!H214</f>
        <v>4D</v>
      </c>
      <c r="H203" s="185" t="str">
        <f>Sheet1!Z214</f>
        <v>D</v>
      </c>
      <c r="I203" s="185"/>
      <c r="J203" s="185"/>
      <c r="K203" s="185"/>
      <c r="L203" s="184"/>
      <c r="M203" s="184">
        <f>Sheet1!AI214</f>
        <v>2628</v>
      </c>
      <c r="N203" s="184"/>
      <c r="O203" s="184"/>
      <c r="P203" s="184"/>
      <c r="Q203" s="184"/>
      <c r="R203" s="184">
        <f>Sheet1!P214</f>
        <v>25339</v>
      </c>
      <c r="S203" s="186"/>
      <c r="T203" s="184"/>
      <c r="U203" s="184"/>
      <c r="V203" s="184"/>
      <c r="W203" s="184"/>
      <c r="X203" s="184">
        <f>Sheet1!AS214</f>
        <v>2280</v>
      </c>
      <c r="Y203" s="184">
        <f>Sheet1!AT214</f>
        <v>0.86799999999999999</v>
      </c>
      <c r="Z203" s="184"/>
      <c r="AA203" s="184"/>
      <c r="AB203" s="184"/>
      <c r="AC203" s="186"/>
      <c r="AD203" s="184"/>
      <c r="AE203" s="184"/>
      <c r="AF203" s="184"/>
      <c r="AG203" s="186"/>
      <c r="AH203" s="184"/>
      <c r="AI203" s="187"/>
      <c r="AJ203" s="191"/>
      <c r="AK203" s="191"/>
      <c r="AL203" s="191"/>
      <c r="AM203" s="191"/>
    </row>
    <row r="204" spans="2:39" x14ac:dyDescent="0.25">
      <c r="B204" s="193" t="str">
        <f>Sheet1!A215</f>
        <v>5420</v>
      </c>
      <c r="C204" s="183" t="str">
        <f>Sheet1!C215</f>
        <v>SPRING HILL DR</v>
      </c>
      <c r="D204" s="183" t="str">
        <f>Sheet1!D215</f>
        <v>WATERFALL DR</v>
      </c>
      <c r="E204" s="183" t="str">
        <f>Sheet1!E215</f>
        <v>MARINER BLVD</v>
      </c>
      <c r="F204" s="184" t="str">
        <f>Sheet1!F215</f>
        <v>4D</v>
      </c>
      <c r="G204" s="184" t="str">
        <f>Sheet1!H215</f>
        <v>4D</v>
      </c>
      <c r="H204" s="185" t="str">
        <f>Sheet1!Z215</f>
        <v>D</v>
      </c>
      <c r="I204" s="185"/>
      <c r="J204" s="185"/>
      <c r="K204" s="185"/>
      <c r="L204" s="184"/>
      <c r="M204" s="184">
        <f>Sheet1!AI215</f>
        <v>2628</v>
      </c>
      <c r="N204" s="184"/>
      <c r="O204" s="184"/>
      <c r="P204" s="184"/>
      <c r="Q204" s="184"/>
      <c r="R204" s="184">
        <f>Sheet1!P215</f>
        <v>25339</v>
      </c>
      <c r="S204" s="186"/>
      <c r="T204" s="184"/>
      <c r="U204" s="184"/>
      <c r="V204" s="184"/>
      <c r="W204" s="184"/>
      <c r="X204" s="184">
        <f>Sheet1!AS215</f>
        <v>2280</v>
      </c>
      <c r="Y204" s="184">
        <f>Sheet1!AT215</f>
        <v>0.86799999999999999</v>
      </c>
      <c r="Z204" s="184"/>
      <c r="AA204" s="184"/>
      <c r="AB204" s="184"/>
      <c r="AC204" s="186"/>
      <c r="AD204" s="184"/>
      <c r="AE204" s="184"/>
      <c r="AF204" s="184"/>
      <c r="AG204" s="186"/>
      <c r="AH204" s="184"/>
      <c r="AI204" s="187"/>
      <c r="AJ204" s="191"/>
      <c r="AK204" s="191"/>
      <c r="AL204" s="191"/>
      <c r="AM204" s="191"/>
    </row>
    <row r="205" spans="2:39" x14ac:dyDescent="0.25">
      <c r="B205" s="193" t="str">
        <f>Sheet1!A216</f>
        <v>5425</v>
      </c>
      <c r="C205" s="183" t="str">
        <f>Sheet1!C216</f>
        <v>SPRING HILL DR</v>
      </c>
      <c r="D205" s="183" t="str">
        <f>Sheet1!D216</f>
        <v>MARINER BLVD</v>
      </c>
      <c r="E205" s="183" t="str">
        <f>Sheet1!E216</f>
        <v>FENTRESS CT</v>
      </c>
      <c r="F205" s="184" t="str">
        <f>Sheet1!F216</f>
        <v>4D</v>
      </c>
      <c r="G205" s="184" t="str">
        <f>Sheet1!H216</f>
        <v>4D</v>
      </c>
      <c r="H205" s="185" t="str">
        <f>Sheet1!Z216</f>
        <v>D</v>
      </c>
      <c r="I205" s="185"/>
      <c r="J205" s="185"/>
      <c r="K205" s="185"/>
      <c r="L205" s="184"/>
      <c r="M205" s="184">
        <f>Sheet1!AI216</f>
        <v>2628</v>
      </c>
      <c r="N205" s="184"/>
      <c r="O205" s="184"/>
      <c r="P205" s="184"/>
      <c r="Q205" s="184"/>
      <c r="R205" s="184">
        <f>Sheet1!P216</f>
        <v>25339</v>
      </c>
      <c r="S205" s="186"/>
      <c r="T205" s="184"/>
      <c r="U205" s="184"/>
      <c r="V205" s="184"/>
      <c r="W205" s="184"/>
      <c r="X205" s="184">
        <f>Sheet1!AS216</f>
        <v>2280</v>
      </c>
      <c r="Y205" s="184">
        <f>Sheet1!AT216</f>
        <v>0.86799999999999999</v>
      </c>
      <c r="Z205" s="184"/>
      <c r="AA205" s="184"/>
      <c r="AB205" s="184"/>
      <c r="AC205" s="186"/>
      <c r="AD205" s="184"/>
      <c r="AE205" s="184"/>
      <c r="AF205" s="184"/>
      <c r="AG205" s="186"/>
      <c r="AH205" s="184"/>
      <c r="AI205" s="187"/>
      <c r="AJ205" s="191"/>
      <c r="AK205" s="191"/>
      <c r="AL205" s="191"/>
      <c r="AM205" s="191"/>
    </row>
    <row r="206" spans="2:39" x14ac:dyDescent="0.25">
      <c r="B206" s="193" t="str">
        <f>Sheet1!A217</f>
        <v>5430.1</v>
      </c>
      <c r="C206" s="183" t="str">
        <f>Sheet1!C217</f>
        <v>SPRING HILL DR</v>
      </c>
      <c r="D206" s="183" t="str">
        <f>Sheet1!D217</f>
        <v>FENTRESS CT</v>
      </c>
      <c r="E206" s="183" t="str">
        <f>Sheet1!E217</f>
        <v>GLENRIDGE DR</v>
      </c>
      <c r="F206" s="184" t="str">
        <f>Sheet1!F217</f>
        <v>4D</v>
      </c>
      <c r="G206" s="184" t="str">
        <f>Sheet1!H217</f>
        <v>4D</v>
      </c>
      <c r="H206" s="185" t="str">
        <f>Sheet1!Z217</f>
        <v>D</v>
      </c>
      <c r="I206" s="185"/>
      <c r="J206" s="185"/>
      <c r="K206" s="185"/>
      <c r="L206" s="184"/>
      <c r="M206" s="184">
        <f>Sheet1!AI217</f>
        <v>2628</v>
      </c>
      <c r="N206" s="184"/>
      <c r="O206" s="184"/>
      <c r="P206" s="184"/>
      <c r="Q206" s="184"/>
      <c r="R206" s="184">
        <f>Sheet1!P217</f>
        <v>25339</v>
      </c>
      <c r="S206" s="186"/>
      <c r="T206" s="184"/>
      <c r="U206" s="184"/>
      <c r="V206" s="184"/>
      <c r="W206" s="184"/>
      <c r="X206" s="184">
        <f>Sheet1!AS217</f>
        <v>2280</v>
      </c>
      <c r="Y206" s="184">
        <f>Sheet1!AT217</f>
        <v>0.86799999999999999</v>
      </c>
      <c r="Z206" s="184"/>
      <c r="AA206" s="184"/>
      <c r="AB206" s="184"/>
      <c r="AC206" s="186"/>
      <c r="AD206" s="184"/>
      <c r="AE206" s="184"/>
      <c r="AF206" s="184"/>
      <c r="AG206" s="186"/>
      <c r="AH206" s="184"/>
      <c r="AI206" s="187"/>
      <c r="AJ206" s="191"/>
      <c r="AK206" s="191"/>
      <c r="AL206" s="191"/>
      <c r="AM206" s="191"/>
    </row>
    <row r="207" spans="2:39" x14ac:dyDescent="0.25">
      <c r="B207" s="193" t="str">
        <f>Sheet1!A218</f>
        <v>5430.2</v>
      </c>
      <c r="C207" s="183" t="str">
        <f>Sheet1!C218</f>
        <v>SPRING HILL DR</v>
      </c>
      <c r="D207" s="183" t="str">
        <f>Sheet1!D218</f>
        <v>GLENRIDGE DR</v>
      </c>
      <c r="E207" s="183" t="str">
        <f>Sheet1!E218</f>
        <v>LINDEN DR (W)</v>
      </c>
      <c r="F207" s="184" t="str">
        <f>Sheet1!F218</f>
        <v>4D</v>
      </c>
      <c r="G207" s="184" t="str">
        <f>Sheet1!H218</f>
        <v>4D</v>
      </c>
      <c r="H207" s="185" t="str">
        <f>Sheet1!Z218</f>
        <v>D</v>
      </c>
      <c r="I207" s="185"/>
      <c r="J207" s="185"/>
      <c r="K207" s="185"/>
      <c r="L207" s="184"/>
      <c r="M207" s="184">
        <f>Sheet1!AI218</f>
        <v>2628</v>
      </c>
      <c r="N207" s="184"/>
      <c r="O207" s="184"/>
      <c r="P207" s="184"/>
      <c r="Q207" s="184"/>
      <c r="R207" s="184">
        <f>Sheet1!P218</f>
        <v>25339</v>
      </c>
      <c r="S207" s="186"/>
      <c r="T207" s="184"/>
      <c r="U207" s="184"/>
      <c r="V207" s="184"/>
      <c r="W207" s="184"/>
      <c r="X207" s="184">
        <f>Sheet1!AS218</f>
        <v>2280</v>
      </c>
      <c r="Y207" s="184">
        <f>Sheet1!AT218</f>
        <v>0.86799999999999999</v>
      </c>
      <c r="Z207" s="184"/>
      <c r="AA207" s="184"/>
      <c r="AB207" s="184"/>
      <c r="AC207" s="186"/>
      <c r="AD207" s="184"/>
      <c r="AE207" s="184"/>
      <c r="AF207" s="184"/>
      <c r="AG207" s="186"/>
      <c r="AH207" s="184"/>
      <c r="AI207" s="187"/>
      <c r="AJ207" s="191"/>
      <c r="AK207" s="191"/>
      <c r="AL207" s="191"/>
      <c r="AM207" s="191"/>
    </row>
    <row r="208" spans="2:39" x14ac:dyDescent="0.25">
      <c r="B208" s="193" t="str">
        <f>Sheet1!A219</f>
        <v>5435.1</v>
      </c>
      <c r="C208" s="183" t="str">
        <f>Sheet1!C219</f>
        <v>SPRING HILL DR</v>
      </c>
      <c r="D208" s="183" t="str">
        <f>Sheet1!D219</f>
        <v>LINDEN DR (W)</v>
      </c>
      <c r="E208" s="183" t="str">
        <f>Sheet1!E219</f>
        <v>CORONADO DR</v>
      </c>
      <c r="F208" s="184" t="str">
        <f>Sheet1!F219</f>
        <v>4D</v>
      </c>
      <c r="G208" s="184" t="str">
        <f>Sheet1!H219</f>
        <v>4D</v>
      </c>
      <c r="H208" s="185" t="str">
        <f>Sheet1!Z219</f>
        <v>D</v>
      </c>
      <c r="I208" s="185"/>
      <c r="J208" s="185"/>
      <c r="K208" s="185"/>
      <c r="L208" s="184"/>
      <c r="M208" s="184">
        <f>Sheet1!AI219</f>
        <v>2628</v>
      </c>
      <c r="N208" s="184"/>
      <c r="O208" s="184"/>
      <c r="P208" s="184"/>
      <c r="Q208" s="184"/>
      <c r="R208" s="184">
        <f>Sheet1!P219</f>
        <v>25339</v>
      </c>
      <c r="S208" s="186"/>
      <c r="T208" s="184"/>
      <c r="U208" s="184"/>
      <c r="V208" s="184"/>
      <c r="W208" s="184"/>
      <c r="X208" s="184">
        <f>Sheet1!AS219</f>
        <v>2280</v>
      </c>
      <c r="Y208" s="184">
        <f>Sheet1!AT219</f>
        <v>0.86799999999999999</v>
      </c>
      <c r="Z208" s="184"/>
      <c r="AA208" s="184"/>
      <c r="AB208" s="184"/>
      <c r="AC208" s="186"/>
      <c r="AD208" s="184"/>
      <c r="AE208" s="184"/>
      <c r="AF208" s="184"/>
      <c r="AG208" s="186"/>
      <c r="AH208" s="184"/>
      <c r="AI208" s="187"/>
      <c r="AJ208" s="191"/>
      <c r="AK208" s="191"/>
      <c r="AL208" s="191"/>
      <c r="AM208" s="191"/>
    </row>
    <row r="209" spans="2:39" x14ac:dyDescent="0.25">
      <c r="B209" s="193" t="str">
        <f>Sheet1!A220</f>
        <v>5435.2</v>
      </c>
      <c r="C209" s="183" t="str">
        <f>Sheet1!C220</f>
        <v>SPRING HILL DR</v>
      </c>
      <c r="D209" s="183" t="str">
        <f>Sheet1!D220</f>
        <v>CORONADO DR</v>
      </c>
      <c r="E209" s="183" t="str">
        <f>Sheet1!E220</f>
        <v>BARCLAY AVE</v>
      </c>
      <c r="F209" s="184" t="str">
        <f>Sheet1!F220</f>
        <v>4D</v>
      </c>
      <c r="G209" s="184" t="str">
        <f>Sheet1!H220</f>
        <v>4D</v>
      </c>
      <c r="H209" s="185" t="str">
        <f>Sheet1!Z220</f>
        <v>D</v>
      </c>
      <c r="I209" s="185"/>
      <c r="J209" s="185"/>
      <c r="K209" s="185"/>
      <c r="L209" s="184"/>
      <c r="M209" s="184">
        <f>Sheet1!AI220</f>
        <v>2628</v>
      </c>
      <c r="N209" s="184"/>
      <c r="O209" s="184"/>
      <c r="P209" s="184"/>
      <c r="Q209" s="184"/>
      <c r="R209" s="184">
        <f>Sheet1!P220</f>
        <v>25339</v>
      </c>
      <c r="S209" s="186"/>
      <c r="T209" s="184"/>
      <c r="U209" s="184"/>
      <c r="V209" s="184"/>
      <c r="W209" s="184"/>
      <c r="X209" s="184">
        <f>Sheet1!AS220</f>
        <v>2280</v>
      </c>
      <c r="Y209" s="184">
        <f>Sheet1!AT220</f>
        <v>0.86799999999999999</v>
      </c>
      <c r="Z209" s="184"/>
      <c r="AA209" s="184"/>
      <c r="AB209" s="184"/>
      <c r="AC209" s="186"/>
      <c r="AD209" s="184"/>
      <c r="AE209" s="184"/>
      <c r="AF209" s="184"/>
      <c r="AG209" s="186"/>
      <c r="AH209" s="184"/>
      <c r="AI209" s="187"/>
      <c r="AJ209" s="191"/>
      <c r="AK209" s="191"/>
      <c r="AL209" s="191"/>
      <c r="AM209" s="191"/>
    </row>
    <row r="210" spans="2:39" x14ac:dyDescent="0.25">
      <c r="B210" s="193" t="str">
        <f>Sheet1!A221</f>
        <v>5440.5</v>
      </c>
      <c r="C210" s="183" t="str">
        <f>Sheet1!C221</f>
        <v>SPRING HILL DR</v>
      </c>
      <c r="D210" s="183" t="str">
        <f>Sheet1!D221</f>
        <v>BARCLAY AVE</v>
      </c>
      <c r="E210" s="183" t="str">
        <f>Sheet1!E221</f>
        <v>N SUNCOAST PKWY (NB RAMPS)</v>
      </c>
      <c r="F210" s="184" t="str">
        <f>Sheet1!F221</f>
        <v>4D</v>
      </c>
      <c r="G210" s="184" t="str">
        <f>Sheet1!H221</f>
        <v>4D</v>
      </c>
      <c r="H210" s="185" t="str">
        <f>Sheet1!Z221</f>
        <v>D</v>
      </c>
      <c r="I210" s="185"/>
      <c r="J210" s="185"/>
      <c r="K210" s="185"/>
      <c r="L210" s="184"/>
      <c r="M210" s="184">
        <f>Sheet1!AI221</f>
        <v>2628</v>
      </c>
      <c r="N210" s="184"/>
      <c r="O210" s="184"/>
      <c r="P210" s="184"/>
      <c r="Q210" s="184"/>
      <c r="R210" s="184">
        <f>Sheet1!P221</f>
        <v>25339</v>
      </c>
      <c r="S210" s="186"/>
      <c r="T210" s="184"/>
      <c r="U210" s="184"/>
      <c r="V210" s="184"/>
      <c r="W210" s="184"/>
      <c r="X210" s="184">
        <f>Sheet1!AS221</f>
        <v>2280</v>
      </c>
      <c r="Y210" s="184">
        <f>Sheet1!AT221</f>
        <v>0.86799999999999999</v>
      </c>
      <c r="Z210" s="184"/>
      <c r="AA210" s="184"/>
      <c r="AB210" s="184"/>
      <c r="AC210" s="186"/>
      <c r="AD210" s="184"/>
      <c r="AE210" s="184"/>
      <c r="AF210" s="184"/>
      <c r="AG210" s="186"/>
      <c r="AH210" s="184"/>
      <c r="AI210" s="187"/>
      <c r="AJ210" s="191"/>
      <c r="AK210" s="191"/>
      <c r="AL210" s="191"/>
      <c r="AM210" s="191"/>
    </row>
    <row r="211" spans="2:39" x14ac:dyDescent="0.25">
      <c r="B211" s="193" t="str">
        <f>Sheet1!A222</f>
        <v>5440.6</v>
      </c>
      <c r="C211" s="183" t="str">
        <f>Sheet1!C222</f>
        <v>SPRING HILL DR</v>
      </c>
      <c r="D211" s="183" t="str">
        <f>Sheet1!D222</f>
        <v>N SUNCOAST PKWY (NB RAMPS)</v>
      </c>
      <c r="E211" s="183" t="str">
        <f>Sheet1!E222</f>
        <v>N SUNCOAST PKWY (SB RAMPS)</v>
      </c>
      <c r="F211" s="184" t="str">
        <f>Sheet1!F222</f>
        <v>4D</v>
      </c>
      <c r="G211" s="184" t="str">
        <f>Sheet1!H222</f>
        <v>4D</v>
      </c>
      <c r="H211" s="185" t="str">
        <f>Sheet1!Z222</f>
        <v>D</v>
      </c>
      <c r="I211" s="185"/>
      <c r="J211" s="185"/>
      <c r="K211" s="185"/>
      <c r="L211" s="184"/>
      <c r="M211" s="184">
        <f>Sheet1!AI222</f>
        <v>2331</v>
      </c>
      <c r="N211" s="184"/>
      <c r="O211" s="184"/>
      <c r="P211" s="184"/>
      <c r="Q211" s="184"/>
      <c r="R211" s="184">
        <f>Sheet1!P222</f>
        <v>24116</v>
      </c>
      <c r="S211" s="186"/>
      <c r="T211" s="184"/>
      <c r="U211" s="184"/>
      <c r="V211" s="184"/>
      <c r="W211" s="184"/>
      <c r="X211" s="184">
        <f>Sheet1!AS222</f>
        <v>2170</v>
      </c>
      <c r="Y211" s="184">
        <f>Sheet1!AT222</f>
        <v>0.93100000000000005</v>
      </c>
      <c r="Z211" s="184"/>
      <c r="AA211" s="184"/>
      <c r="AB211" s="184"/>
      <c r="AC211" s="186"/>
      <c r="AD211" s="184"/>
      <c r="AE211" s="184"/>
      <c r="AF211" s="184"/>
      <c r="AG211" s="186"/>
      <c r="AH211" s="184"/>
      <c r="AI211" s="187"/>
      <c r="AJ211" s="191"/>
      <c r="AK211" s="191"/>
      <c r="AL211" s="191"/>
      <c r="AM211" s="191"/>
    </row>
    <row r="212" spans="2:39" x14ac:dyDescent="0.25">
      <c r="B212" s="193" t="str">
        <f>Sheet1!A223</f>
        <v>5440.4</v>
      </c>
      <c r="C212" s="183" t="str">
        <f>Sheet1!C223</f>
        <v>SPRING HILL DR</v>
      </c>
      <c r="D212" s="183" t="str">
        <f>Sheet1!D223</f>
        <v>N SUNCOAST PKWY (SB RAMPS)</v>
      </c>
      <c r="E212" s="183" t="str">
        <f>Sheet1!E223</f>
        <v>SPRING PARK WAY</v>
      </c>
      <c r="F212" s="184" t="str">
        <f>Sheet1!F223</f>
        <v>4D</v>
      </c>
      <c r="G212" s="184" t="str">
        <f>Sheet1!H223</f>
        <v>4D</v>
      </c>
      <c r="H212" s="185" t="str">
        <f>Sheet1!Z223</f>
        <v>D</v>
      </c>
      <c r="I212" s="185"/>
      <c r="J212" s="185"/>
      <c r="K212" s="185"/>
      <c r="L212" s="184"/>
      <c r="M212" s="184">
        <f>Sheet1!AI223</f>
        <v>2628</v>
      </c>
      <c r="N212" s="184"/>
      <c r="O212" s="184"/>
      <c r="P212" s="184"/>
      <c r="Q212" s="184"/>
      <c r="R212" s="184">
        <f>Sheet1!P223</f>
        <v>24116</v>
      </c>
      <c r="S212" s="186"/>
      <c r="T212" s="184"/>
      <c r="U212" s="184"/>
      <c r="V212" s="184"/>
      <c r="W212" s="184"/>
      <c r="X212" s="184">
        <f>Sheet1!AS223</f>
        <v>2170</v>
      </c>
      <c r="Y212" s="184">
        <f>Sheet1!AT223</f>
        <v>0.82599999999999996</v>
      </c>
      <c r="Z212" s="184"/>
      <c r="AA212" s="184"/>
      <c r="AB212" s="184"/>
      <c r="AC212" s="186"/>
      <c r="AD212" s="184"/>
      <c r="AE212" s="184"/>
      <c r="AF212" s="184"/>
      <c r="AG212" s="186"/>
      <c r="AH212" s="184"/>
      <c r="AI212" s="187"/>
      <c r="AJ212" s="191"/>
      <c r="AK212" s="191"/>
      <c r="AL212" s="191"/>
      <c r="AM212" s="191"/>
    </row>
    <row r="213" spans="2:39" x14ac:dyDescent="0.25">
      <c r="B213" s="193" t="str">
        <f>Sheet1!A224</f>
        <v>5443</v>
      </c>
      <c r="C213" s="183" t="str">
        <f>Sheet1!C224</f>
        <v>SPRING HILL DR</v>
      </c>
      <c r="D213" s="183" t="str">
        <f>Sheet1!D224</f>
        <v>SPRING PARK WAY</v>
      </c>
      <c r="E213" s="183" t="str">
        <f>Sheet1!E224</f>
        <v>CALIFORNIA ST</v>
      </c>
      <c r="F213" s="184" t="str">
        <f>Sheet1!F224</f>
        <v>4D</v>
      </c>
      <c r="G213" s="184" t="str">
        <f>Sheet1!H224</f>
        <v>2U</v>
      </c>
      <c r="H213" s="185" t="str">
        <f>Sheet1!Z224</f>
        <v>D</v>
      </c>
      <c r="I213" s="185"/>
      <c r="J213" s="185"/>
      <c r="K213" s="185"/>
      <c r="L213" s="184"/>
      <c r="M213" s="184">
        <f>Sheet1!AI224</f>
        <v>2628</v>
      </c>
      <c r="N213" s="184"/>
      <c r="O213" s="184"/>
      <c r="P213" s="184"/>
      <c r="Q213" s="184"/>
      <c r="R213" s="184">
        <f>Sheet1!P224</f>
        <v>24116</v>
      </c>
      <c r="S213" s="186"/>
      <c r="T213" s="184"/>
      <c r="U213" s="184"/>
      <c r="V213" s="184"/>
      <c r="W213" s="184"/>
      <c r="X213" s="184">
        <f>Sheet1!AS224</f>
        <v>2170</v>
      </c>
      <c r="Y213" s="184">
        <f>Sheet1!AT224</f>
        <v>0.82599999999999996</v>
      </c>
      <c r="Z213" s="184"/>
      <c r="AA213" s="184"/>
      <c r="AB213" s="184"/>
      <c r="AC213" s="186"/>
      <c r="AD213" s="184"/>
      <c r="AE213" s="184"/>
      <c r="AF213" s="184"/>
      <c r="AG213" s="186"/>
      <c r="AH213" s="184"/>
      <c r="AI213" s="187"/>
      <c r="AJ213" s="191"/>
      <c r="AK213" s="191"/>
      <c r="AL213" s="191"/>
      <c r="AM213" s="191"/>
    </row>
    <row r="214" spans="2:39" x14ac:dyDescent="0.25">
      <c r="B214" s="193" t="str">
        <f>Sheet1!A225</f>
        <v>5445</v>
      </c>
      <c r="C214" s="183" t="str">
        <f>Sheet1!C225</f>
        <v>SPRING HILL DR</v>
      </c>
      <c r="D214" s="183" t="str">
        <f>Sheet1!D225</f>
        <v>CALIFORNIA ST</v>
      </c>
      <c r="E214" s="183" t="str">
        <f>Sheet1!E225</f>
        <v>BROAD ST (US41/SR45)</v>
      </c>
      <c r="F214" s="184" t="str">
        <f>Sheet1!F225</f>
        <v>4D</v>
      </c>
      <c r="G214" s="184" t="str">
        <f>Sheet1!H225</f>
        <v>2U</v>
      </c>
      <c r="H214" s="185" t="str">
        <f>Sheet1!Z225</f>
        <v>D</v>
      </c>
      <c r="I214" s="185"/>
      <c r="J214" s="185"/>
      <c r="K214" s="185"/>
      <c r="L214" s="184"/>
      <c r="M214" s="184">
        <f>Sheet1!AI225</f>
        <v>2628</v>
      </c>
      <c r="N214" s="184"/>
      <c r="O214" s="184"/>
      <c r="P214" s="184"/>
      <c r="Q214" s="184"/>
      <c r="R214" s="184">
        <f>Sheet1!P225</f>
        <v>14115</v>
      </c>
      <c r="S214" s="186"/>
      <c r="T214" s="184"/>
      <c r="U214" s="184"/>
      <c r="V214" s="184"/>
      <c r="W214" s="184"/>
      <c r="X214" s="184">
        <f>Sheet1!AS225</f>
        <v>1270</v>
      </c>
      <c r="Y214" s="184">
        <f>Sheet1!AT225</f>
        <v>0.48299999999999998</v>
      </c>
      <c r="Z214" s="184"/>
      <c r="AA214" s="184"/>
      <c r="AB214" s="184"/>
      <c r="AC214" s="186"/>
      <c r="AD214" s="184"/>
      <c r="AE214" s="184"/>
      <c r="AF214" s="184"/>
      <c r="AG214" s="186"/>
      <c r="AH214" s="184"/>
      <c r="AI214" s="187"/>
      <c r="AJ214" s="191"/>
      <c r="AK214" s="191"/>
      <c r="AL214" s="191"/>
      <c r="AM214" s="191"/>
    </row>
    <row r="215" spans="2:39" x14ac:dyDescent="0.25">
      <c r="B215" s="193" t="str">
        <f>Sheet1!A226</f>
        <v>1410</v>
      </c>
      <c r="C215" s="183" t="str">
        <f>Sheet1!C226</f>
        <v>BURWELL RD</v>
      </c>
      <c r="D215" s="183" t="str">
        <f>Sheet1!D226</f>
        <v>PASCO COUNTY LINE</v>
      </c>
      <c r="E215" s="183" t="str">
        <f>Sheet1!E226</f>
        <v>CORTEZ BLVD (SR50)</v>
      </c>
      <c r="F215" s="184" t="str">
        <f>Sheet1!F226</f>
        <v>2U</v>
      </c>
      <c r="G215" s="184" t="str">
        <f>Sheet1!H226</f>
        <v>2U</v>
      </c>
      <c r="H215" s="185" t="str">
        <f>Sheet1!Z226</f>
        <v>D</v>
      </c>
      <c r="I215" s="185"/>
      <c r="J215" s="185"/>
      <c r="K215" s="185"/>
      <c r="L215" s="184"/>
      <c r="M215" s="184">
        <f>Sheet1!AI226</f>
        <v>1197</v>
      </c>
      <c r="N215" s="184"/>
      <c r="O215" s="184"/>
      <c r="P215" s="184"/>
      <c r="Q215" s="184"/>
      <c r="R215" s="184">
        <f>Sheet1!P226</f>
        <v>676</v>
      </c>
      <c r="S215" s="186"/>
      <c r="T215" s="184"/>
      <c r="U215" s="184"/>
      <c r="V215" s="184"/>
      <c r="W215" s="184"/>
      <c r="X215" s="184">
        <f>Sheet1!AS226</f>
        <v>61</v>
      </c>
      <c r="Y215" s="184">
        <f>Sheet1!AT226</f>
        <v>5.0999999999999997E-2</v>
      </c>
      <c r="Z215" s="184"/>
      <c r="AA215" s="184"/>
      <c r="AB215" s="184"/>
      <c r="AC215" s="186"/>
      <c r="AD215" s="184"/>
      <c r="AE215" s="184"/>
      <c r="AF215" s="184"/>
      <c r="AG215" s="186"/>
      <c r="AH215" s="184"/>
      <c r="AI215" s="187"/>
      <c r="AJ215" s="191"/>
      <c r="AK215" s="191"/>
      <c r="AL215" s="191"/>
      <c r="AM215" s="191"/>
    </row>
    <row r="216" spans="2:39" x14ac:dyDescent="0.25">
      <c r="B216" s="193" t="str">
        <f>Sheet1!A227</f>
        <v>1110</v>
      </c>
      <c r="C216" s="183" t="str">
        <f>Sheet1!C227</f>
        <v>AYERS RD</v>
      </c>
      <c r="D216" s="183" t="str">
        <f>Sheet1!D227</f>
        <v>BROAD ST (US41/SR45)</v>
      </c>
      <c r="E216" s="183" t="str">
        <f>Sheet1!E227</f>
        <v>CULBREATH RD</v>
      </c>
      <c r="F216" s="184" t="str">
        <f>Sheet1!F227</f>
        <v>2U</v>
      </c>
      <c r="G216" s="184" t="str">
        <f>Sheet1!H227</f>
        <v>2U</v>
      </c>
      <c r="H216" s="185" t="str">
        <f>Sheet1!Z227</f>
        <v>D</v>
      </c>
      <c r="I216" s="185"/>
      <c r="J216" s="185"/>
      <c r="K216" s="185"/>
      <c r="L216" s="184"/>
      <c r="M216" s="184">
        <f>Sheet1!AI227</f>
        <v>1818</v>
      </c>
      <c r="N216" s="184"/>
      <c r="O216" s="184"/>
      <c r="P216" s="184"/>
      <c r="Q216" s="184"/>
      <c r="R216" s="184">
        <f>Sheet1!P227</f>
        <v>4750</v>
      </c>
      <c r="S216" s="186"/>
      <c r="T216" s="184"/>
      <c r="U216" s="184"/>
      <c r="V216" s="184"/>
      <c r="W216" s="184"/>
      <c r="X216" s="184">
        <f>Sheet1!AS227</f>
        <v>428</v>
      </c>
      <c r="Y216" s="184">
        <f>Sheet1!AT227</f>
        <v>0.23499999999999999</v>
      </c>
      <c r="Z216" s="184"/>
      <c r="AA216" s="184"/>
      <c r="AB216" s="184"/>
      <c r="AC216" s="186"/>
      <c r="AD216" s="184"/>
      <c r="AE216" s="184"/>
      <c r="AF216" s="184"/>
      <c r="AG216" s="186"/>
      <c r="AH216" s="184"/>
      <c r="AI216" s="187"/>
      <c r="AJ216" s="191"/>
      <c r="AK216" s="191"/>
      <c r="AL216" s="191"/>
      <c r="AM216" s="191"/>
    </row>
    <row r="217" spans="2:39" x14ac:dyDescent="0.25">
      <c r="B217" s="193" t="str">
        <f>Sheet1!A228</f>
        <v>1120.1</v>
      </c>
      <c r="C217" s="183" t="str">
        <f>Sheet1!C228</f>
        <v>HAYMAN RD</v>
      </c>
      <c r="D217" s="183" t="str">
        <f>Sheet1!D228</f>
        <v>CULBREATH RD</v>
      </c>
      <c r="E217" s="183" t="str">
        <f>Sheet1!E228</f>
        <v>HAYMAN RD EXT</v>
      </c>
      <c r="F217" s="184" t="str">
        <f>Sheet1!F228</f>
        <v>2U</v>
      </c>
      <c r="G217" s="184" t="str">
        <f>Sheet1!H228</f>
        <v>2U</v>
      </c>
      <c r="H217" s="185" t="str">
        <f>Sheet1!Z228</f>
        <v>D</v>
      </c>
      <c r="I217" s="185"/>
      <c r="J217" s="185"/>
      <c r="K217" s="185"/>
      <c r="L217" s="184"/>
      <c r="M217" s="184">
        <f>Sheet1!AI228</f>
        <v>1818</v>
      </c>
      <c r="N217" s="184"/>
      <c r="O217" s="184"/>
      <c r="P217" s="184"/>
      <c r="Q217" s="184"/>
      <c r="R217" s="184">
        <f>Sheet1!P228</f>
        <v>4750</v>
      </c>
      <c r="S217" s="186"/>
      <c r="T217" s="184"/>
      <c r="U217" s="184"/>
      <c r="V217" s="184"/>
      <c r="W217" s="184"/>
      <c r="X217" s="184">
        <f>Sheet1!AS228</f>
        <v>428</v>
      </c>
      <c r="Y217" s="184">
        <f>Sheet1!AT228</f>
        <v>0.23499999999999999</v>
      </c>
      <c r="Z217" s="184"/>
      <c r="AA217" s="184"/>
      <c r="AB217" s="184"/>
      <c r="AC217" s="186"/>
      <c r="AD217" s="184"/>
      <c r="AE217" s="184"/>
      <c r="AF217" s="184"/>
      <c r="AG217" s="186"/>
      <c r="AH217" s="184"/>
      <c r="AI217" s="187"/>
      <c r="AJ217" s="191"/>
      <c r="AK217" s="191"/>
      <c r="AL217" s="191"/>
      <c r="AM217" s="191"/>
    </row>
    <row r="218" spans="2:39" x14ac:dyDescent="0.25">
      <c r="B218" s="193" t="str">
        <f>Sheet1!A229</f>
        <v>1120.2</v>
      </c>
      <c r="C218" s="183" t="str">
        <f>Sheet1!C229</f>
        <v>HAYMAN RD</v>
      </c>
      <c r="D218" s="183" t="str">
        <f>Sheet1!D229</f>
        <v>HAYMAN RD EXT</v>
      </c>
      <c r="E218" s="183" t="str">
        <f>Sheet1!E229</f>
        <v>FAIR FORTUNE LN</v>
      </c>
      <c r="F218" s="184" t="str">
        <f>Sheet1!F229</f>
        <v>2U</v>
      </c>
      <c r="G218" s="184" t="str">
        <f>Sheet1!H229</f>
        <v>4D</v>
      </c>
      <c r="H218" s="185" t="str">
        <f>Sheet1!Z229</f>
        <v>D</v>
      </c>
      <c r="I218" s="185"/>
      <c r="J218" s="185"/>
      <c r="K218" s="185"/>
      <c r="L218" s="184"/>
      <c r="M218" s="184">
        <f>Sheet1!AI229</f>
        <v>1818</v>
      </c>
      <c r="N218" s="184"/>
      <c r="O218" s="184"/>
      <c r="P218" s="184"/>
      <c r="Q218" s="184"/>
      <c r="R218" s="184">
        <f>Sheet1!P229</f>
        <v>4750</v>
      </c>
      <c r="S218" s="186"/>
      <c r="T218" s="184"/>
      <c r="U218" s="184"/>
      <c r="V218" s="184"/>
      <c r="W218" s="184"/>
      <c r="X218" s="184">
        <f>Sheet1!AS229</f>
        <v>428</v>
      </c>
      <c r="Y218" s="184">
        <f>Sheet1!AT229</f>
        <v>0.23499999999999999</v>
      </c>
      <c r="Z218" s="184"/>
      <c r="AA218" s="184"/>
      <c r="AB218" s="184"/>
      <c r="AC218" s="186"/>
      <c r="AD218" s="184"/>
      <c r="AE218" s="184"/>
      <c r="AF218" s="184"/>
      <c r="AG218" s="186"/>
      <c r="AH218" s="184"/>
      <c r="AI218" s="187"/>
      <c r="AJ218" s="191"/>
      <c r="AK218" s="191"/>
      <c r="AL218" s="191"/>
      <c r="AM218" s="191"/>
    </row>
    <row r="219" spans="2:39" x14ac:dyDescent="0.25">
      <c r="B219" s="193" t="str">
        <f>Sheet1!A230</f>
        <v>1123</v>
      </c>
      <c r="C219" s="183" t="str">
        <f>Sheet1!C230</f>
        <v>HAYMAN RD</v>
      </c>
      <c r="D219" s="183" t="str">
        <f>Sheet1!D230</f>
        <v>FAIR FORTUNE LN</v>
      </c>
      <c r="E219" s="183" t="str">
        <f>Sheet1!E230</f>
        <v>SPRING LAKE HWY</v>
      </c>
      <c r="F219" s="184" t="str">
        <f>Sheet1!F230</f>
        <v>2U</v>
      </c>
      <c r="G219" s="184" t="str">
        <f>Sheet1!H230</f>
        <v>4D</v>
      </c>
      <c r="H219" s="185" t="str">
        <f>Sheet1!Z230</f>
        <v>D</v>
      </c>
      <c r="I219" s="185"/>
      <c r="J219" s="185"/>
      <c r="K219" s="185"/>
      <c r="L219" s="184"/>
      <c r="M219" s="184">
        <f>Sheet1!AI230</f>
        <v>1818</v>
      </c>
      <c r="N219" s="184"/>
      <c r="O219" s="184"/>
      <c r="P219" s="184"/>
      <c r="Q219" s="184"/>
      <c r="R219" s="184">
        <f>Sheet1!P230</f>
        <v>4750</v>
      </c>
      <c r="S219" s="186"/>
      <c r="T219" s="184"/>
      <c r="U219" s="184"/>
      <c r="V219" s="184"/>
      <c r="W219" s="184"/>
      <c r="X219" s="184">
        <f>Sheet1!AS230</f>
        <v>428</v>
      </c>
      <c r="Y219" s="184">
        <f>Sheet1!AT230</f>
        <v>0.23499999999999999</v>
      </c>
      <c r="Z219" s="184"/>
      <c r="AA219" s="184"/>
      <c r="AB219" s="184"/>
      <c r="AC219" s="186"/>
      <c r="AD219" s="184"/>
      <c r="AE219" s="184"/>
      <c r="AF219" s="184"/>
      <c r="AG219" s="186"/>
      <c r="AH219" s="184"/>
      <c r="AI219" s="187"/>
      <c r="AJ219" s="191"/>
      <c r="AK219" s="191"/>
      <c r="AL219" s="191"/>
      <c r="AM219" s="191"/>
    </row>
    <row r="220" spans="2:39" x14ac:dyDescent="0.25">
      <c r="B220" s="193" t="str">
        <f>Sheet1!A231</f>
        <v>20050</v>
      </c>
      <c r="C220" s="183" t="str">
        <f>Sheet1!C231</f>
        <v>AYERS RD</v>
      </c>
      <c r="D220" s="183" t="str">
        <f>Sheet1!D231</f>
        <v>COUNTY LINE RD</v>
      </c>
      <c r="E220" s="183" t="str">
        <f>Sheet1!E231</f>
        <v>BROAD ST (US41/SR45)</v>
      </c>
      <c r="F220" s="184" t="str">
        <f>Sheet1!F231</f>
        <v>4D</v>
      </c>
      <c r="G220" s="184" t="str">
        <f>Sheet1!H231</f>
        <v>4D</v>
      </c>
      <c r="H220" s="185" t="str">
        <f>Sheet1!Z231</f>
        <v>D</v>
      </c>
      <c r="I220" s="185"/>
      <c r="J220" s="185"/>
      <c r="K220" s="185"/>
      <c r="L220" s="184"/>
      <c r="M220" s="184">
        <f>Sheet1!AI231</f>
        <v>2628</v>
      </c>
      <c r="N220" s="184"/>
      <c r="O220" s="184"/>
      <c r="P220" s="184"/>
      <c r="Q220" s="184"/>
      <c r="R220" s="184">
        <f>Sheet1!P231</f>
        <v>4750</v>
      </c>
      <c r="S220" s="186"/>
      <c r="T220" s="184"/>
      <c r="U220" s="184"/>
      <c r="V220" s="184"/>
      <c r="W220" s="184"/>
      <c r="X220" s="184">
        <f>Sheet1!AS231</f>
        <v>428</v>
      </c>
      <c r="Y220" s="184">
        <f>Sheet1!AT231</f>
        <v>0.16300000000000001</v>
      </c>
      <c r="Z220" s="184"/>
      <c r="AA220" s="184"/>
      <c r="AB220" s="184"/>
      <c r="AC220" s="186"/>
      <c r="AD220" s="184"/>
      <c r="AE220" s="184"/>
      <c r="AF220" s="184"/>
      <c r="AG220" s="186"/>
      <c r="AH220" s="184"/>
      <c r="AI220" s="187"/>
      <c r="AJ220" s="191"/>
      <c r="AK220" s="191"/>
      <c r="AL220" s="191"/>
      <c r="AM220" s="191"/>
    </row>
    <row r="221" spans="2:39" x14ac:dyDescent="0.25">
      <c r="B221" s="193" t="str">
        <f>Sheet1!A232</f>
        <v>2305.1</v>
      </c>
      <c r="C221" s="183" t="str">
        <f>Sheet1!C232</f>
        <v>COUNTY LINE RD</v>
      </c>
      <c r="D221" s="183" t="str">
        <f>Sheet1!D232</f>
        <v>US 19</v>
      </c>
      <c r="E221" s="183" t="str">
        <f>Sheet1!E232</f>
        <v>DARTMOUTH AVE</v>
      </c>
      <c r="F221" s="184" t="str">
        <f>Sheet1!F232</f>
        <v>4D</v>
      </c>
      <c r="G221" s="184" t="str">
        <f>Sheet1!H232</f>
        <v>2U</v>
      </c>
      <c r="H221" s="185" t="str">
        <f>Sheet1!Z232</f>
        <v>D</v>
      </c>
      <c r="I221" s="185"/>
      <c r="J221" s="185"/>
      <c r="K221" s="185"/>
      <c r="L221" s="184"/>
      <c r="M221" s="184">
        <f>Sheet1!AI232</f>
        <v>3222</v>
      </c>
      <c r="N221" s="184"/>
      <c r="O221" s="184"/>
      <c r="P221" s="184"/>
      <c r="Q221" s="184"/>
      <c r="R221" s="184">
        <f>Sheet1!P232</f>
        <v>23775</v>
      </c>
      <c r="S221" s="186"/>
      <c r="T221" s="184"/>
      <c r="U221" s="184"/>
      <c r="V221" s="184"/>
      <c r="W221" s="184"/>
      <c r="X221" s="184">
        <f>Sheet1!AS232</f>
        <v>2140</v>
      </c>
      <c r="Y221" s="184">
        <f>Sheet1!AT232</f>
        <v>0.66400000000000003</v>
      </c>
      <c r="Z221" s="184"/>
      <c r="AA221" s="184"/>
      <c r="AB221" s="184"/>
      <c r="AC221" s="186"/>
      <c r="AD221" s="184"/>
      <c r="AE221" s="184"/>
      <c r="AF221" s="184"/>
      <c r="AG221" s="186"/>
      <c r="AH221" s="184"/>
      <c r="AI221" s="187"/>
      <c r="AJ221" s="191"/>
      <c r="AK221" s="191"/>
      <c r="AL221" s="191"/>
      <c r="AM221" s="191"/>
    </row>
    <row r="222" spans="2:39" x14ac:dyDescent="0.25">
      <c r="B222" s="193" t="str">
        <f>Sheet1!A233</f>
        <v>2305.2</v>
      </c>
      <c r="C222" s="183" t="str">
        <f>Sheet1!C233</f>
        <v>COUNTY LINE RD</v>
      </c>
      <c r="D222" s="183" t="str">
        <f>Sheet1!D233</f>
        <v>DARTMOUTH AVE</v>
      </c>
      <c r="E222" s="183" t="str">
        <f>Sheet1!E233</f>
        <v>COBBLESTONE DR</v>
      </c>
      <c r="F222" s="184" t="str">
        <f>Sheet1!F233</f>
        <v>4D</v>
      </c>
      <c r="G222" s="184" t="str">
        <f>Sheet1!H233</f>
        <v>2U</v>
      </c>
      <c r="H222" s="185" t="str">
        <f>Sheet1!Z233</f>
        <v>D</v>
      </c>
      <c r="I222" s="185"/>
      <c r="J222" s="185"/>
      <c r="K222" s="185"/>
      <c r="L222" s="184"/>
      <c r="M222" s="184">
        <f>Sheet1!AI233</f>
        <v>3222</v>
      </c>
      <c r="N222" s="184"/>
      <c r="O222" s="184"/>
      <c r="P222" s="184"/>
      <c r="Q222" s="184"/>
      <c r="R222" s="184">
        <f>Sheet1!P233</f>
        <v>23775</v>
      </c>
      <c r="S222" s="186"/>
      <c r="T222" s="184"/>
      <c r="U222" s="184"/>
      <c r="V222" s="184"/>
      <c r="W222" s="184"/>
      <c r="X222" s="184">
        <f>Sheet1!AS233</f>
        <v>2140</v>
      </c>
      <c r="Y222" s="184">
        <f>Sheet1!AT233</f>
        <v>0.66400000000000003</v>
      </c>
      <c r="Z222" s="184"/>
      <c r="AA222" s="184"/>
      <c r="AB222" s="184"/>
      <c r="AC222" s="186"/>
      <c r="AD222" s="184"/>
      <c r="AE222" s="184"/>
      <c r="AF222" s="184"/>
      <c r="AG222" s="186"/>
      <c r="AH222" s="184"/>
      <c r="AI222" s="187"/>
      <c r="AJ222" s="191"/>
      <c r="AK222" s="191"/>
      <c r="AL222" s="191"/>
      <c r="AM222" s="191"/>
    </row>
    <row r="223" spans="2:39" x14ac:dyDescent="0.25">
      <c r="B223" s="193" t="str">
        <f>Sheet1!A234</f>
        <v>2310.1</v>
      </c>
      <c r="C223" s="183" t="str">
        <f>Sheet1!C234</f>
        <v>COUNTY LINE RD</v>
      </c>
      <c r="D223" s="183" t="str">
        <f>Sheet1!D234</f>
        <v>COBBLESTONE DR</v>
      </c>
      <c r="E223" s="183" t="str">
        <f>Sheet1!E234</f>
        <v>EAST OF COBBLESTONE DR</v>
      </c>
      <c r="F223" s="184" t="str">
        <f>Sheet1!F234</f>
        <v>2U</v>
      </c>
      <c r="G223" s="184" t="str">
        <f>Sheet1!H234</f>
        <v>2U</v>
      </c>
      <c r="H223" s="185" t="str">
        <f>Sheet1!Z234</f>
        <v>D</v>
      </c>
      <c r="I223" s="185"/>
      <c r="J223" s="185"/>
      <c r="K223" s="185"/>
      <c r="L223" s="184"/>
      <c r="M223" s="184">
        <f>Sheet1!AI234</f>
        <v>1440</v>
      </c>
      <c r="N223" s="184"/>
      <c r="O223" s="184"/>
      <c r="P223" s="184"/>
      <c r="Q223" s="184"/>
      <c r="R223" s="184">
        <f>Sheet1!P234</f>
        <v>30933</v>
      </c>
      <c r="S223" s="186"/>
      <c r="T223" s="184"/>
      <c r="U223" s="184"/>
      <c r="V223" s="184"/>
      <c r="W223" s="184"/>
      <c r="X223" s="184">
        <f>Sheet1!AS234</f>
        <v>2784</v>
      </c>
      <c r="Y223" s="184">
        <f>Sheet1!AT234</f>
        <v>1.9330000000000001</v>
      </c>
      <c r="Z223" s="184"/>
      <c r="AA223" s="184"/>
      <c r="AB223" s="184"/>
      <c r="AC223" s="186"/>
      <c r="AD223" s="184"/>
      <c r="AE223" s="184"/>
      <c r="AF223" s="184"/>
      <c r="AG223" s="186"/>
      <c r="AH223" s="184"/>
      <c r="AI223" s="187"/>
      <c r="AJ223" s="191"/>
      <c r="AK223" s="191"/>
      <c r="AL223" s="191"/>
      <c r="AM223" s="191"/>
    </row>
    <row r="224" spans="2:39" x14ac:dyDescent="0.25">
      <c r="B224" s="193" t="str">
        <f>Sheet1!A235</f>
        <v>2310.2</v>
      </c>
      <c r="C224" s="183" t="str">
        <f>Sheet1!C235</f>
        <v>COUNTY LINE RD</v>
      </c>
      <c r="D224" s="183" t="str">
        <f>Sheet1!D235</f>
        <v>EAST OF COBBLESTONE DR</v>
      </c>
      <c r="E224" s="183" t="str">
        <f>Sheet1!E235</f>
        <v>WATERFALL DR</v>
      </c>
      <c r="F224" s="184" t="str">
        <f>Sheet1!F235</f>
        <v>2U</v>
      </c>
      <c r="G224" s="184" t="str">
        <f>Sheet1!H235</f>
        <v>2U</v>
      </c>
      <c r="H224" s="185" t="str">
        <f>Sheet1!Z235</f>
        <v>D</v>
      </c>
      <c r="I224" s="185"/>
      <c r="J224" s="185"/>
      <c r="K224" s="185"/>
      <c r="L224" s="184"/>
      <c r="M224" s="184">
        <f>Sheet1!AI235</f>
        <v>1152</v>
      </c>
      <c r="N224" s="184"/>
      <c r="O224" s="184"/>
      <c r="P224" s="184"/>
      <c r="Q224" s="184"/>
      <c r="R224" s="184">
        <f>Sheet1!P235</f>
        <v>30933</v>
      </c>
      <c r="S224" s="186"/>
      <c r="T224" s="184"/>
      <c r="U224" s="184"/>
      <c r="V224" s="184"/>
      <c r="W224" s="184"/>
      <c r="X224" s="184">
        <f>Sheet1!AS235</f>
        <v>2784</v>
      </c>
      <c r="Y224" s="184">
        <f>Sheet1!AT235</f>
        <v>2.4169999999999998</v>
      </c>
      <c r="Z224" s="184"/>
      <c r="AA224" s="184"/>
      <c r="AB224" s="184"/>
      <c r="AC224" s="186"/>
      <c r="AD224" s="184"/>
      <c r="AE224" s="184"/>
      <c r="AF224" s="184"/>
      <c r="AG224" s="186"/>
      <c r="AH224" s="184"/>
      <c r="AI224" s="187"/>
      <c r="AJ224" s="191"/>
      <c r="AK224" s="191"/>
      <c r="AL224" s="191"/>
      <c r="AM224" s="191"/>
    </row>
    <row r="225" spans="2:39" x14ac:dyDescent="0.25">
      <c r="B225" s="193" t="str">
        <f>Sheet1!A236</f>
        <v>2320.3</v>
      </c>
      <c r="C225" s="183" t="str">
        <f>Sheet1!C236</f>
        <v>COUNTY LINE RD</v>
      </c>
      <c r="D225" s="183" t="str">
        <f>Sheet1!D236</f>
        <v>WATERFALL DR</v>
      </c>
      <c r="E225" s="183" t="str">
        <f>Sheet1!E236</f>
        <v>1/4 MI W OF MARINER</v>
      </c>
      <c r="F225" s="184" t="str">
        <f>Sheet1!F236</f>
        <v>2U</v>
      </c>
      <c r="G225" s="184" t="str">
        <f>Sheet1!H236</f>
        <v>2U</v>
      </c>
      <c r="H225" s="185" t="str">
        <f>Sheet1!Z236</f>
        <v>D</v>
      </c>
      <c r="I225" s="185"/>
      <c r="J225" s="185"/>
      <c r="K225" s="185"/>
      <c r="L225" s="184"/>
      <c r="M225" s="184">
        <f>Sheet1!AI236</f>
        <v>1152</v>
      </c>
      <c r="N225" s="184"/>
      <c r="O225" s="184"/>
      <c r="P225" s="184"/>
      <c r="Q225" s="184"/>
      <c r="R225" s="184">
        <f>Sheet1!P236</f>
        <v>23775</v>
      </c>
      <c r="S225" s="186"/>
      <c r="T225" s="184"/>
      <c r="U225" s="184"/>
      <c r="V225" s="184"/>
      <c r="W225" s="184"/>
      <c r="X225" s="184">
        <f>Sheet1!AS236</f>
        <v>2140</v>
      </c>
      <c r="Y225" s="184">
        <f>Sheet1!AT236</f>
        <v>1.8580000000000001</v>
      </c>
      <c r="Z225" s="184"/>
      <c r="AA225" s="184"/>
      <c r="AB225" s="184"/>
      <c r="AC225" s="186"/>
      <c r="AD225" s="184"/>
      <c r="AE225" s="184"/>
      <c r="AF225" s="184"/>
      <c r="AG225" s="186"/>
      <c r="AH225" s="184"/>
      <c r="AI225" s="187"/>
      <c r="AJ225" s="191"/>
      <c r="AK225" s="191"/>
      <c r="AL225" s="191"/>
      <c r="AM225" s="191"/>
    </row>
    <row r="226" spans="2:39" x14ac:dyDescent="0.25">
      <c r="B226" s="193" t="str">
        <f>Sheet1!A237</f>
        <v>2320.4</v>
      </c>
      <c r="C226" s="183" t="str">
        <f>Sheet1!C237</f>
        <v>COUNTY LINE RD</v>
      </c>
      <c r="D226" s="183" t="str">
        <f>Sheet1!D237</f>
        <v>1/4 MI W OF MARINER</v>
      </c>
      <c r="E226" s="183" t="str">
        <f>Sheet1!E237</f>
        <v>MARINER BLVD</v>
      </c>
      <c r="F226" s="184" t="str">
        <f>Sheet1!F237</f>
        <v>4D</v>
      </c>
      <c r="G226" s="184" t="str">
        <f>Sheet1!H237</f>
        <v>2U</v>
      </c>
      <c r="H226" s="185" t="str">
        <f>Sheet1!Z237</f>
        <v>D</v>
      </c>
      <c r="I226" s="185"/>
      <c r="J226" s="185"/>
      <c r="K226" s="185"/>
      <c r="L226" s="184"/>
      <c r="M226" s="184">
        <f>Sheet1!AI237</f>
        <v>1440</v>
      </c>
      <c r="N226" s="184"/>
      <c r="O226" s="184"/>
      <c r="P226" s="184"/>
      <c r="Q226" s="184"/>
      <c r="R226" s="184">
        <f>Sheet1!P237</f>
        <v>23775</v>
      </c>
      <c r="S226" s="186"/>
      <c r="T226" s="184"/>
      <c r="U226" s="184"/>
      <c r="V226" s="184"/>
      <c r="W226" s="184"/>
      <c r="X226" s="184">
        <f>Sheet1!AS237</f>
        <v>2140</v>
      </c>
      <c r="Y226" s="184">
        <f>Sheet1!AT237</f>
        <v>1.486</v>
      </c>
      <c r="Z226" s="184"/>
      <c r="AA226" s="184"/>
      <c r="AB226" s="184"/>
      <c r="AC226" s="186"/>
      <c r="AD226" s="184"/>
      <c r="AE226" s="184"/>
      <c r="AF226" s="184"/>
      <c r="AG226" s="186"/>
      <c r="AH226" s="184"/>
      <c r="AI226" s="187"/>
      <c r="AJ226" s="191"/>
      <c r="AK226" s="191"/>
      <c r="AL226" s="191"/>
      <c r="AM226" s="191"/>
    </row>
    <row r="227" spans="2:39" x14ac:dyDescent="0.25">
      <c r="B227" s="193" t="str">
        <f>Sheet1!A238</f>
        <v>2330.3</v>
      </c>
      <c r="C227" s="183" t="str">
        <f>Sheet1!C238</f>
        <v>COUNTY LINE RD</v>
      </c>
      <c r="D227" s="183" t="str">
        <f>Sheet1!D238</f>
        <v>MARINER BLVD</v>
      </c>
      <c r="E227" s="183" t="str">
        <f>Sheet1!E238</f>
        <v>1/4 MI E OF MARINER</v>
      </c>
      <c r="F227" s="184" t="str">
        <f>Sheet1!F238</f>
        <v>4D</v>
      </c>
      <c r="G227" s="184" t="str">
        <f>Sheet1!H238</f>
        <v>2U</v>
      </c>
      <c r="H227" s="185" t="str">
        <f>Sheet1!Z238</f>
        <v>D</v>
      </c>
      <c r="I227" s="185"/>
      <c r="J227" s="185"/>
      <c r="K227" s="185"/>
      <c r="L227" s="184"/>
      <c r="M227" s="184">
        <f>Sheet1!AI238</f>
        <v>1440</v>
      </c>
      <c r="N227" s="184"/>
      <c r="O227" s="184"/>
      <c r="P227" s="184"/>
      <c r="Q227" s="184"/>
      <c r="R227" s="184">
        <f>Sheet1!P238</f>
        <v>23775</v>
      </c>
      <c r="S227" s="186"/>
      <c r="T227" s="184"/>
      <c r="U227" s="184"/>
      <c r="V227" s="184"/>
      <c r="W227" s="184"/>
      <c r="X227" s="184">
        <f>Sheet1!AS238</f>
        <v>2140</v>
      </c>
      <c r="Y227" s="184">
        <f>Sheet1!AT238</f>
        <v>1.486</v>
      </c>
      <c r="Z227" s="184"/>
      <c r="AA227" s="184"/>
      <c r="AB227" s="184"/>
      <c r="AC227" s="186"/>
      <c r="AD227" s="184"/>
      <c r="AE227" s="184"/>
      <c r="AF227" s="184"/>
      <c r="AG227" s="186"/>
      <c r="AH227" s="184"/>
      <c r="AI227" s="187"/>
      <c r="AJ227" s="191"/>
      <c r="AK227" s="191"/>
      <c r="AL227" s="191"/>
      <c r="AM227" s="191"/>
    </row>
    <row r="228" spans="2:39" x14ac:dyDescent="0.25">
      <c r="B228" s="193" t="str">
        <f>Sheet1!A239</f>
        <v>2330.4</v>
      </c>
      <c r="C228" s="183" t="str">
        <f>Sheet1!C239</f>
        <v>COUNTY LINE RD</v>
      </c>
      <c r="D228" s="183" t="str">
        <f>Sheet1!D239</f>
        <v>1/4 MI E OF MARINER</v>
      </c>
      <c r="E228" s="183" t="str">
        <f>Sheet1!E239</f>
        <v>FARNSWORTH BLVD</v>
      </c>
      <c r="F228" s="184" t="str">
        <f>Sheet1!F239</f>
        <v>2U</v>
      </c>
      <c r="G228" s="184" t="str">
        <f>Sheet1!H239</f>
        <v>2U</v>
      </c>
      <c r="H228" s="185" t="str">
        <f>Sheet1!Z239</f>
        <v>D</v>
      </c>
      <c r="I228" s="185"/>
      <c r="J228" s="185"/>
      <c r="K228" s="185"/>
      <c r="L228" s="184"/>
      <c r="M228" s="184">
        <f>Sheet1!AI239</f>
        <v>1152</v>
      </c>
      <c r="N228" s="184"/>
      <c r="O228" s="184"/>
      <c r="P228" s="184"/>
      <c r="Q228" s="184"/>
      <c r="R228" s="184">
        <f>Sheet1!P239</f>
        <v>23775</v>
      </c>
      <c r="S228" s="186"/>
      <c r="T228" s="184"/>
      <c r="U228" s="184"/>
      <c r="V228" s="184"/>
      <c r="W228" s="184"/>
      <c r="X228" s="184">
        <f>Sheet1!AS239</f>
        <v>2140</v>
      </c>
      <c r="Y228" s="184">
        <f>Sheet1!AT239</f>
        <v>1.8580000000000001</v>
      </c>
      <c r="Z228" s="184"/>
      <c r="AA228" s="184"/>
      <c r="AB228" s="184"/>
      <c r="AC228" s="186"/>
      <c r="AD228" s="184"/>
      <c r="AE228" s="184"/>
      <c r="AF228" s="184"/>
      <c r="AG228" s="186"/>
      <c r="AH228" s="184"/>
      <c r="AI228" s="187"/>
      <c r="AJ228" s="191"/>
      <c r="AK228" s="191"/>
      <c r="AL228" s="191"/>
      <c r="AM228" s="191"/>
    </row>
    <row r="229" spans="2:39" x14ac:dyDescent="0.25">
      <c r="B229" s="193" t="str">
        <f>Sheet1!A240</f>
        <v>2330.2</v>
      </c>
      <c r="C229" s="183" t="str">
        <f>Sheet1!C240</f>
        <v>COUNTY LINE RD</v>
      </c>
      <c r="D229" s="183" t="str">
        <f>Sheet1!D240</f>
        <v>FARNSWORTH BLVD</v>
      </c>
      <c r="E229" s="183" t="str">
        <f>Sheet1!E240</f>
        <v>LINDEN DR</v>
      </c>
      <c r="F229" s="184" t="str">
        <f>Sheet1!F240</f>
        <v>2U</v>
      </c>
      <c r="G229" s="184" t="str">
        <f>Sheet1!H240</f>
        <v>4D</v>
      </c>
      <c r="H229" s="185" t="str">
        <f>Sheet1!Z240</f>
        <v>D</v>
      </c>
      <c r="I229" s="185"/>
      <c r="J229" s="185"/>
      <c r="K229" s="185"/>
      <c r="L229" s="184"/>
      <c r="M229" s="184">
        <f>Sheet1!AI240</f>
        <v>1152</v>
      </c>
      <c r="N229" s="184"/>
      <c r="O229" s="184"/>
      <c r="P229" s="184"/>
      <c r="Q229" s="184"/>
      <c r="R229" s="184">
        <f>Sheet1!P240</f>
        <v>23775</v>
      </c>
      <c r="S229" s="186"/>
      <c r="T229" s="184"/>
      <c r="U229" s="184"/>
      <c r="V229" s="184"/>
      <c r="W229" s="184"/>
      <c r="X229" s="184">
        <f>Sheet1!AS240</f>
        <v>2140</v>
      </c>
      <c r="Y229" s="184">
        <f>Sheet1!AT240</f>
        <v>1.8580000000000001</v>
      </c>
      <c r="Z229" s="184"/>
      <c r="AA229" s="184"/>
      <c r="AB229" s="184"/>
      <c r="AC229" s="186"/>
      <c r="AD229" s="184"/>
      <c r="AE229" s="184"/>
      <c r="AF229" s="184"/>
      <c r="AG229" s="186"/>
      <c r="AH229" s="184"/>
      <c r="AI229" s="187"/>
      <c r="AJ229" s="191"/>
      <c r="AK229" s="191"/>
      <c r="AL229" s="191"/>
      <c r="AM229" s="191"/>
    </row>
    <row r="230" spans="2:39" x14ac:dyDescent="0.25">
      <c r="B230" s="193" t="str">
        <f>Sheet1!A241</f>
        <v>2340.1</v>
      </c>
      <c r="C230" s="183" t="str">
        <f>Sheet1!C241</f>
        <v>COUNTY LINE RD</v>
      </c>
      <c r="D230" s="183" t="str">
        <f>Sheet1!D241</f>
        <v>LINDEN DR</v>
      </c>
      <c r="E230" s="183" t="str">
        <f>Sheet1!E241</f>
        <v>OAK CHASE BLVD</v>
      </c>
      <c r="F230" s="184" t="str">
        <f>Sheet1!F241</f>
        <v>2U</v>
      </c>
      <c r="G230" s="184" t="str">
        <f>Sheet1!H241</f>
        <v>4D</v>
      </c>
      <c r="H230" s="185" t="str">
        <f>Sheet1!Z241</f>
        <v>D</v>
      </c>
      <c r="I230" s="185"/>
      <c r="J230" s="185"/>
      <c r="K230" s="185"/>
      <c r="L230" s="184"/>
      <c r="M230" s="184">
        <f>Sheet1!AI241</f>
        <v>1152</v>
      </c>
      <c r="N230" s="184"/>
      <c r="O230" s="184"/>
      <c r="P230" s="184"/>
      <c r="Q230" s="184"/>
      <c r="R230" s="184">
        <f>Sheet1!P241</f>
        <v>23775</v>
      </c>
      <c r="S230" s="186"/>
      <c r="T230" s="184"/>
      <c r="U230" s="184"/>
      <c r="V230" s="184"/>
      <c r="W230" s="184"/>
      <c r="X230" s="184">
        <f>Sheet1!AS241</f>
        <v>2140</v>
      </c>
      <c r="Y230" s="184">
        <f>Sheet1!AT241</f>
        <v>1.8580000000000001</v>
      </c>
      <c r="Z230" s="184"/>
      <c r="AA230" s="184"/>
      <c r="AB230" s="184"/>
      <c r="AC230" s="186"/>
      <c r="AD230" s="184"/>
      <c r="AE230" s="184"/>
      <c r="AF230" s="184"/>
      <c r="AG230" s="186"/>
      <c r="AH230" s="184"/>
      <c r="AI230" s="187"/>
      <c r="AJ230" s="191"/>
      <c r="AK230" s="191"/>
      <c r="AL230" s="191"/>
      <c r="AM230" s="191"/>
    </row>
    <row r="231" spans="2:39" x14ac:dyDescent="0.25">
      <c r="B231" s="193" t="str">
        <f>Sheet1!A242</f>
        <v>2340.2</v>
      </c>
      <c r="C231" s="183" t="str">
        <f>Sheet1!C242</f>
        <v>COUNTY LINE RD</v>
      </c>
      <c r="D231" s="183" t="str">
        <f>Sheet1!D242</f>
        <v>OAK CHASE BLVD</v>
      </c>
      <c r="E231" s="183" t="str">
        <f>Sheet1!E242</f>
        <v>ANDERSON SNOW RD</v>
      </c>
      <c r="F231" s="184" t="str">
        <f>Sheet1!F242</f>
        <v>4D</v>
      </c>
      <c r="G231" s="184" t="str">
        <f>Sheet1!H242</f>
        <v>4D</v>
      </c>
      <c r="H231" s="185" t="str">
        <f>Sheet1!Z242</f>
        <v>D</v>
      </c>
      <c r="I231" s="185"/>
      <c r="J231" s="185"/>
      <c r="K231" s="185"/>
      <c r="L231" s="184"/>
      <c r="M231" s="184">
        <f>Sheet1!AI242</f>
        <v>3222</v>
      </c>
      <c r="N231" s="184"/>
      <c r="O231" s="184"/>
      <c r="P231" s="184"/>
      <c r="Q231" s="184"/>
      <c r="R231" s="184">
        <f>Sheet1!P242</f>
        <v>23775</v>
      </c>
      <c r="S231" s="186"/>
      <c r="T231" s="184"/>
      <c r="U231" s="184"/>
      <c r="V231" s="184"/>
      <c r="W231" s="184"/>
      <c r="X231" s="184">
        <f>Sheet1!AS242</f>
        <v>2140</v>
      </c>
      <c r="Y231" s="184">
        <f>Sheet1!AT242</f>
        <v>0.66400000000000003</v>
      </c>
      <c r="Z231" s="184"/>
      <c r="AA231" s="184"/>
      <c r="AB231" s="184"/>
      <c r="AC231" s="186"/>
      <c r="AD231" s="184"/>
      <c r="AE231" s="184"/>
      <c r="AF231" s="184"/>
      <c r="AG231" s="186"/>
      <c r="AH231" s="184"/>
      <c r="AI231" s="187"/>
      <c r="AJ231" s="191"/>
      <c r="AK231" s="191"/>
      <c r="AL231" s="191"/>
      <c r="AM231" s="191"/>
    </row>
    <row r="232" spans="2:39" x14ac:dyDescent="0.25">
      <c r="B232" s="193" t="str">
        <f>Sheet1!A243</f>
        <v>2350.3</v>
      </c>
      <c r="C232" s="183" t="str">
        <f>Sheet1!C243</f>
        <v>COUNTY LINE RD</v>
      </c>
      <c r="D232" s="183" t="str">
        <f>Sheet1!D243</f>
        <v>ANDERSON SNOW RD</v>
      </c>
      <c r="E232" s="183" t="str">
        <f>Sheet1!E243</f>
        <v>N SUNCOAST PKWY (SB RAMP)</v>
      </c>
      <c r="F232" s="184" t="str">
        <f>Sheet1!F243</f>
        <v>4D</v>
      </c>
      <c r="G232" s="184" t="str">
        <f>Sheet1!H243</f>
        <v>4D</v>
      </c>
      <c r="H232" s="185" t="str">
        <f>Sheet1!Z243</f>
        <v>D</v>
      </c>
      <c r="I232" s="185"/>
      <c r="J232" s="185"/>
      <c r="K232" s="185"/>
      <c r="L232" s="184"/>
      <c r="M232" s="184">
        <f>Sheet1!AI243</f>
        <v>3222</v>
      </c>
      <c r="N232" s="184"/>
      <c r="O232" s="184"/>
      <c r="P232" s="184"/>
      <c r="Q232" s="184"/>
      <c r="R232" s="184">
        <f>Sheet1!P243</f>
        <v>12828</v>
      </c>
      <c r="S232" s="186"/>
      <c r="T232" s="184"/>
      <c r="U232" s="184"/>
      <c r="V232" s="184"/>
      <c r="W232" s="184"/>
      <c r="X232" s="184">
        <f>Sheet1!AS243</f>
        <v>1154</v>
      </c>
      <c r="Y232" s="184">
        <f>Sheet1!AT243</f>
        <v>0.35799999999999998</v>
      </c>
      <c r="Z232" s="184"/>
      <c r="AA232" s="184"/>
      <c r="AB232" s="184"/>
      <c r="AC232" s="186"/>
      <c r="AD232" s="184"/>
      <c r="AE232" s="184"/>
      <c r="AF232" s="184"/>
      <c r="AG232" s="186"/>
      <c r="AH232" s="184"/>
      <c r="AI232" s="187"/>
      <c r="AJ232" s="191"/>
      <c r="AK232" s="191"/>
      <c r="AL232" s="191"/>
      <c r="AM232" s="191"/>
    </row>
    <row r="233" spans="2:39" x14ac:dyDescent="0.25">
      <c r="B233" s="193" t="str">
        <f>Sheet1!A244</f>
        <v>2350.4</v>
      </c>
      <c r="C233" s="183" t="str">
        <f>Sheet1!C244</f>
        <v>COUNTY LINE RD</v>
      </c>
      <c r="D233" s="183" t="str">
        <f>Sheet1!D244</f>
        <v>N SUNCOAST PKWY (SB RAMP)</v>
      </c>
      <c r="E233" s="183" t="str">
        <f>Sheet1!E244</f>
        <v>N SUNCOAST PKWY (NB RAMP)</v>
      </c>
      <c r="F233" s="184" t="str">
        <f>Sheet1!F244</f>
        <v>4D</v>
      </c>
      <c r="G233" s="184" t="str">
        <f>Sheet1!H244</f>
        <v>2U</v>
      </c>
      <c r="H233" s="185" t="str">
        <f>Sheet1!Z244</f>
        <v>D</v>
      </c>
      <c r="I233" s="185"/>
      <c r="J233" s="185"/>
      <c r="K233" s="185"/>
      <c r="L233" s="184"/>
      <c r="M233" s="184">
        <f>Sheet1!AI244</f>
        <v>3222</v>
      </c>
      <c r="N233" s="184"/>
      <c r="O233" s="184"/>
      <c r="P233" s="184"/>
      <c r="Q233" s="184"/>
      <c r="R233" s="184">
        <f>Sheet1!P244</f>
        <v>12828</v>
      </c>
      <c r="S233" s="186"/>
      <c r="T233" s="184"/>
      <c r="U233" s="184"/>
      <c r="V233" s="184"/>
      <c r="W233" s="184"/>
      <c r="X233" s="184">
        <f>Sheet1!AS244</f>
        <v>1154</v>
      </c>
      <c r="Y233" s="184">
        <f>Sheet1!AT244</f>
        <v>0.35799999999999998</v>
      </c>
      <c r="Z233" s="184"/>
      <c r="AA233" s="184"/>
      <c r="AB233" s="184"/>
      <c r="AC233" s="186"/>
      <c r="AD233" s="184"/>
      <c r="AE233" s="184"/>
      <c r="AF233" s="184"/>
      <c r="AG233" s="186"/>
      <c r="AH233" s="184"/>
      <c r="AI233" s="187"/>
      <c r="AJ233" s="191"/>
      <c r="AK233" s="191"/>
      <c r="AL233" s="191"/>
      <c r="AM233" s="191"/>
    </row>
    <row r="234" spans="2:39" x14ac:dyDescent="0.25">
      <c r="B234" s="193" t="str">
        <f>Sheet1!A245</f>
        <v>2355.6</v>
      </c>
      <c r="C234" s="183" t="str">
        <f>Sheet1!C245</f>
        <v>COUNTY LINE RD</v>
      </c>
      <c r="D234" s="183" t="str">
        <f>Sheet1!D245</f>
        <v>N SUNCOAST PKWY (NB RAMP)</v>
      </c>
      <c r="E234" s="183" t="str">
        <f>Sheet1!E245</f>
        <v>AYERS RD</v>
      </c>
      <c r="F234" s="184" t="str">
        <f>Sheet1!F245</f>
        <v>4D</v>
      </c>
      <c r="G234" s="184" t="str">
        <f>Sheet1!H245</f>
        <v>2U</v>
      </c>
      <c r="H234" s="185" t="str">
        <f>Sheet1!Z245</f>
        <v>D</v>
      </c>
      <c r="I234" s="185"/>
      <c r="J234" s="185"/>
      <c r="K234" s="185"/>
      <c r="L234" s="184"/>
      <c r="M234" s="184">
        <f>Sheet1!AI245</f>
        <v>3222</v>
      </c>
      <c r="N234" s="184"/>
      <c r="O234" s="184"/>
      <c r="P234" s="184"/>
      <c r="Q234" s="184"/>
      <c r="R234" s="184">
        <f>Sheet1!P245</f>
        <v>12828</v>
      </c>
      <c r="S234" s="186"/>
      <c r="T234" s="184"/>
      <c r="U234" s="184"/>
      <c r="V234" s="184"/>
      <c r="W234" s="184"/>
      <c r="X234" s="184">
        <f>Sheet1!AS245</f>
        <v>1154</v>
      </c>
      <c r="Y234" s="184">
        <f>Sheet1!AT245</f>
        <v>0.35799999999999998</v>
      </c>
      <c r="Z234" s="184"/>
      <c r="AA234" s="184"/>
      <c r="AB234" s="184"/>
      <c r="AC234" s="186"/>
      <c r="AD234" s="184"/>
      <c r="AE234" s="184"/>
      <c r="AF234" s="184"/>
      <c r="AG234" s="186"/>
      <c r="AH234" s="184"/>
      <c r="AI234" s="187"/>
      <c r="AJ234" s="191"/>
      <c r="AK234" s="191"/>
      <c r="AL234" s="191"/>
      <c r="AM234" s="191"/>
    </row>
    <row r="235" spans="2:39" x14ac:dyDescent="0.25">
      <c r="B235" s="193" t="str">
        <f>Sheet1!A246</f>
        <v>2355.5</v>
      </c>
      <c r="C235" s="183" t="str">
        <f>Sheet1!C246</f>
        <v>COUNTY LINE RD</v>
      </c>
      <c r="D235" s="183" t="str">
        <f>Sheet1!D246</f>
        <v>BROAD ST (US41/SR45)</v>
      </c>
      <c r="E235" s="183" t="str">
        <f>Sheet1!E246</f>
        <v>AYERS RD</v>
      </c>
      <c r="F235" s="184" t="str">
        <f>Sheet1!F246</f>
        <v>2U</v>
      </c>
      <c r="G235" s="184" t="str">
        <f>Sheet1!H246</f>
        <v>2U</v>
      </c>
      <c r="H235" s="185" t="str">
        <f>Sheet1!Z246</f>
        <v>D</v>
      </c>
      <c r="I235" s="185"/>
      <c r="J235" s="185"/>
      <c r="K235" s="185"/>
      <c r="L235" s="184"/>
      <c r="M235" s="184">
        <f>Sheet1!AI246</f>
        <v>1197</v>
      </c>
      <c r="N235" s="184"/>
      <c r="O235" s="184"/>
      <c r="P235" s="184"/>
      <c r="Q235" s="184"/>
      <c r="R235" s="184">
        <f>Sheet1!P246</f>
        <v>12828</v>
      </c>
      <c r="S235" s="186"/>
      <c r="T235" s="184"/>
      <c r="U235" s="184"/>
      <c r="V235" s="184"/>
      <c r="W235" s="184"/>
      <c r="X235" s="184">
        <f>Sheet1!AS246</f>
        <v>1154</v>
      </c>
      <c r="Y235" s="184">
        <f>Sheet1!AT246</f>
        <v>0.96399999999999997</v>
      </c>
      <c r="Z235" s="184"/>
      <c r="AA235" s="184"/>
      <c r="AB235" s="184"/>
      <c r="AC235" s="186"/>
      <c r="AD235" s="184"/>
      <c r="AE235" s="184"/>
      <c r="AF235" s="184"/>
      <c r="AG235" s="186"/>
      <c r="AH235" s="184"/>
      <c r="AI235" s="187"/>
      <c r="AJ235" s="191"/>
      <c r="AK235" s="191"/>
      <c r="AL235" s="191"/>
      <c r="AM235" s="191"/>
    </row>
    <row r="236" spans="2:39" x14ac:dyDescent="0.25">
      <c r="B236" s="193" t="str">
        <f>Sheet1!A247</f>
        <v>10390</v>
      </c>
      <c r="C236" s="183" t="str">
        <f>Sheet1!C247</f>
        <v>CULBREATH RD</v>
      </c>
      <c r="D236" s="183" t="str">
        <f>Sheet1!D247</f>
        <v>PASCO COUNTY LINE</v>
      </c>
      <c r="E236" s="183" t="str">
        <f>Sheet1!E247</f>
        <v>AYERS RD</v>
      </c>
      <c r="F236" s="184" t="str">
        <f>Sheet1!F247</f>
        <v>2U</v>
      </c>
      <c r="G236" s="184" t="str">
        <f>Sheet1!H247</f>
        <v>2U</v>
      </c>
      <c r="H236" s="185" t="str">
        <f>Sheet1!Z247</f>
        <v>D</v>
      </c>
      <c r="I236" s="185"/>
      <c r="J236" s="185"/>
      <c r="K236" s="185"/>
      <c r="L236" s="184"/>
      <c r="M236" s="184">
        <f>Sheet1!AI247</f>
        <v>1818</v>
      </c>
      <c r="N236" s="184"/>
      <c r="O236" s="184"/>
      <c r="P236" s="184"/>
      <c r="Q236" s="184"/>
      <c r="R236" s="184">
        <f>Sheet1!P247</f>
        <v>4438</v>
      </c>
      <c r="S236" s="186"/>
      <c r="T236" s="184"/>
      <c r="U236" s="184"/>
      <c r="V236" s="184"/>
      <c r="W236" s="184"/>
      <c r="X236" s="184">
        <f>Sheet1!AS247</f>
        <v>399</v>
      </c>
      <c r="Y236" s="184">
        <f>Sheet1!AT247</f>
        <v>0.219</v>
      </c>
      <c r="Z236" s="184"/>
      <c r="AA236" s="184"/>
      <c r="AB236" s="184"/>
      <c r="AC236" s="186"/>
      <c r="AD236" s="184"/>
      <c r="AE236" s="184"/>
      <c r="AF236" s="184"/>
      <c r="AG236" s="186"/>
      <c r="AH236" s="184"/>
      <c r="AI236" s="187"/>
      <c r="AJ236" s="191"/>
      <c r="AK236" s="191"/>
      <c r="AL236" s="191"/>
      <c r="AM236" s="191"/>
    </row>
    <row r="237" spans="2:39" x14ac:dyDescent="0.25">
      <c r="B237" s="193" t="str">
        <f>Sheet1!A248</f>
        <v>10400</v>
      </c>
      <c r="C237" s="183" t="str">
        <f>Sheet1!C248</f>
        <v>CULBREATH RD</v>
      </c>
      <c r="D237" s="183" t="str">
        <f>Sheet1!D248</f>
        <v>AYERS RD</v>
      </c>
      <c r="E237" s="183" t="str">
        <f>Sheet1!E248</f>
        <v>POWELL RD</v>
      </c>
      <c r="F237" s="184" t="str">
        <f>Sheet1!F248</f>
        <v>2U</v>
      </c>
      <c r="G237" s="184" t="str">
        <f>Sheet1!H248</f>
        <v>2U</v>
      </c>
      <c r="H237" s="185" t="str">
        <f>Sheet1!Z248</f>
        <v>D</v>
      </c>
      <c r="I237" s="185"/>
      <c r="J237" s="185"/>
      <c r="K237" s="185"/>
      <c r="L237" s="184"/>
      <c r="M237" s="184">
        <f>Sheet1!AI248</f>
        <v>1818</v>
      </c>
      <c r="N237" s="184"/>
      <c r="O237" s="184"/>
      <c r="P237" s="184"/>
      <c r="Q237" s="184"/>
      <c r="R237" s="184">
        <f>Sheet1!P248</f>
        <v>3464</v>
      </c>
      <c r="S237" s="186"/>
      <c r="T237" s="184"/>
      <c r="U237" s="184"/>
      <c r="V237" s="184"/>
      <c r="W237" s="184"/>
      <c r="X237" s="184">
        <f>Sheet1!AS248</f>
        <v>312</v>
      </c>
      <c r="Y237" s="184">
        <f>Sheet1!AT248</f>
        <v>0.17199999999999999</v>
      </c>
      <c r="Z237" s="184"/>
      <c r="AA237" s="184"/>
      <c r="AB237" s="184"/>
      <c r="AC237" s="186"/>
      <c r="AD237" s="184"/>
      <c r="AE237" s="184"/>
      <c r="AF237" s="184"/>
      <c r="AG237" s="186"/>
      <c r="AH237" s="184"/>
      <c r="AI237" s="187"/>
      <c r="AJ237" s="191"/>
      <c r="AK237" s="191"/>
      <c r="AL237" s="191"/>
      <c r="AM237" s="191"/>
    </row>
    <row r="238" spans="2:39" x14ac:dyDescent="0.25">
      <c r="B238" s="193" t="str">
        <f>Sheet1!A249</f>
        <v>2910.1</v>
      </c>
      <c r="C238" s="183" t="str">
        <f>Sheet1!C249</f>
        <v>EMERSON RD</v>
      </c>
      <c r="D238" s="183" t="str">
        <f>Sheet1!D249</f>
        <v>POWELL RD</v>
      </c>
      <c r="E238" s="183" t="str">
        <f>Sheet1!E249</f>
        <v>URBAN BOUNDARY</v>
      </c>
      <c r="F238" s="184" t="str">
        <f>Sheet1!F249</f>
        <v>2U</v>
      </c>
      <c r="G238" s="184" t="str">
        <f>Sheet1!H249</f>
        <v>2U</v>
      </c>
      <c r="H238" s="185" t="str">
        <f>Sheet1!Z249</f>
        <v>D</v>
      </c>
      <c r="I238" s="185"/>
      <c r="J238" s="185"/>
      <c r="K238" s="185"/>
      <c r="L238" s="184"/>
      <c r="M238" s="184">
        <f>Sheet1!AI249</f>
        <v>1899</v>
      </c>
      <c r="N238" s="184"/>
      <c r="O238" s="184"/>
      <c r="P238" s="184"/>
      <c r="Q238" s="184"/>
      <c r="R238" s="184">
        <f>Sheet1!P249</f>
        <v>2485</v>
      </c>
      <c r="S238" s="186"/>
      <c r="T238" s="184"/>
      <c r="U238" s="184"/>
      <c r="V238" s="184"/>
      <c r="W238" s="184"/>
      <c r="X238" s="184">
        <f>Sheet1!AS249</f>
        <v>224</v>
      </c>
      <c r="Y238" s="184">
        <f>Sheet1!AT249</f>
        <v>0.11799999999999999</v>
      </c>
      <c r="Z238" s="184"/>
      <c r="AA238" s="184"/>
      <c r="AB238" s="184"/>
      <c r="AC238" s="186"/>
      <c r="AD238" s="184"/>
      <c r="AE238" s="184"/>
      <c r="AF238" s="184"/>
      <c r="AG238" s="186"/>
      <c r="AH238" s="184"/>
      <c r="AI238" s="187"/>
      <c r="AJ238" s="191"/>
      <c r="AK238" s="191"/>
      <c r="AL238" s="191"/>
      <c r="AM238" s="191"/>
    </row>
    <row r="239" spans="2:39" x14ac:dyDescent="0.25">
      <c r="B239" s="193" t="str">
        <f>Sheet1!A250</f>
        <v>2910.2</v>
      </c>
      <c r="C239" s="183" t="str">
        <f>Sheet1!C250</f>
        <v>EMERSON RD</v>
      </c>
      <c r="D239" s="183" t="str">
        <f>Sheet1!D250</f>
        <v>URBAN BOUNDARY</v>
      </c>
      <c r="E239" s="183" t="str">
        <f>Sheet1!E250</f>
        <v>CORTEZ BLVD (SR50)</v>
      </c>
      <c r="F239" s="184" t="str">
        <f>Sheet1!F250</f>
        <v>2U</v>
      </c>
      <c r="G239" s="184" t="str">
        <f>Sheet1!H250</f>
        <v>2U</v>
      </c>
      <c r="H239" s="185" t="str">
        <f>Sheet1!Z250</f>
        <v>D</v>
      </c>
      <c r="I239" s="185"/>
      <c r="J239" s="185"/>
      <c r="K239" s="185"/>
      <c r="L239" s="184"/>
      <c r="M239" s="184">
        <f>Sheet1!AI250</f>
        <v>1962</v>
      </c>
      <c r="N239" s="184"/>
      <c r="O239" s="184"/>
      <c r="P239" s="184"/>
      <c r="Q239" s="184"/>
      <c r="R239" s="184">
        <f>Sheet1!P250</f>
        <v>2485</v>
      </c>
      <c r="S239" s="186"/>
      <c r="T239" s="184"/>
      <c r="U239" s="184"/>
      <c r="V239" s="184"/>
      <c r="W239" s="184"/>
      <c r="X239" s="184">
        <f>Sheet1!AS250</f>
        <v>224</v>
      </c>
      <c r="Y239" s="184">
        <f>Sheet1!AT250</f>
        <v>0.114</v>
      </c>
      <c r="Z239" s="184"/>
      <c r="AA239" s="184"/>
      <c r="AB239" s="184"/>
      <c r="AC239" s="186"/>
      <c r="AD239" s="184"/>
      <c r="AE239" s="184"/>
      <c r="AF239" s="184"/>
      <c r="AG239" s="186"/>
      <c r="AH239" s="184"/>
      <c r="AI239" s="187"/>
      <c r="AJ239" s="191"/>
      <c r="AK239" s="191"/>
      <c r="AL239" s="191"/>
      <c r="AM239" s="191"/>
    </row>
    <row r="240" spans="2:39" x14ac:dyDescent="0.25">
      <c r="B240" s="193" t="str">
        <f>Sheet1!A251</f>
        <v>2920</v>
      </c>
      <c r="C240" s="183" t="str">
        <f>Sheet1!C251</f>
        <v>EMERSON RD</v>
      </c>
      <c r="D240" s="183" t="str">
        <f>Sheet1!D251</f>
        <v>CORTEZ BLVD (SR50)</v>
      </c>
      <c r="E240" s="183" t="str">
        <f>Sheet1!E251</f>
        <v>JEFFERSON ST (SR50)</v>
      </c>
      <c r="F240" s="184" t="str">
        <f>Sheet1!F251</f>
        <v>2U</v>
      </c>
      <c r="G240" s="184" t="str">
        <f>Sheet1!H251</f>
        <v>2U</v>
      </c>
      <c r="H240" s="185" t="str">
        <f>Sheet1!Z251</f>
        <v>D</v>
      </c>
      <c r="I240" s="185"/>
      <c r="J240" s="185"/>
      <c r="K240" s="185"/>
      <c r="L240" s="184"/>
      <c r="M240" s="184">
        <f>Sheet1!AI251</f>
        <v>1962</v>
      </c>
      <c r="N240" s="184"/>
      <c r="O240" s="184"/>
      <c r="P240" s="184"/>
      <c r="Q240" s="184"/>
      <c r="R240" s="184">
        <f>Sheet1!P251</f>
        <v>2485</v>
      </c>
      <c r="S240" s="186"/>
      <c r="T240" s="184"/>
      <c r="U240" s="184"/>
      <c r="V240" s="184"/>
      <c r="W240" s="184"/>
      <c r="X240" s="184">
        <f>Sheet1!AS251</f>
        <v>224</v>
      </c>
      <c r="Y240" s="184">
        <f>Sheet1!AT251</f>
        <v>0.114</v>
      </c>
      <c r="Z240" s="184"/>
      <c r="AA240" s="184"/>
      <c r="AB240" s="184"/>
      <c r="AC240" s="186"/>
      <c r="AD240" s="184"/>
      <c r="AE240" s="184"/>
      <c r="AF240" s="184"/>
      <c r="AG240" s="186"/>
      <c r="AH240" s="184"/>
      <c r="AI240" s="187"/>
      <c r="AJ240" s="191"/>
      <c r="AK240" s="191"/>
      <c r="AL240" s="191"/>
      <c r="AM240" s="191"/>
    </row>
    <row r="241" spans="2:39" x14ac:dyDescent="0.25">
      <c r="B241" s="193" t="str">
        <f>Sheet1!A252</f>
        <v>10700.1</v>
      </c>
      <c r="C241" s="183" t="str">
        <f>Sheet1!C252</f>
        <v>SNOW MEMORIAL HWY</v>
      </c>
      <c r="D241" s="183" t="str">
        <f>Sheet1!D252</f>
        <v>BROAD ST (US41/SR45)</v>
      </c>
      <c r="E241" s="183" t="str">
        <f>Sheet1!E252</f>
        <v>900 FT S OF LAKE VILLAGE LN</v>
      </c>
      <c r="F241" s="184" t="str">
        <f>Sheet1!F252</f>
        <v>2U</v>
      </c>
      <c r="G241" s="184" t="str">
        <f>Sheet1!H252</f>
        <v>2U</v>
      </c>
      <c r="H241" s="185" t="str">
        <f>Sheet1!Z252</f>
        <v>D</v>
      </c>
      <c r="I241" s="185"/>
      <c r="J241" s="185"/>
      <c r="K241" s="185"/>
      <c r="L241" s="184"/>
      <c r="M241" s="184">
        <f>Sheet1!AI252</f>
        <v>1818</v>
      </c>
      <c r="N241" s="184"/>
      <c r="O241" s="184"/>
      <c r="P241" s="184"/>
      <c r="Q241" s="184"/>
      <c r="R241" s="184">
        <f>Sheet1!P252</f>
        <v>3628</v>
      </c>
      <c r="S241" s="186"/>
      <c r="T241" s="184"/>
      <c r="U241" s="184"/>
      <c r="V241" s="184"/>
      <c r="W241" s="184"/>
      <c r="X241" s="184">
        <f>Sheet1!AS252</f>
        <v>327</v>
      </c>
      <c r="Y241" s="184">
        <f>Sheet1!AT252</f>
        <v>0.18</v>
      </c>
      <c r="Z241" s="184"/>
      <c r="AA241" s="184"/>
      <c r="AB241" s="184"/>
      <c r="AC241" s="186"/>
      <c r="AD241" s="184"/>
      <c r="AE241" s="184"/>
      <c r="AF241" s="184"/>
      <c r="AG241" s="186"/>
      <c r="AH241" s="184"/>
      <c r="AI241" s="187"/>
      <c r="AJ241" s="191"/>
      <c r="AK241" s="191"/>
      <c r="AL241" s="191"/>
      <c r="AM241" s="191"/>
    </row>
    <row r="242" spans="2:39" x14ac:dyDescent="0.25">
      <c r="B242" s="193" t="str">
        <f>Sheet1!A253</f>
        <v>10700.2</v>
      </c>
      <c r="C242" s="183" t="str">
        <f>Sheet1!C253</f>
        <v>SNOW MEMORIAL HWY</v>
      </c>
      <c r="D242" s="183" t="str">
        <f>Sheet1!D253</f>
        <v>900 FT S OF LAKE VILLAGE LN</v>
      </c>
      <c r="E242" s="183" t="str">
        <f>Sheet1!E253</f>
        <v>LAKE LINDSEY RD (S)</v>
      </c>
      <c r="F242" s="184" t="str">
        <f>Sheet1!F253</f>
        <v>2U</v>
      </c>
      <c r="G242" s="184" t="str">
        <f>Sheet1!H253</f>
        <v>2U</v>
      </c>
      <c r="H242" s="185" t="str">
        <f>Sheet1!Z253</f>
        <v>D</v>
      </c>
      <c r="I242" s="185"/>
      <c r="J242" s="185"/>
      <c r="K242" s="185"/>
      <c r="L242" s="184"/>
      <c r="M242" s="184">
        <f>Sheet1!AI253</f>
        <v>1818</v>
      </c>
      <c r="N242" s="184"/>
      <c r="O242" s="184"/>
      <c r="P242" s="184"/>
      <c r="Q242" s="184"/>
      <c r="R242" s="184">
        <f>Sheet1!P253</f>
        <v>3628</v>
      </c>
      <c r="S242" s="186"/>
      <c r="T242" s="184"/>
      <c r="U242" s="184"/>
      <c r="V242" s="184"/>
      <c r="W242" s="184"/>
      <c r="X242" s="184">
        <f>Sheet1!AS253</f>
        <v>327</v>
      </c>
      <c r="Y242" s="184">
        <f>Sheet1!AT253</f>
        <v>0.18</v>
      </c>
      <c r="Z242" s="184"/>
      <c r="AA242" s="184"/>
      <c r="AB242" s="184"/>
      <c r="AC242" s="186"/>
      <c r="AD242" s="184"/>
      <c r="AE242" s="184"/>
      <c r="AF242" s="184"/>
      <c r="AG242" s="186"/>
      <c r="AH242" s="184"/>
      <c r="AI242" s="187"/>
      <c r="AJ242" s="191"/>
      <c r="AK242" s="191"/>
      <c r="AL242" s="191"/>
      <c r="AM242" s="191"/>
    </row>
    <row r="243" spans="2:39" x14ac:dyDescent="0.25">
      <c r="B243" s="193" t="str">
        <f>Sheet1!A254</f>
        <v>10710</v>
      </c>
      <c r="C243" s="183" t="str">
        <f>Sheet1!C254</f>
        <v>SNOW MEMORIAL HWY</v>
      </c>
      <c r="D243" s="183" t="str">
        <f>Sheet1!D254</f>
        <v>LAKE LINDSEY RD (S)</v>
      </c>
      <c r="E243" s="183" t="str">
        <f>Sheet1!E254</f>
        <v>LAKE LINDSEY RD (N)</v>
      </c>
      <c r="F243" s="184" t="str">
        <f>Sheet1!F254</f>
        <v>2U</v>
      </c>
      <c r="G243" s="184" t="str">
        <f>Sheet1!H254</f>
        <v>4D</v>
      </c>
      <c r="H243" s="185" t="str">
        <f>Sheet1!Z254</f>
        <v>D</v>
      </c>
      <c r="I243" s="185"/>
      <c r="J243" s="185"/>
      <c r="K243" s="185"/>
      <c r="L243" s="184"/>
      <c r="M243" s="184">
        <f>Sheet1!AI254</f>
        <v>1197</v>
      </c>
      <c r="N243" s="184"/>
      <c r="O243" s="184"/>
      <c r="P243" s="184"/>
      <c r="Q243" s="184"/>
      <c r="R243" s="184">
        <f>Sheet1!P254</f>
        <v>3628</v>
      </c>
      <c r="S243" s="186"/>
      <c r="T243" s="184"/>
      <c r="U243" s="184"/>
      <c r="V243" s="184"/>
      <c r="W243" s="184"/>
      <c r="X243" s="184">
        <f>Sheet1!AS254</f>
        <v>327</v>
      </c>
      <c r="Y243" s="184">
        <f>Sheet1!AT254</f>
        <v>0.27300000000000002</v>
      </c>
      <c r="Z243" s="184"/>
      <c r="AA243" s="184"/>
      <c r="AB243" s="184"/>
      <c r="AC243" s="186"/>
      <c r="AD243" s="184"/>
      <c r="AE243" s="184"/>
      <c r="AF243" s="184"/>
      <c r="AG243" s="186"/>
      <c r="AH243" s="184"/>
      <c r="AI243" s="187"/>
      <c r="AJ243" s="191"/>
      <c r="AK243" s="191"/>
      <c r="AL243" s="191"/>
      <c r="AM243" s="191"/>
    </row>
    <row r="244" spans="2:39" x14ac:dyDescent="0.25">
      <c r="B244" s="193" t="str">
        <f>Sheet1!A255</f>
        <v>10720</v>
      </c>
      <c r="C244" s="183" t="str">
        <f>Sheet1!C255</f>
        <v>SNOW MEMORIAL HWY</v>
      </c>
      <c r="D244" s="183" t="str">
        <f>Sheet1!D255</f>
        <v>LAKE LINDSEY RD (N)</v>
      </c>
      <c r="E244" s="183" t="str">
        <f>Sheet1!E255</f>
        <v>CITRUS COUNTY LINE</v>
      </c>
      <c r="F244" s="184" t="str">
        <f>Sheet1!F255</f>
        <v>2U</v>
      </c>
      <c r="G244" s="184" t="str">
        <f>Sheet1!H255</f>
        <v>4D</v>
      </c>
      <c r="H244" s="185" t="str">
        <f>Sheet1!Z255</f>
        <v>D</v>
      </c>
      <c r="I244" s="185"/>
      <c r="J244" s="185"/>
      <c r="K244" s="185"/>
      <c r="L244" s="184"/>
      <c r="M244" s="184">
        <f>Sheet1!AI255</f>
        <v>1197</v>
      </c>
      <c r="N244" s="184"/>
      <c r="O244" s="184"/>
      <c r="P244" s="184"/>
      <c r="Q244" s="184"/>
      <c r="R244" s="184">
        <f>Sheet1!P255</f>
        <v>3828</v>
      </c>
      <c r="S244" s="186"/>
      <c r="T244" s="184"/>
      <c r="U244" s="184"/>
      <c r="V244" s="184"/>
      <c r="W244" s="184"/>
      <c r="X244" s="184">
        <f>Sheet1!AS255</f>
        <v>345</v>
      </c>
      <c r="Y244" s="184">
        <f>Sheet1!AT255</f>
        <v>0.28799999999999998</v>
      </c>
      <c r="Z244" s="184"/>
      <c r="AA244" s="184"/>
      <c r="AB244" s="184"/>
      <c r="AC244" s="186"/>
      <c r="AD244" s="184"/>
      <c r="AE244" s="184"/>
      <c r="AF244" s="184"/>
      <c r="AG244" s="186"/>
      <c r="AH244" s="184"/>
      <c r="AI244" s="187"/>
      <c r="AJ244" s="191"/>
      <c r="AK244" s="191"/>
      <c r="AL244" s="191"/>
      <c r="AM244" s="191"/>
    </row>
    <row r="245" spans="2:39" x14ac:dyDescent="0.25">
      <c r="B245" s="193" t="str">
        <f>Sheet1!A256</f>
        <v>10290</v>
      </c>
      <c r="C245" s="183" t="str">
        <f>Sheet1!C256</f>
        <v>CALIFORNIA ST</v>
      </c>
      <c r="D245" s="183" t="str">
        <f>Sheet1!D256</f>
        <v>SPRING HILL DR</v>
      </c>
      <c r="E245" s="183" t="str">
        <f>Sheet1!E256</f>
        <v>POWELL RD</v>
      </c>
      <c r="F245" s="184" t="str">
        <f>Sheet1!F256</f>
        <v>2U</v>
      </c>
      <c r="G245" s="184" t="str">
        <f>Sheet1!H256</f>
        <v>6D</v>
      </c>
      <c r="H245" s="185" t="str">
        <f>Sheet1!Z256</f>
        <v>D</v>
      </c>
      <c r="I245" s="185"/>
      <c r="J245" s="185"/>
      <c r="K245" s="185"/>
      <c r="L245" s="184"/>
      <c r="M245" s="184">
        <f>Sheet1!AI256</f>
        <v>3222</v>
      </c>
      <c r="N245" s="184"/>
      <c r="O245" s="184"/>
      <c r="P245" s="184"/>
      <c r="Q245" s="184"/>
      <c r="R245" s="184">
        <f>Sheet1!P256</f>
        <v>7961</v>
      </c>
      <c r="S245" s="186"/>
      <c r="T245" s="184"/>
      <c r="U245" s="184"/>
      <c r="V245" s="184"/>
      <c r="W245" s="184"/>
      <c r="X245" s="184">
        <f>Sheet1!AS256</f>
        <v>716</v>
      </c>
      <c r="Y245" s="184">
        <f>Sheet1!AT256</f>
        <v>0.222</v>
      </c>
      <c r="Z245" s="184"/>
      <c r="AA245" s="184"/>
      <c r="AB245" s="184"/>
      <c r="AC245" s="186"/>
      <c r="AD245" s="184"/>
      <c r="AE245" s="184"/>
      <c r="AF245" s="184"/>
      <c r="AG245" s="186"/>
      <c r="AH245" s="184"/>
      <c r="AI245" s="187"/>
      <c r="AJ245" s="191"/>
      <c r="AK245" s="191"/>
      <c r="AL245" s="191"/>
      <c r="AM245" s="191"/>
    </row>
    <row r="246" spans="2:39" x14ac:dyDescent="0.25">
      <c r="B246" s="193" t="str">
        <f>Sheet1!A257</f>
        <v>10300</v>
      </c>
      <c r="C246" s="183" t="str">
        <f>Sheet1!C257</f>
        <v>CALIFORNIA ST</v>
      </c>
      <c r="D246" s="183" t="str">
        <f>Sheet1!D257</f>
        <v>POWELL RD</v>
      </c>
      <c r="E246" s="183" t="str">
        <f>Sheet1!E257</f>
        <v>WISCON RD</v>
      </c>
      <c r="F246" s="184" t="str">
        <f>Sheet1!F257</f>
        <v>2U</v>
      </c>
      <c r="G246" s="184" t="str">
        <f>Sheet1!H257</f>
        <v>2U</v>
      </c>
      <c r="H246" s="185" t="str">
        <f>Sheet1!Z257</f>
        <v>D</v>
      </c>
      <c r="I246" s="185"/>
      <c r="J246" s="185"/>
      <c r="K246" s="185"/>
      <c r="L246" s="184"/>
      <c r="M246" s="184">
        <f>Sheet1!AI257</f>
        <v>3222</v>
      </c>
      <c r="N246" s="184"/>
      <c r="O246" s="184"/>
      <c r="P246" s="184"/>
      <c r="Q246" s="184"/>
      <c r="R246" s="184">
        <f>Sheet1!P257</f>
        <v>5549</v>
      </c>
      <c r="S246" s="186"/>
      <c r="T246" s="184"/>
      <c r="U246" s="184"/>
      <c r="V246" s="184"/>
      <c r="W246" s="184"/>
      <c r="X246" s="184">
        <f>Sheet1!AS257</f>
        <v>499</v>
      </c>
      <c r="Y246" s="184">
        <f>Sheet1!AT257</f>
        <v>0.155</v>
      </c>
      <c r="Z246" s="184"/>
      <c r="AA246" s="184"/>
      <c r="AB246" s="184"/>
      <c r="AC246" s="186"/>
      <c r="AD246" s="184"/>
      <c r="AE246" s="184"/>
      <c r="AF246" s="184"/>
      <c r="AG246" s="186"/>
      <c r="AH246" s="184"/>
      <c r="AI246" s="187"/>
      <c r="AJ246" s="191"/>
      <c r="AK246" s="191"/>
      <c r="AL246" s="191"/>
      <c r="AM246" s="191"/>
    </row>
    <row r="247" spans="2:39" x14ac:dyDescent="0.25">
      <c r="B247" s="193" t="str">
        <f>Sheet1!A258</f>
        <v>10310</v>
      </c>
      <c r="C247" s="183" t="str">
        <f>Sheet1!C258</f>
        <v>CALIFORNIA ST</v>
      </c>
      <c r="D247" s="183" t="str">
        <f>Sheet1!D258</f>
        <v>WISCON RD</v>
      </c>
      <c r="E247" s="183" t="str">
        <f>Sheet1!E258</f>
        <v>CORTEZ BLVD (SR50)</v>
      </c>
      <c r="F247" s="184" t="str">
        <f>Sheet1!F258</f>
        <v>2U</v>
      </c>
      <c r="G247" s="184" t="str">
        <f>Sheet1!H258</f>
        <v>4D</v>
      </c>
      <c r="H247" s="185" t="str">
        <f>Sheet1!Z258</f>
        <v>D</v>
      </c>
      <c r="I247" s="185"/>
      <c r="J247" s="185"/>
      <c r="K247" s="185"/>
      <c r="L247" s="184"/>
      <c r="M247" s="184">
        <f>Sheet1!AI258</f>
        <v>4851</v>
      </c>
      <c r="N247" s="184"/>
      <c r="O247" s="184"/>
      <c r="P247" s="184"/>
      <c r="Q247" s="184"/>
      <c r="R247" s="184">
        <f>Sheet1!P258</f>
        <v>5549</v>
      </c>
      <c r="S247" s="186"/>
      <c r="T247" s="184"/>
      <c r="U247" s="184"/>
      <c r="V247" s="184"/>
      <c r="W247" s="184"/>
      <c r="X247" s="184">
        <f>Sheet1!AS258</f>
        <v>499</v>
      </c>
      <c r="Y247" s="184">
        <f>Sheet1!AT258</f>
        <v>0.10299999999999999</v>
      </c>
      <c r="Z247" s="184"/>
      <c r="AA247" s="184"/>
      <c r="AB247" s="184"/>
      <c r="AC247" s="186"/>
      <c r="AD247" s="184"/>
      <c r="AE247" s="184"/>
      <c r="AF247" s="184"/>
      <c r="AG247" s="186"/>
      <c r="AH247" s="184"/>
      <c r="AI247" s="187"/>
      <c r="AJ247" s="191"/>
      <c r="AK247" s="191"/>
      <c r="AL247" s="191"/>
      <c r="AM247" s="191"/>
    </row>
    <row r="248" spans="2:39" x14ac:dyDescent="0.25">
      <c r="B248" s="193" t="str">
        <f>Sheet1!A259</f>
        <v>10000</v>
      </c>
      <c r="C248" s="183" t="str">
        <f>Sheet1!C259</f>
        <v>ANDERSON SNOW RD</v>
      </c>
      <c r="D248" s="183" t="str">
        <f>Sheet1!D259</f>
        <v>COUNTY LINE RD</v>
      </c>
      <c r="E248" s="183" t="str">
        <f>Sheet1!E259</f>
        <v>AMERO LN</v>
      </c>
      <c r="F248" s="184" t="str">
        <f>Sheet1!F259</f>
        <v>2U</v>
      </c>
      <c r="G248" s="184" t="str">
        <f>Sheet1!H259</f>
        <v>2U</v>
      </c>
      <c r="H248" s="185" t="str">
        <f>Sheet1!Z259</f>
        <v>D</v>
      </c>
      <c r="I248" s="185"/>
      <c r="J248" s="185"/>
      <c r="K248" s="185"/>
      <c r="L248" s="184"/>
      <c r="M248" s="184">
        <f>Sheet1!AI259</f>
        <v>1440</v>
      </c>
      <c r="N248" s="184"/>
      <c r="O248" s="184"/>
      <c r="P248" s="184"/>
      <c r="Q248" s="184"/>
      <c r="R248" s="184">
        <f>Sheet1!P259</f>
        <v>23844</v>
      </c>
      <c r="S248" s="186"/>
      <c r="T248" s="184"/>
      <c r="U248" s="184"/>
      <c r="V248" s="184"/>
      <c r="W248" s="184"/>
      <c r="X248" s="184">
        <f>Sheet1!AS259</f>
        <v>2146</v>
      </c>
      <c r="Y248" s="184">
        <f>Sheet1!AT259</f>
        <v>1.49</v>
      </c>
      <c r="Z248" s="184"/>
      <c r="AA248" s="184"/>
      <c r="AB248" s="184"/>
      <c r="AC248" s="186"/>
      <c r="AD248" s="184"/>
      <c r="AE248" s="184"/>
      <c r="AF248" s="184"/>
      <c r="AG248" s="186"/>
      <c r="AH248" s="184"/>
      <c r="AI248" s="187"/>
      <c r="AJ248" s="191"/>
      <c r="AK248" s="191"/>
      <c r="AL248" s="191"/>
      <c r="AM248" s="191"/>
    </row>
    <row r="249" spans="2:39" x14ac:dyDescent="0.25">
      <c r="B249" s="193" t="str">
        <f>Sheet1!A260</f>
        <v>10010</v>
      </c>
      <c r="C249" s="183" t="str">
        <f>Sheet1!C260</f>
        <v>ANDERSON SNOW RD</v>
      </c>
      <c r="D249" s="183" t="str">
        <f>Sheet1!D260</f>
        <v>AMERO LN</v>
      </c>
      <c r="E249" s="183" t="str">
        <f>Sheet1!E260</f>
        <v>INDUSTRIAL LP</v>
      </c>
      <c r="F249" s="184" t="str">
        <f>Sheet1!F260</f>
        <v>2U</v>
      </c>
      <c r="G249" s="184" t="str">
        <f>Sheet1!H260</f>
        <v>4D</v>
      </c>
      <c r="H249" s="185" t="str">
        <f>Sheet1!Z260</f>
        <v>D</v>
      </c>
      <c r="I249" s="185"/>
      <c r="J249" s="185"/>
      <c r="K249" s="185"/>
      <c r="L249" s="184"/>
      <c r="M249" s="184">
        <f>Sheet1!AI260</f>
        <v>0</v>
      </c>
      <c r="N249" s="184"/>
      <c r="O249" s="184"/>
      <c r="P249" s="184"/>
      <c r="Q249" s="184"/>
      <c r="R249" s="184">
        <f>Sheet1!P260</f>
        <v>23844</v>
      </c>
      <c r="S249" s="186"/>
      <c r="T249" s="184"/>
      <c r="U249" s="184"/>
      <c r="V249" s="184"/>
      <c r="W249" s="184"/>
      <c r="X249" s="184">
        <f>Sheet1!AS260</f>
        <v>0</v>
      </c>
      <c r="Y249" s="184">
        <f>Sheet1!AT260</f>
        <v>0</v>
      </c>
      <c r="Z249" s="184"/>
      <c r="AA249" s="184"/>
      <c r="AB249" s="184"/>
      <c r="AC249" s="186"/>
      <c r="AD249" s="184"/>
      <c r="AE249" s="184"/>
      <c r="AF249" s="184"/>
      <c r="AG249" s="186"/>
      <c r="AH249" s="184"/>
      <c r="AI249" s="187"/>
      <c r="AJ249" s="191"/>
      <c r="AK249" s="191"/>
      <c r="AL249" s="191"/>
      <c r="AM249" s="191"/>
    </row>
    <row r="250" spans="2:39" x14ac:dyDescent="0.25">
      <c r="B250" s="193" t="str">
        <f>Sheet1!A261</f>
        <v>10020</v>
      </c>
      <c r="C250" s="183" t="str">
        <f>Sheet1!C261</f>
        <v>ANDERSON SNOW RD</v>
      </c>
      <c r="D250" s="183" t="str">
        <f>Sheet1!D261</f>
        <v>INDUSTRIAL LP</v>
      </c>
      <c r="E250" s="183" t="str">
        <f>Sheet1!E261</f>
        <v>SPRING HILL DR</v>
      </c>
      <c r="F250" s="184" t="str">
        <f>Sheet1!F261</f>
        <v>2U</v>
      </c>
      <c r="G250" s="184" t="str">
        <f>Sheet1!H261</f>
        <v>2U</v>
      </c>
      <c r="H250" s="185" t="str">
        <f>Sheet1!Z261</f>
        <v>D</v>
      </c>
      <c r="I250" s="185"/>
      <c r="J250" s="185"/>
      <c r="K250" s="185"/>
      <c r="L250" s="184"/>
      <c r="M250" s="184">
        <f>Sheet1!AI261</f>
        <v>1440</v>
      </c>
      <c r="N250" s="184"/>
      <c r="O250" s="184"/>
      <c r="P250" s="184"/>
      <c r="Q250" s="184"/>
      <c r="R250" s="184">
        <f>Sheet1!P261</f>
        <v>23844</v>
      </c>
      <c r="S250" s="186"/>
      <c r="T250" s="184"/>
      <c r="U250" s="184"/>
      <c r="V250" s="184"/>
      <c r="W250" s="184"/>
      <c r="X250" s="184">
        <f>Sheet1!AS261</f>
        <v>2146</v>
      </c>
      <c r="Y250" s="184">
        <f>Sheet1!AT261</f>
        <v>1.49</v>
      </c>
      <c r="Z250" s="184"/>
      <c r="AA250" s="184"/>
      <c r="AB250" s="184"/>
      <c r="AC250" s="186"/>
      <c r="AD250" s="184"/>
      <c r="AE250" s="184"/>
      <c r="AF250" s="184"/>
      <c r="AG250" s="186"/>
      <c r="AH250" s="184"/>
      <c r="AI250" s="187"/>
      <c r="AJ250" s="191"/>
      <c r="AK250" s="191"/>
      <c r="AL250" s="191"/>
      <c r="AM250" s="191"/>
    </row>
    <row r="251" spans="2:39" x14ac:dyDescent="0.25">
      <c r="B251" s="193" t="str">
        <f>Sheet1!A262</f>
        <v>10030</v>
      </c>
      <c r="C251" s="183" t="str">
        <f>Sheet1!C262</f>
        <v>BARCLAY AVE</v>
      </c>
      <c r="D251" s="183" t="str">
        <f>Sheet1!D262</f>
        <v>SPRING HILL DR</v>
      </c>
      <c r="E251" s="183" t="str">
        <f>Sheet1!E262</f>
        <v>POWELL RD</v>
      </c>
      <c r="F251" s="184" t="str">
        <f>Sheet1!F262</f>
        <v>4D</v>
      </c>
      <c r="G251" s="184" t="str">
        <f>Sheet1!H262</f>
        <v>2U</v>
      </c>
      <c r="H251" s="185" t="str">
        <f>Sheet1!Z262</f>
        <v>D</v>
      </c>
      <c r="I251" s="185"/>
      <c r="J251" s="185"/>
      <c r="K251" s="185"/>
      <c r="L251" s="184"/>
      <c r="M251" s="184">
        <f>Sheet1!AI262</f>
        <v>3222</v>
      </c>
      <c r="N251" s="184"/>
      <c r="O251" s="184"/>
      <c r="P251" s="184"/>
      <c r="Q251" s="184"/>
      <c r="R251" s="184">
        <f>Sheet1!P262</f>
        <v>23844</v>
      </c>
      <c r="S251" s="186"/>
      <c r="T251" s="184"/>
      <c r="U251" s="184"/>
      <c r="V251" s="184"/>
      <c r="W251" s="184"/>
      <c r="X251" s="184">
        <f>Sheet1!AS262</f>
        <v>2146</v>
      </c>
      <c r="Y251" s="184">
        <f>Sheet1!AT262</f>
        <v>0.66600000000000004</v>
      </c>
      <c r="Z251" s="184"/>
      <c r="AA251" s="184"/>
      <c r="AB251" s="184"/>
      <c r="AC251" s="186"/>
      <c r="AD251" s="184"/>
      <c r="AE251" s="184"/>
      <c r="AF251" s="184"/>
      <c r="AG251" s="186"/>
      <c r="AH251" s="184"/>
      <c r="AI251" s="187"/>
      <c r="AJ251" s="191"/>
      <c r="AK251" s="191"/>
      <c r="AL251" s="191"/>
      <c r="AM251" s="191"/>
    </row>
    <row r="252" spans="2:39" x14ac:dyDescent="0.25">
      <c r="B252" s="193" t="str">
        <f>Sheet1!A263</f>
        <v>10040</v>
      </c>
      <c r="C252" s="183" t="str">
        <f>Sheet1!C263</f>
        <v>BARCLAY AVE</v>
      </c>
      <c r="D252" s="183" t="str">
        <f>Sheet1!D263</f>
        <v>POWELL RD</v>
      </c>
      <c r="E252" s="183" t="str">
        <f>Sheet1!E263</f>
        <v>SAN ANTONIO RD</v>
      </c>
      <c r="F252" s="184" t="str">
        <f>Sheet1!F263</f>
        <v>2U</v>
      </c>
      <c r="G252" s="184" t="str">
        <f>Sheet1!H263</f>
        <v>2U</v>
      </c>
      <c r="H252" s="185" t="str">
        <f>Sheet1!Z263</f>
        <v>D</v>
      </c>
      <c r="I252" s="185"/>
      <c r="J252" s="185"/>
      <c r="K252" s="185"/>
      <c r="L252" s="184"/>
      <c r="M252" s="184">
        <f>Sheet1!AI263</f>
        <v>1440</v>
      </c>
      <c r="N252" s="184"/>
      <c r="O252" s="184"/>
      <c r="P252" s="184"/>
      <c r="Q252" s="184"/>
      <c r="R252" s="184">
        <f>Sheet1!P263</f>
        <v>13611</v>
      </c>
      <c r="S252" s="186"/>
      <c r="T252" s="184"/>
      <c r="U252" s="184"/>
      <c r="V252" s="184"/>
      <c r="W252" s="184"/>
      <c r="X252" s="184">
        <f>Sheet1!AS263</f>
        <v>1225</v>
      </c>
      <c r="Y252" s="184">
        <f>Sheet1!AT263</f>
        <v>0.85099999999999998</v>
      </c>
      <c r="Z252" s="184"/>
      <c r="AA252" s="184"/>
      <c r="AB252" s="184"/>
      <c r="AC252" s="186"/>
      <c r="AD252" s="184"/>
      <c r="AE252" s="184"/>
      <c r="AF252" s="184"/>
      <c r="AG252" s="186"/>
      <c r="AH252" s="184"/>
      <c r="AI252" s="187"/>
      <c r="AJ252" s="191"/>
      <c r="AK252" s="191"/>
      <c r="AL252" s="191"/>
      <c r="AM252" s="191"/>
    </row>
    <row r="253" spans="2:39" x14ac:dyDescent="0.25">
      <c r="B253" s="193" t="str">
        <f>Sheet1!A264</f>
        <v>10050.1</v>
      </c>
      <c r="C253" s="183" t="str">
        <f>Sheet1!C264</f>
        <v>BARCLAY AVE</v>
      </c>
      <c r="D253" s="183" t="str">
        <f>Sheet1!D264</f>
        <v>SAN ANTONIO RD</v>
      </c>
      <c r="E253" s="183" t="str">
        <f>Sheet1!E264</f>
        <v>LUCKY LN</v>
      </c>
      <c r="F253" s="184" t="str">
        <f>Sheet1!F264</f>
        <v>2U</v>
      </c>
      <c r="G253" s="184" t="str">
        <f>Sheet1!H264</f>
        <v>4D</v>
      </c>
      <c r="H253" s="185" t="str">
        <f>Sheet1!Z264</f>
        <v>D</v>
      </c>
      <c r="I253" s="185"/>
      <c r="J253" s="185"/>
      <c r="K253" s="185"/>
      <c r="L253" s="184"/>
      <c r="M253" s="184">
        <f>Sheet1!AI264</f>
        <v>1962</v>
      </c>
      <c r="N253" s="184"/>
      <c r="O253" s="184"/>
      <c r="P253" s="184"/>
      <c r="Q253" s="184"/>
      <c r="R253" s="184">
        <f>Sheet1!P264</f>
        <v>13611</v>
      </c>
      <c r="S253" s="186"/>
      <c r="T253" s="184"/>
      <c r="U253" s="184"/>
      <c r="V253" s="184"/>
      <c r="W253" s="184"/>
      <c r="X253" s="184">
        <f>Sheet1!AS264</f>
        <v>1225</v>
      </c>
      <c r="Y253" s="184">
        <f>Sheet1!AT264</f>
        <v>0.624</v>
      </c>
      <c r="Z253" s="184"/>
      <c r="AA253" s="184"/>
      <c r="AB253" s="184"/>
      <c r="AC253" s="186"/>
      <c r="AD253" s="184"/>
      <c r="AE253" s="184"/>
      <c r="AF253" s="184"/>
      <c r="AG253" s="186"/>
      <c r="AH253" s="184"/>
      <c r="AI253" s="187"/>
      <c r="AJ253" s="191"/>
      <c r="AK253" s="191"/>
      <c r="AL253" s="191"/>
      <c r="AM253" s="191"/>
    </row>
    <row r="254" spans="2:39" x14ac:dyDescent="0.25">
      <c r="B254" s="193" t="str">
        <f>Sheet1!A265</f>
        <v>10050.2</v>
      </c>
      <c r="C254" s="183" t="str">
        <f>Sheet1!C265</f>
        <v>BARCLAY AVE</v>
      </c>
      <c r="D254" s="183" t="str">
        <f>Sheet1!D265</f>
        <v>LUCKY LN</v>
      </c>
      <c r="E254" s="183" t="str">
        <f>Sheet1!E265</f>
        <v>CORTEZ BLVD (SR50)</v>
      </c>
      <c r="F254" s="184" t="str">
        <f>Sheet1!F265</f>
        <v>2U</v>
      </c>
      <c r="G254" s="184" t="str">
        <f>Sheet1!H265</f>
        <v>4D</v>
      </c>
      <c r="H254" s="185" t="str">
        <f>Sheet1!Z265</f>
        <v>D</v>
      </c>
      <c r="I254" s="185"/>
      <c r="J254" s="185"/>
      <c r="K254" s="185"/>
      <c r="L254" s="184"/>
      <c r="M254" s="184">
        <f>Sheet1!AI265</f>
        <v>1440</v>
      </c>
      <c r="N254" s="184"/>
      <c r="O254" s="184"/>
      <c r="P254" s="184"/>
      <c r="Q254" s="184"/>
      <c r="R254" s="184">
        <f>Sheet1!P265</f>
        <v>13611</v>
      </c>
      <c r="S254" s="186"/>
      <c r="T254" s="184"/>
      <c r="U254" s="184"/>
      <c r="V254" s="184"/>
      <c r="W254" s="184"/>
      <c r="X254" s="184">
        <f>Sheet1!AS265</f>
        <v>1225</v>
      </c>
      <c r="Y254" s="184">
        <f>Sheet1!AT265</f>
        <v>0.85099999999999998</v>
      </c>
      <c r="Z254" s="184"/>
      <c r="AA254" s="184"/>
      <c r="AB254" s="184"/>
      <c r="AC254" s="186"/>
      <c r="AD254" s="184"/>
      <c r="AE254" s="184"/>
      <c r="AF254" s="184"/>
      <c r="AG254" s="186"/>
      <c r="AH254" s="184"/>
      <c r="AI254" s="187"/>
      <c r="AJ254" s="191"/>
      <c r="AK254" s="191"/>
      <c r="AL254" s="191"/>
      <c r="AM254" s="191"/>
    </row>
    <row r="255" spans="2:39" x14ac:dyDescent="0.25">
      <c r="B255" s="193" t="str">
        <f>Sheet1!A266</f>
        <v>10540.1</v>
      </c>
      <c r="C255" s="183" t="str">
        <f>Sheet1!C266</f>
        <v>MARINER BLVD (CR587)</v>
      </c>
      <c r="D255" s="183" t="str">
        <f>Sheet1!D266</f>
        <v>COUNTY LINE RD</v>
      </c>
      <c r="E255" s="183" t="str">
        <f>Sheet1!E266</f>
        <v>QUALITY DR</v>
      </c>
      <c r="F255" s="184" t="str">
        <f>Sheet1!F266</f>
        <v>4D</v>
      </c>
      <c r="G255" s="184" t="str">
        <f>Sheet1!H266</f>
        <v>4D</v>
      </c>
      <c r="H255" s="185" t="str">
        <f>Sheet1!Z266</f>
        <v>D</v>
      </c>
      <c r="I255" s="185"/>
      <c r="J255" s="185"/>
      <c r="K255" s="185"/>
      <c r="L255" s="184"/>
      <c r="M255" s="184">
        <f>Sheet1!AI266</f>
        <v>3222</v>
      </c>
      <c r="N255" s="184"/>
      <c r="O255" s="184"/>
      <c r="P255" s="184"/>
      <c r="Q255" s="184"/>
      <c r="R255" s="184">
        <f>Sheet1!P266</f>
        <v>35896</v>
      </c>
      <c r="S255" s="186"/>
      <c r="T255" s="184"/>
      <c r="U255" s="184"/>
      <c r="V255" s="184"/>
      <c r="W255" s="184"/>
      <c r="X255" s="184">
        <f>Sheet1!AS266</f>
        <v>3231</v>
      </c>
      <c r="Y255" s="184">
        <f>Sheet1!AT266</f>
        <v>1.0029999999999999</v>
      </c>
      <c r="Z255" s="184"/>
      <c r="AA255" s="184"/>
      <c r="AB255" s="184"/>
      <c r="AC255" s="186"/>
      <c r="AD255" s="184"/>
      <c r="AE255" s="184"/>
      <c r="AF255" s="184"/>
      <c r="AG255" s="186"/>
      <c r="AH255" s="184"/>
      <c r="AI255" s="187"/>
      <c r="AJ255" s="191"/>
      <c r="AK255" s="191"/>
      <c r="AL255" s="191"/>
      <c r="AM255" s="191"/>
    </row>
    <row r="256" spans="2:39" x14ac:dyDescent="0.25">
      <c r="B256" s="193" t="str">
        <f>Sheet1!A267</f>
        <v>10540.3</v>
      </c>
      <c r="C256" s="183" t="str">
        <f>Sheet1!C267</f>
        <v>MARINER BLVD (CR587)</v>
      </c>
      <c r="D256" s="183" t="str">
        <f>Sheet1!D267</f>
        <v>QUALITY DR</v>
      </c>
      <c r="E256" s="183" t="str">
        <f>Sheet1!E267</f>
        <v>FAIRCHILD RD</v>
      </c>
      <c r="F256" s="184" t="str">
        <f>Sheet1!F267</f>
        <v>4D</v>
      </c>
      <c r="G256" s="184" t="str">
        <f>Sheet1!H267</f>
        <v>4D</v>
      </c>
      <c r="H256" s="185" t="str">
        <f>Sheet1!Z267</f>
        <v>D</v>
      </c>
      <c r="I256" s="185"/>
      <c r="J256" s="185"/>
      <c r="K256" s="185"/>
      <c r="L256" s="184"/>
      <c r="M256" s="184">
        <f>Sheet1!AI267</f>
        <v>3222</v>
      </c>
      <c r="N256" s="184"/>
      <c r="O256" s="184"/>
      <c r="P256" s="184"/>
      <c r="Q256" s="184"/>
      <c r="R256" s="184">
        <f>Sheet1!P267</f>
        <v>35896</v>
      </c>
      <c r="S256" s="186"/>
      <c r="T256" s="184"/>
      <c r="U256" s="184"/>
      <c r="V256" s="184"/>
      <c r="W256" s="184"/>
      <c r="X256" s="184">
        <f>Sheet1!AS267</f>
        <v>3231</v>
      </c>
      <c r="Y256" s="184">
        <f>Sheet1!AT267</f>
        <v>1.0029999999999999</v>
      </c>
      <c r="Z256" s="184"/>
      <c r="AA256" s="184"/>
      <c r="AB256" s="184"/>
      <c r="AC256" s="186"/>
      <c r="AD256" s="184"/>
      <c r="AE256" s="184"/>
      <c r="AF256" s="184"/>
      <c r="AG256" s="186"/>
      <c r="AH256" s="184"/>
      <c r="AI256" s="187"/>
      <c r="AJ256" s="191"/>
      <c r="AK256" s="191"/>
      <c r="AL256" s="191"/>
      <c r="AM256" s="191"/>
    </row>
    <row r="257" spans="2:39" x14ac:dyDescent="0.25">
      <c r="B257" s="193" t="str">
        <f>Sheet1!A268</f>
        <v>10540.4</v>
      </c>
      <c r="C257" s="183" t="str">
        <f>Sheet1!C268</f>
        <v>MARINER BLVD (CR587)</v>
      </c>
      <c r="D257" s="183" t="str">
        <f>Sheet1!D268</f>
        <v>FAIRCHILD RD</v>
      </c>
      <c r="E257" s="183" t="str">
        <f>Sheet1!E268</f>
        <v>AUDIE BROOK DR</v>
      </c>
      <c r="F257" s="184" t="str">
        <f>Sheet1!F268</f>
        <v>4D</v>
      </c>
      <c r="G257" s="184" t="str">
        <f>Sheet1!H268</f>
        <v>4D</v>
      </c>
      <c r="H257" s="185" t="str">
        <f>Sheet1!Z268</f>
        <v>D</v>
      </c>
      <c r="I257" s="185"/>
      <c r="J257" s="185"/>
      <c r="K257" s="185"/>
      <c r="L257" s="184"/>
      <c r="M257" s="184">
        <f>Sheet1!AI268</f>
        <v>3222</v>
      </c>
      <c r="N257" s="184"/>
      <c r="O257" s="184"/>
      <c r="P257" s="184"/>
      <c r="Q257" s="184"/>
      <c r="R257" s="184">
        <f>Sheet1!P268</f>
        <v>35896</v>
      </c>
      <c r="S257" s="186"/>
      <c r="T257" s="184"/>
      <c r="U257" s="184"/>
      <c r="V257" s="184"/>
      <c r="W257" s="184"/>
      <c r="X257" s="184">
        <f>Sheet1!AS268</f>
        <v>3231</v>
      </c>
      <c r="Y257" s="184">
        <f>Sheet1!AT268</f>
        <v>1.0029999999999999</v>
      </c>
      <c r="Z257" s="184"/>
      <c r="AA257" s="184"/>
      <c r="AB257" s="184"/>
      <c r="AC257" s="186"/>
      <c r="AD257" s="184"/>
      <c r="AE257" s="184"/>
      <c r="AF257" s="184"/>
      <c r="AG257" s="186"/>
      <c r="AH257" s="184"/>
      <c r="AI257" s="187"/>
      <c r="AJ257" s="191"/>
      <c r="AK257" s="191"/>
      <c r="AL257" s="191"/>
      <c r="AM257" s="191"/>
    </row>
    <row r="258" spans="2:39" x14ac:dyDescent="0.25">
      <c r="B258" s="193" t="str">
        <f>Sheet1!A269</f>
        <v>10550.1</v>
      </c>
      <c r="C258" s="183" t="str">
        <f>Sheet1!C269</f>
        <v>MARINER BLVD (CR587)</v>
      </c>
      <c r="D258" s="183" t="str">
        <f>Sheet1!D269</f>
        <v>AUDIE BROOK DR</v>
      </c>
      <c r="E258" s="183" t="str">
        <f>Sheet1!E269</f>
        <v>HENDERSON ST</v>
      </c>
      <c r="F258" s="184" t="str">
        <f>Sheet1!F269</f>
        <v>4D</v>
      </c>
      <c r="G258" s="184" t="str">
        <f>Sheet1!H269</f>
        <v>4D</v>
      </c>
      <c r="H258" s="185" t="str">
        <f>Sheet1!Z269</f>
        <v>D</v>
      </c>
      <c r="I258" s="185"/>
      <c r="J258" s="185"/>
      <c r="K258" s="185"/>
      <c r="L258" s="184"/>
      <c r="M258" s="184">
        <f>Sheet1!AI269</f>
        <v>3222</v>
      </c>
      <c r="N258" s="184"/>
      <c r="O258" s="184"/>
      <c r="P258" s="184"/>
      <c r="Q258" s="184"/>
      <c r="R258" s="184">
        <f>Sheet1!P269</f>
        <v>35896</v>
      </c>
      <c r="S258" s="186"/>
      <c r="T258" s="184"/>
      <c r="U258" s="184"/>
      <c r="V258" s="184"/>
      <c r="W258" s="184"/>
      <c r="X258" s="184">
        <f>Sheet1!AS269</f>
        <v>3231</v>
      </c>
      <c r="Y258" s="184">
        <f>Sheet1!AT269</f>
        <v>1.0029999999999999</v>
      </c>
      <c r="Z258" s="184"/>
      <c r="AA258" s="184"/>
      <c r="AB258" s="184"/>
      <c r="AC258" s="186"/>
      <c r="AD258" s="184"/>
      <c r="AE258" s="184"/>
      <c r="AF258" s="184"/>
      <c r="AG258" s="186"/>
      <c r="AH258" s="184"/>
      <c r="AI258" s="187"/>
      <c r="AJ258" s="191"/>
      <c r="AK258" s="191"/>
      <c r="AL258" s="191"/>
      <c r="AM258" s="191"/>
    </row>
    <row r="259" spans="2:39" x14ac:dyDescent="0.25">
      <c r="B259" s="193" t="str">
        <f>Sheet1!A270</f>
        <v>10550.2</v>
      </c>
      <c r="C259" s="183" t="str">
        <f>Sheet1!C270</f>
        <v>MARINER BLVD (CR587)</v>
      </c>
      <c r="D259" s="183" t="str">
        <f>Sheet1!D270</f>
        <v>HENDERSON ST</v>
      </c>
      <c r="E259" s="183" t="str">
        <f>Sheet1!E270</f>
        <v>SPRING HILL DR</v>
      </c>
      <c r="F259" s="184" t="str">
        <f>Sheet1!F270</f>
        <v>4D</v>
      </c>
      <c r="G259" s="184" t="str">
        <f>Sheet1!H270</f>
        <v>4D</v>
      </c>
      <c r="H259" s="185" t="str">
        <f>Sheet1!Z270</f>
        <v>D</v>
      </c>
      <c r="I259" s="185"/>
      <c r="J259" s="185"/>
      <c r="K259" s="185"/>
      <c r="L259" s="184"/>
      <c r="M259" s="184">
        <f>Sheet1!AI270</f>
        <v>3222</v>
      </c>
      <c r="N259" s="184"/>
      <c r="O259" s="184"/>
      <c r="P259" s="184"/>
      <c r="Q259" s="184"/>
      <c r="R259" s="184">
        <f>Sheet1!P270</f>
        <v>35896</v>
      </c>
      <c r="S259" s="186"/>
      <c r="T259" s="184"/>
      <c r="U259" s="184"/>
      <c r="V259" s="184"/>
      <c r="W259" s="184"/>
      <c r="X259" s="184">
        <f>Sheet1!AS270</f>
        <v>3231</v>
      </c>
      <c r="Y259" s="184">
        <f>Sheet1!AT270</f>
        <v>1.0029999999999999</v>
      </c>
      <c r="Z259" s="184"/>
      <c r="AA259" s="184"/>
      <c r="AB259" s="184"/>
      <c r="AC259" s="186"/>
      <c r="AD259" s="184"/>
      <c r="AE259" s="184"/>
      <c r="AF259" s="184"/>
      <c r="AG259" s="186"/>
      <c r="AH259" s="184"/>
      <c r="AI259" s="187"/>
      <c r="AJ259" s="191"/>
      <c r="AK259" s="191"/>
      <c r="AL259" s="191"/>
      <c r="AM259" s="191"/>
    </row>
    <row r="260" spans="2:39" x14ac:dyDescent="0.25">
      <c r="B260" s="193" t="str">
        <f>Sheet1!A271</f>
        <v>10560</v>
      </c>
      <c r="C260" s="183" t="str">
        <f>Sheet1!C271</f>
        <v>MARINER BLVD (CR587)</v>
      </c>
      <c r="D260" s="183" t="str">
        <f>Sheet1!D271</f>
        <v>SPRING HILL DR</v>
      </c>
      <c r="E260" s="183" t="str">
        <f>Sheet1!E271</f>
        <v>LINDEN DR</v>
      </c>
      <c r="F260" s="184" t="str">
        <f>Sheet1!F271</f>
        <v>4D</v>
      </c>
      <c r="G260" s="184" t="str">
        <f>Sheet1!H271</f>
        <v>4D</v>
      </c>
      <c r="H260" s="185" t="str">
        <f>Sheet1!Z271</f>
        <v>D</v>
      </c>
      <c r="I260" s="185"/>
      <c r="J260" s="185"/>
      <c r="K260" s="185"/>
      <c r="L260" s="184"/>
      <c r="M260" s="184">
        <f>Sheet1!AI271</f>
        <v>2628</v>
      </c>
      <c r="N260" s="184"/>
      <c r="O260" s="184"/>
      <c r="P260" s="184"/>
      <c r="Q260" s="184"/>
      <c r="R260" s="184">
        <f>Sheet1!P271</f>
        <v>32018</v>
      </c>
      <c r="S260" s="186"/>
      <c r="T260" s="184"/>
      <c r="U260" s="184"/>
      <c r="V260" s="184"/>
      <c r="W260" s="184"/>
      <c r="X260" s="184">
        <f>Sheet1!AS271</f>
        <v>2882</v>
      </c>
      <c r="Y260" s="184">
        <f>Sheet1!AT271</f>
        <v>1.097</v>
      </c>
      <c r="Z260" s="184"/>
      <c r="AA260" s="184"/>
      <c r="AB260" s="184"/>
      <c r="AC260" s="186"/>
      <c r="AD260" s="184"/>
      <c r="AE260" s="184"/>
      <c r="AF260" s="184"/>
      <c r="AG260" s="186"/>
      <c r="AH260" s="184"/>
      <c r="AI260" s="187"/>
      <c r="AJ260" s="191"/>
      <c r="AK260" s="191"/>
      <c r="AL260" s="191"/>
      <c r="AM260" s="191"/>
    </row>
    <row r="261" spans="2:39" x14ac:dyDescent="0.25">
      <c r="B261" s="193" t="str">
        <f>Sheet1!A272</f>
        <v>10570</v>
      </c>
      <c r="C261" s="183" t="str">
        <f>Sheet1!C272</f>
        <v>MARINER BLVD (CR587)</v>
      </c>
      <c r="D261" s="183" t="str">
        <f>Sheet1!D272</f>
        <v>LINDEN DR</v>
      </c>
      <c r="E261" s="183" t="str">
        <f>Sheet1!E272</f>
        <v>LANDOVER RD</v>
      </c>
      <c r="F261" s="184" t="str">
        <f>Sheet1!F272</f>
        <v>4D</v>
      </c>
      <c r="G261" s="184" t="str">
        <f>Sheet1!H272</f>
        <v>4D</v>
      </c>
      <c r="H261" s="185" t="str">
        <f>Sheet1!Z272</f>
        <v>D</v>
      </c>
      <c r="I261" s="185"/>
      <c r="J261" s="185"/>
      <c r="K261" s="185"/>
      <c r="L261" s="184"/>
      <c r="M261" s="184">
        <f>Sheet1!AI272</f>
        <v>2628</v>
      </c>
      <c r="N261" s="184"/>
      <c r="O261" s="184"/>
      <c r="P261" s="184"/>
      <c r="Q261" s="184"/>
      <c r="R261" s="184">
        <f>Sheet1!P272</f>
        <v>32018</v>
      </c>
      <c r="S261" s="186"/>
      <c r="T261" s="184"/>
      <c r="U261" s="184"/>
      <c r="V261" s="184"/>
      <c r="W261" s="184"/>
      <c r="X261" s="184">
        <f>Sheet1!AS272</f>
        <v>2882</v>
      </c>
      <c r="Y261" s="184">
        <f>Sheet1!AT272</f>
        <v>1.097</v>
      </c>
      <c r="Z261" s="184"/>
      <c r="AA261" s="184"/>
      <c r="AB261" s="184"/>
      <c r="AC261" s="186"/>
      <c r="AD261" s="184"/>
      <c r="AE261" s="184"/>
      <c r="AF261" s="184"/>
      <c r="AG261" s="186"/>
      <c r="AH261" s="184"/>
      <c r="AI261" s="187"/>
      <c r="AJ261" s="191"/>
      <c r="AK261" s="191"/>
      <c r="AL261" s="191"/>
      <c r="AM261" s="191"/>
    </row>
    <row r="262" spans="2:39" x14ac:dyDescent="0.25">
      <c r="B262" s="193" t="str">
        <f>Sheet1!A273</f>
        <v>10580</v>
      </c>
      <c r="C262" s="183" t="str">
        <f>Sheet1!C273</f>
        <v>MARINER BLVD (CR587)</v>
      </c>
      <c r="D262" s="183" t="str">
        <f>Sheet1!D273</f>
        <v>LANDOVER RD</v>
      </c>
      <c r="E262" s="183" t="str">
        <f>Sheet1!E273</f>
        <v>NORTHCLIFFE BLVD</v>
      </c>
      <c r="F262" s="184" t="str">
        <f>Sheet1!F273</f>
        <v>4D</v>
      </c>
      <c r="G262" s="184" t="str">
        <f>Sheet1!H273</f>
        <v>4D</v>
      </c>
      <c r="H262" s="185" t="str">
        <f>Sheet1!Z273</f>
        <v>D</v>
      </c>
      <c r="I262" s="185"/>
      <c r="J262" s="185"/>
      <c r="K262" s="185"/>
      <c r="L262" s="184"/>
      <c r="M262" s="184">
        <f>Sheet1!AI273</f>
        <v>2628</v>
      </c>
      <c r="N262" s="184"/>
      <c r="O262" s="184"/>
      <c r="P262" s="184"/>
      <c r="Q262" s="184"/>
      <c r="R262" s="184">
        <f>Sheet1!P273</f>
        <v>32018</v>
      </c>
      <c r="S262" s="186"/>
      <c r="T262" s="184"/>
      <c r="U262" s="184"/>
      <c r="V262" s="184"/>
      <c r="W262" s="184"/>
      <c r="X262" s="184">
        <f>Sheet1!AS273</f>
        <v>2882</v>
      </c>
      <c r="Y262" s="184">
        <f>Sheet1!AT273</f>
        <v>1.097</v>
      </c>
      <c r="Z262" s="184"/>
      <c r="AA262" s="184"/>
      <c r="AB262" s="184"/>
      <c r="AC262" s="186"/>
      <c r="AD262" s="184"/>
      <c r="AE262" s="184"/>
      <c r="AF262" s="184"/>
      <c r="AG262" s="186"/>
      <c r="AH262" s="184"/>
      <c r="AI262" s="187"/>
      <c r="AJ262" s="191"/>
      <c r="AK262" s="191"/>
      <c r="AL262" s="191"/>
      <c r="AM262" s="191"/>
    </row>
    <row r="263" spans="2:39" x14ac:dyDescent="0.25">
      <c r="B263" s="193" t="str">
        <f>Sheet1!A274</f>
        <v>10590</v>
      </c>
      <c r="C263" s="183" t="str">
        <f>Sheet1!C274</f>
        <v>MARINER BLVD (CR587)</v>
      </c>
      <c r="D263" s="183" t="str">
        <f>Sheet1!D274</f>
        <v>NORTHCLIFFE BLVD</v>
      </c>
      <c r="E263" s="183" t="str">
        <f>Sheet1!E274</f>
        <v>AUGUSTINE RD</v>
      </c>
      <c r="F263" s="184" t="str">
        <f>Sheet1!F274</f>
        <v>4D</v>
      </c>
      <c r="G263" s="184" t="str">
        <f>Sheet1!H274</f>
        <v>4D</v>
      </c>
      <c r="H263" s="185" t="str">
        <f>Sheet1!Z274</f>
        <v>D</v>
      </c>
      <c r="I263" s="185"/>
      <c r="J263" s="185"/>
      <c r="K263" s="185"/>
      <c r="L263" s="184"/>
      <c r="M263" s="184">
        <f>Sheet1!AI274</f>
        <v>2628</v>
      </c>
      <c r="N263" s="184"/>
      <c r="O263" s="184"/>
      <c r="P263" s="184"/>
      <c r="Q263" s="184"/>
      <c r="R263" s="184">
        <f>Sheet1!P274</f>
        <v>1137</v>
      </c>
      <c r="S263" s="186"/>
      <c r="T263" s="184"/>
      <c r="U263" s="184"/>
      <c r="V263" s="184"/>
      <c r="W263" s="184"/>
      <c r="X263" s="184">
        <f>Sheet1!AS274</f>
        <v>102</v>
      </c>
      <c r="Y263" s="184">
        <f>Sheet1!AT274</f>
        <v>3.9E-2</v>
      </c>
      <c r="Z263" s="184"/>
      <c r="AA263" s="184"/>
      <c r="AB263" s="184"/>
      <c r="AC263" s="186"/>
      <c r="AD263" s="184"/>
      <c r="AE263" s="184"/>
      <c r="AF263" s="184"/>
      <c r="AG263" s="186"/>
      <c r="AH263" s="184"/>
      <c r="AI263" s="187"/>
      <c r="AJ263" s="191"/>
      <c r="AK263" s="191"/>
      <c r="AL263" s="191"/>
      <c r="AM263" s="191"/>
    </row>
    <row r="264" spans="2:39" x14ac:dyDescent="0.25">
      <c r="B264" s="193" t="str">
        <f>Sheet1!A275</f>
        <v>10600</v>
      </c>
      <c r="C264" s="183" t="str">
        <f>Sheet1!C275</f>
        <v>MARINER BLVD (CR587)</v>
      </c>
      <c r="D264" s="183" t="str">
        <f>Sheet1!D275</f>
        <v>AUGUSTINE RD</v>
      </c>
      <c r="E264" s="183" t="str">
        <f>Sheet1!E275</f>
        <v>ELGIN BLVD</v>
      </c>
      <c r="F264" s="184" t="str">
        <f>Sheet1!F275</f>
        <v>4D</v>
      </c>
      <c r="G264" s="184" t="str">
        <f>Sheet1!H275</f>
        <v>4D</v>
      </c>
      <c r="H264" s="185" t="str">
        <f>Sheet1!Z275</f>
        <v>D</v>
      </c>
      <c r="I264" s="185"/>
      <c r="J264" s="185"/>
      <c r="K264" s="185"/>
      <c r="L264" s="184"/>
      <c r="M264" s="184">
        <f>Sheet1!AI275</f>
        <v>2628</v>
      </c>
      <c r="N264" s="184"/>
      <c r="O264" s="184"/>
      <c r="P264" s="184"/>
      <c r="Q264" s="184"/>
      <c r="R264" s="184">
        <f>Sheet1!P275</f>
        <v>1137</v>
      </c>
      <c r="S264" s="186"/>
      <c r="T264" s="184"/>
      <c r="U264" s="184"/>
      <c r="V264" s="184"/>
      <c r="W264" s="184"/>
      <c r="X264" s="184">
        <f>Sheet1!AS275</f>
        <v>102</v>
      </c>
      <c r="Y264" s="184">
        <f>Sheet1!AT275</f>
        <v>3.9E-2</v>
      </c>
      <c r="Z264" s="184"/>
      <c r="AA264" s="184"/>
      <c r="AB264" s="184"/>
      <c r="AC264" s="186"/>
      <c r="AD264" s="184"/>
      <c r="AE264" s="184"/>
      <c r="AF264" s="184"/>
      <c r="AG264" s="186"/>
      <c r="AH264" s="184"/>
      <c r="AI264" s="187"/>
      <c r="AJ264" s="191"/>
      <c r="AK264" s="191"/>
      <c r="AL264" s="191"/>
      <c r="AM264" s="191"/>
    </row>
    <row r="265" spans="2:39" x14ac:dyDescent="0.25">
      <c r="B265" s="193" t="str">
        <f>Sheet1!A276</f>
        <v>10610.1</v>
      </c>
      <c r="C265" s="183" t="str">
        <f>Sheet1!C276</f>
        <v>MARINER BLVD (CR587)</v>
      </c>
      <c r="D265" s="183" t="str">
        <f>Sheet1!D276</f>
        <v>ELGIN BLVD</v>
      </c>
      <c r="E265" s="183" t="str">
        <f>Sheet1!E276</f>
        <v>SAMS CLUB RD</v>
      </c>
      <c r="F265" s="184" t="str">
        <f>Sheet1!F276</f>
        <v>4D</v>
      </c>
      <c r="G265" s="184" t="str">
        <f>Sheet1!H276</f>
        <v>2U</v>
      </c>
      <c r="H265" s="185" t="str">
        <f>Sheet1!Z276</f>
        <v>D</v>
      </c>
      <c r="I265" s="185"/>
      <c r="J265" s="185"/>
      <c r="K265" s="185"/>
      <c r="L265" s="184"/>
      <c r="M265" s="184">
        <f>Sheet1!AI276</f>
        <v>2628</v>
      </c>
      <c r="N265" s="184"/>
      <c r="O265" s="184"/>
      <c r="P265" s="184"/>
      <c r="Q265" s="184"/>
      <c r="R265" s="184">
        <f>Sheet1!P276</f>
        <v>28944</v>
      </c>
      <c r="S265" s="186"/>
      <c r="T265" s="184"/>
      <c r="U265" s="184"/>
      <c r="V265" s="184"/>
      <c r="W265" s="184"/>
      <c r="X265" s="184">
        <f>Sheet1!AS276</f>
        <v>2605</v>
      </c>
      <c r="Y265" s="184">
        <f>Sheet1!AT276</f>
        <v>0.99099999999999999</v>
      </c>
      <c r="Z265" s="184"/>
      <c r="AA265" s="184"/>
      <c r="AB265" s="184"/>
      <c r="AC265" s="186"/>
      <c r="AD265" s="184"/>
      <c r="AE265" s="184"/>
      <c r="AF265" s="184"/>
      <c r="AG265" s="186"/>
      <c r="AH265" s="184"/>
      <c r="AI265" s="187"/>
      <c r="AJ265" s="191"/>
      <c r="AK265" s="191"/>
      <c r="AL265" s="191"/>
      <c r="AM265" s="191"/>
    </row>
    <row r="266" spans="2:39" x14ac:dyDescent="0.25">
      <c r="B266" s="193" t="str">
        <f>Sheet1!A277</f>
        <v>10610.2</v>
      </c>
      <c r="C266" s="183" t="str">
        <f>Sheet1!C277</f>
        <v>MARINER BLVD (CR587)</v>
      </c>
      <c r="D266" s="183" t="str">
        <f>Sheet1!D277</f>
        <v>SAMS CLUB RD</v>
      </c>
      <c r="E266" s="183" t="str">
        <f>Sheet1!E277</f>
        <v>CORTEZ BLVD (SR50)</v>
      </c>
      <c r="F266" s="184" t="str">
        <f>Sheet1!F277</f>
        <v>4D</v>
      </c>
      <c r="G266" s="184" t="str">
        <f>Sheet1!H277</f>
        <v>6D</v>
      </c>
      <c r="H266" s="185" t="str">
        <f>Sheet1!Z277</f>
        <v>D</v>
      </c>
      <c r="I266" s="185"/>
      <c r="J266" s="185"/>
      <c r="K266" s="185"/>
      <c r="L266" s="184"/>
      <c r="M266" s="184">
        <f>Sheet1!AI277</f>
        <v>2628</v>
      </c>
      <c r="N266" s="184"/>
      <c r="O266" s="184"/>
      <c r="P266" s="184"/>
      <c r="Q266" s="184"/>
      <c r="R266" s="184">
        <f>Sheet1!P277</f>
        <v>28944</v>
      </c>
      <c r="S266" s="186"/>
      <c r="T266" s="184"/>
      <c r="U266" s="184"/>
      <c r="V266" s="184"/>
      <c r="W266" s="184"/>
      <c r="X266" s="184">
        <f>Sheet1!AS277</f>
        <v>2605</v>
      </c>
      <c r="Y266" s="184">
        <f>Sheet1!AT277</f>
        <v>0.99099999999999999</v>
      </c>
      <c r="Z266" s="184"/>
      <c r="AA266" s="184"/>
      <c r="AB266" s="184"/>
      <c r="AC266" s="186"/>
      <c r="AD266" s="184"/>
      <c r="AE266" s="184"/>
      <c r="AF266" s="184"/>
      <c r="AG266" s="186"/>
      <c r="AH266" s="184"/>
      <c r="AI266" s="187"/>
      <c r="AJ266" s="191"/>
      <c r="AK266" s="191"/>
      <c r="AL266" s="191"/>
      <c r="AM266" s="191"/>
    </row>
    <row r="267" spans="2:39" x14ac:dyDescent="0.25">
      <c r="B267" s="193" t="str">
        <f>Sheet1!A278</f>
        <v>10612</v>
      </c>
      <c r="C267" s="183" t="str">
        <f>Sheet1!C278</f>
        <v>MARINER BLVD (CR587)</v>
      </c>
      <c r="D267" s="183" t="str">
        <f>Sheet1!D278</f>
        <v>CORTEZ BLVD (SR50)</v>
      </c>
      <c r="E267" s="183" t="str">
        <f>Sheet1!E278</f>
        <v>JACQUELINE RD</v>
      </c>
      <c r="F267" s="184" t="str">
        <f>Sheet1!F278</f>
        <v>2U</v>
      </c>
      <c r="G267" s="184" t="str">
        <f>Sheet1!H278</f>
        <v>6D</v>
      </c>
      <c r="H267" s="185" t="str">
        <f>Sheet1!Z278</f>
        <v>D</v>
      </c>
      <c r="I267" s="185"/>
      <c r="J267" s="185"/>
      <c r="K267" s="185"/>
      <c r="L267" s="184"/>
      <c r="M267" s="184">
        <f>Sheet1!AI278</f>
        <v>1197</v>
      </c>
      <c r="N267" s="184"/>
      <c r="O267" s="184"/>
      <c r="P267" s="184"/>
      <c r="Q267" s="184"/>
      <c r="R267" s="184" t="e">
        <f>Sheet1!P278</f>
        <v>#DIV/0!</v>
      </c>
      <c r="S267" s="186"/>
      <c r="T267" s="184"/>
      <c r="U267" s="184"/>
      <c r="V267" s="184"/>
      <c r="W267" s="184"/>
      <c r="X267" s="184" t="e">
        <f>Sheet1!AS278</f>
        <v>#DIV/0!</v>
      </c>
      <c r="Y267" s="184" t="e">
        <f>Sheet1!AT278</f>
        <v>#DIV/0!</v>
      </c>
      <c r="Z267" s="184"/>
      <c r="AA267" s="184"/>
      <c r="AB267" s="184"/>
      <c r="AC267" s="186"/>
      <c r="AD267" s="184"/>
      <c r="AE267" s="184"/>
      <c r="AF267" s="184"/>
      <c r="AG267" s="186"/>
      <c r="AH267" s="184"/>
      <c r="AI267" s="187"/>
      <c r="AJ267" s="191"/>
      <c r="AK267" s="191"/>
      <c r="AL267" s="191"/>
      <c r="AM267" s="191"/>
    </row>
    <row r="268" spans="2:39" x14ac:dyDescent="0.25">
      <c r="B268" s="193" t="str">
        <f>Sheet1!A279</f>
        <v>10415</v>
      </c>
      <c r="C268" s="183" t="str">
        <f>Sheet1!C279</f>
        <v>DELTONA BLVD</v>
      </c>
      <c r="D268" s="183" t="str">
        <f>Sheet1!D279</f>
        <v>SPRING HILL DR</v>
      </c>
      <c r="E268" s="183" t="str">
        <f>Sheet1!E279</f>
        <v>ABELINE RD</v>
      </c>
      <c r="F268" s="184" t="str">
        <f>Sheet1!F279</f>
        <v>2D</v>
      </c>
      <c r="G268" s="184" t="str">
        <f>Sheet1!H279</f>
        <v>4D</v>
      </c>
      <c r="H268" s="185" t="str">
        <f>Sheet1!Z279</f>
        <v>D</v>
      </c>
      <c r="I268" s="185"/>
      <c r="J268" s="185"/>
      <c r="K268" s="185"/>
      <c r="L268" s="184"/>
      <c r="M268" s="184">
        <f>Sheet1!AI279</f>
        <v>4050</v>
      </c>
      <c r="N268" s="184"/>
      <c r="O268" s="184"/>
      <c r="P268" s="184"/>
      <c r="Q268" s="184"/>
      <c r="R268" s="184">
        <f>Sheet1!P279</f>
        <v>14829</v>
      </c>
      <c r="S268" s="186"/>
      <c r="T268" s="184"/>
      <c r="U268" s="184"/>
      <c r="V268" s="184"/>
      <c r="W268" s="184"/>
      <c r="X268" s="184">
        <f>Sheet1!AS279</f>
        <v>1335</v>
      </c>
      <c r="Y268" s="184">
        <f>Sheet1!AT279</f>
        <v>0.33</v>
      </c>
      <c r="Z268" s="184"/>
      <c r="AA268" s="184"/>
      <c r="AB268" s="184"/>
      <c r="AC268" s="186"/>
      <c r="AD268" s="184"/>
      <c r="AE268" s="184"/>
      <c r="AF268" s="184"/>
      <c r="AG268" s="186"/>
      <c r="AH268" s="184"/>
      <c r="AI268" s="187"/>
      <c r="AJ268" s="191"/>
      <c r="AK268" s="191"/>
      <c r="AL268" s="191"/>
      <c r="AM268" s="191"/>
    </row>
    <row r="269" spans="2:39" x14ac:dyDescent="0.25">
      <c r="B269" s="193" t="str">
        <f>Sheet1!A280</f>
        <v>10420</v>
      </c>
      <c r="C269" s="183" t="str">
        <f>Sheet1!C280</f>
        <v>DELTONA BLVD</v>
      </c>
      <c r="D269" s="183" t="str">
        <f>Sheet1!D280</f>
        <v>ABELINE RD</v>
      </c>
      <c r="E269" s="183" t="str">
        <f>Sheet1!E280</f>
        <v>FOREST OAKS BLVD</v>
      </c>
      <c r="F269" s="184" t="str">
        <f>Sheet1!F280</f>
        <v>2D</v>
      </c>
      <c r="G269" s="184" t="str">
        <f>Sheet1!H280</f>
        <v>2U</v>
      </c>
      <c r="H269" s="185" t="str">
        <f>Sheet1!Z280</f>
        <v>D</v>
      </c>
      <c r="I269" s="185"/>
      <c r="J269" s="185"/>
      <c r="K269" s="185"/>
      <c r="L269" s="184"/>
      <c r="M269" s="184">
        <f>Sheet1!AI280</f>
        <v>4050</v>
      </c>
      <c r="N269" s="184"/>
      <c r="O269" s="184"/>
      <c r="P269" s="184"/>
      <c r="Q269" s="184"/>
      <c r="R269" s="184">
        <f>Sheet1!P280</f>
        <v>18585</v>
      </c>
      <c r="S269" s="186"/>
      <c r="T269" s="184"/>
      <c r="U269" s="184"/>
      <c r="V269" s="184"/>
      <c r="W269" s="184"/>
      <c r="X269" s="184">
        <f>Sheet1!AS280</f>
        <v>1673</v>
      </c>
      <c r="Y269" s="184">
        <f>Sheet1!AT280</f>
        <v>0.41299999999999998</v>
      </c>
      <c r="Z269" s="184"/>
      <c r="AA269" s="184"/>
      <c r="AB269" s="184"/>
      <c r="AC269" s="186"/>
      <c r="AD269" s="184"/>
      <c r="AE269" s="184"/>
      <c r="AF269" s="184"/>
      <c r="AG269" s="186"/>
      <c r="AH269" s="184"/>
      <c r="AI269" s="187"/>
      <c r="AJ269" s="191"/>
      <c r="AK269" s="191"/>
      <c r="AL269" s="191"/>
      <c r="AM269" s="191"/>
    </row>
    <row r="270" spans="2:39" x14ac:dyDescent="0.25">
      <c r="B270" s="193" t="str">
        <f>Sheet1!A281</f>
        <v>10430</v>
      </c>
      <c r="C270" s="183" t="str">
        <f>Sheet1!C281</f>
        <v>DELTONA BLVD</v>
      </c>
      <c r="D270" s="183" t="str">
        <f>Sheet1!D281</f>
        <v>FOREST OAKS BLVD</v>
      </c>
      <c r="E270" s="183" t="str">
        <f>Sheet1!E281</f>
        <v>NORTHCLIFFE BLVD</v>
      </c>
      <c r="F270" s="184" t="str">
        <f>Sheet1!F281</f>
        <v>4D</v>
      </c>
      <c r="G270" s="184" t="str">
        <f>Sheet1!H281</f>
        <v>2U</v>
      </c>
      <c r="H270" s="185" t="str">
        <f>Sheet1!Z281</f>
        <v>D</v>
      </c>
      <c r="I270" s="185"/>
      <c r="J270" s="185"/>
      <c r="K270" s="185"/>
      <c r="L270" s="184"/>
      <c r="M270" s="184">
        <f>Sheet1!AI281</f>
        <v>2628</v>
      </c>
      <c r="N270" s="184"/>
      <c r="O270" s="184"/>
      <c r="P270" s="184"/>
      <c r="Q270" s="184"/>
      <c r="R270" s="184">
        <f>Sheet1!P281</f>
        <v>18585</v>
      </c>
      <c r="S270" s="186"/>
      <c r="T270" s="184"/>
      <c r="U270" s="184"/>
      <c r="V270" s="184"/>
      <c r="W270" s="184"/>
      <c r="X270" s="184">
        <f>Sheet1!AS281</f>
        <v>1673</v>
      </c>
      <c r="Y270" s="184">
        <f>Sheet1!AT281</f>
        <v>0.63700000000000001</v>
      </c>
      <c r="Z270" s="184"/>
      <c r="AA270" s="184"/>
      <c r="AB270" s="184"/>
      <c r="AC270" s="186"/>
      <c r="AD270" s="184"/>
      <c r="AE270" s="184"/>
      <c r="AF270" s="184"/>
      <c r="AG270" s="186"/>
      <c r="AH270" s="184"/>
      <c r="AI270" s="187"/>
      <c r="AJ270" s="191"/>
      <c r="AK270" s="191"/>
      <c r="AL270" s="191"/>
      <c r="AM270" s="191"/>
    </row>
    <row r="271" spans="2:39" x14ac:dyDescent="0.25">
      <c r="B271" s="193" t="str">
        <f>Sheet1!A282</f>
        <v>10440</v>
      </c>
      <c r="C271" s="183" t="str">
        <f>Sheet1!C282</f>
        <v>DELTONA BLVD</v>
      </c>
      <c r="D271" s="183" t="str">
        <f>Sheet1!D282</f>
        <v>NORTHCLIFFE BLVD</v>
      </c>
      <c r="E271" s="183" t="str">
        <f>Sheet1!E282</f>
        <v>ELGIN BLVD</v>
      </c>
      <c r="F271" s="184" t="str">
        <f>Sheet1!F282</f>
        <v>2U</v>
      </c>
      <c r="G271" s="184" t="str">
        <f>Sheet1!H282</f>
        <v>2U</v>
      </c>
      <c r="H271" s="185" t="str">
        <f>Sheet1!Z282</f>
        <v>D</v>
      </c>
      <c r="I271" s="185"/>
      <c r="J271" s="185"/>
      <c r="K271" s="185"/>
      <c r="L271" s="184"/>
      <c r="M271" s="184">
        <f>Sheet1!AI282</f>
        <v>1197</v>
      </c>
      <c r="N271" s="184"/>
      <c r="O271" s="184"/>
      <c r="P271" s="184"/>
      <c r="Q271" s="184"/>
      <c r="R271" s="184">
        <f>Sheet1!P282</f>
        <v>18585</v>
      </c>
      <c r="S271" s="186"/>
      <c r="T271" s="184"/>
      <c r="U271" s="184"/>
      <c r="V271" s="184"/>
      <c r="W271" s="184"/>
      <c r="X271" s="184">
        <f>Sheet1!AS282</f>
        <v>1673</v>
      </c>
      <c r="Y271" s="184">
        <f>Sheet1!AT282</f>
        <v>1.3979999999999999</v>
      </c>
      <c r="Z271" s="184"/>
      <c r="AA271" s="184"/>
      <c r="AB271" s="184"/>
      <c r="AC271" s="186"/>
      <c r="AD271" s="184"/>
      <c r="AE271" s="184"/>
      <c r="AF271" s="184"/>
      <c r="AG271" s="186"/>
      <c r="AH271" s="184"/>
      <c r="AI271" s="187"/>
      <c r="AJ271" s="191"/>
      <c r="AK271" s="191"/>
      <c r="AL271" s="191"/>
      <c r="AM271" s="191"/>
    </row>
    <row r="272" spans="2:39" x14ac:dyDescent="0.25">
      <c r="B272" s="193" t="str">
        <f>Sheet1!A283</f>
        <v>10450</v>
      </c>
      <c r="C272" s="183" t="str">
        <f>Sheet1!C283</f>
        <v>DELTONA BLVD</v>
      </c>
      <c r="D272" s="183" t="str">
        <f>Sheet1!D283</f>
        <v>ELGIN BLVD</v>
      </c>
      <c r="E272" s="183" t="str">
        <f>Sheet1!E283</f>
        <v>CORTEZ BLVD (SR50)</v>
      </c>
      <c r="F272" s="184" t="str">
        <f>Sheet1!F283</f>
        <v>2U</v>
      </c>
      <c r="G272" s="184" t="str">
        <f>Sheet1!H283</f>
        <v>2U</v>
      </c>
      <c r="H272" s="185" t="str">
        <f>Sheet1!Z283</f>
        <v>D</v>
      </c>
      <c r="I272" s="185"/>
      <c r="J272" s="185"/>
      <c r="K272" s="185"/>
      <c r="L272" s="184"/>
      <c r="M272" s="184">
        <f>Sheet1!AI283</f>
        <v>1197</v>
      </c>
      <c r="N272" s="184"/>
      <c r="O272" s="184"/>
      <c r="P272" s="184"/>
      <c r="Q272" s="184"/>
      <c r="R272" s="184">
        <f>Sheet1!P283</f>
        <v>18585</v>
      </c>
      <c r="S272" s="186"/>
      <c r="T272" s="184"/>
      <c r="U272" s="184"/>
      <c r="V272" s="184"/>
      <c r="W272" s="184"/>
      <c r="X272" s="184">
        <f>Sheet1!AS283</f>
        <v>1673</v>
      </c>
      <c r="Y272" s="184">
        <f>Sheet1!AT283</f>
        <v>1.3979999999999999</v>
      </c>
      <c r="Z272" s="184"/>
      <c r="AA272" s="184"/>
      <c r="AB272" s="184"/>
      <c r="AC272" s="186"/>
      <c r="AD272" s="184"/>
      <c r="AE272" s="184"/>
      <c r="AF272" s="184"/>
      <c r="AG272" s="186"/>
      <c r="AH272" s="184"/>
      <c r="AI272" s="187"/>
      <c r="AJ272" s="191"/>
      <c r="AK272" s="191"/>
      <c r="AL272" s="191"/>
      <c r="AM272" s="191"/>
    </row>
    <row r="273" spans="2:39" x14ac:dyDescent="0.25">
      <c r="B273" s="193" t="str">
        <f>Sheet1!A284</f>
        <v>4510.1</v>
      </c>
      <c r="C273" s="183" t="str">
        <f>Sheet1!C284</f>
        <v>PINE ISLAND DR</v>
      </c>
      <c r="D273" s="183" t="str">
        <f>Sheet1!D284</f>
        <v>CORTEZ BLVD (SR50)</v>
      </c>
      <c r="E273" s="183" t="str">
        <f>Sheet1!E284</f>
        <v>1500 FT S OF PALOMINO DR</v>
      </c>
      <c r="F273" s="184" t="str">
        <f>Sheet1!F284</f>
        <v>2U</v>
      </c>
      <c r="G273" s="184" t="str">
        <f>Sheet1!H284</f>
        <v>2U</v>
      </c>
      <c r="H273" s="185" t="str">
        <f>Sheet1!Z284</f>
        <v>D</v>
      </c>
      <c r="I273" s="185"/>
      <c r="J273" s="185"/>
      <c r="K273" s="185"/>
      <c r="L273" s="184"/>
      <c r="M273" s="184">
        <f>Sheet1!AI284</f>
        <v>1818</v>
      </c>
      <c r="N273" s="184"/>
      <c r="O273" s="184"/>
      <c r="P273" s="184"/>
      <c r="Q273" s="184"/>
      <c r="R273" s="184">
        <f>Sheet1!P284</f>
        <v>1065</v>
      </c>
      <c r="S273" s="186"/>
      <c r="T273" s="184"/>
      <c r="U273" s="184"/>
      <c r="V273" s="184"/>
      <c r="W273" s="184"/>
      <c r="X273" s="184">
        <f>Sheet1!AS284</f>
        <v>96</v>
      </c>
      <c r="Y273" s="184">
        <f>Sheet1!AT284</f>
        <v>5.2999999999999999E-2</v>
      </c>
      <c r="Z273" s="184"/>
      <c r="AA273" s="184"/>
      <c r="AB273" s="184"/>
      <c r="AC273" s="186"/>
      <c r="AD273" s="184"/>
      <c r="AE273" s="184"/>
      <c r="AF273" s="184"/>
      <c r="AG273" s="186"/>
      <c r="AH273" s="184"/>
      <c r="AI273" s="187"/>
      <c r="AJ273" s="191"/>
      <c r="AK273" s="191"/>
      <c r="AL273" s="191"/>
      <c r="AM273" s="191"/>
    </row>
    <row r="274" spans="2:39" x14ac:dyDescent="0.25">
      <c r="B274" s="193" t="str">
        <f>Sheet1!A285</f>
        <v>4510.2</v>
      </c>
      <c r="C274" s="183" t="str">
        <f>Sheet1!C285</f>
        <v>PINE ISLAND DR</v>
      </c>
      <c r="D274" s="183" t="str">
        <f>Sheet1!D285</f>
        <v>1500 FT S OF PALOMINO DR</v>
      </c>
      <c r="E274" s="183" t="str">
        <f>Sheet1!E285</f>
        <v>END OF PINE ISLAND DR</v>
      </c>
      <c r="F274" s="184" t="str">
        <f>Sheet1!F285</f>
        <v>2U</v>
      </c>
      <c r="G274" s="184" t="str">
        <f>Sheet1!H285</f>
        <v>2U</v>
      </c>
      <c r="H274" s="185" t="str">
        <f>Sheet1!Z285</f>
        <v>D</v>
      </c>
      <c r="I274" s="185"/>
      <c r="J274" s="185"/>
      <c r="K274" s="185"/>
      <c r="L274" s="184"/>
      <c r="M274" s="184">
        <f>Sheet1!AI285</f>
        <v>1818</v>
      </c>
      <c r="N274" s="184"/>
      <c r="O274" s="184"/>
      <c r="P274" s="184"/>
      <c r="Q274" s="184"/>
      <c r="R274" s="184">
        <f>Sheet1!P285</f>
        <v>1065</v>
      </c>
      <c r="S274" s="186"/>
      <c r="T274" s="184"/>
      <c r="U274" s="184"/>
      <c r="V274" s="184"/>
      <c r="W274" s="184"/>
      <c r="X274" s="184">
        <f>Sheet1!AS285</f>
        <v>96</v>
      </c>
      <c r="Y274" s="184">
        <f>Sheet1!AT285</f>
        <v>5.2999999999999999E-2</v>
      </c>
      <c r="Z274" s="184"/>
      <c r="AA274" s="184"/>
      <c r="AB274" s="184"/>
      <c r="AC274" s="186"/>
      <c r="AD274" s="184"/>
      <c r="AE274" s="184"/>
      <c r="AF274" s="184"/>
      <c r="AG274" s="186"/>
      <c r="AH274" s="184"/>
      <c r="AI274" s="187"/>
      <c r="AJ274" s="191"/>
      <c r="AK274" s="191"/>
      <c r="AL274" s="191"/>
      <c r="AM274" s="191"/>
    </row>
    <row r="275" spans="2:39" x14ac:dyDescent="0.25">
      <c r="B275" s="193" t="str">
        <f>Sheet1!A286</f>
        <v>5110.1</v>
      </c>
      <c r="C275" s="183" t="str">
        <f>Sheet1!C286</f>
        <v>SHOAL LINE BLVD</v>
      </c>
      <c r="D275" s="183" t="str">
        <f>Sheet1!D286</f>
        <v>OSOWAW BLVD</v>
      </c>
      <c r="E275" s="183" t="str">
        <f>Sheet1!E286</f>
        <v>URBAN BOUNDARY</v>
      </c>
      <c r="F275" s="184" t="str">
        <f>Sheet1!F286</f>
        <v>2U</v>
      </c>
      <c r="G275" s="184" t="str">
        <f>Sheet1!H286</f>
        <v>2U</v>
      </c>
      <c r="H275" s="185" t="str">
        <f>Sheet1!Z286</f>
        <v>D</v>
      </c>
      <c r="I275" s="185"/>
      <c r="J275" s="185"/>
      <c r="K275" s="185"/>
      <c r="L275" s="184"/>
      <c r="M275" s="184">
        <f>Sheet1!AI286</f>
        <v>0</v>
      </c>
      <c r="N275" s="184"/>
      <c r="O275" s="184"/>
      <c r="P275" s="184"/>
      <c r="Q275" s="184"/>
      <c r="R275" s="184">
        <f>Sheet1!P286</f>
        <v>7861</v>
      </c>
      <c r="S275" s="186"/>
      <c r="T275" s="184"/>
      <c r="U275" s="184"/>
      <c r="V275" s="184"/>
      <c r="W275" s="184"/>
      <c r="X275" s="184">
        <f>Sheet1!AS286</f>
        <v>0</v>
      </c>
      <c r="Y275" s="184">
        <f>Sheet1!AT286</f>
        <v>0</v>
      </c>
      <c r="Z275" s="184"/>
      <c r="AA275" s="184"/>
      <c r="AB275" s="184"/>
      <c r="AC275" s="186"/>
      <c r="AD275" s="184"/>
      <c r="AE275" s="184"/>
      <c r="AF275" s="184"/>
      <c r="AG275" s="186"/>
      <c r="AH275" s="184"/>
      <c r="AI275" s="187"/>
      <c r="AJ275" s="191"/>
      <c r="AK275" s="191"/>
      <c r="AL275" s="191"/>
      <c r="AM275" s="191"/>
    </row>
    <row r="276" spans="2:39" x14ac:dyDescent="0.25">
      <c r="B276" s="193" t="str">
        <f>Sheet1!A287</f>
        <v>5110.3</v>
      </c>
      <c r="C276" s="183" t="str">
        <f>Sheet1!C287</f>
        <v>SHOAL LINE BLVD</v>
      </c>
      <c r="D276" s="183" t="str">
        <f>Sheet1!D287</f>
        <v>URBAN BOUNDARY</v>
      </c>
      <c r="E276" s="183" t="str">
        <f>Sheet1!E287</f>
        <v>COFER RD</v>
      </c>
      <c r="F276" s="184" t="str">
        <f>Sheet1!F287</f>
        <v>2U</v>
      </c>
      <c r="G276" s="184" t="str">
        <f>Sheet1!H287</f>
        <v>2U</v>
      </c>
      <c r="H276" s="185" t="str">
        <f>Sheet1!Z287</f>
        <v>D</v>
      </c>
      <c r="I276" s="185"/>
      <c r="J276" s="185"/>
      <c r="K276" s="185"/>
      <c r="L276" s="184"/>
      <c r="M276" s="184">
        <f>Sheet1!AI287</f>
        <v>1962</v>
      </c>
      <c r="N276" s="184"/>
      <c r="O276" s="184"/>
      <c r="P276" s="184"/>
      <c r="Q276" s="184"/>
      <c r="R276" s="184">
        <f>Sheet1!P287</f>
        <v>7861</v>
      </c>
      <c r="S276" s="186"/>
      <c r="T276" s="184"/>
      <c r="U276" s="184"/>
      <c r="V276" s="184"/>
      <c r="W276" s="184"/>
      <c r="X276" s="184">
        <f>Sheet1!AS287</f>
        <v>707</v>
      </c>
      <c r="Y276" s="184">
        <f>Sheet1!AT287</f>
        <v>0.36</v>
      </c>
      <c r="Z276" s="184"/>
      <c r="AA276" s="184"/>
      <c r="AB276" s="184"/>
      <c r="AC276" s="186"/>
      <c r="AD276" s="184"/>
      <c r="AE276" s="184"/>
      <c r="AF276" s="184"/>
      <c r="AG276" s="186"/>
      <c r="AH276" s="184"/>
      <c r="AI276" s="187"/>
      <c r="AJ276" s="191"/>
      <c r="AK276" s="191"/>
      <c r="AL276" s="191"/>
      <c r="AM276" s="191"/>
    </row>
    <row r="277" spans="2:39" x14ac:dyDescent="0.25">
      <c r="B277" s="193" t="str">
        <f>Sheet1!A288</f>
        <v>5110.4</v>
      </c>
      <c r="C277" s="183" t="str">
        <f>Sheet1!C288</f>
        <v>SHOAL LINE BLVD</v>
      </c>
      <c r="D277" s="183" t="str">
        <f>Sheet1!D288</f>
        <v>COFER RD</v>
      </c>
      <c r="E277" s="183" t="str">
        <f>Sheet1!E288</f>
        <v>CORTEZ BLVD (SR50)</v>
      </c>
      <c r="F277" s="184" t="str">
        <f>Sheet1!F288</f>
        <v>2U</v>
      </c>
      <c r="G277" s="184" t="str">
        <f>Sheet1!H288</f>
        <v>4D</v>
      </c>
      <c r="H277" s="185" t="str">
        <f>Sheet1!Z288</f>
        <v>D</v>
      </c>
      <c r="I277" s="185"/>
      <c r="J277" s="185"/>
      <c r="K277" s="185"/>
      <c r="L277" s="184"/>
      <c r="M277" s="184">
        <f>Sheet1!AI288</f>
        <v>1962</v>
      </c>
      <c r="N277" s="184"/>
      <c r="O277" s="184"/>
      <c r="P277" s="184"/>
      <c r="Q277" s="184"/>
      <c r="R277" s="184">
        <f>Sheet1!P288</f>
        <v>7861</v>
      </c>
      <c r="S277" s="186"/>
      <c r="T277" s="184"/>
      <c r="U277" s="184"/>
      <c r="V277" s="184"/>
      <c r="W277" s="184"/>
      <c r="X277" s="184">
        <f>Sheet1!AS288</f>
        <v>707</v>
      </c>
      <c r="Y277" s="184">
        <f>Sheet1!AT288</f>
        <v>0.36</v>
      </c>
      <c r="Z277" s="184"/>
      <c r="AA277" s="184"/>
      <c r="AB277" s="184"/>
      <c r="AC277" s="186"/>
      <c r="AD277" s="184"/>
      <c r="AE277" s="184"/>
      <c r="AF277" s="184"/>
      <c r="AG277" s="186"/>
      <c r="AH277" s="184"/>
      <c r="AI277" s="187"/>
      <c r="AJ277" s="191"/>
      <c r="AK277" s="191"/>
      <c r="AL277" s="191"/>
      <c r="AM277" s="191"/>
    </row>
    <row r="278" spans="2:39" x14ac:dyDescent="0.25">
      <c r="B278" s="193" t="str">
        <f>Sheet1!A289</f>
        <v>6210</v>
      </c>
      <c r="C278" s="183" t="str">
        <f>Sheet1!C289</f>
        <v>YONTZ RD</v>
      </c>
      <c r="D278" s="183" t="str">
        <f>Sheet1!D289</f>
        <v>COBB RD</v>
      </c>
      <c r="E278" s="183" t="str">
        <f>Sheet1!E289</f>
        <v>PONCE DE LEON BLVD (US98/SR700)</v>
      </c>
      <c r="F278" s="184" t="str">
        <f>Sheet1!F289</f>
        <v>2U</v>
      </c>
      <c r="G278" s="184" t="str">
        <f>Sheet1!H289</f>
        <v>2U</v>
      </c>
      <c r="H278" s="185" t="str">
        <f>Sheet1!Z289</f>
        <v>D</v>
      </c>
      <c r="I278" s="185"/>
      <c r="J278" s="185"/>
      <c r="K278" s="185"/>
      <c r="L278" s="184"/>
      <c r="M278" s="184">
        <f>Sheet1!AI289</f>
        <v>1962</v>
      </c>
      <c r="N278" s="184"/>
      <c r="O278" s="184"/>
      <c r="P278" s="184"/>
      <c r="Q278" s="184"/>
      <c r="R278" s="184">
        <f>Sheet1!P289</f>
        <v>3153</v>
      </c>
      <c r="S278" s="186"/>
      <c r="T278" s="184"/>
      <c r="U278" s="184"/>
      <c r="V278" s="184"/>
      <c r="W278" s="184"/>
      <c r="X278" s="184">
        <f>Sheet1!AS289</f>
        <v>284</v>
      </c>
      <c r="Y278" s="184">
        <f>Sheet1!AT289</f>
        <v>0.14499999999999999</v>
      </c>
      <c r="Z278" s="184"/>
      <c r="AA278" s="184"/>
      <c r="AB278" s="184"/>
      <c r="AC278" s="186"/>
      <c r="AD278" s="184"/>
      <c r="AE278" s="184"/>
      <c r="AF278" s="184"/>
      <c r="AG278" s="186"/>
      <c r="AH278" s="184"/>
      <c r="AI278" s="187"/>
      <c r="AJ278" s="191"/>
      <c r="AK278" s="191"/>
      <c r="AL278" s="191"/>
      <c r="AM278" s="191"/>
    </row>
    <row r="279" spans="2:39" x14ac:dyDescent="0.25">
      <c r="B279" s="193" t="str">
        <f>Sheet1!A290</f>
        <v>6220.1</v>
      </c>
      <c r="C279" s="183" t="str">
        <f>Sheet1!C290</f>
        <v>YONTZ RD</v>
      </c>
      <c r="D279" s="183" t="str">
        <f>Sheet1!D290</f>
        <v>PONCE DE LEON BLVD (US98/SR700)</v>
      </c>
      <c r="E279" s="183" t="str">
        <f>Sheet1!E290</f>
        <v>HOWELL AV</v>
      </c>
      <c r="F279" s="184" t="str">
        <f>Sheet1!F290</f>
        <v>2U</v>
      </c>
      <c r="G279" s="184" t="str">
        <f>Sheet1!H290</f>
        <v>4D</v>
      </c>
      <c r="H279" s="185" t="str">
        <f>Sheet1!Z290</f>
        <v>D</v>
      </c>
      <c r="I279" s="185"/>
      <c r="J279" s="185"/>
      <c r="K279" s="185"/>
      <c r="L279" s="184"/>
      <c r="M279" s="184">
        <f>Sheet1!AI290</f>
        <v>0</v>
      </c>
      <c r="N279" s="184"/>
      <c r="O279" s="184"/>
      <c r="P279" s="184"/>
      <c r="Q279" s="184"/>
      <c r="R279" s="184">
        <f>Sheet1!P290</f>
        <v>4262</v>
      </c>
      <c r="S279" s="186"/>
      <c r="T279" s="184"/>
      <c r="U279" s="184"/>
      <c r="V279" s="184"/>
      <c r="W279" s="184"/>
      <c r="X279" s="184">
        <f>Sheet1!AS290</f>
        <v>0</v>
      </c>
      <c r="Y279" s="184">
        <f>Sheet1!AT290</f>
        <v>0</v>
      </c>
      <c r="Z279" s="184"/>
      <c r="AA279" s="184"/>
      <c r="AB279" s="184"/>
      <c r="AC279" s="186"/>
      <c r="AD279" s="184"/>
      <c r="AE279" s="184"/>
      <c r="AF279" s="184"/>
      <c r="AG279" s="186"/>
      <c r="AH279" s="184"/>
      <c r="AI279" s="187"/>
      <c r="AJ279" s="191"/>
      <c r="AK279" s="191"/>
      <c r="AL279" s="191"/>
      <c r="AM279" s="191"/>
    </row>
    <row r="280" spans="2:39" x14ac:dyDescent="0.25">
      <c r="B280" s="193" t="str">
        <f>Sheet1!A291</f>
        <v>6220.2</v>
      </c>
      <c r="C280" s="183" t="str">
        <f>Sheet1!C291</f>
        <v>YONTZ RD</v>
      </c>
      <c r="D280" s="183" t="str">
        <f>Sheet1!D291</f>
        <v>HOWELL AV</v>
      </c>
      <c r="E280" s="183" t="str">
        <f>Sheet1!E291</f>
        <v>BROAD ST (US41/SR45)</v>
      </c>
      <c r="F280" s="184" t="str">
        <f>Sheet1!F291</f>
        <v>2U</v>
      </c>
      <c r="G280" s="184" t="str">
        <f>Sheet1!H291</f>
        <v>2U</v>
      </c>
      <c r="H280" s="185" t="str">
        <f>Sheet1!Z291</f>
        <v>D</v>
      </c>
      <c r="I280" s="185"/>
      <c r="J280" s="185"/>
      <c r="K280" s="185"/>
      <c r="L280" s="184"/>
      <c r="M280" s="184">
        <f>Sheet1!AI291</f>
        <v>1962</v>
      </c>
      <c r="N280" s="184"/>
      <c r="O280" s="184"/>
      <c r="P280" s="184"/>
      <c r="Q280" s="184"/>
      <c r="R280" s="184">
        <f>Sheet1!P291</f>
        <v>4262</v>
      </c>
      <c r="S280" s="186"/>
      <c r="T280" s="184"/>
      <c r="U280" s="184"/>
      <c r="V280" s="184"/>
      <c r="W280" s="184"/>
      <c r="X280" s="184">
        <f>Sheet1!AS291</f>
        <v>384</v>
      </c>
      <c r="Y280" s="184">
        <f>Sheet1!AT291</f>
        <v>0.19600000000000001</v>
      </c>
      <c r="Z280" s="184"/>
      <c r="AA280" s="184"/>
      <c r="AB280" s="184"/>
      <c r="AC280" s="186"/>
      <c r="AD280" s="184"/>
      <c r="AE280" s="184"/>
      <c r="AF280" s="184"/>
      <c r="AG280" s="186"/>
      <c r="AH280" s="184"/>
      <c r="AI280" s="187"/>
      <c r="AJ280" s="191"/>
      <c r="AK280" s="191"/>
      <c r="AL280" s="191"/>
      <c r="AM280" s="191"/>
    </row>
    <row r="281" spans="2:39" x14ac:dyDescent="0.25">
      <c r="B281" s="193" t="str">
        <f>Sheet1!A292</f>
        <v>2880</v>
      </c>
      <c r="C281" s="183" t="str">
        <f>Sheet1!C292</f>
        <v>POWERLINE RD</v>
      </c>
      <c r="D281" s="183" t="str">
        <f>Sheet1!D292</f>
        <v>LOCKHART RD</v>
      </c>
      <c r="E281" s="183" t="str">
        <f>Sheet1!E292</f>
        <v>KETTERING RD</v>
      </c>
      <c r="F281" s="184" t="str">
        <f>Sheet1!F292</f>
        <v>2U</v>
      </c>
      <c r="G281" s="184" t="str">
        <f>Sheet1!H292</f>
        <v>2U</v>
      </c>
      <c r="H281" s="185" t="str">
        <f>Sheet1!Z292</f>
        <v>D</v>
      </c>
      <c r="I281" s="185"/>
      <c r="J281" s="185"/>
      <c r="K281" s="185"/>
      <c r="L281" s="184"/>
      <c r="M281" s="184">
        <f>Sheet1!AI292</f>
        <v>4617</v>
      </c>
      <c r="N281" s="184"/>
      <c r="O281" s="184"/>
      <c r="P281" s="184"/>
      <c r="Q281" s="184"/>
      <c r="R281" s="184" t="e">
        <f>Sheet1!P292</f>
        <v>#DIV/0!</v>
      </c>
      <c r="S281" s="186"/>
      <c r="T281" s="184"/>
      <c r="U281" s="184"/>
      <c r="V281" s="184"/>
      <c r="W281" s="184"/>
      <c r="X281" s="184" t="e">
        <f>Sheet1!AS292</f>
        <v>#DIV/0!</v>
      </c>
      <c r="Y281" s="184" t="e">
        <f>Sheet1!AT292</f>
        <v>#DIV/0!</v>
      </c>
      <c r="Z281" s="184"/>
      <c r="AA281" s="184"/>
      <c r="AB281" s="184"/>
      <c r="AC281" s="186"/>
      <c r="AD281" s="184"/>
      <c r="AE281" s="184"/>
      <c r="AF281" s="184"/>
      <c r="AG281" s="186"/>
      <c r="AH281" s="184"/>
      <c r="AI281" s="187"/>
      <c r="AJ281" s="191"/>
      <c r="AK281" s="191"/>
      <c r="AL281" s="191"/>
      <c r="AM281" s="191"/>
    </row>
    <row r="282" spans="2:39" x14ac:dyDescent="0.25">
      <c r="B282" s="193" t="str">
        <f>Sheet1!A293</f>
        <v>3210</v>
      </c>
      <c r="C282" s="183" t="str">
        <f>Sheet1!C293</f>
        <v>HICKORY HILL RD</v>
      </c>
      <c r="D282" s="183" t="str">
        <f>Sheet1!D293</f>
        <v>SPRING LAKE HWY</v>
      </c>
      <c r="E282" s="183" t="str">
        <f>Sheet1!E293</f>
        <v>BASEBALL POND RD</v>
      </c>
      <c r="F282" s="184" t="str">
        <f>Sheet1!F293</f>
        <v>2U</v>
      </c>
      <c r="G282" s="184" t="str">
        <f>Sheet1!H293</f>
        <v>2U</v>
      </c>
      <c r="H282" s="185" t="str">
        <f>Sheet1!Z293</f>
        <v>D</v>
      </c>
      <c r="I282" s="185"/>
      <c r="J282" s="185"/>
      <c r="K282" s="185"/>
      <c r="L282" s="184"/>
      <c r="M282" s="184">
        <f>Sheet1!AI293</f>
        <v>1197</v>
      </c>
      <c r="N282" s="184"/>
      <c r="O282" s="184"/>
      <c r="P282" s="184"/>
      <c r="Q282" s="184"/>
      <c r="R282" s="184">
        <f>Sheet1!P293</f>
        <v>282</v>
      </c>
      <c r="S282" s="186"/>
      <c r="T282" s="184"/>
      <c r="U282" s="184"/>
      <c r="V282" s="184"/>
      <c r="W282" s="184"/>
      <c r="X282" s="184">
        <f>Sheet1!AS293</f>
        <v>25</v>
      </c>
      <c r="Y282" s="184">
        <f>Sheet1!AT293</f>
        <v>2.1000000000000001E-2</v>
      </c>
      <c r="Z282" s="184"/>
      <c r="AA282" s="184"/>
      <c r="AB282" s="184"/>
      <c r="AC282" s="186"/>
      <c r="AD282" s="184"/>
      <c r="AE282" s="184"/>
      <c r="AF282" s="184"/>
      <c r="AG282" s="186"/>
      <c r="AH282" s="184"/>
      <c r="AI282" s="187"/>
      <c r="AJ282" s="191"/>
      <c r="AK282" s="191"/>
      <c r="AL282" s="191"/>
      <c r="AM282" s="191"/>
    </row>
    <row r="283" spans="2:39" x14ac:dyDescent="0.25">
      <c r="B283" s="193" t="str">
        <f>Sheet1!A294</f>
        <v>10500</v>
      </c>
      <c r="C283" s="183" t="str">
        <f>Sheet1!C294</f>
        <v>MAIN ST</v>
      </c>
      <c r="D283" s="183" t="str">
        <f>Sheet1!D294</f>
        <v>CORTEZ BLVD (SR50)</v>
      </c>
      <c r="E283" s="183" t="str">
        <f>Sheet1!E294</f>
        <v>MLK</v>
      </c>
      <c r="F283" s="184" t="str">
        <f>Sheet1!F294</f>
        <v>2U</v>
      </c>
      <c r="G283" s="184" t="str">
        <f>Sheet1!H294</f>
        <v>2U</v>
      </c>
      <c r="H283" s="185" t="str">
        <f>Sheet1!Z294</f>
        <v>D</v>
      </c>
      <c r="I283" s="185"/>
      <c r="J283" s="185"/>
      <c r="K283" s="185"/>
      <c r="L283" s="184"/>
      <c r="M283" s="184">
        <f>Sheet1!AI294</f>
        <v>1197</v>
      </c>
      <c r="N283" s="184"/>
      <c r="O283" s="184"/>
      <c r="P283" s="184"/>
      <c r="Q283" s="184"/>
      <c r="R283" s="184">
        <f>Sheet1!P294</f>
        <v>10418</v>
      </c>
      <c r="S283" s="186"/>
      <c r="T283" s="184"/>
      <c r="U283" s="184"/>
      <c r="V283" s="184"/>
      <c r="W283" s="184"/>
      <c r="X283" s="184">
        <f>Sheet1!AS294</f>
        <v>938</v>
      </c>
      <c r="Y283" s="184">
        <f>Sheet1!AT294</f>
        <v>0.78400000000000003</v>
      </c>
      <c r="Z283" s="184"/>
      <c r="AA283" s="184"/>
      <c r="AB283" s="184"/>
      <c r="AC283" s="186"/>
      <c r="AD283" s="184"/>
      <c r="AE283" s="184"/>
      <c r="AF283" s="184"/>
      <c r="AG283" s="186"/>
      <c r="AH283" s="184"/>
      <c r="AI283" s="187"/>
      <c r="AJ283" s="191"/>
      <c r="AK283" s="191"/>
      <c r="AL283" s="191"/>
      <c r="AM283" s="191"/>
    </row>
    <row r="284" spans="2:39" x14ac:dyDescent="0.25">
      <c r="B284" s="193" t="str">
        <f>Sheet1!A295</f>
        <v>10510</v>
      </c>
      <c r="C284" s="183" t="str">
        <f>Sheet1!C295</f>
        <v>MAIN ST</v>
      </c>
      <c r="D284" s="183" t="str">
        <f>Sheet1!D295</f>
        <v>MLK</v>
      </c>
      <c r="E284" s="183" t="str">
        <f>Sheet1!E295</f>
        <v>BROAD ST (US41/SR45)</v>
      </c>
      <c r="F284" s="184" t="str">
        <f>Sheet1!F295</f>
        <v>2U</v>
      </c>
      <c r="G284" s="184" t="str">
        <f>Sheet1!H295</f>
        <v>2U</v>
      </c>
      <c r="H284" s="185" t="str">
        <f>Sheet1!Z295</f>
        <v>D</v>
      </c>
      <c r="I284" s="185"/>
      <c r="J284" s="185"/>
      <c r="K284" s="185"/>
      <c r="L284" s="184"/>
      <c r="M284" s="184">
        <f>Sheet1!AI295</f>
        <v>958</v>
      </c>
      <c r="N284" s="184"/>
      <c r="O284" s="184"/>
      <c r="P284" s="184"/>
      <c r="Q284" s="184"/>
      <c r="R284" s="184">
        <f>Sheet1!P295</f>
        <v>10418</v>
      </c>
      <c r="S284" s="186"/>
      <c r="T284" s="184"/>
      <c r="U284" s="184"/>
      <c r="V284" s="184"/>
      <c r="W284" s="184"/>
      <c r="X284" s="184">
        <f>Sheet1!AS295</f>
        <v>938</v>
      </c>
      <c r="Y284" s="184">
        <f>Sheet1!AT295</f>
        <v>0.97899999999999998</v>
      </c>
      <c r="Z284" s="184"/>
      <c r="AA284" s="184"/>
      <c r="AB284" s="184"/>
      <c r="AC284" s="186"/>
      <c r="AD284" s="184"/>
      <c r="AE284" s="184"/>
      <c r="AF284" s="184"/>
      <c r="AG284" s="186"/>
      <c r="AH284" s="184"/>
      <c r="AI284" s="187"/>
      <c r="AJ284" s="191"/>
      <c r="AK284" s="191"/>
      <c r="AL284" s="191"/>
      <c r="AM284" s="191"/>
    </row>
    <row r="285" spans="2:39" x14ac:dyDescent="0.25">
      <c r="B285" s="193" t="str">
        <f>Sheet1!A296</f>
        <v>10520</v>
      </c>
      <c r="C285" s="183" t="str">
        <f>Sheet1!C296</f>
        <v>MAIN ST</v>
      </c>
      <c r="D285" s="183" t="str">
        <f>Sheet1!D296</f>
        <v>BROAD ST (US41/SR45)</v>
      </c>
      <c r="E285" s="183" t="str">
        <f>Sheet1!E296</f>
        <v>JEFFERSON ST (SR50)</v>
      </c>
      <c r="F285" s="184" t="str">
        <f>Sheet1!F296</f>
        <v>2U</v>
      </c>
      <c r="G285" s="184" t="str">
        <f>Sheet1!H296</f>
        <v>4F</v>
      </c>
      <c r="H285" s="185" t="str">
        <f>Sheet1!Z296</f>
        <v>D</v>
      </c>
      <c r="I285" s="185"/>
      <c r="J285" s="185"/>
      <c r="K285" s="185"/>
      <c r="L285" s="184"/>
      <c r="M285" s="184">
        <f>Sheet1!AI296</f>
        <v>958</v>
      </c>
      <c r="N285" s="184"/>
      <c r="O285" s="184"/>
      <c r="P285" s="184"/>
      <c r="Q285" s="184"/>
      <c r="R285" s="184">
        <f>Sheet1!P296</f>
        <v>10418</v>
      </c>
      <c r="S285" s="186"/>
      <c r="T285" s="184"/>
      <c r="U285" s="184"/>
      <c r="V285" s="184"/>
      <c r="W285" s="184"/>
      <c r="X285" s="184">
        <f>Sheet1!AS296</f>
        <v>938</v>
      </c>
      <c r="Y285" s="184">
        <f>Sheet1!AT296</f>
        <v>0.97899999999999998</v>
      </c>
      <c r="Z285" s="184"/>
      <c r="AA285" s="184"/>
      <c r="AB285" s="184"/>
      <c r="AC285" s="186"/>
      <c r="AD285" s="184"/>
      <c r="AE285" s="184"/>
      <c r="AF285" s="184"/>
      <c r="AG285" s="186"/>
      <c r="AH285" s="184"/>
      <c r="AI285" s="187"/>
      <c r="AJ285" s="191"/>
      <c r="AK285" s="191"/>
      <c r="AL285" s="191"/>
      <c r="AM285" s="191"/>
    </row>
    <row r="286" spans="2:39" x14ac:dyDescent="0.25">
      <c r="B286" s="193" t="str">
        <f>Sheet1!A297</f>
        <v>10530</v>
      </c>
      <c r="C286" s="183" t="str">
        <f>Sheet1!C297</f>
        <v>MAIN ST</v>
      </c>
      <c r="D286" s="183" t="str">
        <f>Sheet1!D297</f>
        <v>JEFFERSON ST (SR50)</v>
      </c>
      <c r="E286" s="183" t="str">
        <f>Sheet1!E297</f>
        <v>FORT DADE AVE</v>
      </c>
      <c r="F286" s="184" t="str">
        <f>Sheet1!F297</f>
        <v>2U</v>
      </c>
      <c r="G286" s="184" t="str">
        <f>Sheet1!H297</f>
        <v>2U</v>
      </c>
      <c r="H286" s="185" t="str">
        <f>Sheet1!Z297</f>
        <v>D</v>
      </c>
      <c r="I286" s="185"/>
      <c r="J286" s="185"/>
      <c r="K286" s="185"/>
      <c r="L286" s="184"/>
      <c r="M286" s="184">
        <f>Sheet1!AI297</f>
        <v>958</v>
      </c>
      <c r="N286" s="184"/>
      <c r="O286" s="184"/>
      <c r="P286" s="184"/>
      <c r="Q286" s="184"/>
      <c r="R286" s="184">
        <f>Sheet1!P297</f>
        <v>10418</v>
      </c>
      <c r="S286" s="186"/>
      <c r="T286" s="184"/>
      <c r="U286" s="184"/>
      <c r="V286" s="184"/>
      <c r="W286" s="184"/>
      <c r="X286" s="184">
        <f>Sheet1!AS297</f>
        <v>938</v>
      </c>
      <c r="Y286" s="184">
        <f>Sheet1!AT297</f>
        <v>0.97899999999999998</v>
      </c>
      <c r="Z286" s="184"/>
      <c r="AA286" s="184"/>
      <c r="AB286" s="184"/>
      <c r="AC286" s="186"/>
      <c r="AD286" s="184"/>
      <c r="AE286" s="184"/>
      <c r="AF286" s="184"/>
      <c r="AG286" s="186"/>
      <c r="AH286" s="184"/>
      <c r="AI286" s="187"/>
      <c r="AJ286" s="191"/>
      <c r="AK286" s="191"/>
      <c r="AL286" s="191"/>
      <c r="AM286" s="191"/>
    </row>
    <row r="287" spans="2:39" x14ac:dyDescent="0.25">
      <c r="B287" s="193" t="str">
        <f>Sheet1!A298</f>
        <v>3310</v>
      </c>
      <c r="C287" s="183" t="str">
        <f>Sheet1!C298</f>
        <v>HOWELL AVE</v>
      </c>
      <c r="D287" s="183" t="str">
        <f>Sheet1!D298</f>
        <v>FORT DADE AVE</v>
      </c>
      <c r="E287" s="183" t="str">
        <f>Sheet1!E298</f>
        <v>YONTZ RD</v>
      </c>
      <c r="F287" s="184" t="str">
        <f>Sheet1!F298</f>
        <v>2U</v>
      </c>
      <c r="G287" s="184" t="str">
        <f>Sheet1!H298</f>
        <v>2U</v>
      </c>
      <c r="H287" s="185" t="str">
        <f>Sheet1!Z298</f>
        <v>D</v>
      </c>
      <c r="I287" s="185"/>
      <c r="J287" s="185"/>
      <c r="K287" s="185"/>
      <c r="L287" s="184"/>
      <c r="M287" s="184">
        <f>Sheet1!AI298</f>
        <v>0</v>
      </c>
      <c r="N287" s="184"/>
      <c r="O287" s="184"/>
      <c r="P287" s="184"/>
      <c r="Q287" s="184"/>
      <c r="R287" s="184">
        <f>Sheet1!P298</f>
        <v>4657</v>
      </c>
      <c r="S287" s="186"/>
      <c r="T287" s="184"/>
      <c r="U287" s="184"/>
      <c r="V287" s="184"/>
      <c r="W287" s="184"/>
      <c r="X287" s="184">
        <f>Sheet1!AS298</f>
        <v>0</v>
      </c>
      <c r="Y287" s="184">
        <f>Sheet1!AT298</f>
        <v>0</v>
      </c>
      <c r="Z287" s="184"/>
      <c r="AA287" s="184"/>
      <c r="AB287" s="184"/>
      <c r="AC287" s="186"/>
      <c r="AD287" s="184"/>
      <c r="AE287" s="184"/>
      <c r="AF287" s="184"/>
      <c r="AG287" s="186"/>
      <c r="AH287" s="184"/>
      <c r="AI287" s="187"/>
      <c r="AJ287" s="191"/>
      <c r="AK287" s="191"/>
      <c r="AL287" s="191"/>
      <c r="AM287" s="191"/>
    </row>
    <row r="288" spans="2:39" x14ac:dyDescent="0.25">
      <c r="B288" s="193" t="str">
        <f>Sheet1!A299</f>
        <v>3315</v>
      </c>
      <c r="C288" s="183" t="str">
        <f>Sheet1!C299</f>
        <v>HOWELL AVE</v>
      </c>
      <c r="D288" s="183" t="str">
        <f>Sheet1!D299</f>
        <v>YONTZ RD</v>
      </c>
      <c r="E288" s="183" t="str">
        <f>Sheet1!E299</f>
        <v>BROAD ST (US41/SR45)</v>
      </c>
      <c r="F288" s="184" t="str">
        <f>Sheet1!F299</f>
        <v>2U</v>
      </c>
      <c r="G288" s="184" t="str">
        <f>Sheet1!H299</f>
        <v>2U</v>
      </c>
      <c r="H288" s="185" t="str">
        <f>Sheet1!Z299</f>
        <v>D</v>
      </c>
      <c r="I288" s="185"/>
      <c r="J288" s="185"/>
      <c r="K288" s="185"/>
      <c r="L288" s="184"/>
      <c r="M288" s="184">
        <f>Sheet1!AI299</f>
        <v>1962</v>
      </c>
      <c r="N288" s="184"/>
      <c r="O288" s="184"/>
      <c r="P288" s="184"/>
      <c r="Q288" s="184"/>
      <c r="R288" s="184">
        <f>Sheet1!P299</f>
        <v>4657</v>
      </c>
      <c r="S288" s="186"/>
      <c r="T288" s="184"/>
      <c r="U288" s="184"/>
      <c r="V288" s="184"/>
      <c r="W288" s="184"/>
      <c r="X288" s="184">
        <f>Sheet1!AS299</f>
        <v>419</v>
      </c>
      <c r="Y288" s="184">
        <f>Sheet1!AT299</f>
        <v>0.214</v>
      </c>
      <c r="Z288" s="184"/>
      <c r="AA288" s="184"/>
      <c r="AB288" s="184"/>
      <c r="AC288" s="186"/>
      <c r="AD288" s="184"/>
      <c r="AE288" s="184"/>
      <c r="AF288" s="184"/>
      <c r="AG288" s="186"/>
      <c r="AH288" s="184"/>
      <c r="AI288" s="187"/>
      <c r="AJ288" s="191"/>
      <c r="AK288" s="191"/>
      <c r="AL288" s="191"/>
      <c r="AM288" s="191"/>
    </row>
    <row r="289" spans="2:39" x14ac:dyDescent="0.25">
      <c r="B289" s="193" t="str">
        <f>Sheet1!A300</f>
        <v>3480</v>
      </c>
      <c r="C289" s="183" t="str">
        <f>Sheet1!C300</f>
        <v>JASMINE DR</v>
      </c>
      <c r="D289" s="183" t="str">
        <f>Sheet1!D300</f>
        <v>JEFFERSON ST (SR50)</v>
      </c>
      <c r="E289" s="183" t="str">
        <f>Sheet1!E300</f>
        <v>MONDON HILL RD</v>
      </c>
      <c r="F289" s="184" t="str">
        <f>Sheet1!F300</f>
        <v>2U</v>
      </c>
      <c r="G289" s="184" t="str">
        <f>Sheet1!H300</f>
        <v>2U</v>
      </c>
      <c r="H289" s="185" t="str">
        <f>Sheet1!Z300</f>
        <v>D</v>
      </c>
      <c r="I289" s="185"/>
      <c r="J289" s="185"/>
      <c r="K289" s="185"/>
      <c r="L289" s="184"/>
      <c r="M289" s="184">
        <f>Sheet1!AI300</f>
        <v>1440</v>
      </c>
      <c r="N289" s="184"/>
      <c r="O289" s="184"/>
      <c r="P289" s="184"/>
      <c r="Q289" s="184"/>
      <c r="R289" s="184">
        <f>Sheet1!P300</f>
        <v>7250</v>
      </c>
      <c r="S289" s="186"/>
      <c r="T289" s="184"/>
      <c r="U289" s="184"/>
      <c r="V289" s="184"/>
      <c r="W289" s="184"/>
      <c r="X289" s="184">
        <f>Sheet1!AS300</f>
        <v>653</v>
      </c>
      <c r="Y289" s="184">
        <f>Sheet1!AT300</f>
        <v>0.45300000000000001</v>
      </c>
      <c r="Z289" s="184"/>
      <c r="AA289" s="184"/>
      <c r="AB289" s="184"/>
      <c r="AC289" s="186"/>
      <c r="AD289" s="184"/>
      <c r="AE289" s="184"/>
      <c r="AF289" s="184"/>
      <c r="AG289" s="186"/>
      <c r="AH289" s="184"/>
      <c r="AI289" s="187"/>
      <c r="AJ289" s="191"/>
      <c r="AK289" s="191"/>
      <c r="AL289" s="191"/>
      <c r="AM289" s="191"/>
    </row>
    <row r="290" spans="2:39" x14ac:dyDescent="0.25">
      <c r="B290" s="193" t="str">
        <f>Sheet1!A301</f>
        <v>3570.1</v>
      </c>
      <c r="C290" s="183" t="str">
        <f>Sheet1!C301</f>
        <v>KETTERING RD</v>
      </c>
      <c r="D290" s="183" t="str">
        <f>Sheet1!D301</f>
        <v>POWERLINE RD</v>
      </c>
      <c r="E290" s="183" t="str">
        <f>Sheet1!E301</f>
        <v>DASHBACH RD</v>
      </c>
      <c r="F290" s="184" t="str">
        <f>Sheet1!F301</f>
        <v>2U</v>
      </c>
      <c r="G290" s="184" t="str">
        <f>Sheet1!H301</f>
        <v>4D</v>
      </c>
      <c r="H290" s="185" t="str">
        <f>Sheet1!Z301</f>
        <v>D</v>
      </c>
      <c r="I290" s="185"/>
      <c r="J290" s="185"/>
      <c r="K290" s="185"/>
      <c r="L290" s="184"/>
      <c r="M290" s="184">
        <f>Sheet1!AI301</f>
        <v>972</v>
      </c>
      <c r="N290" s="184"/>
      <c r="O290" s="184"/>
      <c r="P290" s="184"/>
      <c r="Q290" s="184"/>
      <c r="R290" s="184">
        <f>Sheet1!P301</f>
        <v>2093</v>
      </c>
      <c r="S290" s="186"/>
      <c r="T290" s="184"/>
      <c r="U290" s="184"/>
      <c r="V290" s="184"/>
      <c r="W290" s="184"/>
      <c r="X290" s="184">
        <f>Sheet1!AS301</f>
        <v>188</v>
      </c>
      <c r="Y290" s="184">
        <f>Sheet1!AT301</f>
        <v>0.193</v>
      </c>
      <c r="Z290" s="184"/>
      <c r="AA290" s="184"/>
      <c r="AB290" s="184"/>
      <c r="AC290" s="186"/>
      <c r="AD290" s="184"/>
      <c r="AE290" s="184"/>
      <c r="AF290" s="184"/>
      <c r="AG290" s="186"/>
      <c r="AH290" s="184"/>
      <c r="AI290" s="187"/>
      <c r="AJ290" s="191"/>
      <c r="AK290" s="191"/>
      <c r="AL290" s="191"/>
      <c r="AM290" s="191"/>
    </row>
    <row r="291" spans="2:39" x14ac:dyDescent="0.25">
      <c r="B291" s="193" t="str">
        <f>Sheet1!A302</f>
        <v>3570.2</v>
      </c>
      <c r="C291" s="183" t="str">
        <f>Sheet1!C302</f>
        <v>KETTERING RD</v>
      </c>
      <c r="D291" s="183" t="str">
        <f>Sheet1!D302</f>
        <v>DASHBACH RD</v>
      </c>
      <c r="E291" s="183" t="str">
        <f>Sheet1!E302</f>
        <v>CORTEZ BLVD (SR50)</v>
      </c>
      <c r="F291" s="184" t="str">
        <f>Sheet1!F302</f>
        <v>4D</v>
      </c>
      <c r="G291" s="184" t="str">
        <f>Sheet1!H302</f>
        <v>2U</v>
      </c>
      <c r="H291" s="185" t="str">
        <f>Sheet1!Z302</f>
        <v>D</v>
      </c>
      <c r="I291" s="185"/>
      <c r="J291" s="185"/>
      <c r="K291" s="185"/>
      <c r="L291" s="184"/>
      <c r="M291" s="184">
        <f>Sheet1!AI302</f>
        <v>1818</v>
      </c>
      <c r="N291" s="184"/>
      <c r="O291" s="184"/>
      <c r="P291" s="184"/>
      <c r="Q291" s="184"/>
      <c r="R291" s="184">
        <f>Sheet1!P302</f>
        <v>2093</v>
      </c>
      <c r="S291" s="186"/>
      <c r="T291" s="184"/>
      <c r="U291" s="184"/>
      <c r="V291" s="184"/>
      <c r="W291" s="184"/>
      <c r="X291" s="184">
        <f>Sheet1!AS302</f>
        <v>188</v>
      </c>
      <c r="Y291" s="184">
        <f>Sheet1!AT302</f>
        <v>0.10299999999999999</v>
      </c>
      <c r="Z291" s="184"/>
      <c r="AA291" s="184"/>
      <c r="AB291" s="184"/>
      <c r="AC291" s="186"/>
      <c r="AD291" s="184"/>
      <c r="AE291" s="184"/>
      <c r="AF291" s="184"/>
      <c r="AG291" s="186"/>
      <c r="AH291" s="184"/>
      <c r="AI291" s="187"/>
      <c r="AJ291" s="191"/>
      <c r="AK291" s="191"/>
      <c r="AL291" s="191"/>
      <c r="AM291" s="191"/>
    </row>
    <row r="292" spans="2:39" x14ac:dyDescent="0.25">
      <c r="B292" s="193" t="str">
        <f>Sheet1!A303</f>
        <v>20200</v>
      </c>
      <c r="C292" s="183" t="str">
        <f>Sheet1!C303</f>
        <v>LINDEN DR</v>
      </c>
      <c r="D292" s="183" t="str">
        <f>Sheet1!D303</f>
        <v>MARINER BLVD (CR587)</v>
      </c>
      <c r="E292" s="183" t="str">
        <f>Sheet1!E303</f>
        <v>SPRING HILL DR (W)</v>
      </c>
      <c r="F292" s="184" t="str">
        <f>Sheet1!F303</f>
        <v>2U</v>
      </c>
      <c r="G292" s="184" t="str">
        <f>Sheet1!H303</f>
        <v>6D</v>
      </c>
      <c r="H292" s="185" t="str">
        <f>Sheet1!Z303</f>
        <v>D</v>
      </c>
      <c r="I292" s="185"/>
      <c r="J292" s="185"/>
      <c r="K292" s="185"/>
      <c r="L292" s="184"/>
      <c r="M292" s="184">
        <f>Sheet1!AI303</f>
        <v>2628</v>
      </c>
      <c r="N292" s="184"/>
      <c r="O292" s="184"/>
      <c r="P292" s="184"/>
      <c r="Q292" s="184"/>
      <c r="R292" s="184">
        <f>Sheet1!P303</f>
        <v>6536</v>
      </c>
      <c r="S292" s="186"/>
      <c r="T292" s="184"/>
      <c r="U292" s="184"/>
      <c r="V292" s="184"/>
      <c r="W292" s="184"/>
      <c r="X292" s="184">
        <f>Sheet1!AS303</f>
        <v>588</v>
      </c>
      <c r="Y292" s="184">
        <f>Sheet1!AT303</f>
        <v>0.224</v>
      </c>
      <c r="Z292" s="184"/>
      <c r="AA292" s="184"/>
      <c r="AB292" s="184"/>
      <c r="AC292" s="186"/>
      <c r="AD292" s="184"/>
      <c r="AE292" s="184"/>
      <c r="AF292" s="184"/>
      <c r="AG292" s="186"/>
      <c r="AH292" s="184"/>
      <c r="AI292" s="187"/>
      <c r="AJ292" s="191"/>
      <c r="AK292" s="191"/>
      <c r="AL292" s="191"/>
      <c r="AM292" s="191"/>
    </row>
    <row r="293" spans="2:39" x14ac:dyDescent="0.25">
      <c r="B293" s="193" t="str">
        <f>Sheet1!A304</f>
        <v>11150</v>
      </c>
      <c r="C293" s="183" t="str">
        <f>Sheet1!C304</f>
        <v>LINDEN DR</v>
      </c>
      <c r="D293" s="183" t="str">
        <f>Sheet1!D304</f>
        <v>SPRING HILL DR</v>
      </c>
      <c r="E293" s="183" t="str">
        <f>Sheet1!E304</f>
        <v>MARINER BLVD (CR587)</v>
      </c>
      <c r="F293" s="184" t="str">
        <f>Sheet1!F304</f>
        <v>2U</v>
      </c>
      <c r="G293" s="184" t="str">
        <f>Sheet1!H304</f>
        <v>2U</v>
      </c>
      <c r="H293" s="185" t="str">
        <f>Sheet1!Z304</f>
        <v>D</v>
      </c>
      <c r="I293" s="185"/>
      <c r="J293" s="185"/>
      <c r="K293" s="185"/>
      <c r="L293" s="184"/>
      <c r="M293" s="184">
        <f>Sheet1!AI304</f>
        <v>1197</v>
      </c>
      <c r="N293" s="184"/>
      <c r="O293" s="184"/>
      <c r="P293" s="184"/>
      <c r="Q293" s="184"/>
      <c r="R293" s="184">
        <f>Sheet1!P304</f>
        <v>6536</v>
      </c>
      <c r="S293" s="186"/>
      <c r="T293" s="184"/>
      <c r="U293" s="184"/>
      <c r="V293" s="184"/>
      <c r="W293" s="184"/>
      <c r="X293" s="184">
        <f>Sheet1!AS304</f>
        <v>588</v>
      </c>
      <c r="Y293" s="184">
        <f>Sheet1!AT304</f>
        <v>0.49099999999999999</v>
      </c>
      <c r="Z293" s="184"/>
      <c r="AA293" s="184"/>
      <c r="AB293" s="184"/>
      <c r="AC293" s="186"/>
      <c r="AD293" s="184"/>
      <c r="AE293" s="184"/>
      <c r="AF293" s="184"/>
      <c r="AG293" s="186"/>
      <c r="AH293" s="184"/>
      <c r="AI293" s="187"/>
      <c r="AJ293" s="191"/>
      <c r="AK293" s="191"/>
      <c r="AL293" s="191"/>
      <c r="AM293" s="191"/>
    </row>
    <row r="294" spans="2:39" x14ac:dyDescent="0.25">
      <c r="B294" s="193" t="str">
        <f>Sheet1!A305</f>
        <v>11140</v>
      </c>
      <c r="C294" s="183" t="str">
        <f>Sheet1!C305</f>
        <v>LINDEN DR</v>
      </c>
      <c r="D294" s="183" t="str">
        <f>Sheet1!D305</f>
        <v>CORONADO DR</v>
      </c>
      <c r="E294" s="183" t="str">
        <f>Sheet1!E305</f>
        <v>SPRING HILL DR</v>
      </c>
      <c r="F294" s="184" t="str">
        <f>Sheet1!F305</f>
        <v>2U</v>
      </c>
      <c r="G294" s="184" t="str">
        <f>Sheet1!H305</f>
        <v>2U</v>
      </c>
      <c r="H294" s="185" t="str">
        <f>Sheet1!Z305</f>
        <v>D</v>
      </c>
      <c r="I294" s="185"/>
      <c r="J294" s="185"/>
      <c r="K294" s="185"/>
      <c r="L294" s="184"/>
      <c r="M294" s="184">
        <f>Sheet1!AI305</f>
        <v>4050</v>
      </c>
      <c r="N294" s="184"/>
      <c r="O294" s="184"/>
      <c r="P294" s="184"/>
      <c r="Q294" s="184"/>
      <c r="R294" s="184">
        <f>Sheet1!P305</f>
        <v>6536</v>
      </c>
      <c r="S294" s="186"/>
      <c r="T294" s="184"/>
      <c r="U294" s="184"/>
      <c r="V294" s="184"/>
      <c r="W294" s="184"/>
      <c r="X294" s="184">
        <f>Sheet1!AS305</f>
        <v>588</v>
      </c>
      <c r="Y294" s="184">
        <f>Sheet1!AT305</f>
        <v>0.14499999999999999</v>
      </c>
      <c r="Z294" s="184"/>
      <c r="AA294" s="184"/>
      <c r="AB294" s="184"/>
      <c r="AC294" s="186"/>
      <c r="AD294" s="184"/>
      <c r="AE294" s="184"/>
      <c r="AF294" s="184"/>
      <c r="AG294" s="186"/>
      <c r="AH294" s="184"/>
      <c r="AI294" s="187"/>
      <c r="AJ294" s="191"/>
      <c r="AK294" s="191"/>
      <c r="AL294" s="191"/>
      <c r="AM294" s="191"/>
    </row>
    <row r="295" spans="2:39" x14ac:dyDescent="0.25">
      <c r="B295" s="193" t="str">
        <f>Sheet1!A306</f>
        <v>11130</v>
      </c>
      <c r="C295" s="183" t="str">
        <f>Sheet1!C306</f>
        <v>LINDEN DR</v>
      </c>
      <c r="D295" s="183" t="str">
        <f>Sheet1!D306</f>
        <v>ORIANA DR</v>
      </c>
      <c r="E295" s="183" t="str">
        <f>Sheet1!E306</f>
        <v>CORONADO DR</v>
      </c>
      <c r="F295" s="184" t="str">
        <f>Sheet1!F306</f>
        <v>2U</v>
      </c>
      <c r="G295" s="184" t="str">
        <f>Sheet1!H306</f>
        <v>2U</v>
      </c>
      <c r="H295" s="185" t="str">
        <f>Sheet1!Z306</f>
        <v>D</v>
      </c>
      <c r="I295" s="185"/>
      <c r="J295" s="185"/>
      <c r="K295" s="185"/>
      <c r="L295" s="184"/>
      <c r="M295" s="184">
        <f>Sheet1!AI306</f>
        <v>958</v>
      </c>
      <c r="N295" s="184"/>
      <c r="O295" s="184"/>
      <c r="P295" s="184"/>
      <c r="Q295" s="184"/>
      <c r="R295" s="184">
        <f>Sheet1!P306</f>
        <v>6536</v>
      </c>
      <c r="S295" s="186"/>
      <c r="T295" s="184"/>
      <c r="U295" s="184"/>
      <c r="V295" s="184"/>
      <c r="W295" s="184"/>
      <c r="X295" s="184">
        <f>Sheet1!AS306</f>
        <v>588</v>
      </c>
      <c r="Y295" s="184">
        <f>Sheet1!AT306</f>
        <v>0.61399999999999999</v>
      </c>
      <c r="Z295" s="184"/>
      <c r="AA295" s="184"/>
      <c r="AB295" s="184"/>
      <c r="AC295" s="186"/>
      <c r="AD295" s="184"/>
      <c r="AE295" s="184"/>
      <c r="AF295" s="184"/>
      <c r="AG295" s="186"/>
      <c r="AH295" s="184"/>
      <c r="AI295" s="187"/>
      <c r="AJ295" s="191"/>
      <c r="AK295" s="191"/>
      <c r="AL295" s="191"/>
      <c r="AM295" s="191"/>
    </row>
    <row r="296" spans="2:39" x14ac:dyDescent="0.25">
      <c r="B296" s="193" t="str">
        <f>Sheet1!A307</f>
        <v>11120</v>
      </c>
      <c r="C296" s="183" t="str">
        <f>Sheet1!C307</f>
        <v>LINDEN DR</v>
      </c>
      <c r="D296" s="183" t="str">
        <f>Sheet1!D307</f>
        <v>COUNTY LINE RD</v>
      </c>
      <c r="E296" s="183" t="str">
        <f>Sheet1!E307</f>
        <v>ORIANA DR</v>
      </c>
      <c r="F296" s="184" t="str">
        <f>Sheet1!F307</f>
        <v>2U</v>
      </c>
      <c r="G296" s="184" t="str">
        <f>Sheet1!H307</f>
        <v>2U</v>
      </c>
      <c r="H296" s="185" t="str">
        <f>Sheet1!Z307</f>
        <v>D</v>
      </c>
      <c r="I296" s="185"/>
      <c r="J296" s="185"/>
      <c r="K296" s="185"/>
      <c r="L296" s="184"/>
      <c r="M296" s="184">
        <f>Sheet1!AI307</f>
        <v>1197</v>
      </c>
      <c r="N296" s="184"/>
      <c r="O296" s="184"/>
      <c r="P296" s="184"/>
      <c r="Q296" s="184"/>
      <c r="R296" s="184">
        <f>Sheet1!P307</f>
        <v>6536</v>
      </c>
      <c r="S296" s="186"/>
      <c r="T296" s="184"/>
      <c r="U296" s="184"/>
      <c r="V296" s="184"/>
      <c r="W296" s="184"/>
      <c r="X296" s="184">
        <f>Sheet1!AS307</f>
        <v>588</v>
      </c>
      <c r="Y296" s="184">
        <f>Sheet1!AT307</f>
        <v>0.49099999999999999</v>
      </c>
      <c r="Z296" s="184"/>
      <c r="AA296" s="184"/>
      <c r="AB296" s="184"/>
      <c r="AC296" s="186"/>
      <c r="AD296" s="184"/>
      <c r="AE296" s="184"/>
      <c r="AF296" s="184"/>
      <c r="AG296" s="186"/>
      <c r="AH296" s="184"/>
      <c r="AI296" s="187"/>
      <c r="AJ296" s="191"/>
      <c r="AK296" s="191"/>
      <c r="AL296" s="191"/>
      <c r="AM296" s="191"/>
    </row>
    <row r="297" spans="2:39" x14ac:dyDescent="0.25">
      <c r="B297" s="193" t="str">
        <f>Sheet1!A308</f>
        <v>11220</v>
      </c>
      <c r="C297" s="183" t="str">
        <f>Sheet1!C308</f>
        <v>LOCKHART RD</v>
      </c>
      <c r="D297" s="183" t="str">
        <f>Sheet1!D308</f>
        <v>MYERS RD</v>
      </c>
      <c r="E297" s="183" t="str">
        <f>Sheet1!E308</f>
        <v>POWERLINE RD</v>
      </c>
      <c r="F297" s="184" t="str">
        <f>Sheet1!F308</f>
        <v>2U</v>
      </c>
      <c r="G297" s="184" t="str">
        <f>Sheet1!H308</f>
        <v>2U</v>
      </c>
      <c r="H297" s="185" t="str">
        <f>Sheet1!Z308</f>
        <v>D</v>
      </c>
      <c r="I297" s="185"/>
      <c r="J297" s="185"/>
      <c r="K297" s="185"/>
      <c r="L297" s="184"/>
      <c r="M297" s="184">
        <f>Sheet1!AI308</f>
        <v>1818</v>
      </c>
      <c r="N297" s="184"/>
      <c r="O297" s="184"/>
      <c r="P297" s="184"/>
      <c r="Q297" s="184"/>
      <c r="R297" s="184">
        <f>Sheet1!P308</f>
        <v>1642</v>
      </c>
      <c r="S297" s="186"/>
      <c r="T297" s="184"/>
      <c r="U297" s="184"/>
      <c r="V297" s="184"/>
      <c r="W297" s="184"/>
      <c r="X297" s="184">
        <f>Sheet1!AS308</f>
        <v>148</v>
      </c>
      <c r="Y297" s="184">
        <f>Sheet1!AT308</f>
        <v>8.1000000000000003E-2</v>
      </c>
      <c r="Z297" s="184"/>
      <c r="AA297" s="184"/>
      <c r="AB297" s="184"/>
      <c r="AC297" s="186"/>
      <c r="AD297" s="184"/>
      <c r="AE297" s="184"/>
      <c r="AF297" s="184"/>
      <c r="AG297" s="186"/>
      <c r="AH297" s="184"/>
      <c r="AI297" s="187"/>
      <c r="AJ297" s="191"/>
      <c r="AK297" s="191"/>
      <c r="AL297" s="191"/>
      <c r="AM297" s="191"/>
    </row>
    <row r="298" spans="2:39" x14ac:dyDescent="0.25">
      <c r="B298" s="193" t="str">
        <f>Sheet1!A309</f>
        <v>11250.3</v>
      </c>
      <c r="C298" s="183" t="str">
        <f>Sheet1!C309</f>
        <v>LOCKHART RD</v>
      </c>
      <c r="D298" s="183" t="str">
        <f>Sheet1!D309</f>
        <v>I-75 (SR93)</v>
      </c>
      <c r="E298" s="183" t="str">
        <f>Sheet1!E309</f>
        <v>DASHBACH RD</v>
      </c>
      <c r="F298" s="184" t="str">
        <f>Sheet1!F309</f>
        <v>2U</v>
      </c>
      <c r="G298" s="184" t="str">
        <f>Sheet1!H309</f>
        <v>2U</v>
      </c>
      <c r="H298" s="185" t="str">
        <f>Sheet1!Z309</f>
        <v>D</v>
      </c>
      <c r="I298" s="185"/>
      <c r="J298" s="185"/>
      <c r="K298" s="185"/>
      <c r="L298" s="184"/>
      <c r="M298" s="184">
        <f>Sheet1!AI309</f>
        <v>1818</v>
      </c>
      <c r="N298" s="184"/>
      <c r="O298" s="184"/>
      <c r="P298" s="184"/>
      <c r="Q298" s="184"/>
      <c r="R298" s="184">
        <f>Sheet1!P309</f>
        <v>1642</v>
      </c>
      <c r="S298" s="186"/>
      <c r="T298" s="184"/>
      <c r="U298" s="184"/>
      <c r="V298" s="184"/>
      <c r="W298" s="184"/>
      <c r="X298" s="184">
        <f>Sheet1!AS309</f>
        <v>148</v>
      </c>
      <c r="Y298" s="184">
        <f>Sheet1!AT309</f>
        <v>8.1000000000000003E-2</v>
      </c>
      <c r="Z298" s="184"/>
      <c r="AA298" s="184"/>
      <c r="AB298" s="184"/>
      <c r="AC298" s="186"/>
      <c r="AD298" s="184"/>
      <c r="AE298" s="184"/>
      <c r="AF298" s="184"/>
      <c r="AG298" s="186"/>
      <c r="AH298" s="184"/>
      <c r="AI298" s="187"/>
      <c r="AJ298" s="191"/>
      <c r="AK298" s="191"/>
      <c r="AL298" s="191"/>
      <c r="AM298" s="191"/>
    </row>
    <row r="299" spans="2:39" x14ac:dyDescent="0.25">
      <c r="B299" s="193" t="str">
        <f>Sheet1!A310</f>
        <v>11250.4</v>
      </c>
      <c r="C299" s="183" t="str">
        <f>Sheet1!C310</f>
        <v>LOCKHART RD</v>
      </c>
      <c r="D299" s="183" t="str">
        <f>Sheet1!D310</f>
        <v>DASHBACH RD</v>
      </c>
      <c r="E299" s="183" t="str">
        <f>Sheet1!E310</f>
        <v>CORTEZ BLVD (SR50)</v>
      </c>
      <c r="F299" s="184" t="str">
        <f>Sheet1!F310</f>
        <v>2U</v>
      </c>
      <c r="G299" s="184" t="str">
        <f>Sheet1!H310</f>
        <v>4D</v>
      </c>
      <c r="H299" s="185" t="str">
        <f>Sheet1!Z310</f>
        <v>D</v>
      </c>
      <c r="I299" s="185"/>
      <c r="J299" s="185"/>
      <c r="K299" s="185"/>
      <c r="L299" s="184"/>
      <c r="M299" s="184">
        <f>Sheet1!AI310</f>
        <v>1818</v>
      </c>
      <c r="N299" s="184"/>
      <c r="O299" s="184"/>
      <c r="P299" s="184"/>
      <c r="Q299" s="184"/>
      <c r="R299" s="184">
        <f>Sheet1!P310</f>
        <v>1642</v>
      </c>
      <c r="S299" s="186"/>
      <c r="T299" s="184"/>
      <c r="U299" s="184"/>
      <c r="V299" s="184"/>
      <c r="W299" s="184"/>
      <c r="X299" s="184">
        <f>Sheet1!AS310</f>
        <v>148</v>
      </c>
      <c r="Y299" s="184">
        <f>Sheet1!AT310</f>
        <v>8.1000000000000003E-2</v>
      </c>
      <c r="Z299" s="184"/>
      <c r="AA299" s="184"/>
      <c r="AB299" s="184"/>
      <c r="AC299" s="186"/>
      <c r="AD299" s="184"/>
      <c r="AE299" s="184"/>
      <c r="AF299" s="184"/>
      <c r="AG299" s="186"/>
      <c r="AH299" s="184"/>
      <c r="AI299" s="187"/>
      <c r="AJ299" s="191"/>
      <c r="AK299" s="191"/>
      <c r="AL299" s="191"/>
      <c r="AM299" s="191"/>
    </row>
    <row r="300" spans="2:39" x14ac:dyDescent="0.25">
      <c r="B300" s="193" t="str">
        <f>Sheet1!A311</f>
        <v>3980</v>
      </c>
      <c r="C300" s="183" t="str">
        <f>Sheet1!C311</f>
        <v>MCINTYRE RD</v>
      </c>
      <c r="D300" s="183" t="str">
        <f>Sheet1!D311</f>
        <v>MONDON HILL RD</v>
      </c>
      <c r="E300" s="183" t="str">
        <f>Sheet1!E311</f>
        <v>CROOM RD</v>
      </c>
      <c r="F300" s="184" t="str">
        <f>Sheet1!F311</f>
        <v>2U</v>
      </c>
      <c r="G300" s="184" t="str">
        <f>Sheet1!H311</f>
        <v>2U</v>
      </c>
      <c r="H300" s="185" t="str">
        <f>Sheet1!Z311</f>
        <v>D</v>
      </c>
      <c r="I300" s="185"/>
      <c r="J300" s="185"/>
      <c r="K300" s="185"/>
      <c r="L300" s="184"/>
      <c r="M300" s="184">
        <f>Sheet1!AI311</f>
        <v>1962</v>
      </c>
      <c r="N300" s="184"/>
      <c r="O300" s="184"/>
      <c r="P300" s="184"/>
      <c r="Q300" s="184"/>
      <c r="R300" s="184">
        <f>Sheet1!P311</f>
        <v>3045</v>
      </c>
      <c r="S300" s="186"/>
      <c r="T300" s="184"/>
      <c r="U300" s="184"/>
      <c r="V300" s="184"/>
      <c r="W300" s="184"/>
      <c r="X300" s="184">
        <f>Sheet1!AS311</f>
        <v>274</v>
      </c>
      <c r="Y300" s="184">
        <f>Sheet1!AT311</f>
        <v>0.14000000000000001</v>
      </c>
      <c r="Z300" s="184"/>
      <c r="AA300" s="184"/>
      <c r="AB300" s="184"/>
      <c r="AC300" s="186"/>
      <c r="AD300" s="184"/>
      <c r="AE300" s="184"/>
      <c r="AF300" s="184"/>
      <c r="AG300" s="186"/>
      <c r="AH300" s="184"/>
      <c r="AI300" s="187"/>
      <c r="AJ300" s="191"/>
      <c r="AK300" s="191"/>
      <c r="AL300" s="191"/>
      <c r="AM300" s="191"/>
    </row>
    <row r="301" spans="2:39" x14ac:dyDescent="0.25">
      <c r="B301" s="193" t="str">
        <f>Sheet1!A312</f>
        <v>4210</v>
      </c>
      <c r="C301" s="183" t="str">
        <f>Sheet1!C312</f>
        <v>NIGHTWALKER RD</v>
      </c>
      <c r="D301" s="183" t="str">
        <f>Sheet1!D312</f>
        <v>CORTEZ BLVD (SR50)</v>
      </c>
      <c r="E301" s="183" t="str">
        <f>Sheet1!E312</f>
        <v>RIDGE RD</v>
      </c>
      <c r="F301" s="184" t="str">
        <f>Sheet1!F312</f>
        <v>2U</v>
      </c>
      <c r="G301" s="184" t="str">
        <f>Sheet1!H312</f>
        <v>2U</v>
      </c>
      <c r="H301" s="185" t="str">
        <f>Sheet1!Z312</f>
        <v>D</v>
      </c>
      <c r="I301" s="185"/>
      <c r="J301" s="185"/>
      <c r="K301" s="185"/>
      <c r="L301" s="184"/>
      <c r="M301" s="184">
        <f>Sheet1!AI312</f>
        <v>2628</v>
      </c>
      <c r="N301" s="184"/>
      <c r="O301" s="184"/>
      <c r="P301" s="184"/>
      <c r="Q301" s="184"/>
      <c r="R301" s="184">
        <f>Sheet1!P312</f>
        <v>2599</v>
      </c>
      <c r="S301" s="186"/>
      <c r="T301" s="184"/>
      <c r="U301" s="184"/>
      <c r="V301" s="184"/>
      <c r="W301" s="184"/>
      <c r="X301" s="184">
        <f>Sheet1!AS312</f>
        <v>234</v>
      </c>
      <c r="Y301" s="184">
        <f>Sheet1!AT312</f>
        <v>8.8999999999999996E-2</v>
      </c>
      <c r="Z301" s="184"/>
      <c r="AA301" s="184"/>
      <c r="AB301" s="184"/>
      <c r="AC301" s="186"/>
      <c r="AD301" s="184"/>
      <c r="AE301" s="184"/>
      <c r="AF301" s="184"/>
      <c r="AG301" s="186"/>
      <c r="AH301" s="184"/>
      <c r="AI301" s="187"/>
      <c r="AJ301" s="191"/>
      <c r="AK301" s="191"/>
      <c r="AL301" s="191"/>
      <c r="AM301" s="191"/>
    </row>
    <row r="302" spans="2:39" x14ac:dyDescent="0.25">
      <c r="B302" s="193" t="str">
        <f>Sheet1!A313</f>
        <v>20310</v>
      </c>
      <c r="C302" s="183" t="str">
        <f>Sheet1!C313</f>
        <v>NIGHTWALKER RD</v>
      </c>
      <c r="D302" s="183" t="str">
        <f>Sheet1!D313</f>
        <v>RIDGE RD</v>
      </c>
      <c r="E302" s="183" t="str">
        <f>Sheet1!E313</f>
        <v>FULTON AVE</v>
      </c>
      <c r="F302" s="184" t="str">
        <f>Sheet1!F313</f>
        <v>2U</v>
      </c>
      <c r="G302" s="184" t="str">
        <f>Sheet1!H313</f>
        <v>2U</v>
      </c>
      <c r="H302" s="185" t="str">
        <f>Sheet1!Z313</f>
        <v>D</v>
      </c>
      <c r="I302" s="185"/>
      <c r="J302" s="185"/>
      <c r="K302" s="185"/>
      <c r="L302" s="184"/>
      <c r="M302" s="184">
        <f>Sheet1!AI313</f>
        <v>1962</v>
      </c>
      <c r="N302" s="184"/>
      <c r="O302" s="184"/>
      <c r="P302" s="184"/>
      <c r="Q302" s="184"/>
      <c r="R302" s="184">
        <f>Sheet1!P313</f>
        <v>2599</v>
      </c>
      <c r="S302" s="186"/>
      <c r="T302" s="184"/>
      <c r="U302" s="184"/>
      <c r="V302" s="184"/>
      <c r="W302" s="184"/>
      <c r="X302" s="184">
        <f>Sheet1!AS313</f>
        <v>234</v>
      </c>
      <c r="Y302" s="184">
        <f>Sheet1!AT313</f>
        <v>0.11899999999999999</v>
      </c>
      <c r="Z302" s="184"/>
      <c r="AA302" s="184"/>
      <c r="AB302" s="184"/>
      <c r="AC302" s="186"/>
      <c r="AD302" s="184"/>
      <c r="AE302" s="184"/>
      <c r="AF302" s="184"/>
      <c r="AG302" s="186"/>
      <c r="AH302" s="184"/>
      <c r="AI302" s="187"/>
      <c r="AJ302" s="191"/>
      <c r="AK302" s="191"/>
      <c r="AL302" s="191"/>
      <c r="AM302" s="191"/>
    </row>
    <row r="303" spans="2:39" x14ac:dyDescent="0.25">
      <c r="B303" s="193" t="str">
        <f>Sheet1!A314</f>
        <v>3060</v>
      </c>
      <c r="C303" s="183" t="str">
        <f>Sheet1!C314</f>
        <v>FULTON AVE</v>
      </c>
      <c r="D303" s="183" t="str">
        <f>Sheet1!D314</f>
        <v>NIGHTWALKER RD</v>
      </c>
      <c r="E303" s="183" t="str">
        <f>Sheet1!E314</f>
        <v>FURLEY AVE</v>
      </c>
      <c r="F303" s="184" t="str">
        <f>Sheet1!F314</f>
        <v>2U</v>
      </c>
      <c r="G303" s="184" t="str">
        <f>Sheet1!H314</f>
        <v>4D</v>
      </c>
      <c r="H303" s="185" t="str">
        <f>Sheet1!Z314</f>
        <v>D</v>
      </c>
      <c r="I303" s="185"/>
      <c r="J303" s="185"/>
      <c r="K303" s="185"/>
      <c r="L303" s="184"/>
      <c r="M303" s="184">
        <f>Sheet1!AI314</f>
        <v>1962</v>
      </c>
      <c r="N303" s="184"/>
      <c r="O303" s="184"/>
      <c r="P303" s="184"/>
      <c r="Q303" s="184"/>
      <c r="R303" s="184">
        <f>Sheet1!P314</f>
        <v>2599</v>
      </c>
      <c r="S303" s="186"/>
      <c r="T303" s="184"/>
      <c r="U303" s="184"/>
      <c r="V303" s="184"/>
      <c r="W303" s="184"/>
      <c r="X303" s="184">
        <f>Sheet1!AS314</f>
        <v>234</v>
      </c>
      <c r="Y303" s="184">
        <f>Sheet1!AT314</f>
        <v>0.11899999999999999</v>
      </c>
      <c r="Z303" s="184"/>
      <c r="AA303" s="184"/>
      <c r="AB303" s="184"/>
      <c r="AC303" s="186"/>
      <c r="AD303" s="184"/>
      <c r="AE303" s="184"/>
      <c r="AF303" s="184"/>
      <c r="AG303" s="186"/>
      <c r="AH303" s="184"/>
      <c r="AI303" s="187"/>
      <c r="AJ303" s="191"/>
      <c r="AK303" s="191"/>
      <c r="AL303" s="191"/>
      <c r="AM303" s="191"/>
    </row>
    <row r="304" spans="2:39" x14ac:dyDescent="0.25">
      <c r="B304" s="193" t="str">
        <f>Sheet1!A315</f>
        <v>4310</v>
      </c>
      <c r="C304" s="183" t="str">
        <f>Sheet1!C315</f>
        <v>NORTHCLIFFE BLVD</v>
      </c>
      <c r="D304" s="183" t="str">
        <f>Sheet1!D315</f>
        <v>US19 (SR55)</v>
      </c>
      <c r="E304" s="183" t="str">
        <f>Sheet1!E315</f>
        <v>DELTONA BLVD</v>
      </c>
      <c r="F304" s="184" t="str">
        <f>Sheet1!F315</f>
        <v>4D</v>
      </c>
      <c r="G304" s="184" t="str">
        <f>Sheet1!H315</f>
        <v>4D</v>
      </c>
      <c r="H304" s="185" t="str">
        <f>Sheet1!Z315</f>
        <v>D</v>
      </c>
      <c r="I304" s="185"/>
      <c r="J304" s="185"/>
      <c r="K304" s="185"/>
      <c r="L304" s="184"/>
      <c r="M304" s="184">
        <f>Sheet1!AI315</f>
        <v>1197</v>
      </c>
      <c r="N304" s="184"/>
      <c r="O304" s="184"/>
      <c r="P304" s="184"/>
      <c r="Q304" s="184"/>
      <c r="R304" s="184">
        <f>Sheet1!P315</f>
        <v>21843</v>
      </c>
      <c r="S304" s="186"/>
      <c r="T304" s="184"/>
      <c r="U304" s="184"/>
      <c r="V304" s="184"/>
      <c r="W304" s="184"/>
      <c r="X304" s="184">
        <f>Sheet1!AS315</f>
        <v>1966</v>
      </c>
      <c r="Y304" s="184">
        <f>Sheet1!AT315</f>
        <v>1.6419999999999999</v>
      </c>
      <c r="Z304" s="184"/>
      <c r="AA304" s="184"/>
      <c r="AB304" s="184"/>
      <c r="AC304" s="186"/>
      <c r="AD304" s="184"/>
      <c r="AE304" s="184"/>
      <c r="AF304" s="184"/>
      <c r="AG304" s="186"/>
      <c r="AH304" s="184"/>
      <c r="AI304" s="187"/>
      <c r="AJ304" s="191"/>
      <c r="AK304" s="191"/>
      <c r="AL304" s="191"/>
      <c r="AM304" s="191"/>
    </row>
    <row r="305" spans="2:39" x14ac:dyDescent="0.25">
      <c r="B305" s="193" t="str">
        <f>Sheet1!A316</f>
        <v>4320.5</v>
      </c>
      <c r="C305" s="183" t="str">
        <f>Sheet1!C316</f>
        <v>NORTHCLIFFE BLVD</v>
      </c>
      <c r="D305" s="183" t="str">
        <f>Sheet1!D316</f>
        <v>DELTONA BLVD</v>
      </c>
      <c r="E305" s="183" t="str">
        <f>Sheet1!E316</f>
        <v>CENTURY DR</v>
      </c>
      <c r="F305" s="184" t="str">
        <f>Sheet1!F316</f>
        <v>4D</v>
      </c>
      <c r="G305" s="184" t="str">
        <f>Sheet1!H316</f>
        <v>4D</v>
      </c>
      <c r="H305" s="185" t="str">
        <f>Sheet1!Z316</f>
        <v>D</v>
      </c>
      <c r="I305" s="185"/>
      <c r="J305" s="185"/>
      <c r="K305" s="185"/>
      <c r="L305" s="184"/>
      <c r="M305" s="184">
        <f>Sheet1!AI316</f>
        <v>2628</v>
      </c>
      <c r="N305" s="184"/>
      <c r="O305" s="184"/>
      <c r="P305" s="184"/>
      <c r="Q305" s="184"/>
      <c r="R305" s="184">
        <f>Sheet1!P316</f>
        <v>24713</v>
      </c>
      <c r="S305" s="186"/>
      <c r="T305" s="184"/>
      <c r="U305" s="184"/>
      <c r="V305" s="184"/>
      <c r="W305" s="184"/>
      <c r="X305" s="184">
        <f>Sheet1!AS316</f>
        <v>2224</v>
      </c>
      <c r="Y305" s="184">
        <f>Sheet1!AT316</f>
        <v>0.84599999999999997</v>
      </c>
      <c r="Z305" s="184"/>
      <c r="AA305" s="184"/>
      <c r="AB305" s="184"/>
      <c r="AC305" s="186"/>
      <c r="AD305" s="184"/>
      <c r="AE305" s="184"/>
      <c r="AF305" s="184"/>
      <c r="AG305" s="186"/>
      <c r="AH305" s="184"/>
      <c r="AI305" s="187"/>
      <c r="AJ305" s="191"/>
      <c r="AK305" s="191"/>
      <c r="AL305" s="191"/>
      <c r="AM305" s="191"/>
    </row>
    <row r="306" spans="2:39" x14ac:dyDescent="0.25">
      <c r="B306" s="193" t="str">
        <f>Sheet1!A317</f>
        <v>4320.6</v>
      </c>
      <c r="C306" s="183" t="str">
        <f>Sheet1!C317</f>
        <v>NORTHCLIFFE BLVD</v>
      </c>
      <c r="D306" s="183" t="str">
        <f>Sheet1!D317</f>
        <v>CENTURY DR</v>
      </c>
      <c r="E306" s="183" t="str">
        <f>Sheet1!E317</f>
        <v>AZORA RD</v>
      </c>
      <c r="F306" s="184" t="str">
        <f>Sheet1!F317</f>
        <v>4D</v>
      </c>
      <c r="G306" s="184" t="str">
        <f>Sheet1!H317</f>
        <v>4D</v>
      </c>
      <c r="H306" s="185" t="str">
        <f>Sheet1!Z317</f>
        <v>D</v>
      </c>
      <c r="I306" s="185"/>
      <c r="J306" s="185"/>
      <c r="K306" s="185"/>
      <c r="L306" s="184"/>
      <c r="M306" s="184">
        <f>Sheet1!AI317</f>
        <v>2628</v>
      </c>
      <c r="N306" s="184"/>
      <c r="O306" s="184"/>
      <c r="P306" s="184"/>
      <c r="Q306" s="184"/>
      <c r="R306" s="184">
        <f>Sheet1!P317</f>
        <v>24713</v>
      </c>
      <c r="S306" s="186"/>
      <c r="T306" s="184"/>
      <c r="U306" s="184"/>
      <c r="V306" s="184"/>
      <c r="W306" s="184"/>
      <c r="X306" s="184">
        <f>Sheet1!AS317</f>
        <v>2224</v>
      </c>
      <c r="Y306" s="184">
        <f>Sheet1!AT317</f>
        <v>0.84599999999999997</v>
      </c>
      <c r="Z306" s="184"/>
      <c r="AA306" s="184"/>
      <c r="AB306" s="184"/>
      <c r="AC306" s="186"/>
      <c r="AD306" s="184"/>
      <c r="AE306" s="184"/>
      <c r="AF306" s="184"/>
      <c r="AG306" s="186"/>
      <c r="AH306" s="184"/>
      <c r="AI306" s="187"/>
      <c r="AJ306" s="191"/>
      <c r="AK306" s="191"/>
      <c r="AL306" s="191"/>
      <c r="AM306" s="191"/>
    </row>
    <row r="307" spans="2:39" x14ac:dyDescent="0.25">
      <c r="B307" s="193" t="str">
        <f>Sheet1!A318</f>
        <v>4320.4</v>
      </c>
      <c r="C307" s="183" t="str">
        <f>Sheet1!C318</f>
        <v>NORTHCLIFFE BLVD</v>
      </c>
      <c r="D307" s="183" t="str">
        <f>Sheet1!D318</f>
        <v>AZORA RD</v>
      </c>
      <c r="E307" s="183" t="str">
        <f>Sheet1!E318</f>
        <v>PORTILLO RD</v>
      </c>
      <c r="F307" s="184" t="str">
        <f>Sheet1!F318</f>
        <v>4D</v>
      </c>
      <c r="G307" s="184" t="str">
        <f>Sheet1!H318</f>
        <v>4D</v>
      </c>
      <c r="H307" s="185" t="str">
        <f>Sheet1!Z318</f>
        <v>D</v>
      </c>
      <c r="I307" s="185"/>
      <c r="J307" s="185"/>
      <c r="K307" s="185"/>
      <c r="L307" s="184"/>
      <c r="M307" s="184">
        <f>Sheet1!AI318</f>
        <v>2628</v>
      </c>
      <c r="N307" s="184"/>
      <c r="O307" s="184"/>
      <c r="P307" s="184"/>
      <c r="Q307" s="184"/>
      <c r="R307" s="184">
        <f>Sheet1!P318</f>
        <v>24713</v>
      </c>
      <c r="S307" s="186"/>
      <c r="T307" s="184"/>
      <c r="U307" s="184"/>
      <c r="V307" s="184"/>
      <c r="W307" s="184"/>
      <c r="X307" s="184">
        <f>Sheet1!AS318</f>
        <v>2224</v>
      </c>
      <c r="Y307" s="184">
        <f>Sheet1!AT318</f>
        <v>0.84599999999999997</v>
      </c>
      <c r="Z307" s="184"/>
      <c r="AA307" s="184"/>
      <c r="AB307" s="184"/>
      <c r="AC307" s="186"/>
      <c r="AD307" s="184"/>
      <c r="AE307" s="184"/>
      <c r="AF307" s="184"/>
      <c r="AG307" s="186"/>
      <c r="AH307" s="184"/>
      <c r="AI307" s="187"/>
      <c r="AJ307" s="191"/>
      <c r="AK307" s="191"/>
      <c r="AL307" s="191"/>
      <c r="AM307" s="191"/>
    </row>
    <row r="308" spans="2:39" x14ac:dyDescent="0.25">
      <c r="B308" s="193" t="str">
        <f>Sheet1!A319</f>
        <v>4330</v>
      </c>
      <c r="C308" s="183" t="str">
        <f>Sheet1!C319</f>
        <v>NORTHCLIFFE BLVD</v>
      </c>
      <c r="D308" s="183" t="str">
        <f>Sheet1!D319</f>
        <v>PORTILLO RD</v>
      </c>
      <c r="E308" s="183" t="str">
        <f>Sheet1!E319</f>
        <v>MARINER BLVD</v>
      </c>
      <c r="F308" s="184" t="str">
        <f>Sheet1!F319</f>
        <v>4D</v>
      </c>
      <c r="G308" s="184" t="str">
        <f>Sheet1!H319</f>
        <v>2U</v>
      </c>
      <c r="H308" s="185" t="str">
        <f>Sheet1!Z319</f>
        <v>D</v>
      </c>
      <c r="I308" s="185"/>
      <c r="J308" s="185"/>
      <c r="K308" s="185"/>
      <c r="L308" s="184"/>
      <c r="M308" s="184">
        <f>Sheet1!AI319</f>
        <v>2628</v>
      </c>
      <c r="N308" s="184"/>
      <c r="O308" s="184"/>
      <c r="P308" s="184"/>
      <c r="Q308" s="184"/>
      <c r="R308" s="184">
        <f>Sheet1!P319</f>
        <v>24713</v>
      </c>
      <c r="S308" s="186"/>
      <c r="T308" s="184"/>
      <c r="U308" s="184"/>
      <c r="V308" s="184"/>
      <c r="W308" s="184"/>
      <c r="X308" s="184">
        <f>Sheet1!AS319</f>
        <v>2224</v>
      </c>
      <c r="Y308" s="184">
        <f>Sheet1!AT319</f>
        <v>0.84599999999999997</v>
      </c>
      <c r="Z308" s="184"/>
      <c r="AA308" s="184"/>
      <c r="AB308" s="184"/>
      <c r="AC308" s="186"/>
      <c r="AD308" s="184"/>
      <c r="AE308" s="184"/>
      <c r="AF308" s="184"/>
      <c r="AG308" s="186"/>
      <c r="AH308" s="184"/>
      <c r="AI308" s="187"/>
      <c r="AJ308" s="191"/>
      <c r="AK308" s="191"/>
      <c r="AL308" s="191"/>
      <c r="AM308" s="191"/>
    </row>
    <row r="309" spans="2:39" x14ac:dyDescent="0.25">
      <c r="B309" s="193" t="str">
        <f>Sheet1!A320</f>
        <v>4420</v>
      </c>
      <c r="C309" s="183" t="str">
        <f>Sheet1!C320</f>
        <v>OSOWAW BLVD (CR595)</v>
      </c>
      <c r="D309" s="183" t="str">
        <f>Sheet1!D320</f>
        <v>SHOAL LINE BLVD</v>
      </c>
      <c r="E309" s="183" t="str">
        <f>Sheet1!E320</f>
        <v>US19 (SR55)</v>
      </c>
      <c r="F309" s="184" t="str">
        <f>Sheet1!F320</f>
        <v>2U</v>
      </c>
      <c r="G309" s="184" t="str">
        <f>Sheet1!H320</f>
        <v>2U</v>
      </c>
      <c r="H309" s="185" t="str">
        <f>Sheet1!Z320</f>
        <v>D</v>
      </c>
      <c r="I309" s="185"/>
      <c r="J309" s="185"/>
      <c r="K309" s="185"/>
      <c r="L309" s="184"/>
      <c r="M309" s="184">
        <f>Sheet1!AI320</f>
        <v>2880</v>
      </c>
      <c r="N309" s="184"/>
      <c r="O309" s="184"/>
      <c r="P309" s="184"/>
      <c r="Q309" s="184"/>
      <c r="R309" s="184">
        <f>Sheet1!P320</f>
        <v>25339</v>
      </c>
      <c r="S309" s="186"/>
      <c r="T309" s="184"/>
      <c r="U309" s="184"/>
      <c r="V309" s="184"/>
      <c r="W309" s="184"/>
      <c r="X309" s="184">
        <f>Sheet1!AS320</f>
        <v>2280</v>
      </c>
      <c r="Y309" s="184">
        <f>Sheet1!AT320</f>
        <v>0.79200000000000004</v>
      </c>
      <c r="Z309" s="184"/>
      <c r="AA309" s="184"/>
      <c r="AB309" s="184"/>
      <c r="AC309" s="186"/>
      <c r="AD309" s="184"/>
      <c r="AE309" s="184"/>
      <c r="AF309" s="184"/>
      <c r="AG309" s="186"/>
      <c r="AH309" s="184"/>
      <c r="AI309" s="187"/>
      <c r="AJ309" s="191"/>
      <c r="AK309" s="191"/>
      <c r="AL309" s="191"/>
      <c r="AM309" s="191"/>
    </row>
    <row r="310" spans="2:39" x14ac:dyDescent="0.25">
      <c r="B310" s="193" t="str">
        <f>Sheet1!A321</f>
        <v>4910</v>
      </c>
      <c r="C310" s="183" t="str">
        <f>Sheet1!C321</f>
        <v>RIDGE RD</v>
      </c>
      <c r="D310" s="183" t="str">
        <f>Sheet1!D321</f>
        <v>US19 (SR55)</v>
      </c>
      <c r="E310" s="183" t="str">
        <f>Sheet1!E321</f>
        <v>NIGHTWALKER RD</v>
      </c>
      <c r="F310" s="184" t="str">
        <f>Sheet1!F321</f>
        <v>2U</v>
      </c>
      <c r="G310" s="184" t="str">
        <f>Sheet1!H321</f>
        <v>2U</v>
      </c>
      <c r="H310" s="185" t="str">
        <f>Sheet1!Z321</f>
        <v>D</v>
      </c>
      <c r="I310" s="185"/>
      <c r="J310" s="185"/>
      <c r="K310" s="185"/>
      <c r="L310" s="184"/>
      <c r="M310" s="184">
        <f>Sheet1!AI321</f>
        <v>1962</v>
      </c>
      <c r="N310" s="184"/>
      <c r="O310" s="184"/>
      <c r="P310" s="184"/>
      <c r="Q310" s="184"/>
      <c r="R310" s="184">
        <f>Sheet1!P321</f>
        <v>1053</v>
      </c>
      <c r="S310" s="186"/>
      <c r="T310" s="184"/>
      <c r="U310" s="184"/>
      <c r="V310" s="184"/>
      <c r="W310" s="184"/>
      <c r="X310" s="184">
        <f>Sheet1!AS321</f>
        <v>95</v>
      </c>
      <c r="Y310" s="184">
        <f>Sheet1!AT321</f>
        <v>4.8000000000000001E-2</v>
      </c>
      <c r="Z310" s="184"/>
      <c r="AA310" s="184"/>
      <c r="AB310" s="184"/>
      <c r="AC310" s="186"/>
      <c r="AD310" s="184"/>
      <c r="AE310" s="184"/>
      <c r="AF310" s="184"/>
      <c r="AG310" s="186"/>
      <c r="AH310" s="184"/>
      <c r="AI310" s="187"/>
      <c r="AJ310" s="191"/>
      <c r="AK310" s="191"/>
      <c r="AL310" s="191"/>
      <c r="AM310" s="191"/>
    </row>
    <row r="311" spans="2:39" x14ac:dyDescent="0.25">
      <c r="B311" s="193" t="str">
        <f>Sheet1!A322</f>
        <v>5010.1</v>
      </c>
      <c r="C311" s="183" t="str">
        <f>Sheet1!C322</f>
        <v>RIDGE MANOR BLVD</v>
      </c>
      <c r="D311" s="183" t="str">
        <f>Sheet1!D322</f>
        <v>CORTEZ BLVD (SR50)</v>
      </c>
      <c r="E311" s="183" t="str">
        <f>Sheet1!E322</f>
        <v>OLANCHA RD</v>
      </c>
      <c r="F311" s="184" t="str">
        <f>Sheet1!F322</f>
        <v>2U</v>
      </c>
      <c r="G311" s="184" t="str">
        <f>Sheet1!H322</f>
        <v>2U</v>
      </c>
      <c r="H311" s="185" t="str">
        <f>Sheet1!Z322</f>
        <v>D</v>
      </c>
      <c r="I311" s="185"/>
      <c r="J311" s="185"/>
      <c r="K311" s="185"/>
      <c r="L311" s="184"/>
      <c r="M311" s="184">
        <f>Sheet1!AI322</f>
        <v>1818</v>
      </c>
      <c r="N311" s="184"/>
      <c r="O311" s="184"/>
      <c r="P311" s="184"/>
      <c r="Q311" s="184"/>
      <c r="R311" s="184">
        <f>Sheet1!P322</f>
        <v>1340</v>
      </c>
      <c r="S311" s="186"/>
      <c r="T311" s="184"/>
      <c r="U311" s="184"/>
      <c r="V311" s="184"/>
      <c r="W311" s="184"/>
      <c r="X311" s="184">
        <f>Sheet1!AS322</f>
        <v>121</v>
      </c>
      <c r="Y311" s="184">
        <f>Sheet1!AT322</f>
        <v>6.7000000000000004E-2</v>
      </c>
      <c r="Z311" s="184"/>
      <c r="AA311" s="184"/>
      <c r="AB311" s="184"/>
      <c r="AC311" s="186"/>
      <c r="AD311" s="184"/>
      <c r="AE311" s="184"/>
      <c r="AF311" s="184"/>
      <c r="AG311" s="186"/>
      <c r="AH311" s="184"/>
      <c r="AI311" s="187"/>
      <c r="AJ311" s="191"/>
      <c r="AK311" s="191"/>
      <c r="AL311" s="191"/>
      <c r="AM311" s="191"/>
    </row>
    <row r="312" spans="2:39" x14ac:dyDescent="0.25">
      <c r="B312" s="193" t="str">
        <f>Sheet1!A323</f>
        <v>5010.2</v>
      </c>
      <c r="C312" s="183" t="str">
        <f>Sheet1!C323</f>
        <v>RIDGE MANOR BLVD</v>
      </c>
      <c r="D312" s="183" t="str">
        <f>Sheet1!D323</f>
        <v>OLANCHA RD</v>
      </c>
      <c r="E312" s="183" t="str">
        <f>Sheet1!E323</f>
        <v>TREIMAN BLVD (US301/SR35)</v>
      </c>
      <c r="F312" s="184" t="str">
        <f>Sheet1!F323</f>
        <v>2U</v>
      </c>
      <c r="G312" s="184" t="str">
        <f>Sheet1!H323</f>
        <v>2U</v>
      </c>
      <c r="H312" s="185" t="str">
        <f>Sheet1!Z323</f>
        <v>D</v>
      </c>
      <c r="I312" s="185"/>
      <c r="J312" s="185"/>
      <c r="K312" s="185"/>
      <c r="L312" s="184"/>
      <c r="M312" s="184">
        <f>Sheet1!AI323</f>
        <v>1818</v>
      </c>
      <c r="N312" s="184"/>
      <c r="O312" s="184"/>
      <c r="P312" s="184"/>
      <c r="Q312" s="184"/>
      <c r="R312" s="184">
        <f>Sheet1!P323</f>
        <v>1340</v>
      </c>
      <c r="S312" s="186"/>
      <c r="T312" s="184"/>
      <c r="U312" s="184"/>
      <c r="V312" s="184"/>
      <c r="W312" s="184"/>
      <c r="X312" s="184">
        <f>Sheet1!AS323</f>
        <v>121</v>
      </c>
      <c r="Y312" s="184">
        <f>Sheet1!AT323</f>
        <v>6.7000000000000004E-2</v>
      </c>
      <c r="Z312" s="184"/>
      <c r="AA312" s="184"/>
      <c r="AB312" s="184"/>
      <c r="AC312" s="186"/>
      <c r="AD312" s="184"/>
      <c r="AE312" s="184"/>
      <c r="AF312" s="184"/>
      <c r="AG312" s="186"/>
      <c r="AH312" s="184"/>
      <c r="AI312" s="187"/>
      <c r="AJ312" s="191"/>
      <c r="AK312" s="191"/>
      <c r="AL312" s="191"/>
      <c r="AM312" s="191"/>
    </row>
    <row r="313" spans="2:39" x14ac:dyDescent="0.25">
      <c r="B313" s="193" t="str">
        <f>Sheet1!A324</f>
        <v>10790</v>
      </c>
      <c r="C313" s="183" t="str">
        <f>Sheet1!C324</f>
        <v>MLK</v>
      </c>
      <c r="D313" s="183" t="str">
        <f>Sheet1!D324</f>
        <v>BROAD ST (US41/SR45)</v>
      </c>
      <c r="E313" s="183" t="str">
        <f>Sheet1!E324</f>
        <v>MAIN ST</v>
      </c>
      <c r="F313" s="184" t="str">
        <f>Sheet1!F324</f>
        <v>2U</v>
      </c>
      <c r="G313" s="184" t="str">
        <f>Sheet1!H324</f>
        <v>2U</v>
      </c>
      <c r="H313" s="185" t="str">
        <f>Sheet1!Z324</f>
        <v>D</v>
      </c>
      <c r="I313" s="185"/>
      <c r="J313" s="185"/>
      <c r="K313" s="185"/>
      <c r="L313" s="184"/>
      <c r="M313" s="184">
        <f>Sheet1!AI324</f>
        <v>1197</v>
      </c>
      <c r="N313" s="184"/>
      <c r="O313" s="184"/>
      <c r="P313" s="184"/>
      <c r="Q313" s="184"/>
      <c r="R313" s="184">
        <f>Sheet1!P324</f>
        <v>27962</v>
      </c>
      <c r="S313" s="186"/>
      <c r="T313" s="184"/>
      <c r="U313" s="184"/>
      <c r="V313" s="184"/>
      <c r="W313" s="184"/>
      <c r="X313" s="184">
        <f>Sheet1!AS324</f>
        <v>2517</v>
      </c>
      <c r="Y313" s="184">
        <f>Sheet1!AT324</f>
        <v>2.1030000000000002</v>
      </c>
      <c r="Z313" s="184"/>
      <c r="AA313" s="184"/>
      <c r="AB313" s="184"/>
      <c r="AC313" s="186"/>
      <c r="AD313" s="184"/>
      <c r="AE313" s="184"/>
      <c r="AF313" s="184"/>
      <c r="AG313" s="186"/>
      <c r="AH313" s="184"/>
      <c r="AI313" s="187"/>
      <c r="AJ313" s="191"/>
      <c r="AK313" s="191"/>
      <c r="AL313" s="191"/>
      <c r="AM313" s="191"/>
    </row>
    <row r="314" spans="2:39" x14ac:dyDescent="0.25">
      <c r="B314" s="193" t="str">
        <f>Sheet1!A325</f>
        <v>10800</v>
      </c>
      <c r="C314" s="183" t="str">
        <f>Sheet1!C325</f>
        <v>MLK</v>
      </c>
      <c r="D314" s="183" t="str">
        <f>Sheet1!D325</f>
        <v>MAIN ST</v>
      </c>
      <c r="E314" s="183" t="str">
        <f>Sheet1!E325</f>
        <v>JEFFERSON ST (SR50A)</v>
      </c>
      <c r="F314" s="184" t="str">
        <f>Sheet1!F325</f>
        <v>2U</v>
      </c>
      <c r="G314" s="184" t="str">
        <f>Sheet1!H325</f>
        <v>2U</v>
      </c>
      <c r="H314" s="185" t="str">
        <f>Sheet1!Z325</f>
        <v>D</v>
      </c>
      <c r="I314" s="185"/>
      <c r="J314" s="185"/>
      <c r="K314" s="185"/>
      <c r="L314" s="184"/>
      <c r="M314" s="184">
        <f>Sheet1!AI325</f>
        <v>1197</v>
      </c>
      <c r="N314" s="184"/>
      <c r="O314" s="184"/>
      <c r="P314" s="184"/>
      <c r="Q314" s="184"/>
      <c r="R314" s="184">
        <f>Sheet1!P325</f>
        <v>6689</v>
      </c>
      <c r="S314" s="186"/>
      <c r="T314" s="184"/>
      <c r="U314" s="184"/>
      <c r="V314" s="184"/>
      <c r="W314" s="184"/>
      <c r="X314" s="184">
        <f>Sheet1!AS325</f>
        <v>602</v>
      </c>
      <c r="Y314" s="184">
        <f>Sheet1!AT325</f>
        <v>0.503</v>
      </c>
      <c r="Z314" s="184"/>
      <c r="AA314" s="184"/>
      <c r="AB314" s="184"/>
      <c r="AC314" s="186"/>
      <c r="AD314" s="184"/>
      <c r="AE314" s="184"/>
      <c r="AF314" s="184"/>
      <c r="AG314" s="186"/>
      <c r="AH314" s="184"/>
      <c r="AI314" s="187"/>
      <c r="AJ314" s="191"/>
      <c r="AK314" s="191"/>
      <c r="AL314" s="191"/>
      <c r="AM314" s="191"/>
    </row>
    <row r="315" spans="2:39" x14ac:dyDescent="0.25">
      <c r="B315" s="193" t="str">
        <f>Sheet1!A326</f>
        <v>11180</v>
      </c>
      <c r="C315" s="183" t="str">
        <f>Sheet1!C326</f>
        <v>SUNSHINE GROVE RD</v>
      </c>
      <c r="D315" s="183" t="str">
        <f>Sheet1!D326</f>
        <v>HEXAM RD</v>
      </c>
      <c r="E315" s="183" t="str">
        <f>Sheet1!E326</f>
        <v>CENTRALIA RD</v>
      </c>
      <c r="F315" s="184" t="str">
        <f>Sheet1!F326</f>
        <v>2U</v>
      </c>
      <c r="G315" s="184" t="str">
        <f>Sheet1!H326</f>
        <v>2U</v>
      </c>
      <c r="H315" s="185" t="str">
        <f>Sheet1!Z326</f>
        <v>D</v>
      </c>
      <c r="I315" s="185"/>
      <c r="J315" s="185"/>
      <c r="K315" s="185"/>
      <c r="L315" s="184"/>
      <c r="M315" s="184">
        <f>Sheet1!AI326</f>
        <v>1818</v>
      </c>
      <c r="N315" s="184"/>
      <c r="O315" s="184"/>
      <c r="P315" s="184"/>
      <c r="Q315" s="184"/>
      <c r="R315" s="184">
        <f>Sheet1!P326</f>
        <v>3522</v>
      </c>
      <c r="S315" s="186"/>
      <c r="T315" s="184"/>
      <c r="U315" s="184"/>
      <c r="V315" s="184"/>
      <c r="W315" s="184"/>
      <c r="X315" s="184">
        <f>Sheet1!AS326</f>
        <v>317</v>
      </c>
      <c r="Y315" s="184">
        <f>Sheet1!AT326</f>
        <v>0.17399999999999999</v>
      </c>
      <c r="Z315" s="184"/>
      <c r="AA315" s="184"/>
      <c r="AB315" s="184"/>
      <c r="AC315" s="186"/>
      <c r="AD315" s="184"/>
      <c r="AE315" s="184"/>
      <c r="AF315" s="184"/>
      <c r="AG315" s="186"/>
      <c r="AH315" s="184"/>
      <c r="AI315" s="187"/>
      <c r="AJ315" s="191"/>
      <c r="AK315" s="191"/>
      <c r="AL315" s="191"/>
      <c r="AM315" s="191"/>
    </row>
    <row r="316" spans="2:39" x14ac:dyDescent="0.25">
      <c r="B316" s="193" t="str">
        <f>Sheet1!A327</f>
        <v>5710</v>
      </c>
      <c r="C316" s="183" t="str">
        <f>Sheet1!C327</f>
        <v>THRASHER AVE</v>
      </c>
      <c r="D316" s="183" t="str">
        <f>Sheet1!D327</f>
        <v>US19 (SR55)</v>
      </c>
      <c r="E316" s="183" t="str">
        <f>Sheet1!E327</f>
        <v>MT SPARROW RD</v>
      </c>
      <c r="F316" s="184" t="str">
        <f>Sheet1!F327</f>
        <v>2U</v>
      </c>
      <c r="G316" s="184" t="str">
        <f>Sheet1!H327</f>
        <v>2U</v>
      </c>
      <c r="H316" s="185" t="str">
        <f>Sheet1!Z327</f>
        <v>D</v>
      </c>
      <c r="I316" s="185"/>
      <c r="J316" s="185"/>
      <c r="K316" s="185"/>
      <c r="L316" s="184"/>
      <c r="M316" s="184">
        <f>Sheet1!AI327</f>
        <v>1899</v>
      </c>
      <c r="N316" s="184"/>
      <c r="O316" s="184"/>
      <c r="P316" s="184"/>
      <c r="Q316" s="184"/>
      <c r="R316" s="184">
        <f>Sheet1!P327</f>
        <v>1391</v>
      </c>
      <c r="S316" s="186"/>
      <c r="T316" s="184"/>
      <c r="U316" s="184"/>
      <c r="V316" s="184"/>
      <c r="W316" s="184"/>
      <c r="X316" s="184">
        <f>Sheet1!AS327</f>
        <v>125</v>
      </c>
      <c r="Y316" s="184">
        <f>Sheet1!AT327</f>
        <v>6.6000000000000003E-2</v>
      </c>
      <c r="Z316" s="184"/>
      <c r="AA316" s="184"/>
      <c r="AB316" s="184"/>
      <c r="AC316" s="186"/>
      <c r="AD316" s="184"/>
      <c r="AE316" s="184"/>
      <c r="AF316" s="184"/>
      <c r="AG316" s="186"/>
      <c r="AH316" s="184"/>
      <c r="AI316" s="187"/>
      <c r="AJ316" s="191"/>
      <c r="AK316" s="191"/>
      <c r="AL316" s="191"/>
      <c r="AM316" s="191"/>
    </row>
    <row r="317" spans="2:39" x14ac:dyDescent="0.25">
      <c r="B317" s="193" t="str">
        <f>Sheet1!A328</f>
        <v>5720</v>
      </c>
      <c r="C317" s="183" t="str">
        <f>Sheet1!C328</f>
        <v>THRASHER AVE</v>
      </c>
      <c r="D317" s="183" t="str">
        <f>Sheet1!D328</f>
        <v>MT SPARROW RD</v>
      </c>
      <c r="E317" s="183" t="str">
        <f>Sheet1!E328</f>
        <v>DOWNY WOODPECKER RD</v>
      </c>
      <c r="F317" s="184" t="str">
        <f>Sheet1!F328</f>
        <v>2U</v>
      </c>
      <c r="G317" s="184" t="str">
        <f>Sheet1!H328</f>
        <v>2U</v>
      </c>
      <c r="H317" s="185" t="str">
        <f>Sheet1!Z328</f>
        <v>D</v>
      </c>
      <c r="I317" s="185"/>
      <c r="J317" s="185"/>
      <c r="K317" s="185"/>
      <c r="L317" s="184"/>
      <c r="M317" s="184">
        <f>Sheet1!AI328</f>
        <v>1899</v>
      </c>
      <c r="N317" s="184"/>
      <c r="O317" s="184"/>
      <c r="P317" s="184"/>
      <c r="Q317" s="184"/>
      <c r="R317" s="184">
        <f>Sheet1!P328</f>
        <v>1391</v>
      </c>
      <c r="S317" s="186"/>
      <c r="T317" s="184"/>
      <c r="U317" s="184"/>
      <c r="V317" s="184"/>
      <c r="W317" s="184"/>
      <c r="X317" s="184">
        <f>Sheet1!AS328</f>
        <v>125</v>
      </c>
      <c r="Y317" s="184">
        <f>Sheet1!AT328</f>
        <v>6.6000000000000003E-2</v>
      </c>
      <c r="Z317" s="184"/>
      <c r="AA317" s="184"/>
      <c r="AB317" s="184"/>
      <c r="AC317" s="186"/>
      <c r="AD317" s="184"/>
      <c r="AE317" s="184"/>
      <c r="AF317" s="184"/>
      <c r="AG317" s="186"/>
      <c r="AH317" s="184"/>
      <c r="AI317" s="187"/>
      <c r="AJ317" s="191"/>
      <c r="AK317" s="191"/>
      <c r="AL317" s="191"/>
      <c r="AM317" s="191"/>
    </row>
    <row r="318" spans="2:39" x14ac:dyDescent="0.25">
      <c r="B318" s="193" t="str">
        <f>Sheet1!A329</f>
        <v>6010</v>
      </c>
      <c r="C318" s="183" t="str">
        <f>Sheet1!C329</f>
        <v>WATERFALL DR</v>
      </c>
      <c r="D318" s="183" t="str">
        <f>Sheet1!D329</f>
        <v>COUNTY LINE RD</v>
      </c>
      <c r="E318" s="183" t="str">
        <f>Sheet1!E329</f>
        <v>SPRING HILL DR</v>
      </c>
      <c r="F318" s="184" t="str">
        <f>Sheet1!F329</f>
        <v>2U</v>
      </c>
      <c r="G318" s="184" t="str">
        <f>Sheet1!H329</f>
        <v>2U</v>
      </c>
      <c r="H318" s="185" t="str">
        <f>Sheet1!Z329</f>
        <v>D</v>
      </c>
      <c r="I318" s="185"/>
      <c r="J318" s="185"/>
      <c r="K318" s="185"/>
      <c r="L318" s="184"/>
      <c r="M318" s="184">
        <f>Sheet1!AI329</f>
        <v>958</v>
      </c>
      <c r="N318" s="184"/>
      <c r="O318" s="184"/>
      <c r="P318" s="184"/>
      <c r="Q318" s="184"/>
      <c r="R318" s="184">
        <f>Sheet1!P329</f>
        <v>5473</v>
      </c>
      <c r="S318" s="186"/>
      <c r="T318" s="184"/>
      <c r="U318" s="184"/>
      <c r="V318" s="184"/>
      <c r="W318" s="184"/>
      <c r="X318" s="184">
        <f>Sheet1!AS329</f>
        <v>493</v>
      </c>
      <c r="Y318" s="184">
        <f>Sheet1!AT329</f>
        <v>0.51500000000000001</v>
      </c>
      <c r="Z318" s="184"/>
      <c r="AA318" s="184"/>
      <c r="AB318" s="184"/>
      <c r="AC318" s="186"/>
      <c r="AD318" s="184"/>
      <c r="AE318" s="184"/>
      <c r="AF318" s="184"/>
      <c r="AG318" s="186"/>
      <c r="AH318" s="184"/>
      <c r="AI318" s="187"/>
      <c r="AJ318" s="191"/>
      <c r="AK318" s="191"/>
      <c r="AL318" s="191"/>
      <c r="AM318" s="191"/>
    </row>
    <row r="319" spans="2:39" x14ac:dyDescent="0.25">
      <c r="B319" s="193" t="str">
        <f>Sheet1!A330</f>
        <v>6610</v>
      </c>
      <c r="C319" s="183" t="str">
        <f>Sheet1!C330</f>
        <v>CHURCH RD</v>
      </c>
      <c r="D319" s="183" t="str">
        <f>Sheet1!D330</f>
        <v>SPRING LAKE HWY</v>
      </c>
      <c r="E319" s="183" t="str">
        <f>Sheet1!E330</f>
        <v>MYERS RD</v>
      </c>
      <c r="F319" s="184" t="str">
        <f>Sheet1!F330</f>
        <v>2U</v>
      </c>
      <c r="G319" s="184" t="str">
        <f>Sheet1!H330</f>
        <v>2U</v>
      </c>
      <c r="H319" s="185" t="str">
        <f>Sheet1!Z330</f>
        <v>D</v>
      </c>
      <c r="I319" s="185"/>
      <c r="J319" s="185"/>
      <c r="K319" s="185"/>
      <c r="L319" s="184"/>
      <c r="M319" s="184">
        <f>Sheet1!AI330</f>
        <v>1197</v>
      </c>
      <c r="N319" s="184"/>
      <c r="O319" s="184"/>
      <c r="P319" s="184"/>
      <c r="Q319" s="184"/>
      <c r="R319" s="184" t="e">
        <f>Sheet1!P330</f>
        <v>#N/A</v>
      </c>
      <c r="S319" s="186"/>
      <c r="T319" s="184"/>
      <c r="U319" s="184"/>
      <c r="V319" s="184"/>
      <c r="W319" s="184"/>
      <c r="X319" s="184" t="e">
        <f>Sheet1!AS330</f>
        <v>#N/A</v>
      </c>
      <c r="Y319" s="184" t="e">
        <f>Sheet1!AT330</f>
        <v>#N/A</v>
      </c>
      <c r="Z319" s="184"/>
      <c r="AA319" s="184"/>
      <c r="AB319" s="184"/>
      <c r="AC319" s="186"/>
      <c r="AD319" s="184"/>
      <c r="AE319" s="184"/>
      <c r="AF319" s="184"/>
      <c r="AG319" s="186"/>
      <c r="AH319" s="184"/>
      <c r="AI319" s="187"/>
      <c r="AJ319" s="191"/>
      <c r="AK319" s="191"/>
      <c r="AL319" s="191"/>
      <c r="AM319" s="191"/>
    </row>
    <row r="320" spans="2:39" x14ac:dyDescent="0.25">
      <c r="B320" s="193" t="str">
        <f>Sheet1!A331</f>
        <v>6710</v>
      </c>
      <c r="C320" s="183" t="str">
        <f>Sheet1!C331</f>
        <v>MYERS RD</v>
      </c>
      <c r="D320" s="183" t="str">
        <f>Sheet1!D331</f>
        <v>PASCO COUNTY LINE</v>
      </c>
      <c r="E320" s="183" t="str">
        <f>Sheet1!E331</f>
        <v>CHURCH RD</v>
      </c>
      <c r="F320" s="184" t="str">
        <f>Sheet1!F331</f>
        <v>2U</v>
      </c>
      <c r="G320" s="184" t="str">
        <f>Sheet1!H331</f>
        <v>2U</v>
      </c>
      <c r="H320" s="185" t="str">
        <f>Sheet1!Z331</f>
        <v>D</v>
      </c>
      <c r="I320" s="185"/>
      <c r="J320" s="185"/>
      <c r="K320" s="185"/>
      <c r="L320" s="184"/>
      <c r="M320" s="184">
        <f>Sheet1!AI331</f>
        <v>1818</v>
      </c>
      <c r="N320" s="184"/>
      <c r="O320" s="184"/>
      <c r="P320" s="184"/>
      <c r="Q320" s="184"/>
      <c r="R320" s="184">
        <f>Sheet1!P331</f>
        <v>395</v>
      </c>
      <c r="S320" s="186"/>
      <c r="T320" s="184"/>
      <c r="U320" s="184"/>
      <c r="V320" s="184"/>
      <c r="W320" s="184"/>
      <c r="X320" s="184">
        <f>Sheet1!AS331</f>
        <v>36</v>
      </c>
      <c r="Y320" s="184">
        <f>Sheet1!AT331</f>
        <v>0.02</v>
      </c>
      <c r="Z320" s="184"/>
      <c r="AA320" s="184"/>
      <c r="AB320" s="184"/>
      <c r="AC320" s="186"/>
      <c r="AD320" s="184"/>
      <c r="AE320" s="184"/>
      <c r="AF320" s="184"/>
      <c r="AG320" s="186"/>
      <c r="AH320" s="184"/>
      <c r="AI320" s="187"/>
      <c r="AJ320" s="191"/>
      <c r="AK320" s="191"/>
      <c r="AL320" s="191"/>
      <c r="AM320" s="191"/>
    </row>
    <row r="321" spans="2:39" x14ac:dyDescent="0.25">
      <c r="B321" s="193" t="str">
        <f>Sheet1!A332</f>
        <v>6910.3</v>
      </c>
      <c r="C321" s="183" t="str">
        <f>Sheet1!C332</f>
        <v>CROOM RITAL RD</v>
      </c>
      <c r="D321" s="183" t="str">
        <f>Sheet1!D332</f>
        <v>CORTEZ BLVD (SR50)</v>
      </c>
      <c r="E321" s="183" t="str">
        <f>Sheet1!E332</f>
        <v>1200 FT S OF I-75</v>
      </c>
      <c r="F321" s="184" t="str">
        <f>Sheet1!F332</f>
        <v>2U</v>
      </c>
      <c r="G321" s="184" t="str">
        <f>Sheet1!H332</f>
        <v>2U</v>
      </c>
      <c r="H321" s="185" t="str">
        <f>Sheet1!Z332</f>
        <v>D</v>
      </c>
      <c r="I321" s="185"/>
      <c r="J321" s="185"/>
      <c r="K321" s="185"/>
      <c r="L321" s="184"/>
      <c r="M321" s="184">
        <f>Sheet1!AI332</f>
        <v>1197</v>
      </c>
      <c r="N321" s="184"/>
      <c r="O321" s="184"/>
      <c r="P321" s="184"/>
      <c r="Q321" s="184"/>
      <c r="R321" s="184">
        <f>Sheet1!P332</f>
        <v>433</v>
      </c>
      <c r="S321" s="186"/>
      <c r="T321" s="184"/>
      <c r="U321" s="184"/>
      <c r="V321" s="184"/>
      <c r="W321" s="184"/>
      <c r="X321" s="184">
        <f>Sheet1!AS332</f>
        <v>39</v>
      </c>
      <c r="Y321" s="184">
        <f>Sheet1!AT332</f>
        <v>3.3000000000000002E-2</v>
      </c>
      <c r="Z321" s="184"/>
      <c r="AA321" s="184"/>
      <c r="AB321" s="184"/>
      <c r="AC321" s="186"/>
      <c r="AD321" s="184"/>
      <c r="AE321" s="184"/>
      <c r="AF321" s="184"/>
      <c r="AG321" s="186"/>
      <c r="AH321" s="184"/>
      <c r="AI321" s="187"/>
      <c r="AJ321" s="191"/>
      <c r="AK321" s="191"/>
      <c r="AL321" s="191"/>
      <c r="AM321" s="191"/>
    </row>
    <row r="322" spans="2:39" x14ac:dyDescent="0.25">
      <c r="B322" s="193" t="str">
        <f>Sheet1!A333</f>
        <v>6910.4</v>
      </c>
      <c r="C322" s="183" t="str">
        <f>Sheet1!C333</f>
        <v>CROOM RITAL RD</v>
      </c>
      <c r="D322" s="183" t="str">
        <f>Sheet1!D333</f>
        <v>1200 FT S OF I-75</v>
      </c>
      <c r="E322" s="183" t="str">
        <f>Sheet1!E333</f>
        <v>CROOM RD</v>
      </c>
      <c r="F322" s="184" t="str">
        <f>Sheet1!F333</f>
        <v>2U</v>
      </c>
      <c r="G322" s="184" t="str">
        <f>Sheet1!H333</f>
        <v>2U</v>
      </c>
      <c r="H322" s="185" t="str">
        <f>Sheet1!Z333</f>
        <v>D</v>
      </c>
      <c r="I322" s="185"/>
      <c r="J322" s="185"/>
      <c r="K322" s="185"/>
      <c r="L322" s="184"/>
      <c r="M322" s="184">
        <f>Sheet1!AI333</f>
        <v>1197</v>
      </c>
      <c r="N322" s="184"/>
      <c r="O322" s="184"/>
      <c r="P322" s="184"/>
      <c r="Q322" s="184"/>
      <c r="R322" s="184">
        <f>Sheet1!P333</f>
        <v>517</v>
      </c>
      <c r="S322" s="186"/>
      <c r="T322" s="184"/>
      <c r="U322" s="184"/>
      <c r="V322" s="184"/>
      <c r="W322" s="184"/>
      <c r="X322" s="184">
        <f>Sheet1!AS333</f>
        <v>47</v>
      </c>
      <c r="Y322" s="184">
        <f>Sheet1!AT333</f>
        <v>3.9E-2</v>
      </c>
      <c r="Z322" s="184"/>
      <c r="AA322" s="184"/>
      <c r="AB322" s="184"/>
      <c r="AC322" s="186"/>
      <c r="AD322" s="184"/>
      <c r="AE322" s="184"/>
      <c r="AF322" s="184"/>
      <c r="AG322" s="186"/>
      <c r="AH322" s="184"/>
      <c r="AI322" s="187"/>
      <c r="AJ322" s="191"/>
      <c r="AK322" s="191"/>
      <c r="AL322" s="191"/>
      <c r="AM322" s="191"/>
    </row>
    <row r="323" spans="2:39" x14ac:dyDescent="0.25">
      <c r="B323" s="193" t="str">
        <f>Sheet1!A334</f>
        <v>6920</v>
      </c>
      <c r="C323" s="183" t="str">
        <f>Sheet1!C334</f>
        <v>NOBLETON - CROOM  RD</v>
      </c>
      <c r="D323" s="183" t="str">
        <f>Sheet1!D334</f>
        <v>CROOM RD</v>
      </c>
      <c r="E323" s="183" t="str">
        <f>Sheet1!E334</f>
        <v>LAKE LINDSEY RD</v>
      </c>
      <c r="F323" s="184" t="str">
        <f>Sheet1!F334</f>
        <v>2U</v>
      </c>
      <c r="G323" s="184" t="str">
        <f>Sheet1!H334</f>
        <v>2U</v>
      </c>
      <c r="H323" s="185" t="str">
        <f>Sheet1!Z334</f>
        <v>D</v>
      </c>
      <c r="I323" s="185"/>
      <c r="J323" s="185"/>
      <c r="K323" s="185"/>
      <c r="L323" s="184"/>
      <c r="M323" s="184">
        <f>Sheet1!AI334</f>
        <v>1197</v>
      </c>
      <c r="N323" s="184"/>
      <c r="O323" s="184"/>
      <c r="P323" s="184"/>
      <c r="Q323" s="184"/>
      <c r="R323" s="184">
        <f>Sheet1!P334</f>
        <v>517</v>
      </c>
      <c r="S323" s="186"/>
      <c r="T323" s="184"/>
      <c r="U323" s="184"/>
      <c r="V323" s="184"/>
      <c r="W323" s="184"/>
      <c r="X323" s="184">
        <f>Sheet1!AS334</f>
        <v>47</v>
      </c>
      <c r="Y323" s="184">
        <f>Sheet1!AT334</f>
        <v>3.9E-2</v>
      </c>
      <c r="Z323" s="184"/>
      <c r="AA323" s="184"/>
      <c r="AB323" s="184"/>
      <c r="AC323" s="186"/>
      <c r="AD323" s="184"/>
      <c r="AE323" s="184"/>
      <c r="AF323" s="184"/>
      <c r="AG323" s="186"/>
      <c r="AH323" s="184"/>
      <c r="AI323" s="187"/>
      <c r="AJ323" s="191"/>
      <c r="AK323" s="191"/>
      <c r="AL323" s="191"/>
      <c r="AM323" s="191"/>
    </row>
    <row r="324" spans="2:39" x14ac:dyDescent="0.25">
      <c r="B324" s="193" t="str">
        <f>Sheet1!A335</f>
        <v>7000</v>
      </c>
      <c r="C324" s="183" t="str">
        <f>Sheet1!C335</f>
        <v>CEDAR LN</v>
      </c>
      <c r="D324" s="183" t="str">
        <f>Sheet1!D335</f>
        <v>POWELL RD</v>
      </c>
      <c r="E324" s="183" t="str">
        <f>Sheet1!E335</f>
        <v>CORTEZ BLVD (SR50)</v>
      </c>
      <c r="F324" s="184" t="str">
        <f>Sheet1!F335</f>
        <v>2U</v>
      </c>
      <c r="G324" s="184" t="str">
        <f>Sheet1!H335</f>
        <v>2U</v>
      </c>
      <c r="H324" s="185" t="str">
        <f>Sheet1!Z335</f>
        <v>D</v>
      </c>
      <c r="I324" s="185"/>
      <c r="J324" s="185"/>
      <c r="K324" s="185"/>
      <c r="L324" s="184"/>
      <c r="M324" s="184">
        <f>Sheet1!AI335</f>
        <v>1818</v>
      </c>
      <c r="N324" s="184"/>
      <c r="O324" s="184"/>
      <c r="P324" s="184"/>
      <c r="Q324" s="184"/>
      <c r="R324" s="184">
        <f>Sheet1!P335</f>
        <v>1115</v>
      </c>
      <c r="S324" s="186"/>
      <c r="T324" s="184"/>
      <c r="U324" s="184"/>
      <c r="V324" s="184"/>
      <c r="W324" s="184"/>
      <c r="X324" s="184">
        <f>Sheet1!AS335</f>
        <v>100</v>
      </c>
      <c r="Y324" s="184">
        <f>Sheet1!AT335</f>
        <v>5.5E-2</v>
      </c>
      <c r="Z324" s="184"/>
      <c r="AA324" s="184"/>
      <c r="AB324" s="184"/>
      <c r="AC324" s="186"/>
      <c r="AD324" s="184"/>
      <c r="AE324" s="184"/>
      <c r="AF324" s="184"/>
      <c r="AG324" s="186"/>
      <c r="AH324" s="184"/>
      <c r="AI324" s="187"/>
      <c r="AJ324" s="191"/>
      <c r="AK324" s="191"/>
      <c r="AL324" s="191"/>
      <c r="AM324" s="191"/>
    </row>
    <row r="325" spans="2:39" x14ac:dyDescent="0.25">
      <c r="B325" s="193" t="str">
        <f>Sheet1!A336</f>
        <v>8070</v>
      </c>
      <c r="C325" s="183" t="str">
        <f>Sheet1!C336</f>
        <v>DALY RD</v>
      </c>
      <c r="D325" s="183" t="str">
        <f>Sheet1!D336</f>
        <v>CROOM RD</v>
      </c>
      <c r="E325" s="183" t="str">
        <f>Sheet1!E336</f>
        <v>LAKE LINDSEY RD</v>
      </c>
      <c r="F325" s="184" t="str">
        <f>Sheet1!F336</f>
        <v>2U</v>
      </c>
      <c r="G325" s="184" t="str">
        <f>Sheet1!H336</f>
        <v>4D</v>
      </c>
      <c r="H325" s="185" t="str">
        <f>Sheet1!Z336</f>
        <v>D</v>
      </c>
      <c r="I325" s="185"/>
      <c r="J325" s="185"/>
      <c r="K325" s="185"/>
      <c r="L325" s="184"/>
      <c r="M325" s="184">
        <f>Sheet1!AI336</f>
        <v>1818</v>
      </c>
      <c r="N325" s="184"/>
      <c r="O325" s="184"/>
      <c r="P325" s="184"/>
      <c r="Q325" s="184"/>
      <c r="R325" s="184">
        <f>Sheet1!P336</f>
        <v>595</v>
      </c>
      <c r="S325" s="186"/>
      <c r="T325" s="184"/>
      <c r="U325" s="184"/>
      <c r="V325" s="184"/>
      <c r="W325" s="184"/>
      <c r="X325" s="184">
        <f>Sheet1!AS336</f>
        <v>54</v>
      </c>
      <c r="Y325" s="184">
        <f>Sheet1!AT336</f>
        <v>0.03</v>
      </c>
      <c r="Z325" s="184"/>
      <c r="AA325" s="184"/>
      <c r="AB325" s="184"/>
      <c r="AC325" s="186"/>
      <c r="AD325" s="184"/>
      <c r="AE325" s="184"/>
      <c r="AF325" s="184"/>
      <c r="AG325" s="186"/>
      <c r="AH325" s="184"/>
      <c r="AI325" s="187"/>
      <c r="AJ325" s="191"/>
      <c r="AK325" s="191"/>
      <c r="AL325" s="191"/>
      <c r="AM325" s="191"/>
    </row>
    <row r="326" spans="2:39" x14ac:dyDescent="0.25">
      <c r="B326" s="193" t="str">
        <f>Sheet1!A337</f>
        <v>8080</v>
      </c>
      <c r="C326" s="183" t="str">
        <f>Sheet1!C337</f>
        <v>WEATHERLY RD</v>
      </c>
      <c r="D326" s="183" t="str">
        <f>Sheet1!D337</f>
        <v>MONDON HILL RD</v>
      </c>
      <c r="E326" s="183" t="str">
        <f>Sheet1!E337</f>
        <v>CROOM RD</v>
      </c>
      <c r="F326" s="184" t="str">
        <f>Sheet1!F337</f>
        <v>2U</v>
      </c>
      <c r="G326" s="184" t="str">
        <f>Sheet1!H337</f>
        <v>2U</v>
      </c>
      <c r="H326" s="185" t="str">
        <f>Sheet1!Z337</f>
        <v>D</v>
      </c>
      <c r="I326" s="185"/>
      <c r="J326" s="185"/>
      <c r="K326" s="185"/>
      <c r="L326" s="184"/>
      <c r="M326" s="184">
        <f>Sheet1!AI337</f>
        <v>1899</v>
      </c>
      <c r="N326" s="184"/>
      <c r="O326" s="184"/>
      <c r="P326" s="184"/>
      <c r="Q326" s="184"/>
      <c r="R326" s="184" t="e">
        <f>Sheet1!P337</f>
        <v>#DIV/0!</v>
      </c>
      <c r="S326" s="186"/>
      <c r="T326" s="184"/>
      <c r="U326" s="184"/>
      <c r="V326" s="184"/>
      <c r="W326" s="184"/>
      <c r="X326" s="184" t="e">
        <f>Sheet1!AS337</f>
        <v>#DIV/0!</v>
      </c>
      <c r="Y326" s="184" t="e">
        <f>Sheet1!AT337</f>
        <v>#DIV/0!</v>
      </c>
      <c r="Z326" s="184"/>
      <c r="AA326" s="184"/>
      <c r="AB326" s="184"/>
      <c r="AC326" s="186"/>
      <c r="AD326" s="184"/>
      <c r="AE326" s="184"/>
      <c r="AF326" s="184"/>
      <c r="AG326" s="186"/>
      <c r="AH326" s="184"/>
      <c r="AI326" s="187"/>
      <c r="AJ326" s="191"/>
      <c r="AK326" s="191"/>
      <c r="AL326" s="191"/>
      <c r="AM326" s="191"/>
    </row>
    <row r="327" spans="2:39" x14ac:dyDescent="0.25">
      <c r="B327" s="193" t="str">
        <f>Sheet1!A338</f>
        <v>8090.1</v>
      </c>
      <c r="C327" s="183" t="str">
        <f>Sheet1!C338</f>
        <v>FOREST OAKS BLVD</v>
      </c>
      <c r="D327" s="183" t="str">
        <f>Sheet1!D338</f>
        <v>US19 (SR55)</v>
      </c>
      <c r="E327" s="183" t="str">
        <f>Sheet1!E338</f>
        <v>W OF FOREST VILLAS CIR</v>
      </c>
      <c r="F327" s="184" t="str">
        <f>Sheet1!F338</f>
        <v>4D</v>
      </c>
      <c r="G327" s="184" t="str">
        <f>Sheet1!H338</f>
        <v>2U</v>
      </c>
      <c r="H327" s="185" t="str">
        <f>Sheet1!Z338</f>
        <v>D</v>
      </c>
      <c r="I327" s="185"/>
      <c r="J327" s="185"/>
      <c r="K327" s="185"/>
      <c r="L327" s="184"/>
      <c r="M327" s="184">
        <f>Sheet1!AI338</f>
        <v>2628</v>
      </c>
      <c r="N327" s="184"/>
      <c r="O327" s="184"/>
      <c r="P327" s="184"/>
      <c r="Q327" s="184"/>
      <c r="R327" s="184">
        <f>Sheet1!P338</f>
        <v>11336</v>
      </c>
      <c r="S327" s="186"/>
      <c r="T327" s="184"/>
      <c r="U327" s="184"/>
      <c r="V327" s="184"/>
      <c r="W327" s="184"/>
      <c r="X327" s="184">
        <f>Sheet1!AS338</f>
        <v>1020</v>
      </c>
      <c r="Y327" s="184">
        <f>Sheet1!AT338</f>
        <v>0.38800000000000001</v>
      </c>
      <c r="Z327" s="184"/>
      <c r="AA327" s="184"/>
      <c r="AB327" s="184"/>
      <c r="AC327" s="186"/>
      <c r="AD327" s="184"/>
      <c r="AE327" s="184"/>
      <c r="AF327" s="184"/>
      <c r="AG327" s="186"/>
      <c r="AH327" s="184"/>
      <c r="AI327" s="187"/>
      <c r="AJ327" s="191"/>
      <c r="AK327" s="191"/>
      <c r="AL327" s="191"/>
      <c r="AM327" s="191"/>
    </row>
    <row r="328" spans="2:39" x14ac:dyDescent="0.25">
      <c r="B328" s="193" t="str">
        <f>Sheet1!A339</f>
        <v>8090.2</v>
      </c>
      <c r="C328" s="183" t="str">
        <f>Sheet1!C339</f>
        <v>FOREST OAKS BLVD</v>
      </c>
      <c r="D328" s="183" t="str">
        <f>Sheet1!D339</f>
        <v>W OF FOREST VILLAS CIR</v>
      </c>
      <c r="E328" s="183" t="str">
        <f>Sheet1!E339</f>
        <v>DELTONA BLVD</v>
      </c>
      <c r="F328" s="184" t="str">
        <f>Sheet1!F339</f>
        <v>2U</v>
      </c>
      <c r="G328" s="184" t="str">
        <f>Sheet1!H339</f>
        <v>2U</v>
      </c>
      <c r="H328" s="185" t="str">
        <f>Sheet1!Z339</f>
        <v>D</v>
      </c>
      <c r="I328" s="185"/>
      <c r="J328" s="185"/>
      <c r="K328" s="185"/>
      <c r="L328" s="184"/>
      <c r="M328" s="184">
        <f>Sheet1!AI339</f>
        <v>1197</v>
      </c>
      <c r="N328" s="184"/>
      <c r="O328" s="184"/>
      <c r="P328" s="184"/>
      <c r="Q328" s="184"/>
      <c r="R328" s="184">
        <f>Sheet1!P339</f>
        <v>11336</v>
      </c>
      <c r="S328" s="186"/>
      <c r="T328" s="184"/>
      <c r="U328" s="184"/>
      <c r="V328" s="184"/>
      <c r="W328" s="184"/>
      <c r="X328" s="184">
        <f>Sheet1!AS339</f>
        <v>1020</v>
      </c>
      <c r="Y328" s="184">
        <f>Sheet1!AT339</f>
        <v>0.85199999999999998</v>
      </c>
      <c r="Z328" s="184"/>
      <c r="AA328" s="184"/>
      <c r="AB328" s="184"/>
      <c r="AC328" s="186"/>
      <c r="AD328" s="184"/>
      <c r="AE328" s="184"/>
      <c r="AF328" s="184"/>
      <c r="AG328" s="186"/>
      <c r="AH328" s="184"/>
      <c r="AI328" s="187"/>
      <c r="AJ328" s="191"/>
      <c r="AK328" s="191"/>
      <c r="AL328" s="191"/>
      <c r="AM328" s="191"/>
    </row>
    <row r="329" spans="2:39" x14ac:dyDescent="0.25">
      <c r="B329" s="193" t="str">
        <f>Sheet1!A340</f>
        <v>20560</v>
      </c>
      <c r="C329" s="183" t="str">
        <f>Sheet1!C340</f>
        <v>LELANI DR</v>
      </c>
      <c r="D329" s="183" t="str">
        <f>Sheet1!D340</f>
        <v>CENTRALIA RD</v>
      </c>
      <c r="E329" s="183" t="str">
        <f>Sheet1!E340</f>
        <v>KNUCKEY RD</v>
      </c>
      <c r="F329" s="184" t="str">
        <f>Sheet1!F340</f>
        <v>2U</v>
      </c>
      <c r="G329" s="184" t="str">
        <f>Sheet1!H340</f>
        <v>2U</v>
      </c>
      <c r="H329" s="185" t="str">
        <f>Sheet1!Z340</f>
        <v>D</v>
      </c>
      <c r="I329" s="185"/>
      <c r="J329" s="185"/>
      <c r="K329" s="185"/>
      <c r="L329" s="184"/>
      <c r="M329" s="184">
        <f>Sheet1!AI340</f>
        <v>0</v>
      </c>
      <c r="N329" s="184"/>
      <c r="O329" s="184"/>
      <c r="P329" s="184"/>
      <c r="Q329" s="184"/>
      <c r="R329" s="184" t="e">
        <f>Sheet1!P340</f>
        <v>#DIV/0!</v>
      </c>
      <c r="S329" s="186"/>
      <c r="T329" s="184"/>
      <c r="U329" s="184"/>
      <c r="V329" s="184"/>
      <c r="W329" s="184"/>
      <c r="X329" s="184" t="e">
        <f>Sheet1!AS340</f>
        <v>#DIV/0!</v>
      </c>
      <c r="Y329" s="184">
        <f>Sheet1!AT340</f>
        <v>0</v>
      </c>
      <c r="Z329" s="184"/>
      <c r="AA329" s="184"/>
      <c r="AB329" s="184"/>
      <c r="AC329" s="186"/>
      <c r="AD329" s="184"/>
      <c r="AE329" s="184"/>
      <c r="AF329" s="184"/>
      <c r="AG329" s="186"/>
      <c r="AH329" s="184"/>
      <c r="AI329" s="187"/>
      <c r="AJ329" s="191"/>
      <c r="AK329" s="191"/>
      <c r="AL329" s="191"/>
      <c r="AM329" s="191"/>
    </row>
    <row r="330" spans="2:39" x14ac:dyDescent="0.25">
      <c r="B330" s="193" t="str">
        <f>Sheet1!A341</f>
        <v>20665</v>
      </c>
      <c r="C330" s="183" t="str">
        <f>Sheet1!C341</f>
        <v>AERIAL WAY</v>
      </c>
      <c r="D330" s="183" t="str">
        <f>Sheet1!D341</f>
        <v>CORPORATE BLVD</v>
      </c>
      <c r="E330" s="183" t="str">
        <f>Sheet1!E341</f>
        <v>SPRING HILL DR</v>
      </c>
      <c r="F330" s="184" t="str">
        <f>Sheet1!F341</f>
        <v>2U</v>
      </c>
      <c r="G330" s="184" t="str">
        <f>Sheet1!H341</f>
        <v>2U</v>
      </c>
      <c r="H330" s="185" t="str">
        <f>Sheet1!Z341</f>
        <v>D</v>
      </c>
      <c r="I330" s="185"/>
      <c r="J330" s="185"/>
      <c r="K330" s="185"/>
      <c r="L330" s="184"/>
      <c r="M330" s="184">
        <f>Sheet1!AI341</f>
        <v>1197</v>
      </c>
      <c r="N330" s="184"/>
      <c r="O330" s="184"/>
      <c r="P330" s="184"/>
      <c r="Q330" s="184"/>
      <c r="R330" s="184" t="e">
        <f>Sheet1!P341</f>
        <v>#DIV/0!</v>
      </c>
      <c r="S330" s="186"/>
      <c r="T330" s="184"/>
      <c r="U330" s="184"/>
      <c r="V330" s="184"/>
      <c r="W330" s="184"/>
      <c r="X330" s="184" t="e">
        <f>Sheet1!AS341</f>
        <v>#DIV/0!</v>
      </c>
      <c r="Y330" s="184" t="e">
        <f>Sheet1!AT341</f>
        <v>#DIV/0!</v>
      </c>
      <c r="Z330" s="184"/>
      <c r="AA330" s="184"/>
      <c r="AB330" s="184"/>
      <c r="AC330" s="186"/>
      <c r="AD330" s="184"/>
      <c r="AE330" s="184"/>
      <c r="AF330" s="184"/>
      <c r="AG330" s="186"/>
      <c r="AH330" s="184"/>
      <c r="AI330" s="187"/>
      <c r="AJ330" s="191"/>
      <c r="AK330" s="191"/>
      <c r="AL330" s="191"/>
      <c r="AM330" s="191"/>
    </row>
    <row r="331" spans="2:39" x14ac:dyDescent="0.25">
      <c r="B331" s="193" t="str">
        <f>Sheet1!A342</f>
        <v>3580</v>
      </c>
      <c r="C331" s="183" t="str">
        <f>Sheet1!C342</f>
        <v>KNUCKEY RD</v>
      </c>
      <c r="D331" s="183" t="str">
        <f>Sheet1!D342</f>
        <v>US19 (SR55)</v>
      </c>
      <c r="E331" s="183" t="str">
        <f>Sheet1!E342</f>
        <v>QUIGLEY AVE</v>
      </c>
      <c r="F331" s="184" t="str">
        <f>Sheet1!F342</f>
        <v>2U</v>
      </c>
      <c r="G331" s="184" t="str">
        <f>Sheet1!H342</f>
        <v>2U</v>
      </c>
      <c r="H331" s="185" t="str">
        <f>Sheet1!Z342</f>
        <v>D</v>
      </c>
      <c r="I331" s="185"/>
      <c r="J331" s="185"/>
      <c r="K331" s="185"/>
      <c r="L331" s="184"/>
      <c r="M331" s="184">
        <f>Sheet1!AI342</f>
        <v>1899</v>
      </c>
      <c r="N331" s="184"/>
      <c r="O331" s="184"/>
      <c r="P331" s="184"/>
      <c r="Q331" s="184"/>
      <c r="R331" s="184" t="e">
        <f>Sheet1!P342</f>
        <v>#DIV/0!</v>
      </c>
      <c r="S331" s="186"/>
      <c r="T331" s="184"/>
      <c r="U331" s="184"/>
      <c r="V331" s="184"/>
      <c r="W331" s="184"/>
      <c r="X331" s="184" t="e">
        <f>Sheet1!AS342</f>
        <v>#DIV/0!</v>
      </c>
      <c r="Y331" s="184" t="e">
        <f>Sheet1!AT342</f>
        <v>#DIV/0!</v>
      </c>
      <c r="Z331" s="184"/>
      <c r="AA331" s="184"/>
      <c r="AB331" s="184"/>
      <c r="AC331" s="186"/>
      <c r="AD331" s="184"/>
      <c r="AE331" s="184"/>
      <c r="AF331" s="184"/>
      <c r="AG331" s="186"/>
      <c r="AH331" s="184"/>
      <c r="AI331" s="187"/>
      <c r="AJ331" s="191"/>
      <c r="AK331" s="191"/>
      <c r="AL331" s="191"/>
      <c r="AM331" s="191"/>
    </row>
    <row r="332" spans="2:39" x14ac:dyDescent="0.25">
      <c r="B332" s="193" t="str">
        <f>Sheet1!A343</f>
        <v>20170</v>
      </c>
      <c r="C332" s="183" t="str">
        <f>Sheet1!C343</f>
        <v>TOUCAN TRL</v>
      </c>
      <c r="D332" s="183" t="str">
        <f>Sheet1!D343</f>
        <v>US19 (SR55)</v>
      </c>
      <c r="E332" s="183" t="str">
        <f>Sheet1!E343</f>
        <v>BARTLETT ST</v>
      </c>
      <c r="F332" s="184" t="str">
        <f>Sheet1!F343</f>
        <v>2U</v>
      </c>
      <c r="G332" s="184" t="str">
        <f>Sheet1!H343</f>
        <v>2U</v>
      </c>
      <c r="H332" s="185" t="str">
        <f>Sheet1!Z343</f>
        <v>D</v>
      </c>
      <c r="I332" s="185"/>
      <c r="J332" s="185"/>
      <c r="K332" s="185"/>
      <c r="L332" s="184"/>
      <c r="M332" s="184">
        <f>Sheet1!AI343</f>
        <v>958</v>
      </c>
      <c r="N332" s="184"/>
      <c r="O332" s="184"/>
      <c r="P332" s="184"/>
      <c r="Q332" s="184"/>
      <c r="R332" s="184" t="e">
        <f>Sheet1!P343</f>
        <v>#DIV/0!</v>
      </c>
      <c r="S332" s="186"/>
      <c r="T332" s="184"/>
      <c r="U332" s="184"/>
      <c r="V332" s="184"/>
      <c r="W332" s="184"/>
      <c r="X332" s="184" t="e">
        <f>Sheet1!AS343</f>
        <v>#DIV/0!</v>
      </c>
      <c r="Y332" s="184" t="e">
        <f>Sheet1!AT343</f>
        <v>#DIV/0!</v>
      </c>
      <c r="Z332" s="184"/>
      <c r="AA332" s="184"/>
      <c r="AB332" s="184"/>
      <c r="AC332" s="186"/>
      <c r="AD332" s="184"/>
      <c r="AE332" s="184"/>
      <c r="AF332" s="184"/>
      <c r="AG332" s="186"/>
      <c r="AH332" s="184"/>
      <c r="AI332" s="187"/>
      <c r="AJ332" s="191"/>
      <c r="AK332" s="191"/>
      <c r="AL332" s="191"/>
      <c r="AM332" s="191"/>
    </row>
    <row r="333" spans="2:39" x14ac:dyDescent="0.25">
      <c r="B333" s="193" t="str">
        <f>Sheet1!A344</f>
        <v>20180</v>
      </c>
      <c r="C333" s="183" t="str">
        <f>Sheet1!C344</f>
        <v>BARTLETT ST</v>
      </c>
      <c r="D333" s="183" t="str">
        <f>Sheet1!D344</f>
        <v>NORBERT ST</v>
      </c>
      <c r="E333" s="183" t="str">
        <f>Sheet1!E344</f>
        <v>TOUCAN TRL</v>
      </c>
      <c r="F333" s="184" t="str">
        <f>Sheet1!F344</f>
        <v>2U</v>
      </c>
      <c r="G333" s="184" t="str">
        <f>Sheet1!H344</f>
        <v>2U</v>
      </c>
      <c r="H333" s="185" t="str">
        <f>Sheet1!Z344</f>
        <v>D</v>
      </c>
      <c r="I333" s="185"/>
      <c r="J333" s="185"/>
      <c r="K333" s="185"/>
      <c r="L333" s="184"/>
      <c r="M333" s="184">
        <f>Sheet1!AI344</f>
        <v>1899</v>
      </c>
      <c r="N333" s="184"/>
      <c r="O333" s="184"/>
      <c r="P333" s="184"/>
      <c r="Q333" s="184"/>
      <c r="R333" s="184" t="e">
        <f>Sheet1!P344</f>
        <v>#DIV/0!</v>
      </c>
      <c r="S333" s="186"/>
      <c r="T333" s="184"/>
      <c r="U333" s="184"/>
      <c r="V333" s="184"/>
      <c r="W333" s="184"/>
      <c r="X333" s="184" t="e">
        <f>Sheet1!AS344</f>
        <v>#DIV/0!</v>
      </c>
      <c r="Y333" s="184" t="e">
        <f>Sheet1!AT344</f>
        <v>#DIV/0!</v>
      </c>
      <c r="Z333" s="184"/>
      <c r="AA333" s="184"/>
      <c r="AB333" s="184"/>
      <c r="AC333" s="186"/>
      <c r="AD333" s="184"/>
      <c r="AE333" s="184"/>
      <c r="AF333" s="184"/>
      <c r="AG333" s="186"/>
      <c r="AH333" s="184"/>
      <c r="AI333" s="187"/>
      <c r="AJ333" s="191"/>
      <c r="AK333" s="191"/>
      <c r="AL333" s="191"/>
      <c r="AM333" s="191"/>
    </row>
    <row r="334" spans="2:39" x14ac:dyDescent="0.25">
      <c r="B334" s="193" t="str">
        <f>Sheet1!A345</f>
        <v>20190</v>
      </c>
      <c r="C334" s="183" t="str">
        <f>Sheet1!C345</f>
        <v>NORBERT ST</v>
      </c>
      <c r="D334" s="183" t="str">
        <f>Sheet1!D345</f>
        <v>BARTLETT ST</v>
      </c>
      <c r="E334" s="183" t="str">
        <f>Sheet1!E345</f>
        <v>DELTONA BLVD</v>
      </c>
      <c r="F334" s="184" t="str">
        <f>Sheet1!F345</f>
        <v>2U</v>
      </c>
      <c r="G334" s="184" t="str">
        <f>Sheet1!H345</f>
        <v>4D</v>
      </c>
      <c r="H334" s="185" t="str">
        <f>Sheet1!Z345</f>
        <v>D</v>
      </c>
      <c r="I334" s="185"/>
      <c r="J334" s="185"/>
      <c r="K334" s="185"/>
      <c r="L334" s="184"/>
      <c r="M334" s="184">
        <f>Sheet1!AI345</f>
        <v>1899</v>
      </c>
      <c r="N334" s="184"/>
      <c r="O334" s="184"/>
      <c r="P334" s="184"/>
      <c r="Q334" s="184"/>
      <c r="R334" s="184" t="e">
        <f>Sheet1!P345</f>
        <v>#DIV/0!</v>
      </c>
      <c r="S334" s="186"/>
      <c r="T334" s="184"/>
      <c r="U334" s="184"/>
      <c r="V334" s="184"/>
      <c r="W334" s="184"/>
      <c r="X334" s="184" t="e">
        <f>Sheet1!AS345</f>
        <v>#DIV/0!</v>
      </c>
      <c r="Y334" s="184" t="e">
        <f>Sheet1!AT345</f>
        <v>#DIV/0!</v>
      </c>
      <c r="Z334" s="184"/>
      <c r="AA334" s="184"/>
      <c r="AB334" s="184"/>
      <c r="AC334" s="186"/>
      <c r="AD334" s="184"/>
      <c r="AE334" s="184"/>
      <c r="AF334" s="184"/>
      <c r="AG334" s="186"/>
      <c r="AH334" s="184"/>
      <c r="AI334" s="187"/>
      <c r="AJ334" s="191"/>
      <c r="AK334" s="191"/>
      <c r="AL334" s="191"/>
      <c r="AM334" s="191"/>
    </row>
    <row r="335" spans="2:39" x14ac:dyDescent="0.25">
      <c r="B335" s="193" t="str">
        <f>Sheet1!A346</f>
        <v>20210</v>
      </c>
      <c r="C335" s="183" t="str">
        <f>Sheet1!C346</f>
        <v>LANDOVER BLVD</v>
      </c>
      <c r="D335" s="183" t="str">
        <f>Sheet1!D346</f>
        <v>NORTHCLIFFE BLVD</v>
      </c>
      <c r="E335" s="183" t="str">
        <f>Sheet1!E346</f>
        <v>S. MARINER BLVD (CR587)</v>
      </c>
      <c r="F335" s="184" t="str">
        <f>Sheet1!F346</f>
        <v>2U</v>
      </c>
      <c r="G335" s="184" t="str">
        <f>Sheet1!H346</f>
        <v>2U</v>
      </c>
      <c r="H335" s="185" t="str">
        <f>Sheet1!Z346</f>
        <v>D</v>
      </c>
      <c r="I335" s="185"/>
      <c r="J335" s="185"/>
      <c r="K335" s="185"/>
      <c r="L335" s="184"/>
      <c r="M335" s="184">
        <f>Sheet1!AI346</f>
        <v>1197</v>
      </c>
      <c r="N335" s="184"/>
      <c r="O335" s="184"/>
      <c r="P335" s="184"/>
      <c r="Q335" s="184"/>
      <c r="R335" s="184">
        <f>Sheet1!P346</f>
        <v>8443</v>
      </c>
      <c r="S335" s="186"/>
      <c r="T335" s="184"/>
      <c r="U335" s="184"/>
      <c r="V335" s="184"/>
      <c r="W335" s="184"/>
      <c r="X335" s="184">
        <f>Sheet1!AS346</f>
        <v>760</v>
      </c>
      <c r="Y335" s="184">
        <f>Sheet1!AT346</f>
        <v>0.63500000000000001</v>
      </c>
      <c r="Z335" s="184"/>
      <c r="AA335" s="184"/>
      <c r="AB335" s="184"/>
      <c r="AC335" s="186"/>
      <c r="AD335" s="184"/>
      <c r="AE335" s="184"/>
      <c r="AF335" s="184"/>
      <c r="AG335" s="186"/>
      <c r="AH335" s="184"/>
      <c r="AI335" s="187"/>
      <c r="AJ335" s="191"/>
      <c r="AK335" s="191"/>
      <c r="AL335" s="191"/>
      <c r="AM335" s="191"/>
    </row>
    <row r="336" spans="2:39" x14ac:dyDescent="0.25">
      <c r="B336" s="193" t="str">
        <f>Sheet1!A347</f>
        <v>20220.1</v>
      </c>
      <c r="C336" s="183" t="str">
        <f>Sheet1!C347</f>
        <v>STERLING HILLS</v>
      </c>
      <c r="D336" s="183" t="str">
        <f>Sheet1!D347</f>
        <v>ELWOOD RD</v>
      </c>
      <c r="E336" s="183" t="str">
        <f>Sheet1!E347</f>
        <v>ELGIN BLVD/POWELL RD</v>
      </c>
      <c r="F336" s="184" t="str">
        <f>Sheet1!F347</f>
        <v>4D</v>
      </c>
      <c r="G336" s="184" t="str">
        <f>Sheet1!H347</f>
        <v>2U</v>
      </c>
      <c r="H336" s="185" t="str">
        <f>Sheet1!Z347</f>
        <v>D</v>
      </c>
      <c r="I336" s="185"/>
      <c r="J336" s="185"/>
      <c r="K336" s="185"/>
      <c r="L336" s="184"/>
      <c r="M336" s="184">
        <f>Sheet1!AI347</f>
        <v>0</v>
      </c>
      <c r="N336" s="184"/>
      <c r="O336" s="184"/>
      <c r="P336" s="184"/>
      <c r="Q336" s="184"/>
      <c r="R336" s="184" t="e">
        <f>Sheet1!P347</f>
        <v>#DIV/0!</v>
      </c>
      <c r="S336" s="186"/>
      <c r="T336" s="184"/>
      <c r="U336" s="184"/>
      <c r="V336" s="184"/>
      <c r="W336" s="184"/>
      <c r="X336" s="184" t="e">
        <f>Sheet1!AS347</f>
        <v>#DIV/0!</v>
      </c>
      <c r="Y336" s="184">
        <f>Sheet1!AT347</f>
        <v>0</v>
      </c>
      <c r="Z336" s="184"/>
      <c r="AA336" s="184"/>
      <c r="AB336" s="184"/>
      <c r="AC336" s="186"/>
      <c r="AD336" s="184"/>
      <c r="AE336" s="184"/>
      <c r="AF336" s="184"/>
      <c r="AG336" s="186"/>
      <c r="AH336" s="184"/>
      <c r="AI336" s="187"/>
      <c r="AJ336" s="191"/>
      <c r="AK336" s="191"/>
      <c r="AL336" s="191"/>
      <c r="AM336" s="191"/>
    </row>
    <row r="337" spans="2:39" x14ac:dyDescent="0.25">
      <c r="B337" s="193" t="str">
        <f>Sheet1!A348</f>
        <v>20240.1</v>
      </c>
      <c r="C337" s="183" t="str">
        <f>Sheet1!C348</f>
        <v>CORPORATE BLVD</v>
      </c>
      <c r="D337" s="183" t="str">
        <f>Sheet1!D348</f>
        <v>AYERS RD</v>
      </c>
      <c r="E337" s="183" t="str">
        <f>Sheet1!E348</f>
        <v>SGT LEA MILLS BLVD</v>
      </c>
      <c r="F337" s="184" t="str">
        <f>Sheet1!F348</f>
        <v>2U</v>
      </c>
      <c r="G337" s="184" t="str">
        <f>Sheet1!H348</f>
        <v>2U</v>
      </c>
      <c r="H337" s="185" t="str">
        <f>Sheet1!Z348</f>
        <v>D</v>
      </c>
      <c r="I337" s="185"/>
      <c r="J337" s="185"/>
      <c r="K337" s="185"/>
      <c r="L337" s="184"/>
      <c r="M337" s="184">
        <f>Sheet1!AI348</f>
        <v>1962</v>
      </c>
      <c r="N337" s="184"/>
      <c r="O337" s="184"/>
      <c r="P337" s="184"/>
      <c r="Q337" s="184"/>
      <c r="R337" s="184">
        <f>Sheet1!P348</f>
        <v>5845</v>
      </c>
      <c r="S337" s="186"/>
      <c r="T337" s="184"/>
      <c r="U337" s="184"/>
      <c r="V337" s="184"/>
      <c r="W337" s="184"/>
      <c r="X337" s="184">
        <f>Sheet1!AS348</f>
        <v>526</v>
      </c>
      <c r="Y337" s="184">
        <f>Sheet1!AT348</f>
        <v>0.26800000000000002</v>
      </c>
      <c r="Z337" s="184"/>
      <c r="AA337" s="184"/>
      <c r="AB337" s="184"/>
      <c r="AC337" s="186"/>
      <c r="AD337" s="184"/>
      <c r="AE337" s="184"/>
      <c r="AF337" s="184"/>
      <c r="AG337" s="186"/>
      <c r="AH337" s="184"/>
      <c r="AI337" s="187"/>
      <c r="AJ337" s="191"/>
      <c r="AK337" s="191"/>
      <c r="AL337" s="191"/>
      <c r="AM337" s="191"/>
    </row>
    <row r="338" spans="2:39" x14ac:dyDescent="0.25">
      <c r="B338" s="193" t="str">
        <f>Sheet1!A349</f>
        <v>20240.2</v>
      </c>
      <c r="C338" s="183" t="str">
        <f>Sheet1!C349</f>
        <v>CORPORATE BLVD</v>
      </c>
      <c r="D338" s="183" t="str">
        <f>Sheet1!D349</f>
        <v>SGT LEA MILLS BLVD</v>
      </c>
      <c r="E338" s="183" t="str">
        <f>Sheet1!E349</f>
        <v>N SUNCOAST PKWY (SR589)</v>
      </c>
      <c r="F338" s="184" t="str">
        <f>Sheet1!F349</f>
        <v>2U</v>
      </c>
      <c r="G338" s="184" t="str">
        <f>Sheet1!H349</f>
        <v>2U</v>
      </c>
      <c r="H338" s="185" t="str">
        <f>Sheet1!Z349</f>
        <v>D</v>
      </c>
      <c r="I338" s="185"/>
      <c r="J338" s="185"/>
      <c r="K338" s="185"/>
      <c r="L338" s="184"/>
      <c r="M338" s="184">
        <f>Sheet1!AI349</f>
        <v>1962</v>
      </c>
      <c r="N338" s="184"/>
      <c r="O338" s="184"/>
      <c r="P338" s="184"/>
      <c r="Q338" s="184"/>
      <c r="R338" s="184">
        <f>Sheet1!P349</f>
        <v>5845</v>
      </c>
      <c r="S338" s="186"/>
      <c r="T338" s="184"/>
      <c r="U338" s="184"/>
      <c r="V338" s="184"/>
      <c r="W338" s="184"/>
      <c r="X338" s="184">
        <f>Sheet1!AS349</f>
        <v>526</v>
      </c>
      <c r="Y338" s="184">
        <f>Sheet1!AT349</f>
        <v>0.26800000000000002</v>
      </c>
      <c r="Z338" s="184"/>
      <c r="AA338" s="184"/>
      <c r="AB338" s="184"/>
      <c r="AC338" s="186"/>
      <c r="AD338" s="184"/>
      <c r="AE338" s="184"/>
      <c r="AF338" s="184"/>
      <c r="AG338" s="186"/>
      <c r="AH338" s="184"/>
      <c r="AI338" s="187"/>
      <c r="AJ338" s="191"/>
      <c r="AK338" s="191"/>
      <c r="AL338" s="191"/>
      <c r="AM338" s="191"/>
    </row>
    <row r="339" spans="2:39" x14ac:dyDescent="0.25">
      <c r="B339" s="193" t="str">
        <f>Sheet1!A350</f>
        <v>20240.3</v>
      </c>
      <c r="C339" s="183" t="str">
        <f>Sheet1!C350</f>
        <v>CORPORATE BLVD</v>
      </c>
      <c r="D339" s="183" t="str">
        <f>Sheet1!D350</f>
        <v>N SUNCOAST PKWY (SR589)</v>
      </c>
      <c r="E339" s="183" t="str">
        <f>Sheet1!E350</f>
        <v>BREAD BLVD</v>
      </c>
      <c r="F339" s="184" t="str">
        <f>Sheet1!F350</f>
        <v>2U</v>
      </c>
      <c r="G339" s="184" t="str">
        <f>Sheet1!H350</f>
        <v>2U</v>
      </c>
      <c r="H339" s="185" t="str">
        <f>Sheet1!Z350</f>
        <v>D</v>
      </c>
      <c r="I339" s="185"/>
      <c r="J339" s="185"/>
      <c r="K339" s="185"/>
      <c r="L339" s="184"/>
      <c r="M339" s="184">
        <f>Sheet1!AI350</f>
        <v>1962</v>
      </c>
      <c r="N339" s="184"/>
      <c r="O339" s="184"/>
      <c r="P339" s="184"/>
      <c r="Q339" s="184"/>
      <c r="R339" s="184">
        <f>Sheet1!P350</f>
        <v>5845</v>
      </c>
      <c r="S339" s="186"/>
      <c r="T339" s="184"/>
      <c r="U339" s="184"/>
      <c r="V339" s="184"/>
      <c r="W339" s="184"/>
      <c r="X339" s="184">
        <f>Sheet1!AS350</f>
        <v>526</v>
      </c>
      <c r="Y339" s="184">
        <f>Sheet1!AT350</f>
        <v>0.26800000000000002</v>
      </c>
      <c r="Z339" s="184"/>
      <c r="AA339" s="184"/>
      <c r="AB339" s="184"/>
      <c r="AC339" s="186"/>
      <c r="AD339" s="184"/>
      <c r="AE339" s="184"/>
      <c r="AF339" s="184"/>
      <c r="AG339" s="186"/>
      <c r="AH339" s="184"/>
      <c r="AI339" s="187"/>
      <c r="AJ339" s="191"/>
      <c r="AK339" s="191"/>
      <c r="AL339" s="191"/>
      <c r="AM339" s="191"/>
    </row>
    <row r="340" spans="2:39" x14ac:dyDescent="0.25">
      <c r="B340" s="193" t="str">
        <f>Sheet1!A351</f>
        <v>20230</v>
      </c>
      <c r="C340" s="183" t="str">
        <f>Sheet1!C351</f>
        <v>BREDA BLVD</v>
      </c>
      <c r="D340" s="183" t="str">
        <f>Sheet1!D351</f>
        <v>ANDERSON SNOW RD</v>
      </c>
      <c r="E340" s="183" t="str">
        <f>Sheet1!E351</f>
        <v>CORPORATE BLVD</v>
      </c>
      <c r="F340" s="184" t="str">
        <f>Sheet1!F351</f>
        <v>2U</v>
      </c>
      <c r="G340" s="184" t="str">
        <f>Sheet1!H351</f>
        <v>2U</v>
      </c>
      <c r="H340" s="185" t="str">
        <f>Sheet1!Z351</f>
        <v>D</v>
      </c>
      <c r="I340" s="185"/>
      <c r="J340" s="185"/>
      <c r="K340" s="185"/>
      <c r="L340" s="184"/>
      <c r="M340" s="184">
        <f>Sheet1!AI351</f>
        <v>1962</v>
      </c>
      <c r="N340" s="184"/>
      <c r="O340" s="184"/>
      <c r="P340" s="184"/>
      <c r="Q340" s="184"/>
      <c r="R340" s="184">
        <f>Sheet1!P351</f>
        <v>4763</v>
      </c>
      <c r="S340" s="186"/>
      <c r="T340" s="184"/>
      <c r="U340" s="184"/>
      <c r="V340" s="184"/>
      <c r="W340" s="184"/>
      <c r="X340" s="184">
        <f>Sheet1!AS351</f>
        <v>429</v>
      </c>
      <c r="Y340" s="184">
        <f>Sheet1!AT351</f>
        <v>0.219</v>
      </c>
      <c r="Z340" s="184"/>
      <c r="AA340" s="184"/>
      <c r="AB340" s="184"/>
      <c r="AC340" s="186"/>
      <c r="AD340" s="184"/>
      <c r="AE340" s="184"/>
      <c r="AF340" s="184"/>
      <c r="AG340" s="186"/>
      <c r="AH340" s="184"/>
      <c r="AI340" s="187"/>
      <c r="AJ340" s="191"/>
      <c r="AK340" s="191"/>
      <c r="AL340" s="191"/>
      <c r="AM340" s="191"/>
    </row>
    <row r="341" spans="2:39" x14ac:dyDescent="0.25">
      <c r="B341" s="193" t="str">
        <f>Sheet1!A352</f>
        <v>20250</v>
      </c>
      <c r="C341" s="183" t="str">
        <f>Sheet1!C352</f>
        <v>SGT. LEA MILLS BLVD</v>
      </c>
      <c r="D341" s="183" t="str">
        <f>Sheet1!D352</f>
        <v>CORPORATE BLVD</v>
      </c>
      <c r="E341" s="183" t="str">
        <f>Sheet1!E352</f>
        <v>BROAD ST (US41/SR45)</v>
      </c>
      <c r="F341" s="184" t="str">
        <f>Sheet1!F352</f>
        <v>2U</v>
      </c>
      <c r="G341" s="184" t="str">
        <f>Sheet1!H352</f>
        <v>2U</v>
      </c>
      <c r="H341" s="185" t="str">
        <f>Sheet1!Z352</f>
        <v>D</v>
      </c>
      <c r="I341" s="185"/>
      <c r="J341" s="185"/>
      <c r="K341" s="185"/>
      <c r="L341" s="184"/>
      <c r="M341" s="184">
        <f>Sheet1!AI352</f>
        <v>1962</v>
      </c>
      <c r="N341" s="184"/>
      <c r="O341" s="184"/>
      <c r="P341" s="184"/>
      <c r="Q341" s="184"/>
      <c r="R341" s="184" t="e">
        <f>Sheet1!P352</f>
        <v>#DIV/0!</v>
      </c>
      <c r="S341" s="186"/>
      <c r="T341" s="184"/>
      <c r="U341" s="184"/>
      <c r="V341" s="184"/>
      <c r="W341" s="184"/>
      <c r="X341" s="184" t="e">
        <f>Sheet1!AS352</f>
        <v>#DIV/0!</v>
      </c>
      <c r="Y341" s="184" t="e">
        <f>Sheet1!AT352</f>
        <v>#DIV/0!</v>
      </c>
      <c r="Z341" s="184"/>
      <c r="AA341" s="184"/>
      <c r="AB341" s="184"/>
      <c r="AC341" s="186"/>
      <c r="AD341" s="184"/>
      <c r="AE341" s="184"/>
      <c r="AF341" s="184"/>
      <c r="AG341" s="186"/>
      <c r="AH341" s="184"/>
      <c r="AI341" s="187"/>
      <c r="AJ341" s="191"/>
      <c r="AK341" s="191"/>
      <c r="AL341" s="191"/>
      <c r="AM341" s="191"/>
    </row>
    <row r="342" spans="2:39" x14ac:dyDescent="0.25">
      <c r="B342" s="193" t="str">
        <f>Sheet1!A353</f>
        <v>20290.2</v>
      </c>
      <c r="C342" s="183" t="str">
        <f>Sheet1!C353</f>
        <v>HORSE LAKE RD</v>
      </c>
      <c r="D342" s="183" t="str">
        <f>Sheet1!D353</f>
        <v>WISCON RD</v>
      </c>
      <c r="E342" s="183" t="str">
        <f>Sheet1!E353</f>
        <v>CORTEZ BLVD BYPASS (SR50)</v>
      </c>
      <c r="F342" s="184" t="str">
        <f>Sheet1!F353</f>
        <v>2U</v>
      </c>
      <c r="G342" s="184" t="str">
        <f>Sheet1!H353</f>
        <v>2U</v>
      </c>
      <c r="H342" s="185" t="str">
        <f>Sheet1!Z353</f>
        <v>D</v>
      </c>
      <c r="I342" s="185"/>
      <c r="J342" s="185"/>
      <c r="K342" s="185"/>
      <c r="L342" s="184"/>
      <c r="M342" s="184">
        <f>Sheet1!AI353</f>
        <v>1962</v>
      </c>
      <c r="N342" s="184"/>
      <c r="O342" s="184"/>
      <c r="P342" s="184"/>
      <c r="Q342" s="184"/>
      <c r="R342" s="184">
        <f>Sheet1!P353</f>
        <v>1617</v>
      </c>
      <c r="S342" s="186"/>
      <c r="T342" s="184"/>
      <c r="U342" s="184"/>
      <c r="V342" s="184"/>
      <c r="W342" s="184"/>
      <c r="X342" s="184">
        <f>Sheet1!AS353</f>
        <v>145</v>
      </c>
      <c r="Y342" s="184">
        <f>Sheet1!AT353</f>
        <v>7.3999999999999996E-2</v>
      </c>
      <c r="Z342" s="184"/>
      <c r="AA342" s="184"/>
      <c r="AB342" s="184"/>
      <c r="AC342" s="186"/>
      <c r="AD342" s="184"/>
      <c r="AE342" s="184"/>
      <c r="AF342" s="184"/>
      <c r="AG342" s="186"/>
      <c r="AH342" s="184"/>
      <c r="AI342" s="187"/>
      <c r="AJ342" s="191"/>
      <c r="AK342" s="191"/>
      <c r="AL342" s="191"/>
      <c r="AM342" s="191"/>
    </row>
    <row r="343" spans="2:39" x14ac:dyDescent="0.25">
      <c r="B343" s="193" t="str">
        <f>Sheet1!A354</f>
        <v>20300.1</v>
      </c>
      <c r="C343" s="183" t="str">
        <f>Sheet1!C354</f>
        <v>HOSPITAL BLVD</v>
      </c>
      <c r="D343" s="183" t="str">
        <f>Sheet1!D354</f>
        <v>WISCON RD</v>
      </c>
      <c r="E343" s="183" t="str">
        <f>Sheet1!E354</f>
        <v>CORTEZ BLVD (SR50)</v>
      </c>
      <c r="F343" s="184" t="str">
        <f>Sheet1!F354</f>
        <v>2U</v>
      </c>
      <c r="G343" s="184" t="str">
        <f>Sheet1!H354</f>
        <v>2U</v>
      </c>
      <c r="H343" s="185" t="str">
        <f>Sheet1!Z354</f>
        <v>D</v>
      </c>
      <c r="I343" s="185"/>
      <c r="J343" s="185"/>
      <c r="K343" s="185"/>
      <c r="L343" s="184"/>
      <c r="M343" s="184">
        <f>Sheet1!AI354</f>
        <v>1962</v>
      </c>
      <c r="N343" s="184"/>
      <c r="O343" s="184"/>
      <c r="P343" s="184"/>
      <c r="Q343" s="184"/>
      <c r="R343" s="184" t="e">
        <f>Sheet1!P354</f>
        <v>#DIV/0!</v>
      </c>
      <c r="S343" s="186"/>
      <c r="T343" s="184"/>
      <c r="U343" s="184"/>
      <c r="V343" s="184"/>
      <c r="W343" s="184"/>
      <c r="X343" s="184" t="e">
        <f>Sheet1!AS354</f>
        <v>#DIV/0!</v>
      </c>
      <c r="Y343" s="184" t="e">
        <f>Sheet1!AT354</f>
        <v>#DIV/0!</v>
      </c>
      <c r="Z343" s="184"/>
      <c r="AA343" s="184"/>
      <c r="AB343" s="184"/>
      <c r="AC343" s="186"/>
      <c r="AD343" s="184"/>
      <c r="AE343" s="184"/>
      <c r="AF343" s="184"/>
      <c r="AG343" s="186"/>
      <c r="AH343" s="184"/>
      <c r="AI343" s="187"/>
      <c r="AJ343" s="191"/>
      <c r="AK343" s="191"/>
      <c r="AL343" s="191"/>
      <c r="AM343" s="191"/>
    </row>
    <row r="344" spans="2:39" x14ac:dyDescent="0.25">
      <c r="B344" s="193" t="str">
        <f>Sheet1!A355</f>
        <v>20360.1</v>
      </c>
      <c r="C344" s="183" t="str">
        <f>Sheet1!C355</f>
        <v>WEEPING WILLOW ST</v>
      </c>
      <c r="D344" s="183" t="str">
        <f>Sheet1!D355</f>
        <v>CORTEZ BLVD (SR50)</v>
      </c>
      <c r="E344" s="183" t="str">
        <f>Sheet1!E355</f>
        <v>JACQUELINE RD</v>
      </c>
      <c r="F344" s="184" t="str">
        <f>Sheet1!F355</f>
        <v>2U</v>
      </c>
      <c r="G344" s="184" t="str">
        <f>Sheet1!H355</f>
        <v>2U</v>
      </c>
      <c r="H344" s="185" t="str">
        <f>Sheet1!Z355</f>
        <v>D</v>
      </c>
      <c r="I344" s="185"/>
      <c r="J344" s="185"/>
      <c r="K344" s="185"/>
      <c r="L344" s="184"/>
      <c r="M344" s="184">
        <f>Sheet1!AI355</f>
        <v>1962</v>
      </c>
      <c r="N344" s="184"/>
      <c r="O344" s="184"/>
      <c r="P344" s="184"/>
      <c r="Q344" s="184"/>
      <c r="R344" s="184">
        <f>Sheet1!P355</f>
        <v>3440</v>
      </c>
      <c r="S344" s="186"/>
      <c r="T344" s="184"/>
      <c r="U344" s="184"/>
      <c r="V344" s="184"/>
      <c r="W344" s="184"/>
      <c r="X344" s="184">
        <f>Sheet1!AS355</f>
        <v>310</v>
      </c>
      <c r="Y344" s="184">
        <f>Sheet1!AT355</f>
        <v>0.158</v>
      </c>
      <c r="Z344" s="184"/>
      <c r="AA344" s="184"/>
      <c r="AB344" s="184"/>
      <c r="AC344" s="186"/>
      <c r="AD344" s="184"/>
      <c r="AE344" s="184"/>
      <c r="AF344" s="184"/>
      <c r="AG344" s="186"/>
      <c r="AH344" s="184"/>
      <c r="AI344" s="187"/>
      <c r="AJ344" s="191"/>
      <c r="AK344" s="191"/>
      <c r="AL344" s="191"/>
      <c r="AM344" s="191"/>
    </row>
    <row r="345" spans="2:39" x14ac:dyDescent="0.25">
      <c r="B345" s="193" t="str">
        <f>Sheet1!A356</f>
        <v>20360.2</v>
      </c>
      <c r="C345" s="183" t="str">
        <f>Sheet1!C356</f>
        <v>WEEPING WILLOW ST</v>
      </c>
      <c r="D345" s="183" t="str">
        <f>Sheet1!D356</f>
        <v>JACQUELINE RD</v>
      </c>
      <c r="E345" s="183" t="str">
        <f>Sheet1!E356</f>
        <v>MONTOUR ST</v>
      </c>
      <c r="F345" s="184" t="str">
        <f>Sheet1!F356</f>
        <v>2U</v>
      </c>
      <c r="G345" s="184" t="str">
        <f>Sheet1!H356</f>
        <v>2U</v>
      </c>
      <c r="H345" s="185" t="str">
        <f>Sheet1!Z356</f>
        <v>D</v>
      </c>
      <c r="I345" s="185"/>
      <c r="J345" s="185"/>
      <c r="K345" s="185"/>
      <c r="L345" s="184"/>
      <c r="M345" s="184">
        <f>Sheet1!AI356</f>
        <v>1962</v>
      </c>
      <c r="N345" s="184"/>
      <c r="O345" s="184"/>
      <c r="P345" s="184"/>
      <c r="Q345" s="184"/>
      <c r="R345" s="184">
        <f>Sheet1!P356</f>
        <v>3440</v>
      </c>
      <c r="S345" s="186"/>
      <c r="T345" s="184"/>
      <c r="U345" s="184"/>
      <c r="V345" s="184"/>
      <c r="W345" s="184"/>
      <c r="X345" s="184">
        <f>Sheet1!AS356</f>
        <v>310</v>
      </c>
      <c r="Y345" s="184">
        <f>Sheet1!AT356</f>
        <v>0.158</v>
      </c>
      <c r="Z345" s="184"/>
      <c r="AA345" s="184"/>
      <c r="AB345" s="184"/>
      <c r="AC345" s="186"/>
      <c r="AD345" s="184"/>
      <c r="AE345" s="184"/>
      <c r="AF345" s="184"/>
      <c r="AG345" s="186"/>
      <c r="AH345" s="184"/>
      <c r="AI345" s="187"/>
      <c r="AJ345" s="191"/>
      <c r="AK345" s="191"/>
      <c r="AL345" s="191"/>
      <c r="AM345" s="191"/>
    </row>
    <row r="346" spans="2:39" x14ac:dyDescent="0.25">
      <c r="B346" s="193" t="str">
        <f>Sheet1!A357</f>
        <v>20360.3</v>
      </c>
      <c r="C346" s="183" t="str">
        <f>Sheet1!C357</f>
        <v>WEEPING WILLOW ST</v>
      </c>
      <c r="D346" s="183" t="str">
        <f>Sheet1!D357</f>
        <v>MONTOUR ST</v>
      </c>
      <c r="E346" s="183" t="str">
        <f>Sheet1!E357</f>
        <v>STAR RD</v>
      </c>
      <c r="F346" s="184" t="str">
        <f>Sheet1!F357</f>
        <v>2U</v>
      </c>
      <c r="G346" s="184" t="str">
        <f>Sheet1!H357</f>
        <v>2U</v>
      </c>
      <c r="H346" s="185" t="str">
        <f>Sheet1!Z357</f>
        <v>D</v>
      </c>
      <c r="I346" s="185"/>
      <c r="J346" s="185"/>
      <c r="K346" s="185"/>
      <c r="L346" s="184"/>
      <c r="M346" s="184">
        <f>Sheet1!AI357</f>
        <v>1962</v>
      </c>
      <c r="N346" s="184"/>
      <c r="O346" s="184"/>
      <c r="P346" s="184"/>
      <c r="Q346" s="184"/>
      <c r="R346" s="184">
        <f>Sheet1!P357</f>
        <v>3440</v>
      </c>
      <c r="S346" s="186"/>
      <c r="T346" s="184"/>
      <c r="U346" s="184"/>
      <c r="V346" s="184"/>
      <c r="W346" s="184"/>
      <c r="X346" s="184">
        <f>Sheet1!AS357</f>
        <v>310</v>
      </c>
      <c r="Y346" s="184">
        <f>Sheet1!AT357</f>
        <v>0.158</v>
      </c>
      <c r="Z346" s="184"/>
      <c r="AA346" s="184"/>
      <c r="AB346" s="184"/>
      <c r="AC346" s="186"/>
      <c r="AD346" s="184"/>
      <c r="AE346" s="184"/>
      <c r="AF346" s="184"/>
      <c r="AG346" s="186"/>
      <c r="AH346" s="184"/>
      <c r="AI346" s="187"/>
      <c r="AJ346" s="191"/>
      <c r="AK346" s="191"/>
      <c r="AL346" s="191"/>
      <c r="AM346" s="191"/>
    </row>
    <row r="347" spans="2:39" x14ac:dyDescent="0.25">
      <c r="B347" s="193" t="str">
        <f>Sheet1!A358</f>
        <v>20365.1</v>
      </c>
      <c r="C347" s="183" t="str">
        <f>Sheet1!C358</f>
        <v>WEEPING WILLOW ST</v>
      </c>
      <c r="D347" s="183" t="str">
        <f>Sheet1!D358</f>
        <v>STAR RD</v>
      </c>
      <c r="E347" s="183" t="str">
        <f>Sheet1!E358</f>
        <v>BOURASSA BLVD</v>
      </c>
      <c r="F347" s="184" t="str">
        <f>Sheet1!F358</f>
        <v>2U</v>
      </c>
      <c r="G347" s="184" t="str">
        <f>Sheet1!H358</f>
        <v>4D</v>
      </c>
      <c r="H347" s="185" t="str">
        <f>Sheet1!Z358</f>
        <v>D</v>
      </c>
      <c r="I347" s="185"/>
      <c r="J347" s="185"/>
      <c r="K347" s="185"/>
      <c r="L347" s="184"/>
      <c r="M347" s="184">
        <f>Sheet1!AI358</f>
        <v>1962</v>
      </c>
      <c r="N347" s="184"/>
      <c r="O347" s="184"/>
      <c r="P347" s="184"/>
      <c r="Q347" s="184"/>
      <c r="R347" s="184">
        <f>Sheet1!P358</f>
        <v>3440</v>
      </c>
      <c r="S347" s="186"/>
      <c r="T347" s="184"/>
      <c r="U347" s="184"/>
      <c r="V347" s="184"/>
      <c r="W347" s="184"/>
      <c r="X347" s="184">
        <f>Sheet1!AS358</f>
        <v>310</v>
      </c>
      <c r="Y347" s="184">
        <f>Sheet1!AT358</f>
        <v>0.158</v>
      </c>
      <c r="Z347" s="184"/>
      <c r="AA347" s="184"/>
      <c r="AB347" s="184"/>
      <c r="AC347" s="186"/>
      <c r="AD347" s="184"/>
      <c r="AE347" s="184"/>
      <c r="AF347" s="184"/>
      <c r="AG347" s="186"/>
      <c r="AH347" s="184"/>
      <c r="AI347" s="187"/>
      <c r="AJ347" s="191"/>
      <c r="AK347" s="191"/>
      <c r="AL347" s="191"/>
      <c r="AM347" s="191"/>
    </row>
    <row r="348" spans="2:39" x14ac:dyDescent="0.25">
      <c r="B348" s="193" t="str">
        <f>Sheet1!A359</f>
        <v>20365.2</v>
      </c>
      <c r="C348" s="183" t="str">
        <f>Sheet1!C359</f>
        <v>WEEPING WILLOW ST</v>
      </c>
      <c r="D348" s="183" t="str">
        <f>Sheet1!D359</f>
        <v>BOURASSA BLVD</v>
      </c>
      <c r="E348" s="183" t="str">
        <f>Sheet1!E359</f>
        <v>HEXAM RD</v>
      </c>
      <c r="F348" s="184" t="str">
        <f>Sheet1!F359</f>
        <v>2U</v>
      </c>
      <c r="G348" s="184" t="str">
        <f>Sheet1!H359</f>
        <v>6D</v>
      </c>
      <c r="H348" s="185" t="str">
        <f>Sheet1!Z359</f>
        <v>D</v>
      </c>
      <c r="I348" s="185"/>
      <c r="J348" s="185"/>
      <c r="K348" s="185"/>
      <c r="L348" s="184"/>
      <c r="M348" s="184">
        <f>Sheet1!AI359</f>
        <v>1962</v>
      </c>
      <c r="N348" s="184"/>
      <c r="O348" s="184"/>
      <c r="P348" s="184"/>
      <c r="Q348" s="184"/>
      <c r="R348" s="184">
        <f>Sheet1!P359</f>
        <v>3440</v>
      </c>
      <c r="S348" s="186"/>
      <c r="T348" s="184"/>
      <c r="U348" s="184"/>
      <c r="V348" s="184"/>
      <c r="W348" s="184"/>
      <c r="X348" s="184">
        <f>Sheet1!AS359</f>
        <v>310</v>
      </c>
      <c r="Y348" s="184">
        <f>Sheet1!AT359</f>
        <v>0.158</v>
      </c>
      <c r="Z348" s="184"/>
      <c r="AA348" s="184"/>
      <c r="AB348" s="184"/>
      <c r="AC348" s="186"/>
      <c r="AD348" s="184"/>
      <c r="AE348" s="184"/>
      <c r="AF348" s="184"/>
      <c r="AG348" s="186"/>
      <c r="AH348" s="184"/>
      <c r="AI348" s="187"/>
      <c r="AJ348" s="191"/>
      <c r="AK348" s="191"/>
      <c r="AL348" s="191"/>
      <c r="AM348" s="191"/>
    </row>
    <row r="349" spans="2:39" x14ac:dyDescent="0.25">
      <c r="B349" s="193" t="str">
        <f>Sheet1!A360</f>
        <v>20390.1</v>
      </c>
      <c r="C349" s="183" t="str">
        <f>Sheet1!C360</f>
        <v>IRVING ST</v>
      </c>
      <c r="D349" s="183" t="str">
        <f>Sheet1!D360</f>
        <v>SUNSHINE GROVE RD</v>
      </c>
      <c r="E349" s="183" t="str">
        <f>Sheet1!E360</f>
        <v>BARCLAY RD</v>
      </c>
      <c r="F349" s="184" t="str">
        <f>Sheet1!F360</f>
        <v>2U</v>
      </c>
      <c r="G349" s="184" t="str">
        <f>Sheet1!H360</f>
        <v>4D</v>
      </c>
      <c r="H349" s="185" t="str">
        <f>Sheet1!Z360</f>
        <v>D</v>
      </c>
      <c r="I349" s="185"/>
      <c r="J349" s="185"/>
      <c r="K349" s="185"/>
      <c r="L349" s="184"/>
      <c r="M349" s="184">
        <f>Sheet1!AI360</f>
        <v>0</v>
      </c>
      <c r="N349" s="184"/>
      <c r="O349" s="184"/>
      <c r="P349" s="184"/>
      <c r="Q349" s="184"/>
      <c r="R349" s="184" t="e">
        <f>Sheet1!P360</f>
        <v>#DIV/0!</v>
      </c>
      <c r="S349" s="186"/>
      <c r="T349" s="184"/>
      <c r="U349" s="184"/>
      <c r="V349" s="184"/>
      <c r="W349" s="184"/>
      <c r="X349" s="184" t="e">
        <f>Sheet1!AS360</f>
        <v>#DIV/0!</v>
      </c>
      <c r="Y349" s="184">
        <f>Sheet1!AT360</f>
        <v>0</v>
      </c>
      <c r="Z349" s="184"/>
      <c r="AA349" s="184"/>
      <c r="AB349" s="184"/>
      <c r="AC349" s="186"/>
      <c r="AD349" s="184"/>
      <c r="AE349" s="184"/>
      <c r="AF349" s="184"/>
      <c r="AG349" s="186"/>
      <c r="AH349" s="184"/>
      <c r="AI349" s="187"/>
      <c r="AJ349" s="191"/>
      <c r="AK349" s="191"/>
      <c r="AL349" s="191"/>
      <c r="AM349" s="191"/>
    </row>
    <row r="350" spans="2:39" x14ac:dyDescent="0.25">
      <c r="B350" s="193" t="str">
        <f>Sheet1!A361</f>
        <v>20390.2</v>
      </c>
      <c r="C350" s="183" t="str">
        <f>Sheet1!C361</f>
        <v>IRVING ST</v>
      </c>
      <c r="D350" s="183" t="str">
        <f>Sheet1!D361</f>
        <v>BARCLAY RD</v>
      </c>
      <c r="E350" s="183" t="str">
        <f>Sheet1!E361</f>
        <v>HIGHFIELD RD</v>
      </c>
      <c r="F350" s="184" t="str">
        <f>Sheet1!F361</f>
        <v>2U</v>
      </c>
      <c r="G350" s="184" t="str">
        <f>Sheet1!H361</f>
        <v>4D</v>
      </c>
      <c r="H350" s="185" t="str">
        <f>Sheet1!Z361</f>
        <v>D</v>
      </c>
      <c r="I350" s="185"/>
      <c r="J350" s="185"/>
      <c r="K350" s="185"/>
      <c r="L350" s="184"/>
      <c r="M350" s="184">
        <f>Sheet1!AI361</f>
        <v>0</v>
      </c>
      <c r="N350" s="184"/>
      <c r="O350" s="184"/>
      <c r="P350" s="184"/>
      <c r="Q350" s="184"/>
      <c r="R350" s="184" t="e">
        <f>Sheet1!P361</f>
        <v>#DIV/0!</v>
      </c>
      <c r="S350" s="186"/>
      <c r="T350" s="184"/>
      <c r="U350" s="184"/>
      <c r="V350" s="184"/>
      <c r="W350" s="184"/>
      <c r="X350" s="184" t="e">
        <f>Sheet1!AS361</f>
        <v>#DIV/0!</v>
      </c>
      <c r="Y350" s="184">
        <f>Sheet1!AT361</f>
        <v>0</v>
      </c>
      <c r="Z350" s="184"/>
      <c r="AA350" s="184"/>
      <c r="AB350" s="184"/>
      <c r="AC350" s="186"/>
      <c r="AD350" s="184"/>
      <c r="AE350" s="184"/>
      <c r="AF350" s="184"/>
      <c r="AG350" s="186"/>
      <c r="AH350" s="184"/>
      <c r="AI350" s="187"/>
      <c r="AJ350" s="191"/>
      <c r="AK350" s="191"/>
      <c r="AL350" s="191"/>
      <c r="AM350" s="191"/>
    </row>
    <row r="351" spans="2:39" x14ac:dyDescent="0.25">
      <c r="B351" s="193" t="str">
        <f>Sheet1!A362</f>
        <v>20400.1</v>
      </c>
      <c r="C351" s="183" t="str">
        <f>Sheet1!C362</f>
        <v>HIGHFIELD RD</v>
      </c>
      <c r="D351" s="183" t="str">
        <f>Sheet1!D362</f>
        <v>IRVING ST</v>
      </c>
      <c r="E351" s="183" t="str">
        <f>Sheet1!E362</f>
        <v>N SUNCOAST PKWY (SR589)</v>
      </c>
      <c r="F351" s="184" t="str">
        <f>Sheet1!F362</f>
        <v>2U</v>
      </c>
      <c r="G351" s="184" t="str">
        <f>Sheet1!H362</f>
        <v>6D</v>
      </c>
      <c r="H351" s="185" t="str">
        <f>Sheet1!Z362</f>
        <v>D</v>
      </c>
      <c r="I351" s="185"/>
      <c r="J351" s="185"/>
      <c r="K351" s="185"/>
      <c r="L351" s="184"/>
      <c r="M351" s="184">
        <f>Sheet1!AI362</f>
        <v>0</v>
      </c>
      <c r="N351" s="184"/>
      <c r="O351" s="184"/>
      <c r="P351" s="184"/>
      <c r="Q351" s="184"/>
      <c r="R351" s="184" t="e">
        <f>Sheet1!P362</f>
        <v>#DIV/0!</v>
      </c>
      <c r="S351" s="186"/>
      <c r="T351" s="184"/>
      <c r="U351" s="184"/>
      <c r="V351" s="184"/>
      <c r="W351" s="184"/>
      <c r="X351" s="184" t="e">
        <f>Sheet1!AS362</f>
        <v>#DIV/0!</v>
      </c>
      <c r="Y351" s="184">
        <f>Sheet1!AT362</f>
        <v>0</v>
      </c>
      <c r="Z351" s="184"/>
      <c r="AA351" s="184"/>
      <c r="AB351" s="184"/>
      <c r="AC351" s="186"/>
      <c r="AD351" s="184"/>
      <c r="AE351" s="184"/>
      <c r="AF351" s="184"/>
      <c r="AG351" s="186"/>
      <c r="AH351" s="184"/>
      <c r="AI351" s="187"/>
      <c r="AJ351" s="191"/>
      <c r="AK351" s="191"/>
      <c r="AL351" s="191"/>
      <c r="AM351" s="191"/>
    </row>
    <row r="352" spans="2:39" x14ac:dyDescent="0.25">
      <c r="B352" s="193" t="str">
        <f>Sheet1!A363</f>
        <v>20400.3</v>
      </c>
      <c r="C352" s="183" t="str">
        <f>Sheet1!C363</f>
        <v>HIGHFIELD RD</v>
      </c>
      <c r="D352" s="183" t="str">
        <f>Sheet1!D363</f>
        <v>N SUNCOAST PKWY (SR589)</v>
      </c>
      <c r="E352" s="183" t="str">
        <f>Sheet1!E363</f>
        <v>ARIZONA ST</v>
      </c>
      <c r="F352" s="184" t="str">
        <f>Sheet1!F363</f>
        <v>2U</v>
      </c>
      <c r="G352" s="184" t="str">
        <f>Sheet1!H363</f>
        <v>2U</v>
      </c>
      <c r="H352" s="185" t="str">
        <f>Sheet1!Z363</f>
        <v>D</v>
      </c>
      <c r="I352" s="185"/>
      <c r="J352" s="185"/>
      <c r="K352" s="185"/>
      <c r="L352" s="184"/>
      <c r="M352" s="184">
        <f>Sheet1!AI363</f>
        <v>0</v>
      </c>
      <c r="N352" s="184"/>
      <c r="O352" s="184"/>
      <c r="P352" s="184"/>
      <c r="Q352" s="184"/>
      <c r="R352" s="184" t="e">
        <f>Sheet1!P363</f>
        <v>#DIV/0!</v>
      </c>
      <c r="S352" s="186"/>
      <c r="T352" s="184"/>
      <c r="U352" s="184"/>
      <c r="V352" s="184"/>
      <c r="W352" s="184"/>
      <c r="X352" s="184" t="e">
        <f>Sheet1!AS363</f>
        <v>#DIV/0!</v>
      </c>
      <c r="Y352" s="184">
        <f>Sheet1!AT363</f>
        <v>0</v>
      </c>
      <c r="Z352" s="184"/>
      <c r="AA352" s="184"/>
      <c r="AB352" s="184"/>
      <c r="AC352" s="186"/>
      <c r="AD352" s="184"/>
      <c r="AE352" s="184"/>
      <c r="AF352" s="184"/>
      <c r="AG352" s="186"/>
      <c r="AH352" s="184"/>
      <c r="AI352" s="187"/>
      <c r="AJ352" s="191"/>
      <c r="AK352" s="191"/>
      <c r="AL352" s="191"/>
      <c r="AM352" s="191"/>
    </row>
    <row r="353" spans="2:39" x14ac:dyDescent="0.25">
      <c r="B353" s="193" t="str">
        <f>Sheet1!A364</f>
        <v>20400.4</v>
      </c>
      <c r="C353" s="183" t="str">
        <f>Sheet1!C364</f>
        <v>HIGHFIELD RD</v>
      </c>
      <c r="D353" s="183" t="str">
        <f>Sheet1!D364</f>
        <v>ARIZONA ST</v>
      </c>
      <c r="E353" s="183" t="str">
        <f>Sheet1!E364</f>
        <v>CALIFORNIA ST</v>
      </c>
      <c r="F353" s="184" t="str">
        <f>Sheet1!F364</f>
        <v>2U</v>
      </c>
      <c r="G353" s="184" t="str">
        <f>Sheet1!H364</f>
        <v>2U</v>
      </c>
      <c r="H353" s="185" t="str">
        <f>Sheet1!Z364</f>
        <v>D</v>
      </c>
      <c r="I353" s="185"/>
      <c r="J353" s="185"/>
      <c r="K353" s="185"/>
      <c r="L353" s="184"/>
      <c r="M353" s="184">
        <f>Sheet1!AI364</f>
        <v>0</v>
      </c>
      <c r="N353" s="184"/>
      <c r="O353" s="184"/>
      <c r="P353" s="184"/>
      <c r="Q353" s="184"/>
      <c r="R353" s="184" t="e">
        <f>Sheet1!P364</f>
        <v>#DIV/0!</v>
      </c>
      <c r="S353" s="186"/>
      <c r="T353" s="184"/>
      <c r="U353" s="184"/>
      <c r="V353" s="184"/>
      <c r="W353" s="184"/>
      <c r="X353" s="184" t="e">
        <f>Sheet1!AS364</f>
        <v>#DIV/0!</v>
      </c>
      <c r="Y353" s="184">
        <f>Sheet1!AT364</f>
        <v>0</v>
      </c>
      <c r="Z353" s="184"/>
      <c r="AA353" s="184"/>
      <c r="AB353" s="184"/>
      <c r="AC353" s="186"/>
      <c r="AD353" s="184"/>
      <c r="AE353" s="184"/>
      <c r="AF353" s="184"/>
      <c r="AG353" s="186"/>
      <c r="AH353" s="184"/>
      <c r="AI353" s="187"/>
      <c r="AJ353" s="191"/>
      <c r="AK353" s="191"/>
      <c r="AL353" s="191"/>
      <c r="AM353" s="191"/>
    </row>
    <row r="354" spans="2:39" x14ac:dyDescent="0.25">
      <c r="B354" s="193" t="str">
        <f>Sheet1!A365</f>
        <v>20420.1</v>
      </c>
      <c r="C354" s="183" t="str">
        <f>Sheet1!C365</f>
        <v>JACQUELINE RD</v>
      </c>
      <c r="D354" s="183" t="str">
        <f>Sheet1!D365</f>
        <v>WEEPING WILLOW ST</v>
      </c>
      <c r="E354" s="183" t="str">
        <f>Sheet1!E365</f>
        <v>MARINER BLVD (CR587)</v>
      </c>
      <c r="F354" s="184" t="str">
        <f>Sheet1!F365</f>
        <v>2U</v>
      </c>
      <c r="G354" s="184" t="str">
        <f>Sheet1!H365</f>
        <v>2U</v>
      </c>
      <c r="H354" s="185" t="str">
        <f>Sheet1!Z365</f>
        <v>D</v>
      </c>
      <c r="I354" s="185"/>
      <c r="J354" s="185"/>
      <c r="K354" s="185"/>
      <c r="L354" s="184"/>
      <c r="M354" s="184">
        <f>Sheet1!AI365</f>
        <v>1962</v>
      </c>
      <c r="N354" s="184"/>
      <c r="O354" s="184"/>
      <c r="P354" s="184"/>
      <c r="Q354" s="184"/>
      <c r="R354" s="184">
        <f>Sheet1!P365</f>
        <v>2742</v>
      </c>
      <c r="S354" s="186"/>
      <c r="T354" s="184"/>
      <c r="U354" s="184"/>
      <c r="V354" s="184"/>
      <c r="W354" s="184"/>
      <c r="X354" s="184">
        <f>Sheet1!AS365</f>
        <v>247</v>
      </c>
      <c r="Y354" s="184">
        <f>Sheet1!AT365</f>
        <v>0.126</v>
      </c>
      <c r="Z354" s="184"/>
      <c r="AA354" s="184"/>
      <c r="AB354" s="184"/>
      <c r="AC354" s="186"/>
      <c r="AD354" s="184"/>
      <c r="AE354" s="184"/>
      <c r="AF354" s="184"/>
      <c r="AG354" s="186"/>
      <c r="AH354" s="184"/>
      <c r="AI354" s="187"/>
      <c r="AJ354" s="191"/>
      <c r="AK354" s="191"/>
      <c r="AL354" s="191"/>
      <c r="AM354" s="191"/>
    </row>
    <row r="355" spans="2:39" x14ac:dyDescent="0.25">
      <c r="B355" s="193" t="str">
        <f>Sheet1!A366</f>
        <v>20420.2</v>
      </c>
      <c r="C355" s="183" t="str">
        <f>Sheet1!C366</f>
        <v>JACQUELINE RD</v>
      </c>
      <c r="D355" s="183" t="str">
        <f>Sheet1!D366</f>
        <v>MARINER BLVD (CR587)</v>
      </c>
      <c r="E355" s="183" t="str">
        <f>Sheet1!E366</f>
        <v>SUNSHINE GROVE RD</v>
      </c>
      <c r="F355" s="184" t="str">
        <f>Sheet1!F366</f>
        <v>2U</v>
      </c>
      <c r="G355" s="184" t="str">
        <f>Sheet1!H366</f>
        <v>2U</v>
      </c>
      <c r="H355" s="185" t="str">
        <f>Sheet1!Z366</f>
        <v>D</v>
      </c>
      <c r="I355" s="185"/>
      <c r="J355" s="185"/>
      <c r="K355" s="185"/>
      <c r="L355" s="184"/>
      <c r="M355" s="184">
        <f>Sheet1!AI366</f>
        <v>1962</v>
      </c>
      <c r="N355" s="184"/>
      <c r="O355" s="184"/>
      <c r="P355" s="184"/>
      <c r="Q355" s="184"/>
      <c r="R355" s="184">
        <f>Sheet1!P366</f>
        <v>2742</v>
      </c>
      <c r="S355" s="186"/>
      <c r="T355" s="184"/>
      <c r="U355" s="184"/>
      <c r="V355" s="184"/>
      <c r="W355" s="184"/>
      <c r="X355" s="184">
        <f>Sheet1!AS366</f>
        <v>247</v>
      </c>
      <c r="Y355" s="184">
        <f>Sheet1!AT366</f>
        <v>0.126</v>
      </c>
      <c r="Z355" s="184"/>
      <c r="AA355" s="184"/>
      <c r="AB355" s="184"/>
      <c r="AC355" s="186"/>
      <c r="AD355" s="184"/>
      <c r="AE355" s="184"/>
      <c r="AF355" s="184"/>
      <c r="AG355" s="186"/>
      <c r="AH355" s="184"/>
      <c r="AI355" s="187"/>
      <c r="AJ355" s="191"/>
      <c r="AK355" s="191"/>
      <c r="AL355" s="191"/>
      <c r="AM355" s="191"/>
    </row>
    <row r="356" spans="2:39" x14ac:dyDescent="0.25">
      <c r="B356" s="193" t="str">
        <f>Sheet1!A367</f>
        <v>20430</v>
      </c>
      <c r="C356" s="183" t="str">
        <f>Sheet1!C367</f>
        <v>MONTOUR ST</v>
      </c>
      <c r="D356" s="183" t="str">
        <f>Sheet1!D367</f>
        <v>WEEPING WILLOW ST</v>
      </c>
      <c r="E356" s="183" t="str">
        <f>Sheet1!E367</f>
        <v>SUNSHINE GROVE RD</v>
      </c>
      <c r="F356" s="184" t="str">
        <f>Sheet1!F367</f>
        <v>2U</v>
      </c>
      <c r="G356" s="184" t="str">
        <f>Sheet1!H367</f>
        <v>2U</v>
      </c>
      <c r="H356" s="185" t="str">
        <f>Sheet1!Z367</f>
        <v>D</v>
      </c>
      <c r="I356" s="185"/>
      <c r="J356" s="185"/>
      <c r="K356" s="185"/>
      <c r="L356" s="184"/>
      <c r="M356" s="184">
        <f>Sheet1!AI367</f>
        <v>1962</v>
      </c>
      <c r="N356" s="184"/>
      <c r="O356" s="184"/>
      <c r="P356" s="184"/>
      <c r="Q356" s="184"/>
      <c r="R356" s="184" t="e">
        <f>Sheet1!P367</f>
        <v>#DIV/0!</v>
      </c>
      <c r="S356" s="186"/>
      <c r="T356" s="184"/>
      <c r="U356" s="184"/>
      <c r="V356" s="184"/>
      <c r="W356" s="184"/>
      <c r="X356" s="184" t="e">
        <f>Sheet1!AS367</f>
        <v>#DIV/0!</v>
      </c>
      <c r="Y356" s="184" t="e">
        <f>Sheet1!AT367</f>
        <v>#DIV/0!</v>
      </c>
      <c r="Z356" s="184"/>
      <c r="AA356" s="184"/>
      <c r="AB356" s="184"/>
      <c r="AC356" s="186"/>
      <c r="AD356" s="184"/>
      <c r="AE356" s="184"/>
      <c r="AF356" s="184"/>
      <c r="AG356" s="186"/>
      <c r="AH356" s="184"/>
      <c r="AI356" s="187"/>
      <c r="AJ356" s="191"/>
      <c r="AK356" s="191"/>
      <c r="AL356" s="191"/>
      <c r="AM356" s="191"/>
    </row>
    <row r="357" spans="2:39" x14ac:dyDescent="0.25">
      <c r="B357" s="193" t="str">
        <f>Sheet1!A368</f>
        <v>20350.2</v>
      </c>
      <c r="C357" s="183" t="str">
        <f>Sheet1!C368</f>
        <v>STAR RD</v>
      </c>
      <c r="D357" s="183" t="str">
        <f>Sheet1!D368</f>
        <v>WEEPING WILLOW ST</v>
      </c>
      <c r="E357" s="183" t="str">
        <f>Sheet1!E368</f>
        <v>SUNSHINE GROVE RD</v>
      </c>
      <c r="F357" s="184" t="str">
        <f>Sheet1!F368</f>
        <v>2U</v>
      </c>
      <c r="G357" s="184" t="str">
        <f>Sheet1!H368</f>
        <v>2U</v>
      </c>
      <c r="H357" s="185" t="str">
        <f>Sheet1!Z368</f>
        <v>D</v>
      </c>
      <c r="I357" s="185"/>
      <c r="J357" s="185"/>
      <c r="K357" s="185"/>
      <c r="L357" s="184"/>
      <c r="M357" s="184">
        <f>Sheet1!AI368</f>
        <v>1962</v>
      </c>
      <c r="N357" s="184"/>
      <c r="O357" s="184"/>
      <c r="P357" s="184"/>
      <c r="Q357" s="184"/>
      <c r="R357" s="184">
        <f>Sheet1!P368</f>
        <v>2723</v>
      </c>
      <c r="S357" s="186"/>
      <c r="T357" s="184"/>
      <c r="U357" s="184"/>
      <c r="V357" s="184"/>
      <c r="W357" s="184"/>
      <c r="X357" s="184">
        <f>Sheet1!AS368</f>
        <v>245</v>
      </c>
      <c r="Y357" s="184">
        <f>Sheet1!AT368</f>
        <v>0.125</v>
      </c>
      <c r="Z357" s="184"/>
      <c r="AA357" s="184"/>
      <c r="AB357" s="184"/>
      <c r="AC357" s="186"/>
      <c r="AD357" s="184"/>
      <c r="AE357" s="184"/>
      <c r="AF357" s="184"/>
      <c r="AG357" s="186"/>
      <c r="AH357" s="184"/>
      <c r="AI357" s="187"/>
      <c r="AJ357" s="191"/>
      <c r="AK357" s="191"/>
      <c r="AL357" s="191"/>
      <c r="AM357" s="191"/>
    </row>
    <row r="358" spans="2:39" x14ac:dyDescent="0.25">
      <c r="B358" s="193" t="str">
        <f>Sheet1!A369</f>
        <v>20440</v>
      </c>
      <c r="C358" s="183" t="str">
        <f>Sheet1!C369</f>
        <v>KEN AUSTIN PKWY</v>
      </c>
      <c r="D358" s="183" t="str">
        <f>Sheet1!D369</f>
        <v>SUNSHINE GROVE RD</v>
      </c>
      <c r="E358" s="183" t="str">
        <f>Sheet1!E369</f>
        <v>RESTER DR</v>
      </c>
      <c r="F358" s="184" t="str">
        <f>Sheet1!F369</f>
        <v>2U</v>
      </c>
      <c r="G358" s="184" t="str">
        <f>Sheet1!H369</f>
        <v>2U</v>
      </c>
      <c r="H358" s="185" t="str">
        <f>Sheet1!Z369</f>
        <v>D</v>
      </c>
      <c r="I358" s="185"/>
      <c r="J358" s="185"/>
      <c r="K358" s="185"/>
      <c r="L358" s="184"/>
      <c r="M358" s="184">
        <f>Sheet1!AI369</f>
        <v>1197</v>
      </c>
      <c r="N358" s="184"/>
      <c r="O358" s="184"/>
      <c r="P358" s="184"/>
      <c r="Q358" s="184"/>
      <c r="R358" s="184">
        <f>Sheet1!P369</f>
        <v>2723</v>
      </c>
      <c r="S358" s="186"/>
      <c r="T358" s="184"/>
      <c r="U358" s="184"/>
      <c r="V358" s="184"/>
      <c r="W358" s="184"/>
      <c r="X358" s="184">
        <f>Sheet1!AS369</f>
        <v>245</v>
      </c>
      <c r="Y358" s="184">
        <f>Sheet1!AT369</f>
        <v>0.20499999999999999</v>
      </c>
      <c r="Z358" s="184"/>
      <c r="AA358" s="184"/>
      <c r="AB358" s="184"/>
      <c r="AC358" s="186"/>
      <c r="AD358" s="184"/>
      <c r="AE358" s="184"/>
      <c r="AF358" s="184"/>
      <c r="AG358" s="186"/>
      <c r="AH358" s="184"/>
      <c r="AI358" s="187"/>
      <c r="AJ358" s="191"/>
      <c r="AK358" s="191"/>
      <c r="AL358" s="191"/>
      <c r="AM358" s="191"/>
    </row>
    <row r="359" spans="2:39" x14ac:dyDescent="0.25">
      <c r="B359" s="193" t="str">
        <f>Sheet1!A370</f>
        <v>20450.1</v>
      </c>
      <c r="C359" s="183" t="str">
        <f>Sheet1!C370</f>
        <v>RESTER DR</v>
      </c>
      <c r="D359" s="183" t="str">
        <f>Sheet1!D370</f>
        <v>KEN AUSTIN PKWY</v>
      </c>
      <c r="E359" s="183" t="str">
        <f>Sheet1!E370</f>
        <v>N SUNCOAST PKWY (SR589)</v>
      </c>
      <c r="F359" s="184" t="str">
        <f>Sheet1!F370</f>
        <v>2U</v>
      </c>
      <c r="G359" s="184" t="str">
        <f>Sheet1!H370</f>
        <v>2U</v>
      </c>
      <c r="H359" s="185" t="str">
        <f>Sheet1!Z370</f>
        <v>D</v>
      </c>
      <c r="I359" s="185"/>
      <c r="J359" s="185"/>
      <c r="K359" s="185"/>
      <c r="L359" s="184"/>
      <c r="M359" s="184">
        <f>Sheet1!AI370</f>
        <v>1962</v>
      </c>
      <c r="N359" s="184"/>
      <c r="O359" s="184"/>
      <c r="P359" s="184"/>
      <c r="Q359" s="184"/>
      <c r="R359" s="184">
        <f>Sheet1!P370</f>
        <v>2723</v>
      </c>
      <c r="S359" s="186"/>
      <c r="T359" s="184"/>
      <c r="U359" s="184"/>
      <c r="V359" s="184"/>
      <c r="W359" s="184"/>
      <c r="X359" s="184">
        <f>Sheet1!AS370</f>
        <v>245</v>
      </c>
      <c r="Y359" s="184">
        <f>Sheet1!AT370</f>
        <v>0.125</v>
      </c>
      <c r="Z359" s="184"/>
      <c r="AA359" s="184"/>
      <c r="AB359" s="184"/>
      <c r="AC359" s="186"/>
      <c r="AD359" s="184"/>
      <c r="AE359" s="184"/>
      <c r="AF359" s="184"/>
      <c r="AG359" s="186"/>
      <c r="AH359" s="184"/>
      <c r="AI359" s="187"/>
      <c r="AJ359" s="191"/>
      <c r="AK359" s="191"/>
      <c r="AL359" s="191"/>
      <c r="AM359" s="191"/>
    </row>
    <row r="360" spans="2:39" x14ac:dyDescent="0.25">
      <c r="B360" s="193" t="str">
        <f>Sheet1!A371</f>
        <v>20020</v>
      </c>
      <c r="C360" s="183" t="str">
        <f>Sheet1!C371</f>
        <v>MYERS RD</v>
      </c>
      <c r="D360" s="183" t="str">
        <f>Sheet1!D371</f>
        <v>CHURCH RD</v>
      </c>
      <c r="E360" s="183" t="str">
        <f>Sheet1!E371</f>
        <v>LOCKHART RD</v>
      </c>
      <c r="F360" s="184" t="str">
        <f>Sheet1!F371</f>
        <v>2U</v>
      </c>
      <c r="G360" s="184" t="str">
        <f>Sheet1!H371</f>
        <v>2U</v>
      </c>
      <c r="H360" s="185" t="str">
        <f>Sheet1!Z371</f>
        <v>D</v>
      </c>
      <c r="I360" s="185"/>
      <c r="J360" s="185"/>
      <c r="K360" s="185"/>
      <c r="L360" s="184"/>
      <c r="M360" s="184">
        <f>Sheet1!AI371</f>
        <v>1818</v>
      </c>
      <c r="N360" s="184"/>
      <c r="O360" s="184"/>
      <c r="P360" s="184"/>
      <c r="Q360" s="184"/>
      <c r="R360" s="184" t="e">
        <f>Sheet1!P371</f>
        <v>#DIV/0!</v>
      </c>
      <c r="S360" s="186"/>
      <c r="T360" s="184"/>
      <c r="U360" s="184"/>
      <c r="V360" s="184"/>
      <c r="W360" s="184"/>
      <c r="X360" s="184" t="e">
        <f>Sheet1!AS371</f>
        <v>#DIV/0!</v>
      </c>
      <c r="Y360" s="184" t="e">
        <f>Sheet1!AT371</f>
        <v>#DIV/0!</v>
      </c>
      <c r="Z360" s="184"/>
      <c r="AA360" s="184"/>
      <c r="AB360" s="184"/>
      <c r="AC360" s="186"/>
      <c r="AD360" s="184"/>
      <c r="AE360" s="184"/>
      <c r="AF360" s="184"/>
      <c r="AG360" s="186"/>
      <c r="AH360" s="184"/>
      <c r="AI360" s="187"/>
      <c r="AJ360" s="191"/>
      <c r="AK360" s="191"/>
      <c r="AL360" s="191"/>
      <c r="AM360" s="191"/>
    </row>
    <row r="361" spans="2:39" x14ac:dyDescent="0.25">
      <c r="B361" s="193" t="str">
        <f>Sheet1!A372</f>
        <v>20210.1</v>
      </c>
      <c r="C361" s="183" t="str">
        <f>Sheet1!C372</f>
        <v>LANDOVER BLVD</v>
      </c>
      <c r="D361" s="183" t="str">
        <f>Sheet1!D372</f>
        <v>ELGIN AVE</v>
      </c>
      <c r="E361" s="183" t="str">
        <f>Sheet1!E372</f>
        <v>NORTHCLIFFE BLVD</v>
      </c>
      <c r="F361" s="184" t="str">
        <f>Sheet1!F372</f>
        <v>2U</v>
      </c>
      <c r="G361" s="184" t="str">
        <f>Sheet1!H372</f>
        <v>2U</v>
      </c>
      <c r="H361" s="185" t="str">
        <f>Sheet1!Z372</f>
        <v>D</v>
      </c>
      <c r="I361" s="185"/>
      <c r="J361" s="185"/>
      <c r="K361" s="185"/>
      <c r="L361" s="184"/>
      <c r="M361" s="184">
        <f>Sheet1!AI372</f>
        <v>1197</v>
      </c>
      <c r="N361" s="184"/>
      <c r="O361" s="184"/>
      <c r="P361" s="184"/>
      <c r="Q361" s="184"/>
      <c r="R361" s="184">
        <f>Sheet1!P372</f>
        <v>8443</v>
      </c>
      <c r="S361" s="186"/>
      <c r="T361" s="184"/>
      <c r="U361" s="184"/>
      <c r="V361" s="184"/>
      <c r="W361" s="184"/>
      <c r="X361" s="184">
        <f>Sheet1!AS372</f>
        <v>760</v>
      </c>
      <c r="Y361" s="184">
        <f>Sheet1!AT372</f>
        <v>0.63500000000000001</v>
      </c>
      <c r="Z361" s="184"/>
      <c r="AA361" s="184"/>
      <c r="AB361" s="184"/>
      <c r="AC361" s="186"/>
      <c r="AD361" s="184"/>
      <c r="AE361" s="184"/>
      <c r="AF361" s="184"/>
      <c r="AG361" s="186"/>
      <c r="AH361" s="184"/>
      <c r="AI361" s="187"/>
      <c r="AJ361" s="191"/>
      <c r="AK361" s="191"/>
      <c r="AL361" s="191"/>
      <c r="AM361" s="191"/>
    </row>
    <row r="362" spans="2:39" x14ac:dyDescent="0.25">
      <c r="B362" s="193" t="str">
        <f>Sheet1!A373</f>
        <v>20545.1</v>
      </c>
      <c r="C362" s="183" t="str">
        <f>Sheet1!C373</f>
        <v>LANDOVER BLVD</v>
      </c>
      <c r="D362" s="183" t="str">
        <f>Sheet1!D373</f>
        <v>S. MARINER BLVD (CR587)</v>
      </c>
      <c r="E362" s="183" t="str">
        <f>Sheet1!E373</f>
        <v>ELGIN BLVD</v>
      </c>
      <c r="F362" s="184" t="str">
        <f>Sheet1!F373</f>
        <v>2U</v>
      </c>
      <c r="G362" s="184" t="str">
        <f>Sheet1!H373</f>
        <v>2U</v>
      </c>
      <c r="H362" s="185" t="str">
        <f>Sheet1!Z373</f>
        <v>D</v>
      </c>
      <c r="I362" s="185"/>
      <c r="J362" s="185"/>
      <c r="K362" s="185"/>
      <c r="L362" s="184"/>
      <c r="M362" s="184">
        <f>Sheet1!AI373</f>
        <v>1197</v>
      </c>
      <c r="N362" s="184"/>
      <c r="O362" s="184"/>
      <c r="P362" s="184"/>
      <c r="Q362" s="184"/>
      <c r="R362" s="184">
        <f>Sheet1!P373</f>
        <v>8443</v>
      </c>
      <c r="S362" s="186"/>
      <c r="T362" s="184"/>
      <c r="U362" s="184"/>
      <c r="V362" s="184"/>
      <c r="W362" s="184"/>
      <c r="X362" s="184">
        <f>Sheet1!AS373</f>
        <v>760</v>
      </c>
      <c r="Y362" s="184">
        <f>Sheet1!AT373</f>
        <v>0.63500000000000001</v>
      </c>
      <c r="Z362" s="184"/>
      <c r="AA362" s="184"/>
      <c r="AB362" s="184"/>
      <c r="AC362" s="186"/>
      <c r="AD362" s="184"/>
      <c r="AE362" s="184"/>
      <c r="AF362" s="184"/>
      <c r="AG362" s="186"/>
      <c r="AH362" s="184"/>
      <c r="AI362" s="187"/>
      <c r="AJ362" s="191"/>
      <c r="AK362" s="191"/>
      <c r="AL362" s="191"/>
      <c r="AM362" s="191"/>
    </row>
    <row r="363" spans="2:39" x14ac:dyDescent="0.25">
      <c r="B363" s="193" t="str">
        <f>Sheet1!A374</f>
        <v>20545.2</v>
      </c>
      <c r="C363" s="183" t="str">
        <f>Sheet1!C374</f>
        <v>LANDOVER BLVD</v>
      </c>
      <c r="D363" s="183" t="str">
        <f>Sheet1!D374</f>
        <v>ELGIN BLVD</v>
      </c>
      <c r="E363" s="183" t="str">
        <f>Sheet1!E374</f>
        <v>N. MARINER BLVD (CR587)</v>
      </c>
      <c r="F363" s="184" t="str">
        <f>Sheet1!F374</f>
        <v>2U</v>
      </c>
      <c r="G363" s="184" t="str">
        <f>Sheet1!H374</f>
        <v>2U</v>
      </c>
      <c r="H363" s="185" t="str">
        <f>Sheet1!Z374</f>
        <v>D</v>
      </c>
      <c r="I363" s="185"/>
      <c r="J363" s="185"/>
      <c r="K363" s="185"/>
      <c r="L363" s="184"/>
      <c r="M363" s="184">
        <f>Sheet1!AI374</f>
        <v>1197</v>
      </c>
      <c r="N363" s="184"/>
      <c r="O363" s="184"/>
      <c r="P363" s="184"/>
      <c r="Q363" s="184"/>
      <c r="R363" s="184">
        <f>Sheet1!P374</f>
        <v>8443</v>
      </c>
      <c r="S363" s="186"/>
      <c r="T363" s="184"/>
      <c r="U363" s="184"/>
      <c r="V363" s="184"/>
      <c r="W363" s="184"/>
      <c r="X363" s="184">
        <f>Sheet1!AS374</f>
        <v>760</v>
      </c>
      <c r="Y363" s="184">
        <f>Sheet1!AT374</f>
        <v>0.63500000000000001</v>
      </c>
      <c r="Z363" s="184"/>
      <c r="AA363" s="184"/>
      <c r="AB363" s="184"/>
      <c r="AC363" s="186"/>
      <c r="AD363" s="184"/>
      <c r="AE363" s="184"/>
      <c r="AF363" s="184"/>
      <c r="AG363" s="186"/>
      <c r="AH363" s="184"/>
      <c r="AI363" s="187"/>
      <c r="AJ363" s="191"/>
      <c r="AK363" s="191"/>
      <c r="AL363" s="191"/>
      <c r="AM363" s="191"/>
    </row>
    <row r="364" spans="2:39" x14ac:dyDescent="0.25">
      <c r="B364" s="193" t="str">
        <f>Sheet1!A375</f>
        <v>20655.1</v>
      </c>
      <c r="C364" s="183" t="str">
        <f>Sheet1!C375</f>
        <v>ELWOOD RD</v>
      </c>
      <c r="D364" s="183" t="str">
        <f>Sheet1!D375</f>
        <v>LANDOVER BLVD</v>
      </c>
      <c r="E364" s="183" t="str">
        <f>Sheet1!E375</f>
        <v>SWALLOW NEST</v>
      </c>
      <c r="F364" s="184" t="str">
        <f>Sheet1!F375</f>
        <v>2U</v>
      </c>
      <c r="G364" s="184" t="str">
        <f>Sheet1!H375</f>
        <v>2U</v>
      </c>
      <c r="H364" s="185" t="str">
        <f>Sheet1!Z375</f>
        <v>D</v>
      </c>
      <c r="I364" s="185"/>
      <c r="J364" s="185"/>
      <c r="K364" s="185"/>
      <c r="L364" s="184"/>
      <c r="M364" s="184">
        <f>Sheet1!AI375</f>
        <v>1962</v>
      </c>
      <c r="N364" s="184"/>
      <c r="O364" s="184"/>
      <c r="P364" s="184"/>
      <c r="Q364" s="184"/>
      <c r="R364" s="184" t="e">
        <f>Sheet1!P375</f>
        <v>#DIV/0!</v>
      </c>
      <c r="S364" s="186"/>
      <c r="T364" s="184"/>
      <c r="U364" s="184"/>
      <c r="V364" s="184"/>
      <c r="W364" s="184"/>
      <c r="X364" s="184" t="e">
        <f>Sheet1!AS375</f>
        <v>#DIV/0!</v>
      </c>
      <c r="Y364" s="184" t="e">
        <f>Sheet1!AT375</f>
        <v>#DIV/0!</v>
      </c>
      <c r="Z364" s="184"/>
      <c r="AA364" s="184"/>
      <c r="AB364" s="184"/>
      <c r="AC364" s="186"/>
      <c r="AD364" s="184"/>
      <c r="AE364" s="184"/>
      <c r="AF364" s="184"/>
      <c r="AG364" s="186"/>
      <c r="AH364" s="184"/>
      <c r="AI364" s="187"/>
      <c r="AJ364" s="191"/>
      <c r="AK364" s="191"/>
      <c r="AL364" s="191"/>
      <c r="AM364" s="191"/>
    </row>
    <row r="365" spans="2:39" x14ac:dyDescent="0.25">
      <c r="B365" s="193" t="str">
        <f>Sheet1!A376</f>
        <v>20650</v>
      </c>
      <c r="C365" s="183" t="str">
        <f>Sheet1!C376</f>
        <v>ELWOOD RD</v>
      </c>
      <c r="D365" s="183" t="str">
        <f>Sheet1!D376</f>
        <v>MARINER BLVD</v>
      </c>
      <c r="E365" s="183" t="str">
        <f>Sheet1!E376</f>
        <v>LANDOVER BLVD</v>
      </c>
      <c r="F365" s="184" t="str">
        <f>Sheet1!F376</f>
        <v>2U</v>
      </c>
      <c r="G365" s="184" t="str">
        <f>Sheet1!H376</f>
        <v>2U</v>
      </c>
      <c r="H365" s="185" t="str">
        <f>Sheet1!Z376</f>
        <v>D</v>
      </c>
      <c r="I365" s="185"/>
      <c r="J365" s="185"/>
      <c r="K365" s="185"/>
      <c r="L365" s="184"/>
      <c r="M365" s="184">
        <f>Sheet1!AI376</f>
        <v>1962</v>
      </c>
      <c r="N365" s="184"/>
      <c r="O365" s="184"/>
      <c r="P365" s="184"/>
      <c r="Q365" s="184"/>
      <c r="R365" s="184" t="e">
        <f>Sheet1!P376</f>
        <v>#DIV/0!</v>
      </c>
      <c r="S365" s="186"/>
      <c r="T365" s="184"/>
      <c r="U365" s="184"/>
      <c r="V365" s="184"/>
      <c r="W365" s="184"/>
      <c r="X365" s="184" t="e">
        <f>Sheet1!AS376</f>
        <v>#DIV/0!</v>
      </c>
      <c r="Y365" s="184" t="e">
        <f>Sheet1!AT376</f>
        <v>#DIV/0!</v>
      </c>
      <c r="Z365" s="184"/>
      <c r="AA365" s="184"/>
      <c r="AB365" s="184"/>
      <c r="AC365" s="186"/>
      <c r="AD365" s="184"/>
      <c r="AE365" s="184"/>
      <c r="AF365" s="184"/>
      <c r="AG365" s="186"/>
      <c r="AH365" s="184"/>
      <c r="AI365" s="187"/>
      <c r="AJ365" s="191"/>
      <c r="AK365" s="191"/>
      <c r="AL365" s="191"/>
      <c r="AM365" s="191"/>
    </row>
    <row r="366" spans="2:39" x14ac:dyDescent="0.25">
      <c r="B366" s="193" t="str">
        <f>Sheet1!A377</f>
        <v>20645</v>
      </c>
      <c r="C366" s="183" t="str">
        <f>Sheet1!C377</f>
        <v>ELWOOD RD</v>
      </c>
      <c r="D366" s="183" t="str">
        <f>Sheet1!D377</f>
        <v>ELGIN AVE</v>
      </c>
      <c r="E366" s="183" t="str">
        <f>Sheet1!E377</f>
        <v>MARINER BLVD</v>
      </c>
      <c r="F366" s="184" t="str">
        <f>Sheet1!F377</f>
        <v>2U</v>
      </c>
      <c r="G366" s="184" t="str">
        <f>Sheet1!H377</f>
        <v>2U</v>
      </c>
      <c r="H366" s="185" t="str">
        <f>Sheet1!Z377</f>
        <v>D</v>
      </c>
      <c r="I366" s="185"/>
      <c r="J366" s="185"/>
      <c r="K366" s="185"/>
      <c r="L366" s="184"/>
      <c r="M366" s="184">
        <f>Sheet1!AI377</f>
        <v>1962</v>
      </c>
      <c r="N366" s="184"/>
      <c r="O366" s="184"/>
      <c r="P366" s="184"/>
      <c r="Q366" s="184"/>
      <c r="R366" s="184" t="e">
        <f>Sheet1!P377</f>
        <v>#DIV/0!</v>
      </c>
      <c r="S366" s="186"/>
      <c r="T366" s="184"/>
      <c r="U366" s="184"/>
      <c r="V366" s="184"/>
      <c r="W366" s="184"/>
      <c r="X366" s="184" t="e">
        <f>Sheet1!AS377</f>
        <v>#DIV/0!</v>
      </c>
      <c r="Y366" s="184" t="e">
        <f>Sheet1!AT377</f>
        <v>#DIV/0!</v>
      </c>
      <c r="Z366" s="184"/>
      <c r="AA366" s="184"/>
      <c r="AB366" s="184"/>
      <c r="AC366" s="186"/>
      <c r="AD366" s="184"/>
      <c r="AE366" s="184"/>
      <c r="AF366" s="184"/>
      <c r="AG366" s="186"/>
      <c r="AH366" s="184"/>
      <c r="AI366" s="187"/>
      <c r="AJ366" s="191"/>
      <c r="AK366" s="191"/>
      <c r="AL366" s="191"/>
      <c r="AM366" s="191"/>
    </row>
    <row r="367" spans="2:39" x14ac:dyDescent="0.25">
      <c r="B367" s="193" t="str">
        <f>Sheet1!A378</f>
        <v>20575</v>
      </c>
      <c r="C367" s="183" t="str">
        <f>Sheet1!C378</f>
        <v>COBBLESTONE DR</v>
      </c>
      <c r="D367" s="183" t="str">
        <f>Sheet1!D378</f>
        <v>COUNTY LINE RD</v>
      </c>
      <c r="E367" s="183" t="str">
        <f>Sheet1!E378</f>
        <v>SPRING HILL DR</v>
      </c>
      <c r="F367" s="184" t="str">
        <f>Sheet1!F378</f>
        <v>2U</v>
      </c>
      <c r="G367" s="184" t="str">
        <f>Sheet1!H378</f>
        <v>2U</v>
      </c>
      <c r="H367" s="185" t="str">
        <f>Sheet1!Z378</f>
        <v>D</v>
      </c>
      <c r="I367" s="185"/>
      <c r="J367" s="185"/>
      <c r="K367" s="185"/>
      <c r="L367" s="184"/>
      <c r="M367" s="184">
        <f>Sheet1!AI378</f>
        <v>1440</v>
      </c>
      <c r="N367" s="184"/>
      <c r="O367" s="184"/>
      <c r="P367" s="184"/>
      <c r="Q367" s="184"/>
      <c r="R367" s="184">
        <f>Sheet1!P378</f>
        <v>5371</v>
      </c>
      <c r="S367" s="186"/>
      <c r="T367" s="184"/>
      <c r="U367" s="184"/>
      <c r="V367" s="184"/>
      <c r="W367" s="184"/>
      <c r="X367" s="184">
        <f>Sheet1!AS378</f>
        <v>483</v>
      </c>
      <c r="Y367" s="184">
        <f>Sheet1!AT378</f>
        <v>0.33500000000000002</v>
      </c>
      <c r="Z367" s="184"/>
      <c r="AA367" s="184"/>
      <c r="AB367" s="184"/>
      <c r="AC367" s="186"/>
      <c r="AD367" s="184"/>
      <c r="AE367" s="184"/>
      <c r="AF367" s="184"/>
      <c r="AG367" s="186"/>
      <c r="AH367" s="184"/>
      <c r="AI367" s="187"/>
      <c r="AJ367" s="191"/>
      <c r="AK367" s="191"/>
      <c r="AL367" s="191"/>
      <c r="AM367" s="191"/>
    </row>
    <row r="368" spans="2:39" x14ac:dyDescent="0.25">
      <c r="B368" s="193" t="str">
        <f>Sheet1!A379</f>
        <v>4410.1</v>
      </c>
      <c r="C368" s="183" t="str">
        <f>Sheet1!C379</f>
        <v>OSOWAW BLVD (CR595)</v>
      </c>
      <c r="D368" s="183" t="str">
        <f>Sheet1!D379</f>
        <v>PASCO COUNTY LINE</v>
      </c>
      <c r="E368" s="183" t="str">
        <f>Sheet1!E379</f>
        <v>1600 FT N OF ALOHA LN</v>
      </c>
      <c r="F368" s="184" t="str">
        <f>Sheet1!F379</f>
        <v>2U</v>
      </c>
      <c r="G368" s="184" t="str">
        <f>Sheet1!H379</f>
        <v>2U</v>
      </c>
      <c r="H368" s="185" t="str">
        <f>Sheet1!Z379</f>
        <v>D</v>
      </c>
      <c r="I368" s="185"/>
      <c r="J368" s="185"/>
      <c r="K368" s="185"/>
      <c r="L368" s="184"/>
      <c r="M368" s="184">
        <f>Sheet1!AI379</f>
        <v>1818</v>
      </c>
      <c r="N368" s="184"/>
      <c r="O368" s="184"/>
      <c r="P368" s="184"/>
      <c r="Q368" s="184"/>
      <c r="R368" s="184">
        <f>Sheet1!P379</f>
        <v>1931</v>
      </c>
      <c r="S368" s="186"/>
      <c r="T368" s="184"/>
      <c r="U368" s="184"/>
      <c r="V368" s="184"/>
      <c r="W368" s="184"/>
      <c r="X368" s="184">
        <f>Sheet1!AS379</f>
        <v>174</v>
      </c>
      <c r="Y368" s="184">
        <f>Sheet1!AT379</f>
        <v>9.6000000000000002E-2</v>
      </c>
      <c r="Z368" s="184"/>
      <c r="AA368" s="184"/>
      <c r="AB368" s="184"/>
      <c r="AC368" s="186"/>
      <c r="AD368" s="184"/>
      <c r="AE368" s="184"/>
      <c r="AF368" s="184"/>
      <c r="AG368" s="186"/>
      <c r="AH368" s="184"/>
      <c r="AI368" s="187"/>
      <c r="AJ368" s="191"/>
      <c r="AK368" s="191"/>
      <c r="AL368" s="191"/>
      <c r="AM368" s="191"/>
    </row>
    <row r="369" spans="2:39" x14ac:dyDescent="0.25">
      <c r="B369" s="193" t="str">
        <f>Sheet1!A380</f>
        <v>4410.2</v>
      </c>
      <c r="C369" s="183" t="str">
        <f>Sheet1!C380</f>
        <v>OSOWAW BLVD (CR595)</v>
      </c>
      <c r="D369" s="183" t="str">
        <f>Sheet1!D380</f>
        <v>1600 FT N OF ALOHA LN</v>
      </c>
      <c r="E369" s="183" t="str">
        <f>Sheet1!E380</f>
        <v>SHOAL LINE BLVD</v>
      </c>
      <c r="F369" s="184" t="str">
        <f>Sheet1!F380</f>
        <v>2U</v>
      </c>
      <c r="G369" s="184" t="str">
        <f>Sheet1!H380</f>
        <v>2U</v>
      </c>
      <c r="H369" s="185" t="str">
        <f>Sheet1!Z380</f>
        <v>D</v>
      </c>
      <c r="I369" s="185"/>
      <c r="J369" s="185"/>
      <c r="K369" s="185"/>
      <c r="L369" s="184"/>
      <c r="M369" s="184">
        <f>Sheet1!AI380</f>
        <v>1818</v>
      </c>
      <c r="N369" s="184"/>
      <c r="O369" s="184"/>
      <c r="P369" s="184"/>
      <c r="Q369" s="184"/>
      <c r="R369" s="184">
        <f>Sheet1!P380</f>
        <v>1931</v>
      </c>
      <c r="S369" s="186"/>
      <c r="T369" s="184"/>
      <c r="U369" s="184"/>
      <c r="V369" s="184"/>
      <c r="W369" s="184"/>
      <c r="X369" s="184">
        <f>Sheet1!AS380</f>
        <v>174</v>
      </c>
      <c r="Y369" s="184">
        <f>Sheet1!AT380</f>
        <v>9.6000000000000002E-2</v>
      </c>
      <c r="Z369" s="184"/>
      <c r="AA369" s="184"/>
      <c r="AB369" s="184"/>
      <c r="AC369" s="186"/>
      <c r="AD369" s="184"/>
      <c r="AE369" s="184"/>
      <c r="AF369" s="184"/>
      <c r="AG369" s="186"/>
      <c r="AH369" s="184"/>
      <c r="AI369" s="187"/>
      <c r="AJ369" s="191"/>
      <c r="AK369" s="191"/>
      <c r="AL369" s="191"/>
      <c r="AM369" s="191"/>
    </row>
    <row r="370" spans="2:39" x14ac:dyDescent="0.25">
      <c r="B370" s="193"/>
      <c r="C370" s="183"/>
      <c r="D370" s="183"/>
      <c r="E370" s="183"/>
      <c r="F370" s="184"/>
      <c r="G370" s="184"/>
      <c r="H370" s="185"/>
      <c r="I370" s="185"/>
      <c r="J370" s="185"/>
      <c r="K370" s="185"/>
      <c r="L370" s="184"/>
      <c r="M370" s="184"/>
      <c r="N370" s="184"/>
      <c r="O370" s="184"/>
      <c r="P370" s="184"/>
      <c r="Q370" s="184"/>
      <c r="R370" s="184"/>
      <c r="S370" s="186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6"/>
      <c r="AD370" s="184"/>
      <c r="AE370" s="184"/>
      <c r="AF370" s="184"/>
      <c r="AG370" s="186"/>
      <c r="AH370" s="184"/>
      <c r="AI370" s="187"/>
      <c r="AJ370" s="191"/>
      <c r="AK370" s="191"/>
      <c r="AL370" s="191"/>
      <c r="AM370" s="191"/>
    </row>
    <row r="371" spans="2:39" x14ac:dyDescent="0.25">
      <c r="B371" s="193"/>
      <c r="C371" s="183"/>
      <c r="D371" s="183"/>
      <c r="E371" s="183"/>
      <c r="F371" s="184"/>
      <c r="G371" s="184"/>
      <c r="H371" s="185"/>
      <c r="I371" s="185"/>
      <c r="J371" s="185"/>
      <c r="K371" s="185"/>
      <c r="L371" s="184"/>
      <c r="M371" s="184"/>
      <c r="N371" s="184"/>
      <c r="O371" s="184"/>
      <c r="P371" s="184"/>
      <c r="Q371" s="184"/>
      <c r="R371" s="184"/>
      <c r="S371" s="186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6"/>
      <c r="AD371" s="184"/>
      <c r="AE371" s="184"/>
      <c r="AF371" s="184"/>
      <c r="AG371" s="186"/>
      <c r="AH371" s="184"/>
      <c r="AI371" s="187"/>
      <c r="AJ371" s="191"/>
      <c r="AK371" s="191"/>
      <c r="AL371" s="191"/>
      <c r="AM371" s="191"/>
    </row>
    <row r="372" spans="2:39" x14ac:dyDescent="0.25">
      <c r="B372" s="193"/>
      <c r="C372" s="183"/>
      <c r="D372" s="183"/>
      <c r="E372" s="183"/>
      <c r="F372" s="184"/>
      <c r="G372" s="184"/>
      <c r="H372" s="185"/>
      <c r="I372" s="185"/>
      <c r="J372" s="185"/>
      <c r="K372" s="185"/>
      <c r="L372" s="184"/>
      <c r="M372" s="184"/>
      <c r="N372" s="184"/>
      <c r="O372" s="184"/>
      <c r="P372" s="184"/>
      <c r="Q372" s="184"/>
      <c r="R372" s="184"/>
      <c r="S372" s="186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6"/>
      <c r="AD372" s="184"/>
      <c r="AE372" s="184"/>
      <c r="AF372" s="184"/>
      <c r="AG372" s="186"/>
      <c r="AH372" s="184"/>
      <c r="AI372" s="187"/>
      <c r="AJ372" s="191"/>
      <c r="AK372" s="191"/>
      <c r="AL372" s="191"/>
      <c r="AM372" s="191"/>
    </row>
    <row r="373" spans="2:39" x14ac:dyDescent="0.25">
      <c r="B373" s="193"/>
      <c r="C373" s="183"/>
      <c r="D373" s="183"/>
      <c r="E373" s="183"/>
      <c r="F373" s="184"/>
      <c r="G373" s="184"/>
      <c r="H373" s="185"/>
      <c r="I373" s="185"/>
      <c r="J373" s="185"/>
      <c r="K373" s="185"/>
      <c r="L373" s="184"/>
      <c r="M373" s="184"/>
      <c r="N373" s="184"/>
      <c r="O373" s="184"/>
      <c r="P373" s="184"/>
      <c r="Q373" s="184"/>
      <c r="R373" s="184"/>
      <c r="S373" s="186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6"/>
      <c r="AD373" s="184"/>
      <c r="AE373" s="184"/>
      <c r="AF373" s="184"/>
      <c r="AG373" s="186"/>
      <c r="AH373" s="184"/>
      <c r="AI373" s="187"/>
      <c r="AJ373" s="191"/>
      <c r="AK373" s="191"/>
      <c r="AL373" s="191"/>
      <c r="AM373" s="191"/>
    </row>
    <row r="374" spans="2:39" x14ac:dyDescent="0.25">
      <c r="B374" s="193"/>
      <c r="C374" s="183"/>
      <c r="D374" s="183"/>
      <c r="E374" s="183"/>
      <c r="F374" s="184"/>
      <c r="G374" s="184"/>
      <c r="H374" s="185"/>
      <c r="I374" s="185"/>
      <c r="J374" s="185"/>
      <c r="K374" s="185"/>
      <c r="L374" s="184"/>
      <c r="M374" s="184"/>
      <c r="N374" s="184"/>
      <c r="O374" s="184"/>
      <c r="P374" s="184"/>
      <c r="Q374" s="184"/>
      <c r="R374" s="184"/>
      <c r="S374" s="186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6"/>
      <c r="AD374" s="184"/>
      <c r="AE374" s="184"/>
      <c r="AF374" s="184"/>
      <c r="AG374" s="186"/>
      <c r="AH374" s="184"/>
      <c r="AI374" s="187"/>
      <c r="AJ374" s="191"/>
      <c r="AK374" s="191"/>
      <c r="AL374" s="191"/>
      <c r="AM374" s="191"/>
    </row>
    <row r="375" spans="2:39" x14ac:dyDescent="0.25">
      <c r="B375" s="193"/>
      <c r="C375" s="183"/>
      <c r="D375" s="183"/>
      <c r="E375" s="183"/>
      <c r="F375" s="184"/>
      <c r="G375" s="184"/>
      <c r="H375" s="185"/>
      <c r="I375" s="185"/>
      <c r="J375" s="185"/>
      <c r="K375" s="185"/>
      <c r="L375" s="184"/>
      <c r="M375" s="184"/>
      <c r="N375" s="184"/>
      <c r="O375" s="184"/>
      <c r="P375" s="184"/>
      <c r="Q375" s="184"/>
      <c r="R375" s="184"/>
      <c r="S375" s="186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6"/>
      <c r="AD375" s="184"/>
      <c r="AE375" s="184"/>
      <c r="AF375" s="184"/>
      <c r="AG375" s="186"/>
      <c r="AH375" s="184"/>
      <c r="AI375" s="187"/>
      <c r="AJ375" s="191"/>
      <c r="AK375" s="191"/>
      <c r="AL375" s="191"/>
      <c r="AM375" s="191"/>
    </row>
    <row r="376" spans="2:39" x14ac:dyDescent="0.25">
      <c r="B376" s="193"/>
      <c r="C376" s="183"/>
      <c r="D376" s="183"/>
      <c r="E376" s="183"/>
      <c r="F376" s="184"/>
      <c r="G376" s="184"/>
      <c r="H376" s="185"/>
      <c r="I376" s="185"/>
      <c r="J376" s="185"/>
      <c r="K376" s="185"/>
      <c r="L376" s="184"/>
      <c r="M376" s="184"/>
      <c r="N376" s="184"/>
      <c r="O376" s="184"/>
      <c r="P376" s="184"/>
      <c r="Q376" s="184"/>
      <c r="R376" s="184"/>
      <c r="S376" s="186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6"/>
      <c r="AD376" s="184"/>
      <c r="AE376" s="184"/>
      <c r="AF376" s="184"/>
      <c r="AG376" s="186"/>
      <c r="AH376" s="184"/>
      <c r="AI376" s="187"/>
      <c r="AJ376" s="191"/>
      <c r="AK376" s="191"/>
      <c r="AL376" s="191"/>
      <c r="AM376" s="191"/>
    </row>
    <row r="377" spans="2:39" x14ac:dyDescent="0.25">
      <c r="B377" s="193"/>
      <c r="C377" s="183"/>
      <c r="D377" s="183"/>
      <c r="E377" s="183"/>
      <c r="F377" s="184"/>
      <c r="G377" s="184"/>
      <c r="H377" s="185"/>
      <c r="I377" s="185"/>
      <c r="J377" s="185"/>
      <c r="K377" s="185"/>
      <c r="L377" s="184"/>
      <c r="M377" s="184"/>
      <c r="N377" s="184"/>
      <c r="O377" s="184"/>
      <c r="P377" s="184"/>
      <c r="Q377" s="184"/>
      <c r="R377" s="184"/>
      <c r="S377" s="186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6"/>
      <c r="AD377" s="184"/>
      <c r="AE377" s="184"/>
      <c r="AF377" s="184"/>
      <c r="AG377" s="186"/>
      <c r="AH377" s="184"/>
      <c r="AI377" s="187"/>
      <c r="AJ377" s="191"/>
      <c r="AK377" s="191"/>
      <c r="AL377" s="191"/>
      <c r="AM377" s="191"/>
    </row>
    <row r="378" spans="2:39" x14ac:dyDescent="0.25">
      <c r="B378" s="193"/>
      <c r="C378" s="183"/>
      <c r="D378" s="183"/>
      <c r="E378" s="183"/>
      <c r="F378" s="184"/>
      <c r="G378" s="184"/>
      <c r="H378" s="185"/>
      <c r="I378" s="185"/>
      <c r="J378" s="185"/>
      <c r="K378" s="185"/>
      <c r="L378" s="184"/>
      <c r="M378" s="184"/>
      <c r="N378" s="184"/>
      <c r="O378" s="184"/>
      <c r="P378" s="184"/>
      <c r="Q378" s="184"/>
      <c r="R378" s="184"/>
      <c r="S378" s="186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6"/>
      <c r="AD378" s="184"/>
      <c r="AE378" s="184"/>
      <c r="AF378" s="184"/>
      <c r="AG378" s="186"/>
      <c r="AH378" s="184"/>
      <c r="AI378" s="187"/>
      <c r="AJ378" s="191"/>
      <c r="AK378" s="191"/>
      <c r="AL378" s="191"/>
      <c r="AM378" s="191"/>
    </row>
    <row r="379" spans="2:39" x14ac:dyDescent="0.25">
      <c r="B379" s="193"/>
      <c r="C379" s="183"/>
      <c r="D379" s="183"/>
      <c r="E379" s="183"/>
      <c r="F379" s="184"/>
      <c r="G379" s="184"/>
      <c r="H379" s="185"/>
      <c r="I379" s="185"/>
      <c r="J379" s="185"/>
      <c r="K379" s="185"/>
      <c r="L379" s="184"/>
      <c r="M379" s="184"/>
      <c r="N379" s="184"/>
      <c r="O379" s="184"/>
      <c r="P379" s="184"/>
      <c r="Q379" s="184"/>
      <c r="R379" s="184"/>
      <c r="S379" s="186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6"/>
      <c r="AD379" s="184"/>
      <c r="AE379" s="184"/>
      <c r="AF379" s="184"/>
      <c r="AG379" s="186"/>
      <c r="AH379" s="184"/>
      <c r="AI379" s="187"/>
      <c r="AJ379" s="191"/>
      <c r="AK379" s="191"/>
      <c r="AL379" s="191"/>
      <c r="AM379" s="191"/>
    </row>
    <row r="380" spans="2:39" x14ac:dyDescent="0.25">
      <c r="B380" s="193"/>
      <c r="C380" s="183"/>
      <c r="D380" s="183"/>
      <c r="E380" s="183"/>
      <c r="F380" s="184"/>
      <c r="G380" s="184"/>
      <c r="H380" s="185"/>
      <c r="I380" s="185"/>
      <c r="J380" s="185"/>
      <c r="K380" s="185"/>
      <c r="L380" s="184"/>
      <c r="M380" s="184"/>
      <c r="N380" s="184"/>
      <c r="O380" s="184"/>
      <c r="P380" s="184"/>
      <c r="Q380" s="184"/>
      <c r="R380" s="184"/>
      <c r="S380" s="186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6"/>
      <c r="AD380" s="184"/>
      <c r="AE380" s="184"/>
      <c r="AF380" s="184"/>
      <c r="AG380" s="186"/>
      <c r="AH380" s="184"/>
      <c r="AI380" s="187"/>
      <c r="AJ380" s="191"/>
      <c r="AK380" s="191"/>
      <c r="AL380" s="191"/>
      <c r="AM380" s="191"/>
    </row>
    <row r="381" spans="2:39" x14ac:dyDescent="0.25">
      <c r="B381" s="193"/>
      <c r="C381" s="183"/>
      <c r="D381" s="183"/>
      <c r="E381" s="183"/>
      <c r="F381" s="184"/>
      <c r="G381" s="184"/>
      <c r="H381" s="185"/>
      <c r="I381" s="185"/>
      <c r="J381" s="185"/>
      <c r="K381" s="185"/>
      <c r="L381" s="184"/>
      <c r="M381" s="184"/>
      <c r="N381" s="184"/>
      <c r="O381" s="184"/>
      <c r="P381" s="184"/>
      <c r="Q381" s="184"/>
      <c r="R381" s="184"/>
      <c r="S381" s="186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6"/>
      <c r="AD381" s="184"/>
      <c r="AE381" s="184"/>
      <c r="AF381" s="184"/>
      <c r="AG381" s="186"/>
      <c r="AH381" s="184"/>
      <c r="AI381" s="187"/>
      <c r="AJ381" s="191"/>
      <c r="AK381" s="191"/>
      <c r="AL381" s="191"/>
      <c r="AM381" s="191"/>
    </row>
    <row r="382" spans="2:39" x14ac:dyDescent="0.25">
      <c r="B382" s="193"/>
      <c r="C382" s="183"/>
      <c r="D382" s="183"/>
      <c r="E382" s="183"/>
      <c r="F382" s="184"/>
      <c r="G382" s="184"/>
      <c r="H382" s="185"/>
      <c r="I382" s="185"/>
      <c r="J382" s="185"/>
      <c r="K382" s="185"/>
      <c r="L382" s="184"/>
      <c r="M382" s="184"/>
      <c r="N382" s="184"/>
      <c r="O382" s="184"/>
      <c r="P382" s="184"/>
      <c r="Q382" s="184"/>
      <c r="R382" s="184"/>
      <c r="S382" s="186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6"/>
      <c r="AD382" s="184"/>
      <c r="AE382" s="184"/>
      <c r="AF382" s="184"/>
      <c r="AG382" s="186"/>
      <c r="AH382" s="184"/>
      <c r="AI382" s="187"/>
      <c r="AJ382" s="191"/>
      <c r="AK382" s="191"/>
      <c r="AL382" s="191"/>
      <c r="AM382" s="191"/>
    </row>
    <row r="383" spans="2:39" x14ac:dyDescent="0.25">
      <c r="B383" s="193"/>
      <c r="C383" s="183"/>
      <c r="D383" s="183"/>
      <c r="E383" s="183"/>
      <c r="F383" s="184"/>
      <c r="G383" s="184"/>
      <c r="H383" s="185"/>
      <c r="I383" s="185"/>
      <c r="J383" s="185"/>
      <c r="K383" s="185"/>
      <c r="L383" s="184"/>
      <c r="M383" s="184"/>
      <c r="N383" s="184"/>
      <c r="O383" s="184"/>
      <c r="P383" s="184"/>
      <c r="Q383" s="184"/>
      <c r="R383" s="184"/>
      <c r="S383" s="186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6"/>
      <c r="AD383" s="184"/>
      <c r="AE383" s="184"/>
      <c r="AF383" s="184"/>
      <c r="AG383" s="186"/>
      <c r="AH383" s="184"/>
      <c r="AI383" s="187"/>
      <c r="AJ383" s="191"/>
      <c r="AK383" s="191"/>
      <c r="AL383" s="191"/>
      <c r="AM383" s="191"/>
    </row>
    <row r="384" spans="2:39" x14ac:dyDescent="0.25">
      <c r="B384" s="193"/>
      <c r="C384" s="183"/>
      <c r="D384" s="183"/>
      <c r="E384" s="183"/>
      <c r="F384" s="184"/>
      <c r="G384" s="184"/>
      <c r="H384" s="185"/>
      <c r="I384" s="185"/>
      <c r="J384" s="185"/>
      <c r="K384" s="185"/>
      <c r="L384" s="184"/>
      <c r="M384" s="184"/>
      <c r="N384" s="184"/>
      <c r="O384" s="184"/>
      <c r="P384" s="184"/>
      <c r="Q384" s="184"/>
      <c r="R384" s="184"/>
      <c r="S384" s="186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6"/>
      <c r="AD384" s="184"/>
      <c r="AE384" s="184"/>
      <c r="AF384" s="184"/>
      <c r="AG384" s="186"/>
      <c r="AH384" s="184"/>
      <c r="AI384" s="187"/>
      <c r="AJ384" s="191"/>
      <c r="AK384" s="191"/>
      <c r="AL384" s="191"/>
      <c r="AM384" s="191"/>
    </row>
    <row r="385" spans="2:39" x14ac:dyDescent="0.25">
      <c r="B385" s="193"/>
      <c r="C385" s="183"/>
      <c r="D385" s="183"/>
      <c r="E385" s="183"/>
      <c r="F385" s="184"/>
      <c r="G385" s="184"/>
      <c r="H385" s="185"/>
      <c r="I385" s="185"/>
      <c r="J385" s="185"/>
      <c r="K385" s="185"/>
      <c r="L385" s="184"/>
      <c r="M385" s="184"/>
      <c r="N385" s="184"/>
      <c r="O385" s="184"/>
      <c r="P385" s="184"/>
      <c r="Q385" s="184"/>
      <c r="R385" s="184"/>
      <c r="S385" s="186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6"/>
      <c r="AD385" s="184"/>
      <c r="AE385" s="184"/>
      <c r="AF385" s="184"/>
      <c r="AG385" s="186"/>
      <c r="AH385" s="184"/>
      <c r="AI385" s="187"/>
      <c r="AJ385" s="191"/>
      <c r="AK385" s="191"/>
      <c r="AL385" s="191"/>
      <c r="AM385" s="191"/>
    </row>
    <row r="386" spans="2:39" x14ac:dyDescent="0.25">
      <c r="B386" s="193"/>
      <c r="C386" s="183"/>
      <c r="D386" s="183"/>
      <c r="E386" s="183"/>
      <c r="F386" s="184"/>
      <c r="G386" s="184"/>
      <c r="H386" s="185"/>
      <c r="I386" s="185"/>
      <c r="J386" s="185"/>
      <c r="K386" s="185"/>
      <c r="L386" s="184"/>
      <c r="M386" s="184"/>
      <c r="N386" s="184"/>
      <c r="O386" s="184"/>
      <c r="P386" s="184"/>
      <c r="Q386" s="184"/>
      <c r="R386" s="184"/>
      <c r="S386" s="186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6"/>
      <c r="AD386" s="184"/>
      <c r="AE386" s="184"/>
      <c r="AF386" s="184"/>
      <c r="AG386" s="186"/>
      <c r="AH386" s="184"/>
      <c r="AI386" s="187"/>
      <c r="AJ386" s="191"/>
      <c r="AK386" s="191"/>
      <c r="AL386" s="191"/>
      <c r="AM386" s="191"/>
    </row>
    <row r="387" spans="2:39" x14ac:dyDescent="0.25">
      <c r="B387" s="193"/>
      <c r="C387" s="183"/>
      <c r="D387" s="183"/>
      <c r="E387" s="183"/>
      <c r="F387" s="184"/>
      <c r="G387" s="184"/>
      <c r="H387" s="185"/>
      <c r="I387" s="185"/>
      <c r="J387" s="185"/>
      <c r="K387" s="185"/>
      <c r="L387" s="184"/>
      <c r="M387" s="184"/>
      <c r="N387" s="184"/>
      <c r="O387" s="184"/>
      <c r="P387" s="184"/>
      <c r="Q387" s="184"/>
      <c r="R387" s="184"/>
      <c r="S387" s="186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6"/>
      <c r="AD387" s="184"/>
      <c r="AE387" s="184"/>
      <c r="AF387" s="184"/>
      <c r="AG387" s="186"/>
      <c r="AH387" s="184"/>
      <c r="AI387" s="187"/>
      <c r="AJ387" s="191"/>
      <c r="AK387" s="191"/>
      <c r="AL387" s="191"/>
      <c r="AM387" s="191"/>
    </row>
    <row r="388" spans="2:39" x14ac:dyDescent="0.25">
      <c r="B388" s="193"/>
      <c r="C388" s="183"/>
      <c r="D388" s="183"/>
      <c r="E388" s="183"/>
      <c r="F388" s="184"/>
      <c r="G388" s="184"/>
      <c r="H388" s="185"/>
      <c r="I388" s="185"/>
      <c r="J388" s="185"/>
      <c r="K388" s="185"/>
      <c r="L388" s="184"/>
      <c r="M388" s="184"/>
      <c r="N388" s="184"/>
      <c r="O388" s="184"/>
      <c r="P388" s="184"/>
      <c r="Q388" s="184"/>
      <c r="R388" s="184"/>
      <c r="S388" s="186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6"/>
      <c r="AD388" s="184"/>
      <c r="AE388" s="184"/>
      <c r="AF388" s="184"/>
      <c r="AG388" s="186"/>
      <c r="AH388" s="184"/>
      <c r="AI388" s="187"/>
      <c r="AJ388" s="191"/>
      <c r="AK388" s="191"/>
      <c r="AL388" s="191"/>
      <c r="AM388" s="191"/>
    </row>
    <row r="389" spans="2:39" x14ac:dyDescent="0.25">
      <c r="B389" s="193"/>
      <c r="C389" s="183"/>
      <c r="D389" s="183"/>
      <c r="E389" s="183"/>
      <c r="F389" s="184"/>
      <c r="G389" s="184"/>
      <c r="H389" s="185"/>
      <c r="I389" s="185"/>
      <c r="J389" s="185"/>
      <c r="K389" s="185"/>
      <c r="L389" s="184"/>
      <c r="M389" s="184"/>
      <c r="N389" s="184"/>
      <c r="O389" s="184"/>
      <c r="P389" s="184"/>
      <c r="Q389" s="184"/>
      <c r="R389" s="184"/>
      <c r="S389" s="186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6"/>
      <c r="AD389" s="184"/>
      <c r="AE389" s="184"/>
      <c r="AF389" s="184"/>
      <c r="AG389" s="186"/>
      <c r="AH389" s="184"/>
      <c r="AI389" s="187"/>
      <c r="AJ389" s="191"/>
      <c r="AK389" s="191"/>
      <c r="AL389" s="191"/>
      <c r="AM389" s="191"/>
    </row>
    <row r="390" spans="2:39" x14ac:dyDescent="0.25">
      <c r="B390" s="193"/>
      <c r="C390" s="183"/>
      <c r="D390" s="183"/>
      <c r="E390" s="183"/>
      <c r="F390" s="184"/>
      <c r="G390" s="184"/>
      <c r="H390" s="185"/>
      <c r="I390" s="185"/>
      <c r="J390" s="185"/>
      <c r="K390" s="185"/>
      <c r="L390" s="184"/>
      <c r="M390" s="184"/>
      <c r="N390" s="184"/>
      <c r="O390" s="184"/>
      <c r="P390" s="184"/>
      <c r="Q390" s="184"/>
      <c r="R390" s="184"/>
      <c r="S390" s="186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6"/>
      <c r="AD390" s="184"/>
      <c r="AE390" s="184"/>
      <c r="AF390" s="184"/>
      <c r="AG390" s="186"/>
      <c r="AH390" s="184"/>
      <c r="AI390" s="187"/>
      <c r="AJ390" s="191"/>
      <c r="AK390" s="191"/>
      <c r="AL390" s="191"/>
      <c r="AM390" s="191"/>
    </row>
    <row r="391" spans="2:39" x14ac:dyDescent="0.25">
      <c r="B391" s="193"/>
      <c r="C391" s="183"/>
      <c r="D391" s="183"/>
      <c r="E391" s="183"/>
      <c r="F391" s="184"/>
      <c r="G391" s="184"/>
      <c r="H391" s="185"/>
      <c r="I391" s="185"/>
      <c r="J391" s="185"/>
      <c r="K391" s="185"/>
      <c r="L391" s="184"/>
      <c r="M391" s="184"/>
      <c r="N391" s="184"/>
      <c r="O391" s="184"/>
      <c r="P391" s="184"/>
      <c r="Q391" s="184"/>
      <c r="R391" s="184"/>
      <c r="S391" s="186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6"/>
      <c r="AD391" s="184"/>
      <c r="AE391" s="184"/>
      <c r="AF391" s="184"/>
      <c r="AG391" s="186"/>
      <c r="AH391" s="184"/>
      <c r="AI391" s="187"/>
      <c r="AJ391" s="191"/>
      <c r="AK391" s="191"/>
      <c r="AL391" s="191"/>
      <c r="AM391" s="191"/>
    </row>
    <row r="392" spans="2:39" x14ac:dyDescent="0.25">
      <c r="B392" s="193"/>
      <c r="C392" s="183"/>
      <c r="D392" s="183"/>
      <c r="E392" s="183"/>
      <c r="F392" s="184"/>
      <c r="G392" s="184"/>
      <c r="H392" s="185"/>
      <c r="I392" s="185"/>
      <c r="J392" s="185"/>
      <c r="K392" s="185"/>
      <c r="L392" s="184"/>
      <c r="M392" s="184"/>
      <c r="N392" s="184"/>
      <c r="O392" s="184"/>
      <c r="P392" s="184"/>
      <c r="Q392" s="184"/>
      <c r="R392" s="184"/>
      <c r="S392" s="186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6"/>
      <c r="AD392" s="184"/>
      <c r="AE392" s="184"/>
      <c r="AF392" s="184"/>
      <c r="AG392" s="186"/>
      <c r="AH392" s="184"/>
      <c r="AI392" s="187"/>
      <c r="AJ392" s="191"/>
      <c r="AK392" s="191"/>
      <c r="AL392" s="191"/>
      <c r="AM392" s="191"/>
    </row>
    <row r="393" spans="2:39" x14ac:dyDescent="0.25">
      <c r="B393" s="193"/>
      <c r="C393" s="183"/>
      <c r="D393" s="183"/>
      <c r="E393" s="183"/>
      <c r="F393" s="184"/>
      <c r="G393" s="184"/>
      <c r="H393" s="185"/>
      <c r="I393" s="185"/>
      <c r="J393" s="185"/>
      <c r="K393" s="185"/>
      <c r="L393" s="184"/>
      <c r="M393" s="184"/>
      <c r="N393" s="184"/>
      <c r="O393" s="184"/>
      <c r="P393" s="184"/>
      <c r="Q393" s="184"/>
      <c r="R393" s="184"/>
      <c r="S393" s="186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6"/>
      <c r="AD393" s="184"/>
      <c r="AE393" s="184"/>
      <c r="AF393" s="184"/>
      <c r="AG393" s="186"/>
      <c r="AH393" s="184"/>
      <c r="AI393" s="187"/>
      <c r="AJ393" s="191"/>
      <c r="AK393" s="191"/>
      <c r="AL393" s="191"/>
      <c r="AM393" s="191"/>
    </row>
    <row r="394" spans="2:39" x14ac:dyDescent="0.25">
      <c r="B394" s="193"/>
      <c r="C394" s="183"/>
      <c r="D394" s="183"/>
      <c r="E394" s="183"/>
      <c r="F394" s="184"/>
      <c r="G394" s="184"/>
      <c r="H394" s="185"/>
      <c r="I394" s="185"/>
      <c r="J394" s="185"/>
      <c r="K394" s="185"/>
      <c r="L394" s="184"/>
      <c r="M394" s="184"/>
      <c r="N394" s="184"/>
      <c r="O394" s="184"/>
      <c r="P394" s="184"/>
      <c r="Q394" s="184"/>
      <c r="R394" s="184"/>
      <c r="S394" s="186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6"/>
      <c r="AD394" s="184"/>
      <c r="AE394" s="184"/>
      <c r="AF394" s="184"/>
      <c r="AG394" s="186"/>
      <c r="AH394" s="184"/>
      <c r="AI394" s="187"/>
      <c r="AJ394" s="191"/>
      <c r="AK394" s="191"/>
      <c r="AL394" s="191"/>
      <c r="AM394" s="191"/>
    </row>
    <row r="395" spans="2:39" x14ac:dyDescent="0.25">
      <c r="B395" s="193"/>
      <c r="C395" s="183"/>
      <c r="D395" s="183"/>
      <c r="E395" s="183"/>
      <c r="F395" s="184"/>
      <c r="G395" s="184"/>
      <c r="H395" s="185"/>
      <c r="I395" s="185"/>
      <c r="J395" s="185"/>
      <c r="K395" s="185"/>
      <c r="L395" s="184"/>
      <c r="M395" s="184"/>
      <c r="N395" s="184"/>
      <c r="O395" s="184"/>
      <c r="P395" s="184"/>
      <c r="Q395" s="184"/>
      <c r="R395" s="184"/>
      <c r="S395" s="186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6"/>
      <c r="AD395" s="184"/>
      <c r="AE395" s="184"/>
      <c r="AF395" s="184"/>
      <c r="AG395" s="186"/>
      <c r="AH395" s="184"/>
      <c r="AI395" s="187"/>
      <c r="AJ395" s="191"/>
      <c r="AK395" s="191"/>
      <c r="AL395" s="191"/>
      <c r="AM395" s="191"/>
    </row>
    <row r="396" spans="2:39" x14ac:dyDescent="0.25">
      <c r="B396" s="193"/>
      <c r="C396" s="183"/>
      <c r="D396" s="183"/>
      <c r="E396" s="183"/>
      <c r="F396" s="184"/>
      <c r="G396" s="184"/>
      <c r="H396" s="185"/>
      <c r="I396" s="185"/>
      <c r="J396" s="185"/>
      <c r="K396" s="185"/>
      <c r="L396" s="184"/>
      <c r="M396" s="184"/>
      <c r="N396" s="184"/>
      <c r="O396" s="184"/>
      <c r="P396" s="184"/>
      <c r="Q396" s="184"/>
      <c r="R396" s="184"/>
      <c r="S396" s="186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6"/>
      <c r="AD396" s="184"/>
      <c r="AE396" s="184"/>
      <c r="AF396" s="184"/>
      <c r="AG396" s="186"/>
      <c r="AH396" s="184"/>
      <c r="AI396" s="187"/>
      <c r="AJ396" s="191"/>
      <c r="AK396" s="191"/>
      <c r="AL396" s="191"/>
      <c r="AM396" s="191"/>
    </row>
    <row r="397" spans="2:39" x14ac:dyDescent="0.25">
      <c r="B397" s="193"/>
      <c r="C397" s="183"/>
      <c r="D397" s="183"/>
      <c r="E397" s="183"/>
      <c r="F397" s="184"/>
      <c r="G397" s="184"/>
      <c r="H397" s="185"/>
      <c r="I397" s="185"/>
      <c r="J397" s="185"/>
      <c r="K397" s="185"/>
      <c r="L397" s="184"/>
      <c r="M397" s="184"/>
      <c r="N397" s="184"/>
      <c r="O397" s="184"/>
      <c r="P397" s="184"/>
      <c r="Q397" s="184"/>
      <c r="R397" s="184"/>
      <c r="S397" s="186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6"/>
      <c r="AD397" s="184"/>
      <c r="AE397" s="184"/>
      <c r="AF397" s="184"/>
      <c r="AG397" s="186"/>
      <c r="AH397" s="184"/>
      <c r="AI397" s="187"/>
      <c r="AJ397" s="191"/>
      <c r="AK397" s="191"/>
      <c r="AL397" s="191"/>
      <c r="AM397" s="191"/>
    </row>
    <row r="398" spans="2:39" x14ac:dyDescent="0.25">
      <c r="B398" s="193"/>
      <c r="C398" s="183"/>
      <c r="D398" s="183"/>
      <c r="E398" s="183"/>
      <c r="F398" s="184"/>
      <c r="G398" s="184"/>
      <c r="H398" s="185"/>
      <c r="I398" s="185"/>
      <c r="J398" s="185"/>
      <c r="K398" s="185"/>
      <c r="L398" s="184"/>
      <c r="M398" s="184"/>
      <c r="N398" s="184"/>
      <c r="O398" s="184"/>
      <c r="P398" s="184"/>
      <c r="Q398" s="184"/>
      <c r="R398" s="184"/>
      <c r="S398" s="186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6"/>
      <c r="AD398" s="184"/>
      <c r="AE398" s="184"/>
      <c r="AF398" s="184"/>
      <c r="AG398" s="186"/>
      <c r="AH398" s="184"/>
      <c r="AI398" s="187"/>
      <c r="AJ398" s="191"/>
      <c r="AK398" s="191"/>
      <c r="AL398" s="191"/>
      <c r="AM398" s="191"/>
    </row>
    <row r="399" spans="2:39" x14ac:dyDescent="0.25">
      <c r="B399" s="193"/>
      <c r="C399" s="183"/>
      <c r="D399" s="183"/>
      <c r="E399" s="183"/>
      <c r="F399" s="184"/>
      <c r="G399" s="184"/>
      <c r="H399" s="185"/>
      <c r="I399" s="185"/>
      <c r="J399" s="185"/>
      <c r="K399" s="185"/>
      <c r="L399" s="184"/>
      <c r="M399" s="184"/>
      <c r="N399" s="184"/>
      <c r="O399" s="184"/>
      <c r="P399" s="184"/>
      <c r="Q399" s="184"/>
      <c r="R399" s="184"/>
      <c r="S399" s="186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6"/>
      <c r="AD399" s="184"/>
      <c r="AE399" s="184"/>
      <c r="AF399" s="184"/>
      <c r="AG399" s="186"/>
      <c r="AH399" s="184"/>
      <c r="AI399" s="187"/>
      <c r="AJ399" s="191"/>
      <c r="AK399" s="191"/>
      <c r="AL399" s="191"/>
      <c r="AM399" s="191"/>
    </row>
    <row r="400" spans="2:39" x14ac:dyDescent="0.25">
      <c r="B400" s="193"/>
      <c r="C400" s="183"/>
      <c r="D400" s="183"/>
      <c r="E400" s="183"/>
      <c r="F400" s="184"/>
      <c r="G400" s="184"/>
      <c r="H400" s="185"/>
      <c r="I400" s="185"/>
      <c r="J400" s="185"/>
      <c r="K400" s="185"/>
      <c r="L400" s="184"/>
      <c r="M400" s="184"/>
      <c r="N400" s="184"/>
      <c r="O400" s="184"/>
      <c r="P400" s="184"/>
      <c r="Q400" s="184"/>
      <c r="R400" s="184"/>
      <c r="S400" s="186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6"/>
      <c r="AD400" s="184"/>
      <c r="AE400" s="184"/>
      <c r="AF400" s="184"/>
      <c r="AG400" s="186"/>
      <c r="AH400" s="184"/>
      <c r="AI400" s="187"/>
      <c r="AJ400" s="191"/>
      <c r="AK400" s="191"/>
      <c r="AL400" s="191"/>
      <c r="AM400" s="191"/>
    </row>
    <row r="401" spans="2:39" x14ac:dyDescent="0.25">
      <c r="B401" s="193"/>
      <c r="C401" s="183"/>
      <c r="D401" s="183"/>
      <c r="E401" s="183"/>
      <c r="F401" s="184"/>
      <c r="G401" s="184"/>
      <c r="H401" s="185"/>
      <c r="I401" s="185"/>
      <c r="J401" s="185"/>
      <c r="K401" s="185"/>
      <c r="L401" s="184"/>
      <c r="M401" s="184"/>
      <c r="N401" s="184"/>
      <c r="O401" s="184"/>
      <c r="P401" s="184"/>
      <c r="Q401" s="184"/>
      <c r="R401" s="184"/>
      <c r="S401" s="186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6"/>
      <c r="AD401" s="184"/>
      <c r="AE401" s="184"/>
      <c r="AF401" s="184"/>
      <c r="AG401" s="186"/>
      <c r="AH401" s="184"/>
      <c r="AI401" s="187"/>
      <c r="AJ401" s="191"/>
      <c r="AK401" s="191"/>
      <c r="AL401" s="191"/>
      <c r="AM401" s="191"/>
    </row>
    <row r="402" spans="2:39" x14ac:dyDescent="0.25">
      <c r="B402" s="193"/>
      <c r="C402" s="183"/>
      <c r="D402" s="183"/>
      <c r="E402" s="183"/>
      <c r="F402" s="184"/>
      <c r="G402" s="184"/>
      <c r="H402" s="185"/>
      <c r="I402" s="185"/>
      <c r="J402" s="185"/>
      <c r="K402" s="185"/>
      <c r="L402" s="184"/>
      <c r="M402" s="184"/>
      <c r="N402" s="184"/>
      <c r="O402" s="184"/>
      <c r="P402" s="184"/>
      <c r="Q402" s="184"/>
      <c r="R402" s="184"/>
      <c r="S402" s="186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6"/>
      <c r="AD402" s="184"/>
      <c r="AE402" s="184"/>
      <c r="AF402" s="184"/>
      <c r="AG402" s="186"/>
      <c r="AH402" s="184"/>
      <c r="AI402" s="187"/>
      <c r="AJ402" s="191"/>
      <c r="AK402" s="191"/>
      <c r="AL402" s="191"/>
      <c r="AM402" s="191"/>
    </row>
    <row r="403" spans="2:39" x14ac:dyDescent="0.25">
      <c r="B403" s="193"/>
      <c r="C403" s="183"/>
      <c r="D403" s="183"/>
      <c r="E403" s="183"/>
      <c r="F403" s="184"/>
      <c r="G403" s="184"/>
      <c r="H403" s="185"/>
      <c r="I403" s="185"/>
      <c r="J403" s="185"/>
      <c r="K403" s="185"/>
      <c r="L403" s="184"/>
      <c r="M403" s="184"/>
      <c r="N403" s="184"/>
      <c r="O403" s="184"/>
      <c r="P403" s="184"/>
      <c r="Q403" s="184"/>
      <c r="R403" s="184"/>
      <c r="S403" s="186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6"/>
      <c r="AD403" s="184"/>
      <c r="AE403" s="184"/>
      <c r="AF403" s="184"/>
      <c r="AG403" s="186"/>
      <c r="AH403" s="184"/>
      <c r="AI403" s="187"/>
      <c r="AJ403" s="191"/>
      <c r="AK403" s="191"/>
      <c r="AL403" s="191"/>
      <c r="AM403" s="191"/>
    </row>
    <row r="404" spans="2:39" x14ac:dyDescent="0.25">
      <c r="B404" s="193"/>
      <c r="C404" s="183"/>
      <c r="D404" s="183"/>
      <c r="E404" s="183"/>
      <c r="F404" s="184"/>
      <c r="G404" s="184"/>
      <c r="H404" s="185"/>
      <c r="I404" s="185"/>
      <c r="J404" s="185"/>
      <c r="K404" s="185"/>
      <c r="L404" s="184"/>
      <c r="M404" s="184"/>
      <c r="N404" s="184"/>
      <c r="O404" s="184"/>
      <c r="P404" s="184"/>
      <c r="Q404" s="184"/>
      <c r="R404" s="184"/>
      <c r="S404" s="186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6"/>
      <c r="AD404" s="184"/>
      <c r="AE404" s="184"/>
      <c r="AF404" s="184"/>
      <c r="AG404" s="186"/>
      <c r="AH404" s="184"/>
      <c r="AI404" s="187"/>
      <c r="AJ404" s="191"/>
      <c r="AK404" s="191"/>
      <c r="AL404" s="191"/>
      <c r="AM404" s="191"/>
    </row>
    <row r="405" spans="2:39" x14ac:dyDescent="0.25">
      <c r="B405" s="193"/>
      <c r="C405" s="183"/>
      <c r="D405" s="183"/>
      <c r="E405" s="183"/>
      <c r="F405" s="184"/>
      <c r="G405" s="184"/>
      <c r="H405" s="185"/>
      <c r="I405" s="185"/>
      <c r="J405" s="185"/>
      <c r="K405" s="185"/>
      <c r="L405" s="184"/>
      <c r="M405" s="184"/>
      <c r="N405" s="184"/>
      <c r="O405" s="184"/>
      <c r="P405" s="184"/>
      <c r="Q405" s="184"/>
      <c r="R405" s="184"/>
      <c r="S405" s="186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6"/>
      <c r="AD405" s="184"/>
      <c r="AE405" s="184"/>
      <c r="AF405" s="184"/>
      <c r="AG405" s="186"/>
      <c r="AH405" s="184"/>
      <c r="AI405" s="187"/>
      <c r="AJ405" s="191"/>
      <c r="AK405" s="191"/>
      <c r="AL405" s="191"/>
      <c r="AM405" s="191"/>
    </row>
    <row r="406" spans="2:39" x14ac:dyDescent="0.25">
      <c r="B406" s="193"/>
      <c r="C406" s="183"/>
      <c r="D406" s="183"/>
      <c r="E406" s="183"/>
      <c r="F406" s="184"/>
      <c r="G406" s="184"/>
      <c r="H406" s="185"/>
      <c r="I406" s="185"/>
      <c r="J406" s="185"/>
      <c r="K406" s="185"/>
      <c r="L406" s="184"/>
      <c r="M406" s="184"/>
      <c r="N406" s="184"/>
      <c r="O406" s="184"/>
      <c r="P406" s="184"/>
      <c r="Q406" s="184"/>
      <c r="R406" s="184"/>
      <c r="S406" s="186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6"/>
      <c r="AD406" s="184"/>
      <c r="AE406" s="184"/>
      <c r="AF406" s="184"/>
      <c r="AG406" s="186"/>
      <c r="AH406" s="184"/>
      <c r="AI406" s="187"/>
      <c r="AJ406" s="191"/>
      <c r="AK406" s="191"/>
      <c r="AL406" s="191"/>
      <c r="AM406" s="191"/>
    </row>
    <row r="407" spans="2:39" x14ac:dyDescent="0.25">
      <c r="B407" s="193"/>
      <c r="C407" s="183"/>
      <c r="D407" s="183"/>
      <c r="E407" s="183"/>
      <c r="F407" s="184"/>
      <c r="G407" s="184"/>
      <c r="H407" s="185"/>
      <c r="I407" s="185"/>
      <c r="J407" s="185"/>
      <c r="K407" s="185"/>
      <c r="L407" s="184"/>
      <c r="M407" s="184"/>
      <c r="N407" s="184"/>
      <c r="O407" s="184"/>
      <c r="P407" s="184"/>
      <c r="Q407" s="184"/>
      <c r="R407" s="184"/>
      <c r="S407" s="186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6"/>
      <c r="AD407" s="184"/>
      <c r="AE407" s="184"/>
      <c r="AF407" s="184"/>
      <c r="AG407" s="186"/>
      <c r="AH407" s="184"/>
      <c r="AI407" s="187"/>
      <c r="AJ407" s="191"/>
      <c r="AK407" s="191"/>
      <c r="AL407" s="191"/>
      <c r="AM407" s="191"/>
    </row>
    <row r="408" spans="2:39" x14ac:dyDescent="0.25">
      <c r="B408" s="193"/>
      <c r="C408" s="183"/>
      <c r="D408" s="183"/>
      <c r="E408" s="183"/>
      <c r="F408" s="184"/>
      <c r="G408" s="184"/>
      <c r="H408" s="185"/>
      <c r="I408" s="185"/>
      <c r="J408" s="185"/>
      <c r="K408" s="185"/>
      <c r="L408" s="184"/>
      <c r="M408" s="184"/>
      <c r="N408" s="184"/>
      <c r="O408" s="184"/>
      <c r="P408" s="184"/>
      <c r="Q408" s="184"/>
      <c r="R408" s="184"/>
      <c r="S408" s="186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6"/>
      <c r="AD408" s="184"/>
      <c r="AE408" s="184"/>
      <c r="AF408" s="184"/>
      <c r="AG408" s="186"/>
      <c r="AH408" s="184"/>
      <c r="AI408" s="187"/>
      <c r="AJ408" s="191"/>
      <c r="AK408" s="191"/>
      <c r="AL408" s="191"/>
      <c r="AM408" s="191"/>
    </row>
    <row r="409" spans="2:39" x14ac:dyDescent="0.25">
      <c r="B409" s="193"/>
      <c r="C409" s="183"/>
      <c r="D409" s="183"/>
      <c r="E409" s="183"/>
      <c r="F409" s="184"/>
      <c r="G409" s="184"/>
      <c r="H409" s="185"/>
      <c r="I409" s="185"/>
      <c r="J409" s="185"/>
      <c r="K409" s="185"/>
      <c r="L409" s="184"/>
      <c r="M409" s="184"/>
      <c r="N409" s="184"/>
      <c r="O409" s="184"/>
      <c r="P409" s="184"/>
      <c r="Q409" s="184"/>
      <c r="R409" s="184"/>
      <c r="S409" s="186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6"/>
      <c r="AD409" s="184"/>
      <c r="AE409" s="184"/>
      <c r="AF409" s="184"/>
      <c r="AG409" s="186"/>
      <c r="AH409" s="184"/>
      <c r="AI409" s="187"/>
      <c r="AJ409" s="191"/>
      <c r="AK409" s="191"/>
      <c r="AL409" s="191"/>
      <c r="AM409" s="191"/>
    </row>
    <row r="410" spans="2:39" x14ac:dyDescent="0.25">
      <c r="B410" s="193"/>
      <c r="C410" s="183"/>
      <c r="D410" s="183"/>
      <c r="E410" s="183"/>
      <c r="F410" s="184"/>
      <c r="G410" s="184"/>
      <c r="H410" s="185"/>
      <c r="I410" s="185"/>
      <c r="J410" s="185"/>
      <c r="K410" s="185"/>
      <c r="L410" s="184"/>
      <c r="M410" s="184"/>
      <c r="N410" s="184"/>
      <c r="O410" s="184"/>
      <c r="P410" s="184"/>
      <c r="Q410" s="184"/>
      <c r="R410" s="184"/>
      <c r="S410" s="186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6"/>
      <c r="AD410" s="184"/>
      <c r="AE410" s="184"/>
      <c r="AF410" s="184"/>
      <c r="AG410" s="186"/>
      <c r="AH410" s="184"/>
      <c r="AI410" s="187"/>
      <c r="AJ410" s="191"/>
      <c r="AK410" s="191"/>
      <c r="AL410" s="191"/>
      <c r="AM410" s="191"/>
    </row>
    <row r="411" spans="2:39" x14ac:dyDescent="0.25">
      <c r="B411" s="193"/>
      <c r="C411" s="183"/>
      <c r="D411" s="183"/>
      <c r="E411" s="183"/>
      <c r="F411" s="184"/>
      <c r="G411" s="184"/>
      <c r="H411" s="185"/>
      <c r="I411" s="185"/>
      <c r="J411" s="185"/>
      <c r="K411" s="185"/>
      <c r="L411" s="184"/>
      <c r="M411" s="184"/>
      <c r="N411" s="184"/>
      <c r="O411" s="184"/>
      <c r="P411" s="184"/>
      <c r="Q411" s="184"/>
      <c r="R411" s="184"/>
      <c r="S411" s="186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6"/>
      <c r="AD411" s="184"/>
      <c r="AE411" s="184"/>
      <c r="AF411" s="184"/>
      <c r="AG411" s="186"/>
      <c r="AH411" s="184"/>
      <c r="AI411" s="187"/>
      <c r="AJ411" s="191"/>
      <c r="AK411" s="191"/>
      <c r="AL411" s="191"/>
      <c r="AM411" s="191"/>
    </row>
    <row r="412" spans="2:39" x14ac:dyDescent="0.25">
      <c r="B412" s="193"/>
      <c r="C412" s="183"/>
      <c r="D412" s="183"/>
      <c r="E412" s="183"/>
      <c r="F412" s="184"/>
      <c r="G412" s="184"/>
      <c r="H412" s="185"/>
      <c r="I412" s="185"/>
      <c r="J412" s="185"/>
      <c r="K412" s="185"/>
      <c r="L412" s="184"/>
      <c r="M412" s="184"/>
      <c r="N412" s="184"/>
      <c r="O412" s="184"/>
      <c r="P412" s="184"/>
      <c r="Q412" s="184"/>
      <c r="R412" s="184"/>
      <c r="S412" s="186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6"/>
      <c r="AD412" s="184"/>
      <c r="AE412" s="184"/>
      <c r="AF412" s="184"/>
      <c r="AG412" s="186"/>
      <c r="AH412" s="184"/>
      <c r="AI412" s="187"/>
      <c r="AJ412" s="191"/>
      <c r="AK412" s="191"/>
      <c r="AL412" s="191"/>
      <c r="AM412" s="191"/>
    </row>
    <row r="413" spans="2:39" x14ac:dyDescent="0.25">
      <c r="B413" s="193"/>
      <c r="C413" s="183"/>
      <c r="D413" s="183"/>
      <c r="E413" s="183"/>
      <c r="F413" s="184"/>
      <c r="G413" s="184"/>
      <c r="H413" s="185"/>
      <c r="I413" s="185"/>
      <c r="J413" s="185"/>
      <c r="K413" s="185"/>
      <c r="L413" s="184"/>
      <c r="M413" s="184"/>
      <c r="N413" s="184"/>
      <c r="O413" s="184"/>
      <c r="P413" s="184"/>
      <c r="Q413" s="184"/>
      <c r="R413" s="184"/>
      <c r="S413" s="186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6"/>
      <c r="AD413" s="184"/>
      <c r="AE413" s="184"/>
      <c r="AF413" s="184"/>
      <c r="AG413" s="186"/>
      <c r="AH413" s="184"/>
      <c r="AI413" s="187"/>
      <c r="AJ413" s="191"/>
      <c r="AK413" s="191"/>
      <c r="AL413" s="191"/>
      <c r="AM413" s="191"/>
    </row>
    <row r="414" spans="2:39" x14ac:dyDescent="0.25">
      <c r="B414" s="193"/>
      <c r="C414" s="183"/>
      <c r="D414" s="183"/>
      <c r="E414" s="183"/>
      <c r="F414" s="184"/>
      <c r="G414" s="184"/>
      <c r="H414" s="185"/>
      <c r="I414" s="185"/>
      <c r="J414" s="185"/>
      <c r="K414" s="185"/>
      <c r="L414" s="184"/>
      <c r="M414" s="184"/>
      <c r="N414" s="184"/>
      <c r="O414" s="184"/>
      <c r="P414" s="184"/>
      <c r="Q414" s="184"/>
      <c r="R414" s="184"/>
      <c r="S414" s="186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6"/>
      <c r="AD414" s="184"/>
      <c r="AE414" s="184"/>
      <c r="AF414" s="184"/>
      <c r="AG414" s="186"/>
      <c r="AH414" s="184"/>
      <c r="AI414" s="187"/>
      <c r="AJ414" s="191"/>
      <c r="AK414" s="191"/>
      <c r="AL414" s="191"/>
      <c r="AM414" s="191"/>
    </row>
    <row r="415" spans="2:39" x14ac:dyDescent="0.25">
      <c r="B415" s="193"/>
      <c r="C415" s="183"/>
      <c r="D415" s="183"/>
      <c r="E415" s="183"/>
      <c r="F415" s="184"/>
      <c r="G415" s="184"/>
      <c r="H415" s="185"/>
      <c r="I415" s="185"/>
      <c r="J415" s="185"/>
      <c r="K415" s="185"/>
      <c r="L415" s="184"/>
      <c r="M415" s="184"/>
      <c r="N415" s="184"/>
      <c r="O415" s="184"/>
      <c r="P415" s="184"/>
      <c r="Q415" s="184"/>
      <c r="R415" s="184"/>
      <c r="S415" s="186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6"/>
      <c r="AD415" s="184"/>
      <c r="AE415" s="184"/>
      <c r="AF415" s="184"/>
      <c r="AG415" s="186"/>
      <c r="AH415" s="184"/>
      <c r="AI415" s="187"/>
      <c r="AJ415" s="191"/>
      <c r="AK415" s="191"/>
      <c r="AL415" s="191"/>
      <c r="AM415" s="191"/>
    </row>
    <row r="416" spans="2:39" x14ac:dyDescent="0.25">
      <c r="B416" s="193"/>
      <c r="C416" s="183"/>
      <c r="D416" s="183"/>
      <c r="E416" s="183"/>
      <c r="F416" s="184"/>
      <c r="G416" s="184"/>
      <c r="H416" s="185"/>
      <c r="I416" s="185"/>
      <c r="J416" s="185"/>
      <c r="K416" s="185"/>
      <c r="L416" s="184"/>
      <c r="M416" s="184"/>
      <c r="N416" s="184"/>
      <c r="O416" s="184"/>
      <c r="P416" s="184"/>
      <c r="Q416" s="184"/>
      <c r="R416" s="184"/>
      <c r="S416" s="186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6"/>
      <c r="AD416" s="184"/>
      <c r="AE416" s="184"/>
      <c r="AF416" s="184"/>
      <c r="AG416" s="186"/>
      <c r="AH416" s="184"/>
      <c r="AI416" s="187"/>
      <c r="AJ416" s="191"/>
      <c r="AK416" s="191"/>
      <c r="AL416" s="191"/>
      <c r="AM416" s="191"/>
    </row>
    <row r="417" spans="2:39" x14ac:dyDescent="0.25">
      <c r="B417" s="193"/>
      <c r="C417" s="183"/>
      <c r="D417" s="183"/>
      <c r="E417" s="183"/>
      <c r="F417" s="184"/>
      <c r="G417" s="184"/>
      <c r="H417" s="185"/>
      <c r="I417" s="185"/>
      <c r="J417" s="185"/>
      <c r="K417" s="185"/>
      <c r="L417" s="184"/>
      <c r="M417" s="184"/>
      <c r="N417" s="184"/>
      <c r="O417" s="184"/>
      <c r="P417" s="184"/>
      <c r="Q417" s="184"/>
      <c r="R417" s="184"/>
      <c r="S417" s="186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6"/>
      <c r="AD417" s="184"/>
      <c r="AE417" s="184"/>
      <c r="AF417" s="184"/>
      <c r="AG417" s="186"/>
      <c r="AH417" s="184"/>
      <c r="AI417" s="187"/>
      <c r="AJ417" s="191"/>
      <c r="AK417" s="191"/>
      <c r="AL417" s="191"/>
      <c r="AM417" s="191"/>
    </row>
    <row r="418" spans="2:39" x14ac:dyDescent="0.25">
      <c r="B418" s="193"/>
      <c r="C418" s="183"/>
      <c r="D418" s="183"/>
      <c r="E418" s="183"/>
      <c r="F418" s="184"/>
      <c r="G418" s="184"/>
      <c r="H418" s="185"/>
      <c r="I418" s="185"/>
      <c r="J418" s="185"/>
      <c r="K418" s="185"/>
      <c r="L418" s="184"/>
      <c r="M418" s="184"/>
      <c r="N418" s="184"/>
      <c r="O418" s="184"/>
      <c r="P418" s="184"/>
      <c r="Q418" s="184"/>
      <c r="R418" s="184"/>
      <c r="S418" s="186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6"/>
      <c r="AD418" s="184"/>
      <c r="AE418" s="184"/>
      <c r="AF418" s="184"/>
      <c r="AG418" s="186"/>
      <c r="AH418" s="184"/>
      <c r="AI418" s="187"/>
      <c r="AJ418" s="191"/>
      <c r="AK418" s="191"/>
      <c r="AL418" s="191"/>
      <c r="AM418" s="191"/>
    </row>
    <row r="419" spans="2:39" x14ac:dyDescent="0.25">
      <c r="B419" s="193"/>
      <c r="C419" s="183"/>
      <c r="D419" s="183"/>
      <c r="E419" s="183"/>
      <c r="F419" s="184"/>
      <c r="G419" s="184"/>
      <c r="H419" s="185"/>
      <c r="I419" s="185"/>
      <c r="J419" s="185"/>
      <c r="K419" s="185"/>
      <c r="L419" s="184"/>
      <c r="M419" s="184"/>
      <c r="N419" s="184"/>
      <c r="O419" s="184"/>
      <c r="P419" s="184"/>
      <c r="Q419" s="184"/>
      <c r="R419" s="184"/>
      <c r="S419" s="186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6"/>
      <c r="AD419" s="184"/>
      <c r="AE419" s="184"/>
      <c r="AF419" s="184"/>
      <c r="AG419" s="186"/>
      <c r="AH419" s="184"/>
      <c r="AI419" s="187"/>
      <c r="AJ419" s="191"/>
      <c r="AK419" s="191"/>
      <c r="AL419" s="191"/>
      <c r="AM419" s="191"/>
    </row>
    <row r="420" spans="2:39" x14ac:dyDescent="0.25">
      <c r="B420" s="193"/>
      <c r="C420" s="183"/>
      <c r="D420" s="183"/>
      <c r="E420" s="183"/>
      <c r="F420" s="184"/>
      <c r="G420" s="184"/>
      <c r="H420" s="185"/>
      <c r="I420" s="185"/>
      <c r="J420" s="185"/>
      <c r="K420" s="185"/>
      <c r="L420" s="184"/>
      <c r="M420" s="184"/>
      <c r="N420" s="184"/>
      <c r="O420" s="184"/>
      <c r="P420" s="184"/>
      <c r="Q420" s="184"/>
      <c r="R420" s="184"/>
      <c r="S420" s="186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6"/>
      <c r="AD420" s="184"/>
      <c r="AE420" s="184"/>
      <c r="AF420" s="184"/>
      <c r="AG420" s="186"/>
      <c r="AH420" s="184"/>
      <c r="AI420" s="187"/>
      <c r="AJ420" s="191"/>
      <c r="AK420" s="191"/>
      <c r="AL420" s="191"/>
      <c r="AM420" s="191"/>
    </row>
    <row r="421" spans="2:39" x14ac:dyDescent="0.25">
      <c r="B421" s="193"/>
      <c r="C421" s="183"/>
      <c r="D421" s="183"/>
      <c r="E421" s="183"/>
      <c r="F421" s="184"/>
      <c r="G421" s="184"/>
      <c r="H421" s="185"/>
      <c r="I421" s="185"/>
      <c r="J421" s="185"/>
      <c r="K421" s="185"/>
      <c r="L421" s="184"/>
      <c r="M421" s="184"/>
      <c r="N421" s="184"/>
      <c r="O421" s="184"/>
      <c r="P421" s="184"/>
      <c r="Q421" s="184"/>
      <c r="R421" s="184"/>
      <c r="S421" s="186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6"/>
      <c r="AD421" s="184"/>
      <c r="AE421" s="184"/>
      <c r="AF421" s="184"/>
      <c r="AG421" s="186"/>
      <c r="AH421" s="184"/>
      <c r="AI421" s="187"/>
      <c r="AJ421" s="191"/>
      <c r="AK421" s="191"/>
      <c r="AL421" s="191"/>
      <c r="AM421" s="191"/>
    </row>
    <row r="422" spans="2:39" x14ac:dyDescent="0.25">
      <c r="B422" s="193"/>
      <c r="C422" s="183"/>
      <c r="D422" s="183"/>
      <c r="E422" s="183"/>
      <c r="F422" s="184"/>
      <c r="G422" s="184"/>
      <c r="H422" s="185"/>
      <c r="I422" s="185"/>
      <c r="J422" s="185"/>
      <c r="K422" s="185"/>
      <c r="L422" s="184"/>
      <c r="M422" s="184"/>
      <c r="N422" s="184"/>
      <c r="O422" s="184"/>
      <c r="P422" s="184"/>
      <c r="Q422" s="184"/>
      <c r="R422" s="184"/>
      <c r="S422" s="186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6"/>
      <c r="AD422" s="184"/>
      <c r="AE422" s="184"/>
      <c r="AF422" s="184"/>
      <c r="AG422" s="186"/>
      <c r="AH422" s="184"/>
      <c r="AI422" s="187"/>
      <c r="AJ422" s="191"/>
      <c r="AK422" s="191"/>
      <c r="AL422" s="191"/>
      <c r="AM422" s="191"/>
    </row>
    <row r="423" spans="2:39" x14ac:dyDescent="0.25">
      <c r="B423" s="193"/>
      <c r="C423" s="183"/>
      <c r="D423" s="183"/>
      <c r="E423" s="183"/>
      <c r="F423" s="184"/>
      <c r="G423" s="184"/>
      <c r="H423" s="185"/>
      <c r="I423" s="185"/>
      <c r="J423" s="185"/>
      <c r="K423" s="185"/>
      <c r="L423" s="184"/>
      <c r="M423" s="184"/>
      <c r="N423" s="184"/>
      <c r="O423" s="184"/>
      <c r="P423" s="184"/>
      <c r="Q423" s="184"/>
      <c r="R423" s="184"/>
      <c r="S423" s="186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6"/>
      <c r="AD423" s="184"/>
      <c r="AE423" s="184"/>
      <c r="AF423" s="184"/>
      <c r="AG423" s="186"/>
      <c r="AH423" s="184"/>
      <c r="AI423" s="187"/>
      <c r="AJ423" s="191"/>
      <c r="AK423" s="191"/>
      <c r="AL423" s="191"/>
      <c r="AM423" s="191"/>
    </row>
    <row r="424" spans="2:39" x14ac:dyDescent="0.25">
      <c r="B424" s="193"/>
      <c r="C424" s="183"/>
      <c r="D424" s="183"/>
      <c r="E424" s="183"/>
      <c r="F424" s="184"/>
      <c r="G424" s="184"/>
      <c r="H424" s="185"/>
      <c r="I424" s="185"/>
      <c r="J424" s="185"/>
      <c r="K424" s="185"/>
      <c r="L424" s="184"/>
      <c r="M424" s="184"/>
      <c r="N424" s="184"/>
      <c r="O424" s="184"/>
      <c r="P424" s="184"/>
      <c r="Q424" s="184"/>
      <c r="R424" s="184"/>
      <c r="S424" s="186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6"/>
      <c r="AD424" s="184"/>
      <c r="AE424" s="184"/>
      <c r="AF424" s="184"/>
      <c r="AG424" s="186"/>
      <c r="AH424" s="184"/>
      <c r="AI424" s="187"/>
      <c r="AJ424" s="191"/>
      <c r="AK424" s="191"/>
      <c r="AL424" s="191"/>
      <c r="AM424" s="191"/>
    </row>
    <row r="425" spans="2:39" x14ac:dyDescent="0.25">
      <c r="B425" s="193"/>
      <c r="C425" s="183"/>
      <c r="D425" s="183"/>
      <c r="E425" s="183"/>
      <c r="F425" s="184"/>
      <c r="G425" s="184"/>
      <c r="H425" s="185"/>
      <c r="I425" s="185"/>
      <c r="J425" s="185"/>
      <c r="K425" s="185"/>
      <c r="L425" s="184"/>
      <c r="M425" s="184"/>
      <c r="N425" s="184"/>
      <c r="O425" s="184"/>
      <c r="P425" s="184"/>
      <c r="Q425" s="184"/>
      <c r="R425" s="184"/>
      <c r="S425" s="186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6"/>
      <c r="AD425" s="184"/>
      <c r="AE425" s="184"/>
      <c r="AF425" s="184"/>
      <c r="AG425" s="186"/>
      <c r="AH425" s="184"/>
      <c r="AI425" s="187"/>
      <c r="AJ425" s="191"/>
      <c r="AK425" s="191"/>
      <c r="AL425" s="191"/>
      <c r="AM425" s="191"/>
    </row>
    <row r="426" spans="2:39" x14ac:dyDescent="0.25">
      <c r="B426" s="193"/>
      <c r="C426" s="183"/>
      <c r="D426" s="183"/>
      <c r="E426" s="183"/>
      <c r="F426" s="184"/>
      <c r="G426" s="184"/>
      <c r="H426" s="185"/>
      <c r="I426" s="185"/>
      <c r="J426" s="185"/>
      <c r="K426" s="185"/>
      <c r="L426" s="184"/>
      <c r="M426" s="184"/>
      <c r="N426" s="184"/>
      <c r="O426" s="184"/>
      <c r="P426" s="184"/>
      <c r="Q426" s="184"/>
      <c r="R426" s="184"/>
      <c r="S426" s="186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6"/>
      <c r="AD426" s="184"/>
      <c r="AE426" s="184"/>
      <c r="AF426" s="184"/>
      <c r="AG426" s="186"/>
      <c r="AH426" s="184"/>
      <c r="AI426" s="187"/>
      <c r="AJ426" s="191"/>
      <c r="AK426" s="191"/>
      <c r="AL426" s="191"/>
      <c r="AM426" s="191"/>
    </row>
    <row r="427" spans="2:39" x14ac:dyDescent="0.25">
      <c r="B427" s="193"/>
      <c r="C427" s="183"/>
      <c r="D427" s="183"/>
      <c r="E427" s="183"/>
      <c r="F427" s="184"/>
      <c r="G427" s="184"/>
      <c r="H427" s="185"/>
      <c r="I427" s="185"/>
      <c r="J427" s="185"/>
      <c r="K427" s="185"/>
      <c r="L427" s="184"/>
      <c r="M427" s="184"/>
      <c r="N427" s="184"/>
      <c r="O427" s="184"/>
      <c r="P427" s="184"/>
      <c r="Q427" s="184"/>
      <c r="R427" s="184"/>
      <c r="S427" s="186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6"/>
      <c r="AD427" s="184"/>
      <c r="AE427" s="184"/>
      <c r="AF427" s="184"/>
      <c r="AG427" s="186"/>
      <c r="AH427" s="184"/>
      <c r="AI427" s="187"/>
      <c r="AJ427" s="191"/>
      <c r="AK427" s="191"/>
      <c r="AL427" s="191"/>
      <c r="AM427" s="191"/>
    </row>
    <row r="428" spans="2:39" x14ac:dyDescent="0.25">
      <c r="B428" s="193"/>
      <c r="C428" s="183"/>
      <c r="D428" s="183"/>
      <c r="E428" s="183"/>
      <c r="F428" s="184"/>
      <c r="G428" s="184"/>
      <c r="H428" s="185"/>
      <c r="I428" s="185"/>
      <c r="J428" s="185"/>
      <c r="K428" s="185"/>
      <c r="L428" s="184"/>
      <c r="M428" s="184"/>
      <c r="N428" s="184"/>
      <c r="O428" s="184"/>
      <c r="P428" s="184"/>
      <c r="Q428" s="184"/>
      <c r="R428" s="184"/>
      <c r="S428" s="186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6"/>
      <c r="AD428" s="184"/>
      <c r="AE428" s="184"/>
      <c r="AF428" s="184"/>
      <c r="AG428" s="186"/>
      <c r="AH428" s="184"/>
      <c r="AI428" s="187"/>
      <c r="AJ428" s="191"/>
      <c r="AK428" s="191"/>
      <c r="AL428" s="191"/>
      <c r="AM428" s="191"/>
    </row>
    <row r="429" spans="2:39" x14ac:dyDescent="0.25">
      <c r="B429" s="193"/>
      <c r="C429" s="183"/>
      <c r="D429" s="183"/>
      <c r="E429" s="183"/>
      <c r="F429" s="184"/>
      <c r="G429" s="184"/>
      <c r="H429" s="185"/>
      <c r="I429" s="185"/>
      <c r="J429" s="185"/>
      <c r="K429" s="185"/>
      <c r="L429" s="184"/>
      <c r="M429" s="184"/>
      <c r="N429" s="184"/>
      <c r="O429" s="184"/>
      <c r="P429" s="184"/>
      <c r="Q429" s="184"/>
      <c r="R429" s="184"/>
      <c r="S429" s="186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6"/>
      <c r="AD429" s="184"/>
      <c r="AE429" s="184"/>
      <c r="AF429" s="184"/>
      <c r="AG429" s="186"/>
      <c r="AH429" s="184"/>
      <c r="AI429" s="187"/>
      <c r="AJ429" s="191"/>
      <c r="AK429" s="191"/>
      <c r="AL429" s="191"/>
      <c r="AM429" s="191"/>
    </row>
    <row r="430" spans="2:39" x14ac:dyDescent="0.25">
      <c r="B430" s="193"/>
      <c r="C430" s="183"/>
      <c r="D430" s="183"/>
      <c r="E430" s="183"/>
      <c r="F430" s="184"/>
      <c r="G430" s="184"/>
      <c r="H430" s="185"/>
      <c r="I430" s="185"/>
      <c r="J430" s="185"/>
      <c r="K430" s="185"/>
      <c r="L430" s="184"/>
      <c r="M430" s="184"/>
      <c r="N430" s="184"/>
      <c r="O430" s="184"/>
      <c r="P430" s="184"/>
      <c r="Q430" s="184"/>
      <c r="R430" s="184"/>
      <c r="S430" s="186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6"/>
      <c r="AD430" s="184"/>
      <c r="AE430" s="184"/>
      <c r="AF430" s="184"/>
      <c r="AG430" s="186"/>
      <c r="AH430" s="184"/>
      <c r="AI430" s="187"/>
      <c r="AJ430" s="191"/>
      <c r="AK430" s="191"/>
      <c r="AL430" s="191"/>
      <c r="AM430" s="191"/>
    </row>
    <row r="431" spans="2:39" x14ac:dyDescent="0.25">
      <c r="B431" s="193"/>
      <c r="C431" s="183"/>
      <c r="D431" s="183"/>
      <c r="E431" s="183"/>
      <c r="F431" s="184"/>
      <c r="G431" s="184"/>
      <c r="H431" s="185"/>
      <c r="I431" s="185"/>
      <c r="J431" s="185"/>
      <c r="K431" s="185"/>
      <c r="L431" s="184"/>
      <c r="M431" s="184"/>
      <c r="N431" s="184"/>
      <c r="O431" s="184"/>
      <c r="P431" s="184"/>
      <c r="Q431" s="184"/>
      <c r="R431" s="184"/>
      <c r="S431" s="186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6"/>
      <c r="AD431" s="184"/>
      <c r="AE431" s="184"/>
      <c r="AF431" s="184"/>
      <c r="AG431" s="186"/>
      <c r="AH431" s="184"/>
      <c r="AI431" s="187"/>
      <c r="AJ431" s="191"/>
      <c r="AK431" s="191"/>
      <c r="AL431" s="191"/>
      <c r="AM431" s="191"/>
    </row>
    <row r="432" spans="2:39" x14ac:dyDescent="0.25">
      <c r="B432" s="193"/>
      <c r="C432" s="183"/>
      <c r="D432" s="183"/>
      <c r="E432" s="183"/>
      <c r="F432" s="184"/>
      <c r="G432" s="184"/>
      <c r="H432" s="185"/>
      <c r="I432" s="185"/>
      <c r="J432" s="185"/>
      <c r="K432" s="185"/>
      <c r="L432" s="184"/>
      <c r="M432" s="184"/>
      <c r="N432" s="184"/>
      <c r="O432" s="184"/>
      <c r="P432" s="184"/>
      <c r="Q432" s="184"/>
      <c r="R432" s="184"/>
      <c r="S432" s="186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6"/>
      <c r="AD432" s="184"/>
      <c r="AE432" s="184"/>
      <c r="AF432" s="184"/>
      <c r="AG432" s="186"/>
      <c r="AH432" s="184"/>
      <c r="AI432" s="187"/>
      <c r="AJ432" s="191"/>
      <c r="AK432" s="191"/>
      <c r="AL432" s="191"/>
      <c r="AM432" s="191"/>
    </row>
    <row r="433" spans="2:39" x14ac:dyDescent="0.25">
      <c r="B433" s="193"/>
      <c r="C433" s="183"/>
      <c r="D433" s="183"/>
      <c r="E433" s="183"/>
      <c r="F433" s="184"/>
      <c r="G433" s="184"/>
      <c r="H433" s="185"/>
      <c r="I433" s="185"/>
      <c r="J433" s="185"/>
      <c r="K433" s="185"/>
      <c r="L433" s="184"/>
      <c r="M433" s="184"/>
      <c r="N433" s="184"/>
      <c r="O433" s="184"/>
      <c r="P433" s="184"/>
      <c r="Q433" s="184"/>
      <c r="R433" s="184"/>
      <c r="S433" s="186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6"/>
      <c r="AD433" s="184"/>
      <c r="AE433" s="184"/>
      <c r="AF433" s="184"/>
      <c r="AG433" s="186"/>
      <c r="AH433" s="184"/>
      <c r="AI433" s="187"/>
      <c r="AJ433" s="191"/>
      <c r="AK433" s="191"/>
      <c r="AL433" s="191"/>
      <c r="AM433" s="191"/>
    </row>
    <row r="434" spans="2:39" x14ac:dyDescent="0.25">
      <c r="B434" s="193"/>
      <c r="C434" s="183"/>
      <c r="D434" s="183"/>
      <c r="E434" s="183"/>
      <c r="F434" s="184"/>
      <c r="G434" s="184"/>
      <c r="H434" s="185"/>
      <c r="I434" s="185"/>
      <c r="J434" s="185"/>
      <c r="K434" s="185"/>
      <c r="L434" s="184"/>
      <c r="M434" s="184"/>
      <c r="N434" s="184"/>
      <c r="O434" s="184"/>
      <c r="P434" s="184"/>
      <c r="Q434" s="184"/>
      <c r="R434" s="184"/>
      <c r="S434" s="186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6"/>
      <c r="AD434" s="184"/>
      <c r="AE434" s="184"/>
      <c r="AF434" s="184"/>
      <c r="AG434" s="186"/>
      <c r="AH434" s="184"/>
      <c r="AI434" s="187"/>
      <c r="AJ434" s="191"/>
      <c r="AK434" s="191"/>
      <c r="AL434" s="191"/>
      <c r="AM434" s="191"/>
    </row>
    <row r="435" spans="2:39" x14ac:dyDescent="0.25">
      <c r="B435" s="193"/>
      <c r="C435" s="183"/>
      <c r="D435" s="183"/>
      <c r="E435" s="183"/>
      <c r="F435" s="184"/>
      <c r="G435" s="184"/>
      <c r="H435" s="185"/>
      <c r="I435" s="185"/>
      <c r="J435" s="185"/>
      <c r="K435" s="185"/>
      <c r="L435" s="184"/>
      <c r="M435" s="184"/>
      <c r="N435" s="184"/>
      <c r="O435" s="184"/>
      <c r="P435" s="184"/>
      <c r="Q435" s="184"/>
      <c r="R435" s="184"/>
      <c r="S435" s="186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6"/>
      <c r="AD435" s="184"/>
      <c r="AE435" s="184"/>
      <c r="AF435" s="184"/>
      <c r="AG435" s="186"/>
      <c r="AH435" s="184"/>
      <c r="AI435" s="187"/>
      <c r="AJ435" s="191"/>
      <c r="AK435" s="191"/>
      <c r="AL435" s="191"/>
      <c r="AM435" s="191"/>
    </row>
    <row r="436" spans="2:39" x14ac:dyDescent="0.25">
      <c r="B436" s="193"/>
      <c r="C436" s="183"/>
      <c r="D436" s="183"/>
      <c r="E436" s="183"/>
      <c r="F436" s="184"/>
      <c r="G436" s="184"/>
      <c r="H436" s="185"/>
      <c r="I436" s="185"/>
      <c r="J436" s="185"/>
      <c r="K436" s="185"/>
      <c r="L436" s="184"/>
      <c r="M436" s="184"/>
      <c r="N436" s="184"/>
      <c r="O436" s="184"/>
      <c r="P436" s="184"/>
      <c r="Q436" s="184"/>
      <c r="R436" s="184"/>
      <c r="S436" s="186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6"/>
      <c r="AD436" s="184"/>
      <c r="AE436" s="184"/>
      <c r="AF436" s="184"/>
      <c r="AG436" s="186"/>
      <c r="AH436" s="184"/>
      <c r="AI436" s="187"/>
      <c r="AJ436" s="191"/>
      <c r="AK436" s="191"/>
      <c r="AL436" s="191"/>
      <c r="AM436" s="191"/>
    </row>
    <row r="437" spans="2:39" x14ac:dyDescent="0.25">
      <c r="B437" s="193"/>
      <c r="C437" s="183"/>
      <c r="D437" s="183"/>
      <c r="E437" s="183"/>
      <c r="F437" s="184"/>
      <c r="G437" s="184"/>
      <c r="H437" s="185"/>
      <c r="I437" s="185"/>
      <c r="J437" s="185"/>
      <c r="K437" s="185"/>
      <c r="L437" s="184"/>
      <c r="M437" s="184"/>
      <c r="N437" s="184"/>
      <c r="O437" s="184"/>
      <c r="P437" s="184"/>
      <c r="Q437" s="184"/>
      <c r="R437" s="184"/>
      <c r="S437" s="186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6"/>
      <c r="AD437" s="184"/>
      <c r="AE437" s="184"/>
      <c r="AF437" s="184"/>
      <c r="AG437" s="186"/>
      <c r="AH437" s="184"/>
      <c r="AI437" s="187"/>
      <c r="AJ437" s="191"/>
      <c r="AK437" s="191"/>
      <c r="AL437" s="191"/>
      <c r="AM437" s="191"/>
    </row>
    <row r="438" spans="2:39" x14ac:dyDescent="0.25">
      <c r="B438" s="193"/>
      <c r="C438" s="183"/>
      <c r="D438" s="183"/>
      <c r="E438" s="183"/>
      <c r="F438" s="184"/>
      <c r="G438" s="184"/>
      <c r="H438" s="185"/>
      <c r="I438" s="185"/>
      <c r="J438" s="185"/>
      <c r="K438" s="185"/>
      <c r="L438" s="184"/>
      <c r="M438" s="184"/>
      <c r="N438" s="184"/>
      <c r="O438" s="184"/>
      <c r="P438" s="184"/>
      <c r="Q438" s="184"/>
      <c r="R438" s="184"/>
      <c r="S438" s="186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6"/>
      <c r="AD438" s="184"/>
      <c r="AE438" s="184"/>
      <c r="AF438" s="184"/>
      <c r="AG438" s="186"/>
      <c r="AH438" s="184"/>
      <c r="AI438" s="187"/>
      <c r="AJ438" s="191"/>
      <c r="AK438" s="191"/>
      <c r="AL438" s="191"/>
      <c r="AM438" s="191"/>
    </row>
    <row r="439" spans="2:39" x14ac:dyDescent="0.25">
      <c r="B439" s="193"/>
      <c r="C439" s="183"/>
      <c r="D439" s="183"/>
      <c r="E439" s="183"/>
      <c r="F439" s="184"/>
      <c r="G439" s="184"/>
      <c r="H439" s="185"/>
      <c r="I439" s="185"/>
      <c r="J439" s="185"/>
      <c r="K439" s="185"/>
      <c r="L439" s="184"/>
      <c r="M439" s="184"/>
      <c r="N439" s="184"/>
      <c r="O439" s="184"/>
      <c r="P439" s="184"/>
      <c r="Q439" s="184"/>
      <c r="R439" s="184"/>
      <c r="S439" s="186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6"/>
      <c r="AD439" s="184"/>
      <c r="AE439" s="184"/>
      <c r="AF439" s="184"/>
      <c r="AG439" s="186"/>
      <c r="AH439" s="184"/>
      <c r="AI439" s="187"/>
      <c r="AJ439" s="191"/>
      <c r="AK439" s="191"/>
      <c r="AL439" s="191"/>
      <c r="AM439" s="191"/>
    </row>
    <row r="440" spans="2:39" x14ac:dyDescent="0.25">
      <c r="B440" s="193"/>
      <c r="C440" s="183"/>
      <c r="D440" s="183"/>
      <c r="E440" s="183"/>
      <c r="F440" s="184"/>
      <c r="G440" s="184"/>
      <c r="H440" s="185"/>
      <c r="I440" s="185"/>
      <c r="J440" s="185"/>
      <c r="K440" s="185"/>
      <c r="L440" s="184"/>
      <c r="M440" s="184"/>
      <c r="N440" s="184"/>
      <c r="O440" s="184"/>
      <c r="P440" s="184"/>
      <c r="Q440" s="184"/>
      <c r="R440" s="184"/>
      <c r="S440" s="186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6"/>
      <c r="AD440" s="184"/>
      <c r="AE440" s="184"/>
      <c r="AF440" s="184"/>
      <c r="AG440" s="186"/>
      <c r="AH440" s="184"/>
      <c r="AI440" s="187"/>
      <c r="AJ440" s="191"/>
      <c r="AK440" s="191"/>
      <c r="AL440" s="191"/>
      <c r="AM440" s="191"/>
    </row>
    <row r="441" spans="2:39" x14ac:dyDescent="0.25">
      <c r="B441" s="193"/>
      <c r="C441" s="183"/>
      <c r="D441" s="183"/>
      <c r="E441" s="183"/>
      <c r="F441" s="184"/>
      <c r="G441" s="184"/>
      <c r="H441" s="185"/>
      <c r="I441" s="185"/>
      <c r="J441" s="185"/>
      <c r="K441" s="185"/>
      <c r="L441" s="184"/>
      <c r="M441" s="184"/>
      <c r="N441" s="184"/>
      <c r="O441" s="184"/>
      <c r="P441" s="184"/>
      <c r="Q441" s="184"/>
      <c r="R441" s="184"/>
      <c r="S441" s="186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6"/>
      <c r="AD441" s="184"/>
      <c r="AE441" s="184"/>
      <c r="AF441" s="184"/>
      <c r="AG441" s="186"/>
      <c r="AH441" s="184"/>
      <c r="AI441" s="187"/>
      <c r="AJ441" s="191"/>
      <c r="AK441" s="191"/>
      <c r="AL441" s="191"/>
      <c r="AM441" s="191"/>
    </row>
    <row r="442" spans="2:39" x14ac:dyDescent="0.25">
      <c r="B442" s="193"/>
      <c r="C442" s="183"/>
      <c r="D442" s="183"/>
      <c r="E442" s="183"/>
      <c r="F442" s="184"/>
      <c r="G442" s="184"/>
      <c r="H442" s="185"/>
      <c r="I442" s="185"/>
      <c r="J442" s="185"/>
      <c r="K442" s="185"/>
      <c r="L442" s="184"/>
      <c r="M442" s="184"/>
      <c r="N442" s="184"/>
      <c r="O442" s="184"/>
      <c r="P442" s="184"/>
      <c r="Q442" s="184"/>
      <c r="R442" s="184"/>
      <c r="S442" s="186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6"/>
      <c r="AD442" s="184"/>
      <c r="AE442" s="184"/>
      <c r="AF442" s="184"/>
      <c r="AG442" s="186"/>
      <c r="AH442" s="184"/>
      <c r="AI442" s="187"/>
      <c r="AJ442" s="191"/>
      <c r="AK442" s="191"/>
      <c r="AL442" s="191"/>
      <c r="AM442" s="191"/>
    </row>
    <row r="443" spans="2:39" x14ac:dyDescent="0.25">
      <c r="B443" s="193"/>
      <c r="C443" s="183"/>
      <c r="D443" s="183"/>
      <c r="E443" s="183"/>
      <c r="F443" s="184"/>
      <c r="G443" s="184"/>
      <c r="H443" s="185"/>
      <c r="I443" s="185"/>
      <c r="J443" s="185"/>
      <c r="K443" s="185"/>
      <c r="L443" s="184"/>
      <c r="M443" s="184"/>
      <c r="N443" s="184"/>
      <c r="O443" s="184"/>
      <c r="P443" s="184"/>
      <c r="Q443" s="184"/>
      <c r="R443" s="184"/>
      <c r="S443" s="186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6"/>
      <c r="AD443" s="184"/>
      <c r="AE443" s="184"/>
      <c r="AF443" s="184"/>
      <c r="AG443" s="186"/>
      <c r="AH443" s="184"/>
      <c r="AI443" s="187"/>
      <c r="AJ443" s="191"/>
      <c r="AK443" s="191"/>
      <c r="AL443" s="191"/>
      <c r="AM443" s="191"/>
    </row>
    <row r="444" spans="2:39" x14ac:dyDescent="0.25">
      <c r="B444" s="193"/>
      <c r="C444" s="183"/>
      <c r="D444" s="183"/>
      <c r="E444" s="183"/>
      <c r="F444" s="184"/>
      <c r="G444" s="184"/>
      <c r="H444" s="185"/>
      <c r="I444" s="185"/>
      <c r="J444" s="185"/>
      <c r="K444" s="185"/>
      <c r="L444" s="184"/>
      <c r="M444" s="184"/>
      <c r="N444" s="184"/>
      <c r="O444" s="184"/>
      <c r="P444" s="184"/>
      <c r="Q444" s="184"/>
      <c r="R444" s="184"/>
      <c r="S444" s="186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6"/>
      <c r="AD444" s="184"/>
      <c r="AE444" s="184"/>
      <c r="AF444" s="184"/>
      <c r="AG444" s="186"/>
      <c r="AH444" s="184"/>
      <c r="AI444" s="187"/>
      <c r="AJ444" s="191"/>
      <c r="AK444" s="191"/>
      <c r="AL444" s="191"/>
      <c r="AM444" s="191"/>
    </row>
    <row r="445" spans="2:39" x14ac:dyDescent="0.25">
      <c r="B445" s="193"/>
      <c r="C445" s="183"/>
      <c r="D445" s="183"/>
      <c r="E445" s="183"/>
      <c r="F445" s="184"/>
      <c r="G445" s="184"/>
      <c r="H445" s="185"/>
      <c r="I445" s="185"/>
      <c r="J445" s="185"/>
      <c r="K445" s="185"/>
      <c r="L445" s="184"/>
      <c r="M445" s="184"/>
      <c r="N445" s="184"/>
      <c r="O445" s="184"/>
      <c r="P445" s="184"/>
      <c r="Q445" s="184"/>
      <c r="R445" s="184"/>
      <c r="S445" s="186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6"/>
      <c r="AD445" s="184"/>
      <c r="AE445" s="184"/>
      <c r="AF445" s="184"/>
      <c r="AG445" s="186"/>
      <c r="AH445" s="184"/>
      <c r="AI445" s="187"/>
      <c r="AJ445" s="191"/>
      <c r="AK445" s="191"/>
      <c r="AL445" s="191"/>
      <c r="AM445" s="191"/>
    </row>
    <row r="446" spans="2:39" x14ac:dyDescent="0.25">
      <c r="B446" s="193"/>
      <c r="C446" s="183"/>
      <c r="D446" s="183"/>
      <c r="E446" s="183"/>
      <c r="F446" s="184"/>
      <c r="G446" s="184"/>
      <c r="H446" s="185"/>
      <c r="I446" s="185"/>
      <c r="J446" s="185"/>
      <c r="K446" s="185"/>
      <c r="L446" s="184"/>
      <c r="M446" s="184"/>
      <c r="N446" s="184"/>
      <c r="O446" s="184"/>
      <c r="P446" s="184"/>
      <c r="Q446" s="184"/>
      <c r="R446" s="184"/>
      <c r="S446" s="186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6"/>
      <c r="AD446" s="184"/>
      <c r="AE446" s="184"/>
      <c r="AF446" s="184"/>
      <c r="AG446" s="186"/>
      <c r="AH446" s="184"/>
      <c r="AI446" s="187"/>
      <c r="AJ446" s="191"/>
      <c r="AK446" s="191"/>
      <c r="AL446" s="191"/>
      <c r="AM446" s="191"/>
    </row>
    <row r="447" spans="2:39" x14ac:dyDescent="0.25">
      <c r="B447" s="193"/>
      <c r="C447" s="183"/>
      <c r="D447" s="183"/>
      <c r="E447" s="183"/>
      <c r="F447" s="184"/>
      <c r="G447" s="184"/>
      <c r="H447" s="185"/>
      <c r="I447" s="185"/>
      <c r="J447" s="185"/>
      <c r="K447" s="185"/>
      <c r="L447" s="184"/>
      <c r="M447" s="184"/>
      <c r="N447" s="184"/>
      <c r="O447" s="184"/>
      <c r="P447" s="184"/>
      <c r="Q447" s="184"/>
      <c r="R447" s="184"/>
      <c r="S447" s="186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6"/>
      <c r="AD447" s="184"/>
      <c r="AE447" s="184"/>
      <c r="AF447" s="184"/>
      <c r="AG447" s="186"/>
      <c r="AH447" s="184"/>
      <c r="AI447" s="187"/>
      <c r="AJ447" s="191"/>
      <c r="AK447" s="191"/>
      <c r="AL447" s="191"/>
      <c r="AM447" s="191"/>
    </row>
    <row r="448" spans="2:39" x14ac:dyDescent="0.25">
      <c r="B448" s="193"/>
      <c r="C448" s="183"/>
      <c r="D448" s="183"/>
      <c r="E448" s="183"/>
      <c r="F448" s="184"/>
      <c r="G448" s="184"/>
      <c r="H448" s="185"/>
      <c r="I448" s="185"/>
      <c r="J448" s="185"/>
      <c r="K448" s="185"/>
      <c r="L448" s="184"/>
      <c r="M448" s="184"/>
      <c r="N448" s="184"/>
      <c r="O448" s="184"/>
      <c r="P448" s="184"/>
      <c r="Q448" s="184"/>
      <c r="R448" s="184"/>
      <c r="S448" s="186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6"/>
      <c r="AD448" s="184"/>
      <c r="AE448" s="184"/>
      <c r="AF448" s="184"/>
      <c r="AG448" s="186"/>
      <c r="AH448" s="184"/>
      <c r="AI448" s="187"/>
      <c r="AJ448" s="191"/>
      <c r="AK448" s="191"/>
      <c r="AL448" s="191"/>
      <c r="AM448" s="191"/>
    </row>
    <row r="449" spans="2:39" x14ac:dyDescent="0.25">
      <c r="B449" s="193"/>
      <c r="C449" s="183"/>
      <c r="D449" s="183"/>
      <c r="E449" s="183"/>
      <c r="F449" s="184"/>
      <c r="G449" s="184"/>
      <c r="H449" s="185"/>
      <c r="I449" s="185"/>
      <c r="J449" s="185"/>
      <c r="K449" s="185"/>
      <c r="L449" s="184"/>
      <c r="M449" s="184"/>
      <c r="N449" s="184"/>
      <c r="O449" s="184"/>
      <c r="P449" s="184"/>
      <c r="Q449" s="184"/>
      <c r="R449" s="184"/>
      <c r="S449" s="186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6"/>
      <c r="AD449" s="184"/>
      <c r="AE449" s="184"/>
      <c r="AF449" s="184"/>
      <c r="AG449" s="186"/>
      <c r="AH449" s="184"/>
      <c r="AI449" s="187"/>
      <c r="AJ449" s="191"/>
      <c r="AK449" s="191"/>
      <c r="AL449" s="191"/>
      <c r="AM449" s="191"/>
    </row>
    <row r="450" spans="2:39" x14ac:dyDescent="0.25">
      <c r="B450" s="193"/>
      <c r="C450" s="183"/>
      <c r="D450" s="183"/>
      <c r="E450" s="183"/>
      <c r="F450" s="184"/>
      <c r="G450" s="184"/>
      <c r="H450" s="185"/>
      <c r="I450" s="185"/>
      <c r="J450" s="185"/>
      <c r="K450" s="185"/>
      <c r="L450" s="184"/>
      <c r="M450" s="184"/>
      <c r="N450" s="184"/>
      <c r="O450" s="184"/>
      <c r="P450" s="184"/>
      <c r="Q450" s="184"/>
      <c r="R450" s="184"/>
      <c r="S450" s="186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6"/>
      <c r="AD450" s="184"/>
      <c r="AE450" s="184"/>
      <c r="AF450" s="184"/>
      <c r="AG450" s="186"/>
      <c r="AH450" s="184"/>
      <c r="AI450" s="187"/>
      <c r="AJ450" s="191"/>
      <c r="AK450" s="191"/>
      <c r="AL450" s="191"/>
      <c r="AM450" s="191"/>
    </row>
    <row r="451" spans="2:39" x14ac:dyDescent="0.25">
      <c r="B451" s="193"/>
      <c r="C451" s="183"/>
      <c r="D451" s="183"/>
      <c r="E451" s="183"/>
      <c r="F451" s="184"/>
      <c r="G451" s="184"/>
      <c r="H451" s="185"/>
      <c r="I451" s="185"/>
      <c r="J451" s="185"/>
      <c r="K451" s="185"/>
      <c r="L451" s="184"/>
      <c r="M451" s="184"/>
      <c r="N451" s="184"/>
      <c r="O451" s="184"/>
      <c r="P451" s="184"/>
      <c r="Q451" s="184"/>
      <c r="R451" s="184"/>
      <c r="S451" s="186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6"/>
      <c r="AD451" s="184"/>
      <c r="AE451" s="184"/>
      <c r="AF451" s="184"/>
      <c r="AG451" s="186"/>
      <c r="AH451" s="184"/>
      <c r="AI451" s="187"/>
      <c r="AJ451" s="191"/>
      <c r="AK451" s="191"/>
      <c r="AL451" s="191"/>
      <c r="AM451" s="191"/>
    </row>
    <row r="452" spans="2:39" x14ac:dyDescent="0.25">
      <c r="B452" s="193"/>
      <c r="C452" s="183"/>
      <c r="D452" s="183"/>
      <c r="E452" s="183"/>
      <c r="F452" s="184"/>
      <c r="G452" s="184"/>
      <c r="H452" s="185"/>
      <c r="I452" s="185"/>
      <c r="J452" s="185"/>
      <c r="K452" s="185"/>
      <c r="L452" s="184"/>
      <c r="M452" s="184"/>
      <c r="N452" s="184"/>
      <c r="O452" s="184"/>
      <c r="P452" s="184"/>
      <c r="Q452" s="184"/>
      <c r="R452" s="184"/>
      <c r="S452" s="186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6"/>
      <c r="AD452" s="184"/>
      <c r="AE452" s="184"/>
      <c r="AF452" s="184"/>
      <c r="AG452" s="186"/>
      <c r="AH452" s="184"/>
      <c r="AI452" s="187"/>
      <c r="AJ452" s="191"/>
      <c r="AK452" s="191"/>
      <c r="AL452" s="191"/>
      <c r="AM452" s="191"/>
    </row>
    <row r="453" spans="2:39" x14ac:dyDescent="0.25">
      <c r="B453" s="193"/>
      <c r="C453" s="183"/>
      <c r="D453" s="183"/>
      <c r="E453" s="183"/>
      <c r="F453" s="184"/>
      <c r="G453" s="184"/>
      <c r="H453" s="185"/>
      <c r="I453" s="185"/>
      <c r="J453" s="185"/>
      <c r="K453" s="185"/>
      <c r="L453" s="184"/>
      <c r="M453" s="184"/>
      <c r="N453" s="184"/>
      <c r="O453" s="184"/>
      <c r="P453" s="184"/>
      <c r="Q453" s="184"/>
      <c r="R453" s="184"/>
      <c r="S453" s="186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6"/>
      <c r="AD453" s="184"/>
      <c r="AE453" s="184"/>
      <c r="AF453" s="184"/>
      <c r="AG453" s="186"/>
      <c r="AH453" s="184"/>
      <c r="AI453" s="187"/>
      <c r="AJ453" s="191"/>
      <c r="AK453" s="191"/>
      <c r="AL453" s="191"/>
      <c r="AM453" s="191"/>
    </row>
    <row r="454" spans="2:39" x14ac:dyDescent="0.25">
      <c r="B454" s="193"/>
      <c r="C454" s="183"/>
      <c r="D454" s="183"/>
      <c r="E454" s="183"/>
      <c r="F454" s="184"/>
      <c r="G454" s="184"/>
      <c r="H454" s="185"/>
      <c r="I454" s="185"/>
      <c r="J454" s="185"/>
      <c r="K454" s="185"/>
      <c r="L454" s="184"/>
      <c r="M454" s="184"/>
      <c r="N454" s="184"/>
      <c r="O454" s="184"/>
      <c r="P454" s="184"/>
      <c r="Q454" s="184"/>
      <c r="R454" s="184"/>
      <c r="S454" s="186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6"/>
      <c r="AD454" s="184"/>
      <c r="AE454" s="184"/>
      <c r="AF454" s="184"/>
      <c r="AG454" s="186"/>
      <c r="AH454" s="184"/>
      <c r="AI454" s="187"/>
      <c r="AJ454" s="191"/>
      <c r="AK454" s="191"/>
      <c r="AL454" s="191"/>
      <c r="AM454" s="191"/>
    </row>
    <row r="455" spans="2:39" x14ac:dyDescent="0.25">
      <c r="B455" s="193"/>
      <c r="C455" s="183"/>
      <c r="D455" s="183"/>
      <c r="E455" s="183"/>
      <c r="F455" s="184"/>
      <c r="G455" s="184"/>
      <c r="H455" s="185"/>
      <c r="I455" s="185"/>
      <c r="J455" s="185"/>
      <c r="K455" s="185"/>
      <c r="L455" s="184"/>
      <c r="M455" s="184"/>
      <c r="N455" s="184"/>
      <c r="O455" s="184"/>
      <c r="P455" s="184"/>
      <c r="Q455" s="184"/>
      <c r="R455" s="184"/>
      <c r="S455" s="186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6"/>
      <c r="AD455" s="184"/>
      <c r="AE455" s="184"/>
      <c r="AF455" s="184"/>
      <c r="AG455" s="186"/>
      <c r="AH455" s="184"/>
      <c r="AI455" s="187"/>
      <c r="AJ455" s="191"/>
      <c r="AK455" s="191"/>
      <c r="AL455" s="191"/>
      <c r="AM455" s="191"/>
    </row>
    <row r="456" spans="2:39" x14ac:dyDescent="0.25">
      <c r="B456" s="193"/>
      <c r="C456" s="183"/>
      <c r="D456" s="183"/>
      <c r="E456" s="183"/>
      <c r="F456" s="184"/>
      <c r="G456" s="184"/>
      <c r="H456" s="185"/>
      <c r="I456" s="185"/>
      <c r="J456" s="185"/>
      <c r="K456" s="185"/>
      <c r="L456" s="184"/>
      <c r="M456" s="184"/>
      <c r="N456" s="184"/>
      <c r="O456" s="184"/>
      <c r="P456" s="184"/>
      <c r="Q456" s="184"/>
      <c r="R456" s="184"/>
      <c r="S456" s="186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6"/>
      <c r="AD456" s="184"/>
      <c r="AE456" s="184"/>
      <c r="AF456" s="184"/>
      <c r="AG456" s="186"/>
      <c r="AH456" s="184"/>
      <c r="AI456" s="187"/>
      <c r="AJ456" s="191"/>
      <c r="AK456" s="191"/>
      <c r="AL456" s="191"/>
      <c r="AM456" s="191"/>
    </row>
    <row r="457" spans="2:39" x14ac:dyDescent="0.25">
      <c r="B457" s="193"/>
      <c r="C457" s="183"/>
      <c r="D457" s="183"/>
      <c r="E457" s="183"/>
      <c r="F457" s="184"/>
      <c r="G457" s="184"/>
      <c r="H457" s="185"/>
      <c r="I457" s="185"/>
      <c r="J457" s="185"/>
      <c r="K457" s="185"/>
      <c r="L457" s="184"/>
      <c r="M457" s="184"/>
      <c r="N457" s="184"/>
      <c r="O457" s="184"/>
      <c r="P457" s="184"/>
      <c r="Q457" s="184"/>
      <c r="R457" s="184"/>
      <c r="S457" s="186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6"/>
      <c r="AD457" s="184"/>
      <c r="AE457" s="184"/>
      <c r="AF457" s="184"/>
      <c r="AG457" s="186"/>
      <c r="AH457" s="184"/>
      <c r="AI457" s="187"/>
      <c r="AJ457" s="191"/>
      <c r="AK457" s="191"/>
      <c r="AL457" s="191"/>
      <c r="AM457" s="191"/>
    </row>
    <row r="458" spans="2:39" x14ac:dyDescent="0.25">
      <c r="B458" s="193"/>
      <c r="C458" s="183"/>
      <c r="D458" s="183"/>
      <c r="E458" s="183"/>
      <c r="F458" s="184"/>
      <c r="G458" s="184"/>
      <c r="H458" s="185"/>
      <c r="I458" s="185"/>
      <c r="J458" s="185"/>
      <c r="K458" s="185"/>
      <c r="L458" s="184"/>
      <c r="M458" s="184"/>
      <c r="N458" s="184"/>
      <c r="O458" s="184"/>
      <c r="P458" s="184"/>
      <c r="Q458" s="184"/>
      <c r="R458" s="184"/>
      <c r="S458" s="186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6"/>
      <c r="AD458" s="184"/>
      <c r="AE458" s="184"/>
      <c r="AF458" s="184"/>
      <c r="AG458" s="186"/>
      <c r="AH458" s="184"/>
      <c r="AI458" s="187"/>
      <c r="AJ458" s="191"/>
      <c r="AK458" s="191"/>
      <c r="AL458" s="191"/>
      <c r="AM458" s="191"/>
    </row>
    <row r="459" spans="2:39" x14ac:dyDescent="0.25">
      <c r="B459" s="193"/>
      <c r="C459" s="183"/>
      <c r="D459" s="183"/>
      <c r="E459" s="183"/>
      <c r="F459" s="184"/>
      <c r="G459" s="184"/>
      <c r="H459" s="185"/>
      <c r="I459" s="185"/>
      <c r="J459" s="185"/>
      <c r="K459" s="185"/>
      <c r="L459" s="184"/>
      <c r="M459" s="184"/>
      <c r="N459" s="184"/>
      <c r="O459" s="184"/>
      <c r="P459" s="184"/>
      <c r="Q459" s="184"/>
      <c r="R459" s="184"/>
      <c r="S459" s="186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6"/>
      <c r="AD459" s="184"/>
      <c r="AE459" s="184"/>
      <c r="AF459" s="184"/>
      <c r="AG459" s="186"/>
      <c r="AH459" s="184"/>
      <c r="AI459" s="187"/>
      <c r="AJ459" s="191"/>
      <c r="AK459" s="191"/>
      <c r="AL459" s="191"/>
      <c r="AM459" s="191"/>
    </row>
    <row r="460" spans="2:39" x14ac:dyDescent="0.25">
      <c r="B460" s="193"/>
      <c r="C460" s="183"/>
      <c r="D460" s="183"/>
      <c r="E460" s="183"/>
      <c r="F460" s="184"/>
      <c r="G460" s="184"/>
      <c r="H460" s="185"/>
      <c r="I460" s="185"/>
      <c r="J460" s="185"/>
      <c r="K460" s="185"/>
      <c r="L460" s="184"/>
      <c r="M460" s="184"/>
      <c r="N460" s="184"/>
      <c r="O460" s="184"/>
      <c r="P460" s="184"/>
      <c r="Q460" s="184"/>
      <c r="R460" s="184"/>
      <c r="S460" s="186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6"/>
      <c r="AD460" s="184"/>
      <c r="AE460" s="184"/>
      <c r="AF460" s="184"/>
      <c r="AG460" s="186"/>
      <c r="AH460" s="184"/>
      <c r="AI460" s="187"/>
      <c r="AJ460" s="191"/>
      <c r="AK460" s="191"/>
      <c r="AL460" s="191"/>
      <c r="AM460" s="191"/>
    </row>
    <row r="461" spans="2:39" x14ac:dyDescent="0.25">
      <c r="B461" s="193"/>
      <c r="C461" s="183"/>
      <c r="D461" s="183"/>
      <c r="E461" s="183"/>
      <c r="F461" s="184"/>
      <c r="G461" s="184"/>
      <c r="H461" s="185"/>
      <c r="I461" s="185"/>
      <c r="J461" s="185"/>
      <c r="K461" s="185"/>
      <c r="L461" s="184"/>
      <c r="M461" s="184"/>
      <c r="N461" s="184"/>
      <c r="O461" s="184"/>
      <c r="P461" s="184"/>
      <c r="Q461" s="184"/>
      <c r="R461" s="184"/>
      <c r="S461" s="186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6"/>
      <c r="AD461" s="184"/>
      <c r="AE461" s="184"/>
      <c r="AF461" s="184"/>
      <c r="AG461" s="186"/>
      <c r="AH461" s="184"/>
      <c r="AI461" s="187"/>
      <c r="AJ461" s="191"/>
      <c r="AK461" s="191"/>
      <c r="AL461" s="191"/>
      <c r="AM461" s="191"/>
    </row>
    <row r="462" spans="2:39" x14ac:dyDescent="0.25">
      <c r="B462" s="193"/>
      <c r="C462" s="183"/>
      <c r="D462" s="183"/>
      <c r="E462" s="183"/>
      <c r="F462" s="184"/>
      <c r="G462" s="184"/>
      <c r="H462" s="185"/>
      <c r="I462" s="185"/>
      <c r="J462" s="185"/>
      <c r="K462" s="185"/>
      <c r="L462" s="184"/>
      <c r="M462" s="184"/>
      <c r="N462" s="184"/>
      <c r="O462" s="184"/>
      <c r="P462" s="184"/>
      <c r="Q462" s="184"/>
      <c r="R462" s="184"/>
      <c r="S462" s="186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6"/>
      <c r="AD462" s="184"/>
      <c r="AE462" s="184"/>
      <c r="AF462" s="184"/>
      <c r="AG462" s="186"/>
      <c r="AH462" s="184"/>
      <c r="AI462" s="187"/>
      <c r="AJ462" s="191"/>
      <c r="AK462" s="191"/>
      <c r="AL462" s="191"/>
      <c r="AM462" s="191"/>
    </row>
    <row r="463" spans="2:39" x14ac:dyDescent="0.25">
      <c r="B463" s="193"/>
      <c r="C463" s="183"/>
      <c r="D463" s="183"/>
      <c r="E463" s="183"/>
      <c r="F463" s="184"/>
      <c r="G463" s="184"/>
      <c r="H463" s="185"/>
      <c r="I463" s="185"/>
      <c r="J463" s="185"/>
      <c r="K463" s="185"/>
      <c r="L463" s="184"/>
      <c r="M463" s="184"/>
      <c r="N463" s="184"/>
      <c r="O463" s="184"/>
      <c r="P463" s="184"/>
      <c r="Q463" s="184"/>
      <c r="R463" s="184"/>
      <c r="S463" s="186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6"/>
      <c r="AD463" s="184"/>
      <c r="AE463" s="184"/>
      <c r="AF463" s="184"/>
      <c r="AG463" s="186"/>
      <c r="AH463" s="184"/>
      <c r="AI463" s="187"/>
      <c r="AJ463" s="191"/>
      <c r="AK463" s="191"/>
      <c r="AL463" s="191"/>
      <c r="AM463" s="191"/>
    </row>
    <row r="464" spans="2:39" x14ac:dyDescent="0.25">
      <c r="B464" s="193"/>
      <c r="C464" s="183"/>
      <c r="D464" s="183"/>
      <c r="E464" s="183"/>
      <c r="F464" s="184"/>
      <c r="G464" s="184"/>
      <c r="H464" s="185"/>
      <c r="I464" s="185"/>
      <c r="J464" s="185"/>
      <c r="K464" s="185"/>
      <c r="L464" s="184"/>
      <c r="M464" s="184"/>
      <c r="N464" s="184"/>
      <c r="O464" s="184"/>
      <c r="P464" s="184"/>
      <c r="Q464" s="184"/>
      <c r="R464" s="184"/>
      <c r="S464" s="186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6"/>
      <c r="AD464" s="184"/>
      <c r="AE464" s="184"/>
      <c r="AF464" s="184"/>
      <c r="AG464" s="186"/>
      <c r="AH464" s="184"/>
      <c r="AI464" s="187"/>
      <c r="AJ464" s="191"/>
      <c r="AK464" s="191"/>
      <c r="AL464" s="191"/>
      <c r="AM464" s="191"/>
    </row>
    <row r="465" spans="2:39" x14ac:dyDescent="0.25">
      <c r="B465" s="193"/>
      <c r="C465" s="183"/>
      <c r="D465" s="183"/>
      <c r="E465" s="183"/>
      <c r="F465" s="184"/>
      <c r="G465" s="184"/>
      <c r="H465" s="185"/>
      <c r="I465" s="185"/>
      <c r="J465" s="185"/>
      <c r="K465" s="185"/>
      <c r="L465" s="184"/>
      <c r="M465" s="184"/>
      <c r="N465" s="184"/>
      <c r="O465" s="184"/>
      <c r="P465" s="184"/>
      <c r="Q465" s="184"/>
      <c r="R465" s="184"/>
      <c r="S465" s="186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6"/>
      <c r="AD465" s="184"/>
      <c r="AE465" s="184"/>
      <c r="AF465" s="184"/>
      <c r="AG465" s="186"/>
      <c r="AH465" s="184"/>
      <c r="AI465" s="187"/>
      <c r="AJ465" s="191"/>
      <c r="AK465" s="191"/>
      <c r="AL465" s="191"/>
      <c r="AM465" s="191"/>
    </row>
    <row r="466" spans="2:39" x14ac:dyDescent="0.25">
      <c r="B466" s="193"/>
      <c r="C466" s="183"/>
      <c r="D466" s="183"/>
      <c r="E466" s="183"/>
      <c r="F466" s="184"/>
      <c r="G466" s="184"/>
      <c r="H466" s="185"/>
      <c r="I466" s="185"/>
      <c r="J466" s="185"/>
      <c r="K466" s="185"/>
      <c r="L466" s="184"/>
      <c r="M466" s="184"/>
      <c r="N466" s="184"/>
      <c r="O466" s="184"/>
      <c r="P466" s="184"/>
      <c r="Q466" s="184"/>
      <c r="R466" s="184"/>
      <c r="S466" s="186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6"/>
      <c r="AD466" s="184"/>
      <c r="AE466" s="184"/>
      <c r="AF466" s="184"/>
      <c r="AG466" s="186"/>
      <c r="AH466" s="184"/>
      <c r="AI466" s="187"/>
      <c r="AJ466" s="191"/>
      <c r="AK466" s="191"/>
      <c r="AL466" s="191"/>
      <c r="AM466" s="191"/>
    </row>
    <row r="467" spans="2:39" x14ac:dyDescent="0.25">
      <c r="B467" s="193"/>
      <c r="C467" s="183"/>
      <c r="D467" s="183"/>
      <c r="E467" s="183"/>
      <c r="F467" s="184"/>
      <c r="G467" s="184"/>
      <c r="H467" s="185"/>
      <c r="I467" s="185"/>
      <c r="J467" s="185"/>
      <c r="K467" s="185"/>
      <c r="L467" s="184"/>
      <c r="M467" s="184"/>
      <c r="N467" s="184"/>
      <c r="O467" s="184"/>
      <c r="P467" s="184"/>
      <c r="Q467" s="184"/>
      <c r="R467" s="184"/>
      <c r="S467" s="186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6"/>
      <c r="AD467" s="184"/>
      <c r="AE467" s="184"/>
      <c r="AF467" s="184"/>
      <c r="AG467" s="186"/>
      <c r="AH467" s="184"/>
      <c r="AI467" s="187"/>
      <c r="AJ467" s="191"/>
      <c r="AK467" s="191"/>
      <c r="AL467" s="191"/>
      <c r="AM467" s="191"/>
    </row>
    <row r="468" spans="2:39" x14ac:dyDescent="0.25">
      <c r="B468" s="193"/>
      <c r="C468" s="183"/>
      <c r="D468" s="183"/>
      <c r="E468" s="183"/>
      <c r="F468" s="184"/>
      <c r="G468" s="184"/>
      <c r="H468" s="185"/>
      <c r="I468" s="185"/>
      <c r="J468" s="185"/>
      <c r="K468" s="185"/>
      <c r="L468" s="184"/>
      <c r="M468" s="184"/>
      <c r="N468" s="184"/>
      <c r="O468" s="184"/>
      <c r="P468" s="184"/>
      <c r="Q468" s="184"/>
      <c r="R468" s="184"/>
      <c r="S468" s="186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6"/>
      <c r="AD468" s="184"/>
      <c r="AE468" s="184"/>
      <c r="AF468" s="184"/>
      <c r="AG468" s="186"/>
      <c r="AH468" s="184"/>
      <c r="AI468" s="187"/>
      <c r="AJ468" s="191"/>
      <c r="AK468" s="191"/>
      <c r="AL468" s="191"/>
      <c r="AM468" s="191"/>
    </row>
    <row r="469" spans="2:39" x14ac:dyDescent="0.25">
      <c r="B469" s="193"/>
      <c r="C469" s="183"/>
      <c r="D469" s="183"/>
      <c r="E469" s="183"/>
      <c r="F469" s="184"/>
      <c r="G469" s="184"/>
      <c r="H469" s="185"/>
      <c r="I469" s="185"/>
      <c r="J469" s="185"/>
      <c r="K469" s="185"/>
      <c r="L469" s="184"/>
      <c r="M469" s="184"/>
      <c r="N469" s="184"/>
      <c r="O469" s="184"/>
      <c r="P469" s="184"/>
      <c r="Q469" s="184"/>
      <c r="R469" s="184"/>
      <c r="S469" s="186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6"/>
      <c r="AD469" s="184"/>
      <c r="AE469" s="184"/>
      <c r="AF469" s="184"/>
      <c r="AG469" s="186"/>
      <c r="AH469" s="184"/>
      <c r="AI469" s="187"/>
      <c r="AJ469" s="191"/>
      <c r="AK469" s="191"/>
      <c r="AL469" s="191"/>
      <c r="AM469" s="191"/>
    </row>
    <row r="470" spans="2:39" x14ac:dyDescent="0.25">
      <c r="B470" s="193"/>
      <c r="C470" s="183"/>
      <c r="D470" s="183"/>
      <c r="E470" s="183"/>
      <c r="F470" s="184"/>
      <c r="G470" s="184"/>
      <c r="H470" s="185"/>
      <c r="I470" s="185"/>
      <c r="J470" s="185"/>
      <c r="K470" s="185"/>
      <c r="L470" s="184"/>
      <c r="M470" s="184"/>
      <c r="N470" s="184"/>
      <c r="O470" s="184"/>
      <c r="P470" s="184"/>
      <c r="Q470" s="184"/>
      <c r="R470" s="184"/>
      <c r="S470" s="186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6"/>
      <c r="AD470" s="184"/>
      <c r="AE470" s="184"/>
      <c r="AF470" s="184"/>
      <c r="AG470" s="186"/>
      <c r="AH470" s="184"/>
      <c r="AI470" s="187"/>
      <c r="AJ470" s="191"/>
      <c r="AK470" s="191"/>
      <c r="AL470" s="191"/>
      <c r="AM470" s="191"/>
    </row>
    <row r="471" spans="2:39" x14ac:dyDescent="0.25">
      <c r="B471" s="193"/>
      <c r="C471" s="183"/>
      <c r="D471" s="183"/>
      <c r="E471" s="183"/>
      <c r="F471" s="184"/>
      <c r="G471" s="184"/>
      <c r="H471" s="185"/>
      <c r="I471" s="185"/>
      <c r="J471" s="185"/>
      <c r="K471" s="185"/>
      <c r="L471" s="184"/>
      <c r="M471" s="184"/>
      <c r="N471" s="184"/>
      <c r="O471" s="184"/>
      <c r="P471" s="184"/>
      <c r="Q471" s="184"/>
      <c r="R471" s="184"/>
      <c r="S471" s="186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6"/>
      <c r="AD471" s="184"/>
      <c r="AE471" s="184"/>
      <c r="AF471" s="184"/>
      <c r="AG471" s="186"/>
      <c r="AH471" s="184"/>
      <c r="AI471" s="187"/>
      <c r="AJ471" s="191"/>
      <c r="AK471" s="191"/>
      <c r="AL471" s="191"/>
      <c r="AM471" s="191"/>
    </row>
    <row r="472" spans="2:39" x14ac:dyDescent="0.25">
      <c r="B472" s="193"/>
      <c r="C472" s="183"/>
      <c r="D472" s="183"/>
      <c r="E472" s="183"/>
      <c r="F472" s="184"/>
      <c r="G472" s="184"/>
      <c r="H472" s="185"/>
      <c r="I472" s="185"/>
      <c r="J472" s="185"/>
      <c r="K472" s="185"/>
      <c r="L472" s="184"/>
      <c r="M472" s="184"/>
      <c r="N472" s="184"/>
      <c r="O472" s="184"/>
      <c r="P472" s="184"/>
      <c r="Q472" s="184"/>
      <c r="R472" s="184"/>
      <c r="S472" s="186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6"/>
      <c r="AD472" s="184"/>
      <c r="AE472" s="184"/>
      <c r="AF472" s="184"/>
      <c r="AG472" s="186"/>
      <c r="AH472" s="184"/>
      <c r="AI472" s="187"/>
      <c r="AJ472" s="191"/>
      <c r="AK472" s="191"/>
      <c r="AL472" s="191"/>
      <c r="AM472" s="191"/>
    </row>
    <row r="473" spans="2:39" x14ac:dyDescent="0.25">
      <c r="B473" s="193"/>
      <c r="C473" s="183"/>
      <c r="D473" s="183"/>
      <c r="E473" s="183"/>
      <c r="F473" s="184"/>
      <c r="G473" s="184"/>
      <c r="H473" s="185"/>
      <c r="I473" s="185"/>
      <c r="J473" s="185"/>
      <c r="K473" s="185"/>
      <c r="L473" s="184"/>
      <c r="M473" s="184"/>
      <c r="N473" s="184"/>
      <c r="O473" s="184"/>
      <c r="P473" s="184"/>
      <c r="Q473" s="184"/>
      <c r="R473" s="184"/>
      <c r="S473" s="186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6"/>
      <c r="AD473" s="184"/>
      <c r="AE473" s="184"/>
      <c r="AF473" s="184"/>
      <c r="AG473" s="186"/>
      <c r="AH473" s="184"/>
      <c r="AI473" s="187"/>
      <c r="AJ473" s="191"/>
      <c r="AK473" s="191"/>
      <c r="AL473" s="191"/>
      <c r="AM473" s="191"/>
    </row>
    <row r="474" spans="2:39" x14ac:dyDescent="0.25">
      <c r="B474" s="193"/>
      <c r="C474" s="183"/>
      <c r="D474" s="183"/>
      <c r="E474" s="183"/>
      <c r="F474" s="184"/>
      <c r="G474" s="184"/>
      <c r="H474" s="185"/>
      <c r="I474" s="185"/>
      <c r="J474" s="185"/>
      <c r="K474" s="185"/>
      <c r="L474" s="184"/>
      <c r="M474" s="184"/>
      <c r="N474" s="184"/>
      <c r="O474" s="184"/>
      <c r="P474" s="184"/>
      <c r="Q474" s="184"/>
      <c r="R474" s="184"/>
      <c r="S474" s="186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6"/>
      <c r="AD474" s="184"/>
      <c r="AE474" s="184"/>
      <c r="AF474" s="184"/>
      <c r="AG474" s="186"/>
      <c r="AH474" s="184"/>
      <c r="AI474" s="187"/>
      <c r="AJ474" s="191"/>
      <c r="AK474" s="191"/>
      <c r="AL474" s="191"/>
      <c r="AM474" s="191"/>
    </row>
    <row r="475" spans="2:39" x14ac:dyDescent="0.25">
      <c r="B475" s="193"/>
      <c r="C475" s="183"/>
      <c r="D475" s="183"/>
      <c r="E475" s="183"/>
      <c r="F475" s="184"/>
      <c r="G475" s="184"/>
      <c r="H475" s="185"/>
      <c r="I475" s="185"/>
      <c r="J475" s="185"/>
      <c r="K475" s="185"/>
      <c r="L475" s="184"/>
      <c r="M475" s="184"/>
      <c r="N475" s="184"/>
      <c r="O475" s="184"/>
      <c r="P475" s="184"/>
      <c r="Q475" s="184"/>
      <c r="R475" s="184"/>
      <c r="S475" s="186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6"/>
      <c r="AD475" s="184"/>
      <c r="AE475" s="184"/>
      <c r="AF475" s="184"/>
      <c r="AG475" s="186"/>
      <c r="AH475" s="184"/>
      <c r="AI475" s="187"/>
      <c r="AJ475" s="191"/>
      <c r="AK475" s="191"/>
      <c r="AL475" s="191"/>
      <c r="AM475" s="191"/>
    </row>
    <row r="476" spans="2:39" x14ac:dyDescent="0.25">
      <c r="B476" s="193"/>
      <c r="C476" s="183"/>
      <c r="D476" s="183"/>
      <c r="E476" s="183"/>
      <c r="F476" s="184"/>
      <c r="G476" s="184"/>
      <c r="H476" s="185"/>
      <c r="I476" s="185"/>
      <c r="J476" s="185"/>
      <c r="K476" s="185"/>
      <c r="L476" s="184"/>
      <c r="M476" s="184"/>
      <c r="N476" s="184"/>
      <c r="O476" s="184"/>
      <c r="P476" s="184"/>
      <c r="Q476" s="184"/>
      <c r="R476" s="184"/>
      <c r="S476" s="186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6"/>
      <c r="AD476" s="184"/>
      <c r="AE476" s="184"/>
      <c r="AF476" s="184"/>
      <c r="AG476" s="186"/>
      <c r="AH476" s="184"/>
      <c r="AI476" s="187"/>
      <c r="AJ476" s="191"/>
      <c r="AK476" s="191"/>
      <c r="AL476" s="191"/>
      <c r="AM476" s="191"/>
    </row>
    <row r="477" spans="2:39" x14ac:dyDescent="0.25">
      <c r="B477" s="193"/>
      <c r="C477" s="183"/>
      <c r="D477" s="183"/>
      <c r="E477" s="183"/>
      <c r="F477" s="184"/>
      <c r="G477" s="184"/>
      <c r="H477" s="185"/>
      <c r="I477" s="185"/>
      <c r="J477" s="185"/>
      <c r="K477" s="185"/>
      <c r="L477" s="184"/>
      <c r="M477" s="184"/>
      <c r="N477" s="184"/>
      <c r="O477" s="184"/>
      <c r="P477" s="184"/>
      <c r="Q477" s="184"/>
      <c r="R477" s="184"/>
      <c r="S477" s="186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6"/>
      <c r="AD477" s="184"/>
      <c r="AE477" s="184"/>
      <c r="AF477" s="184"/>
      <c r="AG477" s="186"/>
      <c r="AH477" s="184"/>
      <c r="AI477" s="187"/>
      <c r="AJ477" s="191"/>
      <c r="AK477" s="191"/>
      <c r="AL477" s="191"/>
      <c r="AM477" s="191"/>
    </row>
    <row r="478" spans="2:39" x14ac:dyDescent="0.25">
      <c r="B478" s="193"/>
      <c r="C478" s="183"/>
      <c r="D478" s="183"/>
      <c r="E478" s="183"/>
      <c r="F478" s="184"/>
      <c r="G478" s="184"/>
      <c r="H478" s="185"/>
      <c r="I478" s="185"/>
      <c r="J478" s="185"/>
      <c r="K478" s="185"/>
      <c r="L478" s="184"/>
      <c r="M478" s="184"/>
      <c r="N478" s="184"/>
      <c r="O478" s="184"/>
      <c r="P478" s="184"/>
      <c r="Q478" s="184"/>
      <c r="R478" s="184"/>
      <c r="S478" s="186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6"/>
      <c r="AD478" s="184"/>
      <c r="AE478" s="184"/>
      <c r="AF478" s="184"/>
      <c r="AG478" s="186"/>
      <c r="AH478" s="184"/>
      <c r="AI478" s="187"/>
      <c r="AJ478" s="191"/>
      <c r="AK478" s="191"/>
      <c r="AL478" s="191"/>
      <c r="AM478" s="191"/>
    </row>
    <row r="479" spans="2:39" x14ac:dyDescent="0.25">
      <c r="B479" s="193"/>
      <c r="C479" s="183"/>
      <c r="D479" s="183"/>
      <c r="E479" s="183"/>
      <c r="F479" s="184"/>
      <c r="G479" s="184"/>
      <c r="H479" s="185"/>
      <c r="I479" s="185"/>
      <c r="J479" s="185"/>
      <c r="K479" s="185"/>
      <c r="L479" s="184"/>
      <c r="M479" s="184"/>
      <c r="N479" s="184"/>
      <c r="O479" s="184"/>
      <c r="P479" s="184"/>
      <c r="Q479" s="184"/>
      <c r="R479" s="184"/>
      <c r="S479" s="186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6"/>
      <c r="AD479" s="184"/>
      <c r="AE479" s="184"/>
      <c r="AF479" s="184"/>
      <c r="AG479" s="186"/>
      <c r="AH479" s="184"/>
      <c r="AI479" s="187"/>
      <c r="AJ479" s="191"/>
      <c r="AK479" s="191"/>
      <c r="AL479" s="191"/>
      <c r="AM479" s="191"/>
    </row>
    <row r="480" spans="2:39" x14ac:dyDescent="0.25">
      <c r="B480" s="193"/>
      <c r="C480" s="183"/>
      <c r="D480" s="183"/>
      <c r="E480" s="183"/>
      <c r="F480" s="184"/>
      <c r="G480" s="184"/>
      <c r="H480" s="185"/>
      <c r="I480" s="185"/>
      <c r="J480" s="185"/>
      <c r="K480" s="185"/>
      <c r="L480" s="184"/>
      <c r="M480" s="184"/>
      <c r="N480" s="184"/>
      <c r="O480" s="184"/>
      <c r="P480" s="184"/>
      <c r="Q480" s="184"/>
      <c r="R480" s="184"/>
      <c r="S480" s="186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6"/>
      <c r="AD480" s="184"/>
      <c r="AE480" s="184"/>
      <c r="AF480" s="184"/>
      <c r="AG480" s="186"/>
      <c r="AH480" s="184"/>
      <c r="AI480" s="187"/>
      <c r="AJ480" s="191"/>
      <c r="AK480" s="191"/>
      <c r="AL480" s="191"/>
      <c r="AM480" s="191"/>
    </row>
    <row r="481" spans="2:39" x14ac:dyDescent="0.25">
      <c r="B481" s="193"/>
      <c r="C481" s="183"/>
      <c r="D481" s="183"/>
      <c r="E481" s="183"/>
      <c r="F481" s="184"/>
      <c r="G481" s="184"/>
      <c r="H481" s="185"/>
      <c r="I481" s="185"/>
      <c r="J481" s="185"/>
      <c r="K481" s="185"/>
      <c r="L481" s="184"/>
      <c r="M481" s="184"/>
      <c r="N481" s="184"/>
      <c r="O481" s="184"/>
      <c r="P481" s="184"/>
      <c r="Q481" s="184"/>
      <c r="R481" s="184"/>
      <c r="S481" s="186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6"/>
      <c r="AD481" s="184"/>
      <c r="AE481" s="184"/>
      <c r="AF481" s="184"/>
      <c r="AG481" s="186"/>
      <c r="AH481" s="184"/>
      <c r="AI481" s="187"/>
      <c r="AJ481" s="191"/>
      <c r="AK481" s="191"/>
      <c r="AL481" s="191"/>
      <c r="AM481" s="191"/>
    </row>
    <row r="482" spans="2:39" x14ac:dyDescent="0.25">
      <c r="B482" s="193"/>
      <c r="C482" s="183"/>
      <c r="D482" s="183"/>
      <c r="E482" s="183"/>
      <c r="F482" s="184"/>
      <c r="G482" s="184"/>
      <c r="H482" s="185"/>
      <c r="I482" s="185"/>
      <c r="J482" s="185"/>
      <c r="K482" s="185"/>
      <c r="L482" s="184"/>
      <c r="M482" s="184"/>
      <c r="N482" s="184"/>
      <c r="O482" s="184"/>
      <c r="P482" s="184"/>
      <c r="Q482" s="184"/>
      <c r="R482" s="184"/>
      <c r="S482" s="186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6"/>
      <c r="AD482" s="184"/>
      <c r="AE482" s="184"/>
      <c r="AF482" s="184"/>
      <c r="AG482" s="186"/>
      <c r="AH482" s="184"/>
      <c r="AI482" s="187"/>
      <c r="AJ482" s="191"/>
      <c r="AK482" s="191"/>
      <c r="AL482" s="191"/>
      <c r="AM482" s="191"/>
    </row>
    <row r="483" spans="2:39" x14ac:dyDescent="0.25">
      <c r="B483" s="193"/>
      <c r="C483" s="183"/>
      <c r="D483" s="183"/>
      <c r="E483" s="183"/>
      <c r="F483" s="184"/>
      <c r="G483" s="184"/>
      <c r="H483" s="185"/>
      <c r="I483" s="185"/>
      <c r="J483" s="185"/>
      <c r="K483" s="185"/>
      <c r="L483" s="184"/>
      <c r="M483" s="184"/>
      <c r="N483" s="184"/>
      <c r="O483" s="184"/>
      <c r="P483" s="184"/>
      <c r="Q483" s="184"/>
      <c r="R483" s="184"/>
      <c r="S483" s="186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6"/>
      <c r="AD483" s="184"/>
      <c r="AE483" s="184"/>
      <c r="AF483" s="184"/>
      <c r="AG483" s="186"/>
      <c r="AH483" s="184"/>
      <c r="AI483" s="187"/>
      <c r="AJ483" s="191"/>
      <c r="AK483" s="191"/>
      <c r="AL483" s="191"/>
      <c r="AM483" s="191"/>
    </row>
    <row r="484" spans="2:39" x14ac:dyDescent="0.25">
      <c r="B484" s="193"/>
      <c r="C484" s="183"/>
      <c r="D484" s="183"/>
      <c r="E484" s="183"/>
      <c r="F484" s="184"/>
      <c r="G484" s="184"/>
      <c r="H484" s="185"/>
      <c r="I484" s="185"/>
      <c r="J484" s="185"/>
      <c r="K484" s="185"/>
      <c r="L484" s="184"/>
      <c r="M484" s="184"/>
      <c r="N484" s="184"/>
      <c r="O484" s="184"/>
      <c r="P484" s="184"/>
      <c r="Q484" s="184"/>
      <c r="R484" s="184"/>
      <c r="S484" s="186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6"/>
      <c r="AD484" s="184"/>
      <c r="AE484" s="184"/>
      <c r="AF484" s="184"/>
      <c r="AG484" s="186"/>
      <c r="AH484" s="184"/>
      <c r="AI484" s="187"/>
      <c r="AJ484" s="191"/>
      <c r="AK484" s="191"/>
      <c r="AL484" s="191"/>
      <c r="AM484" s="191"/>
    </row>
    <row r="485" spans="2:39" x14ac:dyDescent="0.25">
      <c r="B485" s="193"/>
      <c r="C485" s="183"/>
      <c r="D485" s="183"/>
      <c r="E485" s="183"/>
      <c r="F485" s="184"/>
      <c r="G485" s="184"/>
      <c r="H485" s="185"/>
      <c r="I485" s="185"/>
      <c r="J485" s="185"/>
      <c r="K485" s="185"/>
      <c r="L485" s="184"/>
      <c r="M485" s="184"/>
      <c r="N485" s="184"/>
      <c r="O485" s="184"/>
      <c r="P485" s="184"/>
      <c r="Q485" s="184"/>
      <c r="R485" s="184"/>
      <c r="S485" s="186"/>
      <c r="T485" s="184"/>
      <c r="U485" s="184"/>
      <c r="V485" s="184"/>
      <c r="W485" s="184"/>
      <c r="X485" s="184"/>
      <c r="Y485" s="184"/>
      <c r="Z485" s="184"/>
      <c r="AA485" s="184"/>
      <c r="AB485" s="184"/>
      <c r="AC485" s="186"/>
      <c r="AD485" s="184"/>
      <c r="AE485" s="184"/>
      <c r="AF485" s="184"/>
      <c r="AG485" s="186"/>
      <c r="AH485" s="184"/>
      <c r="AI485" s="187"/>
      <c r="AJ485" s="191"/>
      <c r="AK485" s="191"/>
      <c r="AL485" s="191"/>
      <c r="AM485" s="191"/>
    </row>
    <row r="486" spans="2:39" x14ac:dyDescent="0.25">
      <c r="B486" s="193"/>
      <c r="C486" s="183"/>
      <c r="D486" s="183"/>
      <c r="E486" s="183"/>
      <c r="F486" s="184"/>
      <c r="G486" s="184"/>
      <c r="H486" s="185"/>
      <c r="I486" s="185"/>
      <c r="J486" s="185"/>
      <c r="K486" s="185"/>
      <c r="L486" s="184"/>
      <c r="M486" s="184"/>
      <c r="N486" s="184"/>
      <c r="O486" s="184"/>
      <c r="P486" s="184"/>
      <c r="Q486" s="184"/>
      <c r="R486" s="184"/>
      <c r="S486" s="186"/>
      <c r="T486" s="184"/>
      <c r="U486" s="184"/>
      <c r="V486" s="184"/>
      <c r="W486" s="184"/>
      <c r="X486" s="184"/>
      <c r="Y486" s="184"/>
      <c r="Z486" s="184"/>
      <c r="AA486" s="184"/>
      <c r="AB486" s="184"/>
      <c r="AC486" s="186"/>
      <c r="AD486" s="184"/>
      <c r="AE486" s="184"/>
      <c r="AF486" s="184"/>
      <c r="AG486" s="186"/>
      <c r="AH486" s="184"/>
      <c r="AI486" s="187"/>
      <c r="AJ486" s="191"/>
      <c r="AK486" s="191"/>
      <c r="AL486" s="191"/>
      <c r="AM486" s="191"/>
    </row>
    <row r="487" spans="2:39" x14ac:dyDescent="0.25">
      <c r="B487" s="193"/>
      <c r="C487" s="183"/>
      <c r="D487" s="183"/>
      <c r="E487" s="183"/>
      <c r="F487" s="184"/>
      <c r="G487" s="184"/>
      <c r="H487" s="185"/>
      <c r="I487" s="185"/>
      <c r="J487" s="185"/>
      <c r="K487" s="185"/>
      <c r="L487" s="184"/>
      <c r="M487" s="184"/>
      <c r="N487" s="184"/>
      <c r="O487" s="184"/>
      <c r="P487" s="184"/>
      <c r="Q487" s="184"/>
      <c r="R487" s="184"/>
      <c r="S487" s="186"/>
      <c r="T487" s="184"/>
      <c r="U487" s="184"/>
      <c r="V487" s="184"/>
      <c r="W487" s="184"/>
      <c r="X487" s="184"/>
      <c r="Y487" s="184"/>
      <c r="Z487" s="184"/>
      <c r="AA487" s="184"/>
      <c r="AB487" s="184"/>
      <c r="AC487" s="186"/>
      <c r="AD487" s="184"/>
      <c r="AE487" s="184"/>
      <c r="AF487" s="184"/>
      <c r="AG487" s="186"/>
      <c r="AH487" s="184"/>
      <c r="AI487" s="187"/>
      <c r="AJ487" s="191"/>
      <c r="AK487" s="191"/>
      <c r="AL487" s="191"/>
      <c r="AM487" s="191"/>
    </row>
    <row r="488" spans="2:39" x14ac:dyDescent="0.25">
      <c r="B488" s="193"/>
      <c r="C488" s="183"/>
      <c r="D488" s="183"/>
      <c r="E488" s="183"/>
      <c r="F488" s="184"/>
      <c r="G488" s="184"/>
      <c r="H488" s="185"/>
      <c r="I488" s="185"/>
      <c r="J488" s="185"/>
      <c r="K488" s="185"/>
      <c r="L488" s="184"/>
      <c r="M488" s="184"/>
      <c r="N488" s="184"/>
      <c r="O488" s="184"/>
      <c r="P488" s="184"/>
      <c r="Q488" s="184"/>
      <c r="R488" s="184"/>
      <c r="S488" s="186"/>
      <c r="T488" s="184"/>
      <c r="U488" s="184"/>
      <c r="V488" s="184"/>
      <c r="W488" s="184"/>
      <c r="X488" s="184"/>
      <c r="Y488" s="184"/>
      <c r="Z488" s="184"/>
      <c r="AA488" s="184"/>
      <c r="AB488" s="184"/>
      <c r="AC488" s="186"/>
      <c r="AD488" s="184"/>
      <c r="AE488" s="184"/>
      <c r="AF488" s="184"/>
      <c r="AG488" s="186"/>
      <c r="AH488" s="184"/>
      <c r="AI488" s="187"/>
      <c r="AJ488" s="191"/>
      <c r="AK488" s="191"/>
      <c r="AL488" s="191"/>
      <c r="AM488" s="191"/>
    </row>
    <row r="489" spans="2:39" x14ac:dyDescent="0.25">
      <c r="B489" s="193"/>
      <c r="C489" s="183"/>
      <c r="D489" s="183"/>
      <c r="E489" s="183"/>
      <c r="F489" s="184"/>
      <c r="G489" s="184"/>
      <c r="H489" s="185"/>
      <c r="I489" s="185"/>
      <c r="J489" s="185"/>
      <c r="K489" s="185"/>
      <c r="L489" s="184"/>
      <c r="M489" s="184"/>
      <c r="N489" s="184"/>
      <c r="O489" s="184"/>
      <c r="P489" s="184"/>
      <c r="Q489" s="184"/>
      <c r="R489" s="184"/>
      <c r="S489" s="186"/>
      <c r="T489" s="184"/>
      <c r="U489" s="184"/>
      <c r="V489" s="184"/>
      <c r="W489" s="184"/>
      <c r="X489" s="184"/>
      <c r="Y489" s="184"/>
      <c r="Z489" s="184"/>
      <c r="AA489" s="184"/>
      <c r="AB489" s="184"/>
      <c r="AC489" s="186"/>
      <c r="AD489" s="184"/>
      <c r="AE489" s="184"/>
      <c r="AF489" s="184"/>
      <c r="AG489" s="186"/>
      <c r="AH489" s="184"/>
      <c r="AI489" s="187"/>
      <c r="AJ489" s="191"/>
      <c r="AK489" s="191"/>
      <c r="AL489" s="191"/>
      <c r="AM489" s="191"/>
    </row>
    <row r="490" spans="2:39" x14ac:dyDescent="0.25">
      <c r="B490" s="193"/>
      <c r="C490" s="183"/>
      <c r="D490" s="183"/>
      <c r="E490" s="183"/>
      <c r="F490" s="184"/>
      <c r="G490" s="184"/>
      <c r="H490" s="185"/>
      <c r="I490" s="185"/>
      <c r="J490" s="185"/>
      <c r="K490" s="185"/>
      <c r="L490" s="184"/>
      <c r="M490" s="184"/>
      <c r="N490" s="184"/>
      <c r="O490" s="184"/>
      <c r="P490" s="184"/>
      <c r="Q490" s="184"/>
      <c r="R490" s="184"/>
      <c r="S490" s="186"/>
      <c r="T490" s="184"/>
      <c r="U490" s="184"/>
      <c r="V490" s="184"/>
      <c r="W490" s="184"/>
      <c r="X490" s="184"/>
      <c r="Y490" s="184"/>
      <c r="Z490" s="184"/>
      <c r="AA490" s="184"/>
      <c r="AB490" s="184"/>
      <c r="AC490" s="186"/>
      <c r="AD490" s="184"/>
      <c r="AE490" s="184"/>
      <c r="AF490" s="184"/>
      <c r="AG490" s="186"/>
      <c r="AH490" s="184"/>
      <c r="AI490" s="187"/>
      <c r="AJ490" s="191"/>
      <c r="AK490" s="191"/>
      <c r="AL490" s="191"/>
      <c r="AM490" s="191"/>
    </row>
    <row r="491" spans="2:39" x14ac:dyDescent="0.25">
      <c r="B491" s="193"/>
      <c r="C491" s="183"/>
      <c r="D491" s="183"/>
      <c r="E491" s="183"/>
      <c r="F491" s="184"/>
      <c r="G491" s="184"/>
      <c r="H491" s="185"/>
      <c r="I491" s="185"/>
      <c r="J491" s="185"/>
      <c r="K491" s="185"/>
      <c r="L491" s="184"/>
      <c r="M491" s="184"/>
      <c r="N491" s="184"/>
      <c r="O491" s="184"/>
      <c r="P491" s="184"/>
      <c r="Q491" s="184"/>
      <c r="R491" s="184"/>
      <c r="S491" s="186"/>
      <c r="T491" s="184"/>
      <c r="U491" s="184"/>
      <c r="V491" s="184"/>
      <c r="W491" s="184"/>
      <c r="X491" s="184"/>
      <c r="Y491" s="184"/>
      <c r="Z491" s="184"/>
      <c r="AA491" s="184"/>
      <c r="AB491" s="184"/>
      <c r="AC491" s="186"/>
      <c r="AD491" s="184"/>
      <c r="AE491" s="184"/>
      <c r="AF491" s="184"/>
      <c r="AG491" s="186"/>
      <c r="AH491" s="184"/>
      <c r="AI491" s="187"/>
      <c r="AJ491" s="191"/>
      <c r="AK491" s="191"/>
      <c r="AL491" s="191"/>
      <c r="AM491" s="191"/>
    </row>
    <row r="492" spans="2:39" x14ac:dyDescent="0.25">
      <c r="B492" s="193"/>
      <c r="C492" s="183"/>
      <c r="D492" s="183"/>
      <c r="E492" s="183"/>
      <c r="F492" s="184"/>
      <c r="G492" s="184"/>
      <c r="H492" s="185"/>
      <c r="I492" s="185"/>
      <c r="J492" s="185"/>
      <c r="K492" s="185"/>
      <c r="L492" s="184"/>
      <c r="M492" s="184"/>
      <c r="N492" s="184"/>
      <c r="O492" s="184"/>
      <c r="P492" s="184"/>
      <c r="Q492" s="184"/>
      <c r="R492" s="184"/>
      <c r="S492" s="186"/>
      <c r="T492" s="184"/>
      <c r="U492" s="184"/>
      <c r="V492" s="184"/>
      <c r="W492" s="184"/>
      <c r="X492" s="184"/>
      <c r="Y492" s="184"/>
      <c r="Z492" s="184"/>
      <c r="AA492" s="184"/>
      <c r="AB492" s="184"/>
      <c r="AC492" s="186"/>
      <c r="AD492" s="184"/>
      <c r="AE492" s="184"/>
      <c r="AF492" s="184"/>
      <c r="AG492" s="186"/>
      <c r="AH492" s="184"/>
      <c r="AI492" s="187"/>
      <c r="AJ492" s="191"/>
      <c r="AK492" s="191"/>
      <c r="AL492" s="191"/>
      <c r="AM492" s="191"/>
    </row>
    <row r="493" spans="2:39" x14ac:dyDescent="0.25">
      <c r="B493" s="193"/>
      <c r="C493" s="183"/>
      <c r="D493" s="183"/>
      <c r="E493" s="183"/>
      <c r="F493" s="184"/>
      <c r="G493" s="184"/>
      <c r="H493" s="185"/>
      <c r="I493" s="185"/>
      <c r="J493" s="185"/>
      <c r="K493" s="185"/>
      <c r="L493" s="184"/>
      <c r="M493" s="184"/>
      <c r="N493" s="184"/>
      <c r="O493" s="184"/>
      <c r="P493" s="184"/>
      <c r="Q493" s="184"/>
      <c r="R493" s="184"/>
      <c r="S493" s="186"/>
      <c r="T493" s="184"/>
      <c r="U493" s="184"/>
      <c r="V493" s="184"/>
      <c r="W493" s="184"/>
      <c r="X493" s="184"/>
      <c r="Y493" s="184"/>
      <c r="Z493" s="184"/>
      <c r="AA493" s="184"/>
      <c r="AB493" s="184"/>
      <c r="AC493" s="186"/>
      <c r="AD493" s="184"/>
      <c r="AE493" s="184"/>
      <c r="AF493" s="184"/>
      <c r="AG493" s="186"/>
      <c r="AH493" s="184"/>
      <c r="AI493" s="187"/>
      <c r="AJ493" s="191"/>
      <c r="AK493" s="191"/>
      <c r="AL493" s="191"/>
      <c r="AM493" s="191"/>
    </row>
    <row r="494" spans="2:39" x14ac:dyDescent="0.25">
      <c r="B494" s="193"/>
      <c r="C494" s="183"/>
      <c r="D494" s="183"/>
      <c r="E494" s="183"/>
      <c r="F494" s="184"/>
      <c r="G494" s="184"/>
      <c r="H494" s="185"/>
      <c r="I494" s="185"/>
      <c r="J494" s="185"/>
      <c r="K494" s="185"/>
      <c r="L494" s="184"/>
      <c r="M494" s="184"/>
      <c r="N494" s="184"/>
      <c r="O494" s="184"/>
      <c r="P494" s="184"/>
      <c r="Q494" s="184"/>
      <c r="R494" s="184"/>
      <c r="S494" s="186"/>
      <c r="T494" s="184"/>
      <c r="U494" s="184"/>
      <c r="V494" s="184"/>
      <c r="W494" s="184"/>
      <c r="X494" s="184"/>
      <c r="Y494" s="184"/>
      <c r="Z494" s="184"/>
      <c r="AA494" s="184"/>
      <c r="AB494" s="184"/>
      <c r="AC494" s="186"/>
      <c r="AD494" s="184"/>
      <c r="AE494" s="184"/>
      <c r="AF494" s="184"/>
      <c r="AG494" s="186"/>
      <c r="AH494" s="184"/>
      <c r="AI494" s="187"/>
      <c r="AJ494" s="191"/>
      <c r="AK494" s="191"/>
      <c r="AL494" s="191"/>
      <c r="AM494" s="191"/>
    </row>
    <row r="495" spans="2:39" x14ac:dyDescent="0.25">
      <c r="B495" s="193"/>
      <c r="C495" s="183"/>
      <c r="D495" s="183"/>
      <c r="E495" s="183"/>
      <c r="F495" s="184"/>
      <c r="G495" s="184"/>
      <c r="H495" s="185"/>
      <c r="I495" s="185"/>
      <c r="J495" s="185"/>
      <c r="K495" s="185"/>
      <c r="L495" s="184"/>
      <c r="M495" s="184"/>
      <c r="N495" s="184"/>
      <c r="O495" s="184"/>
      <c r="P495" s="184"/>
      <c r="Q495" s="184"/>
      <c r="R495" s="184"/>
      <c r="S495" s="186"/>
      <c r="T495" s="184"/>
      <c r="U495" s="184"/>
      <c r="V495" s="184"/>
      <c r="W495" s="184"/>
      <c r="X495" s="184"/>
      <c r="Y495" s="184"/>
      <c r="Z495" s="184"/>
      <c r="AA495" s="184"/>
      <c r="AB495" s="184"/>
      <c r="AC495" s="186"/>
      <c r="AD495" s="184"/>
      <c r="AE495" s="184"/>
      <c r="AF495" s="184"/>
      <c r="AG495" s="186"/>
      <c r="AH495" s="184"/>
      <c r="AI495" s="187"/>
      <c r="AJ495" s="191"/>
      <c r="AK495" s="191"/>
      <c r="AL495" s="191"/>
      <c r="AM495" s="191"/>
    </row>
    <row r="496" spans="2:39" x14ac:dyDescent="0.25">
      <c r="B496" s="193"/>
      <c r="C496" s="183"/>
      <c r="D496" s="183"/>
      <c r="E496" s="183"/>
      <c r="F496" s="184"/>
      <c r="G496" s="184"/>
      <c r="H496" s="185"/>
      <c r="I496" s="185"/>
      <c r="J496" s="185"/>
      <c r="K496" s="185"/>
      <c r="L496" s="184"/>
      <c r="M496" s="184"/>
      <c r="N496" s="184"/>
      <c r="O496" s="184"/>
      <c r="P496" s="184"/>
      <c r="Q496" s="184"/>
      <c r="R496" s="184"/>
      <c r="S496" s="186"/>
      <c r="T496" s="184"/>
      <c r="U496" s="184"/>
      <c r="V496" s="184"/>
      <c r="W496" s="184"/>
      <c r="X496" s="184"/>
      <c r="Y496" s="184"/>
      <c r="Z496" s="184"/>
      <c r="AA496" s="184"/>
      <c r="AB496" s="184"/>
      <c r="AC496" s="186"/>
      <c r="AD496" s="184"/>
      <c r="AE496" s="184"/>
      <c r="AF496" s="184"/>
      <c r="AG496" s="186"/>
      <c r="AH496" s="184"/>
      <c r="AI496" s="187"/>
      <c r="AJ496" s="191"/>
      <c r="AK496" s="191"/>
      <c r="AL496" s="191"/>
      <c r="AM496" s="191"/>
    </row>
    <row r="497" spans="2:39" x14ac:dyDescent="0.25">
      <c r="B497" s="193"/>
      <c r="C497" s="183"/>
      <c r="D497" s="183"/>
      <c r="E497" s="183"/>
      <c r="F497" s="184"/>
      <c r="G497" s="184"/>
      <c r="H497" s="185"/>
      <c r="I497" s="185"/>
      <c r="J497" s="185"/>
      <c r="K497" s="185"/>
      <c r="L497" s="184"/>
      <c r="M497" s="184"/>
      <c r="N497" s="184"/>
      <c r="O497" s="184"/>
      <c r="P497" s="184"/>
      <c r="Q497" s="184"/>
      <c r="R497" s="184"/>
      <c r="S497" s="186"/>
      <c r="T497" s="184"/>
      <c r="U497" s="184"/>
      <c r="V497" s="184"/>
      <c r="W497" s="184"/>
      <c r="X497" s="184"/>
      <c r="Y497" s="184"/>
      <c r="Z497" s="184"/>
      <c r="AA497" s="184"/>
      <c r="AB497" s="184"/>
      <c r="AC497" s="186"/>
      <c r="AD497" s="184"/>
      <c r="AE497" s="184"/>
      <c r="AF497" s="184"/>
      <c r="AG497" s="186"/>
      <c r="AH497" s="184"/>
      <c r="AI497" s="187"/>
      <c r="AJ497" s="191"/>
      <c r="AK497" s="191"/>
      <c r="AL497" s="191"/>
      <c r="AM497" s="191"/>
    </row>
    <row r="498" spans="2:39" x14ac:dyDescent="0.25">
      <c r="B498" s="193"/>
      <c r="C498" s="183"/>
      <c r="D498" s="183"/>
      <c r="E498" s="183"/>
      <c r="F498" s="184"/>
      <c r="G498" s="184"/>
      <c r="H498" s="185"/>
      <c r="I498" s="185"/>
      <c r="J498" s="185"/>
      <c r="K498" s="185"/>
      <c r="L498" s="184"/>
      <c r="M498" s="184"/>
      <c r="N498" s="184"/>
      <c r="O498" s="184"/>
      <c r="P498" s="184"/>
      <c r="Q498" s="184"/>
      <c r="R498" s="184"/>
      <c r="S498" s="186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6"/>
      <c r="AD498" s="184"/>
      <c r="AE498" s="184"/>
      <c r="AF498" s="184"/>
      <c r="AG498" s="186"/>
      <c r="AH498" s="184"/>
      <c r="AI498" s="187"/>
      <c r="AJ498" s="191"/>
      <c r="AK498" s="191"/>
      <c r="AL498" s="191"/>
      <c r="AM498" s="191"/>
    </row>
    <row r="499" spans="2:39" x14ac:dyDescent="0.25">
      <c r="B499" s="193"/>
      <c r="C499" s="183"/>
      <c r="D499" s="183"/>
      <c r="E499" s="183"/>
      <c r="F499" s="184"/>
      <c r="G499" s="184"/>
      <c r="H499" s="185"/>
      <c r="I499" s="185"/>
      <c r="J499" s="185"/>
      <c r="K499" s="185"/>
      <c r="L499" s="184"/>
      <c r="M499" s="184"/>
      <c r="N499" s="184"/>
      <c r="O499" s="184"/>
      <c r="P499" s="184"/>
      <c r="Q499" s="184"/>
      <c r="R499" s="184"/>
      <c r="S499" s="186"/>
      <c r="T499" s="184"/>
      <c r="U499" s="184"/>
      <c r="V499" s="184"/>
      <c r="W499" s="184"/>
      <c r="X499" s="184"/>
      <c r="Y499" s="184"/>
      <c r="Z499" s="184"/>
      <c r="AA499" s="184"/>
      <c r="AB499" s="184"/>
      <c r="AC499" s="186"/>
      <c r="AD499" s="184"/>
      <c r="AE499" s="184"/>
      <c r="AF499" s="184"/>
      <c r="AG499" s="186"/>
      <c r="AH499" s="184"/>
      <c r="AI499" s="187"/>
      <c r="AJ499" s="191"/>
      <c r="AK499" s="191"/>
      <c r="AL499" s="191"/>
      <c r="AM499" s="191"/>
    </row>
    <row r="500" spans="2:39" x14ac:dyDescent="0.25">
      <c r="B500" s="193"/>
      <c r="C500" s="183"/>
      <c r="D500" s="183"/>
      <c r="E500" s="183"/>
      <c r="F500" s="184"/>
      <c r="G500" s="184"/>
      <c r="H500" s="185"/>
      <c r="I500" s="185"/>
      <c r="J500" s="185"/>
      <c r="K500" s="185"/>
      <c r="L500" s="184"/>
      <c r="M500" s="184"/>
      <c r="N500" s="184"/>
      <c r="O500" s="184"/>
      <c r="P500" s="184"/>
      <c r="Q500" s="184"/>
      <c r="R500" s="184"/>
      <c r="S500" s="186"/>
      <c r="T500" s="184"/>
      <c r="U500" s="184"/>
      <c r="V500" s="184"/>
      <c r="W500" s="184"/>
      <c r="X500" s="184"/>
      <c r="Y500" s="184"/>
      <c r="Z500" s="184"/>
      <c r="AA500" s="184"/>
      <c r="AB500" s="184"/>
      <c r="AC500" s="186"/>
      <c r="AD500" s="184"/>
      <c r="AE500" s="184"/>
      <c r="AF500" s="184"/>
      <c r="AG500" s="186"/>
      <c r="AH500" s="184"/>
      <c r="AI500" s="187"/>
      <c r="AJ500" s="191"/>
      <c r="AK500" s="191"/>
      <c r="AL500" s="191"/>
      <c r="AM500" s="191"/>
    </row>
    <row r="501" spans="2:39" x14ac:dyDescent="0.25">
      <c r="B501" s="193"/>
      <c r="C501" s="183"/>
      <c r="D501" s="183"/>
      <c r="E501" s="183"/>
      <c r="F501" s="184"/>
      <c r="G501" s="184"/>
      <c r="H501" s="185"/>
      <c r="I501" s="185"/>
      <c r="J501" s="185"/>
      <c r="K501" s="185"/>
      <c r="L501" s="184"/>
      <c r="M501" s="184"/>
      <c r="N501" s="184"/>
      <c r="O501" s="184"/>
      <c r="P501" s="184"/>
      <c r="Q501" s="184"/>
      <c r="R501" s="184"/>
      <c r="S501" s="186"/>
      <c r="T501" s="184"/>
      <c r="U501" s="184"/>
      <c r="V501" s="184"/>
      <c r="W501" s="184"/>
      <c r="X501" s="184"/>
      <c r="Y501" s="184"/>
      <c r="Z501" s="184"/>
      <c r="AA501" s="184"/>
      <c r="AB501" s="184"/>
      <c r="AC501" s="186"/>
      <c r="AD501" s="184"/>
      <c r="AE501" s="184"/>
      <c r="AF501" s="184"/>
      <c r="AG501" s="186"/>
      <c r="AH501" s="184"/>
      <c r="AI501" s="187"/>
      <c r="AJ501" s="191"/>
      <c r="AK501" s="191"/>
      <c r="AL501" s="191"/>
      <c r="AM501" s="191"/>
    </row>
    <row r="502" spans="2:39" x14ac:dyDescent="0.25">
      <c r="B502" s="193"/>
      <c r="C502" s="183"/>
      <c r="D502" s="183"/>
      <c r="E502" s="183"/>
      <c r="F502" s="184"/>
      <c r="G502" s="184"/>
      <c r="H502" s="185"/>
      <c r="I502" s="185"/>
      <c r="J502" s="185"/>
      <c r="K502" s="185"/>
      <c r="L502" s="184"/>
      <c r="M502" s="184"/>
      <c r="N502" s="184"/>
      <c r="O502" s="184"/>
      <c r="P502" s="184"/>
      <c r="Q502" s="184"/>
      <c r="R502" s="184"/>
      <c r="S502" s="186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6"/>
      <c r="AD502" s="184"/>
      <c r="AE502" s="184"/>
      <c r="AF502" s="184"/>
      <c r="AG502" s="186"/>
      <c r="AH502" s="184"/>
      <c r="AI502" s="187"/>
      <c r="AJ502" s="191"/>
      <c r="AK502" s="191"/>
      <c r="AL502" s="191"/>
      <c r="AM502" s="191"/>
    </row>
    <row r="503" spans="2:39" x14ac:dyDescent="0.25">
      <c r="B503" s="193"/>
      <c r="C503" s="183"/>
      <c r="D503" s="183"/>
      <c r="E503" s="183"/>
      <c r="F503" s="184"/>
      <c r="G503" s="184"/>
      <c r="H503" s="185"/>
      <c r="I503" s="185"/>
      <c r="J503" s="185"/>
      <c r="K503" s="185"/>
      <c r="L503" s="184"/>
      <c r="M503" s="184"/>
      <c r="N503" s="184"/>
      <c r="O503" s="184"/>
      <c r="P503" s="184"/>
      <c r="Q503" s="184"/>
      <c r="R503" s="184"/>
      <c r="S503" s="186"/>
      <c r="T503" s="184"/>
      <c r="U503" s="184"/>
      <c r="V503" s="184"/>
      <c r="W503" s="184"/>
      <c r="X503" s="184"/>
      <c r="Y503" s="184"/>
      <c r="Z503" s="184"/>
      <c r="AA503" s="184"/>
      <c r="AB503" s="184"/>
      <c r="AC503" s="186"/>
      <c r="AD503" s="184"/>
      <c r="AE503" s="184"/>
      <c r="AF503" s="184"/>
      <c r="AG503" s="186"/>
      <c r="AH503" s="184"/>
      <c r="AI503" s="187"/>
      <c r="AJ503" s="191"/>
      <c r="AK503" s="191"/>
      <c r="AL503" s="191"/>
      <c r="AM503" s="191"/>
    </row>
    <row r="504" spans="2:39" x14ac:dyDescent="0.25">
      <c r="B504" s="193"/>
      <c r="C504" s="183"/>
      <c r="D504" s="183"/>
      <c r="E504" s="183"/>
      <c r="F504" s="184"/>
      <c r="G504" s="184"/>
      <c r="H504" s="185"/>
      <c r="I504" s="185"/>
      <c r="J504" s="185"/>
      <c r="K504" s="185"/>
      <c r="L504" s="184"/>
      <c r="M504" s="184"/>
      <c r="N504" s="184"/>
      <c r="O504" s="184"/>
      <c r="P504" s="184"/>
      <c r="Q504" s="184"/>
      <c r="R504" s="184"/>
      <c r="S504" s="186"/>
      <c r="T504" s="184"/>
      <c r="U504" s="184"/>
      <c r="V504" s="184"/>
      <c r="W504" s="184"/>
      <c r="X504" s="184"/>
      <c r="Y504" s="184"/>
      <c r="Z504" s="184"/>
      <c r="AA504" s="184"/>
      <c r="AB504" s="184"/>
      <c r="AC504" s="186"/>
      <c r="AD504" s="184"/>
      <c r="AE504" s="184"/>
      <c r="AF504" s="184"/>
      <c r="AG504" s="186"/>
      <c r="AH504" s="184"/>
      <c r="AI504" s="187"/>
      <c r="AJ504" s="191"/>
      <c r="AK504" s="191"/>
      <c r="AL504" s="191"/>
      <c r="AM504" s="191"/>
    </row>
    <row r="505" spans="2:39" x14ac:dyDescent="0.25">
      <c r="B505" s="193"/>
      <c r="C505" s="183"/>
      <c r="D505" s="183"/>
      <c r="E505" s="183"/>
      <c r="F505" s="184"/>
      <c r="G505" s="184"/>
      <c r="H505" s="185"/>
      <c r="I505" s="185"/>
      <c r="J505" s="185"/>
      <c r="K505" s="185"/>
      <c r="L505" s="184"/>
      <c r="M505" s="184"/>
      <c r="N505" s="184"/>
      <c r="O505" s="184"/>
      <c r="P505" s="184"/>
      <c r="Q505" s="184"/>
      <c r="R505" s="184"/>
      <c r="S505" s="186"/>
      <c r="T505" s="184"/>
      <c r="U505" s="184"/>
      <c r="V505" s="184"/>
      <c r="W505" s="184"/>
      <c r="X505" s="184"/>
      <c r="Y505" s="184"/>
      <c r="Z505" s="184"/>
      <c r="AA505" s="184"/>
      <c r="AB505" s="184"/>
      <c r="AC505" s="186"/>
      <c r="AD505" s="184"/>
      <c r="AE505" s="184"/>
      <c r="AF505" s="184"/>
      <c r="AG505" s="186"/>
      <c r="AH505" s="184"/>
      <c r="AI505" s="187"/>
      <c r="AJ505" s="191"/>
      <c r="AK505" s="191"/>
      <c r="AL505" s="191"/>
      <c r="AM505" s="191"/>
    </row>
    <row r="506" spans="2:39" x14ac:dyDescent="0.25">
      <c r="B506" s="193"/>
      <c r="C506" s="183"/>
      <c r="D506" s="183"/>
      <c r="E506" s="183"/>
      <c r="F506" s="184"/>
      <c r="G506" s="184"/>
      <c r="H506" s="185"/>
      <c r="I506" s="185"/>
      <c r="J506" s="185"/>
      <c r="K506" s="185"/>
      <c r="L506" s="184"/>
      <c r="M506" s="184"/>
      <c r="N506" s="184"/>
      <c r="O506" s="184"/>
      <c r="P506" s="184"/>
      <c r="Q506" s="184"/>
      <c r="R506" s="184"/>
      <c r="S506" s="186"/>
      <c r="T506" s="184"/>
      <c r="U506" s="184"/>
      <c r="V506" s="184"/>
      <c r="W506" s="184"/>
      <c r="X506" s="184"/>
      <c r="Y506" s="184"/>
      <c r="Z506" s="184"/>
      <c r="AA506" s="184"/>
      <c r="AB506" s="184"/>
      <c r="AC506" s="186"/>
      <c r="AD506" s="184"/>
      <c r="AE506" s="184"/>
      <c r="AF506" s="184"/>
      <c r="AG506" s="186"/>
      <c r="AH506" s="184"/>
      <c r="AI506" s="187"/>
      <c r="AJ506" s="191"/>
      <c r="AK506" s="191"/>
      <c r="AL506" s="191"/>
      <c r="AM506" s="191"/>
    </row>
    <row r="507" spans="2:39" x14ac:dyDescent="0.25">
      <c r="B507" s="193"/>
      <c r="C507" s="183"/>
      <c r="D507" s="183"/>
      <c r="E507" s="183"/>
      <c r="F507" s="184"/>
      <c r="G507" s="184"/>
      <c r="H507" s="185"/>
      <c r="I507" s="185"/>
      <c r="J507" s="185"/>
      <c r="K507" s="185"/>
      <c r="L507" s="184"/>
      <c r="M507" s="184"/>
      <c r="N507" s="184"/>
      <c r="O507" s="184"/>
      <c r="P507" s="184"/>
      <c r="Q507" s="184"/>
      <c r="R507" s="184"/>
      <c r="S507" s="186"/>
      <c r="T507" s="184"/>
      <c r="U507" s="184"/>
      <c r="V507" s="184"/>
      <c r="W507" s="184"/>
      <c r="X507" s="184"/>
      <c r="Y507" s="184"/>
      <c r="Z507" s="184"/>
      <c r="AA507" s="184"/>
      <c r="AB507" s="184"/>
      <c r="AC507" s="186"/>
      <c r="AD507" s="184"/>
      <c r="AE507" s="184"/>
      <c r="AF507" s="184"/>
      <c r="AG507" s="186"/>
      <c r="AH507" s="184"/>
      <c r="AI507" s="187"/>
      <c r="AJ507" s="191"/>
      <c r="AK507" s="191"/>
      <c r="AL507" s="191"/>
      <c r="AM507" s="191"/>
    </row>
    <row r="508" spans="2:39" x14ac:dyDescent="0.25">
      <c r="B508" s="193"/>
      <c r="C508" s="183"/>
      <c r="D508" s="183"/>
      <c r="E508" s="183"/>
      <c r="F508" s="184"/>
      <c r="G508" s="184"/>
      <c r="H508" s="185"/>
      <c r="I508" s="185"/>
      <c r="J508" s="185"/>
      <c r="K508" s="185"/>
      <c r="L508" s="184"/>
      <c r="M508" s="184"/>
      <c r="N508" s="184"/>
      <c r="O508" s="184"/>
      <c r="P508" s="184"/>
      <c r="Q508" s="184"/>
      <c r="R508" s="184"/>
      <c r="S508" s="186"/>
      <c r="T508" s="184"/>
      <c r="U508" s="184"/>
      <c r="V508" s="184"/>
      <c r="W508" s="184"/>
      <c r="X508" s="184"/>
      <c r="Y508" s="184"/>
      <c r="Z508" s="184"/>
      <c r="AA508" s="184"/>
      <c r="AB508" s="184"/>
      <c r="AC508" s="186"/>
      <c r="AD508" s="184"/>
      <c r="AE508" s="184"/>
      <c r="AF508" s="184"/>
      <c r="AG508" s="186"/>
      <c r="AH508" s="184"/>
      <c r="AI508" s="187"/>
      <c r="AJ508" s="191"/>
      <c r="AK508" s="191"/>
      <c r="AL508" s="191"/>
      <c r="AM508" s="191"/>
    </row>
    <row r="509" spans="2:39" x14ac:dyDescent="0.25">
      <c r="B509" s="193"/>
      <c r="C509" s="183"/>
      <c r="D509" s="183"/>
      <c r="E509" s="183"/>
      <c r="F509" s="184"/>
      <c r="G509" s="184"/>
      <c r="H509" s="185"/>
      <c r="I509" s="185"/>
      <c r="J509" s="185"/>
      <c r="K509" s="185"/>
      <c r="L509" s="184"/>
      <c r="M509" s="184"/>
      <c r="N509" s="184"/>
      <c r="O509" s="184"/>
      <c r="P509" s="184"/>
      <c r="Q509" s="184"/>
      <c r="R509" s="184"/>
      <c r="S509" s="186"/>
      <c r="T509" s="184"/>
      <c r="U509" s="184"/>
      <c r="V509" s="184"/>
      <c r="W509" s="184"/>
      <c r="X509" s="184"/>
      <c r="Y509" s="184"/>
      <c r="Z509" s="184"/>
      <c r="AA509" s="184"/>
      <c r="AB509" s="184"/>
      <c r="AC509" s="186"/>
      <c r="AD509" s="184"/>
      <c r="AE509" s="184"/>
      <c r="AF509" s="184"/>
      <c r="AG509" s="186"/>
      <c r="AH509" s="184"/>
      <c r="AI509" s="187"/>
      <c r="AJ509" s="191"/>
      <c r="AK509" s="191"/>
      <c r="AL509" s="191"/>
      <c r="AM509" s="191"/>
    </row>
    <row r="510" spans="2:39" x14ac:dyDescent="0.25">
      <c r="B510" s="193"/>
      <c r="C510" s="183"/>
      <c r="D510" s="183"/>
      <c r="E510" s="183"/>
      <c r="F510" s="184"/>
      <c r="G510" s="184"/>
      <c r="H510" s="185"/>
      <c r="I510" s="185"/>
      <c r="J510" s="185"/>
      <c r="K510" s="185"/>
      <c r="L510" s="184"/>
      <c r="M510" s="184"/>
      <c r="N510" s="184"/>
      <c r="O510" s="184"/>
      <c r="P510" s="184"/>
      <c r="Q510" s="184"/>
      <c r="R510" s="184"/>
      <c r="S510" s="186"/>
      <c r="T510" s="184"/>
      <c r="U510" s="184"/>
      <c r="V510" s="184"/>
      <c r="W510" s="184"/>
      <c r="X510" s="184"/>
      <c r="Y510" s="184"/>
      <c r="Z510" s="184"/>
      <c r="AA510" s="184"/>
      <c r="AB510" s="184"/>
      <c r="AC510" s="186"/>
      <c r="AD510" s="184"/>
      <c r="AE510" s="184"/>
      <c r="AF510" s="184"/>
      <c r="AG510" s="186"/>
      <c r="AH510" s="184"/>
      <c r="AI510" s="187"/>
      <c r="AJ510" s="191"/>
      <c r="AK510" s="191"/>
      <c r="AL510" s="191"/>
      <c r="AM510" s="191"/>
    </row>
    <row r="511" spans="2:39" x14ac:dyDescent="0.25">
      <c r="B511" s="193"/>
      <c r="C511" s="183"/>
      <c r="D511" s="183"/>
      <c r="E511" s="183"/>
      <c r="F511" s="184"/>
      <c r="G511" s="184"/>
      <c r="H511" s="185"/>
      <c r="I511" s="185"/>
      <c r="J511" s="185"/>
      <c r="K511" s="185"/>
      <c r="L511" s="184"/>
      <c r="M511" s="184"/>
      <c r="N511" s="184"/>
      <c r="O511" s="184"/>
      <c r="P511" s="184"/>
      <c r="Q511" s="184"/>
      <c r="R511" s="184"/>
      <c r="S511" s="186"/>
      <c r="T511" s="184"/>
      <c r="U511" s="184"/>
      <c r="V511" s="184"/>
      <c r="W511" s="184"/>
      <c r="X511" s="184"/>
      <c r="Y511" s="184"/>
      <c r="Z511" s="184"/>
      <c r="AA511" s="184"/>
      <c r="AB511" s="184"/>
      <c r="AC511" s="186"/>
      <c r="AD511" s="184"/>
      <c r="AE511" s="184"/>
      <c r="AF511" s="184"/>
      <c r="AG511" s="186"/>
      <c r="AH511" s="184"/>
      <c r="AI511" s="187"/>
      <c r="AJ511" s="191"/>
      <c r="AK511" s="191"/>
      <c r="AL511" s="191"/>
      <c r="AM511" s="191"/>
    </row>
    <row r="512" spans="2:39" x14ac:dyDescent="0.25">
      <c r="B512" s="193"/>
      <c r="C512" s="183"/>
      <c r="D512" s="183"/>
      <c r="E512" s="183"/>
      <c r="F512" s="184"/>
      <c r="G512" s="184"/>
      <c r="H512" s="185"/>
      <c r="I512" s="185"/>
      <c r="J512" s="185"/>
      <c r="K512" s="185"/>
      <c r="L512" s="184"/>
      <c r="M512" s="184"/>
      <c r="N512" s="184"/>
      <c r="O512" s="184"/>
      <c r="P512" s="184"/>
      <c r="Q512" s="184"/>
      <c r="R512" s="184"/>
      <c r="S512" s="186"/>
      <c r="T512" s="184"/>
      <c r="U512" s="184"/>
      <c r="V512" s="184"/>
      <c r="W512" s="184"/>
      <c r="X512" s="184"/>
      <c r="Y512" s="184"/>
      <c r="Z512" s="184"/>
      <c r="AA512" s="184"/>
      <c r="AB512" s="184"/>
      <c r="AC512" s="186"/>
      <c r="AD512" s="184"/>
      <c r="AE512" s="184"/>
      <c r="AF512" s="184"/>
      <c r="AG512" s="186"/>
      <c r="AH512" s="184"/>
      <c r="AI512" s="187"/>
      <c r="AJ512" s="191"/>
      <c r="AK512" s="191"/>
      <c r="AL512" s="191"/>
      <c r="AM512" s="191"/>
    </row>
    <row r="513" spans="2:39" x14ac:dyDescent="0.25">
      <c r="B513" s="193"/>
      <c r="C513" s="183"/>
      <c r="D513" s="183"/>
      <c r="E513" s="183"/>
      <c r="F513" s="184"/>
      <c r="G513" s="184"/>
      <c r="H513" s="185"/>
      <c r="I513" s="185"/>
      <c r="J513" s="185"/>
      <c r="K513" s="185"/>
      <c r="L513" s="184"/>
      <c r="M513" s="184"/>
      <c r="N513" s="184"/>
      <c r="O513" s="184"/>
      <c r="P513" s="184"/>
      <c r="Q513" s="184"/>
      <c r="R513" s="184"/>
      <c r="S513" s="186"/>
      <c r="T513" s="184"/>
      <c r="U513" s="184"/>
      <c r="V513" s="184"/>
      <c r="W513" s="184"/>
      <c r="X513" s="184"/>
      <c r="Y513" s="184"/>
      <c r="Z513" s="184"/>
      <c r="AA513" s="184"/>
      <c r="AB513" s="184"/>
      <c r="AC513" s="186"/>
      <c r="AD513" s="184"/>
      <c r="AE513" s="184"/>
      <c r="AF513" s="184"/>
      <c r="AG513" s="186"/>
      <c r="AH513" s="184"/>
      <c r="AI513" s="187"/>
      <c r="AJ513" s="191"/>
      <c r="AK513" s="191"/>
      <c r="AL513" s="191"/>
      <c r="AM513" s="191"/>
    </row>
    <row r="514" spans="2:39" x14ac:dyDescent="0.25">
      <c r="B514" s="193"/>
      <c r="C514" s="183"/>
      <c r="D514" s="183"/>
      <c r="E514" s="183"/>
      <c r="F514" s="184"/>
      <c r="G514" s="184"/>
      <c r="H514" s="185"/>
      <c r="I514" s="185"/>
      <c r="J514" s="185"/>
      <c r="K514" s="185"/>
      <c r="L514" s="184"/>
      <c r="M514" s="184"/>
      <c r="N514" s="184"/>
      <c r="O514" s="184"/>
      <c r="P514" s="184"/>
      <c r="Q514" s="184"/>
      <c r="R514" s="184"/>
      <c r="S514" s="186"/>
      <c r="T514" s="184"/>
      <c r="U514" s="184"/>
      <c r="V514" s="184"/>
      <c r="W514" s="184"/>
      <c r="X514" s="184"/>
      <c r="Y514" s="184"/>
      <c r="Z514" s="184"/>
      <c r="AA514" s="184"/>
      <c r="AB514" s="184"/>
      <c r="AC514" s="186"/>
      <c r="AD514" s="184"/>
      <c r="AE514" s="184"/>
      <c r="AF514" s="184"/>
      <c r="AG514" s="186"/>
      <c r="AH514" s="184"/>
      <c r="AI514" s="187"/>
      <c r="AJ514" s="191"/>
      <c r="AK514" s="191"/>
      <c r="AL514" s="191"/>
      <c r="AM514" s="191"/>
    </row>
    <row r="515" spans="2:39" x14ac:dyDescent="0.25">
      <c r="B515" s="193"/>
      <c r="C515" s="183"/>
      <c r="D515" s="183"/>
      <c r="E515" s="183"/>
      <c r="F515" s="184"/>
      <c r="G515" s="184"/>
      <c r="H515" s="185"/>
      <c r="I515" s="185"/>
      <c r="J515" s="185"/>
      <c r="K515" s="185"/>
      <c r="L515" s="184"/>
      <c r="M515" s="184"/>
      <c r="N515" s="184"/>
      <c r="O515" s="184"/>
      <c r="P515" s="184"/>
      <c r="Q515" s="184"/>
      <c r="R515" s="184"/>
      <c r="S515" s="186"/>
      <c r="T515" s="184"/>
      <c r="U515" s="184"/>
      <c r="V515" s="184"/>
      <c r="W515" s="184"/>
      <c r="X515" s="184"/>
      <c r="Y515" s="184"/>
      <c r="Z515" s="184"/>
      <c r="AA515" s="184"/>
      <c r="AB515" s="184"/>
      <c r="AC515" s="186"/>
      <c r="AD515" s="184"/>
      <c r="AE515" s="184"/>
      <c r="AF515" s="184"/>
      <c r="AG515" s="186"/>
      <c r="AH515" s="184"/>
      <c r="AI515" s="187"/>
      <c r="AJ515" s="191"/>
      <c r="AK515" s="191"/>
      <c r="AL515" s="191"/>
      <c r="AM515" s="191"/>
    </row>
    <row r="516" spans="2:39" x14ac:dyDescent="0.25">
      <c r="B516" s="193"/>
      <c r="C516" s="183"/>
      <c r="D516" s="183"/>
      <c r="E516" s="183"/>
      <c r="F516" s="184"/>
      <c r="G516" s="184"/>
      <c r="H516" s="185"/>
      <c r="I516" s="185"/>
      <c r="J516" s="185"/>
      <c r="K516" s="185"/>
      <c r="L516" s="184"/>
      <c r="M516" s="184"/>
      <c r="N516" s="184"/>
      <c r="O516" s="184"/>
      <c r="P516" s="184"/>
      <c r="Q516" s="184"/>
      <c r="R516" s="184"/>
      <c r="S516" s="186"/>
      <c r="T516" s="184"/>
      <c r="U516" s="184"/>
      <c r="V516" s="184"/>
      <c r="W516" s="184"/>
      <c r="X516" s="184"/>
      <c r="Y516" s="184"/>
      <c r="Z516" s="184"/>
      <c r="AA516" s="184"/>
      <c r="AB516" s="184"/>
      <c r="AC516" s="186"/>
      <c r="AD516" s="184"/>
      <c r="AE516" s="184"/>
      <c r="AF516" s="184"/>
      <c r="AG516" s="186"/>
      <c r="AH516" s="184"/>
      <c r="AI516" s="187"/>
      <c r="AJ516" s="191"/>
      <c r="AK516" s="191"/>
      <c r="AL516" s="191"/>
      <c r="AM516" s="191"/>
    </row>
    <row r="517" spans="2:39" x14ac:dyDescent="0.25">
      <c r="B517" s="193"/>
      <c r="C517" s="183"/>
      <c r="D517" s="183"/>
      <c r="E517" s="183"/>
      <c r="F517" s="184"/>
      <c r="G517" s="184"/>
      <c r="H517" s="185"/>
      <c r="I517" s="185"/>
      <c r="J517" s="185"/>
      <c r="K517" s="185"/>
      <c r="L517" s="184"/>
      <c r="M517" s="184"/>
      <c r="N517" s="184"/>
      <c r="O517" s="184"/>
      <c r="P517" s="184"/>
      <c r="Q517" s="184"/>
      <c r="R517" s="184"/>
      <c r="S517" s="186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6"/>
      <c r="AD517" s="184"/>
      <c r="AE517" s="184"/>
      <c r="AF517" s="184"/>
      <c r="AG517" s="186"/>
      <c r="AH517" s="184"/>
      <c r="AI517" s="187"/>
      <c r="AJ517" s="191"/>
      <c r="AK517" s="191"/>
      <c r="AL517" s="191"/>
      <c r="AM517" s="191"/>
    </row>
    <row r="518" spans="2:39" x14ac:dyDescent="0.25">
      <c r="B518" s="193"/>
      <c r="C518" s="183"/>
      <c r="D518" s="183"/>
      <c r="E518" s="183"/>
      <c r="F518" s="184"/>
      <c r="G518" s="184"/>
      <c r="H518" s="185"/>
      <c r="I518" s="185"/>
      <c r="J518" s="185"/>
      <c r="K518" s="185"/>
      <c r="L518" s="184"/>
      <c r="M518" s="184"/>
      <c r="N518" s="184"/>
      <c r="O518" s="184"/>
      <c r="P518" s="184"/>
      <c r="Q518" s="184"/>
      <c r="R518" s="184"/>
      <c r="S518" s="186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6"/>
      <c r="AD518" s="184"/>
      <c r="AE518" s="184"/>
      <c r="AF518" s="184"/>
      <c r="AG518" s="186"/>
      <c r="AH518" s="184"/>
      <c r="AI518" s="187"/>
      <c r="AJ518" s="191"/>
      <c r="AK518" s="191"/>
      <c r="AL518" s="191"/>
      <c r="AM518" s="191"/>
    </row>
    <row r="519" spans="2:39" x14ac:dyDescent="0.25">
      <c r="B519" s="193"/>
      <c r="C519" s="183"/>
      <c r="D519" s="183"/>
      <c r="E519" s="183"/>
      <c r="F519" s="184"/>
      <c r="G519" s="184"/>
      <c r="H519" s="185"/>
      <c r="I519" s="185"/>
      <c r="J519" s="185"/>
      <c r="K519" s="185"/>
      <c r="L519" s="184"/>
      <c r="M519" s="184"/>
      <c r="N519" s="184"/>
      <c r="O519" s="184"/>
      <c r="P519" s="184"/>
      <c r="Q519" s="184"/>
      <c r="R519" s="184"/>
      <c r="S519" s="186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6"/>
      <c r="AD519" s="184"/>
      <c r="AE519" s="184"/>
      <c r="AF519" s="184"/>
      <c r="AG519" s="186"/>
      <c r="AH519" s="184"/>
      <c r="AI519" s="187"/>
      <c r="AJ519" s="191"/>
      <c r="AK519" s="191"/>
      <c r="AL519" s="191"/>
      <c r="AM519" s="191"/>
    </row>
    <row r="520" spans="2:39" x14ac:dyDescent="0.25">
      <c r="B520" s="193"/>
      <c r="C520" s="183"/>
      <c r="D520" s="183"/>
      <c r="E520" s="183"/>
      <c r="F520" s="184"/>
      <c r="G520" s="184"/>
      <c r="H520" s="185"/>
      <c r="I520" s="185"/>
      <c r="J520" s="185"/>
      <c r="K520" s="185"/>
      <c r="L520" s="184"/>
      <c r="M520" s="184"/>
      <c r="N520" s="184"/>
      <c r="O520" s="184"/>
      <c r="P520" s="184"/>
      <c r="Q520" s="184"/>
      <c r="R520" s="184"/>
      <c r="S520" s="186"/>
      <c r="T520" s="184"/>
      <c r="U520" s="184"/>
      <c r="V520" s="184"/>
      <c r="W520" s="184"/>
      <c r="X520" s="184"/>
      <c r="Y520" s="184"/>
      <c r="Z520" s="184"/>
      <c r="AA520" s="184"/>
      <c r="AB520" s="184"/>
      <c r="AC520" s="186"/>
      <c r="AD520" s="184"/>
      <c r="AE520" s="184"/>
      <c r="AF520" s="184"/>
      <c r="AG520" s="186"/>
      <c r="AH520" s="184"/>
      <c r="AI520" s="187"/>
      <c r="AJ520" s="191"/>
      <c r="AK520" s="191"/>
      <c r="AL520" s="191"/>
      <c r="AM520" s="191"/>
    </row>
    <row r="521" spans="2:39" x14ac:dyDescent="0.25">
      <c r="B521" s="193"/>
      <c r="C521" s="183"/>
      <c r="D521" s="183"/>
      <c r="E521" s="183"/>
      <c r="F521" s="184"/>
      <c r="G521" s="184"/>
      <c r="H521" s="185"/>
      <c r="I521" s="185"/>
      <c r="J521" s="185"/>
      <c r="K521" s="185"/>
      <c r="L521" s="184"/>
      <c r="M521" s="184"/>
      <c r="N521" s="184"/>
      <c r="O521" s="184"/>
      <c r="P521" s="184"/>
      <c r="Q521" s="184"/>
      <c r="R521" s="184"/>
      <c r="S521" s="186"/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6"/>
      <c r="AD521" s="184"/>
      <c r="AE521" s="184"/>
      <c r="AF521" s="184"/>
      <c r="AG521" s="186"/>
      <c r="AH521" s="184"/>
      <c r="AI521" s="187"/>
      <c r="AJ521" s="191"/>
      <c r="AK521" s="191"/>
      <c r="AL521" s="191"/>
      <c r="AM521" s="191"/>
    </row>
    <row r="522" spans="2:39" x14ac:dyDescent="0.25">
      <c r="B522" s="193"/>
      <c r="C522" s="183"/>
      <c r="D522" s="183"/>
      <c r="E522" s="183"/>
      <c r="F522" s="184"/>
      <c r="G522" s="184"/>
      <c r="H522" s="185"/>
      <c r="I522" s="185"/>
      <c r="J522" s="185"/>
      <c r="K522" s="185"/>
      <c r="L522" s="184"/>
      <c r="M522" s="184"/>
      <c r="N522" s="184"/>
      <c r="O522" s="184"/>
      <c r="P522" s="184"/>
      <c r="Q522" s="184"/>
      <c r="R522" s="184"/>
      <c r="S522" s="186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6"/>
      <c r="AD522" s="184"/>
      <c r="AE522" s="184"/>
      <c r="AF522" s="184"/>
      <c r="AG522" s="186"/>
      <c r="AH522" s="184"/>
      <c r="AI522" s="187"/>
      <c r="AJ522" s="191"/>
      <c r="AK522" s="191"/>
      <c r="AL522" s="191"/>
      <c r="AM522" s="191"/>
    </row>
    <row r="523" spans="2:39" x14ac:dyDescent="0.25">
      <c r="B523" s="193"/>
      <c r="C523" s="183"/>
      <c r="D523" s="183"/>
      <c r="E523" s="183"/>
      <c r="F523" s="184"/>
      <c r="G523" s="184"/>
      <c r="H523" s="185"/>
      <c r="I523" s="185"/>
      <c r="J523" s="185"/>
      <c r="K523" s="185"/>
      <c r="L523" s="184"/>
      <c r="M523" s="184"/>
      <c r="N523" s="184"/>
      <c r="O523" s="184"/>
      <c r="P523" s="184"/>
      <c r="Q523" s="184"/>
      <c r="R523" s="184"/>
      <c r="S523" s="186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6"/>
      <c r="AD523" s="184"/>
      <c r="AE523" s="184"/>
      <c r="AF523" s="184"/>
      <c r="AG523" s="186"/>
      <c r="AH523" s="184"/>
      <c r="AI523" s="187"/>
      <c r="AJ523" s="191"/>
      <c r="AK523" s="191"/>
      <c r="AL523" s="191"/>
      <c r="AM523" s="191"/>
    </row>
    <row r="524" spans="2:39" x14ac:dyDescent="0.25">
      <c r="B524" s="193"/>
      <c r="C524" s="183"/>
      <c r="D524" s="183"/>
      <c r="E524" s="183"/>
      <c r="F524" s="184"/>
      <c r="G524" s="184"/>
      <c r="H524" s="185"/>
      <c r="I524" s="185"/>
      <c r="J524" s="185"/>
      <c r="K524" s="185"/>
      <c r="L524" s="184"/>
      <c r="M524" s="184"/>
      <c r="N524" s="184"/>
      <c r="O524" s="184"/>
      <c r="P524" s="184"/>
      <c r="Q524" s="184"/>
      <c r="R524" s="184"/>
      <c r="S524" s="186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6"/>
      <c r="AD524" s="184"/>
      <c r="AE524" s="184"/>
      <c r="AF524" s="184"/>
      <c r="AG524" s="186"/>
      <c r="AH524" s="184"/>
      <c r="AI524" s="187"/>
      <c r="AJ524" s="191"/>
      <c r="AK524" s="191"/>
      <c r="AL524" s="191"/>
      <c r="AM524" s="191"/>
    </row>
    <row r="525" spans="2:39" x14ac:dyDescent="0.25">
      <c r="B525" s="193"/>
      <c r="C525" s="183"/>
      <c r="D525" s="183"/>
      <c r="E525" s="183"/>
      <c r="F525" s="184"/>
      <c r="G525" s="184"/>
      <c r="H525" s="185"/>
      <c r="I525" s="185"/>
      <c r="J525" s="185"/>
      <c r="K525" s="185"/>
      <c r="L525" s="184"/>
      <c r="M525" s="184"/>
      <c r="N525" s="184"/>
      <c r="O525" s="184"/>
      <c r="P525" s="184"/>
      <c r="Q525" s="184"/>
      <c r="R525" s="184"/>
      <c r="S525" s="186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6"/>
      <c r="AD525" s="184"/>
      <c r="AE525" s="184"/>
      <c r="AF525" s="184"/>
      <c r="AG525" s="186"/>
      <c r="AH525" s="184"/>
      <c r="AI525" s="187"/>
      <c r="AJ525" s="191"/>
      <c r="AK525" s="191"/>
      <c r="AL525" s="191"/>
      <c r="AM525" s="191"/>
    </row>
    <row r="526" spans="2:39" x14ac:dyDescent="0.25">
      <c r="B526" s="193"/>
      <c r="C526" s="183"/>
      <c r="D526" s="183"/>
      <c r="E526" s="183"/>
      <c r="F526" s="184"/>
      <c r="G526" s="184"/>
      <c r="H526" s="185"/>
      <c r="I526" s="185"/>
      <c r="J526" s="185"/>
      <c r="K526" s="185"/>
      <c r="L526" s="184"/>
      <c r="M526" s="184"/>
      <c r="N526" s="184"/>
      <c r="O526" s="184"/>
      <c r="P526" s="184"/>
      <c r="Q526" s="184"/>
      <c r="R526" s="184"/>
      <c r="S526" s="186"/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6"/>
      <c r="AD526" s="184"/>
      <c r="AE526" s="184"/>
      <c r="AF526" s="184"/>
      <c r="AG526" s="186"/>
      <c r="AH526" s="184"/>
      <c r="AI526" s="187"/>
      <c r="AJ526" s="191"/>
      <c r="AK526" s="191"/>
      <c r="AL526" s="191"/>
      <c r="AM526" s="191"/>
    </row>
    <row r="527" spans="2:39" x14ac:dyDescent="0.25">
      <c r="B527" s="193"/>
      <c r="C527" s="183"/>
      <c r="D527" s="183"/>
      <c r="E527" s="183"/>
      <c r="F527" s="184"/>
      <c r="G527" s="184"/>
      <c r="H527" s="185"/>
      <c r="I527" s="185"/>
      <c r="J527" s="185"/>
      <c r="K527" s="185"/>
      <c r="L527" s="184"/>
      <c r="M527" s="184"/>
      <c r="N527" s="184"/>
      <c r="O527" s="184"/>
      <c r="P527" s="184"/>
      <c r="Q527" s="184"/>
      <c r="R527" s="184"/>
      <c r="S527" s="186"/>
      <c r="T527" s="184"/>
      <c r="U527" s="184"/>
      <c r="V527" s="184"/>
      <c r="W527" s="184"/>
      <c r="X527" s="184"/>
      <c r="Y527" s="184"/>
      <c r="Z527" s="184"/>
      <c r="AA527" s="184"/>
      <c r="AB527" s="184"/>
      <c r="AC527" s="186"/>
      <c r="AD527" s="184"/>
      <c r="AE527" s="184"/>
      <c r="AF527" s="184"/>
      <c r="AG527" s="186"/>
      <c r="AH527" s="184"/>
      <c r="AI527" s="187"/>
      <c r="AJ527" s="191"/>
      <c r="AK527" s="191"/>
      <c r="AL527" s="191"/>
      <c r="AM527" s="191"/>
    </row>
    <row r="528" spans="2:39" x14ac:dyDescent="0.25">
      <c r="B528" s="193"/>
      <c r="C528" s="183"/>
      <c r="D528" s="183"/>
      <c r="E528" s="183"/>
      <c r="F528" s="184"/>
      <c r="G528" s="184"/>
      <c r="H528" s="185"/>
      <c r="I528" s="185"/>
      <c r="J528" s="185"/>
      <c r="K528" s="185"/>
      <c r="L528" s="184"/>
      <c r="M528" s="184"/>
      <c r="N528" s="184"/>
      <c r="O528" s="184"/>
      <c r="P528" s="184"/>
      <c r="Q528" s="184"/>
      <c r="R528" s="184"/>
      <c r="S528" s="186"/>
      <c r="T528" s="184"/>
      <c r="U528" s="184"/>
      <c r="V528" s="184"/>
      <c r="W528" s="184"/>
      <c r="X528" s="184"/>
      <c r="Y528" s="184"/>
      <c r="Z528" s="184"/>
      <c r="AA528" s="184"/>
      <c r="AB528" s="184"/>
      <c r="AC528" s="186"/>
      <c r="AD528" s="184"/>
      <c r="AE528" s="184"/>
      <c r="AF528" s="184"/>
      <c r="AG528" s="186"/>
      <c r="AH528" s="184"/>
      <c r="AI528" s="187"/>
      <c r="AJ528" s="191"/>
      <c r="AK528" s="191"/>
      <c r="AL528" s="191"/>
      <c r="AM528" s="191"/>
    </row>
    <row r="529" spans="2:39" x14ac:dyDescent="0.25">
      <c r="B529" s="193"/>
      <c r="C529" s="183"/>
      <c r="D529" s="183"/>
      <c r="E529" s="183"/>
      <c r="F529" s="184"/>
      <c r="G529" s="184"/>
      <c r="H529" s="185"/>
      <c r="I529" s="185"/>
      <c r="J529" s="185"/>
      <c r="K529" s="185"/>
      <c r="L529" s="184"/>
      <c r="M529" s="184"/>
      <c r="N529" s="184"/>
      <c r="O529" s="184"/>
      <c r="P529" s="184"/>
      <c r="Q529" s="184"/>
      <c r="R529" s="184"/>
      <c r="S529" s="186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6"/>
      <c r="AD529" s="184"/>
      <c r="AE529" s="184"/>
      <c r="AF529" s="184"/>
      <c r="AG529" s="186"/>
      <c r="AH529" s="184"/>
      <c r="AI529" s="187"/>
      <c r="AJ529" s="191"/>
      <c r="AK529" s="191"/>
      <c r="AL529" s="191"/>
      <c r="AM529" s="191"/>
    </row>
    <row r="530" spans="2:39" x14ac:dyDescent="0.25">
      <c r="B530" s="193"/>
      <c r="C530" s="183"/>
      <c r="D530" s="183"/>
      <c r="E530" s="183"/>
      <c r="F530" s="184"/>
      <c r="G530" s="184"/>
      <c r="H530" s="185"/>
      <c r="I530" s="185"/>
      <c r="J530" s="185"/>
      <c r="K530" s="185"/>
      <c r="L530" s="184"/>
      <c r="M530" s="184"/>
      <c r="N530" s="184"/>
      <c r="O530" s="184"/>
      <c r="P530" s="184"/>
      <c r="Q530" s="184"/>
      <c r="R530" s="184"/>
      <c r="S530" s="186"/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6"/>
      <c r="AD530" s="184"/>
      <c r="AE530" s="184"/>
      <c r="AF530" s="184"/>
      <c r="AG530" s="186"/>
      <c r="AH530" s="184"/>
      <c r="AI530" s="187"/>
      <c r="AJ530" s="191"/>
      <c r="AK530" s="191"/>
      <c r="AL530" s="191"/>
      <c r="AM530" s="191"/>
    </row>
    <row r="531" spans="2:39" x14ac:dyDescent="0.25">
      <c r="B531" s="193"/>
      <c r="C531" s="183"/>
      <c r="D531" s="183"/>
      <c r="E531" s="183"/>
      <c r="F531" s="184"/>
      <c r="G531" s="184"/>
      <c r="H531" s="185"/>
      <c r="I531" s="185"/>
      <c r="J531" s="185"/>
      <c r="K531" s="185"/>
      <c r="L531" s="184"/>
      <c r="M531" s="184"/>
      <c r="N531" s="184"/>
      <c r="O531" s="184"/>
      <c r="P531" s="184"/>
      <c r="Q531" s="184"/>
      <c r="R531" s="184"/>
      <c r="S531" s="186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6"/>
      <c r="AD531" s="184"/>
      <c r="AE531" s="184"/>
      <c r="AF531" s="184"/>
      <c r="AG531" s="186"/>
      <c r="AH531" s="184"/>
      <c r="AI531" s="187"/>
      <c r="AJ531" s="191"/>
      <c r="AK531" s="191"/>
      <c r="AL531" s="191"/>
      <c r="AM531" s="191"/>
    </row>
    <row r="532" spans="2:39" x14ac:dyDescent="0.25">
      <c r="B532" s="193"/>
      <c r="C532" s="183"/>
      <c r="D532" s="183"/>
      <c r="E532" s="183"/>
      <c r="F532" s="184"/>
      <c r="G532" s="184"/>
      <c r="H532" s="185"/>
      <c r="I532" s="185"/>
      <c r="J532" s="185"/>
      <c r="K532" s="185"/>
      <c r="L532" s="184"/>
      <c r="M532" s="184"/>
      <c r="N532" s="184"/>
      <c r="O532" s="184"/>
      <c r="P532" s="184"/>
      <c r="Q532" s="184"/>
      <c r="R532" s="184"/>
      <c r="S532" s="186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6"/>
      <c r="AD532" s="184"/>
      <c r="AE532" s="184"/>
      <c r="AF532" s="184"/>
      <c r="AG532" s="186"/>
      <c r="AH532" s="184"/>
      <c r="AI532" s="187"/>
      <c r="AJ532" s="191"/>
      <c r="AK532" s="191"/>
      <c r="AL532" s="191"/>
      <c r="AM532" s="191"/>
    </row>
    <row r="533" spans="2:39" x14ac:dyDescent="0.25">
      <c r="B533" s="193"/>
      <c r="C533" s="183"/>
      <c r="D533" s="183"/>
      <c r="E533" s="183"/>
      <c r="F533" s="184"/>
      <c r="G533" s="184"/>
      <c r="H533" s="185"/>
      <c r="I533" s="185"/>
      <c r="J533" s="185"/>
      <c r="K533" s="185"/>
      <c r="L533" s="184"/>
      <c r="M533" s="184"/>
      <c r="N533" s="184"/>
      <c r="O533" s="184"/>
      <c r="P533" s="184"/>
      <c r="Q533" s="184"/>
      <c r="R533" s="184"/>
      <c r="S533" s="186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6"/>
      <c r="AD533" s="184"/>
      <c r="AE533" s="184"/>
      <c r="AF533" s="184"/>
      <c r="AG533" s="186"/>
      <c r="AH533" s="184"/>
      <c r="AI533" s="187"/>
      <c r="AJ533" s="191"/>
      <c r="AK533" s="191"/>
      <c r="AL533" s="191"/>
      <c r="AM533" s="191"/>
    </row>
    <row r="534" spans="2:39" x14ac:dyDescent="0.25">
      <c r="B534" s="193"/>
      <c r="C534" s="183"/>
      <c r="D534" s="183"/>
      <c r="E534" s="183"/>
      <c r="F534" s="184"/>
      <c r="G534" s="184"/>
      <c r="H534" s="185"/>
      <c r="I534" s="185"/>
      <c r="J534" s="185"/>
      <c r="K534" s="185"/>
      <c r="L534" s="184"/>
      <c r="M534" s="184"/>
      <c r="N534" s="184"/>
      <c r="O534" s="184"/>
      <c r="P534" s="184"/>
      <c r="Q534" s="184"/>
      <c r="R534" s="184"/>
      <c r="S534" s="186"/>
      <c r="T534" s="184"/>
      <c r="U534" s="184"/>
      <c r="V534" s="184"/>
      <c r="W534" s="184"/>
      <c r="X534" s="184"/>
      <c r="Y534" s="184"/>
      <c r="Z534" s="184"/>
      <c r="AA534" s="184"/>
      <c r="AB534" s="184"/>
      <c r="AC534" s="186"/>
      <c r="AD534" s="184"/>
      <c r="AE534" s="184"/>
      <c r="AF534" s="184"/>
      <c r="AG534" s="186"/>
      <c r="AH534" s="184"/>
      <c r="AI534" s="187"/>
      <c r="AJ534" s="191"/>
      <c r="AK534" s="191"/>
      <c r="AL534" s="191"/>
      <c r="AM534" s="191"/>
    </row>
    <row r="535" spans="2:39" x14ac:dyDescent="0.25">
      <c r="B535" s="193"/>
      <c r="C535" s="183"/>
      <c r="D535" s="183"/>
      <c r="E535" s="183"/>
      <c r="F535" s="184"/>
      <c r="G535" s="184"/>
      <c r="H535" s="185"/>
      <c r="I535" s="185"/>
      <c r="J535" s="185"/>
      <c r="K535" s="185"/>
      <c r="L535" s="184"/>
      <c r="M535" s="184"/>
      <c r="N535" s="184"/>
      <c r="O535" s="184"/>
      <c r="P535" s="184"/>
      <c r="Q535" s="184"/>
      <c r="R535" s="184"/>
      <c r="S535" s="186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6"/>
      <c r="AD535" s="184"/>
      <c r="AE535" s="184"/>
      <c r="AF535" s="184"/>
      <c r="AG535" s="186"/>
      <c r="AH535" s="184"/>
      <c r="AI535" s="187"/>
      <c r="AJ535" s="191"/>
      <c r="AK535" s="191"/>
      <c r="AL535" s="191"/>
      <c r="AM535" s="191"/>
    </row>
    <row r="536" spans="2:39" x14ac:dyDescent="0.25">
      <c r="B536" s="193"/>
      <c r="C536" s="183"/>
      <c r="D536" s="183"/>
      <c r="E536" s="183"/>
      <c r="F536" s="184"/>
      <c r="G536" s="184"/>
      <c r="H536" s="185"/>
      <c r="I536" s="185"/>
      <c r="J536" s="185"/>
      <c r="K536" s="185"/>
      <c r="L536" s="184"/>
      <c r="M536" s="184"/>
      <c r="N536" s="184"/>
      <c r="O536" s="184"/>
      <c r="P536" s="184"/>
      <c r="Q536" s="184"/>
      <c r="R536" s="184"/>
      <c r="S536" s="186"/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6"/>
      <c r="AD536" s="184"/>
      <c r="AE536" s="184"/>
      <c r="AF536" s="184"/>
      <c r="AG536" s="186"/>
      <c r="AH536" s="184"/>
      <c r="AI536" s="187"/>
      <c r="AJ536" s="191"/>
      <c r="AK536" s="191"/>
      <c r="AL536" s="191"/>
      <c r="AM536" s="191"/>
    </row>
  </sheetData>
  <sheetProtection algorithmName="SHA-512" hashValue="/BdM6P08mvsKIrzjw93AAAo5DQDW5cIOViZjmjXP+h0hHV3NyxuRMoil2NxKrIj/52TjYynGbSz139pDRvCdtg==" saltValue="goBo9oMJCspORcXIO/zskw==" spinCount="100000" sheet="1" objects="1" scenarios="1"/>
  <autoFilter ref="A4:AM27" xr:uid="{837D4DE0-3DA5-46E7-BF8A-E753D8DC7535}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Roll, William</dc:creator>
  <cp:keywords/>
  <dc:description/>
  <cp:lastModifiedBy>Daniel Wofford</cp:lastModifiedBy>
  <cp:revision/>
  <dcterms:created xsi:type="dcterms:W3CDTF">2022-11-17T14:14:59Z</dcterms:created>
  <dcterms:modified xsi:type="dcterms:W3CDTF">2025-10-20T20:07:01Z</dcterms:modified>
  <cp:category/>
  <cp:contentStatus/>
</cp:coreProperties>
</file>