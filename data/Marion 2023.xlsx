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74B5F2FC-C80E-489E-BBA6-0FE1EF196467}" xr6:coauthVersionLast="47" xr6:coauthVersionMax="47" xr10:uidLastSave="{00000000-0000-0000-0000-000000000000}"/>
  <workbookProtection workbookAlgorithmName="SHA-512" workbookHashValue="XGnAr4UPeCB3jtFcBmKMnqXheXPph59Aowmylmh/hmVZ1DPyPrwAIAmEp0E5PMwPWQh8whVemUAjd7qISdjEgw==" workbookSaltValue="YOE6utt0vxQUpydQ590O6g==" workbookSpinCount="100000" lockStructure="1"/>
  <bookViews>
    <workbookView xWindow="-108" yWindow="-108" windowWidth="23256" windowHeight="12456" activeTab="1" xr2:uid="{00000000-000D-0000-FFFF-FFFF00000000}"/>
  </bookViews>
  <sheets>
    <sheet name="Table001 (Page 1-6)" sheetId="2" r:id="rId1"/>
    <sheet name="Input" sheetId="3" r:id="rId2"/>
    <sheet name="Sheet1" sheetId="1" r:id="rId3"/>
  </sheets>
  <definedNames>
    <definedName name="_xlnm._FilterDatabase" localSheetId="1" hidden="1">Input!$A$4:$AM$27</definedName>
    <definedName name="ExternalData_1" localSheetId="0" hidden="1">'Table001 (Page 1-6)'!$A$1:$Y$555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3" l="1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9" i="3"/>
  <c r="B559" i="3"/>
  <c r="C559" i="3"/>
  <c r="D559" i="3"/>
  <c r="E559" i="3"/>
  <c r="F559" i="3"/>
  <c r="G559" i="3"/>
  <c r="H559" i="3"/>
  <c r="L559" i="3"/>
  <c r="N559" i="3"/>
  <c r="O559" i="3"/>
  <c r="Q559" i="3"/>
  <c r="R559" i="3"/>
  <c r="S559" i="3"/>
  <c r="T559" i="3"/>
  <c r="B560" i="3"/>
  <c r="C560" i="3"/>
  <c r="D560" i="3"/>
  <c r="E560" i="3"/>
  <c r="F560" i="3"/>
  <c r="G560" i="3"/>
  <c r="H560" i="3"/>
  <c r="L560" i="3"/>
  <c r="N560" i="3"/>
  <c r="O560" i="3"/>
  <c r="Q560" i="3"/>
  <c r="R560" i="3"/>
  <c r="S560" i="3"/>
  <c r="T560" i="3"/>
  <c r="B561" i="3"/>
  <c r="C561" i="3"/>
  <c r="D561" i="3"/>
  <c r="E561" i="3"/>
  <c r="F561" i="3"/>
  <c r="G561" i="3"/>
  <c r="H561" i="3"/>
  <c r="L561" i="3"/>
  <c r="N561" i="3"/>
  <c r="O561" i="3"/>
  <c r="Q561" i="3"/>
  <c r="R561" i="3"/>
  <c r="S561" i="3"/>
  <c r="T561" i="3"/>
  <c r="B562" i="3"/>
  <c r="C562" i="3"/>
  <c r="D562" i="3"/>
  <c r="E562" i="3"/>
  <c r="F562" i="3"/>
  <c r="G562" i="3"/>
  <c r="H562" i="3"/>
  <c r="L562" i="3"/>
  <c r="N562" i="3"/>
  <c r="O562" i="3"/>
  <c r="Q562" i="3"/>
  <c r="R562" i="3"/>
  <c r="S562" i="3"/>
  <c r="T562" i="3"/>
  <c r="B557" i="3"/>
  <c r="C557" i="3"/>
  <c r="D557" i="3"/>
  <c r="E557" i="3"/>
  <c r="F557" i="3"/>
  <c r="G557" i="3"/>
  <c r="H557" i="3"/>
  <c r="L557" i="3"/>
  <c r="N557" i="3"/>
  <c r="O557" i="3"/>
  <c r="Q557" i="3"/>
  <c r="R557" i="3"/>
  <c r="S557" i="3"/>
  <c r="T557" i="3"/>
  <c r="B558" i="3"/>
  <c r="C558" i="3"/>
  <c r="D558" i="3"/>
  <c r="E558" i="3"/>
  <c r="F558" i="3"/>
  <c r="G558" i="3"/>
  <c r="H558" i="3"/>
  <c r="L558" i="3"/>
  <c r="N558" i="3"/>
  <c r="O558" i="3"/>
  <c r="Q558" i="3"/>
  <c r="R558" i="3"/>
  <c r="S558" i="3"/>
  <c r="T558" i="3"/>
  <c r="B302" i="3"/>
  <c r="C302" i="3"/>
  <c r="D302" i="3"/>
  <c r="E302" i="3"/>
  <c r="F302" i="3"/>
  <c r="G302" i="3"/>
  <c r="H302" i="3"/>
  <c r="L302" i="3"/>
  <c r="N302" i="3"/>
  <c r="O302" i="3"/>
  <c r="Q302" i="3"/>
  <c r="R302" i="3"/>
  <c r="S302" i="3"/>
  <c r="T302" i="3"/>
  <c r="B303" i="3"/>
  <c r="C303" i="3"/>
  <c r="D303" i="3"/>
  <c r="E303" i="3"/>
  <c r="F303" i="3"/>
  <c r="G303" i="3"/>
  <c r="H303" i="3"/>
  <c r="L303" i="3"/>
  <c r="N303" i="3"/>
  <c r="O303" i="3"/>
  <c r="Q303" i="3"/>
  <c r="R303" i="3"/>
  <c r="S303" i="3"/>
  <c r="T303" i="3"/>
  <c r="B304" i="3"/>
  <c r="C304" i="3"/>
  <c r="D304" i="3"/>
  <c r="E304" i="3"/>
  <c r="F304" i="3"/>
  <c r="G304" i="3"/>
  <c r="H304" i="3"/>
  <c r="L304" i="3"/>
  <c r="N304" i="3"/>
  <c r="O304" i="3"/>
  <c r="Q304" i="3"/>
  <c r="R304" i="3"/>
  <c r="S304" i="3"/>
  <c r="T304" i="3"/>
  <c r="B305" i="3"/>
  <c r="C305" i="3"/>
  <c r="D305" i="3"/>
  <c r="E305" i="3"/>
  <c r="F305" i="3"/>
  <c r="G305" i="3"/>
  <c r="H305" i="3"/>
  <c r="L305" i="3"/>
  <c r="N305" i="3"/>
  <c r="O305" i="3"/>
  <c r="Q305" i="3"/>
  <c r="R305" i="3"/>
  <c r="S305" i="3"/>
  <c r="T305" i="3"/>
  <c r="B306" i="3"/>
  <c r="C306" i="3"/>
  <c r="D306" i="3"/>
  <c r="E306" i="3"/>
  <c r="F306" i="3"/>
  <c r="G306" i="3"/>
  <c r="H306" i="3"/>
  <c r="L306" i="3"/>
  <c r="N306" i="3"/>
  <c r="O306" i="3"/>
  <c r="Q306" i="3"/>
  <c r="R306" i="3"/>
  <c r="S306" i="3"/>
  <c r="T306" i="3"/>
  <c r="B307" i="3"/>
  <c r="C307" i="3"/>
  <c r="D307" i="3"/>
  <c r="E307" i="3"/>
  <c r="F307" i="3"/>
  <c r="G307" i="3"/>
  <c r="H307" i="3"/>
  <c r="L307" i="3"/>
  <c r="N307" i="3"/>
  <c r="O307" i="3"/>
  <c r="Q307" i="3"/>
  <c r="R307" i="3"/>
  <c r="S307" i="3"/>
  <c r="T307" i="3"/>
  <c r="B308" i="3"/>
  <c r="C308" i="3"/>
  <c r="D308" i="3"/>
  <c r="E308" i="3"/>
  <c r="F308" i="3"/>
  <c r="G308" i="3"/>
  <c r="H308" i="3"/>
  <c r="L308" i="3"/>
  <c r="N308" i="3"/>
  <c r="O308" i="3"/>
  <c r="Q308" i="3"/>
  <c r="R308" i="3"/>
  <c r="S308" i="3"/>
  <c r="T308" i="3"/>
  <c r="B309" i="3"/>
  <c r="C309" i="3"/>
  <c r="D309" i="3"/>
  <c r="E309" i="3"/>
  <c r="F309" i="3"/>
  <c r="G309" i="3"/>
  <c r="H309" i="3"/>
  <c r="L309" i="3"/>
  <c r="N309" i="3"/>
  <c r="O309" i="3"/>
  <c r="Q309" i="3"/>
  <c r="R309" i="3"/>
  <c r="S309" i="3"/>
  <c r="T309" i="3"/>
  <c r="B310" i="3"/>
  <c r="C310" i="3"/>
  <c r="D310" i="3"/>
  <c r="E310" i="3"/>
  <c r="F310" i="3"/>
  <c r="G310" i="3"/>
  <c r="H310" i="3"/>
  <c r="L310" i="3"/>
  <c r="N310" i="3"/>
  <c r="O310" i="3"/>
  <c r="Q310" i="3"/>
  <c r="R310" i="3"/>
  <c r="S310" i="3"/>
  <c r="T310" i="3"/>
  <c r="B311" i="3"/>
  <c r="C311" i="3"/>
  <c r="D311" i="3"/>
  <c r="E311" i="3"/>
  <c r="F311" i="3"/>
  <c r="G311" i="3"/>
  <c r="H311" i="3"/>
  <c r="L311" i="3"/>
  <c r="N311" i="3"/>
  <c r="O311" i="3"/>
  <c r="Q311" i="3"/>
  <c r="R311" i="3"/>
  <c r="S311" i="3"/>
  <c r="T311" i="3"/>
  <c r="B312" i="3"/>
  <c r="C312" i="3"/>
  <c r="D312" i="3"/>
  <c r="E312" i="3"/>
  <c r="F312" i="3"/>
  <c r="G312" i="3"/>
  <c r="H312" i="3"/>
  <c r="L312" i="3"/>
  <c r="N312" i="3"/>
  <c r="O312" i="3"/>
  <c r="Q312" i="3"/>
  <c r="R312" i="3"/>
  <c r="S312" i="3"/>
  <c r="T312" i="3"/>
  <c r="B313" i="3"/>
  <c r="C313" i="3"/>
  <c r="D313" i="3"/>
  <c r="E313" i="3"/>
  <c r="F313" i="3"/>
  <c r="G313" i="3"/>
  <c r="H313" i="3"/>
  <c r="L313" i="3"/>
  <c r="N313" i="3"/>
  <c r="O313" i="3"/>
  <c r="Q313" i="3"/>
  <c r="R313" i="3"/>
  <c r="S313" i="3"/>
  <c r="T313" i="3"/>
  <c r="B314" i="3"/>
  <c r="C314" i="3"/>
  <c r="D314" i="3"/>
  <c r="E314" i="3"/>
  <c r="F314" i="3"/>
  <c r="G314" i="3"/>
  <c r="H314" i="3"/>
  <c r="L314" i="3"/>
  <c r="N314" i="3"/>
  <c r="O314" i="3"/>
  <c r="Q314" i="3"/>
  <c r="R314" i="3"/>
  <c r="S314" i="3"/>
  <c r="T314" i="3"/>
  <c r="B315" i="3"/>
  <c r="C315" i="3"/>
  <c r="D315" i="3"/>
  <c r="E315" i="3"/>
  <c r="F315" i="3"/>
  <c r="G315" i="3"/>
  <c r="H315" i="3"/>
  <c r="L315" i="3"/>
  <c r="N315" i="3"/>
  <c r="O315" i="3"/>
  <c r="Q315" i="3"/>
  <c r="R315" i="3"/>
  <c r="S315" i="3"/>
  <c r="T315" i="3"/>
  <c r="B316" i="3"/>
  <c r="C316" i="3"/>
  <c r="D316" i="3"/>
  <c r="E316" i="3"/>
  <c r="F316" i="3"/>
  <c r="G316" i="3"/>
  <c r="H316" i="3"/>
  <c r="L316" i="3"/>
  <c r="N316" i="3"/>
  <c r="O316" i="3"/>
  <c r="Q316" i="3"/>
  <c r="R316" i="3"/>
  <c r="S316" i="3"/>
  <c r="T316" i="3"/>
  <c r="B317" i="3"/>
  <c r="C317" i="3"/>
  <c r="D317" i="3"/>
  <c r="E317" i="3"/>
  <c r="F317" i="3"/>
  <c r="G317" i="3"/>
  <c r="H317" i="3"/>
  <c r="L317" i="3"/>
  <c r="N317" i="3"/>
  <c r="O317" i="3"/>
  <c r="Q317" i="3"/>
  <c r="R317" i="3"/>
  <c r="S317" i="3"/>
  <c r="T317" i="3"/>
  <c r="B318" i="3"/>
  <c r="C318" i="3"/>
  <c r="D318" i="3"/>
  <c r="E318" i="3"/>
  <c r="F318" i="3"/>
  <c r="G318" i="3"/>
  <c r="H318" i="3"/>
  <c r="L318" i="3"/>
  <c r="N318" i="3"/>
  <c r="O318" i="3"/>
  <c r="Q318" i="3"/>
  <c r="R318" i="3"/>
  <c r="S318" i="3"/>
  <c r="T318" i="3"/>
  <c r="B319" i="3"/>
  <c r="C319" i="3"/>
  <c r="D319" i="3"/>
  <c r="E319" i="3"/>
  <c r="F319" i="3"/>
  <c r="G319" i="3"/>
  <c r="H319" i="3"/>
  <c r="L319" i="3"/>
  <c r="N319" i="3"/>
  <c r="O319" i="3"/>
  <c r="Q319" i="3"/>
  <c r="R319" i="3"/>
  <c r="S319" i="3"/>
  <c r="T319" i="3"/>
  <c r="B320" i="3"/>
  <c r="C320" i="3"/>
  <c r="D320" i="3"/>
  <c r="E320" i="3"/>
  <c r="F320" i="3"/>
  <c r="G320" i="3"/>
  <c r="H320" i="3"/>
  <c r="L320" i="3"/>
  <c r="N320" i="3"/>
  <c r="O320" i="3"/>
  <c r="Q320" i="3"/>
  <c r="R320" i="3"/>
  <c r="S320" i="3"/>
  <c r="T320" i="3"/>
  <c r="B321" i="3"/>
  <c r="C321" i="3"/>
  <c r="D321" i="3"/>
  <c r="E321" i="3"/>
  <c r="F321" i="3"/>
  <c r="G321" i="3"/>
  <c r="H321" i="3"/>
  <c r="L321" i="3"/>
  <c r="N321" i="3"/>
  <c r="O321" i="3"/>
  <c r="Q321" i="3"/>
  <c r="R321" i="3"/>
  <c r="S321" i="3"/>
  <c r="T321" i="3"/>
  <c r="B322" i="3"/>
  <c r="C322" i="3"/>
  <c r="D322" i="3"/>
  <c r="E322" i="3"/>
  <c r="F322" i="3"/>
  <c r="G322" i="3"/>
  <c r="H322" i="3"/>
  <c r="L322" i="3"/>
  <c r="N322" i="3"/>
  <c r="O322" i="3"/>
  <c r="Q322" i="3"/>
  <c r="R322" i="3"/>
  <c r="S322" i="3"/>
  <c r="T322" i="3"/>
  <c r="B323" i="3"/>
  <c r="C323" i="3"/>
  <c r="D323" i="3"/>
  <c r="E323" i="3"/>
  <c r="F323" i="3"/>
  <c r="G323" i="3"/>
  <c r="H323" i="3"/>
  <c r="L323" i="3"/>
  <c r="N323" i="3"/>
  <c r="O323" i="3"/>
  <c r="Q323" i="3"/>
  <c r="R323" i="3"/>
  <c r="S323" i="3"/>
  <c r="T323" i="3"/>
  <c r="B324" i="3"/>
  <c r="C324" i="3"/>
  <c r="D324" i="3"/>
  <c r="E324" i="3"/>
  <c r="F324" i="3"/>
  <c r="G324" i="3"/>
  <c r="H324" i="3"/>
  <c r="L324" i="3"/>
  <c r="N324" i="3"/>
  <c r="O324" i="3"/>
  <c r="Q324" i="3"/>
  <c r="R324" i="3"/>
  <c r="S324" i="3"/>
  <c r="T324" i="3"/>
  <c r="B325" i="3"/>
  <c r="C325" i="3"/>
  <c r="D325" i="3"/>
  <c r="E325" i="3"/>
  <c r="F325" i="3"/>
  <c r="G325" i="3"/>
  <c r="H325" i="3"/>
  <c r="L325" i="3"/>
  <c r="N325" i="3"/>
  <c r="O325" i="3"/>
  <c r="Q325" i="3"/>
  <c r="R325" i="3"/>
  <c r="S325" i="3"/>
  <c r="T325" i="3"/>
  <c r="B326" i="3"/>
  <c r="C326" i="3"/>
  <c r="D326" i="3"/>
  <c r="E326" i="3"/>
  <c r="F326" i="3"/>
  <c r="G326" i="3"/>
  <c r="H326" i="3"/>
  <c r="L326" i="3"/>
  <c r="N326" i="3"/>
  <c r="O326" i="3"/>
  <c r="Q326" i="3"/>
  <c r="R326" i="3"/>
  <c r="S326" i="3"/>
  <c r="T326" i="3"/>
  <c r="B327" i="3"/>
  <c r="C327" i="3"/>
  <c r="D327" i="3"/>
  <c r="E327" i="3"/>
  <c r="F327" i="3"/>
  <c r="G327" i="3"/>
  <c r="H327" i="3"/>
  <c r="L327" i="3"/>
  <c r="N327" i="3"/>
  <c r="O327" i="3"/>
  <c r="Q327" i="3"/>
  <c r="R327" i="3"/>
  <c r="S327" i="3"/>
  <c r="T327" i="3"/>
  <c r="B328" i="3"/>
  <c r="C328" i="3"/>
  <c r="D328" i="3"/>
  <c r="E328" i="3"/>
  <c r="F328" i="3"/>
  <c r="G328" i="3"/>
  <c r="H328" i="3"/>
  <c r="L328" i="3"/>
  <c r="N328" i="3"/>
  <c r="O328" i="3"/>
  <c r="Q328" i="3"/>
  <c r="R328" i="3"/>
  <c r="S328" i="3"/>
  <c r="T328" i="3"/>
  <c r="B329" i="3"/>
  <c r="C329" i="3"/>
  <c r="D329" i="3"/>
  <c r="E329" i="3"/>
  <c r="F329" i="3"/>
  <c r="G329" i="3"/>
  <c r="H329" i="3"/>
  <c r="L329" i="3"/>
  <c r="N329" i="3"/>
  <c r="O329" i="3"/>
  <c r="Q329" i="3"/>
  <c r="R329" i="3"/>
  <c r="S329" i="3"/>
  <c r="T329" i="3"/>
  <c r="B330" i="3"/>
  <c r="C330" i="3"/>
  <c r="D330" i="3"/>
  <c r="E330" i="3"/>
  <c r="F330" i="3"/>
  <c r="G330" i="3"/>
  <c r="H330" i="3"/>
  <c r="L330" i="3"/>
  <c r="N330" i="3"/>
  <c r="O330" i="3"/>
  <c r="Q330" i="3"/>
  <c r="R330" i="3"/>
  <c r="S330" i="3"/>
  <c r="T330" i="3"/>
  <c r="B331" i="3"/>
  <c r="C331" i="3"/>
  <c r="D331" i="3"/>
  <c r="E331" i="3"/>
  <c r="F331" i="3"/>
  <c r="G331" i="3"/>
  <c r="H331" i="3"/>
  <c r="L331" i="3"/>
  <c r="N331" i="3"/>
  <c r="O331" i="3"/>
  <c r="Q331" i="3"/>
  <c r="R331" i="3"/>
  <c r="S331" i="3"/>
  <c r="T331" i="3"/>
  <c r="B332" i="3"/>
  <c r="C332" i="3"/>
  <c r="D332" i="3"/>
  <c r="E332" i="3"/>
  <c r="F332" i="3"/>
  <c r="G332" i="3"/>
  <c r="H332" i="3"/>
  <c r="L332" i="3"/>
  <c r="N332" i="3"/>
  <c r="O332" i="3"/>
  <c r="Q332" i="3"/>
  <c r="R332" i="3"/>
  <c r="S332" i="3"/>
  <c r="T332" i="3"/>
  <c r="B333" i="3"/>
  <c r="C333" i="3"/>
  <c r="D333" i="3"/>
  <c r="E333" i="3"/>
  <c r="F333" i="3"/>
  <c r="G333" i="3"/>
  <c r="H333" i="3"/>
  <c r="L333" i="3"/>
  <c r="N333" i="3"/>
  <c r="O333" i="3"/>
  <c r="Q333" i="3"/>
  <c r="R333" i="3"/>
  <c r="S333" i="3"/>
  <c r="T333" i="3"/>
  <c r="B334" i="3"/>
  <c r="C334" i="3"/>
  <c r="D334" i="3"/>
  <c r="E334" i="3"/>
  <c r="F334" i="3"/>
  <c r="G334" i="3"/>
  <c r="H334" i="3"/>
  <c r="L334" i="3"/>
  <c r="N334" i="3"/>
  <c r="O334" i="3"/>
  <c r="Q334" i="3"/>
  <c r="R334" i="3"/>
  <c r="S334" i="3"/>
  <c r="T334" i="3"/>
  <c r="B335" i="3"/>
  <c r="C335" i="3"/>
  <c r="D335" i="3"/>
  <c r="E335" i="3"/>
  <c r="F335" i="3"/>
  <c r="G335" i="3"/>
  <c r="H335" i="3"/>
  <c r="L335" i="3"/>
  <c r="N335" i="3"/>
  <c r="O335" i="3"/>
  <c r="Q335" i="3"/>
  <c r="R335" i="3"/>
  <c r="S335" i="3"/>
  <c r="T335" i="3"/>
  <c r="B336" i="3"/>
  <c r="C336" i="3"/>
  <c r="D336" i="3"/>
  <c r="E336" i="3"/>
  <c r="F336" i="3"/>
  <c r="G336" i="3"/>
  <c r="H336" i="3"/>
  <c r="L336" i="3"/>
  <c r="N336" i="3"/>
  <c r="O336" i="3"/>
  <c r="Q336" i="3"/>
  <c r="R336" i="3"/>
  <c r="S336" i="3"/>
  <c r="T336" i="3"/>
  <c r="B337" i="3"/>
  <c r="C337" i="3"/>
  <c r="D337" i="3"/>
  <c r="E337" i="3"/>
  <c r="F337" i="3"/>
  <c r="G337" i="3"/>
  <c r="H337" i="3"/>
  <c r="L337" i="3"/>
  <c r="N337" i="3"/>
  <c r="O337" i="3"/>
  <c r="Q337" i="3"/>
  <c r="R337" i="3"/>
  <c r="S337" i="3"/>
  <c r="T337" i="3"/>
  <c r="B338" i="3"/>
  <c r="C338" i="3"/>
  <c r="D338" i="3"/>
  <c r="E338" i="3"/>
  <c r="F338" i="3"/>
  <c r="G338" i="3"/>
  <c r="H338" i="3"/>
  <c r="L338" i="3"/>
  <c r="N338" i="3"/>
  <c r="O338" i="3"/>
  <c r="Q338" i="3"/>
  <c r="R338" i="3"/>
  <c r="S338" i="3"/>
  <c r="T338" i="3"/>
  <c r="B339" i="3"/>
  <c r="C339" i="3"/>
  <c r="D339" i="3"/>
  <c r="E339" i="3"/>
  <c r="F339" i="3"/>
  <c r="G339" i="3"/>
  <c r="H339" i="3"/>
  <c r="L339" i="3"/>
  <c r="N339" i="3"/>
  <c r="O339" i="3"/>
  <c r="Q339" i="3"/>
  <c r="R339" i="3"/>
  <c r="S339" i="3"/>
  <c r="T339" i="3"/>
  <c r="B340" i="3"/>
  <c r="C340" i="3"/>
  <c r="D340" i="3"/>
  <c r="E340" i="3"/>
  <c r="F340" i="3"/>
  <c r="G340" i="3"/>
  <c r="H340" i="3"/>
  <c r="L340" i="3"/>
  <c r="N340" i="3"/>
  <c r="O340" i="3"/>
  <c r="Q340" i="3"/>
  <c r="R340" i="3"/>
  <c r="S340" i="3"/>
  <c r="T340" i="3"/>
  <c r="B341" i="3"/>
  <c r="C341" i="3"/>
  <c r="D341" i="3"/>
  <c r="E341" i="3"/>
  <c r="F341" i="3"/>
  <c r="G341" i="3"/>
  <c r="H341" i="3"/>
  <c r="L341" i="3"/>
  <c r="N341" i="3"/>
  <c r="O341" i="3"/>
  <c r="Q341" i="3"/>
  <c r="R341" i="3"/>
  <c r="S341" i="3"/>
  <c r="T341" i="3"/>
  <c r="B342" i="3"/>
  <c r="C342" i="3"/>
  <c r="D342" i="3"/>
  <c r="E342" i="3"/>
  <c r="F342" i="3"/>
  <c r="G342" i="3"/>
  <c r="H342" i="3"/>
  <c r="L342" i="3"/>
  <c r="N342" i="3"/>
  <c r="O342" i="3"/>
  <c r="Q342" i="3"/>
  <c r="R342" i="3"/>
  <c r="S342" i="3"/>
  <c r="T342" i="3"/>
  <c r="B343" i="3"/>
  <c r="C343" i="3"/>
  <c r="D343" i="3"/>
  <c r="E343" i="3"/>
  <c r="F343" i="3"/>
  <c r="G343" i="3"/>
  <c r="H343" i="3"/>
  <c r="L343" i="3"/>
  <c r="N343" i="3"/>
  <c r="O343" i="3"/>
  <c r="Q343" i="3"/>
  <c r="R343" i="3"/>
  <c r="S343" i="3"/>
  <c r="T343" i="3"/>
  <c r="B344" i="3"/>
  <c r="C344" i="3"/>
  <c r="D344" i="3"/>
  <c r="E344" i="3"/>
  <c r="F344" i="3"/>
  <c r="G344" i="3"/>
  <c r="H344" i="3"/>
  <c r="L344" i="3"/>
  <c r="N344" i="3"/>
  <c r="O344" i="3"/>
  <c r="Q344" i="3"/>
  <c r="R344" i="3"/>
  <c r="S344" i="3"/>
  <c r="T344" i="3"/>
  <c r="B345" i="3"/>
  <c r="C345" i="3"/>
  <c r="D345" i="3"/>
  <c r="E345" i="3"/>
  <c r="F345" i="3"/>
  <c r="G345" i="3"/>
  <c r="H345" i="3"/>
  <c r="L345" i="3"/>
  <c r="N345" i="3"/>
  <c r="O345" i="3"/>
  <c r="Q345" i="3"/>
  <c r="R345" i="3"/>
  <c r="S345" i="3"/>
  <c r="T345" i="3"/>
  <c r="B346" i="3"/>
  <c r="C346" i="3"/>
  <c r="D346" i="3"/>
  <c r="E346" i="3"/>
  <c r="F346" i="3"/>
  <c r="G346" i="3"/>
  <c r="H346" i="3"/>
  <c r="L346" i="3"/>
  <c r="N346" i="3"/>
  <c r="O346" i="3"/>
  <c r="Q346" i="3"/>
  <c r="R346" i="3"/>
  <c r="S346" i="3"/>
  <c r="T346" i="3"/>
  <c r="B347" i="3"/>
  <c r="C347" i="3"/>
  <c r="D347" i="3"/>
  <c r="E347" i="3"/>
  <c r="F347" i="3"/>
  <c r="G347" i="3"/>
  <c r="H347" i="3"/>
  <c r="L347" i="3"/>
  <c r="N347" i="3"/>
  <c r="O347" i="3"/>
  <c r="Q347" i="3"/>
  <c r="R347" i="3"/>
  <c r="S347" i="3"/>
  <c r="T347" i="3"/>
  <c r="B348" i="3"/>
  <c r="C348" i="3"/>
  <c r="D348" i="3"/>
  <c r="E348" i="3"/>
  <c r="F348" i="3"/>
  <c r="G348" i="3"/>
  <c r="H348" i="3"/>
  <c r="L348" i="3"/>
  <c r="N348" i="3"/>
  <c r="O348" i="3"/>
  <c r="Q348" i="3"/>
  <c r="R348" i="3"/>
  <c r="S348" i="3"/>
  <c r="T348" i="3"/>
  <c r="B349" i="3"/>
  <c r="C349" i="3"/>
  <c r="D349" i="3"/>
  <c r="E349" i="3"/>
  <c r="F349" i="3"/>
  <c r="G349" i="3"/>
  <c r="H349" i="3"/>
  <c r="L349" i="3"/>
  <c r="N349" i="3"/>
  <c r="O349" i="3"/>
  <c r="Q349" i="3"/>
  <c r="R349" i="3"/>
  <c r="S349" i="3"/>
  <c r="T349" i="3"/>
  <c r="B350" i="3"/>
  <c r="C350" i="3"/>
  <c r="D350" i="3"/>
  <c r="E350" i="3"/>
  <c r="F350" i="3"/>
  <c r="G350" i="3"/>
  <c r="H350" i="3"/>
  <c r="L350" i="3"/>
  <c r="N350" i="3"/>
  <c r="O350" i="3"/>
  <c r="Q350" i="3"/>
  <c r="R350" i="3"/>
  <c r="S350" i="3"/>
  <c r="T350" i="3"/>
  <c r="B351" i="3"/>
  <c r="C351" i="3"/>
  <c r="D351" i="3"/>
  <c r="E351" i="3"/>
  <c r="F351" i="3"/>
  <c r="G351" i="3"/>
  <c r="H351" i="3"/>
  <c r="L351" i="3"/>
  <c r="N351" i="3"/>
  <c r="O351" i="3"/>
  <c r="Q351" i="3"/>
  <c r="R351" i="3"/>
  <c r="S351" i="3"/>
  <c r="T351" i="3"/>
  <c r="B352" i="3"/>
  <c r="C352" i="3"/>
  <c r="D352" i="3"/>
  <c r="E352" i="3"/>
  <c r="F352" i="3"/>
  <c r="G352" i="3"/>
  <c r="H352" i="3"/>
  <c r="L352" i="3"/>
  <c r="N352" i="3"/>
  <c r="O352" i="3"/>
  <c r="Q352" i="3"/>
  <c r="R352" i="3"/>
  <c r="S352" i="3"/>
  <c r="T352" i="3"/>
  <c r="B353" i="3"/>
  <c r="C353" i="3"/>
  <c r="D353" i="3"/>
  <c r="E353" i="3"/>
  <c r="F353" i="3"/>
  <c r="G353" i="3"/>
  <c r="H353" i="3"/>
  <c r="L353" i="3"/>
  <c r="N353" i="3"/>
  <c r="O353" i="3"/>
  <c r="Q353" i="3"/>
  <c r="R353" i="3"/>
  <c r="S353" i="3"/>
  <c r="T353" i="3"/>
  <c r="B354" i="3"/>
  <c r="C354" i="3"/>
  <c r="D354" i="3"/>
  <c r="E354" i="3"/>
  <c r="F354" i="3"/>
  <c r="G354" i="3"/>
  <c r="H354" i="3"/>
  <c r="L354" i="3"/>
  <c r="N354" i="3"/>
  <c r="O354" i="3"/>
  <c r="Q354" i="3"/>
  <c r="R354" i="3"/>
  <c r="S354" i="3"/>
  <c r="T354" i="3"/>
  <c r="B355" i="3"/>
  <c r="C355" i="3"/>
  <c r="D355" i="3"/>
  <c r="E355" i="3"/>
  <c r="F355" i="3"/>
  <c r="G355" i="3"/>
  <c r="H355" i="3"/>
  <c r="L355" i="3"/>
  <c r="N355" i="3"/>
  <c r="O355" i="3"/>
  <c r="Q355" i="3"/>
  <c r="R355" i="3"/>
  <c r="S355" i="3"/>
  <c r="T355" i="3"/>
  <c r="B356" i="3"/>
  <c r="C356" i="3"/>
  <c r="D356" i="3"/>
  <c r="E356" i="3"/>
  <c r="F356" i="3"/>
  <c r="G356" i="3"/>
  <c r="H356" i="3"/>
  <c r="L356" i="3"/>
  <c r="N356" i="3"/>
  <c r="O356" i="3"/>
  <c r="Q356" i="3"/>
  <c r="R356" i="3"/>
  <c r="S356" i="3"/>
  <c r="T356" i="3"/>
  <c r="B357" i="3"/>
  <c r="C357" i="3"/>
  <c r="D357" i="3"/>
  <c r="E357" i="3"/>
  <c r="F357" i="3"/>
  <c r="G357" i="3"/>
  <c r="H357" i="3"/>
  <c r="L357" i="3"/>
  <c r="N357" i="3"/>
  <c r="O357" i="3"/>
  <c r="Q357" i="3"/>
  <c r="R357" i="3"/>
  <c r="S357" i="3"/>
  <c r="T357" i="3"/>
  <c r="B358" i="3"/>
  <c r="C358" i="3"/>
  <c r="D358" i="3"/>
  <c r="E358" i="3"/>
  <c r="F358" i="3"/>
  <c r="G358" i="3"/>
  <c r="H358" i="3"/>
  <c r="L358" i="3"/>
  <c r="N358" i="3"/>
  <c r="O358" i="3"/>
  <c r="Q358" i="3"/>
  <c r="R358" i="3"/>
  <c r="S358" i="3"/>
  <c r="T358" i="3"/>
  <c r="B359" i="3"/>
  <c r="C359" i="3"/>
  <c r="D359" i="3"/>
  <c r="E359" i="3"/>
  <c r="F359" i="3"/>
  <c r="G359" i="3"/>
  <c r="H359" i="3"/>
  <c r="L359" i="3"/>
  <c r="N359" i="3"/>
  <c r="O359" i="3"/>
  <c r="Q359" i="3"/>
  <c r="R359" i="3"/>
  <c r="S359" i="3"/>
  <c r="T359" i="3"/>
  <c r="B360" i="3"/>
  <c r="C360" i="3"/>
  <c r="D360" i="3"/>
  <c r="E360" i="3"/>
  <c r="F360" i="3"/>
  <c r="G360" i="3"/>
  <c r="H360" i="3"/>
  <c r="L360" i="3"/>
  <c r="N360" i="3"/>
  <c r="O360" i="3"/>
  <c r="Q360" i="3"/>
  <c r="R360" i="3"/>
  <c r="S360" i="3"/>
  <c r="T360" i="3"/>
  <c r="B361" i="3"/>
  <c r="C361" i="3"/>
  <c r="D361" i="3"/>
  <c r="E361" i="3"/>
  <c r="F361" i="3"/>
  <c r="G361" i="3"/>
  <c r="H361" i="3"/>
  <c r="L361" i="3"/>
  <c r="N361" i="3"/>
  <c r="O361" i="3"/>
  <c r="Q361" i="3"/>
  <c r="R361" i="3"/>
  <c r="S361" i="3"/>
  <c r="T361" i="3"/>
  <c r="B362" i="3"/>
  <c r="C362" i="3"/>
  <c r="D362" i="3"/>
  <c r="E362" i="3"/>
  <c r="F362" i="3"/>
  <c r="G362" i="3"/>
  <c r="H362" i="3"/>
  <c r="L362" i="3"/>
  <c r="N362" i="3"/>
  <c r="O362" i="3"/>
  <c r="Q362" i="3"/>
  <c r="R362" i="3"/>
  <c r="S362" i="3"/>
  <c r="T362" i="3"/>
  <c r="B363" i="3"/>
  <c r="C363" i="3"/>
  <c r="D363" i="3"/>
  <c r="E363" i="3"/>
  <c r="F363" i="3"/>
  <c r="G363" i="3"/>
  <c r="H363" i="3"/>
  <c r="L363" i="3"/>
  <c r="N363" i="3"/>
  <c r="O363" i="3"/>
  <c r="Q363" i="3"/>
  <c r="R363" i="3"/>
  <c r="S363" i="3"/>
  <c r="T363" i="3"/>
  <c r="B364" i="3"/>
  <c r="C364" i="3"/>
  <c r="D364" i="3"/>
  <c r="E364" i="3"/>
  <c r="F364" i="3"/>
  <c r="G364" i="3"/>
  <c r="H364" i="3"/>
  <c r="L364" i="3"/>
  <c r="N364" i="3"/>
  <c r="O364" i="3"/>
  <c r="Q364" i="3"/>
  <c r="R364" i="3"/>
  <c r="S364" i="3"/>
  <c r="T364" i="3"/>
  <c r="B365" i="3"/>
  <c r="C365" i="3"/>
  <c r="D365" i="3"/>
  <c r="E365" i="3"/>
  <c r="F365" i="3"/>
  <c r="G365" i="3"/>
  <c r="H365" i="3"/>
  <c r="L365" i="3"/>
  <c r="N365" i="3"/>
  <c r="O365" i="3"/>
  <c r="Q365" i="3"/>
  <c r="R365" i="3"/>
  <c r="S365" i="3"/>
  <c r="T365" i="3"/>
  <c r="B366" i="3"/>
  <c r="C366" i="3"/>
  <c r="D366" i="3"/>
  <c r="E366" i="3"/>
  <c r="F366" i="3"/>
  <c r="G366" i="3"/>
  <c r="H366" i="3"/>
  <c r="L366" i="3"/>
  <c r="N366" i="3"/>
  <c r="O366" i="3"/>
  <c r="Q366" i="3"/>
  <c r="R366" i="3"/>
  <c r="S366" i="3"/>
  <c r="T366" i="3"/>
  <c r="B367" i="3"/>
  <c r="C367" i="3"/>
  <c r="D367" i="3"/>
  <c r="E367" i="3"/>
  <c r="F367" i="3"/>
  <c r="G367" i="3"/>
  <c r="H367" i="3"/>
  <c r="L367" i="3"/>
  <c r="N367" i="3"/>
  <c r="O367" i="3"/>
  <c r="Q367" i="3"/>
  <c r="R367" i="3"/>
  <c r="S367" i="3"/>
  <c r="T367" i="3"/>
  <c r="B368" i="3"/>
  <c r="C368" i="3"/>
  <c r="D368" i="3"/>
  <c r="E368" i="3"/>
  <c r="F368" i="3"/>
  <c r="G368" i="3"/>
  <c r="H368" i="3"/>
  <c r="L368" i="3"/>
  <c r="N368" i="3"/>
  <c r="O368" i="3"/>
  <c r="Q368" i="3"/>
  <c r="R368" i="3"/>
  <c r="S368" i="3"/>
  <c r="T368" i="3"/>
  <c r="B369" i="3"/>
  <c r="C369" i="3"/>
  <c r="D369" i="3"/>
  <c r="E369" i="3"/>
  <c r="F369" i="3"/>
  <c r="G369" i="3"/>
  <c r="H369" i="3"/>
  <c r="L369" i="3"/>
  <c r="N369" i="3"/>
  <c r="O369" i="3"/>
  <c r="Q369" i="3"/>
  <c r="R369" i="3"/>
  <c r="S369" i="3"/>
  <c r="T369" i="3"/>
  <c r="B370" i="3"/>
  <c r="C370" i="3"/>
  <c r="D370" i="3"/>
  <c r="E370" i="3"/>
  <c r="F370" i="3"/>
  <c r="G370" i="3"/>
  <c r="H370" i="3"/>
  <c r="L370" i="3"/>
  <c r="N370" i="3"/>
  <c r="O370" i="3"/>
  <c r="Q370" i="3"/>
  <c r="R370" i="3"/>
  <c r="S370" i="3"/>
  <c r="T370" i="3"/>
  <c r="B371" i="3"/>
  <c r="C371" i="3"/>
  <c r="D371" i="3"/>
  <c r="E371" i="3"/>
  <c r="F371" i="3"/>
  <c r="G371" i="3"/>
  <c r="H371" i="3"/>
  <c r="L371" i="3"/>
  <c r="N371" i="3"/>
  <c r="O371" i="3"/>
  <c r="Q371" i="3"/>
  <c r="R371" i="3"/>
  <c r="S371" i="3"/>
  <c r="T371" i="3"/>
  <c r="B372" i="3"/>
  <c r="C372" i="3"/>
  <c r="D372" i="3"/>
  <c r="E372" i="3"/>
  <c r="F372" i="3"/>
  <c r="G372" i="3"/>
  <c r="H372" i="3"/>
  <c r="L372" i="3"/>
  <c r="N372" i="3"/>
  <c r="O372" i="3"/>
  <c r="Q372" i="3"/>
  <c r="R372" i="3"/>
  <c r="S372" i="3"/>
  <c r="T372" i="3"/>
  <c r="B373" i="3"/>
  <c r="C373" i="3"/>
  <c r="D373" i="3"/>
  <c r="E373" i="3"/>
  <c r="F373" i="3"/>
  <c r="G373" i="3"/>
  <c r="H373" i="3"/>
  <c r="L373" i="3"/>
  <c r="N373" i="3"/>
  <c r="O373" i="3"/>
  <c r="Q373" i="3"/>
  <c r="R373" i="3"/>
  <c r="S373" i="3"/>
  <c r="T373" i="3"/>
  <c r="B374" i="3"/>
  <c r="C374" i="3"/>
  <c r="D374" i="3"/>
  <c r="E374" i="3"/>
  <c r="F374" i="3"/>
  <c r="G374" i="3"/>
  <c r="H374" i="3"/>
  <c r="L374" i="3"/>
  <c r="N374" i="3"/>
  <c r="O374" i="3"/>
  <c r="Q374" i="3"/>
  <c r="R374" i="3"/>
  <c r="S374" i="3"/>
  <c r="T374" i="3"/>
  <c r="B375" i="3"/>
  <c r="C375" i="3"/>
  <c r="D375" i="3"/>
  <c r="E375" i="3"/>
  <c r="F375" i="3"/>
  <c r="G375" i="3"/>
  <c r="H375" i="3"/>
  <c r="L375" i="3"/>
  <c r="N375" i="3"/>
  <c r="O375" i="3"/>
  <c r="Q375" i="3"/>
  <c r="R375" i="3"/>
  <c r="S375" i="3"/>
  <c r="T375" i="3"/>
  <c r="B376" i="3"/>
  <c r="C376" i="3"/>
  <c r="D376" i="3"/>
  <c r="E376" i="3"/>
  <c r="F376" i="3"/>
  <c r="G376" i="3"/>
  <c r="H376" i="3"/>
  <c r="L376" i="3"/>
  <c r="N376" i="3"/>
  <c r="O376" i="3"/>
  <c r="Q376" i="3"/>
  <c r="R376" i="3"/>
  <c r="S376" i="3"/>
  <c r="T376" i="3"/>
  <c r="B377" i="3"/>
  <c r="C377" i="3"/>
  <c r="D377" i="3"/>
  <c r="E377" i="3"/>
  <c r="F377" i="3"/>
  <c r="G377" i="3"/>
  <c r="H377" i="3"/>
  <c r="L377" i="3"/>
  <c r="N377" i="3"/>
  <c r="O377" i="3"/>
  <c r="Q377" i="3"/>
  <c r="R377" i="3"/>
  <c r="S377" i="3"/>
  <c r="T377" i="3"/>
  <c r="B378" i="3"/>
  <c r="C378" i="3"/>
  <c r="D378" i="3"/>
  <c r="E378" i="3"/>
  <c r="F378" i="3"/>
  <c r="G378" i="3"/>
  <c r="H378" i="3"/>
  <c r="L378" i="3"/>
  <c r="N378" i="3"/>
  <c r="O378" i="3"/>
  <c r="Q378" i="3"/>
  <c r="R378" i="3"/>
  <c r="S378" i="3"/>
  <c r="T378" i="3"/>
  <c r="B379" i="3"/>
  <c r="C379" i="3"/>
  <c r="D379" i="3"/>
  <c r="E379" i="3"/>
  <c r="F379" i="3"/>
  <c r="G379" i="3"/>
  <c r="H379" i="3"/>
  <c r="L379" i="3"/>
  <c r="N379" i="3"/>
  <c r="O379" i="3"/>
  <c r="Q379" i="3"/>
  <c r="R379" i="3"/>
  <c r="S379" i="3"/>
  <c r="T379" i="3"/>
  <c r="B380" i="3"/>
  <c r="C380" i="3"/>
  <c r="D380" i="3"/>
  <c r="E380" i="3"/>
  <c r="F380" i="3"/>
  <c r="G380" i="3"/>
  <c r="H380" i="3"/>
  <c r="L380" i="3"/>
  <c r="N380" i="3"/>
  <c r="O380" i="3"/>
  <c r="Q380" i="3"/>
  <c r="R380" i="3"/>
  <c r="S380" i="3"/>
  <c r="T380" i="3"/>
  <c r="B381" i="3"/>
  <c r="C381" i="3"/>
  <c r="D381" i="3"/>
  <c r="E381" i="3"/>
  <c r="F381" i="3"/>
  <c r="G381" i="3"/>
  <c r="H381" i="3"/>
  <c r="L381" i="3"/>
  <c r="N381" i="3"/>
  <c r="O381" i="3"/>
  <c r="Q381" i="3"/>
  <c r="R381" i="3"/>
  <c r="S381" i="3"/>
  <c r="T381" i="3"/>
  <c r="B382" i="3"/>
  <c r="C382" i="3"/>
  <c r="D382" i="3"/>
  <c r="E382" i="3"/>
  <c r="F382" i="3"/>
  <c r="G382" i="3"/>
  <c r="H382" i="3"/>
  <c r="L382" i="3"/>
  <c r="N382" i="3"/>
  <c r="O382" i="3"/>
  <c r="Q382" i="3"/>
  <c r="R382" i="3"/>
  <c r="S382" i="3"/>
  <c r="T382" i="3"/>
  <c r="B383" i="3"/>
  <c r="C383" i="3"/>
  <c r="D383" i="3"/>
  <c r="E383" i="3"/>
  <c r="F383" i="3"/>
  <c r="G383" i="3"/>
  <c r="H383" i="3"/>
  <c r="L383" i="3"/>
  <c r="N383" i="3"/>
  <c r="O383" i="3"/>
  <c r="Q383" i="3"/>
  <c r="R383" i="3"/>
  <c r="S383" i="3"/>
  <c r="T383" i="3"/>
  <c r="B384" i="3"/>
  <c r="C384" i="3"/>
  <c r="D384" i="3"/>
  <c r="E384" i="3"/>
  <c r="F384" i="3"/>
  <c r="G384" i="3"/>
  <c r="H384" i="3"/>
  <c r="L384" i="3"/>
  <c r="N384" i="3"/>
  <c r="O384" i="3"/>
  <c r="Q384" i="3"/>
  <c r="R384" i="3"/>
  <c r="S384" i="3"/>
  <c r="T384" i="3"/>
  <c r="B385" i="3"/>
  <c r="C385" i="3"/>
  <c r="D385" i="3"/>
  <c r="E385" i="3"/>
  <c r="F385" i="3"/>
  <c r="G385" i="3"/>
  <c r="H385" i="3"/>
  <c r="L385" i="3"/>
  <c r="N385" i="3"/>
  <c r="O385" i="3"/>
  <c r="Q385" i="3"/>
  <c r="R385" i="3"/>
  <c r="S385" i="3"/>
  <c r="T385" i="3"/>
  <c r="B386" i="3"/>
  <c r="C386" i="3"/>
  <c r="D386" i="3"/>
  <c r="E386" i="3"/>
  <c r="F386" i="3"/>
  <c r="G386" i="3"/>
  <c r="H386" i="3"/>
  <c r="L386" i="3"/>
  <c r="N386" i="3"/>
  <c r="O386" i="3"/>
  <c r="Q386" i="3"/>
  <c r="R386" i="3"/>
  <c r="S386" i="3"/>
  <c r="T386" i="3"/>
  <c r="B387" i="3"/>
  <c r="C387" i="3"/>
  <c r="D387" i="3"/>
  <c r="E387" i="3"/>
  <c r="F387" i="3"/>
  <c r="G387" i="3"/>
  <c r="H387" i="3"/>
  <c r="L387" i="3"/>
  <c r="N387" i="3"/>
  <c r="O387" i="3"/>
  <c r="Q387" i="3"/>
  <c r="R387" i="3"/>
  <c r="S387" i="3"/>
  <c r="T387" i="3"/>
  <c r="B388" i="3"/>
  <c r="C388" i="3"/>
  <c r="D388" i="3"/>
  <c r="E388" i="3"/>
  <c r="F388" i="3"/>
  <c r="G388" i="3"/>
  <c r="H388" i="3"/>
  <c r="L388" i="3"/>
  <c r="N388" i="3"/>
  <c r="O388" i="3"/>
  <c r="Q388" i="3"/>
  <c r="R388" i="3"/>
  <c r="S388" i="3"/>
  <c r="T388" i="3"/>
  <c r="B389" i="3"/>
  <c r="C389" i="3"/>
  <c r="D389" i="3"/>
  <c r="E389" i="3"/>
  <c r="F389" i="3"/>
  <c r="G389" i="3"/>
  <c r="H389" i="3"/>
  <c r="L389" i="3"/>
  <c r="N389" i="3"/>
  <c r="O389" i="3"/>
  <c r="Q389" i="3"/>
  <c r="R389" i="3"/>
  <c r="S389" i="3"/>
  <c r="T389" i="3"/>
  <c r="B390" i="3"/>
  <c r="C390" i="3"/>
  <c r="D390" i="3"/>
  <c r="E390" i="3"/>
  <c r="F390" i="3"/>
  <c r="G390" i="3"/>
  <c r="H390" i="3"/>
  <c r="L390" i="3"/>
  <c r="N390" i="3"/>
  <c r="O390" i="3"/>
  <c r="Q390" i="3"/>
  <c r="R390" i="3"/>
  <c r="S390" i="3"/>
  <c r="T390" i="3"/>
  <c r="B391" i="3"/>
  <c r="C391" i="3"/>
  <c r="D391" i="3"/>
  <c r="E391" i="3"/>
  <c r="F391" i="3"/>
  <c r="G391" i="3"/>
  <c r="H391" i="3"/>
  <c r="L391" i="3"/>
  <c r="N391" i="3"/>
  <c r="O391" i="3"/>
  <c r="Q391" i="3"/>
  <c r="R391" i="3"/>
  <c r="S391" i="3"/>
  <c r="T391" i="3"/>
  <c r="B392" i="3"/>
  <c r="C392" i="3"/>
  <c r="D392" i="3"/>
  <c r="E392" i="3"/>
  <c r="F392" i="3"/>
  <c r="G392" i="3"/>
  <c r="H392" i="3"/>
  <c r="L392" i="3"/>
  <c r="N392" i="3"/>
  <c r="O392" i="3"/>
  <c r="Q392" i="3"/>
  <c r="R392" i="3"/>
  <c r="S392" i="3"/>
  <c r="T392" i="3"/>
  <c r="B393" i="3"/>
  <c r="C393" i="3"/>
  <c r="D393" i="3"/>
  <c r="E393" i="3"/>
  <c r="F393" i="3"/>
  <c r="G393" i="3"/>
  <c r="H393" i="3"/>
  <c r="L393" i="3"/>
  <c r="N393" i="3"/>
  <c r="O393" i="3"/>
  <c r="Q393" i="3"/>
  <c r="R393" i="3"/>
  <c r="S393" i="3"/>
  <c r="T393" i="3"/>
  <c r="B394" i="3"/>
  <c r="C394" i="3"/>
  <c r="D394" i="3"/>
  <c r="E394" i="3"/>
  <c r="F394" i="3"/>
  <c r="G394" i="3"/>
  <c r="H394" i="3"/>
  <c r="L394" i="3"/>
  <c r="N394" i="3"/>
  <c r="O394" i="3"/>
  <c r="Q394" i="3"/>
  <c r="R394" i="3"/>
  <c r="S394" i="3"/>
  <c r="T394" i="3"/>
  <c r="B395" i="3"/>
  <c r="C395" i="3"/>
  <c r="D395" i="3"/>
  <c r="E395" i="3"/>
  <c r="F395" i="3"/>
  <c r="G395" i="3"/>
  <c r="H395" i="3"/>
  <c r="L395" i="3"/>
  <c r="N395" i="3"/>
  <c r="O395" i="3"/>
  <c r="Q395" i="3"/>
  <c r="R395" i="3"/>
  <c r="S395" i="3"/>
  <c r="T395" i="3"/>
  <c r="B396" i="3"/>
  <c r="C396" i="3"/>
  <c r="D396" i="3"/>
  <c r="E396" i="3"/>
  <c r="F396" i="3"/>
  <c r="G396" i="3"/>
  <c r="H396" i="3"/>
  <c r="L396" i="3"/>
  <c r="N396" i="3"/>
  <c r="O396" i="3"/>
  <c r="Q396" i="3"/>
  <c r="R396" i="3"/>
  <c r="S396" i="3"/>
  <c r="T396" i="3"/>
  <c r="B397" i="3"/>
  <c r="C397" i="3"/>
  <c r="D397" i="3"/>
  <c r="E397" i="3"/>
  <c r="F397" i="3"/>
  <c r="G397" i="3"/>
  <c r="H397" i="3"/>
  <c r="L397" i="3"/>
  <c r="N397" i="3"/>
  <c r="O397" i="3"/>
  <c r="Q397" i="3"/>
  <c r="R397" i="3"/>
  <c r="S397" i="3"/>
  <c r="T397" i="3"/>
  <c r="B398" i="3"/>
  <c r="C398" i="3"/>
  <c r="D398" i="3"/>
  <c r="E398" i="3"/>
  <c r="F398" i="3"/>
  <c r="G398" i="3"/>
  <c r="H398" i="3"/>
  <c r="L398" i="3"/>
  <c r="N398" i="3"/>
  <c r="O398" i="3"/>
  <c r="Q398" i="3"/>
  <c r="R398" i="3"/>
  <c r="S398" i="3"/>
  <c r="T398" i="3"/>
  <c r="B399" i="3"/>
  <c r="C399" i="3"/>
  <c r="D399" i="3"/>
  <c r="E399" i="3"/>
  <c r="F399" i="3"/>
  <c r="G399" i="3"/>
  <c r="H399" i="3"/>
  <c r="L399" i="3"/>
  <c r="N399" i="3"/>
  <c r="O399" i="3"/>
  <c r="Q399" i="3"/>
  <c r="R399" i="3"/>
  <c r="S399" i="3"/>
  <c r="T399" i="3"/>
  <c r="B400" i="3"/>
  <c r="C400" i="3"/>
  <c r="D400" i="3"/>
  <c r="E400" i="3"/>
  <c r="F400" i="3"/>
  <c r="G400" i="3"/>
  <c r="H400" i="3"/>
  <c r="L400" i="3"/>
  <c r="N400" i="3"/>
  <c r="O400" i="3"/>
  <c r="Q400" i="3"/>
  <c r="R400" i="3"/>
  <c r="S400" i="3"/>
  <c r="T400" i="3"/>
  <c r="B401" i="3"/>
  <c r="C401" i="3"/>
  <c r="D401" i="3"/>
  <c r="E401" i="3"/>
  <c r="F401" i="3"/>
  <c r="G401" i="3"/>
  <c r="H401" i="3"/>
  <c r="L401" i="3"/>
  <c r="N401" i="3"/>
  <c r="O401" i="3"/>
  <c r="Q401" i="3"/>
  <c r="R401" i="3"/>
  <c r="S401" i="3"/>
  <c r="T401" i="3"/>
  <c r="B402" i="3"/>
  <c r="C402" i="3"/>
  <c r="D402" i="3"/>
  <c r="E402" i="3"/>
  <c r="F402" i="3"/>
  <c r="G402" i="3"/>
  <c r="H402" i="3"/>
  <c r="L402" i="3"/>
  <c r="N402" i="3"/>
  <c r="O402" i="3"/>
  <c r="Q402" i="3"/>
  <c r="R402" i="3"/>
  <c r="S402" i="3"/>
  <c r="T402" i="3"/>
  <c r="B403" i="3"/>
  <c r="C403" i="3"/>
  <c r="D403" i="3"/>
  <c r="E403" i="3"/>
  <c r="F403" i="3"/>
  <c r="G403" i="3"/>
  <c r="H403" i="3"/>
  <c r="L403" i="3"/>
  <c r="N403" i="3"/>
  <c r="O403" i="3"/>
  <c r="Q403" i="3"/>
  <c r="R403" i="3"/>
  <c r="S403" i="3"/>
  <c r="T403" i="3"/>
  <c r="B404" i="3"/>
  <c r="C404" i="3"/>
  <c r="D404" i="3"/>
  <c r="E404" i="3"/>
  <c r="F404" i="3"/>
  <c r="G404" i="3"/>
  <c r="H404" i="3"/>
  <c r="L404" i="3"/>
  <c r="N404" i="3"/>
  <c r="O404" i="3"/>
  <c r="Q404" i="3"/>
  <c r="R404" i="3"/>
  <c r="S404" i="3"/>
  <c r="T404" i="3"/>
  <c r="B405" i="3"/>
  <c r="C405" i="3"/>
  <c r="D405" i="3"/>
  <c r="E405" i="3"/>
  <c r="F405" i="3"/>
  <c r="G405" i="3"/>
  <c r="H405" i="3"/>
  <c r="L405" i="3"/>
  <c r="N405" i="3"/>
  <c r="O405" i="3"/>
  <c r="Q405" i="3"/>
  <c r="R405" i="3"/>
  <c r="S405" i="3"/>
  <c r="T405" i="3"/>
  <c r="B406" i="3"/>
  <c r="C406" i="3"/>
  <c r="D406" i="3"/>
  <c r="E406" i="3"/>
  <c r="F406" i="3"/>
  <c r="G406" i="3"/>
  <c r="H406" i="3"/>
  <c r="L406" i="3"/>
  <c r="N406" i="3"/>
  <c r="O406" i="3"/>
  <c r="Q406" i="3"/>
  <c r="R406" i="3"/>
  <c r="S406" i="3"/>
  <c r="T406" i="3"/>
  <c r="B407" i="3"/>
  <c r="C407" i="3"/>
  <c r="D407" i="3"/>
  <c r="E407" i="3"/>
  <c r="F407" i="3"/>
  <c r="G407" i="3"/>
  <c r="H407" i="3"/>
  <c r="L407" i="3"/>
  <c r="N407" i="3"/>
  <c r="O407" i="3"/>
  <c r="Q407" i="3"/>
  <c r="R407" i="3"/>
  <c r="S407" i="3"/>
  <c r="T407" i="3"/>
  <c r="B408" i="3"/>
  <c r="C408" i="3"/>
  <c r="D408" i="3"/>
  <c r="E408" i="3"/>
  <c r="F408" i="3"/>
  <c r="G408" i="3"/>
  <c r="H408" i="3"/>
  <c r="L408" i="3"/>
  <c r="N408" i="3"/>
  <c r="O408" i="3"/>
  <c r="Q408" i="3"/>
  <c r="R408" i="3"/>
  <c r="S408" i="3"/>
  <c r="T408" i="3"/>
  <c r="B409" i="3"/>
  <c r="C409" i="3"/>
  <c r="D409" i="3"/>
  <c r="E409" i="3"/>
  <c r="F409" i="3"/>
  <c r="G409" i="3"/>
  <c r="H409" i="3"/>
  <c r="L409" i="3"/>
  <c r="N409" i="3"/>
  <c r="O409" i="3"/>
  <c r="Q409" i="3"/>
  <c r="R409" i="3"/>
  <c r="S409" i="3"/>
  <c r="T409" i="3"/>
  <c r="B410" i="3"/>
  <c r="C410" i="3"/>
  <c r="D410" i="3"/>
  <c r="E410" i="3"/>
  <c r="F410" i="3"/>
  <c r="G410" i="3"/>
  <c r="H410" i="3"/>
  <c r="L410" i="3"/>
  <c r="N410" i="3"/>
  <c r="O410" i="3"/>
  <c r="Q410" i="3"/>
  <c r="R410" i="3"/>
  <c r="S410" i="3"/>
  <c r="T410" i="3"/>
  <c r="B411" i="3"/>
  <c r="C411" i="3"/>
  <c r="D411" i="3"/>
  <c r="E411" i="3"/>
  <c r="F411" i="3"/>
  <c r="G411" i="3"/>
  <c r="H411" i="3"/>
  <c r="L411" i="3"/>
  <c r="N411" i="3"/>
  <c r="O411" i="3"/>
  <c r="Q411" i="3"/>
  <c r="R411" i="3"/>
  <c r="S411" i="3"/>
  <c r="T411" i="3"/>
  <c r="B412" i="3"/>
  <c r="C412" i="3"/>
  <c r="D412" i="3"/>
  <c r="E412" i="3"/>
  <c r="F412" i="3"/>
  <c r="G412" i="3"/>
  <c r="H412" i="3"/>
  <c r="L412" i="3"/>
  <c r="N412" i="3"/>
  <c r="O412" i="3"/>
  <c r="Q412" i="3"/>
  <c r="R412" i="3"/>
  <c r="S412" i="3"/>
  <c r="T412" i="3"/>
  <c r="B413" i="3"/>
  <c r="C413" i="3"/>
  <c r="D413" i="3"/>
  <c r="E413" i="3"/>
  <c r="F413" i="3"/>
  <c r="G413" i="3"/>
  <c r="H413" i="3"/>
  <c r="L413" i="3"/>
  <c r="N413" i="3"/>
  <c r="O413" i="3"/>
  <c r="Q413" i="3"/>
  <c r="R413" i="3"/>
  <c r="S413" i="3"/>
  <c r="T413" i="3"/>
  <c r="B414" i="3"/>
  <c r="C414" i="3"/>
  <c r="D414" i="3"/>
  <c r="E414" i="3"/>
  <c r="F414" i="3"/>
  <c r="G414" i="3"/>
  <c r="H414" i="3"/>
  <c r="L414" i="3"/>
  <c r="N414" i="3"/>
  <c r="O414" i="3"/>
  <c r="Q414" i="3"/>
  <c r="R414" i="3"/>
  <c r="S414" i="3"/>
  <c r="T414" i="3"/>
  <c r="B415" i="3"/>
  <c r="C415" i="3"/>
  <c r="D415" i="3"/>
  <c r="E415" i="3"/>
  <c r="F415" i="3"/>
  <c r="G415" i="3"/>
  <c r="H415" i="3"/>
  <c r="L415" i="3"/>
  <c r="N415" i="3"/>
  <c r="O415" i="3"/>
  <c r="Q415" i="3"/>
  <c r="R415" i="3"/>
  <c r="S415" i="3"/>
  <c r="T415" i="3"/>
  <c r="B416" i="3"/>
  <c r="C416" i="3"/>
  <c r="D416" i="3"/>
  <c r="E416" i="3"/>
  <c r="F416" i="3"/>
  <c r="G416" i="3"/>
  <c r="H416" i="3"/>
  <c r="L416" i="3"/>
  <c r="N416" i="3"/>
  <c r="O416" i="3"/>
  <c r="Q416" i="3"/>
  <c r="R416" i="3"/>
  <c r="S416" i="3"/>
  <c r="T416" i="3"/>
  <c r="B417" i="3"/>
  <c r="C417" i="3"/>
  <c r="D417" i="3"/>
  <c r="E417" i="3"/>
  <c r="F417" i="3"/>
  <c r="G417" i="3"/>
  <c r="H417" i="3"/>
  <c r="L417" i="3"/>
  <c r="N417" i="3"/>
  <c r="O417" i="3"/>
  <c r="Q417" i="3"/>
  <c r="R417" i="3"/>
  <c r="S417" i="3"/>
  <c r="T417" i="3"/>
  <c r="B418" i="3"/>
  <c r="C418" i="3"/>
  <c r="D418" i="3"/>
  <c r="E418" i="3"/>
  <c r="F418" i="3"/>
  <c r="G418" i="3"/>
  <c r="H418" i="3"/>
  <c r="L418" i="3"/>
  <c r="N418" i="3"/>
  <c r="O418" i="3"/>
  <c r="Q418" i="3"/>
  <c r="R418" i="3"/>
  <c r="S418" i="3"/>
  <c r="T418" i="3"/>
  <c r="B419" i="3"/>
  <c r="C419" i="3"/>
  <c r="D419" i="3"/>
  <c r="E419" i="3"/>
  <c r="F419" i="3"/>
  <c r="G419" i="3"/>
  <c r="H419" i="3"/>
  <c r="L419" i="3"/>
  <c r="N419" i="3"/>
  <c r="O419" i="3"/>
  <c r="Q419" i="3"/>
  <c r="R419" i="3"/>
  <c r="S419" i="3"/>
  <c r="T419" i="3"/>
  <c r="B420" i="3"/>
  <c r="C420" i="3"/>
  <c r="D420" i="3"/>
  <c r="E420" i="3"/>
  <c r="F420" i="3"/>
  <c r="G420" i="3"/>
  <c r="H420" i="3"/>
  <c r="L420" i="3"/>
  <c r="N420" i="3"/>
  <c r="O420" i="3"/>
  <c r="Q420" i="3"/>
  <c r="R420" i="3"/>
  <c r="S420" i="3"/>
  <c r="T420" i="3"/>
  <c r="B421" i="3"/>
  <c r="C421" i="3"/>
  <c r="D421" i="3"/>
  <c r="E421" i="3"/>
  <c r="F421" i="3"/>
  <c r="G421" i="3"/>
  <c r="H421" i="3"/>
  <c r="L421" i="3"/>
  <c r="N421" i="3"/>
  <c r="O421" i="3"/>
  <c r="Q421" i="3"/>
  <c r="R421" i="3"/>
  <c r="S421" i="3"/>
  <c r="T421" i="3"/>
  <c r="B422" i="3"/>
  <c r="C422" i="3"/>
  <c r="D422" i="3"/>
  <c r="E422" i="3"/>
  <c r="F422" i="3"/>
  <c r="G422" i="3"/>
  <c r="H422" i="3"/>
  <c r="L422" i="3"/>
  <c r="N422" i="3"/>
  <c r="O422" i="3"/>
  <c r="Q422" i="3"/>
  <c r="R422" i="3"/>
  <c r="S422" i="3"/>
  <c r="T422" i="3"/>
  <c r="B423" i="3"/>
  <c r="C423" i="3"/>
  <c r="D423" i="3"/>
  <c r="E423" i="3"/>
  <c r="F423" i="3"/>
  <c r="G423" i="3"/>
  <c r="H423" i="3"/>
  <c r="L423" i="3"/>
  <c r="N423" i="3"/>
  <c r="O423" i="3"/>
  <c r="Q423" i="3"/>
  <c r="R423" i="3"/>
  <c r="S423" i="3"/>
  <c r="T423" i="3"/>
  <c r="B424" i="3"/>
  <c r="C424" i="3"/>
  <c r="D424" i="3"/>
  <c r="E424" i="3"/>
  <c r="F424" i="3"/>
  <c r="G424" i="3"/>
  <c r="H424" i="3"/>
  <c r="L424" i="3"/>
  <c r="N424" i="3"/>
  <c r="O424" i="3"/>
  <c r="Q424" i="3"/>
  <c r="R424" i="3"/>
  <c r="S424" i="3"/>
  <c r="T424" i="3"/>
  <c r="B425" i="3"/>
  <c r="C425" i="3"/>
  <c r="D425" i="3"/>
  <c r="E425" i="3"/>
  <c r="F425" i="3"/>
  <c r="G425" i="3"/>
  <c r="H425" i="3"/>
  <c r="L425" i="3"/>
  <c r="N425" i="3"/>
  <c r="O425" i="3"/>
  <c r="Q425" i="3"/>
  <c r="R425" i="3"/>
  <c r="S425" i="3"/>
  <c r="T425" i="3"/>
  <c r="B426" i="3"/>
  <c r="C426" i="3"/>
  <c r="D426" i="3"/>
  <c r="E426" i="3"/>
  <c r="F426" i="3"/>
  <c r="G426" i="3"/>
  <c r="H426" i="3"/>
  <c r="L426" i="3"/>
  <c r="N426" i="3"/>
  <c r="O426" i="3"/>
  <c r="Q426" i="3"/>
  <c r="R426" i="3"/>
  <c r="S426" i="3"/>
  <c r="T426" i="3"/>
  <c r="B427" i="3"/>
  <c r="C427" i="3"/>
  <c r="D427" i="3"/>
  <c r="E427" i="3"/>
  <c r="F427" i="3"/>
  <c r="G427" i="3"/>
  <c r="H427" i="3"/>
  <c r="L427" i="3"/>
  <c r="N427" i="3"/>
  <c r="O427" i="3"/>
  <c r="Q427" i="3"/>
  <c r="R427" i="3"/>
  <c r="S427" i="3"/>
  <c r="T427" i="3"/>
  <c r="B428" i="3"/>
  <c r="C428" i="3"/>
  <c r="D428" i="3"/>
  <c r="E428" i="3"/>
  <c r="F428" i="3"/>
  <c r="G428" i="3"/>
  <c r="H428" i="3"/>
  <c r="L428" i="3"/>
  <c r="N428" i="3"/>
  <c r="O428" i="3"/>
  <c r="Q428" i="3"/>
  <c r="R428" i="3"/>
  <c r="S428" i="3"/>
  <c r="T428" i="3"/>
  <c r="B429" i="3"/>
  <c r="C429" i="3"/>
  <c r="D429" i="3"/>
  <c r="E429" i="3"/>
  <c r="F429" i="3"/>
  <c r="G429" i="3"/>
  <c r="H429" i="3"/>
  <c r="L429" i="3"/>
  <c r="N429" i="3"/>
  <c r="O429" i="3"/>
  <c r="Q429" i="3"/>
  <c r="R429" i="3"/>
  <c r="S429" i="3"/>
  <c r="T429" i="3"/>
  <c r="B430" i="3"/>
  <c r="C430" i="3"/>
  <c r="D430" i="3"/>
  <c r="E430" i="3"/>
  <c r="F430" i="3"/>
  <c r="G430" i="3"/>
  <c r="H430" i="3"/>
  <c r="L430" i="3"/>
  <c r="N430" i="3"/>
  <c r="O430" i="3"/>
  <c r="Q430" i="3"/>
  <c r="R430" i="3"/>
  <c r="S430" i="3"/>
  <c r="T430" i="3"/>
  <c r="B431" i="3"/>
  <c r="C431" i="3"/>
  <c r="D431" i="3"/>
  <c r="E431" i="3"/>
  <c r="F431" i="3"/>
  <c r="G431" i="3"/>
  <c r="H431" i="3"/>
  <c r="L431" i="3"/>
  <c r="N431" i="3"/>
  <c r="O431" i="3"/>
  <c r="Q431" i="3"/>
  <c r="R431" i="3"/>
  <c r="S431" i="3"/>
  <c r="T431" i="3"/>
  <c r="B432" i="3"/>
  <c r="C432" i="3"/>
  <c r="D432" i="3"/>
  <c r="E432" i="3"/>
  <c r="F432" i="3"/>
  <c r="G432" i="3"/>
  <c r="H432" i="3"/>
  <c r="L432" i="3"/>
  <c r="N432" i="3"/>
  <c r="O432" i="3"/>
  <c r="Q432" i="3"/>
  <c r="R432" i="3"/>
  <c r="S432" i="3"/>
  <c r="T432" i="3"/>
  <c r="B433" i="3"/>
  <c r="C433" i="3"/>
  <c r="D433" i="3"/>
  <c r="E433" i="3"/>
  <c r="F433" i="3"/>
  <c r="G433" i="3"/>
  <c r="H433" i="3"/>
  <c r="L433" i="3"/>
  <c r="N433" i="3"/>
  <c r="O433" i="3"/>
  <c r="Q433" i="3"/>
  <c r="R433" i="3"/>
  <c r="S433" i="3"/>
  <c r="T433" i="3"/>
  <c r="B434" i="3"/>
  <c r="C434" i="3"/>
  <c r="D434" i="3"/>
  <c r="E434" i="3"/>
  <c r="F434" i="3"/>
  <c r="G434" i="3"/>
  <c r="H434" i="3"/>
  <c r="L434" i="3"/>
  <c r="N434" i="3"/>
  <c r="O434" i="3"/>
  <c r="Q434" i="3"/>
  <c r="R434" i="3"/>
  <c r="S434" i="3"/>
  <c r="T434" i="3"/>
  <c r="B435" i="3"/>
  <c r="C435" i="3"/>
  <c r="D435" i="3"/>
  <c r="E435" i="3"/>
  <c r="F435" i="3"/>
  <c r="G435" i="3"/>
  <c r="H435" i="3"/>
  <c r="L435" i="3"/>
  <c r="N435" i="3"/>
  <c r="O435" i="3"/>
  <c r="Q435" i="3"/>
  <c r="R435" i="3"/>
  <c r="S435" i="3"/>
  <c r="T435" i="3"/>
  <c r="B436" i="3"/>
  <c r="C436" i="3"/>
  <c r="D436" i="3"/>
  <c r="E436" i="3"/>
  <c r="F436" i="3"/>
  <c r="G436" i="3"/>
  <c r="H436" i="3"/>
  <c r="L436" i="3"/>
  <c r="N436" i="3"/>
  <c r="O436" i="3"/>
  <c r="Q436" i="3"/>
  <c r="R436" i="3"/>
  <c r="S436" i="3"/>
  <c r="T436" i="3"/>
  <c r="B437" i="3"/>
  <c r="C437" i="3"/>
  <c r="D437" i="3"/>
  <c r="E437" i="3"/>
  <c r="F437" i="3"/>
  <c r="G437" i="3"/>
  <c r="H437" i="3"/>
  <c r="L437" i="3"/>
  <c r="N437" i="3"/>
  <c r="O437" i="3"/>
  <c r="Q437" i="3"/>
  <c r="R437" i="3"/>
  <c r="S437" i="3"/>
  <c r="T437" i="3"/>
  <c r="B438" i="3"/>
  <c r="C438" i="3"/>
  <c r="D438" i="3"/>
  <c r="E438" i="3"/>
  <c r="F438" i="3"/>
  <c r="G438" i="3"/>
  <c r="H438" i="3"/>
  <c r="L438" i="3"/>
  <c r="N438" i="3"/>
  <c r="O438" i="3"/>
  <c r="Q438" i="3"/>
  <c r="R438" i="3"/>
  <c r="S438" i="3"/>
  <c r="T438" i="3"/>
  <c r="B439" i="3"/>
  <c r="C439" i="3"/>
  <c r="D439" i="3"/>
  <c r="E439" i="3"/>
  <c r="F439" i="3"/>
  <c r="G439" i="3"/>
  <c r="H439" i="3"/>
  <c r="L439" i="3"/>
  <c r="N439" i="3"/>
  <c r="O439" i="3"/>
  <c r="Q439" i="3"/>
  <c r="R439" i="3"/>
  <c r="S439" i="3"/>
  <c r="T439" i="3"/>
  <c r="B440" i="3"/>
  <c r="C440" i="3"/>
  <c r="D440" i="3"/>
  <c r="E440" i="3"/>
  <c r="F440" i="3"/>
  <c r="G440" i="3"/>
  <c r="H440" i="3"/>
  <c r="L440" i="3"/>
  <c r="N440" i="3"/>
  <c r="O440" i="3"/>
  <c r="Q440" i="3"/>
  <c r="R440" i="3"/>
  <c r="S440" i="3"/>
  <c r="T440" i="3"/>
  <c r="B441" i="3"/>
  <c r="C441" i="3"/>
  <c r="D441" i="3"/>
  <c r="E441" i="3"/>
  <c r="F441" i="3"/>
  <c r="G441" i="3"/>
  <c r="H441" i="3"/>
  <c r="L441" i="3"/>
  <c r="N441" i="3"/>
  <c r="O441" i="3"/>
  <c r="Q441" i="3"/>
  <c r="R441" i="3"/>
  <c r="S441" i="3"/>
  <c r="T441" i="3"/>
  <c r="B442" i="3"/>
  <c r="C442" i="3"/>
  <c r="D442" i="3"/>
  <c r="E442" i="3"/>
  <c r="F442" i="3"/>
  <c r="G442" i="3"/>
  <c r="H442" i="3"/>
  <c r="L442" i="3"/>
  <c r="N442" i="3"/>
  <c r="O442" i="3"/>
  <c r="Q442" i="3"/>
  <c r="R442" i="3"/>
  <c r="S442" i="3"/>
  <c r="T442" i="3"/>
  <c r="B443" i="3"/>
  <c r="C443" i="3"/>
  <c r="D443" i="3"/>
  <c r="E443" i="3"/>
  <c r="F443" i="3"/>
  <c r="G443" i="3"/>
  <c r="H443" i="3"/>
  <c r="L443" i="3"/>
  <c r="N443" i="3"/>
  <c r="O443" i="3"/>
  <c r="Q443" i="3"/>
  <c r="R443" i="3"/>
  <c r="S443" i="3"/>
  <c r="T443" i="3"/>
  <c r="B444" i="3"/>
  <c r="C444" i="3"/>
  <c r="D444" i="3"/>
  <c r="E444" i="3"/>
  <c r="F444" i="3"/>
  <c r="G444" i="3"/>
  <c r="H444" i="3"/>
  <c r="L444" i="3"/>
  <c r="N444" i="3"/>
  <c r="O444" i="3"/>
  <c r="Q444" i="3"/>
  <c r="R444" i="3"/>
  <c r="S444" i="3"/>
  <c r="T444" i="3"/>
  <c r="B445" i="3"/>
  <c r="C445" i="3"/>
  <c r="D445" i="3"/>
  <c r="E445" i="3"/>
  <c r="F445" i="3"/>
  <c r="G445" i="3"/>
  <c r="H445" i="3"/>
  <c r="L445" i="3"/>
  <c r="N445" i="3"/>
  <c r="O445" i="3"/>
  <c r="Q445" i="3"/>
  <c r="R445" i="3"/>
  <c r="S445" i="3"/>
  <c r="T445" i="3"/>
  <c r="B446" i="3"/>
  <c r="C446" i="3"/>
  <c r="D446" i="3"/>
  <c r="E446" i="3"/>
  <c r="F446" i="3"/>
  <c r="G446" i="3"/>
  <c r="H446" i="3"/>
  <c r="L446" i="3"/>
  <c r="N446" i="3"/>
  <c r="O446" i="3"/>
  <c r="Q446" i="3"/>
  <c r="R446" i="3"/>
  <c r="S446" i="3"/>
  <c r="T446" i="3"/>
  <c r="B447" i="3"/>
  <c r="C447" i="3"/>
  <c r="D447" i="3"/>
  <c r="E447" i="3"/>
  <c r="F447" i="3"/>
  <c r="G447" i="3"/>
  <c r="H447" i="3"/>
  <c r="L447" i="3"/>
  <c r="N447" i="3"/>
  <c r="O447" i="3"/>
  <c r="Q447" i="3"/>
  <c r="R447" i="3"/>
  <c r="S447" i="3"/>
  <c r="T447" i="3"/>
  <c r="B448" i="3"/>
  <c r="C448" i="3"/>
  <c r="D448" i="3"/>
  <c r="E448" i="3"/>
  <c r="F448" i="3"/>
  <c r="G448" i="3"/>
  <c r="H448" i="3"/>
  <c r="L448" i="3"/>
  <c r="N448" i="3"/>
  <c r="O448" i="3"/>
  <c r="Q448" i="3"/>
  <c r="R448" i="3"/>
  <c r="S448" i="3"/>
  <c r="T448" i="3"/>
  <c r="B449" i="3"/>
  <c r="C449" i="3"/>
  <c r="D449" i="3"/>
  <c r="E449" i="3"/>
  <c r="F449" i="3"/>
  <c r="G449" i="3"/>
  <c r="H449" i="3"/>
  <c r="L449" i="3"/>
  <c r="N449" i="3"/>
  <c r="O449" i="3"/>
  <c r="Q449" i="3"/>
  <c r="R449" i="3"/>
  <c r="S449" i="3"/>
  <c r="T449" i="3"/>
  <c r="B450" i="3"/>
  <c r="C450" i="3"/>
  <c r="D450" i="3"/>
  <c r="E450" i="3"/>
  <c r="F450" i="3"/>
  <c r="G450" i="3"/>
  <c r="H450" i="3"/>
  <c r="L450" i="3"/>
  <c r="N450" i="3"/>
  <c r="O450" i="3"/>
  <c r="Q450" i="3"/>
  <c r="R450" i="3"/>
  <c r="S450" i="3"/>
  <c r="T450" i="3"/>
  <c r="B451" i="3"/>
  <c r="C451" i="3"/>
  <c r="D451" i="3"/>
  <c r="E451" i="3"/>
  <c r="F451" i="3"/>
  <c r="G451" i="3"/>
  <c r="H451" i="3"/>
  <c r="L451" i="3"/>
  <c r="N451" i="3"/>
  <c r="O451" i="3"/>
  <c r="Q451" i="3"/>
  <c r="R451" i="3"/>
  <c r="S451" i="3"/>
  <c r="T451" i="3"/>
  <c r="B452" i="3"/>
  <c r="C452" i="3"/>
  <c r="D452" i="3"/>
  <c r="E452" i="3"/>
  <c r="F452" i="3"/>
  <c r="G452" i="3"/>
  <c r="H452" i="3"/>
  <c r="L452" i="3"/>
  <c r="N452" i="3"/>
  <c r="O452" i="3"/>
  <c r="Q452" i="3"/>
  <c r="R452" i="3"/>
  <c r="S452" i="3"/>
  <c r="T452" i="3"/>
  <c r="B453" i="3"/>
  <c r="C453" i="3"/>
  <c r="D453" i="3"/>
  <c r="E453" i="3"/>
  <c r="F453" i="3"/>
  <c r="G453" i="3"/>
  <c r="H453" i="3"/>
  <c r="L453" i="3"/>
  <c r="N453" i="3"/>
  <c r="O453" i="3"/>
  <c r="Q453" i="3"/>
  <c r="R453" i="3"/>
  <c r="S453" i="3"/>
  <c r="T453" i="3"/>
  <c r="B454" i="3"/>
  <c r="C454" i="3"/>
  <c r="D454" i="3"/>
  <c r="E454" i="3"/>
  <c r="F454" i="3"/>
  <c r="G454" i="3"/>
  <c r="H454" i="3"/>
  <c r="L454" i="3"/>
  <c r="N454" i="3"/>
  <c r="O454" i="3"/>
  <c r="Q454" i="3"/>
  <c r="R454" i="3"/>
  <c r="S454" i="3"/>
  <c r="T454" i="3"/>
  <c r="B455" i="3"/>
  <c r="C455" i="3"/>
  <c r="D455" i="3"/>
  <c r="E455" i="3"/>
  <c r="F455" i="3"/>
  <c r="G455" i="3"/>
  <c r="H455" i="3"/>
  <c r="L455" i="3"/>
  <c r="N455" i="3"/>
  <c r="O455" i="3"/>
  <c r="Q455" i="3"/>
  <c r="R455" i="3"/>
  <c r="S455" i="3"/>
  <c r="T455" i="3"/>
  <c r="B456" i="3"/>
  <c r="C456" i="3"/>
  <c r="D456" i="3"/>
  <c r="E456" i="3"/>
  <c r="F456" i="3"/>
  <c r="G456" i="3"/>
  <c r="H456" i="3"/>
  <c r="L456" i="3"/>
  <c r="N456" i="3"/>
  <c r="O456" i="3"/>
  <c r="Q456" i="3"/>
  <c r="R456" i="3"/>
  <c r="S456" i="3"/>
  <c r="T456" i="3"/>
  <c r="B457" i="3"/>
  <c r="C457" i="3"/>
  <c r="D457" i="3"/>
  <c r="E457" i="3"/>
  <c r="F457" i="3"/>
  <c r="G457" i="3"/>
  <c r="H457" i="3"/>
  <c r="L457" i="3"/>
  <c r="N457" i="3"/>
  <c r="O457" i="3"/>
  <c r="Q457" i="3"/>
  <c r="R457" i="3"/>
  <c r="S457" i="3"/>
  <c r="T457" i="3"/>
  <c r="B458" i="3"/>
  <c r="C458" i="3"/>
  <c r="D458" i="3"/>
  <c r="E458" i="3"/>
  <c r="F458" i="3"/>
  <c r="G458" i="3"/>
  <c r="H458" i="3"/>
  <c r="L458" i="3"/>
  <c r="N458" i="3"/>
  <c r="O458" i="3"/>
  <c r="Q458" i="3"/>
  <c r="R458" i="3"/>
  <c r="S458" i="3"/>
  <c r="T458" i="3"/>
  <c r="B459" i="3"/>
  <c r="C459" i="3"/>
  <c r="D459" i="3"/>
  <c r="E459" i="3"/>
  <c r="F459" i="3"/>
  <c r="G459" i="3"/>
  <c r="H459" i="3"/>
  <c r="L459" i="3"/>
  <c r="N459" i="3"/>
  <c r="O459" i="3"/>
  <c r="Q459" i="3"/>
  <c r="R459" i="3"/>
  <c r="S459" i="3"/>
  <c r="T459" i="3"/>
  <c r="B460" i="3"/>
  <c r="C460" i="3"/>
  <c r="D460" i="3"/>
  <c r="E460" i="3"/>
  <c r="F460" i="3"/>
  <c r="G460" i="3"/>
  <c r="H460" i="3"/>
  <c r="L460" i="3"/>
  <c r="N460" i="3"/>
  <c r="O460" i="3"/>
  <c r="Q460" i="3"/>
  <c r="R460" i="3"/>
  <c r="S460" i="3"/>
  <c r="T460" i="3"/>
  <c r="B461" i="3"/>
  <c r="C461" i="3"/>
  <c r="D461" i="3"/>
  <c r="E461" i="3"/>
  <c r="F461" i="3"/>
  <c r="G461" i="3"/>
  <c r="H461" i="3"/>
  <c r="L461" i="3"/>
  <c r="N461" i="3"/>
  <c r="O461" i="3"/>
  <c r="Q461" i="3"/>
  <c r="R461" i="3"/>
  <c r="S461" i="3"/>
  <c r="T461" i="3"/>
  <c r="B462" i="3"/>
  <c r="C462" i="3"/>
  <c r="D462" i="3"/>
  <c r="E462" i="3"/>
  <c r="F462" i="3"/>
  <c r="G462" i="3"/>
  <c r="H462" i="3"/>
  <c r="L462" i="3"/>
  <c r="N462" i="3"/>
  <c r="O462" i="3"/>
  <c r="Q462" i="3"/>
  <c r="R462" i="3"/>
  <c r="S462" i="3"/>
  <c r="T462" i="3"/>
  <c r="B463" i="3"/>
  <c r="C463" i="3"/>
  <c r="D463" i="3"/>
  <c r="E463" i="3"/>
  <c r="F463" i="3"/>
  <c r="G463" i="3"/>
  <c r="H463" i="3"/>
  <c r="L463" i="3"/>
  <c r="N463" i="3"/>
  <c r="O463" i="3"/>
  <c r="Q463" i="3"/>
  <c r="R463" i="3"/>
  <c r="S463" i="3"/>
  <c r="T463" i="3"/>
  <c r="B464" i="3"/>
  <c r="C464" i="3"/>
  <c r="D464" i="3"/>
  <c r="E464" i="3"/>
  <c r="F464" i="3"/>
  <c r="G464" i="3"/>
  <c r="H464" i="3"/>
  <c r="L464" i="3"/>
  <c r="N464" i="3"/>
  <c r="O464" i="3"/>
  <c r="Q464" i="3"/>
  <c r="R464" i="3"/>
  <c r="S464" i="3"/>
  <c r="T464" i="3"/>
  <c r="B465" i="3"/>
  <c r="C465" i="3"/>
  <c r="D465" i="3"/>
  <c r="E465" i="3"/>
  <c r="F465" i="3"/>
  <c r="G465" i="3"/>
  <c r="H465" i="3"/>
  <c r="L465" i="3"/>
  <c r="N465" i="3"/>
  <c r="O465" i="3"/>
  <c r="Q465" i="3"/>
  <c r="R465" i="3"/>
  <c r="S465" i="3"/>
  <c r="T465" i="3"/>
  <c r="B466" i="3"/>
  <c r="C466" i="3"/>
  <c r="D466" i="3"/>
  <c r="E466" i="3"/>
  <c r="F466" i="3"/>
  <c r="G466" i="3"/>
  <c r="H466" i="3"/>
  <c r="L466" i="3"/>
  <c r="N466" i="3"/>
  <c r="O466" i="3"/>
  <c r="Q466" i="3"/>
  <c r="R466" i="3"/>
  <c r="S466" i="3"/>
  <c r="T466" i="3"/>
  <c r="B467" i="3"/>
  <c r="C467" i="3"/>
  <c r="D467" i="3"/>
  <c r="E467" i="3"/>
  <c r="F467" i="3"/>
  <c r="G467" i="3"/>
  <c r="H467" i="3"/>
  <c r="L467" i="3"/>
  <c r="N467" i="3"/>
  <c r="O467" i="3"/>
  <c r="Q467" i="3"/>
  <c r="R467" i="3"/>
  <c r="S467" i="3"/>
  <c r="T467" i="3"/>
  <c r="B468" i="3"/>
  <c r="C468" i="3"/>
  <c r="D468" i="3"/>
  <c r="E468" i="3"/>
  <c r="F468" i="3"/>
  <c r="G468" i="3"/>
  <c r="H468" i="3"/>
  <c r="L468" i="3"/>
  <c r="N468" i="3"/>
  <c r="O468" i="3"/>
  <c r="Q468" i="3"/>
  <c r="R468" i="3"/>
  <c r="S468" i="3"/>
  <c r="T468" i="3"/>
  <c r="B469" i="3"/>
  <c r="C469" i="3"/>
  <c r="D469" i="3"/>
  <c r="E469" i="3"/>
  <c r="F469" i="3"/>
  <c r="G469" i="3"/>
  <c r="H469" i="3"/>
  <c r="L469" i="3"/>
  <c r="N469" i="3"/>
  <c r="O469" i="3"/>
  <c r="Q469" i="3"/>
  <c r="R469" i="3"/>
  <c r="S469" i="3"/>
  <c r="T469" i="3"/>
  <c r="B470" i="3"/>
  <c r="C470" i="3"/>
  <c r="D470" i="3"/>
  <c r="E470" i="3"/>
  <c r="F470" i="3"/>
  <c r="G470" i="3"/>
  <c r="H470" i="3"/>
  <c r="L470" i="3"/>
  <c r="N470" i="3"/>
  <c r="O470" i="3"/>
  <c r="Q470" i="3"/>
  <c r="R470" i="3"/>
  <c r="S470" i="3"/>
  <c r="T470" i="3"/>
  <c r="B471" i="3"/>
  <c r="C471" i="3"/>
  <c r="D471" i="3"/>
  <c r="E471" i="3"/>
  <c r="F471" i="3"/>
  <c r="G471" i="3"/>
  <c r="H471" i="3"/>
  <c r="L471" i="3"/>
  <c r="N471" i="3"/>
  <c r="O471" i="3"/>
  <c r="Q471" i="3"/>
  <c r="R471" i="3"/>
  <c r="S471" i="3"/>
  <c r="T471" i="3"/>
  <c r="B472" i="3"/>
  <c r="C472" i="3"/>
  <c r="D472" i="3"/>
  <c r="E472" i="3"/>
  <c r="F472" i="3"/>
  <c r="G472" i="3"/>
  <c r="H472" i="3"/>
  <c r="L472" i="3"/>
  <c r="N472" i="3"/>
  <c r="O472" i="3"/>
  <c r="Q472" i="3"/>
  <c r="R472" i="3"/>
  <c r="S472" i="3"/>
  <c r="T472" i="3"/>
  <c r="B473" i="3"/>
  <c r="C473" i="3"/>
  <c r="D473" i="3"/>
  <c r="E473" i="3"/>
  <c r="F473" i="3"/>
  <c r="G473" i="3"/>
  <c r="H473" i="3"/>
  <c r="L473" i="3"/>
  <c r="N473" i="3"/>
  <c r="O473" i="3"/>
  <c r="Q473" i="3"/>
  <c r="R473" i="3"/>
  <c r="S473" i="3"/>
  <c r="T473" i="3"/>
  <c r="B474" i="3"/>
  <c r="C474" i="3"/>
  <c r="D474" i="3"/>
  <c r="E474" i="3"/>
  <c r="F474" i="3"/>
  <c r="G474" i="3"/>
  <c r="H474" i="3"/>
  <c r="L474" i="3"/>
  <c r="N474" i="3"/>
  <c r="O474" i="3"/>
  <c r="Q474" i="3"/>
  <c r="R474" i="3"/>
  <c r="S474" i="3"/>
  <c r="T474" i="3"/>
  <c r="B475" i="3"/>
  <c r="C475" i="3"/>
  <c r="D475" i="3"/>
  <c r="E475" i="3"/>
  <c r="F475" i="3"/>
  <c r="G475" i="3"/>
  <c r="H475" i="3"/>
  <c r="L475" i="3"/>
  <c r="N475" i="3"/>
  <c r="O475" i="3"/>
  <c r="Q475" i="3"/>
  <c r="R475" i="3"/>
  <c r="S475" i="3"/>
  <c r="T475" i="3"/>
  <c r="B476" i="3"/>
  <c r="C476" i="3"/>
  <c r="D476" i="3"/>
  <c r="E476" i="3"/>
  <c r="F476" i="3"/>
  <c r="G476" i="3"/>
  <c r="H476" i="3"/>
  <c r="L476" i="3"/>
  <c r="N476" i="3"/>
  <c r="O476" i="3"/>
  <c r="Q476" i="3"/>
  <c r="R476" i="3"/>
  <c r="S476" i="3"/>
  <c r="T476" i="3"/>
  <c r="B477" i="3"/>
  <c r="C477" i="3"/>
  <c r="D477" i="3"/>
  <c r="E477" i="3"/>
  <c r="F477" i="3"/>
  <c r="G477" i="3"/>
  <c r="H477" i="3"/>
  <c r="L477" i="3"/>
  <c r="N477" i="3"/>
  <c r="O477" i="3"/>
  <c r="Q477" i="3"/>
  <c r="R477" i="3"/>
  <c r="S477" i="3"/>
  <c r="T477" i="3"/>
  <c r="B478" i="3"/>
  <c r="C478" i="3"/>
  <c r="D478" i="3"/>
  <c r="E478" i="3"/>
  <c r="F478" i="3"/>
  <c r="G478" i="3"/>
  <c r="H478" i="3"/>
  <c r="L478" i="3"/>
  <c r="N478" i="3"/>
  <c r="O478" i="3"/>
  <c r="Q478" i="3"/>
  <c r="R478" i="3"/>
  <c r="S478" i="3"/>
  <c r="T478" i="3"/>
  <c r="B479" i="3"/>
  <c r="C479" i="3"/>
  <c r="D479" i="3"/>
  <c r="E479" i="3"/>
  <c r="F479" i="3"/>
  <c r="G479" i="3"/>
  <c r="H479" i="3"/>
  <c r="L479" i="3"/>
  <c r="N479" i="3"/>
  <c r="O479" i="3"/>
  <c r="Q479" i="3"/>
  <c r="R479" i="3"/>
  <c r="S479" i="3"/>
  <c r="T479" i="3"/>
  <c r="B480" i="3"/>
  <c r="C480" i="3"/>
  <c r="D480" i="3"/>
  <c r="E480" i="3"/>
  <c r="F480" i="3"/>
  <c r="G480" i="3"/>
  <c r="H480" i="3"/>
  <c r="L480" i="3"/>
  <c r="N480" i="3"/>
  <c r="O480" i="3"/>
  <c r="Q480" i="3"/>
  <c r="R480" i="3"/>
  <c r="S480" i="3"/>
  <c r="T480" i="3"/>
  <c r="B481" i="3"/>
  <c r="C481" i="3"/>
  <c r="D481" i="3"/>
  <c r="E481" i="3"/>
  <c r="F481" i="3"/>
  <c r="G481" i="3"/>
  <c r="H481" i="3"/>
  <c r="L481" i="3"/>
  <c r="N481" i="3"/>
  <c r="O481" i="3"/>
  <c r="Q481" i="3"/>
  <c r="R481" i="3"/>
  <c r="S481" i="3"/>
  <c r="T481" i="3"/>
  <c r="B482" i="3"/>
  <c r="C482" i="3"/>
  <c r="D482" i="3"/>
  <c r="E482" i="3"/>
  <c r="F482" i="3"/>
  <c r="G482" i="3"/>
  <c r="H482" i="3"/>
  <c r="L482" i="3"/>
  <c r="N482" i="3"/>
  <c r="O482" i="3"/>
  <c r="Q482" i="3"/>
  <c r="R482" i="3"/>
  <c r="S482" i="3"/>
  <c r="T482" i="3"/>
  <c r="B483" i="3"/>
  <c r="C483" i="3"/>
  <c r="D483" i="3"/>
  <c r="E483" i="3"/>
  <c r="F483" i="3"/>
  <c r="G483" i="3"/>
  <c r="H483" i="3"/>
  <c r="L483" i="3"/>
  <c r="N483" i="3"/>
  <c r="O483" i="3"/>
  <c r="Q483" i="3"/>
  <c r="R483" i="3"/>
  <c r="S483" i="3"/>
  <c r="T483" i="3"/>
  <c r="B484" i="3"/>
  <c r="C484" i="3"/>
  <c r="D484" i="3"/>
  <c r="E484" i="3"/>
  <c r="F484" i="3"/>
  <c r="G484" i="3"/>
  <c r="H484" i="3"/>
  <c r="L484" i="3"/>
  <c r="N484" i="3"/>
  <c r="O484" i="3"/>
  <c r="Q484" i="3"/>
  <c r="R484" i="3"/>
  <c r="S484" i="3"/>
  <c r="T484" i="3"/>
  <c r="B485" i="3"/>
  <c r="C485" i="3"/>
  <c r="D485" i="3"/>
  <c r="E485" i="3"/>
  <c r="F485" i="3"/>
  <c r="G485" i="3"/>
  <c r="H485" i="3"/>
  <c r="L485" i="3"/>
  <c r="N485" i="3"/>
  <c r="O485" i="3"/>
  <c r="Q485" i="3"/>
  <c r="R485" i="3"/>
  <c r="S485" i="3"/>
  <c r="T485" i="3"/>
  <c r="B486" i="3"/>
  <c r="C486" i="3"/>
  <c r="D486" i="3"/>
  <c r="E486" i="3"/>
  <c r="F486" i="3"/>
  <c r="G486" i="3"/>
  <c r="H486" i="3"/>
  <c r="L486" i="3"/>
  <c r="N486" i="3"/>
  <c r="O486" i="3"/>
  <c r="Q486" i="3"/>
  <c r="R486" i="3"/>
  <c r="S486" i="3"/>
  <c r="T486" i="3"/>
  <c r="B487" i="3"/>
  <c r="C487" i="3"/>
  <c r="D487" i="3"/>
  <c r="E487" i="3"/>
  <c r="F487" i="3"/>
  <c r="G487" i="3"/>
  <c r="H487" i="3"/>
  <c r="L487" i="3"/>
  <c r="N487" i="3"/>
  <c r="O487" i="3"/>
  <c r="Q487" i="3"/>
  <c r="R487" i="3"/>
  <c r="S487" i="3"/>
  <c r="T487" i="3"/>
  <c r="B488" i="3"/>
  <c r="C488" i="3"/>
  <c r="D488" i="3"/>
  <c r="E488" i="3"/>
  <c r="F488" i="3"/>
  <c r="G488" i="3"/>
  <c r="H488" i="3"/>
  <c r="L488" i="3"/>
  <c r="N488" i="3"/>
  <c r="O488" i="3"/>
  <c r="Q488" i="3"/>
  <c r="R488" i="3"/>
  <c r="S488" i="3"/>
  <c r="T488" i="3"/>
  <c r="B489" i="3"/>
  <c r="C489" i="3"/>
  <c r="D489" i="3"/>
  <c r="E489" i="3"/>
  <c r="F489" i="3"/>
  <c r="G489" i="3"/>
  <c r="H489" i="3"/>
  <c r="L489" i="3"/>
  <c r="N489" i="3"/>
  <c r="O489" i="3"/>
  <c r="Q489" i="3"/>
  <c r="R489" i="3"/>
  <c r="S489" i="3"/>
  <c r="T489" i="3"/>
  <c r="B490" i="3"/>
  <c r="C490" i="3"/>
  <c r="D490" i="3"/>
  <c r="E490" i="3"/>
  <c r="F490" i="3"/>
  <c r="G490" i="3"/>
  <c r="H490" i="3"/>
  <c r="L490" i="3"/>
  <c r="N490" i="3"/>
  <c r="O490" i="3"/>
  <c r="Q490" i="3"/>
  <c r="R490" i="3"/>
  <c r="S490" i="3"/>
  <c r="T490" i="3"/>
  <c r="B491" i="3"/>
  <c r="C491" i="3"/>
  <c r="D491" i="3"/>
  <c r="E491" i="3"/>
  <c r="F491" i="3"/>
  <c r="G491" i="3"/>
  <c r="H491" i="3"/>
  <c r="L491" i="3"/>
  <c r="N491" i="3"/>
  <c r="O491" i="3"/>
  <c r="Q491" i="3"/>
  <c r="R491" i="3"/>
  <c r="S491" i="3"/>
  <c r="T491" i="3"/>
  <c r="B492" i="3"/>
  <c r="C492" i="3"/>
  <c r="D492" i="3"/>
  <c r="E492" i="3"/>
  <c r="F492" i="3"/>
  <c r="G492" i="3"/>
  <c r="H492" i="3"/>
  <c r="L492" i="3"/>
  <c r="N492" i="3"/>
  <c r="O492" i="3"/>
  <c r="Q492" i="3"/>
  <c r="R492" i="3"/>
  <c r="S492" i="3"/>
  <c r="T492" i="3"/>
  <c r="B493" i="3"/>
  <c r="C493" i="3"/>
  <c r="D493" i="3"/>
  <c r="E493" i="3"/>
  <c r="F493" i="3"/>
  <c r="G493" i="3"/>
  <c r="H493" i="3"/>
  <c r="L493" i="3"/>
  <c r="N493" i="3"/>
  <c r="O493" i="3"/>
  <c r="Q493" i="3"/>
  <c r="R493" i="3"/>
  <c r="S493" i="3"/>
  <c r="T493" i="3"/>
  <c r="B494" i="3"/>
  <c r="C494" i="3"/>
  <c r="D494" i="3"/>
  <c r="E494" i="3"/>
  <c r="F494" i="3"/>
  <c r="G494" i="3"/>
  <c r="H494" i="3"/>
  <c r="L494" i="3"/>
  <c r="N494" i="3"/>
  <c r="O494" i="3"/>
  <c r="Q494" i="3"/>
  <c r="R494" i="3"/>
  <c r="S494" i="3"/>
  <c r="T494" i="3"/>
  <c r="B495" i="3"/>
  <c r="C495" i="3"/>
  <c r="D495" i="3"/>
  <c r="E495" i="3"/>
  <c r="F495" i="3"/>
  <c r="G495" i="3"/>
  <c r="H495" i="3"/>
  <c r="L495" i="3"/>
  <c r="N495" i="3"/>
  <c r="O495" i="3"/>
  <c r="Q495" i="3"/>
  <c r="R495" i="3"/>
  <c r="S495" i="3"/>
  <c r="T495" i="3"/>
  <c r="B496" i="3"/>
  <c r="C496" i="3"/>
  <c r="D496" i="3"/>
  <c r="E496" i="3"/>
  <c r="F496" i="3"/>
  <c r="G496" i="3"/>
  <c r="H496" i="3"/>
  <c r="L496" i="3"/>
  <c r="N496" i="3"/>
  <c r="O496" i="3"/>
  <c r="Q496" i="3"/>
  <c r="R496" i="3"/>
  <c r="S496" i="3"/>
  <c r="T496" i="3"/>
  <c r="B497" i="3"/>
  <c r="C497" i="3"/>
  <c r="D497" i="3"/>
  <c r="E497" i="3"/>
  <c r="F497" i="3"/>
  <c r="G497" i="3"/>
  <c r="H497" i="3"/>
  <c r="L497" i="3"/>
  <c r="N497" i="3"/>
  <c r="O497" i="3"/>
  <c r="Q497" i="3"/>
  <c r="R497" i="3"/>
  <c r="S497" i="3"/>
  <c r="T497" i="3"/>
  <c r="B498" i="3"/>
  <c r="C498" i="3"/>
  <c r="D498" i="3"/>
  <c r="E498" i="3"/>
  <c r="F498" i="3"/>
  <c r="G498" i="3"/>
  <c r="H498" i="3"/>
  <c r="L498" i="3"/>
  <c r="N498" i="3"/>
  <c r="O498" i="3"/>
  <c r="Q498" i="3"/>
  <c r="R498" i="3"/>
  <c r="S498" i="3"/>
  <c r="T498" i="3"/>
  <c r="B499" i="3"/>
  <c r="C499" i="3"/>
  <c r="D499" i="3"/>
  <c r="E499" i="3"/>
  <c r="F499" i="3"/>
  <c r="G499" i="3"/>
  <c r="H499" i="3"/>
  <c r="L499" i="3"/>
  <c r="N499" i="3"/>
  <c r="O499" i="3"/>
  <c r="Q499" i="3"/>
  <c r="R499" i="3"/>
  <c r="S499" i="3"/>
  <c r="T499" i="3"/>
  <c r="B500" i="3"/>
  <c r="C500" i="3"/>
  <c r="D500" i="3"/>
  <c r="E500" i="3"/>
  <c r="F500" i="3"/>
  <c r="G500" i="3"/>
  <c r="H500" i="3"/>
  <c r="L500" i="3"/>
  <c r="N500" i="3"/>
  <c r="O500" i="3"/>
  <c r="Q500" i="3"/>
  <c r="R500" i="3"/>
  <c r="S500" i="3"/>
  <c r="T500" i="3"/>
  <c r="B501" i="3"/>
  <c r="C501" i="3"/>
  <c r="D501" i="3"/>
  <c r="E501" i="3"/>
  <c r="F501" i="3"/>
  <c r="G501" i="3"/>
  <c r="H501" i="3"/>
  <c r="L501" i="3"/>
  <c r="N501" i="3"/>
  <c r="O501" i="3"/>
  <c r="Q501" i="3"/>
  <c r="R501" i="3"/>
  <c r="S501" i="3"/>
  <c r="T501" i="3"/>
  <c r="B502" i="3"/>
  <c r="C502" i="3"/>
  <c r="D502" i="3"/>
  <c r="E502" i="3"/>
  <c r="F502" i="3"/>
  <c r="G502" i="3"/>
  <c r="H502" i="3"/>
  <c r="L502" i="3"/>
  <c r="N502" i="3"/>
  <c r="O502" i="3"/>
  <c r="Q502" i="3"/>
  <c r="R502" i="3"/>
  <c r="S502" i="3"/>
  <c r="T502" i="3"/>
  <c r="B503" i="3"/>
  <c r="C503" i="3"/>
  <c r="D503" i="3"/>
  <c r="E503" i="3"/>
  <c r="F503" i="3"/>
  <c r="G503" i="3"/>
  <c r="H503" i="3"/>
  <c r="L503" i="3"/>
  <c r="N503" i="3"/>
  <c r="O503" i="3"/>
  <c r="Q503" i="3"/>
  <c r="R503" i="3"/>
  <c r="S503" i="3"/>
  <c r="T503" i="3"/>
  <c r="B504" i="3"/>
  <c r="C504" i="3"/>
  <c r="D504" i="3"/>
  <c r="E504" i="3"/>
  <c r="F504" i="3"/>
  <c r="G504" i="3"/>
  <c r="H504" i="3"/>
  <c r="L504" i="3"/>
  <c r="N504" i="3"/>
  <c r="O504" i="3"/>
  <c r="Q504" i="3"/>
  <c r="R504" i="3"/>
  <c r="S504" i="3"/>
  <c r="T504" i="3"/>
  <c r="B505" i="3"/>
  <c r="C505" i="3"/>
  <c r="D505" i="3"/>
  <c r="E505" i="3"/>
  <c r="F505" i="3"/>
  <c r="G505" i="3"/>
  <c r="H505" i="3"/>
  <c r="L505" i="3"/>
  <c r="N505" i="3"/>
  <c r="O505" i="3"/>
  <c r="Q505" i="3"/>
  <c r="R505" i="3"/>
  <c r="S505" i="3"/>
  <c r="T505" i="3"/>
  <c r="B506" i="3"/>
  <c r="C506" i="3"/>
  <c r="D506" i="3"/>
  <c r="E506" i="3"/>
  <c r="F506" i="3"/>
  <c r="G506" i="3"/>
  <c r="H506" i="3"/>
  <c r="L506" i="3"/>
  <c r="N506" i="3"/>
  <c r="O506" i="3"/>
  <c r="Q506" i="3"/>
  <c r="R506" i="3"/>
  <c r="S506" i="3"/>
  <c r="T506" i="3"/>
  <c r="B507" i="3"/>
  <c r="C507" i="3"/>
  <c r="D507" i="3"/>
  <c r="E507" i="3"/>
  <c r="F507" i="3"/>
  <c r="G507" i="3"/>
  <c r="H507" i="3"/>
  <c r="L507" i="3"/>
  <c r="N507" i="3"/>
  <c r="O507" i="3"/>
  <c r="Q507" i="3"/>
  <c r="R507" i="3"/>
  <c r="S507" i="3"/>
  <c r="T507" i="3"/>
  <c r="B508" i="3"/>
  <c r="C508" i="3"/>
  <c r="D508" i="3"/>
  <c r="E508" i="3"/>
  <c r="F508" i="3"/>
  <c r="G508" i="3"/>
  <c r="H508" i="3"/>
  <c r="L508" i="3"/>
  <c r="N508" i="3"/>
  <c r="O508" i="3"/>
  <c r="Q508" i="3"/>
  <c r="R508" i="3"/>
  <c r="S508" i="3"/>
  <c r="T508" i="3"/>
  <c r="B509" i="3"/>
  <c r="C509" i="3"/>
  <c r="D509" i="3"/>
  <c r="E509" i="3"/>
  <c r="F509" i="3"/>
  <c r="G509" i="3"/>
  <c r="H509" i="3"/>
  <c r="L509" i="3"/>
  <c r="N509" i="3"/>
  <c r="O509" i="3"/>
  <c r="Q509" i="3"/>
  <c r="R509" i="3"/>
  <c r="S509" i="3"/>
  <c r="T509" i="3"/>
  <c r="B510" i="3"/>
  <c r="C510" i="3"/>
  <c r="D510" i="3"/>
  <c r="E510" i="3"/>
  <c r="F510" i="3"/>
  <c r="G510" i="3"/>
  <c r="H510" i="3"/>
  <c r="L510" i="3"/>
  <c r="N510" i="3"/>
  <c r="O510" i="3"/>
  <c r="Q510" i="3"/>
  <c r="R510" i="3"/>
  <c r="S510" i="3"/>
  <c r="T510" i="3"/>
  <c r="B511" i="3"/>
  <c r="C511" i="3"/>
  <c r="D511" i="3"/>
  <c r="E511" i="3"/>
  <c r="F511" i="3"/>
  <c r="G511" i="3"/>
  <c r="H511" i="3"/>
  <c r="L511" i="3"/>
  <c r="N511" i="3"/>
  <c r="O511" i="3"/>
  <c r="Q511" i="3"/>
  <c r="R511" i="3"/>
  <c r="S511" i="3"/>
  <c r="T511" i="3"/>
  <c r="B512" i="3"/>
  <c r="C512" i="3"/>
  <c r="D512" i="3"/>
  <c r="E512" i="3"/>
  <c r="F512" i="3"/>
  <c r="G512" i="3"/>
  <c r="H512" i="3"/>
  <c r="L512" i="3"/>
  <c r="N512" i="3"/>
  <c r="O512" i="3"/>
  <c r="Q512" i="3"/>
  <c r="R512" i="3"/>
  <c r="S512" i="3"/>
  <c r="T512" i="3"/>
  <c r="B513" i="3"/>
  <c r="C513" i="3"/>
  <c r="D513" i="3"/>
  <c r="E513" i="3"/>
  <c r="F513" i="3"/>
  <c r="G513" i="3"/>
  <c r="H513" i="3"/>
  <c r="L513" i="3"/>
  <c r="N513" i="3"/>
  <c r="O513" i="3"/>
  <c r="Q513" i="3"/>
  <c r="R513" i="3"/>
  <c r="S513" i="3"/>
  <c r="T513" i="3"/>
  <c r="B514" i="3"/>
  <c r="C514" i="3"/>
  <c r="D514" i="3"/>
  <c r="E514" i="3"/>
  <c r="F514" i="3"/>
  <c r="G514" i="3"/>
  <c r="H514" i="3"/>
  <c r="L514" i="3"/>
  <c r="N514" i="3"/>
  <c r="O514" i="3"/>
  <c r="Q514" i="3"/>
  <c r="R514" i="3"/>
  <c r="S514" i="3"/>
  <c r="T514" i="3"/>
  <c r="B515" i="3"/>
  <c r="C515" i="3"/>
  <c r="D515" i="3"/>
  <c r="E515" i="3"/>
  <c r="F515" i="3"/>
  <c r="G515" i="3"/>
  <c r="H515" i="3"/>
  <c r="L515" i="3"/>
  <c r="N515" i="3"/>
  <c r="O515" i="3"/>
  <c r="Q515" i="3"/>
  <c r="R515" i="3"/>
  <c r="S515" i="3"/>
  <c r="T515" i="3"/>
  <c r="B516" i="3"/>
  <c r="C516" i="3"/>
  <c r="D516" i="3"/>
  <c r="E516" i="3"/>
  <c r="F516" i="3"/>
  <c r="G516" i="3"/>
  <c r="H516" i="3"/>
  <c r="L516" i="3"/>
  <c r="N516" i="3"/>
  <c r="O516" i="3"/>
  <c r="Q516" i="3"/>
  <c r="R516" i="3"/>
  <c r="S516" i="3"/>
  <c r="T516" i="3"/>
  <c r="B517" i="3"/>
  <c r="C517" i="3"/>
  <c r="D517" i="3"/>
  <c r="E517" i="3"/>
  <c r="F517" i="3"/>
  <c r="G517" i="3"/>
  <c r="H517" i="3"/>
  <c r="L517" i="3"/>
  <c r="N517" i="3"/>
  <c r="O517" i="3"/>
  <c r="Q517" i="3"/>
  <c r="R517" i="3"/>
  <c r="S517" i="3"/>
  <c r="T517" i="3"/>
  <c r="B518" i="3"/>
  <c r="C518" i="3"/>
  <c r="D518" i="3"/>
  <c r="E518" i="3"/>
  <c r="F518" i="3"/>
  <c r="G518" i="3"/>
  <c r="H518" i="3"/>
  <c r="L518" i="3"/>
  <c r="N518" i="3"/>
  <c r="O518" i="3"/>
  <c r="Q518" i="3"/>
  <c r="R518" i="3"/>
  <c r="S518" i="3"/>
  <c r="T518" i="3"/>
  <c r="B519" i="3"/>
  <c r="C519" i="3"/>
  <c r="D519" i="3"/>
  <c r="E519" i="3"/>
  <c r="F519" i="3"/>
  <c r="G519" i="3"/>
  <c r="H519" i="3"/>
  <c r="L519" i="3"/>
  <c r="N519" i="3"/>
  <c r="O519" i="3"/>
  <c r="Q519" i="3"/>
  <c r="R519" i="3"/>
  <c r="S519" i="3"/>
  <c r="T519" i="3"/>
  <c r="B520" i="3"/>
  <c r="C520" i="3"/>
  <c r="D520" i="3"/>
  <c r="E520" i="3"/>
  <c r="F520" i="3"/>
  <c r="G520" i="3"/>
  <c r="H520" i="3"/>
  <c r="L520" i="3"/>
  <c r="N520" i="3"/>
  <c r="O520" i="3"/>
  <c r="Q520" i="3"/>
  <c r="R520" i="3"/>
  <c r="S520" i="3"/>
  <c r="T520" i="3"/>
  <c r="B521" i="3"/>
  <c r="C521" i="3"/>
  <c r="D521" i="3"/>
  <c r="E521" i="3"/>
  <c r="F521" i="3"/>
  <c r="G521" i="3"/>
  <c r="H521" i="3"/>
  <c r="L521" i="3"/>
  <c r="N521" i="3"/>
  <c r="O521" i="3"/>
  <c r="Q521" i="3"/>
  <c r="R521" i="3"/>
  <c r="S521" i="3"/>
  <c r="T521" i="3"/>
  <c r="B522" i="3"/>
  <c r="C522" i="3"/>
  <c r="D522" i="3"/>
  <c r="E522" i="3"/>
  <c r="F522" i="3"/>
  <c r="G522" i="3"/>
  <c r="H522" i="3"/>
  <c r="L522" i="3"/>
  <c r="N522" i="3"/>
  <c r="O522" i="3"/>
  <c r="Q522" i="3"/>
  <c r="R522" i="3"/>
  <c r="S522" i="3"/>
  <c r="T522" i="3"/>
  <c r="B523" i="3"/>
  <c r="C523" i="3"/>
  <c r="D523" i="3"/>
  <c r="E523" i="3"/>
  <c r="F523" i="3"/>
  <c r="G523" i="3"/>
  <c r="H523" i="3"/>
  <c r="L523" i="3"/>
  <c r="N523" i="3"/>
  <c r="O523" i="3"/>
  <c r="Q523" i="3"/>
  <c r="R523" i="3"/>
  <c r="S523" i="3"/>
  <c r="T523" i="3"/>
  <c r="B524" i="3"/>
  <c r="C524" i="3"/>
  <c r="D524" i="3"/>
  <c r="E524" i="3"/>
  <c r="F524" i="3"/>
  <c r="G524" i="3"/>
  <c r="H524" i="3"/>
  <c r="L524" i="3"/>
  <c r="N524" i="3"/>
  <c r="O524" i="3"/>
  <c r="Q524" i="3"/>
  <c r="R524" i="3"/>
  <c r="S524" i="3"/>
  <c r="T524" i="3"/>
  <c r="B525" i="3"/>
  <c r="C525" i="3"/>
  <c r="D525" i="3"/>
  <c r="E525" i="3"/>
  <c r="F525" i="3"/>
  <c r="G525" i="3"/>
  <c r="H525" i="3"/>
  <c r="L525" i="3"/>
  <c r="N525" i="3"/>
  <c r="O525" i="3"/>
  <c r="Q525" i="3"/>
  <c r="R525" i="3"/>
  <c r="S525" i="3"/>
  <c r="T525" i="3"/>
  <c r="B526" i="3"/>
  <c r="C526" i="3"/>
  <c r="D526" i="3"/>
  <c r="E526" i="3"/>
  <c r="F526" i="3"/>
  <c r="G526" i="3"/>
  <c r="H526" i="3"/>
  <c r="L526" i="3"/>
  <c r="N526" i="3"/>
  <c r="O526" i="3"/>
  <c r="Q526" i="3"/>
  <c r="R526" i="3"/>
  <c r="S526" i="3"/>
  <c r="T526" i="3"/>
  <c r="B527" i="3"/>
  <c r="C527" i="3"/>
  <c r="D527" i="3"/>
  <c r="E527" i="3"/>
  <c r="F527" i="3"/>
  <c r="G527" i="3"/>
  <c r="H527" i="3"/>
  <c r="L527" i="3"/>
  <c r="N527" i="3"/>
  <c r="O527" i="3"/>
  <c r="Q527" i="3"/>
  <c r="R527" i="3"/>
  <c r="S527" i="3"/>
  <c r="T527" i="3"/>
  <c r="B528" i="3"/>
  <c r="C528" i="3"/>
  <c r="D528" i="3"/>
  <c r="E528" i="3"/>
  <c r="F528" i="3"/>
  <c r="G528" i="3"/>
  <c r="H528" i="3"/>
  <c r="L528" i="3"/>
  <c r="N528" i="3"/>
  <c r="O528" i="3"/>
  <c r="Q528" i="3"/>
  <c r="R528" i="3"/>
  <c r="S528" i="3"/>
  <c r="T528" i="3"/>
  <c r="B529" i="3"/>
  <c r="C529" i="3"/>
  <c r="D529" i="3"/>
  <c r="E529" i="3"/>
  <c r="F529" i="3"/>
  <c r="G529" i="3"/>
  <c r="H529" i="3"/>
  <c r="L529" i="3"/>
  <c r="N529" i="3"/>
  <c r="O529" i="3"/>
  <c r="Q529" i="3"/>
  <c r="R529" i="3"/>
  <c r="S529" i="3"/>
  <c r="T529" i="3"/>
  <c r="B530" i="3"/>
  <c r="C530" i="3"/>
  <c r="D530" i="3"/>
  <c r="E530" i="3"/>
  <c r="F530" i="3"/>
  <c r="G530" i="3"/>
  <c r="H530" i="3"/>
  <c r="L530" i="3"/>
  <c r="N530" i="3"/>
  <c r="O530" i="3"/>
  <c r="Q530" i="3"/>
  <c r="R530" i="3"/>
  <c r="S530" i="3"/>
  <c r="T530" i="3"/>
  <c r="B531" i="3"/>
  <c r="C531" i="3"/>
  <c r="D531" i="3"/>
  <c r="E531" i="3"/>
  <c r="F531" i="3"/>
  <c r="G531" i="3"/>
  <c r="H531" i="3"/>
  <c r="L531" i="3"/>
  <c r="N531" i="3"/>
  <c r="O531" i="3"/>
  <c r="Q531" i="3"/>
  <c r="R531" i="3"/>
  <c r="S531" i="3"/>
  <c r="T531" i="3"/>
  <c r="B532" i="3"/>
  <c r="C532" i="3"/>
  <c r="D532" i="3"/>
  <c r="E532" i="3"/>
  <c r="F532" i="3"/>
  <c r="G532" i="3"/>
  <c r="H532" i="3"/>
  <c r="L532" i="3"/>
  <c r="N532" i="3"/>
  <c r="O532" i="3"/>
  <c r="Q532" i="3"/>
  <c r="R532" i="3"/>
  <c r="S532" i="3"/>
  <c r="T532" i="3"/>
  <c r="B533" i="3"/>
  <c r="C533" i="3"/>
  <c r="D533" i="3"/>
  <c r="E533" i="3"/>
  <c r="F533" i="3"/>
  <c r="G533" i="3"/>
  <c r="H533" i="3"/>
  <c r="L533" i="3"/>
  <c r="N533" i="3"/>
  <c r="O533" i="3"/>
  <c r="Q533" i="3"/>
  <c r="R533" i="3"/>
  <c r="S533" i="3"/>
  <c r="T533" i="3"/>
  <c r="B534" i="3"/>
  <c r="C534" i="3"/>
  <c r="D534" i="3"/>
  <c r="E534" i="3"/>
  <c r="F534" i="3"/>
  <c r="G534" i="3"/>
  <c r="H534" i="3"/>
  <c r="L534" i="3"/>
  <c r="N534" i="3"/>
  <c r="O534" i="3"/>
  <c r="Q534" i="3"/>
  <c r="R534" i="3"/>
  <c r="S534" i="3"/>
  <c r="T534" i="3"/>
  <c r="B535" i="3"/>
  <c r="C535" i="3"/>
  <c r="D535" i="3"/>
  <c r="E535" i="3"/>
  <c r="F535" i="3"/>
  <c r="G535" i="3"/>
  <c r="H535" i="3"/>
  <c r="L535" i="3"/>
  <c r="N535" i="3"/>
  <c r="O535" i="3"/>
  <c r="Q535" i="3"/>
  <c r="R535" i="3"/>
  <c r="S535" i="3"/>
  <c r="T535" i="3"/>
  <c r="B536" i="3"/>
  <c r="C536" i="3"/>
  <c r="D536" i="3"/>
  <c r="E536" i="3"/>
  <c r="F536" i="3"/>
  <c r="G536" i="3"/>
  <c r="H536" i="3"/>
  <c r="L536" i="3"/>
  <c r="N536" i="3"/>
  <c r="O536" i="3"/>
  <c r="Q536" i="3"/>
  <c r="R536" i="3"/>
  <c r="S536" i="3"/>
  <c r="T536" i="3"/>
  <c r="B537" i="3"/>
  <c r="C537" i="3"/>
  <c r="D537" i="3"/>
  <c r="E537" i="3"/>
  <c r="F537" i="3"/>
  <c r="G537" i="3"/>
  <c r="H537" i="3"/>
  <c r="L537" i="3"/>
  <c r="N537" i="3"/>
  <c r="O537" i="3"/>
  <c r="Q537" i="3"/>
  <c r="R537" i="3"/>
  <c r="S537" i="3"/>
  <c r="T537" i="3"/>
  <c r="B538" i="3"/>
  <c r="C538" i="3"/>
  <c r="D538" i="3"/>
  <c r="E538" i="3"/>
  <c r="F538" i="3"/>
  <c r="G538" i="3"/>
  <c r="H538" i="3"/>
  <c r="L538" i="3"/>
  <c r="N538" i="3"/>
  <c r="O538" i="3"/>
  <c r="Q538" i="3"/>
  <c r="R538" i="3"/>
  <c r="S538" i="3"/>
  <c r="T538" i="3"/>
  <c r="B539" i="3"/>
  <c r="C539" i="3"/>
  <c r="D539" i="3"/>
  <c r="E539" i="3"/>
  <c r="F539" i="3"/>
  <c r="G539" i="3"/>
  <c r="H539" i="3"/>
  <c r="L539" i="3"/>
  <c r="N539" i="3"/>
  <c r="O539" i="3"/>
  <c r="Q539" i="3"/>
  <c r="R539" i="3"/>
  <c r="S539" i="3"/>
  <c r="T539" i="3"/>
  <c r="B540" i="3"/>
  <c r="C540" i="3"/>
  <c r="D540" i="3"/>
  <c r="E540" i="3"/>
  <c r="F540" i="3"/>
  <c r="G540" i="3"/>
  <c r="H540" i="3"/>
  <c r="L540" i="3"/>
  <c r="N540" i="3"/>
  <c r="O540" i="3"/>
  <c r="Q540" i="3"/>
  <c r="R540" i="3"/>
  <c r="S540" i="3"/>
  <c r="T540" i="3"/>
  <c r="B541" i="3"/>
  <c r="C541" i="3"/>
  <c r="D541" i="3"/>
  <c r="E541" i="3"/>
  <c r="F541" i="3"/>
  <c r="G541" i="3"/>
  <c r="H541" i="3"/>
  <c r="L541" i="3"/>
  <c r="N541" i="3"/>
  <c r="O541" i="3"/>
  <c r="Q541" i="3"/>
  <c r="R541" i="3"/>
  <c r="S541" i="3"/>
  <c r="T541" i="3"/>
  <c r="B542" i="3"/>
  <c r="C542" i="3"/>
  <c r="D542" i="3"/>
  <c r="E542" i="3"/>
  <c r="F542" i="3"/>
  <c r="G542" i="3"/>
  <c r="H542" i="3"/>
  <c r="L542" i="3"/>
  <c r="N542" i="3"/>
  <c r="O542" i="3"/>
  <c r="Q542" i="3"/>
  <c r="R542" i="3"/>
  <c r="S542" i="3"/>
  <c r="T542" i="3"/>
  <c r="B543" i="3"/>
  <c r="C543" i="3"/>
  <c r="D543" i="3"/>
  <c r="E543" i="3"/>
  <c r="F543" i="3"/>
  <c r="G543" i="3"/>
  <c r="H543" i="3"/>
  <c r="L543" i="3"/>
  <c r="N543" i="3"/>
  <c r="O543" i="3"/>
  <c r="Q543" i="3"/>
  <c r="R543" i="3"/>
  <c r="S543" i="3"/>
  <c r="T543" i="3"/>
  <c r="B544" i="3"/>
  <c r="C544" i="3"/>
  <c r="D544" i="3"/>
  <c r="E544" i="3"/>
  <c r="F544" i="3"/>
  <c r="G544" i="3"/>
  <c r="H544" i="3"/>
  <c r="L544" i="3"/>
  <c r="N544" i="3"/>
  <c r="O544" i="3"/>
  <c r="Q544" i="3"/>
  <c r="R544" i="3"/>
  <c r="S544" i="3"/>
  <c r="T544" i="3"/>
  <c r="B545" i="3"/>
  <c r="C545" i="3"/>
  <c r="D545" i="3"/>
  <c r="E545" i="3"/>
  <c r="F545" i="3"/>
  <c r="G545" i="3"/>
  <c r="H545" i="3"/>
  <c r="L545" i="3"/>
  <c r="N545" i="3"/>
  <c r="O545" i="3"/>
  <c r="Q545" i="3"/>
  <c r="R545" i="3"/>
  <c r="S545" i="3"/>
  <c r="T545" i="3"/>
  <c r="B546" i="3"/>
  <c r="C546" i="3"/>
  <c r="D546" i="3"/>
  <c r="E546" i="3"/>
  <c r="F546" i="3"/>
  <c r="G546" i="3"/>
  <c r="H546" i="3"/>
  <c r="L546" i="3"/>
  <c r="N546" i="3"/>
  <c r="O546" i="3"/>
  <c r="Q546" i="3"/>
  <c r="R546" i="3"/>
  <c r="S546" i="3"/>
  <c r="T546" i="3"/>
  <c r="B547" i="3"/>
  <c r="C547" i="3"/>
  <c r="D547" i="3"/>
  <c r="E547" i="3"/>
  <c r="F547" i="3"/>
  <c r="G547" i="3"/>
  <c r="H547" i="3"/>
  <c r="L547" i="3"/>
  <c r="N547" i="3"/>
  <c r="O547" i="3"/>
  <c r="Q547" i="3"/>
  <c r="R547" i="3"/>
  <c r="S547" i="3"/>
  <c r="T547" i="3"/>
  <c r="B548" i="3"/>
  <c r="C548" i="3"/>
  <c r="D548" i="3"/>
  <c r="E548" i="3"/>
  <c r="F548" i="3"/>
  <c r="G548" i="3"/>
  <c r="H548" i="3"/>
  <c r="L548" i="3"/>
  <c r="N548" i="3"/>
  <c r="O548" i="3"/>
  <c r="Q548" i="3"/>
  <c r="R548" i="3"/>
  <c r="S548" i="3"/>
  <c r="T548" i="3"/>
  <c r="B549" i="3"/>
  <c r="C549" i="3"/>
  <c r="D549" i="3"/>
  <c r="E549" i="3"/>
  <c r="F549" i="3"/>
  <c r="G549" i="3"/>
  <c r="H549" i="3"/>
  <c r="L549" i="3"/>
  <c r="N549" i="3"/>
  <c r="O549" i="3"/>
  <c r="Q549" i="3"/>
  <c r="R549" i="3"/>
  <c r="S549" i="3"/>
  <c r="T549" i="3"/>
  <c r="B550" i="3"/>
  <c r="C550" i="3"/>
  <c r="D550" i="3"/>
  <c r="E550" i="3"/>
  <c r="F550" i="3"/>
  <c r="G550" i="3"/>
  <c r="H550" i="3"/>
  <c r="L550" i="3"/>
  <c r="N550" i="3"/>
  <c r="O550" i="3"/>
  <c r="Q550" i="3"/>
  <c r="R550" i="3"/>
  <c r="S550" i="3"/>
  <c r="T550" i="3"/>
  <c r="B551" i="3"/>
  <c r="C551" i="3"/>
  <c r="D551" i="3"/>
  <c r="E551" i="3"/>
  <c r="F551" i="3"/>
  <c r="G551" i="3"/>
  <c r="H551" i="3"/>
  <c r="L551" i="3"/>
  <c r="N551" i="3"/>
  <c r="O551" i="3"/>
  <c r="Q551" i="3"/>
  <c r="R551" i="3"/>
  <c r="S551" i="3"/>
  <c r="T551" i="3"/>
  <c r="B552" i="3"/>
  <c r="C552" i="3"/>
  <c r="D552" i="3"/>
  <c r="E552" i="3"/>
  <c r="F552" i="3"/>
  <c r="G552" i="3"/>
  <c r="H552" i="3"/>
  <c r="L552" i="3"/>
  <c r="N552" i="3"/>
  <c r="O552" i="3"/>
  <c r="Q552" i="3"/>
  <c r="R552" i="3"/>
  <c r="S552" i="3"/>
  <c r="T552" i="3"/>
  <c r="B553" i="3"/>
  <c r="C553" i="3"/>
  <c r="D553" i="3"/>
  <c r="E553" i="3"/>
  <c r="F553" i="3"/>
  <c r="G553" i="3"/>
  <c r="H553" i="3"/>
  <c r="L553" i="3"/>
  <c r="N553" i="3"/>
  <c r="O553" i="3"/>
  <c r="Q553" i="3"/>
  <c r="R553" i="3"/>
  <c r="S553" i="3"/>
  <c r="T553" i="3"/>
  <c r="B554" i="3"/>
  <c r="C554" i="3"/>
  <c r="D554" i="3"/>
  <c r="E554" i="3"/>
  <c r="F554" i="3"/>
  <c r="G554" i="3"/>
  <c r="H554" i="3"/>
  <c r="L554" i="3"/>
  <c r="N554" i="3"/>
  <c r="O554" i="3"/>
  <c r="Q554" i="3"/>
  <c r="R554" i="3"/>
  <c r="S554" i="3"/>
  <c r="T554" i="3"/>
  <c r="B555" i="3"/>
  <c r="C555" i="3"/>
  <c r="D555" i="3"/>
  <c r="E555" i="3"/>
  <c r="F555" i="3"/>
  <c r="G555" i="3"/>
  <c r="H555" i="3"/>
  <c r="L555" i="3"/>
  <c r="N555" i="3"/>
  <c r="O555" i="3"/>
  <c r="Q555" i="3"/>
  <c r="R555" i="3"/>
  <c r="S555" i="3"/>
  <c r="T555" i="3"/>
  <c r="B556" i="3"/>
  <c r="C556" i="3"/>
  <c r="D556" i="3"/>
  <c r="E556" i="3"/>
  <c r="F556" i="3"/>
  <c r="G556" i="3"/>
  <c r="H556" i="3"/>
  <c r="L556" i="3"/>
  <c r="N556" i="3"/>
  <c r="O556" i="3"/>
  <c r="Q556" i="3"/>
  <c r="R556" i="3"/>
  <c r="S556" i="3"/>
  <c r="T556" i="3"/>
  <c r="B10" i="3"/>
  <c r="C10" i="3"/>
  <c r="D10" i="3"/>
  <c r="E10" i="3"/>
  <c r="F10" i="3"/>
  <c r="G10" i="3"/>
  <c r="H10" i="3"/>
  <c r="L10" i="3"/>
  <c r="N10" i="3"/>
  <c r="O10" i="3"/>
  <c r="Q10" i="3"/>
  <c r="R10" i="3"/>
  <c r="S10" i="3"/>
  <c r="T10" i="3"/>
  <c r="B11" i="3"/>
  <c r="C11" i="3"/>
  <c r="D11" i="3"/>
  <c r="E11" i="3"/>
  <c r="F11" i="3"/>
  <c r="G11" i="3"/>
  <c r="H11" i="3"/>
  <c r="L11" i="3"/>
  <c r="N11" i="3"/>
  <c r="O11" i="3"/>
  <c r="Q11" i="3"/>
  <c r="R11" i="3"/>
  <c r="S11" i="3"/>
  <c r="T11" i="3"/>
  <c r="B12" i="3"/>
  <c r="C12" i="3"/>
  <c r="D12" i="3"/>
  <c r="E12" i="3"/>
  <c r="F12" i="3"/>
  <c r="G12" i="3"/>
  <c r="H12" i="3"/>
  <c r="L12" i="3"/>
  <c r="N12" i="3"/>
  <c r="O12" i="3"/>
  <c r="Q12" i="3"/>
  <c r="R12" i="3"/>
  <c r="S12" i="3"/>
  <c r="T12" i="3"/>
  <c r="B13" i="3"/>
  <c r="C13" i="3"/>
  <c r="D13" i="3"/>
  <c r="E13" i="3"/>
  <c r="F13" i="3"/>
  <c r="G13" i="3"/>
  <c r="H13" i="3"/>
  <c r="L13" i="3"/>
  <c r="N13" i="3"/>
  <c r="O13" i="3"/>
  <c r="Q13" i="3"/>
  <c r="R13" i="3"/>
  <c r="S13" i="3"/>
  <c r="T13" i="3"/>
  <c r="B14" i="3"/>
  <c r="C14" i="3"/>
  <c r="D14" i="3"/>
  <c r="E14" i="3"/>
  <c r="F14" i="3"/>
  <c r="G14" i="3"/>
  <c r="H14" i="3"/>
  <c r="L14" i="3"/>
  <c r="N14" i="3"/>
  <c r="O14" i="3"/>
  <c r="Q14" i="3"/>
  <c r="R14" i="3"/>
  <c r="S14" i="3"/>
  <c r="T14" i="3"/>
  <c r="B15" i="3"/>
  <c r="C15" i="3"/>
  <c r="D15" i="3"/>
  <c r="E15" i="3"/>
  <c r="F15" i="3"/>
  <c r="G15" i="3"/>
  <c r="H15" i="3"/>
  <c r="L15" i="3"/>
  <c r="N15" i="3"/>
  <c r="O15" i="3"/>
  <c r="Q15" i="3"/>
  <c r="R15" i="3"/>
  <c r="S15" i="3"/>
  <c r="T15" i="3"/>
  <c r="B16" i="3"/>
  <c r="C16" i="3"/>
  <c r="D16" i="3"/>
  <c r="E16" i="3"/>
  <c r="F16" i="3"/>
  <c r="G16" i="3"/>
  <c r="H16" i="3"/>
  <c r="L16" i="3"/>
  <c r="N16" i="3"/>
  <c r="O16" i="3"/>
  <c r="Q16" i="3"/>
  <c r="R16" i="3"/>
  <c r="S16" i="3"/>
  <c r="T16" i="3"/>
  <c r="B17" i="3"/>
  <c r="C17" i="3"/>
  <c r="D17" i="3"/>
  <c r="E17" i="3"/>
  <c r="F17" i="3"/>
  <c r="G17" i="3"/>
  <c r="H17" i="3"/>
  <c r="L17" i="3"/>
  <c r="N17" i="3"/>
  <c r="O17" i="3"/>
  <c r="Q17" i="3"/>
  <c r="R17" i="3"/>
  <c r="S17" i="3"/>
  <c r="T17" i="3"/>
  <c r="B18" i="3"/>
  <c r="C18" i="3"/>
  <c r="D18" i="3"/>
  <c r="E18" i="3"/>
  <c r="F18" i="3"/>
  <c r="G18" i="3"/>
  <c r="H18" i="3"/>
  <c r="L18" i="3"/>
  <c r="N18" i="3"/>
  <c r="O18" i="3"/>
  <c r="Q18" i="3"/>
  <c r="R18" i="3"/>
  <c r="S18" i="3"/>
  <c r="T18" i="3"/>
  <c r="B19" i="3"/>
  <c r="C19" i="3"/>
  <c r="D19" i="3"/>
  <c r="E19" i="3"/>
  <c r="F19" i="3"/>
  <c r="G19" i="3"/>
  <c r="H19" i="3"/>
  <c r="L19" i="3"/>
  <c r="N19" i="3"/>
  <c r="O19" i="3"/>
  <c r="Q19" i="3"/>
  <c r="R19" i="3"/>
  <c r="S19" i="3"/>
  <c r="T19" i="3"/>
  <c r="B20" i="3"/>
  <c r="C20" i="3"/>
  <c r="D20" i="3"/>
  <c r="E20" i="3"/>
  <c r="F20" i="3"/>
  <c r="G20" i="3"/>
  <c r="H20" i="3"/>
  <c r="L20" i="3"/>
  <c r="N20" i="3"/>
  <c r="O20" i="3"/>
  <c r="Q20" i="3"/>
  <c r="R20" i="3"/>
  <c r="S20" i="3"/>
  <c r="T20" i="3"/>
  <c r="B21" i="3"/>
  <c r="C21" i="3"/>
  <c r="D21" i="3"/>
  <c r="E21" i="3"/>
  <c r="F21" i="3"/>
  <c r="G21" i="3"/>
  <c r="H21" i="3"/>
  <c r="L21" i="3"/>
  <c r="N21" i="3"/>
  <c r="O21" i="3"/>
  <c r="Q21" i="3"/>
  <c r="R21" i="3"/>
  <c r="S21" i="3"/>
  <c r="T21" i="3"/>
  <c r="B22" i="3"/>
  <c r="C22" i="3"/>
  <c r="D22" i="3"/>
  <c r="E22" i="3"/>
  <c r="F22" i="3"/>
  <c r="G22" i="3"/>
  <c r="H22" i="3"/>
  <c r="L22" i="3"/>
  <c r="N22" i="3"/>
  <c r="O22" i="3"/>
  <c r="Q22" i="3"/>
  <c r="R22" i="3"/>
  <c r="S22" i="3"/>
  <c r="T22" i="3"/>
  <c r="B23" i="3"/>
  <c r="C23" i="3"/>
  <c r="D23" i="3"/>
  <c r="E23" i="3"/>
  <c r="F23" i="3"/>
  <c r="G23" i="3"/>
  <c r="H23" i="3"/>
  <c r="L23" i="3"/>
  <c r="N23" i="3"/>
  <c r="O23" i="3"/>
  <c r="Q23" i="3"/>
  <c r="R23" i="3"/>
  <c r="S23" i="3"/>
  <c r="T23" i="3"/>
  <c r="B24" i="3"/>
  <c r="C24" i="3"/>
  <c r="D24" i="3"/>
  <c r="E24" i="3"/>
  <c r="F24" i="3"/>
  <c r="G24" i="3"/>
  <c r="H24" i="3"/>
  <c r="L24" i="3"/>
  <c r="N24" i="3"/>
  <c r="O24" i="3"/>
  <c r="Q24" i="3"/>
  <c r="R24" i="3"/>
  <c r="S24" i="3"/>
  <c r="T24" i="3"/>
  <c r="B25" i="3"/>
  <c r="C25" i="3"/>
  <c r="D25" i="3"/>
  <c r="E25" i="3"/>
  <c r="F25" i="3"/>
  <c r="G25" i="3"/>
  <c r="H25" i="3"/>
  <c r="L25" i="3"/>
  <c r="N25" i="3"/>
  <c r="O25" i="3"/>
  <c r="Q25" i="3"/>
  <c r="R25" i="3"/>
  <c r="S25" i="3"/>
  <c r="T25" i="3"/>
  <c r="B26" i="3"/>
  <c r="C26" i="3"/>
  <c r="D26" i="3"/>
  <c r="E26" i="3"/>
  <c r="F26" i="3"/>
  <c r="G26" i="3"/>
  <c r="H26" i="3"/>
  <c r="L26" i="3"/>
  <c r="N26" i="3"/>
  <c r="O26" i="3"/>
  <c r="Q26" i="3"/>
  <c r="R26" i="3"/>
  <c r="S26" i="3"/>
  <c r="T26" i="3"/>
  <c r="B27" i="3"/>
  <c r="C27" i="3"/>
  <c r="D27" i="3"/>
  <c r="E27" i="3"/>
  <c r="F27" i="3"/>
  <c r="G27" i="3"/>
  <c r="H27" i="3"/>
  <c r="L27" i="3"/>
  <c r="N27" i="3"/>
  <c r="O27" i="3"/>
  <c r="Q27" i="3"/>
  <c r="R27" i="3"/>
  <c r="S27" i="3"/>
  <c r="T27" i="3"/>
  <c r="B28" i="3"/>
  <c r="C28" i="3"/>
  <c r="D28" i="3"/>
  <c r="E28" i="3"/>
  <c r="F28" i="3"/>
  <c r="G28" i="3"/>
  <c r="H28" i="3"/>
  <c r="L28" i="3"/>
  <c r="N28" i="3"/>
  <c r="O28" i="3"/>
  <c r="Q28" i="3"/>
  <c r="R28" i="3"/>
  <c r="S28" i="3"/>
  <c r="T28" i="3"/>
  <c r="B29" i="3"/>
  <c r="C29" i="3"/>
  <c r="D29" i="3"/>
  <c r="E29" i="3"/>
  <c r="F29" i="3"/>
  <c r="G29" i="3"/>
  <c r="H29" i="3"/>
  <c r="L29" i="3"/>
  <c r="N29" i="3"/>
  <c r="O29" i="3"/>
  <c r="Q29" i="3"/>
  <c r="R29" i="3"/>
  <c r="S29" i="3"/>
  <c r="T29" i="3"/>
  <c r="B30" i="3"/>
  <c r="C30" i="3"/>
  <c r="D30" i="3"/>
  <c r="E30" i="3"/>
  <c r="F30" i="3"/>
  <c r="G30" i="3"/>
  <c r="H30" i="3"/>
  <c r="L30" i="3"/>
  <c r="N30" i="3"/>
  <c r="O30" i="3"/>
  <c r="Q30" i="3"/>
  <c r="R30" i="3"/>
  <c r="S30" i="3"/>
  <c r="T30" i="3"/>
  <c r="B31" i="3"/>
  <c r="C31" i="3"/>
  <c r="D31" i="3"/>
  <c r="E31" i="3"/>
  <c r="F31" i="3"/>
  <c r="G31" i="3"/>
  <c r="H31" i="3"/>
  <c r="L31" i="3"/>
  <c r="N31" i="3"/>
  <c r="O31" i="3"/>
  <c r="Q31" i="3"/>
  <c r="R31" i="3"/>
  <c r="S31" i="3"/>
  <c r="T31" i="3"/>
  <c r="B32" i="3"/>
  <c r="C32" i="3"/>
  <c r="D32" i="3"/>
  <c r="E32" i="3"/>
  <c r="F32" i="3"/>
  <c r="G32" i="3"/>
  <c r="H32" i="3"/>
  <c r="L32" i="3"/>
  <c r="N32" i="3"/>
  <c r="O32" i="3"/>
  <c r="Q32" i="3"/>
  <c r="R32" i="3"/>
  <c r="S32" i="3"/>
  <c r="T32" i="3"/>
  <c r="B33" i="3"/>
  <c r="C33" i="3"/>
  <c r="D33" i="3"/>
  <c r="E33" i="3"/>
  <c r="F33" i="3"/>
  <c r="G33" i="3"/>
  <c r="H33" i="3"/>
  <c r="L33" i="3"/>
  <c r="N33" i="3"/>
  <c r="O33" i="3"/>
  <c r="Q33" i="3"/>
  <c r="R33" i="3"/>
  <c r="S33" i="3"/>
  <c r="T33" i="3"/>
  <c r="B34" i="3"/>
  <c r="C34" i="3"/>
  <c r="D34" i="3"/>
  <c r="E34" i="3"/>
  <c r="F34" i="3"/>
  <c r="G34" i="3"/>
  <c r="H34" i="3"/>
  <c r="L34" i="3"/>
  <c r="N34" i="3"/>
  <c r="O34" i="3"/>
  <c r="Q34" i="3"/>
  <c r="R34" i="3"/>
  <c r="S34" i="3"/>
  <c r="T34" i="3"/>
  <c r="B35" i="3"/>
  <c r="C35" i="3"/>
  <c r="D35" i="3"/>
  <c r="E35" i="3"/>
  <c r="F35" i="3"/>
  <c r="G35" i="3"/>
  <c r="H35" i="3"/>
  <c r="L35" i="3"/>
  <c r="N35" i="3"/>
  <c r="O35" i="3"/>
  <c r="Q35" i="3"/>
  <c r="R35" i="3"/>
  <c r="S35" i="3"/>
  <c r="T35" i="3"/>
  <c r="B36" i="3"/>
  <c r="C36" i="3"/>
  <c r="D36" i="3"/>
  <c r="E36" i="3"/>
  <c r="F36" i="3"/>
  <c r="G36" i="3"/>
  <c r="H36" i="3"/>
  <c r="L36" i="3"/>
  <c r="N36" i="3"/>
  <c r="O36" i="3"/>
  <c r="Q36" i="3"/>
  <c r="R36" i="3"/>
  <c r="S36" i="3"/>
  <c r="T36" i="3"/>
  <c r="B37" i="3"/>
  <c r="C37" i="3"/>
  <c r="D37" i="3"/>
  <c r="E37" i="3"/>
  <c r="F37" i="3"/>
  <c r="G37" i="3"/>
  <c r="H37" i="3"/>
  <c r="L37" i="3"/>
  <c r="N37" i="3"/>
  <c r="O37" i="3"/>
  <c r="Q37" i="3"/>
  <c r="R37" i="3"/>
  <c r="S37" i="3"/>
  <c r="T37" i="3"/>
  <c r="B38" i="3"/>
  <c r="C38" i="3"/>
  <c r="D38" i="3"/>
  <c r="E38" i="3"/>
  <c r="F38" i="3"/>
  <c r="G38" i="3"/>
  <c r="H38" i="3"/>
  <c r="L38" i="3"/>
  <c r="N38" i="3"/>
  <c r="O38" i="3"/>
  <c r="Q38" i="3"/>
  <c r="R38" i="3"/>
  <c r="S38" i="3"/>
  <c r="T38" i="3"/>
  <c r="B39" i="3"/>
  <c r="C39" i="3"/>
  <c r="D39" i="3"/>
  <c r="E39" i="3"/>
  <c r="F39" i="3"/>
  <c r="G39" i="3"/>
  <c r="H39" i="3"/>
  <c r="L39" i="3"/>
  <c r="N39" i="3"/>
  <c r="O39" i="3"/>
  <c r="Q39" i="3"/>
  <c r="R39" i="3"/>
  <c r="S39" i="3"/>
  <c r="T39" i="3"/>
  <c r="B40" i="3"/>
  <c r="C40" i="3"/>
  <c r="D40" i="3"/>
  <c r="E40" i="3"/>
  <c r="F40" i="3"/>
  <c r="G40" i="3"/>
  <c r="H40" i="3"/>
  <c r="L40" i="3"/>
  <c r="N40" i="3"/>
  <c r="O40" i="3"/>
  <c r="Q40" i="3"/>
  <c r="R40" i="3"/>
  <c r="S40" i="3"/>
  <c r="T40" i="3"/>
  <c r="B41" i="3"/>
  <c r="C41" i="3"/>
  <c r="D41" i="3"/>
  <c r="E41" i="3"/>
  <c r="F41" i="3"/>
  <c r="G41" i="3"/>
  <c r="H41" i="3"/>
  <c r="L41" i="3"/>
  <c r="N41" i="3"/>
  <c r="O41" i="3"/>
  <c r="Q41" i="3"/>
  <c r="R41" i="3"/>
  <c r="S41" i="3"/>
  <c r="T41" i="3"/>
  <c r="B42" i="3"/>
  <c r="C42" i="3"/>
  <c r="D42" i="3"/>
  <c r="E42" i="3"/>
  <c r="F42" i="3"/>
  <c r="G42" i="3"/>
  <c r="H42" i="3"/>
  <c r="L42" i="3"/>
  <c r="N42" i="3"/>
  <c r="O42" i="3"/>
  <c r="Q42" i="3"/>
  <c r="R42" i="3"/>
  <c r="S42" i="3"/>
  <c r="T42" i="3"/>
  <c r="B43" i="3"/>
  <c r="C43" i="3"/>
  <c r="D43" i="3"/>
  <c r="E43" i="3"/>
  <c r="F43" i="3"/>
  <c r="G43" i="3"/>
  <c r="H43" i="3"/>
  <c r="L43" i="3"/>
  <c r="N43" i="3"/>
  <c r="O43" i="3"/>
  <c r="Q43" i="3"/>
  <c r="R43" i="3"/>
  <c r="S43" i="3"/>
  <c r="T43" i="3"/>
  <c r="B44" i="3"/>
  <c r="C44" i="3"/>
  <c r="D44" i="3"/>
  <c r="E44" i="3"/>
  <c r="F44" i="3"/>
  <c r="G44" i="3"/>
  <c r="H44" i="3"/>
  <c r="L44" i="3"/>
  <c r="N44" i="3"/>
  <c r="O44" i="3"/>
  <c r="Q44" i="3"/>
  <c r="R44" i="3"/>
  <c r="S44" i="3"/>
  <c r="T44" i="3"/>
  <c r="B45" i="3"/>
  <c r="C45" i="3"/>
  <c r="D45" i="3"/>
  <c r="E45" i="3"/>
  <c r="F45" i="3"/>
  <c r="G45" i="3"/>
  <c r="H45" i="3"/>
  <c r="L45" i="3"/>
  <c r="N45" i="3"/>
  <c r="O45" i="3"/>
  <c r="Q45" i="3"/>
  <c r="R45" i="3"/>
  <c r="S45" i="3"/>
  <c r="T45" i="3"/>
  <c r="B46" i="3"/>
  <c r="C46" i="3"/>
  <c r="D46" i="3"/>
  <c r="E46" i="3"/>
  <c r="F46" i="3"/>
  <c r="G46" i="3"/>
  <c r="H46" i="3"/>
  <c r="L46" i="3"/>
  <c r="N46" i="3"/>
  <c r="O46" i="3"/>
  <c r="Q46" i="3"/>
  <c r="R46" i="3"/>
  <c r="S46" i="3"/>
  <c r="T46" i="3"/>
  <c r="B47" i="3"/>
  <c r="C47" i="3"/>
  <c r="D47" i="3"/>
  <c r="E47" i="3"/>
  <c r="F47" i="3"/>
  <c r="G47" i="3"/>
  <c r="H47" i="3"/>
  <c r="L47" i="3"/>
  <c r="N47" i="3"/>
  <c r="O47" i="3"/>
  <c r="Q47" i="3"/>
  <c r="R47" i="3"/>
  <c r="S47" i="3"/>
  <c r="T47" i="3"/>
  <c r="B48" i="3"/>
  <c r="C48" i="3"/>
  <c r="D48" i="3"/>
  <c r="E48" i="3"/>
  <c r="F48" i="3"/>
  <c r="G48" i="3"/>
  <c r="H48" i="3"/>
  <c r="L48" i="3"/>
  <c r="N48" i="3"/>
  <c r="O48" i="3"/>
  <c r="Q48" i="3"/>
  <c r="R48" i="3"/>
  <c r="S48" i="3"/>
  <c r="T48" i="3"/>
  <c r="B49" i="3"/>
  <c r="C49" i="3"/>
  <c r="D49" i="3"/>
  <c r="E49" i="3"/>
  <c r="F49" i="3"/>
  <c r="G49" i="3"/>
  <c r="H49" i="3"/>
  <c r="L49" i="3"/>
  <c r="N49" i="3"/>
  <c r="O49" i="3"/>
  <c r="Q49" i="3"/>
  <c r="R49" i="3"/>
  <c r="S49" i="3"/>
  <c r="T49" i="3"/>
  <c r="B50" i="3"/>
  <c r="C50" i="3"/>
  <c r="D50" i="3"/>
  <c r="E50" i="3"/>
  <c r="F50" i="3"/>
  <c r="G50" i="3"/>
  <c r="H50" i="3"/>
  <c r="L50" i="3"/>
  <c r="N50" i="3"/>
  <c r="O50" i="3"/>
  <c r="Q50" i="3"/>
  <c r="R50" i="3"/>
  <c r="S50" i="3"/>
  <c r="T50" i="3"/>
  <c r="B51" i="3"/>
  <c r="C51" i="3"/>
  <c r="D51" i="3"/>
  <c r="E51" i="3"/>
  <c r="F51" i="3"/>
  <c r="G51" i="3"/>
  <c r="H51" i="3"/>
  <c r="L51" i="3"/>
  <c r="N51" i="3"/>
  <c r="O51" i="3"/>
  <c r="Q51" i="3"/>
  <c r="R51" i="3"/>
  <c r="S51" i="3"/>
  <c r="T51" i="3"/>
  <c r="B52" i="3"/>
  <c r="C52" i="3"/>
  <c r="D52" i="3"/>
  <c r="E52" i="3"/>
  <c r="F52" i="3"/>
  <c r="G52" i="3"/>
  <c r="H52" i="3"/>
  <c r="L52" i="3"/>
  <c r="N52" i="3"/>
  <c r="O52" i="3"/>
  <c r="Q52" i="3"/>
  <c r="R52" i="3"/>
  <c r="S52" i="3"/>
  <c r="T52" i="3"/>
  <c r="B53" i="3"/>
  <c r="C53" i="3"/>
  <c r="D53" i="3"/>
  <c r="E53" i="3"/>
  <c r="F53" i="3"/>
  <c r="G53" i="3"/>
  <c r="H53" i="3"/>
  <c r="L53" i="3"/>
  <c r="N53" i="3"/>
  <c r="O53" i="3"/>
  <c r="Q53" i="3"/>
  <c r="R53" i="3"/>
  <c r="S53" i="3"/>
  <c r="T53" i="3"/>
  <c r="B54" i="3"/>
  <c r="C54" i="3"/>
  <c r="D54" i="3"/>
  <c r="E54" i="3"/>
  <c r="F54" i="3"/>
  <c r="G54" i="3"/>
  <c r="H54" i="3"/>
  <c r="L54" i="3"/>
  <c r="N54" i="3"/>
  <c r="O54" i="3"/>
  <c r="Q54" i="3"/>
  <c r="R54" i="3"/>
  <c r="S54" i="3"/>
  <c r="T54" i="3"/>
  <c r="B55" i="3"/>
  <c r="C55" i="3"/>
  <c r="D55" i="3"/>
  <c r="E55" i="3"/>
  <c r="F55" i="3"/>
  <c r="G55" i="3"/>
  <c r="H55" i="3"/>
  <c r="L55" i="3"/>
  <c r="N55" i="3"/>
  <c r="O55" i="3"/>
  <c r="Q55" i="3"/>
  <c r="R55" i="3"/>
  <c r="S55" i="3"/>
  <c r="T55" i="3"/>
  <c r="B56" i="3"/>
  <c r="C56" i="3"/>
  <c r="D56" i="3"/>
  <c r="E56" i="3"/>
  <c r="F56" i="3"/>
  <c r="G56" i="3"/>
  <c r="H56" i="3"/>
  <c r="L56" i="3"/>
  <c r="N56" i="3"/>
  <c r="O56" i="3"/>
  <c r="Q56" i="3"/>
  <c r="R56" i="3"/>
  <c r="S56" i="3"/>
  <c r="T56" i="3"/>
  <c r="B57" i="3"/>
  <c r="C57" i="3"/>
  <c r="D57" i="3"/>
  <c r="E57" i="3"/>
  <c r="F57" i="3"/>
  <c r="G57" i="3"/>
  <c r="H57" i="3"/>
  <c r="L57" i="3"/>
  <c r="N57" i="3"/>
  <c r="O57" i="3"/>
  <c r="Q57" i="3"/>
  <c r="R57" i="3"/>
  <c r="S57" i="3"/>
  <c r="T57" i="3"/>
  <c r="B58" i="3"/>
  <c r="C58" i="3"/>
  <c r="D58" i="3"/>
  <c r="E58" i="3"/>
  <c r="F58" i="3"/>
  <c r="G58" i="3"/>
  <c r="H58" i="3"/>
  <c r="L58" i="3"/>
  <c r="N58" i="3"/>
  <c r="O58" i="3"/>
  <c r="Q58" i="3"/>
  <c r="R58" i="3"/>
  <c r="S58" i="3"/>
  <c r="T58" i="3"/>
  <c r="B59" i="3"/>
  <c r="C59" i="3"/>
  <c r="D59" i="3"/>
  <c r="E59" i="3"/>
  <c r="F59" i="3"/>
  <c r="G59" i="3"/>
  <c r="H59" i="3"/>
  <c r="L59" i="3"/>
  <c r="N59" i="3"/>
  <c r="O59" i="3"/>
  <c r="Q59" i="3"/>
  <c r="R59" i="3"/>
  <c r="S59" i="3"/>
  <c r="T59" i="3"/>
  <c r="B60" i="3"/>
  <c r="C60" i="3"/>
  <c r="D60" i="3"/>
  <c r="E60" i="3"/>
  <c r="F60" i="3"/>
  <c r="G60" i="3"/>
  <c r="H60" i="3"/>
  <c r="L60" i="3"/>
  <c r="N60" i="3"/>
  <c r="O60" i="3"/>
  <c r="Q60" i="3"/>
  <c r="R60" i="3"/>
  <c r="S60" i="3"/>
  <c r="T60" i="3"/>
  <c r="B61" i="3"/>
  <c r="C61" i="3"/>
  <c r="D61" i="3"/>
  <c r="E61" i="3"/>
  <c r="F61" i="3"/>
  <c r="G61" i="3"/>
  <c r="H61" i="3"/>
  <c r="L61" i="3"/>
  <c r="N61" i="3"/>
  <c r="O61" i="3"/>
  <c r="Q61" i="3"/>
  <c r="R61" i="3"/>
  <c r="S61" i="3"/>
  <c r="T61" i="3"/>
  <c r="B62" i="3"/>
  <c r="C62" i="3"/>
  <c r="D62" i="3"/>
  <c r="E62" i="3"/>
  <c r="F62" i="3"/>
  <c r="G62" i="3"/>
  <c r="H62" i="3"/>
  <c r="L62" i="3"/>
  <c r="N62" i="3"/>
  <c r="O62" i="3"/>
  <c r="Q62" i="3"/>
  <c r="R62" i="3"/>
  <c r="S62" i="3"/>
  <c r="T62" i="3"/>
  <c r="B63" i="3"/>
  <c r="C63" i="3"/>
  <c r="D63" i="3"/>
  <c r="E63" i="3"/>
  <c r="F63" i="3"/>
  <c r="G63" i="3"/>
  <c r="H63" i="3"/>
  <c r="L63" i="3"/>
  <c r="N63" i="3"/>
  <c r="O63" i="3"/>
  <c r="Q63" i="3"/>
  <c r="R63" i="3"/>
  <c r="S63" i="3"/>
  <c r="T63" i="3"/>
  <c r="B64" i="3"/>
  <c r="C64" i="3"/>
  <c r="D64" i="3"/>
  <c r="E64" i="3"/>
  <c r="F64" i="3"/>
  <c r="G64" i="3"/>
  <c r="H64" i="3"/>
  <c r="L64" i="3"/>
  <c r="N64" i="3"/>
  <c r="O64" i="3"/>
  <c r="Q64" i="3"/>
  <c r="R64" i="3"/>
  <c r="S64" i="3"/>
  <c r="T64" i="3"/>
  <c r="B65" i="3"/>
  <c r="C65" i="3"/>
  <c r="D65" i="3"/>
  <c r="E65" i="3"/>
  <c r="F65" i="3"/>
  <c r="G65" i="3"/>
  <c r="H65" i="3"/>
  <c r="L65" i="3"/>
  <c r="N65" i="3"/>
  <c r="O65" i="3"/>
  <c r="Q65" i="3"/>
  <c r="R65" i="3"/>
  <c r="S65" i="3"/>
  <c r="T65" i="3"/>
  <c r="B66" i="3"/>
  <c r="C66" i="3"/>
  <c r="D66" i="3"/>
  <c r="E66" i="3"/>
  <c r="F66" i="3"/>
  <c r="G66" i="3"/>
  <c r="H66" i="3"/>
  <c r="L66" i="3"/>
  <c r="N66" i="3"/>
  <c r="O66" i="3"/>
  <c r="Q66" i="3"/>
  <c r="R66" i="3"/>
  <c r="S66" i="3"/>
  <c r="T66" i="3"/>
  <c r="B67" i="3"/>
  <c r="C67" i="3"/>
  <c r="D67" i="3"/>
  <c r="E67" i="3"/>
  <c r="F67" i="3"/>
  <c r="G67" i="3"/>
  <c r="H67" i="3"/>
  <c r="L67" i="3"/>
  <c r="N67" i="3"/>
  <c r="O67" i="3"/>
  <c r="Q67" i="3"/>
  <c r="R67" i="3"/>
  <c r="S67" i="3"/>
  <c r="T67" i="3"/>
  <c r="B68" i="3"/>
  <c r="C68" i="3"/>
  <c r="D68" i="3"/>
  <c r="E68" i="3"/>
  <c r="F68" i="3"/>
  <c r="G68" i="3"/>
  <c r="H68" i="3"/>
  <c r="L68" i="3"/>
  <c r="N68" i="3"/>
  <c r="O68" i="3"/>
  <c r="Q68" i="3"/>
  <c r="R68" i="3"/>
  <c r="S68" i="3"/>
  <c r="T68" i="3"/>
  <c r="B69" i="3"/>
  <c r="C69" i="3"/>
  <c r="D69" i="3"/>
  <c r="E69" i="3"/>
  <c r="F69" i="3"/>
  <c r="G69" i="3"/>
  <c r="H69" i="3"/>
  <c r="L69" i="3"/>
  <c r="N69" i="3"/>
  <c r="O69" i="3"/>
  <c r="Q69" i="3"/>
  <c r="R69" i="3"/>
  <c r="S69" i="3"/>
  <c r="T69" i="3"/>
  <c r="B70" i="3"/>
  <c r="C70" i="3"/>
  <c r="D70" i="3"/>
  <c r="E70" i="3"/>
  <c r="F70" i="3"/>
  <c r="G70" i="3"/>
  <c r="H70" i="3"/>
  <c r="L70" i="3"/>
  <c r="N70" i="3"/>
  <c r="O70" i="3"/>
  <c r="Q70" i="3"/>
  <c r="R70" i="3"/>
  <c r="S70" i="3"/>
  <c r="T70" i="3"/>
  <c r="B71" i="3"/>
  <c r="C71" i="3"/>
  <c r="D71" i="3"/>
  <c r="E71" i="3"/>
  <c r="F71" i="3"/>
  <c r="G71" i="3"/>
  <c r="H71" i="3"/>
  <c r="L71" i="3"/>
  <c r="N71" i="3"/>
  <c r="O71" i="3"/>
  <c r="Q71" i="3"/>
  <c r="R71" i="3"/>
  <c r="S71" i="3"/>
  <c r="T71" i="3"/>
  <c r="B72" i="3"/>
  <c r="C72" i="3"/>
  <c r="D72" i="3"/>
  <c r="E72" i="3"/>
  <c r="F72" i="3"/>
  <c r="G72" i="3"/>
  <c r="H72" i="3"/>
  <c r="L72" i="3"/>
  <c r="N72" i="3"/>
  <c r="O72" i="3"/>
  <c r="Q72" i="3"/>
  <c r="R72" i="3"/>
  <c r="S72" i="3"/>
  <c r="T72" i="3"/>
  <c r="B73" i="3"/>
  <c r="C73" i="3"/>
  <c r="D73" i="3"/>
  <c r="E73" i="3"/>
  <c r="F73" i="3"/>
  <c r="G73" i="3"/>
  <c r="H73" i="3"/>
  <c r="L73" i="3"/>
  <c r="N73" i="3"/>
  <c r="O73" i="3"/>
  <c r="Q73" i="3"/>
  <c r="R73" i="3"/>
  <c r="S73" i="3"/>
  <c r="T73" i="3"/>
  <c r="B74" i="3"/>
  <c r="C74" i="3"/>
  <c r="D74" i="3"/>
  <c r="E74" i="3"/>
  <c r="F74" i="3"/>
  <c r="G74" i="3"/>
  <c r="H74" i="3"/>
  <c r="L74" i="3"/>
  <c r="N74" i="3"/>
  <c r="O74" i="3"/>
  <c r="Q74" i="3"/>
  <c r="R74" i="3"/>
  <c r="S74" i="3"/>
  <c r="T74" i="3"/>
  <c r="B75" i="3"/>
  <c r="C75" i="3"/>
  <c r="D75" i="3"/>
  <c r="E75" i="3"/>
  <c r="F75" i="3"/>
  <c r="G75" i="3"/>
  <c r="H75" i="3"/>
  <c r="L75" i="3"/>
  <c r="N75" i="3"/>
  <c r="O75" i="3"/>
  <c r="Q75" i="3"/>
  <c r="R75" i="3"/>
  <c r="S75" i="3"/>
  <c r="T75" i="3"/>
  <c r="B76" i="3"/>
  <c r="C76" i="3"/>
  <c r="D76" i="3"/>
  <c r="E76" i="3"/>
  <c r="F76" i="3"/>
  <c r="G76" i="3"/>
  <c r="H76" i="3"/>
  <c r="L76" i="3"/>
  <c r="N76" i="3"/>
  <c r="O76" i="3"/>
  <c r="Q76" i="3"/>
  <c r="R76" i="3"/>
  <c r="S76" i="3"/>
  <c r="T76" i="3"/>
  <c r="B77" i="3"/>
  <c r="C77" i="3"/>
  <c r="D77" i="3"/>
  <c r="E77" i="3"/>
  <c r="F77" i="3"/>
  <c r="G77" i="3"/>
  <c r="H77" i="3"/>
  <c r="L77" i="3"/>
  <c r="N77" i="3"/>
  <c r="O77" i="3"/>
  <c r="Q77" i="3"/>
  <c r="R77" i="3"/>
  <c r="S77" i="3"/>
  <c r="T77" i="3"/>
  <c r="B78" i="3"/>
  <c r="C78" i="3"/>
  <c r="D78" i="3"/>
  <c r="E78" i="3"/>
  <c r="F78" i="3"/>
  <c r="G78" i="3"/>
  <c r="H78" i="3"/>
  <c r="L78" i="3"/>
  <c r="N78" i="3"/>
  <c r="O78" i="3"/>
  <c r="Q78" i="3"/>
  <c r="R78" i="3"/>
  <c r="S78" i="3"/>
  <c r="T78" i="3"/>
  <c r="B79" i="3"/>
  <c r="C79" i="3"/>
  <c r="D79" i="3"/>
  <c r="E79" i="3"/>
  <c r="F79" i="3"/>
  <c r="G79" i="3"/>
  <c r="H79" i="3"/>
  <c r="L79" i="3"/>
  <c r="N79" i="3"/>
  <c r="O79" i="3"/>
  <c r="Q79" i="3"/>
  <c r="R79" i="3"/>
  <c r="S79" i="3"/>
  <c r="T79" i="3"/>
  <c r="B80" i="3"/>
  <c r="C80" i="3"/>
  <c r="D80" i="3"/>
  <c r="E80" i="3"/>
  <c r="F80" i="3"/>
  <c r="G80" i="3"/>
  <c r="H80" i="3"/>
  <c r="L80" i="3"/>
  <c r="N80" i="3"/>
  <c r="O80" i="3"/>
  <c r="Q80" i="3"/>
  <c r="R80" i="3"/>
  <c r="S80" i="3"/>
  <c r="T80" i="3"/>
  <c r="B81" i="3"/>
  <c r="C81" i="3"/>
  <c r="D81" i="3"/>
  <c r="E81" i="3"/>
  <c r="F81" i="3"/>
  <c r="G81" i="3"/>
  <c r="H81" i="3"/>
  <c r="L81" i="3"/>
  <c r="N81" i="3"/>
  <c r="O81" i="3"/>
  <c r="Q81" i="3"/>
  <c r="R81" i="3"/>
  <c r="S81" i="3"/>
  <c r="T81" i="3"/>
  <c r="B82" i="3"/>
  <c r="C82" i="3"/>
  <c r="D82" i="3"/>
  <c r="E82" i="3"/>
  <c r="F82" i="3"/>
  <c r="G82" i="3"/>
  <c r="H82" i="3"/>
  <c r="L82" i="3"/>
  <c r="N82" i="3"/>
  <c r="O82" i="3"/>
  <c r="Q82" i="3"/>
  <c r="R82" i="3"/>
  <c r="S82" i="3"/>
  <c r="T82" i="3"/>
  <c r="B83" i="3"/>
  <c r="C83" i="3"/>
  <c r="D83" i="3"/>
  <c r="E83" i="3"/>
  <c r="F83" i="3"/>
  <c r="G83" i="3"/>
  <c r="H83" i="3"/>
  <c r="L83" i="3"/>
  <c r="N83" i="3"/>
  <c r="O83" i="3"/>
  <c r="Q83" i="3"/>
  <c r="R83" i="3"/>
  <c r="S83" i="3"/>
  <c r="T83" i="3"/>
  <c r="B84" i="3"/>
  <c r="C84" i="3"/>
  <c r="D84" i="3"/>
  <c r="E84" i="3"/>
  <c r="F84" i="3"/>
  <c r="G84" i="3"/>
  <c r="H84" i="3"/>
  <c r="L84" i="3"/>
  <c r="N84" i="3"/>
  <c r="O84" i="3"/>
  <c r="Q84" i="3"/>
  <c r="R84" i="3"/>
  <c r="S84" i="3"/>
  <c r="T84" i="3"/>
  <c r="B85" i="3"/>
  <c r="C85" i="3"/>
  <c r="D85" i="3"/>
  <c r="E85" i="3"/>
  <c r="F85" i="3"/>
  <c r="G85" i="3"/>
  <c r="H85" i="3"/>
  <c r="L85" i="3"/>
  <c r="N85" i="3"/>
  <c r="O85" i="3"/>
  <c r="Q85" i="3"/>
  <c r="R85" i="3"/>
  <c r="S85" i="3"/>
  <c r="T85" i="3"/>
  <c r="B86" i="3"/>
  <c r="C86" i="3"/>
  <c r="D86" i="3"/>
  <c r="E86" i="3"/>
  <c r="F86" i="3"/>
  <c r="G86" i="3"/>
  <c r="H86" i="3"/>
  <c r="L86" i="3"/>
  <c r="N86" i="3"/>
  <c r="O86" i="3"/>
  <c r="Q86" i="3"/>
  <c r="R86" i="3"/>
  <c r="S86" i="3"/>
  <c r="T86" i="3"/>
  <c r="B87" i="3"/>
  <c r="C87" i="3"/>
  <c r="D87" i="3"/>
  <c r="E87" i="3"/>
  <c r="F87" i="3"/>
  <c r="G87" i="3"/>
  <c r="H87" i="3"/>
  <c r="L87" i="3"/>
  <c r="N87" i="3"/>
  <c r="O87" i="3"/>
  <c r="Q87" i="3"/>
  <c r="R87" i="3"/>
  <c r="S87" i="3"/>
  <c r="T87" i="3"/>
  <c r="B88" i="3"/>
  <c r="C88" i="3"/>
  <c r="D88" i="3"/>
  <c r="E88" i="3"/>
  <c r="F88" i="3"/>
  <c r="G88" i="3"/>
  <c r="H88" i="3"/>
  <c r="L88" i="3"/>
  <c r="N88" i="3"/>
  <c r="O88" i="3"/>
  <c r="Q88" i="3"/>
  <c r="R88" i="3"/>
  <c r="S88" i="3"/>
  <c r="T88" i="3"/>
  <c r="B89" i="3"/>
  <c r="C89" i="3"/>
  <c r="D89" i="3"/>
  <c r="E89" i="3"/>
  <c r="F89" i="3"/>
  <c r="G89" i="3"/>
  <c r="H89" i="3"/>
  <c r="L89" i="3"/>
  <c r="N89" i="3"/>
  <c r="O89" i="3"/>
  <c r="Q89" i="3"/>
  <c r="R89" i="3"/>
  <c r="S89" i="3"/>
  <c r="T89" i="3"/>
  <c r="B90" i="3"/>
  <c r="C90" i="3"/>
  <c r="D90" i="3"/>
  <c r="E90" i="3"/>
  <c r="F90" i="3"/>
  <c r="G90" i="3"/>
  <c r="H90" i="3"/>
  <c r="L90" i="3"/>
  <c r="N90" i="3"/>
  <c r="O90" i="3"/>
  <c r="Q90" i="3"/>
  <c r="R90" i="3"/>
  <c r="S90" i="3"/>
  <c r="T90" i="3"/>
  <c r="B91" i="3"/>
  <c r="C91" i="3"/>
  <c r="D91" i="3"/>
  <c r="E91" i="3"/>
  <c r="F91" i="3"/>
  <c r="G91" i="3"/>
  <c r="H91" i="3"/>
  <c r="L91" i="3"/>
  <c r="N91" i="3"/>
  <c r="O91" i="3"/>
  <c r="Q91" i="3"/>
  <c r="R91" i="3"/>
  <c r="S91" i="3"/>
  <c r="T91" i="3"/>
  <c r="B92" i="3"/>
  <c r="C92" i="3"/>
  <c r="D92" i="3"/>
  <c r="E92" i="3"/>
  <c r="F92" i="3"/>
  <c r="G92" i="3"/>
  <c r="H92" i="3"/>
  <c r="L92" i="3"/>
  <c r="N92" i="3"/>
  <c r="O92" i="3"/>
  <c r="Q92" i="3"/>
  <c r="R92" i="3"/>
  <c r="S92" i="3"/>
  <c r="T92" i="3"/>
  <c r="B93" i="3"/>
  <c r="C93" i="3"/>
  <c r="D93" i="3"/>
  <c r="E93" i="3"/>
  <c r="F93" i="3"/>
  <c r="G93" i="3"/>
  <c r="H93" i="3"/>
  <c r="L93" i="3"/>
  <c r="N93" i="3"/>
  <c r="O93" i="3"/>
  <c r="Q93" i="3"/>
  <c r="R93" i="3"/>
  <c r="S93" i="3"/>
  <c r="T93" i="3"/>
  <c r="B94" i="3"/>
  <c r="C94" i="3"/>
  <c r="D94" i="3"/>
  <c r="E94" i="3"/>
  <c r="F94" i="3"/>
  <c r="G94" i="3"/>
  <c r="H94" i="3"/>
  <c r="L94" i="3"/>
  <c r="N94" i="3"/>
  <c r="O94" i="3"/>
  <c r="Q94" i="3"/>
  <c r="R94" i="3"/>
  <c r="S94" i="3"/>
  <c r="T94" i="3"/>
  <c r="B95" i="3"/>
  <c r="C95" i="3"/>
  <c r="D95" i="3"/>
  <c r="E95" i="3"/>
  <c r="F95" i="3"/>
  <c r="G95" i="3"/>
  <c r="H95" i="3"/>
  <c r="L95" i="3"/>
  <c r="N95" i="3"/>
  <c r="O95" i="3"/>
  <c r="Q95" i="3"/>
  <c r="R95" i="3"/>
  <c r="S95" i="3"/>
  <c r="T95" i="3"/>
  <c r="B96" i="3"/>
  <c r="C96" i="3"/>
  <c r="D96" i="3"/>
  <c r="E96" i="3"/>
  <c r="F96" i="3"/>
  <c r="G96" i="3"/>
  <c r="H96" i="3"/>
  <c r="L96" i="3"/>
  <c r="N96" i="3"/>
  <c r="O96" i="3"/>
  <c r="Q96" i="3"/>
  <c r="R96" i="3"/>
  <c r="S96" i="3"/>
  <c r="T96" i="3"/>
  <c r="B97" i="3"/>
  <c r="C97" i="3"/>
  <c r="D97" i="3"/>
  <c r="E97" i="3"/>
  <c r="F97" i="3"/>
  <c r="G97" i="3"/>
  <c r="H97" i="3"/>
  <c r="L97" i="3"/>
  <c r="N97" i="3"/>
  <c r="O97" i="3"/>
  <c r="Q97" i="3"/>
  <c r="R97" i="3"/>
  <c r="S97" i="3"/>
  <c r="T97" i="3"/>
  <c r="B98" i="3"/>
  <c r="C98" i="3"/>
  <c r="D98" i="3"/>
  <c r="E98" i="3"/>
  <c r="F98" i="3"/>
  <c r="G98" i="3"/>
  <c r="H98" i="3"/>
  <c r="L98" i="3"/>
  <c r="N98" i="3"/>
  <c r="O98" i="3"/>
  <c r="Q98" i="3"/>
  <c r="R98" i="3"/>
  <c r="S98" i="3"/>
  <c r="T98" i="3"/>
  <c r="B99" i="3"/>
  <c r="C99" i="3"/>
  <c r="D99" i="3"/>
  <c r="E99" i="3"/>
  <c r="F99" i="3"/>
  <c r="G99" i="3"/>
  <c r="H99" i="3"/>
  <c r="L99" i="3"/>
  <c r="N99" i="3"/>
  <c r="O99" i="3"/>
  <c r="Q99" i="3"/>
  <c r="R99" i="3"/>
  <c r="S99" i="3"/>
  <c r="T99" i="3"/>
  <c r="B100" i="3"/>
  <c r="C100" i="3"/>
  <c r="D100" i="3"/>
  <c r="E100" i="3"/>
  <c r="F100" i="3"/>
  <c r="G100" i="3"/>
  <c r="H100" i="3"/>
  <c r="L100" i="3"/>
  <c r="N100" i="3"/>
  <c r="O100" i="3"/>
  <c r="Q100" i="3"/>
  <c r="R100" i="3"/>
  <c r="S100" i="3"/>
  <c r="T100" i="3"/>
  <c r="B101" i="3"/>
  <c r="C101" i="3"/>
  <c r="D101" i="3"/>
  <c r="E101" i="3"/>
  <c r="F101" i="3"/>
  <c r="G101" i="3"/>
  <c r="H101" i="3"/>
  <c r="L101" i="3"/>
  <c r="N101" i="3"/>
  <c r="O101" i="3"/>
  <c r="Q101" i="3"/>
  <c r="R101" i="3"/>
  <c r="S101" i="3"/>
  <c r="T101" i="3"/>
  <c r="B102" i="3"/>
  <c r="C102" i="3"/>
  <c r="D102" i="3"/>
  <c r="E102" i="3"/>
  <c r="F102" i="3"/>
  <c r="G102" i="3"/>
  <c r="H102" i="3"/>
  <c r="L102" i="3"/>
  <c r="N102" i="3"/>
  <c r="O102" i="3"/>
  <c r="Q102" i="3"/>
  <c r="R102" i="3"/>
  <c r="S102" i="3"/>
  <c r="T102" i="3"/>
  <c r="B103" i="3"/>
  <c r="C103" i="3"/>
  <c r="D103" i="3"/>
  <c r="E103" i="3"/>
  <c r="F103" i="3"/>
  <c r="G103" i="3"/>
  <c r="H103" i="3"/>
  <c r="L103" i="3"/>
  <c r="N103" i="3"/>
  <c r="O103" i="3"/>
  <c r="Q103" i="3"/>
  <c r="R103" i="3"/>
  <c r="S103" i="3"/>
  <c r="T103" i="3"/>
  <c r="B104" i="3"/>
  <c r="C104" i="3"/>
  <c r="D104" i="3"/>
  <c r="E104" i="3"/>
  <c r="F104" i="3"/>
  <c r="G104" i="3"/>
  <c r="H104" i="3"/>
  <c r="L104" i="3"/>
  <c r="N104" i="3"/>
  <c r="O104" i="3"/>
  <c r="Q104" i="3"/>
  <c r="R104" i="3"/>
  <c r="S104" i="3"/>
  <c r="T104" i="3"/>
  <c r="B105" i="3"/>
  <c r="C105" i="3"/>
  <c r="D105" i="3"/>
  <c r="E105" i="3"/>
  <c r="F105" i="3"/>
  <c r="G105" i="3"/>
  <c r="H105" i="3"/>
  <c r="L105" i="3"/>
  <c r="N105" i="3"/>
  <c r="O105" i="3"/>
  <c r="Q105" i="3"/>
  <c r="R105" i="3"/>
  <c r="S105" i="3"/>
  <c r="T105" i="3"/>
  <c r="B106" i="3"/>
  <c r="C106" i="3"/>
  <c r="D106" i="3"/>
  <c r="E106" i="3"/>
  <c r="F106" i="3"/>
  <c r="G106" i="3"/>
  <c r="H106" i="3"/>
  <c r="L106" i="3"/>
  <c r="N106" i="3"/>
  <c r="O106" i="3"/>
  <c r="Q106" i="3"/>
  <c r="R106" i="3"/>
  <c r="S106" i="3"/>
  <c r="T106" i="3"/>
  <c r="B107" i="3"/>
  <c r="C107" i="3"/>
  <c r="D107" i="3"/>
  <c r="E107" i="3"/>
  <c r="F107" i="3"/>
  <c r="G107" i="3"/>
  <c r="H107" i="3"/>
  <c r="L107" i="3"/>
  <c r="N107" i="3"/>
  <c r="O107" i="3"/>
  <c r="Q107" i="3"/>
  <c r="R107" i="3"/>
  <c r="S107" i="3"/>
  <c r="T107" i="3"/>
  <c r="B108" i="3"/>
  <c r="C108" i="3"/>
  <c r="D108" i="3"/>
  <c r="E108" i="3"/>
  <c r="F108" i="3"/>
  <c r="G108" i="3"/>
  <c r="H108" i="3"/>
  <c r="L108" i="3"/>
  <c r="N108" i="3"/>
  <c r="O108" i="3"/>
  <c r="Q108" i="3"/>
  <c r="R108" i="3"/>
  <c r="S108" i="3"/>
  <c r="T108" i="3"/>
  <c r="B109" i="3"/>
  <c r="C109" i="3"/>
  <c r="D109" i="3"/>
  <c r="E109" i="3"/>
  <c r="F109" i="3"/>
  <c r="G109" i="3"/>
  <c r="H109" i="3"/>
  <c r="L109" i="3"/>
  <c r="N109" i="3"/>
  <c r="O109" i="3"/>
  <c r="Q109" i="3"/>
  <c r="R109" i="3"/>
  <c r="S109" i="3"/>
  <c r="T109" i="3"/>
  <c r="B110" i="3"/>
  <c r="C110" i="3"/>
  <c r="D110" i="3"/>
  <c r="E110" i="3"/>
  <c r="F110" i="3"/>
  <c r="G110" i="3"/>
  <c r="H110" i="3"/>
  <c r="L110" i="3"/>
  <c r="N110" i="3"/>
  <c r="O110" i="3"/>
  <c r="Q110" i="3"/>
  <c r="R110" i="3"/>
  <c r="S110" i="3"/>
  <c r="T110" i="3"/>
  <c r="B111" i="3"/>
  <c r="C111" i="3"/>
  <c r="D111" i="3"/>
  <c r="E111" i="3"/>
  <c r="F111" i="3"/>
  <c r="G111" i="3"/>
  <c r="H111" i="3"/>
  <c r="L111" i="3"/>
  <c r="N111" i="3"/>
  <c r="O111" i="3"/>
  <c r="Q111" i="3"/>
  <c r="R111" i="3"/>
  <c r="S111" i="3"/>
  <c r="T111" i="3"/>
  <c r="B112" i="3"/>
  <c r="C112" i="3"/>
  <c r="D112" i="3"/>
  <c r="E112" i="3"/>
  <c r="F112" i="3"/>
  <c r="G112" i="3"/>
  <c r="H112" i="3"/>
  <c r="L112" i="3"/>
  <c r="N112" i="3"/>
  <c r="O112" i="3"/>
  <c r="Q112" i="3"/>
  <c r="R112" i="3"/>
  <c r="S112" i="3"/>
  <c r="T112" i="3"/>
  <c r="B113" i="3"/>
  <c r="C113" i="3"/>
  <c r="D113" i="3"/>
  <c r="E113" i="3"/>
  <c r="F113" i="3"/>
  <c r="G113" i="3"/>
  <c r="H113" i="3"/>
  <c r="L113" i="3"/>
  <c r="N113" i="3"/>
  <c r="O113" i="3"/>
  <c r="Q113" i="3"/>
  <c r="R113" i="3"/>
  <c r="S113" i="3"/>
  <c r="T113" i="3"/>
  <c r="B114" i="3"/>
  <c r="C114" i="3"/>
  <c r="D114" i="3"/>
  <c r="E114" i="3"/>
  <c r="F114" i="3"/>
  <c r="G114" i="3"/>
  <c r="H114" i="3"/>
  <c r="L114" i="3"/>
  <c r="N114" i="3"/>
  <c r="O114" i="3"/>
  <c r="Q114" i="3"/>
  <c r="R114" i="3"/>
  <c r="S114" i="3"/>
  <c r="T114" i="3"/>
  <c r="B115" i="3"/>
  <c r="C115" i="3"/>
  <c r="D115" i="3"/>
  <c r="E115" i="3"/>
  <c r="F115" i="3"/>
  <c r="G115" i="3"/>
  <c r="H115" i="3"/>
  <c r="L115" i="3"/>
  <c r="N115" i="3"/>
  <c r="O115" i="3"/>
  <c r="Q115" i="3"/>
  <c r="R115" i="3"/>
  <c r="S115" i="3"/>
  <c r="T115" i="3"/>
  <c r="B116" i="3"/>
  <c r="C116" i="3"/>
  <c r="D116" i="3"/>
  <c r="E116" i="3"/>
  <c r="F116" i="3"/>
  <c r="G116" i="3"/>
  <c r="H116" i="3"/>
  <c r="L116" i="3"/>
  <c r="N116" i="3"/>
  <c r="O116" i="3"/>
  <c r="Q116" i="3"/>
  <c r="R116" i="3"/>
  <c r="S116" i="3"/>
  <c r="T116" i="3"/>
  <c r="B117" i="3"/>
  <c r="C117" i="3"/>
  <c r="D117" i="3"/>
  <c r="E117" i="3"/>
  <c r="F117" i="3"/>
  <c r="G117" i="3"/>
  <c r="H117" i="3"/>
  <c r="L117" i="3"/>
  <c r="N117" i="3"/>
  <c r="O117" i="3"/>
  <c r="Q117" i="3"/>
  <c r="R117" i="3"/>
  <c r="S117" i="3"/>
  <c r="T117" i="3"/>
  <c r="B118" i="3"/>
  <c r="C118" i="3"/>
  <c r="D118" i="3"/>
  <c r="E118" i="3"/>
  <c r="F118" i="3"/>
  <c r="G118" i="3"/>
  <c r="H118" i="3"/>
  <c r="L118" i="3"/>
  <c r="N118" i="3"/>
  <c r="O118" i="3"/>
  <c r="Q118" i="3"/>
  <c r="R118" i="3"/>
  <c r="S118" i="3"/>
  <c r="T118" i="3"/>
  <c r="B119" i="3"/>
  <c r="C119" i="3"/>
  <c r="D119" i="3"/>
  <c r="E119" i="3"/>
  <c r="F119" i="3"/>
  <c r="G119" i="3"/>
  <c r="H119" i="3"/>
  <c r="L119" i="3"/>
  <c r="N119" i="3"/>
  <c r="O119" i="3"/>
  <c r="Q119" i="3"/>
  <c r="R119" i="3"/>
  <c r="S119" i="3"/>
  <c r="T119" i="3"/>
  <c r="B120" i="3"/>
  <c r="C120" i="3"/>
  <c r="D120" i="3"/>
  <c r="E120" i="3"/>
  <c r="F120" i="3"/>
  <c r="G120" i="3"/>
  <c r="H120" i="3"/>
  <c r="L120" i="3"/>
  <c r="N120" i="3"/>
  <c r="O120" i="3"/>
  <c r="Q120" i="3"/>
  <c r="R120" i="3"/>
  <c r="S120" i="3"/>
  <c r="T120" i="3"/>
  <c r="B121" i="3"/>
  <c r="C121" i="3"/>
  <c r="D121" i="3"/>
  <c r="E121" i="3"/>
  <c r="F121" i="3"/>
  <c r="G121" i="3"/>
  <c r="H121" i="3"/>
  <c r="L121" i="3"/>
  <c r="N121" i="3"/>
  <c r="O121" i="3"/>
  <c r="Q121" i="3"/>
  <c r="R121" i="3"/>
  <c r="S121" i="3"/>
  <c r="T121" i="3"/>
  <c r="B122" i="3"/>
  <c r="C122" i="3"/>
  <c r="D122" i="3"/>
  <c r="E122" i="3"/>
  <c r="F122" i="3"/>
  <c r="G122" i="3"/>
  <c r="H122" i="3"/>
  <c r="L122" i="3"/>
  <c r="N122" i="3"/>
  <c r="O122" i="3"/>
  <c r="Q122" i="3"/>
  <c r="R122" i="3"/>
  <c r="S122" i="3"/>
  <c r="T122" i="3"/>
  <c r="B123" i="3"/>
  <c r="C123" i="3"/>
  <c r="D123" i="3"/>
  <c r="E123" i="3"/>
  <c r="F123" i="3"/>
  <c r="G123" i="3"/>
  <c r="H123" i="3"/>
  <c r="L123" i="3"/>
  <c r="N123" i="3"/>
  <c r="O123" i="3"/>
  <c r="Q123" i="3"/>
  <c r="R123" i="3"/>
  <c r="S123" i="3"/>
  <c r="T123" i="3"/>
  <c r="B124" i="3"/>
  <c r="C124" i="3"/>
  <c r="D124" i="3"/>
  <c r="E124" i="3"/>
  <c r="F124" i="3"/>
  <c r="G124" i="3"/>
  <c r="H124" i="3"/>
  <c r="L124" i="3"/>
  <c r="N124" i="3"/>
  <c r="O124" i="3"/>
  <c r="Q124" i="3"/>
  <c r="R124" i="3"/>
  <c r="S124" i="3"/>
  <c r="T124" i="3"/>
  <c r="B125" i="3"/>
  <c r="C125" i="3"/>
  <c r="D125" i="3"/>
  <c r="E125" i="3"/>
  <c r="F125" i="3"/>
  <c r="G125" i="3"/>
  <c r="H125" i="3"/>
  <c r="L125" i="3"/>
  <c r="N125" i="3"/>
  <c r="O125" i="3"/>
  <c r="Q125" i="3"/>
  <c r="R125" i="3"/>
  <c r="S125" i="3"/>
  <c r="T125" i="3"/>
  <c r="B126" i="3"/>
  <c r="C126" i="3"/>
  <c r="D126" i="3"/>
  <c r="E126" i="3"/>
  <c r="F126" i="3"/>
  <c r="G126" i="3"/>
  <c r="H126" i="3"/>
  <c r="L126" i="3"/>
  <c r="N126" i="3"/>
  <c r="O126" i="3"/>
  <c r="Q126" i="3"/>
  <c r="R126" i="3"/>
  <c r="S126" i="3"/>
  <c r="T126" i="3"/>
  <c r="B127" i="3"/>
  <c r="C127" i="3"/>
  <c r="D127" i="3"/>
  <c r="E127" i="3"/>
  <c r="F127" i="3"/>
  <c r="G127" i="3"/>
  <c r="H127" i="3"/>
  <c r="L127" i="3"/>
  <c r="N127" i="3"/>
  <c r="O127" i="3"/>
  <c r="Q127" i="3"/>
  <c r="R127" i="3"/>
  <c r="S127" i="3"/>
  <c r="T127" i="3"/>
  <c r="B128" i="3"/>
  <c r="C128" i="3"/>
  <c r="D128" i="3"/>
  <c r="E128" i="3"/>
  <c r="F128" i="3"/>
  <c r="G128" i="3"/>
  <c r="H128" i="3"/>
  <c r="L128" i="3"/>
  <c r="N128" i="3"/>
  <c r="O128" i="3"/>
  <c r="Q128" i="3"/>
  <c r="R128" i="3"/>
  <c r="S128" i="3"/>
  <c r="T128" i="3"/>
  <c r="B129" i="3"/>
  <c r="C129" i="3"/>
  <c r="D129" i="3"/>
  <c r="E129" i="3"/>
  <c r="F129" i="3"/>
  <c r="G129" i="3"/>
  <c r="H129" i="3"/>
  <c r="L129" i="3"/>
  <c r="N129" i="3"/>
  <c r="O129" i="3"/>
  <c r="Q129" i="3"/>
  <c r="R129" i="3"/>
  <c r="S129" i="3"/>
  <c r="T129" i="3"/>
  <c r="B130" i="3"/>
  <c r="C130" i="3"/>
  <c r="D130" i="3"/>
  <c r="E130" i="3"/>
  <c r="F130" i="3"/>
  <c r="G130" i="3"/>
  <c r="H130" i="3"/>
  <c r="L130" i="3"/>
  <c r="N130" i="3"/>
  <c r="O130" i="3"/>
  <c r="Q130" i="3"/>
  <c r="R130" i="3"/>
  <c r="S130" i="3"/>
  <c r="T130" i="3"/>
  <c r="B131" i="3"/>
  <c r="C131" i="3"/>
  <c r="D131" i="3"/>
  <c r="E131" i="3"/>
  <c r="F131" i="3"/>
  <c r="G131" i="3"/>
  <c r="H131" i="3"/>
  <c r="L131" i="3"/>
  <c r="N131" i="3"/>
  <c r="O131" i="3"/>
  <c r="Q131" i="3"/>
  <c r="R131" i="3"/>
  <c r="S131" i="3"/>
  <c r="T131" i="3"/>
  <c r="B132" i="3"/>
  <c r="C132" i="3"/>
  <c r="D132" i="3"/>
  <c r="E132" i="3"/>
  <c r="F132" i="3"/>
  <c r="G132" i="3"/>
  <c r="H132" i="3"/>
  <c r="L132" i="3"/>
  <c r="N132" i="3"/>
  <c r="O132" i="3"/>
  <c r="Q132" i="3"/>
  <c r="R132" i="3"/>
  <c r="S132" i="3"/>
  <c r="T132" i="3"/>
  <c r="B133" i="3"/>
  <c r="C133" i="3"/>
  <c r="D133" i="3"/>
  <c r="E133" i="3"/>
  <c r="F133" i="3"/>
  <c r="G133" i="3"/>
  <c r="H133" i="3"/>
  <c r="L133" i="3"/>
  <c r="N133" i="3"/>
  <c r="O133" i="3"/>
  <c r="Q133" i="3"/>
  <c r="R133" i="3"/>
  <c r="S133" i="3"/>
  <c r="T133" i="3"/>
  <c r="B134" i="3"/>
  <c r="C134" i="3"/>
  <c r="D134" i="3"/>
  <c r="E134" i="3"/>
  <c r="F134" i="3"/>
  <c r="G134" i="3"/>
  <c r="H134" i="3"/>
  <c r="L134" i="3"/>
  <c r="N134" i="3"/>
  <c r="O134" i="3"/>
  <c r="Q134" i="3"/>
  <c r="R134" i="3"/>
  <c r="S134" i="3"/>
  <c r="T134" i="3"/>
  <c r="B135" i="3"/>
  <c r="C135" i="3"/>
  <c r="D135" i="3"/>
  <c r="E135" i="3"/>
  <c r="F135" i="3"/>
  <c r="G135" i="3"/>
  <c r="H135" i="3"/>
  <c r="L135" i="3"/>
  <c r="N135" i="3"/>
  <c r="O135" i="3"/>
  <c r="Q135" i="3"/>
  <c r="R135" i="3"/>
  <c r="S135" i="3"/>
  <c r="T135" i="3"/>
  <c r="B136" i="3"/>
  <c r="C136" i="3"/>
  <c r="D136" i="3"/>
  <c r="E136" i="3"/>
  <c r="F136" i="3"/>
  <c r="G136" i="3"/>
  <c r="H136" i="3"/>
  <c r="L136" i="3"/>
  <c r="N136" i="3"/>
  <c r="O136" i="3"/>
  <c r="Q136" i="3"/>
  <c r="R136" i="3"/>
  <c r="S136" i="3"/>
  <c r="T136" i="3"/>
  <c r="B137" i="3"/>
  <c r="C137" i="3"/>
  <c r="D137" i="3"/>
  <c r="E137" i="3"/>
  <c r="F137" i="3"/>
  <c r="G137" i="3"/>
  <c r="H137" i="3"/>
  <c r="L137" i="3"/>
  <c r="N137" i="3"/>
  <c r="O137" i="3"/>
  <c r="Q137" i="3"/>
  <c r="R137" i="3"/>
  <c r="S137" i="3"/>
  <c r="T137" i="3"/>
  <c r="B138" i="3"/>
  <c r="C138" i="3"/>
  <c r="D138" i="3"/>
  <c r="E138" i="3"/>
  <c r="F138" i="3"/>
  <c r="G138" i="3"/>
  <c r="H138" i="3"/>
  <c r="L138" i="3"/>
  <c r="N138" i="3"/>
  <c r="O138" i="3"/>
  <c r="Q138" i="3"/>
  <c r="R138" i="3"/>
  <c r="S138" i="3"/>
  <c r="T138" i="3"/>
  <c r="B139" i="3"/>
  <c r="C139" i="3"/>
  <c r="D139" i="3"/>
  <c r="E139" i="3"/>
  <c r="F139" i="3"/>
  <c r="G139" i="3"/>
  <c r="H139" i="3"/>
  <c r="L139" i="3"/>
  <c r="N139" i="3"/>
  <c r="O139" i="3"/>
  <c r="Q139" i="3"/>
  <c r="R139" i="3"/>
  <c r="S139" i="3"/>
  <c r="T139" i="3"/>
  <c r="B140" i="3"/>
  <c r="C140" i="3"/>
  <c r="D140" i="3"/>
  <c r="E140" i="3"/>
  <c r="F140" i="3"/>
  <c r="G140" i="3"/>
  <c r="H140" i="3"/>
  <c r="L140" i="3"/>
  <c r="N140" i="3"/>
  <c r="O140" i="3"/>
  <c r="Q140" i="3"/>
  <c r="R140" i="3"/>
  <c r="S140" i="3"/>
  <c r="T140" i="3"/>
  <c r="B141" i="3"/>
  <c r="C141" i="3"/>
  <c r="D141" i="3"/>
  <c r="E141" i="3"/>
  <c r="F141" i="3"/>
  <c r="G141" i="3"/>
  <c r="H141" i="3"/>
  <c r="L141" i="3"/>
  <c r="N141" i="3"/>
  <c r="O141" i="3"/>
  <c r="Q141" i="3"/>
  <c r="R141" i="3"/>
  <c r="S141" i="3"/>
  <c r="T141" i="3"/>
  <c r="B142" i="3"/>
  <c r="C142" i="3"/>
  <c r="D142" i="3"/>
  <c r="E142" i="3"/>
  <c r="F142" i="3"/>
  <c r="G142" i="3"/>
  <c r="H142" i="3"/>
  <c r="L142" i="3"/>
  <c r="N142" i="3"/>
  <c r="O142" i="3"/>
  <c r="Q142" i="3"/>
  <c r="R142" i="3"/>
  <c r="S142" i="3"/>
  <c r="T142" i="3"/>
  <c r="B143" i="3"/>
  <c r="C143" i="3"/>
  <c r="D143" i="3"/>
  <c r="E143" i="3"/>
  <c r="F143" i="3"/>
  <c r="G143" i="3"/>
  <c r="H143" i="3"/>
  <c r="L143" i="3"/>
  <c r="N143" i="3"/>
  <c r="O143" i="3"/>
  <c r="Q143" i="3"/>
  <c r="R143" i="3"/>
  <c r="S143" i="3"/>
  <c r="T143" i="3"/>
  <c r="B144" i="3"/>
  <c r="C144" i="3"/>
  <c r="D144" i="3"/>
  <c r="E144" i="3"/>
  <c r="F144" i="3"/>
  <c r="G144" i="3"/>
  <c r="H144" i="3"/>
  <c r="L144" i="3"/>
  <c r="N144" i="3"/>
  <c r="O144" i="3"/>
  <c r="Q144" i="3"/>
  <c r="R144" i="3"/>
  <c r="S144" i="3"/>
  <c r="T144" i="3"/>
  <c r="B145" i="3"/>
  <c r="C145" i="3"/>
  <c r="D145" i="3"/>
  <c r="E145" i="3"/>
  <c r="F145" i="3"/>
  <c r="G145" i="3"/>
  <c r="H145" i="3"/>
  <c r="L145" i="3"/>
  <c r="N145" i="3"/>
  <c r="O145" i="3"/>
  <c r="Q145" i="3"/>
  <c r="R145" i="3"/>
  <c r="S145" i="3"/>
  <c r="T145" i="3"/>
  <c r="B146" i="3"/>
  <c r="C146" i="3"/>
  <c r="D146" i="3"/>
  <c r="E146" i="3"/>
  <c r="F146" i="3"/>
  <c r="G146" i="3"/>
  <c r="H146" i="3"/>
  <c r="L146" i="3"/>
  <c r="N146" i="3"/>
  <c r="O146" i="3"/>
  <c r="Q146" i="3"/>
  <c r="R146" i="3"/>
  <c r="S146" i="3"/>
  <c r="T146" i="3"/>
  <c r="B147" i="3"/>
  <c r="C147" i="3"/>
  <c r="D147" i="3"/>
  <c r="E147" i="3"/>
  <c r="F147" i="3"/>
  <c r="G147" i="3"/>
  <c r="H147" i="3"/>
  <c r="L147" i="3"/>
  <c r="N147" i="3"/>
  <c r="O147" i="3"/>
  <c r="Q147" i="3"/>
  <c r="R147" i="3"/>
  <c r="S147" i="3"/>
  <c r="T147" i="3"/>
  <c r="B148" i="3"/>
  <c r="C148" i="3"/>
  <c r="D148" i="3"/>
  <c r="E148" i="3"/>
  <c r="F148" i="3"/>
  <c r="G148" i="3"/>
  <c r="H148" i="3"/>
  <c r="L148" i="3"/>
  <c r="N148" i="3"/>
  <c r="O148" i="3"/>
  <c r="Q148" i="3"/>
  <c r="R148" i="3"/>
  <c r="S148" i="3"/>
  <c r="T148" i="3"/>
  <c r="B149" i="3"/>
  <c r="C149" i="3"/>
  <c r="D149" i="3"/>
  <c r="E149" i="3"/>
  <c r="F149" i="3"/>
  <c r="G149" i="3"/>
  <c r="H149" i="3"/>
  <c r="L149" i="3"/>
  <c r="N149" i="3"/>
  <c r="O149" i="3"/>
  <c r="Q149" i="3"/>
  <c r="R149" i="3"/>
  <c r="S149" i="3"/>
  <c r="T149" i="3"/>
  <c r="B150" i="3"/>
  <c r="C150" i="3"/>
  <c r="D150" i="3"/>
  <c r="E150" i="3"/>
  <c r="F150" i="3"/>
  <c r="G150" i="3"/>
  <c r="H150" i="3"/>
  <c r="L150" i="3"/>
  <c r="N150" i="3"/>
  <c r="O150" i="3"/>
  <c r="Q150" i="3"/>
  <c r="R150" i="3"/>
  <c r="S150" i="3"/>
  <c r="T150" i="3"/>
  <c r="B151" i="3"/>
  <c r="C151" i="3"/>
  <c r="D151" i="3"/>
  <c r="E151" i="3"/>
  <c r="F151" i="3"/>
  <c r="G151" i="3"/>
  <c r="H151" i="3"/>
  <c r="L151" i="3"/>
  <c r="N151" i="3"/>
  <c r="O151" i="3"/>
  <c r="Q151" i="3"/>
  <c r="R151" i="3"/>
  <c r="S151" i="3"/>
  <c r="T151" i="3"/>
  <c r="B152" i="3"/>
  <c r="C152" i="3"/>
  <c r="D152" i="3"/>
  <c r="E152" i="3"/>
  <c r="F152" i="3"/>
  <c r="G152" i="3"/>
  <c r="H152" i="3"/>
  <c r="L152" i="3"/>
  <c r="N152" i="3"/>
  <c r="O152" i="3"/>
  <c r="Q152" i="3"/>
  <c r="R152" i="3"/>
  <c r="S152" i="3"/>
  <c r="T152" i="3"/>
  <c r="B153" i="3"/>
  <c r="C153" i="3"/>
  <c r="D153" i="3"/>
  <c r="E153" i="3"/>
  <c r="F153" i="3"/>
  <c r="G153" i="3"/>
  <c r="H153" i="3"/>
  <c r="L153" i="3"/>
  <c r="N153" i="3"/>
  <c r="O153" i="3"/>
  <c r="Q153" i="3"/>
  <c r="R153" i="3"/>
  <c r="S153" i="3"/>
  <c r="T153" i="3"/>
  <c r="B154" i="3"/>
  <c r="C154" i="3"/>
  <c r="D154" i="3"/>
  <c r="E154" i="3"/>
  <c r="F154" i="3"/>
  <c r="G154" i="3"/>
  <c r="H154" i="3"/>
  <c r="L154" i="3"/>
  <c r="N154" i="3"/>
  <c r="O154" i="3"/>
  <c r="Q154" i="3"/>
  <c r="R154" i="3"/>
  <c r="S154" i="3"/>
  <c r="T154" i="3"/>
  <c r="B155" i="3"/>
  <c r="C155" i="3"/>
  <c r="D155" i="3"/>
  <c r="E155" i="3"/>
  <c r="F155" i="3"/>
  <c r="G155" i="3"/>
  <c r="H155" i="3"/>
  <c r="L155" i="3"/>
  <c r="N155" i="3"/>
  <c r="O155" i="3"/>
  <c r="Q155" i="3"/>
  <c r="R155" i="3"/>
  <c r="S155" i="3"/>
  <c r="T155" i="3"/>
  <c r="B156" i="3"/>
  <c r="C156" i="3"/>
  <c r="D156" i="3"/>
  <c r="E156" i="3"/>
  <c r="F156" i="3"/>
  <c r="G156" i="3"/>
  <c r="H156" i="3"/>
  <c r="L156" i="3"/>
  <c r="N156" i="3"/>
  <c r="O156" i="3"/>
  <c r="Q156" i="3"/>
  <c r="R156" i="3"/>
  <c r="S156" i="3"/>
  <c r="T156" i="3"/>
  <c r="B157" i="3"/>
  <c r="C157" i="3"/>
  <c r="D157" i="3"/>
  <c r="E157" i="3"/>
  <c r="F157" i="3"/>
  <c r="G157" i="3"/>
  <c r="H157" i="3"/>
  <c r="L157" i="3"/>
  <c r="N157" i="3"/>
  <c r="O157" i="3"/>
  <c r="Q157" i="3"/>
  <c r="R157" i="3"/>
  <c r="S157" i="3"/>
  <c r="T157" i="3"/>
  <c r="B158" i="3"/>
  <c r="C158" i="3"/>
  <c r="D158" i="3"/>
  <c r="E158" i="3"/>
  <c r="F158" i="3"/>
  <c r="G158" i="3"/>
  <c r="H158" i="3"/>
  <c r="L158" i="3"/>
  <c r="N158" i="3"/>
  <c r="O158" i="3"/>
  <c r="Q158" i="3"/>
  <c r="R158" i="3"/>
  <c r="S158" i="3"/>
  <c r="T158" i="3"/>
  <c r="B159" i="3"/>
  <c r="C159" i="3"/>
  <c r="D159" i="3"/>
  <c r="E159" i="3"/>
  <c r="F159" i="3"/>
  <c r="G159" i="3"/>
  <c r="H159" i="3"/>
  <c r="L159" i="3"/>
  <c r="N159" i="3"/>
  <c r="O159" i="3"/>
  <c r="Q159" i="3"/>
  <c r="R159" i="3"/>
  <c r="S159" i="3"/>
  <c r="T159" i="3"/>
  <c r="B160" i="3"/>
  <c r="C160" i="3"/>
  <c r="D160" i="3"/>
  <c r="E160" i="3"/>
  <c r="F160" i="3"/>
  <c r="G160" i="3"/>
  <c r="H160" i="3"/>
  <c r="L160" i="3"/>
  <c r="N160" i="3"/>
  <c r="O160" i="3"/>
  <c r="Q160" i="3"/>
  <c r="R160" i="3"/>
  <c r="S160" i="3"/>
  <c r="T160" i="3"/>
  <c r="B161" i="3"/>
  <c r="C161" i="3"/>
  <c r="D161" i="3"/>
  <c r="E161" i="3"/>
  <c r="F161" i="3"/>
  <c r="G161" i="3"/>
  <c r="H161" i="3"/>
  <c r="L161" i="3"/>
  <c r="N161" i="3"/>
  <c r="O161" i="3"/>
  <c r="Q161" i="3"/>
  <c r="R161" i="3"/>
  <c r="S161" i="3"/>
  <c r="T161" i="3"/>
  <c r="B162" i="3"/>
  <c r="C162" i="3"/>
  <c r="D162" i="3"/>
  <c r="E162" i="3"/>
  <c r="F162" i="3"/>
  <c r="G162" i="3"/>
  <c r="H162" i="3"/>
  <c r="L162" i="3"/>
  <c r="N162" i="3"/>
  <c r="O162" i="3"/>
  <c r="Q162" i="3"/>
  <c r="R162" i="3"/>
  <c r="S162" i="3"/>
  <c r="T162" i="3"/>
  <c r="B163" i="3"/>
  <c r="C163" i="3"/>
  <c r="D163" i="3"/>
  <c r="E163" i="3"/>
  <c r="F163" i="3"/>
  <c r="G163" i="3"/>
  <c r="H163" i="3"/>
  <c r="L163" i="3"/>
  <c r="N163" i="3"/>
  <c r="O163" i="3"/>
  <c r="Q163" i="3"/>
  <c r="R163" i="3"/>
  <c r="S163" i="3"/>
  <c r="T163" i="3"/>
  <c r="B164" i="3"/>
  <c r="C164" i="3"/>
  <c r="D164" i="3"/>
  <c r="E164" i="3"/>
  <c r="F164" i="3"/>
  <c r="G164" i="3"/>
  <c r="H164" i="3"/>
  <c r="L164" i="3"/>
  <c r="N164" i="3"/>
  <c r="O164" i="3"/>
  <c r="Q164" i="3"/>
  <c r="R164" i="3"/>
  <c r="S164" i="3"/>
  <c r="T164" i="3"/>
  <c r="B165" i="3"/>
  <c r="C165" i="3"/>
  <c r="D165" i="3"/>
  <c r="E165" i="3"/>
  <c r="F165" i="3"/>
  <c r="G165" i="3"/>
  <c r="H165" i="3"/>
  <c r="L165" i="3"/>
  <c r="N165" i="3"/>
  <c r="O165" i="3"/>
  <c r="Q165" i="3"/>
  <c r="R165" i="3"/>
  <c r="S165" i="3"/>
  <c r="T165" i="3"/>
  <c r="B166" i="3"/>
  <c r="C166" i="3"/>
  <c r="D166" i="3"/>
  <c r="E166" i="3"/>
  <c r="F166" i="3"/>
  <c r="G166" i="3"/>
  <c r="H166" i="3"/>
  <c r="L166" i="3"/>
  <c r="N166" i="3"/>
  <c r="O166" i="3"/>
  <c r="Q166" i="3"/>
  <c r="R166" i="3"/>
  <c r="S166" i="3"/>
  <c r="T166" i="3"/>
  <c r="B167" i="3"/>
  <c r="C167" i="3"/>
  <c r="D167" i="3"/>
  <c r="E167" i="3"/>
  <c r="F167" i="3"/>
  <c r="G167" i="3"/>
  <c r="H167" i="3"/>
  <c r="L167" i="3"/>
  <c r="N167" i="3"/>
  <c r="O167" i="3"/>
  <c r="Q167" i="3"/>
  <c r="R167" i="3"/>
  <c r="S167" i="3"/>
  <c r="T167" i="3"/>
  <c r="B168" i="3"/>
  <c r="C168" i="3"/>
  <c r="D168" i="3"/>
  <c r="E168" i="3"/>
  <c r="F168" i="3"/>
  <c r="G168" i="3"/>
  <c r="H168" i="3"/>
  <c r="L168" i="3"/>
  <c r="N168" i="3"/>
  <c r="O168" i="3"/>
  <c r="Q168" i="3"/>
  <c r="R168" i="3"/>
  <c r="S168" i="3"/>
  <c r="T168" i="3"/>
  <c r="B169" i="3"/>
  <c r="C169" i="3"/>
  <c r="D169" i="3"/>
  <c r="E169" i="3"/>
  <c r="F169" i="3"/>
  <c r="G169" i="3"/>
  <c r="H169" i="3"/>
  <c r="L169" i="3"/>
  <c r="N169" i="3"/>
  <c r="O169" i="3"/>
  <c r="Q169" i="3"/>
  <c r="R169" i="3"/>
  <c r="S169" i="3"/>
  <c r="T169" i="3"/>
  <c r="B170" i="3"/>
  <c r="C170" i="3"/>
  <c r="D170" i="3"/>
  <c r="E170" i="3"/>
  <c r="F170" i="3"/>
  <c r="G170" i="3"/>
  <c r="H170" i="3"/>
  <c r="L170" i="3"/>
  <c r="N170" i="3"/>
  <c r="O170" i="3"/>
  <c r="Q170" i="3"/>
  <c r="R170" i="3"/>
  <c r="S170" i="3"/>
  <c r="T170" i="3"/>
  <c r="B171" i="3"/>
  <c r="C171" i="3"/>
  <c r="D171" i="3"/>
  <c r="E171" i="3"/>
  <c r="F171" i="3"/>
  <c r="G171" i="3"/>
  <c r="H171" i="3"/>
  <c r="L171" i="3"/>
  <c r="N171" i="3"/>
  <c r="O171" i="3"/>
  <c r="Q171" i="3"/>
  <c r="R171" i="3"/>
  <c r="S171" i="3"/>
  <c r="T171" i="3"/>
  <c r="B172" i="3"/>
  <c r="C172" i="3"/>
  <c r="D172" i="3"/>
  <c r="E172" i="3"/>
  <c r="F172" i="3"/>
  <c r="G172" i="3"/>
  <c r="H172" i="3"/>
  <c r="L172" i="3"/>
  <c r="N172" i="3"/>
  <c r="O172" i="3"/>
  <c r="Q172" i="3"/>
  <c r="R172" i="3"/>
  <c r="S172" i="3"/>
  <c r="T172" i="3"/>
  <c r="B173" i="3"/>
  <c r="C173" i="3"/>
  <c r="D173" i="3"/>
  <c r="E173" i="3"/>
  <c r="F173" i="3"/>
  <c r="G173" i="3"/>
  <c r="H173" i="3"/>
  <c r="L173" i="3"/>
  <c r="N173" i="3"/>
  <c r="O173" i="3"/>
  <c r="Q173" i="3"/>
  <c r="R173" i="3"/>
  <c r="S173" i="3"/>
  <c r="T173" i="3"/>
  <c r="B174" i="3"/>
  <c r="C174" i="3"/>
  <c r="D174" i="3"/>
  <c r="E174" i="3"/>
  <c r="F174" i="3"/>
  <c r="G174" i="3"/>
  <c r="H174" i="3"/>
  <c r="L174" i="3"/>
  <c r="N174" i="3"/>
  <c r="O174" i="3"/>
  <c r="Q174" i="3"/>
  <c r="R174" i="3"/>
  <c r="S174" i="3"/>
  <c r="T174" i="3"/>
  <c r="B175" i="3"/>
  <c r="C175" i="3"/>
  <c r="D175" i="3"/>
  <c r="E175" i="3"/>
  <c r="F175" i="3"/>
  <c r="G175" i="3"/>
  <c r="H175" i="3"/>
  <c r="L175" i="3"/>
  <c r="N175" i="3"/>
  <c r="O175" i="3"/>
  <c r="Q175" i="3"/>
  <c r="R175" i="3"/>
  <c r="S175" i="3"/>
  <c r="T175" i="3"/>
  <c r="B176" i="3"/>
  <c r="C176" i="3"/>
  <c r="D176" i="3"/>
  <c r="E176" i="3"/>
  <c r="F176" i="3"/>
  <c r="G176" i="3"/>
  <c r="H176" i="3"/>
  <c r="L176" i="3"/>
  <c r="N176" i="3"/>
  <c r="O176" i="3"/>
  <c r="Q176" i="3"/>
  <c r="R176" i="3"/>
  <c r="S176" i="3"/>
  <c r="T176" i="3"/>
  <c r="B177" i="3"/>
  <c r="C177" i="3"/>
  <c r="D177" i="3"/>
  <c r="E177" i="3"/>
  <c r="F177" i="3"/>
  <c r="G177" i="3"/>
  <c r="H177" i="3"/>
  <c r="L177" i="3"/>
  <c r="N177" i="3"/>
  <c r="O177" i="3"/>
  <c r="Q177" i="3"/>
  <c r="R177" i="3"/>
  <c r="S177" i="3"/>
  <c r="T177" i="3"/>
  <c r="B178" i="3"/>
  <c r="C178" i="3"/>
  <c r="D178" i="3"/>
  <c r="E178" i="3"/>
  <c r="F178" i="3"/>
  <c r="G178" i="3"/>
  <c r="H178" i="3"/>
  <c r="L178" i="3"/>
  <c r="N178" i="3"/>
  <c r="O178" i="3"/>
  <c r="Q178" i="3"/>
  <c r="R178" i="3"/>
  <c r="S178" i="3"/>
  <c r="T178" i="3"/>
  <c r="B179" i="3"/>
  <c r="C179" i="3"/>
  <c r="D179" i="3"/>
  <c r="E179" i="3"/>
  <c r="F179" i="3"/>
  <c r="G179" i="3"/>
  <c r="H179" i="3"/>
  <c r="L179" i="3"/>
  <c r="N179" i="3"/>
  <c r="O179" i="3"/>
  <c r="Q179" i="3"/>
  <c r="R179" i="3"/>
  <c r="S179" i="3"/>
  <c r="T179" i="3"/>
  <c r="B180" i="3"/>
  <c r="C180" i="3"/>
  <c r="D180" i="3"/>
  <c r="E180" i="3"/>
  <c r="F180" i="3"/>
  <c r="G180" i="3"/>
  <c r="H180" i="3"/>
  <c r="L180" i="3"/>
  <c r="N180" i="3"/>
  <c r="O180" i="3"/>
  <c r="Q180" i="3"/>
  <c r="R180" i="3"/>
  <c r="S180" i="3"/>
  <c r="T180" i="3"/>
  <c r="B181" i="3"/>
  <c r="C181" i="3"/>
  <c r="D181" i="3"/>
  <c r="E181" i="3"/>
  <c r="F181" i="3"/>
  <c r="G181" i="3"/>
  <c r="H181" i="3"/>
  <c r="L181" i="3"/>
  <c r="N181" i="3"/>
  <c r="O181" i="3"/>
  <c r="Q181" i="3"/>
  <c r="R181" i="3"/>
  <c r="S181" i="3"/>
  <c r="T181" i="3"/>
  <c r="B182" i="3"/>
  <c r="C182" i="3"/>
  <c r="D182" i="3"/>
  <c r="E182" i="3"/>
  <c r="F182" i="3"/>
  <c r="G182" i="3"/>
  <c r="H182" i="3"/>
  <c r="L182" i="3"/>
  <c r="N182" i="3"/>
  <c r="O182" i="3"/>
  <c r="Q182" i="3"/>
  <c r="R182" i="3"/>
  <c r="S182" i="3"/>
  <c r="T182" i="3"/>
  <c r="B183" i="3"/>
  <c r="C183" i="3"/>
  <c r="D183" i="3"/>
  <c r="E183" i="3"/>
  <c r="F183" i="3"/>
  <c r="G183" i="3"/>
  <c r="H183" i="3"/>
  <c r="L183" i="3"/>
  <c r="N183" i="3"/>
  <c r="O183" i="3"/>
  <c r="Q183" i="3"/>
  <c r="R183" i="3"/>
  <c r="S183" i="3"/>
  <c r="T183" i="3"/>
  <c r="B184" i="3"/>
  <c r="C184" i="3"/>
  <c r="D184" i="3"/>
  <c r="E184" i="3"/>
  <c r="F184" i="3"/>
  <c r="G184" i="3"/>
  <c r="H184" i="3"/>
  <c r="L184" i="3"/>
  <c r="N184" i="3"/>
  <c r="O184" i="3"/>
  <c r="Q184" i="3"/>
  <c r="R184" i="3"/>
  <c r="S184" i="3"/>
  <c r="T184" i="3"/>
  <c r="B185" i="3"/>
  <c r="C185" i="3"/>
  <c r="D185" i="3"/>
  <c r="E185" i="3"/>
  <c r="F185" i="3"/>
  <c r="G185" i="3"/>
  <c r="H185" i="3"/>
  <c r="L185" i="3"/>
  <c r="N185" i="3"/>
  <c r="O185" i="3"/>
  <c r="Q185" i="3"/>
  <c r="R185" i="3"/>
  <c r="S185" i="3"/>
  <c r="T185" i="3"/>
  <c r="B186" i="3"/>
  <c r="C186" i="3"/>
  <c r="D186" i="3"/>
  <c r="E186" i="3"/>
  <c r="F186" i="3"/>
  <c r="G186" i="3"/>
  <c r="H186" i="3"/>
  <c r="L186" i="3"/>
  <c r="N186" i="3"/>
  <c r="O186" i="3"/>
  <c r="Q186" i="3"/>
  <c r="R186" i="3"/>
  <c r="S186" i="3"/>
  <c r="T186" i="3"/>
  <c r="B187" i="3"/>
  <c r="C187" i="3"/>
  <c r="D187" i="3"/>
  <c r="E187" i="3"/>
  <c r="F187" i="3"/>
  <c r="G187" i="3"/>
  <c r="H187" i="3"/>
  <c r="L187" i="3"/>
  <c r="N187" i="3"/>
  <c r="O187" i="3"/>
  <c r="Q187" i="3"/>
  <c r="R187" i="3"/>
  <c r="S187" i="3"/>
  <c r="T187" i="3"/>
  <c r="B188" i="3"/>
  <c r="C188" i="3"/>
  <c r="D188" i="3"/>
  <c r="E188" i="3"/>
  <c r="F188" i="3"/>
  <c r="G188" i="3"/>
  <c r="H188" i="3"/>
  <c r="L188" i="3"/>
  <c r="N188" i="3"/>
  <c r="O188" i="3"/>
  <c r="Q188" i="3"/>
  <c r="R188" i="3"/>
  <c r="S188" i="3"/>
  <c r="T188" i="3"/>
  <c r="B189" i="3"/>
  <c r="C189" i="3"/>
  <c r="D189" i="3"/>
  <c r="E189" i="3"/>
  <c r="F189" i="3"/>
  <c r="G189" i="3"/>
  <c r="H189" i="3"/>
  <c r="L189" i="3"/>
  <c r="N189" i="3"/>
  <c r="O189" i="3"/>
  <c r="Q189" i="3"/>
  <c r="R189" i="3"/>
  <c r="S189" i="3"/>
  <c r="T189" i="3"/>
  <c r="B190" i="3"/>
  <c r="C190" i="3"/>
  <c r="D190" i="3"/>
  <c r="E190" i="3"/>
  <c r="F190" i="3"/>
  <c r="G190" i="3"/>
  <c r="H190" i="3"/>
  <c r="L190" i="3"/>
  <c r="N190" i="3"/>
  <c r="O190" i="3"/>
  <c r="Q190" i="3"/>
  <c r="R190" i="3"/>
  <c r="S190" i="3"/>
  <c r="T190" i="3"/>
  <c r="B191" i="3"/>
  <c r="C191" i="3"/>
  <c r="D191" i="3"/>
  <c r="E191" i="3"/>
  <c r="F191" i="3"/>
  <c r="G191" i="3"/>
  <c r="H191" i="3"/>
  <c r="L191" i="3"/>
  <c r="N191" i="3"/>
  <c r="O191" i="3"/>
  <c r="Q191" i="3"/>
  <c r="R191" i="3"/>
  <c r="S191" i="3"/>
  <c r="T191" i="3"/>
  <c r="B192" i="3"/>
  <c r="C192" i="3"/>
  <c r="D192" i="3"/>
  <c r="E192" i="3"/>
  <c r="F192" i="3"/>
  <c r="G192" i="3"/>
  <c r="H192" i="3"/>
  <c r="L192" i="3"/>
  <c r="N192" i="3"/>
  <c r="O192" i="3"/>
  <c r="Q192" i="3"/>
  <c r="R192" i="3"/>
  <c r="S192" i="3"/>
  <c r="T192" i="3"/>
  <c r="B193" i="3"/>
  <c r="C193" i="3"/>
  <c r="D193" i="3"/>
  <c r="E193" i="3"/>
  <c r="F193" i="3"/>
  <c r="G193" i="3"/>
  <c r="H193" i="3"/>
  <c r="L193" i="3"/>
  <c r="N193" i="3"/>
  <c r="O193" i="3"/>
  <c r="Q193" i="3"/>
  <c r="R193" i="3"/>
  <c r="S193" i="3"/>
  <c r="T193" i="3"/>
  <c r="B194" i="3"/>
  <c r="C194" i="3"/>
  <c r="D194" i="3"/>
  <c r="E194" i="3"/>
  <c r="F194" i="3"/>
  <c r="G194" i="3"/>
  <c r="H194" i="3"/>
  <c r="L194" i="3"/>
  <c r="N194" i="3"/>
  <c r="O194" i="3"/>
  <c r="Q194" i="3"/>
  <c r="R194" i="3"/>
  <c r="S194" i="3"/>
  <c r="T194" i="3"/>
  <c r="B195" i="3"/>
  <c r="C195" i="3"/>
  <c r="D195" i="3"/>
  <c r="E195" i="3"/>
  <c r="F195" i="3"/>
  <c r="G195" i="3"/>
  <c r="H195" i="3"/>
  <c r="L195" i="3"/>
  <c r="N195" i="3"/>
  <c r="O195" i="3"/>
  <c r="Q195" i="3"/>
  <c r="R195" i="3"/>
  <c r="S195" i="3"/>
  <c r="T195" i="3"/>
  <c r="B196" i="3"/>
  <c r="C196" i="3"/>
  <c r="D196" i="3"/>
  <c r="E196" i="3"/>
  <c r="F196" i="3"/>
  <c r="G196" i="3"/>
  <c r="H196" i="3"/>
  <c r="L196" i="3"/>
  <c r="N196" i="3"/>
  <c r="O196" i="3"/>
  <c r="Q196" i="3"/>
  <c r="R196" i="3"/>
  <c r="S196" i="3"/>
  <c r="T196" i="3"/>
  <c r="B197" i="3"/>
  <c r="C197" i="3"/>
  <c r="D197" i="3"/>
  <c r="E197" i="3"/>
  <c r="F197" i="3"/>
  <c r="G197" i="3"/>
  <c r="H197" i="3"/>
  <c r="L197" i="3"/>
  <c r="N197" i="3"/>
  <c r="O197" i="3"/>
  <c r="Q197" i="3"/>
  <c r="R197" i="3"/>
  <c r="S197" i="3"/>
  <c r="T197" i="3"/>
  <c r="B198" i="3"/>
  <c r="C198" i="3"/>
  <c r="D198" i="3"/>
  <c r="E198" i="3"/>
  <c r="F198" i="3"/>
  <c r="G198" i="3"/>
  <c r="H198" i="3"/>
  <c r="L198" i="3"/>
  <c r="N198" i="3"/>
  <c r="O198" i="3"/>
  <c r="Q198" i="3"/>
  <c r="R198" i="3"/>
  <c r="S198" i="3"/>
  <c r="T198" i="3"/>
  <c r="B199" i="3"/>
  <c r="C199" i="3"/>
  <c r="D199" i="3"/>
  <c r="E199" i="3"/>
  <c r="F199" i="3"/>
  <c r="G199" i="3"/>
  <c r="H199" i="3"/>
  <c r="L199" i="3"/>
  <c r="N199" i="3"/>
  <c r="O199" i="3"/>
  <c r="Q199" i="3"/>
  <c r="R199" i="3"/>
  <c r="S199" i="3"/>
  <c r="T199" i="3"/>
  <c r="B200" i="3"/>
  <c r="C200" i="3"/>
  <c r="D200" i="3"/>
  <c r="E200" i="3"/>
  <c r="F200" i="3"/>
  <c r="G200" i="3"/>
  <c r="H200" i="3"/>
  <c r="L200" i="3"/>
  <c r="N200" i="3"/>
  <c r="O200" i="3"/>
  <c r="Q200" i="3"/>
  <c r="R200" i="3"/>
  <c r="S200" i="3"/>
  <c r="T200" i="3"/>
  <c r="B201" i="3"/>
  <c r="C201" i="3"/>
  <c r="D201" i="3"/>
  <c r="E201" i="3"/>
  <c r="F201" i="3"/>
  <c r="G201" i="3"/>
  <c r="H201" i="3"/>
  <c r="L201" i="3"/>
  <c r="N201" i="3"/>
  <c r="O201" i="3"/>
  <c r="Q201" i="3"/>
  <c r="R201" i="3"/>
  <c r="S201" i="3"/>
  <c r="T201" i="3"/>
  <c r="B202" i="3"/>
  <c r="C202" i="3"/>
  <c r="D202" i="3"/>
  <c r="E202" i="3"/>
  <c r="F202" i="3"/>
  <c r="G202" i="3"/>
  <c r="H202" i="3"/>
  <c r="L202" i="3"/>
  <c r="N202" i="3"/>
  <c r="O202" i="3"/>
  <c r="Q202" i="3"/>
  <c r="R202" i="3"/>
  <c r="S202" i="3"/>
  <c r="T202" i="3"/>
  <c r="B203" i="3"/>
  <c r="C203" i="3"/>
  <c r="D203" i="3"/>
  <c r="E203" i="3"/>
  <c r="F203" i="3"/>
  <c r="G203" i="3"/>
  <c r="H203" i="3"/>
  <c r="L203" i="3"/>
  <c r="N203" i="3"/>
  <c r="O203" i="3"/>
  <c r="Q203" i="3"/>
  <c r="R203" i="3"/>
  <c r="S203" i="3"/>
  <c r="T203" i="3"/>
  <c r="B204" i="3"/>
  <c r="C204" i="3"/>
  <c r="D204" i="3"/>
  <c r="E204" i="3"/>
  <c r="F204" i="3"/>
  <c r="G204" i="3"/>
  <c r="H204" i="3"/>
  <c r="L204" i="3"/>
  <c r="N204" i="3"/>
  <c r="O204" i="3"/>
  <c r="Q204" i="3"/>
  <c r="R204" i="3"/>
  <c r="S204" i="3"/>
  <c r="T204" i="3"/>
  <c r="B205" i="3"/>
  <c r="C205" i="3"/>
  <c r="D205" i="3"/>
  <c r="E205" i="3"/>
  <c r="F205" i="3"/>
  <c r="G205" i="3"/>
  <c r="H205" i="3"/>
  <c r="L205" i="3"/>
  <c r="N205" i="3"/>
  <c r="O205" i="3"/>
  <c r="Q205" i="3"/>
  <c r="R205" i="3"/>
  <c r="S205" i="3"/>
  <c r="T205" i="3"/>
  <c r="B206" i="3"/>
  <c r="C206" i="3"/>
  <c r="D206" i="3"/>
  <c r="E206" i="3"/>
  <c r="F206" i="3"/>
  <c r="G206" i="3"/>
  <c r="H206" i="3"/>
  <c r="L206" i="3"/>
  <c r="N206" i="3"/>
  <c r="O206" i="3"/>
  <c r="Q206" i="3"/>
  <c r="R206" i="3"/>
  <c r="S206" i="3"/>
  <c r="T206" i="3"/>
  <c r="B207" i="3"/>
  <c r="C207" i="3"/>
  <c r="D207" i="3"/>
  <c r="E207" i="3"/>
  <c r="F207" i="3"/>
  <c r="G207" i="3"/>
  <c r="H207" i="3"/>
  <c r="L207" i="3"/>
  <c r="N207" i="3"/>
  <c r="O207" i="3"/>
  <c r="Q207" i="3"/>
  <c r="R207" i="3"/>
  <c r="S207" i="3"/>
  <c r="T207" i="3"/>
  <c r="B208" i="3"/>
  <c r="C208" i="3"/>
  <c r="D208" i="3"/>
  <c r="E208" i="3"/>
  <c r="F208" i="3"/>
  <c r="G208" i="3"/>
  <c r="H208" i="3"/>
  <c r="L208" i="3"/>
  <c r="N208" i="3"/>
  <c r="O208" i="3"/>
  <c r="Q208" i="3"/>
  <c r="R208" i="3"/>
  <c r="S208" i="3"/>
  <c r="T208" i="3"/>
  <c r="B209" i="3"/>
  <c r="C209" i="3"/>
  <c r="D209" i="3"/>
  <c r="E209" i="3"/>
  <c r="F209" i="3"/>
  <c r="G209" i="3"/>
  <c r="H209" i="3"/>
  <c r="L209" i="3"/>
  <c r="N209" i="3"/>
  <c r="O209" i="3"/>
  <c r="Q209" i="3"/>
  <c r="R209" i="3"/>
  <c r="S209" i="3"/>
  <c r="T209" i="3"/>
  <c r="B210" i="3"/>
  <c r="C210" i="3"/>
  <c r="D210" i="3"/>
  <c r="E210" i="3"/>
  <c r="F210" i="3"/>
  <c r="G210" i="3"/>
  <c r="H210" i="3"/>
  <c r="L210" i="3"/>
  <c r="N210" i="3"/>
  <c r="O210" i="3"/>
  <c r="Q210" i="3"/>
  <c r="R210" i="3"/>
  <c r="S210" i="3"/>
  <c r="T210" i="3"/>
  <c r="B211" i="3"/>
  <c r="C211" i="3"/>
  <c r="D211" i="3"/>
  <c r="E211" i="3"/>
  <c r="F211" i="3"/>
  <c r="G211" i="3"/>
  <c r="H211" i="3"/>
  <c r="L211" i="3"/>
  <c r="N211" i="3"/>
  <c r="O211" i="3"/>
  <c r="Q211" i="3"/>
  <c r="R211" i="3"/>
  <c r="S211" i="3"/>
  <c r="T211" i="3"/>
  <c r="B212" i="3"/>
  <c r="C212" i="3"/>
  <c r="D212" i="3"/>
  <c r="E212" i="3"/>
  <c r="F212" i="3"/>
  <c r="G212" i="3"/>
  <c r="H212" i="3"/>
  <c r="L212" i="3"/>
  <c r="N212" i="3"/>
  <c r="O212" i="3"/>
  <c r="Q212" i="3"/>
  <c r="R212" i="3"/>
  <c r="S212" i="3"/>
  <c r="T212" i="3"/>
  <c r="B213" i="3"/>
  <c r="C213" i="3"/>
  <c r="D213" i="3"/>
  <c r="E213" i="3"/>
  <c r="F213" i="3"/>
  <c r="G213" i="3"/>
  <c r="H213" i="3"/>
  <c r="L213" i="3"/>
  <c r="N213" i="3"/>
  <c r="O213" i="3"/>
  <c r="Q213" i="3"/>
  <c r="R213" i="3"/>
  <c r="S213" i="3"/>
  <c r="T213" i="3"/>
  <c r="B214" i="3"/>
  <c r="C214" i="3"/>
  <c r="D214" i="3"/>
  <c r="E214" i="3"/>
  <c r="F214" i="3"/>
  <c r="G214" i="3"/>
  <c r="H214" i="3"/>
  <c r="L214" i="3"/>
  <c r="N214" i="3"/>
  <c r="O214" i="3"/>
  <c r="Q214" i="3"/>
  <c r="R214" i="3"/>
  <c r="S214" i="3"/>
  <c r="T214" i="3"/>
  <c r="B215" i="3"/>
  <c r="C215" i="3"/>
  <c r="D215" i="3"/>
  <c r="E215" i="3"/>
  <c r="F215" i="3"/>
  <c r="G215" i="3"/>
  <c r="H215" i="3"/>
  <c r="L215" i="3"/>
  <c r="N215" i="3"/>
  <c r="O215" i="3"/>
  <c r="Q215" i="3"/>
  <c r="R215" i="3"/>
  <c r="S215" i="3"/>
  <c r="T215" i="3"/>
  <c r="B216" i="3"/>
  <c r="C216" i="3"/>
  <c r="D216" i="3"/>
  <c r="E216" i="3"/>
  <c r="F216" i="3"/>
  <c r="G216" i="3"/>
  <c r="H216" i="3"/>
  <c r="L216" i="3"/>
  <c r="N216" i="3"/>
  <c r="O216" i="3"/>
  <c r="Q216" i="3"/>
  <c r="R216" i="3"/>
  <c r="S216" i="3"/>
  <c r="T216" i="3"/>
  <c r="B217" i="3"/>
  <c r="C217" i="3"/>
  <c r="D217" i="3"/>
  <c r="E217" i="3"/>
  <c r="F217" i="3"/>
  <c r="G217" i="3"/>
  <c r="H217" i="3"/>
  <c r="L217" i="3"/>
  <c r="N217" i="3"/>
  <c r="O217" i="3"/>
  <c r="Q217" i="3"/>
  <c r="R217" i="3"/>
  <c r="S217" i="3"/>
  <c r="T217" i="3"/>
  <c r="B218" i="3"/>
  <c r="C218" i="3"/>
  <c r="D218" i="3"/>
  <c r="E218" i="3"/>
  <c r="F218" i="3"/>
  <c r="G218" i="3"/>
  <c r="H218" i="3"/>
  <c r="L218" i="3"/>
  <c r="N218" i="3"/>
  <c r="O218" i="3"/>
  <c r="Q218" i="3"/>
  <c r="R218" i="3"/>
  <c r="S218" i="3"/>
  <c r="T218" i="3"/>
  <c r="B219" i="3"/>
  <c r="C219" i="3"/>
  <c r="D219" i="3"/>
  <c r="E219" i="3"/>
  <c r="F219" i="3"/>
  <c r="G219" i="3"/>
  <c r="H219" i="3"/>
  <c r="L219" i="3"/>
  <c r="N219" i="3"/>
  <c r="O219" i="3"/>
  <c r="Q219" i="3"/>
  <c r="R219" i="3"/>
  <c r="S219" i="3"/>
  <c r="T219" i="3"/>
  <c r="B220" i="3"/>
  <c r="C220" i="3"/>
  <c r="D220" i="3"/>
  <c r="E220" i="3"/>
  <c r="F220" i="3"/>
  <c r="G220" i="3"/>
  <c r="H220" i="3"/>
  <c r="L220" i="3"/>
  <c r="N220" i="3"/>
  <c r="O220" i="3"/>
  <c r="Q220" i="3"/>
  <c r="R220" i="3"/>
  <c r="S220" i="3"/>
  <c r="T220" i="3"/>
  <c r="B221" i="3"/>
  <c r="C221" i="3"/>
  <c r="D221" i="3"/>
  <c r="E221" i="3"/>
  <c r="F221" i="3"/>
  <c r="G221" i="3"/>
  <c r="H221" i="3"/>
  <c r="L221" i="3"/>
  <c r="N221" i="3"/>
  <c r="O221" i="3"/>
  <c r="Q221" i="3"/>
  <c r="R221" i="3"/>
  <c r="S221" i="3"/>
  <c r="T221" i="3"/>
  <c r="B222" i="3"/>
  <c r="C222" i="3"/>
  <c r="D222" i="3"/>
  <c r="E222" i="3"/>
  <c r="F222" i="3"/>
  <c r="G222" i="3"/>
  <c r="H222" i="3"/>
  <c r="L222" i="3"/>
  <c r="N222" i="3"/>
  <c r="O222" i="3"/>
  <c r="Q222" i="3"/>
  <c r="R222" i="3"/>
  <c r="S222" i="3"/>
  <c r="T222" i="3"/>
  <c r="B223" i="3"/>
  <c r="C223" i="3"/>
  <c r="D223" i="3"/>
  <c r="E223" i="3"/>
  <c r="F223" i="3"/>
  <c r="G223" i="3"/>
  <c r="H223" i="3"/>
  <c r="L223" i="3"/>
  <c r="N223" i="3"/>
  <c r="O223" i="3"/>
  <c r="Q223" i="3"/>
  <c r="R223" i="3"/>
  <c r="S223" i="3"/>
  <c r="T223" i="3"/>
  <c r="B224" i="3"/>
  <c r="C224" i="3"/>
  <c r="D224" i="3"/>
  <c r="E224" i="3"/>
  <c r="F224" i="3"/>
  <c r="G224" i="3"/>
  <c r="H224" i="3"/>
  <c r="L224" i="3"/>
  <c r="N224" i="3"/>
  <c r="O224" i="3"/>
  <c r="Q224" i="3"/>
  <c r="R224" i="3"/>
  <c r="S224" i="3"/>
  <c r="T224" i="3"/>
  <c r="B225" i="3"/>
  <c r="C225" i="3"/>
  <c r="D225" i="3"/>
  <c r="E225" i="3"/>
  <c r="F225" i="3"/>
  <c r="G225" i="3"/>
  <c r="H225" i="3"/>
  <c r="L225" i="3"/>
  <c r="N225" i="3"/>
  <c r="O225" i="3"/>
  <c r="Q225" i="3"/>
  <c r="R225" i="3"/>
  <c r="S225" i="3"/>
  <c r="T225" i="3"/>
  <c r="B226" i="3"/>
  <c r="C226" i="3"/>
  <c r="D226" i="3"/>
  <c r="E226" i="3"/>
  <c r="F226" i="3"/>
  <c r="G226" i="3"/>
  <c r="H226" i="3"/>
  <c r="L226" i="3"/>
  <c r="N226" i="3"/>
  <c r="O226" i="3"/>
  <c r="Q226" i="3"/>
  <c r="R226" i="3"/>
  <c r="S226" i="3"/>
  <c r="T226" i="3"/>
  <c r="B227" i="3"/>
  <c r="C227" i="3"/>
  <c r="D227" i="3"/>
  <c r="E227" i="3"/>
  <c r="F227" i="3"/>
  <c r="G227" i="3"/>
  <c r="H227" i="3"/>
  <c r="L227" i="3"/>
  <c r="N227" i="3"/>
  <c r="O227" i="3"/>
  <c r="Q227" i="3"/>
  <c r="R227" i="3"/>
  <c r="S227" i="3"/>
  <c r="T227" i="3"/>
  <c r="B228" i="3"/>
  <c r="C228" i="3"/>
  <c r="D228" i="3"/>
  <c r="E228" i="3"/>
  <c r="F228" i="3"/>
  <c r="G228" i="3"/>
  <c r="H228" i="3"/>
  <c r="L228" i="3"/>
  <c r="N228" i="3"/>
  <c r="O228" i="3"/>
  <c r="Q228" i="3"/>
  <c r="R228" i="3"/>
  <c r="S228" i="3"/>
  <c r="T228" i="3"/>
  <c r="B229" i="3"/>
  <c r="C229" i="3"/>
  <c r="D229" i="3"/>
  <c r="E229" i="3"/>
  <c r="F229" i="3"/>
  <c r="G229" i="3"/>
  <c r="H229" i="3"/>
  <c r="L229" i="3"/>
  <c r="N229" i="3"/>
  <c r="O229" i="3"/>
  <c r="Q229" i="3"/>
  <c r="R229" i="3"/>
  <c r="S229" i="3"/>
  <c r="T229" i="3"/>
  <c r="B230" i="3"/>
  <c r="C230" i="3"/>
  <c r="D230" i="3"/>
  <c r="E230" i="3"/>
  <c r="F230" i="3"/>
  <c r="G230" i="3"/>
  <c r="H230" i="3"/>
  <c r="L230" i="3"/>
  <c r="N230" i="3"/>
  <c r="O230" i="3"/>
  <c r="Q230" i="3"/>
  <c r="R230" i="3"/>
  <c r="S230" i="3"/>
  <c r="T230" i="3"/>
  <c r="B231" i="3"/>
  <c r="C231" i="3"/>
  <c r="D231" i="3"/>
  <c r="E231" i="3"/>
  <c r="F231" i="3"/>
  <c r="G231" i="3"/>
  <c r="H231" i="3"/>
  <c r="L231" i="3"/>
  <c r="N231" i="3"/>
  <c r="O231" i="3"/>
  <c r="Q231" i="3"/>
  <c r="R231" i="3"/>
  <c r="S231" i="3"/>
  <c r="T231" i="3"/>
  <c r="B232" i="3"/>
  <c r="C232" i="3"/>
  <c r="D232" i="3"/>
  <c r="E232" i="3"/>
  <c r="F232" i="3"/>
  <c r="G232" i="3"/>
  <c r="H232" i="3"/>
  <c r="L232" i="3"/>
  <c r="N232" i="3"/>
  <c r="O232" i="3"/>
  <c r="Q232" i="3"/>
  <c r="R232" i="3"/>
  <c r="S232" i="3"/>
  <c r="T232" i="3"/>
  <c r="B233" i="3"/>
  <c r="C233" i="3"/>
  <c r="D233" i="3"/>
  <c r="E233" i="3"/>
  <c r="F233" i="3"/>
  <c r="G233" i="3"/>
  <c r="H233" i="3"/>
  <c r="L233" i="3"/>
  <c r="N233" i="3"/>
  <c r="O233" i="3"/>
  <c r="Q233" i="3"/>
  <c r="R233" i="3"/>
  <c r="S233" i="3"/>
  <c r="T233" i="3"/>
  <c r="B234" i="3"/>
  <c r="C234" i="3"/>
  <c r="D234" i="3"/>
  <c r="E234" i="3"/>
  <c r="F234" i="3"/>
  <c r="G234" i="3"/>
  <c r="H234" i="3"/>
  <c r="L234" i="3"/>
  <c r="N234" i="3"/>
  <c r="O234" i="3"/>
  <c r="Q234" i="3"/>
  <c r="R234" i="3"/>
  <c r="S234" i="3"/>
  <c r="T234" i="3"/>
  <c r="B235" i="3"/>
  <c r="C235" i="3"/>
  <c r="D235" i="3"/>
  <c r="E235" i="3"/>
  <c r="F235" i="3"/>
  <c r="G235" i="3"/>
  <c r="H235" i="3"/>
  <c r="L235" i="3"/>
  <c r="N235" i="3"/>
  <c r="O235" i="3"/>
  <c r="Q235" i="3"/>
  <c r="R235" i="3"/>
  <c r="S235" i="3"/>
  <c r="T235" i="3"/>
  <c r="B236" i="3"/>
  <c r="C236" i="3"/>
  <c r="D236" i="3"/>
  <c r="E236" i="3"/>
  <c r="F236" i="3"/>
  <c r="G236" i="3"/>
  <c r="H236" i="3"/>
  <c r="L236" i="3"/>
  <c r="N236" i="3"/>
  <c r="O236" i="3"/>
  <c r="Q236" i="3"/>
  <c r="R236" i="3"/>
  <c r="S236" i="3"/>
  <c r="T236" i="3"/>
  <c r="B237" i="3"/>
  <c r="C237" i="3"/>
  <c r="D237" i="3"/>
  <c r="E237" i="3"/>
  <c r="F237" i="3"/>
  <c r="G237" i="3"/>
  <c r="H237" i="3"/>
  <c r="L237" i="3"/>
  <c r="N237" i="3"/>
  <c r="O237" i="3"/>
  <c r="Q237" i="3"/>
  <c r="R237" i="3"/>
  <c r="S237" i="3"/>
  <c r="T237" i="3"/>
  <c r="B238" i="3"/>
  <c r="C238" i="3"/>
  <c r="D238" i="3"/>
  <c r="E238" i="3"/>
  <c r="F238" i="3"/>
  <c r="G238" i="3"/>
  <c r="H238" i="3"/>
  <c r="L238" i="3"/>
  <c r="N238" i="3"/>
  <c r="O238" i="3"/>
  <c r="Q238" i="3"/>
  <c r="R238" i="3"/>
  <c r="S238" i="3"/>
  <c r="T238" i="3"/>
  <c r="B239" i="3"/>
  <c r="C239" i="3"/>
  <c r="D239" i="3"/>
  <c r="E239" i="3"/>
  <c r="F239" i="3"/>
  <c r="G239" i="3"/>
  <c r="H239" i="3"/>
  <c r="L239" i="3"/>
  <c r="N239" i="3"/>
  <c r="O239" i="3"/>
  <c r="Q239" i="3"/>
  <c r="R239" i="3"/>
  <c r="S239" i="3"/>
  <c r="T239" i="3"/>
  <c r="B240" i="3"/>
  <c r="C240" i="3"/>
  <c r="D240" i="3"/>
  <c r="E240" i="3"/>
  <c r="F240" i="3"/>
  <c r="G240" i="3"/>
  <c r="H240" i="3"/>
  <c r="L240" i="3"/>
  <c r="N240" i="3"/>
  <c r="O240" i="3"/>
  <c r="Q240" i="3"/>
  <c r="R240" i="3"/>
  <c r="S240" i="3"/>
  <c r="T240" i="3"/>
  <c r="B241" i="3"/>
  <c r="C241" i="3"/>
  <c r="D241" i="3"/>
  <c r="E241" i="3"/>
  <c r="F241" i="3"/>
  <c r="G241" i="3"/>
  <c r="H241" i="3"/>
  <c r="L241" i="3"/>
  <c r="N241" i="3"/>
  <c r="O241" i="3"/>
  <c r="Q241" i="3"/>
  <c r="R241" i="3"/>
  <c r="S241" i="3"/>
  <c r="T241" i="3"/>
  <c r="B242" i="3"/>
  <c r="C242" i="3"/>
  <c r="D242" i="3"/>
  <c r="E242" i="3"/>
  <c r="F242" i="3"/>
  <c r="G242" i="3"/>
  <c r="H242" i="3"/>
  <c r="L242" i="3"/>
  <c r="N242" i="3"/>
  <c r="O242" i="3"/>
  <c r="Q242" i="3"/>
  <c r="R242" i="3"/>
  <c r="S242" i="3"/>
  <c r="T242" i="3"/>
  <c r="B243" i="3"/>
  <c r="C243" i="3"/>
  <c r="D243" i="3"/>
  <c r="E243" i="3"/>
  <c r="F243" i="3"/>
  <c r="G243" i="3"/>
  <c r="H243" i="3"/>
  <c r="L243" i="3"/>
  <c r="N243" i="3"/>
  <c r="O243" i="3"/>
  <c r="Q243" i="3"/>
  <c r="R243" i="3"/>
  <c r="S243" i="3"/>
  <c r="T243" i="3"/>
  <c r="B244" i="3"/>
  <c r="C244" i="3"/>
  <c r="D244" i="3"/>
  <c r="E244" i="3"/>
  <c r="F244" i="3"/>
  <c r="G244" i="3"/>
  <c r="H244" i="3"/>
  <c r="L244" i="3"/>
  <c r="N244" i="3"/>
  <c r="O244" i="3"/>
  <c r="Q244" i="3"/>
  <c r="R244" i="3"/>
  <c r="S244" i="3"/>
  <c r="T244" i="3"/>
  <c r="B245" i="3"/>
  <c r="C245" i="3"/>
  <c r="D245" i="3"/>
  <c r="E245" i="3"/>
  <c r="F245" i="3"/>
  <c r="G245" i="3"/>
  <c r="H245" i="3"/>
  <c r="L245" i="3"/>
  <c r="N245" i="3"/>
  <c r="O245" i="3"/>
  <c r="Q245" i="3"/>
  <c r="R245" i="3"/>
  <c r="S245" i="3"/>
  <c r="T245" i="3"/>
  <c r="B246" i="3"/>
  <c r="C246" i="3"/>
  <c r="D246" i="3"/>
  <c r="E246" i="3"/>
  <c r="F246" i="3"/>
  <c r="G246" i="3"/>
  <c r="H246" i="3"/>
  <c r="L246" i="3"/>
  <c r="N246" i="3"/>
  <c r="O246" i="3"/>
  <c r="Q246" i="3"/>
  <c r="R246" i="3"/>
  <c r="S246" i="3"/>
  <c r="T246" i="3"/>
  <c r="B247" i="3"/>
  <c r="C247" i="3"/>
  <c r="D247" i="3"/>
  <c r="E247" i="3"/>
  <c r="F247" i="3"/>
  <c r="G247" i="3"/>
  <c r="H247" i="3"/>
  <c r="L247" i="3"/>
  <c r="N247" i="3"/>
  <c r="O247" i="3"/>
  <c r="Q247" i="3"/>
  <c r="R247" i="3"/>
  <c r="S247" i="3"/>
  <c r="T247" i="3"/>
  <c r="B248" i="3"/>
  <c r="C248" i="3"/>
  <c r="D248" i="3"/>
  <c r="E248" i="3"/>
  <c r="F248" i="3"/>
  <c r="G248" i="3"/>
  <c r="H248" i="3"/>
  <c r="L248" i="3"/>
  <c r="N248" i="3"/>
  <c r="O248" i="3"/>
  <c r="Q248" i="3"/>
  <c r="R248" i="3"/>
  <c r="S248" i="3"/>
  <c r="T248" i="3"/>
  <c r="B249" i="3"/>
  <c r="C249" i="3"/>
  <c r="D249" i="3"/>
  <c r="E249" i="3"/>
  <c r="F249" i="3"/>
  <c r="G249" i="3"/>
  <c r="H249" i="3"/>
  <c r="L249" i="3"/>
  <c r="N249" i="3"/>
  <c r="O249" i="3"/>
  <c r="Q249" i="3"/>
  <c r="R249" i="3"/>
  <c r="S249" i="3"/>
  <c r="T249" i="3"/>
  <c r="B250" i="3"/>
  <c r="C250" i="3"/>
  <c r="D250" i="3"/>
  <c r="E250" i="3"/>
  <c r="F250" i="3"/>
  <c r="G250" i="3"/>
  <c r="H250" i="3"/>
  <c r="L250" i="3"/>
  <c r="N250" i="3"/>
  <c r="O250" i="3"/>
  <c r="Q250" i="3"/>
  <c r="R250" i="3"/>
  <c r="S250" i="3"/>
  <c r="T250" i="3"/>
  <c r="B251" i="3"/>
  <c r="C251" i="3"/>
  <c r="D251" i="3"/>
  <c r="E251" i="3"/>
  <c r="F251" i="3"/>
  <c r="G251" i="3"/>
  <c r="H251" i="3"/>
  <c r="L251" i="3"/>
  <c r="N251" i="3"/>
  <c r="O251" i="3"/>
  <c r="Q251" i="3"/>
  <c r="R251" i="3"/>
  <c r="S251" i="3"/>
  <c r="T251" i="3"/>
  <c r="B252" i="3"/>
  <c r="C252" i="3"/>
  <c r="D252" i="3"/>
  <c r="E252" i="3"/>
  <c r="F252" i="3"/>
  <c r="G252" i="3"/>
  <c r="H252" i="3"/>
  <c r="L252" i="3"/>
  <c r="N252" i="3"/>
  <c r="O252" i="3"/>
  <c r="Q252" i="3"/>
  <c r="R252" i="3"/>
  <c r="S252" i="3"/>
  <c r="T252" i="3"/>
  <c r="B253" i="3"/>
  <c r="C253" i="3"/>
  <c r="D253" i="3"/>
  <c r="E253" i="3"/>
  <c r="F253" i="3"/>
  <c r="G253" i="3"/>
  <c r="H253" i="3"/>
  <c r="L253" i="3"/>
  <c r="N253" i="3"/>
  <c r="O253" i="3"/>
  <c r="Q253" i="3"/>
  <c r="R253" i="3"/>
  <c r="S253" i="3"/>
  <c r="T253" i="3"/>
  <c r="B254" i="3"/>
  <c r="C254" i="3"/>
  <c r="D254" i="3"/>
  <c r="E254" i="3"/>
  <c r="F254" i="3"/>
  <c r="G254" i="3"/>
  <c r="H254" i="3"/>
  <c r="L254" i="3"/>
  <c r="N254" i="3"/>
  <c r="O254" i="3"/>
  <c r="Q254" i="3"/>
  <c r="R254" i="3"/>
  <c r="S254" i="3"/>
  <c r="T254" i="3"/>
  <c r="B255" i="3"/>
  <c r="C255" i="3"/>
  <c r="D255" i="3"/>
  <c r="E255" i="3"/>
  <c r="F255" i="3"/>
  <c r="G255" i="3"/>
  <c r="H255" i="3"/>
  <c r="L255" i="3"/>
  <c r="N255" i="3"/>
  <c r="O255" i="3"/>
  <c r="Q255" i="3"/>
  <c r="R255" i="3"/>
  <c r="S255" i="3"/>
  <c r="T255" i="3"/>
  <c r="B256" i="3"/>
  <c r="C256" i="3"/>
  <c r="D256" i="3"/>
  <c r="E256" i="3"/>
  <c r="F256" i="3"/>
  <c r="G256" i="3"/>
  <c r="H256" i="3"/>
  <c r="L256" i="3"/>
  <c r="N256" i="3"/>
  <c r="O256" i="3"/>
  <c r="Q256" i="3"/>
  <c r="R256" i="3"/>
  <c r="S256" i="3"/>
  <c r="T256" i="3"/>
  <c r="B257" i="3"/>
  <c r="C257" i="3"/>
  <c r="D257" i="3"/>
  <c r="E257" i="3"/>
  <c r="F257" i="3"/>
  <c r="G257" i="3"/>
  <c r="H257" i="3"/>
  <c r="L257" i="3"/>
  <c r="N257" i="3"/>
  <c r="O257" i="3"/>
  <c r="Q257" i="3"/>
  <c r="R257" i="3"/>
  <c r="S257" i="3"/>
  <c r="T257" i="3"/>
  <c r="B258" i="3"/>
  <c r="C258" i="3"/>
  <c r="D258" i="3"/>
  <c r="E258" i="3"/>
  <c r="F258" i="3"/>
  <c r="G258" i="3"/>
  <c r="H258" i="3"/>
  <c r="L258" i="3"/>
  <c r="N258" i="3"/>
  <c r="O258" i="3"/>
  <c r="Q258" i="3"/>
  <c r="R258" i="3"/>
  <c r="S258" i="3"/>
  <c r="T258" i="3"/>
  <c r="B259" i="3"/>
  <c r="C259" i="3"/>
  <c r="D259" i="3"/>
  <c r="E259" i="3"/>
  <c r="F259" i="3"/>
  <c r="G259" i="3"/>
  <c r="H259" i="3"/>
  <c r="L259" i="3"/>
  <c r="N259" i="3"/>
  <c r="O259" i="3"/>
  <c r="Q259" i="3"/>
  <c r="R259" i="3"/>
  <c r="S259" i="3"/>
  <c r="T259" i="3"/>
  <c r="B260" i="3"/>
  <c r="C260" i="3"/>
  <c r="D260" i="3"/>
  <c r="E260" i="3"/>
  <c r="F260" i="3"/>
  <c r="G260" i="3"/>
  <c r="H260" i="3"/>
  <c r="L260" i="3"/>
  <c r="N260" i="3"/>
  <c r="O260" i="3"/>
  <c r="Q260" i="3"/>
  <c r="R260" i="3"/>
  <c r="S260" i="3"/>
  <c r="T260" i="3"/>
  <c r="B261" i="3"/>
  <c r="C261" i="3"/>
  <c r="D261" i="3"/>
  <c r="E261" i="3"/>
  <c r="F261" i="3"/>
  <c r="G261" i="3"/>
  <c r="H261" i="3"/>
  <c r="L261" i="3"/>
  <c r="N261" i="3"/>
  <c r="O261" i="3"/>
  <c r="Q261" i="3"/>
  <c r="R261" i="3"/>
  <c r="S261" i="3"/>
  <c r="T261" i="3"/>
  <c r="B262" i="3"/>
  <c r="C262" i="3"/>
  <c r="D262" i="3"/>
  <c r="E262" i="3"/>
  <c r="F262" i="3"/>
  <c r="G262" i="3"/>
  <c r="H262" i="3"/>
  <c r="L262" i="3"/>
  <c r="N262" i="3"/>
  <c r="O262" i="3"/>
  <c r="Q262" i="3"/>
  <c r="R262" i="3"/>
  <c r="S262" i="3"/>
  <c r="T262" i="3"/>
  <c r="B263" i="3"/>
  <c r="C263" i="3"/>
  <c r="D263" i="3"/>
  <c r="E263" i="3"/>
  <c r="F263" i="3"/>
  <c r="G263" i="3"/>
  <c r="H263" i="3"/>
  <c r="L263" i="3"/>
  <c r="N263" i="3"/>
  <c r="O263" i="3"/>
  <c r="Q263" i="3"/>
  <c r="R263" i="3"/>
  <c r="S263" i="3"/>
  <c r="T263" i="3"/>
  <c r="B264" i="3"/>
  <c r="C264" i="3"/>
  <c r="D264" i="3"/>
  <c r="E264" i="3"/>
  <c r="F264" i="3"/>
  <c r="G264" i="3"/>
  <c r="H264" i="3"/>
  <c r="L264" i="3"/>
  <c r="N264" i="3"/>
  <c r="O264" i="3"/>
  <c r="Q264" i="3"/>
  <c r="R264" i="3"/>
  <c r="S264" i="3"/>
  <c r="T264" i="3"/>
  <c r="B265" i="3"/>
  <c r="C265" i="3"/>
  <c r="D265" i="3"/>
  <c r="E265" i="3"/>
  <c r="F265" i="3"/>
  <c r="G265" i="3"/>
  <c r="H265" i="3"/>
  <c r="L265" i="3"/>
  <c r="N265" i="3"/>
  <c r="O265" i="3"/>
  <c r="Q265" i="3"/>
  <c r="R265" i="3"/>
  <c r="S265" i="3"/>
  <c r="T265" i="3"/>
  <c r="B266" i="3"/>
  <c r="C266" i="3"/>
  <c r="D266" i="3"/>
  <c r="E266" i="3"/>
  <c r="F266" i="3"/>
  <c r="G266" i="3"/>
  <c r="H266" i="3"/>
  <c r="L266" i="3"/>
  <c r="N266" i="3"/>
  <c r="O266" i="3"/>
  <c r="Q266" i="3"/>
  <c r="R266" i="3"/>
  <c r="S266" i="3"/>
  <c r="T266" i="3"/>
  <c r="B267" i="3"/>
  <c r="C267" i="3"/>
  <c r="D267" i="3"/>
  <c r="E267" i="3"/>
  <c r="F267" i="3"/>
  <c r="G267" i="3"/>
  <c r="H267" i="3"/>
  <c r="L267" i="3"/>
  <c r="N267" i="3"/>
  <c r="O267" i="3"/>
  <c r="Q267" i="3"/>
  <c r="R267" i="3"/>
  <c r="S267" i="3"/>
  <c r="T267" i="3"/>
  <c r="B268" i="3"/>
  <c r="C268" i="3"/>
  <c r="D268" i="3"/>
  <c r="E268" i="3"/>
  <c r="F268" i="3"/>
  <c r="G268" i="3"/>
  <c r="H268" i="3"/>
  <c r="L268" i="3"/>
  <c r="N268" i="3"/>
  <c r="O268" i="3"/>
  <c r="Q268" i="3"/>
  <c r="R268" i="3"/>
  <c r="S268" i="3"/>
  <c r="T268" i="3"/>
  <c r="B269" i="3"/>
  <c r="C269" i="3"/>
  <c r="D269" i="3"/>
  <c r="E269" i="3"/>
  <c r="F269" i="3"/>
  <c r="G269" i="3"/>
  <c r="H269" i="3"/>
  <c r="L269" i="3"/>
  <c r="N269" i="3"/>
  <c r="O269" i="3"/>
  <c r="Q269" i="3"/>
  <c r="R269" i="3"/>
  <c r="S269" i="3"/>
  <c r="T269" i="3"/>
  <c r="B270" i="3"/>
  <c r="C270" i="3"/>
  <c r="D270" i="3"/>
  <c r="E270" i="3"/>
  <c r="F270" i="3"/>
  <c r="G270" i="3"/>
  <c r="H270" i="3"/>
  <c r="L270" i="3"/>
  <c r="N270" i="3"/>
  <c r="O270" i="3"/>
  <c r="Q270" i="3"/>
  <c r="R270" i="3"/>
  <c r="S270" i="3"/>
  <c r="T270" i="3"/>
  <c r="B271" i="3"/>
  <c r="C271" i="3"/>
  <c r="D271" i="3"/>
  <c r="E271" i="3"/>
  <c r="F271" i="3"/>
  <c r="G271" i="3"/>
  <c r="H271" i="3"/>
  <c r="L271" i="3"/>
  <c r="N271" i="3"/>
  <c r="O271" i="3"/>
  <c r="Q271" i="3"/>
  <c r="R271" i="3"/>
  <c r="S271" i="3"/>
  <c r="T271" i="3"/>
  <c r="B272" i="3"/>
  <c r="C272" i="3"/>
  <c r="D272" i="3"/>
  <c r="E272" i="3"/>
  <c r="F272" i="3"/>
  <c r="G272" i="3"/>
  <c r="H272" i="3"/>
  <c r="L272" i="3"/>
  <c r="N272" i="3"/>
  <c r="O272" i="3"/>
  <c r="Q272" i="3"/>
  <c r="R272" i="3"/>
  <c r="S272" i="3"/>
  <c r="T272" i="3"/>
  <c r="B273" i="3"/>
  <c r="C273" i="3"/>
  <c r="D273" i="3"/>
  <c r="E273" i="3"/>
  <c r="F273" i="3"/>
  <c r="G273" i="3"/>
  <c r="H273" i="3"/>
  <c r="L273" i="3"/>
  <c r="N273" i="3"/>
  <c r="O273" i="3"/>
  <c r="Q273" i="3"/>
  <c r="R273" i="3"/>
  <c r="S273" i="3"/>
  <c r="T273" i="3"/>
  <c r="B274" i="3"/>
  <c r="C274" i="3"/>
  <c r="D274" i="3"/>
  <c r="E274" i="3"/>
  <c r="F274" i="3"/>
  <c r="G274" i="3"/>
  <c r="H274" i="3"/>
  <c r="L274" i="3"/>
  <c r="N274" i="3"/>
  <c r="O274" i="3"/>
  <c r="Q274" i="3"/>
  <c r="R274" i="3"/>
  <c r="S274" i="3"/>
  <c r="T274" i="3"/>
  <c r="B275" i="3"/>
  <c r="C275" i="3"/>
  <c r="D275" i="3"/>
  <c r="E275" i="3"/>
  <c r="F275" i="3"/>
  <c r="G275" i="3"/>
  <c r="H275" i="3"/>
  <c r="L275" i="3"/>
  <c r="N275" i="3"/>
  <c r="O275" i="3"/>
  <c r="Q275" i="3"/>
  <c r="R275" i="3"/>
  <c r="S275" i="3"/>
  <c r="T275" i="3"/>
  <c r="B276" i="3"/>
  <c r="C276" i="3"/>
  <c r="D276" i="3"/>
  <c r="E276" i="3"/>
  <c r="F276" i="3"/>
  <c r="G276" i="3"/>
  <c r="H276" i="3"/>
  <c r="L276" i="3"/>
  <c r="N276" i="3"/>
  <c r="O276" i="3"/>
  <c r="Q276" i="3"/>
  <c r="R276" i="3"/>
  <c r="S276" i="3"/>
  <c r="T276" i="3"/>
  <c r="B277" i="3"/>
  <c r="C277" i="3"/>
  <c r="D277" i="3"/>
  <c r="E277" i="3"/>
  <c r="F277" i="3"/>
  <c r="G277" i="3"/>
  <c r="H277" i="3"/>
  <c r="L277" i="3"/>
  <c r="N277" i="3"/>
  <c r="O277" i="3"/>
  <c r="Q277" i="3"/>
  <c r="R277" i="3"/>
  <c r="S277" i="3"/>
  <c r="T277" i="3"/>
  <c r="B278" i="3"/>
  <c r="C278" i="3"/>
  <c r="D278" i="3"/>
  <c r="E278" i="3"/>
  <c r="F278" i="3"/>
  <c r="G278" i="3"/>
  <c r="H278" i="3"/>
  <c r="L278" i="3"/>
  <c r="N278" i="3"/>
  <c r="O278" i="3"/>
  <c r="Q278" i="3"/>
  <c r="R278" i="3"/>
  <c r="S278" i="3"/>
  <c r="T278" i="3"/>
  <c r="B279" i="3"/>
  <c r="C279" i="3"/>
  <c r="D279" i="3"/>
  <c r="E279" i="3"/>
  <c r="F279" i="3"/>
  <c r="G279" i="3"/>
  <c r="H279" i="3"/>
  <c r="L279" i="3"/>
  <c r="N279" i="3"/>
  <c r="O279" i="3"/>
  <c r="Q279" i="3"/>
  <c r="R279" i="3"/>
  <c r="S279" i="3"/>
  <c r="T279" i="3"/>
  <c r="B280" i="3"/>
  <c r="C280" i="3"/>
  <c r="D280" i="3"/>
  <c r="E280" i="3"/>
  <c r="F280" i="3"/>
  <c r="G280" i="3"/>
  <c r="H280" i="3"/>
  <c r="L280" i="3"/>
  <c r="N280" i="3"/>
  <c r="O280" i="3"/>
  <c r="Q280" i="3"/>
  <c r="R280" i="3"/>
  <c r="S280" i="3"/>
  <c r="T280" i="3"/>
  <c r="B281" i="3"/>
  <c r="C281" i="3"/>
  <c r="D281" i="3"/>
  <c r="E281" i="3"/>
  <c r="F281" i="3"/>
  <c r="G281" i="3"/>
  <c r="H281" i="3"/>
  <c r="L281" i="3"/>
  <c r="N281" i="3"/>
  <c r="O281" i="3"/>
  <c r="Q281" i="3"/>
  <c r="R281" i="3"/>
  <c r="S281" i="3"/>
  <c r="T281" i="3"/>
  <c r="B282" i="3"/>
  <c r="C282" i="3"/>
  <c r="D282" i="3"/>
  <c r="E282" i="3"/>
  <c r="F282" i="3"/>
  <c r="G282" i="3"/>
  <c r="H282" i="3"/>
  <c r="L282" i="3"/>
  <c r="N282" i="3"/>
  <c r="O282" i="3"/>
  <c r="Q282" i="3"/>
  <c r="R282" i="3"/>
  <c r="S282" i="3"/>
  <c r="T282" i="3"/>
  <c r="B283" i="3"/>
  <c r="C283" i="3"/>
  <c r="D283" i="3"/>
  <c r="E283" i="3"/>
  <c r="F283" i="3"/>
  <c r="G283" i="3"/>
  <c r="H283" i="3"/>
  <c r="L283" i="3"/>
  <c r="N283" i="3"/>
  <c r="O283" i="3"/>
  <c r="Q283" i="3"/>
  <c r="R283" i="3"/>
  <c r="S283" i="3"/>
  <c r="T283" i="3"/>
  <c r="B284" i="3"/>
  <c r="C284" i="3"/>
  <c r="D284" i="3"/>
  <c r="E284" i="3"/>
  <c r="F284" i="3"/>
  <c r="G284" i="3"/>
  <c r="H284" i="3"/>
  <c r="L284" i="3"/>
  <c r="N284" i="3"/>
  <c r="O284" i="3"/>
  <c r="Q284" i="3"/>
  <c r="R284" i="3"/>
  <c r="S284" i="3"/>
  <c r="T284" i="3"/>
  <c r="B285" i="3"/>
  <c r="C285" i="3"/>
  <c r="D285" i="3"/>
  <c r="E285" i="3"/>
  <c r="F285" i="3"/>
  <c r="G285" i="3"/>
  <c r="H285" i="3"/>
  <c r="L285" i="3"/>
  <c r="N285" i="3"/>
  <c r="O285" i="3"/>
  <c r="Q285" i="3"/>
  <c r="R285" i="3"/>
  <c r="S285" i="3"/>
  <c r="T285" i="3"/>
  <c r="B286" i="3"/>
  <c r="C286" i="3"/>
  <c r="D286" i="3"/>
  <c r="E286" i="3"/>
  <c r="F286" i="3"/>
  <c r="G286" i="3"/>
  <c r="H286" i="3"/>
  <c r="L286" i="3"/>
  <c r="N286" i="3"/>
  <c r="O286" i="3"/>
  <c r="Q286" i="3"/>
  <c r="R286" i="3"/>
  <c r="S286" i="3"/>
  <c r="T286" i="3"/>
  <c r="B287" i="3"/>
  <c r="C287" i="3"/>
  <c r="D287" i="3"/>
  <c r="E287" i="3"/>
  <c r="F287" i="3"/>
  <c r="G287" i="3"/>
  <c r="H287" i="3"/>
  <c r="L287" i="3"/>
  <c r="N287" i="3"/>
  <c r="O287" i="3"/>
  <c r="Q287" i="3"/>
  <c r="R287" i="3"/>
  <c r="S287" i="3"/>
  <c r="T287" i="3"/>
  <c r="B288" i="3"/>
  <c r="C288" i="3"/>
  <c r="D288" i="3"/>
  <c r="E288" i="3"/>
  <c r="F288" i="3"/>
  <c r="G288" i="3"/>
  <c r="H288" i="3"/>
  <c r="L288" i="3"/>
  <c r="N288" i="3"/>
  <c r="O288" i="3"/>
  <c r="Q288" i="3"/>
  <c r="R288" i="3"/>
  <c r="S288" i="3"/>
  <c r="T288" i="3"/>
  <c r="B289" i="3"/>
  <c r="C289" i="3"/>
  <c r="D289" i="3"/>
  <c r="E289" i="3"/>
  <c r="F289" i="3"/>
  <c r="G289" i="3"/>
  <c r="H289" i="3"/>
  <c r="L289" i="3"/>
  <c r="N289" i="3"/>
  <c r="O289" i="3"/>
  <c r="Q289" i="3"/>
  <c r="R289" i="3"/>
  <c r="S289" i="3"/>
  <c r="T289" i="3"/>
  <c r="B290" i="3"/>
  <c r="C290" i="3"/>
  <c r="D290" i="3"/>
  <c r="E290" i="3"/>
  <c r="F290" i="3"/>
  <c r="G290" i="3"/>
  <c r="H290" i="3"/>
  <c r="L290" i="3"/>
  <c r="N290" i="3"/>
  <c r="O290" i="3"/>
  <c r="Q290" i="3"/>
  <c r="R290" i="3"/>
  <c r="S290" i="3"/>
  <c r="T290" i="3"/>
  <c r="B291" i="3"/>
  <c r="C291" i="3"/>
  <c r="D291" i="3"/>
  <c r="E291" i="3"/>
  <c r="F291" i="3"/>
  <c r="G291" i="3"/>
  <c r="H291" i="3"/>
  <c r="L291" i="3"/>
  <c r="N291" i="3"/>
  <c r="O291" i="3"/>
  <c r="Q291" i="3"/>
  <c r="R291" i="3"/>
  <c r="S291" i="3"/>
  <c r="T291" i="3"/>
  <c r="B292" i="3"/>
  <c r="C292" i="3"/>
  <c r="D292" i="3"/>
  <c r="E292" i="3"/>
  <c r="F292" i="3"/>
  <c r="G292" i="3"/>
  <c r="H292" i="3"/>
  <c r="L292" i="3"/>
  <c r="N292" i="3"/>
  <c r="O292" i="3"/>
  <c r="Q292" i="3"/>
  <c r="R292" i="3"/>
  <c r="S292" i="3"/>
  <c r="T292" i="3"/>
  <c r="B293" i="3"/>
  <c r="C293" i="3"/>
  <c r="D293" i="3"/>
  <c r="E293" i="3"/>
  <c r="F293" i="3"/>
  <c r="G293" i="3"/>
  <c r="H293" i="3"/>
  <c r="L293" i="3"/>
  <c r="N293" i="3"/>
  <c r="O293" i="3"/>
  <c r="Q293" i="3"/>
  <c r="R293" i="3"/>
  <c r="S293" i="3"/>
  <c r="T293" i="3"/>
  <c r="B294" i="3"/>
  <c r="C294" i="3"/>
  <c r="D294" i="3"/>
  <c r="E294" i="3"/>
  <c r="F294" i="3"/>
  <c r="G294" i="3"/>
  <c r="H294" i="3"/>
  <c r="L294" i="3"/>
  <c r="N294" i="3"/>
  <c r="O294" i="3"/>
  <c r="Q294" i="3"/>
  <c r="R294" i="3"/>
  <c r="S294" i="3"/>
  <c r="T294" i="3"/>
  <c r="B295" i="3"/>
  <c r="C295" i="3"/>
  <c r="D295" i="3"/>
  <c r="E295" i="3"/>
  <c r="F295" i="3"/>
  <c r="G295" i="3"/>
  <c r="H295" i="3"/>
  <c r="L295" i="3"/>
  <c r="N295" i="3"/>
  <c r="O295" i="3"/>
  <c r="Q295" i="3"/>
  <c r="R295" i="3"/>
  <c r="S295" i="3"/>
  <c r="T295" i="3"/>
  <c r="B296" i="3"/>
  <c r="C296" i="3"/>
  <c r="D296" i="3"/>
  <c r="E296" i="3"/>
  <c r="F296" i="3"/>
  <c r="G296" i="3"/>
  <c r="H296" i="3"/>
  <c r="L296" i="3"/>
  <c r="N296" i="3"/>
  <c r="O296" i="3"/>
  <c r="Q296" i="3"/>
  <c r="R296" i="3"/>
  <c r="S296" i="3"/>
  <c r="T296" i="3"/>
  <c r="B297" i="3"/>
  <c r="C297" i="3"/>
  <c r="D297" i="3"/>
  <c r="E297" i="3"/>
  <c r="F297" i="3"/>
  <c r="G297" i="3"/>
  <c r="H297" i="3"/>
  <c r="L297" i="3"/>
  <c r="N297" i="3"/>
  <c r="O297" i="3"/>
  <c r="Q297" i="3"/>
  <c r="R297" i="3"/>
  <c r="S297" i="3"/>
  <c r="T297" i="3"/>
  <c r="B298" i="3"/>
  <c r="C298" i="3"/>
  <c r="D298" i="3"/>
  <c r="E298" i="3"/>
  <c r="F298" i="3"/>
  <c r="G298" i="3"/>
  <c r="H298" i="3"/>
  <c r="L298" i="3"/>
  <c r="N298" i="3"/>
  <c r="O298" i="3"/>
  <c r="Q298" i="3"/>
  <c r="R298" i="3"/>
  <c r="S298" i="3"/>
  <c r="T298" i="3"/>
  <c r="B299" i="3"/>
  <c r="C299" i="3"/>
  <c r="D299" i="3"/>
  <c r="E299" i="3"/>
  <c r="F299" i="3"/>
  <c r="G299" i="3"/>
  <c r="H299" i="3"/>
  <c r="L299" i="3"/>
  <c r="N299" i="3"/>
  <c r="O299" i="3"/>
  <c r="Q299" i="3"/>
  <c r="R299" i="3"/>
  <c r="S299" i="3"/>
  <c r="T299" i="3"/>
  <c r="B300" i="3"/>
  <c r="C300" i="3"/>
  <c r="D300" i="3"/>
  <c r="E300" i="3"/>
  <c r="F300" i="3"/>
  <c r="G300" i="3"/>
  <c r="H300" i="3"/>
  <c r="L300" i="3"/>
  <c r="N300" i="3"/>
  <c r="O300" i="3"/>
  <c r="Q300" i="3"/>
  <c r="R300" i="3"/>
  <c r="S300" i="3"/>
  <c r="T300" i="3"/>
  <c r="B301" i="3"/>
  <c r="C301" i="3"/>
  <c r="D301" i="3"/>
  <c r="E301" i="3"/>
  <c r="F301" i="3"/>
  <c r="G301" i="3"/>
  <c r="H301" i="3"/>
  <c r="L301" i="3"/>
  <c r="N301" i="3"/>
  <c r="O301" i="3"/>
  <c r="Q301" i="3"/>
  <c r="R301" i="3"/>
  <c r="S301" i="3"/>
  <c r="T301" i="3"/>
  <c r="S9" i="3"/>
  <c r="T9" i="3"/>
  <c r="R9" i="3"/>
  <c r="G9" i="3"/>
  <c r="Q9" i="3"/>
  <c r="N9" i="3"/>
  <c r="O9" i="3"/>
  <c r="L9" i="3"/>
  <c r="H9" i="3"/>
  <c r="F9" i="3"/>
  <c r="E9" i="3"/>
  <c r="D9" i="3"/>
  <c r="C9" i="3"/>
  <c r="B9" i="3"/>
  <c r="R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C39C34-2FFE-4FA3-9F2F-CDC5F317FA56}" keepAlive="1" name="Query - Table001 (Page 1-6)" description="Connection to the 'Table001 (Page 1-6)' query in the workbook." type="5" refreshedVersion="8" background="1" saveData="1">
    <dbPr connection="Provider=Microsoft.Mashup.OleDb.1;Data Source=$Workbook$;Location=&quot;Table001 (Page 1-6)&quot;;Extended Properties=&quot;&quot;" command="SELECT * FROM [Table001 (Page 1-6)]"/>
  </connection>
</connections>
</file>

<file path=xl/sharedStrings.xml><?xml version="1.0" encoding="utf-8"?>
<sst xmlns="http://schemas.openxmlformats.org/spreadsheetml/2006/main" count="8950" uniqueCount="827">
  <si>
    <t>SEGMENT ID</t>
  </si>
  <si>
    <t>ROAD NAME</t>
  </si>
  <si>
    <t>FROM</t>
  </si>
  <si>
    <t>TO</t>
  </si>
  <si>
    <t>LANES
(2023)</t>
  </si>
  <si>
    <t>FUNCTIONAL
CLASSIFICATION</t>
  </si>
  <si>
    <t>FLOW</t>
  </si>
  <si>
    <t>FDOT CLASS</t>
  </si>
  <si>
    <t>PEAK HOUR
DIRECTIONAL SERVICE
VOLUME (2023)</t>
  </si>
  <si>
    <t>LANES
(2028)</t>
  </si>
  <si>
    <t>DAILY
SERVICE
VOLUME
(2028)</t>
  </si>
  <si>
    <t>PEAK HOUR
DIRECTIONAL SERVICE
VOLUME (2028)</t>
  </si>
  <si>
    <t>URBAN /
RURAL</t>
  </si>
  <si>
    <t>DIVIDED /
UNDIVIDED</t>
  </si>
  <si>
    <t>MAINTAINING AGENCY</t>
  </si>
  <si>
    <t>NHS</t>
  </si>
  <si>
    <t>ADOPTED LOS
STANDARD</t>
  </si>
  <si>
    <t>2023 AADT</t>
  </si>
  <si>
    <t>2023 DAILY
V/MSV</t>
  </si>
  <si>
    <t>2023 DAILY LOS</t>
  </si>
  <si>
    <t>GROWTH RATE</t>
  </si>
  <si>
    <t>2028 AADT</t>
  </si>
  <si>
    <t>2028 DAILY
V/MSV</t>
  </si>
  <si>
    <t>2028 DAILY LOS</t>
  </si>
  <si>
    <t>SE 92 PLACE LOOP</t>
  </si>
  <si>
    <t>SR 35</t>
  </si>
  <si>
    <t>US 441</t>
  </si>
  <si>
    <t>ARTERIAL</t>
  </si>
  <si>
    <t>UNINTERRUPTED</t>
  </si>
  <si>
    <t>Urban</t>
  </si>
  <si>
    <t>D</t>
  </si>
  <si>
    <t>COUNTY</t>
  </si>
  <si>
    <t>Other CMP Network Roadway</t>
  </si>
  <si>
    <t>E</t>
  </si>
  <si>
    <t>12,400</t>
  </si>
  <si>
    <t>0.18</t>
  </si>
  <si>
    <t>B</t>
  </si>
  <si>
    <t>13,100</t>
  </si>
  <si>
    <t>0.19</t>
  </si>
  <si>
    <t>CR 21</t>
  </si>
  <si>
    <t>CR 315</t>
  </si>
  <si>
    <t>COUNTY LINE</t>
  </si>
  <si>
    <t>COLLECTOR</t>
  </si>
  <si>
    <t>Rural</t>
  </si>
  <si>
    <t>U</t>
  </si>
  <si>
    <t>Not Counted</t>
  </si>
  <si>
    <t>N/A</t>
  </si>
  <si>
    <t>CR 225</t>
  </si>
  <si>
    <t>US 27</t>
  </si>
  <si>
    <t>CR 326</t>
  </si>
  <si>
    <t>1,500</t>
  </si>
  <si>
    <t>0.16</t>
  </si>
  <si>
    <t>1,900</t>
  </si>
  <si>
    <t>0.20</t>
  </si>
  <si>
    <t>CR 316</t>
  </si>
  <si>
    <t>CR 318</t>
  </si>
  <si>
    <t>CR 225A</t>
  </si>
  <si>
    <t>INTERRUPTED</t>
  </si>
  <si>
    <t>7,100</t>
  </si>
  <si>
    <t>0.69</t>
  </si>
  <si>
    <t>C</t>
  </si>
  <si>
    <t>7,400</t>
  </si>
  <si>
    <t>0.72</t>
  </si>
  <si>
    <t>CR 329</t>
  </si>
  <si>
    <t>3,100</t>
  </si>
  <si>
    <t>0.33</t>
  </si>
  <si>
    <t>3,300</t>
  </si>
  <si>
    <t>0.36</t>
  </si>
  <si>
    <t>CR 25</t>
  </si>
  <si>
    <t>CR 42</t>
  </si>
  <si>
    <t>11,300</t>
  </si>
  <si>
    <t>0.89</t>
  </si>
  <si>
    <t>12,000</t>
  </si>
  <si>
    <t>0.94</t>
  </si>
  <si>
    <t>SE 128 PL RD</t>
  </si>
  <si>
    <t>7,800</t>
  </si>
  <si>
    <t>0.27</t>
  </si>
  <si>
    <t>8,200</t>
  </si>
  <si>
    <t>0.28</t>
  </si>
  <si>
    <t>SE 135 AV</t>
  </si>
  <si>
    <t>CR 464</t>
  </si>
  <si>
    <t>SE 108 TER RD</t>
  </si>
  <si>
    <t>6,100</t>
  </si>
  <si>
    <t>0.21</t>
  </si>
  <si>
    <t>6,400</t>
  </si>
  <si>
    <t>0.22</t>
  </si>
  <si>
    <t>SE 92 PL LOOP</t>
  </si>
  <si>
    <t>7,000</t>
  </si>
  <si>
    <t>0.24</t>
  </si>
  <si>
    <t>9,500</t>
  </si>
  <si>
    <t>0.32</t>
  </si>
  <si>
    <t>SE 110 ST</t>
  </si>
  <si>
    <t>9,900</t>
  </si>
  <si>
    <t>0.34</t>
  </si>
  <si>
    <t>10,400</t>
  </si>
  <si>
    <t>0.35</t>
  </si>
  <si>
    <t>NE 28 ST</t>
  </si>
  <si>
    <t>CR 25A (S)</t>
  </si>
  <si>
    <t>STATE</t>
  </si>
  <si>
    <t>NHS - Non-Interstate Roadway</t>
  </si>
  <si>
    <t>18,300</t>
  </si>
  <si>
    <t>0.45</t>
  </si>
  <si>
    <t>19,200</t>
  </si>
  <si>
    <t>0.48</t>
  </si>
  <si>
    <t>CR 25A</t>
  </si>
  <si>
    <t>US 441 (S)</t>
  </si>
  <si>
    <t>SR 326</t>
  </si>
  <si>
    <t>5,400</t>
  </si>
  <si>
    <t>0.42</t>
  </si>
  <si>
    <t>5,800</t>
  </si>
  <si>
    <t>0.46</t>
  </si>
  <si>
    <t>URBAN AREA BOUNDARY</t>
  </si>
  <si>
    <t>8,600</t>
  </si>
  <si>
    <t>0.29</t>
  </si>
  <si>
    <t>0.43</t>
  </si>
  <si>
    <t>4,900</t>
  </si>
  <si>
    <t>0.53</t>
  </si>
  <si>
    <t>0.23</t>
  </si>
  <si>
    <t>CR 314</t>
  </si>
  <si>
    <t>NE 7 ST</t>
  </si>
  <si>
    <t>SE 1 ST</t>
  </si>
  <si>
    <t>2,100</t>
  </si>
  <si>
    <t>0.11</t>
  </si>
  <si>
    <t>2,200</t>
  </si>
  <si>
    <t>SR 40 (E)</t>
  </si>
  <si>
    <t>2,000</t>
  </si>
  <si>
    <t>0.1</t>
  </si>
  <si>
    <t>2,300</t>
  </si>
  <si>
    <t>0.12</t>
  </si>
  <si>
    <t>CR 314A</t>
  </si>
  <si>
    <t>0.17</t>
  </si>
  <si>
    <t>SR 19</t>
  </si>
  <si>
    <t>3,400</t>
  </si>
  <si>
    <t>3,600</t>
  </si>
  <si>
    <t>CR 464C</t>
  </si>
  <si>
    <t>SE 180 AV</t>
  </si>
  <si>
    <t>5,700</t>
  </si>
  <si>
    <t>0.3</t>
  </si>
  <si>
    <t>11,000</t>
  </si>
  <si>
    <t>0.57</t>
  </si>
  <si>
    <t>SR 40</t>
  </si>
  <si>
    <t>4,700</t>
  </si>
  <si>
    <t>0.25</t>
  </si>
  <si>
    <t>5,000</t>
  </si>
  <si>
    <t>0.26</t>
  </si>
  <si>
    <t>1,800</t>
  </si>
  <si>
    <t>0.09</t>
  </si>
  <si>
    <t>0.10</t>
  </si>
  <si>
    <t>NE 90 ST</t>
  </si>
  <si>
    <t>3,800</t>
  </si>
  <si>
    <t>0.2</t>
  </si>
  <si>
    <t>4,100</t>
  </si>
  <si>
    <t>4,300</t>
  </si>
  <si>
    <t>4,600</t>
  </si>
  <si>
    <t>1,100</t>
  </si>
  <si>
    <t>E OF CR 225</t>
  </si>
  <si>
    <t>I-75</t>
  </si>
  <si>
    <t>700</t>
  </si>
  <si>
    <t>0.08</t>
  </si>
  <si>
    <t>NW 38TH AVE</t>
  </si>
  <si>
    <t>1,300</t>
  </si>
  <si>
    <t>0.14</t>
  </si>
  <si>
    <t>1,400</t>
  </si>
  <si>
    <t>0.15</t>
  </si>
  <si>
    <t>JACKSONVILLE RD</t>
  </si>
  <si>
    <t>NE 110TH AVE RD</t>
  </si>
  <si>
    <t>2,400</t>
  </si>
  <si>
    <t>0.13</t>
  </si>
  <si>
    <t>2,800</t>
  </si>
  <si>
    <t>3,000</t>
  </si>
  <si>
    <t>NE 203 AV</t>
  </si>
  <si>
    <t>6,600</t>
  </si>
  <si>
    <t>0.58</t>
  </si>
  <si>
    <t>13,500</t>
  </si>
  <si>
    <t>1.46</t>
  </si>
  <si>
    <t>NW 60 AVE</t>
  </si>
  <si>
    <t>6,200</t>
  </si>
  <si>
    <t>8,800</t>
  </si>
  <si>
    <t>0.61</t>
  </si>
  <si>
    <t>0.86</t>
  </si>
  <si>
    <t>NE 10 AVE</t>
  </si>
  <si>
    <t>0.41</t>
  </si>
  <si>
    <t>4,000</t>
  </si>
  <si>
    <t>US 301</t>
  </si>
  <si>
    <t>CR 320</t>
  </si>
  <si>
    <t>500</t>
  </si>
  <si>
    <t>0.05</t>
  </si>
  <si>
    <t>CR 328</t>
  </si>
  <si>
    <t>US 41</t>
  </si>
  <si>
    <t>SW 140 AV</t>
  </si>
  <si>
    <t>5,900</t>
  </si>
  <si>
    <t>0.64</t>
  </si>
  <si>
    <t>7,500</t>
  </si>
  <si>
    <t>0.81</t>
  </si>
  <si>
    <t>E OF NW 125 AV</t>
  </si>
  <si>
    <t>HWY 318</t>
  </si>
  <si>
    <t>0.37</t>
  </si>
  <si>
    <t>2,900</t>
  </si>
  <si>
    <t>0.31</t>
  </si>
  <si>
    <t>5,300</t>
  </si>
  <si>
    <t>5,500</t>
  </si>
  <si>
    <t>0.59</t>
  </si>
  <si>
    <t>NE 47 AV</t>
  </si>
  <si>
    <t>4,400</t>
  </si>
  <si>
    <t>CR 336</t>
  </si>
  <si>
    <t>CR 40</t>
  </si>
  <si>
    <t>CR 35</t>
  </si>
  <si>
    <t>NE 35 ST</t>
  </si>
  <si>
    <t>9,600</t>
  </si>
  <si>
    <t>0.85</t>
  </si>
  <si>
    <t>10,900</t>
  </si>
  <si>
    <t>0.97</t>
  </si>
  <si>
    <t>NE 58 AV</t>
  </si>
  <si>
    <t>6,000</t>
  </si>
  <si>
    <t>0.47</t>
  </si>
  <si>
    <t>6,800</t>
  </si>
  <si>
    <t>6,900</t>
  </si>
  <si>
    <t>NE 97TH ST RD</t>
  </si>
  <si>
    <t>3,700</t>
  </si>
  <si>
    <t>COUNTY LINE (W)</t>
  </si>
  <si>
    <t>0.30</t>
  </si>
  <si>
    <t>URBAN AREA BOUNDRY</t>
  </si>
  <si>
    <t>SW ROLLING HILLS RD</t>
  </si>
  <si>
    <t>3,900</t>
  </si>
  <si>
    <t>CR 475</t>
  </si>
  <si>
    <t>SE 77 AV</t>
  </si>
  <si>
    <t>0.51</t>
  </si>
  <si>
    <t>23,400</t>
  </si>
  <si>
    <t>0.65</t>
  </si>
  <si>
    <t>SE 130 AVE</t>
  </si>
  <si>
    <t>14,100</t>
  </si>
  <si>
    <t>19,300</t>
  </si>
  <si>
    <t>0.66</t>
  </si>
  <si>
    <t>10,800</t>
  </si>
  <si>
    <t>11,800</t>
  </si>
  <si>
    <t>0.40</t>
  </si>
  <si>
    <t>13,300</t>
  </si>
  <si>
    <t>CR 450</t>
  </si>
  <si>
    <t>11,500</t>
  </si>
  <si>
    <t>0.6</t>
  </si>
  <si>
    <t>17,400</t>
  </si>
  <si>
    <t>0.91</t>
  </si>
  <si>
    <t>5,100</t>
  </si>
  <si>
    <t>CR 452</t>
  </si>
  <si>
    <t>6,300</t>
  </si>
  <si>
    <t>SR 464</t>
  </si>
  <si>
    <t>SE 25 AV</t>
  </si>
  <si>
    <t>SE 44 AV</t>
  </si>
  <si>
    <t>34,800</t>
  </si>
  <si>
    <t>36,600</t>
  </si>
  <si>
    <t>0.95</t>
  </si>
  <si>
    <t>33,200</t>
  </si>
  <si>
    <t>35,300</t>
  </si>
  <si>
    <t>0.92</t>
  </si>
  <si>
    <t>EMERALD RD (N)</t>
  </si>
  <si>
    <t>34,300</t>
  </si>
  <si>
    <t>0.96</t>
  </si>
  <si>
    <t>36,100</t>
  </si>
  <si>
    <t>1.01</t>
  </si>
  <si>
    <t>F</t>
  </si>
  <si>
    <t>OAK RD</t>
  </si>
  <si>
    <t>15,600</t>
  </si>
  <si>
    <t>0.44</t>
  </si>
  <si>
    <t>17,300</t>
  </si>
  <si>
    <t>EMERALD RD (S)</t>
  </si>
  <si>
    <t>9,800</t>
  </si>
  <si>
    <t>14,500</t>
  </si>
  <si>
    <t>9,300</t>
  </si>
  <si>
    <t>10,200</t>
  </si>
  <si>
    <t>2,700</t>
  </si>
  <si>
    <t>CR 464A</t>
  </si>
  <si>
    <t>SE 31 ST</t>
  </si>
  <si>
    <t>0.4</t>
  </si>
  <si>
    <t>10,600</t>
  </si>
  <si>
    <t>11,100</t>
  </si>
  <si>
    <t>0.75</t>
  </si>
  <si>
    <t>CR 464B</t>
  </si>
  <si>
    <t>3,500</t>
  </si>
  <si>
    <t>0.38</t>
  </si>
  <si>
    <t>SE 114TH ST RD</t>
  </si>
  <si>
    <t>8,500</t>
  </si>
  <si>
    <t>CR 475A</t>
  </si>
  <si>
    <t>11,200</t>
  </si>
  <si>
    <t>0.79</t>
  </si>
  <si>
    <t>0.50</t>
  </si>
  <si>
    <t>CR 484</t>
  </si>
  <si>
    <t>7,600</t>
  </si>
  <si>
    <t>SE 90 ST</t>
  </si>
  <si>
    <t>0.54</t>
  </si>
  <si>
    <t>0.62</t>
  </si>
  <si>
    <t>11,400</t>
  </si>
  <si>
    <t>SE 80 ST</t>
  </si>
  <si>
    <t>0.70</t>
  </si>
  <si>
    <t>SE 52 ST</t>
  </si>
  <si>
    <t>0.68</t>
  </si>
  <si>
    <t>SE 35 ST</t>
  </si>
  <si>
    <t>11,600</t>
  </si>
  <si>
    <t>N OF SW 29TH ST RD</t>
  </si>
  <si>
    <t>SE 23 PL</t>
  </si>
  <si>
    <t>SE 3 AV</t>
  </si>
  <si>
    <t>LOCAL</t>
  </si>
  <si>
    <t>CR 475B</t>
  </si>
  <si>
    <t>7,300</t>
  </si>
  <si>
    <t>8,400</t>
  </si>
  <si>
    <t>SE 36 AV</t>
  </si>
  <si>
    <t>LAKESHORE DR</t>
  </si>
  <si>
    <t>E OF HENDRIX DR</t>
  </si>
  <si>
    <t>10,000</t>
  </si>
  <si>
    <t>SW 140 AVE</t>
  </si>
  <si>
    <t>0.5</t>
  </si>
  <si>
    <t>0.52</t>
  </si>
  <si>
    <t>SW 105 AV</t>
  </si>
  <si>
    <t>15,300</t>
  </si>
  <si>
    <t>SR 200</t>
  </si>
  <si>
    <t>SW 45 AV</t>
  </si>
  <si>
    <t>8,000</t>
  </si>
  <si>
    <t>0.63</t>
  </si>
  <si>
    <t>I-75 RAMP (W)</t>
  </si>
  <si>
    <t>33,000</t>
  </si>
  <si>
    <t>34,700</t>
  </si>
  <si>
    <t>I-75 RAMP (E)</t>
  </si>
  <si>
    <t>33,500</t>
  </si>
  <si>
    <t>35,200</t>
  </si>
  <si>
    <t>0.98</t>
  </si>
  <si>
    <t>19,900</t>
  </si>
  <si>
    <t>0.56</t>
  </si>
  <si>
    <t>20,900</t>
  </si>
  <si>
    <t>CR 467</t>
  </si>
  <si>
    <t>19,000</t>
  </si>
  <si>
    <t>20,000</t>
  </si>
  <si>
    <t>SE 132 ST RD</t>
  </si>
  <si>
    <t>17,900</t>
  </si>
  <si>
    <t>18,800</t>
  </si>
  <si>
    <t>E FORT KING ST</t>
  </si>
  <si>
    <t>NE 1 AV</t>
  </si>
  <si>
    <t>SE WATULA AVE</t>
  </si>
  <si>
    <t>SE 11 AV</t>
  </si>
  <si>
    <t>SE 16 AV</t>
  </si>
  <si>
    <t>SE 22 AV</t>
  </si>
  <si>
    <t>7,700</t>
  </si>
  <si>
    <t>8,100</t>
  </si>
  <si>
    <t>0.55</t>
  </si>
  <si>
    <t>SW 25 AV</t>
  </si>
  <si>
    <t>SE 30TH AVE</t>
  </si>
  <si>
    <t>1.07</t>
  </si>
  <si>
    <t>SR 25</t>
  </si>
  <si>
    <t>BASELINE RD</t>
  </si>
  <si>
    <t>10,500</t>
  </si>
  <si>
    <t>COUNTY LINE (S)</t>
  </si>
  <si>
    <t>INTERSTATE</t>
  </si>
  <si>
    <t>FREEWAY</t>
  </si>
  <si>
    <t>0%</t>
  </si>
  <si>
    <t>NHS Interstate</t>
  </si>
  <si>
    <t>110,800</t>
  </si>
  <si>
    <t>1.61</t>
  </si>
  <si>
    <t>148,400</t>
  </si>
  <si>
    <t>2.15</t>
  </si>
  <si>
    <t>0.9</t>
  </si>
  <si>
    <t>1.21</t>
  </si>
  <si>
    <t>84,000</t>
  </si>
  <si>
    <t>88,300</t>
  </si>
  <si>
    <t>90,900</t>
  </si>
  <si>
    <t>0.74</t>
  </si>
  <si>
    <t>95,500</t>
  </si>
  <si>
    <t>0.78</t>
  </si>
  <si>
    <t>90,200</t>
  </si>
  <si>
    <t>0.73</t>
  </si>
  <si>
    <t>105,300</t>
  </si>
  <si>
    <t>81,400</t>
  </si>
  <si>
    <t>86,300</t>
  </si>
  <si>
    <t>69,400</t>
  </si>
  <si>
    <t>73,800</t>
  </si>
  <si>
    <t>0.60</t>
  </si>
  <si>
    <t>COUNTY LINE (N)</t>
  </si>
  <si>
    <t>74,200</t>
  </si>
  <si>
    <t>1.08</t>
  </si>
  <si>
    <t>83,600</t>
  </si>
  <si>
    <t>CR 200A</t>
  </si>
  <si>
    <t>NE 20 ST</t>
  </si>
  <si>
    <t>NE 8 AV</t>
  </si>
  <si>
    <t>9,100</t>
  </si>
  <si>
    <t>CR 200A / JACKSONVILLE RD</t>
  </si>
  <si>
    <t>14,700</t>
  </si>
  <si>
    <t>0.39</t>
  </si>
  <si>
    <t>10,700</t>
  </si>
  <si>
    <t>NW 35 ST</t>
  </si>
  <si>
    <t>NE 49 ST</t>
  </si>
  <si>
    <t>10,300</t>
  </si>
  <si>
    <t>7,900</t>
  </si>
  <si>
    <t>8,300</t>
  </si>
  <si>
    <t>10,100</t>
  </si>
  <si>
    <t>NE 101 ST</t>
  </si>
  <si>
    <t>MAGNOLIA AV N</t>
  </si>
  <si>
    <t>SR 492</t>
  </si>
  <si>
    <t>NE JACKSONVILLE RD</t>
  </si>
  <si>
    <t>4,800</t>
  </si>
  <si>
    <t>O</t>
  </si>
  <si>
    <t>N MAGNOLIA AV</t>
  </si>
  <si>
    <t>20,200</t>
  </si>
  <si>
    <t>NE 127 ST RD</t>
  </si>
  <si>
    <t>NE 19 AV</t>
  </si>
  <si>
    <t>NE 25 AV</t>
  </si>
  <si>
    <t>19,600</t>
  </si>
  <si>
    <t>20,600</t>
  </si>
  <si>
    <t>NE 36 AV</t>
  </si>
  <si>
    <t>19,100</t>
  </si>
  <si>
    <t>21,000</t>
  </si>
  <si>
    <t>NE 160 AV RD</t>
  </si>
  <si>
    <t>NE 145 AV</t>
  </si>
  <si>
    <t>NE 175 ST</t>
  </si>
  <si>
    <t>NE 70 AV</t>
  </si>
  <si>
    <t>2,600</t>
  </si>
  <si>
    <t>NE 127 ST</t>
  </si>
  <si>
    <t>NE 24 ST</t>
  </si>
  <si>
    <t>CITY OF OCALA</t>
  </si>
  <si>
    <t>7,200</t>
  </si>
  <si>
    <t>0.71</t>
  </si>
  <si>
    <t>NE 3 ST</t>
  </si>
  <si>
    <t>NE 97 ST</t>
  </si>
  <si>
    <t>NE 14 ST</t>
  </si>
  <si>
    <t>NE 21 ST</t>
  </si>
  <si>
    <t>12,200</t>
  </si>
  <si>
    <t>12,800</t>
  </si>
  <si>
    <t>1.00</t>
  </si>
  <si>
    <t>12,700</t>
  </si>
  <si>
    <t>1</t>
  </si>
  <si>
    <t>14,000</t>
  </si>
  <si>
    <t>1.10</t>
  </si>
  <si>
    <t>9,200</t>
  </si>
  <si>
    <t>9,700</t>
  </si>
  <si>
    <t>0.76</t>
  </si>
  <si>
    <t>SR 40 (W)</t>
  </si>
  <si>
    <t>2,500</t>
  </si>
  <si>
    <t>W ANTHONY RD</t>
  </si>
  <si>
    <t>12,100</t>
  </si>
  <si>
    <t>NE 40 AV</t>
  </si>
  <si>
    <t>0.99</t>
  </si>
  <si>
    <t>1.11</t>
  </si>
  <si>
    <t>900</t>
  </si>
  <si>
    <t>NE 95 ST</t>
  </si>
  <si>
    <t>1,600</t>
  </si>
  <si>
    <t>NE WATULA AVE</t>
  </si>
  <si>
    <t>NW 100 ST</t>
  </si>
  <si>
    <t>HWY 225A</t>
  </si>
  <si>
    <t>NW 120 ST</t>
  </si>
  <si>
    <t>NW 55 CT</t>
  </si>
  <si>
    <t>NW 135 ST</t>
  </si>
  <si>
    <t>NW 165 ST</t>
  </si>
  <si>
    <t>NW 193 ST</t>
  </si>
  <si>
    <t>12,300</t>
  </si>
  <si>
    <t>NW 27 AV</t>
  </si>
  <si>
    <t>27,200</t>
  </si>
  <si>
    <t>35,500</t>
  </si>
  <si>
    <t>NW 21 ST</t>
  </si>
  <si>
    <t>5,600</t>
  </si>
  <si>
    <t>NW 3 ST</t>
  </si>
  <si>
    <t>NW 40 AV</t>
  </si>
  <si>
    <t>NW 38 AV</t>
  </si>
  <si>
    <t>NW 35 AV</t>
  </si>
  <si>
    <t>NW MARTIN L KING AV</t>
  </si>
  <si>
    <t>17,200</t>
  </si>
  <si>
    <t>17,800</t>
  </si>
  <si>
    <t>22,600</t>
  </si>
  <si>
    <t>NE 2ND AVE</t>
  </si>
  <si>
    <t>11,900</t>
  </si>
  <si>
    <t>SW 46 AV</t>
  </si>
  <si>
    <t>SW 13 ST</t>
  </si>
  <si>
    <t>NW 44 AV</t>
  </si>
  <si>
    <t>NW 63RD ST</t>
  </si>
  <si>
    <t>NW 60 AV</t>
  </si>
  <si>
    <t>NW 95 ST</t>
  </si>
  <si>
    <t>13,600</t>
  </si>
  <si>
    <t>14,300</t>
  </si>
  <si>
    <t>NW 22 ST</t>
  </si>
  <si>
    <t>POWELL RD</t>
  </si>
  <si>
    <t>MAGNOLIA AV S</t>
  </si>
  <si>
    <t>SW 10 ST</t>
  </si>
  <si>
    <t>SE MAGNOLIA EXT</t>
  </si>
  <si>
    <t>SW 10TH ST</t>
  </si>
  <si>
    <t>0.49</t>
  </si>
  <si>
    <t>SE 1 AV</t>
  </si>
  <si>
    <t>1,700</t>
  </si>
  <si>
    <t>SE 100 AV</t>
  </si>
  <si>
    <t>SUNSET HARBOR RD</t>
  </si>
  <si>
    <t>SE 110 ST RD</t>
  </si>
  <si>
    <t>E FT KING ST</t>
  </si>
  <si>
    <t>6,700</t>
  </si>
  <si>
    <t>1.31</t>
  </si>
  <si>
    <t>1.60</t>
  </si>
  <si>
    <t>SE 147 PL</t>
  </si>
  <si>
    <t>SE SUNSET HARBOR RD</t>
  </si>
  <si>
    <t>SE 99TH AVE</t>
  </si>
  <si>
    <t>SE 150 LN</t>
  </si>
  <si>
    <t>6,500</t>
  </si>
  <si>
    <t>30,300</t>
  </si>
  <si>
    <t>31,800</t>
  </si>
  <si>
    <t>0.83</t>
  </si>
  <si>
    <t>30,800</t>
  </si>
  <si>
    <t>32,400</t>
  </si>
  <si>
    <t>0.8</t>
  </si>
  <si>
    <t>0.84</t>
  </si>
  <si>
    <t>SE 17 ST</t>
  </si>
  <si>
    <t>SE 183 AV RD</t>
  </si>
  <si>
    <t>SE 19 AV</t>
  </si>
  <si>
    <t>SE 38 ST</t>
  </si>
  <si>
    <t>SE 24 ST</t>
  </si>
  <si>
    <t>SE 28 ST</t>
  </si>
  <si>
    <t>0.93</t>
  </si>
  <si>
    <t>E FORT KING</t>
  </si>
  <si>
    <t>14,200</t>
  </si>
  <si>
    <t>S MAGNOLIA AV</t>
  </si>
  <si>
    <t>SE 8 ST</t>
  </si>
  <si>
    <t>SW 7 AV</t>
  </si>
  <si>
    <t>27,000</t>
  </si>
  <si>
    <t>33,100</t>
  </si>
  <si>
    <t>18,100</t>
  </si>
  <si>
    <t>13,000</t>
  </si>
  <si>
    <t>13,700</t>
  </si>
  <si>
    <t>5,200</t>
  </si>
  <si>
    <t>SE 95 ST</t>
  </si>
  <si>
    <t>18,700</t>
  </si>
  <si>
    <t>21,200</t>
  </si>
  <si>
    <t>16,300</t>
  </si>
  <si>
    <t>13,200</t>
  </si>
  <si>
    <t>13,900</t>
  </si>
  <si>
    <t>15,200</t>
  </si>
  <si>
    <t>15,900</t>
  </si>
  <si>
    <t>SE 41 CT</t>
  </si>
  <si>
    <t>1.62</t>
  </si>
  <si>
    <t>1.86</t>
  </si>
  <si>
    <t>SE 44 AV RD</t>
  </si>
  <si>
    <t>0.88</t>
  </si>
  <si>
    <t>US 441 (E)</t>
  </si>
  <si>
    <t>0.67</t>
  </si>
  <si>
    <t>SE 92 PL RD</t>
  </si>
  <si>
    <t>1.09</t>
  </si>
  <si>
    <t>9,400</t>
  </si>
  <si>
    <t>US 441 (N)</t>
  </si>
  <si>
    <t>SE JUNIPER CIR</t>
  </si>
  <si>
    <t>SE 58 AV</t>
  </si>
  <si>
    <t>SE 105 AV</t>
  </si>
  <si>
    <t>1/4 MI SW OF CR 484</t>
  </si>
  <si>
    <t>15,800</t>
  </si>
  <si>
    <t>1.93</t>
  </si>
  <si>
    <t>16,600</t>
  </si>
  <si>
    <t>2.02</t>
  </si>
  <si>
    <t>SE 95 TH CIR</t>
  </si>
  <si>
    <t>27,600</t>
  </si>
  <si>
    <t>34,100</t>
  </si>
  <si>
    <t>SW 80 AV</t>
  </si>
  <si>
    <t>31,300</t>
  </si>
  <si>
    <t>32,900</t>
  </si>
  <si>
    <t>SW 60 AV</t>
  </si>
  <si>
    <t>44,600</t>
  </si>
  <si>
    <t>47,900</t>
  </si>
  <si>
    <t>SW 48TH AVE</t>
  </si>
  <si>
    <t>42,400</t>
  </si>
  <si>
    <t>SW 44 CT</t>
  </si>
  <si>
    <t>41,200</t>
  </si>
  <si>
    <t>43,300</t>
  </si>
  <si>
    <t>43,400</t>
  </si>
  <si>
    <t>45,600</t>
  </si>
  <si>
    <t>0.80</t>
  </si>
  <si>
    <t>SW 32 AV</t>
  </si>
  <si>
    <t>SW 27 AV</t>
  </si>
  <si>
    <t>37,900</t>
  </si>
  <si>
    <t>39,800</t>
  </si>
  <si>
    <t>SW 20 ST</t>
  </si>
  <si>
    <t>33,300</t>
  </si>
  <si>
    <t>35,000</t>
  </si>
  <si>
    <t>SW MARTIN L KING AV</t>
  </si>
  <si>
    <t>22,200</t>
  </si>
  <si>
    <t>SW 7 RD</t>
  </si>
  <si>
    <t>25,300</t>
  </si>
  <si>
    <t>26,500</t>
  </si>
  <si>
    <t>NW 49TH AVE</t>
  </si>
  <si>
    <t>I-75 RAMP (WEST)</t>
  </si>
  <si>
    <t>I-75 RAMP (EAST)</t>
  </si>
  <si>
    <t>20,700</t>
  </si>
  <si>
    <t>21,800</t>
  </si>
  <si>
    <t>NE 64 AV</t>
  </si>
  <si>
    <t>SE 92ND PL</t>
  </si>
  <si>
    <t>13,400</t>
  </si>
  <si>
    <t>LAUREL RD</t>
  </si>
  <si>
    <t>CHERRY RD</t>
  </si>
  <si>
    <t>22,000</t>
  </si>
  <si>
    <t>16,100</t>
  </si>
  <si>
    <t>17,500</t>
  </si>
  <si>
    <t>8,900</t>
  </si>
  <si>
    <t>1.04</t>
  </si>
  <si>
    <t>2.13</t>
  </si>
  <si>
    <t>2.35</t>
  </si>
  <si>
    <t>SW 110 AV</t>
  </si>
  <si>
    <t>SW 85 AV</t>
  </si>
  <si>
    <t>20,300</t>
  </si>
  <si>
    <t>22,800</t>
  </si>
  <si>
    <t>24,400</t>
  </si>
  <si>
    <t>SW 52 AV</t>
  </si>
  <si>
    <t>27,100</t>
  </si>
  <si>
    <t>28,400</t>
  </si>
  <si>
    <t>31,500</t>
  </si>
  <si>
    <t>0.82</t>
  </si>
  <si>
    <t>32,200</t>
  </si>
  <si>
    <t>SW 33 AV</t>
  </si>
  <si>
    <t>32,800</t>
  </si>
  <si>
    <t>34,500</t>
  </si>
  <si>
    <t>0.90</t>
  </si>
  <si>
    <t>SW MARTIN L KING AVE</t>
  </si>
  <si>
    <t>23,200</t>
  </si>
  <si>
    <t>23,100</t>
  </si>
  <si>
    <t>NW 2 AV</t>
  </si>
  <si>
    <t>29,300</t>
  </si>
  <si>
    <t>0.77</t>
  </si>
  <si>
    <t>NE WATULA AV</t>
  </si>
  <si>
    <t>NE 10TH ST</t>
  </si>
  <si>
    <t>NE 11 AV</t>
  </si>
  <si>
    <t>28,300</t>
  </si>
  <si>
    <t>29,700</t>
  </si>
  <si>
    <t>29,100</t>
  </si>
  <si>
    <t>32,600</t>
  </si>
  <si>
    <t>22,300</t>
  </si>
  <si>
    <t>23,500</t>
  </si>
  <si>
    <t>NE 49 CT</t>
  </si>
  <si>
    <t>NE 49 TER</t>
  </si>
  <si>
    <t>13,800</t>
  </si>
  <si>
    <t>17,700</t>
  </si>
  <si>
    <t>2.16</t>
  </si>
  <si>
    <t>18,600</t>
  </si>
  <si>
    <t>2.27</t>
  </si>
  <si>
    <t>1.74</t>
  </si>
  <si>
    <t>1.6</t>
  </si>
  <si>
    <t>1.70</t>
  </si>
  <si>
    <t>SE 183 AV</t>
  </si>
  <si>
    <t>1.13</t>
  </si>
  <si>
    <t>1.02</t>
  </si>
  <si>
    <t>COUNTY LINE (E)</t>
  </si>
  <si>
    <t>SW 1 AV</t>
  </si>
  <si>
    <t>SW 103 ST RD</t>
  </si>
  <si>
    <t>SW 49 AV</t>
  </si>
  <si>
    <t>NW 110 AV</t>
  </si>
  <si>
    <t>SW 17 ST</t>
  </si>
  <si>
    <t>SW 19 AV RD</t>
  </si>
  <si>
    <t>23,700</t>
  </si>
  <si>
    <t>24,900</t>
  </si>
  <si>
    <t>32,300</t>
  </si>
  <si>
    <t>34,000</t>
  </si>
  <si>
    <t>SW 180 AV RD</t>
  </si>
  <si>
    <t>SW 180 AV</t>
  </si>
  <si>
    <t>SW 19 AV</t>
  </si>
  <si>
    <t>SW 80 ST</t>
  </si>
  <si>
    <t>SW 66 ST</t>
  </si>
  <si>
    <t>4,200</t>
  </si>
  <si>
    <t>SW 38 AV</t>
  </si>
  <si>
    <t>12,500</t>
  </si>
  <si>
    <t>SW 107 PL</t>
  </si>
  <si>
    <t>CR 475C</t>
  </si>
  <si>
    <t>0.87</t>
  </si>
  <si>
    <t>SW 42 ST</t>
  </si>
  <si>
    <t>24,700</t>
  </si>
  <si>
    <t>18,000</t>
  </si>
  <si>
    <t>18,900</t>
  </si>
  <si>
    <t>SW 31 AV</t>
  </si>
  <si>
    <t>SW 37 AV</t>
  </si>
  <si>
    <t>SW 40 ST</t>
  </si>
  <si>
    <t>0.07</t>
  </si>
  <si>
    <t>SW 40 AV</t>
  </si>
  <si>
    <t>SW 38 ST</t>
  </si>
  <si>
    <t>SW 51 TER</t>
  </si>
  <si>
    <t>0.7</t>
  </si>
  <si>
    <t>SW 43 CT</t>
  </si>
  <si>
    <t>8,700</t>
  </si>
  <si>
    <t>22,400</t>
  </si>
  <si>
    <t>SW 44 AV</t>
  </si>
  <si>
    <t>MARION OAKS</t>
  </si>
  <si>
    <t>12,900</t>
  </si>
  <si>
    <t>16,900</t>
  </si>
  <si>
    <t>SW 95 ST</t>
  </si>
  <si>
    <t>1.19</t>
  </si>
  <si>
    <t>27,300</t>
  </si>
  <si>
    <t>SW 85 ST</t>
  </si>
  <si>
    <t>SW 103 ST</t>
  </si>
  <si>
    <t>SW 95 ST RD</t>
  </si>
  <si>
    <t>19,400</t>
  </si>
  <si>
    <t>21,700</t>
  </si>
  <si>
    <t>16,000</t>
  </si>
  <si>
    <t>1.05</t>
  </si>
  <si>
    <t>1.67</t>
  </si>
  <si>
    <t>SW 32 ST</t>
  </si>
  <si>
    <t>SW 90 ST</t>
  </si>
  <si>
    <t>14,900</t>
  </si>
  <si>
    <t>CR 312</t>
  </si>
  <si>
    <t>26,700</t>
  </si>
  <si>
    <t>I-75 SB</t>
  </si>
  <si>
    <t>PENNSYLVANIA AV</t>
  </si>
  <si>
    <t>17,000</t>
  </si>
  <si>
    <t>NW 80 AV</t>
  </si>
  <si>
    <t>NW 49 AV</t>
  </si>
  <si>
    <t>26,300</t>
  </si>
  <si>
    <t>24,100</t>
  </si>
  <si>
    <t>30,700</t>
  </si>
  <si>
    <t>SE 147 ST</t>
  </si>
  <si>
    <t>1.26</t>
  </si>
  <si>
    <t>1.33</t>
  </si>
  <si>
    <t>SW ROBINSON RD</t>
  </si>
  <si>
    <t>24,200</t>
  </si>
  <si>
    <t>25,500</t>
  </si>
  <si>
    <t>SW 111 PL LN</t>
  </si>
  <si>
    <t>SW 110 ST</t>
  </si>
  <si>
    <t>SW 99 PL</t>
  </si>
  <si>
    <t>SW 80 PL</t>
  </si>
  <si>
    <t>12,600</t>
  </si>
  <si>
    <t>SW 36 ST</t>
  </si>
  <si>
    <t>1.44</t>
  </si>
  <si>
    <t>1.54</t>
  </si>
  <si>
    <t>38,400</t>
  </si>
  <si>
    <t>40,300</t>
  </si>
  <si>
    <t>33,900</t>
  </si>
  <si>
    <t>38,500</t>
  </si>
  <si>
    <t>18,200</t>
  </si>
  <si>
    <t>27,800</t>
  </si>
  <si>
    <t>29,200</t>
  </si>
  <si>
    <t>SE 73 ST</t>
  </si>
  <si>
    <t>29,400</t>
  </si>
  <si>
    <t>SE 40 CIR</t>
  </si>
  <si>
    <t>29,500</t>
  </si>
  <si>
    <t>32,500</t>
  </si>
  <si>
    <t>40,500</t>
  </si>
  <si>
    <t>45,700</t>
  </si>
  <si>
    <t>NW 2 ST</t>
  </si>
  <si>
    <t>NW 6TH ST</t>
  </si>
  <si>
    <t>NW 20 ST</t>
  </si>
  <si>
    <t>25,800</t>
  </si>
  <si>
    <t>NW 57 ST</t>
  </si>
  <si>
    <t>16,700</t>
  </si>
  <si>
    <t>NW 77 ST</t>
  </si>
  <si>
    <t>25,600</t>
  </si>
  <si>
    <t>NW 117 ST</t>
  </si>
  <si>
    <t>37,300</t>
  </si>
  <si>
    <t>28,700</t>
  </si>
  <si>
    <t>29,800</t>
  </si>
  <si>
    <t>29,900</t>
  </si>
  <si>
    <t>38,300</t>
  </si>
  <si>
    <t>CR 25A (N)</t>
  </si>
  <si>
    <t>AVENUE I</t>
  </si>
  <si>
    <t>AVENUE B</t>
  </si>
  <si>
    <t>CEDAR ST</t>
  </si>
  <si>
    <t>BASELINE RD EXT</t>
  </si>
  <si>
    <t>15,100</t>
  </si>
  <si>
    <t>21,600</t>
  </si>
  <si>
    <t>EMERALD RD EXT</t>
  </si>
  <si>
    <t>BELLEVIEW BYPASS</t>
  </si>
  <si>
    <t>EMERALD RD</t>
  </si>
  <si>
    <t/>
  </si>
  <si>
    <t>0</t>
  </si>
  <si>
    <t>0.00</t>
  </si>
  <si>
    <t>NW 49 ST</t>
  </si>
  <si>
    <t>SW 32 AV/SW 34 ST</t>
  </si>
  <si>
    <t>38,100</t>
  </si>
  <si>
    <t>NE 245 ST RD</t>
  </si>
  <si>
    <t>NW 35 AVE</t>
  </si>
  <si>
    <t>NW 27 AVE</t>
  </si>
  <si>
    <t>I-75 NB</t>
  </si>
  <si>
    <t>MARION OAKS MANOR EXT</t>
  </si>
  <si>
    <t>SW 18 AV RD</t>
  </si>
  <si>
    <t>CHESNUT RD</t>
  </si>
  <si>
    <t>JUNIPER RD</t>
  </si>
  <si>
    <t>SE 64 AVE RD</t>
  </si>
  <si>
    <t>PINE RD</t>
  </si>
  <si>
    <t>SILVER RD</t>
  </si>
  <si>
    <t>MIDWAY RD</t>
  </si>
  <si>
    <t>MARION OAKS MNR</t>
  </si>
  <si>
    <t>MARION OAKS BLVD</t>
  </si>
  <si>
    <t>MARION OAKS TRL</t>
  </si>
  <si>
    <t>N BAHIA RD</t>
  </si>
  <si>
    <t>N PINE RD</t>
  </si>
  <si>
    <t>SE MARICAMP RD</t>
  </si>
  <si>
    <t>SPRING RD</t>
  </si>
  <si>
    <t>MARION OAKS CRSE</t>
  </si>
  <si>
    <t>W MARION OAKS TRL</t>
  </si>
  <si>
    <t>SE 64 AV RD</t>
  </si>
  <si>
    <t>BAHIA RD</t>
  </si>
  <si>
    <t>SW 67 AV RD</t>
  </si>
  <si>
    <t>SE 67 AVE RD</t>
  </si>
  <si>
    <t>MARION OAKS LN</t>
  </si>
  <si>
    <t>SW 49TH AVENUE</t>
  </si>
  <si>
    <t>NW 44TH AVE</t>
  </si>
  <si>
    <t>1 MI SOUTH OF US 27</t>
  </si>
  <si>
    <t>BUENA VISTA BLVD</t>
  </si>
  <si>
    <t>SUMTER CO LINE</t>
  </si>
  <si>
    <t>SE 92 LOOP</t>
  </si>
  <si>
    <t>DAILY SERVICE VOLUME (2023)</t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</si>
  <si>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</si>
  <si>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</si>
  <si>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</si>
  <si>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</si>
  <si>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</si>
  <si>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</si>
  <si>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</si>
  <si>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</si>
  <si>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</si>
  <si>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</si>
  <si>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</si>
  <si>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</si>
  <si>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</si>
  <si>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</si>
  <si>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</si>
  <si>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</si>
  <si>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</si>
  <si>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</si>
  <si>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</si>
  <si>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</si>
  <si>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</si>
  <si>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</si>
  <si>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</si>
  <si>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</si>
  <si>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</si>
  <si>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</si>
  <si>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</si>
  <si>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</si>
  <si>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</si>
  <si>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</si>
  <si>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Functional</t>
  </si>
  <si>
    <t>Class</t>
  </si>
  <si>
    <t xml:space="preserve">Facility </t>
  </si>
  <si>
    <t>Type</t>
  </si>
  <si>
    <t>Context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</si>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</sst>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3" borderId="0" xfId="0" applyFont="1" applyFill="1"/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Protection="1">
      <protection locked="0"/>
    </xf>
    <xf numFmtId="0" fontId="5" fillId="4" borderId="3" xfId="0" applyFont="1" applyFill="1" applyBorder="1" applyProtection="1">
      <protection locked="0"/>
    </xf>
    <xf numFmtId="0" fontId="5" fillId="4" borderId="4" xfId="0" applyFont="1" applyFill="1" applyBorder="1" applyAlignment="1" applyProtection="1">
      <alignment horizontal="centerContinuous"/>
      <protection locked="0"/>
    </xf>
    <xf numFmtId="0" fontId="5" fillId="4" borderId="5" xfId="0" applyFont="1" applyFill="1" applyBorder="1" applyAlignment="1" applyProtection="1">
      <alignment horizontal="centerContinuous"/>
      <protection locked="0"/>
    </xf>
    <xf numFmtId="0" fontId="5" fillId="4" borderId="8" xfId="0" applyFont="1" applyFill="1" applyBorder="1" applyAlignment="1" applyProtection="1">
      <alignment horizontal="center"/>
      <protection locked="0"/>
    </xf>
    <xf numFmtId="0" fontId="5" fillId="4" borderId="9" xfId="0" applyFont="1" applyFill="1" applyBorder="1" applyProtection="1">
      <protection locked="0"/>
    </xf>
    <xf numFmtId="0" fontId="5" fillId="4" borderId="10" xfId="0" applyFont="1" applyFill="1" applyBorder="1" applyProtection="1">
      <protection locked="0"/>
    </xf>
    <xf numFmtId="0" fontId="5" fillId="5" borderId="8" xfId="0" applyFont="1" applyFill="1" applyBorder="1" applyAlignment="1" applyProtection="1">
      <alignment horizontal="center"/>
      <protection locked="0"/>
    </xf>
    <xf numFmtId="0" fontId="5" fillId="6" borderId="8" xfId="0" applyFont="1" applyFill="1" applyBorder="1" applyAlignment="1" applyProtection="1">
      <alignment horizontal="center"/>
      <protection locked="0"/>
    </xf>
    <xf numFmtId="0" fontId="5" fillId="7" borderId="8" xfId="0" applyFont="1" applyFill="1" applyBorder="1" applyAlignment="1" applyProtection="1">
      <alignment horizontal="center"/>
      <protection locked="0"/>
    </xf>
    <xf numFmtId="0" fontId="5" fillId="4" borderId="12" xfId="0" applyFont="1" applyFill="1" applyBorder="1" applyAlignment="1" applyProtection="1">
      <alignment horizontal="center"/>
      <protection locked="0"/>
    </xf>
    <xf numFmtId="0" fontId="5" fillId="4" borderId="11" xfId="0" applyFont="1" applyFill="1" applyBorder="1" applyProtection="1">
      <protection locked="0"/>
    </xf>
    <xf numFmtId="0" fontId="5" fillId="5" borderId="12" xfId="0" applyFont="1" applyFill="1" applyBorder="1" applyAlignment="1" applyProtection="1">
      <alignment horizontal="center"/>
      <protection locked="0"/>
    </xf>
    <xf numFmtId="0" fontId="5" fillId="6" borderId="12" xfId="0" applyFont="1" applyFill="1" applyBorder="1" applyAlignment="1" applyProtection="1">
      <alignment horizontal="center"/>
      <protection locked="0"/>
    </xf>
    <xf numFmtId="0" fontId="5" fillId="7" borderId="12" xfId="0" applyFont="1" applyFill="1" applyBorder="1" applyAlignment="1" applyProtection="1">
      <alignment horizontal="center"/>
      <protection locked="0"/>
    </xf>
    <xf numFmtId="0" fontId="5" fillId="7" borderId="11" xfId="0" applyFont="1" applyFill="1" applyBorder="1" applyAlignment="1" applyProtection="1">
      <alignment horizontal="center"/>
      <protection locked="0"/>
    </xf>
    <xf numFmtId="0" fontId="5" fillId="7" borderId="13" xfId="0" applyFont="1" applyFill="1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3" fontId="4" fillId="0" borderId="11" xfId="0" applyNumberFormat="1" applyFont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Continuous"/>
    </xf>
    <xf numFmtId="0" fontId="3" fillId="0" borderId="11" xfId="0" applyFont="1" applyBorder="1" applyAlignment="1">
      <alignment horizontal="center" wrapText="1"/>
    </xf>
    <xf numFmtId="0" fontId="4" fillId="2" borderId="1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5" fillId="4" borderId="6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5" borderId="11" xfId="0" applyFont="1" applyFill="1" applyBorder="1" applyAlignment="1" applyProtection="1">
      <alignment horizontal="center"/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6" borderId="5" xfId="0" applyFont="1" applyFill="1" applyBorder="1" applyAlignment="1" applyProtection="1">
      <alignment horizontal="center"/>
      <protection locked="0"/>
    </xf>
    <xf numFmtId="0" fontId="5" fillId="6" borderId="7" xfId="0" applyFont="1" applyFill="1" applyBorder="1" applyAlignment="1" applyProtection="1">
      <alignment horizontal="center"/>
      <protection locked="0"/>
    </xf>
    <xf numFmtId="0" fontId="5" fillId="7" borderId="4" xfId="0" applyFont="1" applyFill="1" applyBorder="1" applyAlignment="1" applyProtection="1">
      <alignment horizontal="center"/>
      <protection locked="0"/>
    </xf>
    <xf numFmtId="0" fontId="5" fillId="7" borderId="5" xfId="0" applyFont="1" applyFill="1" applyBorder="1" applyAlignment="1" applyProtection="1">
      <alignment horizontal="center"/>
      <protection locked="0"/>
    </xf>
    <xf numFmtId="0" fontId="5" fillId="7" borderId="7" xfId="0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06840A-8599-4941-BBAB-A4E2884DB7CC}" autoFormatId="16" applyNumberFormats="0" applyBorderFormats="0" applyFontFormats="0" applyPatternFormats="0" applyAlignmentFormats="0" applyWidthHeightFormats="0">
  <queryTableRefresh nextId="26">
    <queryTableFields count="25">
      <queryTableField id="1" name="SEGMENT ID" tableColumnId="1"/>
      <queryTableField id="2" name="ROAD NAME" tableColumnId="2"/>
      <queryTableField id="3" name="FROM" tableColumnId="3"/>
      <queryTableField id="4" name="TO" tableColumnId="4"/>
      <queryTableField id="5" name="LANES_x000a_(2023)" tableColumnId="5"/>
      <queryTableField id="6" name="FUNCTIONAL_x000a_CLASSIFICATION" tableColumnId="6"/>
      <queryTableField id="7" name="FLOW" tableColumnId="7"/>
      <queryTableField id="8" name="FDOT CLASS" tableColumnId="8"/>
      <queryTableField id="9" name="DAILY SERVICE_x000a_VOLUME (2023)" tableColumnId="9"/>
      <queryTableField id="10" name="PEAK HOUR_x000a_DIRECTIONAL SERVICE_x000a_VOLUME (2023)" tableColumnId="10"/>
      <queryTableField id="11" name="LANES_x000a_(2028)" tableColumnId="11"/>
      <queryTableField id="12" name="DAILY_x000a_SERVICE_x000a_VOLUME_x000a_(2028)" tableColumnId="12"/>
      <queryTableField id="13" name="PEAK HOUR_x000a_DIRECTIONAL SERVICE_x000a_VOLUME (2028)" tableColumnId="13"/>
      <queryTableField id="14" name="URBAN /_x000a_RURAL" tableColumnId="14"/>
      <queryTableField id="15" name="DIVIDED /_x000a_UNDIVIDED" tableColumnId="15"/>
      <queryTableField id="16" name="MAINTAINING AGENCY" tableColumnId="16"/>
      <queryTableField id="17" name="NHS" tableColumnId="17"/>
      <queryTableField id="18" name="ADOPTED LOS_x000a_STANDARD" tableColumnId="18"/>
      <queryTableField id="19" name="2023 AADT" tableColumnId="19"/>
      <queryTableField id="20" name="2023 DAILY_x000a_V/MSV" tableColumnId="20"/>
      <queryTableField id="21" name="2023 DAILY LOS" tableColumnId="21"/>
      <queryTableField id="22" name="GROWTH RATE" tableColumnId="22"/>
      <queryTableField id="23" name="2028 AADT" tableColumnId="23"/>
      <queryTableField id="24" name="2028 DAILY_x000a_V/MSV" tableColumnId="24"/>
      <queryTableField id="25" name="2028 DAILY LO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4C777-D07B-4E46-AC5E-457D66BFCDD5}" name="Table001__Page_1_6" displayName="Table001__Page_1_6" ref="A1:Y555" tableType="queryTable" totalsRowShown="0" headerRowDxfId="17">
  <tableColumns count="25">
    <tableColumn id="1" xr3:uid="{F7655E1A-1E23-45CF-B392-612B6FAE8132}" uniqueName="1" name="SEGMENT ID" queryTableFieldId="1"/>
    <tableColumn id="2" xr3:uid="{15B97697-0E1E-4E80-BA71-4BFC3A3A52E4}" uniqueName="2" name="ROAD NAME" queryTableFieldId="2" dataDxfId="16"/>
    <tableColumn id="3" xr3:uid="{BB71E942-D8B4-4BAF-B80C-15F4DCB3BBD5}" uniqueName="3" name="FROM" queryTableFieldId="3" dataDxfId="15"/>
    <tableColumn id="4" xr3:uid="{C67378B4-75CF-4D6E-A35C-B1F6D0537652}" uniqueName="4" name="TO" queryTableFieldId="4" dataDxfId="14"/>
    <tableColumn id="5" xr3:uid="{BC68338A-60B0-4706-9E83-991B54157BC4}" uniqueName="5" name="LANES_x000a_(2023)" queryTableFieldId="5"/>
    <tableColumn id="6" xr3:uid="{CBB8BDF1-69A7-4A0C-9119-ED3EF7BEE494}" uniqueName="6" name="FUNCTIONAL_x000a_CLASSIFICATION" queryTableFieldId="6" dataDxfId="13"/>
    <tableColumn id="7" xr3:uid="{AAC5A56C-2282-4BE8-B56F-1D40D0FC493A}" uniqueName="7" name="FLOW" queryTableFieldId="7" dataDxfId="12"/>
    <tableColumn id="8" xr3:uid="{0311077E-6F73-40E9-8B6E-05E45A9CA626}" uniqueName="8" name="FDOT CLASS" queryTableFieldId="8"/>
    <tableColumn id="9" xr3:uid="{5B0FC454-BEAE-4787-9FEE-8B2C28D40D41}" uniqueName="9" name="DAILY SERVICE VOLUME (2023)" queryTableFieldId="9"/>
    <tableColumn id="10" xr3:uid="{BD0013C5-F62A-408B-BDA8-8ABE0DC37CB3}" uniqueName="10" name="PEAK HOUR_x000a_DIRECTIONAL SERVICE_x000a_VOLUME (2023)" queryTableFieldId="10"/>
    <tableColumn id="11" xr3:uid="{DE4B6A75-E2DD-464B-8B0F-DFF08C258D8C}" uniqueName="11" name="LANES_x000a_(2028)" queryTableFieldId="11"/>
    <tableColumn id="12" xr3:uid="{345B28E9-F0DF-4334-8402-8F5A5380FE03}" uniqueName="12" name="DAILY_x000a_SERVICE_x000a_VOLUME_x000a_(2028)" queryTableFieldId="12"/>
    <tableColumn id="13" xr3:uid="{937869AE-DFCE-4DEA-81E2-3C2E2F0F6668}" uniqueName="13" name="PEAK HOUR_x000a_DIRECTIONAL SERVICE_x000a_VOLUME (2028)" queryTableFieldId="13"/>
    <tableColumn id="14" xr3:uid="{33C2CC90-EDE6-4196-97EB-A1537930B8BC}" uniqueName="14" name="URBAN /_x000a_RURAL" queryTableFieldId="14" dataDxfId="11"/>
    <tableColumn id="15" xr3:uid="{DAAE8952-C042-4676-BB66-784AC9C663E3}" uniqueName="15" name="DIVIDED /_x000a_UNDIVIDED" queryTableFieldId="15" dataDxfId="10"/>
    <tableColumn id="16" xr3:uid="{E1AA3F37-B110-4D7C-899B-5CA6F24FC60C}" uniqueName="16" name="MAINTAINING AGENCY" queryTableFieldId="16" dataDxfId="9"/>
    <tableColumn id="17" xr3:uid="{21E69C56-787B-4D46-8011-4F03AB8B4B6A}" uniqueName="17" name="NHS" queryTableFieldId="17" dataDxfId="8"/>
    <tableColumn id="18" xr3:uid="{15FE653E-1F44-4866-A2DD-1F7695A2BB55}" uniqueName="18" name="ADOPTED LOS_x000a_STANDARD" queryTableFieldId="18" dataDxfId="7"/>
    <tableColumn id="19" xr3:uid="{40F4650B-DD9D-4FCC-8445-ACBC30D39329}" uniqueName="19" name="2023 AADT" queryTableFieldId="19" dataDxfId="6"/>
    <tableColumn id="20" xr3:uid="{5A503716-0459-479C-ABD2-B6462C54E30A}" uniqueName="20" name="2023 DAILY_x000a_V/MSV" queryTableFieldId="20" dataDxfId="5"/>
    <tableColumn id="21" xr3:uid="{747C9507-964D-499A-975E-1CC587BCEFC0}" uniqueName="21" name="2023 DAILY LOS" queryTableFieldId="21" dataDxfId="4"/>
    <tableColumn id="22" xr3:uid="{A822C0E3-D2FD-4ABD-8C79-8EA7E7CDF598}" uniqueName="22" name="GROWTH RATE" queryTableFieldId="22"/>
    <tableColumn id="23" xr3:uid="{D993B74F-6CBC-4631-81B5-5DA35D38F632}" uniqueName="23" name="2028 AADT" queryTableFieldId="23" dataDxfId="3"/>
    <tableColumn id="24" xr3:uid="{2D7BA822-331E-4ACC-A20B-7AE181DB0147}" uniqueName="24" name="2028 DAILY_x000a_V/MSV" queryTableFieldId="24" dataDxfId="2"/>
    <tableColumn id="25" xr3:uid="{F1C4CC43-8787-4563-B050-BEB518563649}" uniqueName="25" name="2028 DAILY LOS" queryTableFieldId="25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A851-E0A0-49A4-AA65-D3092B57EB92}">
  <dimension ref="A1:Y555"/>
  <sheetViews>
    <sheetView topLeftCell="J1" zoomScale="110" zoomScaleNormal="110" workbookViewId="0">
      <selection activeCell="V2" sqref="V2"/>
    </sheetView>
  </sheetViews>
  <sheetFormatPr defaultRowHeight="14.4" x14ac:dyDescent="0.3"/>
  <cols>
    <col min="1" max="1" width="14.44140625" bestFit="1" customWidth="1"/>
    <col min="2" max="2" width="25.88671875" bestFit="1" customWidth="1"/>
    <col min="3" max="4" width="23.44140625" bestFit="1" customWidth="1"/>
    <col min="5" max="5" width="15.5546875" bestFit="1" customWidth="1"/>
    <col min="6" max="6" width="30.88671875" bestFit="1" customWidth="1"/>
    <col min="7" max="7" width="15.88671875" bestFit="1" customWidth="1"/>
    <col min="8" max="8" width="13.5546875" bestFit="1" customWidth="1"/>
    <col min="9" max="9" width="16.5546875" customWidth="1"/>
    <col min="10" max="10" width="25.44140625" customWidth="1"/>
    <col min="11" max="11" width="15.5546875" bestFit="1" customWidth="1"/>
    <col min="12" max="12" width="18.44140625" customWidth="1"/>
    <col min="13" max="13" width="16.44140625" customWidth="1"/>
    <col min="14" max="14" width="11.5546875" customWidth="1"/>
    <col min="15" max="15" width="17" customWidth="1"/>
    <col min="16" max="16" width="14.5546875" customWidth="1"/>
    <col min="17" max="17" width="28.44140625" bestFit="1" customWidth="1"/>
    <col min="18" max="18" width="16.44140625" customWidth="1"/>
    <col min="19" max="19" width="12.5546875" bestFit="1" customWidth="1"/>
    <col min="20" max="20" width="20.5546875" bestFit="1" customWidth="1"/>
    <col min="21" max="21" width="10.88671875" customWidth="1"/>
    <col min="22" max="22" width="11.88671875" customWidth="1"/>
    <col min="23" max="23" width="12.5546875" bestFit="1" customWidth="1"/>
    <col min="24" max="24" width="10.88671875" customWidth="1"/>
    <col min="25" max="25" width="10.44140625" customWidth="1"/>
  </cols>
  <sheetData>
    <row r="1" spans="1:25" s="1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790</v>
      </c>
      <c r="J1" s="2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1" t="s">
        <v>17</v>
      </c>
      <c r="T1" s="2" t="s">
        <v>18</v>
      </c>
      <c r="U1" s="2" t="s">
        <v>19</v>
      </c>
      <c r="V1" s="2" t="s">
        <v>20</v>
      </c>
      <c r="W1" s="1" t="s">
        <v>21</v>
      </c>
      <c r="X1" s="2" t="s">
        <v>22</v>
      </c>
      <c r="Y1" s="2" t="s">
        <v>23</v>
      </c>
    </row>
    <row r="2" spans="1:25" x14ac:dyDescent="0.3">
      <c r="A2">
        <v>1010</v>
      </c>
      <c r="B2" t="s">
        <v>24</v>
      </c>
      <c r="C2" t="s">
        <v>25</v>
      </c>
      <c r="D2" t="s">
        <v>26</v>
      </c>
      <c r="E2">
        <v>4</v>
      </c>
      <c r="F2" t="s">
        <v>27</v>
      </c>
      <c r="G2" t="s">
        <v>28</v>
      </c>
      <c r="I2">
        <v>67770</v>
      </c>
      <c r="J2">
        <v>3357</v>
      </c>
      <c r="K2">
        <v>4</v>
      </c>
      <c r="L2">
        <v>67770</v>
      </c>
      <c r="M2">
        <v>3357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>
        <v>0.01</v>
      </c>
      <c r="W2" t="s">
        <v>37</v>
      </c>
      <c r="X2" t="s">
        <v>38</v>
      </c>
      <c r="Y2" t="s">
        <v>36</v>
      </c>
    </row>
    <row r="3" spans="1:25" x14ac:dyDescent="0.3">
      <c r="A3">
        <v>1020</v>
      </c>
      <c r="B3" t="s">
        <v>39</v>
      </c>
      <c r="C3" t="s">
        <v>40</v>
      </c>
      <c r="D3" t="s">
        <v>41</v>
      </c>
      <c r="E3">
        <v>2</v>
      </c>
      <c r="F3" t="s">
        <v>42</v>
      </c>
      <c r="G3" t="s">
        <v>28</v>
      </c>
      <c r="I3">
        <v>19170</v>
      </c>
      <c r="J3">
        <v>999</v>
      </c>
      <c r="K3">
        <v>2</v>
      </c>
      <c r="L3">
        <v>19170</v>
      </c>
      <c r="M3">
        <v>999</v>
      </c>
      <c r="N3" t="s">
        <v>43</v>
      </c>
      <c r="O3" t="s">
        <v>44</v>
      </c>
      <c r="P3" t="s">
        <v>31</v>
      </c>
      <c r="Q3" t="s">
        <v>32</v>
      </c>
      <c r="R3" t="s">
        <v>30</v>
      </c>
      <c r="S3" t="s">
        <v>45</v>
      </c>
      <c r="T3" t="s">
        <v>46</v>
      </c>
      <c r="U3" t="s">
        <v>46</v>
      </c>
      <c r="V3">
        <v>0.01</v>
      </c>
      <c r="W3" t="s">
        <v>45</v>
      </c>
      <c r="X3" t="s">
        <v>46</v>
      </c>
      <c r="Y3" t="s">
        <v>46</v>
      </c>
    </row>
    <row r="4" spans="1:25" x14ac:dyDescent="0.3">
      <c r="A4">
        <v>1030.0999999999999</v>
      </c>
      <c r="B4" t="s">
        <v>47</v>
      </c>
      <c r="C4" t="s">
        <v>48</v>
      </c>
      <c r="D4" t="s">
        <v>49</v>
      </c>
      <c r="E4">
        <v>2</v>
      </c>
      <c r="F4" t="s">
        <v>42</v>
      </c>
      <c r="G4" t="s">
        <v>28</v>
      </c>
      <c r="I4">
        <v>9270</v>
      </c>
      <c r="J4">
        <v>486</v>
      </c>
      <c r="K4">
        <v>2</v>
      </c>
      <c r="L4">
        <v>9270</v>
      </c>
      <c r="M4">
        <v>486</v>
      </c>
      <c r="N4" t="s">
        <v>43</v>
      </c>
      <c r="O4" t="s">
        <v>44</v>
      </c>
      <c r="P4" t="s">
        <v>31</v>
      </c>
      <c r="Q4" t="s">
        <v>32</v>
      </c>
      <c r="R4" t="s">
        <v>36</v>
      </c>
      <c r="S4" t="s">
        <v>50</v>
      </c>
      <c r="T4" t="s">
        <v>51</v>
      </c>
      <c r="U4" t="s">
        <v>36</v>
      </c>
      <c r="V4">
        <v>5.2699999999999997E-2</v>
      </c>
      <c r="W4" t="s">
        <v>52</v>
      </c>
      <c r="X4" t="s">
        <v>53</v>
      </c>
      <c r="Y4" t="s">
        <v>36</v>
      </c>
    </row>
    <row r="5" spans="1:25" x14ac:dyDescent="0.3">
      <c r="A5">
        <v>1030.4000000000001</v>
      </c>
      <c r="B5" t="s">
        <v>47</v>
      </c>
      <c r="C5" t="s">
        <v>49</v>
      </c>
      <c r="D5" t="s">
        <v>54</v>
      </c>
      <c r="E5">
        <v>2</v>
      </c>
      <c r="F5" t="s">
        <v>42</v>
      </c>
      <c r="G5" t="s">
        <v>28</v>
      </c>
      <c r="I5">
        <v>9270</v>
      </c>
      <c r="J5">
        <v>486</v>
      </c>
      <c r="K5">
        <v>2</v>
      </c>
      <c r="L5">
        <v>9270</v>
      </c>
      <c r="M5">
        <v>486</v>
      </c>
      <c r="N5" t="s">
        <v>43</v>
      </c>
      <c r="O5" t="s">
        <v>44</v>
      </c>
      <c r="P5" t="s">
        <v>31</v>
      </c>
      <c r="Q5" t="s">
        <v>32</v>
      </c>
      <c r="R5" t="s">
        <v>36</v>
      </c>
      <c r="S5" t="s">
        <v>50</v>
      </c>
      <c r="T5" t="s">
        <v>51</v>
      </c>
      <c r="U5" t="s">
        <v>36</v>
      </c>
      <c r="V5">
        <v>5.2699999999999997E-2</v>
      </c>
      <c r="W5" t="s">
        <v>52</v>
      </c>
      <c r="X5" t="s">
        <v>53</v>
      </c>
      <c r="Y5" t="s">
        <v>36</v>
      </c>
    </row>
    <row r="6" spans="1:25" x14ac:dyDescent="0.3">
      <c r="A6">
        <v>1040.0999999999999</v>
      </c>
      <c r="B6" t="s">
        <v>47</v>
      </c>
      <c r="C6" t="s">
        <v>54</v>
      </c>
      <c r="D6" t="s">
        <v>55</v>
      </c>
      <c r="E6">
        <v>2</v>
      </c>
      <c r="F6" t="s">
        <v>42</v>
      </c>
      <c r="G6" t="s">
        <v>28</v>
      </c>
      <c r="I6">
        <v>9270</v>
      </c>
      <c r="J6">
        <v>486</v>
      </c>
      <c r="K6">
        <v>2</v>
      </c>
      <c r="L6">
        <v>9270</v>
      </c>
      <c r="M6">
        <v>486</v>
      </c>
      <c r="N6" t="s">
        <v>43</v>
      </c>
      <c r="O6" t="s">
        <v>44</v>
      </c>
      <c r="P6" t="s">
        <v>31</v>
      </c>
      <c r="Q6" t="s">
        <v>32</v>
      </c>
      <c r="R6" t="s">
        <v>36</v>
      </c>
      <c r="S6" t="s">
        <v>50</v>
      </c>
      <c r="T6" t="s">
        <v>51</v>
      </c>
      <c r="U6" t="s">
        <v>36</v>
      </c>
      <c r="V6">
        <v>5.2699999999999997E-2</v>
      </c>
      <c r="W6" t="s">
        <v>52</v>
      </c>
      <c r="X6" t="s">
        <v>53</v>
      </c>
      <c r="Y6" t="s">
        <v>36</v>
      </c>
    </row>
    <row r="7" spans="1:25" x14ac:dyDescent="0.3">
      <c r="A7">
        <v>1050</v>
      </c>
      <c r="B7" t="s">
        <v>56</v>
      </c>
      <c r="C7" t="s">
        <v>48</v>
      </c>
      <c r="D7" t="s">
        <v>49</v>
      </c>
      <c r="E7">
        <v>2</v>
      </c>
      <c r="F7" t="s">
        <v>42</v>
      </c>
      <c r="G7" t="s">
        <v>57</v>
      </c>
      <c r="I7">
        <v>10224</v>
      </c>
      <c r="J7">
        <v>533</v>
      </c>
      <c r="K7">
        <v>2</v>
      </c>
      <c r="L7">
        <v>10224</v>
      </c>
      <c r="M7">
        <v>533</v>
      </c>
      <c r="N7" t="s">
        <v>43</v>
      </c>
      <c r="O7" t="s">
        <v>44</v>
      </c>
      <c r="P7" t="s">
        <v>31</v>
      </c>
      <c r="Q7" t="s">
        <v>32</v>
      </c>
      <c r="R7" t="s">
        <v>30</v>
      </c>
      <c r="S7" t="s">
        <v>58</v>
      </c>
      <c r="T7" t="s">
        <v>59</v>
      </c>
      <c r="U7" t="s">
        <v>60</v>
      </c>
      <c r="V7">
        <v>0.01</v>
      </c>
      <c r="W7" t="s">
        <v>61</v>
      </c>
      <c r="X7" t="s">
        <v>62</v>
      </c>
      <c r="Y7" t="s">
        <v>60</v>
      </c>
    </row>
    <row r="8" spans="1:25" x14ac:dyDescent="0.3">
      <c r="A8">
        <v>1060</v>
      </c>
      <c r="B8" t="s">
        <v>56</v>
      </c>
      <c r="C8" t="s">
        <v>49</v>
      </c>
      <c r="D8" t="s">
        <v>63</v>
      </c>
      <c r="E8">
        <v>2</v>
      </c>
      <c r="F8" t="s">
        <v>42</v>
      </c>
      <c r="G8" t="s">
        <v>28</v>
      </c>
      <c r="I8">
        <v>9270</v>
      </c>
      <c r="J8">
        <v>486</v>
      </c>
      <c r="K8">
        <v>2</v>
      </c>
      <c r="L8">
        <v>9270</v>
      </c>
      <c r="M8">
        <v>486</v>
      </c>
      <c r="N8" t="s">
        <v>43</v>
      </c>
      <c r="O8" t="s">
        <v>44</v>
      </c>
      <c r="P8" t="s">
        <v>31</v>
      </c>
      <c r="Q8" t="s">
        <v>32</v>
      </c>
      <c r="R8" t="s">
        <v>36</v>
      </c>
      <c r="S8" t="s">
        <v>64</v>
      </c>
      <c r="T8" t="s">
        <v>65</v>
      </c>
      <c r="U8" t="s">
        <v>36</v>
      </c>
      <c r="V8">
        <v>0.01</v>
      </c>
      <c r="W8" t="s">
        <v>66</v>
      </c>
      <c r="X8" t="s">
        <v>67</v>
      </c>
      <c r="Y8" t="s">
        <v>36</v>
      </c>
    </row>
    <row r="9" spans="1:25" x14ac:dyDescent="0.3">
      <c r="A9">
        <v>1070</v>
      </c>
      <c r="B9" t="s">
        <v>68</v>
      </c>
      <c r="C9" t="s">
        <v>41</v>
      </c>
      <c r="D9" t="s">
        <v>69</v>
      </c>
      <c r="E9">
        <v>2</v>
      </c>
      <c r="F9" t="s">
        <v>42</v>
      </c>
      <c r="G9" t="s">
        <v>57</v>
      </c>
      <c r="H9">
        <v>1</v>
      </c>
      <c r="I9">
        <v>12744</v>
      </c>
      <c r="J9">
        <v>634</v>
      </c>
      <c r="K9">
        <v>2</v>
      </c>
      <c r="L9">
        <v>12744</v>
      </c>
      <c r="M9">
        <v>634</v>
      </c>
      <c r="N9" t="s">
        <v>29</v>
      </c>
      <c r="O9" t="s">
        <v>44</v>
      </c>
      <c r="P9" t="s">
        <v>31</v>
      </c>
      <c r="Q9" t="s">
        <v>32</v>
      </c>
      <c r="R9" t="s">
        <v>33</v>
      </c>
      <c r="S9" t="s">
        <v>70</v>
      </c>
      <c r="T9" t="s">
        <v>71</v>
      </c>
      <c r="U9" t="s">
        <v>60</v>
      </c>
      <c r="V9">
        <v>1.11E-2</v>
      </c>
      <c r="W9" t="s">
        <v>72</v>
      </c>
      <c r="X9" t="s">
        <v>73</v>
      </c>
      <c r="Y9" t="s">
        <v>60</v>
      </c>
    </row>
    <row r="10" spans="1:25" x14ac:dyDescent="0.3">
      <c r="A10">
        <v>1080.0999999999999</v>
      </c>
      <c r="B10" t="s">
        <v>68</v>
      </c>
      <c r="C10" t="s">
        <v>69</v>
      </c>
      <c r="D10" t="s">
        <v>74</v>
      </c>
      <c r="E10">
        <v>2</v>
      </c>
      <c r="F10" t="s">
        <v>42</v>
      </c>
      <c r="G10" t="s">
        <v>28</v>
      </c>
      <c r="I10">
        <v>29340</v>
      </c>
      <c r="J10">
        <v>1449</v>
      </c>
      <c r="K10">
        <v>2</v>
      </c>
      <c r="L10">
        <v>29340</v>
      </c>
      <c r="M10">
        <v>1449</v>
      </c>
      <c r="N10" t="s">
        <v>29</v>
      </c>
      <c r="O10" t="s">
        <v>44</v>
      </c>
      <c r="P10" t="s">
        <v>31</v>
      </c>
      <c r="Q10" t="s">
        <v>32</v>
      </c>
      <c r="R10" t="s">
        <v>33</v>
      </c>
      <c r="S10" t="s">
        <v>75</v>
      </c>
      <c r="T10" t="s">
        <v>76</v>
      </c>
      <c r="U10" t="s">
        <v>36</v>
      </c>
      <c r="V10">
        <v>0.01</v>
      </c>
      <c r="W10" t="s">
        <v>77</v>
      </c>
      <c r="X10" t="s">
        <v>78</v>
      </c>
      <c r="Y10" t="s">
        <v>36</v>
      </c>
    </row>
    <row r="11" spans="1:25" x14ac:dyDescent="0.3">
      <c r="A11">
        <v>1080.3</v>
      </c>
      <c r="B11" t="s">
        <v>68</v>
      </c>
      <c r="C11" t="s">
        <v>74</v>
      </c>
      <c r="D11" t="s">
        <v>79</v>
      </c>
      <c r="E11">
        <v>2</v>
      </c>
      <c r="F11" t="s">
        <v>42</v>
      </c>
      <c r="G11" t="s">
        <v>28</v>
      </c>
      <c r="I11">
        <v>29340</v>
      </c>
      <c r="J11">
        <v>1449</v>
      </c>
      <c r="K11">
        <v>2</v>
      </c>
      <c r="L11">
        <v>29340</v>
      </c>
      <c r="M11">
        <v>1449</v>
      </c>
      <c r="N11" t="s">
        <v>29</v>
      </c>
      <c r="O11" t="s">
        <v>44</v>
      </c>
      <c r="P11" t="s">
        <v>31</v>
      </c>
      <c r="Q11" t="s">
        <v>32</v>
      </c>
      <c r="R11" t="s">
        <v>33</v>
      </c>
      <c r="S11" t="s">
        <v>75</v>
      </c>
      <c r="T11" t="s">
        <v>76</v>
      </c>
      <c r="U11" t="s">
        <v>36</v>
      </c>
      <c r="V11">
        <v>0.01</v>
      </c>
      <c r="W11" t="s">
        <v>77</v>
      </c>
      <c r="X11" t="s">
        <v>78</v>
      </c>
      <c r="Y11" t="s">
        <v>36</v>
      </c>
    </row>
    <row r="12" spans="1:25" x14ac:dyDescent="0.3">
      <c r="A12">
        <v>1090.0999999999999</v>
      </c>
      <c r="B12" t="s">
        <v>68</v>
      </c>
      <c r="C12" t="s">
        <v>79</v>
      </c>
      <c r="D12" t="s">
        <v>80</v>
      </c>
      <c r="E12">
        <v>2</v>
      </c>
      <c r="F12" t="s">
        <v>42</v>
      </c>
      <c r="G12" t="s">
        <v>28</v>
      </c>
      <c r="I12">
        <v>29340</v>
      </c>
      <c r="J12">
        <v>1449</v>
      </c>
      <c r="K12">
        <v>2</v>
      </c>
      <c r="L12">
        <v>29340</v>
      </c>
      <c r="M12">
        <v>1449</v>
      </c>
      <c r="N12" t="s">
        <v>29</v>
      </c>
      <c r="O12" t="s">
        <v>44</v>
      </c>
      <c r="P12" t="s">
        <v>31</v>
      </c>
      <c r="Q12" t="s">
        <v>32</v>
      </c>
      <c r="R12" t="s">
        <v>33</v>
      </c>
      <c r="S12" t="s">
        <v>75</v>
      </c>
      <c r="T12" t="s">
        <v>76</v>
      </c>
      <c r="U12" t="s">
        <v>36</v>
      </c>
      <c r="V12">
        <v>0.01</v>
      </c>
      <c r="W12" t="s">
        <v>77</v>
      </c>
      <c r="X12" t="s">
        <v>78</v>
      </c>
      <c r="Y12" t="s">
        <v>36</v>
      </c>
    </row>
    <row r="13" spans="1:25" x14ac:dyDescent="0.3">
      <c r="A13">
        <v>1100.0999999999999</v>
      </c>
      <c r="B13" t="s">
        <v>68</v>
      </c>
      <c r="C13" t="s">
        <v>80</v>
      </c>
      <c r="D13" t="s">
        <v>81</v>
      </c>
      <c r="E13">
        <v>2</v>
      </c>
      <c r="F13" t="s">
        <v>42</v>
      </c>
      <c r="G13" t="s">
        <v>28</v>
      </c>
      <c r="I13">
        <v>29340</v>
      </c>
      <c r="J13">
        <v>1449</v>
      </c>
      <c r="K13">
        <v>2</v>
      </c>
      <c r="L13">
        <v>29340</v>
      </c>
      <c r="M13">
        <v>1449</v>
      </c>
      <c r="N13" t="s">
        <v>29</v>
      </c>
      <c r="O13" t="s">
        <v>44</v>
      </c>
      <c r="P13" t="s">
        <v>31</v>
      </c>
      <c r="Q13" t="s">
        <v>32</v>
      </c>
      <c r="R13" t="s">
        <v>33</v>
      </c>
      <c r="S13" t="s">
        <v>82</v>
      </c>
      <c r="T13" t="s">
        <v>83</v>
      </c>
      <c r="U13" t="s">
        <v>36</v>
      </c>
      <c r="V13">
        <v>0.01</v>
      </c>
      <c r="W13" t="s">
        <v>84</v>
      </c>
      <c r="X13" t="s">
        <v>85</v>
      </c>
      <c r="Y13" t="s">
        <v>36</v>
      </c>
    </row>
    <row r="14" spans="1:25" x14ac:dyDescent="0.3">
      <c r="A14">
        <v>1100.4000000000001</v>
      </c>
      <c r="B14" t="s">
        <v>68</v>
      </c>
      <c r="C14" t="s">
        <v>81</v>
      </c>
      <c r="D14" t="s">
        <v>86</v>
      </c>
      <c r="E14">
        <v>2</v>
      </c>
      <c r="F14" t="s">
        <v>42</v>
      </c>
      <c r="G14" t="s">
        <v>28</v>
      </c>
      <c r="I14">
        <v>29340</v>
      </c>
      <c r="J14">
        <v>1449</v>
      </c>
      <c r="K14">
        <v>2</v>
      </c>
      <c r="L14">
        <v>29340</v>
      </c>
      <c r="M14">
        <v>1449</v>
      </c>
      <c r="N14" t="s">
        <v>29</v>
      </c>
      <c r="O14" t="s">
        <v>44</v>
      </c>
      <c r="P14" t="s">
        <v>31</v>
      </c>
      <c r="Q14" t="s">
        <v>32</v>
      </c>
      <c r="R14" t="s">
        <v>33</v>
      </c>
      <c r="S14" t="s">
        <v>87</v>
      </c>
      <c r="T14" t="s">
        <v>88</v>
      </c>
      <c r="U14" t="s">
        <v>36</v>
      </c>
      <c r="V14">
        <v>6.2700000000000006E-2</v>
      </c>
      <c r="W14" t="s">
        <v>89</v>
      </c>
      <c r="X14" t="s">
        <v>90</v>
      </c>
      <c r="Y14" t="s">
        <v>36</v>
      </c>
    </row>
    <row r="15" spans="1:25" x14ac:dyDescent="0.3">
      <c r="A15">
        <v>1110.4000000000001</v>
      </c>
      <c r="B15" t="s">
        <v>68</v>
      </c>
      <c r="C15" t="s">
        <v>86</v>
      </c>
      <c r="D15" t="s">
        <v>91</v>
      </c>
      <c r="E15">
        <v>2</v>
      </c>
      <c r="F15" t="s">
        <v>42</v>
      </c>
      <c r="G15" t="s">
        <v>28</v>
      </c>
      <c r="I15">
        <v>29340</v>
      </c>
      <c r="J15">
        <v>1449</v>
      </c>
      <c r="K15">
        <v>2</v>
      </c>
      <c r="L15">
        <v>29340</v>
      </c>
      <c r="M15">
        <v>1449</v>
      </c>
      <c r="N15" t="s">
        <v>29</v>
      </c>
      <c r="O15" t="s">
        <v>44</v>
      </c>
      <c r="P15" t="s">
        <v>31</v>
      </c>
      <c r="Q15" t="s">
        <v>32</v>
      </c>
      <c r="R15" t="s">
        <v>33</v>
      </c>
      <c r="S15" t="s">
        <v>92</v>
      </c>
      <c r="T15" t="s">
        <v>93</v>
      </c>
      <c r="U15" t="s">
        <v>36</v>
      </c>
      <c r="V15">
        <v>0.01</v>
      </c>
      <c r="W15" t="s">
        <v>94</v>
      </c>
      <c r="X15" t="s">
        <v>95</v>
      </c>
      <c r="Y15" t="s">
        <v>36</v>
      </c>
    </row>
    <row r="16" spans="1:25" x14ac:dyDescent="0.3">
      <c r="A16">
        <v>1120</v>
      </c>
      <c r="B16" t="s">
        <v>26</v>
      </c>
      <c r="C16" t="s">
        <v>96</v>
      </c>
      <c r="D16" t="s">
        <v>97</v>
      </c>
      <c r="E16">
        <v>4</v>
      </c>
      <c r="F16" t="s">
        <v>27</v>
      </c>
      <c r="G16" t="s">
        <v>57</v>
      </c>
      <c r="I16">
        <v>40352</v>
      </c>
      <c r="J16">
        <v>1996</v>
      </c>
      <c r="K16">
        <v>4</v>
      </c>
      <c r="L16">
        <v>40352</v>
      </c>
      <c r="M16">
        <v>1996</v>
      </c>
      <c r="N16" t="s">
        <v>29</v>
      </c>
      <c r="O16" t="s">
        <v>30</v>
      </c>
      <c r="P16" t="s">
        <v>98</v>
      </c>
      <c r="Q16" t="s">
        <v>99</v>
      </c>
      <c r="R16" t="s">
        <v>30</v>
      </c>
      <c r="S16" t="s">
        <v>100</v>
      </c>
      <c r="T16" t="s">
        <v>101</v>
      </c>
      <c r="U16" t="s">
        <v>60</v>
      </c>
      <c r="V16">
        <v>0.01</v>
      </c>
      <c r="W16" t="s">
        <v>102</v>
      </c>
      <c r="X16" t="s">
        <v>103</v>
      </c>
      <c r="Y16" t="s">
        <v>60</v>
      </c>
    </row>
    <row r="17" spans="1:25" x14ac:dyDescent="0.3">
      <c r="A17">
        <v>1130</v>
      </c>
      <c r="B17" t="s">
        <v>104</v>
      </c>
      <c r="C17" t="s">
        <v>105</v>
      </c>
      <c r="D17" t="s">
        <v>106</v>
      </c>
      <c r="E17">
        <v>2</v>
      </c>
      <c r="F17" t="s">
        <v>42</v>
      </c>
      <c r="G17" t="s">
        <v>57</v>
      </c>
      <c r="H17">
        <v>1</v>
      </c>
      <c r="I17">
        <v>12744</v>
      </c>
      <c r="J17">
        <v>634</v>
      </c>
      <c r="K17">
        <v>2</v>
      </c>
      <c r="L17">
        <v>12744</v>
      </c>
      <c r="M17">
        <v>634</v>
      </c>
      <c r="N17" t="s">
        <v>29</v>
      </c>
      <c r="O17" t="s">
        <v>44</v>
      </c>
      <c r="P17" t="s">
        <v>31</v>
      </c>
      <c r="Q17" t="s">
        <v>32</v>
      </c>
      <c r="R17" t="s">
        <v>33</v>
      </c>
      <c r="S17" t="s">
        <v>107</v>
      </c>
      <c r="T17" t="s">
        <v>108</v>
      </c>
      <c r="U17" t="s">
        <v>60</v>
      </c>
      <c r="V17">
        <v>1.5800000000000002E-2</v>
      </c>
      <c r="W17" t="s">
        <v>109</v>
      </c>
      <c r="X17" t="s">
        <v>110</v>
      </c>
      <c r="Y17" t="s">
        <v>60</v>
      </c>
    </row>
    <row r="18" spans="1:25" x14ac:dyDescent="0.3">
      <c r="A18">
        <v>1150.0999999999999</v>
      </c>
      <c r="B18" t="s">
        <v>104</v>
      </c>
      <c r="C18" t="s">
        <v>106</v>
      </c>
      <c r="D18" t="s">
        <v>111</v>
      </c>
      <c r="E18">
        <v>2</v>
      </c>
      <c r="F18" t="s">
        <v>42</v>
      </c>
      <c r="G18" t="s">
        <v>28</v>
      </c>
      <c r="I18">
        <v>29340</v>
      </c>
      <c r="J18">
        <v>1449</v>
      </c>
      <c r="K18">
        <v>2</v>
      </c>
      <c r="L18">
        <v>29340</v>
      </c>
      <c r="M18">
        <v>1449</v>
      </c>
      <c r="N18" t="s">
        <v>29</v>
      </c>
      <c r="O18" t="s">
        <v>44</v>
      </c>
      <c r="P18" t="s">
        <v>31</v>
      </c>
      <c r="Q18" t="s">
        <v>32</v>
      </c>
      <c r="R18" t="s">
        <v>33</v>
      </c>
      <c r="S18" t="s">
        <v>77</v>
      </c>
      <c r="T18" t="s">
        <v>78</v>
      </c>
      <c r="U18" t="s">
        <v>36</v>
      </c>
      <c r="V18">
        <v>0.01</v>
      </c>
      <c r="W18" t="s">
        <v>112</v>
      </c>
      <c r="X18" t="s">
        <v>113</v>
      </c>
      <c r="Y18" t="s">
        <v>36</v>
      </c>
    </row>
    <row r="19" spans="1:25" x14ac:dyDescent="0.3">
      <c r="A19">
        <v>1150.2</v>
      </c>
      <c r="B19" t="s">
        <v>104</v>
      </c>
      <c r="C19" t="s">
        <v>111</v>
      </c>
      <c r="D19" t="s">
        <v>63</v>
      </c>
      <c r="E19">
        <v>2</v>
      </c>
      <c r="F19" t="s">
        <v>42</v>
      </c>
      <c r="G19" t="s">
        <v>28</v>
      </c>
      <c r="I19">
        <v>19170</v>
      </c>
      <c r="J19">
        <v>999</v>
      </c>
      <c r="K19">
        <v>2</v>
      </c>
      <c r="L19">
        <v>19170</v>
      </c>
      <c r="M19">
        <v>999</v>
      </c>
      <c r="N19" t="s">
        <v>43</v>
      </c>
      <c r="O19" t="s">
        <v>44</v>
      </c>
      <c r="P19" t="s">
        <v>31</v>
      </c>
      <c r="Q19" t="s">
        <v>32</v>
      </c>
      <c r="R19" t="s">
        <v>30</v>
      </c>
      <c r="S19" t="s">
        <v>77</v>
      </c>
      <c r="T19" t="s">
        <v>114</v>
      </c>
      <c r="U19" t="s">
        <v>36</v>
      </c>
      <c r="V19">
        <v>0.01</v>
      </c>
      <c r="W19" t="s">
        <v>112</v>
      </c>
      <c r="X19" t="s">
        <v>101</v>
      </c>
      <c r="Y19" t="s">
        <v>36</v>
      </c>
    </row>
    <row r="20" spans="1:25" x14ac:dyDescent="0.3">
      <c r="A20">
        <v>1160.2</v>
      </c>
      <c r="B20" t="s">
        <v>104</v>
      </c>
      <c r="C20" t="s">
        <v>54</v>
      </c>
      <c r="D20" t="s">
        <v>26</v>
      </c>
      <c r="E20">
        <v>2</v>
      </c>
      <c r="F20" t="s">
        <v>42</v>
      </c>
      <c r="G20" t="s">
        <v>28</v>
      </c>
      <c r="I20">
        <v>9270</v>
      </c>
      <c r="J20">
        <v>486</v>
      </c>
      <c r="K20">
        <v>2</v>
      </c>
      <c r="L20">
        <v>9270</v>
      </c>
      <c r="M20">
        <v>486</v>
      </c>
      <c r="N20" t="s">
        <v>43</v>
      </c>
      <c r="O20" t="s">
        <v>44</v>
      </c>
      <c r="P20" t="s">
        <v>31</v>
      </c>
      <c r="Q20" t="s">
        <v>32</v>
      </c>
      <c r="R20" t="s">
        <v>36</v>
      </c>
      <c r="S20" t="s">
        <v>66</v>
      </c>
      <c r="T20" t="s">
        <v>67</v>
      </c>
      <c r="U20" t="s">
        <v>36</v>
      </c>
      <c r="V20">
        <v>8.4500000000000006E-2</v>
      </c>
      <c r="W20" t="s">
        <v>115</v>
      </c>
      <c r="X20" t="s">
        <v>116</v>
      </c>
      <c r="Y20" t="s">
        <v>36</v>
      </c>
    </row>
    <row r="21" spans="1:25" x14ac:dyDescent="0.3">
      <c r="A21">
        <v>1160.3</v>
      </c>
      <c r="B21" t="s">
        <v>104</v>
      </c>
      <c r="C21" t="s">
        <v>63</v>
      </c>
      <c r="D21" t="s">
        <v>54</v>
      </c>
      <c r="E21">
        <v>2</v>
      </c>
      <c r="F21" t="s">
        <v>42</v>
      </c>
      <c r="G21" t="s">
        <v>28</v>
      </c>
      <c r="I21">
        <v>14130</v>
      </c>
      <c r="J21">
        <v>738</v>
      </c>
      <c r="K21">
        <v>2</v>
      </c>
      <c r="L21">
        <v>14130</v>
      </c>
      <c r="M21">
        <v>738</v>
      </c>
      <c r="N21" t="s">
        <v>43</v>
      </c>
      <c r="O21" t="s">
        <v>44</v>
      </c>
      <c r="P21" t="s">
        <v>31</v>
      </c>
      <c r="Q21" t="s">
        <v>32</v>
      </c>
      <c r="R21" t="s">
        <v>60</v>
      </c>
      <c r="S21" t="s">
        <v>66</v>
      </c>
      <c r="T21" t="s">
        <v>117</v>
      </c>
      <c r="U21" t="s">
        <v>36</v>
      </c>
      <c r="V21">
        <v>8.4500000000000006E-2</v>
      </c>
      <c r="W21" t="s">
        <v>115</v>
      </c>
      <c r="X21" t="s">
        <v>95</v>
      </c>
      <c r="Y21" t="s">
        <v>36</v>
      </c>
    </row>
    <row r="22" spans="1:25" x14ac:dyDescent="0.3">
      <c r="A22">
        <v>1170</v>
      </c>
      <c r="B22" t="s">
        <v>104</v>
      </c>
      <c r="C22" t="s">
        <v>26</v>
      </c>
      <c r="D22" t="s">
        <v>68</v>
      </c>
      <c r="E22">
        <v>2</v>
      </c>
      <c r="F22" t="s">
        <v>42</v>
      </c>
      <c r="G22" t="s">
        <v>28</v>
      </c>
      <c r="I22">
        <v>29340</v>
      </c>
      <c r="J22">
        <v>1449</v>
      </c>
      <c r="K22">
        <v>2</v>
      </c>
      <c r="L22">
        <v>29340</v>
      </c>
      <c r="M22">
        <v>1449</v>
      </c>
      <c r="N22" t="s">
        <v>29</v>
      </c>
      <c r="O22" t="s">
        <v>44</v>
      </c>
      <c r="P22" t="s">
        <v>31</v>
      </c>
      <c r="Q22" t="s">
        <v>32</v>
      </c>
      <c r="R22" t="s">
        <v>33</v>
      </c>
      <c r="S22" t="s">
        <v>45</v>
      </c>
      <c r="T22" t="s">
        <v>46</v>
      </c>
      <c r="U22" t="s">
        <v>46</v>
      </c>
      <c r="V22">
        <v>0.01</v>
      </c>
      <c r="W22" t="s">
        <v>45</v>
      </c>
      <c r="X22" t="s">
        <v>46</v>
      </c>
      <c r="Y22" t="s">
        <v>46</v>
      </c>
    </row>
    <row r="23" spans="1:25" x14ac:dyDescent="0.3">
      <c r="A23">
        <v>1180</v>
      </c>
      <c r="B23" t="s">
        <v>118</v>
      </c>
      <c r="C23" t="s">
        <v>119</v>
      </c>
      <c r="D23" t="s">
        <v>120</v>
      </c>
      <c r="E23">
        <v>2</v>
      </c>
      <c r="F23" t="s">
        <v>42</v>
      </c>
      <c r="G23" t="s">
        <v>28</v>
      </c>
      <c r="I23">
        <v>19170</v>
      </c>
      <c r="J23">
        <v>999</v>
      </c>
      <c r="K23">
        <v>2</v>
      </c>
      <c r="L23">
        <v>19170</v>
      </c>
      <c r="M23">
        <v>999</v>
      </c>
      <c r="N23" t="s">
        <v>43</v>
      </c>
      <c r="O23" t="s">
        <v>44</v>
      </c>
      <c r="P23" t="s">
        <v>31</v>
      </c>
      <c r="Q23" t="s">
        <v>32</v>
      </c>
      <c r="R23" t="s">
        <v>30</v>
      </c>
      <c r="S23" t="s">
        <v>121</v>
      </c>
      <c r="T23" t="s">
        <v>122</v>
      </c>
      <c r="U23" t="s">
        <v>36</v>
      </c>
      <c r="V23">
        <v>0.01</v>
      </c>
      <c r="W23" t="s">
        <v>123</v>
      </c>
      <c r="X23" t="s">
        <v>122</v>
      </c>
      <c r="Y23" t="s">
        <v>36</v>
      </c>
    </row>
    <row r="24" spans="1:25" x14ac:dyDescent="0.3">
      <c r="A24">
        <v>1190.0999999999999</v>
      </c>
      <c r="B24" t="s">
        <v>118</v>
      </c>
      <c r="C24" t="s">
        <v>120</v>
      </c>
      <c r="D24" t="s">
        <v>124</v>
      </c>
      <c r="E24">
        <v>2</v>
      </c>
      <c r="F24" t="s">
        <v>42</v>
      </c>
      <c r="G24" t="s">
        <v>28</v>
      </c>
      <c r="I24">
        <v>19170</v>
      </c>
      <c r="J24">
        <v>999</v>
      </c>
      <c r="K24">
        <v>2</v>
      </c>
      <c r="L24">
        <v>19170</v>
      </c>
      <c r="M24">
        <v>999</v>
      </c>
      <c r="N24" t="s">
        <v>43</v>
      </c>
      <c r="O24" t="s">
        <v>44</v>
      </c>
      <c r="P24" t="s">
        <v>31</v>
      </c>
      <c r="Q24" t="s">
        <v>32</v>
      </c>
      <c r="R24" t="s">
        <v>30</v>
      </c>
      <c r="S24" t="s">
        <v>125</v>
      </c>
      <c r="T24" t="s">
        <v>126</v>
      </c>
      <c r="U24" t="s">
        <v>36</v>
      </c>
      <c r="V24">
        <v>3.5000000000000003E-2</v>
      </c>
      <c r="W24" t="s">
        <v>127</v>
      </c>
      <c r="X24" t="s">
        <v>128</v>
      </c>
      <c r="Y24" t="s">
        <v>36</v>
      </c>
    </row>
    <row r="25" spans="1:25" x14ac:dyDescent="0.3">
      <c r="A25">
        <v>1200</v>
      </c>
      <c r="B25" t="s">
        <v>118</v>
      </c>
      <c r="C25" t="s">
        <v>124</v>
      </c>
      <c r="D25" t="s">
        <v>129</v>
      </c>
      <c r="E25">
        <v>2</v>
      </c>
      <c r="F25" t="s">
        <v>42</v>
      </c>
      <c r="G25" t="s">
        <v>28</v>
      </c>
      <c r="I25">
        <v>19170</v>
      </c>
      <c r="J25">
        <v>999</v>
      </c>
      <c r="K25">
        <v>2</v>
      </c>
      <c r="L25">
        <v>19170</v>
      </c>
      <c r="M25">
        <v>999</v>
      </c>
      <c r="N25" t="s">
        <v>43</v>
      </c>
      <c r="O25" t="s">
        <v>44</v>
      </c>
      <c r="P25" t="s">
        <v>31</v>
      </c>
      <c r="Q25" t="s">
        <v>32</v>
      </c>
      <c r="R25" t="s">
        <v>30</v>
      </c>
      <c r="S25" t="s">
        <v>64</v>
      </c>
      <c r="T25" t="s">
        <v>51</v>
      </c>
      <c r="U25" t="s">
        <v>36</v>
      </c>
      <c r="V25">
        <v>0.01</v>
      </c>
      <c r="W25" t="s">
        <v>66</v>
      </c>
      <c r="X25" t="s">
        <v>130</v>
      </c>
      <c r="Y25" t="s">
        <v>36</v>
      </c>
    </row>
    <row r="26" spans="1:25" x14ac:dyDescent="0.3">
      <c r="A26">
        <v>1210.2</v>
      </c>
      <c r="B26" t="s">
        <v>118</v>
      </c>
      <c r="C26" t="s">
        <v>129</v>
      </c>
      <c r="D26" t="s">
        <v>131</v>
      </c>
      <c r="E26">
        <v>2</v>
      </c>
      <c r="F26" t="s">
        <v>42</v>
      </c>
      <c r="G26" t="s">
        <v>28</v>
      </c>
      <c r="I26">
        <v>19170</v>
      </c>
      <c r="J26">
        <v>999</v>
      </c>
      <c r="K26">
        <v>2</v>
      </c>
      <c r="L26">
        <v>19170</v>
      </c>
      <c r="M26">
        <v>999</v>
      </c>
      <c r="N26" t="s">
        <v>43</v>
      </c>
      <c r="O26" t="s">
        <v>44</v>
      </c>
      <c r="P26" t="s">
        <v>31</v>
      </c>
      <c r="Q26" t="s">
        <v>32</v>
      </c>
      <c r="R26" t="s">
        <v>30</v>
      </c>
      <c r="S26" t="s">
        <v>132</v>
      </c>
      <c r="T26" t="s">
        <v>35</v>
      </c>
      <c r="U26" t="s">
        <v>36</v>
      </c>
      <c r="V26">
        <v>0.01</v>
      </c>
      <c r="W26" t="s">
        <v>133</v>
      </c>
      <c r="X26" t="s">
        <v>38</v>
      </c>
      <c r="Y26" t="s">
        <v>36</v>
      </c>
    </row>
    <row r="27" spans="1:25" x14ac:dyDescent="0.3">
      <c r="A27">
        <v>1220</v>
      </c>
      <c r="B27" t="s">
        <v>129</v>
      </c>
      <c r="C27" t="s">
        <v>134</v>
      </c>
      <c r="D27" t="s">
        <v>135</v>
      </c>
      <c r="E27">
        <v>2</v>
      </c>
      <c r="F27" t="s">
        <v>42</v>
      </c>
      <c r="G27" t="s">
        <v>28</v>
      </c>
      <c r="I27">
        <v>19170</v>
      </c>
      <c r="J27">
        <v>999</v>
      </c>
      <c r="K27">
        <v>2</v>
      </c>
      <c r="L27">
        <v>19170</v>
      </c>
      <c r="M27">
        <v>999</v>
      </c>
      <c r="N27" t="s">
        <v>43</v>
      </c>
      <c r="O27" t="s">
        <v>44</v>
      </c>
      <c r="P27" t="s">
        <v>31</v>
      </c>
      <c r="Q27" t="s">
        <v>32</v>
      </c>
      <c r="R27" t="s">
        <v>30</v>
      </c>
      <c r="S27" t="s">
        <v>136</v>
      </c>
      <c r="T27" t="s">
        <v>137</v>
      </c>
      <c r="U27" t="s">
        <v>36</v>
      </c>
      <c r="V27">
        <v>0.13969999999999999</v>
      </c>
      <c r="W27" t="s">
        <v>138</v>
      </c>
      <c r="X27" t="s">
        <v>139</v>
      </c>
      <c r="Y27" t="s">
        <v>60</v>
      </c>
    </row>
    <row r="28" spans="1:25" x14ac:dyDescent="0.3">
      <c r="A28">
        <v>1230.0999999999999</v>
      </c>
      <c r="B28" t="s">
        <v>129</v>
      </c>
      <c r="C28" t="s">
        <v>135</v>
      </c>
      <c r="D28" t="s">
        <v>140</v>
      </c>
      <c r="E28">
        <v>2</v>
      </c>
      <c r="F28" t="s">
        <v>42</v>
      </c>
      <c r="G28" t="s">
        <v>28</v>
      </c>
      <c r="I28">
        <v>19170</v>
      </c>
      <c r="J28">
        <v>999</v>
      </c>
      <c r="K28">
        <v>2</v>
      </c>
      <c r="L28">
        <v>19170</v>
      </c>
      <c r="M28">
        <v>999</v>
      </c>
      <c r="N28" t="s">
        <v>43</v>
      </c>
      <c r="O28" t="s">
        <v>44</v>
      </c>
      <c r="P28" t="s">
        <v>31</v>
      </c>
      <c r="Q28" t="s">
        <v>32</v>
      </c>
      <c r="R28" t="s">
        <v>30</v>
      </c>
      <c r="S28" t="s">
        <v>141</v>
      </c>
      <c r="T28" t="s">
        <v>142</v>
      </c>
      <c r="U28" t="s">
        <v>36</v>
      </c>
      <c r="V28">
        <v>0.01</v>
      </c>
      <c r="W28" t="s">
        <v>143</v>
      </c>
      <c r="X28" t="s">
        <v>144</v>
      </c>
      <c r="Y28" t="s">
        <v>36</v>
      </c>
    </row>
    <row r="29" spans="1:25" x14ac:dyDescent="0.3">
      <c r="A29">
        <v>1240</v>
      </c>
      <c r="B29" t="s">
        <v>129</v>
      </c>
      <c r="C29" t="s">
        <v>140</v>
      </c>
      <c r="D29" t="s">
        <v>118</v>
      </c>
      <c r="E29">
        <v>2</v>
      </c>
      <c r="F29" t="s">
        <v>42</v>
      </c>
      <c r="G29" t="s">
        <v>28</v>
      </c>
      <c r="I29">
        <v>19170</v>
      </c>
      <c r="J29">
        <v>999</v>
      </c>
      <c r="K29">
        <v>2</v>
      </c>
      <c r="L29">
        <v>19170</v>
      </c>
      <c r="M29">
        <v>999</v>
      </c>
      <c r="N29" t="s">
        <v>43</v>
      </c>
      <c r="O29" t="s">
        <v>44</v>
      </c>
      <c r="P29" t="s">
        <v>31</v>
      </c>
      <c r="Q29" t="s">
        <v>32</v>
      </c>
      <c r="R29" t="s">
        <v>30</v>
      </c>
      <c r="S29" t="s">
        <v>145</v>
      </c>
      <c r="T29" t="s">
        <v>146</v>
      </c>
      <c r="U29" t="s">
        <v>36</v>
      </c>
      <c r="V29">
        <v>0.01</v>
      </c>
      <c r="W29" t="s">
        <v>52</v>
      </c>
      <c r="X29" t="s">
        <v>147</v>
      </c>
      <c r="Y29" t="s">
        <v>36</v>
      </c>
    </row>
    <row r="30" spans="1:25" x14ac:dyDescent="0.3">
      <c r="A30">
        <v>1250.2</v>
      </c>
      <c r="B30" t="s">
        <v>40</v>
      </c>
      <c r="C30" t="s">
        <v>54</v>
      </c>
      <c r="D30" t="s">
        <v>55</v>
      </c>
      <c r="E30">
        <v>2</v>
      </c>
      <c r="F30" t="s">
        <v>42</v>
      </c>
      <c r="G30" t="s">
        <v>28</v>
      </c>
      <c r="I30">
        <v>19170</v>
      </c>
      <c r="J30">
        <v>999</v>
      </c>
      <c r="K30">
        <v>2</v>
      </c>
      <c r="L30">
        <v>19170</v>
      </c>
      <c r="M30">
        <v>999</v>
      </c>
      <c r="N30" t="s">
        <v>43</v>
      </c>
      <c r="O30" t="s">
        <v>44</v>
      </c>
      <c r="P30" t="s">
        <v>31</v>
      </c>
      <c r="Q30" t="s">
        <v>32</v>
      </c>
      <c r="R30" t="s">
        <v>30</v>
      </c>
      <c r="S30" t="s">
        <v>45</v>
      </c>
      <c r="T30" t="s">
        <v>46</v>
      </c>
      <c r="U30" t="s">
        <v>46</v>
      </c>
      <c r="V30">
        <v>0.01</v>
      </c>
      <c r="W30" t="s">
        <v>45</v>
      </c>
      <c r="X30" t="s">
        <v>46</v>
      </c>
      <c r="Y30" t="s">
        <v>46</v>
      </c>
    </row>
    <row r="31" spans="1:25" x14ac:dyDescent="0.3">
      <c r="A31">
        <v>1250.3</v>
      </c>
      <c r="B31" t="s">
        <v>40</v>
      </c>
      <c r="C31" t="s">
        <v>140</v>
      </c>
      <c r="D31" t="s">
        <v>148</v>
      </c>
      <c r="E31">
        <v>2</v>
      </c>
      <c r="F31" t="s">
        <v>42</v>
      </c>
      <c r="G31" t="s">
        <v>28</v>
      </c>
      <c r="I31">
        <v>19170</v>
      </c>
      <c r="J31">
        <v>999</v>
      </c>
      <c r="K31">
        <v>2</v>
      </c>
      <c r="L31">
        <v>19170</v>
      </c>
      <c r="M31">
        <v>999</v>
      </c>
      <c r="N31" t="s">
        <v>43</v>
      </c>
      <c r="O31" t="s">
        <v>44</v>
      </c>
      <c r="P31" t="s">
        <v>31</v>
      </c>
      <c r="Q31" t="s">
        <v>32</v>
      </c>
      <c r="R31" t="s">
        <v>30</v>
      </c>
      <c r="S31" t="s">
        <v>149</v>
      </c>
      <c r="T31" t="s">
        <v>150</v>
      </c>
      <c r="U31" t="s">
        <v>36</v>
      </c>
      <c r="V31">
        <v>1.09E-2</v>
      </c>
      <c r="W31" t="s">
        <v>151</v>
      </c>
      <c r="X31" t="s">
        <v>83</v>
      </c>
      <c r="Y31" t="s">
        <v>36</v>
      </c>
    </row>
    <row r="32" spans="1:25" x14ac:dyDescent="0.3">
      <c r="A32">
        <v>1250.4000000000001</v>
      </c>
      <c r="B32" t="s">
        <v>40</v>
      </c>
      <c r="C32" t="s">
        <v>148</v>
      </c>
      <c r="D32" t="s">
        <v>54</v>
      </c>
      <c r="E32">
        <v>2</v>
      </c>
      <c r="F32" t="s">
        <v>42</v>
      </c>
      <c r="G32" t="s">
        <v>28</v>
      </c>
      <c r="I32">
        <v>19170</v>
      </c>
      <c r="J32">
        <v>999</v>
      </c>
      <c r="K32">
        <v>2</v>
      </c>
      <c r="L32">
        <v>19170</v>
      </c>
      <c r="M32">
        <v>999</v>
      </c>
      <c r="N32" t="s">
        <v>43</v>
      </c>
      <c r="O32" t="s">
        <v>44</v>
      </c>
      <c r="P32" t="s">
        <v>31</v>
      </c>
      <c r="Q32" t="s">
        <v>32</v>
      </c>
      <c r="R32" t="s">
        <v>30</v>
      </c>
      <c r="S32" t="s">
        <v>152</v>
      </c>
      <c r="T32" t="s">
        <v>85</v>
      </c>
      <c r="U32" t="s">
        <v>36</v>
      </c>
      <c r="V32">
        <v>0.01</v>
      </c>
      <c r="W32" t="s">
        <v>153</v>
      </c>
      <c r="X32" t="s">
        <v>88</v>
      </c>
      <c r="Y32" t="s">
        <v>36</v>
      </c>
    </row>
    <row r="33" spans="1:25" x14ac:dyDescent="0.3">
      <c r="A33">
        <v>1260</v>
      </c>
      <c r="B33" t="s">
        <v>40</v>
      </c>
      <c r="C33" t="s">
        <v>55</v>
      </c>
      <c r="D33" t="s">
        <v>39</v>
      </c>
      <c r="E33">
        <v>2</v>
      </c>
      <c r="F33" t="s">
        <v>42</v>
      </c>
      <c r="G33" t="s">
        <v>28</v>
      </c>
      <c r="I33">
        <v>19170</v>
      </c>
      <c r="J33">
        <v>999</v>
      </c>
      <c r="K33">
        <v>2</v>
      </c>
      <c r="L33">
        <v>19170</v>
      </c>
      <c r="M33">
        <v>999</v>
      </c>
      <c r="N33" t="s">
        <v>43</v>
      </c>
      <c r="O33" t="s">
        <v>44</v>
      </c>
      <c r="P33" t="s">
        <v>31</v>
      </c>
      <c r="Q33" t="s">
        <v>32</v>
      </c>
      <c r="R33" t="s">
        <v>30</v>
      </c>
      <c r="S33" t="s">
        <v>141</v>
      </c>
      <c r="T33" t="s">
        <v>142</v>
      </c>
      <c r="U33" t="s">
        <v>36</v>
      </c>
      <c r="V33">
        <v>6.5799999999999997E-2</v>
      </c>
      <c r="W33" t="s">
        <v>84</v>
      </c>
      <c r="X33" t="s">
        <v>65</v>
      </c>
      <c r="Y33" t="s">
        <v>36</v>
      </c>
    </row>
    <row r="34" spans="1:25" x14ac:dyDescent="0.3">
      <c r="A34">
        <v>1270</v>
      </c>
      <c r="B34" t="s">
        <v>40</v>
      </c>
      <c r="C34" t="s">
        <v>39</v>
      </c>
      <c r="D34" t="s">
        <v>41</v>
      </c>
      <c r="E34">
        <v>2</v>
      </c>
      <c r="F34" t="s">
        <v>42</v>
      </c>
      <c r="G34" t="s">
        <v>28</v>
      </c>
      <c r="I34">
        <v>19170</v>
      </c>
      <c r="J34">
        <v>999</v>
      </c>
      <c r="K34">
        <v>2</v>
      </c>
      <c r="L34">
        <v>19170</v>
      </c>
      <c r="M34">
        <v>999</v>
      </c>
      <c r="N34" t="s">
        <v>43</v>
      </c>
      <c r="O34" t="s">
        <v>44</v>
      </c>
      <c r="P34" t="s">
        <v>31</v>
      </c>
      <c r="Q34" t="s">
        <v>32</v>
      </c>
      <c r="R34" t="s">
        <v>30</v>
      </c>
      <c r="S34" t="s">
        <v>141</v>
      </c>
      <c r="T34" t="s">
        <v>142</v>
      </c>
      <c r="U34" t="s">
        <v>36</v>
      </c>
      <c r="V34">
        <v>6.5799999999999997E-2</v>
      </c>
      <c r="W34" t="s">
        <v>84</v>
      </c>
      <c r="X34" t="s">
        <v>65</v>
      </c>
      <c r="Y34" t="s">
        <v>36</v>
      </c>
    </row>
    <row r="35" spans="1:25" x14ac:dyDescent="0.3">
      <c r="A35">
        <v>1280.0999999999999</v>
      </c>
      <c r="B35" t="s">
        <v>54</v>
      </c>
      <c r="C35" t="s">
        <v>48</v>
      </c>
      <c r="D35" t="s">
        <v>63</v>
      </c>
      <c r="E35">
        <v>2</v>
      </c>
      <c r="F35" t="s">
        <v>42</v>
      </c>
      <c r="G35" t="s">
        <v>28</v>
      </c>
      <c r="I35">
        <v>9270</v>
      </c>
      <c r="J35">
        <v>486</v>
      </c>
      <c r="K35">
        <v>2</v>
      </c>
      <c r="L35">
        <v>9270</v>
      </c>
      <c r="M35">
        <v>486</v>
      </c>
      <c r="N35" t="s">
        <v>43</v>
      </c>
      <c r="O35" t="s">
        <v>44</v>
      </c>
      <c r="P35" t="s">
        <v>31</v>
      </c>
      <c r="Q35" t="s">
        <v>32</v>
      </c>
      <c r="R35" t="s">
        <v>36</v>
      </c>
      <c r="S35" t="s">
        <v>154</v>
      </c>
      <c r="T35" t="s">
        <v>128</v>
      </c>
      <c r="U35" t="s">
        <v>36</v>
      </c>
      <c r="V35">
        <v>0.01</v>
      </c>
      <c r="W35" t="s">
        <v>154</v>
      </c>
      <c r="X35" t="s">
        <v>128</v>
      </c>
      <c r="Y35" t="s">
        <v>36</v>
      </c>
    </row>
    <row r="36" spans="1:25" x14ac:dyDescent="0.3">
      <c r="A36">
        <v>1280.2</v>
      </c>
      <c r="B36" t="s">
        <v>54</v>
      </c>
      <c r="C36" t="s">
        <v>155</v>
      </c>
      <c r="D36" t="s">
        <v>156</v>
      </c>
      <c r="E36">
        <v>2</v>
      </c>
      <c r="F36" t="s">
        <v>42</v>
      </c>
      <c r="G36" t="s">
        <v>28</v>
      </c>
      <c r="I36">
        <v>9270</v>
      </c>
      <c r="J36">
        <v>486</v>
      </c>
      <c r="K36">
        <v>2</v>
      </c>
      <c r="L36">
        <v>9270</v>
      </c>
      <c r="M36">
        <v>486</v>
      </c>
      <c r="N36" t="s">
        <v>43</v>
      </c>
      <c r="O36" t="s">
        <v>44</v>
      </c>
      <c r="P36" t="s">
        <v>31</v>
      </c>
      <c r="Q36" t="s">
        <v>32</v>
      </c>
      <c r="R36" t="s">
        <v>36</v>
      </c>
      <c r="S36" t="s">
        <v>45</v>
      </c>
      <c r="T36" t="s">
        <v>46</v>
      </c>
      <c r="U36" t="s">
        <v>46</v>
      </c>
      <c r="V36">
        <v>0.01</v>
      </c>
      <c r="W36" t="s">
        <v>45</v>
      </c>
      <c r="X36" t="s">
        <v>46</v>
      </c>
      <c r="Y36" t="s">
        <v>46</v>
      </c>
    </row>
    <row r="37" spans="1:25" x14ac:dyDescent="0.3">
      <c r="A37">
        <v>1280.3</v>
      </c>
      <c r="B37" t="s">
        <v>54</v>
      </c>
      <c r="C37" t="s">
        <v>63</v>
      </c>
      <c r="D37" t="s">
        <v>155</v>
      </c>
      <c r="E37">
        <v>2</v>
      </c>
      <c r="F37" t="s">
        <v>42</v>
      </c>
      <c r="G37" t="s">
        <v>28</v>
      </c>
      <c r="I37">
        <v>9270</v>
      </c>
      <c r="J37">
        <v>486</v>
      </c>
      <c r="K37">
        <v>2</v>
      </c>
      <c r="L37">
        <v>9270</v>
      </c>
      <c r="M37">
        <v>486</v>
      </c>
      <c r="N37" t="s">
        <v>43</v>
      </c>
      <c r="O37" t="s">
        <v>44</v>
      </c>
      <c r="P37" t="s">
        <v>31</v>
      </c>
      <c r="Q37" t="s">
        <v>32</v>
      </c>
      <c r="R37" t="s">
        <v>36</v>
      </c>
      <c r="S37" t="s">
        <v>157</v>
      </c>
      <c r="T37" t="s">
        <v>158</v>
      </c>
      <c r="U37" t="s">
        <v>36</v>
      </c>
      <c r="V37">
        <v>0.01</v>
      </c>
      <c r="W37" t="s">
        <v>157</v>
      </c>
      <c r="X37" t="s">
        <v>158</v>
      </c>
      <c r="Y37" t="s">
        <v>36</v>
      </c>
    </row>
    <row r="38" spans="1:25" x14ac:dyDescent="0.3">
      <c r="A38">
        <v>1280.4000000000001</v>
      </c>
      <c r="B38" t="s">
        <v>54</v>
      </c>
      <c r="C38" t="s">
        <v>156</v>
      </c>
      <c r="D38" t="s">
        <v>104</v>
      </c>
      <c r="E38">
        <v>2</v>
      </c>
      <c r="F38" t="s">
        <v>42</v>
      </c>
      <c r="G38" t="s">
        <v>28</v>
      </c>
      <c r="I38">
        <v>9270</v>
      </c>
      <c r="J38">
        <v>486</v>
      </c>
      <c r="K38">
        <v>2</v>
      </c>
      <c r="L38">
        <v>9270</v>
      </c>
      <c r="M38">
        <v>486</v>
      </c>
      <c r="N38" t="s">
        <v>43</v>
      </c>
      <c r="O38" t="s">
        <v>44</v>
      </c>
      <c r="P38" t="s">
        <v>31</v>
      </c>
      <c r="Q38" t="s">
        <v>32</v>
      </c>
      <c r="R38" t="s">
        <v>36</v>
      </c>
      <c r="S38" t="s">
        <v>45</v>
      </c>
      <c r="T38" t="s">
        <v>46</v>
      </c>
      <c r="U38" t="s">
        <v>46</v>
      </c>
      <c r="V38">
        <v>0.01</v>
      </c>
      <c r="W38" t="s">
        <v>45</v>
      </c>
      <c r="X38" t="s">
        <v>46</v>
      </c>
      <c r="Y38" t="s">
        <v>46</v>
      </c>
    </row>
    <row r="39" spans="1:25" x14ac:dyDescent="0.3">
      <c r="A39">
        <v>1290.0999999999999</v>
      </c>
      <c r="B39" t="s">
        <v>54</v>
      </c>
      <c r="C39" t="s">
        <v>104</v>
      </c>
      <c r="D39" t="s">
        <v>159</v>
      </c>
      <c r="E39">
        <v>2</v>
      </c>
      <c r="F39" t="s">
        <v>42</v>
      </c>
      <c r="G39" t="s">
        <v>28</v>
      </c>
      <c r="I39">
        <v>9270</v>
      </c>
      <c r="J39">
        <v>486</v>
      </c>
      <c r="K39">
        <v>2</v>
      </c>
      <c r="L39">
        <v>9270</v>
      </c>
      <c r="M39">
        <v>486</v>
      </c>
      <c r="N39" t="s">
        <v>43</v>
      </c>
      <c r="O39" t="s">
        <v>44</v>
      </c>
      <c r="P39" t="s">
        <v>31</v>
      </c>
      <c r="Q39" t="s">
        <v>32</v>
      </c>
      <c r="R39" t="s">
        <v>36</v>
      </c>
      <c r="S39" t="s">
        <v>160</v>
      </c>
      <c r="T39" t="s">
        <v>161</v>
      </c>
      <c r="U39" t="s">
        <v>36</v>
      </c>
      <c r="V39">
        <v>0.01</v>
      </c>
      <c r="W39" t="s">
        <v>162</v>
      </c>
      <c r="X39" t="s">
        <v>163</v>
      </c>
      <c r="Y39" t="s">
        <v>36</v>
      </c>
    </row>
    <row r="40" spans="1:25" x14ac:dyDescent="0.3">
      <c r="A40">
        <v>1290.3</v>
      </c>
      <c r="B40" t="s">
        <v>54</v>
      </c>
      <c r="C40" t="s">
        <v>159</v>
      </c>
      <c r="D40" t="s">
        <v>26</v>
      </c>
      <c r="E40">
        <v>2</v>
      </c>
      <c r="F40" t="s">
        <v>42</v>
      </c>
      <c r="G40" t="s">
        <v>28</v>
      </c>
      <c r="I40">
        <v>9270</v>
      </c>
      <c r="J40">
        <v>486</v>
      </c>
      <c r="K40">
        <v>2</v>
      </c>
      <c r="L40">
        <v>9270</v>
      </c>
      <c r="M40">
        <v>486</v>
      </c>
      <c r="N40" t="s">
        <v>43</v>
      </c>
      <c r="O40" t="s">
        <v>44</v>
      </c>
      <c r="P40" t="s">
        <v>31</v>
      </c>
      <c r="Q40" t="s">
        <v>32</v>
      </c>
      <c r="R40" t="s">
        <v>36</v>
      </c>
      <c r="S40" t="s">
        <v>160</v>
      </c>
      <c r="T40" t="s">
        <v>161</v>
      </c>
      <c r="U40" t="s">
        <v>36</v>
      </c>
      <c r="V40">
        <v>0.01</v>
      </c>
      <c r="W40" t="s">
        <v>162</v>
      </c>
      <c r="X40" t="s">
        <v>163</v>
      </c>
      <c r="Y40" t="s">
        <v>36</v>
      </c>
    </row>
    <row r="41" spans="1:25" x14ac:dyDescent="0.3">
      <c r="A41">
        <v>1290.4000000000001</v>
      </c>
      <c r="B41" t="s">
        <v>54</v>
      </c>
      <c r="C41" t="s">
        <v>26</v>
      </c>
      <c r="D41" t="s">
        <v>164</v>
      </c>
      <c r="E41">
        <v>2</v>
      </c>
      <c r="F41" t="s">
        <v>42</v>
      </c>
      <c r="G41" t="s">
        <v>28</v>
      </c>
      <c r="I41">
        <v>9270</v>
      </c>
      <c r="J41">
        <v>486</v>
      </c>
      <c r="K41">
        <v>2</v>
      </c>
      <c r="L41">
        <v>9270</v>
      </c>
      <c r="M41">
        <v>486</v>
      </c>
      <c r="N41" t="s">
        <v>43</v>
      </c>
      <c r="O41" t="s">
        <v>44</v>
      </c>
      <c r="P41" t="s">
        <v>31</v>
      </c>
      <c r="Q41" t="s">
        <v>32</v>
      </c>
      <c r="R41" t="s">
        <v>36</v>
      </c>
      <c r="S41" t="s">
        <v>45</v>
      </c>
      <c r="T41" t="s">
        <v>46</v>
      </c>
      <c r="U41" t="s">
        <v>46</v>
      </c>
      <c r="V41">
        <v>0.01</v>
      </c>
      <c r="W41" t="s">
        <v>45</v>
      </c>
      <c r="X41" t="s">
        <v>46</v>
      </c>
      <c r="Y41" t="s">
        <v>46</v>
      </c>
    </row>
    <row r="42" spans="1:25" x14ac:dyDescent="0.3">
      <c r="A42">
        <v>1300.0999999999999</v>
      </c>
      <c r="B42" t="s">
        <v>54</v>
      </c>
      <c r="C42" t="s">
        <v>164</v>
      </c>
      <c r="D42" t="s">
        <v>165</v>
      </c>
      <c r="E42">
        <v>2</v>
      </c>
      <c r="F42" t="s">
        <v>42</v>
      </c>
      <c r="G42" t="s">
        <v>28</v>
      </c>
      <c r="I42">
        <v>19170</v>
      </c>
      <c r="J42">
        <v>999</v>
      </c>
      <c r="K42">
        <v>2</v>
      </c>
      <c r="L42">
        <v>19170</v>
      </c>
      <c r="M42">
        <v>999</v>
      </c>
      <c r="N42" t="s">
        <v>43</v>
      </c>
      <c r="O42" t="s">
        <v>44</v>
      </c>
      <c r="P42" t="s">
        <v>31</v>
      </c>
      <c r="Q42" t="s">
        <v>32</v>
      </c>
      <c r="R42" t="s">
        <v>30</v>
      </c>
      <c r="S42" t="s">
        <v>127</v>
      </c>
      <c r="T42" t="s">
        <v>128</v>
      </c>
      <c r="U42" t="s">
        <v>36</v>
      </c>
      <c r="V42">
        <v>0.01</v>
      </c>
      <c r="W42" t="s">
        <v>166</v>
      </c>
      <c r="X42" t="s">
        <v>167</v>
      </c>
      <c r="Y42" t="s">
        <v>36</v>
      </c>
    </row>
    <row r="43" spans="1:25" x14ac:dyDescent="0.3">
      <c r="A43">
        <v>1300.2</v>
      </c>
      <c r="B43" t="s">
        <v>54</v>
      </c>
      <c r="C43" t="s">
        <v>165</v>
      </c>
      <c r="D43" t="s">
        <v>40</v>
      </c>
      <c r="E43">
        <v>2</v>
      </c>
      <c r="F43" t="s">
        <v>42</v>
      </c>
      <c r="G43" t="s">
        <v>28</v>
      </c>
      <c r="I43">
        <v>19170</v>
      </c>
      <c r="J43">
        <v>999</v>
      </c>
      <c r="K43">
        <v>2</v>
      </c>
      <c r="L43">
        <v>19170</v>
      </c>
      <c r="M43">
        <v>999</v>
      </c>
      <c r="N43" t="s">
        <v>43</v>
      </c>
      <c r="O43" t="s">
        <v>44</v>
      </c>
      <c r="P43" t="s">
        <v>31</v>
      </c>
      <c r="Q43" t="s">
        <v>32</v>
      </c>
      <c r="R43" t="s">
        <v>30</v>
      </c>
      <c r="S43" t="s">
        <v>168</v>
      </c>
      <c r="T43" t="s">
        <v>163</v>
      </c>
      <c r="U43" t="s">
        <v>36</v>
      </c>
      <c r="V43">
        <v>1.2200000000000001E-2</v>
      </c>
      <c r="W43" t="s">
        <v>169</v>
      </c>
      <c r="X43" t="s">
        <v>51</v>
      </c>
      <c r="Y43" t="s">
        <v>36</v>
      </c>
    </row>
    <row r="44" spans="1:25" x14ac:dyDescent="0.3">
      <c r="A44">
        <v>1310.0999999999999</v>
      </c>
      <c r="B44" t="s">
        <v>54</v>
      </c>
      <c r="C44" t="s">
        <v>40</v>
      </c>
      <c r="D44" t="s">
        <v>170</v>
      </c>
      <c r="E44">
        <v>2</v>
      </c>
      <c r="F44" t="s">
        <v>42</v>
      </c>
      <c r="G44" t="s">
        <v>28</v>
      </c>
      <c r="I44">
        <v>19170</v>
      </c>
      <c r="J44">
        <v>999</v>
      </c>
      <c r="K44">
        <v>2</v>
      </c>
      <c r="L44">
        <v>19170</v>
      </c>
      <c r="M44">
        <v>999</v>
      </c>
      <c r="N44" t="s">
        <v>43</v>
      </c>
      <c r="O44" t="s">
        <v>44</v>
      </c>
      <c r="P44" t="s">
        <v>31</v>
      </c>
      <c r="Q44" t="s">
        <v>32</v>
      </c>
      <c r="R44" t="s">
        <v>30</v>
      </c>
      <c r="S44" t="s">
        <v>153</v>
      </c>
      <c r="T44" t="s">
        <v>88</v>
      </c>
      <c r="U44" t="s">
        <v>36</v>
      </c>
      <c r="V44">
        <v>7.4700000000000003E-2</v>
      </c>
      <c r="W44" t="s">
        <v>171</v>
      </c>
      <c r="X44" t="s">
        <v>93</v>
      </c>
      <c r="Y44" t="s">
        <v>36</v>
      </c>
    </row>
    <row r="45" spans="1:25" x14ac:dyDescent="0.3">
      <c r="A45">
        <v>1320.1</v>
      </c>
      <c r="B45" t="s">
        <v>54</v>
      </c>
      <c r="C45" t="s">
        <v>170</v>
      </c>
      <c r="D45" t="s">
        <v>131</v>
      </c>
      <c r="E45">
        <v>2</v>
      </c>
      <c r="F45" t="s">
        <v>42</v>
      </c>
      <c r="G45" t="s">
        <v>28</v>
      </c>
      <c r="I45">
        <v>19170</v>
      </c>
      <c r="J45">
        <v>999</v>
      </c>
      <c r="K45">
        <v>2</v>
      </c>
      <c r="L45">
        <v>19170</v>
      </c>
      <c r="M45">
        <v>999</v>
      </c>
      <c r="N45" t="s">
        <v>43</v>
      </c>
      <c r="O45" t="s">
        <v>44</v>
      </c>
      <c r="P45" t="s">
        <v>31</v>
      </c>
      <c r="Q45" t="s">
        <v>32</v>
      </c>
      <c r="R45" t="s">
        <v>30</v>
      </c>
      <c r="S45" t="s">
        <v>145</v>
      </c>
      <c r="T45" t="s">
        <v>146</v>
      </c>
      <c r="U45" t="s">
        <v>36</v>
      </c>
      <c r="V45">
        <v>0.01</v>
      </c>
      <c r="W45" t="s">
        <v>52</v>
      </c>
      <c r="X45" t="s">
        <v>147</v>
      </c>
      <c r="Y45" t="s">
        <v>36</v>
      </c>
    </row>
    <row r="46" spans="1:25" x14ac:dyDescent="0.3">
      <c r="A46">
        <v>1330</v>
      </c>
      <c r="B46" t="s">
        <v>55</v>
      </c>
      <c r="C46" t="s">
        <v>41</v>
      </c>
      <c r="D46" t="s">
        <v>156</v>
      </c>
      <c r="E46">
        <v>2</v>
      </c>
      <c r="F46" t="s">
        <v>42</v>
      </c>
      <c r="G46" t="s">
        <v>28</v>
      </c>
      <c r="I46">
        <v>9270</v>
      </c>
      <c r="J46">
        <v>486</v>
      </c>
      <c r="K46">
        <v>2</v>
      </c>
      <c r="L46">
        <v>9270</v>
      </c>
      <c r="M46">
        <v>486</v>
      </c>
      <c r="N46" t="s">
        <v>43</v>
      </c>
      <c r="O46" t="s">
        <v>44</v>
      </c>
      <c r="P46" t="s">
        <v>31</v>
      </c>
      <c r="Q46" t="s">
        <v>32</v>
      </c>
      <c r="R46" t="s">
        <v>36</v>
      </c>
      <c r="S46" t="s">
        <v>107</v>
      </c>
      <c r="T46" t="s">
        <v>172</v>
      </c>
      <c r="U46" t="s">
        <v>36</v>
      </c>
      <c r="V46">
        <v>0.2011</v>
      </c>
      <c r="W46" t="s">
        <v>173</v>
      </c>
      <c r="X46" t="s">
        <v>174</v>
      </c>
      <c r="Y46" t="s">
        <v>60</v>
      </c>
    </row>
    <row r="47" spans="1:25" x14ac:dyDescent="0.3">
      <c r="A47">
        <v>1340.1</v>
      </c>
      <c r="B47" t="s">
        <v>55</v>
      </c>
      <c r="C47" t="s">
        <v>156</v>
      </c>
      <c r="D47" t="s">
        <v>175</v>
      </c>
      <c r="E47">
        <v>2</v>
      </c>
      <c r="F47" t="s">
        <v>42</v>
      </c>
      <c r="G47" t="s">
        <v>28</v>
      </c>
      <c r="I47">
        <v>19170</v>
      </c>
      <c r="J47">
        <v>999</v>
      </c>
      <c r="K47">
        <v>2</v>
      </c>
      <c r="L47">
        <v>19170</v>
      </c>
      <c r="M47">
        <v>999</v>
      </c>
      <c r="N47" t="s">
        <v>43</v>
      </c>
      <c r="O47" t="s">
        <v>44</v>
      </c>
      <c r="P47" t="s">
        <v>31</v>
      </c>
      <c r="Q47" t="s">
        <v>32</v>
      </c>
      <c r="R47" t="s">
        <v>30</v>
      </c>
      <c r="S47" t="s">
        <v>176</v>
      </c>
      <c r="T47" t="s">
        <v>90</v>
      </c>
      <c r="U47" t="s">
        <v>36</v>
      </c>
      <c r="V47">
        <v>7.1800000000000003E-2</v>
      </c>
      <c r="W47" t="s">
        <v>177</v>
      </c>
      <c r="X47" t="s">
        <v>110</v>
      </c>
      <c r="Y47" t="s">
        <v>36</v>
      </c>
    </row>
    <row r="48" spans="1:25" x14ac:dyDescent="0.3">
      <c r="A48">
        <v>1340.2</v>
      </c>
      <c r="B48" t="s">
        <v>55</v>
      </c>
      <c r="C48" t="s">
        <v>175</v>
      </c>
      <c r="D48" t="s">
        <v>26</v>
      </c>
      <c r="E48">
        <v>2</v>
      </c>
      <c r="F48" t="s">
        <v>42</v>
      </c>
      <c r="G48" t="s">
        <v>57</v>
      </c>
      <c r="I48">
        <v>10224</v>
      </c>
      <c r="J48">
        <v>533</v>
      </c>
      <c r="K48">
        <v>2</v>
      </c>
      <c r="L48">
        <v>10224</v>
      </c>
      <c r="M48">
        <v>533</v>
      </c>
      <c r="N48" t="s">
        <v>43</v>
      </c>
      <c r="O48" t="s">
        <v>44</v>
      </c>
      <c r="P48" t="s">
        <v>31</v>
      </c>
      <c r="Q48" t="s">
        <v>32</v>
      </c>
      <c r="R48" t="s">
        <v>30</v>
      </c>
      <c r="S48" t="s">
        <v>176</v>
      </c>
      <c r="T48" t="s">
        <v>178</v>
      </c>
      <c r="U48" t="s">
        <v>60</v>
      </c>
      <c r="V48">
        <v>7.1800000000000003E-2</v>
      </c>
      <c r="W48" t="s">
        <v>177</v>
      </c>
      <c r="X48" t="s">
        <v>179</v>
      </c>
      <c r="Y48" t="s">
        <v>60</v>
      </c>
    </row>
    <row r="49" spans="1:25" x14ac:dyDescent="0.3">
      <c r="A49">
        <v>1350.1</v>
      </c>
      <c r="B49" t="s">
        <v>55</v>
      </c>
      <c r="C49" t="s">
        <v>26</v>
      </c>
      <c r="D49" t="s">
        <v>180</v>
      </c>
      <c r="E49">
        <v>2</v>
      </c>
      <c r="F49" t="s">
        <v>42</v>
      </c>
      <c r="G49" t="s">
        <v>28</v>
      </c>
      <c r="I49">
        <v>9270</v>
      </c>
      <c r="J49">
        <v>486</v>
      </c>
      <c r="K49">
        <v>2</v>
      </c>
      <c r="L49">
        <v>9270</v>
      </c>
      <c r="M49">
        <v>486</v>
      </c>
      <c r="N49" t="s">
        <v>43</v>
      </c>
      <c r="O49" t="s">
        <v>44</v>
      </c>
      <c r="P49" t="s">
        <v>31</v>
      </c>
      <c r="Q49" t="s">
        <v>32</v>
      </c>
      <c r="R49" t="s">
        <v>36</v>
      </c>
      <c r="S49" t="s">
        <v>149</v>
      </c>
      <c r="T49" t="s">
        <v>181</v>
      </c>
      <c r="U49" t="s">
        <v>36</v>
      </c>
      <c r="V49">
        <v>0.01</v>
      </c>
      <c r="W49" t="s">
        <v>182</v>
      </c>
      <c r="X49" t="s">
        <v>114</v>
      </c>
      <c r="Y49" t="s">
        <v>36</v>
      </c>
    </row>
    <row r="50" spans="1:25" x14ac:dyDescent="0.3">
      <c r="A50">
        <v>1350.2</v>
      </c>
      <c r="B50" t="s">
        <v>55</v>
      </c>
      <c r="C50" t="s">
        <v>180</v>
      </c>
      <c r="D50" t="s">
        <v>183</v>
      </c>
      <c r="E50">
        <v>2</v>
      </c>
      <c r="F50" t="s">
        <v>42</v>
      </c>
      <c r="G50" t="s">
        <v>28</v>
      </c>
      <c r="I50">
        <v>9270</v>
      </c>
      <c r="J50">
        <v>486</v>
      </c>
      <c r="K50">
        <v>2</v>
      </c>
      <c r="L50">
        <v>9270</v>
      </c>
      <c r="M50">
        <v>486</v>
      </c>
      <c r="N50" t="s">
        <v>43</v>
      </c>
      <c r="O50" t="s">
        <v>44</v>
      </c>
      <c r="P50" t="s">
        <v>31</v>
      </c>
      <c r="Q50" t="s">
        <v>32</v>
      </c>
      <c r="R50" t="s">
        <v>36</v>
      </c>
      <c r="S50" t="s">
        <v>149</v>
      </c>
      <c r="T50" t="s">
        <v>181</v>
      </c>
      <c r="U50" t="s">
        <v>36</v>
      </c>
      <c r="V50">
        <v>0.01</v>
      </c>
      <c r="W50" t="s">
        <v>182</v>
      </c>
      <c r="X50" t="s">
        <v>114</v>
      </c>
      <c r="Y50" t="s">
        <v>36</v>
      </c>
    </row>
    <row r="51" spans="1:25" x14ac:dyDescent="0.3">
      <c r="A51">
        <v>1360.1</v>
      </c>
      <c r="B51" t="s">
        <v>55</v>
      </c>
      <c r="C51" t="s">
        <v>183</v>
      </c>
      <c r="D51" t="s">
        <v>40</v>
      </c>
      <c r="E51">
        <v>2</v>
      </c>
      <c r="F51" t="s">
        <v>42</v>
      </c>
      <c r="G51" t="s">
        <v>28</v>
      </c>
      <c r="I51">
        <v>19170</v>
      </c>
      <c r="J51">
        <v>999</v>
      </c>
      <c r="K51">
        <v>2</v>
      </c>
      <c r="L51">
        <v>19170</v>
      </c>
      <c r="M51">
        <v>999</v>
      </c>
      <c r="N51" t="s">
        <v>43</v>
      </c>
      <c r="O51" t="s">
        <v>44</v>
      </c>
      <c r="P51" t="s">
        <v>31</v>
      </c>
      <c r="Q51" t="s">
        <v>32</v>
      </c>
      <c r="R51" t="s">
        <v>30</v>
      </c>
      <c r="S51" t="s">
        <v>149</v>
      </c>
      <c r="T51" t="s">
        <v>150</v>
      </c>
      <c r="U51" t="s">
        <v>36</v>
      </c>
      <c r="V51">
        <v>0.01</v>
      </c>
      <c r="W51" t="s">
        <v>182</v>
      </c>
      <c r="X51" t="s">
        <v>83</v>
      </c>
      <c r="Y51" t="s">
        <v>36</v>
      </c>
    </row>
    <row r="52" spans="1:25" x14ac:dyDescent="0.3">
      <c r="A52">
        <v>1380</v>
      </c>
      <c r="B52" t="s">
        <v>184</v>
      </c>
      <c r="C52" t="s">
        <v>41</v>
      </c>
      <c r="D52" t="s">
        <v>63</v>
      </c>
      <c r="E52">
        <v>2</v>
      </c>
      <c r="F52" t="s">
        <v>42</v>
      </c>
      <c r="G52" t="s">
        <v>28</v>
      </c>
      <c r="I52">
        <v>9270</v>
      </c>
      <c r="J52">
        <v>486</v>
      </c>
      <c r="K52">
        <v>2</v>
      </c>
      <c r="L52">
        <v>9270</v>
      </c>
      <c r="M52">
        <v>486</v>
      </c>
      <c r="N52" t="s">
        <v>43</v>
      </c>
      <c r="O52" t="s">
        <v>44</v>
      </c>
      <c r="P52" t="s">
        <v>31</v>
      </c>
      <c r="Q52" t="s">
        <v>32</v>
      </c>
      <c r="R52" t="s">
        <v>36</v>
      </c>
      <c r="S52" t="s">
        <v>185</v>
      </c>
      <c r="T52" t="s">
        <v>186</v>
      </c>
      <c r="U52" t="s">
        <v>36</v>
      </c>
      <c r="V52">
        <v>0.01</v>
      </c>
      <c r="W52" t="s">
        <v>185</v>
      </c>
      <c r="X52" t="s">
        <v>186</v>
      </c>
      <c r="Y52" t="s">
        <v>36</v>
      </c>
    </row>
    <row r="53" spans="1:25" x14ac:dyDescent="0.3">
      <c r="A53">
        <v>1390.1</v>
      </c>
      <c r="B53" t="s">
        <v>184</v>
      </c>
      <c r="C53" t="s">
        <v>63</v>
      </c>
      <c r="D53" t="s">
        <v>26</v>
      </c>
      <c r="E53">
        <v>2</v>
      </c>
      <c r="F53" t="s">
        <v>42</v>
      </c>
      <c r="G53" t="s">
        <v>28</v>
      </c>
      <c r="I53">
        <v>9270</v>
      </c>
      <c r="J53">
        <v>486</v>
      </c>
      <c r="K53">
        <v>2</v>
      </c>
      <c r="L53">
        <v>9270</v>
      </c>
      <c r="M53">
        <v>486</v>
      </c>
      <c r="N53" t="s">
        <v>43</v>
      </c>
      <c r="O53" t="s">
        <v>44</v>
      </c>
      <c r="P53" t="s">
        <v>31</v>
      </c>
      <c r="Q53" t="s">
        <v>32</v>
      </c>
      <c r="R53" t="s">
        <v>36</v>
      </c>
      <c r="S53" t="s">
        <v>45</v>
      </c>
      <c r="T53" t="s">
        <v>46</v>
      </c>
      <c r="U53" t="s">
        <v>46</v>
      </c>
      <c r="V53">
        <v>0.01</v>
      </c>
      <c r="W53" t="s">
        <v>45</v>
      </c>
      <c r="X53" t="s">
        <v>46</v>
      </c>
      <c r="Y53" t="s">
        <v>46</v>
      </c>
    </row>
    <row r="54" spans="1:25" x14ac:dyDescent="0.3">
      <c r="A54">
        <v>1400</v>
      </c>
      <c r="B54" t="s">
        <v>187</v>
      </c>
      <c r="C54" t="s">
        <v>188</v>
      </c>
      <c r="D54" t="s">
        <v>189</v>
      </c>
      <c r="E54">
        <v>2</v>
      </c>
      <c r="F54" t="s">
        <v>42</v>
      </c>
      <c r="G54" t="s">
        <v>57</v>
      </c>
      <c r="I54">
        <v>9288</v>
      </c>
      <c r="J54">
        <v>482</v>
      </c>
      <c r="K54">
        <v>2</v>
      </c>
      <c r="L54">
        <v>9288</v>
      </c>
      <c r="M54">
        <v>482</v>
      </c>
      <c r="N54" t="s">
        <v>43</v>
      </c>
      <c r="O54" t="s">
        <v>44</v>
      </c>
      <c r="P54" t="s">
        <v>31</v>
      </c>
      <c r="Q54" t="s">
        <v>32</v>
      </c>
      <c r="R54" t="s">
        <v>60</v>
      </c>
      <c r="S54" t="s">
        <v>190</v>
      </c>
      <c r="T54" t="s">
        <v>191</v>
      </c>
      <c r="U54" t="s">
        <v>60</v>
      </c>
      <c r="V54">
        <v>0.05</v>
      </c>
      <c r="W54" t="s">
        <v>192</v>
      </c>
      <c r="X54" t="s">
        <v>193</v>
      </c>
      <c r="Y54" t="s">
        <v>60</v>
      </c>
    </row>
    <row r="55" spans="1:25" x14ac:dyDescent="0.3">
      <c r="A55">
        <v>1410.1</v>
      </c>
      <c r="B55" t="s">
        <v>187</v>
      </c>
      <c r="C55" t="s">
        <v>189</v>
      </c>
      <c r="D55" t="s">
        <v>194</v>
      </c>
      <c r="E55">
        <v>2</v>
      </c>
      <c r="F55" t="s">
        <v>42</v>
      </c>
      <c r="G55" t="s">
        <v>28</v>
      </c>
      <c r="I55">
        <v>14130</v>
      </c>
      <c r="J55">
        <v>738</v>
      </c>
      <c r="K55">
        <v>2</v>
      </c>
      <c r="L55">
        <v>14130</v>
      </c>
      <c r="M55">
        <v>738</v>
      </c>
      <c r="N55" t="s">
        <v>43</v>
      </c>
      <c r="O55" t="s">
        <v>44</v>
      </c>
      <c r="P55" t="s">
        <v>31</v>
      </c>
      <c r="Q55" t="s">
        <v>32</v>
      </c>
      <c r="R55" t="s">
        <v>60</v>
      </c>
      <c r="S55" t="s">
        <v>190</v>
      </c>
      <c r="T55" t="s">
        <v>108</v>
      </c>
      <c r="U55" t="s">
        <v>36</v>
      </c>
      <c r="V55">
        <v>0.05</v>
      </c>
      <c r="W55" t="s">
        <v>192</v>
      </c>
      <c r="X55" t="s">
        <v>116</v>
      </c>
      <c r="Y55" t="s">
        <v>36</v>
      </c>
    </row>
    <row r="56" spans="1:25" x14ac:dyDescent="0.3">
      <c r="A56">
        <v>1410.2</v>
      </c>
      <c r="B56" t="s">
        <v>187</v>
      </c>
      <c r="C56" t="s">
        <v>194</v>
      </c>
      <c r="D56" t="s">
        <v>140</v>
      </c>
      <c r="E56">
        <v>2</v>
      </c>
      <c r="F56" t="s">
        <v>42</v>
      </c>
      <c r="G56" t="s">
        <v>28</v>
      </c>
      <c r="I56">
        <v>14130</v>
      </c>
      <c r="J56">
        <v>738</v>
      </c>
      <c r="K56">
        <v>2</v>
      </c>
      <c r="L56">
        <v>14130</v>
      </c>
      <c r="M56">
        <v>738</v>
      </c>
      <c r="N56" t="s">
        <v>43</v>
      </c>
      <c r="O56" t="s">
        <v>44</v>
      </c>
      <c r="P56" t="s">
        <v>31</v>
      </c>
      <c r="Q56" t="s">
        <v>32</v>
      </c>
      <c r="R56" t="s">
        <v>60</v>
      </c>
      <c r="S56" t="s">
        <v>190</v>
      </c>
      <c r="T56" t="s">
        <v>108</v>
      </c>
      <c r="U56" t="s">
        <v>36</v>
      </c>
      <c r="V56">
        <v>0.05</v>
      </c>
      <c r="W56" t="s">
        <v>192</v>
      </c>
      <c r="X56" t="s">
        <v>116</v>
      </c>
      <c r="Y56" t="s">
        <v>36</v>
      </c>
    </row>
    <row r="57" spans="1:25" x14ac:dyDescent="0.3">
      <c r="A57">
        <v>1420</v>
      </c>
      <c r="B57" t="s">
        <v>63</v>
      </c>
      <c r="C57" t="s">
        <v>41</v>
      </c>
      <c r="D57" t="s">
        <v>195</v>
      </c>
      <c r="E57">
        <v>2</v>
      </c>
      <c r="F57" t="s">
        <v>42</v>
      </c>
      <c r="G57" t="s">
        <v>28</v>
      </c>
      <c r="I57">
        <v>9270</v>
      </c>
      <c r="J57">
        <v>486</v>
      </c>
      <c r="K57">
        <v>2</v>
      </c>
      <c r="L57">
        <v>9270</v>
      </c>
      <c r="M57">
        <v>486</v>
      </c>
      <c r="N57" t="s">
        <v>43</v>
      </c>
      <c r="O57" t="s">
        <v>44</v>
      </c>
      <c r="P57" t="s">
        <v>31</v>
      </c>
      <c r="Q57" t="s">
        <v>32</v>
      </c>
      <c r="R57" t="s">
        <v>36</v>
      </c>
      <c r="S57" t="s">
        <v>127</v>
      </c>
      <c r="T57" t="s">
        <v>142</v>
      </c>
      <c r="U57" t="s">
        <v>36</v>
      </c>
      <c r="V57">
        <v>8.4500000000000006E-2</v>
      </c>
      <c r="W57" t="s">
        <v>132</v>
      </c>
      <c r="X57" t="s">
        <v>196</v>
      </c>
      <c r="Y57" t="s">
        <v>36</v>
      </c>
    </row>
    <row r="58" spans="1:25" x14ac:dyDescent="0.3">
      <c r="A58">
        <v>1430.1</v>
      </c>
      <c r="B58" t="s">
        <v>63</v>
      </c>
      <c r="C58" t="s">
        <v>195</v>
      </c>
      <c r="D58" t="s">
        <v>54</v>
      </c>
      <c r="E58">
        <v>2</v>
      </c>
      <c r="F58" t="s">
        <v>42</v>
      </c>
      <c r="G58" t="s">
        <v>28</v>
      </c>
      <c r="I58">
        <v>9270</v>
      </c>
      <c r="J58">
        <v>486</v>
      </c>
      <c r="K58">
        <v>2</v>
      </c>
      <c r="L58">
        <v>9270</v>
      </c>
      <c r="M58">
        <v>486</v>
      </c>
      <c r="N58" t="s">
        <v>43</v>
      </c>
      <c r="O58" t="s">
        <v>44</v>
      </c>
      <c r="P58" t="s">
        <v>31</v>
      </c>
      <c r="Q58" t="s">
        <v>32</v>
      </c>
      <c r="R58" t="s">
        <v>36</v>
      </c>
      <c r="S58" t="s">
        <v>121</v>
      </c>
      <c r="T58" t="s">
        <v>117</v>
      </c>
      <c r="U58" t="s">
        <v>36</v>
      </c>
      <c r="V58">
        <v>0.01</v>
      </c>
      <c r="W58" t="s">
        <v>123</v>
      </c>
      <c r="X58" t="s">
        <v>88</v>
      </c>
      <c r="Y58" t="s">
        <v>36</v>
      </c>
    </row>
    <row r="59" spans="1:25" x14ac:dyDescent="0.3">
      <c r="A59">
        <v>1430.2</v>
      </c>
      <c r="B59" t="s">
        <v>63</v>
      </c>
      <c r="C59" t="s">
        <v>54</v>
      </c>
      <c r="D59" t="s">
        <v>104</v>
      </c>
      <c r="E59">
        <v>2</v>
      </c>
      <c r="F59" t="s">
        <v>42</v>
      </c>
      <c r="G59" t="s">
        <v>28</v>
      </c>
      <c r="I59">
        <v>9270</v>
      </c>
      <c r="J59">
        <v>486</v>
      </c>
      <c r="K59">
        <v>2</v>
      </c>
      <c r="L59">
        <v>9270</v>
      </c>
      <c r="M59">
        <v>486</v>
      </c>
      <c r="N59" t="s">
        <v>43</v>
      </c>
      <c r="O59" t="s">
        <v>44</v>
      </c>
      <c r="P59" t="s">
        <v>31</v>
      </c>
      <c r="Q59" t="s">
        <v>32</v>
      </c>
      <c r="R59" t="s">
        <v>36</v>
      </c>
      <c r="S59" t="s">
        <v>121</v>
      </c>
      <c r="T59" t="s">
        <v>117</v>
      </c>
      <c r="U59" t="s">
        <v>36</v>
      </c>
      <c r="V59">
        <v>0.01</v>
      </c>
      <c r="W59" t="s">
        <v>123</v>
      </c>
      <c r="X59" t="s">
        <v>88</v>
      </c>
      <c r="Y59" t="s">
        <v>36</v>
      </c>
    </row>
    <row r="60" spans="1:25" x14ac:dyDescent="0.3">
      <c r="A60">
        <v>1440.1</v>
      </c>
      <c r="B60" t="s">
        <v>63</v>
      </c>
      <c r="C60" t="s">
        <v>104</v>
      </c>
      <c r="D60" t="s">
        <v>26</v>
      </c>
      <c r="E60">
        <v>2</v>
      </c>
      <c r="F60" t="s">
        <v>42</v>
      </c>
      <c r="G60" t="s">
        <v>28</v>
      </c>
      <c r="I60">
        <v>9270</v>
      </c>
      <c r="J60">
        <v>486</v>
      </c>
      <c r="K60">
        <v>2</v>
      </c>
      <c r="L60">
        <v>9270</v>
      </c>
      <c r="M60">
        <v>486</v>
      </c>
      <c r="N60" t="s">
        <v>43</v>
      </c>
      <c r="O60" t="s">
        <v>44</v>
      </c>
      <c r="P60" t="s">
        <v>31</v>
      </c>
      <c r="Q60" t="s">
        <v>32</v>
      </c>
      <c r="R60" t="s">
        <v>36</v>
      </c>
      <c r="S60" t="s">
        <v>123</v>
      </c>
      <c r="T60" t="s">
        <v>88</v>
      </c>
      <c r="U60" t="s">
        <v>36</v>
      </c>
      <c r="V60">
        <v>5.5899999999999998E-2</v>
      </c>
      <c r="W60" t="s">
        <v>197</v>
      </c>
      <c r="X60" t="s">
        <v>198</v>
      </c>
      <c r="Y60" t="s">
        <v>36</v>
      </c>
    </row>
    <row r="61" spans="1:25" x14ac:dyDescent="0.3">
      <c r="A61">
        <v>1450</v>
      </c>
      <c r="B61" t="s">
        <v>63</v>
      </c>
      <c r="C61" t="s">
        <v>26</v>
      </c>
      <c r="D61" t="s">
        <v>164</v>
      </c>
      <c r="E61">
        <v>2</v>
      </c>
      <c r="F61" t="s">
        <v>42</v>
      </c>
      <c r="G61" t="s">
        <v>28</v>
      </c>
      <c r="I61">
        <v>9270</v>
      </c>
      <c r="J61">
        <v>486</v>
      </c>
      <c r="K61">
        <v>2</v>
      </c>
      <c r="L61">
        <v>9270</v>
      </c>
      <c r="M61">
        <v>486</v>
      </c>
      <c r="N61" t="s">
        <v>43</v>
      </c>
      <c r="O61" t="s">
        <v>44</v>
      </c>
      <c r="P61" t="s">
        <v>31</v>
      </c>
      <c r="Q61" t="s">
        <v>32</v>
      </c>
      <c r="R61" t="s">
        <v>36</v>
      </c>
      <c r="S61" t="s">
        <v>199</v>
      </c>
      <c r="T61" t="s">
        <v>139</v>
      </c>
      <c r="U61" t="s">
        <v>36</v>
      </c>
      <c r="V61">
        <v>0.01</v>
      </c>
      <c r="W61" t="s">
        <v>200</v>
      </c>
      <c r="X61" t="s">
        <v>201</v>
      </c>
      <c r="Y61" t="s">
        <v>36</v>
      </c>
    </row>
    <row r="62" spans="1:25" x14ac:dyDescent="0.3">
      <c r="A62">
        <v>1460</v>
      </c>
      <c r="B62" t="s">
        <v>63</v>
      </c>
      <c r="C62" t="s">
        <v>164</v>
      </c>
      <c r="D62" t="s">
        <v>202</v>
      </c>
      <c r="E62">
        <v>2</v>
      </c>
      <c r="F62" t="s">
        <v>42</v>
      </c>
      <c r="G62" t="s">
        <v>28</v>
      </c>
      <c r="I62">
        <v>19170</v>
      </c>
      <c r="J62">
        <v>999</v>
      </c>
      <c r="K62">
        <v>2</v>
      </c>
      <c r="L62">
        <v>19170</v>
      </c>
      <c r="M62">
        <v>999</v>
      </c>
      <c r="N62" t="s">
        <v>43</v>
      </c>
      <c r="O62" t="s">
        <v>44</v>
      </c>
      <c r="P62" t="s">
        <v>31</v>
      </c>
      <c r="Q62" t="s">
        <v>32</v>
      </c>
      <c r="R62" t="s">
        <v>30</v>
      </c>
      <c r="S62" t="s">
        <v>151</v>
      </c>
      <c r="T62" t="s">
        <v>83</v>
      </c>
      <c r="U62" t="s">
        <v>36</v>
      </c>
      <c r="V62">
        <v>0.01</v>
      </c>
      <c r="W62" t="s">
        <v>203</v>
      </c>
      <c r="X62" t="s">
        <v>117</v>
      </c>
      <c r="Y62" t="s">
        <v>36</v>
      </c>
    </row>
    <row r="63" spans="1:25" x14ac:dyDescent="0.3">
      <c r="A63">
        <v>1470</v>
      </c>
      <c r="B63" t="s">
        <v>204</v>
      </c>
      <c r="C63" t="s">
        <v>41</v>
      </c>
      <c r="D63" t="s">
        <v>205</v>
      </c>
      <c r="E63">
        <v>2</v>
      </c>
      <c r="F63" t="s">
        <v>42</v>
      </c>
      <c r="G63" t="s">
        <v>28</v>
      </c>
      <c r="I63">
        <v>19170</v>
      </c>
      <c r="J63">
        <v>999</v>
      </c>
      <c r="K63">
        <v>2</v>
      </c>
      <c r="L63">
        <v>19170</v>
      </c>
      <c r="M63">
        <v>999</v>
      </c>
      <c r="N63" t="s">
        <v>43</v>
      </c>
      <c r="O63" t="s">
        <v>44</v>
      </c>
      <c r="P63" t="s">
        <v>31</v>
      </c>
      <c r="Q63" t="s">
        <v>32</v>
      </c>
      <c r="R63" t="s">
        <v>30</v>
      </c>
      <c r="S63" t="s">
        <v>45</v>
      </c>
      <c r="T63" t="s">
        <v>46</v>
      </c>
      <c r="U63" t="s">
        <v>46</v>
      </c>
      <c r="V63">
        <v>0.01</v>
      </c>
      <c r="W63" t="s">
        <v>45</v>
      </c>
      <c r="X63" t="s">
        <v>46</v>
      </c>
      <c r="Y63" t="s">
        <v>46</v>
      </c>
    </row>
    <row r="64" spans="1:25" x14ac:dyDescent="0.3">
      <c r="A64">
        <v>1480</v>
      </c>
      <c r="B64" t="s">
        <v>206</v>
      </c>
      <c r="C64" t="s">
        <v>140</v>
      </c>
      <c r="D64" t="s">
        <v>207</v>
      </c>
      <c r="E64">
        <v>2</v>
      </c>
      <c r="F64" t="s">
        <v>42</v>
      </c>
      <c r="G64" t="s">
        <v>57</v>
      </c>
      <c r="H64">
        <v>2</v>
      </c>
      <c r="I64">
        <v>11232</v>
      </c>
      <c r="J64">
        <v>576</v>
      </c>
      <c r="K64">
        <v>2</v>
      </c>
      <c r="L64">
        <v>11232</v>
      </c>
      <c r="M64">
        <v>576</v>
      </c>
      <c r="N64" t="s">
        <v>29</v>
      </c>
      <c r="O64" t="s">
        <v>44</v>
      </c>
      <c r="P64" t="s">
        <v>31</v>
      </c>
      <c r="Q64" t="s">
        <v>32</v>
      </c>
      <c r="R64" t="s">
        <v>33</v>
      </c>
      <c r="S64" t="s">
        <v>208</v>
      </c>
      <c r="T64" t="s">
        <v>209</v>
      </c>
      <c r="U64" t="s">
        <v>30</v>
      </c>
      <c r="V64">
        <v>2.52E-2</v>
      </c>
      <c r="W64" t="s">
        <v>210</v>
      </c>
      <c r="X64" t="s">
        <v>211</v>
      </c>
      <c r="Y64" t="s">
        <v>33</v>
      </c>
    </row>
    <row r="65" spans="1:25" x14ac:dyDescent="0.3">
      <c r="A65">
        <v>1490</v>
      </c>
      <c r="B65" t="s">
        <v>206</v>
      </c>
      <c r="C65" t="s">
        <v>207</v>
      </c>
      <c r="D65" t="s">
        <v>212</v>
      </c>
      <c r="E65">
        <v>2</v>
      </c>
      <c r="F65" t="s">
        <v>42</v>
      </c>
      <c r="G65" t="s">
        <v>57</v>
      </c>
      <c r="H65">
        <v>1</v>
      </c>
      <c r="I65">
        <v>12744</v>
      </c>
      <c r="J65">
        <v>634</v>
      </c>
      <c r="K65">
        <v>2</v>
      </c>
      <c r="L65">
        <v>12744</v>
      </c>
      <c r="M65">
        <v>634</v>
      </c>
      <c r="N65" t="s">
        <v>29</v>
      </c>
      <c r="O65" t="s">
        <v>44</v>
      </c>
      <c r="P65" t="s">
        <v>31</v>
      </c>
      <c r="Q65" t="s">
        <v>32</v>
      </c>
      <c r="R65" t="s">
        <v>33</v>
      </c>
      <c r="S65" t="s">
        <v>213</v>
      </c>
      <c r="T65" t="s">
        <v>214</v>
      </c>
      <c r="U65" t="s">
        <v>60</v>
      </c>
      <c r="V65">
        <v>2.6100000000000002E-2</v>
      </c>
      <c r="W65" t="s">
        <v>215</v>
      </c>
      <c r="X65" t="s">
        <v>116</v>
      </c>
      <c r="Y65" t="s">
        <v>60</v>
      </c>
    </row>
    <row r="66" spans="1:25" x14ac:dyDescent="0.3">
      <c r="A66">
        <v>1500</v>
      </c>
      <c r="B66" t="s">
        <v>206</v>
      </c>
      <c r="C66" t="s">
        <v>212</v>
      </c>
      <c r="D66" t="s">
        <v>106</v>
      </c>
      <c r="E66">
        <v>2</v>
      </c>
      <c r="F66" t="s">
        <v>42</v>
      </c>
      <c r="G66" t="s">
        <v>28</v>
      </c>
      <c r="I66">
        <v>29340</v>
      </c>
      <c r="J66">
        <v>1449</v>
      </c>
      <c r="K66">
        <v>2</v>
      </c>
      <c r="L66">
        <v>29340</v>
      </c>
      <c r="M66">
        <v>1449</v>
      </c>
      <c r="N66" t="s">
        <v>29</v>
      </c>
      <c r="O66" t="s">
        <v>44</v>
      </c>
      <c r="P66" t="s">
        <v>31</v>
      </c>
      <c r="Q66" t="s">
        <v>32</v>
      </c>
      <c r="R66" t="s">
        <v>33</v>
      </c>
      <c r="S66" t="s">
        <v>213</v>
      </c>
      <c r="T66" t="s">
        <v>150</v>
      </c>
      <c r="U66" t="s">
        <v>36</v>
      </c>
      <c r="V66">
        <v>3.0099999999999998E-2</v>
      </c>
      <c r="W66" t="s">
        <v>216</v>
      </c>
      <c r="X66" t="s">
        <v>88</v>
      </c>
      <c r="Y66" t="s">
        <v>36</v>
      </c>
    </row>
    <row r="67" spans="1:25" x14ac:dyDescent="0.3">
      <c r="A67">
        <v>1510</v>
      </c>
      <c r="B67" t="s">
        <v>206</v>
      </c>
      <c r="C67" t="s">
        <v>106</v>
      </c>
      <c r="D67" t="s">
        <v>217</v>
      </c>
      <c r="E67">
        <v>2</v>
      </c>
      <c r="F67" t="s">
        <v>42</v>
      </c>
      <c r="G67" t="s">
        <v>28</v>
      </c>
      <c r="I67">
        <v>25650</v>
      </c>
      <c r="J67">
        <v>1341</v>
      </c>
      <c r="K67">
        <v>2</v>
      </c>
      <c r="L67">
        <v>25650</v>
      </c>
      <c r="M67">
        <v>1341</v>
      </c>
      <c r="N67" t="s">
        <v>43</v>
      </c>
      <c r="O67" t="s">
        <v>44</v>
      </c>
      <c r="P67" t="s">
        <v>31</v>
      </c>
      <c r="Q67" t="s">
        <v>32</v>
      </c>
      <c r="R67" t="s">
        <v>33</v>
      </c>
      <c r="S67" t="s">
        <v>64</v>
      </c>
      <c r="T67" t="s">
        <v>128</v>
      </c>
      <c r="U67" t="s">
        <v>36</v>
      </c>
      <c r="V67">
        <v>3.7100000000000001E-2</v>
      </c>
      <c r="W67" t="s">
        <v>218</v>
      </c>
      <c r="X67" t="s">
        <v>161</v>
      </c>
      <c r="Y67" t="s">
        <v>36</v>
      </c>
    </row>
    <row r="68" spans="1:25" x14ac:dyDescent="0.3">
      <c r="A68">
        <v>1520.2</v>
      </c>
      <c r="B68" t="s">
        <v>205</v>
      </c>
      <c r="C68" t="s">
        <v>219</v>
      </c>
      <c r="D68" t="s">
        <v>204</v>
      </c>
      <c r="E68">
        <v>2</v>
      </c>
      <c r="F68" t="s">
        <v>42</v>
      </c>
      <c r="G68" t="s">
        <v>28</v>
      </c>
      <c r="I68">
        <v>19170</v>
      </c>
      <c r="J68">
        <v>999</v>
      </c>
      <c r="K68">
        <v>2</v>
      </c>
      <c r="L68">
        <v>19170</v>
      </c>
      <c r="M68">
        <v>999</v>
      </c>
      <c r="N68" t="s">
        <v>43</v>
      </c>
      <c r="O68" t="s">
        <v>44</v>
      </c>
      <c r="P68" t="s">
        <v>31</v>
      </c>
      <c r="Q68" t="s">
        <v>32</v>
      </c>
      <c r="R68" t="s">
        <v>30</v>
      </c>
      <c r="S68" t="s">
        <v>218</v>
      </c>
      <c r="T68" t="s">
        <v>38</v>
      </c>
      <c r="U68" t="s">
        <v>36</v>
      </c>
      <c r="V68">
        <v>9.0999999999999998E-2</v>
      </c>
      <c r="W68" t="s">
        <v>136</v>
      </c>
      <c r="X68" t="s">
        <v>220</v>
      </c>
      <c r="Y68" t="s">
        <v>36</v>
      </c>
    </row>
    <row r="69" spans="1:25" x14ac:dyDescent="0.3">
      <c r="A69">
        <v>1530</v>
      </c>
      <c r="B69" t="s">
        <v>205</v>
      </c>
      <c r="C69" t="s">
        <v>204</v>
      </c>
      <c r="D69" t="s">
        <v>221</v>
      </c>
      <c r="E69">
        <v>2</v>
      </c>
      <c r="F69" t="s">
        <v>42</v>
      </c>
      <c r="G69" t="s">
        <v>28</v>
      </c>
      <c r="I69">
        <v>19170</v>
      </c>
      <c r="J69">
        <v>999</v>
      </c>
      <c r="K69">
        <v>2</v>
      </c>
      <c r="L69">
        <v>19170</v>
      </c>
      <c r="M69">
        <v>999</v>
      </c>
      <c r="N69" t="s">
        <v>43</v>
      </c>
      <c r="O69" t="s">
        <v>44</v>
      </c>
      <c r="P69" t="s">
        <v>31</v>
      </c>
      <c r="Q69" t="s">
        <v>32</v>
      </c>
      <c r="R69" t="s">
        <v>30</v>
      </c>
      <c r="S69" t="s">
        <v>132</v>
      </c>
      <c r="T69" t="s">
        <v>35</v>
      </c>
      <c r="U69" t="s">
        <v>36</v>
      </c>
      <c r="V69">
        <v>0.01</v>
      </c>
      <c r="W69" t="s">
        <v>133</v>
      </c>
      <c r="X69" t="s">
        <v>38</v>
      </c>
      <c r="Y69" t="s">
        <v>36</v>
      </c>
    </row>
    <row r="70" spans="1:25" x14ac:dyDescent="0.3">
      <c r="A70">
        <v>1540.1</v>
      </c>
      <c r="B70" t="s">
        <v>205</v>
      </c>
      <c r="C70" t="s">
        <v>221</v>
      </c>
      <c r="D70" t="s">
        <v>222</v>
      </c>
      <c r="E70">
        <v>2</v>
      </c>
      <c r="F70" t="s">
        <v>42</v>
      </c>
      <c r="G70" t="s">
        <v>28</v>
      </c>
      <c r="I70">
        <v>29340</v>
      </c>
      <c r="J70">
        <v>1449</v>
      </c>
      <c r="K70">
        <v>2</v>
      </c>
      <c r="L70">
        <v>29340</v>
      </c>
      <c r="M70">
        <v>1449</v>
      </c>
      <c r="N70" t="s">
        <v>29</v>
      </c>
      <c r="O70" t="s">
        <v>44</v>
      </c>
      <c r="P70" t="s">
        <v>31</v>
      </c>
      <c r="Q70" t="s">
        <v>32</v>
      </c>
      <c r="R70" t="s">
        <v>33</v>
      </c>
      <c r="S70" t="s">
        <v>218</v>
      </c>
      <c r="T70" t="s">
        <v>167</v>
      </c>
      <c r="U70" t="s">
        <v>36</v>
      </c>
      <c r="V70">
        <v>0.01</v>
      </c>
      <c r="W70" t="s">
        <v>223</v>
      </c>
      <c r="X70" t="s">
        <v>167</v>
      </c>
      <c r="Y70" t="s">
        <v>36</v>
      </c>
    </row>
    <row r="71" spans="1:25" x14ac:dyDescent="0.3">
      <c r="A71">
        <v>1550.1</v>
      </c>
      <c r="B71" t="s">
        <v>69</v>
      </c>
      <c r="C71" t="s">
        <v>224</v>
      </c>
      <c r="D71" t="s">
        <v>183</v>
      </c>
      <c r="E71">
        <v>2</v>
      </c>
      <c r="F71" t="s">
        <v>42</v>
      </c>
      <c r="G71" t="s">
        <v>28</v>
      </c>
      <c r="I71">
        <v>19170</v>
      </c>
      <c r="J71">
        <v>999</v>
      </c>
      <c r="K71">
        <v>2</v>
      </c>
      <c r="L71">
        <v>19170</v>
      </c>
      <c r="M71">
        <v>999</v>
      </c>
      <c r="N71" t="s">
        <v>43</v>
      </c>
      <c r="O71" t="s">
        <v>44</v>
      </c>
      <c r="P71" t="s">
        <v>31</v>
      </c>
      <c r="Q71" t="s">
        <v>32</v>
      </c>
      <c r="R71" t="s">
        <v>30</v>
      </c>
      <c r="S71" t="s">
        <v>199</v>
      </c>
      <c r="T71" t="s">
        <v>78</v>
      </c>
      <c r="U71" t="s">
        <v>36</v>
      </c>
      <c r="V71">
        <v>0.01</v>
      </c>
      <c r="W71" t="s">
        <v>200</v>
      </c>
      <c r="X71" t="s">
        <v>113</v>
      </c>
      <c r="Y71" t="s">
        <v>36</v>
      </c>
    </row>
    <row r="72" spans="1:25" x14ac:dyDescent="0.3">
      <c r="A72">
        <v>1560</v>
      </c>
      <c r="B72" t="s">
        <v>69</v>
      </c>
      <c r="C72" t="s">
        <v>183</v>
      </c>
      <c r="D72" t="s">
        <v>225</v>
      </c>
      <c r="E72">
        <v>4</v>
      </c>
      <c r="F72" t="s">
        <v>27</v>
      </c>
      <c r="G72" t="s">
        <v>57</v>
      </c>
      <c r="H72">
        <v>1</v>
      </c>
      <c r="I72">
        <v>35820</v>
      </c>
      <c r="J72">
        <v>1800</v>
      </c>
      <c r="K72">
        <v>4</v>
      </c>
      <c r="L72">
        <v>35820</v>
      </c>
      <c r="M72">
        <v>1800</v>
      </c>
      <c r="N72" t="s">
        <v>29</v>
      </c>
      <c r="O72" t="s">
        <v>30</v>
      </c>
      <c r="P72" t="s">
        <v>31</v>
      </c>
      <c r="Q72" t="s">
        <v>32</v>
      </c>
      <c r="R72" t="s">
        <v>33</v>
      </c>
      <c r="S72" t="s">
        <v>100</v>
      </c>
      <c r="T72" t="s">
        <v>226</v>
      </c>
      <c r="U72" t="s">
        <v>60</v>
      </c>
      <c r="V72">
        <v>5.0500000000000003E-2</v>
      </c>
      <c r="W72" t="s">
        <v>227</v>
      </c>
      <c r="X72" t="s">
        <v>228</v>
      </c>
      <c r="Y72" t="s">
        <v>60</v>
      </c>
    </row>
    <row r="73" spans="1:25" x14ac:dyDescent="0.3">
      <c r="A73">
        <v>1570</v>
      </c>
      <c r="B73" t="s">
        <v>69</v>
      </c>
      <c r="C73" t="s">
        <v>225</v>
      </c>
      <c r="D73" t="s">
        <v>26</v>
      </c>
      <c r="E73">
        <v>4</v>
      </c>
      <c r="F73" t="s">
        <v>27</v>
      </c>
      <c r="G73" t="s">
        <v>57</v>
      </c>
      <c r="H73">
        <v>1</v>
      </c>
      <c r="I73">
        <v>35820</v>
      </c>
      <c r="J73">
        <v>1800</v>
      </c>
      <c r="K73">
        <v>4</v>
      </c>
      <c r="L73">
        <v>35820</v>
      </c>
      <c r="M73">
        <v>1800</v>
      </c>
      <c r="N73" t="s">
        <v>29</v>
      </c>
      <c r="O73" t="s">
        <v>30</v>
      </c>
      <c r="P73" t="s">
        <v>31</v>
      </c>
      <c r="Q73" t="s">
        <v>32</v>
      </c>
      <c r="R73" t="s">
        <v>33</v>
      </c>
      <c r="S73" t="s">
        <v>100</v>
      </c>
      <c r="T73" t="s">
        <v>226</v>
      </c>
      <c r="U73" t="s">
        <v>60</v>
      </c>
      <c r="V73">
        <v>5.0500000000000003E-2</v>
      </c>
      <c r="W73" t="s">
        <v>227</v>
      </c>
      <c r="X73" t="s">
        <v>228</v>
      </c>
      <c r="Y73" t="s">
        <v>60</v>
      </c>
    </row>
    <row r="74" spans="1:25" x14ac:dyDescent="0.3">
      <c r="A74">
        <v>1610.1</v>
      </c>
      <c r="B74" t="s">
        <v>69</v>
      </c>
      <c r="C74" t="s">
        <v>26</v>
      </c>
      <c r="D74" t="s">
        <v>229</v>
      </c>
      <c r="E74">
        <v>2</v>
      </c>
      <c r="F74" t="s">
        <v>42</v>
      </c>
      <c r="G74" t="s">
        <v>28</v>
      </c>
      <c r="I74">
        <v>29340</v>
      </c>
      <c r="J74">
        <v>1449</v>
      </c>
      <c r="K74">
        <v>2</v>
      </c>
      <c r="L74">
        <v>29340</v>
      </c>
      <c r="M74">
        <v>1449</v>
      </c>
      <c r="N74" t="s">
        <v>29</v>
      </c>
      <c r="O74" t="s">
        <v>44</v>
      </c>
      <c r="P74" t="s">
        <v>31</v>
      </c>
      <c r="Q74" t="s">
        <v>32</v>
      </c>
      <c r="R74" t="s">
        <v>33</v>
      </c>
      <c r="S74" t="s">
        <v>230</v>
      </c>
      <c r="T74" t="s">
        <v>103</v>
      </c>
      <c r="U74" t="s">
        <v>60</v>
      </c>
      <c r="V74">
        <v>6.5799999999999997E-2</v>
      </c>
      <c r="W74" t="s">
        <v>231</v>
      </c>
      <c r="X74" t="s">
        <v>232</v>
      </c>
      <c r="Y74" t="s">
        <v>30</v>
      </c>
    </row>
    <row r="75" spans="1:25" x14ac:dyDescent="0.3">
      <c r="A75">
        <v>1610.2</v>
      </c>
      <c r="B75" t="s">
        <v>69</v>
      </c>
      <c r="C75" t="s">
        <v>229</v>
      </c>
      <c r="D75" t="s">
        <v>68</v>
      </c>
      <c r="E75">
        <v>2</v>
      </c>
      <c r="F75" t="s">
        <v>42</v>
      </c>
      <c r="G75" t="s">
        <v>28</v>
      </c>
      <c r="I75">
        <v>29340</v>
      </c>
      <c r="J75">
        <v>1449</v>
      </c>
      <c r="K75">
        <v>2</v>
      </c>
      <c r="L75">
        <v>29340</v>
      </c>
      <c r="M75">
        <v>1449</v>
      </c>
      <c r="N75" t="s">
        <v>29</v>
      </c>
      <c r="O75" t="s">
        <v>44</v>
      </c>
      <c r="P75" t="s">
        <v>31</v>
      </c>
      <c r="Q75" t="s">
        <v>32</v>
      </c>
      <c r="R75" t="s">
        <v>33</v>
      </c>
      <c r="S75" t="s">
        <v>233</v>
      </c>
      <c r="T75" t="s">
        <v>196</v>
      </c>
      <c r="U75" t="s">
        <v>60</v>
      </c>
      <c r="V75">
        <v>1.7899999999999999E-2</v>
      </c>
      <c r="W75" t="s">
        <v>234</v>
      </c>
      <c r="X75" t="s">
        <v>235</v>
      </c>
      <c r="Y75" t="s">
        <v>60</v>
      </c>
    </row>
    <row r="76" spans="1:25" x14ac:dyDescent="0.3">
      <c r="A76">
        <v>1620.1</v>
      </c>
      <c r="B76" t="s">
        <v>69</v>
      </c>
      <c r="C76" t="s">
        <v>68</v>
      </c>
      <c r="D76" t="s">
        <v>111</v>
      </c>
      <c r="E76">
        <v>2</v>
      </c>
      <c r="F76" t="s">
        <v>42</v>
      </c>
      <c r="G76" t="s">
        <v>28</v>
      </c>
      <c r="I76">
        <v>29340</v>
      </c>
      <c r="J76">
        <v>1449</v>
      </c>
      <c r="K76">
        <v>2</v>
      </c>
      <c r="L76">
        <v>29340</v>
      </c>
      <c r="M76">
        <v>1449</v>
      </c>
      <c r="N76" t="s">
        <v>29</v>
      </c>
      <c r="O76" t="s">
        <v>44</v>
      </c>
      <c r="P76" t="s">
        <v>31</v>
      </c>
      <c r="Q76" t="s">
        <v>32</v>
      </c>
      <c r="R76" t="s">
        <v>33</v>
      </c>
      <c r="S76" t="s">
        <v>138</v>
      </c>
      <c r="T76" t="s">
        <v>196</v>
      </c>
      <c r="U76" t="s">
        <v>60</v>
      </c>
      <c r="V76">
        <v>3.7900000000000003E-2</v>
      </c>
      <c r="W76" t="s">
        <v>236</v>
      </c>
      <c r="X76" t="s">
        <v>101</v>
      </c>
      <c r="Y76" t="s">
        <v>60</v>
      </c>
    </row>
    <row r="77" spans="1:25" x14ac:dyDescent="0.3">
      <c r="A77">
        <v>1620.3</v>
      </c>
      <c r="B77" t="s">
        <v>69</v>
      </c>
      <c r="C77" t="s">
        <v>111</v>
      </c>
      <c r="D77" t="s">
        <v>237</v>
      </c>
      <c r="E77">
        <v>2</v>
      </c>
      <c r="F77" t="s">
        <v>42</v>
      </c>
      <c r="G77" t="s">
        <v>28</v>
      </c>
      <c r="I77">
        <v>19170</v>
      </c>
      <c r="J77">
        <v>999</v>
      </c>
      <c r="K77">
        <v>2</v>
      </c>
      <c r="L77">
        <v>19170</v>
      </c>
      <c r="M77">
        <v>999</v>
      </c>
      <c r="N77" t="s">
        <v>43</v>
      </c>
      <c r="O77" t="s">
        <v>44</v>
      </c>
      <c r="P77" t="s">
        <v>31</v>
      </c>
      <c r="Q77" t="s">
        <v>32</v>
      </c>
      <c r="R77" t="s">
        <v>30</v>
      </c>
      <c r="S77" t="s">
        <v>238</v>
      </c>
      <c r="T77" t="s">
        <v>239</v>
      </c>
      <c r="U77" t="s">
        <v>60</v>
      </c>
      <c r="V77">
        <v>8.6499999999999994E-2</v>
      </c>
      <c r="W77" t="s">
        <v>240</v>
      </c>
      <c r="X77" t="s">
        <v>241</v>
      </c>
      <c r="Y77" t="s">
        <v>30</v>
      </c>
    </row>
    <row r="78" spans="1:25" x14ac:dyDescent="0.3">
      <c r="A78">
        <v>1630</v>
      </c>
      <c r="B78" t="s">
        <v>69</v>
      </c>
      <c r="C78" t="s">
        <v>237</v>
      </c>
      <c r="D78" t="s">
        <v>41</v>
      </c>
      <c r="E78">
        <v>2</v>
      </c>
      <c r="F78" t="s">
        <v>42</v>
      </c>
      <c r="G78" t="s">
        <v>28</v>
      </c>
      <c r="I78">
        <v>19170</v>
      </c>
      <c r="J78">
        <v>999</v>
      </c>
      <c r="K78">
        <v>2</v>
      </c>
      <c r="L78">
        <v>19170</v>
      </c>
      <c r="M78">
        <v>999</v>
      </c>
      <c r="N78" t="s">
        <v>43</v>
      </c>
      <c r="O78" t="s">
        <v>44</v>
      </c>
      <c r="P78" t="s">
        <v>31</v>
      </c>
      <c r="Q78" t="s">
        <v>32</v>
      </c>
      <c r="R78" t="s">
        <v>30</v>
      </c>
      <c r="S78" t="s">
        <v>242</v>
      </c>
      <c r="T78" t="s">
        <v>76</v>
      </c>
      <c r="U78" t="s">
        <v>36</v>
      </c>
      <c r="V78">
        <v>5.9200000000000003E-2</v>
      </c>
      <c r="W78" t="s">
        <v>215</v>
      </c>
      <c r="X78" t="s">
        <v>95</v>
      </c>
      <c r="Y78" t="s">
        <v>36</v>
      </c>
    </row>
    <row r="79" spans="1:25" x14ac:dyDescent="0.3">
      <c r="A79">
        <v>1640</v>
      </c>
      <c r="B79" t="s">
        <v>237</v>
      </c>
      <c r="C79" t="s">
        <v>41</v>
      </c>
      <c r="D79" t="s">
        <v>69</v>
      </c>
      <c r="E79">
        <v>2</v>
      </c>
      <c r="F79" t="s">
        <v>42</v>
      </c>
      <c r="G79" t="s">
        <v>28</v>
      </c>
      <c r="I79">
        <v>19170</v>
      </c>
      <c r="J79">
        <v>999</v>
      </c>
      <c r="K79">
        <v>2</v>
      </c>
      <c r="L79">
        <v>19170</v>
      </c>
      <c r="M79">
        <v>999</v>
      </c>
      <c r="N79" t="s">
        <v>43</v>
      </c>
      <c r="O79" t="s">
        <v>44</v>
      </c>
      <c r="P79" t="s">
        <v>31</v>
      </c>
      <c r="Q79" t="s">
        <v>32</v>
      </c>
      <c r="R79" t="s">
        <v>30</v>
      </c>
      <c r="S79" t="s">
        <v>50</v>
      </c>
      <c r="T79" t="s">
        <v>158</v>
      </c>
      <c r="U79" t="s">
        <v>36</v>
      </c>
      <c r="V79">
        <v>0.01</v>
      </c>
      <c r="W79" t="s">
        <v>50</v>
      </c>
      <c r="X79" t="s">
        <v>158</v>
      </c>
      <c r="Y79" t="s">
        <v>36</v>
      </c>
    </row>
    <row r="80" spans="1:25" x14ac:dyDescent="0.3">
      <c r="A80">
        <v>1650</v>
      </c>
      <c r="B80" t="s">
        <v>243</v>
      </c>
      <c r="C80" t="s">
        <v>41</v>
      </c>
      <c r="D80" t="s">
        <v>69</v>
      </c>
      <c r="E80">
        <v>2</v>
      </c>
      <c r="F80" t="s">
        <v>42</v>
      </c>
      <c r="G80" t="s">
        <v>28</v>
      </c>
      <c r="I80">
        <v>19170</v>
      </c>
      <c r="J80">
        <v>999</v>
      </c>
      <c r="K80">
        <v>2</v>
      </c>
      <c r="L80">
        <v>19170</v>
      </c>
      <c r="M80">
        <v>999</v>
      </c>
      <c r="N80" t="s">
        <v>43</v>
      </c>
      <c r="O80" t="s">
        <v>44</v>
      </c>
      <c r="P80" t="s">
        <v>31</v>
      </c>
      <c r="Q80" t="s">
        <v>32</v>
      </c>
      <c r="R80" t="s">
        <v>30</v>
      </c>
      <c r="S80" t="s">
        <v>244</v>
      </c>
      <c r="T80" t="s">
        <v>65</v>
      </c>
      <c r="U80" t="s">
        <v>36</v>
      </c>
      <c r="V80">
        <v>0.01</v>
      </c>
      <c r="W80" t="s">
        <v>171</v>
      </c>
      <c r="X80" t="s">
        <v>93</v>
      </c>
      <c r="Y80" t="s">
        <v>36</v>
      </c>
    </row>
    <row r="81" spans="1:25" x14ac:dyDescent="0.3">
      <c r="A81">
        <v>1660</v>
      </c>
      <c r="B81" t="s">
        <v>245</v>
      </c>
      <c r="C81" t="s">
        <v>246</v>
      </c>
      <c r="D81" t="s">
        <v>247</v>
      </c>
      <c r="E81">
        <v>4</v>
      </c>
      <c r="F81" t="s">
        <v>27</v>
      </c>
      <c r="G81" t="s">
        <v>57</v>
      </c>
      <c r="I81">
        <v>38430</v>
      </c>
      <c r="J81">
        <v>1901</v>
      </c>
      <c r="K81">
        <v>4</v>
      </c>
      <c r="L81">
        <v>38430</v>
      </c>
      <c r="M81">
        <v>1901</v>
      </c>
      <c r="N81" t="s">
        <v>29</v>
      </c>
      <c r="O81" t="s">
        <v>30</v>
      </c>
      <c r="P81" t="s">
        <v>98</v>
      </c>
      <c r="Q81" t="s">
        <v>32</v>
      </c>
      <c r="R81" t="s">
        <v>30</v>
      </c>
      <c r="S81" t="s">
        <v>248</v>
      </c>
      <c r="T81" t="s">
        <v>241</v>
      </c>
      <c r="U81" t="s">
        <v>30</v>
      </c>
      <c r="V81">
        <v>0.01</v>
      </c>
      <c r="W81" t="s">
        <v>249</v>
      </c>
      <c r="X81" t="s">
        <v>250</v>
      </c>
      <c r="Y81" t="s">
        <v>30</v>
      </c>
    </row>
    <row r="82" spans="1:25" x14ac:dyDescent="0.3">
      <c r="A82">
        <v>1690</v>
      </c>
      <c r="B82" t="s">
        <v>245</v>
      </c>
      <c r="C82" t="s">
        <v>247</v>
      </c>
      <c r="D82" t="s">
        <v>25</v>
      </c>
      <c r="E82">
        <v>4</v>
      </c>
      <c r="F82" t="s">
        <v>27</v>
      </c>
      <c r="G82" t="s">
        <v>57</v>
      </c>
      <c r="I82">
        <v>38430</v>
      </c>
      <c r="J82">
        <v>1901</v>
      </c>
      <c r="K82">
        <v>4</v>
      </c>
      <c r="L82">
        <v>38430</v>
      </c>
      <c r="M82">
        <v>1901</v>
      </c>
      <c r="N82" t="s">
        <v>29</v>
      </c>
      <c r="O82" t="s">
        <v>30</v>
      </c>
      <c r="P82" t="s">
        <v>98</v>
      </c>
      <c r="Q82" t="s">
        <v>32</v>
      </c>
      <c r="R82" t="s">
        <v>30</v>
      </c>
      <c r="S82" t="s">
        <v>251</v>
      </c>
      <c r="T82" t="s">
        <v>179</v>
      </c>
      <c r="U82" t="s">
        <v>30</v>
      </c>
      <c r="V82">
        <v>1.2500000000000001E-2</v>
      </c>
      <c r="W82" t="s">
        <v>252</v>
      </c>
      <c r="X82" t="s">
        <v>253</v>
      </c>
      <c r="Y82" t="s">
        <v>30</v>
      </c>
    </row>
    <row r="83" spans="1:25" x14ac:dyDescent="0.3">
      <c r="A83">
        <v>1710</v>
      </c>
      <c r="B83" t="s">
        <v>80</v>
      </c>
      <c r="C83" t="s">
        <v>25</v>
      </c>
      <c r="D83" t="s">
        <v>254</v>
      </c>
      <c r="E83">
        <v>4</v>
      </c>
      <c r="F83" t="s">
        <v>27</v>
      </c>
      <c r="G83" t="s">
        <v>57</v>
      </c>
      <c r="H83">
        <v>1</v>
      </c>
      <c r="I83">
        <v>35820</v>
      </c>
      <c r="J83">
        <v>1800</v>
      </c>
      <c r="K83">
        <v>4</v>
      </c>
      <c r="L83">
        <v>35820</v>
      </c>
      <c r="M83">
        <v>1800</v>
      </c>
      <c r="N83" t="s">
        <v>29</v>
      </c>
      <c r="O83" t="s">
        <v>30</v>
      </c>
      <c r="P83" t="s">
        <v>31</v>
      </c>
      <c r="Q83" t="s">
        <v>32</v>
      </c>
      <c r="R83" t="s">
        <v>33</v>
      </c>
      <c r="S83" t="s">
        <v>255</v>
      </c>
      <c r="T83" t="s">
        <v>256</v>
      </c>
      <c r="U83" t="s">
        <v>30</v>
      </c>
      <c r="V83">
        <v>0.01</v>
      </c>
      <c r="W83" t="s">
        <v>257</v>
      </c>
      <c r="X83" t="s">
        <v>258</v>
      </c>
      <c r="Y83" t="s">
        <v>259</v>
      </c>
    </row>
    <row r="84" spans="1:25" x14ac:dyDescent="0.3">
      <c r="A84">
        <v>1770</v>
      </c>
      <c r="B84" t="s">
        <v>80</v>
      </c>
      <c r="C84" t="s">
        <v>254</v>
      </c>
      <c r="D84" t="s">
        <v>260</v>
      </c>
      <c r="E84">
        <v>4</v>
      </c>
      <c r="F84" t="s">
        <v>27</v>
      </c>
      <c r="G84" t="s">
        <v>57</v>
      </c>
      <c r="H84">
        <v>1</v>
      </c>
      <c r="I84">
        <v>35820</v>
      </c>
      <c r="J84">
        <v>1800</v>
      </c>
      <c r="K84">
        <v>4</v>
      </c>
      <c r="L84">
        <v>35820</v>
      </c>
      <c r="M84">
        <v>1800</v>
      </c>
      <c r="N84" t="s">
        <v>29</v>
      </c>
      <c r="O84" t="s">
        <v>30</v>
      </c>
      <c r="P84" t="s">
        <v>31</v>
      </c>
      <c r="Q84" t="s">
        <v>32</v>
      </c>
      <c r="R84" t="s">
        <v>33</v>
      </c>
      <c r="S84" t="s">
        <v>261</v>
      </c>
      <c r="T84" t="s">
        <v>262</v>
      </c>
      <c r="U84" t="s">
        <v>60</v>
      </c>
      <c r="V84">
        <v>2.0899999999999998E-2</v>
      </c>
      <c r="W84" t="s">
        <v>263</v>
      </c>
      <c r="X84" t="s">
        <v>103</v>
      </c>
      <c r="Y84" t="s">
        <v>60</v>
      </c>
    </row>
    <row r="85" spans="1:25" x14ac:dyDescent="0.3">
      <c r="A85">
        <v>1780</v>
      </c>
      <c r="B85" t="s">
        <v>80</v>
      </c>
      <c r="C85" t="s">
        <v>260</v>
      </c>
      <c r="D85" t="s">
        <v>264</v>
      </c>
      <c r="E85">
        <v>4</v>
      </c>
      <c r="F85" t="s">
        <v>27</v>
      </c>
      <c r="G85" t="s">
        <v>57</v>
      </c>
      <c r="H85">
        <v>1</v>
      </c>
      <c r="I85">
        <v>35820</v>
      </c>
      <c r="J85">
        <v>1800</v>
      </c>
      <c r="K85">
        <v>4</v>
      </c>
      <c r="L85">
        <v>35820</v>
      </c>
      <c r="M85">
        <v>1800</v>
      </c>
      <c r="N85" t="s">
        <v>29</v>
      </c>
      <c r="O85" t="s">
        <v>30</v>
      </c>
      <c r="P85" t="s">
        <v>31</v>
      </c>
      <c r="Q85" t="s">
        <v>32</v>
      </c>
      <c r="R85" t="s">
        <v>33</v>
      </c>
      <c r="S85" t="s">
        <v>265</v>
      </c>
      <c r="T85" t="s">
        <v>76</v>
      </c>
      <c r="U85" t="s">
        <v>60</v>
      </c>
      <c r="V85">
        <v>8.1199999999999994E-2</v>
      </c>
      <c r="W85" t="s">
        <v>266</v>
      </c>
      <c r="X85" t="s">
        <v>235</v>
      </c>
      <c r="Y85" t="s">
        <v>60</v>
      </c>
    </row>
    <row r="86" spans="1:25" x14ac:dyDescent="0.3">
      <c r="A86">
        <v>1790</v>
      </c>
      <c r="B86" t="s">
        <v>80</v>
      </c>
      <c r="C86" t="s">
        <v>264</v>
      </c>
      <c r="D86" t="s">
        <v>91</v>
      </c>
      <c r="E86">
        <v>4</v>
      </c>
      <c r="F86" t="s">
        <v>27</v>
      </c>
      <c r="G86" t="s">
        <v>57</v>
      </c>
      <c r="H86">
        <v>1</v>
      </c>
      <c r="I86">
        <v>35820</v>
      </c>
      <c r="J86">
        <v>1800</v>
      </c>
      <c r="K86">
        <v>4</v>
      </c>
      <c r="L86">
        <v>35820</v>
      </c>
      <c r="M86">
        <v>1800</v>
      </c>
      <c r="N86" t="s">
        <v>29</v>
      </c>
      <c r="O86" t="s">
        <v>30</v>
      </c>
      <c r="P86" t="s">
        <v>31</v>
      </c>
      <c r="Q86" t="s">
        <v>32</v>
      </c>
      <c r="R86" t="s">
        <v>33</v>
      </c>
      <c r="S86" t="s">
        <v>267</v>
      </c>
      <c r="T86" t="s">
        <v>144</v>
      </c>
      <c r="U86" t="s">
        <v>60</v>
      </c>
      <c r="V86">
        <v>1.8599999999999998E-2</v>
      </c>
      <c r="W86" t="s">
        <v>268</v>
      </c>
      <c r="X86" t="s">
        <v>78</v>
      </c>
      <c r="Y86" t="s">
        <v>60</v>
      </c>
    </row>
    <row r="87" spans="1:25" x14ac:dyDescent="0.3">
      <c r="A87">
        <v>1800.2</v>
      </c>
      <c r="B87" t="s">
        <v>80</v>
      </c>
      <c r="C87" t="s">
        <v>91</v>
      </c>
      <c r="D87" t="s">
        <v>68</v>
      </c>
      <c r="E87">
        <v>2</v>
      </c>
      <c r="F87" t="s">
        <v>27</v>
      </c>
      <c r="G87" t="s">
        <v>57</v>
      </c>
      <c r="H87">
        <v>2</v>
      </c>
      <c r="I87">
        <v>11232</v>
      </c>
      <c r="J87">
        <v>576</v>
      </c>
      <c r="K87">
        <v>2</v>
      </c>
      <c r="L87">
        <v>11232</v>
      </c>
      <c r="M87">
        <v>576</v>
      </c>
      <c r="N87" t="s">
        <v>29</v>
      </c>
      <c r="O87" t="s">
        <v>44</v>
      </c>
      <c r="P87" t="s">
        <v>31</v>
      </c>
      <c r="Q87" t="s">
        <v>32</v>
      </c>
      <c r="R87" t="s">
        <v>33</v>
      </c>
      <c r="S87" t="s">
        <v>269</v>
      </c>
      <c r="T87" t="s">
        <v>88</v>
      </c>
      <c r="U87" t="s">
        <v>60</v>
      </c>
      <c r="V87">
        <v>0.01</v>
      </c>
      <c r="W87" t="s">
        <v>197</v>
      </c>
      <c r="X87" t="s">
        <v>144</v>
      </c>
      <c r="Y87" t="s">
        <v>60</v>
      </c>
    </row>
    <row r="88" spans="1:25" x14ac:dyDescent="0.3">
      <c r="A88">
        <v>1810</v>
      </c>
      <c r="B88" t="s">
        <v>270</v>
      </c>
      <c r="C88" t="s">
        <v>26</v>
      </c>
      <c r="D88" t="s">
        <v>271</v>
      </c>
      <c r="E88">
        <v>2</v>
      </c>
      <c r="F88" t="s">
        <v>42</v>
      </c>
      <c r="G88" t="s">
        <v>57</v>
      </c>
      <c r="H88">
        <v>1</v>
      </c>
      <c r="I88">
        <v>15930</v>
      </c>
      <c r="J88">
        <v>792</v>
      </c>
      <c r="K88">
        <v>2</v>
      </c>
      <c r="L88">
        <v>15930</v>
      </c>
      <c r="M88">
        <v>792</v>
      </c>
      <c r="N88" t="s">
        <v>29</v>
      </c>
      <c r="O88" t="s">
        <v>44</v>
      </c>
      <c r="P88" t="s">
        <v>31</v>
      </c>
      <c r="Q88" t="s">
        <v>32</v>
      </c>
      <c r="R88" t="s">
        <v>33</v>
      </c>
      <c r="S88" t="s">
        <v>244</v>
      </c>
      <c r="T88" t="s">
        <v>272</v>
      </c>
      <c r="U88" t="s">
        <v>60</v>
      </c>
      <c r="V88">
        <v>0.01</v>
      </c>
      <c r="W88" t="s">
        <v>171</v>
      </c>
      <c r="X88" t="s">
        <v>181</v>
      </c>
      <c r="Y88" t="s">
        <v>60</v>
      </c>
    </row>
    <row r="89" spans="1:25" x14ac:dyDescent="0.3">
      <c r="A89">
        <v>1830</v>
      </c>
      <c r="B89" t="s">
        <v>270</v>
      </c>
      <c r="C89" t="s">
        <v>271</v>
      </c>
      <c r="D89" t="s">
        <v>245</v>
      </c>
      <c r="E89">
        <v>2</v>
      </c>
      <c r="F89" t="s">
        <v>42</v>
      </c>
      <c r="G89" t="s">
        <v>57</v>
      </c>
      <c r="H89">
        <v>2</v>
      </c>
      <c r="I89">
        <v>14742</v>
      </c>
      <c r="J89">
        <v>756</v>
      </c>
      <c r="K89">
        <v>2</v>
      </c>
      <c r="L89">
        <v>14742</v>
      </c>
      <c r="M89">
        <v>756</v>
      </c>
      <c r="N89" t="s">
        <v>29</v>
      </c>
      <c r="O89" t="s">
        <v>30</v>
      </c>
      <c r="P89" t="s">
        <v>31</v>
      </c>
      <c r="Q89" t="s">
        <v>32</v>
      </c>
      <c r="R89" t="s">
        <v>33</v>
      </c>
      <c r="S89" t="s">
        <v>273</v>
      </c>
      <c r="T89" t="s">
        <v>62</v>
      </c>
      <c r="U89" t="s">
        <v>30</v>
      </c>
      <c r="V89">
        <v>0.01</v>
      </c>
      <c r="W89" t="s">
        <v>274</v>
      </c>
      <c r="X89" t="s">
        <v>275</v>
      </c>
      <c r="Y89" t="s">
        <v>30</v>
      </c>
    </row>
    <row r="90" spans="1:25" x14ac:dyDescent="0.3">
      <c r="A90">
        <v>1840</v>
      </c>
      <c r="B90" t="s">
        <v>276</v>
      </c>
      <c r="C90" t="s">
        <v>41</v>
      </c>
      <c r="D90" t="s">
        <v>48</v>
      </c>
      <c r="E90">
        <v>2</v>
      </c>
      <c r="F90" t="s">
        <v>42</v>
      </c>
      <c r="G90" t="s">
        <v>28</v>
      </c>
      <c r="I90">
        <v>9270</v>
      </c>
      <c r="J90">
        <v>486</v>
      </c>
      <c r="K90">
        <v>2</v>
      </c>
      <c r="L90">
        <v>9270</v>
      </c>
      <c r="M90">
        <v>486</v>
      </c>
      <c r="N90" t="s">
        <v>43</v>
      </c>
      <c r="O90" t="s">
        <v>44</v>
      </c>
      <c r="P90" t="s">
        <v>31</v>
      </c>
      <c r="Q90" t="s">
        <v>32</v>
      </c>
      <c r="R90" t="s">
        <v>36</v>
      </c>
      <c r="S90" t="s">
        <v>66</v>
      </c>
      <c r="T90" t="s">
        <v>67</v>
      </c>
      <c r="U90" t="s">
        <v>36</v>
      </c>
      <c r="V90">
        <v>0.01</v>
      </c>
      <c r="W90" t="s">
        <v>277</v>
      </c>
      <c r="X90" t="s">
        <v>278</v>
      </c>
      <c r="Y90" t="s">
        <v>36</v>
      </c>
    </row>
    <row r="91" spans="1:25" x14ac:dyDescent="0.3">
      <c r="A91">
        <v>1850</v>
      </c>
      <c r="B91" t="s">
        <v>279</v>
      </c>
      <c r="C91" t="s">
        <v>80</v>
      </c>
      <c r="D91" t="s">
        <v>79</v>
      </c>
      <c r="E91">
        <v>2</v>
      </c>
      <c r="F91" t="s">
        <v>42</v>
      </c>
      <c r="G91" t="s">
        <v>28</v>
      </c>
      <c r="I91">
        <v>29340</v>
      </c>
      <c r="J91">
        <v>1449</v>
      </c>
      <c r="K91">
        <v>2</v>
      </c>
      <c r="L91">
        <v>29340</v>
      </c>
      <c r="M91">
        <v>1449</v>
      </c>
      <c r="N91" t="s">
        <v>29</v>
      </c>
      <c r="O91" t="s">
        <v>44</v>
      </c>
      <c r="P91" t="s">
        <v>31</v>
      </c>
      <c r="Q91" t="s">
        <v>32</v>
      </c>
      <c r="R91" t="s">
        <v>33</v>
      </c>
      <c r="S91" t="s">
        <v>200</v>
      </c>
      <c r="T91" t="s">
        <v>38</v>
      </c>
      <c r="U91" t="s">
        <v>36</v>
      </c>
      <c r="V91">
        <v>9.3399999999999997E-2</v>
      </c>
      <c r="W91" t="s">
        <v>280</v>
      </c>
      <c r="X91" t="s">
        <v>113</v>
      </c>
      <c r="Y91" t="s">
        <v>36</v>
      </c>
    </row>
    <row r="92" spans="1:25" x14ac:dyDescent="0.3">
      <c r="A92">
        <v>1860.1</v>
      </c>
      <c r="B92" t="s">
        <v>134</v>
      </c>
      <c r="C92" t="s">
        <v>279</v>
      </c>
      <c r="D92" t="s">
        <v>111</v>
      </c>
      <c r="E92">
        <v>2</v>
      </c>
      <c r="F92" t="s">
        <v>42</v>
      </c>
      <c r="G92" t="s">
        <v>28</v>
      </c>
      <c r="I92">
        <v>29340</v>
      </c>
      <c r="J92">
        <v>1449</v>
      </c>
      <c r="K92">
        <v>2</v>
      </c>
      <c r="L92">
        <v>29340</v>
      </c>
      <c r="M92">
        <v>1449</v>
      </c>
      <c r="N92" t="s">
        <v>29</v>
      </c>
      <c r="O92" t="s">
        <v>44</v>
      </c>
      <c r="P92" t="s">
        <v>31</v>
      </c>
      <c r="Q92" t="s">
        <v>32</v>
      </c>
      <c r="R92" t="s">
        <v>33</v>
      </c>
      <c r="S92" t="s">
        <v>107</v>
      </c>
      <c r="T92" t="s">
        <v>35</v>
      </c>
      <c r="U92" t="s">
        <v>36</v>
      </c>
      <c r="V92">
        <v>3.4000000000000002E-2</v>
      </c>
      <c r="W92" t="s">
        <v>84</v>
      </c>
      <c r="X92" t="s">
        <v>85</v>
      </c>
      <c r="Y92" t="s">
        <v>36</v>
      </c>
    </row>
    <row r="93" spans="1:25" x14ac:dyDescent="0.3">
      <c r="A93">
        <v>1860.4</v>
      </c>
      <c r="B93" t="s">
        <v>134</v>
      </c>
      <c r="C93" t="s">
        <v>111</v>
      </c>
      <c r="D93" t="s">
        <v>129</v>
      </c>
      <c r="E93">
        <v>2</v>
      </c>
      <c r="F93" t="s">
        <v>42</v>
      </c>
      <c r="G93" t="s">
        <v>28</v>
      </c>
      <c r="I93">
        <v>19170</v>
      </c>
      <c r="J93">
        <v>999</v>
      </c>
      <c r="K93">
        <v>2</v>
      </c>
      <c r="L93">
        <v>19170</v>
      </c>
      <c r="M93">
        <v>999</v>
      </c>
      <c r="N93" t="s">
        <v>43</v>
      </c>
      <c r="O93" t="s">
        <v>44</v>
      </c>
      <c r="P93" t="s">
        <v>31</v>
      </c>
      <c r="Q93" t="s">
        <v>32</v>
      </c>
      <c r="R93" t="s">
        <v>30</v>
      </c>
      <c r="S93" t="s">
        <v>107</v>
      </c>
      <c r="T93" t="s">
        <v>78</v>
      </c>
      <c r="U93" t="s">
        <v>36</v>
      </c>
      <c r="V93">
        <v>3.4000000000000002E-2</v>
      </c>
      <c r="W93" t="s">
        <v>84</v>
      </c>
      <c r="X93" t="s">
        <v>65</v>
      </c>
      <c r="Y93" t="s">
        <v>36</v>
      </c>
    </row>
    <row r="94" spans="1:25" x14ac:dyDescent="0.3">
      <c r="A94">
        <v>1870.1</v>
      </c>
      <c r="B94" t="s">
        <v>224</v>
      </c>
      <c r="C94" t="s">
        <v>41</v>
      </c>
      <c r="D94" t="s">
        <v>281</v>
      </c>
      <c r="E94">
        <v>2</v>
      </c>
      <c r="F94" t="s">
        <v>42</v>
      </c>
      <c r="G94" t="s">
        <v>28</v>
      </c>
      <c r="I94">
        <v>14130</v>
      </c>
      <c r="J94">
        <v>738</v>
      </c>
      <c r="K94">
        <v>2</v>
      </c>
      <c r="L94">
        <v>14130</v>
      </c>
      <c r="M94">
        <v>738</v>
      </c>
      <c r="N94" t="s">
        <v>43</v>
      </c>
      <c r="O94" t="s">
        <v>44</v>
      </c>
      <c r="P94" t="s">
        <v>31</v>
      </c>
      <c r="Q94" t="s">
        <v>32</v>
      </c>
      <c r="R94" t="s">
        <v>60</v>
      </c>
      <c r="S94" t="s">
        <v>267</v>
      </c>
      <c r="T94" t="s">
        <v>232</v>
      </c>
      <c r="U94" t="s">
        <v>60</v>
      </c>
      <c r="V94">
        <v>3.7100000000000001E-2</v>
      </c>
      <c r="W94" t="s">
        <v>282</v>
      </c>
      <c r="X94" t="s">
        <v>283</v>
      </c>
      <c r="Y94" t="s">
        <v>60</v>
      </c>
    </row>
    <row r="95" spans="1:25" x14ac:dyDescent="0.3">
      <c r="A95">
        <v>1870.3</v>
      </c>
      <c r="B95" t="s">
        <v>224</v>
      </c>
      <c r="C95" t="s">
        <v>281</v>
      </c>
      <c r="D95" t="s">
        <v>111</v>
      </c>
      <c r="E95">
        <v>2</v>
      </c>
      <c r="F95" t="s">
        <v>42</v>
      </c>
      <c r="G95" t="s">
        <v>28</v>
      </c>
      <c r="I95">
        <v>14130</v>
      </c>
      <c r="J95">
        <v>738</v>
      </c>
      <c r="K95">
        <v>2</v>
      </c>
      <c r="L95">
        <v>14130</v>
      </c>
      <c r="M95">
        <v>738</v>
      </c>
      <c r="N95" t="s">
        <v>43</v>
      </c>
      <c r="O95" t="s">
        <v>44</v>
      </c>
      <c r="P95" t="s">
        <v>31</v>
      </c>
      <c r="Q95" t="s">
        <v>32</v>
      </c>
      <c r="R95" t="s">
        <v>60</v>
      </c>
      <c r="S95" t="s">
        <v>82</v>
      </c>
      <c r="T95" t="s">
        <v>114</v>
      </c>
      <c r="U95" t="s">
        <v>36</v>
      </c>
      <c r="V95">
        <v>2.9600000000000001E-2</v>
      </c>
      <c r="W95" t="s">
        <v>87</v>
      </c>
      <c r="X95" t="s">
        <v>284</v>
      </c>
      <c r="Y95" t="s">
        <v>36</v>
      </c>
    </row>
    <row r="96" spans="1:25" x14ac:dyDescent="0.3">
      <c r="A96">
        <v>1870.4</v>
      </c>
      <c r="B96" t="s">
        <v>224</v>
      </c>
      <c r="C96" t="s">
        <v>111</v>
      </c>
      <c r="D96" t="s">
        <v>285</v>
      </c>
      <c r="E96">
        <v>2</v>
      </c>
      <c r="F96" t="s">
        <v>42</v>
      </c>
      <c r="G96" t="s">
        <v>28</v>
      </c>
      <c r="I96">
        <v>16200</v>
      </c>
      <c r="J96">
        <v>801</v>
      </c>
      <c r="K96">
        <v>2</v>
      </c>
      <c r="L96">
        <v>16200</v>
      </c>
      <c r="M96">
        <v>801</v>
      </c>
      <c r="N96" t="s">
        <v>29</v>
      </c>
      <c r="O96" t="s">
        <v>44</v>
      </c>
      <c r="P96" t="s">
        <v>31</v>
      </c>
      <c r="Q96" t="s">
        <v>32</v>
      </c>
      <c r="R96" t="s">
        <v>60</v>
      </c>
      <c r="S96" t="s">
        <v>82</v>
      </c>
      <c r="T96" t="s">
        <v>278</v>
      </c>
      <c r="U96" t="s">
        <v>36</v>
      </c>
      <c r="V96">
        <v>2.9600000000000001E-2</v>
      </c>
      <c r="W96" t="s">
        <v>87</v>
      </c>
      <c r="X96" t="s">
        <v>114</v>
      </c>
      <c r="Y96" t="s">
        <v>36</v>
      </c>
    </row>
    <row r="97" spans="1:25" x14ac:dyDescent="0.3">
      <c r="A97">
        <v>1880.1</v>
      </c>
      <c r="B97" t="s">
        <v>224</v>
      </c>
      <c r="C97" t="s">
        <v>285</v>
      </c>
      <c r="D97" t="s">
        <v>111</v>
      </c>
      <c r="E97">
        <v>2</v>
      </c>
      <c r="F97" t="s">
        <v>27</v>
      </c>
      <c r="G97" t="s">
        <v>28</v>
      </c>
      <c r="I97">
        <v>16200</v>
      </c>
      <c r="J97">
        <v>801</v>
      </c>
      <c r="K97">
        <v>2</v>
      </c>
      <c r="L97">
        <v>16200</v>
      </c>
      <c r="M97">
        <v>801</v>
      </c>
      <c r="N97" t="s">
        <v>29</v>
      </c>
      <c r="O97" t="s">
        <v>44</v>
      </c>
      <c r="P97" t="s">
        <v>31</v>
      </c>
      <c r="Q97" t="s">
        <v>32</v>
      </c>
      <c r="R97" t="s">
        <v>60</v>
      </c>
      <c r="S97" t="s">
        <v>176</v>
      </c>
      <c r="T97" t="s">
        <v>278</v>
      </c>
      <c r="U97" t="s">
        <v>36</v>
      </c>
      <c r="V97">
        <v>4.1300000000000003E-2</v>
      </c>
      <c r="W97" t="s">
        <v>286</v>
      </c>
      <c r="X97" t="s">
        <v>214</v>
      </c>
      <c r="Y97" t="s">
        <v>36</v>
      </c>
    </row>
    <row r="98" spans="1:25" x14ac:dyDescent="0.3">
      <c r="A98">
        <v>1880.2</v>
      </c>
      <c r="B98" t="s">
        <v>224</v>
      </c>
      <c r="C98" t="s">
        <v>111</v>
      </c>
      <c r="D98" t="s">
        <v>287</v>
      </c>
      <c r="E98">
        <v>2</v>
      </c>
      <c r="F98" t="s">
        <v>27</v>
      </c>
      <c r="G98" t="s">
        <v>28</v>
      </c>
      <c r="I98">
        <v>14130</v>
      </c>
      <c r="J98">
        <v>738</v>
      </c>
      <c r="K98">
        <v>2</v>
      </c>
      <c r="L98">
        <v>14130</v>
      </c>
      <c r="M98">
        <v>738</v>
      </c>
      <c r="N98" t="s">
        <v>43</v>
      </c>
      <c r="O98" t="s">
        <v>44</v>
      </c>
      <c r="P98" t="s">
        <v>31</v>
      </c>
      <c r="Q98" t="s">
        <v>32</v>
      </c>
      <c r="R98" t="s">
        <v>60</v>
      </c>
      <c r="S98" t="s">
        <v>176</v>
      </c>
      <c r="T98" t="s">
        <v>262</v>
      </c>
      <c r="U98" t="s">
        <v>36</v>
      </c>
      <c r="V98">
        <v>4.1300000000000003E-2</v>
      </c>
      <c r="W98" t="s">
        <v>286</v>
      </c>
      <c r="X98" t="s">
        <v>288</v>
      </c>
      <c r="Y98" t="s">
        <v>36</v>
      </c>
    </row>
    <row r="99" spans="1:25" x14ac:dyDescent="0.3">
      <c r="A99">
        <v>1890.1</v>
      </c>
      <c r="B99" t="s">
        <v>224</v>
      </c>
      <c r="C99" t="s">
        <v>287</v>
      </c>
      <c r="D99" t="s">
        <v>111</v>
      </c>
      <c r="E99">
        <v>2</v>
      </c>
      <c r="F99" t="s">
        <v>27</v>
      </c>
      <c r="G99" t="s">
        <v>28</v>
      </c>
      <c r="I99">
        <v>14130</v>
      </c>
      <c r="J99">
        <v>738</v>
      </c>
      <c r="K99">
        <v>2</v>
      </c>
      <c r="L99">
        <v>14130</v>
      </c>
      <c r="M99">
        <v>738</v>
      </c>
      <c r="N99" t="s">
        <v>43</v>
      </c>
      <c r="O99" t="s">
        <v>44</v>
      </c>
      <c r="P99" t="s">
        <v>31</v>
      </c>
      <c r="Q99" t="s">
        <v>32</v>
      </c>
      <c r="R99" t="s">
        <v>60</v>
      </c>
      <c r="S99" t="s">
        <v>177</v>
      </c>
      <c r="T99" t="s">
        <v>289</v>
      </c>
      <c r="U99" t="s">
        <v>36</v>
      </c>
      <c r="V99">
        <v>5.2600000000000001E-2</v>
      </c>
      <c r="W99" t="s">
        <v>290</v>
      </c>
      <c r="X99" t="s">
        <v>193</v>
      </c>
      <c r="Y99" t="s">
        <v>60</v>
      </c>
    </row>
    <row r="100" spans="1:25" x14ac:dyDescent="0.3">
      <c r="A100">
        <v>1890.2</v>
      </c>
      <c r="B100" t="s">
        <v>224</v>
      </c>
      <c r="C100" t="s">
        <v>111</v>
      </c>
      <c r="D100" t="s">
        <v>291</v>
      </c>
      <c r="E100">
        <v>2</v>
      </c>
      <c r="F100" t="s">
        <v>27</v>
      </c>
      <c r="G100" t="s">
        <v>28</v>
      </c>
      <c r="I100">
        <v>16200</v>
      </c>
      <c r="J100">
        <v>801</v>
      </c>
      <c r="K100">
        <v>2</v>
      </c>
      <c r="L100">
        <v>16200</v>
      </c>
      <c r="M100">
        <v>801</v>
      </c>
      <c r="N100" t="s">
        <v>29</v>
      </c>
      <c r="O100" t="s">
        <v>44</v>
      </c>
      <c r="P100" t="s">
        <v>31</v>
      </c>
      <c r="Q100" t="s">
        <v>32</v>
      </c>
      <c r="R100" t="s">
        <v>60</v>
      </c>
      <c r="S100" t="s">
        <v>177</v>
      </c>
      <c r="T100" t="s">
        <v>288</v>
      </c>
      <c r="U100" t="s">
        <v>36</v>
      </c>
      <c r="V100">
        <v>5.2600000000000001E-2</v>
      </c>
      <c r="W100" t="s">
        <v>290</v>
      </c>
      <c r="X100" t="s">
        <v>292</v>
      </c>
      <c r="Y100" t="s">
        <v>60</v>
      </c>
    </row>
    <row r="101" spans="1:25" x14ac:dyDescent="0.3">
      <c r="A101">
        <v>1900</v>
      </c>
      <c r="B101" t="s">
        <v>224</v>
      </c>
      <c r="C101" t="s">
        <v>291</v>
      </c>
      <c r="D101" t="s">
        <v>293</v>
      </c>
      <c r="E101">
        <v>2</v>
      </c>
      <c r="F101" t="s">
        <v>27</v>
      </c>
      <c r="G101" t="s">
        <v>57</v>
      </c>
      <c r="H101">
        <v>1</v>
      </c>
      <c r="I101">
        <v>12096</v>
      </c>
      <c r="J101">
        <v>598</v>
      </c>
      <c r="K101">
        <v>2</v>
      </c>
      <c r="L101">
        <v>12096</v>
      </c>
      <c r="M101">
        <v>598</v>
      </c>
      <c r="N101" t="s">
        <v>29</v>
      </c>
      <c r="O101" t="s">
        <v>44</v>
      </c>
      <c r="P101" t="s">
        <v>31</v>
      </c>
      <c r="Q101" t="s">
        <v>32</v>
      </c>
      <c r="R101" t="s">
        <v>60</v>
      </c>
      <c r="S101" t="s">
        <v>77</v>
      </c>
      <c r="T101" t="s">
        <v>294</v>
      </c>
      <c r="U101" t="s">
        <v>60</v>
      </c>
      <c r="V101">
        <v>3.3500000000000002E-2</v>
      </c>
      <c r="W101" t="s">
        <v>208</v>
      </c>
      <c r="X101" t="s">
        <v>283</v>
      </c>
      <c r="Y101" t="s">
        <v>60</v>
      </c>
    </row>
    <row r="102" spans="1:25" x14ac:dyDescent="0.3">
      <c r="A102">
        <v>1910.1</v>
      </c>
      <c r="B102" t="s">
        <v>224</v>
      </c>
      <c r="C102" t="s">
        <v>293</v>
      </c>
      <c r="D102" t="s">
        <v>295</v>
      </c>
      <c r="E102">
        <v>2</v>
      </c>
      <c r="F102" t="s">
        <v>27</v>
      </c>
      <c r="G102" t="s">
        <v>57</v>
      </c>
      <c r="H102">
        <v>1</v>
      </c>
      <c r="I102">
        <v>12096</v>
      </c>
      <c r="J102">
        <v>598</v>
      </c>
      <c r="K102">
        <v>2</v>
      </c>
      <c r="L102">
        <v>12096</v>
      </c>
      <c r="M102">
        <v>598</v>
      </c>
      <c r="N102" t="s">
        <v>29</v>
      </c>
      <c r="O102" t="s">
        <v>44</v>
      </c>
      <c r="P102" t="s">
        <v>31</v>
      </c>
      <c r="Q102" t="s">
        <v>32</v>
      </c>
      <c r="R102" t="s">
        <v>60</v>
      </c>
      <c r="S102" t="s">
        <v>208</v>
      </c>
      <c r="T102" t="s">
        <v>283</v>
      </c>
      <c r="U102" t="s">
        <v>60</v>
      </c>
      <c r="V102">
        <v>3.9E-2</v>
      </c>
      <c r="W102" t="s">
        <v>296</v>
      </c>
      <c r="X102" t="s">
        <v>256</v>
      </c>
      <c r="Y102" t="s">
        <v>60</v>
      </c>
    </row>
    <row r="103" spans="1:25" x14ac:dyDescent="0.3">
      <c r="A103">
        <v>1910.3</v>
      </c>
      <c r="B103" t="s">
        <v>224</v>
      </c>
      <c r="C103" t="s">
        <v>295</v>
      </c>
      <c r="D103" t="s">
        <v>271</v>
      </c>
      <c r="E103">
        <v>2</v>
      </c>
      <c r="F103" t="s">
        <v>27</v>
      </c>
      <c r="G103" t="s">
        <v>28</v>
      </c>
      <c r="I103">
        <v>16200</v>
      </c>
      <c r="J103">
        <v>801</v>
      </c>
      <c r="K103">
        <v>2</v>
      </c>
      <c r="L103">
        <v>16200</v>
      </c>
      <c r="M103">
        <v>801</v>
      </c>
      <c r="N103" t="s">
        <v>29</v>
      </c>
      <c r="O103" t="s">
        <v>44</v>
      </c>
      <c r="P103" t="s">
        <v>31</v>
      </c>
      <c r="Q103" t="s">
        <v>32</v>
      </c>
      <c r="R103" t="s">
        <v>60</v>
      </c>
      <c r="S103" t="s">
        <v>208</v>
      </c>
      <c r="T103" t="s">
        <v>201</v>
      </c>
      <c r="U103" t="s">
        <v>36</v>
      </c>
      <c r="V103">
        <v>3.9E-2</v>
      </c>
      <c r="W103" t="s">
        <v>296</v>
      </c>
      <c r="X103" t="s">
        <v>62</v>
      </c>
      <c r="Y103" t="s">
        <v>60</v>
      </c>
    </row>
    <row r="104" spans="1:25" x14ac:dyDescent="0.3">
      <c r="A104">
        <v>1910.5</v>
      </c>
      <c r="B104" t="s">
        <v>224</v>
      </c>
      <c r="C104" t="s">
        <v>271</v>
      </c>
      <c r="D104" t="s">
        <v>297</v>
      </c>
      <c r="E104">
        <v>2</v>
      </c>
      <c r="F104" t="s">
        <v>27</v>
      </c>
      <c r="G104" t="s">
        <v>28</v>
      </c>
      <c r="I104">
        <v>29340</v>
      </c>
      <c r="J104">
        <v>1449</v>
      </c>
      <c r="K104">
        <v>2</v>
      </c>
      <c r="L104">
        <v>29340</v>
      </c>
      <c r="M104">
        <v>1449</v>
      </c>
      <c r="N104" t="s">
        <v>29</v>
      </c>
      <c r="O104" t="s">
        <v>44</v>
      </c>
      <c r="P104" t="s">
        <v>31</v>
      </c>
      <c r="Q104" t="s">
        <v>32</v>
      </c>
      <c r="R104" t="s">
        <v>33</v>
      </c>
      <c r="S104" t="s">
        <v>45</v>
      </c>
      <c r="T104" t="s">
        <v>46</v>
      </c>
      <c r="U104" t="s">
        <v>46</v>
      </c>
      <c r="V104">
        <v>0.01</v>
      </c>
      <c r="W104" t="s">
        <v>45</v>
      </c>
      <c r="X104" t="s">
        <v>46</v>
      </c>
      <c r="Y104" t="s">
        <v>46</v>
      </c>
    </row>
    <row r="105" spans="1:25" x14ac:dyDescent="0.3">
      <c r="A105">
        <v>1910.6</v>
      </c>
      <c r="B105" t="s">
        <v>224</v>
      </c>
      <c r="C105" t="s">
        <v>297</v>
      </c>
      <c r="D105" t="s">
        <v>26</v>
      </c>
      <c r="E105">
        <v>2</v>
      </c>
      <c r="F105" t="s">
        <v>27</v>
      </c>
      <c r="G105" t="s">
        <v>57</v>
      </c>
      <c r="H105">
        <v>2</v>
      </c>
      <c r="I105">
        <v>11232</v>
      </c>
      <c r="J105">
        <v>576</v>
      </c>
      <c r="K105">
        <v>2</v>
      </c>
      <c r="L105">
        <v>11232</v>
      </c>
      <c r="M105">
        <v>576</v>
      </c>
      <c r="N105" t="s">
        <v>29</v>
      </c>
      <c r="O105" t="s">
        <v>44</v>
      </c>
      <c r="P105" t="s">
        <v>31</v>
      </c>
      <c r="Q105" t="s">
        <v>32</v>
      </c>
      <c r="R105" t="s">
        <v>33</v>
      </c>
      <c r="S105" t="s">
        <v>45</v>
      </c>
      <c r="T105" t="s">
        <v>46</v>
      </c>
      <c r="U105" t="s">
        <v>46</v>
      </c>
      <c r="V105">
        <v>0.01</v>
      </c>
      <c r="W105" t="s">
        <v>45</v>
      </c>
      <c r="X105" t="s">
        <v>46</v>
      </c>
      <c r="Y105" t="s">
        <v>46</v>
      </c>
    </row>
    <row r="106" spans="1:25" x14ac:dyDescent="0.3">
      <c r="A106">
        <v>1920</v>
      </c>
      <c r="B106" t="s">
        <v>298</v>
      </c>
      <c r="C106" t="s">
        <v>26</v>
      </c>
      <c r="D106" t="s">
        <v>299</v>
      </c>
      <c r="E106">
        <v>2</v>
      </c>
      <c r="F106" t="s">
        <v>300</v>
      </c>
      <c r="G106" t="s">
        <v>57</v>
      </c>
      <c r="H106">
        <v>2</v>
      </c>
      <c r="I106">
        <v>11794</v>
      </c>
      <c r="J106">
        <v>605</v>
      </c>
      <c r="K106">
        <v>2</v>
      </c>
      <c r="L106">
        <v>11794</v>
      </c>
      <c r="M106">
        <v>605</v>
      </c>
      <c r="N106" t="s">
        <v>29</v>
      </c>
      <c r="O106" t="s">
        <v>44</v>
      </c>
      <c r="P106" t="s">
        <v>31</v>
      </c>
      <c r="Q106" t="s">
        <v>32</v>
      </c>
      <c r="R106" t="s">
        <v>33</v>
      </c>
      <c r="S106" t="s">
        <v>45</v>
      </c>
      <c r="T106" t="s">
        <v>46</v>
      </c>
      <c r="U106" t="s">
        <v>46</v>
      </c>
      <c r="V106">
        <v>0.01</v>
      </c>
      <c r="W106" t="s">
        <v>45</v>
      </c>
      <c r="X106" t="s">
        <v>46</v>
      </c>
      <c r="Y106" t="s">
        <v>46</v>
      </c>
    </row>
    <row r="107" spans="1:25" x14ac:dyDescent="0.3">
      <c r="A107">
        <v>1930.1</v>
      </c>
      <c r="B107" t="s">
        <v>281</v>
      </c>
      <c r="C107" t="s">
        <v>301</v>
      </c>
      <c r="D107" t="s">
        <v>285</v>
      </c>
      <c r="E107">
        <v>2</v>
      </c>
      <c r="F107" t="s">
        <v>27</v>
      </c>
      <c r="G107" t="s">
        <v>57</v>
      </c>
      <c r="H107">
        <v>1</v>
      </c>
      <c r="I107">
        <v>12744</v>
      </c>
      <c r="J107">
        <v>634</v>
      </c>
      <c r="K107">
        <v>2</v>
      </c>
      <c r="L107">
        <v>12744</v>
      </c>
      <c r="M107">
        <v>634</v>
      </c>
      <c r="N107" t="s">
        <v>29</v>
      </c>
      <c r="O107" t="s">
        <v>44</v>
      </c>
      <c r="P107" t="s">
        <v>31</v>
      </c>
      <c r="Q107" t="s">
        <v>32</v>
      </c>
      <c r="R107" t="s">
        <v>33</v>
      </c>
      <c r="S107" t="s">
        <v>302</v>
      </c>
      <c r="T107" t="s">
        <v>139</v>
      </c>
      <c r="U107" t="s">
        <v>60</v>
      </c>
      <c r="V107">
        <v>2.75E-2</v>
      </c>
      <c r="W107" t="s">
        <v>303</v>
      </c>
      <c r="X107" t="s">
        <v>232</v>
      </c>
      <c r="Y107" t="s">
        <v>60</v>
      </c>
    </row>
    <row r="108" spans="1:25" x14ac:dyDescent="0.3">
      <c r="A108">
        <v>1940.1</v>
      </c>
      <c r="B108" t="s">
        <v>281</v>
      </c>
      <c r="C108" t="s">
        <v>285</v>
      </c>
      <c r="D108" t="s">
        <v>111</v>
      </c>
      <c r="E108">
        <v>2</v>
      </c>
      <c r="F108" t="s">
        <v>27</v>
      </c>
      <c r="G108" t="s">
        <v>28</v>
      </c>
      <c r="I108">
        <v>29340</v>
      </c>
      <c r="J108">
        <v>1449</v>
      </c>
      <c r="K108">
        <v>2</v>
      </c>
      <c r="L108">
        <v>29340</v>
      </c>
      <c r="M108">
        <v>1449</v>
      </c>
      <c r="N108" t="s">
        <v>29</v>
      </c>
      <c r="O108" t="s">
        <v>44</v>
      </c>
      <c r="P108" t="s">
        <v>31</v>
      </c>
      <c r="Q108" t="s">
        <v>32</v>
      </c>
      <c r="R108" t="s">
        <v>33</v>
      </c>
      <c r="S108" t="s">
        <v>109</v>
      </c>
      <c r="T108" t="s">
        <v>150</v>
      </c>
      <c r="U108" t="s">
        <v>36</v>
      </c>
      <c r="V108">
        <v>0.01</v>
      </c>
      <c r="W108" t="s">
        <v>82</v>
      </c>
      <c r="X108" t="s">
        <v>83</v>
      </c>
      <c r="Y108" t="s">
        <v>36</v>
      </c>
    </row>
    <row r="109" spans="1:25" x14ac:dyDescent="0.3">
      <c r="A109">
        <v>1940.2</v>
      </c>
      <c r="B109" t="s">
        <v>281</v>
      </c>
      <c r="C109" t="s">
        <v>111</v>
      </c>
      <c r="D109" t="s">
        <v>224</v>
      </c>
      <c r="E109">
        <v>2</v>
      </c>
      <c r="F109" t="s">
        <v>42</v>
      </c>
      <c r="G109" t="s">
        <v>28</v>
      </c>
      <c r="I109">
        <v>14130</v>
      </c>
      <c r="J109">
        <v>738</v>
      </c>
      <c r="K109">
        <v>2</v>
      </c>
      <c r="L109">
        <v>14130</v>
      </c>
      <c r="M109">
        <v>738</v>
      </c>
      <c r="N109" t="s">
        <v>43</v>
      </c>
      <c r="O109" t="s">
        <v>44</v>
      </c>
      <c r="P109" t="s">
        <v>31</v>
      </c>
      <c r="Q109" t="s">
        <v>32</v>
      </c>
      <c r="R109" t="s">
        <v>60</v>
      </c>
      <c r="S109" t="s">
        <v>109</v>
      </c>
      <c r="T109" t="s">
        <v>181</v>
      </c>
      <c r="U109" t="s">
        <v>36</v>
      </c>
      <c r="V109">
        <v>0.01</v>
      </c>
      <c r="W109" t="s">
        <v>82</v>
      </c>
      <c r="X109" t="s">
        <v>114</v>
      </c>
      <c r="Y109" t="s">
        <v>36</v>
      </c>
    </row>
    <row r="110" spans="1:25" x14ac:dyDescent="0.3">
      <c r="A110">
        <v>1950</v>
      </c>
      <c r="B110" t="s">
        <v>281</v>
      </c>
      <c r="C110" t="s">
        <v>224</v>
      </c>
      <c r="D110" t="s">
        <v>246</v>
      </c>
      <c r="E110">
        <v>2</v>
      </c>
      <c r="F110" t="s">
        <v>42</v>
      </c>
      <c r="G110" t="s">
        <v>57</v>
      </c>
      <c r="I110">
        <v>9288</v>
      </c>
      <c r="J110">
        <v>482</v>
      </c>
      <c r="K110">
        <v>2</v>
      </c>
      <c r="L110">
        <v>9288</v>
      </c>
      <c r="M110">
        <v>482</v>
      </c>
      <c r="N110" t="s">
        <v>43</v>
      </c>
      <c r="O110" t="s">
        <v>44</v>
      </c>
      <c r="P110" t="s">
        <v>31</v>
      </c>
      <c r="Q110" t="s">
        <v>32</v>
      </c>
      <c r="R110" t="s">
        <v>60</v>
      </c>
      <c r="S110" t="s">
        <v>125</v>
      </c>
      <c r="T110" t="s">
        <v>85</v>
      </c>
      <c r="U110" t="s">
        <v>60</v>
      </c>
      <c r="V110">
        <v>0.01</v>
      </c>
      <c r="W110" t="s">
        <v>121</v>
      </c>
      <c r="X110" t="s">
        <v>117</v>
      </c>
      <c r="Y110" t="s">
        <v>60</v>
      </c>
    </row>
    <row r="111" spans="1:25" x14ac:dyDescent="0.3">
      <c r="A111">
        <v>1960</v>
      </c>
      <c r="B111" t="s">
        <v>281</v>
      </c>
      <c r="C111" t="s">
        <v>246</v>
      </c>
      <c r="D111" t="s">
        <v>304</v>
      </c>
      <c r="E111">
        <v>2</v>
      </c>
      <c r="F111" t="s">
        <v>42</v>
      </c>
      <c r="G111" t="s">
        <v>57</v>
      </c>
      <c r="H111">
        <v>1</v>
      </c>
      <c r="I111">
        <v>12744</v>
      </c>
      <c r="J111">
        <v>634</v>
      </c>
      <c r="K111">
        <v>2</v>
      </c>
      <c r="L111">
        <v>12744</v>
      </c>
      <c r="M111">
        <v>634</v>
      </c>
      <c r="N111" t="s">
        <v>29</v>
      </c>
      <c r="O111" t="s">
        <v>44</v>
      </c>
      <c r="P111" t="s">
        <v>31</v>
      </c>
      <c r="Q111" t="s">
        <v>32</v>
      </c>
      <c r="R111" t="s">
        <v>33</v>
      </c>
      <c r="S111" t="s">
        <v>125</v>
      </c>
      <c r="T111" t="s">
        <v>51</v>
      </c>
      <c r="U111" t="s">
        <v>60</v>
      </c>
      <c r="V111">
        <v>0.01</v>
      </c>
      <c r="W111" t="s">
        <v>121</v>
      </c>
      <c r="X111" t="s">
        <v>51</v>
      </c>
      <c r="Y111" t="s">
        <v>60</v>
      </c>
    </row>
    <row r="112" spans="1:25" x14ac:dyDescent="0.3">
      <c r="A112">
        <v>1970</v>
      </c>
      <c r="B112" t="s">
        <v>281</v>
      </c>
      <c r="C112" t="s">
        <v>304</v>
      </c>
      <c r="D112" t="s">
        <v>183</v>
      </c>
      <c r="E112">
        <v>2</v>
      </c>
      <c r="F112" t="s">
        <v>42</v>
      </c>
      <c r="G112" t="s">
        <v>57</v>
      </c>
      <c r="H112">
        <v>1</v>
      </c>
      <c r="I112">
        <v>12744</v>
      </c>
      <c r="J112">
        <v>634</v>
      </c>
      <c r="K112">
        <v>2</v>
      </c>
      <c r="L112">
        <v>12744</v>
      </c>
      <c r="M112">
        <v>634</v>
      </c>
      <c r="N112" t="s">
        <v>29</v>
      </c>
      <c r="O112" t="s">
        <v>44</v>
      </c>
      <c r="P112" t="s">
        <v>31</v>
      </c>
      <c r="Q112" t="s">
        <v>32</v>
      </c>
      <c r="R112" t="s">
        <v>33</v>
      </c>
      <c r="S112" t="s">
        <v>121</v>
      </c>
      <c r="T112" t="s">
        <v>51</v>
      </c>
      <c r="U112" t="s">
        <v>60</v>
      </c>
      <c r="V112">
        <v>0.01</v>
      </c>
      <c r="W112" t="s">
        <v>123</v>
      </c>
      <c r="X112" t="s">
        <v>130</v>
      </c>
      <c r="Y112" t="s">
        <v>60</v>
      </c>
    </row>
    <row r="113" spans="1:25" x14ac:dyDescent="0.3">
      <c r="A113">
        <v>1980</v>
      </c>
      <c r="B113" t="s">
        <v>301</v>
      </c>
      <c r="C113" t="s">
        <v>281</v>
      </c>
      <c r="D113" t="s">
        <v>224</v>
      </c>
      <c r="E113">
        <v>2</v>
      </c>
      <c r="F113" t="s">
        <v>42</v>
      </c>
      <c r="G113" t="s">
        <v>28</v>
      </c>
      <c r="I113">
        <v>14130</v>
      </c>
      <c r="J113">
        <v>738</v>
      </c>
      <c r="K113">
        <v>2</v>
      </c>
      <c r="L113">
        <v>14130</v>
      </c>
      <c r="M113">
        <v>738</v>
      </c>
      <c r="N113" t="s">
        <v>43</v>
      </c>
      <c r="O113" t="s">
        <v>44</v>
      </c>
      <c r="P113" t="s">
        <v>31</v>
      </c>
      <c r="Q113" t="s">
        <v>32</v>
      </c>
      <c r="R113" t="s">
        <v>60</v>
      </c>
      <c r="S113" t="s">
        <v>199</v>
      </c>
      <c r="T113" t="s">
        <v>278</v>
      </c>
      <c r="U113" t="s">
        <v>36</v>
      </c>
      <c r="V113">
        <v>7.5800000000000006E-2</v>
      </c>
      <c r="W113" t="s">
        <v>286</v>
      </c>
      <c r="X113" t="s">
        <v>288</v>
      </c>
      <c r="Y113" t="s">
        <v>36</v>
      </c>
    </row>
    <row r="114" spans="1:25" x14ac:dyDescent="0.3">
      <c r="A114">
        <v>1990.3</v>
      </c>
      <c r="B114" t="s">
        <v>285</v>
      </c>
      <c r="C114" t="s">
        <v>305</v>
      </c>
      <c r="D114" t="s">
        <v>306</v>
      </c>
      <c r="E114">
        <v>2</v>
      </c>
      <c r="F114" t="s">
        <v>27</v>
      </c>
      <c r="G114" t="s">
        <v>28</v>
      </c>
      <c r="I114">
        <v>29340</v>
      </c>
      <c r="J114">
        <v>1449</v>
      </c>
      <c r="K114">
        <v>2</v>
      </c>
      <c r="L114">
        <v>29340</v>
      </c>
      <c r="M114">
        <v>1449</v>
      </c>
      <c r="N114" t="s">
        <v>29</v>
      </c>
      <c r="O114" t="s">
        <v>44</v>
      </c>
      <c r="P114" t="s">
        <v>31</v>
      </c>
      <c r="Q114" t="s">
        <v>32</v>
      </c>
      <c r="R114" t="s">
        <v>33</v>
      </c>
      <c r="S114" t="s">
        <v>89</v>
      </c>
      <c r="T114" t="s">
        <v>90</v>
      </c>
      <c r="U114" t="s">
        <v>36</v>
      </c>
      <c r="V114">
        <v>1.0999999999999999E-2</v>
      </c>
      <c r="W114" t="s">
        <v>307</v>
      </c>
      <c r="X114" t="s">
        <v>93</v>
      </c>
      <c r="Y114" t="s">
        <v>36</v>
      </c>
    </row>
    <row r="115" spans="1:25" x14ac:dyDescent="0.3">
      <c r="A115">
        <v>1990.4</v>
      </c>
      <c r="B115" t="s">
        <v>285</v>
      </c>
      <c r="C115" t="s">
        <v>306</v>
      </c>
      <c r="D115" t="s">
        <v>308</v>
      </c>
      <c r="E115">
        <v>2</v>
      </c>
      <c r="F115" t="s">
        <v>27</v>
      </c>
      <c r="G115" t="s">
        <v>28</v>
      </c>
      <c r="I115">
        <v>19170</v>
      </c>
      <c r="J115">
        <v>999</v>
      </c>
      <c r="K115">
        <v>2</v>
      </c>
      <c r="L115">
        <v>19170</v>
      </c>
      <c r="M115">
        <v>999</v>
      </c>
      <c r="N115" t="s">
        <v>43</v>
      </c>
      <c r="O115" t="s">
        <v>44</v>
      </c>
      <c r="P115" t="s">
        <v>31</v>
      </c>
      <c r="Q115" t="s">
        <v>32</v>
      </c>
      <c r="R115" t="s">
        <v>30</v>
      </c>
      <c r="S115" t="s">
        <v>89</v>
      </c>
      <c r="T115" t="s">
        <v>309</v>
      </c>
      <c r="U115" t="s">
        <v>60</v>
      </c>
      <c r="V115">
        <v>1.0999999999999999E-2</v>
      </c>
      <c r="W115" t="s">
        <v>307</v>
      </c>
      <c r="X115" t="s">
        <v>310</v>
      </c>
      <c r="Y115" t="s">
        <v>60</v>
      </c>
    </row>
    <row r="116" spans="1:25" x14ac:dyDescent="0.3">
      <c r="A116">
        <v>1990.6</v>
      </c>
      <c r="B116" t="s">
        <v>285</v>
      </c>
      <c r="C116" t="s">
        <v>308</v>
      </c>
      <c r="D116" t="s">
        <v>311</v>
      </c>
      <c r="E116">
        <v>2</v>
      </c>
      <c r="F116" t="s">
        <v>27</v>
      </c>
      <c r="G116" t="s">
        <v>28</v>
      </c>
      <c r="I116">
        <v>29340</v>
      </c>
      <c r="J116">
        <v>1449</v>
      </c>
      <c r="K116">
        <v>2</v>
      </c>
      <c r="L116">
        <v>29340</v>
      </c>
      <c r="M116">
        <v>1449</v>
      </c>
      <c r="N116" t="s">
        <v>29</v>
      </c>
      <c r="O116" t="s">
        <v>44</v>
      </c>
      <c r="P116" t="s">
        <v>31</v>
      </c>
      <c r="Q116" t="s">
        <v>32</v>
      </c>
      <c r="R116" t="s">
        <v>33</v>
      </c>
      <c r="S116" t="s">
        <v>72</v>
      </c>
      <c r="T116" t="s">
        <v>181</v>
      </c>
      <c r="U116" t="s">
        <v>60</v>
      </c>
      <c r="V116">
        <v>5.0799999999999998E-2</v>
      </c>
      <c r="W116" t="s">
        <v>312</v>
      </c>
      <c r="X116" t="s">
        <v>310</v>
      </c>
      <c r="Y116" t="s">
        <v>60</v>
      </c>
    </row>
    <row r="117" spans="1:25" x14ac:dyDescent="0.3">
      <c r="A117">
        <v>2010</v>
      </c>
      <c r="B117" t="s">
        <v>285</v>
      </c>
      <c r="C117" t="s">
        <v>311</v>
      </c>
      <c r="D117" t="s">
        <v>313</v>
      </c>
      <c r="E117">
        <v>2</v>
      </c>
      <c r="F117" t="s">
        <v>27</v>
      </c>
      <c r="G117" t="s">
        <v>28</v>
      </c>
      <c r="I117">
        <v>29340</v>
      </c>
      <c r="J117">
        <v>1449</v>
      </c>
      <c r="K117">
        <v>2</v>
      </c>
      <c r="L117">
        <v>29340</v>
      </c>
      <c r="M117">
        <v>1449</v>
      </c>
      <c r="N117" t="s">
        <v>29</v>
      </c>
      <c r="O117" t="s">
        <v>44</v>
      </c>
      <c r="P117" t="s">
        <v>31</v>
      </c>
      <c r="Q117" t="s">
        <v>32</v>
      </c>
      <c r="R117" t="s">
        <v>33</v>
      </c>
      <c r="S117" t="s">
        <v>72</v>
      </c>
      <c r="T117" t="s">
        <v>181</v>
      </c>
      <c r="U117" t="s">
        <v>60</v>
      </c>
      <c r="V117">
        <v>5.0799999999999998E-2</v>
      </c>
      <c r="W117" t="s">
        <v>312</v>
      </c>
      <c r="X117" t="s">
        <v>310</v>
      </c>
      <c r="Y117" t="s">
        <v>60</v>
      </c>
    </row>
    <row r="118" spans="1:25" x14ac:dyDescent="0.3">
      <c r="A118">
        <v>2020.1</v>
      </c>
      <c r="B118" t="s">
        <v>285</v>
      </c>
      <c r="C118" t="s">
        <v>313</v>
      </c>
      <c r="D118" t="s">
        <v>314</v>
      </c>
      <c r="E118">
        <v>2</v>
      </c>
      <c r="F118" t="s">
        <v>27</v>
      </c>
      <c r="G118" t="s">
        <v>57</v>
      </c>
      <c r="H118">
        <v>1</v>
      </c>
      <c r="I118">
        <v>12744</v>
      </c>
      <c r="J118">
        <v>634</v>
      </c>
      <c r="K118">
        <v>2</v>
      </c>
      <c r="L118">
        <v>12744</v>
      </c>
      <c r="M118">
        <v>634</v>
      </c>
      <c r="N118" t="s">
        <v>29</v>
      </c>
      <c r="O118" t="s">
        <v>44</v>
      </c>
      <c r="P118" t="s">
        <v>31</v>
      </c>
      <c r="Q118" t="s">
        <v>32</v>
      </c>
      <c r="R118" t="s">
        <v>33</v>
      </c>
      <c r="S118" t="s">
        <v>315</v>
      </c>
      <c r="T118" t="s">
        <v>316</v>
      </c>
      <c r="U118" t="s">
        <v>60</v>
      </c>
      <c r="V118">
        <v>0.01</v>
      </c>
      <c r="W118" t="s">
        <v>303</v>
      </c>
      <c r="X118" t="s">
        <v>232</v>
      </c>
      <c r="Y118" t="s">
        <v>60</v>
      </c>
    </row>
    <row r="119" spans="1:25" x14ac:dyDescent="0.3">
      <c r="A119">
        <v>2030</v>
      </c>
      <c r="B119" t="s">
        <v>285</v>
      </c>
      <c r="C119" t="s">
        <v>314</v>
      </c>
      <c r="D119" t="s">
        <v>317</v>
      </c>
      <c r="E119">
        <v>4</v>
      </c>
      <c r="F119" t="s">
        <v>27</v>
      </c>
      <c r="G119" t="s">
        <v>57</v>
      </c>
      <c r="H119">
        <v>1</v>
      </c>
      <c r="I119">
        <v>35820</v>
      </c>
      <c r="J119">
        <v>1800</v>
      </c>
      <c r="K119">
        <v>4</v>
      </c>
      <c r="L119">
        <v>35820</v>
      </c>
      <c r="M119">
        <v>1800</v>
      </c>
      <c r="N119" t="s">
        <v>29</v>
      </c>
      <c r="O119" t="s">
        <v>30</v>
      </c>
      <c r="P119" t="s">
        <v>31</v>
      </c>
      <c r="Q119" t="s">
        <v>32</v>
      </c>
      <c r="R119" t="s">
        <v>33</v>
      </c>
      <c r="S119" t="s">
        <v>318</v>
      </c>
      <c r="T119" t="s">
        <v>253</v>
      </c>
      <c r="U119" t="s">
        <v>60</v>
      </c>
      <c r="V119">
        <v>0.01</v>
      </c>
      <c r="W119" t="s">
        <v>319</v>
      </c>
      <c r="X119" t="s">
        <v>211</v>
      </c>
      <c r="Y119" t="s">
        <v>30</v>
      </c>
    </row>
    <row r="120" spans="1:25" x14ac:dyDescent="0.3">
      <c r="A120">
        <v>2060</v>
      </c>
      <c r="B120" t="s">
        <v>285</v>
      </c>
      <c r="C120" t="s">
        <v>317</v>
      </c>
      <c r="D120" t="s">
        <v>320</v>
      </c>
      <c r="E120">
        <v>6</v>
      </c>
      <c r="F120" t="s">
        <v>27</v>
      </c>
      <c r="G120" t="s">
        <v>57</v>
      </c>
      <c r="H120">
        <v>1</v>
      </c>
      <c r="I120">
        <v>53910</v>
      </c>
      <c r="J120">
        <v>2718</v>
      </c>
      <c r="K120">
        <v>6</v>
      </c>
      <c r="L120">
        <v>53910</v>
      </c>
      <c r="M120">
        <v>2718</v>
      </c>
      <c r="N120" t="s">
        <v>29</v>
      </c>
      <c r="O120" t="s">
        <v>30</v>
      </c>
      <c r="P120" t="s">
        <v>31</v>
      </c>
      <c r="Q120" t="s">
        <v>32</v>
      </c>
      <c r="R120" t="s">
        <v>30</v>
      </c>
      <c r="S120" t="s">
        <v>321</v>
      </c>
      <c r="T120" t="s">
        <v>289</v>
      </c>
      <c r="U120" t="s">
        <v>60</v>
      </c>
      <c r="V120">
        <v>0.01</v>
      </c>
      <c r="W120" t="s">
        <v>322</v>
      </c>
      <c r="X120" t="s">
        <v>228</v>
      </c>
      <c r="Y120" t="s">
        <v>60</v>
      </c>
    </row>
    <row r="121" spans="1:25" x14ac:dyDescent="0.3">
      <c r="A121">
        <v>2070</v>
      </c>
      <c r="B121" t="s">
        <v>285</v>
      </c>
      <c r="C121" t="s">
        <v>320</v>
      </c>
      <c r="D121" t="s">
        <v>281</v>
      </c>
      <c r="E121">
        <v>4</v>
      </c>
      <c r="F121" t="s">
        <v>27</v>
      </c>
      <c r="G121" t="s">
        <v>57</v>
      </c>
      <c r="H121">
        <v>1</v>
      </c>
      <c r="I121">
        <v>35820</v>
      </c>
      <c r="J121">
        <v>1800</v>
      </c>
      <c r="K121">
        <v>4</v>
      </c>
      <c r="L121">
        <v>35820</v>
      </c>
      <c r="M121">
        <v>1800</v>
      </c>
      <c r="N121" t="s">
        <v>29</v>
      </c>
      <c r="O121" t="s">
        <v>30</v>
      </c>
      <c r="P121" t="s">
        <v>31</v>
      </c>
      <c r="Q121" t="s">
        <v>32</v>
      </c>
      <c r="R121" t="s">
        <v>30</v>
      </c>
      <c r="S121" t="s">
        <v>321</v>
      </c>
      <c r="T121" t="s">
        <v>73</v>
      </c>
      <c r="U121" t="s">
        <v>60</v>
      </c>
      <c r="V121">
        <v>0.01</v>
      </c>
      <c r="W121" t="s">
        <v>322</v>
      </c>
      <c r="X121" t="s">
        <v>323</v>
      </c>
      <c r="Y121" t="s">
        <v>30</v>
      </c>
    </row>
    <row r="122" spans="1:25" x14ac:dyDescent="0.3">
      <c r="A122">
        <v>2080</v>
      </c>
      <c r="B122" t="s">
        <v>285</v>
      </c>
      <c r="C122" t="s">
        <v>281</v>
      </c>
      <c r="D122" t="s">
        <v>224</v>
      </c>
      <c r="E122">
        <v>4</v>
      </c>
      <c r="F122" t="s">
        <v>27</v>
      </c>
      <c r="G122" t="s">
        <v>57</v>
      </c>
      <c r="H122">
        <v>1</v>
      </c>
      <c r="I122">
        <v>35820</v>
      </c>
      <c r="J122">
        <v>1800</v>
      </c>
      <c r="K122">
        <v>4</v>
      </c>
      <c r="L122">
        <v>35820</v>
      </c>
      <c r="M122">
        <v>1800</v>
      </c>
      <c r="N122" t="s">
        <v>29</v>
      </c>
      <c r="O122" t="s">
        <v>30</v>
      </c>
      <c r="P122" t="s">
        <v>31</v>
      </c>
      <c r="Q122" t="s">
        <v>32</v>
      </c>
      <c r="R122" t="s">
        <v>30</v>
      </c>
      <c r="S122" t="s">
        <v>324</v>
      </c>
      <c r="T122" t="s">
        <v>325</v>
      </c>
      <c r="U122" t="s">
        <v>60</v>
      </c>
      <c r="V122">
        <v>0.01</v>
      </c>
      <c r="W122" t="s">
        <v>326</v>
      </c>
      <c r="X122" t="s">
        <v>172</v>
      </c>
      <c r="Y122" t="s">
        <v>60</v>
      </c>
    </row>
    <row r="123" spans="1:25" x14ac:dyDescent="0.3">
      <c r="A123">
        <v>2090</v>
      </c>
      <c r="B123" t="s">
        <v>285</v>
      </c>
      <c r="C123" t="s">
        <v>224</v>
      </c>
      <c r="D123" t="s">
        <v>327</v>
      </c>
      <c r="E123">
        <v>4</v>
      </c>
      <c r="F123" t="s">
        <v>27</v>
      </c>
      <c r="G123" t="s">
        <v>57</v>
      </c>
      <c r="H123">
        <v>1</v>
      </c>
      <c r="I123">
        <v>35820</v>
      </c>
      <c r="J123">
        <v>1800</v>
      </c>
      <c r="K123">
        <v>4</v>
      </c>
      <c r="L123">
        <v>35820</v>
      </c>
      <c r="M123">
        <v>1800</v>
      </c>
      <c r="N123" t="s">
        <v>29</v>
      </c>
      <c r="O123" t="s">
        <v>30</v>
      </c>
      <c r="P123" t="s">
        <v>31</v>
      </c>
      <c r="Q123" t="s">
        <v>32</v>
      </c>
      <c r="R123" t="s">
        <v>30</v>
      </c>
      <c r="S123" t="s">
        <v>328</v>
      </c>
      <c r="T123" t="s">
        <v>116</v>
      </c>
      <c r="U123" t="s">
        <v>60</v>
      </c>
      <c r="V123">
        <v>0.01</v>
      </c>
      <c r="W123" t="s">
        <v>329</v>
      </c>
      <c r="X123" t="s">
        <v>325</v>
      </c>
      <c r="Y123" t="s">
        <v>60</v>
      </c>
    </row>
    <row r="124" spans="1:25" x14ac:dyDescent="0.3">
      <c r="A124">
        <v>2110</v>
      </c>
      <c r="B124" t="s">
        <v>285</v>
      </c>
      <c r="C124" t="s">
        <v>327</v>
      </c>
      <c r="D124" t="s">
        <v>330</v>
      </c>
      <c r="E124">
        <v>4</v>
      </c>
      <c r="F124" t="s">
        <v>27</v>
      </c>
      <c r="G124" t="s">
        <v>57</v>
      </c>
      <c r="H124">
        <v>1</v>
      </c>
      <c r="I124">
        <v>35820</v>
      </c>
      <c r="J124">
        <v>1800</v>
      </c>
      <c r="K124">
        <v>4</v>
      </c>
      <c r="L124">
        <v>35820</v>
      </c>
      <c r="M124">
        <v>1800</v>
      </c>
      <c r="N124" t="s">
        <v>29</v>
      </c>
      <c r="O124" t="s">
        <v>30</v>
      </c>
      <c r="P124" t="s">
        <v>31</v>
      </c>
      <c r="Q124" t="s">
        <v>32</v>
      </c>
      <c r="R124" t="s">
        <v>30</v>
      </c>
      <c r="S124" t="s">
        <v>331</v>
      </c>
      <c r="T124" t="s">
        <v>309</v>
      </c>
      <c r="U124" t="s">
        <v>60</v>
      </c>
      <c r="V124">
        <v>0.01</v>
      </c>
      <c r="W124" t="s">
        <v>332</v>
      </c>
      <c r="X124" t="s">
        <v>310</v>
      </c>
      <c r="Y124" t="s">
        <v>60</v>
      </c>
    </row>
    <row r="125" spans="1:25" x14ac:dyDescent="0.3">
      <c r="A125">
        <v>2120.1999999999998</v>
      </c>
      <c r="B125" t="s">
        <v>285</v>
      </c>
      <c r="C125" t="s">
        <v>330</v>
      </c>
      <c r="D125" t="s">
        <v>26</v>
      </c>
      <c r="E125">
        <v>2</v>
      </c>
      <c r="F125" t="s">
        <v>42</v>
      </c>
      <c r="G125" t="s">
        <v>28</v>
      </c>
      <c r="I125">
        <v>29340</v>
      </c>
      <c r="J125">
        <v>1449</v>
      </c>
      <c r="K125">
        <v>2</v>
      </c>
      <c r="L125">
        <v>29340</v>
      </c>
      <c r="M125">
        <v>1449</v>
      </c>
      <c r="N125" t="s">
        <v>29</v>
      </c>
      <c r="O125" t="s">
        <v>44</v>
      </c>
      <c r="P125" t="s">
        <v>31</v>
      </c>
      <c r="Q125" t="s">
        <v>32</v>
      </c>
      <c r="R125" t="s">
        <v>33</v>
      </c>
      <c r="S125" t="s">
        <v>303</v>
      </c>
      <c r="T125" t="s">
        <v>113</v>
      </c>
      <c r="U125" t="s">
        <v>36</v>
      </c>
      <c r="V125">
        <v>0.01</v>
      </c>
      <c r="W125" t="s">
        <v>177</v>
      </c>
      <c r="X125" t="s">
        <v>220</v>
      </c>
      <c r="Y125" t="s">
        <v>36</v>
      </c>
    </row>
    <row r="126" spans="1:25" x14ac:dyDescent="0.3">
      <c r="A126">
        <v>2150</v>
      </c>
      <c r="B126" t="s">
        <v>333</v>
      </c>
      <c r="C126" t="s">
        <v>334</v>
      </c>
      <c r="D126" t="s">
        <v>335</v>
      </c>
      <c r="E126">
        <v>2</v>
      </c>
      <c r="F126" t="s">
        <v>42</v>
      </c>
      <c r="G126" t="s">
        <v>57</v>
      </c>
      <c r="H126">
        <v>2</v>
      </c>
      <c r="I126">
        <v>11232</v>
      </c>
      <c r="J126">
        <v>576</v>
      </c>
      <c r="K126">
        <v>2</v>
      </c>
      <c r="L126">
        <v>11232</v>
      </c>
      <c r="M126">
        <v>576</v>
      </c>
      <c r="N126" t="s">
        <v>29</v>
      </c>
      <c r="O126" t="s">
        <v>44</v>
      </c>
      <c r="P126" t="s">
        <v>31</v>
      </c>
      <c r="Q126" t="s">
        <v>32</v>
      </c>
      <c r="R126" t="s">
        <v>33</v>
      </c>
      <c r="S126" t="s">
        <v>45</v>
      </c>
      <c r="T126" t="s">
        <v>46</v>
      </c>
      <c r="U126" t="s">
        <v>46</v>
      </c>
      <c r="V126">
        <v>0.01</v>
      </c>
      <c r="W126" t="s">
        <v>45</v>
      </c>
      <c r="X126" t="s">
        <v>46</v>
      </c>
      <c r="Y126" t="s">
        <v>46</v>
      </c>
    </row>
    <row r="127" spans="1:25" x14ac:dyDescent="0.3">
      <c r="A127">
        <v>2160</v>
      </c>
      <c r="B127" t="s">
        <v>333</v>
      </c>
      <c r="C127" t="s">
        <v>335</v>
      </c>
      <c r="D127" t="s">
        <v>336</v>
      </c>
      <c r="E127">
        <v>2</v>
      </c>
      <c r="F127" t="s">
        <v>42</v>
      </c>
      <c r="G127" t="s">
        <v>57</v>
      </c>
      <c r="H127">
        <v>2</v>
      </c>
      <c r="I127">
        <v>11232</v>
      </c>
      <c r="J127">
        <v>576</v>
      </c>
      <c r="K127">
        <v>2</v>
      </c>
      <c r="L127">
        <v>11232</v>
      </c>
      <c r="M127">
        <v>576</v>
      </c>
      <c r="N127" t="s">
        <v>29</v>
      </c>
      <c r="O127" t="s">
        <v>44</v>
      </c>
      <c r="P127" t="s">
        <v>31</v>
      </c>
      <c r="Q127" t="s">
        <v>32</v>
      </c>
      <c r="R127" t="s">
        <v>33</v>
      </c>
      <c r="S127" t="s">
        <v>213</v>
      </c>
      <c r="T127" t="s">
        <v>116</v>
      </c>
      <c r="U127" t="s">
        <v>30</v>
      </c>
      <c r="V127">
        <v>1.41E-2</v>
      </c>
      <c r="W127" t="s">
        <v>84</v>
      </c>
      <c r="X127" t="s">
        <v>139</v>
      </c>
      <c r="Y127" t="s">
        <v>30</v>
      </c>
    </row>
    <row r="128" spans="1:25" x14ac:dyDescent="0.3">
      <c r="A128">
        <v>2170</v>
      </c>
      <c r="B128" t="s">
        <v>333</v>
      </c>
      <c r="C128" t="s">
        <v>336</v>
      </c>
      <c r="D128" t="s">
        <v>337</v>
      </c>
      <c r="E128">
        <v>2</v>
      </c>
      <c r="F128" t="s">
        <v>42</v>
      </c>
      <c r="G128" t="s">
        <v>57</v>
      </c>
      <c r="H128">
        <v>2</v>
      </c>
      <c r="I128">
        <v>11232</v>
      </c>
      <c r="J128">
        <v>576</v>
      </c>
      <c r="K128">
        <v>2</v>
      </c>
      <c r="L128">
        <v>11232</v>
      </c>
      <c r="M128">
        <v>576</v>
      </c>
      <c r="N128" t="s">
        <v>29</v>
      </c>
      <c r="O128" t="s">
        <v>44</v>
      </c>
      <c r="P128" t="s">
        <v>31</v>
      </c>
      <c r="Q128" t="s">
        <v>32</v>
      </c>
      <c r="R128" t="s">
        <v>33</v>
      </c>
      <c r="S128" t="s">
        <v>109</v>
      </c>
      <c r="T128" t="s">
        <v>310</v>
      </c>
      <c r="U128" t="s">
        <v>30</v>
      </c>
      <c r="V128">
        <v>0.01</v>
      </c>
      <c r="W128" t="s">
        <v>82</v>
      </c>
      <c r="X128" t="s">
        <v>288</v>
      </c>
      <c r="Y128" t="s">
        <v>30</v>
      </c>
    </row>
    <row r="129" spans="1:25" x14ac:dyDescent="0.3">
      <c r="A129">
        <v>2180</v>
      </c>
      <c r="B129" t="s">
        <v>333</v>
      </c>
      <c r="C129" t="s">
        <v>337</v>
      </c>
      <c r="D129" t="s">
        <v>338</v>
      </c>
      <c r="E129">
        <v>2</v>
      </c>
      <c r="F129" t="s">
        <v>42</v>
      </c>
      <c r="G129" t="s">
        <v>57</v>
      </c>
      <c r="H129">
        <v>2</v>
      </c>
      <c r="I129">
        <v>14742</v>
      </c>
      <c r="J129">
        <v>756</v>
      </c>
      <c r="K129">
        <v>2</v>
      </c>
      <c r="L129">
        <v>14742</v>
      </c>
      <c r="M129">
        <v>756</v>
      </c>
      <c r="N129" t="s">
        <v>29</v>
      </c>
      <c r="O129" t="s">
        <v>30</v>
      </c>
      <c r="P129" t="s">
        <v>31</v>
      </c>
      <c r="Q129" t="s">
        <v>32</v>
      </c>
      <c r="R129" t="s">
        <v>33</v>
      </c>
      <c r="S129" t="s">
        <v>339</v>
      </c>
      <c r="T129" t="s">
        <v>310</v>
      </c>
      <c r="U129" t="s">
        <v>30</v>
      </c>
      <c r="V129">
        <v>0.01</v>
      </c>
      <c r="W129" t="s">
        <v>340</v>
      </c>
      <c r="X129" t="s">
        <v>341</v>
      </c>
      <c r="Y129" t="s">
        <v>30</v>
      </c>
    </row>
    <row r="130" spans="1:25" x14ac:dyDescent="0.3">
      <c r="A130">
        <v>2190</v>
      </c>
      <c r="B130" t="s">
        <v>333</v>
      </c>
      <c r="C130" t="s">
        <v>338</v>
      </c>
      <c r="D130" t="s">
        <v>342</v>
      </c>
      <c r="E130">
        <v>2</v>
      </c>
      <c r="F130" t="s">
        <v>42</v>
      </c>
      <c r="G130" t="s">
        <v>57</v>
      </c>
      <c r="H130">
        <v>2</v>
      </c>
      <c r="I130">
        <v>14742</v>
      </c>
      <c r="J130">
        <v>756</v>
      </c>
      <c r="K130">
        <v>2</v>
      </c>
      <c r="L130">
        <v>14742</v>
      </c>
      <c r="M130">
        <v>756</v>
      </c>
      <c r="N130" t="s">
        <v>29</v>
      </c>
      <c r="O130" t="s">
        <v>30</v>
      </c>
      <c r="P130" t="s">
        <v>31</v>
      </c>
      <c r="Q130" t="s">
        <v>32</v>
      </c>
      <c r="R130" t="s">
        <v>33</v>
      </c>
      <c r="S130" t="s">
        <v>215</v>
      </c>
      <c r="T130" t="s">
        <v>110</v>
      </c>
      <c r="U130" t="s">
        <v>60</v>
      </c>
      <c r="V130">
        <v>0.01</v>
      </c>
      <c r="W130" t="s">
        <v>58</v>
      </c>
      <c r="X130" t="s">
        <v>103</v>
      </c>
      <c r="Y130" t="s">
        <v>30</v>
      </c>
    </row>
    <row r="131" spans="1:25" x14ac:dyDescent="0.3">
      <c r="A131">
        <v>2200</v>
      </c>
      <c r="B131" t="s">
        <v>333</v>
      </c>
      <c r="C131" t="s">
        <v>342</v>
      </c>
      <c r="D131" t="s">
        <v>343</v>
      </c>
      <c r="E131">
        <v>2</v>
      </c>
      <c r="F131" t="s">
        <v>42</v>
      </c>
      <c r="G131" t="s">
        <v>57</v>
      </c>
      <c r="H131">
        <v>2</v>
      </c>
      <c r="I131">
        <v>14742</v>
      </c>
      <c r="J131">
        <v>756</v>
      </c>
      <c r="K131">
        <v>2</v>
      </c>
      <c r="L131">
        <v>14742</v>
      </c>
      <c r="M131">
        <v>756</v>
      </c>
      <c r="N131" t="s">
        <v>29</v>
      </c>
      <c r="O131" t="s">
        <v>30</v>
      </c>
      <c r="P131" t="s">
        <v>31</v>
      </c>
      <c r="Q131" t="s">
        <v>32</v>
      </c>
      <c r="R131" t="s">
        <v>33</v>
      </c>
      <c r="S131" t="s">
        <v>75</v>
      </c>
      <c r="T131" t="s">
        <v>116</v>
      </c>
      <c r="U131" t="s">
        <v>30</v>
      </c>
      <c r="V131">
        <v>0.01</v>
      </c>
      <c r="W131" t="s">
        <v>77</v>
      </c>
      <c r="X131" t="s">
        <v>325</v>
      </c>
      <c r="Y131" t="s">
        <v>30</v>
      </c>
    </row>
    <row r="132" spans="1:25" x14ac:dyDescent="0.3">
      <c r="A132">
        <v>2210.4</v>
      </c>
      <c r="B132" t="s">
        <v>333</v>
      </c>
      <c r="C132" t="s">
        <v>343</v>
      </c>
      <c r="D132" t="s">
        <v>304</v>
      </c>
      <c r="E132">
        <v>2</v>
      </c>
      <c r="F132" t="s">
        <v>42</v>
      </c>
      <c r="G132" t="s">
        <v>57</v>
      </c>
      <c r="H132">
        <v>1</v>
      </c>
      <c r="I132">
        <v>16727</v>
      </c>
      <c r="J132">
        <v>832</v>
      </c>
      <c r="K132">
        <v>2</v>
      </c>
      <c r="L132">
        <v>16727</v>
      </c>
      <c r="M132">
        <v>832</v>
      </c>
      <c r="N132" t="s">
        <v>29</v>
      </c>
      <c r="O132" t="s">
        <v>30</v>
      </c>
      <c r="P132" t="s">
        <v>31</v>
      </c>
      <c r="Q132" t="s">
        <v>32</v>
      </c>
      <c r="R132" t="s">
        <v>33</v>
      </c>
      <c r="S132" t="s">
        <v>315</v>
      </c>
      <c r="T132" t="s">
        <v>103</v>
      </c>
      <c r="U132" t="s">
        <v>60</v>
      </c>
      <c r="V132">
        <v>3.7699999999999997E-2</v>
      </c>
      <c r="W132" t="s">
        <v>208</v>
      </c>
      <c r="X132" t="s">
        <v>139</v>
      </c>
      <c r="Y132" t="s">
        <v>60</v>
      </c>
    </row>
    <row r="133" spans="1:25" x14ac:dyDescent="0.3">
      <c r="A133">
        <v>2220</v>
      </c>
      <c r="B133" t="s">
        <v>333</v>
      </c>
      <c r="C133" t="s">
        <v>304</v>
      </c>
      <c r="D133" t="s">
        <v>25</v>
      </c>
      <c r="E133">
        <v>2</v>
      </c>
      <c r="F133" t="s">
        <v>42</v>
      </c>
      <c r="G133" t="s">
        <v>57</v>
      </c>
      <c r="H133">
        <v>1</v>
      </c>
      <c r="I133">
        <v>12744</v>
      </c>
      <c r="J133">
        <v>634</v>
      </c>
      <c r="K133">
        <v>2</v>
      </c>
      <c r="L133">
        <v>12744</v>
      </c>
      <c r="M133">
        <v>634</v>
      </c>
      <c r="N133" t="s">
        <v>29</v>
      </c>
      <c r="O133" t="s">
        <v>44</v>
      </c>
      <c r="P133" t="s">
        <v>31</v>
      </c>
      <c r="Q133" t="s">
        <v>32</v>
      </c>
      <c r="R133" t="s">
        <v>33</v>
      </c>
      <c r="S133" t="s">
        <v>75</v>
      </c>
      <c r="T133" t="s">
        <v>178</v>
      </c>
      <c r="U133" t="s">
        <v>60</v>
      </c>
      <c r="V133">
        <v>0.01</v>
      </c>
      <c r="W133" t="s">
        <v>77</v>
      </c>
      <c r="X133" t="s">
        <v>191</v>
      </c>
      <c r="Y133" t="s">
        <v>60</v>
      </c>
    </row>
    <row r="134" spans="1:25" x14ac:dyDescent="0.3">
      <c r="A134">
        <v>2230</v>
      </c>
      <c r="B134" t="s">
        <v>285</v>
      </c>
      <c r="C134" t="s">
        <v>188</v>
      </c>
      <c r="D134" t="s">
        <v>305</v>
      </c>
      <c r="E134">
        <v>2</v>
      </c>
      <c r="F134" t="s">
        <v>27</v>
      </c>
      <c r="G134" t="s">
        <v>57</v>
      </c>
      <c r="H134">
        <v>2</v>
      </c>
      <c r="I134">
        <v>11232</v>
      </c>
      <c r="J134">
        <v>576</v>
      </c>
      <c r="K134">
        <v>2</v>
      </c>
      <c r="L134">
        <v>11232</v>
      </c>
      <c r="M134">
        <v>576</v>
      </c>
      <c r="N134" t="s">
        <v>29</v>
      </c>
      <c r="O134" t="s">
        <v>44</v>
      </c>
      <c r="P134" t="s">
        <v>31</v>
      </c>
      <c r="Q134" t="s">
        <v>32</v>
      </c>
      <c r="R134" t="s">
        <v>33</v>
      </c>
      <c r="S134" t="s">
        <v>290</v>
      </c>
      <c r="T134" t="s">
        <v>258</v>
      </c>
      <c r="U134" t="s">
        <v>259</v>
      </c>
      <c r="V134">
        <v>0.01</v>
      </c>
      <c r="W134" t="s">
        <v>72</v>
      </c>
      <c r="X134" t="s">
        <v>344</v>
      </c>
      <c r="Y134" t="s">
        <v>259</v>
      </c>
    </row>
    <row r="135" spans="1:25" x14ac:dyDescent="0.3">
      <c r="A135">
        <v>2240</v>
      </c>
      <c r="B135" t="s">
        <v>345</v>
      </c>
      <c r="C135" t="s">
        <v>26</v>
      </c>
      <c r="D135" t="s">
        <v>346</v>
      </c>
      <c r="E135">
        <v>2</v>
      </c>
      <c r="F135" t="s">
        <v>27</v>
      </c>
      <c r="G135" t="s">
        <v>57</v>
      </c>
      <c r="I135">
        <v>22785</v>
      </c>
      <c r="J135">
        <v>1124</v>
      </c>
      <c r="K135">
        <v>2</v>
      </c>
      <c r="L135">
        <v>22785</v>
      </c>
      <c r="M135">
        <v>1124</v>
      </c>
      <c r="N135" t="s">
        <v>29</v>
      </c>
      <c r="O135" t="s">
        <v>30</v>
      </c>
      <c r="P135" t="s">
        <v>98</v>
      </c>
      <c r="Q135" t="s">
        <v>32</v>
      </c>
      <c r="R135" t="s">
        <v>30</v>
      </c>
      <c r="S135" t="s">
        <v>347</v>
      </c>
      <c r="T135" t="s">
        <v>110</v>
      </c>
      <c r="U135" t="s">
        <v>60</v>
      </c>
      <c r="V135">
        <v>0.01</v>
      </c>
      <c r="W135" t="s">
        <v>138</v>
      </c>
      <c r="X135" t="s">
        <v>103</v>
      </c>
      <c r="Y135" t="s">
        <v>60</v>
      </c>
    </row>
    <row r="136" spans="1:25" x14ac:dyDescent="0.3">
      <c r="A136">
        <v>2260.1</v>
      </c>
      <c r="B136" t="s">
        <v>156</v>
      </c>
      <c r="C136" t="s">
        <v>348</v>
      </c>
      <c r="D136" t="s">
        <v>111</v>
      </c>
      <c r="E136">
        <v>6</v>
      </c>
      <c r="F136" t="s">
        <v>349</v>
      </c>
      <c r="G136" t="s">
        <v>350</v>
      </c>
      <c r="I136">
        <v>69000</v>
      </c>
      <c r="J136">
        <v>3990</v>
      </c>
      <c r="K136">
        <v>6</v>
      </c>
      <c r="L136">
        <v>69000</v>
      </c>
      <c r="M136">
        <v>3990</v>
      </c>
      <c r="N136" t="s">
        <v>43</v>
      </c>
      <c r="O136" t="s">
        <v>351</v>
      </c>
      <c r="P136" t="s">
        <v>98</v>
      </c>
      <c r="Q136" t="s">
        <v>352</v>
      </c>
      <c r="R136" t="s">
        <v>60</v>
      </c>
      <c r="S136" t="s">
        <v>353</v>
      </c>
      <c r="T136" t="s">
        <v>354</v>
      </c>
      <c r="U136" t="s">
        <v>259</v>
      </c>
      <c r="V136">
        <v>6.0199999999999997E-2</v>
      </c>
      <c r="W136" t="s">
        <v>355</v>
      </c>
      <c r="X136" t="s">
        <v>356</v>
      </c>
      <c r="Y136" t="s">
        <v>259</v>
      </c>
    </row>
    <row r="137" spans="1:25" x14ac:dyDescent="0.3">
      <c r="A137">
        <v>2260.1999999999998</v>
      </c>
      <c r="B137" t="s">
        <v>156</v>
      </c>
      <c r="C137" t="s">
        <v>111</v>
      </c>
      <c r="D137" t="s">
        <v>285</v>
      </c>
      <c r="E137">
        <v>6</v>
      </c>
      <c r="F137" t="s">
        <v>349</v>
      </c>
      <c r="G137" t="s">
        <v>350</v>
      </c>
      <c r="I137">
        <v>122800</v>
      </c>
      <c r="J137">
        <v>6080</v>
      </c>
      <c r="K137">
        <v>6</v>
      </c>
      <c r="L137">
        <v>122800</v>
      </c>
      <c r="M137">
        <v>6080</v>
      </c>
      <c r="N137" t="s">
        <v>29</v>
      </c>
      <c r="O137" t="s">
        <v>351</v>
      </c>
      <c r="P137" t="s">
        <v>98</v>
      </c>
      <c r="Q137" t="s">
        <v>352</v>
      </c>
      <c r="R137" t="s">
        <v>30</v>
      </c>
      <c r="S137" t="s">
        <v>353</v>
      </c>
      <c r="T137" t="s">
        <v>357</v>
      </c>
      <c r="U137" t="s">
        <v>30</v>
      </c>
      <c r="V137">
        <v>6.0199999999999997E-2</v>
      </c>
      <c r="W137" t="s">
        <v>355</v>
      </c>
      <c r="X137" t="s">
        <v>358</v>
      </c>
      <c r="Y137" t="s">
        <v>259</v>
      </c>
    </row>
    <row r="138" spans="1:25" x14ac:dyDescent="0.3">
      <c r="A138">
        <v>2280</v>
      </c>
      <c r="B138" t="s">
        <v>156</v>
      </c>
      <c r="C138" t="s">
        <v>285</v>
      </c>
      <c r="D138" t="s">
        <v>313</v>
      </c>
      <c r="E138">
        <v>6</v>
      </c>
      <c r="F138" t="s">
        <v>349</v>
      </c>
      <c r="G138" t="s">
        <v>350</v>
      </c>
      <c r="I138">
        <v>122800</v>
      </c>
      <c r="J138">
        <v>6080</v>
      </c>
      <c r="K138">
        <v>6</v>
      </c>
      <c r="L138">
        <v>122800</v>
      </c>
      <c r="M138">
        <v>6080</v>
      </c>
      <c r="N138" t="s">
        <v>29</v>
      </c>
      <c r="O138" t="s">
        <v>351</v>
      </c>
      <c r="P138" t="s">
        <v>98</v>
      </c>
      <c r="Q138" t="s">
        <v>352</v>
      </c>
      <c r="R138" t="s">
        <v>30</v>
      </c>
      <c r="S138" t="s">
        <v>359</v>
      </c>
      <c r="T138" t="s">
        <v>294</v>
      </c>
      <c r="U138" t="s">
        <v>60</v>
      </c>
      <c r="V138">
        <v>0.01</v>
      </c>
      <c r="W138" t="s">
        <v>360</v>
      </c>
      <c r="X138" t="s">
        <v>62</v>
      </c>
      <c r="Y138" t="s">
        <v>60</v>
      </c>
    </row>
    <row r="139" spans="1:25" x14ac:dyDescent="0.3">
      <c r="A139">
        <v>2290</v>
      </c>
      <c r="B139" t="s">
        <v>156</v>
      </c>
      <c r="C139" t="s">
        <v>313</v>
      </c>
      <c r="D139" t="s">
        <v>140</v>
      </c>
      <c r="E139">
        <v>6</v>
      </c>
      <c r="F139" t="s">
        <v>349</v>
      </c>
      <c r="G139" t="s">
        <v>350</v>
      </c>
      <c r="I139">
        <v>122800</v>
      </c>
      <c r="J139">
        <v>6080</v>
      </c>
      <c r="K139">
        <v>6</v>
      </c>
      <c r="L139">
        <v>122800</v>
      </c>
      <c r="M139">
        <v>6080</v>
      </c>
      <c r="N139" t="s">
        <v>29</v>
      </c>
      <c r="O139" t="s">
        <v>351</v>
      </c>
      <c r="P139" t="s">
        <v>98</v>
      </c>
      <c r="Q139" t="s">
        <v>352</v>
      </c>
      <c r="R139" t="s">
        <v>30</v>
      </c>
      <c r="S139" t="s">
        <v>361</v>
      </c>
      <c r="T139" t="s">
        <v>362</v>
      </c>
      <c r="U139" t="s">
        <v>60</v>
      </c>
      <c r="V139">
        <v>0.01</v>
      </c>
      <c r="W139" t="s">
        <v>363</v>
      </c>
      <c r="X139" t="s">
        <v>364</v>
      </c>
      <c r="Y139" t="s">
        <v>60</v>
      </c>
    </row>
    <row r="140" spans="1:25" x14ac:dyDescent="0.3">
      <c r="A140">
        <v>2300</v>
      </c>
      <c r="B140" t="s">
        <v>156</v>
      </c>
      <c r="C140" t="s">
        <v>140</v>
      </c>
      <c r="D140" t="s">
        <v>48</v>
      </c>
      <c r="E140">
        <v>6</v>
      </c>
      <c r="F140" t="s">
        <v>349</v>
      </c>
      <c r="G140" t="s">
        <v>350</v>
      </c>
      <c r="I140">
        <v>122800</v>
      </c>
      <c r="J140">
        <v>6080</v>
      </c>
      <c r="K140">
        <v>6</v>
      </c>
      <c r="L140">
        <v>122800</v>
      </c>
      <c r="M140">
        <v>6080</v>
      </c>
      <c r="N140" t="s">
        <v>29</v>
      </c>
      <c r="O140" t="s">
        <v>351</v>
      </c>
      <c r="P140" t="s">
        <v>98</v>
      </c>
      <c r="Q140" t="s">
        <v>352</v>
      </c>
      <c r="R140" t="s">
        <v>30</v>
      </c>
      <c r="S140" t="s">
        <v>365</v>
      </c>
      <c r="T140" t="s">
        <v>366</v>
      </c>
      <c r="U140" t="s">
        <v>60</v>
      </c>
      <c r="V140">
        <v>3.1300000000000001E-2</v>
      </c>
      <c r="W140" t="s">
        <v>367</v>
      </c>
      <c r="X140" t="s">
        <v>179</v>
      </c>
      <c r="Y140" t="s">
        <v>30</v>
      </c>
    </row>
    <row r="141" spans="1:25" x14ac:dyDescent="0.3">
      <c r="A141">
        <v>2310</v>
      </c>
      <c r="B141" t="s">
        <v>156</v>
      </c>
      <c r="C141" t="s">
        <v>48</v>
      </c>
      <c r="D141" t="s">
        <v>106</v>
      </c>
      <c r="E141">
        <v>6</v>
      </c>
      <c r="F141" t="s">
        <v>349</v>
      </c>
      <c r="G141" t="s">
        <v>350</v>
      </c>
      <c r="I141">
        <v>122800</v>
      </c>
      <c r="J141">
        <v>6080</v>
      </c>
      <c r="K141">
        <v>6</v>
      </c>
      <c r="L141">
        <v>122800</v>
      </c>
      <c r="M141">
        <v>6080</v>
      </c>
      <c r="N141" t="s">
        <v>29</v>
      </c>
      <c r="O141" t="s">
        <v>351</v>
      </c>
      <c r="P141" t="s">
        <v>98</v>
      </c>
      <c r="Q141" t="s">
        <v>352</v>
      </c>
      <c r="R141" t="s">
        <v>30</v>
      </c>
      <c r="S141" t="s">
        <v>368</v>
      </c>
      <c r="T141" t="s">
        <v>232</v>
      </c>
      <c r="U141" t="s">
        <v>60</v>
      </c>
      <c r="V141">
        <v>1.1599999999999999E-2</v>
      </c>
      <c r="W141" t="s">
        <v>369</v>
      </c>
      <c r="X141" t="s">
        <v>292</v>
      </c>
      <c r="Y141" t="s">
        <v>60</v>
      </c>
    </row>
    <row r="142" spans="1:25" x14ac:dyDescent="0.3">
      <c r="A142">
        <v>2320.1</v>
      </c>
      <c r="B142" t="s">
        <v>156</v>
      </c>
      <c r="C142" t="s">
        <v>106</v>
      </c>
      <c r="D142" t="s">
        <v>111</v>
      </c>
      <c r="E142">
        <v>6</v>
      </c>
      <c r="F142" t="s">
        <v>349</v>
      </c>
      <c r="G142" t="s">
        <v>350</v>
      </c>
      <c r="I142">
        <v>122800</v>
      </c>
      <c r="J142">
        <v>6080</v>
      </c>
      <c r="K142">
        <v>6</v>
      </c>
      <c r="L142">
        <v>122800</v>
      </c>
      <c r="M142">
        <v>6080</v>
      </c>
      <c r="N142" t="s">
        <v>29</v>
      </c>
      <c r="O142" t="s">
        <v>351</v>
      </c>
      <c r="P142" t="s">
        <v>98</v>
      </c>
      <c r="Q142" t="s">
        <v>352</v>
      </c>
      <c r="R142" t="s">
        <v>30</v>
      </c>
      <c r="S142" t="s">
        <v>370</v>
      </c>
      <c r="T142" t="s">
        <v>139</v>
      </c>
      <c r="U142" t="s">
        <v>36</v>
      </c>
      <c r="V142">
        <v>1.2500000000000001E-2</v>
      </c>
      <c r="W142" t="s">
        <v>371</v>
      </c>
      <c r="X142" t="s">
        <v>372</v>
      </c>
      <c r="Y142" t="s">
        <v>60</v>
      </c>
    </row>
    <row r="143" spans="1:25" x14ac:dyDescent="0.3">
      <c r="A143">
        <v>2320.1999999999998</v>
      </c>
      <c r="B143" t="s">
        <v>156</v>
      </c>
      <c r="C143" t="s">
        <v>111</v>
      </c>
      <c r="D143" t="s">
        <v>55</v>
      </c>
      <c r="E143">
        <v>6</v>
      </c>
      <c r="F143" t="s">
        <v>349</v>
      </c>
      <c r="G143" t="s">
        <v>350</v>
      </c>
      <c r="I143">
        <v>69000</v>
      </c>
      <c r="J143">
        <v>3990</v>
      </c>
      <c r="K143">
        <v>6</v>
      </c>
      <c r="L143">
        <v>69000</v>
      </c>
      <c r="M143">
        <v>3990</v>
      </c>
      <c r="N143" t="s">
        <v>43</v>
      </c>
      <c r="O143" t="s">
        <v>351</v>
      </c>
      <c r="P143" t="s">
        <v>98</v>
      </c>
      <c r="Q143" t="s">
        <v>352</v>
      </c>
      <c r="R143" t="s">
        <v>60</v>
      </c>
      <c r="S143" t="s">
        <v>370</v>
      </c>
      <c r="T143" t="s">
        <v>258</v>
      </c>
      <c r="U143" t="s">
        <v>30</v>
      </c>
      <c r="V143">
        <v>1.2500000000000001E-2</v>
      </c>
      <c r="W143" t="s">
        <v>371</v>
      </c>
      <c r="X143" t="s">
        <v>344</v>
      </c>
      <c r="Y143" t="s">
        <v>30</v>
      </c>
    </row>
    <row r="144" spans="1:25" x14ac:dyDescent="0.3">
      <c r="A144">
        <v>2330</v>
      </c>
      <c r="B144" t="s">
        <v>156</v>
      </c>
      <c r="C144" t="s">
        <v>55</v>
      </c>
      <c r="D144" t="s">
        <v>373</v>
      </c>
      <c r="E144">
        <v>6</v>
      </c>
      <c r="F144" t="s">
        <v>349</v>
      </c>
      <c r="G144" t="s">
        <v>350</v>
      </c>
      <c r="I144">
        <v>69000</v>
      </c>
      <c r="J144">
        <v>3990</v>
      </c>
      <c r="K144">
        <v>6</v>
      </c>
      <c r="L144">
        <v>69000</v>
      </c>
      <c r="M144">
        <v>3990</v>
      </c>
      <c r="N144" t="s">
        <v>43</v>
      </c>
      <c r="O144" t="s">
        <v>351</v>
      </c>
      <c r="P144" t="s">
        <v>98</v>
      </c>
      <c r="Q144" t="s">
        <v>352</v>
      </c>
      <c r="R144" t="s">
        <v>60</v>
      </c>
      <c r="S144" t="s">
        <v>374</v>
      </c>
      <c r="T144" t="s">
        <v>375</v>
      </c>
      <c r="U144" t="s">
        <v>30</v>
      </c>
      <c r="V144">
        <v>2.41E-2</v>
      </c>
      <c r="W144" t="s">
        <v>376</v>
      </c>
      <c r="X144" t="s">
        <v>358</v>
      </c>
      <c r="Y144" t="s">
        <v>33</v>
      </c>
    </row>
    <row r="145" spans="1:25" x14ac:dyDescent="0.3">
      <c r="A145">
        <v>2340.1</v>
      </c>
      <c r="B145" t="s">
        <v>377</v>
      </c>
      <c r="C145" t="s">
        <v>378</v>
      </c>
      <c r="D145" t="s">
        <v>379</v>
      </c>
      <c r="E145">
        <v>4</v>
      </c>
      <c r="F145" t="s">
        <v>27</v>
      </c>
      <c r="G145" t="s">
        <v>57</v>
      </c>
      <c r="H145">
        <v>2</v>
      </c>
      <c r="I145">
        <v>30420</v>
      </c>
      <c r="J145">
        <v>1530</v>
      </c>
      <c r="K145">
        <v>4</v>
      </c>
      <c r="L145">
        <v>30420</v>
      </c>
      <c r="M145">
        <v>1530</v>
      </c>
      <c r="N145" t="s">
        <v>29</v>
      </c>
      <c r="O145" t="s">
        <v>30</v>
      </c>
      <c r="P145" t="s">
        <v>31</v>
      </c>
      <c r="Q145" t="s">
        <v>32</v>
      </c>
      <c r="R145" t="s">
        <v>33</v>
      </c>
      <c r="S145" t="s">
        <v>380</v>
      </c>
      <c r="T145" t="s">
        <v>137</v>
      </c>
      <c r="U145" t="s">
        <v>60</v>
      </c>
      <c r="V145">
        <v>0.01</v>
      </c>
      <c r="W145" t="s">
        <v>208</v>
      </c>
      <c r="X145" t="s">
        <v>90</v>
      </c>
      <c r="Y145" t="s">
        <v>60</v>
      </c>
    </row>
    <row r="146" spans="1:25" x14ac:dyDescent="0.3">
      <c r="A146">
        <v>2350</v>
      </c>
      <c r="B146" t="s">
        <v>381</v>
      </c>
      <c r="C146" t="s">
        <v>379</v>
      </c>
      <c r="D146" t="s">
        <v>96</v>
      </c>
      <c r="E146">
        <v>4</v>
      </c>
      <c r="F146" t="s">
        <v>27</v>
      </c>
      <c r="G146" t="s">
        <v>57</v>
      </c>
      <c r="H146">
        <v>1</v>
      </c>
      <c r="I146">
        <v>37611</v>
      </c>
      <c r="J146">
        <v>1890</v>
      </c>
      <c r="K146">
        <v>4</v>
      </c>
      <c r="L146">
        <v>37611</v>
      </c>
      <c r="M146">
        <v>1890</v>
      </c>
      <c r="N146" t="s">
        <v>29</v>
      </c>
      <c r="O146" t="s">
        <v>30</v>
      </c>
      <c r="P146" t="s">
        <v>31</v>
      </c>
      <c r="Q146" t="s">
        <v>32</v>
      </c>
      <c r="R146" t="s">
        <v>33</v>
      </c>
      <c r="S146" t="s">
        <v>282</v>
      </c>
      <c r="T146" t="s">
        <v>137</v>
      </c>
      <c r="U146" t="s">
        <v>60</v>
      </c>
      <c r="V146">
        <v>5.6099999999999997E-2</v>
      </c>
      <c r="W146" t="s">
        <v>382</v>
      </c>
      <c r="X146" t="s">
        <v>383</v>
      </c>
      <c r="Y146" t="s">
        <v>60</v>
      </c>
    </row>
    <row r="147" spans="1:25" x14ac:dyDescent="0.3">
      <c r="A147">
        <v>2360</v>
      </c>
      <c r="B147" t="s">
        <v>381</v>
      </c>
      <c r="C147" t="s">
        <v>96</v>
      </c>
      <c r="D147" t="s">
        <v>207</v>
      </c>
      <c r="E147">
        <v>4</v>
      </c>
      <c r="F147" t="s">
        <v>27</v>
      </c>
      <c r="G147" t="s">
        <v>57</v>
      </c>
      <c r="H147">
        <v>1</v>
      </c>
      <c r="I147">
        <v>35820</v>
      </c>
      <c r="J147">
        <v>1800</v>
      </c>
      <c r="K147">
        <v>4</v>
      </c>
      <c r="L147">
        <v>35820</v>
      </c>
      <c r="M147">
        <v>1800</v>
      </c>
      <c r="N147" t="s">
        <v>29</v>
      </c>
      <c r="O147" t="s">
        <v>30</v>
      </c>
      <c r="P147" t="s">
        <v>31</v>
      </c>
      <c r="Q147" t="s">
        <v>32</v>
      </c>
      <c r="R147" t="s">
        <v>33</v>
      </c>
      <c r="S147" t="s">
        <v>384</v>
      </c>
      <c r="T147" t="s">
        <v>137</v>
      </c>
      <c r="U147" t="s">
        <v>60</v>
      </c>
      <c r="V147">
        <v>0.01</v>
      </c>
      <c r="W147" t="s">
        <v>70</v>
      </c>
      <c r="X147" t="s">
        <v>90</v>
      </c>
      <c r="Y147" t="s">
        <v>60</v>
      </c>
    </row>
    <row r="148" spans="1:25" x14ac:dyDescent="0.3">
      <c r="A148">
        <v>2370</v>
      </c>
      <c r="B148" t="s">
        <v>381</v>
      </c>
      <c r="C148" t="s">
        <v>385</v>
      </c>
      <c r="D148" t="s">
        <v>386</v>
      </c>
      <c r="E148">
        <v>2</v>
      </c>
      <c r="F148" t="s">
        <v>27</v>
      </c>
      <c r="G148" t="s">
        <v>57</v>
      </c>
      <c r="H148">
        <v>1</v>
      </c>
      <c r="I148">
        <v>12744</v>
      </c>
      <c r="J148">
        <v>634</v>
      </c>
      <c r="K148">
        <v>2</v>
      </c>
      <c r="L148">
        <v>12744</v>
      </c>
      <c r="M148">
        <v>634</v>
      </c>
      <c r="N148" t="s">
        <v>29</v>
      </c>
      <c r="O148" t="s">
        <v>44</v>
      </c>
      <c r="P148" t="s">
        <v>31</v>
      </c>
      <c r="Q148" t="s">
        <v>32</v>
      </c>
      <c r="R148" t="s">
        <v>33</v>
      </c>
      <c r="S148" t="s">
        <v>89</v>
      </c>
      <c r="T148" t="s">
        <v>275</v>
      </c>
      <c r="U148" t="s">
        <v>60</v>
      </c>
      <c r="V148">
        <v>1.5599999999999999E-2</v>
      </c>
      <c r="W148" t="s">
        <v>387</v>
      </c>
      <c r="X148" t="s">
        <v>193</v>
      </c>
      <c r="Y148" t="s">
        <v>60</v>
      </c>
    </row>
    <row r="149" spans="1:25" x14ac:dyDescent="0.3">
      <c r="A149">
        <v>2380</v>
      </c>
      <c r="B149" t="s">
        <v>381</v>
      </c>
      <c r="C149" t="s">
        <v>386</v>
      </c>
      <c r="D149" t="s">
        <v>106</v>
      </c>
      <c r="E149">
        <v>2</v>
      </c>
      <c r="F149" t="s">
        <v>27</v>
      </c>
      <c r="G149" t="s">
        <v>57</v>
      </c>
      <c r="H149">
        <v>1</v>
      </c>
      <c r="I149">
        <v>12744</v>
      </c>
      <c r="J149">
        <v>634</v>
      </c>
      <c r="K149">
        <v>2</v>
      </c>
      <c r="L149">
        <v>12744</v>
      </c>
      <c r="M149">
        <v>634</v>
      </c>
      <c r="N149" t="s">
        <v>29</v>
      </c>
      <c r="O149" t="s">
        <v>44</v>
      </c>
      <c r="P149" t="s">
        <v>31</v>
      </c>
      <c r="Q149" t="s">
        <v>32</v>
      </c>
      <c r="R149" t="s">
        <v>33</v>
      </c>
      <c r="S149" t="s">
        <v>388</v>
      </c>
      <c r="T149" t="s">
        <v>289</v>
      </c>
      <c r="U149" t="s">
        <v>60</v>
      </c>
      <c r="V149">
        <v>0.01</v>
      </c>
      <c r="W149" t="s">
        <v>389</v>
      </c>
      <c r="X149" t="s">
        <v>228</v>
      </c>
      <c r="Y149" t="s">
        <v>60</v>
      </c>
    </row>
    <row r="150" spans="1:25" x14ac:dyDescent="0.3">
      <c r="A150">
        <v>2390</v>
      </c>
      <c r="B150" t="s">
        <v>381</v>
      </c>
      <c r="C150" t="s">
        <v>106</v>
      </c>
      <c r="D150" t="s">
        <v>111</v>
      </c>
      <c r="E150">
        <v>2</v>
      </c>
      <c r="F150" t="s">
        <v>27</v>
      </c>
      <c r="G150" t="s">
        <v>28</v>
      </c>
      <c r="I150">
        <v>29340</v>
      </c>
      <c r="J150">
        <v>1449</v>
      </c>
      <c r="K150">
        <v>2</v>
      </c>
      <c r="L150">
        <v>29340</v>
      </c>
      <c r="M150">
        <v>1449</v>
      </c>
      <c r="N150" t="s">
        <v>29</v>
      </c>
      <c r="O150" t="s">
        <v>44</v>
      </c>
      <c r="P150" t="s">
        <v>31</v>
      </c>
      <c r="Q150" t="s">
        <v>32</v>
      </c>
      <c r="R150" t="s">
        <v>33</v>
      </c>
      <c r="S150" t="s">
        <v>390</v>
      </c>
      <c r="T150" t="s">
        <v>93</v>
      </c>
      <c r="U150" t="s">
        <v>36</v>
      </c>
      <c r="V150">
        <v>0.01</v>
      </c>
      <c r="W150" t="s">
        <v>273</v>
      </c>
      <c r="X150" t="s">
        <v>67</v>
      </c>
      <c r="Y150" t="s">
        <v>60</v>
      </c>
    </row>
    <row r="151" spans="1:25" x14ac:dyDescent="0.3">
      <c r="A151">
        <v>2400.3000000000002</v>
      </c>
      <c r="B151" t="s">
        <v>381</v>
      </c>
      <c r="C151" t="s">
        <v>111</v>
      </c>
      <c r="D151" t="s">
        <v>391</v>
      </c>
      <c r="E151">
        <v>2</v>
      </c>
      <c r="F151" t="s">
        <v>27</v>
      </c>
      <c r="G151" t="s">
        <v>28</v>
      </c>
      <c r="I151">
        <v>19170</v>
      </c>
      <c r="J151">
        <v>999</v>
      </c>
      <c r="K151">
        <v>2</v>
      </c>
      <c r="L151">
        <v>19170</v>
      </c>
      <c r="M151">
        <v>999</v>
      </c>
      <c r="N151" t="s">
        <v>43</v>
      </c>
      <c r="O151" t="s">
        <v>44</v>
      </c>
      <c r="P151" t="s">
        <v>31</v>
      </c>
      <c r="Q151" t="s">
        <v>32</v>
      </c>
      <c r="R151" t="s">
        <v>30</v>
      </c>
      <c r="S151" t="s">
        <v>216</v>
      </c>
      <c r="T151" t="s">
        <v>67</v>
      </c>
      <c r="U151" t="s">
        <v>36</v>
      </c>
      <c r="V151">
        <v>4.1000000000000002E-2</v>
      </c>
      <c r="W151" t="s">
        <v>303</v>
      </c>
      <c r="X151" t="s">
        <v>262</v>
      </c>
      <c r="Y151" t="s">
        <v>36</v>
      </c>
    </row>
    <row r="152" spans="1:25" x14ac:dyDescent="0.3">
      <c r="A152">
        <v>2410</v>
      </c>
      <c r="B152" t="s">
        <v>381</v>
      </c>
      <c r="C152" t="s">
        <v>391</v>
      </c>
      <c r="D152" t="s">
        <v>183</v>
      </c>
      <c r="E152">
        <v>2</v>
      </c>
      <c r="F152" t="s">
        <v>27</v>
      </c>
      <c r="G152" t="s">
        <v>28</v>
      </c>
      <c r="I152">
        <v>19170</v>
      </c>
      <c r="J152">
        <v>999</v>
      </c>
      <c r="K152">
        <v>2</v>
      </c>
      <c r="L152">
        <v>19170</v>
      </c>
      <c r="M152">
        <v>999</v>
      </c>
      <c r="N152" t="s">
        <v>43</v>
      </c>
      <c r="O152" t="s">
        <v>44</v>
      </c>
      <c r="P152" t="s">
        <v>31</v>
      </c>
      <c r="Q152" t="s">
        <v>32</v>
      </c>
      <c r="R152" t="s">
        <v>30</v>
      </c>
      <c r="S152" t="s">
        <v>136</v>
      </c>
      <c r="T152" t="s">
        <v>137</v>
      </c>
      <c r="U152" t="s">
        <v>36</v>
      </c>
      <c r="V152">
        <v>0.01</v>
      </c>
      <c r="W152" t="s">
        <v>190</v>
      </c>
      <c r="X152" t="s">
        <v>198</v>
      </c>
      <c r="Y152" t="s">
        <v>36</v>
      </c>
    </row>
    <row r="153" spans="1:25" x14ac:dyDescent="0.3">
      <c r="A153">
        <v>2420</v>
      </c>
      <c r="B153" t="s">
        <v>392</v>
      </c>
      <c r="C153" t="s">
        <v>334</v>
      </c>
      <c r="D153" t="s">
        <v>393</v>
      </c>
      <c r="E153">
        <v>2</v>
      </c>
      <c r="F153" t="s">
        <v>42</v>
      </c>
      <c r="G153" t="s">
        <v>57</v>
      </c>
      <c r="H153">
        <v>2</v>
      </c>
      <c r="I153">
        <v>14742</v>
      </c>
      <c r="J153">
        <v>756</v>
      </c>
      <c r="K153">
        <v>2</v>
      </c>
      <c r="L153">
        <v>14742</v>
      </c>
      <c r="M153">
        <v>756</v>
      </c>
      <c r="N153" t="s">
        <v>29</v>
      </c>
      <c r="O153" t="s">
        <v>30</v>
      </c>
      <c r="P153" t="s">
        <v>31</v>
      </c>
      <c r="Q153" t="s">
        <v>32</v>
      </c>
      <c r="R153" t="s">
        <v>33</v>
      </c>
      <c r="S153" t="s">
        <v>133</v>
      </c>
      <c r="T153" t="s">
        <v>88</v>
      </c>
      <c r="U153" t="s">
        <v>60</v>
      </c>
      <c r="V153">
        <v>0.01</v>
      </c>
      <c r="W153" t="s">
        <v>149</v>
      </c>
      <c r="X153" t="s">
        <v>144</v>
      </c>
      <c r="Y153" t="s">
        <v>60</v>
      </c>
    </row>
    <row r="154" spans="1:25" x14ac:dyDescent="0.3">
      <c r="A154">
        <v>2430</v>
      </c>
      <c r="B154" t="s">
        <v>392</v>
      </c>
      <c r="C154" t="s">
        <v>393</v>
      </c>
      <c r="D154" t="s">
        <v>394</v>
      </c>
      <c r="E154">
        <v>2</v>
      </c>
      <c r="F154" t="s">
        <v>42</v>
      </c>
      <c r="G154" t="s">
        <v>57</v>
      </c>
      <c r="H154">
        <v>2</v>
      </c>
      <c r="I154">
        <v>15479</v>
      </c>
      <c r="J154">
        <v>794</v>
      </c>
      <c r="K154">
        <v>2</v>
      </c>
      <c r="L154">
        <v>15479</v>
      </c>
      <c r="M154">
        <v>794</v>
      </c>
      <c r="N154" t="s">
        <v>29</v>
      </c>
      <c r="O154" t="s">
        <v>30</v>
      </c>
      <c r="P154" t="s">
        <v>31</v>
      </c>
      <c r="Q154" t="s">
        <v>32</v>
      </c>
      <c r="R154" t="s">
        <v>33</v>
      </c>
      <c r="S154" t="s">
        <v>182</v>
      </c>
      <c r="T154" t="s">
        <v>144</v>
      </c>
      <c r="U154" t="s">
        <v>60</v>
      </c>
      <c r="V154">
        <v>3.6700000000000003E-2</v>
      </c>
      <c r="W154" t="s">
        <v>395</v>
      </c>
      <c r="X154" t="s">
        <v>198</v>
      </c>
      <c r="Y154" t="s">
        <v>60</v>
      </c>
    </row>
    <row r="155" spans="1:25" x14ac:dyDescent="0.3">
      <c r="A155">
        <v>2450</v>
      </c>
      <c r="B155" t="s">
        <v>392</v>
      </c>
      <c r="C155" t="s">
        <v>394</v>
      </c>
      <c r="D155" t="s">
        <v>377</v>
      </c>
      <c r="E155">
        <v>2</v>
      </c>
      <c r="F155" t="s">
        <v>42</v>
      </c>
      <c r="G155" t="s">
        <v>57</v>
      </c>
      <c r="H155">
        <v>2</v>
      </c>
      <c r="I155">
        <v>14742</v>
      </c>
      <c r="J155">
        <v>756</v>
      </c>
      <c r="K155">
        <v>2</v>
      </c>
      <c r="L155">
        <v>14742</v>
      </c>
      <c r="M155">
        <v>756</v>
      </c>
      <c r="N155" t="s">
        <v>29</v>
      </c>
      <c r="O155" t="s">
        <v>30</v>
      </c>
      <c r="P155" t="s">
        <v>31</v>
      </c>
      <c r="Q155" t="s">
        <v>32</v>
      </c>
      <c r="R155" t="s">
        <v>33</v>
      </c>
      <c r="S155" t="s">
        <v>154</v>
      </c>
      <c r="T155" t="s">
        <v>126</v>
      </c>
      <c r="U155" t="s">
        <v>60</v>
      </c>
      <c r="V155">
        <v>0.01</v>
      </c>
      <c r="W155" t="s">
        <v>154</v>
      </c>
      <c r="X155" t="s">
        <v>147</v>
      </c>
      <c r="Y155" t="s">
        <v>60</v>
      </c>
    </row>
    <row r="156" spans="1:25" x14ac:dyDescent="0.3">
      <c r="A156">
        <v>2460</v>
      </c>
      <c r="B156" t="s">
        <v>392</v>
      </c>
      <c r="C156" t="s">
        <v>377</v>
      </c>
      <c r="D156" t="s">
        <v>26</v>
      </c>
      <c r="E156">
        <v>2</v>
      </c>
      <c r="F156" t="s">
        <v>42</v>
      </c>
      <c r="G156" t="s">
        <v>57</v>
      </c>
      <c r="H156">
        <v>2</v>
      </c>
      <c r="I156">
        <v>11232</v>
      </c>
      <c r="J156">
        <v>576</v>
      </c>
      <c r="K156">
        <v>2</v>
      </c>
      <c r="L156">
        <v>11232</v>
      </c>
      <c r="M156">
        <v>576</v>
      </c>
      <c r="N156" t="s">
        <v>29</v>
      </c>
      <c r="O156" t="s">
        <v>44</v>
      </c>
      <c r="P156" t="s">
        <v>31</v>
      </c>
      <c r="Q156" t="s">
        <v>32</v>
      </c>
      <c r="R156" t="s">
        <v>33</v>
      </c>
      <c r="S156" t="s">
        <v>154</v>
      </c>
      <c r="T156" t="s">
        <v>126</v>
      </c>
      <c r="U156" t="s">
        <v>60</v>
      </c>
      <c r="V156">
        <v>0.01</v>
      </c>
      <c r="W156" t="s">
        <v>154</v>
      </c>
      <c r="X156" t="s">
        <v>147</v>
      </c>
      <c r="Y156" t="s">
        <v>60</v>
      </c>
    </row>
    <row r="157" spans="1:25" x14ac:dyDescent="0.3">
      <c r="A157">
        <v>2470</v>
      </c>
      <c r="B157" t="s">
        <v>392</v>
      </c>
      <c r="C157" t="s">
        <v>334</v>
      </c>
      <c r="D157" t="s">
        <v>140</v>
      </c>
      <c r="E157">
        <v>2</v>
      </c>
      <c r="F157" t="s">
        <v>42</v>
      </c>
      <c r="G157" t="s">
        <v>57</v>
      </c>
      <c r="H157">
        <v>2</v>
      </c>
      <c r="I157">
        <v>18252</v>
      </c>
      <c r="J157">
        <v>1836</v>
      </c>
      <c r="K157">
        <v>2</v>
      </c>
      <c r="L157">
        <v>18252</v>
      </c>
      <c r="M157">
        <v>1836</v>
      </c>
      <c r="N157" t="s">
        <v>29</v>
      </c>
      <c r="O157" t="s">
        <v>396</v>
      </c>
      <c r="P157" t="s">
        <v>31</v>
      </c>
      <c r="Q157" t="s">
        <v>32</v>
      </c>
      <c r="R157" t="s">
        <v>33</v>
      </c>
      <c r="S157" t="s">
        <v>45</v>
      </c>
      <c r="T157" t="s">
        <v>46</v>
      </c>
      <c r="U157" t="s">
        <v>46</v>
      </c>
      <c r="V157">
        <v>0.01</v>
      </c>
      <c r="W157" t="s">
        <v>45</v>
      </c>
      <c r="X157" t="s">
        <v>46</v>
      </c>
      <c r="Y157" t="s">
        <v>46</v>
      </c>
    </row>
    <row r="158" spans="1:25" x14ac:dyDescent="0.3">
      <c r="A158">
        <v>2510</v>
      </c>
      <c r="B158" t="s">
        <v>334</v>
      </c>
      <c r="C158" t="s">
        <v>140</v>
      </c>
      <c r="D158" t="s">
        <v>397</v>
      </c>
      <c r="E158">
        <v>2</v>
      </c>
      <c r="F158" t="s">
        <v>42</v>
      </c>
      <c r="G158" t="s">
        <v>57</v>
      </c>
      <c r="H158">
        <v>2</v>
      </c>
      <c r="I158">
        <v>18252</v>
      </c>
      <c r="J158">
        <v>1836</v>
      </c>
      <c r="K158">
        <v>2</v>
      </c>
      <c r="L158">
        <v>18252</v>
      </c>
      <c r="M158">
        <v>1836</v>
      </c>
      <c r="N158" t="s">
        <v>29</v>
      </c>
      <c r="O158" t="s">
        <v>396</v>
      </c>
      <c r="P158" t="s">
        <v>31</v>
      </c>
      <c r="Q158" t="s">
        <v>32</v>
      </c>
      <c r="R158" t="s">
        <v>33</v>
      </c>
      <c r="S158" t="s">
        <v>45</v>
      </c>
      <c r="T158" t="s">
        <v>46</v>
      </c>
      <c r="U158" t="s">
        <v>46</v>
      </c>
      <c r="V158">
        <v>0.01</v>
      </c>
      <c r="W158" t="s">
        <v>45</v>
      </c>
      <c r="X158" t="s">
        <v>46</v>
      </c>
      <c r="Y158" t="s">
        <v>46</v>
      </c>
    </row>
    <row r="159" spans="1:25" x14ac:dyDescent="0.3">
      <c r="A159">
        <v>2545</v>
      </c>
      <c r="B159" t="s">
        <v>393</v>
      </c>
      <c r="C159" t="s">
        <v>26</v>
      </c>
      <c r="D159" t="s">
        <v>397</v>
      </c>
      <c r="E159">
        <v>4</v>
      </c>
      <c r="F159" t="s">
        <v>27</v>
      </c>
      <c r="G159" t="s">
        <v>57</v>
      </c>
      <c r="I159">
        <v>38430</v>
      </c>
      <c r="J159">
        <v>1901</v>
      </c>
      <c r="K159">
        <v>4</v>
      </c>
      <c r="L159">
        <v>38430</v>
      </c>
      <c r="M159">
        <v>1901</v>
      </c>
      <c r="N159" t="s">
        <v>29</v>
      </c>
      <c r="O159" t="s">
        <v>30</v>
      </c>
      <c r="P159" t="s">
        <v>98</v>
      </c>
      <c r="Q159" t="s">
        <v>99</v>
      </c>
      <c r="R159" t="s">
        <v>30</v>
      </c>
      <c r="S159" t="s">
        <v>102</v>
      </c>
      <c r="T159" t="s">
        <v>309</v>
      </c>
      <c r="U159" t="s">
        <v>60</v>
      </c>
      <c r="V159">
        <v>0.01</v>
      </c>
      <c r="W159" t="s">
        <v>398</v>
      </c>
      <c r="X159" t="s">
        <v>116</v>
      </c>
      <c r="Y159" t="s">
        <v>60</v>
      </c>
    </row>
    <row r="160" spans="1:25" x14ac:dyDescent="0.3">
      <c r="A160">
        <v>2550</v>
      </c>
      <c r="B160" t="s">
        <v>393</v>
      </c>
      <c r="C160" t="s">
        <v>397</v>
      </c>
      <c r="D160" t="s">
        <v>379</v>
      </c>
      <c r="E160">
        <v>4</v>
      </c>
      <c r="F160" t="s">
        <v>27</v>
      </c>
      <c r="G160" t="s">
        <v>57</v>
      </c>
      <c r="I160">
        <v>38430</v>
      </c>
      <c r="J160">
        <v>1901</v>
      </c>
      <c r="K160">
        <v>4</v>
      </c>
      <c r="L160">
        <v>38430</v>
      </c>
      <c r="M160">
        <v>1901</v>
      </c>
      <c r="N160" t="s">
        <v>29</v>
      </c>
      <c r="O160" t="s">
        <v>30</v>
      </c>
      <c r="P160" t="s">
        <v>98</v>
      </c>
      <c r="Q160" t="s">
        <v>99</v>
      </c>
      <c r="R160" t="s">
        <v>30</v>
      </c>
      <c r="S160" t="s">
        <v>102</v>
      </c>
      <c r="T160" t="s">
        <v>309</v>
      </c>
      <c r="U160" t="s">
        <v>60</v>
      </c>
      <c r="V160">
        <v>0.01</v>
      </c>
      <c r="W160" t="s">
        <v>398</v>
      </c>
      <c r="X160" t="s">
        <v>116</v>
      </c>
      <c r="Y160" t="s">
        <v>60</v>
      </c>
    </row>
    <row r="161" spans="1:25" x14ac:dyDescent="0.3">
      <c r="A161">
        <v>2570</v>
      </c>
      <c r="B161" t="s">
        <v>399</v>
      </c>
      <c r="C161" t="s">
        <v>118</v>
      </c>
      <c r="D161" t="s">
        <v>170</v>
      </c>
      <c r="E161">
        <v>2</v>
      </c>
      <c r="F161" t="s">
        <v>42</v>
      </c>
      <c r="G161" t="s">
        <v>28</v>
      </c>
      <c r="I161">
        <v>19170</v>
      </c>
      <c r="J161">
        <v>999</v>
      </c>
      <c r="K161">
        <v>2</v>
      </c>
      <c r="L161">
        <v>19170</v>
      </c>
      <c r="M161">
        <v>999</v>
      </c>
      <c r="N161" t="s">
        <v>43</v>
      </c>
      <c r="O161" t="s">
        <v>44</v>
      </c>
      <c r="P161" t="s">
        <v>31</v>
      </c>
      <c r="Q161" t="s">
        <v>32</v>
      </c>
      <c r="R161" t="s">
        <v>30</v>
      </c>
      <c r="S161" t="s">
        <v>45</v>
      </c>
      <c r="T161" t="s">
        <v>46</v>
      </c>
      <c r="U161" t="s">
        <v>46</v>
      </c>
      <c r="V161">
        <v>0.01</v>
      </c>
      <c r="W161" t="s">
        <v>45</v>
      </c>
      <c r="X161" t="s">
        <v>46</v>
      </c>
      <c r="Y161" t="s">
        <v>46</v>
      </c>
    </row>
    <row r="162" spans="1:25" x14ac:dyDescent="0.3">
      <c r="A162">
        <v>2590</v>
      </c>
      <c r="B162" t="s">
        <v>393</v>
      </c>
      <c r="C162" t="s">
        <v>379</v>
      </c>
      <c r="D162" t="s">
        <v>400</v>
      </c>
      <c r="E162">
        <v>4</v>
      </c>
      <c r="F162" t="s">
        <v>27</v>
      </c>
      <c r="G162" t="s">
        <v>57</v>
      </c>
      <c r="I162">
        <v>38430</v>
      </c>
      <c r="J162">
        <v>1901</v>
      </c>
      <c r="K162">
        <v>4</v>
      </c>
      <c r="L162">
        <v>38430</v>
      </c>
      <c r="M162">
        <v>1901</v>
      </c>
      <c r="N162" t="s">
        <v>29</v>
      </c>
      <c r="O162" t="s">
        <v>30</v>
      </c>
      <c r="P162" t="s">
        <v>98</v>
      </c>
      <c r="Q162" t="s">
        <v>99</v>
      </c>
      <c r="R162" t="s">
        <v>30</v>
      </c>
      <c r="S162" t="s">
        <v>102</v>
      </c>
      <c r="T162" t="s">
        <v>309</v>
      </c>
      <c r="U162" t="s">
        <v>60</v>
      </c>
      <c r="V162">
        <v>0.01</v>
      </c>
      <c r="W162" t="s">
        <v>398</v>
      </c>
      <c r="X162" t="s">
        <v>116</v>
      </c>
      <c r="Y162" t="s">
        <v>60</v>
      </c>
    </row>
    <row r="163" spans="1:25" x14ac:dyDescent="0.3">
      <c r="A163">
        <v>2610</v>
      </c>
      <c r="B163" t="s">
        <v>393</v>
      </c>
      <c r="C163" t="s">
        <v>400</v>
      </c>
      <c r="D163" t="s">
        <v>401</v>
      </c>
      <c r="E163">
        <v>4</v>
      </c>
      <c r="F163" t="s">
        <v>27</v>
      </c>
      <c r="G163" t="s">
        <v>57</v>
      </c>
      <c r="I163">
        <v>38430</v>
      </c>
      <c r="J163">
        <v>1901</v>
      </c>
      <c r="K163">
        <v>4</v>
      </c>
      <c r="L163">
        <v>38430</v>
      </c>
      <c r="M163">
        <v>1901</v>
      </c>
      <c r="N163" t="s">
        <v>29</v>
      </c>
      <c r="O163" t="s">
        <v>30</v>
      </c>
      <c r="P163" t="s">
        <v>98</v>
      </c>
      <c r="Q163" t="s">
        <v>99</v>
      </c>
      <c r="R163" t="s">
        <v>30</v>
      </c>
      <c r="S163" t="s">
        <v>402</v>
      </c>
      <c r="T163" t="s">
        <v>226</v>
      </c>
      <c r="U163" t="s">
        <v>60</v>
      </c>
      <c r="V163">
        <v>0.01</v>
      </c>
      <c r="W163" t="s">
        <v>403</v>
      </c>
      <c r="X163" t="s">
        <v>288</v>
      </c>
      <c r="Y163" t="s">
        <v>60</v>
      </c>
    </row>
    <row r="164" spans="1:25" x14ac:dyDescent="0.3">
      <c r="A164">
        <v>2620</v>
      </c>
      <c r="B164" t="s">
        <v>393</v>
      </c>
      <c r="C164" t="s">
        <v>401</v>
      </c>
      <c r="D164" t="s">
        <v>404</v>
      </c>
      <c r="E164">
        <v>4</v>
      </c>
      <c r="F164" t="s">
        <v>27</v>
      </c>
      <c r="G164" t="s">
        <v>57</v>
      </c>
      <c r="I164">
        <v>38430</v>
      </c>
      <c r="J164">
        <v>1901</v>
      </c>
      <c r="K164">
        <v>4</v>
      </c>
      <c r="L164">
        <v>38430</v>
      </c>
      <c r="M164">
        <v>1901</v>
      </c>
      <c r="N164" t="s">
        <v>29</v>
      </c>
      <c r="O164" t="s">
        <v>30</v>
      </c>
      <c r="P164" t="s">
        <v>98</v>
      </c>
      <c r="Q164" t="s">
        <v>99</v>
      </c>
      <c r="R164" t="s">
        <v>30</v>
      </c>
      <c r="S164" t="s">
        <v>405</v>
      </c>
      <c r="T164" t="s">
        <v>309</v>
      </c>
      <c r="U164" t="s">
        <v>60</v>
      </c>
      <c r="V164">
        <v>1.9199999999999998E-2</v>
      </c>
      <c r="W164" t="s">
        <v>406</v>
      </c>
      <c r="X164" t="s">
        <v>341</v>
      </c>
      <c r="Y164" t="s">
        <v>60</v>
      </c>
    </row>
    <row r="165" spans="1:25" x14ac:dyDescent="0.3">
      <c r="A165">
        <v>2630</v>
      </c>
      <c r="B165" t="s">
        <v>393</v>
      </c>
      <c r="C165" t="s">
        <v>404</v>
      </c>
      <c r="D165" t="s">
        <v>140</v>
      </c>
      <c r="E165">
        <v>4</v>
      </c>
      <c r="F165" t="s">
        <v>27</v>
      </c>
      <c r="G165" t="s">
        <v>57</v>
      </c>
      <c r="I165">
        <v>38430</v>
      </c>
      <c r="J165">
        <v>1901</v>
      </c>
      <c r="K165">
        <v>4</v>
      </c>
      <c r="L165">
        <v>38430</v>
      </c>
      <c r="M165">
        <v>1901</v>
      </c>
      <c r="N165" t="s">
        <v>29</v>
      </c>
      <c r="O165" t="s">
        <v>30</v>
      </c>
      <c r="P165" t="s">
        <v>98</v>
      </c>
      <c r="Q165" t="s">
        <v>99</v>
      </c>
      <c r="R165" t="s">
        <v>30</v>
      </c>
      <c r="S165" t="s">
        <v>265</v>
      </c>
      <c r="T165" t="s">
        <v>144</v>
      </c>
      <c r="U165" t="s">
        <v>60</v>
      </c>
      <c r="V165">
        <v>2.2200000000000001E-2</v>
      </c>
      <c r="W165" t="s">
        <v>138</v>
      </c>
      <c r="X165" t="s">
        <v>113</v>
      </c>
      <c r="Y165" t="s">
        <v>60</v>
      </c>
    </row>
    <row r="166" spans="1:25" x14ac:dyDescent="0.3">
      <c r="A166">
        <v>2650.1</v>
      </c>
      <c r="B166" t="s">
        <v>407</v>
      </c>
      <c r="C166" t="s">
        <v>54</v>
      </c>
      <c r="D166" t="s">
        <v>408</v>
      </c>
      <c r="E166">
        <v>2</v>
      </c>
      <c r="F166" t="s">
        <v>42</v>
      </c>
      <c r="G166" t="s">
        <v>28</v>
      </c>
      <c r="I166">
        <v>19170</v>
      </c>
      <c r="J166">
        <v>999</v>
      </c>
      <c r="K166">
        <v>2</v>
      </c>
      <c r="L166">
        <v>19170</v>
      </c>
      <c r="M166">
        <v>999</v>
      </c>
      <c r="N166" t="s">
        <v>43</v>
      </c>
      <c r="O166" t="s">
        <v>44</v>
      </c>
      <c r="P166" t="s">
        <v>31</v>
      </c>
      <c r="Q166" t="s">
        <v>32</v>
      </c>
      <c r="R166" t="s">
        <v>30</v>
      </c>
      <c r="S166" t="s">
        <v>45</v>
      </c>
      <c r="T166" t="s">
        <v>46</v>
      </c>
      <c r="U166" t="s">
        <v>46</v>
      </c>
      <c r="V166">
        <v>0.01</v>
      </c>
      <c r="W166" t="s">
        <v>45</v>
      </c>
      <c r="X166" t="s">
        <v>46</v>
      </c>
      <c r="Y166" t="s">
        <v>46</v>
      </c>
    </row>
    <row r="167" spans="1:25" x14ac:dyDescent="0.3">
      <c r="A167">
        <v>2670</v>
      </c>
      <c r="B167" t="s">
        <v>409</v>
      </c>
      <c r="C167" t="s">
        <v>377</v>
      </c>
      <c r="D167" t="s">
        <v>410</v>
      </c>
      <c r="E167">
        <v>2</v>
      </c>
      <c r="F167" t="s">
        <v>42</v>
      </c>
      <c r="G167" t="s">
        <v>28</v>
      </c>
      <c r="I167">
        <v>19170</v>
      </c>
      <c r="J167">
        <v>999</v>
      </c>
      <c r="K167">
        <v>2</v>
      </c>
      <c r="L167">
        <v>19170</v>
      </c>
      <c r="M167">
        <v>999</v>
      </c>
      <c r="N167" t="s">
        <v>43</v>
      </c>
      <c r="O167" t="s">
        <v>44</v>
      </c>
      <c r="P167" t="s">
        <v>31</v>
      </c>
      <c r="Q167" t="s">
        <v>32</v>
      </c>
      <c r="R167" t="s">
        <v>30</v>
      </c>
      <c r="S167" t="s">
        <v>411</v>
      </c>
      <c r="T167" t="s">
        <v>161</v>
      </c>
      <c r="U167" t="s">
        <v>36</v>
      </c>
      <c r="V167">
        <v>3.5499999999999997E-2</v>
      </c>
      <c r="W167" t="s">
        <v>64</v>
      </c>
      <c r="X167" t="s">
        <v>51</v>
      </c>
      <c r="Y167" t="s">
        <v>36</v>
      </c>
    </row>
    <row r="168" spans="1:25" x14ac:dyDescent="0.3">
      <c r="A168">
        <v>2700</v>
      </c>
      <c r="B168" t="s">
        <v>170</v>
      </c>
      <c r="C168" t="s">
        <v>412</v>
      </c>
      <c r="D168" t="s">
        <v>54</v>
      </c>
      <c r="E168">
        <v>2</v>
      </c>
      <c r="F168" t="s">
        <v>42</v>
      </c>
      <c r="G168" t="s">
        <v>28</v>
      </c>
      <c r="I168">
        <v>19170</v>
      </c>
      <c r="J168">
        <v>999</v>
      </c>
      <c r="K168">
        <v>2</v>
      </c>
      <c r="L168">
        <v>19170</v>
      </c>
      <c r="M168">
        <v>999</v>
      </c>
      <c r="N168" t="s">
        <v>43</v>
      </c>
      <c r="O168" t="s">
        <v>44</v>
      </c>
      <c r="P168" t="s">
        <v>31</v>
      </c>
      <c r="Q168" t="s">
        <v>32</v>
      </c>
      <c r="R168" t="s">
        <v>30</v>
      </c>
      <c r="S168" t="s">
        <v>45</v>
      </c>
      <c r="T168" t="s">
        <v>46</v>
      </c>
      <c r="U168" t="s">
        <v>46</v>
      </c>
      <c r="V168">
        <v>0.01</v>
      </c>
      <c r="W168" t="s">
        <v>45</v>
      </c>
      <c r="X168" t="s">
        <v>46</v>
      </c>
      <c r="Y168" t="s">
        <v>46</v>
      </c>
    </row>
    <row r="169" spans="1:25" x14ac:dyDescent="0.3">
      <c r="A169">
        <v>2720</v>
      </c>
      <c r="B169" t="s">
        <v>413</v>
      </c>
      <c r="C169" t="s">
        <v>377</v>
      </c>
      <c r="D169" t="s">
        <v>401</v>
      </c>
      <c r="E169">
        <v>2</v>
      </c>
      <c r="F169" t="s">
        <v>42</v>
      </c>
      <c r="G169" t="s">
        <v>57</v>
      </c>
      <c r="H169">
        <v>2</v>
      </c>
      <c r="I169">
        <v>11232</v>
      </c>
      <c r="J169">
        <v>576</v>
      </c>
      <c r="K169">
        <v>2</v>
      </c>
      <c r="L169">
        <v>11232</v>
      </c>
      <c r="M169">
        <v>576</v>
      </c>
      <c r="N169" t="s">
        <v>29</v>
      </c>
      <c r="O169" t="s">
        <v>44</v>
      </c>
      <c r="P169" t="s">
        <v>31</v>
      </c>
      <c r="Q169" t="s">
        <v>32</v>
      </c>
      <c r="R169" t="s">
        <v>33</v>
      </c>
      <c r="S169" t="s">
        <v>149</v>
      </c>
      <c r="T169" t="s">
        <v>93</v>
      </c>
      <c r="U169" t="s">
        <v>60</v>
      </c>
      <c r="V169">
        <v>0.01</v>
      </c>
      <c r="W169" t="s">
        <v>182</v>
      </c>
      <c r="X169" t="s">
        <v>67</v>
      </c>
      <c r="Y169" t="s">
        <v>60</v>
      </c>
    </row>
    <row r="170" spans="1:25" x14ac:dyDescent="0.3">
      <c r="A170">
        <v>2730</v>
      </c>
      <c r="B170" t="s">
        <v>413</v>
      </c>
      <c r="C170" t="s">
        <v>401</v>
      </c>
      <c r="D170" t="s">
        <v>404</v>
      </c>
      <c r="E170">
        <v>2</v>
      </c>
      <c r="F170" t="s">
        <v>42</v>
      </c>
      <c r="G170" t="s">
        <v>57</v>
      </c>
      <c r="H170">
        <v>1</v>
      </c>
      <c r="I170">
        <v>12744</v>
      </c>
      <c r="J170">
        <v>634</v>
      </c>
      <c r="K170">
        <v>2</v>
      </c>
      <c r="L170">
        <v>12744</v>
      </c>
      <c r="M170">
        <v>634</v>
      </c>
      <c r="N170" t="s">
        <v>29</v>
      </c>
      <c r="O170" t="s">
        <v>44</v>
      </c>
      <c r="P170" t="s">
        <v>31</v>
      </c>
      <c r="Q170" t="s">
        <v>32</v>
      </c>
      <c r="R170" t="s">
        <v>33</v>
      </c>
      <c r="S170" t="s">
        <v>127</v>
      </c>
      <c r="T170" t="s">
        <v>35</v>
      </c>
      <c r="U170" t="s">
        <v>60</v>
      </c>
      <c r="V170">
        <v>0.01</v>
      </c>
      <c r="W170" t="s">
        <v>166</v>
      </c>
      <c r="X170" t="s">
        <v>38</v>
      </c>
      <c r="Y170" t="s">
        <v>60</v>
      </c>
    </row>
    <row r="171" spans="1:25" x14ac:dyDescent="0.3">
      <c r="A171">
        <v>2740</v>
      </c>
      <c r="B171" t="s">
        <v>401</v>
      </c>
      <c r="C171" t="s">
        <v>140</v>
      </c>
      <c r="D171" t="s">
        <v>393</v>
      </c>
      <c r="E171">
        <v>4</v>
      </c>
      <c r="F171" t="s">
        <v>27</v>
      </c>
      <c r="G171" t="s">
        <v>57</v>
      </c>
      <c r="H171">
        <v>1</v>
      </c>
      <c r="I171">
        <v>35820</v>
      </c>
      <c r="J171">
        <v>1800</v>
      </c>
      <c r="K171">
        <v>4</v>
      </c>
      <c r="L171">
        <v>35820</v>
      </c>
      <c r="M171">
        <v>1800</v>
      </c>
      <c r="N171" t="s">
        <v>29</v>
      </c>
      <c r="O171" t="s">
        <v>30</v>
      </c>
      <c r="P171" t="s">
        <v>414</v>
      </c>
      <c r="Q171" t="s">
        <v>32</v>
      </c>
      <c r="R171" t="s">
        <v>33</v>
      </c>
      <c r="S171" t="s">
        <v>216</v>
      </c>
      <c r="T171" t="s">
        <v>38</v>
      </c>
      <c r="U171" t="s">
        <v>60</v>
      </c>
      <c r="V171">
        <v>0.01</v>
      </c>
      <c r="W171" t="s">
        <v>415</v>
      </c>
      <c r="X171" t="s">
        <v>53</v>
      </c>
      <c r="Y171" t="s">
        <v>60</v>
      </c>
    </row>
    <row r="172" spans="1:25" x14ac:dyDescent="0.3">
      <c r="A172">
        <v>2760</v>
      </c>
      <c r="B172" t="s">
        <v>401</v>
      </c>
      <c r="C172" t="s">
        <v>393</v>
      </c>
      <c r="D172" t="s">
        <v>413</v>
      </c>
      <c r="E172">
        <v>2</v>
      </c>
      <c r="F172" t="s">
        <v>42</v>
      </c>
      <c r="G172" t="s">
        <v>57</v>
      </c>
      <c r="H172">
        <v>2</v>
      </c>
      <c r="I172">
        <v>11232</v>
      </c>
      <c r="J172">
        <v>576</v>
      </c>
      <c r="K172">
        <v>2</v>
      </c>
      <c r="L172">
        <v>11232</v>
      </c>
      <c r="M172">
        <v>576</v>
      </c>
      <c r="N172" t="s">
        <v>29</v>
      </c>
      <c r="O172" t="s">
        <v>44</v>
      </c>
      <c r="P172" t="s">
        <v>31</v>
      </c>
      <c r="Q172" t="s">
        <v>32</v>
      </c>
      <c r="R172" t="s">
        <v>33</v>
      </c>
      <c r="S172" t="s">
        <v>384</v>
      </c>
      <c r="T172" t="s">
        <v>250</v>
      </c>
      <c r="U172" t="s">
        <v>33</v>
      </c>
      <c r="V172">
        <v>0.01</v>
      </c>
      <c r="W172" t="s">
        <v>70</v>
      </c>
      <c r="X172" t="s">
        <v>258</v>
      </c>
      <c r="Y172" t="s">
        <v>259</v>
      </c>
    </row>
    <row r="173" spans="1:25" x14ac:dyDescent="0.3">
      <c r="A173">
        <v>2770</v>
      </c>
      <c r="B173" t="s">
        <v>401</v>
      </c>
      <c r="C173" t="s">
        <v>413</v>
      </c>
      <c r="D173" t="s">
        <v>207</v>
      </c>
      <c r="E173">
        <v>2</v>
      </c>
      <c r="F173" t="s">
        <v>42</v>
      </c>
      <c r="G173" t="s">
        <v>57</v>
      </c>
      <c r="H173">
        <v>2</v>
      </c>
      <c r="I173">
        <v>11232</v>
      </c>
      <c r="J173">
        <v>576</v>
      </c>
      <c r="K173">
        <v>2</v>
      </c>
      <c r="L173">
        <v>11232</v>
      </c>
      <c r="M173">
        <v>576</v>
      </c>
      <c r="N173" t="s">
        <v>29</v>
      </c>
      <c r="O173" t="s">
        <v>44</v>
      </c>
      <c r="P173" t="s">
        <v>31</v>
      </c>
      <c r="Q173" t="s">
        <v>32</v>
      </c>
      <c r="R173" t="s">
        <v>33</v>
      </c>
      <c r="S173" t="s">
        <v>315</v>
      </c>
      <c r="T173" t="s">
        <v>416</v>
      </c>
      <c r="U173" t="s">
        <v>30</v>
      </c>
      <c r="V173">
        <v>0.01</v>
      </c>
      <c r="W173" t="s">
        <v>303</v>
      </c>
      <c r="X173" t="s">
        <v>275</v>
      </c>
      <c r="Y173" t="s">
        <v>30</v>
      </c>
    </row>
    <row r="174" spans="1:25" x14ac:dyDescent="0.3">
      <c r="A174">
        <v>2780</v>
      </c>
      <c r="B174" t="s">
        <v>401</v>
      </c>
      <c r="C174" t="s">
        <v>207</v>
      </c>
      <c r="D174" t="s">
        <v>386</v>
      </c>
      <c r="E174">
        <v>2</v>
      </c>
      <c r="F174" t="s">
        <v>42</v>
      </c>
      <c r="G174" t="s">
        <v>57</v>
      </c>
      <c r="H174">
        <v>2</v>
      </c>
      <c r="I174">
        <v>11232</v>
      </c>
      <c r="J174">
        <v>576</v>
      </c>
      <c r="K174">
        <v>2</v>
      </c>
      <c r="L174">
        <v>11232</v>
      </c>
      <c r="M174">
        <v>576</v>
      </c>
      <c r="N174" t="s">
        <v>29</v>
      </c>
      <c r="O174" t="s">
        <v>44</v>
      </c>
      <c r="P174" t="s">
        <v>31</v>
      </c>
      <c r="Q174" t="s">
        <v>32</v>
      </c>
      <c r="R174" t="s">
        <v>33</v>
      </c>
      <c r="S174" t="s">
        <v>242</v>
      </c>
      <c r="T174" t="s">
        <v>101</v>
      </c>
      <c r="U174" t="s">
        <v>60</v>
      </c>
      <c r="V174">
        <v>0.01</v>
      </c>
      <c r="W174" t="s">
        <v>199</v>
      </c>
      <c r="X174" t="s">
        <v>214</v>
      </c>
      <c r="Y174" t="s">
        <v>30</v>
      </c>
    </row>
    <row r="175" spans="1:25" x14ac:dyDescent="0.3">
      <c r="A175">
        <v>2790</v>
      </c>
      <c r="B175" t="s">
        <v>401</v>
      </c>
      <c r="C175" t="s">
        <v>386</v>
      </c>
      <c r="D175" t="s">
        <v>106</v>
      </c>
      <c r="E175">
        <v>2</v>
      </c>
      <c r="F175" t="s">
        <v>42</v>
      </c>
      <c r="G175" t="s">
        <v>57</v>
      </c>
      <c r="H175">
        <v>2</v>
      </c>
      <c r="I175">
        <v>11232</v>
      </c>
      <c r="J175">
        <v>576</v>
      </c>
      <c r="K175">
        <v>2</v>
      </c>
      <c r="L175">
        <v>11232</v>
      </c>
      <c r="M175">
        <v>576</v>
      </c>
      <c r="N175" t="s">
        <v>29</v>
      </c>
      <c r="O175" t="s">
        <v>44</v>
      </c>
      <c r="P175" t="s">
        <v>31</v>
      </c>
      <c r="Q175" t="s">
        <v>32</v>
      </c>
      <c r="R175" t="s">
        <v>33</v>
      </c>
      <c r="S175" t="s">
        <v>277</v>
      </c>
      <c r="T175" t="s">
        <v>198</v>
      </c>
      <c r="U175" t="s">
        <v>60</v>
      </c>
      <c r="V175">
        <v>0.01</v>
      </c>
      <c r="W175" t="s">
        <v>218</v>
      </c>
      <c r="X175" t="s">
        <v>65</v>
      </c>
      <c r="Y175" t="s">
        <v>60</v>
      </c>
    </row>
    <row r="176" spans="1:25" x14ac:dyDescent="0.3">
      <c r="A176">
        <v>2800</v>
      </c>
      <c r="B176" t="s">
        <v>96</v>
      </c>
      <c r="C176" t="s">
        <v>26</v>
      </c>
      <c r="D176" t="s">
        <v>377</v>
      </c>
      <c r="E176">
        <v>2</v>
      </c>
      <c r="F176" t="s">
        <v>42</v>
      </c>
      <c r="G176" t="s">
        <v>57</v>
      </c>
      <c r="H176">
        <v>2</v>
      </c>
      <c r="I176">
        <v>11232</v>
      </c>
      <c r="J176">
        <v>576</v>
      </c>
      <c r="K176">
        <v>2</v>
      </c>
      <c r="L176">
        <v>11232</v>
      </c>
      <c r="M176">
        <v>576</v>
      </c>
      <c r="N176" t="s">
        <v>29</v>
      </c>
      <c r="O176" t="s">
        <v>44</v>
      </c>
      <c r="P176" t="s">
        <v>31</v>
      </c>
      <c r="Q176" t="s">
        <v>32</v>
      </c>
      <c r="R176" t="s">
        <v>33</v>
      </c>
      <c r="S176" t="s">
        <v>127</v>
      </c>
      <c r="T176" t="s">
        <v>150</v>
      </c>
      <c r="U176" t="s">
        <v>60</v>
      </c>
      <c r="V176">
        <v>0.01</v>
      </c>
      <c r="W176" t="s">
        <v>166</v>
      </c>
      <c r="X176" t="s">
        <v>83</v>
      </c>
      <c r="Y176" t="s">
        <v>60</v>
      </c>
    </row>
    <row r="177" spans="1:25" x14ac:dyDescent="0.3">
      <c r="A177">
        <v>2830</v>
      </c>
      <c r="B177" t="s">
        <v>417</v>
      </c>
      <c r="C177" t="s">
        <v>397</v>
      </c>
      <c r="D177" t="s">
        <v>334</v>
      </c>
      <c r="E177">
        <v>2</v>
      </c>
      <c r="F177" t="s">
        <v>42</v>
      </c>
      <c r="G177" t="s">
        <v>57</v>
      </c>
      <c r="H177">
        <v>2</v>
      </c>
      <c r="I177">
        <v>11232</v>
      </c>
      <c r="J177">
        <v>576</v>
      </c>
      <c r="K177">
        <v>2</v>
      </c>
      <c r="L177">
        <v>11232</v>
      </c>
      <c r="M177">
        <v>576</v>
      </c>
      <c r="N177" t="s">
        <v>29</v>
      </c>
      <c r="O177" t="s">
        <v>44</v>
      </c>
      <c r="P177" t="s">
        <v>31</v>
      </c>
      <c r="Q177" t="s">
        <v>32</v>
      </c>
      <c r="R177" t="s">
        <v>33</v>
      </c>
      <c r="S177" t="s">
        <v>45</v>
      </c>
      <c r="T177" t="s">
        <v>46</v>
      </c>
      <c r="U177" t="s">
        <v>46</v>
      </c>
      <c r="V177">
        <v>0.01</v>
      </c>
      <c r="W177" t="s">
        <v>45</v>
      </c>
      <c r="X177" t="s">
        <v>46</v>
      </c>
      <c r="Y177" t="s">
        <v>46</v>
      </c>
    </row>
    <row r="178" spans="1:25" x14ac:dyDescent="0.3">
      <c r="A178">
        <v>2840</v>
      </c>
      <c r="B178" t="s">
        <v>417</v>
      </c>
      <c r="C178" t="s">
        <v>334</v>
      </c>
      <c r="D178" t="s">
        <v>379</v>
      </c>
      <c r="E178">
        <v>2</v>
      </c>
      <c r="F178" t="s">
        <v>42</v>
      </c>
      <c r="G178" t="s">
        <v>57</v>
      </c>
      <c r="H178">
        <v>2</v>
      </c>
      <c r="I178">
        <v>11232</v>
      </c>
      <c r="J178">
        <v>576</v>
      </c>
      <c r="K178">
        <v>2</v>
      </c>
      <c r="L178">
        <v>11232</v>
      </c>
      <c r="M178">
        <v>576</v>
      </c>
      <c r="N178" t="s">
        <v>29</v>
      </c>
      <c r="O178" t="s">
        <v>44</v>
      </c>
      <c r="P178" t="s">
        <v>31</v>
      </c>
      <c r="Q178" t="s">
        <v>32</v>
      </c>
      <c r="R178" t="s">
        <v>33</v>
      </c>
      <c r="S178" t="s">
        <v>45</v>
      </c>
      <c r="T178" t="s">
        <v>46</v>
      </c>
      <c r="U178" t="s">
        <v>46</v>
      </c>
      <c r="V178">
        <v>0.01</v>
      </c>
      <c r="W178" t="s">
        <v>45</v>
      </c>
      <c r="X178" t="s">
        <v>46</v>
      </c>
      <c r="Y178" t="s">
        <v>46</v>
      </c>
    </row>
    <row r="179" spans="1:25" x14ac:dyDescent="0.3">
      <c r="A179">
        <v>2850</v>
      </c>
      <c r="B179" t="s">
        <v>417</v>
      </c>
      <c r="C179" t="s">
        <v>379</v>
      </c>
      <c r="D179" t="s">
        <v>401</v>
      </c>
      <c r="E179">
        <v>2</v>
      </c>
      <c r="F179" t="s">
        <v>42</v>
      </c>
      <c r="G179" t="s">
        <v>57</v>
      </c>
      <c r="H179">
        <v>2</v>
      </c>
      <c r="I179">
        <v>11232</v>
      </c>
      <c r="J179">
        <v>576</v>
      </c>
      <c r="K179">
        <v>2</v>
      </c>
      <c r="L179">
        <v>11232</v>
      </c>
      <c r="M179">
        <v>576</v>
      </c>
      <c r="N179" t="s">
        <v>29</v>
      </c>
      <c r="O179" t="s">
        <v>44</v>
      </c>
      <c r="P179" t="s">
        <v>31</v>
      </c>
      <c r="Q179" t="s">
        <v>32</v>
      </c>
      <c r="R179" t="s">
        <v>33</v>
      </c>
      <c r="S179" t="s">
        <v>182</v>
      </c>
      <c r="T179" t="s">
        <v>67</v>
      </c>
      <c r="U179" t="s">
        <v>60</v>
      </c>
      <c r="V179">
        <v>4.1599999999999998E-2</v>
      </c>
      <c r="W179" t="s">
        <v>115</v>
      </c>
      <c r="X179" t="s">
        <v>262</v>
      </c>
      <c r="Y179" t="s">
        <v>60</v>
      </c>
    </row>
    <row r="180" spans="1:25" x14ac:dyDescent="0.3">
      <c r="A180">
        <v>2860</v>
      </c>
      <c r="B180" t="s">
        <v>417</v>
      </c>
      <c r="C180" t="s">
        <v>401</v>
      </c>
      <c r="D180" t="s">
        <v>140</v>
      </c>
      <c r="E180">
        <v>2</v>
      </c>
      <c r="F180" t="s">
        <v>42</v>
      </c>
      <c r="G180" t="s">
        <v>57</v>
      </c>
      <c r="H180">
        <v>2</v>
      </c>
      <c r="I180">
        <v>11232</v>
      </c>
      <c r="J180">
        <v>576</v>
      </c>
      <c r="K180">
        <v>2</v>
      </c>
      <c r="L180">
        <v>11232</v>
      </c>
      <c r="M180">
        <v>576</v>
      </c>
      <c r="N180" t="s">
        <v>29</v>
      </c>
      <c r="O180" t="s">
        <v>44</v>
      </c>
      <c r="P180" t="s">
        <v>31</v>
      </c>
      <c r="Q180" t="s">
        <v>32</v>
      </c>
      <c r="R180" t="s">
        <v>33</v>
      </c>
      <c r="S180" t="s">
        <v>145</v>
      </c>
      <c r="T180" t="s">
        <v>51</v>
      </c>
      <c r="U180" t="s">
        <v>60</v>
      </c>
      <c r="V180">
        <v>0.01</v>
      </c>
      <c r="W180" t="s">
        <v>52</v>
      </c>
      <c r="X180" t="s">
        <v>130</v>
      </c>
      <c r="Y180" t="s">
        <v>60</v>
      </c>
    </row>
    <row r="181" spans="1:25" x14ac:dyDescent="0.3">
      <c r="A181">
        <v>2870</v>
      </c>
      <c r="B181" t="s">
        <v>207</v>
      </c>
      <c r="C181" t="s">
        <v>377</v>
      </c>
      <c r="D181" t="s">
        <v>401</v>
      </c>
      <c r="E181">
        <v>2</v>
      </c>
      <c r="F181" t="s">
        <v>42</v>
      </c>
      <c r="G181" t="s">
        <v>57</v>
      </c>
      <c r="H181">
        <v>2</v>
      </c>
      <c r="I181">
        <v>11232</v>
      </c>
      <c r="J181">
        <v>576</v>
      </c>
      <c r="K181">
        <v>2</v>
      </c>
      <c r="L181">
        <v>11232</v>
      </c>
      <c r="M181">
        <v>576</v>
      </c>
      <c r="N181" t="s">
        <v>29</v>
      </c>
      <c r="O181" t="s">
        <v>44</v>
      </c>
      <c r="P181" t="s">
        <v>31</v>
      </c>
      <c r="Q181" t="s">
        <v>32</v>
      </c>
      <c r="R181" t="s">
        <v>33</v>
      </c>
      <c r="S181" t="s">
        <v>390</v>
      </c>
      <c r="T181" t="s">
        <v>357</v>
      </c>
      <c r="U181" t="s">
        <v>30</v>
      </c>
      <c r="V181">
        <v>3.3799999999999997E-2</v>
      </c>
      <c r="W181" t="s">
        <v>72</v>
      </c>
      <c r="X181" t="s">
        <v>344</v>
      </c>
      <c r="Y181" t="s">
        <v>259</v>
      </c>
    </row>
    <row r="182" spans="1:25" x14ac:dyDescent="0.3">
      <c r="A182">
        <v>2880.1</v>
      </c>
      <c r="B182" t="s">
        <v>207</v>
      </c>
      <c r="C182" t="s">
        <v>401</v>
      </c>
      <c r="D182" t="s">
        <v>404</v>
      </c>
      <c r="E182">
        <v>2</v>
      </c>
      <c r="F182" t="s">
        <v>42</v>
      </c>
      <c r="G182" t="s">
        <v>57</v>
      </c>
      <c r="H182">
        <v>2</v>
      </c>
      <c r="I182">
        <v>11232</v>
      </c>
      <c r="J182">
        <v>576</v>
      </c>
      <c r="K182">
        <v>2</v>
      </c>
      <c r="L182">
        <v>11232</v>
      </c>
      <c r="M182">
        <v>576</v>
      </c>
      <c r="N182" t="s">
        <v>29</v>
      </c>
      <c r="O182" t="s">
        <v>44</v>
      </c>
      <c r="P182" t="s">
        <v>31</v>
      </c>
      <c r="Q182" t="s">
        <v>32</v>
      </c>
      <c r="R182" t="s">
        <v>33</v>
      </c>
      <c r="S182" t="s">
        <v>315</v>
      </c>
      <c r="T182" t="s">
        <v>416</v>
      </c>
      <c r="U182" t="s">
        <v>30</v>
      </c>
      <c r="V182">
        <v>0.01</v>
      </c>
      <c r="W182" t="s">
        <v>303</v>
      </c>
      <c r="X182" t="s">
        <v>275</v>
      </c>
      <c r="Y182" t="s">
        <v>30</v>
      </c>
    </row>
    <row r="183" spans="1:25" x14ac:dyDescent="0.3">
      <c r="A183">
        <v>2890</v>
      </c>
      <c r="B183" t="s">
        <v>207</v>
      </c>
      <c r="C183" t="s">
        <v>404</v>
      </c>
      <c r="D183" t="s">
        <v>206</v>
      </c>
      <c r="E183">
        <v>2</v>
      </c>
      <c r="F183" t="s">
        <v>42</v>
      </c>
      <c r="G183" t="s">
        <v>57</v>
      </c>
      <c r="H183">
        <v>2</v>
      </c>
      <c r="I183">
        <v>11232</v>
      </c>
      <c r="J183">
        <v>576</v>
      </c>
      <c r="K183">
        <v>2</v>
      </c>
      <c r="L183">
        <v>11232</v>
      </c>
      <c r="M183">
        <v>576</v>
      </c>
      <c r="N183" t="s">
        <v>29</v>
      </c>
      <c r="O183" t="s">
        <v>44</v>
      </c>
      <c r="P183" t="s">
        <v>31</v>
      </c>
      <c r="Q183" t="s">
        <v>32</v>
      </c>
      <c r="R183" t="s">
        <v>33</v>
      </c>
      <c r="S183" t="s">
        <v>415</v>
      </c>
      <c r="T183" t="s">
        <v>191</v>
      </c>
      <c r="U183" t="s">
        <v>30</v>
      </c>
      <c r="V183">
        <v>2.1000000000000001E-2</v>
      </c>
      <c r="W183" t="s">
        <v>315</v>
      </c>
      <c r="X183" t="s">
        <v>416</v>
      </c>
      <c r="Y183" t="s">
        <v>30</v>
      </c>
    </row>
    <row r="184" spans="1:25" x14ac:dyDescent="0.3">
      <c r="A184">
        <v>2900</v>
      </c>
      <c r="B184" t="s">
        <v>404</v>
      </c>
      <c r="C184" t="s">
        <v>418</v>
      </c>
      <c r="D184" t="s">
        <v>63</v>
      </c>
      <c r="E184">
        <v>2</v>
      </c>
      <c r="F184" t="s">
        <v>42</v>
      </c>
      <c r="G184" t="s">
        <v>28</v>
      </c>
      <c r="I184">
        <v>19170</v>
      </c>
      <c r="J184">
        <v>999</v>
      </c>
      <c r="K184">
        <v>2</v>
      </c>
      <c r="L184">
        <v>19170</v>
      </c>
      <c r="M184">
        <v>999</v>
      </c>
      <c r="N184" t="s">
        <v>43</v>
      </c>
      <c r="O184" t="s">
        <v>44</v>
      </c>
      <c r="P184" t="s">
        <v>31</v>
      </c>
      <c r="Q184" t="s">
        <v>32</v>
      </c>
      <c r="R184" t="s">
        <v>30</v>
      </c>
      <c r="S184" t="s">
        <v>52</v>
      </c>
      <c r="T184" t="s">
        <v>126</v>
      </c>
      <c r="U184" t="s">
        <v>36</v>
      </c>
      <c r="V184">
        <v>1.09E-2</v>
      </c>
      <c r="W184" t="s">
        <v>125</v>
      </c>
      <c r="X184" t="s">
        <v>147</v>
      </c>
      <c r="Y184" t="s">
        <v>36</v>
      </c>
    </row>
    <row r="185" spans="1:25" x14ac:dyDescent="0.3">
      <c r="A185">
        <v>2920</v>
      </c>
      <c r="B185" t="s">
        <v>404</v>
      </c>
      <c r="C185" t="s">
        <v>419</v>
      </c>
      <c r="D185" t="s">
        <v>420</v>
      </c>
      <c r="E185">
        <v>2</v>
      </c>
      <c r="F185" t="s">
        <v>27</v>
      </c>
      <c r="G185" t="s">
        <v>57</v>
      </c>
      <c r="H185">
        <v>1</v>
      </c>
      <c r="I185">
        <v>12744</v>
      </c>
      <c r="J185">
        <v>634</v>
      </c>
      <c r="K185">
        <v>2</v>
      </c>
      <c r="L185">
        <v>12744</v>
      </c>
      <c r="M185">
        <v>634</v>
      </c>
      <c r="N185" t="s">
        <v>29</v>
      </c>
      <c r="O185" t="s">
        <v>44</v>
      </c>
      <c r="P185" t="s">
        <v>31</v>
      </c>
      <c r="Q185" t="s">
        <v>32</v>
      </c>
      <c r="R185" t="s">
        <v>33</v>
      </c>
      <c r="S185" t="s">
        <v>421</v>
      </c>
      <c r="T185" t="s">
        <v>256</v>
      </c>
      <c r="U185" t="s">
        <v>30</v>
      </c>
      <c r="V185">
        <v>0.01</v>
      </c>
      <c r="W185" t="s">
        <v>422</v>
      </c>
      <c r="X185" t="s">
        <v>423</v>
      </c>
      <c r="Y185" t="s">
        <v>259</v>
      </c>
    </row>
    <row r="186" spans="1:25" x14ac:dyDescent="0.3">
      <c r="A186">
        <v>2930</v>
      </c>
      <c r="B186" t="s">
        <v>404</v>
      </c>
      <c r="C186" t="s">
        <v>420</v>
      </c>
      <c r="D186" t="s">
        <v>207</v>
      </c>
      <c r="E186">
        <v>2</v>
      </c>
      <c r="F186" t="s">
        <v>27</v>
      </c>
      <c r="G186" t="s">
        <v>57</v>
      </c>
      <c r="H186">
        <v>1</v>
      </c>
      <c r="I186">
        <v>12744</v>
      </c>
      <c r="J186">
        <v>634</v>
      </c>
      <c r="K186">
        <v>2</v>
      </c>
      <c r="L186">
        <v>12744</v>
      </c>
      <c r="M186">
        <v>634</v>
      </c>
      <c r="N186" t="s">
        <v>29</v>
      </c>
      <c r="O186" t="s">
        <v>44</v>
      </c>
      <c r="P186" t="s">
        <v>31</v>
      </c>
      <c r="Q186" t="s">
        <v>32</v>
      </c>
      <c r="R186" t="s">
        <v>33</v>
      </c>
      <c r="S186" t="s">
        <v>424</v>
      </c>
      <c r="T186" t="s">
        <v>425</v>
      </c>
      <c r="U186" t="s">
        <v>30</v>
      </c>
      <c r="V186">
        <v>1.8599999999999998E-2</v>
      </c>
      <c r="W186" t="s">
        <v>426</v>
      </c>
      <c r="X186" t="s">
        <v>427</v>
      </c>
      <c r="Y186" t="s">
        <v>259</v>
      </c>
    </row>
    <row r="187" spans="1:25" x14ac:dyDescent="0.3">
      <c r="A187">
        <v>2940</v>
      </c>
      <c r="B187" t="s">
        <v>404</v>
      </c>
      <c r="C187" t="s">
        <v>207</v>
      </c>
      <c r="D187" t="s">
        <v>386</v>
      </c>
      <c r="E187">
        <v>2</v>
      </c>
      <c r="F187" t="s">
        <v>42</v>
      </c>
      <c r="G187" t="s">
        <v>57</v>
      </c>
      <c r="H187">
        <v>1</v>
      </c>
      <c r="I187">
        <v>12744</v>
      </c>
      <c r="J187">
        <v>634</v>
      </c>
      <c r="K187">
        <v>2</v>
      </c>
      <c r="L187">
        <v>12744</v>
      </c>
      <c r="M187">
        <v>634</v>
      </c>
      <c r="N187" t="s">
        <v>29</v>
      </c>
      <c r="O187" t="s">
        <v>44</v>
      </c>
      <c r="P187" t="s">
        <v>31</v>
      </c>
      <c r="Q187" t="s">
        <v>32</v>
      </c>
      <c r="R187" t="s">
        <v>33</v>
      </c>
      <c r="S187" t="s">
        <v>428</v>
      </c>
      <c r="T187" t="s">
        <v>62</v>
      </c>
      <c r="U187" t="s">
        <v>60</v>
      </c>
      <c r="V187">
        <v>0.01</v>
      </c>
      <c r="W187" t="s">
        <v>429</v>
      </c>
      <c r="X187" t="s">
        <v>430</v>
      </c>
      <c r="Y187" t="s">
        <v>60</v>
      </c>
    </row>
    <row r="188" spans="1:25" x14ac:dyDescent="0.3">
      <c r="A188">
        <v>2950</v>
      </c>
      <c r="B188" t="s">
        <v>404</v>
      </c>
      <c r="C188" t="s">
        <v>386</v>
      </c>
      <c r="D188" t="s">
        <v>106</v>
      </c>
      <c r="E188">
        <v>2</v>
      </c>
      <c r="F188" t="s">
        <v>42</v>
      </c>
      <c r="G188" t="s">
        <v>28</v>
      </c>
      <c r="I188">
        <v>9270</v>
      </c>
      <c r="J188">
        <v>486</v>
      </c>
      <c r="K188">
        <v>2</v>
      </c>
      <c r="L188">
        <v>9270</v>
      </c>
      <c r="M188">
        <v>486</v>
      </c>
      <c r="N188" t="s">
        <v>43</v>
      </c>
      <c r="O188" t="s">
        <v>44</v>
      </c>
      <c r="P188" t="s">
        <v>31</v>
      </c>
      <c r="Q188" t="s">
        <v>32</v>
      </c>
      <c r="R188" t="s">
        <v>36</v>
      </c>
      <c r="S188" t="s">
        <v>149</v>
      </c>
      <c r="T188" t="s">
        <v>181</v>
      </c>
      <c r="U188" t="s">
        <v>36</v>
      </c>
      <c r="V188">
        <v>0.01</v>
      </c>
      <c r="W188" t="s">
        <v>182</v>
      </c>
      <c r="X188" t="s">
        <v>114</v>
      </c>
      <c r="Y188" t="s">
        <v>36</v>
      </c>
    </row>
    <row r="189" spans="1:25" x14ac:dyDescent="0.3">
      <c r="A189">
        <v>2990</v>
      </c>
      <c r="B189" t="s">
        <v>202</v>
      </c>
      <c r="C189" t="s">
        <v>63</v>
      </c>
      <c r="D189" t="s">
        <v>54</v>
      </c>
      <c r="E189">
        <v>2</v>
      </c>
      <c r="F189" t="s">
        <v>42</v>
      </c>
      <c r="G189" t="s">
        <v>28</v>
      </c>
      <c r="I189">
        <v>19170</v>
      </c>
      <c r="J189">
        <v>999</v>
      </c>
      <c r="K189">
        <v>2</v>
      </c>
      <c r="L189">
        <v>19170</v>
      </c>
      <c r="M189">
        <v>999</v>
      </c>
      <c r="N189" t="s">
        <v>43</v>
      </c>
      <c r="O189" t="s">
        <v>44</v>
      </c>
      <c r="P189" t="s">
        <v>31</v>
      </c>
      <c r="Q189" t="s">
        <v>32</v>
      </c>
      <c r="R189" t="s">
        <v>30</v>
      </c>
      <c r="S189" t="s">
        <v>45</v>
      </c>
      <c r="T189" t="s">
        <v>46</v>
      </c>
      <c r="U189" t="s">
        <v>46</v>
      </c>
      <c r="V189">
        <v>0.01</v>
      </c>
      <c r="W189" t="s">
        <v>45</v>
      </c>
      <c r="X189" t="s">
        <v>46</v>
      </c>
      <c r="Y189" t="s">
        <v>46</v>
      </c>
    </row>
    <row r="190" spans="1:25" x14ac:dyDescent="0.3">
      <c r="A190">
        <v>3040</v>
      </c>
      <c r="B190" t="s">
        <v>118</v>
      </c>
      <c r="C190" t="s">
        <v>431</v>
      </c>
      <c r="D190" t="s">
        <v>404</v>
      </c>
      <c r="E190">
        <v>2</v>
      </c>
      <c r="F190" t="s">
        <v>42</v>
      </c>
      <c r="G190" t="s">
        <v>57</v>
      </c>
      <c r="H190">
        <v>1</v>
      </c>
      <c r="I190">
        <v>12744</v>
      </c>
      <c r="J190">
        <v>634</v>
      </c>
      <c r="K190">
        <v>2</v>
      </c>
      <c r="L190">
        <v>12744</v>
      </c>
      <c r="M190">
        <v>634</v>
      </c>
      <c r="N190" t="s">
        <v>29</v>
      </c>
      <c r="O190" t="s">
        <v>44</v>
      </c>
      <c r="P190" t="s">
        <v>414</v>
      </c>
      <c r="Q190" t="s">
        <v>32</v>
      </c>
      <c r="R190" t="s">
        <v>33</v>
      </c>
      <c r="S190" t="s">
        <v>45</v>
      </c>
      <c r="T190" t="s">
        <v>46</v>
      </c>
      <c r="U190" t="s">
        <v>46</v>
      </c>
      <c r="V190">
        <v>0.01</v>
      </c>
      <c r="W190" t="s">
        <v>45</v>
      </c>
      <c r="X190" t="s">
        <v>46</v>
      </c>
      <c r="Y190" t="s">
        <v>46</v>
      </c>
    </row>
    <row r="191" spans="1:25" x14ac:dyDescent="0.3">
      <c r="A191">
        <v>3050.1</v>
      </c>
      <c r="B191" t="s">
        <v>118</v>
      </c>
      <c r="C191" t="s">
        <v>404</v>
      </c>
      <c r="D191" t="s">
        <v>25</v>
      </c>
      <c r="E191">
        <v>2</v>
      </c>
      <c r="F191" t="s">
        <v>42</v>
      </c>
      <c r="G191" t="s">
        <v>57</v>
      </c>
      <c r="H191">
        <v>1</v>
      </c>
      <c r="I191">
        <v>12744</v>
      </c>
      <c r="J191">
        <v>634</v>
      </c>
      <c r="K191">
        <v>2</v>
      </c>
      <c r="L191">
        <v>12744</v>
      </c>
      <c r="M191">
        <v>634</v>
      </c>
      <c r="N191" t="s">
        <v>29</v>
      </c>
      <c r="O191" t="s">
        <v>44</v>
      </c>
      <c r="P191" t="s">
        <v>414</v>
      </c>
      <c r="Q191" t="s">
        <v>32</v>
      </c>
      <c r="R191" t="s">
        <v>33</v>
      </c>
      <c r="S191" t="s">
        <v>109</v>
      </c>
      <c r="T191" t="s">
        <v>110</v>
      </c>
      <c r="U191" t="s">
        <v>60</v>
      </c>
      <c r="V191">
        <v>0.01</v>
      </c>
      <c r="W191" t="s">
        <v>82</v>
      </c>
      <c r="X191" t="s">
        <v>103</v>
      </c>
      <c r="Y191" t="s">
        <v>60</v>
      </c>
    </row>
    <row r="192" spans="1:25" x14ac:dyDescent="0.3">
      <c r="A192">
        <v>3060</v>
      </c>
      <c r="B192" t="s">
        <v>118</v>
      </c>
      <c r="C192" t="s">
        <v>25</v>
      </c>
      <c r="D192" t="s">
        <v>111</v>
      </c>
      <c r="E192">
        <v>2</v>
      </c>
      <c r="F192" t="s">
        <v>42</v>
      </c>
      <c r="G192" t="s">
        <v>28</v>
      </c>
      <c r="I192">
        <v>29340</v>
      </c>
      <c r="J192">
        <v>1449</v>
      </c>
      <c r="K192">
        <v>2</v>
      </c>
      <c r="L192">
        <v>29340</v>
      </c>
      <c r="M192">
        <v>1449</v>
      </c>
      <c r="N192" t="s">
        <v>29</v>
      </c>
      <c r="O192" t="s">
        <v>44</v>
      </c>
      <c r="P192" t="s">
        <v>31</v>
      </c>
      <c r="Q192" t="s">
        <v>32</v>
      </c>
      <c r="R192" t="s">
        <v>33</v>
      </c>
      <c r="S192" t="s">
        <v>286</v>
      </c>
      <c r="T192" t="s">
        <v>144</v>
      </c>
      <c r="U192" t="s">
        <v>36</v>
      </c>
      <c r="V192">
        <v>3.6600000000000001E-2</v>
      </c>
      <c r="W192" t="s">
        <v>380</v>
      </c>
      <c r="X192" t="s">
        <v>198</v>
      </c>
      <c r="Y192" t="s">
        <v>36</v>
      </c>
    </row>
    <row r="193" spans="1:25" x14ac:dyDescent="0.3">
      <c r="A193">
        <v>3070.2</v>
      </c>
      <c r="B193" t="s">
        <v>118</v>
      </c>
      <c r="C193" t="s">
        <v>111</v>
      </c>
      <c r="D193" t="s">
        <v>119</v>
      </c>
      <c r="E193">
        <v>2</v>
      </c>
      <c r="F193" t="s">
        <v>42</v>
      </c>
      <c r="G193" t="s">
        <v>28</v>
      </c>
      <c r="I193">
        <v>19170</v>
      </c>
      <c r="J193">
        <v>999</v>
      </c>
      <c r="K193">
        <v>2</v>
      </c>
      <c r="L193">
        <v>19170</v>
      </c>
      <c r="M193">
        <v>999</v>
      </c>
      <c r="N193" t="s">
        <v>43</v>
      </c>
      <c r="O193" t="s">
        <v>44</v>
      </c>
      <c r="P193" t="s">
        <v>31</v>
      </c>
      <c r="Q193" t="s">
        <v>32</v>
      </c>
      <c r="R193" t="s">
        <v>30</v>
      </c>
      <c r="S193" t="s">
        <v>286</v>
      </c>
      <c r="T193" t="s">
        <v>272</v>
      </c>
      <c r="U193" t="s">
        <v>36</v>
      </c>
      <c r="V193">
        <v>3.6600000000000001E-2</v>
      </c>
      <c r="W193" t="s">
        <v>380</v>
      </c>
      <c r="X193" t="s">
        <v>214</v>
      </c>
      <c r="Y193" t="s">
        <v>36</v>
      </c>
    </row>
    <row r="194" spans="1:25" x14ac:dyDescent="0.3">
      <c r="A194">
        <v>3080</v>
      </c>
      <c r="B194" t="s">
        <v>410</v>
      </c>
      <c r="C194" t="s">
        <v>409</v>
      </c>
      <c r="D194" t="s">
        <v>54</v>
      </c>
      <c r="E194">
        <v>2</v>
      </c>
      <c r="F194" t="s">
        <v>42</v>
      </c>
      <c r="G194" t="s">
        <v>28</v>
      </c>
      <c r="I194">
        <v>19170</v>
      </c>
      <c r="J194">
        <v>999</v>
      </c>
      <c r="K194">
        <v>2</v>
      </c>
      <c r="L194">
        <v>19170</v>
      </c>
      <c r="M194">
        <v>999</v>
      </c>
      <c r="N194" t="s">
        <v>43</v>
      </c>
      <c r="O194" t="s">
        <v>44</v>
      </c>
      <c r="P194" t="s">
        <v>31</v>
      </c>
      <c r="Q194" t="s">
        <v>32</v>
      </c>
      <c r="R194" t="s">
        <v>30</v>
      </c>
      <c r="S194" t="s">
        <v>432</v>
      </c>
      <c r="T194" t="s">
        <v>167</v>
      </c>
      <c r="U194" t="s">
        <v>36</v>
      </c>
      <c r="V194">
        <v>0.01</v>
      </c>
      <c r="W194" t="s">
        <v>269</v>
      </c>
      <c r="X194" t="s">
        <v>161</v>
      </c>
      <c r="Y194" t="s">
        <v>36</v>
      </c>
    </row>
    <row r="195" spans="1:25" x14ac:dyDescent="0.3">
      <c r="A195">
        <v>3090.1</v>
      </c>
      <c r="B195" t="s">
        <v>106</v>
      </c>
      <c r="C195" t="s">
        <v>26</v>
      </c>
      <c r="D195" t="s">
        <v>433</v>
      </c>
      <c r="E195">
        <v>2</v>
      </c>
      <c r="F195" t="s">
        <v>27</v>
      </c>
      <c r="G195" t="s">
        <v>57</v>
      </c>
      <c r="I195">
        <v>17920</v>
      </c>
      <c r="J195">
        <v>888</v>
      </c>
      <c r="K195">
        <v>2</v>
      </c>
      <c r="L195">
        <v>17920</v>
      </c>
      <c r="M195">
        <v>888</v>
      </c>
      <c r="N195" t="s">
        <v>29</v>
      </c>
      <c r="O195" t="s">
        <v>44</v>
      </c>
      <c r="P195" t="s">
        <v>98</v>
      </c>
      <c r="Q195" t="s">
        <v>99</v>
      </c>
      <c r="R195" t="s">
        <v>30</v>
      </c>
      <c r="S195" t="s">
        <v>238</v>
      </c>
      <c r="T195" t="s">
        <v>191</v>
      </c>
      <c r="U195" t="s">
        <v>60</v>
      </c>
      <c r="V195">
        <v>0.01</v>
      </c>
      <c r="W195" t="s">
        <v>434</v>
      </c>
      <c r="X195" t="s">
        <v>294</v>
      </c>
      <c r="Y195" t="s">
        <v>60</v>
      </c>
    </row>
    <row r="196" spans="1:25" x14ac:dyDescent="0.3">
      <c r="A196">
        <v>3100</v>
      </c>
      <c r="B196" t="s">
        <v>106</v>
      </c>
      <c r="C196" t="s">
        <v>433</v>
      </c>
      <c r="D196" t="s">
        <v>377</v>
      </c>
      <c r="E196">
        <v>2</v>
      </c>
      <c r="F196" t="s">
        <v>27</v>
      </c>
      <c r="G196" t="s">
        <v>57</v>
      </c>
      <c r="I196">
        <v>17920</v>
      </c>
      <c r="J196">
        <v>888</v>
      </c>
      <c r="K196">
        <v>2</v>
      </c>
      <c r="L196">
        <v>17920</v>
      </c>
      <c r="M196">
        <v>888</v>
      </c>
      <c r="N196" t="s">
        <v>29</v>
      </c>
      <c r="O196" t="s">
        <v>44</v>
      </c>
      <c r="P196" t="s">
        <v>98</v>
      </c>
      <c r="Q196" t="s">
        <v>99</v>
      </c>
      <c r="R196" t="s">
        <v>30</v>
      </c>
      <c r="S196" t="s">
        <v>238</v>
      </c>
      <c r="T196" t="s">
        <v>191</v>
      </c>
      <c r="U196" t="s">
        <v>60</v>
      </c>
      <c r="V196">
        <v>0.01</v>
      </c>
      <c r="W196" t="s">
        <v>434</v>
      </c>
      <c r="X196" t="s">
        <v>294</v>
      </c>
      <c r="Y196" t="s">
        <v>60</v>
      </c>
    </row>
    <row r="197" spans="1:25" x14ac:dyDescent="0.3">
      <c r="A197">
        <v>3110</v>
      </c>
      <c r="B197" t="s">
        <v>106</v>
      </c>
      <c r="C197" t="s">
        <v>377</v>
      </c>
      <c r="D197" t="s">
        <v>404</v>
      </c>
      <c r="E197">
        <v>2</v>
      </c>
      <c r="F197" t="s">
        <v>27</v>
      </c>
      <c r="G197" t="s">
        <v>28</v>
      </c>
      <c r="I197">
        <v>19600</v>
      </c>
      <c r="J197">
        <v>970</v>
      </c>
      <c r="K197">
        <v>2</v>
      </c>
      <c r="L197">
        <v>19600</v>
      </c>
      <c r="M197">
        <v>970</v>
      </c>
      <c r="N197" t="s">
        <v>43</v>
      </c>
      <c r="O197" t="s">
        <v>44</v>
      </c>
      <c r="P197" t="s">
        <v>98</v>
      </c>
      <c r="Q197" t="s">
        <v>99</v>
      </c>
      <c r="R197" t="s">
        <v>60</v>
      </c>
      <c r="S197" t="s">
        <v>421</v>
      </c>
      <c r="T197" t="s">
        <v>289</v>
      </c>
      <c r="U197" t="s">
        <v>60</v>
      </c>
      <c r="V197">
        <v>0.01</v>
      </c>
      <c r="W197" t="s">
        <v>422</v>
      </c>
      <c r="X197" t="s">
        <v>228</v>
      </c>
      <c r="Y197" t="s">
        <v>60</v>
      </c>
    </row>
    <row r="198" spans="1:25" x14ac:dyDescent="0.3">
      <c r="A198">
        <v>3130</v>
      </c>
      <c r="B198" t="s">
        <v>106</v>
      </c>
      <c r="C198" t="s">
        <v>404</v>
      </c>
      <c r="D198" t="s">
        <v>435</v>
      </c>
      <c r="E198">
        <v>2</v>
      </c>
      <c r="F198" t="s">
        <v>27</v>
      </c>
      <c r="G198" t="s">
        <v>28</v>
      </c>
      <c r="I198">
        <v>8200</v>
      </c>
      <c r="J198">
        <v>430</v>
      </c>
      <c r="K198">
        <v>2</v>
      </c>
      <c r="L198">
        <v>8200</v>
      </c>
      <c r="M198">
        <v>430</v>
      </c>
      <c r="N198" t="s">
        <v>43</v>
      </c>
      <c r="O198" t="s">
        <v>44</v>
      </c>
      <c r="P198" t="s">
        <v>98</v>
      </c>
      <c r="Q198" t="s">
        <v>99</v>
      </c>
      <c r="R198" t="s">
        <v>60</v>
      </c>
      <c r="S198" t="s">
        <v>340</v>
      </c>
      <c r="T198" t="s">
        <v>436</v>
      </c>
      <c r="U198" t="s">
        <v>60</v>
      </c>
      <c r="V198">
        <v>2.4500000000000001E-2</v>
      </c>
      <c r="W198" t="s">
        <v>380</v>
      </c>
      <c r="X198" t="s">
        <v>437</v>
      </c>
      <c r="Y198" t="s">
        <v>30</v>
      </c>
    </row>
    <row r="199" spans="1:25" x14ac:dyDescent="0.3">
      <c r="A199">
        <v>3140</v>
      </c>
      <c r="B199" t="s">
        <v>379</v>
      </c>
      <c r="C199" t="s">
        <v>140</v>
      </c>
      <c r="D199" t="s">
        <v>417</v>
      </c>
      <c r="E199">
        <v>4</v>
      </c>
      <c r="F199" t="s">
        <v>42</v>
      </c>
      <c r="G199" t="s">
        <v>57</v>
      </c>
      <c r="H199">
        <v>2</v>
      </c>
      <c r="I199">
        <v>28899</v>
      </c>
      <c r="J199">
        <v>720</v>
      </c>
      <c r="K199">
        <v>4</v>
      </c>
      <c r="L199">
        <v>28899</v>
      </c>
      <c r="M199">
        <v>720</v>
      </c>
      <c r="N199" t="s">
        <v>29</v>
      </c>
      <c r="O199" t="s">
        <v>44</v>
      </c>
      <c r="P199" t="s">
        <v>31</v>
      </c>
      <c r="Q199" t="s">
        <v>32</v>
      </c>
      <c r="R199" t="s">
        <v>33</v>
      </c>
      <c r="S199" t="s">
        <v>45</v>
      </c>
      <c r="T199" t="s">
        <v>46</v>
      </c>
      <c r="U199" t="s">
        <v>46</v>
      </c>
      <c r="V199">
        <v>0.01</v>
      </c>
      <c r="W199" t="s">
        <v>45</v>
      </c>
      <c r="X199" t="s">
        <v>46</v>
      </c>
      <c r="Y199" t="s">
        <v>46</v>
      </c>
    </row>
    <row r="200" spans="1:25" x14ac:dyDescent="0.3">
      <c r="A200">
        <v>3160</v>
      </c>
      <c r="B200" t="s">
        <v>379</v>
      </c>
      <c r="C200" t="s">
        <v>417</v>
      </c>
      <c r="D200" t="s">
        <v>393</v>
      </c>
      <c r="E200">
        <v>4</v>
      </c>
      <c r="F200" t="s">
        <v>42</v>
      </c>
      <c r="G200" t="s">
        <v>57</v>
      </c>
      <c r="H200">
        <v>2</v>
      </c>
      <c r="I200">
        <v>28899</v>
      </c>
      <c r="J200">
        <v>720</v>
      </c>
      <c r="K200">
        <v>4</v>
      </c>
      <c r="L200">
        <v>28899</v>
      </c>
      <c r="M200">
        <v>720</v>
      </c>
      <c r="N200" t="s">
        <v>29</v>
      </c>
      <c r="O200" t="s">
        <v>44</v>
      </c>
      <c r="P200" t="s">
        <v>31</v>
      </c>
      <c r="Q200" t="s">
        <v>32</v>
      </c>
      <c r="R200" t="s">
        <v>33</v>
      </c>
      <c r="S200" t="s">
        <v>415</v>
      </c>
      <c r="T200" t="s">
        <v>142</v>
      </c>
      <c r="U200" t="s">
        <v>60</v>
      </c>
      <c r="V200">
        <v>0.01</v>
      </c>
      <c r="W200" t="s">
        <v>192</v>
      </c>
      <c r="X200" t="s">
        <v>144</v>
      </c>
      <c r="Y200" t="s">
        <v>60</v>
      </c>
    </row>
    <row r="201" spans="1:25" x14ac:dyDescent="0.3">
      <c r="A201">
        <v>3170</v>
      </c>
      <c r="B201" t="s">
        <v>379</v>
      </c>
      <c r="C201" t="s">
        <v>393</v>
      </c>
      <c r="D201" t="s">
        <v>377</v>
      </c>
      <c r="E201">
        <v>2</v>
      </c>
      <c r="F201" t="s">
        <v>42</v>
      </c>
      <c r="G201" t="s">
        <v>57</v>
      </c>
      <c r="H201">
        <v>2</v>
      </c>
      <c r="I201">
        <v>11232</v>
      </c>
      <c r="J201">
        <v>576</v>
      </c>
      <c r="K201">
        <v>2</v>
      </c>
      <c r="L201">
        <v>11232</v>
      </c>
      <c r="M201">
        <v>576</v>
      </c>
      <c r="N201" t="s">
        <v>29</v>
      </c>
      <c r="O201" t="s">
        <v>44</v>
      </c>
      <c r="P201" t="s">
        <v>31</v>
      </c>
      <c r="Q201" t="s">
        <v>32</v>
      </c>
      <c r="R201" t="s">
        <v>33</v>
      </c>
      <c r="S201" t="s">
        <v>339</v>
      </c>
      <c r="T201" t="s">
        <v>59</v>
      </c>
      <c r="U201" t="s">
        <v>30</v>
      </c>
      <c r="V201">
        <v>3.2199999999999999E-2</v>
      </c>
      <c r="W201" t="s">
        <v>380</v>
      </c>
      <c r="X201" t="s">
        <v>193</v>
      </c>
      <c r="Y201" t="s">
        <v>30</v>
      </c>
    </row>
    <row r="202" spans="1:25" x14ac:dyDescent="0.3">
      <c r="A202">
        <v>3180.1</v>
      </c>
      <c r="B202" t="s">
        <v>148</v>
      </c>
      <c r="C202" t="s">
        <v>206</v>
      </c>
      <c r="D202" t="s">
        <v>40</v>
      </c>
      <c r="E202">
        <v>2</v>
      </c>
      <c r="F202" t="s">
        <v>42</v>
      </c>
      <c r="G202" t="s">
        <v>28</v>
      </c>
      <c r="I202">
        <v>19170</v>
      </c>
      <c r="J202">
        <v>999</v>
      </c>
      <c r="K202">
        <v>2</v>
      </c>
      <c r="L202">
        <v>19170</v>
      </c>
      <c r="M202">
        <v>999</v>
      </c>
      <c r="N202" t="s">
        <v>43</v>
      </c>
      <c r="O202" t="s">
        <v>44</v>
      </c>
      <c r="P202" t="s">
        <v>31</v>
      </c>
      <c r="Q202" t="s">
        <v>32</v>
      </c>
      <c r="R202" t="s">
        <v>30</v>
      </c>
      <c r="S202" t="s">
        <v>438</v>
      </c>
      <c r="T202" t="s">
        <v>186</v>
      </c>
      <c r="U202" t="s">
        <v>36</v>
      </c>
      <c r="V202">
        <v>0.01</v>
      </c>
      <c r="W202" t="s">
        <v>438</v>
      </c>
      <c r="X202" t="s">
        <v>186</v>
      </c>
      <c r="Y202" t="s">
        <v>36</v>
      </c>
    </row>
    <row r="203" spans="1:25" x14ac:dyDescent="0.3">
      <c r="A203">
        <v>3190</v>
      </c>
      <c r="B203" t="s">
        <v>439</v>
      </c>
      <c r="C203" t="s">
        <v>433</v>
      </c>
      <c r="D203" t="s">
        <v>377</v>
      </c>
      <c r="E203">
        <v>2</v>
      </c>
      <c r="F203" t="s">
        <v>42</v>
      </c>
      <c r="G203" t="s">
        <v>28</v>
      </c>
      <c r="I203">
        <v>9270</v>
      </c>
      <c r="J203">
        <v>486</v>
      </c>
      <c r="K203">
        <v>2</v>
      </c>
      <c r="L203">
        <v>9270</v>
      </c>
      <c r="M203">
        <v>486</v>
      </c>
      <c r="N203" t="s">
        <v>43</v>
      </c>
      <c r="O203" t="s">
        <v>44</v>
      </c>
      <c r="P203" t="s">
        <v>31</v>
      </c>
      <c r="Q203" t="s">
        <v>32</v>
      </c>
      <c r="R203" t="s">
        <v>36</v>
      </c>
      <c r="S203" t="s">
        <v>440</v>
      </c>
      <c r="T203" t="s">
        <v>130</v>
      </c>
      <c r="U203" t="s">
        <v>36</v>
      </c>
      <c r="V203">
        <v>0.01</v>
      </c>
      <c r="W203" t="s">
        <v>440</v>
      </c>
      <c r="X203" t="s">
        <v>130</v>
      </c>
      <c r="Y203" t="s">
        <v>36</v>
      </c>
    </row>
    <row r="204" spans="1:25" x14ac:dyDescent="0.3">
      <c r="A204">
        <v>3200.1</v>
      </c>
      <c r="B204" t="s">
        <v>418</v>
      </c>
      <c r="C204" t="s">
        <v>377</v>
      </c>
      <c r="D204" t="s">
        <v>111</v>
      </c>
      <c r="E204">
        <v>2</v>
      </c>
      <c r="F204" t="s">
        <v>42</v>
      </c>
      <c r="G204" t="s">
        <v>28</v>
      </c>
      <c r="I204">
        <v>29340</v>
      </c>
      <c r="J204">
        <v>1449</v>
      </c>
      <c r="K204">
        <v>2</v>
      </c>
      <c r="L204">
        <v>29340</v>
      </c>
      <c r="M204">
        <v>1449</v>
      </c>
      <c r="N204" t="s">
        <v>29</v>
      </c>
      <c r="O204" t="s">
        <v>44</v>
      </c>
      <c r="P204" t="s">
        <v>31</v>
      </c>
      <c r="Q204" t="s">
        <v>32</v>
      </c>
      <c r="R204" t="s">
        <v>33</v>
      </c>
      <c r="S204" t="s">
        <v>197</v>
      </c>
      <c r="T204" t="s">
        <v>126</v>
      </c>
      <c r="U204" t="s">
        <v>36</v>
      </c>
      <c r="V204">
        <v>0.01</v>
      </c>
      <c r="W204" t="s">
        <v>64</v>
      </c>
      <c r="X204" t="s">
        <v>122</v>
      </c>
      <c r="Y204" t="s">
        <v>36</v>
      </c>
    </row>
    <row r="205" spans="1:25" x14ac:dyDescent="0.3">
      <c r="A205">
        <v>3200.3</v>
      </c>
      <c r="B205" t="s">
        <v>418</v>
      </c>
      <c r="C205" t="s">
        <v>111</v>
      </c>
      <c r="D205" t="s">
        <v>206</v>
      </c>
      <c r="E205">
        <v>2</v>
      </c>
      <c r="F205" t="s">
        <v>42</v>
      </c>
      <c r="G205" t="s">
        <v>28</v>
      </c>
      <c r="I205">
        <v>19170</v>
      </c>
      <c r="J205">
        <v>999</v>
      </c>
      <c r="K205">
        <v>2</v>
      </c>
      <c r="L205">
        <v>19170</v>
      </c>
      <c r="M205">
        <v>999</v>
      </c>
      <c r="N205" t="s">
        <v>43</v>
      </c>
      <c r="O205" t="s">
        <v>44</v>
      </c>
      <c r="P205" t="s">
        <v>31</v>
      </c>
      <c r="Q205" t="s">
        <v>32</v>
      </c>
      <c r="R205" t="s">
        <v>30</v>
      </c>
      <c r="S205" t="s">
        <v>438</v>
      </c>
      <c r="T205" t="s">
        <v>186</v>
      </c>
      <c r="U205" t="s">
        <v>36</v>
      </c>
      <c r="V205">
        <v>0.01</v>
      </c>
      <c r="W205" t="s">
        <v>438</v>
      </c>
      <c r="X205" t="s">
        <v>186</v>
      </c>
      <c r="Y205" t="s">
        <v>36</v>
      </c>
    </row>
    <row r="206" spans="1:25" x14ac:dyDescent="0.3">
      <c r="A206">
        <v>3210</v>
      </c>
      <c r="B206" t="s">
        <v>394</v>
      </c>
      <c r="C206" t="s">
        <v>397</v>
      </c>
      <c r="D206" t="s">
        <v>377</v>
      </c>
      <c r="E206">
        <v>2</v>
      </c>
      <c r="F206" t="s">
        <v>42</v>
      </c>
      <c r="G206" t="s">
        <v>28</v>
      </c>
      <c r="I206">
        <v>29340</v>
      </c>
      <c r="J206">
        <v>1449</v>
      </c>
      <c r="K206">
        <v>2</v>
      </c>
      <c r="L206">
        <v>29340</v>
      </c>
      <c r="M206">
        <v>1449</v>
      </c>
      <c r="N206" t="s">
        <v>29</v>
      </c>
      <c r="O206" t="s">
        <v>44</v>
      </c>
      <c r="P206" t="s">
        <v>414</v>
      </c>
      <c r="Q206" t="s">
        <v>32</v>
      </c>
      <c r="R206" t="s">
        <v>33</v>
      </c>
      <c r="S206" t="s">
        <v>429</v>
      </c>
      <c r="T206" t="s">
        <v>65</v>
      </c>
      <c r="U206" t="s">
        <v>36</v>
      </c>
      <c r="V206">
        <v>1.77E-2</v>
      </c>
      <c r="W206" t="s">
        <v>273</v>
      </c>
      <c r="X206" t="s">
        <v>67</v>
      </c>
      <c r="Y206" t="s">
        <v>60</v>
      </c>
    </row>
    <row r="207" spans="1:25" x14ac:dyDescent="0.3">
      <c r="A207">
        <v>3230</v>
      </c>
      <c r="B207" t="s">
        <v>441</v>
      </c>
      <c r="C207" t="s">
        <v>140</v>
      </c>
      <c r="D207" t="s">
        <v>417</v>
      </c>
      <c r="E207">
        <v>2</v>
      </c>
      <c r="F207" t="s">
        <v>42</v>
      </c>
      <c r="G207" t="s">
        <v>57</v>
      </c>
      <c r="H207">
        <v>2</v>
      </c>
      <c r="I207">
        <v>11232</v>
      </c>
      <c r="J207">
        <v>576</v>
      </c>
      <c r="K207">
        <v>2</v>
      </c>
      <c r="L207">
        <v>11232</v>
      </c>
      <c r="M207">
        <v>576</v>
      </c>
      <c r="N207" t="s">
        <v>29</v>
      </c>
      <c r="O207" t="s">
        <v>44</v>
      </c>
      <c r="P207" t="s">
        <v>414</v>
      </c>
      <c r="Q207" t="s">
        <v>32</v>
      </c>
      <c r="R207" t="s">
        <v>33</v>
      </c>
      <c r="S207" t="s">
        <v>438</v>
      </c>
      <c r="T207" t="s">
        <v>158</v>
      </c>
      <c r="U207" t="s">
        <v>60</v>
      </c>
      <c r="V207">
        <v>0.25990000000000002</v>
      </c>
      <c r="W207" t="s">
        <v>168</v>
      </c>
      <c r="X207" t="s">
        <v>142</v>
      </c>
      <c r="Y207" t="s">
        <v>60</v>
      </c>
    </row>
    <row r="208" spans="1:25" x14ac:dyDescent="0.3">
      <c r="A208">
        <v>3240.1</v>
      </c>
      <c r="B208" t="s">
        <v>442</v>
      </c>
      <c r="C208" t="s">
        <v>443</v>
      </c>
      <c r="D208" t="s">
        <v>26</v>
      </c>
      <c r="E208">
        <v>2</v>
      </c>
      <c r="F208" t="s">
        <v>42</v>
      </c>
      <c r="G208" t="s">
        <v>28</v>
      </c>
      <c r="I208">
        <v>9270</v>
      </c>
      <c r="J208">
        <v>486</v>
      </c>
      <c r="K208">
        <v>2</v>
      </c>
      <c r="L208">
        <v>9270</v>
      </c>
      <c r="M208">
        <v>486</v>
      </c>
      <c r="N208" t="s">
        <v>43</v>
      </c>
      <c r="O208" t="s">
        <v>44</v>
      </c>
      <c r="P208" t="s">
        <v>31</v>
      </c>
      <c r="Q208" t="s">
        <v>32</v>
      </c>
      <c r="R208" t="s">
        <v>36</v>
      </c>
      <c r="S208" t="s">
        <v>45</v>
      </c>
      <c r="T208" t="s">
        <v>46</v>
      </c>
      <c r="U208" t="s">
        <v>46</v>
      </c>
      <c r="V208">
        <v>0.01</v>
      </c>
      <c r="W208" t="s">
        <v>45</v>
      </c>
      <c r="X208" t="s">
        <v>46</v>
      </c>
      <c r="Y208" t="s">
        <v>46</v>
      </c>
    </row>
    <row r="209" spans="1:25" x14ac:dyDescent="0.3">
      <c r="A209">
        <v>3240.2</v>
      </c>
      <c r="B209" t="s">
        <v>442</v>
      </c>
      <c r="C209" t="s">
        <v>26</v>
      </c>
      <c r="D209" t="s">
        <v>164</v>
      </c>
      <c r="E209">
        <v>2</v>
      </c>
      <c r="F209" t="s">
        <v>42</v>
      </c>
      <c r="G209" t="s">
        <v>28</v>
      </c>
      <c r="I209">
        <v>9270</v>
      </c>
      <c r="J209">
        <v>486</v>
      </c>
      <c r="K209">
        <v>2</v>
      </c>
      <c r="L209">
        <v>9270</v>
      </c>
      <c r="M209">
        <v>486</v>
      </c>
      <c r="N209" t="s">
        <v>43</v>
      </c>
      <c r="O209" t="s">
        <v>44</v>
      </c>
      <c r="P209" t="s">
        <v>31</v>
      </c>
      <c r="Q209" t="s">
        <v>32</v>
      </c>
      <c r="R209" t="s">
        <v>36</v>
      </c>
      <c r="S209" t="s">
        <v>45</v>
      </c>
      <c r="T209" t="s">
        <v>46</v>
      </c>
      <c r="U209" t="s">
        <v>46</v>
      </c>
      <c r="V209">
        <v>0.01</v>
      </c>
      <c r="W209" t="s">
        <v>45</v>
      </c>
      <c r="X209" t="s">
        <v>46</v>
      </c>
      <c r="Y209" t="s">
        <v>46</v>
      </c>
    </row>
    <row r="210" spans="1:25" x14ac:dyDescent="0.3">
      <c r="A210">
        <v>3280</v>
      </c>
      <c r="B210" t="s">
        <v>444</v>
      </c>
      <c r="C210" t="s">
        <v>445</v>
      </c>
      <c r="D210" t="s">
        <v>104</v>
      </c>
      <c r="E210">
        <v>2</v>
      </c>
      <c r="F210" t="s">
        <v>300</v>
      </c>
      <c r="G210" t="s">
        <v>28</v>
      </c>
      <c r="I210">
        <v>9270</v>
      </c>
      <c r="J210">
        <v>486</v>
      </c>
      <c r="K210">
        <v>2</v>
      </c>
      <c r="L210">
        <v>9270</v>
      </c>
      <c r="M210">
        <v>486</v>
      </c>
      <c r="N210" t="s">
        <v>43</v>
      </c>
      <c r="O210" t="s">
        <v>44</v>
      </c>
      <c r="P210" t="s">
        <v>31</v>
      </c>
      <c r="Q210" t="s">
        <v>32</v>
      </c>
      <c r="R210" t="s">
        <v>36</v>
      </c>
      <c r="S210" t="s">
        <v>45</v>
      </c>
      <c r="T210" t="s">
        <v>46</v>
      </c>
      <c r="U210" t="s">
        <v>46</v>
      </c>
      <c r="V210">
        <v>0.01</v>
      </c>
      <c r="W210" t="s">
        <v>45</v>
      </c>
      <c r="X210" t="s">
        <v>46</v>
      </c>
      <c r="Y210" t="s">
        <v>46</v>
      </c>
    </row>
    <row r="211" spans="1:25" x14ac:dyDescent="0.3">
      <c r="A211">
        <v>3290</v>
      </c>
      <c r="B211" t="s">
        <v>446</v>
      </c>
      <c r="C211" t="s">
        <v>47</v>
      </c>
      <c r="D211" t="s">
        <v>56</v>
      </c>
      <c r="E211">
        <v>2</v>
      </c>
      <c r="F211" t="s">
        <v>42</v>
      </c>
      <c r="G211" t="s">
        <v>28</v>
      </c>
      <c r="I211">
        <v>9270</v>
      </c>
      <c r="J211">
        <v>486</v>
      </c>
      <c r="K211">
        <v>2</v>
      </c>
      <c r="L211">
        <v>9270</v>
      </c>
      <c r="M211">
        <v>486</v>
      </c>
      <c r="N211" t="s">
        <v>43</v>
      </c>
      <c r="O211" t="s">
        <v>44</v>
      </c>
      <c r="P211" t="s">
        <v>31</v>
      </c>
      <c r="Q211" t="s">
        <v>32</v>
      </c>
      <c r="R211" t="s">
        <v>36</v>
      </c>
      <c r="S211" t="s">
        <v>45</v>
      </c>
      <c r="T211" t="s">
        <v>46</v>
      </c>
      <c r="U211" t="s">
        <v>46</v>
      </c>
      <c r="V211">
        <v>0.01</v>
      </c>
      <c r="W211" t="s">
        <v>45</v>
      </c>
      <c r="X211" t="s">
        <v>46</v>
      </c>
      <c r="Y211" t="s">
        <v>46</v>
      </c>
    </row>
    <row r="212" spans="1:25" x14ac:dyDescent="0.3">
      <c r="A212">
        <v>3320</v>
      </c>
      <c r="B212" t="s">
        <v>447</v>
      </c>
      <c r="C212" t="s">
        <v>26</v>
      </c>
      <c r="D212" t="s">
        <v>183</v>
      </c>
      <c r="E212">
        <v>2</v>
      </c>
      <c r="F212" t="s">
        <v>42</v>
      </c>
      <c r="G212" t="s">
        <v>28</v>
      </c>
      <c r="I212">
        <v>9270</v>
      </c>
      <c r="J212">
        <v>486</v>
      </c>
      <c r="K212">
        <v>2</v>
      </c>
      <c r="L212">
        <v>9270</v>
      </c>
      <c r="M212">
        <v>486</v>
      </c>
      <c r="N212" t="s">
        <v>43</v>
      </c>
      <c r="O212" t="s">
        <v>44</v>
      </c>
      <c r="P212" t="s">
        <v>31</v>
      </c>
      <c r="Q212" t="s">
        <v>32</v>
      </c>
      <c r="R212" t="s">
        <v>36</v>
      </c>
      <c r="S212" t="s">
        <v>45</v>
      </c>
      <c r="T212" t="s">
        <v>46</v>
      </c>
      <c r="U212" t="s">
        <v>46</v>
      </c>
      <c r="V212">
        <v>0.01</v>
      </c>
      <c r="W212" t="s">
        <v>45</v>
      </c>
      <c r="X212" t="s">
        <v>46</v>
      </c>
      <c r="Y212" t="s">
        <v>46</v>
      </c>
    </row>
    <row r="213" spans="1:25" x14ac:dyDescent="0.3">
      <c r="A213">
        <v>3330</v>
      </c>
      <c r="B213" t="s">
        <v>448</v>
      </c>
      <c r="C213" t="s">
        <v>63</v>
      </c>
      <c r="D213" t="s">
        <v>26</v>
      </c>
      <c r="E213">
        <v>2</v>
      </c>
      <c r="F213" t="s">
        <v>42</v>
      </c>
      <c r="G213" t="s">
        <v>28</v>
      </c>
      <c r="I213">
        <v>9270</v>
      </c>
      <c r="J213">
        <v>486</v>
      </c>
      <c r="K213">
        <v>2</v>
      </c>
      <c r="L213">
        <v>9270</v>
      </c>
      <c r="M213">
        <v>486</v>
      </c>
      <c r="N213" t="s">
        <v>43</v>
      </c>
      <c r="O213" t="s">
        <v>44</v>
      </c>
      <c r="P213" t="s">
        <v>31</v>
      </c>
      <c r="Q213" t="s">
        <v>32</v>
      </c>
      <c r="R213" t="s">
        <v>36</v>
      </c>
      <c r="S213" t="s">
        <v>45</v>
      </c>
      <c r="T213" t="s">
        <v>46</v>
      </c>
      <c r="U213" t="s">
        <v>46</v>
      </c>
      <c r="V213">
        <v>0.01</v>
      </c>
      <c r="W213" t="s">
        <v>45</v>
      </c>
      <c r="X213" t="s">
        <v>46</v>
      </c>
      <c r="Y213" t="s">
        <v>46</v>
      </c>
    </row>
    <row r="214" spans="1:25" x14ac:dyDescent="0.3">
      <c r="A214">
        <v>3340.1</v>
      </c>
      <c r="B214" t="s">
        <v>377</v>
      </c>
      <c r="C214" t="s">
        <v>26</v>
      </c>
      <c r="D214" t="s">
        <v>394</v>
      </c>
      <c r="E214">
        <v>4</v>
      </c>
      <c r="F214" t="s">
        <v>27</v>
      </c>
      <c r="G214" t="s">
        <v>57</v>
      </c>
      <c r="H214">
        <v>2</v>
      </c>
      <c r="I214">
        <v>30420</v>
      </c>
      <c r="J214">
        <v>1530</v>
      </c>
      <c r="K214">
        <v>4</v>
      </c>
      <c r="L214">
        <v>30420</v>
      </c>
      <c r="M214">
        <v>1530</v>
      </c>
      <c r="N214" t="s">
        <v>29</v>
      </c>
      <c r="O214" t="s">
        <v>30</v>
      </c>
      <c r="P214" t="s">
        <v>31</v>
      </c>
      <c r="Q214" t="s">
        <v>32</v>
      </c>
      <c r="R214" t="s">
        <v>33</v>
      </c>
      <c r="S214" t="s">
        <v>89</v>
      </c>
      <c r="T214" t="s">
        <v>198</v>
      </c>
      <c r="U214" t="s">
        <v>60</v>
      </c>
      <c r="V214">
        <v>5.3400000000000003E-2</v>
      </c>
      <c r="W214" t="s">
        <v>449</v>
      </c>
      <c r="X214" t="s">
        <v>235</v>
      </c>
      <c r="Y214" t="s">
        <v>60</v>
      </c>
    </row>
    <row r="215" spans="1:25" x14ac:dyDescent="0.3">
      <c r="A215">
        <v>3360</v>
      </c>
      <c r="B215" t="s">
        <v>450</v>
      </c>
      <c r="C215" t="s">
        <v>140</v>
      </c>
      <c r="D215" t="s">
        <v>48</v>
      </c>
      <c r="E215">
        <v>4</v>
      </c>
      <c r="F215" t="s">
        <v>27</v>
      </c>
      <c r="G215" t="s">
        <v>57</v>
      </c>
      <c r="H215">
        <v>1</v>
      </c>
      <c r="I215">
        <v>35820</v>
      </c>
      <c r="J215">
        <v>1800</v>
      </c>
      <c r="K215">
        <v>4</v>
      </c>
      <c r="L215">
        <v>35820</v>
      </c>
      <c r="M215">
        <v>1800</v>
      </c>
      <c r="N215" t="s">
        <v>29</v>
      </c>
      <c r="O215" t="s">
        <v>30</v>
      </c>
      <c r="P215" t="s">
        <v>31</v>
      </c>
      <c r="Q215" t="s">
        <v>32</v>
      </c>
      <c r="R215" t="s">
        <v>33</v>
      </c>
      <c r="S215" t="s">
        <v>451</v>
      </c>
      <c r="T215" t="s">
        <v>430</v>
      </c>
      <c r="U215" t="s">
        <v>60</v>
      </c>
      <c r="V215">
        <v>5.4399999999999997E-2</v>
      </c>
      <c r="W215" t="s">
        <v>452</v>
      </c>
      <c r="X215" t="s">
        <v>436</v>
      </c>
      <c r="Y215" t="s">
        <v>30</v>
      </c>
    </row>
    <row r="216" spans="1:25" x14ac:dyDescent="0.3">
      <c r="A216">
        <v>3370</v>
      </c>
      <c r="B216" t="s">
        <v>450</v>
      </c>
      <c r="C216" t="s">
        <v>48</v>
      </c>
      <c r="D216" t="s">
        <v>453</v>
      </c>
      <c r="E216">
        <v>2</v>
      </c>
      <c r="F216" t="s">
        <v>42</v>
      </c>
      <c r="G216" t="s">
        <v>57</v>
      </c>
      <c r="H216">
        <v>2</v>
      </c>
      <c r="I216">
        <v>14040</v>
      </c>
      <c r="J216">
        <v>720</v>
      </c>
      <c r="K216">
        <v>2</v>
      </c>
      <c r="L216">
        <v>14040</v>
      </c>
      <c r="M216">
        <v>720</v>
      </c>
      <c r="N216" t="s">
        <v>29</v>
      </c>
      <c r="O216" t="s">
        <v>44</v>
      </c>
      <c r="P216" t="s">
        <v>414</v>
      </c>
      <c r="Q216" t="s">
        <v>32</v>
      </c>
      <c r="R216" t="s">
        <v>33</v>
      </c>
      <c r="S216" t="s">
        <v>244</v>
      </c>
      <c r="T216" t="s">
        <v>101</v>
      </c>
      <c r="U216" t="s">
        <v>60</v>
      </c>
      <c r="V216">
        <v>0.01</v>
      </c>
      <c r="W216" t="s">
        <v>171</v>
      </c>
      <c r="X216" t="s">
        <v>214</v>
      </c>
      <c r="Y216" t="s">
        <v>30</v>
      </c>
    </row>
    <row r="217" spans="1:25" x14ac:dyDescent="0.3">
      <c r="A217">
        <v>3380</v>
      </c>
      <c r="B217" t="s">
        <v>450</v>
      </c>
      <c r="C217" t="s">
        <v>453</v>
      </c>
      <c r="D217" t="s">
        <v>385</v>
      </c>
      <c r="E217">
        <v>2</v>
      </c>
      <c r="F217" t="s">
        <v>42</v>
      </c>
      <c r="G217" t="s">
        <v>57</v>
      </c>
      <c r="H217">
        <v>2</v>
      </c>
      <c r="I217">
        <v>11232</v>
      </c>
      <c r="J217">
        <v>576</v>
      </c>
      <c r="K217">
        <v>2</v>
      </c>
      <c r="L217">
        <v>11232</v>
      </c>
      <c r="M217">
        <v>576</v>
      </c>
      <c r="N217" t="s">
        <v>29</v>
      </c>
      <c r="O217" t="s">
        <v>44</v>
      </c>
      <c r="P217" t="s">
        <v>414</v>
      </c>
      <c r="Q217" t="s">
        <v>32</v>
      </c>
      <c r="R217" t="s">
        <v>33</v>
      </c>
      <c r="S217" t="s">
        <v>454</v>
      </c>
      <c r="T217" t="s">
        <v>309</v>
      </c>
      <c r="U217" t="s">
        <v>30</v>
      </c>
      <c r="V217">
        <v>0.01</v>
      </c>
      <c r="W217" t="s">
        <v>109</v>
      </c>
      <c r="X217" t="s">
        <v>310</v>
      </c>
      <c r="Y217" t="s">
        <v>30</v>
      </c>
    </row>
    <row r="218" spans="1:25" x14ac:dyDescent="0.3">
      <c r="A218">
        <v>3390</v>
      </c>
      <c r="B218" t="s">
        <v>455</v>
      </c>
      <c r="C218" t="s">
        <v>456</v>
      </c>
      <c r="D218" t="s">
        <v>457</v>
      </c>
      <c r="E218">
        <v>2</v>
      </c>
      <c r="F218" t="s">
        <v>42</v>
      </c>
      <c r="G218" t="s">
        <v>57</v>
      </c>
      <c r="H218">
        <v>2</v>
      </c>
      <c r="I218">
        <v>11232</v>
      </c>
      <c r="J218">
        <v>576</v>
      </c>
      <c r="K218">
        <v>2</v>
      </c>
      <c r="L218">
        <v>11232</v>
      </c>
      <c r="M218">
        <v>576</v>
      </c>
      <c r="N218" t="s">
        <v>29</v>
      </c>
      <c r="O218" t="s">
        <v>44</v>
      </c>
      <c r="P218" t="s">
        <v>31</v>
      </c>
      <c r="Q218" t="s">
        <v>32</v>
      </c>
      <c r="R218" t="s">
        <v>33</v>
      </c>
      <c r="S218" t="s">
        <v>432</v>
      </c>
      <c r="T218" t="s">
        <v>85</v>
      </c>
      <c r="U218" t="s">
        <v>60</v>
      </c>
      <c r="V218">
        <v>1.37E-2</v>
      </c>
      <c r="W218" t="s">
        <v>269</v>
      </c>
      <c r="X218" t="s">
        <v>88</v>
      </c>
      <c r="Y218" t="s">
        <v>60</v>
      </c>
    </row>
    <row r="219" spans="1:25" x14ac:dyDescent="0.3">
      <c r="A219">
        <v>3400</v>
      </c>
      <c r="B219" t="s">
        <v>458</v>
      </c>
      <c r="C219" t="s">
        <v>48</v>
      </c>
      <c r="D219" t="s">
        <v>453</v>
      </c>
      <c r="E219">
        <v>4</v>
      </c>
      <c r="F219" t="s">
        <v>300</v>
      </c>
      <c r="G219" t="s">
        <v>28</v>
      </c>
      <c r="I219">
        <v>67770</v>
      </c>
      <c r="J219">
        <v>3357</v>
      </c>
      <c r="K219">
        <v>4</v>
      </c>
      <c r="L219">
        <v>67770</v>
      </c>
      <c r="M219">
        <v>3357</v>
      </c>
      <c r="N219" t="s">
        <v>29</v>
      </c>
      <c r="O219" t="s">
        <v>30</v>
      </c>
      <c r="P219" t="s">
        <v>31</v>
      </c>
      <c r="Q219" t="s">
        <v>32</v>
      </c>
      <c r="R219" t="s">
        <v>33</v>
      </c>
      <c r="S219" t="s">
        <v>428</v>
      </c>
      <c r="T219" t="s">
        <v>161</v>
      </c>
      <c r="U219" t="s">
        <v>36</v>
      </c>
      <c r="V219">
        <v>0.01</v>
      </c>
      <c r="W219" t="s">
        <v>429</v>
      </c>
      <c r="X219" t="s">
        <v>161</v>
      </c>
      <c r="Y219" t="s">
        <v>36</v>
      </c>
    </row>
    <row r="220" spans="1:25" x14ac:dyDescent="0.3">
      <c r="A220">
        <v>3410</v>
      </c>
      <c r="B220" t="s">
        <v>385</v>
      </c>
      <c r="C220" t="s">
        <v>450</v>
      </c>
      <c r="D220" t="s">
        <v>459</v>
      </c>
      <c r="E220">
        <v>4</v>
      </c>
      <c r="F220" t="s">
        <v>42</v>
      </c>
      <c r="G220" t="s">
        <v>57</v>
      </c>
      <c r="H220">
        <v>2</v>
      </c>
      <c r="I220">
        <v>30420</v>
      </c>
      <c r="J220">
        <v>1530</v>
      </c>
      <c r="K220">
        <v>4</v>
      </c>
      <c r="L220">
        <v>30420</v>
      </c>
      <c r="M220">
        <v>1530</v>
      </c>
      <c r="N220" t="s">
        <v>29</v>
      </c>
      <c r="O220" t="s">
        <v>30</v>
      </c>
      <c r="P220" t="s">
        <v>31</v>
      </c>
      <c r="Q220" t="s">
        <v>32</v>
      </c>
      <c r="R220" t="s">
        <v>33</v>
      </c>
      <c r="S220" t="s">
        <v>238</v>
      </c>
      <c r="T220" t="s">
        <v>278</v>
      </c>
      <c r="U220" t="s">
        <v>60</v>
      </c>
      <c r="V220">
        <v>8.3500000000000005E-2</v>
      </c>
      <c r="W220" t="s">
        <v>460</v>
      </c>
      <c r="X220" t="s">
        <v>139</v>
      </c>
      <c r="Y220" t="s">
        <v>30</v>
      </c>
    </row>
    <row r="221" spans="1:25" x14ac:dyDescent="0.3">
      <c r="A221">
        <v>3420</v>
      </c>
      <c r="B221" t="s">
        <v>385</v>
      </c>
      <c r="C221" t="s">
        <v>459</v>
      </c>
      <c r="D221" t="s">
        <v>26</v>
      </c>
      <c r="E221">
        <v>4</v>
      </c>
      <c r="F221" t="s">
        <v>42</v>
      </c>
      <c r="G221" t="s">
        <v>57</v>
      </c>
      <c r="H221">
        <v>2</v>
      </c>
      <c r="I221">
        <v>30420</v>
      </c>
      <c r="J221">
        <v>1530</v>
      </c>
      <c r="K221">
        <v>4</v>
      </c>
      <c r="L221">
        <v>30420</v>
      </c>
      <c r="M221">
        <v>1530</v>
      </c>
      <c r="N221" t="s">
        <v>29</v>
      </c>
      <c r="O221" t="s">
        <v>30</v>
      </c>
      <c r="P221" t="s">
        <v>31</v>
      </c>
      <c r="Q221" t="s">
        <v>32</v>
      </c>
      <c r="R221" t="s">
        <v>33</v>
      </c>
      <c r="S221" t="s">
        <v>461</v>
      </c>
      <c r="T221" t="s">
        <v>201</v>
      </c>
      <c r="U221" t="s">
        <v>30</v>
      </c>
      <c r="V221">
        <v>4.87E-2</v>
      </c>
      <c r="W221" t="s">
        <v>462</v>
      </c>
      <c r="X221" t="s">
        <v>362</v>
      </c>
      <c r="Y221" t="s">
        <v>30</v>
      </c>
    </row>
    <row r="222" spans="1:25" x14ac:dyDescent="0.3">
      <c r="A222">
        <v>3430.2</v>
      </c>
      <c r="B222" t="s">
        <v>385</v>
      </c>
      <c r="C222" t="s">
        <v>463</v>
      </c>
      <c r="D222" t="s">
        <v>377</v>
      </c>
      <c r="E222">
        <v>2</v>
      </c>
      <c r="F222" t="s">
        <v>42</v>
      </c>
      <c r="G222" t="s">
        <v>28</v>
      </c>
      <c r="I222">
        <v>29340</v>
      </c>
      <c r="J222">
        <v>1449</v>
      </c>
      <c r="K222">
        <v>2</v>
      </c>
      <c r="L222">
        <v>29340</v>
      </c>
      <c r="M222">
        <v>1449</v>
      </c>
      <c r="N222" t="s">
        <v>29</v>
      </c>
      <c r="O222" t="s">
        <v>44</v>
      </c>
      <c r="P222" t="s">
        <v>31</v>
      </c>
      <c r="Q222" t="s">
        <v>32</v>
      </c>
      <c r="R222" t="s">
        <v>33</v>
      </c>
      <c r="S222" t="s">
        <v>94</v>
      </c>
      <c r="T222" t="s">
        <v>95</v>
      </c>
      <c r="U222" t="s">
        <v>36</v>
      </c>
      <c r="V222">
        <v>2.7900000000000001E-2</v>
      </c>
      <c r="W222" t="s">
        <v>464</v>
      </c>
      <c r="X222" t="s">
        <v>181</v>
      </c>
      <c r="Y222" t="s">
        <v>60</v>
      </c>
    </row>
    <row r="223" spans="1:25" x14ac:dyDescent="0.3">
      <c r="A223">
        <v>3430.3</v>
      </c>
      <c r="B223" t="s">
        <v>385</v>
      </c>
      <c r="C223" t="s">
        <v>26</v>
      </c>
      <c r="D223" t="s">
        <v>463</v>
      </c>
      <c r="E223">
        <v>4</v>
      </c>
      <c r="F223" t="s">
        <v>42</v>
      </c>
      <c r="G223" t="s">
        <v>57</v>
      </c>
      <c r="H223">
        <v>2</v>
      </c>
      <c r="I223">
        <v>30420</v>
      </c>
      <c r="J223">
        <v>1530</v>
      </c>
      <c r="K223">
        <v>4</v>
      </c>
      <c r="L223">
        <v>30420</v>
      </c>
      <c r="M223">
        <v>1530</v>
      </c>
      <c r="N223" t="s">
        <v>29</v>
      </c>
      <c r="O223" t="s">
        <v>30</v>
      </c>
      <c r="P223" t="s">
        <v>31</v>
      </c>
      <c r="Q223" t="s">
        <v>32</v>
      </c>
      <c r="R223" t="s">
        <v>33</v>
      </c>
      <c r="S223" t="s">
        <v>94</v>
      </c>
      <c r="T223" t="s">
        <v>93</v>
      </c>
      <c r="U223" t="s">
        <v>60</v>
      </c>
      <c r="V223">
        <v>2.7900000000000001E-2</v>
      </c>
      <c r="W223" t="s">
        <v>464</v>
      </c>
      <c r="X223" t="s">
        <v>383</v>
      </c>
      <c r="Y223" t="s">
        <v>60</v>
      </c>
    </row>
    <row r="224" spans="1:25" x14ac:dyDescent="0.3">
      <c r="A224">
        <v>3440</v>
      </c>
      <c r="B224" t="s">
        <v>457</v>
      </c>
      <c r="C224" t="s">
        <v>455</v>
      </c>
      <c r="D224" t="s">
        <v>48</v>
      </c>
      <c r="E224">
        <v>2</v>
      </c>
      <c r="F224" t="s">
        <v>42</v>
      </c>
      <c r="G224" t="s">
        <v>57</v>
      </c>
      <c r="H224">
        <v>2</v>
      </c>
      <c r="I224">
        <v>11232</v>
      </c>
      <c r="J224">
        <v>576</v>
      </c>
      <c r="K224">
        <v>2</v>
      </c>
      <c r="L224">
        <v>11232</v>
      </c>
      <c r="M224">
        <v>576</v>
      </c>
      <c r="N224" t="s">
        <v>29</v>
      </c>
      <c r="O224" t="s">
        <v>44</v>
      </c>
      <c r="P224" t="s">
        <v>414</v>
      </c>
      <c r="Q224" t="s">
        <v>32</v>
      </c>
      <c r="R224" t="s">
        <v>33</v>
      </c>
      <c r="S224" t="s">
        <v>432</v>
      </c>
      <c r="T224" t="s">
        <v>85</v>
      </c>
      <c r="U224" t="s">
        <v>60</v>
      </c>
      <c r="V224">
        <v>0.01</v>
      </c>
      <c r="W224" t="s">
        <v>269</v>
      </c>
      <c r="X224" t="s">
        <v>88</v>
      </c>
      <c r="Y224" t="s">
        <v>60</v>
      </c>
    </row>
    <row r="225" spans="1:25" x14ac:dyDescent="0.3">
      <c r="A225">
        <v>3450</v>
      </c>
      <c r="B225" t="s">
        <v>456</v>
      </c>
      <c r="C225" t="s">
        <v>140</v>
      </c>
      <c r="D225" t="s">
        <v>455</v>
      </c>
      <c r="E225">
        <v>2</v>
      </c>
      <c r="F225" t="s">
        <v>42</v>
      </c>
      <c r="G225" t="s">
        <v>57</v>
      </c>
      <c r="H225">
        <v>2</v>
      </c>
      <c r="I225">
        <v>11232</v>
      </c>
      <c r="J225">
        <v>576</v>
      </c>
      <c r="K225">
        <v>2</v>
      </c>
      <c r="L225">
        <v>11232</v>
      </c>
      <c r="M225">
        <v>576</v>
      </c>
      <c r="N225" t="s">
        <v>29</v>
      </c>
      <c r="O225" t="s">
        <v>44</v>
      </c>
      <c r="P225" t="s">
        <v>31</v>
      </c>
      <c r="Q225" t="s">
        <v>32</v>
      </c>
      <c r="R225" t="s">
        <v>33</v>
      </c>
      <c r="S225" t="s">
        <v>269</v>
      </c>
      <c r="T225" t="s">
        <v>88</v>
      </c>
      <c r="U225" t="s">
        <v>60</v>
      </c>
      <c r="V225">
        <v>9.3399999999999997E-2</v>
      </c>
      <c r="W225" t="s">
        <v>152</v>
      </c>
      <c r="X225" t="s">
        <v>278</v>
      </c>
      <c r="Y225" t="s">
        <v>60</v>
      </c>
    </row>
    <row r="226" spans="1:25" x14ac:dyDescent="0.3">
      <c r="A226">
        <v>3460.1</v>
      </c>
      <c r="B226" t="s">
        <v>465</v>
      </c>
      <c r="C226" t="s">
        <v>466</v>
      </c>
      <c r="D226" t="s">
        <v>140</v>
      </c>
      <c r="E226">
        <v>2</v>
      </c>
      <c r="F226" t="s">
        <v>27</v>
      </c>
      <c r="G226" t="s">
        <v>57</v>
      </c>
      <c r="H226">
        <v>1</v>
      </c>
      <c r="I226">
        <v>16727</v>
      </c>
      <c r="J226">
        <v>832</v>
      </c>
      <c r="K226">
        <v>2</v>
      </c>
      <c r="L226">
        <v>16727</v>
      </c>
      <c r="M226">
        <v>832</v>
      </c>
      <c r="N226" t="s">
        <v>29</v>
      </c>
      <c r="O226" t="s">
        <v>30</v>
      </c>
      <c r="P226" t="s">
        <v>31</v>
      </c>
      <c r="Q226" t="s">
        <v>32</v>
      </c>
      <c r="R226" t="s">
        <v>33</v>
      </c>
      <c r="S226" t="s">
        <v>92</v>
      </c>
      <c r="T226" t="s">
        <v>201</v>
      </c>
      <c r="U226" t="s">
        <v>60</v>
      </c>
      <c r="V226">
        <v>1.7399999999999999E-2</v>
      </c>
      <c r="W226" t="s">
        <v>233</v>
      </c>
      <c r="X226" t="s">
        <v>228</v>
      </c>
      <c r="Y226" t="s">
        <v>60</v>
      </c>
    </row>
    <row r="227" spans="1:25" x14ac:dyDescent="0.3">
      <c r="A227">
        <v>3470.1</v>
      </c>
      <c r="B227" t="s">
        <v>467</v>
      </c>
      <c r="C227" t="s">
        <v>48</v>
      </c>
      <c r="D227" t="s">
        <v>468</v>
      </c>
      <c r="E227">
        <v>4</v>
      </c>
      <c r="F227" t="s">
        <v>42</v>
      </c>
      <c r="G227" t="s">
        <v>28</v>
      </c>
      <c r="I227">
        <v>67770</v>
      </c>
      <c r="J227">
        <v>3357</v>
      </c>
      <c r="K227">
        <v>4</v>
      </c>
      <c r="L227">
        <v>67770</v>
      </c>
      <c r="M227">
        <v>3357</v>
      </c>
      <c r="N227" t="s">
        <v>29</v>
      </c>
      <c r="O227" t="s">
        <v>30</v>
      </c>
      <c r="P227" t="s">
        <v>414</v>
      </c>
      <c r="Q227" t="s">
        <v>32</v>
      </c>
      <c r="R227" t="s">
        <v>33</v>
      </c>
      <c r="S227" t="s">
        <v>92</v>
      </c>
      <c r="T227" t="s">
        <v>163</v>
      </c>
      <c r="U227" t="s">
        <v>36</v>
      </c>
      <c r="V227">
        <v>1.7399999999999999E-2</v>
      </c>
      <c r="W227" t="s">
        <v>233</v>
      </c>
      <c r="X227" t="s">
        <v>51</v>
      </c>
      <c r="Y227" t="s">
        <v>36</v>
      </c>
    </row>
    <row r="228" spans="1:25" x14ac:dyDescent="0.3">
      <c r="A228">
        <v>3470.4</v>
      </c>
      <c r="B228" t="s">
        <v>467</v>
      </c>
      <c r="C228" t="s">
        <v>468</v>
      </c>
      <c r="D228" t="s">
        <v>106</v>
      </c>
      <c r="E228">
        <v>2</v>
      </c>
      <c r="F228" t="s">
        <v>42</v>
      </c>
      <c r="G228" t="s">
        <v>28</v>
      </c>
      <c r="I228">
        <v>29340</v>
      </c>
      <c r="J228">
        <v>1449</v>
      </c>
      <c r="K228">
        <v>2</v>
      </c>
      <c r="L228">
        <v>29340</v>
      </c>
      <c r="M228">
        <v>1449</v>
      </c>
      <c r="N228" t="s">
        <v>29</v>
      </c>
      <c r="O228" t="s">
        <v>44</v>
      </c>
      <c r="P228" t="s">
        <v>31</v>
      </c>
      <c r="Q228" t="s">
        <v>32</v>
      </c>
      <c r="R228" t="s">
        <v>33</v>
      </c>
      <c r="S228" t="s">
        <v>92</v>
      </c>
      <c r="T228" t="s">
        <v>93</v>
      </c>
      <c r="U228" t="s">
        <v>36</v>
      </c>
      <c r="V228">
        <v>1.7399999999999999E-2</v>
      </c>
      <c r="W228" t="s">
        <v>233</v>
      </c>
      <c r="X228" t="s">
        <v>196</v>
      </c>
      <c r="Y228" t="s">
        <v>60</v>
      </c>
    </row>
    <row r="229" spans="1:25" x14ac:dyDescent="0.3">
      <c r="A229">
        <v>3480</v>
      </c>
      <c r="B229" t="s">
        <v>469</v>
      </c>
      <c r="C229" t="s">
        <v>140</v>
      </c>
      <c r="D229" t="s">
        <v>48</v>
      </c>
      <c r="E229">
        <v>4</v>
      </c>
      <c r="F229" t="s">
        <v>27</v>
      </c>
      <c r="G229" t="s">
        <v>57</v>
      </c>
      <c r="H229">
        <v>1</v>
      </c>
      <c r="I229">
        <v>35820</v>
      </c>
      <c r="J229">
        <v>1800</v>
      </c>
      <c r="K229">
        <v>4</v>
      </c>
      <c r="L229">
        <v>35820</v>
      </c>
      <c r="M229">
        <v>1800</v>
      </c>
      <c r="N229" t="s">
        <v>29</v>
      </c>
      <c r="O229" t="s">
        <v>30</v>
      </c>
      <c r="P229" t="s">
        <v>31</v>
      </c>
      <c r="Q229" t="s">
        <v>32</v>
      </c>
      <c r="R229" t="s">
        <v>33</v>
      </c>
      <c r="S229" t="s">
        <v>274</v>
      </c>
      <c r="T229" t="s">
        <v>198</v>
      </c>
      <c r="U229" t="s">
        <v>60</v>
      </c>
      <c r="V229">
        <v>2.3800000000000002E-2</v>
      </c>
      <c r="W229" t="s">
        <v>34</v>
      </c>
      <c r="X229" t="s">
        <v>95</v>
      </c>
      <c r="Y229" t="s">
        <v>60</v>
      </c>
    </row>
    <row r="230" spans="1:25" x14ac:dyDescent="0.3">
      <c r="A230">
        <v>3510</v>
      </c>
      <c r="B230" t="s">
        <v>56</v>
      </c>
      <c r="C230" t="s">
        <v>140</v>
      </c>
      <c r="D230" t="s">
        <v>48</v>
      </c>
      <c r="E230">
        <v>2</v>
      </c>
      <c r="F230" t="s">
        <v>42</v>
      </c>
      <c r="G230" t="s">
        <v>28</v>
      </c>
      <c r="I230">
        <v>29340</v>
      </c>
      <c r="J230">
        <v>1449</v>
      </c>
      <c r="K230">
        <v>4</v>
      </c>
      <c r="L230">
        <v>35820</v>
      </c>
      <c r="M230">
        <v>2518</v>
      </c>
      <c r="N230" t="s">
        <v>29</v>
      </c>
      <c r="O230" t="s">
        <v>44</v>
      </c>
      <c r="P230" t="s">
        <v>31</v>
      </c>
      <c r="Q230" t="s">
        <v>32</v>
      </c>
      <c r="R230" t="s">
        <v>33</v>
      </c>
      <c r="S230" t="s">
        <v>61</v>
      </c>
      <c r="T230" t="s">
        <v>142</v>
      </c>
      <c r="U230" t="s">
        <v>36</v>
      </c>
      <c r="V230">
        <v>0.01</v>
      </c>
      <c r="W230" t="s">
        <v>339</v>
      </c>
      <c r="X230" t="s">
        <v>163</v>
      </c>
      <c r="Y230" t="s">
        <v>36</v>
      </c>
    </row>
    <row r="231" spans="1:25" x14ac:dyDescent="0.3">
      <c r="A231">
        <v>3530</v>
      </c>
      <c r="B231" t="s">
        <v>470</v>
      </c>
      <c r="C231" t="s">
        <v>26</v>
      </c>
      <c r="D231" t="s">
        <v>433</v>
      </c>
      <c r="E231">
        <v>2</v>
      </c>
      <c r="F231" t="s">
        <v>42</v>
      </c>
      <c r="G231" t="s">
        <v>28</v>
      </c>
      <c r="I231">
        <v>9270</v>
      </c>
      <c r="J231">
        <v>486</v>
      </c>
      <c r="K231">
        <v>2</v>
      </c>
      <c r="L231">
        <v>9270</v>
      </c>
      <c r="M231">
        <v>486</v>
      </c>
      <c r="N231" t="s">
        <v>43</v>
      </c>
      <c r="O231" t="s">
        <v>44</v>
      </c>
      <c r="P231" t="s">
        <v>31</v>
      </c>
      <c r="Q231" t="s">
        <v>32</v>
      </c>
      <c r="R231" t="s">
        <v>36</v>
      </c>
      <c r="S231" t="s">
        <v>440</v>
      </c>
      <c r="T231" t="s">
        <v>130</v>
      </c>
      <c r="U231" t="s">
        <v>36</v>
      </c>
      <c r="V231">
        <v>0.01</v>
      </c>
      <c r="W231" t="s">
        <v>440</v>
      </c>
      <c r="X231" t="s">
        <v>130</v>
      </c>
      <c r="Y231" t="s">
        <v>36</v>
      </c>
    </row>
    <row r="232" spans="1:25" x14ac:dyDescent="0.3">
      <c r="A232">
        <v>3540</v>
      </c>
      <c r="B232" t="s">
        <v>459</v>
      </c>
      <c r="C232" t="s">
        <v>140</v>
      </c>
      <c r="D232" t="s">
        <v>48</v>
      </c>
      <c r="E232">
        <v>4</v>
      </c>
      <c r="F232" t="s">
        <v>27</v>
      </c>
      <c r="G232" t="s">
        <v>57</v>
      </c>
      <c r="H232">
        <v>2</v>
      </c>
      <c r="I232">
        <v>22815</v>
      </c>
      <c r="J232">
        <v>540</v>
      </c>
      <c r="K232">
        <v>4</v>
      </c>
      <c r="L232">
        <v>22815</v>
      </c>
      <c r="M232">
        <v>540</v>
      </c>
      <c r="N232" t="s">
        <v>29</v>
      </c>
      <c r="O232" t="s">
        <v>44</v>
      </c>
      <c r="P232" t="s">
        <v>414</v>
      </c>
      <c r="Q232" t="s">
        <v>32</v>
      </c>
      <c r="R232" t="s">
        <v>33</v>
      </c>
      <c r="S232" t="s">
        <v>471</v>
      </c>
      <c r="T232" t="s">
        <v>239</v>
      </c>
      <c r="U232" t="s">
        <v>30</v>
      </c>
      <c r="V232">
        <v>0.01</v>
      </c>
      <c r="W232" t="s">
        <v>472</v>
      </c>
      <c r="X232" t="s">
        <v>316</v>
      </c>
      <c r="Y232" t="s">
        <v>30</v>
      </c>
    </row>
    <row r="233" spans="1:25" x14ac:dyDescent="0.3">
      <c r="A233">
        <v>3560</v>
      </c>
      <c r="B233" t="s">
        <v>459</v>
      </c>
      <c r="C233" t="s">
        <v>48</v>
      </c>
      <c r="D233" t="s">
        <v>473</v>
      </c>
      <c r="E233">
        <v>4</v>
      </c>
      <c r="F233" t="s">
        <v>42</v>
      </c>
      <c r="G233" t="s">
        <v>28</v>
      </c>
      <c r="I233">
        <v>67770</v>
      </c>
      <c r="J233">
        <v>3357</v>
      </c>
      <c r="K233">
        <v>4</v>
      </c>
      <c r="L233">
        <v>67770</v>
      </c>
      <c r="M233">
        <v>3357</v>
      </c>
      <c r="N233" t="s">
        <v>29</v>
      </c>
      <c r="O233" t="s">
        <v>30</v>
      </c>
      <c r="P233" t="s">
        <v>414</v>
      </c>
      <c r="Q233" t="s">
        <v>32</v>
      </c>
      <c r="R233" t="s">
        <v>33</v>
      </c>
      <c r="S233" t="s">
        <v>77</v>
      </c>
      <c r="T233" t="s">
        <v>128</v>
      </c>
      <c r="U233" t="s">
        <v>36</v>
      </c>
      <c r="V233">
        <v>0.01</v>
      </c>
      <c r="W233" t="s">
        <v>112</v>
      </c>
      <c r="X233" t="s">
        <v>167</v>
      </c>
      <c r="Y233" t="s">
        <v>36</v>
      </c>
    </row>
    <row r="234" spans="1:25" x14ac:dyDescent="0.3">
      <c r="A234">
        <v>3570.1</v>
      </c>
      <c r="B234" t="s">
        <v>459</v>
      </c>
      <c r="C234" t="s">
        <v>473</v>
      </c>
      <c r="D234" t="s">
        <v>385</v>
      </c>
      <c r="E234">
        <v>2</v>
      </c>
      <c r="F234" t="s">
        <v>42</v>
      </c>
      <c r="G234" t="s">
        <v>28</v>
      </c>
      <c r="I234">
        <v>29340</v>
      </c>
      <c r="J234">
        <v>1449</v>
      </c>
      <c r="K234">
        <v>2</v>
      </c>
      <c r="L234">
        <v>29340</v>
      </c>
      <c r="M234">
        <v>1449</v>
      </c>
      <c r="N234" t="s">
        <v>29</v>
      </c>
      <c r="O234" t="s">
        <v>44</v>
      </c>
      <c r="P234" t="s">
        <v>414</v>
      </c>
      <c r="Q234" t="s">
        <v>32</v>
      </c>
      <c r="R234" t="s">
        <v>33</v>
      </c>
      <c r="S234" t="s">
        <v>75</v>
      </c>
      <c r="T234" t="s">
        <v>76</v>
      </c>
      <c r="U234" t="s">
        <v>36</v>
      </c>
      <c r="V234">
        <v>3.1800000000000002E-2</v>
      </c>
      <c r="W234" t="s">
        <v>428</v>
      </c>
      <c r="X234" t="s">
        <v>198</v>
      </c>
      <c r="Y234" t="s">
        <v>36</v>
      </c>
    </row>
    <row r="235" spans="1:25" x14ac:dyDescent="0.3">
      <c r="A235">
        <v>3580</v>
      </c>
      <c r="B235" t="s">
        <v>459</v>
      </c>
      <c r="C235" t="s">
        <v>385</v>
      </c>
      <c r="D235" t="s">
        <v>104</v>
      </c>
      <c r="E235">
        <v>2</v>
      </c>
      <c r="F235" t="s">
        <v>42</v>
      </c>
      <c r="G235" t="s">
        <v>57</v>
      </c>
      <c r="H235">
        <v>1</v>
      </c>
      <c r="I235">
        <v>13381</v>
      </c>
      <c r="J235">
        <v>665</v>
      </c>
      <c r="K235">
        <v>2</v>
      </c>
      <c r="L235">
        <v>13381</v>
      </c>
      <c r="M235">
        <v>665</v>
      </c>
      <c r="N235" t="s">
        <v>29</v>
      </c>
      <c r="O235" t="s">
        <v>44</v>
      </c>
      <c r="P235" t="s">
        <v>31</v>
      </c>
      <c r="Q235" t="s">
        <v>32</v>
      </c>
      <c r="R235" t="s">
        <v>33</v>
      </c>
      <c r="S235" t="s">
        <v>339</v>
      </c>
      <c r="T235" t="s">
        <v>172</v>
      </c>
      <c r="U235" t="s">
        <v>60</v>
      </c>
      <c r="V235">
        <v>0.01</v>
      </c>
      <c r="W235" t="s">
        <v>340</v>
      </c>
      <c r="X235" t="s">
        <v>178</v>
      </c>
      <c r="Y235" t="s">
        <v>60</v>
      </c>
    </row>
    <row r="236" spans="1:25" x14ac:dyDescent="0.3">
      <c r="A236">
        <v>3590.1</v>
      </c>
      <c r="B236" t="s">
        <v>260</v>
      </c>
      <c r="C236" t="s">
        <v>91</v>
      </c>
      <c r="D236" t="s">
        <v>80</v>
      </c>
      <c r="E236">
        <v>2</v>
      </c>
      <c r="F236" t="s">
        <v>42</v>
      </c>
      <c r="G236" t="s">
        <v>28</v>
      </c>
      <c r="I236">
        <v>29340</v>
      </c>
      <c r="J236">
        <v>1449</v>
      </c>
      <c r="K236">
        <v>2</v>
      </c>
      <c r="L236">
        <v>29340</v>
      </c>
      <c r="M236">
        <v>1449</v>
      </c>
      <c r="N236" t="s">
        <v>29</v>
      </c>
      <c r="O236" t="s">
        <v>44</v>
      </c>
      <c r="P236" t="s">
        <v>31</v>
      </c>
      <c r="Q236" t="s">
        <v>32</v>
      </c>
      <c r="R236" t="s">
        <v>33</v>
      </c>
      <c r="S236" t="s">
        <v>213</v>
      </c>
      <c r="T236" t="s">
        <v>150</v>
      </c>
      <c r="U236" t="s">
        <v>36</v>
      </c>
      <c r="V236">
        <v>0.12820000000000001</v>
      </c>
      <c r="W236" t="s">
        <v>210</v>
      </c>
      <c r="X236" t="s">
        <v>196</v>
      </c>
      <c r="Y236" t="s">
        <v>60</v>
      </c>
    </row>
    <row r="237" spans="1:25" x14ac:dyDescent="0.3">
      <c r="A237">
        <v>3610</v>
      </c>
      <c r="B237" t="s">
        <v>474</v>
      </c>
      <c r="C237" t="s">
        <v>205</v>
      </c>
      <c r="D237" t="s">
        <v>188</v>
      </c>
      <c r="E237">
        <v>2</v>
      </c>
      <c r="F237" t="s">
        <v>42</v>
      </c>
      <c r="G237" t="s">
        <v>57</v>
      </c>
      <c r="H237">
        <v>2</v>
      </c>
      <c r="I237">
        <v>11232</v>
      </c>
      <c r="J237">
        <v>576</v>
      </c>
      <c r="K237">
        <v>2</v>
      </c>
      <c r="L237">
        <v>11232</v>
      </c>
      <c r="M237">
        <v>576</v>
      </c>
      <c r="N237" t="s">
        <v>29</v>
      </c>
      <c r="O237" t="s">
        <v>44</v>
      </c>
      <c r="P237" t="s">
        <v>31</v>
      </c>
      <c r="Q237" t="s">
        <v>32</v>
      </c>
      <c r="R237" t="s">
        <v>33</v>
      </c>
      <c r="S237" t="s">
        <v>133</v>
      </c>
      <c r="T237" t="s">
        <v>90</v>
      </c>
      <c r="U237" t="s">
        <v>60</v>
      </c>
      <c r="V237">
        <v>0.01</v>
      </c>
      <c r="W237" t="s">
        <v>149</v>
      </c>
      <c r="X237" t="s">
        <v>93</v>
      </c>
      <c r="Y237" t="s">
        <v>60</v>
      </c>
    </row>
    <row r="238" spans="1:25" x14ac:dyDescent="0.3">
      <c r="A238">
        <v>3620</v>
      </c>
      <c r="B238" t="s">
        <v>475</v>
      </c>
      <c r="C238" t="s">
        <v>140</v>
      </c>
      <c r="D238" t="s">
        <v>476</v>
      </c>
      <c r="E238">
        <v>4</v>
      </c>
      <c r="F238" t="s">
        <v>42</v>
      </c>
      <c r="G238" t="s">
        <v>57</v>
      </c>
      <c r="H238">
        <v>2</v>
      </c>
      <c r="I238">
        <v>36774</v>
      </c>
      <c r="J238">
        <v>3694</v>
      </c>
      <c r="K238">
        <v>4</v>
      </c>
      <c r="L238">
        <v>36774</v>
      </c>
      <c r="M238">
        <v>3694</v>
      </c>
      <c r="N238" t="s">
        <v>29</v>
      </c>
      <c r="O238" t="s">
        <v>396</v>
      </c>
      <c r="P238" t="s">
        <v>414</v>
      </c>
      <c r="Q238" t="s">
        <v>32</v>
      </c>
      <c r="R238" t="s">
        <v>33</v>
      </c>
      <c r="S238" t="s">
        <v>45</v>
      </c>
      <c r="T238" t="s">
        <v>46</v>
      </c>
      <c r="U238" t="s">
        <v>46</v>
      </c>
      <c r="V238">
        <v>0.01</v>
      </c>
      <c r="W238" t="s">
        <v>45</v>
      </c>
      <c r="X238" t="s">
        <v>46</v>
      </c>
      <c r="Y238" t="s">
        <v>46</v>
      </c>
    </row>
    <row r="239" spans="1:25" x14ac:dyDescent="0.3">
      <c r="A239">
        <v>3680</v>
      </c>
      <c r="B239" t="s">
        <v>477</v>
      </c>
      <c r="C239" t="s">
        <v>299</v>
      </c>
      <c r="D239" t="s">
        <v>478</v>
      </c>
      <c r="E239">
        <v>2</v>
      </c>
      <c r="F239" t="s">
        <v>42</v>
      </c>
      <c r="G239" t="s">
        <v>57</v>
      </c>
      <c r="H239">
        <v>2</v>
      </c>
      <c r="I239">
        <v>11232</v>
      </c>
      <c r="J239">
        <v>576</v>
      </c>
      <c r="K239">
        <v>2</v>
      </c>
      <c r="L239">
        <v>11232</v>
      </c>
      <c r="M239">
        <v>576</v>
      </c>
      <c r="N239" t="s">
        <v>29</v>
      </c>
      <c r="O239" t="s">
        <v>44</v>
      </c>
      <c r="P239" t="s">
        <v>31</v>
      </c>
      <c r="Q239" t="s">
        <v>32</v>
      </c>
      <c r="R239" t="s">
        <v>33</v>
      </c>
      <c r="S239" t="s">
        <v>199</v>
      </c>
      <c r="T239" t="s">
        <v>214</v>
      </c>
      <c r="U239" t="s">
        <v>30</v>
      </c>
      <c r="V239">
        <v>0.01</v>
      </c>
      <c r="W239" t="s">
        <v>200</v>
      </c>
      <c r="X239" t="s">
        <v>479</v>
      </c>
      <c r="Y239" t="s">
        <v>30</v>
      </c>
    </row>
    <row r="240" spans="1:25" x14ac:dyDescent="0.3">
      <c r="A240">
        <v>3690</v>
      </c>
      <c r="B240" t="s">
        <v>477</v>
      </c>
      <c r="C240" t="s">
        <v>245</v>
      </c>
      <c r="D240" t="s">
        <v>299</v>
      </c>
      <c r="E240">
        <v>2</v>
      </c>
      <c r="F240" t="s">
        <v>42</v>
      </c>
      <c r="G240" t="s">
        <v>57</v>
      </c>
      <c r="H240">
        <v>1</v>
      </c>
      <c r="I240">
        <v>12744</v>
      </c>
      <c r="J240">
        <v>634</v>
      </c>
      <c r="K240">
        <v>2</v>
      </c>
      <c r="L240">
        <v>12744</v>
      </c>
      <c r="M240">
        <v>634</v>
      </c>
      <c r="N240" t="s">
        <v>29</v>
      </c>
      <c r="O240" t="s">
        <v>44</v>
      </c>
      <c r="P240" t="s">
        <v>31</v>
      </c>
      <c r="Q240" t="s">
        <v>32</v>
      </c>
      <c r="R240" t="s">
        <v>33</v>
      </c>
      <c r="S240" t="s">
        <v>199</v>
      </c>
      <c r="T240" t="s">
        <v>108</v>
      </c>
      <c r="U240" t="s">
        <v>60</v>
      </c>
      <c r="V240">
        <v>0.01</v>
      </c>
      <c r="W240" t="s">
        <v>200</v>
      </c>
      <c r="X240" t="s">
        <v>114</v>
      </c>
      <c r="Y240" t="s">
        <v>60</v>
      </c>
    </row>
    <row r="241" spans="1:25" x14ac:dyDescent="0.3">
      <c r="A241">
        <v>3700</v>
      </c>
      <c r="B241" t="s">
        <v>480</v>
      </c>
      <c r="C241" t="s">
        <v>476</v>
      </c>
      <c r="D241" t="s">
        <v>333</v>
      </c>
      <c r="E241">
        <v>2</v>
      </c>
      <c r="F241" t="s">
        <v>42</v>
      </c>
      <c r="G241" t="s">
        <v>57</v>
      </c>
      <c r="H241">
        <v>2</v>
      </c>
      <c r="I241">
        <v>18252</v>
      </c>
      <c r="J241">
        <v>1836</v>
      </c>
      <c r="K241">
        <v>2</v>
      </c>
      <c r="L241">
        <v>18252</v>
      </c>
      <c r="M241">
        <v>1836</v>
      </c>
      <c r="N241" t="s">
        <v>29</v>
      </c>
      <c r="O241" t="s">
        <v>396</v>
      </c>
      <c r="P241" t="s">
        <v>31</v>
      </c>
      <c r="Q241" t="s">
        <v>32</v>
      </c>
      <c r="R241" t="s">
        <v>33</v>
      </c>
      <c r="S241" t="s">
        <v>481</v>
      </c>
      <c r="T241" t="s">
        <v>146</v>
      </c>
      <c r="U241" t="s">
        <v>60</v>
      </c>
      <c r="V241">
        <v>0.01</v>
      </c>
      <c r="W241" t="s">
        <v>145</v>
      </c>
      <c r="X241" t="s">
        <v>147</v>
      </c>
      <c r="Y241" t="s">
        <v>60</v>
      </c>
    </row>
    <row r="242" spans="1:25" x14ac:dyDescent="0.3">
      <c r="A242">
        <v>3740</v>
      </c>
      <c r="B242" t="s">
        <v>480</v>
      </c>
      <c r="C242" t="s">
        <v>333</v>
      </c>
      <c r="D242" t="s">
        <v>140</v>
      </c>
      <c r="E242">
        <v>2</v>
      </c>
      <c r="F242" t="s">
        <v>42</v>
      </c>
      <c r="G242" t="s">
        <v>57</v>
      </c>
      <c r="H242">
        <v>2</v>
      </c>
      <c r="I242">
        <v>18252</v>
      </c>
      <c r="J242">
        <v>1836</v>
      </c>
      <c r="K242">
        <v>2</v>
      </c>
      <c r="L242">
        <v>18252</v>
      </c>
      <c r="M242">
        <v>1836</v>
      </c>
      <c r="N242" t="s">
        <v>29</v>
      </c>
      <c r="O242" t="s">
        <v>396</v>
      </c>
      <c r="P242" t="s">
        <v>31</v>
      </c>
      <c r="Q242" t="s">
        <v>32</v>
      </c>
      <c r="R242" t="s">
        <v>33</v>
      </c>
      <c r="S242" t="s">
        <v>481</v>
      </c>
      <c r="T242" t="s">
        <v>146</v>
      </c>
      <c r="U242" t="s">
        <v>60</v>
      </c>
      <c r="V242">
        <v>0.01</v>
      </c>
      <c r="W242" t="s">
        <v>145</v>
      </c>
      <c r="X242" t="s">
        <v>147</v>
      </c>
      <c r="Y242" t="s">
        <v>60</v>
      </c>
    </row>
    <row r="243" spans="1:25" x14ac:dyDescent="0.3">
      <c r="A243">
        <v>3760.1</v>
      </c>
      <c r="B243" t="s">
        <v>482</v>
      </c>
      <c r="C243" t="s">
        <v>68</v>
      </c>
      <c r="D243" t="s">
        <v>483</v>
      </c>
      <c r="E243">
        <v>2</v>
      </c>
      <c r="F243" t="s">
        <v>42</v>
      </c>
      <c r="G243" t="s">
        <v>28</v>
      </c>
      <c r="I243">
        <v>29340</v>
      </c>
      <c r="J243">
        <v>1449</v>
      </c>
      <c r="K243">
        <v>2</v>
      </c>
      <c r="L243">
        <v>29340</v>
      </c>
      <c r="M243">
        <v>1449</v>
      </c>
      <c r="N243" t="s">
        <v>29</v>
      </c>
      <c r="O243" t="s">
        <v>44</v>
      </c>
      <c r="P243" t="s">
        <v>31</v>
      </c>
      <c r="Q243" t="s">
        <v>32</v>
      </c>
      <c r="R243" t="s">
        <v>33</v>
      </c>
      <c r="S243" t="s">
        <v>242</v>
      </c>
      <c r="T243" t="s">
        <v>130</v>
      </c>
      <c r="U243" t="s">
        <v>36</v>
      </c>
      <c r="V243">
        <v>0.01</v>
      </c>
      <c r="W243" t="s">
        <v>199</v>
      </c>
      <c r="X243" t="s">
        <v>35</v>
      </c>
      <c r="Y243" t="s">
        <v>36</v>
      </c>
    </row>
    <row r="244" spans="1:25" x14ac:dyDescent="0.3">
      <c r="A244">
        <v>3770</v>
      </c>
      <c r="B244" t="s">
        <v>81</v>
      </c>
      <c r="C244" t="s">
        <v>68</v>
      </c>
      <c r="D244" t="s">
        <v>484</v>
      </c>
      <c r="E244">
        <v>2</v>
      </c>
      <c r="F244" t="s">
        <v>42</v>
      </c>
      <c r="G244" t="s">
        <v>28</v>
      </c>
      <c r="I244">
        <v>29340</v>
      </c>
      <c r="J244">
        <v>1449</v>
      </c>
      <c r="K244">
        <v>2</v>
      </c>
      <c r="L244">
        <v>29340</v>
      </c>
      <c r="M244">
        <v>1449</v>
      </c>
      <c r="N244" t="s">
        <v>29</v>
      </c>
      <c r="O244" t="s">
        <v>44</v>
      </c>
      <c r="P244" t="s">
        <v>31</v>
      </c>
      <c r="Q244" t="s">
        <v>32</v>
      </c>
      <c r="R244" t="s">
        <v>33</v>
      </c>
      <c r="S244" t="s">
        <v>45</v>
      </c>
      <c r="T244" t="s">
        <v>46</v>
      </c>
      <c r="U244" t="s">
        <v>46</v>
      </c>
      <c r="V244">
        <v>0.01</v>
      </c>
      <c r="W244" t="s">
        <v>45</v>
      </c>
      <c r="X244" t="s">
        <v>46</v>
      </c>
      <c r="Y244" t="s">
        <v>46</v>
      </c>
    </row>
    <row r="245" spans="1:25" x14ac:dyDescent="0.3">
      <c r="A245">
        <v>3790</v>
      </c>
      <c r="B245" t="s">
        <v>336</v>
      </c>
      <c r="C245" t="s">
        <v>245</v>
      </c>
      <c r="D245" t="s">
        <v>485</v>
      </c>
      <c r="E245">
        <v>2</v>
      </c>
      <c r="F245" t="s">
        <v>42</v>
      </c>
      <c r="G245" t="s">
        <v>57</v>
      </c>
      <c r="H245">
        <v>2</v>
      </c>
      <c r="I245">
        <v>11232</v>
      </c>
      <c r="J245">
        <v>576</v>
      </c>
      <c r="K245">
        <v>2</v>
      </c>
      <c r="L245">
        <v>11232</v>
      </c>
      <c r="M245">
        <v>576</v>
      </c>
      <c r="N245" t="s">
        <v>29</v>
      </c>
      <c r="O245" t="s">
        <v>44</v>
      </c>
      <c r="P245" t="s">
        <v>414</v>
      </c>
      <c r="Q245" t="s">
        <v>32</v>
      </c>
      <c r="R245" t="s">
        <v>33</v>
      </c>
      <c r="S245" t="s">
        <v>64</v>
      </c>
      <c r="T245" t="s">
        <v>78</v>
      </c>
      <c r="U245" t="s">
        <v>60</v>
      </c>
      <c r="V245">
        <v>0.01</v>
      </c>
      <c r="W245" t="s">
        <v>66</v>
      </c>
      <c r="X245" t="s">
        <v>113</v>
      </c>
      <c r="Y245" t="s">
        <v>60</v>
      </c>
    </row>
    <row r="246" spans="1:25" x14ac:dyDescent="0.3">
      <c r="A246">
        <v>3800</v>
      </c>
      <c r="B246" t="s">
        <v>336</v>
      </c>
      <c r="C246" t="s">
        <v>485</v>
      </c>
      <c r="D246" t="s">
        <v>140</v>
      </c>
      <c r="E246">
        <v>2</v>
      </c>
      <c r="F246" t="s">
        <v>42</v>
      </c>
      <c r="G246" t="s">
        <v>57</v>
      </c>
      <c r="H246">
        <v>2</v>
      </c>
      <c r="I246">
        <v>11232</v>
      </c>
      <c r="J246">
        <v>576</v>
      </c>
      <c r="K246">
        <v>2</v>
      </c>
      <c r="L246">
        <v>11232</v>
      </c>
      <c r="M246">
        <v>576</v>
      </c>
      <c r="N246" t="s">
        <v>29</v>
      </c>
      <c r="O246" t="s">
        <v>44</v>
      </c>
      <c r="P246" t="s">
        <v>414</v>
      </c>
      <c r="Q246" t="s">
        <v>32</v>
      </c>
      <c r="R246" t="s">
        <v>33</v>
      </c>
      <c r="S246" t="s">
        <v>166</v>
      </c>
      <c r="T246" t="s">
        <v>83</v>
      </c>
      <c r="U246" t="s">
        <v>60</v>
      </c>
      <c r="V246">
        <v>0.01</v>
      </c>
      <c r="W246" t="s">
        <v>432</v>
      </c>
      <c r="X246" t="s">
        <v>85</v>
      </c>
      <c r="Y246" t="s">
        <v>60</v>
      </c>
    </row>
    <row r="247" spans="1:25" x14ac:dyDescent="0.3">
      <c r="A247">
        <v>3810.1</v>
      </c>
      <c r="B247" t="s">
        <v>91</v>
      </c>
      <c r="C247" t="s">
        <v>224</v>
      </c>
      <c r="D247" t="s">
        <v>327</v>
      </c>
      <c r="E247">
        <v>2</v>
      </c>
      <c r="F247" t="s">
        <v>42</v>
      </c>
      <c r="G247" t="s">
        <v>28</v>
      </c>
      <c r="I247">
        <v>14130</v>
      </c>
      <c r="J247">
        <v>738</v>
      </c>
      <c r="K247">
        <v>2</v>
      </c>
      <c r="L247">
        <v>14130</v>
      </c>
      <c r="M247">
        <v>738</v>
      </c>
      <c r="N247" t="s">
        <v>43</v>
      </c>
      <c r="O247" t="s">
        <v>44</v>
      </c>
      <c r="P247" t="s">
        <v>31</v>
      </c>
      <c r="Q247" t="s">
        <v>32</v>
      </c>
      <c r="R247" t="s">
        <v>60</v>
      </c>
      <c r="S247" t="s">
        <v>486</v>
      </c>
      <c r="T247" t="s">
        <v>214</v>
      </c>
      <c r="U247" t="s">
        <v>36</v>
      </c>
      <c r="V247">
        <v>0.01</v>
      </c>
      <c r="W247" t="s">
        <v>87</v>
      </c>
      <c r="X247" t="s">
        <v>284</v>
      </c>
      <c r="Y247" t="s">
        <v>36</v>
      </c>
    </row>
    <row r="248" spans="1:25" x14ac:dyDescent="0.3">
      <c r="A248">
        <v>3820</v>
      </c>
      <c r="B248" t="s">
        <v>91</v>
      </c>
      <c r="C248" t="s">
        <v>327</v>
      </c>
      <c r="D248" t="s">
        <v>26</v>
      </c>
      <c r="E248">
        <v>2</v>
      </c>
      <c r="F248" t="s">
        <v>42</v>
      </c>
      <c r="G248" t="s">
        <v>57</v>
      </c>
      <c r="H248">
        <v>2</v>
      </c>
      <c r="I248">
        <v>5256</v>
      </c>
      <c r="J248">
        <v>266</v>
      </c>
      <c r="K248">
        <v>2</v>
      </c>
      <c r="L248">
        <v>5256</v>
      </c>
      <c r="M248">
        <v>266</v>
      </c>
      <c r="N248" t="s">
        <v>29</v>
      </c>
      <c r="O248" t="s">
        <v>44</v>
      </c>
      <c r="P248" t="s">
        <v>31</v>
      </c>
      <c r="Q248" t="s">
        <v>32</v>
      </c>
      <c r="R248" t="s">
        <v>60</v>
      </c>
      <c r="S248" t="s">
        <v>216</v>
      </c>
      <c r="T248" t="s">
        <v>487</v>
      </c>
      <c r="U248" t="s">
        <v>30</v>
      </c>
      <c r="V248">
        <v>4.1000000000000002E-2</v>
      </c>
      <c r="W248" t="s">
        <v>303</v>
      </c>
      <c r="X248" t="s">
        <v>488</v>
      </c>
      <c r="Y248" t="s">
        <v>30</v>
      </c>
    </row>
    <row r="249" spans="1:25" x14ac:dyDescent="0.3">
      <c r="A249">
        <v>3830.1</v>
      </c>
      <c r="B249" t="s">
        <v>68</v>
      </c>
      <c r="C249" t="s">
        <v>91</v>
      </c>
      <c r="D249" t="s">
        <v>25</v>
      </c>
      <c r="E249">
        <v>2</v>
      </c>
      <c r="F249" t="s">
        <v>42</v>
      </c>
      <c r="G249" t="s">
        <v>28</v>
      </c>
      <c r="I249">
        <v>30807</v>
      </c>
      <c r="J249">
        <v>1521</v>
      </c>
      <c r="K249">
        <v>2</v>
      </c>
      <c r="L249">
        <v>30807</v>
      </c>
      <c r="M249">
        <v>1521</v>
      </c>
      <c r="N249" t="s">
        <v>29</v>
      </c>
      <c r="O249" t="s">
        <v>30</v>
      </c>
      <c r="P249" t="s">
        <v>31</v>
      </c>
      <c r="Q249" t="s">
        <v>32</v>
      </c>
      <c r="R249" t="s">
        <v>33</v>
      </c>
      <c r="S249" t="s">
        <v>92</v>
      </c>
      <c r="T249" t="s">
        <v>90</v>
      </c>
      <c r="U249" t="s">
        <v>36</v>
      </c>
      <c r="V249">
        <v>0.01</v>
      </c>
      <c r="W249" t="s">
        <v>94</v>
      </c>
      <c r="X249" t="s">
        <v>93</v>
      </c>
      <c r="Y249" t="s">
        <v>36</v>
      </c>
    </row>
    <row r="250" spans="1:25" x14ac:dyDescent="0.3">
      <c r="A250">
        <v>3840.1</v>
      </c>
      <c r="B250" t="s">
        <v>484</v>
      </c>
      <c r="C250" t="s">
        <v>68</v>
      </c>
      <c r="D250" t="s">
        <v>260</v>
      </c>
      <c r="E250">
        <v>2</v>
      </c>
      <c r="F250" t="s">
        <v>42</v>
      </c>
      <c r="G250" t="s">
        <v>28</v>
      </c>
      <c r="I250">
        <v>29340</v>
      </c>
      <c r="J250">
        <v>1449</v>
      </c>
      <c r="K250">
        <v>2</v>
      </c>
      <c r="L250">
        <v>29340</v>
      </c>
      <c r="M250">
        <v>1449</v>
      </c>
      <c r="N250" t="s">
        <v>29</v>
      </c>
      <c r="O250" t="s">
        <v>44</v>
      </c>
      <c r="P250" t="s">
        <v>31</v>
      </c>
      <c r="Q250" t="s">
        <v>32</v>
      </c>
      <c r="R250" t="s">
        <v>33</v>
      </c>
      <c r="S250" t="s">
        <v>132</v>
      </c>
      <c r="T250" t="s">
        <v>128</v>
      </c>
      <c r="U250" t="s">
        <v>36</v>
      </c>
      <c r="V250">
        <v>0.01</v>
      </c>
      <c r="W250" t="s">
        <v>133</v>
      </c>
      <c r="X250" t="s">
        <v>128</v>
      </c>
      <c r="Y250" t="s">
        <v>36</v>
      </c>
    </row>
    <row r="251" spans="1:25" x14ac:dyDescent="0.3">
      <c r="A251">
        <v>3850.1</v>
      </c>
      <c r="B251" t="s">
        <v>484</v>
      </c>
      <c r="C251" t="s">
        <v>260</v>
      </c>
      <c r="D251" t="s">
        <v>80</v>
      </c>
      <c r="E251">
        <v>2</v>
      </c>
      <c r="F251" t="s">
        <v>42</v>
      </c>
      <c r="G251" t="s">
        <v>28</v>
      </c>
      <c r="I251">
        <v>29340</v>
      </c>
      <c r="J251">
        <v>1449</v>
      </c>
      <c r="K251">
        <v>2</v>
      </c>
      <c r="L251">
        <v>29340</v>
      </c>
      <c r="M251">
        <v>1449</v>
      </c>
      <c r="N251" t="s">
        <v>29</v>
      </c>
      <c r="O251" t="s">
        <v>44</v>
      </c>
      <c r="P251" t="s">
        <v>31</v>
      </c>
      <c r="Q251" t="s">
        <v>32</v>
      </c>
      <c r="R251" t="s">
        <v>33</v>
      </c>
      <c r="S251" t="s">
        <v>132</v>
      </c>
      <c r="T251" t="s">
        <v>128</v>
      </c>
      <c r="U251" t="s">
        <v>36</v>
      </c>
      <c r="V251">
        <v>0.01</v>
      </c>
      <c r="W251" t="s">
        <v>133</v>
      </c>
      <c r="X251" t="s">
        <v>128</v>
      </c>
      <c r="Y251" t="s">
        <v>36</v>
      </c>
    </row>
    <row r="252" spans="1:25" x14ac:dyDescent="0.3">
      <c r="A252">
        <v>3860</v>
      </c>
      <c r="B252" t="s">
        <v>134</v>
      </c>
      <c r="C252" t="s">
        <v>68</v>
      </c>
      <c r="D252" t="s">
        <v>279</v>
      </c>
      <c r="E252">
        <v>2</v>
      </c>
      <c r="F252" t="s">
        <v>42</v>
      </c>
      <c r="G252" t="s">
        <v>28</v>
      </c>
      <c r="I252">
        <v>29340</v>
      </c>
      <c r="J252">
        <v>1449</v>
      </c>
      <c r="K252">
        <v>2</v>
      </c>
      <c r="L252">
        <v>29340</v>
      </c>
      <c r="M252">
        <v>1449</v>
      </c>
      <c r="N252" t="s">
        <v>29</v>
      </c>
      <c r="O252" t="s">
        <v>44</v>
      </c>
      <c r="P252" t="s">
        <v>31</v>
      </c>
      <c r="Q252" t="s">
        <v>32</v>
      </c>
      <c r="R252" t="s">
        <v>33</v>
      </c>
      <c r="S252" t="s">
        <v>203</v>
      </c>
      <c r="T252" t="s">
        <v>163</v>
      </c>
      <c r="U252" t="s">
        <v>36</v>
      </c>
      <c r="V252">
        <v>0.01</v>
      </c>
      <c r="W252" t="s">
        <v>141</v>
      </c>
      <c r="X252" t="s">
        <v>51</v>
      </c>
      <c r="Y252" t="s">
        <v>36</v>
      </c>
    </row>
    <row r="253" spans="1:25" x14ac:dyDescent="0.3">
      <c r="A253">
        <v>3880</v>
      </c>
      <c r="B253" t="s">
        <v>489</v>
      </c>
      <c r="C253" t="s">
        <v>183</v>
      </c>
      <c r="D253" t="s">
        <v>26</v>
      </c>
      <c r="E253">
        <v>2</v>
      </c>
      <c r="F253" t="s">
        <v>42</v>
      </c>
      <c r="G253" t="s">
        <v>57</v>
      </c>
      <c r="H253">
        <v>1</v>
      </c>
      <c r="I253">
        <v>12744</v>
      </c>
      <c r="J253">
        <v>634</v>
      </c>
      <c r="K253">
        <v>2</v>
      </c>
      <c r="L253">
        <v>12744</v>
      </c>
      <c r="M253">
        <v>634</v>
      </c>
      <c r="N253" t="s">
        <v>29</v>
      </c>
      <c r="O253" t="s">
        <v>44</v>
      </c>
      <c r="P253" t="s">
        <v>31</v>
      </c>
      <c r="Q253" t="s">
        <v>32</v>
      </c>
      <c r="R253" t="s">
        <v>33</v>
      </c>
      <c r="S253" t="s">
        <v>213</v>
      </c>
      <c r="T253" t="s">
        <v>214</v>
      </c>
      <c r="U253" t="s">
        <v>60</v>
      </c>
      <c r="V253">
        <v>6.9599999999999995E-2</v>
      </c>
      <c r="W253" t="s">
        <v>303</v>
      </c>
      <c r="X253" t="s">
        <v>232</v>
      </c>
      <c r="Y253" t="s">
        <v>60</v>
      </c>
    </row>
    <row r="254" spans="1:25" x14ac:dyDescent="0.3">
      <c r="A254">
        <v>3900.1</v>
      </c>
      <c r="B254" t="s">
        <v>490</v>
      </c>
      <c r="C254" t="s">
        <v>26</v>
      </c>
      <c r="D254" t="s">
        <v>491</v>
      </c>
      <c r="E254">
        <v>2</v>
      </c>
      <c r="F254" t="s">
        <v>42</v>
      </c>
      <c r="G254" t="s">
        <v>28</v>
      </c>
      <c r="I254">
        <v>29340</v>
      </c>
      <c r="J254">
        <v>1449</v>
      </c>
      <c r="K254">
        <v>2</v>
      </c>
      <c r="L254">
        <v>29340</v>
      </c>
      <c r="M254">
        <v>1449</v>
      </c>
      <c r="N254" t="s">
        <v>29</v>
      </c>
      <c r="O254" t="s">
        <v>44</v>
      </c>
      <c r="P254" t="s">
        <v>31</v>
      </c>
      <c r="Q254" t="s">
        <v>32</v>
      </c>
      <c r="R254" t="s">
        <v>33</v>
      </c>
      <c r="S254" t="s">
        <v>216</v>
      </c>
      <c r="T254" t="s">
        <v>88</v>
      </c>
      <c r="U254" t="s">
        <v>36</v>
      </c>
      <c r="V254">
        <v>7.7799999999999994E-2</v>
      </c>
      <c r="W254" t="s">
        <v>307</v>
      </c>
      <c r="X254" t="s">
        <v>93</v>
      </c>
      <c r="Y254" t="s">
        <v>36</v>
      </c>
    </row>
    <row r="255" spans="1:25" x14ac:dyDescent="0.3">
      <c r="A255">
        <v>3900.2</v>
      </c>
      <c r="B255" t="s">
        <v>490</v>
      </c>
      <c r="C255" t="s">
        <v>491</v>
      </c>
      <c r="D255" t="s">
        <v>492</v>
      </c>
      <c r="E255">
        <v>2</v>
      </c>
      <c r="F255" t="s">
        <v>42</v>
      </c>
      <c r="G255" t="s">
        <v>28</v>
      </c>
      <c r="I255">
        <v>29340</v>
      </c>
      <c r="J255">
        <v>1449</v>
      </c>
      <c r="K255">
        <v>2</v>
      </c>
      <c r="L255">
        <v>29340</v>
      </c>
      <c r="M255">
        <v>1449</v>
      </c>
      <c r="N255" t="s">
        <v>29</v>
      </c>
      <c r="O255" t="s">
        <v>44</v>
      </c>
      <c r="P255" t="s">
        <v>31</v>
      </c>
      <c r="Q255" t="s">
        <v>32</v>
      </c>
      <c r="R255" t="s">
        <v>33</v>
      </c>
      <c r="S255" t="s">
        <v>493</v>
      </c>
      <c r="T255" t="s">
        <v>85</v>
      </c>
      <c r="U255" t="s">
        <v>36</v>
      </c>
      <c r="V255">
        <v>0.01</v>
      </c>
      <c r="W255" t="s">
        <v>215</v>
      </c>
      <c r="X255" t="s">
        <v>117</v>
      </c>
      <c r="Y255" t="s">
        <v>36</v>
      </c>
    </row>
    <row r="256" spans="1:25" x14ac:dyDescent="0.3">
      <c r="A256">
        <v>3910</v>
      </c>
      <c r="B256" t="s">
        <v>245</v>
      </c>
      <c r="C256" t="s">
        <v>299</v>
      </c>
      <c r="D256" t="s">
        <v>336</v>
      </c>
      <c r="E256">
        <v>4</v>
      </c>
      <c r="F256" t="s">
        <v>27</v>
      </c>
      <c r="G256" t="s">
        <v>57</v>
      </c>
      <c r="I256">
        <v>38430</v>
      </c>
      <c r="J256">
        <v>1901</v>
      </c>
      <c r="K256">
        <v>4</v>
      </c>
      <c r="L256">
        <v>38430</v>
      </c>
      <c r="M256">
        <v>1901</v>
      </c>
      <c r="N256" t="s">
        <v>29</v>
      </c>
      <c r="O256" t="s">
        <v>30</v>
      </c>
      <c r="P256" t="s">
        <v>98</v>
      </c>
      <c r="Q256" t="s">
        <v>32</v>
      </c>
      <c r="R256" t="s">
        <v>30</v>
      </c>
      <c r="S256" t="s">
        <v>494</v>
      </c>
      <c r="T256" t="s">
        <v>283</v>
      </c>
      <c r="U256" t="s">
        <v>60</v>
      </c>
      <c r="V256">
        <v>0.01</v>
      </c>
      <c r="W256" t="s">
        <v>495</v>
      </c>
      <c r="X256" t="s">
        <v>496</v>
      </c>
      <c r="Y256" t="s">
        <v>60</v>
      </c>
    </row>
    <row r="257" spans="1:25" x14ac:dyDescent="0.3">
      <c r="A257">
        <v>3930.1</v>
      </c>
      <c r="B257" t="s">
        <v>245</v>
      </c>
      <c r="C257" t="s">
        <v>336</v>
      </c>
      <c r="D257" t="s">
        <v>338</v>
      </c>
      <c r="E257">
        <v>4</v>
      </c>
      <c r="F257" t="s">
        <v>27</v>
      </c>
      <c r="G257" t="s">
        <v>57</v>
      </c>
      <c r="I257">
        <v>39165</v>
      </c>
      <c r="J257">
        <v>1943</v>
      </c>
      <c r="K257">
        <v>4</v>
      </c>
      <c r="L257">
        <v>39165</v>
      </c>
      <c r="M257">
        <v>1943</v>
      </c>
      <c r="N257" t="s">
        <v>29</v>
      </c>
      <c r="O257" t="s">
        <v>30</v>
      </c>
      <c r="P257" t="s">
        <v>98</v>
      </c>
      <c r="Q257" t="s">
        <v>32</v>
      </c>
      <c r="R257" t="s">
        <v>30</v>
      </c>
      <c r="S257" t="s">
        <v>497</v>
      </c>
      <c r="T257" t="s">
        <v>283</v>
      </c>
      <c r="U257" t="s">
        <v>60</v>
      </c>
      <c r="V257">
        <v>0.01</v>
      </c>
      <c r="W257" t="s">
        <v>498</v>
      </c>
      <c r="X257" t="s">
        <v>496</v>
      </c>
      <c r="Y257" t="s">
        <v>60</v>
      </c>
    </row>
    <row r="258" spans="1:25" x14ac:dyDescent="0.3">
      <c r="A258">
        <v>3950</v>
      </c>
      <c r="B258" t="s">
        <v>245</v>
      </c>
      <c r="C258" t="s">
        <v>338</v>
      </c>
      <c r="D258" t="s">
        <v>246</v>
      </c>
      <c r="E258">
        <v>4</v>
      </c>
      <c r="F258" t="s">
        <v>27</v>
      </c>
      <c r="G258" t="s">
        <v>57</v>
      </c>
      <c r="I258">
        <v>38430</v>
      </c>
      <c r="J258">
        <v>1901</v>
      </c>
      <c r="K258">
        <v>4</v>
      </c>
      <c r="L258">
        <v>38430</v>
      </c>
      <c r="M258">
        <v>1901</v>
      </c>
      <c r="N258" t="s">
        <v>29</v>
      </c>
      <c r="O258" t="s">
        <v>30</v>
      </c>
      <c r="P258" t="s">
        <v>98</v>
      </c>
      <c r="Q258" t="s">
        <v>32</v>
      </c>
      <c r="R258" t="s">
        <v>30</v>
      </c>
      <c r="S258" t="s">
        <v>497</v>
      </c>
      <c r="T258" t="s">
        <v>499</v>
      </c>
      <c r="U258" t="s">
        <v>60</v>
      </c>
      <c r="V258">
        <v>0.01</v>
      </c>
      <c r="W258" t="s">
        <v>498</v>
      </c>
      <c r="X258" t="s">
        <v>500</v>
      </c>
      <c r="Y258" t="s">
        <v>30</v>
      </c>
    </row>
    <row r="259" spans="1:25" x14ac:dyDescent="0.3">
      <c r="A259">
        <v>3960</v>
      </c>
      <c r="B259" t="s">
        <v>501</v>
      </c>
      <c r="C259" t="s">
        <v>246</v>
      </c>
      <c r="D259" t="s">
        <v>304</v>
      </c>
      <c r="E259">
        <v>2</v>
      </c>
      <c r="F259" t="s">
        <v>42</v>
      </c>
      <c r="G259" t="s">
        <v>57</v>
      </c>
      <c r="H259">
        <v>2</v>
      </c>
      <c r="I259">
        <v>11232</v>
      </c>
      <c r="J259">
        <v>576</v>
      </c>
      <c r="K259">
        <v>2</v>
      </c>
      <c r="L259">
        <v>11232</v>
      </c>
      <c r="M259">
        <v>576</v>
      </c>
      <c r="N259" t="s">
        <v>29</v>
      </c>
      <c r="O259" t="s">
        <v>44</v>
      </c>
      <c r="P259" t="s">
        <v>31</v>
      </c>
      <c r="Q259" t="s">
        <v>32</v>
      </c>
      <c r="R259" t="s">
        <v>33</v>
      </c>
      <c r="S259" t="s">
        <v>132</v>
      </c>
      <c r="T259" t="s">
        <v>137</v>
      </c>
      <c r="U259" t="s">
        <v>60</v>
      </c>
      <c r="V259">
        <v>0.01</v>
      </c>
      <c r="W259" t="s">
        <v>133</v>
      </c>
      <c r="X259" t="s">
        <v>90</v>
      </c>
      <c r="Y259" t="s">
        <v>60</v>
      </c>
    </row>
    <row r="260" spans="1:25" x14ac:dyDescent="0.3">
      <c r="A260">
        <v>4020</v>
      </c>
      <c r="B260" t="s">
        <v>129</v>
      </c>
      <c r="C260" t="s">
        <v>69</v>
      </c>
      <c r="D260" t="s">
        <v>502</v>
      </c>
      <c r="E260">
        <v>2</v>
      </c>
      <c r="F260" t="s">
        <v>42</v>
      </c>
      <c r="G260" t="s">
        <v>28</v>
      </c>
      <c r="I260">
        <v>19170</v>
      </c>
      <c r="J260">
        <v>999</v>
      </c>
      <c r="K260">
        <v>2</v>
      </c>
      <c r="L260">
        <v>19170</v>
      </c>
      <c r="M260">
        <v>999</v>
      </c>
      <c r="N260" t="s">
        <v>43</v>
      </c>
      <c r="O260" t="s">
        <v>44</v>
      </c>
      <c r="P260" t="s">
        <v>31</v>
      </c>
      <c r="Q260" t="s">
        <v>32</v>
      </c>
      <c r="R260" t="s">
        <v>30</v>
      </c>
      <c r="S260" t="s">
        <v>45</v>
      </c>
      <c r="T260" t="s">
        <v>46</v>
      </c>
      <c r="U260" t="s">
        <v>46</v>
      </c>
      <c r="V260">
        <v>0.01</v>
      </c>
      <c r="W260" t="s">
        <v>45</v>
      </c>
      <c r="X260" t="s">
        <v>46</v>
      </c>
      <c r="Y260" t="s">
        <v>46</v>
      </c>
    </row>
    <row r="261" spans="1:25" x14ac:dyDescent="0.3">
      <c r="A261">
        <v>4040</v>
      </c>
      <c r="B261" t="s">
        <v>503</v>
      </c>
      <c r="C261" t="s">
        <v>504</v>
      </c>
      <c r="D261" t="s">
        <v>271</v>
      </c>
      <c r="E261">
        <v>2</v>
      </c>
      <c r="F261" t="s">
        <v>300</v>
      </c>
      <c r="G261" t="s">
        <v>57</v>
      </c>
      <c r="H261">
        <v>2</v>
      </c>
      <c r="I261">
        <v>11232</v>
      </c>
      <c r="J261">
        <v>576</v>
      </c>
      <c r="K261">
        <v>2</v>
      </c>
      <c r="L261">
        <v>11232</v>
      </c>
      <c r="M261">
        <v>576</v>
      </c>
      <c r="N261" t="s">
        <v>29</v>
      </c>
      <c r="O261" t="s">
        <v>44</v>
      </c>
      <c r="P261" t="s">
        <v>31</v>
      </c>
      <c r="Q261" t="s">
        <v>32</v>
      </c>
      <c r="R261" t="s">
        <v>33</v>
      </c>
      <c r="S261" t="s">
        <v>303</v>
      </c>
      <c r="T261" t="s">
        <v>275</v>
      </c>
      <c r="U261" t="s">
        <v>30</v>
      </c>
      <c r="V261">
        <v>0.01</v>
      </c>
      <c r="W261" t="s">
        <v>177</v>
      </c>
      <c r="X261" t="s">
        <v>364</v>
      </c>
      <c r="Y261" t="s">
        <v>30</v>
      </c>
    </row>
    <row r="262" spans="1:25" x14ac:dyDescent="0.3">
      <c r="A262">
        <v>4050</v>
      </c>
      <c r="B262" t="s">
        <v>503</v>
      </c>
      <c r="C262" t="s">
        <v>271</v>
      </c>
      <c r="D262" t="s">
        <v>245</v>
      </c>
      <c r="E262">
        <v>2</v>
      </c>
      <c r="F262" t="s">
        <v>42</v>
      </c>
      <c r="G262" t="s">
        <v>57</v>
      </c>
      <c r="H262">
        <v>2</v>
      </c>
      <c r="I262">
        <v>14040</v>
      </c>
      <c r="J262">
        <v>720</v>
      </c>
      <c r="K262">
        <v>2</v>
      </c>
      <c r="L262">
        <v>14040</v>
      </c>
      <c r="M262">
        <v>720</v>
      </c>
      <c r="N262" t="s">
        <v>29</v>
      </c>
      <c r="O262" t="s">
        <v>44</v>
      </c>
      <c r="P262" t="s">
        <v>414</v>
      </c>
      <c r="Q262" t="s">
        <v>32</v>
      </c>
      <c r="R262" t="s">
        <v>33</v>
      </c>
      <c r="S262" t="s">
        <v>303</v>
      </c>
      <c r="T262" t="s">
        <v>239</v>
      </c>
      <c r="U262" t="s">
        <v>30</v>
      </c>
      <c r="V262">
        <v>0.01</v>
      </c>
      <c r="W262" t="s">
        <v>177</v>
      </c>
      <c r="X262" t="s">
        <v>316</v>
      </c>
      <c r="Y262" t="s">
        <v>30</v>
      </c>
    </row>
    <row r="263" spans="1:25" x14ac:dyDescent="0.3">
      <c r="A263">
        <v>4060</v>
      </c>
      <c r="B263" t="s">
        <v>338</v>
      </c>
      <c r="C263" t="s">
        <v>245</v>
      </c>
      <c r="D263" t="s">
        <v>333</v>
      </c>
      <c r="E263">
        <v>2</v>
      </c>
      <c r="F263" t="s">
        <v>42</v>
      </c>
      <c r="G263" t="s">
        <v>57</v>
      </c>
      <c r="H263">
        <v>2</v>
      </c>
      <c r="I263">
        <v>11232</v>
      </c>
      <c r="J263">
        <v>576</v>
      </c>
      <c r="K263">
        <v>2</v>
      </c>
      <c r="L263">
        <v>11232</v>
      </c>
      <c r="M263">
        <v>576</v>
      </c>
      <c r="N263" t="s">
        <v>29</v>
      </c>
      <c r="O263" t="s">
        <v>44</v>
      </c>
      <c r="P263" t="s">
        <v>31</v>
      </c>
      <c r="Q263" t="s">
        <v>32</v>
      </c>
      <c r="R263" t="s">
        <v>33</v>
      </c>
      <c r="S263" t="s">
        <v>166</v>
      </c>
      <c r="T263" t="s">
        <v>83</v>
      </c>
      <c r="U263" t="s">
        <v>60</v>
      </c>
      <c r="V263">
        <v>5.0200000000000002E-2</v>
      </c>
      <c r="W263" t="s">
        <v>64</v>
      </c>
      <c r="X263" t="s">
        <v>78</v>
      </c>
      <c r="Y263" t="s">
        <v>60</v>
      </c>
    </row>
    <row r="264" spans="1:25" x14ac:dyDescent="0.3">
      <c r="A264">
        <v>4070</v>
      </c>
      <c r="B264" t="s">
        <v>505</v>
      </c>
      <c r="C264" t="s">
        <v>245</v>
      </c>
      <c r="D264" t="s">
        <v>304</v>
      </c>
      <c r="E264">
        <v>2</v>
      </c>
      <c r="F264" t="s">
        <v>42</v>
      </c>
      <c r="G264" t="s">
        <v>57</v>
      </c>
      <c r="H264">
        <v>2</v>
      </c>
      <c r="I264">
        <v>11232</v>
      </c>
      <c r="J264">
        <v>576</v>
      </c>
      <c r="K264">
        <v>2</v>
      </c>
      <c r="L264">
        <v>11232</v>
      </c>
      <c r="M264">
        <v>576</v>
      </c>
      <c r="N264" t="s">
        <v>29</v>
      </c>
      <c r="O264" t="s">
        <v>44</v>
      </c>
      <c r="P264" t="s">
        <v>31</v>
      </c>
      <c r="Q264" t="s">
        <v>32</v>
      </c>
      <c r="R264" t="s">
        <v>33</v>
      </c>
      <c r="S264" t="s">
        <v>387</v>
      </c>
      <c r="T264" t="s">
        <v>253</v>
      </c>
      <c r="U264" t="s">
        <v>30</v>
      </c>
      <c r="V264">
        <v>1.7100000000000001E-2</v>
      </c>
      <c r="W264" t="s">
        <v>282</v>
      </c>
      <c r="X264" t="s">
        <v>423</v>
      </c>
      <c r="Y264" t="s">
        <v>33</v>
      </c>
    </row>
    <row r="265" spans="1:25" x14ac:dyDescent="0.3">
      <c r="A265">
        <v>4080</v>
      </c>
      <c r="B265" t="s">
        <v>505</v>
      </c>
      <c r="C265" t="s">
        <v>304</v>
      </c>
      <c r="D265" t="s">
        <v>506</v>
      </c>
      <c r="E265">
        <v>2</v>
      </c>
      <c r="F265" t="s">
        <v>42</v>
      </c>
      <c r="G265" t="s">
        <v>57</v>
      </c>
      <c r="H265">
        <v>2</v>
      </c>
      <c r="I265">
        <v>11232</v>
      </c>
      <c r="J265">
        <v>576</v>
      </c>
      <c r="K265">
        <v>2</v>
      </c>
      <c r="L265">
        <v>11232</v>
      </c>
      <c r="M265">
        <v>576</v>
      </c>
      <c r="N265" t="s">
        <v>29</v>
      </c>
      <c r="O265" t="s">
        <v>44</v>
      </c>
      <c r="P265" t="s">
        <v>31</v>
      </c>
      <c r="Q265" t="s">
        <v>32</v>
      </c>
      <c r="R265" t="s">
        <v>33</v>
      </c>
      <c r="S265" t="s">
        <v>347</v>
      </c>
      <c r="T265" t="s">
        <v>507</v>
      </c>
      <c r="U265" t="s">
        <v>30</v>
      </c>
      <c r="V265">
        <v>3.5099999999999999E-2</v>
      </c>
      <c r="W265" t="s">
        <v>34</v>
      </c>
      <c r="X265" t="s">
        <v>427</v>
      </c>
      <c r="Y265" t="s">
        <v>259</v>
      </c>
    </row>
    <row r="266" spans="1:25" x14ac:dyDescent="0.3">
      <c r="A266">
        <v>4110</v>
      </c>
      <c r="B266" t="s">
        <v>246</v>
      </c>
      <c r="C266" t="s">
        <v>245</v>
      </c>
      <c r="D266" t="s">
        <v>508</v>
      </c>
      <c r="E266">
        <v>4</v>
      </c>
      <c r="F266" t="s">
        <v>27</v>
      </c>
      <c r="G266" t="s">
        <v>57</v>
      </c>
      <c r="H266">
        <v>2</v>
      </c>
      <c r="I266">
        <v>30420</v>
      </c>
      <c r="J266">
        <v>1530</v>
      </c>
      <c r="K266">
        <v>4</v>
      </c>
      <c r="L266">
        <v>30420</v>
      </c>
      <c r="M266">
        <v>1530</v>
      </c>
      <c r="N266" t="s">
        <v>29</v>
      </c>
      <c r="O266" t="s">
        <v>30</v>
      </c>
      <c r="P266" t="s">
        <v>414</v>
      </c>
      <c r="Q266" t="s">
        <v>32</v>
      </c>
      <c r="R266" t="s">
        <v>33</v>
      </c>
      <c r="S266" t="s">
        <v>100</v>
      </c>
      <c r="T266" t="s">
        <v>239</v>
      </c>
      <c r="U266" t="s">
        <v>30</v>
      </c>
      <c r="V266">
        <v>0.01</v>
      </c>
      <c r="W266" t="s">
        <v>102</v>
      </c>
      <c r="X266" t="s">
        <v>316</v>
      </c>
      <c r="Y266" t="s">
        <v>30</v>
      </c>
    </row>
    <row r="267" spans="1:25" x14ac:dyDescent="0.3">
      <c r="A267">
        <v>4130</v>
      </c>
      <c r="B267" t="s">
        <v>401</v>
      </c>
      <c r="C267" t="s">
        <v>508</v>
      </c>
      <c r="D267" t="s">
        <v>140</v>
      </c>
      <c r="E267">
        <v>4</v>
      </c>
      <c r="F267" t="s">
        <v>27</v>
      </c>
      <c r="G267" t="s">
        <v>57</v>
      </c>
      <c r="H267">
        <v>2</v>
      </c>
      <c r="I267">
        <v>30420</v>
      </c>
      <c r="J267">
        <v>1530</v>
      </c>
      <c r="K267">
        <v>4</v>
      </c>
      <c r="L267">
        <v>30420</v>
      </c>
      <c r="M267">
        <v>1530</v>
      </c>
      <c r="N267" t="s">
        <v>29</v>
      </c>
      <c r="O267" t="s">
        <v>30</v>
      </c>
      <c r="P267" t="s">
        <v>414</v>
      </c>
      <c r="Q267" t="s">
        <v>32</v>
      </c>
      <c r="R267" t="s">
        <v>33</v>
      </c>
      <c r="S267" t="s">
        <v>173</v>
      </c>
      <c r="T267" t="s">
        <v>262</v>
      </c>
      <c r="U267" t="s">
        <v>30</v>
      </c>
      <c r="V267">
        <v>0.01</v>
      </c>
      <c r="W267" t="s">
        <v>509</v>
      </c>
      <c r="X267" t="s">
        <v>214</v>
      </c>
      <c r="Y267" t="s">
        <v>30</v>
      </c>
    </row>
    <row r="268" spans="1:25" x14ac:dyDescent="0.3">
      <c r="A268">
        <v>4140</v>
      </c>
      <c r="B268" t="s">
        <v>506</v>
      </c>
      <c r="C268" t="s">
        <v>505</v>
      </c>
      <c r="D268" t="s">
        <v>25</v>
      </c>
      <c r="E268">
        <v>2</v>
      </c>
      <c r="F268" t="s">
        <v>42</v>
      </c>
      <c r="G268" t="s">
        <v>57</v>
      </c>
      <c r="H268">
        <v>2</v>
      </c>
      <c r="I268">
        <v>11232</v>
      </c>
      <c r="J268">
        <v>576</v>
      </c>
      <c r="K268">
        <v>2</v>
      </c>
      <c r="L268">
        <v>11232</v>
      </c>
      <c r="M268">
        <v>576</v>
      </c>
      <c r="N268" t="s">
        <v>29</v>
      </c>
      <c r="O268" t="s">
        <v>44</v>
      </c>
      <c r="P268" t="s">
        <v>31</v>
      </c>
      <c r="Q268" t="s">
        <v>32</v>
      </c>
      <c r="R268" t="s">
        <v>33</v>
      </c>
      <c r="S268" t="s">
        <v>45</v>
      </c>
      <c r="T268" t="s">
        <v>46</v>
      </c>
      <c r="U268" t="s">
        <v>46</v>
      </c>
      <c r="V268">
        <v>0.01</v>
      </c>
      <c r="W268" t="s">
        <v>45</v>
      </c>
      <c r="X268" t="s">
        <v>46</v>
      </c>
      <c r="Y268" t="s">
        <v>46</v>
      </c>
    </row>
    <row r="269" spans="1:25" x14ac:dyDescent="0.3">
      <c r="A269">
        <v>4150</v>
      </c>
      <c r="B269" t="s">
        <v>299</v>
      </c>
      <c r="C269" t="s">
        <v>26</v>
      </c>
      <c r="D269" t="s">
        <v>245</v>
      </c>
      <c r="E269">
        <v>2</v>
      </c>
      <c r="F269" t="s">
        <v>42</v>
      </c>
      <c r="G269" t="s">
        <v>57</v>
      </c>
      <c r="H269">
        <v>2</v>
      </c>
      <c r="I269">
        <v>11232</v>
      </c>
      <c r="J269">
        <v>576</v>
      </c>
      <c r="K269">
        <v>2</v>
      </c>
      <c r="L269">
        <v>11232</v>
      </c>
      <c r="M269">
        <v>576</v>
      </c>
      <c r="N269" t="s">
        <v>29</v>
      </c>
      <c r="O269" t="s">
        <v>44</v>
      </c>
      <c r="P269" t="s">
        <v>414</v>
      </c>
      <c r="Q269" t="s">
        <v>32</v>
      </c>
      <c r="R269" t="s">
        <v>33</v>
      </c>
      <c r="S269" t="s">
        <v>269</v>
      </c>
      <c r="T269" t="s">
        <v>88</v>
      </c>
      <c r="U269" t="s">
        <v>60</v>
      </c>
      <c r="V269">
        <v>0.01</v>
      </c>
      <c r="W269" t="s">
        <v>197</v>
      </c>
      <c r="X269" t="s">
        <v>144</v>
      </c>
      <c r="Y269" t="s">
        <v>60</v>
      </c>
    </row>
    <row r="270" spans="1:25" x14ac:dyDescent="0.3">
      <c r="A270">
        <v>4160</v>
      </c>
      <c r="B270" t="s">
        <v>299</v>
      </c>
      <c r="C270" t="s">
        <v>245</v>
      </c>
      <c r="D270" t="s">
        <v>510</v>
      </c>
      <c r="E270">
        <v>2</v>
      </c>
      <c r="F270" t="s">
        <v>42</v>
      </c>
      <c r="G270" t="s">
        <v>57</v>
      </c>
      <c r="H270">
        <v>2</v>
      </c>
      <c r="I270">
        <v>11232</v>
      </c>
      <c r="J270">
        <v>576</v>
      </c>
      <c r="K270">
        <v>2</v>
      </c>
      <c r="L270">
        <v>11232</v>
      </c>
      <c r="M270">
        <v>576</v>
      </c>
      <c r="N270" t="s">
        <v>29</v>
      </c>
      <c r="O270" t="s">
        <v>44</v>
      </c>
      <c r="P270" t="s">
        <v>414</v>
      </c>
      <c r="Q270" t="s">
        <v>32</v>
      </c>
      <c r="R270" t="s">
        <v>33</v>
      </c>
      <c r="S270" t="s">
        <v>277</v>
      </c>
      <c r="T270" t="s">
        <v>198</v>
      </c>
      <c r="U270" t="s">
        <v>60</v>
      </c>
      <c r="V270">
        <v>0.01</v>
      </c>
      <c r="W270" t="s">
        <v>218</v>
      </c>
      <c r="X270" t="s">
        <v>65</v>
      </c>
      <c r="Y270" t="s">
        <v>60</v>
      </c>
    </row>
    <row r="271" spans="1:25" x14ac:dyDescent="0.3">
      <c r="A271">
        <v>4170</v>
      </c>
      <c r="B271" t="s">
        <v>299</v>
      </c>
      <c r="C271" t="s">
        <v>510</v>
      </c>
      <c r="D271" t="s">
        <v>511</v>
      </c>
      <c r="E271">
        <v>2</v>
      </c>
      <c r="F271" t="s">
        <v>42</v>
      </c>
      <c r="G271" t="s">
        <v>57</v>
      </c>
      <c r="H271">
        <v>2</v>
      </c>
      <c r="I271">
        <v>11232</v>
      </c>
      <c r="J271">
        <v>576</v>
      </c>
      <c r="K271">
        <v>2</v>
      </c>
      <c r="L271">
        <v>11232</v>
      </c>
      <c r="M271">
        <v>576</v>
      </c>
      <c r="N271" t="s">
        <v>29</v>
      </c>
      <c r="O271" t="s">
        <v>44</v>
      </c>
      <c r="P271" t="s">
        <v>414</v>
      </c>
      <c r="Q271" t="s">
        <v>32</v>
      </c>
      <c r="R271" t="s">
        <v>33</v>
      </c>
      <c r="S271" t="s">
        <v>45</v>
      </c>
      <c r="T271" t="s">
        <v>46</v>
      </c>
      <c r="U271" t="s">
        <v>46</v>
      </c>
      <c r="V271">
        <v>0.01</v>
      </c>
      <c r="W271" t="s">
        <v>45</v>
      </c>
      <c r="X271" t="s">
        <v>46</v>
      </c>
      <c r="Y271" t="s">
        <v>46</v>
      </c>
    </row>
    <row r="272" spans="1:25" x14ac:dyDescent="0.3">
      <c r="A272">
        <v>4200.1000000000004</v>
      </c>
      <c r="B272" t="s">
        <v>271</v>
      </c>
      <c r="C272" t="s">
        <v>512</v>
      </c>
      <c r="D272" t="s">
        <v>224</v>
      </c>
      <c r="E272">
        <v>4</v>
      </c>
      <c r="F272" t="s">
        <v>27</v>
      </c>
      <c r="G272" t="s">
        <v>57</v>
      </c>
      <c r="H272">
        <v>1</v>
      </c>
      <c r="I272">
        <v>35820</v>
      </c>
      <c r="J272">
        <v>1800</v>
      </c>
      <c r="K272">
        <v>4</v>
      </c>
      <c r="L272">
        <v>35820</v>
      </c>
      <c r="M272">
        <v>1800</v>
      </c>
      <c r="N272" t="s">
        <v>29</v>
      </c>
      <c r="O272" t="s">
        <v>30</v>
      </c>
      <c r="P272" t="s">
        <v>31</v>
      </c>
      <c r="Q272" t="s">
        <v>32</v>
      </c>
      <c r="R272" t="s">
        <v>33</v>
      </c>
      <c r="S272" t="s">
        <v>513</v>
      </c>
      <c r="T272" t="s">
        <v>275</v>
      </c>
      <c r="U272" t="s">
        <v>60</v>
      </c>
      <c r="V272">
        <v>4.1799999999999997E-2</v>
      </c>
      <c r="W272" t="s">
        <v>514</v>
      </c>
      <c r="X272" t="s">
        <v>253</v>
      </c>
      <c r="Y272" t="s">
        <v>60</v>
      </c>
    </row>
    <row r="273" spans="1:25" x14ac:dyDescent="0.3">
      <c r="A273">
        <v>4200.2</v>
      </c>
      <c r="B273" t="s">
        <v>271</v>
      </c>
      <c r="C273" t="s">
        <v>224</v>
      </c>
      <c r="D273" t="s">
        <v>26</v>
      </c>
      <c r="E273">
        <v>4</v>
      </c>
      <c r="F273" t="s">
        <v>27</v>
      </c>
      <c r="G273" t="s">
        <v>57</v>
      </c>
      <c r="H273">
        <v>1</v>
      </c>
      <c r="I273">
        <v>35820</v>
      </c>
      <c r="J273">
        <v>1800</v>
      </c>
      <c r="K273">
        <v>4</v>
      </c>
      <c r="L273">
        <v>35820</v>
      </c>
      <c r="M273">
        <v>1800</v>
      </c>
      <c r="N273" t="s">
        <v>29</v>
      </c>
      <c r="O273" t="s">
        <v>30</v>
      </c>
      <c r="P273" t="s">
        <v>31</v>
      </c>
      <c r="Q273" t="s">
        <v>32</v>
      </c>
      <c r="R273" t="s">
        <v>33</v>
      </c>
      <c r="S273" t="s">
        <v>513</v>
      </c>
      <c r="T273" t="s">
        <v>275</v>
      </c>
      <c r="U273" t="s">
        <v>60</v>
      </c>
      <c r="V273">
        <v>4.1799999999999997E-2</v>
      </c>
      <c r="W273" t="s">
        <v>514</v>
      </c>
      <c r="X273" t="s">
        <v>253</v>
      </c>
      <c r="Y273" t="s">
        <v>60</v>
      </c>
    </row>
    <row r="274" spans="1:25" x14ac:dyDescent="0.3">
      <c r="A274">
        <v>4210</v>
      </c>
      <c r="B274" t="s">
        <v>271</v>
      </c>
      <c r="C274" t="s">
        <v>26</v>
      </c>
      <c r="D274" t="s">
        <v>270</v>
      </c>
      <c r="E274">
        <v>4</v>
      </c>
      <c r="F274" t="s">
        <v>27</v>
      </c>
      <c r="G274" t="s">
        <v>57</v>
      </c>
      <c r="H274">
        <v>1</v>
      </c>
      <c r="I274">
        <v>35820</v>
      </c>
      <c r="J274">
        <v>1800</v>
      </c>
      <c r="K274">
        <v>4</v>
      </c>
      <c r="L274">
        <v>35820</v>
      </c>
      <c r="M274">
        <v>1800</v>
      </c>
      <c r="N274" t="s">
        <v>29</v>
      </c>
      <c r="O274" t="s">
        <v>30</v>
      </c>
      <c r="P274" t="s">
        <v>414</v>
      </c>
      <c r="Q274" t="s">
        <v>32</v>
      </c>
      <c r="R274" t="s">
        <v>33</v>
      </c>
      <c r="S274" t="s">
        <v>515</v>
      </c>
      <c r="T274" t="s">
        <v>226</v>
      </c>
      <c r="U274" t="s">
        <v>60</v>
      </c>
      <c r="V274">
        <v>0.01</v>
      </c>
      <c r="W274" t="s">
        <v>328</v>
      </c>
      <c r="X274" t="s">
        <v>116</v>
      </c>
      <c r="Y274" t="s">
        <v>60</v>
      </c>
    </row>
    <row r="275" spans="1:25" x14ac:dyDescent="0.3">
      <c r="A275">
        <v>4220</v>
      </c>
      <c r="B275" t="s">
        <v>271</v>
      </c>
      <c r="C275" t="s">
        <v>270</v>
      </c>
      <c r="D275" t="s">
        <v>503</v>
      </c>
      <c r="E275">
        <v>4</v>
      </c>
      <c r="F275" t="s">
        <v>27</v>
      </c>
      <c r="G275" t="s">
        <v>57</v>
      </c>
      <c r="H275">
        <v>1</v>
      </c>
      <c r="I275">
        <v>35820</v>
      </c>
      <c r="J275">
        <v>1800</v>
      </c>
      <c r="K275">
        <v>4</v>
      </c>
      <c r="L275">
        <v>35820</v>
      </c>
      <c r="M275">
        <v>1800</v>
      </c>
      <c r="N275" t="s">
        <v>29</v>
      </c>
      <c r="O275" t="s">
        <v>30</v>
      </c>
      <c r="P275" t="s">
        <v>414</v>
      </c>
      <c r="Q275" t="s">
        <v>32</v>
      </c>
      <c r="R275" t="s">
        <v>33</v>
      </c>
      <c r="S275" t="s">
        <v>515</v>
      </c>
      <c r="T275" t="s">
        <v>226</v>
      </c>
      <c r="U275" t="s">
        <v>60</v>
      </c>
      <c r="V275">
        <v>0.01</v>
      </c>
      <c r="W275" t="s">
        <v>328</v>
      </c>
      <c r="X275" t="s">
        <v>116</v>
      </c>
      <c r="Y275" t="s">
        <v>60</v>
      </c>
    </row>
    <row r="276" spans="1:25" x14ac:dyDescent="0.3">
      <c r="A276">
        <v>4230.1000000000004</v>
      </c>
      <c r="B276" t="s">
        <v>271</v>
      </c>
      <c r="C276" t="s">
        <v>503</v>
      </c>
      <c r="D276" t="s">
        <v>304</v>
      </c>
      <c r="E276">
        <v>4</v>
      </c>
      <c r="F276" t="s">
        <v>27</v>
      </c>
      <c r="G276" t="s">
        <v>57</v>
      </c>
      <c r="H276">
        <v>1</v>
      </c>
      <c r="I276">
        <v>35820</v>
      </c>
      <c r="J276">
        <v>1800</v>
      </c>
      <c r="K276">
        <v>4</v>
      </c>
      <c r="L276">
        <v>35820</v>
      </c>
      <c r="M276">
        <v>1800</v>
      </c>
      <c r="N276" t="s">
        <v>29</v>
      </c>
      <c r="O276" t="s">
        <v>30</v>
      </c>
      <c r="P276" t="s">
        <v>414</v>
      </c>
      <c r="Q276" t="s">
        <v>32</v>
      </c>
      <c r="R276" t="s">
        <v>33</v>
      </c>
      <c r="S276" t="s">
        <v>516</v>
      </c>
      <c r="T276" t="s">
        <v>67</v>
      </c>
      <c r="U276" t="s">
        <v>60</v>
      </c>
      <c r="V276">
        <v>0.01</v>
      </c>
      <c r="W276" t="s">
        <v>517</v>
      </c>
      <c r="X276" t="s">
        <v>278</v>
      </c>
      <c r="Y276" t="s">
        <v>60</v>
      </c>
    </row>
    <row r="277" spans="1:25" x14ac:dyDescent="0.3">
      <c r="A277">
        <v>4240</v>
      </c>
      <c r="B277" t="s">
        <v>271</v>
      </c>
      <c r="C277" t="s">
        <v>304</v>
      </c>
      <c r="D277" t="s">
        <v>245</v>
      </c>
      <c r="E277">
        <v>4</v>
      </c>
      <c r="F277" t="s">
        <v>27</v>
      </c>
      <c r="G277" t="s">
        <v>57</v>
      </c>
      <c r="H277">
        <v>1</v>
      </c>
      <c r="I277">
        <v>37611</v>
      </c>
      <c r="J277">
        <v>1890</v>
      </c>
      <c r="K277">
        <v>4</v>
      </c>
      <c r="L277">
        <v>37611</v>
      </c>
      <c r="M277">
        <v>1890</v>
      </c>
      <c r="N277" t="s">
        <v>29</v>
      </c>
      <c r="O277" t="s">
        <v>30</v>
      </c>
      <c r="P277" t="s">
        <v>31</v>
      </c>
      <c r="Q277" t="s">
        <v>32</v>
      </c>
      <c r="R277" t="s">
        <v>33</v>
      </c>
      <c r="S277" t="s">
        <v>388</v>
      </c>
      <c r="T277" t="s">
        <v>83</v>
      </c>
      <c r="U277" t="s">
        <v>60</v>
      </c>
      <c r="V277">
        <v>0.01</v>
      </c>
      <c r="W277" t="s">
        <v>389</v>
      </c>
      <c r="X277" t="s">
        <v>85</v>
      </c>
      <c r="Y277" t="s">
        <v>60</v>
      </c>
    </row>
    <row r="278" spans="1:25" x14ac:dyDescent="0.3">
      <c r="A278">
        <v>4250</v>
      </c>
      <c r="B278" t="s">
        <v>327</v>
      </c>
      <c r="C278" t="s">
        <v>69</v>
      </c>
      <c r="D278" t="s">
        <v>281</v>
      </c>
      <c r="E278">
        <v>2</v>
      </c>
      <c r="F278" t="s">
        <v>42</v>
      </c>
      <c r="G278" t="s">
        <v>28</v>
      </c>
      <c r="I278">
        <v>29340</v>
      </c>
      <c r="J278">
        <v>1449</v>
      </c>
      <c r="K278">
        <v>2</v>
      </c>
      <c r="L278">
        <v>29340</v>
      </c>
      <c r="M278">
        <v>1449</v>
      </c>
      <c r="N278" t="s">
        <v>29</v>
      </c>
      <c r="O278" t="s">
        <v>44</v>
      </c>
      <c r="P278" t="s">
        <v>31</v>
      </c>
      <c r="Q278" t="s">
        <v>32</v>
      </c>
      <c r="R278" t="s">
        <v>33</v>
      </c>
      <c r="S278" t="s">
        <v>518</v>
      </c>
      <c r="T278" t="s">
        <v>35</v>
      </c>
      <c r="U278" t="s">
        <v>36</v>
      </c>
      <c r="V278">
        <v>5.2200000000000003E-2</v>
      </c>
      <c r="W278" t="s">
        <v>171</v>
      </c>
      <c r="X278" t="s">
        <v>85</v>
      </c>
      <c r="Y278" t="s">
        <v>36</v>
      </c>
    </row>
    <row r="279" spans="1:25" x14ac:dyDescent="0.3">
      <c r="A279">
        <v>4270</v>
      </c>
      <c r="B279" t="s">
        <v>327</v>
      </c>
      <c r="C279" t="s">
        <v>281</v>
      </c>
      <c r="D279" t="s">
        <v>285</v>
      </c>
      <c r="E279">
        <v>2</v>
      </c>
      <c r="F279" t="s">
        <v>42</v>
      </c>
      <c r="G279" t="s">
        <v>57</v>
      </c>
      <c r="H279">
        <v>1</v>
      </c>
      <c r="I279">
        <v>12744</v>
      </c>
      <c r="J279">
        <v>634</v>
      </c>
      <c r="K279">
        <v>2</v>
      </c>
      <c r="L279">
        <v>12744</v>
      </c>
      <c r="M279">
        <v>634</v>
      </c>
      <c r="N279" t="s">
        <v>29</v>
      </c>
      <c r="O279" t="s">
        <v>44</v>
      </c>
      <c r="P279" t="s">
        <v>31</v>
      </c>
      <c r="Q279" t="s">
        <v>32</v>
      </c>
      <c r="R279" t="s">
        <v>33</v>
      </c>
      <c r="S279" t="s">
        <v>518</v>
      </c>
      <c r="T279" t="s">
        <v>181</v>
      </c>
      <c r="U279" t="s">
        <v>60</v>
      </c>
      <c r="V279">
        <v>5.2200000000000003E-2</v>
      </c>
      <c r="W279" t="s">
        <v>171</v>
      </c>
      <c r="X279" t="s">
        <v>310</v>
      </c>
      <c r="Y279" t="s">
        <v>60</v>
      </c>
    </row>
    <row r="280" spans="1:25" x14ac:dyDescent="0.3">
      <c r="A280">
        <v>4280</v>
      </c>
      <c r="B280" t="s">
        <v>327</v>
      </c>
      <c r="C280" t="s">
        <v>285</v>
      </c>
      <c r="D280" t="s">
        <v>519</v>
      </c>
      <c r="E280">
        <v>2</v>
      </c>
      <c r="F280" t="s">
        <v>42</v>
      </c>
      <c r="G280" t="s">
        <v>57</v>
      </c>
      <c r="H280">
        <v>1</v>
      </c>
      <c r="I280">
        <v>12744</v>
      </c>
      <c r="J280">
        <v>634</v>
      </c>
      <c r="K280">
        <v>2</v>
      </c>
      <c r="L280">
        <v>12744</v>
      </c>
      <c r="M280">
        <v>634</v>
      </c>
      <c r="N280" t="s">
        <v>29</v>
      </c>
      <c r="O280" t="s">
        <v>44</v>
      </c>
      <c r="P280" t="s">
        <v>31</v>
      </c>
      <c r="Q280" t="s">
        <v>32</v>
      </c>
      <c r="R280" t="s">
        <v>33</v>
      </c>
      <c r="S280" t="s">
        <v>213</v>
      </c>
      <c r="T280" t="s">
        <v>214</v>
      </c>
      <c r="U280" t="s">
        <v>60</v>
      </c>
      <c r="V280">
        <v>5.8000000000000003E-2</v>
      </c>
      <c r="W280" t="s">
        <v>315</v>
      </c>
      <c r="X280" t="s">
        <v>316</v>
      </c>
      <c r="Y280" t="s">
        <v>60</v>
      </c>
    </row>
    <row r="281" spans="1:25" x14ac:dyDescent="0.3">
      <c r="A281">
        <v>4290</v>
      </c>
      <c r="B281" t="s">
        <v>304</v>
      </c>
      <c r="C281" t="s">
        <v>504</v>
      </c>
      <c r="D281" t="s">
        <v>271</v>
      </c>
      <c r="E281">
        <v>2</v>
      </c>
      <c r="F281" t="s">
        <v>42</v>
      </c>
      <c r="G281" t="s">
        <v>57</v>
      </c>
      <c r="H281">
        <v>2</v>
      </c>
      <c r="I281">
        <v>11232</v>
      </c>
      <c r="J281">
        <v>576</v>
      </c>
      <c r="K281">
        <v>2</v>
      </c>
      <c r="L281">
        <v>11232</v>
      </c>
      <c r="M281">
        <v>576</v>
      </c>
      <c r="N281" t="s">
        <v>29</v>
      </c>
      <c r="O281" t="s">
        <v>44</v>
      </c>
      <c r="P281" t="s">
        <v>31</v>
      </c>
      <c r="Q281" t="s">
        <v>32</v>
      </c>
      <c r="R281" t="s">
        <v>33</v>
      </c>
      <c r="S281" t="s">
        <v>82</v>
      </c>
      <c r="T281" t="s">
        <v>288</v>
      </c>
      <c r="U281" t="s">
        <v>30</v>
      </c>
      <c r="V281">
        <v>0.01</v>
      </c>
      <c r="W281" t="s">
        <v>84</v>
      </c>
      <c r="X281" t="s">
        <v>139</v>
      </c>
      <c r="Y281" t="s">
        <v>30</v>
      </c>
    </row>
    <row r="282" spans="1:25" x14ac:dyDescent="0.3">
      <c r="A282">
        <v>4300</v>
      </c>
      <c r="B282" t="s">
        <v>304</v>
      </c>
      <c r="C282" t="s">
        <v>271</v>
      </c>
      <c r="D282" t="s">
        <v>245</v>
      </c>
      <c r="E282">
        <v>4</v>
      </c>
      <c r="F282" t="s">
        <v>42</v>
      </c>
      <c r="G282" t="s">
        <v>57</v>
      </c>
      <c r="H282">
        <v>2</v>
      </c>
      <c r="I282">
        <v>31941</v>
      </c>
      <c r="J282">
        <v>1607</v>
      </c>
      <c r="K282">
        <v>4</v>
      </c>
      <c r="L282">
        <v>31941</v>
      </c>
      <c r="M282">
        <v>1607</v>
      </c>
      <c r="N282" t="s">
        <v>29</v>
      </c>
      <c r="O282" t="s">
        <v>30</v>
      </c>
      <c r="P282" t="s">
        <v>31</v>
      </c>
      <c r="Q282" t="s">
        <v>32</v>
      </c>
      <c r="R282" t="s">
        <v>33</v>
      </c>
      <c r="S282" t="s">
        <v>87</v>
      </c>
      <c r="T282" t="s">
        <v>85</v>
      </c>
      <c r="U282" t="s">
        <v>60</v>
      </c>
      <c r="V282">
        <v>0.01</v>
      </c>
      <c r="W282" t="s">
        <v>302</v>
      </c>
      <c r="X282" t="s">
        <v>117</v>
      </c>
      <c r="Y282" t="s">
        <v>60</v>
      </c>
    </row>
    <row r="283" spans="1:25" x14ac:dyDescent="0.3">
      <c r="A283">
        <v>4310</v>
      </c>
      <c r="B283" t="s">
        <v>304</v>
      </c>
      <c r="C283" t="s">
        <v>245</v>
      </c>
      <c r="D283" t="s">
        <v>505</v>
      </c>
      <c r="E283">
        <v>4</v>
      </c>
      <c r="F283" t="s">
        <v>27</v>
      </c>
      <c r="G283" t="s">
        <v>57</v>
      </c>
      <c r="H283">
        <v>1</v>
      </c>
      <c r="I283">
        <v>35820</v>
      </c>
      <c r="J283">
        <v>1800</v>
      </c>
      <c r="K283">
        <v>4</v>
      </c>
      <c r="L283">
        <v>35820</v>
      </c>
      <c r="M283">
        <v>1800</v>
      </c>
      <c r="N283" t="s">
        <v>29</v>
      </c>
      <c r="O283" t="s">
        <v>30</v>
      </c>
      <c r="P283" t="s">
        <v>31</v>
      </c>
      <c r="Q283" t="s">
        <v>32</v>
      </c>
      <c r="R283" t="s">
        <v>33</v>
      </c>
      <c r="S283" t="s">
        <v>520</v>
      </c>
      <c r="T283" t="s">
        <v>310</v>
      </c>
      <c r="U283" t="s">
        <v>60</v>
      </c>
      <c r="V283">
        <v>2.6100000000000002E-2</v>
      </c>
      <c r="W283" t="s">
        <v>521</v>
      </c>
      <c r="X283" t="s">
        <v>201</v>
      </c>
      <c r="Y283" t="s">
        <v>60</v>
      </c>
    </row>
    <row r="284" spans="1:25" x14ac:dyDescent="0.3">
      <c r="A284">
        <v>4320</v>
      </c>
      <c r="B284" t="s">
        <v>304</v>
      </c>
      <c r="C284" t="s">
        <v>505</v>
      </c>
      <c r="D284" t="s">
        <v>501</v>
      </c>
      <c r="E284">
        <v>4</v>
      </c>
      <c r="F284" t="s">
        <v>27</v>
      </c>
      <c r="G284" t="s">
        <v>57</v>
      </c>
      <c r="H284">
        <v>1</v>
      </c>
      <c r="I284">
        <v>35820</v>
      </c>
      <c r="J284">
        <v>1800</v>
      </c>
      <c r="K284">
        <v>4</v>
      </c>
      <c r="L284">
        <v>35820</v>
      </c>
      <c r="M284">
        <v>1800</v>
      </c>
      <c r="N284" t="s">
        <v>29</v>
      </c>
      <c r="O284" t="s">
        <v>30</v>
      </c>
      <c r="P284" t="s">
        <v>31</v>
      </c>
      <c r="Q284" t="s">
        <v>32</v>
      </c>
      <c r="R284" t="s">
        <v>33</v>
      </c>
      <c r="S284" t="s">
        <v>261</v>
      </c>
      <c r="T284" t="s">
        <v>262</v>
      </c>
      <c r="U284" t="s">
        <v>60</v>
      </c>
      <c r="V284">
        <v>0.01</v>
      </c>
      <c r="W284" t="s">
        <v>522</v>
      </c>
      <c r="X284" t="s">
        <v>110</v>
      </c>
      <c r="Y284" t="s">
        <v>60</v>
      </c>
    </row>
    <row r="285" spans="1:25" x14ac:dyDescent="0.3">
      <c r="A285">
        <v>4330</v>
      </c>
      <c r="B285" t="s">
        <v>304</v>
      </c>
      <c r="C285" t="s">
        <v>501</v>
      </c>
      <c r="D285" t="s">
        <v>333</v>
      </c>
      <c r="E285">
        <v>4</v>
      </c>
      <c r="F285" t="s">
        <v>27</v>
      </c>
      <c r="G285" t="s">
        <v>57</v>
      </c>
      <c r="H285">
        <v>1</v>
      </c>
      <c r="I285">
        <v>35820</v>
      </c>
      <c r="J285">
        <v>1800</v>
      </c>
      <c r="K285">
        <v>4</v>
      </c>
      <c r="L285">
        <v>35820</v>
      </c>
      <c r="M285">
        <v>1800</v>
      </c>
      <c r="N285" t="s">
        <v>29</v>
      </c>
      <c r="O285" t="s">
        <v>30</v>
      </c>
      <c r="P285" t="s">
        <v>31</v>
      </c>
      <c r="Q285" t="s">
        <v>32</v>
      </c>
      <c r="R285" t="s">
        <v>33</v>
      </c>
      <c r="S285" t="s">
        <v>240</v>
      </c>
      <c r="T285" t="s">
        <v>479</v>
      </c>
      <c r="U285" t="s">
        <v>60</v>
      </c>
      <c r="V285">
        <v>0.01</v>
      </c>
      <c r="W285" t="s">
        <v>100</v>
      </c>
      <c r="X285" t="s">
        <v>226</v>
      </c>
      <c r="Y285" t="s">
        <v>60</v>
      </c>
    </row>
    <row r="286" spans="1:25" x14ac:dyDescent="0.3">
      <c r="A286">
        <v>4340.2</v>
      </c>
      <c r="B286" t="s">
        <v>404</v>
      </c>
      <c r="C286" t="s">
        <v>333</v>
      </c>
      <c r="D286" t="s">
        <v>118</v>
      </c>
      <c r="E286">
        <v>4</v>
      </c>
      <c r="F286" t="s">
        <v>27</v>
      </c>
      <c r="G286" t="s">
        <v>57</v>
      </c>
      <c r="H286">
        <v>1</v>
      </c>
      <c r="I286">
        <v>35820</v>
      </c>
      <c r="J286">
        <v>1800</v>
      </c>
      <c r="K286">
        <v>4</v>
      </c>
      <c r="L286">
        <v>35820</v>
      </c>
      <c r="M286">
        <v>1800</v>
      </c>
      <c r="N286" t="s">
        <v>29</v>
      </c>
      <c r="O286" t="s">
        <v>30</v>
      </c>
      <c r="P286" t="s">
        <v>414</v>
      </c>
      <c r="Q286" t="s">
        <v>32</v>
      </c>
      <c r="R286" t="s">
        <v>33</v>
      </c>
      <c r="S286" t="s">
        <v>523</v>
      </c>
      <c r="T286" t="s">
        <v>196</v>
      </c>
      <c r="U286" t="s">
        <v>60</v>
      </c>
      <c r="V286">
        <v>0.01</v>
      </c>
      <c r="W286" t="s">
        <v>524</v>
      </c>
      <c r="X286" t="s">
        <v>383</v>
      </c>
      <c r="Y286" t="s">
        <v>60</v>
      </c>
    </row>
    <row r="287" spans="1:25" x14ac:dyDescent="0.3">
      <c r="A287">
        <v>4350</v>
      </c>
      <c r="B287" t="s">
        <v>404</v>
      </c>
      <c r="C287" t="s">
        <v>118</v>
      </c>
      <c r="D287" t="s">
        <v>140</v>
      </c>
      <c r="E287">
        <v>4</v>
      </c>
      <c r="F287" t="s">
        <v>27</v>
      </c>
      <c r="G287" t="s">
        <v>57</v>
      </c>
      <c r="H287">
        <v>1</v>
      </c>
      <c r="I287">
        <v>35820</v>
      </c>
      <c r="J287">
        <v>1800</v>
      </c>
      <c r="K287">
        <v>4</v>
      </c>
      <c r="L287">
        <v>35820</v>
      </c>
      <c r="M287">
        <v>1800</v>
      </c>
      <c r="N287" t="s">
        <v>29</v>
      </c>
      <c r="O287" t="s">
        <v>30</v>
      </c>
      <c r="P287" t="s">
        <v>414</v>
      </c>
      <c r="Q287" t="s">
        <v>32</v>
      </c>
      <c r="R287" t="s">
        <v>33</v>
      </c>
      <c r="S287" t="s">
        <v>523</v>
      </c>
      <c r="T287" t="s">
        <v>196</v>
      </c>
      <c r="U287" t="s">
        <v>60</v>
      </c>
      <c r="V287">
        <v>0.01</v>
      </c>
      <c r="W287" t="s">
        <v>524</v>
      </c>
      <c r="X287" t="s">
        <v>383</v>
      </c>
      <c r="Y287" t="s">
        <v>60</v>
      </c>
    </row>
    <row r="288" spans="1:25" x14ac:dyDescent="0.3">
      <c r="A288">
        <v>4360</v>
      </c>
      <c r="B288" t="s">
        <v>404</v>
      </c>
      <c r="C288" t="s">
        <v>140</v>
      </c>
      <c r="D288" t="s">
        <v>419</v>
      </c>
      <c r="E288">
        <v>4</v>
      </c>
      <c r="F288" t="s">
        <v>27</v>
      </c>
      <c r="G288" t="s">
        <v>57</v>
      </c>
      <c r="H288">
        <v>1</v>
      </c>
      <c r="I288">
        <v>35820</v>
      </c>
      <c r="J288">
        <v>1800</v>
      </c>
      <c r="K288">
        <v>4</v>
      </c>
      <c r="L288">
        <v>35820</v>
      </c>
      <c r="M288">
        <v>1800</v>
      </c>
      <c r="N288" t="s">
        <v>29</v>
      </c>
      <c r="O288" t="s">
        <v>30</v>
      </c>
      <c r="P288" t="s">
        <v>31</v>
      </c>
      <c r="Q288" t="s">
        <v>32</v>
      </c>
      <c r="R288" t="s">
        <v>33</v>
      </c>
      <c r="S288" t="s">
        <v>525</v>
      </c>
      <c r="T288" t="s">
        <v>108</v>
      </c>
      <c r="U288" t="s">
        <v>60</v>
      </c>
      <c r="V288">
        <v>0.01</v>
      </c>
      <c r="W288" t="s">
        <v>526</v>
      </c>
      <c r="X288" t="s">
        <v>262</v>
      </c>
      <c r="Y288" t="s">
        <v>60</v>
      </c>
    </row>
    <row r="289" spans="1:25" x14ac:dyDescent="0.3">
      <c r="A289">
        <v>4370</v>
      </c>
      <c r="B289" t="s">
        <v>504</v>
      </c>
      <c r="C289" t="s">
        <v>270</v>
      </c>
      <c r="D289" t="s">
        <v>304</v>
      </c>
      <c r="E289">
        <v>2</v>
      </c>
      <c r="F289" t="s">
        <v>42</v>
      </c>
      <c r="G289" t="s">
        <v>57</v>
      </c>
      <c r="H289">
        <v>2</v>
      </c>
      <c r="I289">
        <v>11232</v>
      </c>
      <c r="J289">
        <v>576</v>
      </c>
      <c r="K289">
        <v>2</v>
      </c>
      <c r="L289">
        <v>11232</v>
      </c>
      <c r="M289">
        <v>576</v>
      </c>
      <c r="N289" t="s">
        <v>29</v>
      </c>
      <c r="O289" t="s">
        <v>44</v>
      </c>
      <c r="P289" t="s">
        <v>31</v>
      </c>
      <c r="Q289" t="s">
        <v>32</v>
      </c>
      <c r="R289" t="s">
        <v>33</v>
      </c>
      <c r="S289" t="s">
        <v>454</v>
      </c>
      <c r="T289" t="s">
        <v>309</v>
      </c>
      <c r="U289" t="s">
        <v>30</v>
      </c>
      <c r="V289">
        <v>3.2899999999999999E-2</v>
      </c>
      <c r="W289" t="s">
        <v>171</v>
      </c>
      <c r="X289" t="s">
        <v>201</v>
      </c>
      <c r="Y289" t="s">
        <v>30</v>
      </c>
    </row>
    <row r="290" spans="1:25" x14ac:dyDescent="0.3">
      <c r="A290">
        <v>4380</v>
      </c>
      <c r="B290" t="s">
        <v>504</v>
      </c>
      <c r="C290" t="s">
        <v>304</v>
      </c>
      <c r="D290" t="s">
        <v>247</v>
      </c>
      <c r="E290">
        <v>2</v>
      </c>
      <c r="F290" t="s">
        <v>42</v>
      </c>
      <c r="G290" t="s">
        <v>28</v>
      </c>
      <c r="I290">
        <v>16200</v>
      </c>
      <c r="J290">
        <v>801</v>
      </c>
      <c r="K290">
        <v>2</v>
      </c>
      <c r="L290">
        <v>16200</v>
      </c>
      <c r="M290">
        <v>801</v>
      </c>
      <c r="N290" t="s">
        <v>29</v>
      </c>
      <c r="O290" t="s">
        <v>44</v>
      </c>
      <c r="P290" t="s">
        <v>31</v>
      </c>
      <c r="Q290" t="s">
        <v>32</v>
      </c>
      <c r="R290" t="s">
        <v>60</v>
      </c>
      <c r="S290" t="s">
        <v>200</v>
      </c>
      <c r="T290" t="s">
        <v>93</v>
      </c>
      <c r="U290" t="s">
        <v>36</v>
      </c>
      <c r="V290">
        <v>0.01</v>
      </c>
      <c r="W290" t="s">
        <v>136</v>
      </c>
      <c r="X290" t="s">
        <v>95</v>
      </c>
      <c r="Y290" t="s">
        <v>36</v>
      </c>
    </row>
    <row r="291" spans="1:25" x14ac:dyDescent="0.3">
      <c r="A291">
        <v>4400</v>
      </c>
      <c r="B291" t="s">
        <v>527</v>
      </c>
      <c r="C291" t="s">
        <v>291</v>
      </c>
      <c r="D291" t="s">
        <v>293</v>
      </c>
      <c r="E291">
        <v>2</v>
      </c>
      <c r="F291" t="s">
        <v>42</v>
      </c>
      <c r="G291" t="s">
        <v>57</v>
      </c>
      <c r="H291">
        <v>1</v>
      </c>
      <c r="I291">
        <v>12744</v>
      </c>
      <c r="J291">
        <v>634</v>
      </c>
      <c r="K291">
        <v>2</v>
      </c>
      <c r="L291">
        <v>12744</v>
      </c>
      <c r="M291">
        <v>634</v>
      </c>
      <c r="N291" t="s">
        <v>29</v>
      </c>
      <c r="O291" t="s">
        <v>44</v>
      </c>
      <c r="P291" t="s">
        <v>31</v>
      </c>
      <c r="Q291" t="s">
        <v>32</v>
      </c>
      <c r="R291" t="s">
        <v>33</v>
      </c>
      <c r="S291" t="s">
        <v>518</v>
      </c>
      <c r="T291" t="s">
        <v>181</v>
      </c>
      <c r="U291" t="s">
        <v>60</v>
      </c>
      <c r="V291">
        <v>0.01</v>
      </c>
      <c r="W291" t="s">
        <v>107</v>
      </c>
      <c r="X291" t="s">
        <v>108</v>
      </c>
      <c r="Y291" t="s">
        <v>60</v>
      </c>
    </row>
    <row r="292" spans="1:25" x14ac:dyDescent="0.3">
      <c r="A292">
        <v>4420</v>
      </c>
      <c r="B292" t="s">
        <v>247</v>
      </c>
      <c r="C292" t="s">
        <v>293</v>
      </c>
      <c r="D292" t="s">
        <v>504</v>
      </c>
      <c r="E292">
        <v>2</v>
      </c>
      <c r="F292" t="s">
        <v>42</v>
      </c>
      <c r="G292" t="s">
        <v>57</v>
      </c>
      <c r="H292">
        <v>2</v>
      </c>
      <c r="I292">
        <v>5256</v>
      </c>
      <c r="J292">
        <v>266</v>
      </c>
      <c r="K292">
        <v>2</v>
      </c>
      <c r="L292">
        <v>5256</v>
      </c>
      <c r="M292">
        <v>266</v>
      </c>
      <c r="N292" t="s">
        <v>29</v>
      </c>
      <c r="O292" t="s">
        <v>44</v>
      </c>
      <c r="P292" t="s">
        <v>31</v>
      </c>
      <c r="Q292" t="s">
        <v>32</v>
      </c>
      <c r="R292" t="s">
        <v>60</v>
      </c>
      <c r="S292" t="s">
        <v>280</v>
      </c>
      <c r="T292" t="s">
        <v>528</v>
      </c>
      <c r="U292" t="s">
        <v>30</v>
      </c>
      <c r="V292">
        <v>2.8799999999999999E-2</v>
      </c>
      <c r="W292" t="s">
        <v>265</v>
      </c>
      <c r="X292" t="s">
        <v>529</v>
      </c>
      <c r="Y292" t="s">
        <v>30</v>
      </c>
    </row>
    <row r="293" spans="1:25" x14ac:dyDescent="0.3">
      <c r="A293">
        <v>4425</v>
      </c>
      <c r="B293" t="s">
        <v>530</v>
      </c>
      <c r="C293" t="s">
        <v>247</v>
      </c>
      <c r="D293" t="s">
        <v>245</v>
      </c>
      <c r="E293">
        <v>2</v>
      </c>
      <c r="F293" t="s">
        <v>42</v>
      </c>
      <c r="G293" t="s">
        <v>57</v>
      </c>
      <c r="H293">
        <v>2</v>
      </c>
      <c r="I293">
        <v>11794</v>
      </c>
      <c r="J293">
        <v>605</v>
      </c>
      <c r="K293">
        <v>2</v>
      </c>
      <c r="L293">
        <v>11794</v>
      </c>
      <c r="M293">
        <v>605</v>
      </c>
      <c r="N293" t="s">
        <v>29</v>
      </c>
      <c r="O293" t="s">
        <v>44</v>
      </c>
      <c r="P293" t="s">
        <v>31</v>
      </c>
      <c r="Q293" t="s">
        <v>32</v>
      </c>
      <c r="R293" t="s">
        <v>33</v>
      </c>
      <c r="S293" t="s">
        <v>112</v>
      </c>
      <c r="T293" t="s">
        <v>366</v>
      </c>
      <c r="U293" t="s">
        <v>30</v>
      </c>
      <c r="V293">
        <v>3.7600000000000001E-2</v>
      </c>
      <c r="W293" t="s">
        <v>94</v>
      </c>
      <c r="X293" t="s">
        <v>531</v>
      </c>
      <c r="Y293" t="s">
        <v>30</v>
      </c>
    </row>
    <row r="294" spans="1:25" x14ac:dyDescent="0.3">
      <c r="A294">
        <v>4450</v>
      </c>
      <c r="B294" t="s">
        <v>293</v>
      </c>
      <c r="C294" t="s">
        <v>224</v>
      </c>
      <c r="D294" t="s">
        <v>26</v>
      </c>
      <c r="E294">
        <v>2</v>
      </c>
      <c r="F294" t="s">
        <v>42</v>
      </c>
      <c r="G294" t="s">
        <v>57</v>
      </c>
      <c r="H294">
        <v>1</v>
      </c>
      <c r="I294">
        <v>12744</v>
      </c>
      <c r="J294">
        <v>634</v>
      </c>
      <c r="K294">
        <v>2</v>
      </c>
      <c r="L294">
        <v>12744</v>
      </c>
      <c r="M294">
        <v>634</v>
      </c>
      <c r="N294" t="s">
        <v>29</v>
      </c>
      <c r="O294" t="s">
        <v>44</v>
      </c>
      <c r="P294" t="s">
        <v>414</v>
      </c>
      <c r="Q294" t="s">
        <v>32</v>
      </c>
      <c r="R294" t="s">
        <v>33</v>
      </c>
      <c r="S294" t="s">
        <v>132</v>
      </c>
      <c r="T294" t="s">
        <v>76</v>
      </c>
      <c r="U294" t="s">
        <v>60</v>
      </c>
      <c r="V294">
        <v>0.01</v>
      </c>
      <c r="W294" t="s">
        <v>133</v>
      </c>
      <c r="X294" t="s">
        <v>78</v>
      </c>
      <c r="Y294" t="s">
        <v>60</v>
      </c>
    </row>
    <row r="295" spans="1:25" x14ac:dyDescent="0.3">
      <c r="A295">
        <v>4460</v>
      </c>
      <c r="B295" t="s">
        <v>293</v>
      </c>
      <c r="C295" t="s">
        <v>26</v>
      </c>
      <c r="D295" t="s">
        <v>530</v>
      </c>
      <c r="E295">
        <v>2</v>
      </c>
      <c r="F295" t="s">
        <v>42</v>
      </c>
      <c r="G295" t="s">
        <v>57</v>
      </c>
      <c r="H295">
        <v>2</v>
      </c>
      <c r="I295">
        <v>11232</v>
      </c>
      <c r="J295">
        <v>576</v>
      </c>
      <c r="K295">
        <v>2</v>
      </c>
      <c r="L295">
        <v>11232</v>
      </c>
      <c r="M295">
        <v>576</v>
      </c>
      <c r="N295" t="s">
        <v>29</v>
      </c>
      <c r="O295" t="s">
        <v>44</v>
      </c>
      <c r="P295" t="s">
        <v>31</v>
      </c>
      <c r="Q295" t="s">
        <v>32</v>
      </c>
      <c r="R295" t="s">
        <v>33</v>
      </c>
      <c r="S295" t="s">
        <v>82</v>
      </c>
      <c r="T295" t="s">
        <v>288</v>
      </c>
      <c r="U295" t="s">
        <v>30</v>
      </c>
      <c r="V295">
        <v>0.01</v>
      </c>
      <c r="W295" t="s">
        <v>84</v>
      </c>
      <c r="X295" t="s">
        <v>139</v>
      </c>
      <c r="Y295" t="s">
        <v>30</v>
      </c>
    </row>
    <row r="296" spans="1:25" x14ac:dyDescent="0.3">
      <c r="A296">
        <v>4470</v>
      </c>
      <c r="B296" t="s">
        <v>511</v>
      </c>
      <c r="C296" t="s">
        <v>510</v>
      </c>
      <c r="D296" t="s">
        <v>335</v>
      </c>
      <c r="E296">
        <v>2</v>
      </c>
      <c r="F296" t="s">
        <v>42</v>
      </c>
      <c r="G296" t="s">
        <v>57</v>
      </c>
      <c r="H296">
        <v>2</v>
      </c>
      <c r="I296">
        <v>11232</v>
      </c>
      <c r="J296">
        <v>576</v>
      </c>
      <c r="K296">
        <v>2</v>
      </c>
      <c r="L296">
        <v>11232</v>
      </c>
      <c r="M296">
        <v>576</v>
      </c>
      <c r="N296" t="s">
        <v>29</v>
      </c>
      <c r="O296" t="s">
        <v>44</v>
      </c>
      <c r="P296" t="s">
        <v>31</v>
      </c>
      <c r="Q296" t="s">
        <v>32</v>
      </c>
      <c r="R296" t="s">
        <v>33</v>
      </c>
      <c r="S296" t="s">
        <v>45</v>
      </c>
      <c r="T296" t="s">
        <v>46</v>
      </c>
      <c r="U296" t="s">
        <v>46</v>
      </c>
      <c r="V296">
        <v>0.01</v>
      </c>
      <c r="W296" t="s">
        <v>45</v>
      </c>
      <c r="X296" t="s">
        <v>46</v>
      </c>
      <c r="Y296" t="s">
        <v>46</v>
      </c>
    </row>
    <row r="297" spans="1:25" x14ac:dyDescent="0.3">
      <c r="A297">
        <v>4510.1000000000004</v>
      </c>
      <c r="B297" t="s">
        <v>291</v>
      </c>
      <c r="C297" t="s">
        <v>224</v>
      </c>
      <c r="D297" t="s">
        <v>246</v>
      </c>
      <c r="E297">
        <v>2</v>
      </c>
      <c r="F297" t="s">
        <v>42</v>
      </c>
      <c r="G297" t="s">
        <v>57</v>
      </c>
      <c r="I297">
        <v>10224</v>
      </c>
      <c r="J297">
        <v>533</v>
      </c>
      <c r="K297">
        <v>2</v>
      </c>
      <c r="L297">
        <v>10224</v>
      </c>
      <c r="M297">
        <v>533</v>
      </c>
      <c r="N297" t="s">
        <v>43</v>
      </c>
      <c r="O297" t="s">
        <v>44</v>
      </c>
      <c r="P297" t="s">
        <v>31</v>
      </c>
      <c r="Q297" t="s">
        <v>32</v>
      </c>
      <c r="R297" t="s">
        <v>30</v>
      </c>
      <c r="S297" t="s">
        <v>171</v>
      </c>
      <c r="T297" t="s">
        <v>228</v>
      </c>
      <c r="U297" t="s">
        <v>60</v>
      </c>
      <c r="V297">
        <v>3.4599999999999999E-2</v>
      </c>
      <c r="W297" t="s">
        <v>75</v>
      </c>
      <c r="X297" t="s">
        <v>430</v>
      </c>
      <c r="Y297" t="s">
        <v>60</v>
      </c>
    </row>
    <row r="298" spans="1:25" x14ac:dyDescent="0.3">
      <c r="A298">
        <v>4510.2</v>
      </c>
      <c r="B298" t="s">
        <v>291</v>
      </c>
      <c r="C298" t="s">
        <v>246</v>
      </c>
      <c r="D298" t="s">
        <v>532</v>
      </c>
      <c r="E298">
        <v>2</v>
      </c>
      <c r="F298" t="s">
        <v>42</v>
      </c>
      <c r="G298" t="s">
        <v>57</v>
      </c>
      <c r="I298">
        <v>10224</v>
      </c>
      <c r="J298">
        <v>533</v>
      </c>
      <c r="K298">
        <v>2</v>
      </c>
      <c r="L298">
        <v>10224</v>
      </c>
      <c r="M298">
        <v>533</v>
      </c>
      <c r="N298" t="s">
        <v>43</v>
      </c>
      <c r="O298" t="s">
        <v>44</v>
      </c>
      <c r="P298" t="s">
        <v>31</v>
      </c>
      <c r="Q298" t="s">
        <v>32</v>
      </c>
      <c r="R298" t="s">
        <v>30</v>
      </c>
      <c r="S298" t="s">
        <v>215</v>
      </c>
      <c r="T298" t="s">
        <v>533</v>
      </c>
      <c r="U298" t="s">
        <v>60</v>
      </c>
      <c r="V298">
        <v>5.4899999999999997E-2</v>
      </c>
      <c r="W298" t="s">
        <v>177</v>
      </c>
      <c r="X298" t="s">
        <v>179</v>
      </c>
      <c r="Y298" t="s">
        <v>60</v>
      </c>
    </row>
    <row r="299" spans="1:25" x14ac:dyDescent="0.3">
      <c r="A299">
        <v>4530</v>
      </c>
      <c r="B299" t="s">
        <v>291</v>
      </c>
      <c r="C299" t="s">
        <v>532</v>
      </c>
      <c r="D299" t="s">
        <v>527</v>
      </c>
      <c r="E299">
        <v>2</v>
      </c>
      <c r="F299" t="s">
        <v>42</v>
      </c>
      <c r="G299" t="s">
        <v>57</v>
      </c>
      <c r="I299">
        <v>10224</v>
      </c>
      <c r="J299">
        <v>533</v>
      </c>
      <c r="K299">
        <v>2</v>
      </c>
      <c r="L299">
        <v>10224</v>
      </c>
      <c r="M299">
        <v>533</v>
      </c>
      <c r="N299" t="s">
        <v>43</v>
      </c>
      <c r="O299" t="s">
        <v>44</v>
      </c>
      <c r="P299" t="s">
        <v>31</v>
      </c>
      <c r="Q299" t="s">
        <v>32</v>
      </c>
      <c r="R299" t="s">
        <v>30</v>
      </c>
      <c r="S299" t="s">
        <v>176</v>
      </c>
      <c r="T299" t="s">
        <v>178</v>
      </c>
      <c r="U299" t="s">
        <v>60</v>
      </c>
      <c r="V299">
        <v>6.1699999999999998E-2</v>
      </c>
      <c r="W299" t="s">
        <v>389</v>
      </c>
      <c r="X299" t="s">
        <v>193</v>
      </c>
      <c r="Y299" t="s">
        <v>60</v>
      </c>
    </row>
    <row r="300" spans="1:25" x14ac:dyDescent="0.3">
      <c r="A300">
        <v>4550</v>
      </c>
      <c r="B300" t="s">
        <v>534</v>
      </c>
      <c r="C300" t="s">
        <v>26</v>
      </c>
      <c r="D300" t="s">
        <v>25</v>
      </c>
      <c r="E300">
        <v>2</v>
      </c>
      <c r="F300" t="s">
        <v>27</v>
      </c>
      <c r="G300" t="s">
        <v>57</v>
      </c>
      <c r="H300">
        <v>1</v>
      </c>
      <c r="I300">
        <v>12744</v>
      </c>
      <c r="J300">
        <v>634</v>
      </c>
      <c r="K300">
        <v>2</v>
      </c>
      <c r="L300">
        <v>12744</v>
      </c>
      <c r="M300">
        <v>634</v>
      </c>
      <c r="N300" t="s">
        <v>29</v>
      </c>
      <c r="O300" t="s">
        <v>44</v>
      </c>
      <c r="P300" t="s">
        <v>31</v>
      </c>
      <c r="Q300" t="s">
        <v>32</v>
      </c>
      <c r="R300" t="s">
        <v>33</v>
      </c>
      <c r="S300" t="s">
        <v>210</v>
      </c>
      <c r="T300" t="s">
        <v>179</v>
      </c>
      <c r="U300" t="s">
        <v>60</v>
      </c>
      <c r="V300">
        <v>0.05</v>
      </c>
      <c r="W300" t="s">
        <v>524</v>
      </c>
      <c r="X300" t="s">
        <v>535</v>
      </c>
      <c r="Y300" t="s">
        <v>259</v>
      </c>
    </row>
    <row r="301" spans="1:25" x14ac:dyDescent="0.3">
      <c r="A301">
        <v>4570</v>
      </c>
      <c r="B301" t="s">
        <v>129</v>
      </c>
      <c r="C301" t="s">
        <v>502</v>
      </c>
      <c r="D301" t="s">
        <v>134</v>
      </c>
      <c r="E301">
        <v>2</v>
      </c>
      <c r="F301" t="s">
        <v>42</v>
      </c>
      <c r="G301" t="s">
        <v>28</v>
      </c>
      <c r="I301">
        <v>19170</v>
      </c>
      <c r="J301">
        <v>999</v>
      </c>
      <c r="K301">
        <v>2</v>
      </c>
      <c r="L301">
        <v>19170</v>
      </c>
      <c r="M301">
        <v>999</v>
      </c>
      <c r="N301" t="s">
        <v>43</v>
      </c>
      <c r="O301" t="s">
        <v>44</v>
      </c>
      <c r="P301" t="s">
        <v>31</v>
      </c>
      <c r="Q301" t="s">
        <v>32</v>
      </c>
      <c r="R301" t="s">
        <v>30</v>
      </c>
      <c r="S301" t="s">
        <v>199</v>
      </c>
      <c r="T301" t="s">
        <v>78</v>
      </c>
      <c r="U301" t="s">
        <v>36</v>
      </c>
      <c r="V301">
        <v>6.2100000000000002E-2</v>
      </c>
      <c r="W301" t="s">
        <v>415</v>
      </c>
      <c r="X301" t="s">
        <v>278</v>
      </c>
      <c r="Y301" t="s">
        <v>36</v>
      </c>
    </row>
    <row r="302" spans="1:25" x14ac:dyDescent="0.3">
      <c r="A302">
        <v>4590.2</v>
      </c>
      <c r="B302" t="s">
        <v>519</v>
      </c>
      <c r="C302" t="s">
        <v>111</v>
      </c>
      <c r="D302" t="s">
        <v>327</v>
      </c>
      <c r="E302">
        <v>2</v>
      </c>
      <c r="F302" t="s">
        <v>42</v>
      </c>
      <c r="G302" t="s">
        <v>57</v>
      </c>
      <c r="H302">
        <v>2</v>
      </c>
      <c r="I302">
        <v>11232</v>
      </c>
      <c r="J302">
        <v>1341</v>
      </c>
      <c r="K302">
        <v>2</v>
      </c>
      <c r="L302">
        <v>11232</v>
      </c>
      <c r="M302">
        <v>1341</v>
      </c>
      <c r="N302" t="s">
        <v>29</v>
      </c>
      <c r="O302" t="s">
        <v>44</v>
      </c>
      <c r="P302" t="s">
        <v>31</v>
      </c>
      <c r="Q302" t="s">
        <v>32</v>
      </c>
      <c r="R302" t="s">
        <v>33</v>
      </c>
      <c r="S302" t="s">
        <v>415</v>
      </c>
      <c r="T302" t="s">
        <v>78</v>
      </c>
      <c r="U302" t="s">
        <v>36</v>
      </c>
      <c r="V302">
        <v>5.5100000000000003E-2</v>
      </c>
      <c r="W302" t="s">
        <v>536</v>
      </c>
      <c r="X302" t="s">
        <v>196</v>
      </c>
      <c r="Y302" t="s">
        <v>60</v>
      </c>
    </row>
    <row r="303" spans="1:25" x14ac:dyDescent="0.3">
      <c r="A303">
        <v>4590.3</v>
      </c>
      <c r="B303" t="s">
        <v>519</v>
      </c>
      <c r="C303" t="s">
        <v>224</v>
      </c>
      <c r="D303" t="s">
        <v>111</v>
      </c>
      <c r="E303">
        <v>2</v>
      </c>
      <c r="F303" t="s">
        <v>42</v>
      </c>
      <c r="G303" t="s">
        <v>28</v>
      </c>
      <c r="I303">
        <v>19170</v>
      </c>
      <c r="J303">
        <v>999</v>
      </c>
      <c r="K303">
        <v>2</v>
      </c>
      <c r="L303">
        <v>19170</v>
      </c>
      <c r="M303">
        <v>999</v>
      </c>
      <c r="N303" t="s">
        <v>43</v>
      </c>
      <c r="O303" t="s">
        <v>44</v>
      </c>
      <c r="P303" t="s">
        <v>31</v>
      </c>
      <c r="Q303" t="s">
        <v>32</v>
      </c>
      <c r="R303" t="s">
        <v>30</v>
      </c>
      <c r="S303" t="s">
        <v>415</v>
      </c>
      <c r="T303" t="s">
        <v>278</v>
      </c>
      <c r="U303" t="s">
        <v>36</v>
      </c>
      <c r="V303">
        <v>5.5100000000000003E-2</v>
      </c>
      <c r="W303" t="s">
        <v>536</v>
      </c>
      <c r="X303" t="s">
        <v>479</v>
      </c>
      <c r="Y303" t="s">
        <v>60</v>
      </c>
    </row>
    <row r="304" spans="1:25" x14ac:dyDescent="0.3">
      <c r="A304">
        <v>4600</v>
      </c>
      <c r="B304" t="s">
        <v>519</v>
      </c>
      <c r="C304" t="s">
        <v>327</v>
      </c>
      <c r="D304" t="s">
        <v>537</v>
      </c>
      <c r="E304">
        <v>2</v>
      </c>
      <c r="F304" t="s">
        <v>42</v>
      </c>
      <c r="G304" t="s">
        <v>28</v>
      </c>
      <c r="I304">
        <v>29340</v>
      </c>
      <c r="J304">
        <v>1449</v>
      </c>
      <c r="K304">
        <v>2</v>
      </c>
      <c r="L304">
        <v>29340</v>
      </c>
      <c r="M304">
        <v>1449</v>
      </c>
      <c r="N304" t="s">
        <v>29</v>
      </c>
      <c r="O304" t="s">
        <v>44</v>
      </c>
      <c r="P304" t="s">
        <v>31</v>
      </c>
      <c r="Q304" t="s">
        <v>32</v>
      </c>
      <c r="R304" t="s">
        <v>33</v>
      </c>
      <c r="S304" t="s">
        <v>415</v>
      </c>
      <c r="T304" t="s">
        <v>142</v>
      </c>
      <c r="U304" t="s">
        <v>36</v>
      </c>
      <c r="V304">
        <v>5.5100000000000003E-2</v>
      </c>
      <c r="W304" t="s">
        <v>536</v>
      </c>
      <c r="X304" t="s">
        <v>90</v>
      </c>
      <c r="Y304" t="s">
        <v>36</v>
      </c>
    </row>
    <row r="305" spans="1:25" x14ac:dyDescent="0.3">
      <c r="A305">
        <v>4620</v>
      </c>
      <c r="B305" t="s">
        <v>538</v>
      </c>
      <c r="C305" t="s">
        <v>527</v>
      </c>
      <c r="D305" t="s">
        <v>539</v>
      </c>
      <c r="E305">
        <v>2</v>
      </c>
      <c r="F305" t="s">
        <v>42</v>
      </c>
      <c r="G305" t="s">
        <v>28</v>
      </c>
      <c r="I305">
        <v>29340</v>
      </c>
      <c r="J305">
        <v>1449</v>
      </c>
      <c r="K305">
        <v>2</v>
      </c>
      <c r="L305">
        <v>29340</v>
      </c>
      <c r="M305">
        <v>1449</v>
      </c>
      <c r="N305" t="s">
        <v>29</v>
      </c>
      <c r="O305" t="s">
        <v>44</v>
      </c>
      <c r="P305" t="s">
        <v>31</v>
      </c>
      <c r="Q305" t="s">
        <v>32</v>
      </c>
      <c r="R305" t="s">
        <v>33</v>
      </c>
      <c r="S305" t="s">
        <v>415</v>
      </c>
      <c r="T305" t="s">
        <v>142</v>
      </c>
      <c r="U305" t="s">
        <v>36</v>
      </c>
      <c r="V305">
        <v>0.01</v>
      </c>
      <c r="W305" t="s">
        <v>192</v>
      </c>
      <c r="X305" t="s">
        <v>144</v>
      </c>
      <c r="Y305" t="s">
        <v>36</v>
      </c>
    </row>
    <row r="306" spans="1:25" x14ac:dyDescent="0.3">
      <c r="A306">
        <v>4630</v>
      </c>
      <c r="B306" t="s">
        <v>490</v>
      </c>
      <c r="C306" t="s">
        <v>492</v>
      </c>
      <c r="D306" t="s">
        <v>540</v>
      </c>
      <c r="E306">
        <v>2</v>
      </c>
      <c r="F306" t="s">
        <v>42</v>
      </c>
      <c r="G306" t="s">
        <v>57</v>
      </c>
      <c r="H306">
        <v>2</v>
      </c>
      <c r="I306">
        <v>11232</v>
      </c>
      <c r="J306">
        <v>576</v>
      </c>
      <c r="K306">
        <v>2</v>
      </c>
      <c r="L306">
        <v>11232</v>
      </c>
      <c r="M306">
        <v>576</v>
      </c>
      <c r="N306" t="s">
        <v>29</v>
      </c>
      <c r="O306" t="s">
        <v>44</v>
      </c>
      <c r="P306" t="s">
        <v>31</v>
      </c>
      <c r="Q306" t="s">
        <v>32</v>
      </c>
      <c r="R306" t="s">
        <v>33</v>
      </c>
      <c r="S306" t="s">
        <v>132</v>
      </c>
      <c r="T306" t="s">
        <v>137</v>
      </c>
      <c r="U306" t="s">
        <v>60</v>
      </c>
      <c r="V306">
        <v>0.01</v>
      </c>
      <c r="W306" t="s">
        <v>133</v>
      </c>
      <c r="X306" t="s">
        <v>90</v>
      </c>
      <c r="Y306" t="s">
        <v>60</v>
      </c>
    </row>
    <row r="307" spans="1:25" x14ac:dyDescent="0.3">
      <c r="A307">
        <v>4640</v>
      </c>
      <c r="B307" t="s">
        <v>490</v>
      </c>
      <c r="C307" t="s">
        <v>540</v>
      </c>
      <c r="D307" t="s">
        <v>68</v>
      </c>
      <c r="E307">
        <v>2</v>
      </c>
      <c r="F307" t="s">
        <v>42</v>
      </c>
      <c r="G307" t="s">
        <v>57</v>
      </c>
      <c r="H307">
        <v>2</v>
      </c>
      <c r="I307">
        <v>11232</v>
      </c>
      <c r="J307">
        <v>576</v>
      </c>
      <c r="K307">
        <v>2</v>
      </c>
      <c r="L307">
        <v>11232</v>
      </c>
      <c r="M307">
        <v>576</v>
      </c>
      <c r="N307" t="s">
        <v>29</v>
      </c>
      <c r="O307" t="s">
        <v>44</v>
      </c>
      <c r="P307" t="s">
        <v>31</v>
      </c>
      <c r="Q307" t="s">
        <v>32</v>
      </c>
      <c r="R307" t="s">
        <v>33</v>
      </c>
      <c r="S307" t="s">
        <v>518</v>
      </c>
      <c r="T307" t="s">
        <v>110</v>
      </c>
      <c r="U307" t="s">
        <v>60</v>
      </c>
      <c r="V307">
        <v>6.9599999999999995E-2</v>
      </c>
      <c r="W307" t="s">
        <v>302</v>
      </c>
      <c r="X307" t="s">
        <v>228</v>
      </c>
      <c r="Y307" t="s">
        <v>30</v>
      </c>
    </row>
    <row r="308" spans="1:25" x14ac:dyDescent="0.3">
      <c r="A308">
        <v>4650</v>
      </c>
      <c r="B308" t="s">
        <v>335</v>
      </c>
      <c r="C308" t="s">
        <v>511</v>
      </c>
      <c r="D308" t="s">
        <v>333</v>
      </c>
      <c r="E308">
        <v>2</v>
      </c>
      <c r="F308" t="s">
        <v>42</v>
      </c>
      <c r="G308" t="s">
        <v>57</v>
      </c>
      <c r="H308">
        <v>2</v>
      </c>
      <c r="I308">
        <v>11232</v>
      </c>
      <c r="J308">
        <v>576</v>
      </c>
      <c r="K308">
        <v>2</v>
      </c>
      <c r="L308">
        <v>11232</v>
      </c>
      <c r="M308">
        <v>576</v>
      </c>
      <c r="N308" t="s">
        <v>29</v>
      </c>
      <c r="O308" t="s">
        <v>44</v>
      </c>
      <c r="P308" t="s">
        <v>414</v>
      </c>
      <c r="Q308" t="s">
        <v>32</v>
      </c>
      <c r="R308" t="s">
        <v>33</v>
      </c>
      <c r="S308" t="s">
        <v>153</v>
      </c>
      <c r="T308" t="s">
        <v>181</v>
      </c>
      <c r="U308" t="s">
        <v>60</v>
      </c>
      <c r="V308">
        <v>1.3899999999999999E-2</v>
      </c>
      <c r="W308" t="s">
        <v>115</v>
      </c>
      <c r="X308" t="s">
        <v>262</v>
      </c>
      <c r="Y308" t="s">
        <v>60</v>
      </c>
    </row>
    <row r="309" spans="1:25" x14ac:dyDescent="0.3">
      <c r="A309">
        <v>4660</v>
      </c>
      <c r="B309" t="s">
        <v>335</v>
      </c>
      <c r="C309" t="s">
        <v>333</v>
      </c>
      <c r="D309" t="s">
        <v>140</v>
      </c>
      <c r="E309">
        <v>2</v>
      </c>
      <c r="F309" t="s">
        <v>42</v>
      </c>
      <c r="G309" t="s">
        <v>57</v>
      </c>
      <c r="H309">
        <v>2</v>
      </c>
      <c r="I309">
        <v>11232</v>
      </c>
      <c r="J309">
        <v>576</v>
      </c>
      <c r="K309">
        <v>2</v>
      </c>
      <c r="L309">
        <v>11232</v>
      </c>
      <c r="M309">
        <v>576</v>
      </c>
      <c r="N309" t="s">
        <v>29</v>
      </c>
      <c r="O309" t="s">
        <v>44</v>
      </c>
      <c r="P309" t="s">
        <v>414</v>
      </c>
      <c r="Q309" t="s">
        <v>32</v>
      </c>
      <c r="R309" t="s">
        <v>33</v>
      </c>
      <c r="S309" t="s">
        <v>132</v>
      </c>
      <c r="T309" t="s">
        <v>137</v>
      </c>
      <c r="U309" t="s">
        <v>60</v>
      </c>
      <c r="V309">
        <v>1.3899999999999999E-2</v>
      </c>
      <c r="W309" t="s">
        <v>218</v>
      </c>
      <c r="X309" t="s">
        <v>65</v>
      </c>
      <c r="Y309" t="s">
        <v>60</v>
      </c>
    </row>
    <row r="310" spans="1:25" x14ac:dyDescent="0.3">
      <c r="A310">
        <v>4670.1000000000004</v>
      </c>
      <c r="B310" t="s">
        <v>131</v>
      </c>
      <c r="C310" t="s">
        <v>348</v>
      </c>
      <c r="D310" t="s">
        <v>140</v>
      </c>
      <c r="E310">
        <v>2</v>
      </c>
      <c r="F310" t="s">
        <v>27</v>
      </c>
      <c r="G310" t="s">
        <v>57</v>
      </c>
      <c r="I310">
        <v>8200</v>
      </c>
      <c r="J310">
        <v>430</v>
      </c>
      <c r="K310">
        <v>2</v>
      </c>
      <c r="L310">
        <v>8200</v>
      </c>
      <c r="M310">
        <v>430</v>
      </c>
      <c r="N310" t="s">
        <v>43</v>
      </c>
      <c r="O310" t="s">
        <v>44</v>
      </c>
      <c r="P310" t="s">
        <v>98</v>
      </c>
      <c r="Q310" t="s">
        <v>32</v>
      </c>
      <c r="R310" t="s">
        <v>60</v>
      </c>
      <c r="S310" t="s">
        <v>166</v>
      </c>
      <c r="T310" t="s">
        <v>113</v>
      </c>
      <c r="U310" t="s">
        <v>36</v>
      </c>
      <c r="V310">
        <v>7.9600000000000004E-2</v>
      </c>
      <c r="W310" t="s">
        <v>277</v>
      </c>
      <c r="X310" t="s">
        <v>114</v>
      </c>
      <c r="Y310" t="s">
        <v>36</v>
      </c>
    </row>
    <row r="311" spans="1:25" x14ac:dyDescent="0.3">
      <c r="A311">
        <v>4670.2</v>
      </c>
      <c r="B311" t="s">
        <v>131</v>
      </c>
      <c r="C311" t="s">
        <v>140</v>
      </c>
      <c r="D311" t="s">
        <v>373</v>
      </c>
      <c r="E311">
        <v>2</v>
      </c>
      <c r="F311" t="s">
        <v>27</v>
      </c>
      <c r="G311" t="s">
        <v>28</v>
      </c>
      <c r="I311">
        <v>8200</v>
      </c>
      <c r="J311">
        <v>430</v>
      </c>
      <c r="K311">
        <v>2</v>
      </c>
      <c r="L311">
        <v>8200</v>
      </c>
      <c r="M311">
        <v>430</v>
      </c>
      <c r="N311" t="s">
        <v>43</v>
      </c>
      <c r="O311" t="s">
        <v>44</v>
      </c>
      <c r="P311" t="s">
        <v>98</v>
      </c>
      <c r="Q311" t="s">
        <v>32</v>
      </c>
      <c r="R311" t="s">
        <v>60</v>
      </c>
      <c r="S311" t="s">
        <v>166</v>
      </c>
      <c r="T311" t="s">
        <v>113</v>
      </c>
      <c r="U311" t="s">
        <v>36</v>
      </c>
      <c r="V311">
        <v>7.9600000000000004E-2</v>
      </c>
      <c r="W311" t="s">
        <v>277</v>
      </c>
      <c r="X311" t="s">
        <v>114</v>
      </c>
      <c r="Y311" t="s">
        <v>36</v>
      </c>
    </row>
    <row r="312" spans="1:25" x14ac:dyDescent="0.3">
      <c r="A312">
        <v>4690.1000000000004</v>
      </c>
      <c r="B312" t="s">
        <v>313</v>
      </c>
      <c r="C312" t="s">
        <v>41</v>
      </c>
      <c r="D312" t="s">
        <v>541</v>
      </c>
      <c r="E312">
        <v>2</v>
      </c>
      <c r="F312" t="s">
        <v>27</v>
      </c>
      <c r="G312" t="s">
        <v>28</v>
      </c>
      <c r="I312">
        <v>8200</v>
      </c>
      <c r="J312">
        <v>430</v>
      </c>
      <c r="K312">
        <v>2</v>
      </c>
      <c r="L312">
        <v>8200</v>
      </c>
      <c r="M312">
        <v>430</v>
      </c>
      <c r="N312" t="s">
        <v>43</v>
      </c>
      <c r="O312" t="s">
        <v>44</v>
      </c>
      <c r="P312" t="s">
        <v>98</v>
      </c>
      <c r="Q312" t="s">
        <v>99</v>
      </c>
      <c r="R312" t="s">
        <v>60</v>
      </c>
      <c r="S312" t="s">
        <v>542</v>
      </c>
      <c r="T312" t="s">
        <v>543</v>
      </c>
      <c r="U312" t="s">
        <v>33</v>
      </c>
      <c r="V312">
        <v>0.01</v>
      </c>
      <c r="W312" t="s">
        <v>544</v>
      </c>
      <c r="X312" t="s">
        <v>545</v>
      </c>
      <c r="Y312" t="s">
        <v>33</v>
      </c>
    </row>
    <row r="313" spans="1:25" x14ac:dyDescent="0.3">
      <c r="A313">
        <v>4690.2</v>
      </c>
      <c r="B313" t="s">
        <v>313</v>
      </c>
      <c r="C313" t="s">
        <v>541</v>
      </c>
      <c r="D313" t="s">
        <v>285</v>
      </c>
      <c r="E313">
        <v>4</v>
      </c>
      <c r="F313" t="s">
        <v>27</v>
      </c>
      <c r="G313" t="s">
        <v>57</v>
      </c>
      <c r="I313">
        <v>33847</v>
      </c>
      <c r="J313">
        <v>1676</v>
      </c>
      <c r="K313">
        <v>4</v>
      </c>
      <c r="L313">
        <v>33847</v>
      </c>
      <c r="M313">
        <v>1676</v>
      </c>
      <c r="N313" t="s">
        <v>43</v>
      </c>
      <c r="O313" t="s">
        <v>30</v>
      </c>
      <c r="P313" t="s">
        <v>98</v>
      </c>
      <c r="Q313" t="s">
        <v>99</v>
      </c>
      <c r="R313" t="s">
        <v>60</v>
      </c>
      <c r="S313" t="s">
        <v>542</v>
      </c>
      <c r="T313" t="s">
        <v>214</v>
      </c>
      <c r="U313" t="s">
        <v>60</v>
      </c>
      <c r="V313">
        <v>0.01</v>
      </c>
      <c r="W313" t="s">
        <v>544</v>
      </c>
      <c r="X313" t="s">
        <v>479</v>
      </c>
      <c r="Y313" t="s">
        <v>60</v>
      </c>
    </row>
    <row r="314" spans="1:25" x14ac:dyDescent="0.3">
      <c r="A314">
        <v>4700</v>
      </c>
      <c r="B314" t="s">
        <v>313</v>
      </c>
      <c r="C314" t="s">
        <v>285</v>
      </c>
      <c r="D314" t="s">
        <v>546</v>
      </c>
      <c r="E314">
        <v>6</v>
      </c>
      <c r="F314" t="s">
        <v>27</v>
      </c>
      <c r="G314" t="s">
        <v>57</v>
      </c>
      <c r="I314">
        <v>56805</v>
      </c>
      <c r="J314">
        <v>2814</v>
      </c>
      <c r="K314">
        <v>6</v>
      </c>
      <c r="L314">
        <v>56805</v>
      </c>
      <c r="M314">
        <v>2814</v>
      </c>
      <c r="N314" t="s">
        <v>29</v>
      </c>
      <c r="O314" t="s">
        <v>30</v>
      </c>
      <c r="P314" t="s">
        <v>98</v>
      </c>
      <c r="Q314" t="s">
        <v>99</v>
      </c>
      <c r="R314" t="s">
        <v>30</v>
      </c>
      <c r="S314" t="s">
        <v>547</v>
      </c>
      <c r="T314" t="s">
        <v>479</v>
      </c>
      <c r="U314" t="s">
        <v>60</v>
      </c>
      <c r="V314">
        <v>4.2700000000000002E-2</v>
      </c>
      <c r="W314" t="s">
        <v>548</v>
      </c>
      <c r="X314" t="s">
        <v>372</v>
      </c>
      <c r="Y314" t="s">
        <v>60</v>
      </c>
    </row>
    <row r="315" spans="1:25" x14ac:dyDescent="0.3">
      <c r="A315">
        <v>4710</v>
      </c>
      <c r="B315" t="s">
        <v>313</v>
      </c>
      <c r="C315" t="s">
        <v>546</v>
      </c>
      <c r="D315" t="s">
        <v>549</v>
      </c>
      <c r="E315">
        <v>6</v>
      </c>
      <c r="F315" t="s">
        <v>27</v>
      </c>
      <c r="G315" t="s">
        <v>57</v>
      </c>
      <c r="I315">
        <v>56805</v>
      </c>
      <c r="J315">
        <v>2814</v>
      </c>
      <c r="K315">
        <v>6</v>
      </c>
      <c r="L315">
        <v>56805</v>
      </c>
      <c r="M315">
        <v>2814</v>
      </c>
      <c r="N315" t="s">
        <v>29</v>
      </c>
      <c r="O315" t="s">
        <v>30</v>
      </c>
      <c r="P315" t="s">
        <v>98</v>
      </c>
      <c r="Q315" t="s">
        <v>99</v>
      </c>
      <c r="R315" t="s">
        <v>30</v>
      </c>
      <c r="S315" t="s">
        <v>550</v>
      </c>
      <c r="T315" t="s">
        <v>341</v>
      </c>
      <c r="U315" t="s">
        <v>60</v>
      </c>
      <c r="V315">
        <v>0.01</v>
      </c>
      <c r="W315" t="s">
        <v>551</v>
      </c>
      <c r="X315" t="s">
        <v>172</v>
      </c>
      <c r="Y315" t="s">
        <v>60</v>
      </c>
    </row>
    <row r="316" spans="1:25" x14ac:dyDescent="0.3">
      <c r="A316">
        <v>4770</v>
      </c>
      <c r="B316" t="s">
        <v>313</v>
      </c>
      <c r="C316" t="s">
        <v>549</v>
      </c>
      <c r="D316" t="s">
        <v>552</v>
      </c>
      <c r="E316">
        <v>6</v>
      </c>
      <c r="F316" t="s">
        <v>27</v>
      </c>
      <c r="G316" t="s">
        <v>57</v>
      </c>
      <c r="I316">
        <v>56805</v>
      </c>
      <c r="J316">
        <v>2814</v>
      </c>
      <c r="K316">
        <v>6</v>
      </c>
      <c r="L316">
        <v>56805</v>
      </c>
      <c r="M316">
        <v>2814</v>
      </c>
      <c r="N316" t="s">
        <v>29</v>
      </c>
      <c r="O316" t="s">
        <v>30</v>
      </c>
      <c r="P316" t="s">
        <v>98</v>
      </c>
      <c r="Q316" t="s">
        <v>99</v>
      </c>
      <c r="R316" t="s">
        <v>30</v>
      </c>
      <c r="S316" t="s">
        <v>553</v>
      </c>
      <c r="T316" t="s">
        <v>283</v>
      </c>
      <c r="U316" t="s">
        <v>60</v>
      </c>
      <c r="V316">
        <v>1.4200000000000001E-2</v>
      </c>
      <c r="W316" t="s">
        <v>554</v>
      </c>
      <c r="X316" t="s">
        <v>500</v>
      </c>
      <c r="Y316" t="s">
        <v>60</v>
      </c>
    </row>
    <row r="317" spans="1:25" x14ac:dyDescent="0.3">
      <c r="A317">
        <v>4800</v>
      </c>
      <c r="B317" t="s">
        <v>313</v>
      </c>
      <c r="C317" t="s">
        <v>552</v>
      </c>
      <c r="D317" t="s">
        <v>555</v>
      </c>
      <c r="E317">
        <v>6</v>
      </c>
      <c r="F317" t="s">
        <v>27</v>
      </c>
      <c r="G317" t="s">
        <v>57</v>
      </c>
      <c r="I317">
        <v>56805</v>
      </c>
      <c r="J317">
        <v>2814</v>
      </c>
      <c r="K317">
        <v>6</v>
      </c>
      <c r="L317">
        <v>56805</v>
      </c>
      <c r="M317">
        <v>2814</v>
      </c>
      <c r="N317" t="s">
        <v>29</v>
      </c>
      <c r="O317" t="s">
        <v>30</v>
      </c>
      <c r="P317" t="s">
        <v>98</v>
      </c>
      <c r="Q317" t="s">
        <v>99</v>
      </c>
      <c r="R317" t="s">
        <v>30</v>
      </c>
      <c r="S317" t="s">
        <v>556</v>
      </c>
      <c r="T317" t="s">
        <v>275</v>
      </c>
      <c r="U317" t="s">
        <v>60</v>
      </c>
      <c r="V317">
        <v>0.01</v>
      </c>
      <c r="W317" t="s">
        <v>553</v>
      </c>
      <c r="X317" t="s">
        <v>283</v>
      </c>
      <c r="Y317" t="s">
        <v>60</v>
      </c>
    </row>
    <row r="318" spans="1:25" x14ac:dyDescent="0.3">
      <c r="A318">
        <v>4810.2</v>
      </c>
      <c r="B318" t="s">
        <v>313</v>
      </c>
      <c r="C318" t="s">
        <v>555</v>
      </c>
      <c r="D318" t="s">
        <v>557</v>
      </c>
      <c r="E318">
        <v>6</v>
      </c>
      <c r="F318" t="s">
        <v>27</v>
      </c>
      <c r="G318" t="s">
        <v>57</v>
      </c>
      <c r="I318">
        <v>56805</v>
      </c>
      <c r="J318">
        <v>2814</v>
      </c>
      <c r="K318">
        <v>6</v>
      </c>
      <c r="L318">
        <v>56805</v>
      </c>
      <c r="M318">
        <v>2814</v>
      </c>
      <c r="N318" t="s">
        <v>29</v>
      </c>
      <c r="O318" t="s">
        <v>30</v>
      </c>
      <c r="P318" t="s">
        <v>98</v>
      </c>
      <c r="Q318" t="s">
        <v>99</v>
      </c>
      <c r="R318" t="s">
        <v>30</v>
      </c>
      <c r="S318" t="s">
        <v>558</v>
      </c>
      <c r="T318" t="s">
        <v>366</v>
      </c>
      <c r="U318" t="s">
        <v>60</v>
      </c>
      <c r="V318">
        <v>0.01</v>
      </c>
      <c r="W318" t="s">
        <v>559</v>
      </c>
      <c r="X318" t="s">
        <v>430</v>
      </c>
      <c r="Y318" t="s">
        <v>60</v>
      </c>
    </row>
    <row r="319" spans="1:25" x14ac:dyDescent="0.3">
      <c r="A319">
        <v>4820.1000000000004</v>
      </c>
      <c r="B319" t="s">
        <v>313</v>
      </c>
      <c r="C319" t="s">
        <v>557</v>
      </c>
      <c r="D319" t="s">
        <v>156</v>
      </c>
      <c r="E319">
        <v>6</v>
      </c>
      <c r="F319" t="s">
        <v>27</v>
      </c>
      <c r="G319" t="s">
        <v>57</v>
      </c>
      <c r="I319">
        <v>56805</v>
      </c>
      <c r="J319">
        <v>2814</v>
      </c>
      <c r="K319">
        <v>6</v>
      </c>
      <c r="L319">
        <v>56805</v>
      </c>
      <c r="M319">
        <v>2814</v>
      </c>
      <c r="N319" t="s">
        <v>29</v>
      </c>
      <c r="O319" t="s">
        <v>30</v>
      </c>
      <c r="P319" t="s">
        <v>98</v>
      </c>
      <c r="Q319" t="s">
        <v>99</v>
      </c>
      <c r="R319" t="s">
        <v>30</v>
      </c>
      <c r="S319" t="s">
        <v>560</v>
      </c>
      <c r="T319" t="s">
        <v>430</v>
      </c>
      <c r="U319" t="s">
        <v>60</v>
      </c>
      <c r="V319">
        <v>0.01</v>
      </c>
      <c r="W319" t="s">
        <v>561</v>
      </c>
      <c r="X319" t="s">
        <v>562</v>
      </c>
      <c r="Y319" t="s">
        <v>60</v>
      </c>
    </row>
    <row r="320" spans="1:25" x14ac:dyDescent="0.3">
      <c r="A320">
        <v>4850</v>
      </c>
      <c r="B320" t="s">
        <v>313</v>
      </c>
      <c r="C320" t="s">
        <v>156</v>
      </c>
      <c r="D320" t="s">
        <v>563</v>
      </c>
      <c r="E320">
        <v>6</v>
      </c>
      <c r="F320" t="s">
        <v>27</v>
      </c>
      <c r="G320" t="s">
        <v>57</v>
      </c>
      <c r="I320">
        <v>56805</v>
      </c>
      <c r="J320">
        <v>2814</v>
      </c>
      <c r="K320">
        <v>6</v>
      </c>
      <c r="L320">
        <v>56805</v>
      </c>
      <c r="M320">
        <v>2814</v>
      </c>
      <c r="N320" t="s">
        <v>29</v>
      </c>
      <c r="O320" t="s">
        <v>30</v>
      </c>
      <c r="P320" t="s">
        <v>98</v>
      </c>
      <c r="Q320" t="s">
        <v>99</v>
      </c>
      <c r="R320" t="s">
        <v>30</v>
      </c>
      <c r="S320" t="s">
        <v>560</v>
      </c>
      <c r="T320" t="s">
        <v>430</v>
      </c>
      <c r="U320" t="s">
        <v>60</v>
      </c>
      <c r="V320">
        <v>0.01</v>
      </c>
      <c r="W320" t="s">
        <v>561</v>
      </c>
      <c r="X320" t="s">
        <v>562</v>
      </c>
      <c r="Y320" t="s">
        <v>60</v>
      </c>
    </row>
    <row r="321" spans="1:25" x14ac:dyDescent="0.3">
      <c r="A321">
        <v>4880</v>
      </c>
      <c r="B321" t="s">
        <v>313</v>
      </c>
      <c r="C321" t="s">
        <v>563</v>
      </c>
      <c r="D321" t="s">
        <v>564</v>
      </c>
      <c r="E321">
        <v>6</v>
      </c>
      <c r="F321" t="s">
        <v>27</v>
      </c>
      <c r="G321" t="s">
        <v>57</v>
      </c>
      <c r="I321">
        <v>56805</v>
      </c>
      <c r="J321">
        <v>2814</v>
      </c>
      <c r="K321">
        <v>6</v>
      </c>
      <c r="L321">
        <v>56805</v>
      </c>
      <c r="M321">
        <v>2814</v>
      </c>
      <c r="N321" t="s">
        <v>29</v>
      </c>
      <c r="O321" t="s">
        <v>30</v>
      </c>
      <c r="P321" t="s">
        <v>98</v>
      </c>
      <c r="Q321" t="s">
        <v>99</v>
      </c>
      <c r="R321" t="s">
        <v>30</v>
      </c>
      <c r="S321" t="s">
        <v>565</v>
      </c>
      <c r="T321" t="s">
        <v>533</v>
      </c>
      <c r="U321" t="s">
        <v>60</v>
      </c>
      <c r="V321">
        <v>0.01</v>
      </c>
      <c r="W321" t="s">
        <v>566</v>
      </c>
      <c r="X321" t="s">
        <v>292</v>
      </c>
      <c r="Y321" t="s">
        <v>60</v>
      </c>
    </row>
    <row r="322" spans="1:25" x14ac:dyDescent="0.3">
      <c r="A322">
        <v>4900</v>
      </c>
      <c r="B322" t="s">
        <v>313</v>
      </c>
      <c r="C322" t="s">
        <v>564</v>
      </c>
      <c r="D322" t="s">
        <v>567</v>
      </c>
      <c r="E322">
        <v>6</v>
      </c>
      <c r="F322" t="s">
        <v>27</v>
      </c>
      <c r="G322" t="s">
        <v>57</v>
      </c>
      <c r="I322">
        <v>56805</v>
      </c>
      <c r="J322">
        <v>2814</v>
      </c>
      <c r="K322">
        <v>6</v>
      </c>
      <c r="L322">
        <v>56805</v>
      </c>
      <c r="M322">
        <v>2814</v>
      </c>
      <c r="N322" t="s">
        <v>29</v>
      </c>
      <c r="O322" t="s">
        <v>30</v>
      </c>
      <c r="P322" t="s">
        <v>98</v>
      </c>
      <c r="Q322" t="s">
        <v>99</v>
      </c>
      <c r="R322" t="s">
        <v>30</v>
      </c>
      <c r="S322" t="s">
        <v>565</v>
      </c>
      <c r="T322" t="s">
        <v>533</v>
      </c>
      <c r="U322" t="s">
        <v>60</v>
      </c>
      <c r="V322">
        <v>0.01</v>
      </c>
      <c r="W322" t="s">
        <v>566</v>
      </c>
      <c r="X322" t="s">
        <v>292</v>
      </c>
      <c r="Y322" t="s">
        <v>60</v>
      </c>
    </row>
    <row r="323" spans="1:25" x14ac:dyDescent="0.3">
      <c r="A323">
        <v>4910</v>
      </c>
      <c r="B323" t="s">
        <v>313</v>
      </c>
      <c r="C323" t="s">
        <v>567</v>
      </c>
      <c r="D323" t="s">
        <v>245</v>
      </c>
      <c r="E323">
        <v>6</v>
      </c>
      <c r="F323" t="s">
        <v>27</v>
      </c>
      <c r="G323" t="s">
        <v>57</v>
      </c>
      <c r="I323">
        <v>56805</v>
      </c>
      <c r="J323">
        <v>2814</v>
      </c>
      <c r="K323">
        <v>6</v>
      </c>
      <c r="L323">
        <v>56805</v>
      </c>
      <c r="M323">
        <v>2814</v>
      </c>
      <c r="N323" t="s">
        <v>29</v>
      </c>
      <c r="O323" t="s">
        <v>30</v>
      </c>
      <c r="P323" t="s">
        <v>98</v>
      </c>
      <c r="Q323" t="s">
        <v>99</v>
      </c>
      <c r="R323" t="s">
        <v>30</v>
      </c>
      <c r="S323" t="s">
        <v>568</v>
      </c>
      <c r="T323" t="s">
        <v>201</v>
      </c>
      <c r="U323" t="s">
        <v>60</v>
      </c>
      <c r="V323">
        <v>0.01</v>
      </c>
      <c r="W323" t="s">
        <v>569</v>
      </c>
      <c r="X323" t="s">
        <v>289</v>
      </c>
      <c r="Y323" t="s">
        <v>60</v>
      </c>
    </row>
    <row r="324" spans="1:25" x14ac:dyDescent="0.3">
      <c r="A324">
        <v>4930</v>
      </c>
      <c r="B324" t="s">
        <v>313</v>
      </c>
      <c r="C324" t="s">
        <v>245</v>
      </c>
      <c r="D324" t="s">
        <v>570</v>
      </c>
      <c r="E324">
        <v>6</v>
      </c>
      <c r="F324" t="s">
        <v>27</v>
      </c>
      <c r="G324" t="s">
        <v>57</v>
      </c>
      <c r="I324">
        <v>56805</v>
      </c>
      <c r="J324">
        <v>2814</v>
      </c>
      <c r="K324">
        <v>6</v>
      </c>
      <c r="L324">
        <v>56805</v>
      </c>
      <c r="M324">
        <v>2814</v>
      </c>
      <c r="N324" t="s">
        <v>29</v>
      </c>
      <c r="O324" t="s">
        <v>30</v>
      </c>
      <c r="P324" t="s">
        <v>98</v>
      </c>
      <c r="Q324" t="s">
        <v>99</v>
      </c>
      <c r="R324" t="s">
        <v>30</v>
      </c>
      <c r="S324" t="s">
        <v>571</v>
      </c>
      <c r="T324" t="s">
        <v>383</v>
      </c>
      <c r="U324" t="s">
        <v>60</v>
      </c>
      <c r="V324">
        <v>0.01</v>
      </c>
      <c r="W324" t="s">
        <v>227</v>
      </c>
      <c r="X324" t="s">
        <v>181</v>
      </c>
      <c r="Y324" t="s">
        <v>60</v>
      </c>
    </row>
    <row r="325" spans="1:25" x14ac:dyDescent="0.3">
      <c r="A325">
        <v>4940</v>
      </c>
      <c r="B325" t="s">
        <v>313</v>
      </c>
      <c r="C325" t="s">
        <v>570</v>
      </c>
      <c r="D325" t="s">
        <v>572</v>
      </c>
      <c r="E325">
        <v>6</v>
      </c>
      <c r="F325" t="s">
        <v>27</v>
      </c>
      <c r="G325" t="s">
        <v>57</v>
      </c>
      <c r="I325">
        <v>56805</v>
      </c>
      <c r="J325">
        <v>2814</v>
      </c>
      <c r="K325">
        <v>6</v>
      </c>
      <c r="L325">
        <v>56805</v>
      </c>
      <c r="M325">
        <v>2814</v>
      </c>
      <c r="N325" t="s">
        <v>29</v>
      </c>
      <c r="O325" t="s">
        <v>30</v>
      </c>
      <c r="P325" t="s">
        <v>98</v>
      </c>
      <c r="Q325" t="s">
        <v>99</v>
      </c>
      <c r="R325" t="s">
        <v>30</v>
      </c>
      <c r="S325" t="s">
        <v>573</v>
      </c>
      <c r="T325" t="s">
        <v>101</v>
      </c>
      <c r="U325" t="s">
        <v>60</v>
      </c>
      <c r="V325">
        <v>0.01</v>
      </c>
      <c r="W325" t="s">
        <v>574</v>
      </c>
      <c r="X325" t="s">
        <v>214</v>
      </c>
      <c r="Y325" t="s">
        <v>60</v>
      </c>
    </row>
    <row r="326" spans="1:25" x14ac:dyDescent="0.3">
      <c r="A326">
        <v>4950</v>
      </c>
      <c r="B326" t="s">
        <v>313</v>
      </c>
      <c r="C326" t="s">
        <v>572</v>
      </c>
      <c r="D326" t="s">
        <v>26</v>
      </c>
      <c r="E326">
        <v>4</v>
      </c>
      <c r="F326" t="s">
        <v>27</v>
      </c>
      <c r="G326" t="s">
        <v>57</v>
      </c>
      <c r="I326">
        <v>38430</v>
      </c>
      <c r="J326">
        <v>1901</v>
      </c>
      <c r="K326">
        <v>4</v>
      </c>
      <c r="L326">
        <v>38430</v>
      </c>
      <c r="M326">
        <v>1901</v>
      </c>
      <c r="N326" t="s">
        <v>29</v>
      </c>
      <c r="O326" t="s">
        <v>30</v>
      </c>
      <c r="P326" t="s">
        <v>98</v>
      </c>
      <c r="Q326" t="s">
        <v>99</v>
      </c>
      <c r="R326" t="s">
        <v>30</v>
      </c>
      <c r="S326" t="s">
        <v>573</v>
      </c>
      <c r="T326" t="s">
        <v>232</v>
      </c>
      <c r="U326" t="s">
        <v>60</v>
      </c>
      <c r="V326">
        <v>0.01</v>
      </c>
      <c r="W326" t="s">
        <v>574</v>
      </c>
      <c r="X326" t="s">
        <v>59</v>
      </c>
      <c r="Y326" t="s">
        <v>60</v>
      </c>
    </row>
    <row r="327" spans="1:25" x14ac:dyDescent="0.3">
      <c r="A327">
        <v>4960</v>
      </c>
      <c r="B327" t="s">
        <v>476</v>
      </c>
      <c r="C327" t="s">
        <v>26</v>
      </c>
      <c r="D327" t="s">
        <v>480</v>
      </c>
      <c r="E327">
        <v>4</v>
      </c>
      <c r="F327" t="s">
        <v>42</v>
      </c>
      <c r="G327" t="s">
        <v>57</v>
      </c>
      <c r="H327">
        <v>2</v>
      </c>
      <c r="I327">
        <v>29160</v>
      </c>
      <c r="J327">
        <v>1467</v>
      </c>
      <c r="K327">
        <v>4</v>
      </c>
      <c r="L327">
        <v>29160</v>
      </c>
      <c r="M327">
        <v>1467</v>
      </c>
      <c r="N327" t="s">
        <v>29</v>
      </c>
      <c r="O327" t="s">
        <v>30</v>
      </c>
      <c r="P327" t="s">
        <v>414</v>
      </c>
      <c r="Q327" t="s">
        <v>32</v>
      </c>
      <c r="R327" t="s">
        <v>30</v>
      </c>
      <c r="S327" t="s">
        <v>282</v>
      </c>
      <c r="T327" t="s">
        <v>278</v>
      </c>
      <c r="U327" t="s">
        <v>60</v>
      </c>
      <c r="V327">
        <v>0.01</v>
      </c>
      <c r="W327" t="s">
        <v>234</v>
      </c>
      <c r="X327" t="s">
        <v>235</v>
      </c>
      <c r="Y327" t="s">
        <v>60</v>
      </c>
    </row>
    <row r="328" spans="1:25" x14ac:dyDescent="0.3">
      <c r="A328">
        <v>4970</v>
      </c>
      <c r="B328" t="s">
        <v>476</v>
      </c>
      <c r="C328" t="s">
        <v>480</v>
      </c>
      <c r="D328" t="s">
        <v>510</v>
      </c>
      <c r="E328">
        <v>4</v>
      </c>
      <c r="F328" t="s">
        <v>42</v>
      </c>
      <c r="G328" t="s">
        <v>57</v>
      </c>
      <c r="H328">
        <v>2</v>
      </c>
      <c r="I328">
        <v>29160</v>
      </c>
      <c r="J328">
        <v>1467</v>
      </c>
      <c r="K328">
        <v>4</v>
      </c>
      <c r="L328">
        <v>29160</v>
      </c>
      <c r="M328">
        <v>1467</v>
      </c>
      <c r="N328" t="s">
        <v>29</v>
      </c>
      <c r="O328" t="s">
        <v>30</v>
      </c>
      <c r="P328" t="s">
        <v>414</v>
      </c>
      <c r="Q328" t="s">
        <v>32</v>
      </c>
      <c r="R328" t="s">
        <v>30</v>
      </c>
      <c r="S328" t="s">
        <v>282</v>
      </c>
      <c r="T328" t="s">
        <v>278</v>
      </c>
      <c r="U328" t="s">
        <v>60</v>
      </c>
      <c r="V328">
        <v>0.01</v>
      </c>
      <c r="W328" t="s">
        <v>234</v>
      </c>
      <c r="X328" t="s">
        <v>235</v>
      </c>
      <c r="Y328" t="s">
        <v>60</v>
      </c>
    </row>
    <row r="329" spans="1:25" x14ac:dyDescent="0.3">
      <c r="A329">
        <v>4980</v>
      </c>
      <c r="B329" t="s">
        <v>49</v>
      </c>
      <c r="C329" t="s">
        <v>41</v>
      </c>
      <c r="D329" t="s">
        <v>48</v>
      </c>
      <c r="E329">
        <v>2</v>
      </c>
      <c r="F329" t="s">
        <v>42</v>
      </c>
      <c r="G329" t="s">
        <v>28</v>
      </c>
      <c r="I329">
        <v>9270</v>
      </c>
      <c r="J329">
        <v>486</v>
      </c>
      <c r="K329">
        <v>2</v>
      </c>
      <c r="L329">
        <v>9270</v>
      </c>
      <c r="M329">
        <v>486</v>
      </c>
      <c r="N329" t="s">
        <v>43</v>
      </c>
      <c r="O329" t="s">
        <v>44</v>
      </c>
      <c r="P329" t="s">
        <v>31</v>
      </c>
      <c r="Q329" t="s">
        <v>32</v>
      </c>
      <c r="R329" t="s">
        <v>36</v>
      </c>
      <c r="S329" t="s">
        <v>200</v>
      </c>
      <c r="T329" t="s">
        <v>201</v>
      </c>
      <c r="U329" t="s">
        <v>36</v>
      </c>
      <c r="V329">
        <v>5.7299999999999997E-2</v>
      </c>
      <c r="W329" t="s">
        <v>302</v>
      </c>
      <c r="X329" t="s">
        <v>283</v>
      </c>
      <c r="Y329" t="s">
        <v>36</v>
      </c>
    </row>
    <row r="330" spans="1:25" x14ac:dyDescent="0.3">
      <c r="A330">
        <v>4990</v>
      </c>
      <c r="B330" t="s">
        <v>49</v>
      </c>
      <c r="C330" t="s">
        <v>48</v>
      </c>
      <c r="D330" t="s">
        <v>56</v>
      </c>
      <c r="E330">
        <v>2</v>
      </c>
      <c r="F330" t="s">
        <v>42</v>
      </c>
      <c r="G330" t="s">
        <v>28</v>
      </c>
      <c r="I330">
        <v>9270</v>
      </c>
      <c r="J330">
        <v>486</v>
      </c>
      <c r="K330">
        <v>2</v>
      </c>
      <c r="L330">
        <v>9270</v>
      </c>
      <c r="M330">
        <v>486</v>
      </c>
      <c r="N330" t="s">
        <v>43</v>
      </c>
      <c r="O330" t="s">
        <v>44</v>
      </c>
      <c r="P330" t="s">
        <v>31</v>
      </c>
      <c r="Q330" t="s">
        <v>32</v>
      </c>
      <c r="R330" t="s">
        <v>36</v>
      </c>
      <c r="S330" t="s">
        <v>199</v>
      </c>
      <c r="T330" t="s">
        <v>139</v>
      </c>
      <c r="U330" t="s">
        <v>36</v>
      </c>
      <c r="V330">
        <v>0.01</v>
      </c>
      <c r="W330" t="s">
        <v>200</v>
      </c>
      <c r="X330" t="s">
        <v>201</v>
      </c>
      <c r="Y330" t="s">
        <v>36</v>
      </c>
    </row>
    <row r="331" spans="1:25" x14ac:dyDescent="0.3">
      <c r="A331">
        <v>5000.1000000000004</v>
      </c>
      <c r="B331" t="s">
        <v>49</v>
      </c>
      <c r="C331" t="s">
        <v>56</v>
      </c>
      <c r="D331" t="s">
        <v>575</v>
      </c>
      <c r="E331">
        <v>2</v>
      </c>
      <c r="F331" t="s">
        <v>42</v>
      </c>
      <c r="G331" t="s">
        <v>28</v>
      </c>
      <c r="I331">
        <v>19170</v>
      </c>
      <c r="J331">
        <v>999</v>
      </c>
      <c r="K331">
        <v>2</v>
      </c>
      <c r="L331">
        <v>19170</v>
      </c>
      <c r="M331">
        <v>999</v>
      </c>
      <c r="N331" t="s">
        <v>43</v>
      </c>
      <c r="O331" t="s">
        <v>44</v>
      </c>
      <c r="P331" t="s">
        <v>31</v>
      </c>
      <c r="Q331" t="s">
        <v>32</v>
      </c>
      <c r="R331" t="s">
        <v>30</v>
      </c>
      <c r="S331" t="s">
        <v>192</v>
      </c>
      <c r="T331" t="s">
        <v>383</v>
      </c>
      <c r="U331" t="s">
        <v>36</v>
      </c>
      <c r="V331">
        <v>0.01</v>
      </c>
      <c r="W331" t="s">
        <v>388</v>
      </c>
      <c r="X331" t="s">
        <v>181</v>
      </c>
      <c r="Y331" t="s">
        <v>36</v>
      </c>
    </row>
    <row r="332" spans="1:25" x14ac:dyDescent="0.3">
      <c r="A332">
        <v>5000.2</v>
      </c>
      <c r="B332" t="s">
        <v>49</v>
      </c>
      <c r="C332" t="s">
        <v>575</v>
      </c>
      <c r="D332" t="s">
        <v>467</v>
      </c>
      <c r="E332">
        <v>2</v>
      </c>
      <c r="F332" t="s">
        <v>27</v>
      </c>
      <c r="G332" t="s">
        <v>28</v>
      </c>
      <c r="I332">
        <v>29340</v>
      </c>
      <c r="J332">
        <v>1449</v>
      </c>
      <c r="K332">
        <v>2</v>
      </c>
      <c r="L332">
        <v>29340</v>
      </c>
      <c r="M332">
        <v>1449</v>
      </c>
      <c r="N332" t="s">
        <v>29</v>
      </c>
      <c r="O332" t="s">
        <v>44</v>
      </c>
      <c r="P332" t="s">
        <v>31</v>
      </c>
      <c r="Q332" t="s">
        <v>32</v>
      </c>
      <c r="R332" t="s">
        <v>33</v>
      </c>
      <c r="S332" t="s">
        <v>192</v>
      </c>
      <c r="T332" t="s">
        <v>144</v>
      </c>
      <c r="U332" t="s">
        <v>36</v>
      </c>
      <c r="V332">
        <v>0.01</v>
      </c>
      <c r="W332" t="s">
        <v>388</v>
      </c>
      <c r="X332" t="s">
        <v>76</v>
      </c>
      <c r="Y332" t="s">
        <v>36</v>
      </c>
    </row>
    <row r="333" spans="1:25" x14ac:dyDescent="0.3">
      <c r="A333">
        <v>5010</v>
      </c>
      <c r="B333" t="s">
        <v>49</v>
      </c>
      <c r="C333" t="s">
        <v>467</v>
      </c>
      <c r="D333" t="s">
        <v>576</v>
      </c>
      <c r="E333">
        <v>4</v>
      </c>
      <c r="F333" t="s">
        <v>27</v>
      </c>
      <c r="G333" t="s">
        <v>57</v>
      </c>
      <c r="H333">
        <v>1</v>
      </c>
      <c r="I333">
        <v>35820</v>
      </c>
      <c r="J333">
        <v>1800</v>
      </c>
      <c r="K333">
        <v>4</v>
      </c>
      <c r="L333">
        <v>35820</v>
      </c>
      <c r="M333">
        <v>1800</v>
      </c>
      <c r="N333" t="s">
        <v>29</v>
      </c>
      <c r="O333" t="s">
        <v>30</v>
      </c>
      <c r="P333" t="s">
        <v>31</v>
      </c>
      <c r="Q333" t="s">
        <v>32</v>
      </c>
      <c r="R333" t="s">
        <v>33</v>
      </c>
      <c r="S333" t="s">
        <v>192</v>
      </c>
      <c r="T333" t="s">
        <v>83</v>
      </c>
      <c r="U333" t="s">
        <v>60</v>
      </c>
      <c r="V333">
        <v>1.41E-2</v>
      </c>
      <c r="W333" t="s">
        <v>315</v>
      </c>
      <c r="X333" t="s">
        <v>85</v>
      </c>
      <c r="Y333" t="s">
        <v>60</v>
      </c>
    </row>
    <row r="334" spans="1:25" x14ac:dyDescent="0.3">
      <c r="A334">
        <v>5020</v>
      </c>
      <c r="B334" t="s">
        <v>106</v>
      </c>
      <c r="C334" t="s">
        <v>576</v>
      </c>
      <c r="D334" t="s">
        <v>577</v>
      </c>
      <c r="E334">
        <v>4</v>
      </c>
      <c r="F334" t="s">
        <v>27</v>
      </c>
      <c r="G334" t="s">
        <v>57</v>
      </c>
      <c r="I334">
        <v>55700</v>
      </c>
      <c r="J334">
        <v>2910</v>
      </c>
      <c r="K334">
        <v>4</v>
      </c>
      <c r="L334">
        <v>55700</v>
      </c>
      <c r="M334">
        <v>2910</v>
      </c>
      <c r="N334" t="s">
        <v>29</v>
      </c>
      <c r="O334" t="s">
        <v>30</v>
      </c>
      <c r="P334" t="s">
        <v>98</v>
      </c>
      <c r="Q334" t="s">
        <v>99</v>
      </c>
      <c r="R334" t="s">
        <v>30</v>
      </c>
      <c r="S334" t="s">
        <v>192</v>
      </c>
      <c r="T334" t="s">
        <v>167</v>
      </c>
      <c r="U334" t="s">
        <v>36</v>
      </c>
      <c r="V334">
        <v>1.41E-2</v>
      </c>
      <c r="W334" t="s">
        <v>315</v>
      </c>
      <c r="X334" t="s">
        <v>161</v>
      </c>
      <c r="Y334" t="s">
        <v>36</v>
      </c>
    </row>
    <row r="335" spans="1:25" x14ac:dyDescent="0.3">
      <c r="A335">
        <v>5030</v>
      </c>
      <c r="B335" t="s">
        <v>106</v>
      </c>
      <c r="C335" t="s">
        <v>577</v>
      </c>
      <c r="D335" t="s">
        <v>104</v>
      </c>
      <c r="E335">
        <v>4</v>
      </c>
      <c r="F335" t="s">
        <v>27</v>
      </c>
      <c r="G335" t="s">
        <v>57</v>
      </c>
      <c r="I335">
        <v>55700</v>
      </c>
      <c r="J335">
        <v>2910</v>
      </c>
      <c r="K335">
        <v>4</v>
      </c>
      <c r="L335">
        <v>55700</v>
      </c>
      <c r="M335">
        <v>2910</v>
      </c>
      <c r="N335" t="s">
        <v>29</v>
      </c>
      <c r="O335" t="s">
        <v>30</v>
      </c>
      <c r="P335" t="s">
        <v>98</v>
      </c>
      <c r="Q335" t="s">
        <v>99</v>
      </c>
      <c r="R335" t="s">
        <v>30</v>
      </c>
      <c r="S335" t="s">
        <v>578</v>
      </c>
      <c r="T335" t="s">
        <v>196</v>
      </c>
      <c r="U335" t="s">
        <v>36</v>
      </c>
      <c r="V335">
        <v>0.01</v>
      </c>
      <c r="W335" t="s">
        <v>579</v>
      </c>
      <c r="X335" t="s">
        <v>383</v>
      </c>
      <c r="Y335" t="s">
        <v>36</v>
      </c>
    </row>
    <row r="336" spans="1:25" x14ac:dyDescent="0.3">
      <c r="A336">
        <v>5040</v>
      </c>
      <c r="B336" t="s">
        <v>106</v>
      </c>
      <c r="C336" t="s">
        <v>104</v>
      </c>
      <c r="D336" t="s">
        <v>26</v>
      </c>
      <c r="E336">
        <v>4</v>
      </c>
      <c r="F336" t="s">
        <v>27</v>
      </c>
      <c r="G336" t="s">
        <v>57</v>
      </c>
      <c r="I336">
        <v>55700</v>
      </c>
      <c r="J336">
        <v>2910</v>
      </c>
      <c r="K336">
        <v>4</v>
      </c>
      <c r="L336">
        <v>55700</v>
      </c>
      <c r="M336">
        <v>2910</v>
      </c>
      <c r="N336" t="s">
        <v>29</v>
      </c>
      <c r="O336" t="s">
        <v>30</v>
      </c>
      <c r="P336" t="s">
        <v>98</v>
      </c>
      <c r="Q336" t="s">
        <v>99</v>
      </c>
      <c r="R336" t="s">
        <v>30</v>
      </c>
      <c r="S336" t="s">
        <v>238</v>
      </c>
      <c r="T336" t="s">
        <v>83</v>
      </c>
      <c r="U336" t="s">
        <v>36</v>
      </c>
      <c r="V336">
        <v>1.09E-2</v>
      </c>
      <c r="W336" t="s">
        <v>421</v>
      </c>
      <c r="X336" t="s">
        <v>85</v>
      </c>
      <c r="Y336" t="s">
        <v>36</v>
      </c>
    </row>
    <row r="337" spans="1:25" x14ac:dyDescent="0.3">
      <c r="A337">
        <v>5050</v>
      </c>
      <c r="B337" t="s">
        <v>106</v>
      </c>
      <c r="C337" t="s">
        <v>435</v>
      </c>
      <c r="D337" t="s">
        <v>206</v>
      </c>
      <c r="E337">
        <v>2</v>
      </c>
      <c r="F337" t="s">
        <v>27</v>
      </c>
      <c r="G337" t="s">
        <v>28</v>
      </c>
      <c r="I337">
        <v>8200</v>
      </c>
      <c r="J337">
        <v>430</v>
      </c>
      <c r="K337">
        <v>2</v>
      </c>
      <c r="L337">
        <v>8200</v>
      </c>
      <c r="M337">
        <v>430</v>
      </c>
      <c r="N337" t="s">
        <v>43</v>
      </c>
      <c r="O337" t="s">
        <v>44</v>
      </c>
      <c r="P337" t="s">
        <v>98</v>
      </c>
      <c r="Q337" t="s">
        <v>99</v>
      </c>
      <c r="R337" t="s">
        <v>60</v>
      </c>
      <c r="S337" t="s">
        <v>340</v>
      </c>
      <c r="T337" t="s">
        <v>436</v>
      </c>
      <c r="U337" t="s">
        <v>60</v>
      </c>
      <c r="V337">
        <v>2.4500000000000001E-2</v>
      </c>
      <c r="W337" t="s">
        <v>380</v>
      </c>
      <c r="X337" t="s">
        <v>437</v>
      </c>
      <c r="Y337" t="s">
        <v>30</v>
      </c>
    </row>
    <row r="338" spans="1:25" x14ac:dyDescent="0.3">
      <c r="A338">
        <v>5060</v>
      </c>
      <c r="B338" t="s">
        <v>106</v>
      </c>
      <c r="C338" t="s">
        <v>206</v>
      </c>
      <c r="D338" t="s">
        <v>580</v>
      </c>
      <c r="E338">
        <v>2</v>
      </c>
      <c r="F338" t="s">
        <v>27</v>
      </c>
      <c r="G338" t="s">
        <v>28</v>
      </c>
      <c r="I338">
        <v>17920</v>
      </c>
      <c r="J338">
        <v>888</v>
      </c>
      <c r="K338">
        <v>2</v>
      </c>
      <c r="L338">
        <v>17920</v>
      </c>
      <c r="M338">
        <v>888</v>
      </c>
      <c r="N338" t="s">
        <v>29</v>
      </c>
      <c r="O338" t="s">
        <v>44</v>
      </c>
      <c r="P338" t="s">
        <v>98</v>
      </c>
      <c r="Q338" t="s">
        <v>99</v>
      </c>
      <c r="R338" t="s">
        <v>30</v>
      </c>
      <c r="S338" t="s">
        <v>133</v>
      </c>
      <c r="T338" t="s">
        <v>150</v>
      </c>
      <c r="U338" t="s">
        <v>60</v>
      </c>
      <c r="V338">
        <v>0.01</v>
      </c>
      <c r="W338" t="s">
        <v>149</v>
      </c>
      <c r="X338" t="s">
        <v>83</v>
      </c>
      <c r="Y338" t="s">
        <v>60</v>
      </c>
    </row>
    <row r="339" spans="1:25" x14ac:dyDescent="0.3">
      <c r="A339">
        <v>5070</v>
      </c>
      <c r="B339" t="s">
        <v>106</v>
      </c>
      <c r="C339" t="s">
        <v>580</v>
      </c>
      <c r="D339" t="s">
        <v>140</v>
      </c>
      <c r="E339">
        <v>2</v>
      </c>
      <c r="F339" t="s">
        <v>27</v>
      </c>
      <c r="G339" t="s">
        <v>57</v>
      </c>
      <c r="I339">
        <v>17920</v>
      </c>
      <c r="J339">
        <v>888</v>
      </c>
      <c r="K339">
        <v>2</v>
      </c>
      <c r="L339">
        <v>17920</v>
      </c>
      <c r="M339">
        <v>888</v>
      </c>
      <c r="N339" t="s">
        <v>29</v>
      </c>
      <c r="O339" t="s">
        <v>44</v>
      </c>
      <c r="P339" t="s">
        <v>98</v>
      </c>
      <c r="Q339" t="s">
        <v>99</v>
      </c>
      <c r="R339" t="s">
        <v>30</v>
      </c>
      <c r="S339" t="s">
        <v>133</v>
      </c>
      <c r="T339" t="s">
        <v>150</v>
      </c>
      <c r="U339" t="s">
        <v>60</v>
      </c>
      <c r="V339">
        <v>0.01</v>
      </c>
      <c r="W339" t="s">
        <v>149</v>
      </c>
      <c r="X339" t="s">
        <v>83</v>
      </c>
      <c r="Y339" t="s">
        <v>60</v>
      </c>
    </row>
    <row r="340" spans="1:25" x14ac:dyDescent="0.3">
      <c r="A340">
        <v>5080.1000000000004</v>
      </c>
      <c r="B340" t="s">
        <v>25</v>
      </c>
      <c r="C340" t="s">
        <v>345</v>
      </c>
      <c r="D340" t="s">
        <v>581</v>
      </c>
      <c r="E340">
        <v>4</v>
      </c>
      <c r="F340" t="s">
        <v>27</v>
      </c>
      <c r="G340" t="s">
        <v>57</v>
      </c>
      <c r="I340">
        <v>32970</v>
      </c>
      <c r="J340">
        <v>1722</v>
      </c>
      <c r="K340">
        <v>4</v>
      </c>
      <c r="L340">
        <v>32970</v>
      </c>
      <c r="M340">
        <v>1722</v>
      </c>
      <c r="N340" t="s">
        <v>29</v>
      </c>
      <c r="O340" t="s">
        <v>30</v>
      </c>
      <c r="P340" t="s">
        <v>98</v>
      </c>
      <c r="Q340" t="s">
        <v>32</v>
      </c>
      <c r="R340" t="s">
        <v>30</v>
      </c>
      <c r="S340" t="s">
        <v>424</v>
      </c>
      <c r="T340" t="s">
        <v>383</v>
      </c>
      <c r="U340" t="s">
        <v>60</v>
      </c>
      <c r="V340">
        <v>0.01</v>
      </c>
      <c r="W340" t="s">
        <v>582</v>
      </c>
      <c r="X340" t="s">
        <v>181</v>
      </c>
      <c r="Y340" t="s">
        <v>60</v>
      </c>
    </row>
    <row r="341" spans="1:25" x14ac:dyDescent="0.3">
      <c r="A341">
        <v>5090.1000000000004</v>
      </c>
      <c r="B341" t="s">
        <v>25</v>
      </c>
      <c r="C341" t="s">
        <v>581</v>
      </c>
      <c r="D341" t="s">
        <v>583</v>
      </c>
      <c r="E341">
        <v>4</v>
      </c>
      <c r="F341" t="s">
        <v>27</v>
      </c>
      <c r="G341" t="s">
        <v>57</v>
      </c>
      <c r="I341">
        <v>58485</v>
      </c>
      <c r="J341">
        <v>3056</v>
      </c>
      <c r="K341">
        <v>4</v>
      </c>
      <c r="L341">
        <v>58485</v>
      </c>
      <c r="M341">
        <v>3056</v>
      </c>
      <c r="N341" t="s">
        <v>29</v>
      </c>
      <c r="O341" t="s">
        <v>30</v>
      </c>
      <c r="P341" t="s">
        <v>98</v>
      </c>
      <c r="Q341" t="s">
        <v>32</v>
      </c>
      <c r="R341" t="s">
        <v>30</v>
      </c>
      <c r="S341" t="s">
        <v>547</v>
      </c>
      <c r="T341" t="s">
        <v>214</v>
      </c>
      <c r="U341" t="s">
        <v>36</v>
      </c>
      <c r="V341">
        <v>4.2700000000000002E-2</v>
      </c>
      <c r="W341" t="s">
        <v>548</v>
      </c>
      <c r="X341" t="s">
        <v>172</v>
      </c>
      <c r="Y341" t="s">
        <v>60</v>
      </c>
    </row>
    <row r="342" spans="1:25" x14ac:dyDescent="0.3">
      <c r="A342">
        <v>5100</v>
      </c>
      <c r="B342" t="s">
        <v>25</v>
      </c>
      <c r="C342" t="s">
        <v>583</v>
      </c>
      <c r="D342" t="s">
        <v>245</v>
      </c>
      <c r="E342">
        <v>4</v>
      </c>
      <c r="F342" t="s">
        <v>27</v>
      </c>
      <c r="G342" t="s">
        <v>57</v>
      </c>
      <c r="I342">
        <v>55700</v>
      </c>
      <c r="J342">
        <v>2910</v>
      </c>
      <c r="K342">
        <v>4</v>
      </c>
      <c r="L342">
        <v>55700</v>
      </c>
      <c r="M342">
        <v>2910</v>
      </c>
      <c r="N342" t="s">
        <v>29</v>
      </c>
      <c r="O342" t="s">
        <v>30</v>
      </c>
      <c r="P342" t="s">
        <v>98</v>
      </c>
      <c r="Q342" t="s">
        <v>32</v>
      </c>
      <c r="R342" t="s">
        <v>30</v>
      </c>
      <c r="S342" t="s">
        <v>547</v>
      </c>
      <c r="T342" t="s">
        <v>309</v>
      </c>
      <c r="U342" t="s">
        <v>36</v>
      </c>
      <c r="V342">
        <v>4.2700000000000002E-2</v>
      </c>
      <c r="W342" t="s">
        <v>548</v>
      </c>
      <c r="X342" t="s">
        <v>178</v>
      </c>
      <c r="Y342" t="s">
        <v>60</v>
      </c>
    </row>
    <row r="343" spans="1:25" x14ac:dyDescent="0.3">
      <c r="A343">
        <v>5110</v>
      </c>
      <c r="B343" t="s">
        <v>25</v>
      </c>
      <c r="C343" t="s">
        <v>245</v>
      </c>
      <c r="D343" t="s">
        <v>506</v>
      </c>
      <c r="E343">
        <v>4</v>
      </c>
      <c r="F343" t="s">
        <v>27</v>
      </c>
      <c r="G343" t="s">
        <v>57</v>
      </c>
      <c r="I343">
        <v>55700</v>
      </c>
      <c r="J343">
        <v>2910</v>
      </c>
      <c r="K343">
        <v>4</v>
      </c>
      <c r="L343">
        <v>55700</v>
      </c>
      <c r="M343">
        <v>2910</v>
      </c>
      <c r="N343" t="s">
        <v>29</v>
      </c>
      <c r="O343" t="s">
        <v>30</v>
      </c>
      <c r="P343" t="s">
        <v>98</v>
      </c>
      <c r="Q343" t="s">
        <v>32</v>
      </c>
      <c r="R343" t="s">
        <v>30</v>
      </c>
      <c r="S343" t="s">
        <v>578</v>
      </c>
      <c r="T343" t="s">
        <v>196</v>
      </c>
      <c r="U343" t="s">
        <v>36</v>
      </c>
      <c r="V343">
        <v>0.01</v>
      </c>
      <c r="W343" t="s">
        <v>579</v>
      </c>
      <c r="X343" t="s">
        <v>383</v>
      </c>
      <c r="Y343" t="s">
        <v>36</v>
      </c>
    </row>
    <row r="344" spans="1:25" x14ac:dyDescent="0.3">
      <c r="A344">
        <v>5120</v>
      </c>
      <c r="B344" t="s">
        <v>25</v>
      </c>
      <c r="C344" t="s">
        <v>506</v>
      </c>
      <c r="D344" t="s">
        <v>584</v>
      </c>
      <c r="E344">
        <v>4</v>
      </c>
      <c r="F344" t="s">
        <v>27</v>
      </c>
      <c r="G344" t="s">
        <v>57</v>
      </c>
      <c r="I344">
        <v>38430</v>
      </c>
      <c r="J344">
        <v>1901</v>
      </c>
      <c r="K344">
        <v>4</v>
      </c>
      <c r="L344">
        <v>38430</v>
      </c>
      <c r="M344">
        <v>1901</v>
      </c>
      <c r="N344" t="s">
        <v>29</v>
      </c>
      <c r="O344" t="s">
        <v>30</v>
      </c>
      <c r="P344" t="s">
        <v>98</v>
      </c>
      <c r="Q344" t="s">
        <v>32</v>
      </c>
      <c r="R344" t="s">
        <v>30</v>
      </c>
      <c r="S344" t="s">
        <v>578</v>
      </c>
      <c r="T344" t="s">
        <v>288</v>
      </c>
      <c r="U344" t="s">
        <v>60</v>
      </c>
      <c r="V344">
        <v>0.01</v>
      </c>
      <c r="W344" t="s">
        <v>579</v>
      </c>
      <c r="X344" t="s">
        <v>139</v>
      </c>
      <c r="Y344" t="s">
        <v>60</v>
      </c>
    </row>
    <row r="345" spans="1:25" x14ac:dyDescent="0.3">
      <c r="A345">
        <v>5130</v>
      </c>
      <c r="B345" t="s">
        <v>25</v>
      </c>
      <c r="C345" t="s">
        <v>584</v>
      </c>
      <c r="D345" t="s">
        <v>333</v>
      </c>
      <c r="E345">
        <v>4</v>
      </c>
      <c r="F345" t="s">
        <v>27</v>
      </c>
      <c r="G345" t="s">
        <v>57</v>
      </c>
      <c r="I345">
        <v>39165</v>
      </c>
      <c r="J345">
        <v>1943</v>
      </c>
      <c r="K345">
        <v>4</v>
      </c>
      <c r="L345">
        <v>39165</v>
      </c>
      <c r="M345">
        <v>1943</v>
      </c>
      <c r="N345" t="s">
        <v>29</v>
      </c>
      <c r="O345" t="s">
        <v>30</v>
      </c>
      <c r="P345" t="s">
        <v>98</v>
      </c>
      <c r="Q345" t="s">
        <v>32</v>
      </c>
      <c r="R345" t="s">
        <v>30</v>
      </c>
      <c r="S345" t="s">
        <v>578</v>
      </c>
      <c r="T345" t="s">
        <v>116</v>
      </c>
      <c r="U345" t="s">
        <v>60</v>
      </c>
      <c r="V345">
        <v>1.21E-2</v>
      </c>
      <c r="W345" t="s">
        <v>585</v>
      </c>
      <c r="X345" t="s">
        <v>325</v>
      </c>
      <c r="Y345" t="s">
        <v>60</v>
      </c>
    </row>
    <row r="346" spans="1:25" x14ac:dyDescent="0.3">
      <c r="A346">
        <v>5140</v>
      </c>
      <c r="B346" t="s">
        <v>25</v>
      </c>
      <c r="C346" t="s">
        <v>333</v>
      </c>
      <c r="D346" t="s">
        <v>118</v>
      </c>
      <c r="E346">
        <v>4</v>
      </c>
      <c r="F346" t="s">
        <v>27</v>
      </c>
      <c r="G346" t="s">
        <v>57</v>
      </c>
      <c r="I346">
        <v>39165</v>
      </c>
      <c r="J346">
        <v>1943</v>
      </c>
      <c r="K346">
        <v>4</v>
      </c>
      <c r="L346">
        <v>39165</v>
      </c>
      <c r="M346">
        <v>1943</v>
      </c>
      <c r="N346" t="s">
        <v>29</v>
      </c>
      <c r="O346" t="s">
        <v>30</v>
      </c>
      <c r="P346" t="s">
        <v>98</v>
      </c>
      <c r="Q346" t="s">
        <v>32</v>
      </c>
      <c r="R346" t="s">
        <v>30</v>
      </c>
      <c r="S346" t="s">
        <v>578</v>
      </c>
      <c r="T346" t="s">
        <v>116</v>
      </c>
      <c r="U346" t="s">
        <v>60</v>
      </c>
      <c r="V346">
        <v>1.21E-2</v>
      </c>
      <c r="W346" t="s">
        <v>585</v>
      </c>
      <c r="X346" t="s">
        <v>325</v>
      </c>
      <c r="Y346" t="s">
        <v>60</v>
      </c>
    </row>
    <row r="347" spans="1:25" x14ac:dyDescent="0.3">
      <c r="A347">
        <v>5150</v>
      </c>
      <c r="B347" t="s">
        <v>25</v>
      </c>
      <c r="C347" t="s">
        <v>118</v>
      </c>
      <c r="D347" t="s">
        <v>140</v>
      </c>
      <c r="E347">
        <v>4</v>
      </c>
      <c r="F347" t="s">
        <v>27</v>
      </c>
      <c r="G347" t="s">
        <v>57</v>
      </c>
      <c r="I347">
        <v>55700</v>
      </c>
      <c r="J347">
        <v>2910</v>
      </c>
      <c r="K347">
        <v>4</v>
      </c>
      <c r="L347">
        <v>55700</v>
      </c>
      <c r="M347">
        <v>2910</v>
      </c>
      <c r="N347" t="s">
        <v>29</v>
      </c>
      <c r="O347" t="s">
        <v>30</v>
      </c>
      <c r="P347" t="s">
        <v>98</v>
      </c>
      <c r="Q347" t="s">
        <v>32</v>
      </c>
      <c r="R347" t="s">
        <v>30</v>
      </c>
      <c r="S347" t="s">
        <v>586</v>
      </c>
      <c r="T347" t="s">
        <v>113</v>
      </c>
      <c r="U347" t="s">
        <v>36</v>
      </c>
      <c r="V347">
        <v>1.7299999999999999E-2</v>
      </c>
      <c r="W347" t="s">
        <v>587</v>
      </c>
      <c r="X347" t="s">
        <v>198</v>
      </c>
      <c r="Y347" t="s">
        <v>36</v>
      </c>
    </row>
    <row r="348" spans="1:25" x14ac:dyDescent="0.3">
      <c r="A348">
        <v>5170.1000000000004</v>
      </c>
      <c r="B348" t="s">
        <v>140</v>
      </c>
      <c r="C348" t="s">
        <v>188</v>
      </c>
      <c r="D348" t="s">
        <v>111</v>
      </c>
      <c r="E348">
        <v>2</v>
      </c>
      <c r="F348" t="s">
        <v>27</v>
      </c>
      <c r="G348" t="s">
        <v>28</v>
      </c>
      <c r="I348">
        <v>14000</v>
      </c>
      <c r="J348">
        <v>730</v>
      </c>
      <c r="K348">
        <v>2</v>
      </c>
      <c r="L348">
        <v>14000</v>
      </c>
      <c r="M348">
        <v>730</v>
      </c>
      <c r="N348" t="s">
        <v>29</v>
      </c>
      <c r="O348" t="s">
        <v>44</v>
      </c>
      <c r="P348" t="s">
        <v>98</v>
      </c>
      <c r="Q348" t="s">
        <v>99</v>
      </c>
      <c r="R348" t="s">
        <v>30</v>
      </c>
      <c r="S348" t="s">
        <v>280</v>
      </c>
      <c r="T348" t="s">
        <v>178</v>
      </c>
      <c r="U348" t="s">
        <v>30</v>
      </c>
      <c r="V348">
        <v>0.01</v>
      </c>
      <c r="W348" t="s">
        <v>588</v>
      </c>
      <c r="X348" t="s">
        <v>191</v>
      </c>
      <c r="Y348" t="s">
        <v>30</v>
      </c>
    </row>
    <row r="349" spans="1:25" x14ac:dyDescent="0.3">
      <c r="A349">
        <v>5170.2</v>
      </c>
      <c r="B349" t="s">
        <v>140</v>
      </c>
      <c r="C349" t="s">
        <v>111</v>
      </c>
      <c r="D349" t="s">
        <v>189</v>
      </c>
      <c r="E349">
        <v>2</v>
      </c>
      <c r="F349" t="s">
        <v>27</v>
      </c>
      <c r="G349" t="s">
        <v>28</v>
      </c>
      <c r="I349">
        <v>8200</v>
      </c>
      <c r="J349">
        <v>430</v>
      </c>
      <c r="K349">
        <v>2</v>
      </c>
      <c r="L349">
        <v>8200</v>
      </c>
      <c r="M349">
        <v>430</v>
      </c>
      <c r="N349" t="s">
        <v>43</v>
      </c>
      <c r="O349" t="s">
        <v>44</v>
      </c>
      <c r="P349" t="s">
        <v>98</v>
      </c>
      <c r="Q349" t="s">
        <v>99</v>
      </c>
      <c r="R349" t="s">
        <v>60</v>
      </c>
      <c r="S349" t="s">
        <v>280</v>
      </c>
      <c r="T349" t="s">
        <v>589</v>
      </c>
      <c r="U349" t="s">
        <v>30</v>
      </c>
      <c r="V349">
        <v>0.01</v>
      </c>
      <c r="W349" t="s">
        <v>588</v>
      </c>
      <c r="X349" t="s">
        <v>535</v>
      </c>
      <c r="Y349" t="s">
        <v>30</v>
      </c>
    </row>
    <row r="350" spans="1:25" x14ac:dyDescent="0.3">
      <c r="A350">
        <v>5180</v>
      </c>
      <c r="B350" t="s">
        <v>140</v>
      </c>
      <c r="C350" t="s">
        <v>189</v>
      </c>
      <c r="D350" t="s">
        <v>187</v>
      </c>
      <c r="E350">
        <v>2</v>
      </c>
      <c r="F350" t="s">
        <v>27</v>
      </c>
      <c r="G350" t="s">
        <v>57</v>
      </c>
      <c r="I350">
        <v>8200</v>
      </c>
      <c r="J350">
        <v>430</v>
      </c>
      <c r="K350">
        <v>2</v>
      </c>
      <c r="L350">
        <v>8200</v>
      </c>
      <c r="M350">
        <v>430</v>
      </c>
      <c r="N350" t="s">
        <v>43</v>
      </c>
      <c r="O350" t="s">
        <v>44</v>
      </c>
      <c r="P350" t="s">
        <v>98</v>
      </c>
      <c r="Q350" t="s">
        <v>99</v>
      </c>
      <c r="R350" t="s">
        <v>60</v>
      </c>
      <c r="S350" t="s">
        <v>587</v>
      </c>
      <c r="T350" t="s">
        <v>590</v>
      </c>
      <c r="U350" t="s">
        <v>33</v>
      </c>
      <c r="V350">
        <v>1.9699999999999999E-2</v>
      </c>
      <c r="W350" t="s">
        <v>231</v>
      </c>
      <c r="X350" t="s">
        <v>591</v>
      </c>
      <c r="Y350" t="s">
        <v>33</v>
      </c>
    </row>
    <row r="351" spans="1:25" x14ac:dyDescent="0.3">
      <c r="A351">
        <v>5190</v>
      </c>
      <c r="B351" t="s">
        <v>140</v>
      </c>
      <c r="C351" t="s">
        <v>187</v>
      </c>
      <c r="D351" t="s">
        <v>592</v>
      </c>
      <c r="E351">
        <v>4</v>
      </c>
      <c r="F351" t="s">
        <v>27</v>
      </c>
      <c r="G351" t="s">
        <v>57</v>
      </c>
      <c r="I351">
        <v>19600</v>
      </c>
      <c r="J351">
        <v>970</v>
      </c>
      <c r="K351">
        <v>4</v>
      </c>
      <c r="L351">
        <v>19600</v>
      </c>
      <c r="M351">
        <v>970</v>
      </c>
      <c r="N351" t="s">
        <v>43</v>
      </c>
      <c r="O351" t="s">
        <v>30</v>
      </c>
      <c r="P351" t="s">
        <v>98</v>
      </c>
      <c r="Q351" t="s">
        <v>99</v>
      </c>
      <c r="R351" t="s">
        <v>60</v>
      </c>
      <c r="S351" t="s">
        <v>587</v>
      </c>
      <c r="T351" t="s">
        <v>71</v>
      </c>
      <c r="U351" t="s">
        <v>60</v>
      </c>
      <c r="V351">
        <v>1.9699999999999999E-2</v>
      </c>
      <c r="W351" t="s">
        <v>231</v>
      </c>
      <c r="X351" t="s">
        <v>323</v>
      </c>
      <c r="Y351" t="s">
        <v>60</v>
      </c>
    </row>
    <row r="352" spans="1:25" x14ac:dyDescent="0.3">
      <c r="A352">
        <v>5200.1000000000004</v>
      </c>
      <c r="B352" t="s">
        <v>140</v>
      </c>
      <c r="C352" t="s">
        <v>592</v>
      </c>
      <c r="D352" t="s">
        <v>593</v>
      </c>
      <c r="E352">
        <v>4</v>
      </c>
      <c r="F352" t="s">
        <v>27</v>
      </c>
      <c r="G352" t="s">
        <v>57</v>
      </c>
      <c r="I352">
        <v>36015</v>
      </c>
      <c r="J352">
        <v>1785</v>
      </c>
      <c r="K352">
        <v>4</v>
      </c>
      <c r="L352">
        <v>36015</v>
      </c>
      <c r="M352">
        <v>1785</v>
      </c>
      <c r="N352" t="s">
        <v>43</v>
      </c>
      <c r="O352" t="s">
        <v>30</v>
      </c>
      <c r="P352" t="s">
        <v>98</v>
      </c>
      <c r="Q352" t="s">
        <v>99</v>
      </c>
      <c r="R352" t="s">
        <v>60</v>
      </c>
      <c r="S352" t="s">
        <v>231</v>
      </c>
      <c r="T352" t="s">
        <v>288</v>
      </c>
      <c r="U352" t="s">
        <v>60</v>
      </c>
      <c r="V352">
        <v>0.01</v>
      </c>
      <c r="W352" t="s">
        <v>594</v>
      </c>
      <c r="X352" t="s">
        <v>325</v>
      </c>
      <c r="Y352" t="s">
        <v>60</v>
      </c>
    </row>
    <row r="353" spans="1:25" x14ac:dyDescent="0.3">
      <c r="A353">
        <v>5200.2</v>
      </c>
      <c r="B353" t="s">
        <v>140</v>
      </c>
      <c r="C353" t="s">
        <v>593</v>
      </c>
      <c r="D353" t="s">
        <v>549</v>
      </c>
      <c r="E353">
        <v>4</v>
      </c>
      <c r="F353" t="s">
        <v>27</v>
      </c>
      <c r="G353" t="s">
        <v>57</v>
      </c>
      <c r="I353">
        <v>36015</v>
      </c>
      <c r="J353">
        <v>1785</v>
      </c>
      <c r="K353">
        <v>4</v>
      </c>
      <c r="L353">
        <v>36015</v>
      </c>
      <c r="M353">
        <v>1785</v>
      </c>
      <c r="N353" t="s">
        <v>43</v>
      </c>
      <c r="O353" t="s">
        <v>30</v>
      </c>
      <c r="P353" t="s">
        <v>98</v>
      </c>
      <c r="Q353" t="s">
        <v>99</v>
      </c>
      <c r="R353" t="s">
        <v>60</v>
      </c>
      <c r="S353" t="s">
        <v>231</v>
      </c>
      <c r="T353" t="s">
        <v>288</v>
      </c>
      <c r="U353" t="s">
        <v>60</v>
      </c>
      <c r="V353">
        <v>0.01</v>
      </c>
      <c r="W353" t="s">
        <v>594</v>
      </c>
      <c r="X353" t="s">
        <v>325</v>
      </c>
      <c r="Y353" t="s">
        <v>60</v>
      </c>
    </row>
    <row r="354" spans="1:25" x14ac:dyDescent="0.3">
      <c r="A354">
        <v>5210</v>
      </c>
      <c r="B354" t="s">
        <v>140</v>
      </c>
      <c r="C354" t="s">
        <v>549</v>
      </c>
      <c r="D354" t="s">
        <v>552</v>
      </c>
      <c r="E354">
        <v>4</v>
      </c>
      <c r="F354" t="s">
        <v>27</v>
      </c>
      <c r="G354" t="s">
        <v>57</v>
      </c>
      <c r="I354">
        <v>39165</v>
      </c>
      <c r="J354">
        <v>1943</v>
      </c>
      <c r="K354">
        <v>4</v>
      </c>
      <c r="L354">
        <v>39165</v>
      </c>
      <c r="M354">
        <v>1943</v>
      </c>
      <c r="N354" t="s">
        <v>29</v>
      </c>
      <c r="O354" t="s">
        <v>30</v>
      </c>
      <c r="P354" t="s">
        <v>98</v>
      </c>
      <c r="Q354" t="s">
        <v>99</v>
      </c>
      <c r="R354" t="s">
        <v>30</v>
      </c>
      <c r="S354" t="s">
        <v>595</v>
      </c>
      <c r="T354" t="s">
        <v>172</v>
      </c>
      <c r="U354" t="s">
        <v>60</v>
      </c>
      <c r="V354">
        <v>1.3899999999999999E-2</v>
      </c>
      <c r="W354" t="s">
        <v>596</v>
      </c>
      <c r="X354" t="s">
        <v>289</v>
      </c>
      <c r="Y354" t="s">
        <v>60</v>
      </c>
    </row>
    <row r="355" spans="1:25" x14ac:dyDescent="0.3">
      <c r="A355">
        <v>5220</v>
      </c>
      <c r="B355" t="s">
        <v>140</v>
      </c>
      <c r="C355" t="s">
        <v>552</v>
      </c>
      <c r="D355" t="s">
        <v>597</v>
      </c>
      <c r="E355">
        <v>4</v>
      </c>
      <c r="F355" t="s">
        <v>27</v>
      </c>
      <c r="G355" t="s">
        <v>57</v>
      </c>
      <c r="I355">
        <v>38430</v>
      </c>
      <c r="J355">
        <v>1901</v>
      </c>
      <c r="K355">
        <v>4</v>
      </c>
      <c r="L355">
        <v>38430</v>
      </c>
      <c r="M355">
        <v>1901</v>
      </c>
      <c r="N355" t="s">
        <v>29</v>
      </c>
      <c r="O355" t="s">
        <v>30</v>
      </c>
      <c r="P355" t="s">
        <v>98</v>
      </c>
      <c r="Q355" t="s">
        <v>99</v>
      </c>
      <c r="R355" t="s">
        <v>30</v>
      </c>
      <c r="S355" t="s">
        <v>598</v>
      </c>
      <c r="T355" t="s">
        <v>416</v>
      </c>
      <c r="U355" t="s">
        <v>60</v>
      </c>
      <c r="V355">
        <v>0.01</v>
      </c>
      <c r="W355" t="s">
        <v>599</v>
      </c>
      <c r="X355" t="s">
        <v>362</v>
      </c>
      <c r="Y355" t="s">
        <v>60</v>
      </c>
    </row>
    <row r="356" spans="1:25" x14ac:dyDescent="0.3">
      <c r="A356">
        <v>5230.1000000000004</v>
      </c>
      <c r="B356" t="s">
        <v>140</v>
      </c>
      <c r="C356" t="s">
        <v>597</v>
      </c>
      <c r="D356" t="s">
        <v>576</v>
      </c>
      <c r="E356">
        <v>4</v>
      </c>
      <c r="F356" t="s">
        <v>27</v>
      </c>
      <c r="G356" t="s">
        <v>57</v>
      </c>
      <c r="I356">
        <v>38430</v>
      </c>
      <c r="J356">
        <v>1901</v>
      </c>
      <c r="K356">
        <v>4</v>
      </c>
      <c r="L356">
        <v>38430</v>
      </c>
      <c r="M356">
        <v>1901</v>
      </c>
      <c r="N356" t="s">
        <v>29</v>
      </c>
      <c r="O356" t="s">
        <v>30</v>
      </c>
      <c r="P356" t="s">
        <v>98</v>
      </c>
      <c r="Q356" t="s">
        <v>99</v>
      </c>
      <c r="R356" t="s">
        <v>30</v>
      </c>
      <c r="S356" t="s">
        <v>600</v>
      </c>
      <c r="T356" t="s">
        <v>601</v>
      </c>
      <c r="U356" t="s">
        <v>60</v>
      </c>
      <c r="V356">
        <v>1.7000000000000001E-2</v>
      </c>
      <c r="W356" t="s">
        <v>255</v>
      </c>
      <c r="X356" t="s">
        <v>71</v>
      </c>
      <c r="Y356" t="s">
        <v>30</v>
      </c>
    </row>
    <row r="357" spans="1:25" x14ac:dyDescent="0.3">
      <c r="A357">
        <v>5240</v>
      </c>
      <c r="B357" t="s">
        <v>140</v>
      </c>
      <c r="C357" t="s">
        <v>576</v>
      </c>
      <c r="D357" t="s">
        <v>577</v>
      </c>
      <c r="E357">
        <v>4</v>
      </c>
      <c r="F357" t="s">
        <v>27</v>
      </c>
      <c r="G357" t="s">
        <v>57</v>
      </c>
      <c r="I357">
        <v>40352</v>
      </c>
      <c r="J357">
        <v>1996</v>
      </c>
      <c r="K357">
        <v>4</v>
      </c>
      <c r="L357">
        <v>40352</v>
      </c>
      <c r="M357">
        <v>1996</v>
      </c>
      <c r="N357" t="s">
        <v>29</v>
      </c>
      <c r="O357" t="s">
        <v>30</v>
      </c>
      <c r="P357" t="s">
        <v>98</v>
      </c>
      <c r="Q357" t="s">
        <v>99</v>
      </c>
      <c r="R357" t="s">
        <v>30</v>
      </c>
      <c r="S357" t="s">
        <v>602</v>
      </c>
      <c r="T357" t="s">
        <v>499</v>
      </c>
      <c r="U357" t="s">
        <v>60</v>
      </c>
      <c r="V357">
        <v>1.17E-2</v>
      </c>
      <c r="W357" t="s">
        <v>548</v>
      </c>
      <c r="X357" t="s">
        <v>209</v>
      </c>
      <c r="Y357" t="s">
        <v>30</v>
      </c>
    </row>
    <row r="358" spans="1:25" x14ac:dyDescent="0.3">
      <c r="A358">
        <v>5250</v>
      </c>
      <c r="B358" t="s">
        <v>140</v>
      </c>
      <c r="C358" t="s">
        <v>577</v>
      </c>
      <c r="D358" t="s">
        <v>603</v>
      </c>
      <c r="E358">
        <v>4</v>
      </c>
      <c r="F358" t="s">
        <v>27</v>
      </c>
      <c r="G358" t="s">
        <v>57</v>
      </c>
      <c r="I358">
        <v>38430</v>
      </c>
      <c r="J358">
        <v>1901</v>
      </c>
      <c r="K358">
        <v>4</v>
      </c>
      <c r="L358">
        <v>38430</v>
      </c>
      <c r="M358">
        <v>1901</v>
      </c>
      <c r="N358" t="s">
        <v>29</v>
      </c>
      <c r="O358" t="s">
        <v>30</v>
      </c>
      <c r="P358" t="s">
        <v>98</v>
      </c>
      <c r="Q358" t="s">
        <v>99</v>
      </c>
      <c r="R358" t="s">
        <v>30</v>
      </c>
      <c r="S358" t="s">
        <v>602</v>
      </c>
      <c r="T358" t="s">
        <v>500</v>
      </c>
      <c r="U358" t="s">
        <v>60</v>
      </c>
      <c r="V358">
        <v>1.17E-2</v>
      </c>
      <c r="W358" t="s">
        <v>548</v>
      </c>
      <c r="X358" t="s">
        <v>71</v>
      </c>
      <c r="Y358" t="s">
        <v>30</v>
      </c>
    </row>
    <row r="359" spans="1:25" x14ac:dyDescent="0.3">
      <c r="A359">
        <v>5260</v>
      </c>
      <c r="B359" t="s">
        <v>140</v>
      </c>
      <c r="C359" t="s">
        <v>603</v>
      </c>
      <c r="D359" t="s">
        <v>564</v>
      </c>
      <c r="E359">
        <v>4</v>
      </c>
      <c r="F359" t="s">
        <v>27</v>
      </c>
      <c r="G359" t="s">
        <v>57</v>
      </c>
      <c r="I359">
        <v>38430</v>
      </c>
      <c r="J359">
        <v>1901</v>
      </c>
      <c r="K359">
        <v>4</v>
      </c>
      <c r="L359">
        <v>38430</v>
      </c>
      <c r="M359">
        <v>1901</v>
      </c>
      <c r="N359" t="s">
        <v>29</v>
      </c>
      <c r="O359" t="s">
        <v>30</v>
      </c>
      <c r="P359" t="s">
        <v>98</v>
      </c>
      <c r="Q359" t="s">
        <v>99</v>
      </c>
      <c r="R359" t="s">
        <v>30</v>
      </c>
      <c r="S359" t="s">
        <v>604</v>
      </c>
      <c r="T359" t="s">
        <v>209</v>
      </c>
      <c r="U359" t="s">
        <v>30</v>
      </c>
      <c r="V359">
        <v>0.01</v>
      </c>
      <c r="W359" t="s">
        <v>605</v>
      </c>
      <c r="X359" t="s">
        <v>606</v>
      </c>
      <c r="Y359" t="s">
        <v>30</v>
      </c>
    </row>
    <row r="360" spans="1:25" x14ac:dyDescent="0.3">
      <c r="A360">
        <v>5270</v>
      </c>
      <c r="B360" t="s">
        <v>140</v>
      </c>
      <c r="C360" t="s">
        <v>564</v>
      </c>
      <c r="D360" t="s">
        <v>607</v>
      </c>
      <c r="E360">
        <v>4</v>
      </c>
      <c r="F360" t="s">
        <v>27</v>
      </c>
      <c r="G360" t="s">
        <v>57</v>
      </c>
      <c r="I360">
        <v>37905</v>
      </c>
      <c r="J360">
        <v>1880</v>
      </c>
      <c r="K360">
        <v>4</v>
      </c>
      <c r="L360">
        <v>37905</v>
      </c>
      <c r="M360">
        <v>1880</v>
      </c>
      <c r="N360" t="s">
        <v>29</v>
      </c>
      <c r="O360" t="s">
        <v>30</v>
      </c>
      <c r="P360" t="s">
        <v>98</v>
      </c>
      <c r="Q360" t="s">
        <v>99</v>
      </c>
      <c r="R360" t="s">
        <v>30</v>
      </c>
      <c r="S360" t="s">
        <v>608</v>
      </c>
      <c r="T360" t="s">
        <v>178</v>
      </c>
      <c r="U360" t="s">
        <v>60</v>
      </c>
      <c r="V360">
        <v>0.01</v>
      </c>
      <c r="W360" t="s">
        <v>596</v>
      </c>
      <c r="X360" t="s">
        <v>191</v>
      </c>
      <c r="Y360" t="s">
        <v>60</v>
      </c>
    </row>
    <row r="361" spans="1:25" x14ac:dyDescent="0.3">
      <c r="A361">
        <v>5280</v>
      </c>
      <c r="B361" t="s">
        <v>140</v>
      </c>
      <c r="C361" t="s">
        <v>607</v>
      </c>
      <c r="D361" t="s">
        <v>26</v>
      </c>
      <c r="E361">
        <v>4</v>
      </c>
      <c r="F361" t="s">
        <v>27</v>
      </c>
      <c r="G361" t="s">
        <v>57</v>
      </c>
      <c r="I361">
        <v>37905</v>
      </c>
      <c r="J361">
        <v>1880</v>
      </c>
      <c r="K361">
        <v>4</v>
      </c>
      <c r="L361">
        <v>37905</v>
      </c>
      <c r="M361">
        <v>1880</v>
      </c>
      <c r="N361" t="s">
        <v>29</v>
      </c>
      <c r="O361" t="s">
        <v>30</v>
      </c>
      <c r="P361" t="s">
        <v>98</v>
      </c>
      <c r="Q361" t="s">
        <v>99</v>
      </c>
      <c r="R361" t="s">
        <v>30</v>
      </c>
      <c r="S361" t="s">
        <v>326</v>
      </c>
      <c r="T361" t="s">
        <v>341</v>
      </c>
      <c r="U361" t="s">
        <v>60</v>
      </c>
      <c r="V361">
        <v>2.0299999999999999E-2</v>
      </c>
      <c r="W361" t="s">
        <v>609</v>
      </c>
      <c r="X361" t="s">
        <v>178</v>
      </c>
      <c r="Y361" t="s">
        <v>60</v>
      </c>
    </row>
    <row r="362" spans="1:25" x14ac:dyDescent="0.3">
      <c r="A362">
        <v>5300</v>
      </c>
      <c r="B362" t="s">
        <v>140</v>
      </c>
      <c r="C362" t="s">
        <v>26</v>
      </c>
      <c r="D362" t="s">
        <v>610</v>
      </c>
      <c r="E362">
        <v>4</v>
      </c>
      <c r="F362" t="s">
        <v>27</v>
      </c>
      <c r="G362" t="s">
        <v>57</v>
      </c>
      <c r="I362">
        <v>37905</v>
      </c>
      <c r="J362">
        <v>1880</v>
      </c>
      <c r="K362">
        <v>4</v>
      </c>
      <c r="L362">
        <v>37905</v>
      </c>
      <c r="M362">
        <v>1880</v>
      </c>
      <c r="N362" t="s">
        <v>29</v>
      </c>
      <c r="O362" t="s">
        <v>30</v>
      </c>
      <c r="P362" t="s">
        <v>98</v>
      </c>
      <c r="Q362" t="s">
        <v>99</v>
      </c>
      <c r="R362" t="s">
        <v>30</v>
      </c>
      <c r="S362" t="s">
        <v>611</v>
      </c>
      <c r="T362" t="s">
        <v>612</v>
      </c>
      <c r="U362" t="s">
        <v>30</v>
      </c>
      <c r="V362">
        <v>0.01</v>
      </c>
      <c r="W362" t="s">
        <v>497</v>
      </c>
      <c r="X362" t="s">
        <v>193</v>
      </c>
      <c r="Y362" t="s">
        <v>30</v>
      </c>
    </row>
    <row r="363" spans="1:25" x14ac:dyDescent="0.3">
      <c r="A363">
        <v>5310</v>
      </c>
      <c r="B363" t="s">
        <v>140</v>
      </c>
      <c r="C363" t="s">
        <v>610</v>
      </c>
      <c r="D363" t="s">
        <v>397</v>
      </c>
      <c r="E363">
        <v>4</v>
      </c>
      <c r="F363" t="s">
        <v>27</v>
      </c>
      <c r="G363" t="s">
        <v>57</v>
      </c>
      <c r="I363">
        <v>37905</v>
      </c>
      <c r="J363">
        <v>1880</v>
      </c>
      <c r="K363">
        <v>4</v>
      </c>
      <c r="L363">
        <v>37905</v>
      </c>
      <c r="M363">
        <v>1880</v>
      </c>
      <c r="N363" t="s">
        <v>29</v>
      </c>
      <c r="O363" t="s">
        <v>30</v>
      </c>
      <c r="P363" t="s">
        <v>98</v>
      </c>
      <c r="Q363" t="s">
        <v>99</v>
      </c>
      <c r="R363" t="s">
        <v>30</v>
      </c>
      <c r="S363" t="s">
        <v>611</v>
      </c>
      <c r="T363" t="s">
        <v>612</v>
      </c>
      <c r="U363" t="s">
        <v>30</v>
      </c>
      <c r="V363">
        <v>0.01</v>
      </c>
      <c r="W363" t="s">
        <v>497</v>
      </c>
      <c r="X363" t="s">
        <v>193</v>
      </c>
      <c r="Y363" t="s">
        <v>30</v>
      </c>
    </row>
    <row r="364" spans="1:25" x14ac:dyDescent="0.3">
      <c r="A364">
        <v>5330</v>
      </c>
      <c r="B364" t="s">
        <v>140</v>
      </c>
      <c r="C364" t="s">
        <v>397</v>
      </c>
      <c r="D364" t="s">
        <v>613</v>
      </c>
      <c r="E364">
        <v>4</v>
      </c>
      <c r="F364" t="s">
        <v>27</v>
      </c>
      <c r="G364" t="s">
        <v>57</v>
      </c>
      <c r="I364">
        <v>37905</v>
      </c>
      <c r="J364">
        <v>1880</v>
      </c>
      <c r="K364">
        <v>4</v>
      </c>
      <c r="L364">
        <v>37905</v>
      </c>
      <c r="M364">
        <v>1880</v>
      </c>
      <c r="N364" t="s">
        <v>29</v>
      </c>
      <c r="O364" t="s">
        <v>30</v>
      </c>
      <c r="P364" t="s">
        <v>98</v>
      </c>
      <c r="Q364" t="s">
        <v>99</v>
      </c>
      <c r="R364" t="s">
        <v>30</v>
      </c>
      <c r="S364" t="s">
        <v>611</v>
      </c>
      <c r="T364" t="s">
        <v>612</v>
      </c>
      <c r="U364" t="s">
        <v>30</v>
      </c>
      <c r="V364">
        <v>0.01</v>
      </c>
      <c r="W364" t="s">
        <v>497</v>
      </c>
      <c r="X364" t="s">
        <v>193</v>
      </c>
      <c r="Y364" t="s">
        <v>30</v>
      </c>
    </row>
    <row r="365" spans="1:25" x14ac:dyDescent="0.3">
      <c r="A365">
        <v>5350</v>
      </c>
      <c r="B365" t="s">
        <v>140</v>
      </c>
      <c r="C365" t="s">
        <v>613</v>
      </c>
      <c r="D365" t="s">
        <v>379</v>
      </c>
      <c r="E365">
        <v>4</v>
      </c>
      <c r="F365" t="s">
        <v>27</v>
      </c>
      <c r="G365" t="s">
        <v>57</v>
      </c>
      <c r="I365">
        <v>37905</v>
      </c>
      <c r="J365">
        <v>1880</v>
      </c>
      <c r="K365">
        <v>4</v>
      </c>
      <c r="L365">
        <v>37905</v>
      </c>
      <c r="M365">
        <v>1880</v>
      </c>
      <c r="N365" t="s">
        <v>29</v>
      </c>
      <c r="O365" t="s">
        <v>30</v>
      </c>
      <c r="P365" t="s">
        <v>98</v>
      </c>
      <c r="Q365" t="s">
        <v>99</v>
      </c>
      <c r="R365" t="s">
        <v>30</v>
      </c>
      <c r="S365" t="s">
        <v>611</v>
      </c>
      <c r="T365" t="s">
        <v>612</v>
      </c>
      <c r="U365" t="s">
        <v>30</v>
      </c>
      <c r="V365">
        <v>0.01</v>
      </c>
      <c r="W365" t="s">
        <v>497</v>
      </c>
      <c r="X365" t="s">
        <v>193</v>
      </c>
      <c r="Y365" t="s">
        <v>30</v>
      </c>
    </row>
    <row r="366" spans="1:25" x14ac:dyDescent="0.3">
      <c r="A366">
        <v>5360.1</v>
      </c>
      <c r="B366" t="s">
        <v>140</v>
      </c>
      <c r="C366" t="s">
        <v>379</v>
      </c>
      <c r="D366" t="s">
        <v>614</v>
      </c>
      <c r="E366">
        <v>4</v>
      </c>
      <c r="F366" t="s">
        <v>27</v>
      </c>
      <c r="G366" t="s">
        <v>57</v>
      </c>
      <c r="I366">
        <v>37905</v>
      </c>
      <c r="J366">
        <v>1880</v>
      </c>
      <c r="K366">
        <v>4</v>
      </c>
      <c r="L366">
        <v>37905</v>
      </c>
      <c r="M366">
        <v>1880</v>
      </c>
      <c r="N366" t="s">
        <v>29</v>
      </c>
      <c r="O366" t="s">
        <v>30</v>
      </c>
      <c r="P366" t="s">
        <v>98</v>
      </c>
      <c r="Q366" t="s">
        <v>99</v>
      </c>
      <c r="R366" t="s">
        <v>30</v>
      </c>
      <c r="S366" t="s">
        <v>611</v>
      </c>
      <c r="T366" t="s">
        <v>612</v>
      </c>
      <c r="U366" t="s">
        <v>30</v>
      </c>
      <c r="V366">
        <v>0.01</v>
      </c>
      <c r="W366" t="s">
        <v>497</v>
      </c>
      <c r="X366" t="s">
        <v>193</v>
      </c>
      <c r="Y366" t="s">
        <v>30</v>
      </c>
    </row>
    <row r="367" spans="1:25" x14ac:dyDescent="0.3">
      <c r="A367">
        <v>5360.2</v>
      </c>
      <c r="B367" t="s">
        <v>140</v>
      </c>
      <c r="C367" t="s">
        <v>614</v>
      </c>
      <c r="D367" t="s">
        <v>615</v>
      </c>
      <c r="E367">
        <v>4</v>
      </c>
      <c r="F367" t="s">
        <v>27</v>
      </c>
      <c r="G367" t="s">
        <v>57</v>
      </c>
      <c r="I367">
        <v>37905</v>
      </c>
      <c r="J367">
        <v>1880</v>
      </c>
      <c r="K367">
        <v>4</v>
      </c>
      <c r="L367">
        <v>37905</v>
      </c>
      <c r="M367">
        <v>1880</v>
      </c>
      <c r="N367" t="s">
        <v>29</v>
      </c>
      <c r="O367" t="s">
        <v>30</v>
      </c>
      <c r="P367" t="s">
        <v>98</v>
      </c>
      <c r="Q367" t="s">
        <v>99</v>
      </c>
      <c r="R367" t="s">
        <v>30</v>
      </c>
      <c r="S367" t="s">
        <v>611</v>
      </c>
      <c r="T367" t="s">
        <v>612</v>
      </c>
      <c r="U367" t="s">
        <v>30</v>
      </c>
      <c r="V367">
        <v>0.01</v>
      </c>
      <c r="W367" t="s">
        <v>497</v>
      </c>
      <c r="X367" t="s">
        <v>193</v>
      </c>
      <c r="Y367" t="s">
        <v>30</v>
      </c>
    </row>
    <row r="368" spans="1:25" x14ac:dyDescent="0.3">
      <c r="A368">
        <v>5370</v>
      </c>
      <c r="B368" t="s">
        <v>140</v>
      </c>
      <c r="C368" t="s">
        <v>615</v>
      </c>
      <c r="D368" t="s">
        <v>401</v>
      </c>
      <c r="E368">
        <v>4</v>
      </c>
      <c r="F368" t="s">
        <v>27</v>
      </c>
      <c r="G368" t="s">
        <v>57</v>
      </c>
      <c r="I368">
        <v>37905</v>
      </c>
      <c r="J368">
        <v>1880</v>
      </c>
      <c r="K368">
        <v>4</v>
      </c>
      <c r="L368">
        <v>37905</v>
      </c>
      <c r="M368">
        <v>1880</v>
      </c>
      <c r="N368" t="s">
        <v>29</v>
      </c>
      <c r="O368" t="s">
        <v>30</v>
      </c>
      <c r="P368" t="s">
        <v>98</v>
      </c>
      <c r="Q368" t="s">
        <v>99</v>
      </c>
      <c r="R368" t="s">
        <v>30</v>
      </c>
      <c r="S368" t="s">
        <v>616</v>
      </c>
      <c r="T368" t="s">
        <v>275</v>
      </c>
      <c r="U368" t="s">
        <v>30</v>
      </c>
      <c r="V368">
        <v>0.01</v>
      </c>
      <c r="W368" t="s">
        <v>617</v>
      </c>
      <c r="X368" t="s">
        <v>364</v>
      </c>
      <c r="Y368" t="s">
        <v>30</v>
      </c>
    </row>
    <row r="369" spans="1:25" x14ac:dyDescent="0.3">
      <c r="A369">
        <v>5410</v>
      </c>
      <c r="B369" t="s">
        <v>140</v>
      </c>
      <c r="C369" t="s">
        <v>401</v>
      </c>
      <c r="D369" t="s">
        <v>404</v>
      </c>
      <c r="E369">
        <v>4</v>
      </c>
      <c r="F369" t="s">
        <v>27</v>
      </c>
      <c r="G369" t="s">
        <v>57</v>
      </c>
      <c r="I369">
        <v>38430</v>
      </c>
      <c r="J369">
        <v>1901</v>
      </c>
      <c r="K369">
        <v>4</v>
      </c>
      <c r="L369">
        <v>38430</v>
      </c>
      <c r="M369">
        <v>1901</v>
      </c>
      <c r="N369" t="s">
        <v>29</v>
      </c>
      <c r="O369" t="s">
        <v>30</v>
      </c>
      <c r="P369" t="s">
        <v>98</v>
      </c>
      <c r="Q369" t="s">
        <v>99</v>
      </c>
      <c r="R369" t="s">
        <v>30</v>
      </c>
      <c r="S369" t="s">
        <v>618</v>
      </c>
      <c r="T369" t="s">
        <v>430</v>
      </c>
      <c r="U369" t="s">
        <v>60</v>
      </c>
      <c r="V369">
        <v>2.2499999999999999E-2</v>
      </c>
      <c r="W369" t="s">
        <v>619</v>
      </c>
      <c r="X369" t="s">
        <v>209</v>
      </c>
      <c r="Y369" t="s">
        <v>30</v>
      </c>
    </row>
    <row r="370" spans="1:25" x14ac:dyDescent="0.3">
      <c r="A370">
        <v>5420</v>
      </c>
      <c r="B370" t="s">
        <v>140</v>
      </c>
      <c r="C370" t="s">
        <v>404</v>
      </c>
      <c r="D370" t="s">
        <v>393</v>
      </c>
      <c r="E370">
        <v>4</v>
      </c>
      <c r="F370" t="s">
        <v>27</v>
      </c>
      <c r="G370" t="s">
        <v>57</v>
      </c>
      <c r="I370">
        <v>38430</v>
      </c>
      <c r="J370">
        <v>1901</v>
      </c>
      <c r="K370">
        <v>4</v>
      </c>
      <c r="L370">
        <v>38430</v>
      </c>
      <c r="M370">
        <v>1901</v>
      </c>
      <c r="N370" t="s">
        <v>29</v>
      </c>
      <c r="O370" t="s">
        <v>30</v>
      </c>
      <c r="P370" t="s">
        <v>98</v>
      </c>
      <c r="Q370" t="s">
        <v>99</v>
      </c>
      <c r="R370" t="s">
        <v>30</v>
      </c>
      <c r="S370" t="s">
        <v>620</v>
      </c>
      <c r="T370" t="s">
        <v>172</v>
      </c>
      <c r="U370" t="s">
        <v>60</v>
      </c>
      <c r="V370">
        <v>0.01</v>
      </c>
      <c r="W370" t="s">
        <v>621</v>
      </c>
      <c r="X370" t="s">
        <v>178</v>
      </c>
      <c r="Y370" t="s">
        <v>60</v>
      </c>
    </row>
    <row r="371" spans="1:25" x14ac:dyDescent="0.3">
      <c r="A371">
        <v>5430</v>
      </c>
      <c r="B371" t="s">
        <v>140</v>
      </c>
      <c r="C371" t="s">
        <v>393</v>
      </c>
      <c r="D371" t="s">
        <v>622</v>
      </c>
      <c r="E371">
        <v>4</v>
      </c>
      <c r="F371" t="s">
        <v>27</v>
      </c>
      <c r="G371" t="s">
        <v>57</v>
      </c>
      <c r="I371">
        <v>38430</v>
      </c>
      <c r="J371">
        <v>1901</v>
      </c>
      <c r="K371">
        <v>4</v>
      </c>
      <c r="L371">
        <v>38430</v>
      </c>
      <c r="M371">
        <v>1901</v>
      </c>
      <c r="N371" t="s">
        <v>29</v>
      </c>
      <c r="O371" t="s">
        <v>30</v>
      </c>
      <c r="P371" t="s">
        <v>98</v>
      </c>
      <c r="Q371" t="s">
        <v>99</v>
      </c>
      <c r="R371" t="s">
        <v>30</v>
      </c>
      <c r="S371" t="s">
        <v>620</v>
      </c>
      <c r="T371" t="s">
        <v>172</v>
      </c>
      <c r="U371" t="s">
        <v>60</v>
      </c>
      <c r="V371">
        <v>0.01</v>
      </c>
      <c r="W371" t="s">
        <v>621</v>
      </c>
      <c r="X371" t="s">
        <v>178</v>
      </c>
      <c r="Y371" t="s">
        <v>60</v>
      </c>
    </row>
    <row r="372" spans="1:25" x14ac:dyDescent="0.3">
      <c r="A372">
        <v>5440.2</v>
      </c>
      <c r="B372" t="s">
        <v>140</v>
      </c>
      <c r="C372" t="s">
        <v>622</v>
      </c>
      <c r="D372" t="s">
        <v>623</v>
      </c>
      <c r="E372">
        <v>4</v>
      </c>
      <c r="F372" t="s">
        <v>27</v>
      </c>
      <c r="G372" t="s">
        <v>57</v>
      </c>
      <c r="I372">
        <v>40352</v>
      </c>
      <c r="J372">
        <v>1996</v>
      </c>
      <c r="K372">
        <v>4</v>
      </c>
      <c r="L372">
        <v>40352</v>
      </c>
      <c r="M372">
        <v>1996</v>
      </c>
      <c r="N372" t="s">
        <v>29</v>
      </c>
      <c r="O372" t="s">
        <v>30</v>
      </c>
      <c r="P372" t="s">
        <v>98</v>
      </c>
      <c r="Q372" t="s">
        <v>99</v>
      </c>
      <c r="R372" t="s">
        <v>30</v>
      </c>
      <c r="S372" t="s">
        <v>620</v>
      </c>
      <c r="T372" t="s">
        <v>341</v>
      </c>
      <c r="U372" t="s">
        <v>60</v>
      </c>
      <c r="V372">
        <v>0.01</v>
      </c>
      <c r="W372" t="s">
        <v>621</v>
      </c>
      <c r="X372" t="s">
        <v>172</v>
      </c>
      <c r="Y372" t="s">
        <v>60</v>
      </c>
    </row>
    <row r="373" spans="1:25" x14ac:dyDescent="0.3">
      <c r="A373">
        <v>5450</v>
      </c>
      <c r="B373" t="s">
        <v>140</v>
      </c>
      <c r="C373" t="s">
        <v>623</v>
      </c>
      <c r="D373" t="s">
        <v>25</v>
      </c>
      <c r="E373">
        <v>4</v>
      </c>
      <c r="F373" t="s">
        <v>27</v>
      </c>
      <c r="G373" t="s">
        <v>57</v>
      </c>
      <c r="I373">
        <v>38430</v>
      </c>
      <c r="J373">
        <v>1901</v>
      </c>
      <c r="K373">
        <v>4</v>
      </c>
      <c r="L373">
        <v>38430</v>
      </c>
      <c r="M373">
        <v>1901</v>
      </c>
      <c r="N373" t="s">
        <v>29</v>
      </c>
      <c r="O373" t="s">
        <v>30</v>
      </c>
      <c r="P373" t="s">
        <v>98</v>
      </c>
      <c r="Q373" t="s">
        <v>99</v>
      </c>
      <c r="R373" t="s">
        <v>30</v>
      </c>
      <c r="S373" t="s">
        <v>620</v>
      </c>
      <c r="T373" t="s">
        <v>172</v>
      </c>
      <c r="U373" t="s">
        <v>60</v>
      </c>
      <c r="V373">
        <v>1.03E-2</v>
      </c>
      <c r="W373" t="s">
        <v>621</v>
      </c>
      <c r="X373" t="s">
        <v>178</v>
      </c>
      <c r="Y373" t="s">
        <v>60</v>
      </c>
    </row>
    <row r="374" spans="1:25" x14ac:dyDescent="0.3">
      <c r="A374">
        <v>5460.1</v>
      </c>
      <c r="B374" t="s">
        <v>140</v>
      </c>
      <c r="C374" t="s">
        <v>25</v>
      </c>
      <c r="D374" t="s">
        <v>106</v>
      </c>
      <c r="E374">
        <v>2</v>
      </c>
      <c r="F374" t="s">
        <v>27</v>
      </c>
      <c r="G374" t="s">
        <v>28</v>
      </c>
      <c r="I374">
        <v>14000</v>
      </c>
      <c r="J374">
        <v>730</v>
      </c>
      <c r="K374">
        <v>2</v>
      </c>
      <c r="L374">
        <v>14000</v>
      </c>
      <c r="M374">
        <v>730</v>
      </c>
      <c r="N374" t="s">
        <v>29</v>
      </c>
      <c r="O374" t="s">
        <v>44</v>
      </c>
      <c r="P374" t="s">
        <v>98</v>
      </c>
      <c r="Q374" t="s">
        <v>99</v>
      </c>
      <c r="R374" t="s">
        <v>30</v>
      </c>
      <c r="S374" t="s">
        <v>37</v>
      </c>
      <c r="T374" t="s">
        <v>73</v>
      </c>
      <c r="U374" t="s">
        <v>30</v>
      </c>
      <c r="V374">
        <v>0.01</v>
      </c>
      <c r="W374" t="s">
        <v>624</v>
      </c>
      <c r="X374" t="s">
        <v>436</v>
      </c>
      <c r="Y374" t="s">
        <v>30</v>
      </c>
    </row>
    <row r="375" spans="1:25" x14ac:dyDescent="0.3">
      <c r="A375">
        <v>5470</v>
      </c>
      <c r="B375" t="s">
        <v>140</v>
      </c>
      <c r="C375" t="s">
        <v>106</v>
      </c>
      <c r="D375" t="s">
        <v>40</v>
      </c>
      <c r="E375">
        <v>2</v>
      </c>
      <c r="F375" t="s">
        <v>27</v>
      </c>
      <c r="G375" t="s">
        <v>28</v>
      </c>
      <c r="I375">
        <v>8200</v>
      </c>
      <c r="J375">
        <v>430</v>
      </c>
      <c r="K375">
        <v>2</v>
      </c>
      <c r="L375">
        <v>8200</v>
      </c>
      <c r="M375">
        <v>430</v>
      </c>
      <c r="N375" t="s">
        <v>43</v>
      </c>
      <c r="O375" t="s">
        <v>44</v>
      </c>
      <c r="P375" t="s">
        <v>98</v>
      </c>
      <c r="Q375" t="s">
        <v>99</v>
      </c>
      <c r="R375" t="s">
        <v>60</v>
      </c>
      <c r="S375" t="s">
        <v>625</v>
      </c>
      <c r="T375" t="s">
        <v>626</v>
      </c>
      <c r="U375" t="s">
        <v>33</v>
      </c>
      <c r="V375">
        <v>0.01</v>
      </c>
      <c r="W375" t="s">
        <v>627</v>
      </c>
      <c r="X375" t="s">
        <v>628</v>
      </c>
      <c r="Y375" t="s">
        <v>33</v>
      </c>
    </row>
    <row r="376" spans="1:25" x14ac:dyDescent="0.3">
      <c r="A376">
        <v>5480</v>
      </c>
      <c r="B376" t="s">
        <v>140</v>
      </c>
      <c r="C376" t="s">
        <v>40</v>
      </c>
      <c r="D376" t="s">
        <v>118</v>
      </c>
      <c r="E376">
        <v>2</v>
      </c>
      <c r="F376" t="s">
        <v>27</v>
      </c>
      <c r="G376" t="s">
        <v>57</v>
      </c>
      <c r="I376">
        <v>8200</v>
      </c>
      <c r="J376">
        <v>430</v>
      </c>
      <c r="K376">
        <v>2</v>
      </c>
      <c r="L376">
        <v>8200</v>
      </c>
      <c r="M376">
        <v>430</v>
      </c>
      <c r="N376" t="s">
        <v>43</v>
      </c>
      <c r="O376" t="s">
        <v>44</v>
      </c>
      <c r="P376" t="s">
        <v>98</v>
      </c>
      <c r="Q376" t="s">
        <v>99</v>
      </c>
      <c r="R376" t="s">
        <v>60</v>
      </c>
      <c r="S376" t="s">
        <v>625</v>
      </c>
      <c r="T376" t="s">
        <v>626</v>
      </c>
      <c r="U376" t="s">
        <v>33</v>
      </c>
      <c r="V376">
        <v>0.01</v>
      </c>
      <c r="W376" t="s">
        <v>627</v>
      </c>
      <c r="X376" t="s">
        <v>628</v>
      </c>
      <c r="Y376" t="s">
        <v>33</v>
      </c>
    </row>
    <row r="377" spans="1:25" x14ac:dyDescent="0.3">
      <c r="A377">
        <v>5490.1</v>
      </c>
      <c r="B377" t="s">
        <v>140</v>
      </c>
      <c r="C377" t="s">
        <v>118</v>
      </c>
      <c r="D377" t="s">
        <v>408</v>
      </c>
      <c r="E377">
        <v>2</v>
      </c>
      <c r="F377" t="s">
        <v>27</v>
      </c>
      <c r="G377" t="s">
        <v>28</v>
      </c>
      <c r="I377">
        <v>8200</v>
      </c>
      <c r="J377">
        <v>430</v>
      </c>
      <c r="K377">
        <v>2</v>
      </c>
      <c r="L377">
        <v>8200</v>
      </c>
      <c r="M377">
        <v>430</v>
      </c>
      <c r="N377" t="s">
        <v>43</v>
      </c>
      <c r="O377" t="s">
        <v>44</v>
      </c>
      <c r="P377" t="s">
        <v>98</v>
      </c>
      <c r="Q377" t="s">
        <v>99</v>
      </c>
      <c r="R377" t="s">
        <v>60</v>
      </c>
      <c r="S377" t="s">
        <v>523</v>
      </c>
      <c r="T377" t="s">
        <v>354</v>
      </c>
      <c r="U377" t="s">
        <v>30</v>
      </c>
      <c r="V377">
        <v>1.61E-2</v>
      </c>
      <c r="W377" t="s">
        <v>472</v>
      </c>
      <c r="X377" t="s">
        <v>629</v>
      </c>
      <c r="Y377" t="s">
        <v>33</v>
      </c>
    </row>
    <row r="378" spans="1:25" x14ac:dyDescent="0.3">
      <c r="A378">
        <v>5490.2</v>
      </c>
      <c r="B378" t="s">
        <v>140</v>
      </c>
      <c r="C378" t="s">
        <v>408</v>
      </c>
      <c r="D378" t="s">
        <v>129</v>
      </c>
      <c r="E378">
        <v>2</v>
      </c>
      <c r="F378" t="s">
        <v>27</v>
      </c>
      <c r="G378" t="s">
        <v>57</v>
      </c>
      <c r="I378">
        <v>8200</v>
      </c>
      <c r="J378">
        <v>430</v>
      </c>
      <c r="K378">
        <v>2</v>
      </c>
      <c r="L378">
        <v>8200</v>
      </c>
      <c r="M378">
        <v>430</v>
      </c>
      <c r="N378" t="s">
        <v>43</v>
      </c>
      <c r="O378" t="s">
        <v>44</v>
      </c>
      <c r="P378" t="s">
        <v>98</v>
      </c>
      <c r="Q378" t="s">
        <v>99</v>
      </c>
      <c r="R378" t="s">
        <v>60</v>
      </c>
      <c r="S378" t="s">
        <v>37</v>
      </c>
      <c r="T378" t="s">
        <v>630</v>
      </c>
      <c r="U378" t="s">
        <v>30</v>
      </c>
      <c r="V378">
        <v>1.11E-2</v>
      </c>
      <c r="W378" t="s">
        <v>524</v>
      </c>
      <c r="X378" t="s">
        <v>631</v>
      </c>
      <c r="Y378" t="s">
        <v>30</v>
      </c>
    </row>
    <row r="379" spans="1:25" x14ac:dyDescent="0.3">
      <c r="A379">
        <v>5500</v>
      </c>
      <c r="B379" t="s">
        <v>140</v>
      </c>
      <c r="C379" t="s">
        <v>129</v>
      </c>
      <c r="D379" t="s">
        <v>632</v>
      </c>
      <c r="E379">
        <v>2</v>
      </c>
      <c r="F379" t="s">
        <v>27</v>
      </c>
      <c r="G379" t="s">
        <v>57</v>
      </c>
      <c r="I379">
        <v>12240</v>
      </c>
      <c r="J379">
        <v>608</v>
      </c>
      <c r="K379">
        <v>2</v>
      </c>
      <c r="L379">
        <v>12240</v>
      </c>
      <c r="M379">
        <v>608</v>
      </c>
      <c r="N379" t="s">
        <v>43</v>
      </c>
      <c r="O379" t="s">
        <v>44</v>
      </c>
      <c r="P379" t="s">
        <v>98</v>
      </c>
      <c r="Q379" t="s">
        <v>99</v>
      </c>
      <c r="R379" t="s">
        <v>60</v>
      </c>
      <c r="S379" t="s">
        <v>37</v>
      </c>
      <c r="T379" t="s">
        <v>344</v>
      </c>
      <c r="U379" t="s">
        <v>30</v>
      </c>
      <c r="V379">
        <v>0.01</v>
      </c>
      <c r="W379" t="s">
        <v>624</v>
      </c>
      <c r="X379" t="s">
        <v>633</v>
      </c>
      <c r="Y379" t="s">
        <v>30</v>
      </c>
    </row>
    <row r="380" spans="1:25" x14ac:dyDescent="0.3">
      <c r="A380">
        <v>5510</v>
      </c>
      <c r="B380" t="s">
        <v>140</v>
      </c>
      <c r="C380" t="s">
        <v>632</v>
      </c>
      <c r="D380" t="s">
        <v>131</v>
      </c>
      <c r="E380">
        <v>2</v>
      </c>
      <c r="F380" t="s">
        <v>27</v>
      </c>
      <c r="G380" t="s">
        <v>57</v>
      </c>
      <c r="I380">
        <v>8200</v>
      </c>
      <c r="J380">
        <v>430</v>
      </c>
      <c r="K380">
        <v>2</v>
      </c>
      <c r="L380">
        <v>8200</v>
      </c>
      <c r="M380">
        <v>430</v>
      </c>
      <c r="N380" t="s">
        <v>43</v>
      </c>
      <c r="O380" t="s">
        <v>44</v>
      </c>
      <c r="P380" t="s">
        <v>98</v>
      </c>
      <c r="Q380" t="s">
        <v>99</v>
      </c>
      <c r="R380" t="s">
        <v>60</v>
      </c>
      <c r="S380" t="s">
        <v>303</v>
      </c>
      <c r="T380" t="s">
        <v>634</v>
      </c>
      <c r="U380" t="s">
        <v>30</v>
      </c>
      <c r="V380">
        <v>0.01</v>
      </c>
      <c r="W380" t="s">
        <v>177</v>
      </c>
      <c r="X380" t="s">
        <v>344</v>
      </c>
      <c r="Y380" t="s">
        <v>30</v>
      </c>
    </row>
    <row r="381" spans="1:25" x14ac:dyDescent="0.3">
      <c r="A381">
        <v>5520</v>
      </c>
      <c r="B381" t="s">
        <v>140</v>
      </c>
      <c r="C381" t="s">
        <v>131</v>
      </c>
      <c r="D381" t="s">
        <v>635</v>
      </c>
      <c r="E381">
        <v>2</v>
      </c>
      <c r="F381" t="s">
        <v>27</v>
      </c>
      <c r="G381" t="s">
        <v>57</v>
      </c>
      <c r="I381">
        <v>8610</v>
      </c>
      <c r="J381">
        <v>452</v>
      </c>
      <c r="K381">
        <v>2</v>
      </c>
      <c r="L381">
        <v>8610</v>
      </c>
      <c r="M381">
        <v>452</v>
      </c>
      <c r="N381" t="s">
        <v>43</v>
      </c>
      <c r="O381" t="s">
        <v>44</v>
      </c>
      <c r="P381" t="s">
        <v>98</v>
      </c>
      <c r="Q381" t="s">
        <v>99</v>
      </c>
      <c r="R381" t="s">
        <v>60</v>
      </c>
      <c r="S381" t="s">
        <v>199</v>
      </c>
      <c r="T381" t="s">
        <v>289</v>
      </c>
      <c r="U381" t="s">
        <v>60</v>
      </c>
      <c r="V381">
        <v>0.01</v>
      </c>
      <c r="W381" t="s">
        <v>200</v>
      </c>
      <c r="X381" t="s">
        <v>191</v>
      </c>
      <c r="Y381" t="s">
        <v>60</v>
      </c>
    </row>
    <row r="382" spans="1:25" x14ac:dyDescent="0.3">
      <c r="A382">
        <v>5540</v>
      </c>
      <c r="B382" t="s">
        <v>636</v>
      </c>
      <c r="C382" t="s">
        <v>245</v>
      </c>
      <c r="D382" t="s">
        <v>476</v>
      </c>
      <c r="E382">
        <v>2</v>
      </c>
      <c r="F382" t="s">
        <v>42</v>
      </c>
      <c r="G382" t="s">
        <v>57</v>
      </c>
      <c r="H382">
        <v>2</v>
      </c>
      <c r="I382">
        <v>11232</v>
      </c>
      <c r="J382">
        <v>576</v>
      </c>
      <c r="K382">
        <v>2</v>
      </c>
      <c r="L382">
        <v>11232</v>
      </c>
      <c r="M382">
        <v>576</v>
      </c>
      <c r="N382" t="s">
        <v>29</v>
      </c>
      <c r="O382" t="s">
        <v>44</v>
      </c>
      <c r="P382" t="s">
        <v>414</v>
      </c>
      <c r="Q382" t="s">
        <v>32</v>
      </c>
      <c r="R382" t="s">
        <v>33</v>
      </c>
      <c r="S382" t="s">
        <v>141</v>
      </c>
      <c r="T382" t="s">
        <v>108</v>
      </c>
      <c r="U382" t="s">
        <v>60</v>
      </c>
      <c r="V382">
        <v>0.01</v>
      </c>
      <c r="W382" t="s">
        <v>143</v>
      </c>
      <c r="X382" t="s">
        <v>101</v>
      </c>
      <c r="Y382" t="s">
        <v>60</v>
      </c>
    </row>
    <row r="383" spans="1:25" x14ac:dyDescent="0.3">
      <c r="A383">
        <v>5550</v>
      </c>
      <c r="B383" t="s">
        <v>637</v>
      </c>
      <c r="C383" t="s">
        <v>313</v>
      </c>
      <c r="D383" t="s">
        <v>638</v>
      </c>
      <c r="E383">
        <v>2</v>
      </c>
      <c r="F383" t="s">
        <v>42</v>
      </c>
      <c r="G383" t="s">
        <v>57</v>
      </c>
      <c r="H383">
        <v>1</v>
      </c>
      <c r="I383">
        <v>12744</v>
      </c>
      <c r="J383">
        <v>634</v>
      </c>
      <c r="K383">
        <v>2</v>
      </c>
      <c r="L383">
        <v>12744</v>
      </c>
      <c r="M383">
        <v>634</v>
      </c>
      <c r="N383" t="s">
        <v>29</v>
      </c>
      <c r="O383" t="s">
        <v>44</v>
      </c>
      <c r="P383" t="s">
        <v>31</v>
      </c>
      <c r="Q383" t="s">
        <v>32</v>
      </c>
      <c r="R383" t="s">
        <v>33</v>
      </c>
      <c r="S383" t="s">
        <v>136</v>
      </c>
      <c r="T383" t="s">
        <v>101</v>
      </c>
      <c r="U383" t="s">
        <v>60</v>
      </c>
      <c r="V383">
        <v>0.01</v>
      </c>
      <c r="W383" t="s">
        <v>190</v>
      </c>
      <c r="X383" t="s">
        <v>110</v>
      </c>
      <c r="Y383" t="s">
        <v>60</v>
      </c>
    </row>
    <row r="384" spans="1:25" x14ac:dyDescent="0.3">
      <c r="A384">
        <v>5560</v>
      </c>
      <c r="B384" t="s">
        <v>281</v>
      </c>
      <c r="C384" t="s">
        <v>301</v>
      </c>
      <c r="D384" t="s">
        <v>564</v>
      </c>
      <c r="E384">
        <v>2</v>
      </c>
      <c r="F384" t="s">
        <v>27</v>
      </c>
      <c r="G384" t="s">
        <v>28</v>
      </c>
      <c r="I384">
        <v>16200</v>
      </c>
      <c r="J384">
        <v>801</v>
      </c>
      <c r="K384">
        <v>2</v>
      </c>
      <c r="L384">
        <v>16200</v>
      </c>
      <c r="M384">
        <v>801</v>
      </c>
      <c r="N384" t="s">
        <v>29</v>
      </c>
      <c r="O384" t="s">
        <v>44</v>
      </c>
      <c r="P384" t="s">
        <v>31</v>
      </c>
      <c r="Q384" t="s">
        <v>32</v>
      </c>
      <c r="R384" t="s">
        <v>60</v>
      </c>
      <c r="S384" t="s">
        <v>61</v>
      </c>
      <c r="T384" t="s">
        <v>110</v>
      </c>
      <c r="U384" t="s">
        <v>36</v>
      </c>
      <c r="V384">
        <v>4.4900000000000002E-2</v>
      </c>
      <c r="W384" t="s">
        <v>428</v>
      </c>
      <c r="X384" t="s">
        <v>139</v>
      </c>
      <c r="Y384" t="s">
        <v>36</v>
      </c>
    </row>
    <row r="385" spans="1:25" x14ac:dyDescent="0.3">
      <c r="A385">
        <v>5580.1</v>
      </c>
      <c r="B385" t="s">
        <v>639</v>
      </c>
      <c r="C385" t="s">
        <v>140</v>
      </c>
      <c r="D385" t="s">
        <v>48</v>
      </c>
      <c r="E385">
        <v>2</v>
      </c>
      <c r="F385" t="s">
        <v>42</v>
      </c>
      <c r="G385" t="s">
        <v>28</v>
      </c>
      <c r="I385">
        <v>9270</v>
      </c>
      <c r="J385">
        <v>486</v>
      </c>
      <c r="K385">
        <v>2</v>
      </c>
      <c r="L385">
        <v>9270</v>
      </c>
      <c r="M385">
        <v>486</v>
      </c>
      <c r="N385" t="s">
        <v>43</v>
      </c>
      <c r="O385" t="s">
        <v>44</v>
      </c>
      <c r="P385" t="s">
        <v>31</v>
      </c>
      <c r="Q385" t="s">
        <v>32</v>
      </c>
      <c r="R385" t="s">
        <v>36</v>
      </c>
      <c r="S385" t="s">
        <v>136</v>
      </c>
      <c r="T385" t="s">
        <v>178</v>
      </c>
      <c r="U385" t="s">
        <v>36</v>
      </c>
      <c r="V385">
        <v>6.1899999999999997E-2</v>
      </c>
      <c r="W385" t="s">
        <v>339</v>
      </c>
      <c r="X385" t="s">
        <v>496</v>
      </c>
      <c r="Y385" t="s">
        <v>36</v>
      </c>
    </row>
    <row r="386" spans="1:25" x14ac:dyDescent="0.3">
      <c r="A386">
        <v>5600</v>
      </c>
      <c r="B386" t="s">
        <v>466</v>
      </c>
      <c r="C386" t="s">
        <v>603</v>
      </c>
      <c r="D386" t="s">
        <v>564</v>
      </c>
      <c r="E386">
        <v>4</v>
      </c>
      <c r="F386" t="s">
        <v>42</v>
      </c>
      <c r="G386" t="s">
        <v>57</v>
      </c>
      <c r="H386">
        <v>2</v>
      </c>
      <c r="I386">
        <v>30420</v>
      </c>
      <c r="J386">
        <v>1530</v>
      </c>
      <c r="K386">
        <v>4</v>
      </c>
      <c r="L386">
        <v>30420</v>
      </c>
      <c r="M386">
        <v>1530</v>
      </c>
      <c r="N386" t="s">
        <v>29</v>
      </c>
      <c r="O386" t="s">
        <v>30</v>
      </c>
      <c r="P386" t="s">
        <v>31</v>
      </c>
      <c r="Q386" t="s">
        <v>32</v>
      </c>
      <c r="R386" t="s">
        <v>33</v>
      </c>
      <c r="S386" t="s">
        <v>421</v>
      </c>
      <c r="T386" t="s">
        <v>272</v>
      </c>
      <c r="U386" t="s">
        <v>60</v>
      </c>
      <c r="V386">
        <v>0.01</v>
      </c>
      <c r="W386" t="s">
        <v>422</v>
      </c>
      <c r="X386" t="s">
        <v>108</v>
      </c>
      <c r="Y386" t="s">
        <v>60</v>
      </c>
    </row>
    <row r="387" spans="1:25" x14ac:dyDescent="0.3">
      <c r="A387">
        <v>5610</v>
      </c>
      <c r="B387" t="s">
        <v>189</v>
      </c>
      <c r="C387" t="s">
        <v>285</v>
      </c>
      <c r="D387" t="s">
        <v>140</v>
      </c>
      <c r="E387">
        <v>2</v>
      </c>
      <c r="F387" t="s">
        <v>42</v>
      </c>
      <c r="G387" t="s">
        <v>28</v>
      </c>
      <c r="I387">
        <v>19170</v>
      </c>
      <c r="J387">
        <v>999</v>
      </c>
      <c r="K387">
        <v>2</v>
      </c>
      <c r="L387">
        <v>19170</v>
      </c>
      <c r="M387">
        <v>999</v>
      </c>
      <c r="N387" t="s">
        <v>43</v>
      </c>
      <c r="O387" t="s">
        <v>44</v>
      </c>
      <c r="P387" t="s">
        <v>31</v>
      </c>
      <c r="Q387" t="s">
        <v>32</v>
      </c>
      <c r="R387" t="s">
        <v>30</v>
      </c>
      <c r="S387" t="s">
        <v>432</v>
      </c>
      <c r="T387" t="s">
        <v>167</v>
      </c>
      <c r="U387" t="s">
        <v>36</v>
      </c>
      <c r="V387">
        <v>0.01</v>
      </c>
      <c r="W387" t="s">
        <v>269</v>
      </c>
      <c r="X387" t="s">
        <v>161</v>
      </c>
      <c r="Y387" t="s">
        <v>36</v>
      </c>
    </row>
    <row r="388" spans="1:25" x14ac:dyDescent="0.3">
      <c r="A388">
        <v>5630</v>
      </c>
      <c r="B388" t="s">
        <v>189</v>
      </c>
      <c r="C388" t="s">
        <v>140</v>
      </c>
      <c r="D388" t="s">
        <v>187</v>
      </c>
      <c r="E388">
        <v>2</v>
      </c>
      <c r="F388" t="s">
        <v>42</v>
      </c>
      <c r="G388" t="s">
        <v>28</v>
      </c>
      <c r="I388">
        <v>19170</v>
      </c>
      <c r="J388">
        <v>999</v>
      </c>
      <c r="K388">
        <v>2</v>
      </c>
      <c r="L388">
        <v>19170</v>
      </c>
      <c r="M388">
        <v>999</v>
      </c>
      <c r="N388" t="s">
        <v>43</v>
      </c>
      <c r="O388" t="s">
        <v>44</v>
      </c>
      <c r="P388" t="s">
        <v>31</v>
      </c>
      <c r="Q388" t="s">
        <v>32</v>
      </c>
      <c r="R388" t="s">
        <v>30</v>
      </c>
      <c r="S388" t="s">
        <v>123</v>
      </c>
      <c r="T388" t="s">
        <v>122</v>
      </c>
      <c r="U388" t="s">
        <v>36</v>
      </c>
      <c r="V388">
        <v>0.01</v>
      </c>
      <c r="W388" t="s">
        <v>127</v>
      </c>
      <c r="X388" t="s">
        <v>128</v>
      </c>
      <c r="Y388" t="s">
        <v>36</v>
      </c>
    </row>
    <row r="389" spans="1:25" x14ac:dyDescent="0.3">
      <c r="A389">
        <v>5650</v>
      </c>
      <c r="B389" t="s">
        <v>640</v>
      </c>
      <c r="C389" t="s">
        <v>564</v>
      </c>
      <c r="D389" t="s">
        <v>313</v>
      </c>
      <c r="E389">
        <v>4</v>
      </c>
      <c r="F389" t="s">
        <v>27</v>
      </c>
      <c r="G389" t="s">
        <v>57</v>
      </c>
      <c r="H389">
        <v>1</v>
      </c>
      <c r="I389">
        <v>35820</v>
      </c>
      <c r="J389">
        <v>1800</v>
      </c>
      <c r="K389">
        <v>4</v>
      </c>
      <c r="L389">
        <v>35820</v>
      </c>
      <c r="M389">
        <v>1800</v>
      </c>
      <c r="N389" t="s">
        <v>29</v>
      </c>
      <c r="O389" t="s">
        <v>30</v>
      </c>
      <c r="P389" t="s">
        <v>414</v>
      </c>
      <c r="Q389" t="s">
        <v>32</v>
      </c>
      <c r="R389" t="s">
        <v>33</v>
      </c>
      <c r="S389" t="s">
        <v>421</v>
      </c>
      <c r="T389" t="s">
        <v>93</v>
      </c>
      <c r="U389" t="s">
        <v>60</v>
      </c>
      <c r="V389">
        <v>0.01</v>
      </c>
      <c r="W389" t="s">
        <v>422</v>
      </c>
      <c r="X389" t="s">
        <v>67</v>
      </c>
      <c r="Y389" t="s">
        <v>60</v>
      </c>
    </row>
    <row r="390" spans="1:25" x14ac:dyDescent="0.3">
      <c r="A390">
        <v>5660</v>
      </c>
      <c r="B390" t="s">
        <v>245</v>
      </c>
      <c r="C390" t="s">
        <v>313</v>
      </c>
      <c r="D390" t="s">
        <v>641</v>
      </c>
      <c r="E390">
        <v>4</v>
      </c>
      <c r="F390" t="s">
        <v>27</v>
      </c>
      <c r="G390" t="s">
        <v>57</v>
      </c>
      <c r="I390">
        <v>40352</v>
      </c>
      <c r="J390">
        <v>1996</v>
      </c>
      <c r="K390">
        <v>4</v>
      </c>
      <c r="L390">
        <v>40352</v>
      </c>
      <c r="M390">
        <v>1996</v>
      </c>
      <c r="N390" t="s">
        <v>29</v>
      </c>
      <c r="O390" t="s">
        <v>30</v>
      </c>
      <c r="P390" t="s">
        <v>98</v>
      </c>
      <c r="Q390" t="s">
        <v>99</v>
      </c>
      <c r="R390" t="s">
        <v>30</v>
      </c>
      <c r="S390" t="s">
        <v>642</v>
      </c>
      <c r="T390" t="s">
        <v>201</v>
      </c>
      <c r="U390" t="s">
        <v>60</v>
      </c>
      <c r="V390">
        <v>0.01</v>
      </c>
      <c r="W390" t="s">
        <v>643</v>
      </c>
      <c r="X390" t="s">
        <v>289</v>
      </c>
      <c r="Y390" t="s">
        <v>60</v>
      </c>
    </row>
    <row r="391" spans="1:25" x14ac:dyDescent="0.3">
      <c r="A391">
        <v>5670.1</v>
      </c>
      <c r="B391" t="s">
        <v>245</v>
      </c>
      <c r="C391" t="s">
        <v>641</v>
      </c>
      <c r="D391" t="s">
        <v>512</v>
      </c>
      <c r="E391">
        <v>4</v>
      </c>
      <c r="F391" t="s">
        <v>27</v>
      </c>
      <c r="G391" t="s">
        <v>57</v>
      </c>
      <c r="I391">
        <v>38430</v>
      </c>
      <c r="J391">
        <v>1901</v>
      </c>
      <c r="K391">
        <v>4</v>
      </c>
      <c r="L391">
        <v>38430</v>
      </c>
      <c r="M391">
        <v>1901</v>
      </c>
      <c r="N391" t="s">
        <v>29</v>
      </c>
      <c r="O391" t="s">
        <v>30</v>
      </c>
      <c r="P391" t="s">
        <v>98</v>
      </c>
      <c r="Q391" t="s">
        <v>99</v>
      </c>
      <c r="R391" t="s">
        <v>30</v>
      </c>
      <c r="S391" t="s">
        <v>644</v>
      </c>
      <c r="T391" t="s">
        <v>500</v>
      </c>
      <c r="U391" t="s">
        <v>30</v>
      </c>
      <c r="V391">
        <v>0.01</v>
      </c>
      <c r="W391" t="s">
        <v>645</v>
      </c>
      <c r="X391" t="s">
        <v>531</v>
      </c>
      <c r="Y391" t="s">
        <v>30</v>
      </c>
    </row>
    <row r="392" spans="1:25" x14ac:dyDescent="0.3">
      <c r="A392">
        <v>5680.1</v>
      </c>
      <c r="B392" t="s">
        <v>245</v>
      </c>
      <c r="C392" t="s">
        <v>512</v>
      </c>
      <c r="D392" t="s">
        <v>26</v>
      </c>
      <c r="E392">
        <v>4</v>
      </c>
      <c r="F392" t="s">
        <v>27</v>
      </c>
      <c r="G392" t="s">
        <v>57</v>
      </c>
      <c r="I392">
        <v>39800</v>
      </c>
      <c r="J392">
        <v>1973</v>
      </c>
      <c r="K392">
        <v>4</v>
      </c>
      <c r="L392">
        <v>39800</v>
      </c>
      <c r="M392">
        <v>1973</v>
      </c>
      <c r="N392" t="s">
        <v>29</v>
      </c>
      <c r="O392" t="s">
        <v>30</v>
      </c>
      <c r="P392" t="s">
        <v>98</v>
      </c>
      <c r="Q392" t="s">
        <v>99</v>
      </c>
      <c r="R392" t="s">
        <v>30</v>
      </c>
      <c r="S392" t="s">
        <v>644</v>
      </c>
      <c r="T392" t="s">
        <v>193</v>
      </c>
      <c r="U392" t="s">
        <v>30</v>
      </c>
      <c r="V392">
        <v>0.01</v>
      </c>
      <c r="W392" t="s">
        <v>645</v>
      </c>
      <c r="X392" t="s">
        <v>209</v>
      </c>
      <c r="Y392" t="s">
        <v>30</v>
      </c>
    </row>
    <row r="393" spans="1:25" x14ac:dyDescent="0.3">
      <c r="A393">
        <v>5690</v>
      </c>
      <c r="B393" t="s">
        <v>245</v>
      </c>
      <c r="C393" t="s">
        <v>26</v>
      </c>
      <c r="D393" t="s">
        <v>299</v>
      </c>
      <c r="E393">
        <v>4</v>
      </c>
      <c r="F393" t="s">
        <v>27</v>
      </c>
      <c r="G393" t="s">
        <v>57</v>
      </c>
      <c r="I393">
        <v>37905</v>
      </c>
      <c r="J393">
        <v>1880</v>
      </c>
      <c r="K393">
        <v>4</v>
      </c>
      <c r="L393">
        <v>37905</v>
      </c>
      <c r="M393">
        <v>1880</v>
      </c>
      <c r="N393" t="s">
        <v>29</v>
      </c>
      <c r="O393" t="s">
        <v>30</v>
      </c>
      <c r="P393" t="s">
        <v>98</v>
      </c>
      <c r="Q393" t="s">
        <v>32</v>
      </c>
      <c r="R393" t="s">
        <v>30</v>
      </c>
      <c r="S393" t="s">
        <v>494</v>
      </c>
      <c r="T393" t="s">
        <v>499</v>
      </c>
      <c r="U393" t="s">
        <v>30</v>
      </c>
      <c r="V393">
        <v>0.01</v>
      </c>
      <c r="W393" t="s">
        <v>495</v>
      </c>
      <c r="X393" t="s">
        <v>500</v>
      </c>
      <c r="Y393" t="s">
        <v>30</v>
      </c>
    </row>
    <row r="394" spans="1:25" x14ac:dyDescent="0.3">
      <c r="A394">
        <v>5710</v>
      </c>
      <c r="B394" t="s">
        <v>646</v>
      </c>
      <c r="C394" t="s">
        <v>285</v>
      </c>
      <c r="D394" t="s">
        <v>647</v>
      </c>
      <c r="E394">
        <v>2</v>
      </c>
      <c r="F394" t="s">
        <v>42</v>
      </c>
      <c r="G394" t="s">
        <v>28</v>
      </c>
      <c r="I394">
        <v>19170</v>
      </c>
      <c r="J394">
        <v>999</v>
      </c>
      <c r="K394">
        <v>2</v>
      </c>
      <c r="L394">
        <v>19170</v>
      </c>
      <c r="M394">
        <v>999</v>
      </c>
      <c r="N394" t="s">
        <v>43</v>
      </c>
      <c r="O394" t="s">
        <v>44</v>
      </c>
      <c r="P394" t="s">
        <v>31</v>
      </c>
      <c r="Q394" t="s">
        <v>32</v>
      </c>
      <c r="R394" t="s">
        <v>30</v>
      </c>
      <c r="S394" t="s">
        <v>82</v>
      </c>
      <c r="T394" t="s">
        <v>90</v>
      </c>
      <c r="U394" t="s">
        <v>36</v>
      </c>
      <c r="V394">
        <v>0.1772</v>
      </c>
      <c r="W394" t="s">
        <v>624</v>
      </c>
      <c r="X394" t="s">
        <v>62</v>
      </c>
      <c r="Y394" t="s">
        <v>60</v>
      </c>
    </row>
    <row r="395" spans="1:25" x14ac:dyDescent="0.3">
      <c r="A395">
        <v>5730</v>
      </c>
      <c r="B395" t="s">
        <v>646</v>
      </c>
      <c r="C395" t="s">
        <v>647</v>
      </c>
      <c r="D395" t="s">
        <v>140</v>
      </c>
      <c r="E395">
        <v>2</v>
      </c>
      <c r="F395" t="s">
        <v>42</v>
      </c>
      <c r="G395" t="s">
        <v>28</v>
      </c>
      <c r="I395">
        <v>19170</v>
      </c>
      <c r="J395">
        <v>999</v>
      </c>
      <c r="K395">
        <v>2</v>
      </c>
      <c r="L395">
        <v>19170</v>
      </c>
      <c r="M395">
        <v>999</v>
      </c>
      <c r="N395" t="s">
        <v>43</v>
      </c>
      <c r="O395" t="s">
        <v>44</v>
      </c>
      <c r="P395" t="s">
        <v>31</v>
      </c>
      <c r="Q395" t="s">
        <v>32</v>
      </c>
      <c r="R395" t="s">
        <v>30</v>
      </c>
      <c r="S395" t="s">
        <v>82</v>
      </c>
      <c r="T395" t="s">
        <v>90</v>
      </c>
      <c r="U395" t="s">
        <v>36</v>
      </c>
      <c r="V395">
        <v>0.1772</v>
      </c>
      <c r="W395" t="s">
        <v>624</v>
      </c>
      <c r="X395" t="s">
        <v>62</v>
      </c>
      <c r="Y395" t="s">
        <v>60</v>
      </c>
    </row>
    <row r="396" spans="1:25" x14ac:dyDescent="0.3">
      <c r="A396">
        <v>5740</v>
      </c>
      <c r="B396" t="s">
        <v>648</v>
      </c>
      <c r="C396" t="s">
        <v>649</v>
      </c>
      <c r="D396" t="s">
        <v>650</v>
      </c>
      <c r="E396">
        <v>2</v>
      </c>
      <c r="F396" t="s">
        <v>42</v>
      </c>
      <c r="G396" t="s">
        <v>57</v>
      </c>
      <c r="I396">
        <v>9288</v>
      </c>
      <c r="J396">
        <v>482</v>
      </c>
      <c r="K396">
        <v>2</v>
      </c>
      <c r="L396">
        <v>9288</v>
      </c>
      <c r="M396">
        <v>482</v>
      </c>
      <c r="N396" t="s">
        <v>43</v>
      </c>
      <c r="O396" t="s">
        <v>44</v>
      </c>
      <c r="P396" t="s">
        <v>31</v>
      </c>
      <c r="Q396" t="s">
        <v>32</v>
      </c>
      <c r="R396" t="s">
        <v>60</v>
      </c>
      <c r="S396" t="s">
        <v>182</v>
      </c>
      <c r="T396" t="s">
        <v>114</v>
      </c>
      <c r="U396" t="s">
        <v>60</v>
      </c>
      <c r="V396">
        <v>0.01</v>
      </c>
      <c r="W396" t="s">
        <v>651</v>
      </c>
      <c r="X396" t="s">
        <v>101</v>
      </c>
      <c r="Y396" t="s">
        <v>60</v>
      </c>
    </row>
    <row r="397" spans="1:25" x14ac:dyDescent="0.3">
      <c r="A397">
        <v>5750.1</v>
      </c>
      <c r="B397" t="s">
        <v>641</v>
      </c>
      <c r="C397" t="s">
        <v>564</v>
      </c>
      <c r="D397" t="s">
        <v>245</v>
      </c>
      <c r="E397">
        <v>4</v>
      </c>
      <c r="F397" t="s">
        <v>42</v>
      </c>
      <c r="G397" t="s">
        <v>57</v>
      </c>
      <c r="H397">
        <v>1</v>
      </c>
      <c r="I397">
        <v>35820</v>
      </c>
      <c r="J397">
        <v>1800</v>
      </c>
      <c r="K397">
        <v>4</v>
      </c>
      <c r="L397">
        <v>35820</v>
      </c>
      <c r="M397">
        <v>1800</v>
      </c>
      <c r="N397" t="s">
        <v>29</v>
      </c>
      <c r="O397" t="s">
        <v>30</v>
      </c>
      <c r="P397" t="s">
        <v>414</v>
      </c>
      <c r="Q397" t="s">
        <v>32</v>
      </c>
      <c r="R397" t="s">
        <v>33</v>
      </c>
      <c r="S397" t="s">
        <v>525</v>
      </c>
      <c r="T397" t="s">
        <v>108</v>
      </c>
      <c r="U397" t="s">
        <v>60</v>
      </c>
      <c r="V397">
        <v>1.8599999999999998E-2</v>
      </c>
      <c r="W397" t="s">
        <v>544</v>
      </c>
      <c r="X397" t="s">
        <v>110</v>
      </c>
      <c r="Y397" t="s">
        <v>60</v>
      </c>
    </row>
    <row r="398" spans="1:25" x14ac:dyDescent="0.3">
      <c r="A398">
        <v>5760</v>
      </c>
      <c r="B398" t="s">
        <v>567</v>
      </c>
      <c r="C398" t="s">
        <v>552</v>
      </c>
      <c r="D398" t="s">
        <v>652</v>
      </c>
      <c r="E398">
        <v>4</v>
      </c>
      <c r="F398" t="s">
        <v>42</v>
      </c>
      <c r="G398" t="s">
        <v>57</v>
      </c>
      <c r="H398">
        <v>1</v>
      </c>
      <c r="I398">
        <v>35820</v>
      </c>
      <c r="J398">
        <v>1800</v>
      </c>
      <c r="K398">
        <v>4</v>
      </c>
      <c r="L398">
        <v>35820</v>
      </c>
      <c r="M398">
        <v>1800</v>
      </c>
      <c r="N398" t="s">
        <v>29</v>
      </c>
      <c r="O398" t="s">
        <v>30</v>
      </c>
      <c r="P398" t="s">
        <v>414</v>
      </c>
      <c r="Q398" t="s">
        <v>32</v>
      </c>
      <c r="R398" t="s">
        <v>33</v>
      </c>
      <c r="S398" t="s">
        <v>653</v>
      </c>
      <c r="T398" t="s">
        <v>95</v>
      </c>
      <c r="U398" t="s">
        <v>60</v>
      </c>
      <c r="V398">
        <v>0.01</v>
      </c>
      <c r="W398" t="s">
        <v>523</v>
      </c>
      <c r="X398" t="s">
        <v>196</v>
      </c>
      <c r="Y398" t="s">
        <v>60</v>
      </c>
    </row>
    <row r="399" spans="1:25" x14ac:dyDescent="0.3">
      <c r="A399">
        <v>5780</v>
      </c>
      <c r="B399" t="s">
        <v>567</v>
      </c>
      <c r="C399" t="s">
        <v>652</v>
      </c>
      <c r="D399" t="s">
        <v>564</v>
      </c>
      <c r="E399">
        <v>2</v>
      </c>
      <c r="F399" t="s">
        <v>42</v>
      </c>
      <c r="G399" t="s">
        <v>57</v>
      </c>
      <c r="H399">
        <v>1</v>
      </c>
      <c r="I399">
        <v>16727</v>
      </c>
      <c r="J399">
        <v>832</v>
      </c>
      <c r="K399">
        <v>2</v>
      </c>
      <c r="L399">
        <v>16727</v>
      </c>
      <c r="M399">
        <v>832</v>
      </c>
      <c r="N399" t="s">
        <v>29</v>
      </c>
      <c r="O399" t="s">
        <v>30</v>
      </c>
      <c r="P399" t="s">
        <v>414</v>
      </c>
      <c r="Q399" t="s">
        <v>32</v>
      </c>
      <c r="R399" t="s">
        <v>33</v>
      </c>
      <c r="S399" t="s">
        <v>509</v>
      </c>
      <c r="T399" t="s">
        <v>209</v>
      </c>
      <c r="U399" t="s">
        <v>60</v>
      </c>
      <c r="V399">
        <v>1.34E-2</v>
      </c>
      <c r="W399" t="s">
        <v>525</v>
      </c>
      <c r="X399" t="s">
        <v>241</v>
      </c>
      <c r="Y399" t="s">
        <v>60</v>
      </c>
    </row>
    <row r="400" spans="1:25" x14ac:dyDescent="0.3">
      <c r="A400">
        <v>5800</v>
      </c>
      <c r="B400" t="s">
        <v>567</v>
      </c>
      <c r="C400" t="s">
        <v>564</v>
      </c>
      <c r="D400" t="s">
        <v>313</v>
      </c>
      <c r="E400">
        <v>2</v>
      </c>
      <c r="F400" t="s">
        <v>42</v>
      </c>
      <c r="G400" t="s">
        <v>57</v>
      </c>
      <c r="H400">
        <v>1</v>
      </c>
      <c r="I400">
        <v>16727</v>
      </c>
      <c r="J400">
        <v>832</v>
      </c>
      <c r="K400">
        <v>2</v>
      </c>
      <c r="L400">
        <v>16727</v>
      </c>
      <c r="M400">
        <v>832</v>
      </c>
      <c r="N400" t="s">
        <v>29</v>
      </c>
      <c r="O400" t="s">
        <v>30</v>
      </c>
      <c r="P400" t="s">
        <v>414</v>
      </c>
      <c r="Q400" t="s">
        <v>32</v>
      </c>
      <c r="R400" t="s">
        <v>33</v>
      </c>
      <c r="S400" t="s">
        <v>45</v>
      </c>
      <c r="T400" t="s">
        <v>46</v>
      </c>
      <c r="U400" t="s">
        <v>46</v>
      </c>
      <c r="V400">
        <v>0.01</v>
      </c>
      <c r="W400" t="s">
        <v>45</v>
      </c>
      <c r="X400" t="s">
        <v>46</v>
      </c>
      <c r="Y400" t="s">
        <v>46</v>
      </c>
    </row>
    <row r="401" spans="1:25" x14ac:dyDescent="0.3">
      <c r="A401">
        <v>5810.1</v>
      </c>
      <c r="B401" t="s">
        <v>281</v>
      </c>
      <c r="C401" t="s">
        <v>654</v>
      </c>
      <c r="D401" t="s">
        <v>650</v>
      </c>
      <c r="E401">
        <v>2</v>
      </c>
      <c r="F401" t="s">
        <v>27</v>
      </c>
      <c r="G401" t="s">
        <v>28</v>
      </c>
      <c r="I401">
        <v>16200</v>
      </c>
      <c r="J401">
        <v>801</v>
      </c>
      <c r="K401">
        <v>2</v>
      </c>
      <c r="L401">
        <v>16200</v>
      </c>
      <c r="M401">
        <v>801</v>
      </c>
      <c r="N401" t="s">
        <v>29</v>
      </c>
      <c r="O401" t="s">
        <v>44</v>
      </c>
      <c r="P401" t="s">
        <v>31</v>
      </c>
      <c r="Q401" t="s">
        <v>32</v>
      </c>
      <c r="R401" t="s">
        <v>60</v>
      </c>
      <c r="S401" t="s">
        <v>94</v>
      </c>
      <c r="T401" t="s">
        <v>191</v>
      </c>
      <c r="U401" t="s">
        <v>36</v>
      </c>
      <c r="V401">
        <v>1.8599999999999998E-2</v>
      </c>
      <c r="W401" t="s">
        <v>290</v>
      </c>
      <c r="X401" t="s">
        <v>292</v>
      </c>
      <c r="Y401" t="s">
        <v>60</v>
      </c>
    </row>
    <row r="402" spans="1:25" x14ac:dyDescent="0.3">
      <c r="A402">
        <v>5820.3</v>
      </c>
      <c r="B402" t="s">
        <v>281</v>
      </c>
      <c r="C402" t="s">
        <v>650</v>
      </c>
      <c r="D402" t="s">
        <v>655</v>
      </c>
      <c r="E402">
        <v>2</v>
      </c>
      <c r="F402" t="s">
        <v>27</v>
      </c>
      <c r="G402" t="s">
        <v>28</v>
      </c>
      <c r="I402">
        <v>16200</v>
      </c>
      <c r="J402">
        <v>801</v>
      </c>
      <c r="K402">
        <v>2</v>
      </c>
      <c r="L402">
        <v>16200</v>
      </c>
      <c r="M402">
        <v>801</v>
      </c>
      <c r="N402" t="s">
        <v>29</v>
      </c>
      <c r="O402" t="s">
        <v>44</v>
      </c>
      <c r="P402" t="s">
        <v>31</v>
      </c>
      <c r="Q402" t="s">
        <v>32</v>
      </c>
      <c r="R402" t="s">
        <v>60</v>
      </c>
      <c r="S402" t="s">
        <v>230</v>
      </c>
      <c r="T402" t="s">
        <v>656</v>
      </c>
      <c r="U402" t="s">
        <v>60</v>
      </c>
      <c r="V402">
        <v>2.69E-2</v>
      </c>
      <c r="W402" t="s">
        <v>586</v>
      </c>
      <c r="X402" t="s">
        <v>436</v>
      </c>
      <c r="Y402" t="s">
        <v>60</v>
      </c>
    </row>
    <row r="403" spans="1:25" x14ac:dyDescent="0.3">
      <c r="A403">
        <v>5830</v>
      </c>
      <c r="B403" t="s">
        <v>564</v>
      </c>
      <c r="C403" t="s">
        <v>657</v>
      </c>
      <c r="D403" t="s">
        <v>641</v>
      </c>
      <c r="E403">
        <v>4</v>
      </c>
      <c r="F403" t="s">
        <v>27</v>
      </c>
      <c r="G403" t="s">
        <v>57</v>
      </c>
      <c r="H403">
        <v>1</v>
      </c>
      <c r="I403">
        <v>35820</v>
      </c>
      <c r="J403">
        <v>1800</v>
      </c>
      <c r="K403">
        <v>4</v>
      </c>
      <c r="L403">
        <v>35820</v>
      </c>
      <c r="M403">
        <v>1800</v>
      </c>
      <c r="N403" t="s">
        <v>29</v>
      </c>
      <c r="O403" t="s">
        <v>30</v>
      </c>
      <c r="P403" t="s">
        <v>31</v>
      </c>
      <c r="Q403" t="s">
        <v>32</v>
      </c>
      <c r="R403" t="s">
        <v>33</v>
      </c>
      <c r="S403" t="s">
        <v>658</v>
      </c>
      <c r="T403" t="s">
        <v>59</v>
      </c>
      <c r="U403" t="s">
        <v>60</v>
      </c>
      <c r="V403">
        <v>5.0099999999999999E-2</v>
      </c>
      <c r="W403" t="s">
        <v>600</v>
      </c>
      <c r="X403" t="s">
        <v>531</v>
      </c>
      <c r="Y403" t="s">
        <v>60</v>
      </c>
    </row>
    <row r="404" spans="1:25" x14ac:dyDescent="0.3">
      <c r="A404">
        <v>5850</v>
      </c>
      <c r="B404" t="s">
        <v>564</v>
      </c>
      <c r="C404" t="s">
        <v>641</v>
      </c>
      <c r="D404" t="s">
        <v>313</v>
      </c>
      <c r="E404">
        <v>4</v>
      </c>
      <c r="F404" t="s">
        <v>27</v>
      </c>
      <c r="G404" t="s">
        <v>57</v>
      </c>
      <c r="H404">
        <v>1</v>
      </c>
      <c r="I404">
        <v>35820</v>
      </c>
      <c r="J404">
        <v>1800</v>
      </c>
      <c r="K404">
        <v>4</v>
      </c>
      <c r="L404">
        <v>35820</v>
      </c>
      <c r="M404">
        <v>1800</v>
      </c>
      <c r="N404" t="s">
        <v>29</v>
      </c>
      <c r="O404" t="s">
        <v>30</v>
      </c>
      <c r="P404" t="s">
        <v>31</v>
      </c>
      <c r="Q404" t="s">
        <v>32</v>
      </c>
      <c r="R404" t="s">
        <v>33</v>
      </c>
      <c r="S404" t="s">
        <v>659</v>
      </c>
      <c r="T404" t="s">
        <v>309</v>
      </c>
      <c r="U404" t="s">
        <v>60</v>
      </c>
      <c r="V404">
        <v>0.01</v>
      </c>
      <c r="W404" t="s">
        <v>660</v>
      </c>
      <c r="X404" t="s">
        <v>116</v>
      </c>
      <c r="Y404" t="s">
        <v>60</v>
      </c>
    </row>
    <row r="405" spans="1:25" x14ac:dyDescent="0.3">
      <c r="A405">
        <v>5860</v>
      </c>
      <c r="B405" t="s">
        <v>564</v>
      </c>
      <c r="C405" t="s">
        <v>313</v>
      </c>
      <c r="D405" t="s">
        <v>245</v>
      </c>
      <c r="E405">
        <v>4</v>
      </c>
      <c r="F405" t="s">
        <v>27</v>
      </c>
      <c r="G405" t="s">
        <v>57</v>
      </c>
      <c r="H405">
        <v>1</v>
      </c>
      <c r="I405">
        <v>35820</v>
      </c>
      <c r="J405">
        <v>1800</v>
      </c>
      <c r="K405">
        <v>4</v>
      </c>
      <c r="L405">
        <v>35820</v>
      </c>
      <c r="M405">
        <v>1800</v>
      </c>
      <c r="N405" t="s">
        <v>29</v>
      </c>
      <c r="O405" t="s">
        <v>30</v>
      </c>
      <c r="P405" t="s">
        <v>31</v>
      </c>
      <c r="Q405" t="s">
        <v>32</v>
      </c>
      <c r="R405" t="s">
        <v>33</v>
      </c>
      <c r="S405" t="s">
        <v>328</v>
      </c>
      <c r="T405" t="s">
        <v>116</v>
      </c>
      <c r="U405" t="s">
        <v>60</v>
      </c>
      <c r="V405">
        <v>0.01</v>
      </c>
      <c r="W405" t="s">
        <v>329</v>
      </c>
      <c r="X405" t="s">
        <v>325</v>
      </c>
      <c r="Y405" t="s">
        <v>60</v>
      </c>
    </row>
    <row r="406" spans="1:25" x14ac:dyDescent="0.3">
      <c r="A406">
        <v>5870.2</v>
      </c>
      <c r="B406" t="s">
        <v>564</v>
      </c>
      <c r="C406" t="s">
        <v>245</v>
      </c>
      <c r="D406" t="s">
        <v>140</v>
      </c>
      <c r="E406">
        <v>4</v>
      </c>
      <c r="F406" t="s">
        <v>27</v>
      </c>
      <c r="G406" t="s">
        <v>57</v>
      </c>
      <c r="H406">
        <v>1</v>
      </c>
      <c r="I406">
        <v>35820</v>
      </c>
      <c r="J406">
        <v>1800</v>
      </c>
      <c r="K406">
        <v>4</v>
      </c>
      <c r="L406">
        <v>35820</v>
      </c>
      <c r="M406">
        <v>1800</v>
      </c>
      <c r="N406" t="s">
        <v>29</v>
      </c>
      <c r="O406" t="s">
        <v>30</v>
      </c>
      <c r="P406" t="s">
        <v>31</v>
      </c>
      <c r="Q406" t="s">
        <v>32</v>
      </c>
      <c r="R406" t="s">
        <v>33</v>
      </c>
      <c r="S406" t="s">
        <v>328</v>
      </c>
      <c r="T406" t="s">
        <v>116</v>
      </c>
      <c r="U406" t="s">
        <v>60</v>
      </c>
      <c r="V406">
        <v>0.01</v>
      </c>
      <c r="W406" t="s">
        <v>329</v>
      </c>
      <c r="X406" t="s">
        <v>325</v>
      </c>
      <c r="Y406" t="s">
        <v>60</v>
      </c>
    </row>
    <row r="407" spans="1:25" x14ac:dyDescent="0.3">
      <c r="A407">
        <v>5900</v>
      </c>
      <c r="B407" t="s">
        <v>661</v>
      </c>
      <c r="C407" t="s">
        <v>567</v>
      </c>
      <c r="D407" t="s">
        <v>466</v>
      </c>
      <c r="E407">
        <v>2</v>
      </c>
      <c r="F407" t="s">
        <v>42</v>
      </c>
      <c r="G407" t="s">
        <v>57</v>
      </c>
      <c r="H407">
        <v>2</v>
      </c>
      <c r="I407">
        <v>11232</v>
      </c>
      <c r="J407">
        <v>576</v>
      </c>
      <c r="K407">
        <v>2</v>
      </c>
      <c r="L407">
        <v>11232</v>
      </c>
      <c r="M407">
        <v>576</v>
      </c>
      <c r="N407" t="s">
        <v>29</v>
      </c>
      <c r="O407" t="s">
        <v>44</v>
      </c>
      <c r="P407" t="s">
        <v>31</v>
      </c>
      <c r="Q407" t="s">
        <v>32</v>
      </c>
      <c r="R407" t="s">
        <v>33</v>
      </c>
      <c r="S407" t="s">
        <v>242</v>
      </c>
      <c r="T407" t="s">
        <v>101</v>
      </c>
      <c r="U407" t="s">
        <v>60</v>
      </c>
      <c r="V407">
        <v>5.9200000000000003E-2</v>
      </c>
      <c r="W407" t="s">
        <v>215</v>
      </c>
      <c r="X407" t="s">
        <v>178</v>
      </c>
      <c r="Y407" t="s">
        <v>30</v>
      </c>
    </row>
    <row r="408" spans="1:25" x14ac:dyDescent="0.3">
      <c r="A408">
        <v>5910.1</v>
      </c>
      <c r="B408" t="s">
        <v>603</v>
      </c>
      <c r="C408" t="s">
        <v>466</v>
      </c>
      <c r="D408" t="s">
        <v>140</v>
      </c>
      <c r="E408">
        <v>2</v>
      </c>
      <c r="F408" t="s">
        <v>42</v>
      </c>
      <c r="G408" t="s">
        <v>28</v>
      </c>
      <c r="I408">
        <v>29340</v>
      </c>
      <c r="J408">
        <v>1449</v>
      </c>
      <c r="K408">
        <v>2</v>
      </c>
      <c r="L408">
        <v>29340</v>
      </c>
      <c r="M408">
        <v>1449</v>
      </c>
      <c r="N408" t="s">
        <v>29</v>
      </c>
      <c r="O408" t="s">
        <v>44</v>
      </c>
      <c r="P408" t="s">
        <v>31</v>
      </c>
      <c r="Q408" t="s">
        <v>32</v>
      </c>
      <c r="R408" t="s">
        <v>33</v>
      </c>
      <c r="S408" t="s">
        <v>242</v>
      </c>
      <c r="T408" t="s">
        <v>130</v>
      </c>
      <c r="U408" t="s">
        <v>36</v>
      </c>
      <c r="V408">
        <v>5.9200000000000003E-2</v>
      </c>
      <c r="W408" t="s">
        <v>215</v>
      </c>
      <c r="X408" t="s">
        <v>117</v>
      </c>
      <c r="Y408" t="s">
        <v>36</v>
      </c>
    </row>
    <row r="409" spans="1:25" x14ac:dyDescent="0.3">
      <c r="A409">
        <v>5920</v>
      </c>
      <c r="B409" t="s">
        <v>662</v>
      </c>
      <c r="C409" t="s">
        <v>567</v>
      </c>
      <c r="D409" t="s">
        <v>466</v>
      </c>
      <c r="E409">
        <v>2</v>
      </c>
      <c r="F409" t="s">
        <v>42</v>
      </c>
      <c r="G409" t="s">
        <v>28</v>
      </c>
      <c r="I409">
        <v>29340</v>
      </c>
      <c r="J409">
        <v>1449</v>
      </c>
      <c r="K409">
        <v>2</v>
      </c>
      <c r="L409">
        <v>29340</v>
      </c>
      <c r="M409">
        <v>1449</v>
      </c>
      <c r="N409" t="s">
        <v>29</v>
      </c>
      <c r="O409" t="s">
        <v>44</v>
      </c>
      <c r="P409" t="s">
        <v>31</v>
      </c>
      <c r="Q409" t="s">
        <v>32</v>
      </c>
      <c r="R409" t="s">
        <v>33</v>
      </c>
      <c r="S409" t="s">
        <v>277</v>
      </c>
      <c r="T409" t="s">
        <v>128</v>
      </c>
      <c r="U409" t="s">
        <v>36</v>
      </c>
      <c r="V409">
        <v>0.01</v>
      </c>
      <c r="W409" t="s">
        <v>218</v>
      </c>
      <c r="X409" t="s">
        <v>167</v>
      </c>
      <c r="Y409" t="s">
        <v>36</v>
      </c>
    </row>
    <row r="410" spans="1:25" x14ac:dyDescent="0.3">
      <c r="A410">
        <v>5940.1</v>
      </c>
      <c r="B410" t="s">
        <v>652</v>
      </c>
      <c r="C410" t="s">
        <v>567</v>
      </c>
      <c r="D410" t="s">
        <v>663</v>
      </c>
      <c r="E410">
        <v>2</v>
      </c>
      <c r="F410" t="s">
        <v>42</v>
      </c>
      <c r="G410" t="s">
        <v>28</v>
      </c>
      <c r="I410">
        <v>29340</v>
      </c>
      <c r="J410">
        <v>1449</v>
      </c>
      <c r="K410">
        <v>2</v>
      </c>
      <c r="L410">
        <v>29340</v>
      </c>
      <c r="M410">
        <v>1449</v>
      </c>
      <c r="N410" t="s">
        <v>29</v>
      </c>
      <c r="O410" t="s">
        <v>44</v>
      </c>
      <c r="P410" t="s">
        <v>31</v>
      </c>
      <c r="Q410" t="s">
        <v>32</v>
      </c>
      <c r="R410" t="s">
        <v>33</v>
      </c>
      <c r="S410" t="s">
        <v>123</v>
      </c>
      <c r="T410" t="s">
        <v>664</v>
      </c>
      <c r="U410" t="s">
        <v>36</v>
      </c>
      <c r="V410">
        <v>0.01</v>
      </c>
      <c r="W410" t="s">
        <v>127</v>
      </c>
      <c r="X410" t="s">
        <v>158</v>
      </c>
      <c r="Y410" t="s">
        <v>36</v>
      </c>
    </row>
    <row r="411" spans="1:25" x14ac:dyDescent="0.3">
      <c r="A411">
        <v>5950</v>
      </c>
      <c r="B411" t="s">
        <v>652</v>
      </c>
      <c r="C411" t="s">
        <v>665</v>
      </c>
      <c r="D411" t="s">
        <v>567</v>
      </c>
      <c r="E411">
        <v>2</v>
      </c>
      <c r="F411" t="s">
        <v>42</v>
      </c>
      <c r="G411" t="s">
        <v>57</v>
      </c>
      <c r="H411">
        <v>2</v>
      </c>
      <c r="I411">
        <v>11232</v>
      </c>
      <c r="J411">
        <v>576</v>
      </c>
      <c r="K411">
        <v>2</v>
      </c>
      <c r="L411">
        <v>11232</v>
      </c>
      <c r="M411">
        <v>576</v>
      </c>
      <c r="N411" t="s">
        <v>29</v>
      </c>
      <c r="O411" t="s">
        <v>44</v>
      </c>
      <c r="P411" t="s">
        <v>31</v>
      </c>
      <c r="Q411" t="s">
        <v>32</v>
      </c>
      <c r="R411" t="s">
        <v>33</v>
      </c>
      <c r="S411" t="s">
        <v>82</v>
      </c>
      <c r="T411" t="s">
        <v>288</v>
      </c>
      <c r="U411" t="s">
        <v>30</v>
      </c>
      <c r="V411">
        <v>0.01</v>
      </c>
      <c r="W411" t="s">
        <v>84</v>
      </c>
      <c r="X411" t="s">
        <v>139</v>
      </c>
      <c r="Y411" t="s">
        <v>30</v>
      </c>
    </row>
    <row r="412" spans="1:25" x14ac:dyDescent="0.3">
      <c r="A412">
        <v>5970</v>
      </c>
      <c r="B412" t="s">
        <v>666</v>
      </c>
      <c r="C412" t="s">
        <v>549</v>
      </c>
      <c r="D412" t="s">
        <v>552</v>
      </c>
      <c r="E412">
        <v>2</v>
      </c>
      <c r="F412" t="s">
        <v>42</v>
      </c>
      <c r="G412" t="s">
        <v>57</v>
      </c>
      <c r="H412">
        <v>1</v>
      </c>
      <c r="I412">
        <v>12744</v>
      </c>
      <c r="J412">
        <v>634</v>
      </c>
      <c r="K412">
        <v>2</v>
      </c>
      <c r="L412">
        <v>12744</v>
      </c>
      <c r="M412">
        <v>634</v>
      </c>
      <c r="N412" t="s">
        <v>29</v>
      </c>
      <c r="O412" t="s">
        <v>44</v>
      </c>
      <c r="P412" t="s">
        <v>31</v>
      </c>
      <c r="Q412" t="s">
        <v>32</v>
      </c>
      <c r="R412" t="s">
        <v>33</v>
      </c>
      <c r="S412" t="s">
        <v>347</v>
      </c>
      <c r="T412" t="s">
        <v>601</v>
      </c>
      <c r="U412" t="s">
        <v>60</v>
      </c>
      <c r="V412">
        <v>1.4E-2</v>
      </c>
      <c r="W412" t="s">
        <v>70</v>
      </c>
      <c r="X412" t="s">
        <v>90</v>
      </c>
      <c r="Y412" t="s">
        <v>60</v>
      </c>
    </row>
    <row r="413" spans="1:25" x14ac:dyDescent="0.3">
      <c r="A413">
        <v>5980</v>
      </c>
      <c r="B413" t="s">
        <v>666</v>
      </c>
      <c r="C413" t="s">
        <v>552</v>
      </c>
      <c r="D413" t="s">
        <v>667</v>
      </c>
      <c r="E413">
        <v>2</v>
      </c>
      <c r="F413" t="s">
        <v>42</v>
      </c>
      <c r="G413" t="s">
        <v>57</v>
      </c>
      <c r="H413">
        <v>1</v>
      </c>
      <c r="I413">
        <v>12744</v>
      </c>
      <c r="J413">
        <v>634</v>
      </c>
      <c r="K413">
        <v>2</v>
      </c>
      <c r="L413">
        <v>12744</v>
      </c>
      <c r="M413">
        <v>634</v>
      </c>
      <c r="N413" t="s">
        <v>29</v>
      </c>
      <c r="O413" t="s">
        <v>44</v>
      </c>
      <c r="P413" t="s">
        <v>31</v>
      </c>
      <c r="Q413" t="s">
        <v>32</v>
      </c>
      <c r="R413" t="s">
        <v>33</v>
      </c>
      <c r="S413" t="s">
        <v>588</v>
      </c>
      <c r="T413" t="s">
        <v>668</v>
      </c>
      <c r="U413" t="s">
        <v>60</v>
      </c>
      <c r="V413">
        <v>3.6200000000000003E-2</v>
      </c>
      <c r="W413" t="s">
        <v>273</v>
      </c>
      <c r="X413" t="s">
        <v>496</v>
      </c>
      <c r="Y413" t="s">
        <v>60</v>
      </c>
    </row>
    <row r="414" spans="1:25" x14ac:dyDescent="0.3">
      <c r="A414">
        <v>6000</v>
      </c>
      <c r="B414" t="s">
        <v>665</v>
      </c>
      <c r="C414" t="s">
        <v>652</v>
      </c>
      <c r="D414" t="s">
        <v>140</v>
      </c>
      <c r="E414">
        <v>2</v>
      </c>
      <c r="F414" t="s">
        <v>42</v>
      </c>
      <c r="G414" t="s">
        <v>57</v>
      </c>
      <c r="H414">
        <v>2</v>
      </c>
      <c r="I414">
        <v>11232</v>
      </c>
      <c r="J414">
        <v>576</v>
      </c>
      <c r="K414">
        <v>2</v>
      </c>
      <c r="L414">
        <v>11232</v>
      </c>
      <c r="M414">
        <v>576</v>
      </c>
      <c r="N414" t="s">
        <v>29</v>
      </c>
      <c r="O414" t="s">
        <v>44</v>
      </c>
      <c r="P414" t="s">
        <v>31</v>
      </c>
      <c r="Q414" t="s">
        <v>32</v>
      </c>
      <c r="R414" t="s">
        <v>33</v>
      </c>
      <c r="S414" t="s">
        <v>45</v>
      </c>
      <c r="T414" t="s">
        <v>46</v>
      </c>
      <c r="U414" t="s">
        <v>46</v>
      </c>
      <c r="V414">
        <v>0.01</v>
      </c>
      <c r="W414" t="s">
        <v>45</v>
      </c>
      <c r="X414" t="s">
        <v>46</v>
      </c>
      <c r="Y414" t="s">
        <v>46</v>
      </c>
    </row>
    <row r="415" spans="1:25" x14ac:dyDescent="0.3">
      <c r="A415">
        <v>6010</v>
      </c>
      <c r="B415" t="s">
        <v>663</v>
      </c>
      <c r="C415" t="s">
        <v>667</v>
      </c>
      <c r="D415" t="s">
        <v>669</v>
      </c>
      <c r="E415">
        <v>2</v>
      </c>
      <c r="F415" t="s">
        <v>42</v>
      </c>
      <c r="G415" t="s">
        <v>57</v>
      </c>
      <c r="H415">
        <v>1</v>
      </c>
      <c r="I415">
        <v>12744</v>
      </c>
      <c r="J415">
        <v>634</v>
      </c>
      <c r="K415">
        <v>2</v>
      </c>
      <c r="L415">
        <v>12744</v>
      </c>
      <c r="M415">
        <v>634</v>
      </c>
      <c r="N415" t="s">
        <v>29</v>
      </c>
      <c r="O415" t="s">
        <v>44</v>
      </c>
      <c r="P415" t="s">
        <v>31</v>
      </c>
      <c r="Q415" t="s">
        <v>32</v>
      </c>
      <c r="R415" t="s">
        <v>33</v>
      </c>
      <c r="S415" t="s">
        <v>389</v>
      </c>
      <c r="T415" t="s">
        <v>228</v>
      </c>
      <c r="U415" t="s">
        <v>60</v>
      </c>
      <c r="V415">
        <v>0.01</v>
      </c>
      <c r="W415" t="s">
        <v>670</v>
      </c>
      <c r="X415" t="s">
        <v>294</v>
      </c>
      <c r="Y415" t="s">
        <v>60</v>
      </c>
    </row>
    <row r="416" spans="1:25" x14ac:dyDescent="0.3">
      <c r="A416">
        <v>6020</v>
      </c>
      <c r="B416" t="s">
        <v>663</v>
      </c>
      <c r="C416" t="s">
        <v>669</v>
      </c>
      <c r="D416" t="s">
        <v>652</v>
      </c>
      <c r="E416">
        <v>2</v>
      </c>
      <c r="F416" t="s">
        <v>42</v>
      </c>
      <c r="G416" t="s">
        <v>57</v>
      </c>
      <c r="H416">
        <v>2</v>
      </c>
      <c r="I416">
        <v>11232</v>
      </c>
      <c r="J416">
        <v>576</v>
      </c>
      <c r="K416">
        <v>2</v>
      </c>
      <c r="L416">
        <v>11232</v>
      </c>
      <c r="M416">
        <v>576</v>
      </c>
      <c r="N416" t="s">
        <v>29</v>
      </c>
      <c r="O416" t="s">
        <v>44</v>
      </c>
      <c r="P416" t="s">
        <v>31</v>
      </c>
      <c r="Q416" t="s">
        <v>32</v>
      </c>
      <c r="R416" t="s">
        <v>33</v>
      </c>
      <c r="S416" t="s">
        <v>389</v>
      </c>
      <c r="T416" t="s">
        <v>362</v>
      </c>
      <c r="U416" t="s">
        <v>30</v>
      </c>
      <c r="V416">
        <v>0.01</v>
      </c>
      <c r="W416" t="s">
        <v>670</v>
      </c>
      <c r="X416" t="s">
        <v>612</v>
      </c>
      <c r="Y416" t="s">
        <v>30</v>
      </c>
    </row>
    <row r="417" spans="1:25" x14ac:dyDescent="0.3">
      <c r="A417">
        <v>6030</v>
      </c>
      <c r="B417" t="s">
        <v>663</v>
      </c>
      <c r="C417" t="s">
        <v>652</v>
      </c>
      <c r="D417" t="s">
        <v>313</v>
      </c>
      <c r="E417">
        <v>2</v>
      </c>
      <c r="F417" t="s">
        <v>27</v>
      </c>
      <c r="G417" t="s">
        <v>57</v>
      </c>
      <c r="H417">
        <v>2</v>
      </c>
      <c r="I417">
        <v>11232</v>
      </c>
      <c r="J417">
        <v>576</v>
      </c>
      <c r="K417">
        <v>2</v>
      </c>
      <c r="L417">
        <v>11232</v>
      </c>
      <c r="M417">
        <v>576</v>
      </c>
      <c r="N417" t="s">
        <v>29</v>
      </c>
      <c r="O417" t="s">
        <v>44</v>
      </c>
      <c r="P417" t="s">
        <v>31</v>
      </c>
      <c r="Q417" t="s">
        <v>32</v>
      </c>
      <c r="R417" t="s">
        <v>33</v>
      </c>
      <c r="S417" t="s">
        <v>45</v>
      </c>
      <c r="T417" t="s">
        <v>46</v>
      </c>
      <c r="U417" t="s">
        <v>46</v>
      </c>
      <c r="V417">
        <v>0.01</v>
      </c>
      <c r="W417" t="s">
        <v>45</v>
      </c>
      <c r="X417" t="s">
        <v>46</v>
      </c>
      <c r="Y417" t="s">
        <v>46</v>
      </c>
    </row>
    <row r="418" spans="1:25" x14ac:dyDescent="0.3">
      <c r="A418">
        <v>6040</v>
      </c>
      <c r="B418" t="s">
        <v>657</v>
      </c>
      <c r="C418" t="s">
        <v>669</v>
      </c>
      <c r="D418" t="s">
        <v>313</v>
      </c>
      <c r="E418">
        <v>2</v>
      </c>
      <c r="F418" t="s">
        <v>42</v>
      </c>
      <c r="G418" t="s">
        <v>57</v>
      </c>
      <c r="H418">
        <v>2</v>
      </c>
      <c r="I418">
        <v>11232</v>
      </c>
      <c r="J418">
        <v>576</v>
      </c>
      <c r="K418">
        <v>2</v>
      </c>
      <c r="L418">
        <v>11232</v>
      </c>
      <c r="M418">
        <v>576</v>
      </c>
      <c r="N418" t="s">
        <v>29</v>
      </c>
      <c r="O418" t="s">
        <v>44</v>
      </c>
      <c r="P418" t="s">
        <v>31</v>
      </c>
      <c r="Q418" t="s">
        <v>32</v>
      </c>
      <c r="R418" t="s">
        <v>33</v>
      </c>
      <c r="S418" t="s">
        <v>45</v>
      </c>
      <c r="T418" t="s">
        <v>46</v>
      </c>
      <c r="U418" t="s">
        <v>46</v>
      </c>
      <c r="V418">
        <v>0.01</v>
      </c>
      <c r="W418" t="s">
        <v>45</v>
      </c>
      <c r="X418" t="s">
        <v>46</v>
      </c>
      <c r="Y418" t="s">
        <v>46</v>
      </c>
    </row>
    <row r="419" spans="1:25" x14ac:dyDescent="0.3">
      <c r="A419">
        <v>6050</v>
      </c>
      <c r="B419" t="s">
        <v>657</v>
      </c>
      <c r="C419" t="s">
        <v>313</v>
      </c>
      <c r="D419" t="s">
        <v>564</v>
      </c>
      <c r="E419">
        <v>4</v>
      </c>
      <c r="F419" t="s">
        <v>27</v>
      </c>
      <c r="G419" t="s">
        <v>57</v>
      </c>
      <c r="H419">
        <v>1</v>
      </c>
      <c r="I419">
        <v>35820</v>
      </c>
      <c r="J419">
        <v>1800</v>
      </c>
      <c r="K419">
        <v>4</v>
      </c>
      <c r="L419">
        <v>35820</v>
      </c>
      <c r="M419">
        <v>1800</v>
      </c>
      <c r="N419" t="s">
        <v>29</v>
      </c>
      <c r="O419" t="s">
        <v>30</v>
      </c>
      <c r="P419" t="s">
        <v>31</v>
      </c>
      <c r="Q419" t="s">
        <v>32</v>
      </c>
      <c r="R419" t="s">
        <v>33</v>
      </c>
      <c r="S419" t="s">
        <v>398</v>
      </c>
      <c r="T419" t="s">
        <v>325</v>
      </c>
      <c r="U419" t="s">
        <v>60</v>
      </c>
      <c r="V419">
        <v>2.0400000000000001E-2</v>
      </c>
      <c r="W419" t="s">
        <v>671</v>
      </c>
      <c r="X419" t="s">
        <v>316</v>
      </c>
      <c r="Y419" t="s">
        <v>60</v>
      </c>
    </row>
    <row r="420" spans="1:25" x14ac:dyDescent="0.3">
      <c r="A420">
        <v>6060</v>
      </c>
      <c r="B420" t="s">
        <v>657</v>
      </c>
      <c r="C420" t="s">
        <v>564</v>
      </c>
      <c r="D420" t="s">
        <v>512</v>
      </c>
      <c r="E420">
        <v>4</v>
      </c>
      <c r="F420" t="s">
        <v>27</v>
      </c>
      <c r="G420" t="s">
        <v>57</v>
      </c>
      <c r="H420">
        <v>1</v>
      </c>
      <c r="I420">
        <v>35820</v>
      </c>
      <c r="J420">
        <v>1800</v>
      </c>
      <c r="K420">
        <v>4</v>
      </c>
      <c r="L420">
        <v>35820</v>
      </c>
      <c r="M420">
        <v>1800</v>
      </c>
      <c r="N420" t="s">
        <v>29</v>
      </c>
      <c r="O420" t="s">
        <v>30</v>
      </c>
      <c r="P420" t="s">
        <v>31</v>
      </c>
      <c r="Q420" t="s">
        <v>32</v>
      </c>
      <c r="R420" t="s">
        <v>33</v>
      </c>
      <c r="S420" t="s">
        <v>513</v>
      </c>
      <c r="T420" t="s">
        <v>275</v>
      </c>
      <c r="U420" t="s">
        <v>60</v>
      </c>
      <c r="V420">
        <v>4.1799999999999997E-2</v>
      </c>
      <c r="W420" t="s">
        <v>514</v>
      </c>
      <c r="X420" t="s">
        <v>253</v>
      </c>
      <c r="Y420" t="s">
        <v>60</v>
      </c>
    </row>
    <row r="421" spans="1:25" x14ac:dyDescent="0.3">
      <c r="A421">
        <v>6080.4</v>
      </c>
      <c r="B421" t="s">
        <v>672</v>
      </c>
      <c r="C421" t="s">
        <v>567</v>
      </c>
      <c r="D421" t="s">
        <v>466</v>
      </c>
      <c r="E421">
        <v>2</v>
      </c>
      <c r="F421" t="s">
        <v>42</v>
      </c>
      <c r="G421" t="s">
        <v>28</v>
      </c>
      <c r="I421">
        <v>29340</v>
      </c>
      <c r="J421">
        <v>1449</v>
      </c>
      <c r="K421">
        <v>2</v>
      </c>
      <c r="L421">
        <v>29340</v>
      </c>
      <c r="M421">
        <v>1449</v>
      </c>
      <c r="N421" t="s">
        <v>29</v>
      </c>
      <c r="O421" t="s">
        <v>44</v>
      </c>
      <c r="P421" t="s">
        <v>31</v>
      </c>
      <c r="Q421" t="s">
        <v>32</v>
      </c>
      <c r="R421" t="s">
        <v>33</v>
      </c>
      <c r="S421" t="s">
        <v>277</v>
      </c>
      <c r="T421" t="s">
        <v>128</v>
      </c>
      <c r="U421" t="s">
        <v>36</v>
      </c>
      <c r="V421">
        <v>0.01</v>
      </c>
      <c r="W421" t="s">
        <v>218</v>
      </c>
      <c r="X421" t="s">
        <v>167</v>
      </c>
      <c r="Y421" t="s">
        <v>36</v>
      </c>
    </row>
    <row r="422" spans="1:25" x14ac:dyDescent="0.3">
      <c r="A422">
        <v>6090</v>
      </c>
      <c r="B422" t="s">
        <v>673</v>
      </c>
      <c r="C422" t="s">
        <v>285</v>
      </c>
      <c r="D422" t="s">
        <v>638</v>
      </c>
      <c r="E422">
        <v>4</v>
      </c>
      <c r="F422" t="s">
        <v>42</v>
      </c>
      <c r="G422" t="s">
        <v>57</v>
      </c>
      <c r="H422">
        <v>1</v>
      </c>
      <c r="I422">
        <v>35820</v>
      </c>
      <c r="J422">
        <v>1800</v>
      </c>
      <c r="K422">
        <v>4</v>
      </c>
      <c r="L422">
        <v>35820</v>
      </c>
      <c r="M422">
        <v>1800</v>
      </c>
      <c r="N422" t="s">
        <v>29</v>
      </c>
      <c r="O422" t="s">
        <v>30</v>
      </c>
      <c r="P422" t="s">
        <v>31</v>
      </c>
      <c r="Q422" t="s">
        <v>32</v>
      </c>
      <c r="R422" t="s">
        <v>33</v>
      </c>
      <c r="S422" t="s">
        <v>674</v>
      </c>
      <c r="T422" t="s">
        <v>67</v>
      </c>
      <c r="U422" t="s">
        <v>60</v>
      </c>
      <c r="V422">
        <v>5.5800000000000002E-2</v>
      </c>
      <c r="W422" t="s">
        <v>675</v>
      </c>
      <c r="X422" t="s">
        <v>214</v>
      </c>
      <c r="Y422" t="s">
        <v>60</v>
      </c>
    </row>
    <row r="423" spans="1:25" x14ac:dyDescent="0.3">
      <c r="A423">
        <v>6100</v>
      </c>
      <c r="B423" t="s">
        <v>638</v>
      </c>
      <c r="C423" t="s">
        <v>673</v>
      </c>
      <c r="D423" t="s">
        <v>676</v>
      </c>
      <c r="E423">
        <v>2</v>
      </c>
      <c r="F423" t="s">
        <v>42</v>
      </c>
      <c r="G423" t="s">
        <v>57</v>
      </c>
      <c r="H423">
        <v>1</v>
      </c>
      <c r="I423">
        <v>12744</v>
      </c>
      <c r="J423">
        <v>634</v>
      </c>
      <c r="K423">
        <v>4</v>
      </c>
      <c r="L423">
        <v>35820</v>
      </c>
      <c r="M423">
        <v>1800</v>
      </c>
      <c r="N423" t="s">
        <v>29</v>
      </c>
      <c r="O423" t="s">
        <v>44</v>
      </c>
      <c r="P423" t="s">
        <v>31</v>
      </c>
      <c r="Q423" t="s">
        <v>32</v>
      </c>
      <c r="R423" t="s">
        <v>33</v>
      </c>
      <c r="S423" t="s">
        <v>525</v>
      </c>
      <c r="T423" t="s">
        <v>677</v>
      </c>
      <c r="U423" t="s">
        <v>259</v>
      </c>
      <c r="V423">
        <v>0.12470000000000001</v>
      </c>
      <c r="W423" t="s">
        <v>678</v>
      </c>
      <c r="X423" t="s">
        <v>430</v>
      </c>
      <c r="Y423" t="s">
        <v>60</v>
      </c>
    </row>
    <row r="424" spans="1:25" x14ac:dyDescent="0.3">
      <c r="A424">
        <v>6110</v>
      </c>
      <c r="B424" t="s">
        <v>638</v>
      </c>
      <c r="C424" t="s">
        <v>676</v>
      </c>
      <c r="D424" t="s">
        <v>679</v>
      </c>
      <c r="E424">
        <v>4</v>
      </c>
      <c r="F424" t="s">
        <v>42</v>
      </c>
      <c r="G424" t="s">
        <v>28</v>
      </c>
      <c r="I424">
        <v>67770</v>
      </c>
      <c r="J424">
        <v>3357</v>
      </c>
      <c r="K424">
        <v>4</v>
      </c>
      <c r="L424">
        <v>67770</v>
      </c>
      <c r="M424">
        <v>3357</v>
      </c>
      <c r="N424" t="s">
        <v>29</v>
      </c>
      <c r="O424" t="s">
        <v>30</v>
      </c>
      <c r="P424" t="s">
        <v>31</v>
      </c>
      <c r="Q424" t="s">
        <v>32</v>
      </c>
      <c r="R424" t="s">
        <v>33</v>
      </c>
      <c r="S424" t="s">
        <v>525</v>
      </c>
      <c r="T424" t="s">
        <v>85</v>
      </c>
      <c r="U424" t="s">
        <v>36</v>
      </c>
      <c r="V424">
        <v>0.12470000000000001</v>
      </c>
      <c r="W424" t="s">
        <v>678</v>
      </c>
      <c r="X424" t="s">
        <v>235</v>
      </c>
      <c r="Y424" t="s">
        <v>36</v>
      </c>
    </row>
    <row r="425" spans="1:25" x14ac:dyDescent="0.3">
      <c r="A425">
        <v>6140.1</v>
      </c>
      <c r="B425" t="s">
        <v>552</v>
      </c>
      <c r="C425" t="s">
        <v>680</v>
      </c>
      <c r="D425" t="s">
        <v>681</v>
      </c>
      <c r="E425">
        <v>2</v>
      </c>
      <c r="F425" t="s">
        <v>42</v>
      </c>
      <c r="G425" t="s">
        <v>28</v>
      </c>
      <c r="I425">
        <v>30807</v>
      </c>
      <c r="J425">
        <v>1521</v>
      </c>
      <c r="K425">
        <v>2</v>
      </c>
      <c r="L425">
        <v>30807</v>
      </c>
      <c r="M425">
        <v>1521</v>
      </c>
      <c r="N425" t="s">
        <v>29</v>
      </c>
      <c r="O425" t="s">
        <v>30</v>
      </c>
      <c r="P425" t="s">
        <v>31</v>
      </c>
      <c r="Q425" t="s">
        <v>32</v>
      </c>
      <c r="R425" t="s">
        <v>33</v>
      </c>
      <c r="S425" t="s">
        <v>280</v>
      </c>
      <c r="T425" t="s">
        <v>78</v>
      </c>
      <c r="U425" t="s">
        <v>36</v>
      </c>
      <c r="V425">
        <v>6.2799999999999995E-2</v>
      </c>
      <c r="W425" t="s">
        <v>238</v>
      </c>
      <c r="X425" t="s">
        <v>196</v>
      </c>
      <c r="Y425" t="s">
        <v>60</v>
      </c>
    </row>
    <row r="426" spans="1:25" x14ac:dyDescent="0.3">
      <c r="A426">
        <v>6150</v>
      </c>
      <c r="B426" t="s">
        <v>552</v>
      </c>
      <c r="C426" t="s">
        <v>681</v>
      </c>
      <c r="D426" t="s">
        <v>313</v>
      </c>
      <c r="E426">
        <v>4</v>
      </c>
      <c r="F426" t="s">
        <v>42</v>
      </c>
      <c r="G426" t="s">
        <v>57</v>
      </c>
      <c r="H426">
        <v>1</v>
      </c>
      <c r="I426">
        <v>35820</v>
      </c>
      <c r="J426">
        <v>1800</v>
      </c>
      <c r="K426">
        <v>4</v>
      </c>
      <c r="L426">
        <v>35820</v>
      </c>
      <c r="M426">
        <v>1800</v>
      </c>
      <c r="N426" t="s">
        <v>29</v>
      </c>
      <c r="O426" t="s">
        <v>30</v>
      </c>
      <c r="P426" t="s">
        <v>31</v>
      </c>
      <c r="Q426" t="s">
        <v>32</v>
      </c>
      <c r="R426" t="s">
        <v>33</v>
      </c>
      <c r="S426" t="s">
        <v>682</v>
      </c>
      <c r="T426" t="s">
        <v>288</v>
      </c>
      <c r="U426" t="s">
        <v>60</v>
      </c>
      <c r="V426">
        <v>2.2499999999999999E-2</v>
      </c>
      <c r="W426" t="s">
        <v>683</v>
      </c>
      <c r="X426" t="s">
        <v>178</v>
      </c>
      <c r="Y426" t="s">
        <v>60</v>
      </c>
    </row>
    <row r="427" spans="1:25" x14ac:dyDescent="0.3">
      <c r="A427">
        <v>6170.1</v>
      </c>
      <c r="B427" t="s">
        <v>552</v>
      </c>
      <c r="C427" t="s">
        <v>313</v>
      </c>
      <c r="D427" t="s">
        <v>666</v>
      </c>
      <c r="E427">
        <v>4</v>
      </c>
      <c r="F427" t="s">
        <v>27</v>
      </c>
      <c r="G427" t="s">
        <v>57</v>
      </c>
      <c r="H427">
        <v>1</v>
      </c>
      <c r="I427">
        <v>35820</v>
      </c>
      <c r="J427">
        <v>1800</v>
      </c>
      <c r="K427">
        <v>4</v>
      </c>
      <c r="L427">
        <v>35820</v>
      </c>
      <c r="M427">
        <v>1800</v>
      </c>
      <c r="N427" t="s">
        <v>29</v>
      </c>
      <c r="O427" t="s">
        <v>30</v>
      </c>
      <c r="P427" t="s">
        <v>31</v>
      </c>
      <c r="Q427" t="s">
        <v>32</v>
      </c>
      <c r="R427" t="s">
        <v>33</v>
      </c>
      <c r="S427" t="s">
        <v>100</v>
      </c>
      <c r="T427" t="s">
        <v>226</v>
      </c>
      <c r="U427" t="s">
        <v>60</v>
      </c>
      <c r="V427">
        <v>4.1000000000000002E-2</v>
      </c>
      <c r="W427" t="s">
        <v>671</v>
      </c>
      <c r="X427" t="s">
        <v>316</v>
      </c>
      <c r="Y427" t="s">
        <v>60</v>
      </c>
    </row>
    <row r="428" spans="1:25" x14ac:dyDescent="0.3">
      <c r="A428">
        <v>6180</v>
      </c>
      <c r="B428" t="s">
        <v>552</v>
      </c>
      <c r="C428" t="s">
        <v>666</v>
      </c>
      <c r="D428" t="s">
        <v>567</v>
      </c>
      <c r="E428">
        <v>4</v>
      </c>
      <c r="F428" t="s">
        <v>27</v>
      </c>
      <c r="G428" t="s">
        <v>57</v>
      </c>
      <c r="H428">
        <v>1</v>
      </c>
      <c r="I428">
        <v>35820</v>
      </c>
      <c r="J428">
        <v>1800</v>
      </c>
      <c r="K428">
        <v>4</v>
      </c>
      <c r="L428">
        <v>35820</v>
      </c>
      <c r="M428">
        <v>1800</v>
      </c>
      <c r="N428" t="s">
        <v>29</v>
      </c>
      <c r="O428" t="s">
        <v>30</v>
      </c>
      <c r="P428" t="s">
        <v>414</v>
      </c>
      <c r="Q428" t="s">
        <v>32</v>
      </c>
      <c r="R428" t="s">
        <v>33</v>
      </c>
      <c r="S428" t="s">
        <v>460</v>
      </c>
      <c r="T428" t="s">
        <v>103</v>
      </c>
      <c r="U428" t="s">
        <v>60</v>
      </c>
      <c r="V428">
        <v>4.1000000000000002E-2</v>
      </c>
      <c r="W428" t="s">
        <v>406</v>
      </c>
      <c r="X428" t="s">
        <v>201</v>
      </c>
      <c r="Y428" t="s">
        <v>60</v>
      </c>
    </row>
    <row r="429" spans="1:25" x14ac:dyDescent="0.3">
      <c r="A429">
        <v>6190</v>
      </c>
      <c r="B429" t="s">
        <v>552</v>
      </c>
      <c r="C429" t="s">
        <v>567</v>
      </c>
      <c r="D429" t="s">
        <v>140</v>
      </c>
      <c r="E429">
        <v>4</v>
      </c>
      <c r="F429" t="s">
        <v>27</v>
      </c>
      <c r="G429" t="s">
        <v>57</v>
      </c>
      <c r="H429">
        <v>1</v>
      </c>
      <c r="I429">
        <v>35820</v>
      </c>
      <c r="J429">
        <v>1800</v>
      </c>
      <c r="K429">
        <v>4</v>
      </c>
      <c r="L429">
        <v>35820</v>
      </c>
      <c r="M429">
        <v>1800</v>
      </c>
      <c r="N429" t="s">
        <v>29</v>
      </c>
      <c r="O429" t="s">
        <v>30</v>
      </c>
      <c r="P429" t="s">
        <v>31</v>
      </c>
      <c r="Q429" t="s">
        <v>32</v>
      </c>
      <c r="R429" t="s">
        <v>33</v>
      </c>
      <c r="S429" t="s">
        <v>684</v>
      </c>
      <c r="T429" t="s">
        <v>101</v>
      </c>
      <c r="U429" t="s">
        <v>60</v>
      </c>
      <c r="V429">
        <v>4.1000000000000002E-2</v>
      </c>
      <c r="W429" t="s">
        <v>402</v>
      </c>
      <c r="X429" t="s">
        <v>341</v>
      </c>
      <c r="Y429" t="s">
        <v>60</v>
      </c>
    </row>
    <row r="430" spans="1:25" x14ac:dyDescent="0.3">
      <c r="A430">
        <v>6200</v>
      </c>
      <c r="B430" t="s">
        <v>650</v>
      </c>
      <c r="C430" t="s">
        <v>313</v>
      </c>
      <c r="D430" t="s">
        <v>156</v>
      </c>
      <c r="E430">
        <v>2</v>
      </c>
      <c r="F430" t="s">
        <v>42</v>
      </c>
      <c r="G430" t="s">
        <v>57</v>
      </c>
      <c r="H430">
        <v>1</v>
      </c>
      <c r="I430">
        <v>12096</v>
      </c>
      <c r="J430">
        <v>598</v>
      </c>
      <c r="K430">
        <v>2</v>
      </c>
      <c r="L430">
        <v>12096</v>
      </c>
      <c r="M430">
        <v>598</v>
      </c>
      <c r="N430" t="s">
        <v>29</v>
      </c>
      <c r="O430" t="s">
        <v>44</v>
      </c>
      <c r="P430" t="s">
        <v>31</v>
      </c>
      <c r="Q430" t="s">
        <v>32</v>
      </c>
      <c r="R430" t="s">
        <v>60</v>
      </c>
      <c r="S430" t="s">
        <v>280</v>
      </c>
      <c r="T430" t="s">
        <v>668</v>
      </c>
      <c r="U430" t="s">
        <v>60</v>
      </c>
      <c r="V430">
        <v>8.4500000000000006E-2</v>
      </c>
      <c r="W430" t="s">
        <v>424</v>
      </c>
      <c r="X430" t="s">
        <v>685</v>
      </c>
      <c r="Y430" t="s">
        <v>30</v>
      </c>
    </row>
    <row r="431" spans="1:25" x14ac:dyDescent="0.3">
      <c r="A431">
        <v>6210</v>
      </c>
      <c r="B431" t="s">
        <v>650</v>
      </c>
      <c r="C431" t="s">
        <v>156</v>
      </c>
      <c r="D431" t="s">
        <v>564</v>
      </c>
      <c r="E431">
        <v>2</v>
      </c>
      <c r="F431" t="s">
        <v>42</v>
      </c>
      <c r="G431" t="s">
        <v>57</v>
      </c>
      <c r="H431">
        <v>1</v>
      </c>
      <c r="I431">
        <v>12096</v>
      </c>
      <c r="J431">
        <v>598</v>
      </c>
      <c r="K431">
        <v>2</v>
      </c>
      <c r="L431">
        <v>12096</v>
      </c>
      <c r="M431">
        <v>598</v>
      </c>
      <c r="N431" t="s">
        <v>29</v>
      </c>
      <c r="O431" t="s">
        <v>44</v>
      </c>
      <c r="P431" t="s">
        <v>31</v>
      </c>
      <c r="Q431" t="s">
        <v>32</v>
      </c>
      <c r="R431" t="s">
        <v>60</v>
      </c>
      <c r="S431" t="s">
        <v>582</v>
      </c>
      <c r="T431" t="s">
        <v>437</v>
      </c>
      <c r="U431" t="s">
        <v>259</v>
      </c>
      <c r="V431">
        <v>8.4500000000000006E-2</v>
      </c>
      <c r="W431" t="s">
        <v>398</v>
      </c>
      <c r="X431" t="s">
        <v>686</v>
      </c>
      <c r="Y431" t="s">
        <v>259</v>
      </c>
    </row>
    <row r="432" spans="1:25" x14ac:dyDescent="0.3">
      <c r="A432">
        <v>6220</v>
      </c>
      <c r="B432" t="s">
        <v>650</v>
      </c>
      <c r="C432" t="s">
        <v>564</v>
      </c>
      <c r="D432" t="s">
        <v>648</v>
      </c>
      <c r="E432">
        <v>2</v>
      </c>
      <c r="F432" t="s">
        <v>42</v>
      </c>
      <c r="G432" t="s">
        <v>57</v>
      </c>
      <c r="I432">
        <v>9288</v>
      </c>
      <c r="J432">
        <v>482</v>
      </c>
      <c r="K432">
        <v>2</v>
      </c>
      <c r="L432">
        <v>9288</v>
      </c>
      <c r="M432">
        <v>482</v>
      </c>
      <c r="N432" t="s">
        <v>43</v>
      </c>
      <c r="O432" t="s">
        <v>44</v>
      </c>
      <c r="P432" t="s">
        <v>31</v>
      </c>
      <c r="Q432" t="s">
        <v>32</v>
      </c>
      <c r="R432" t="s">
        <v>60</v>
      </c>
      <c r="S432" t="s">
        <v>109</v>
      </c>
      <c r="T432" t="s">
        <v>289</v>
      </c>
      <c r="U432" t="s">
        <v>60</v>
      </c>
      <c r="V432">
        <v>1.8499999999999999E-2</v>
      </c>
      <c r="W432" t="s">
        <v>84</v>
      </c>
      <c r="X432" t="s">
        <v>59</v>
      </c>
      <c r="Y432" t="s">
        <v>60</v>
      </c>
    </row>
    <row r="433" spans="1:25" x14ac:dyDescent="0.3">
      <c r="A433">
        <v>6230.1</v>
      </c>
      <c r="B433" t="s">
        <v>512</v>
      </c>
      <c r="C433" t="s">
        <v>687</v>
      </c>
      <c r="D433" t="s">
        <v>245</v>
      </c>
      <c r="E433">
        <v>2</v>
      </c>
      <c r="F433" t="s">
        <v>300</v>
      </c>
      <c r="G433" t="s">
        <v>28</v>
      </c>
      <c r="I433">
        <v>29340</v>
      </c>
      <c r="J433">
        <v>1449</v>
      </c>
      <c r="K433">
        <v>2</v>
      </c>
      <c r="L433">
        <v>29340</v>
      </c>
      <c r="M433">
        <v>1449</v>
      </c>
      <c r="N433" t="s">
        <v>29</v>
      </c>
      <c r="O433" t="s">
        <v>44</v>
      </c>
      <c r="P433" t="s">
        <v>31</v>
      </c>
      <c r="Q433" t="s">
        <v>32</v>
      </c>
      <c r="R433" t="s">
        <v>33</v>
      </c>
      <c r="S433" t="s">
        <v>45</v>
      </c>
      <c r="T433" t="s">
        <v>46</v>
      </c>
      <c r="U433" t="s">
        <v>46</v>
      </c>
      <c r="V433">
        <v>0.01</v>
      </c>
      <c r="W433" t="s">
        <v>45</v>
      </c>
      <c r="X433" t="s">
        <v>46</v>
      </c>
      <c r="Y433" t="s">
        <v>46</v>
      </c>
    </row>
    <row r="434" spans="1:25" x14ac:dyDescent="0.3">
      <c r="A434">
        <v>6240</v>
      </c>
      <c r="B434" t="s">
        <v>572</v>
      </c>
      <c r="C434" t="s">
        <v>245</v>
      </c>
      <c r="D434" t="s">
        <v>476</v>
      </c>
      <c r="E434">
        <v>2</v>
      </c>
      <c r="F434" t="s">
        <v>300</v>
      </c>
      <c r="G434" t="s">
        <v>28</v>
      </c>
      <c r="I434">
        <v>29340</v>
      </c>
      <c r="J434">
        <v>1449</v>
      </c>
      <c r="K434">
        <v>2</v>
      </c>
      <c r="L434">
        <v>29340</v>
      </c>
      <c r="M434">
        <v>1449</v>
      </c>
      <c r="N434" t="s">
        <v>29</v>
      </c>
      <c r="O434" t="s">
        <v>44</v>
      </c>
      <c r="P434" t="s">
        <v>31</v>
      </c>
      <c r="Q434" t="s">
        <v>32</v>
      </c>
      <c r="R434" t="s">
        <v>33</v>
      </c>
      <c r="S434" t="s">
        <v>45</v>
      </c>
      <c r="T434" t="s">
        <v>46</v>
      </c>
      <c r="U434" t="s">
        <v>46</v>
      </c>
      <c r="V434">
        <v>0.01</v>
      </c>
      <c r="W434" t="s">
        <v>45</v>
      </c>
      <c r="X434" t="s">
        <v>46</v>
      </c>
      <c r="Y434" t="s">
        <v>46</v>
      </c>
    </row>
    <row r="435" spans="1:25" x14ac:dyDescent="0.3">
      <c r="A435">
        <v>6250</v>
      </c>
      <c r="B435" t="s">
        <v>549</v>
      </c>
      <c r="C435" t="s">
        <v>680</v>
      </c>
      <c r="D435" t="s">
        <v>313</v>
      </c>
      <c r="E435">
        <v>2</v>
      </c>
      <c r="F435" t="s">
        <v>42</v>
      </c>
      <c r="G435" t="s">
        <v>57</v>
      </c>
      <c r="H435">
        <v>1</v>
      </c>
      <c r="I435">
        <v>12744</v>
      </c>
      <c r="J435">
        <v>634</v>
      </c>
      <c r="K435">
        <v>2</v>
      </c>
      <c r="L435">
        <v>12744</v>
      </c>
      <c r="M435">
        <v>634</v>
      </c>
      <c r="N435" t="s">
        <v>29</v>
      </c>
      <c r="O435" t="s">
        <v>44</v>
      </c>
      <c r="P435" t="s">
        <v>31</v>
      </c>
      <c r="Q435" t="s">
        <v>32</v>
      </c>
      <c r="R435" t="s">
        <v>33</v>
      </c>
      <c r="S435" t="s">
        <v>143</v>
      </c>
      <c r="T435" t="s">
        <v>383</v>
      </c>
      <c r="U435" t="s">
        <v>60</v>
      </c>
      <c r="V435">
        <v>7.3300000000000004E-2</v>
      </c>
      <c r="W435" t="s">
        <v>415</v>
      </c>
      <c r="X435" t="s">
        <v>325</v>
      </c>
      <c r="Y435" t="s">
        <v>60</v>
      </c>
    </row>
    <row r="436" spans="1:25" x14ac:dyDescent="0.3">
      <c r="A436">
        <v>6260.1</v>
      </c>
      <c r="B436" t="s">
        <v>549</v>
      </c>
      <c r="C436" t="s">
        <v>313</v>
      </c>
      <c r="D436" t="s">
        <v>688</v>
      </c>
      <c r="E436">
        <v>4</v>
      </c>
      <c r="F436" t="s">
        <v>42</v>
      </c>
      <c r="G436" t="s">
        <v>57</v>
      </c>
      <c r="H436">
        <v>2</v>
      </c>
      <c r="I436">
        <v>30420</v>
      </c>
      <c r="J436">
        <v>1530</v>
      </c>
      <c r="K436">
        <v>4</v>
      </c>
      <c r="L436">
        <v>30420</v>
      </c>
      <c r="M436">
        <v>1530</v>
      </c>
      <c r="N436" t="s">
        <v>29</v>
      </c>
      <c r="O436" t="s">
        <v>30</v>
      </c>
      <c r="P436" t="s">
        <v>31</v>
      </c>
      <c r="Q436" t="s">
        <v>32</v>
      </c>
      <c r="R436" t="s">
        <v>33</v>
      </c>
      <c r="S436" t="s">
        <v>37</v>
      </c>
      <c r="T436" t="s">
        <v>114</v>
      </c>
      <c r="U436" t="s">
        <v>30</v>
      </c>
      <c r="V436">
        <v>2.52E-2</v>
      </c>
      <c r="W436" t="s">
        <v>689</v>
      </c>
      <c r="X436" t="s">
        <v>479</v>
      </c>
      <c r="Y436" t="s">
        <v>30</v>
      </c>
    </row>
    <row r="437" spans="1:25" x14ac:dyDescent="0.3">
      <c r="A437">
        <v>6260.3</v>
      </c>
      <c r="B437" t="s">
        <v>549</v>
      </c>
      <c r="C437" t="s">
        <v>688</v>
      </c>
      <c r="D437" t="s">
        <v>666</v>
      </c>
      <c r="E437">
        <v>2</v>
      </c>
      <c r="F437" t="s">
        <v>42</v>
      </c>
      <c r="G437" t="s">
        <v>28</v>
      </c>
      <c r="I437">
        <v>29340</v>
      </c>
      <c r="J437">
        <v>634</v>
      </c>
      <c r="K437">
        <v>4</v>
      </c>
      <c r="L437">
        <v>30420</v>
      </c>
      <c r="M437">
        <v>1800</v>
      </c>
      <c r="N437" t="s">
        <v>29</v>
      </c>
      <c r="O437" t="s">
        <v>44</v>
      </c>
      <c r="P437" t="s">
        <v>31</v>
      </c>
      <c r="Q437" t="s">
        <v>32</v>
      </c>
      <c r="R437" t="s">
        <v>33</v>
      </c>
      <c r="S437" t="s">
        <v>274</v>
      </c>
      <c r="T437" t="s">
        <v>656</v>
      </c>
      <c r="U437" t="s">
        <v>60</v>
      </c>
      <c r="V437">
        <v>2.9399999999999999E-2</v>
      </c>
      <c r="W437" t="s">
        <v>674</v>
      </c>
      <c r="X437" t="s">
        <v>67</v>
      </c>
      <c r="Y437" t="s">
        <v>60</v>
      </c>
    </row>
    <row r="438" spans="1:25" x14ac:dyDescent="0.3">
      <c r="A438">
        <v>6260.4</v>
      </c>
      <c r="B438" t="s">
        <v>549</v>
      </c>
      <c r="C438" t="s">
        <v>666</v>
      </c>
      <c r="D438" t="s">
        <v>140</v>
      </c>
      <c r="E438">
        <v>2</v>
      </c>
      <c r="F438" t="s">
        <v>42</v>
      </c>
      <c r="G438" t="s">
        <v>28</v>
      </c>
      <c r="I438">
        <v>29340</v>
      </c>
      <c r="J438">
        <v>1449</v>
      </c>
      <c r="K438">
        <v>2</v>
      </c>
      <c r="L438">
        <v>29340</v>
      </c>
      <c r="M438">
        <v>1449</v>
      </c>
      <c r="N438" t="s">
        <v>29</v>
      </c>
      <c r="O438" t="s">
        <v>44</v>
      </c>
      <c r="P438" t="s">
        <v>31</v>
      </c>
      <c r="Q438" t="s">
        <v>32</v>
      </c>
      <c r="R438" t="s">
        <v>33</v>
      </c>
      <c r="S438" t="s">
        <v>588</v>
      </c>
      <c r="T438" t="s">
        <v>137</v>
      </c>
      <c r="U438" t="s">
        <v>36</v>
      </c>
      <c r="V438">
        <v>1.67E-2</v>
      </c>
      <c r="W438" t="s">
        <v>429</v>
      </c>
      <c r="X438" t="s">
        <v>65</v>
      </c>
      <c r="Y438" t="s">
        <v>36</v>
      </c>
    </row>
    <row r="439" spans="1:25" x14ac:dyDescent="0.3">
      <c r="A439">
        <v>6290</v>
      </c>
      <c r="B439" t="s">
        <v>649</v>
      </c>
      <c r="C439" t="s">
        <v>648</v>
      </c>
      <c r="D439" t="s">
        <v>224</v>
      </c>
      <c r="E439">
        <v>2</v>
      </c>
      <c r="F439" t="s">
        <v>42</v>
      </c>
      <c r="G439" t="s">
        <v>57</v>
      </c>
      <c r="I439">
        <v>9288</v>
      </c>
      <c r="J439">
        <v>482</v>
      </c>
      <c r="K439">
        <v>2</v>
      </c>
      <c r="L439">
        <v>9288</v>
      </c>
      <c r="M439">
        <v>482</v>
      </c>
      <c r="N439" t="s">
        <v>43</v>
      </c>
      <c r="O439" t="s">
        <v>44</v>
      </c>
      <c r="P439" t="s">
        <v>31</v>
      </c>
      <c r="Q439" t="s">
        <v>32</v>
      </c>
      <c r="R439" t="s">
        <v>60</v>
      </c>
      <c r="S439" t="s">
        <v>151</v>
      </c>
      <c r="T439" t="s">
        <v>262</v>
      </c>
      <c r="U439" t="s">
        <v>60</v>
      </c>
      <c r="V439">
        <v>0.01</v>
      </c>
      <c r="W439" t="s">
        <v>203</v>
      </c>
      <c r="X439" t="s">
        <v>214</v>
      </c>
      <c r="Y439" t="s">
        <v>60</v>
      </c>
    </row>
    <row r="440" spans="1:25" x14ac:dyDescent="0.3">
      <c r="A440">
        <v>6300</v>
      </c>
      <c r="B440" t="s">
        <v>690</v>
      </c>
      <c r="C440" t="s">
        <v>281</v>
      </c>
      <c r="D440" t="s">
        <v>224</v>
      </c>
      <c r="E440">
        <v>2</v>
      </c>
      <c r="F440" t="s">
        <v>42</v>
      </c>
      <c r="G440" t="s">
        <v>28</v>
      </c>
      <c r="I440">
        <v>19170</v>
      </c>
      <c r="J440">
        <v>999</v>
      </c>
      <c r="K440">
        <v>2</v>
      </c>
      <c r="L440">
        <v>19170</v>
      </c>
      <c r="M440">
        <v>999</v>
      </c>
      <c r="N440" t="s">
        <v>43</v>
      </c>
      <c r="O440" t="s">
        <v>44</v>
      </c>
      <c r="P440" t="s">
        <v>31</v>
      </c>
      <c r="Q440" t="s">
        <v>32</v>
      </c>
      <c r="R440" t="s">
        <v>30</v>
      </c>
      <c r="S440" t="s">
        <v>169</v>
      </c>
      <c r="T440" t="s">
        <v>51</v>
      </c>
      <c r="U440" t="s">
        <v>36</v>
      </c>
      <c r="V440">
        <v>2.2100000000000002E-2</v>
      </c>
      <c r="W440" t="s">
        <v>66</v>
      </c>
      <c r="X440" t="s">
        <v>130</v>
      </c>
      <c r="Y440" t="s">
        <v>36</v>
      </c>
    </row>
    <row r="441" spans="1:25" x14ac:dyDescent="0.3">
      <c r="A441">
        <v>6330</v>
      </c>
      <c r="B441" t="s">
        <v>676</v>
      </c>
      <c r="C441" t="s">
        <v>549</v>
      </c>
      <c r="D441" t="s">
        <v>313</v>
      </c>
      <c r="E441">
        <v>4</v>
      </c>
      <c r="F441" t="s">
        <v>42</v>
      </c>
      <c r="G441" t="s">
        <v>57</v>
      </c>
      <c r="H441">
        <v>1</v>
      </c>
      <c r="I441">
        <v>35820</v>
      </c>
      <c r="J441">
        <v>1800</v>
      </c>
      <c r="K441">
        <v>4</v>
      </c>
      <c r="L441">
        <v>35820</v>
      </c>
      <c r="M441">
        <v>1800</v>
      </c>
      <c r="N441" t="s">
        <v>29</v>
      </c>
      <c r="O441" t="s">
        <v>30</v>
      </c>
      <c r="P441" t="s">
        <v>31</v>
      </c>
      <c r="Q441" t="s">
        <v>32</v>
      </c>
      <c r="R441" t="s">
        <v>33</v>
      </c>
      <c r="S441" t="s">
        <v>268</v>
      </c>
      <c r="T441" t="s">
        <v>78</v>
      </c>
      <c r="U441" t="s">
        <v>60</v>
      </c>
      <c r="V441">
        <v>0.21290000000000001</v>
      </c>
      <c r="W441" t="s">
        <v>691</v>
      </c>
      <c r="X441" t="s">
        <v>275</v>
      </c>
      <c r="Y441" t="s">
        <v>60</v>
      </c>
    </row>
    <row r="442" spans="1:25" x14ac:dyDescent="0.3">
      <c r="A442">
        <v>6340</v>
      </c>
      <c r="B442" t="s">
        <v>676</v>
      </c>
      <c r="C442" t="s">
        <v>313</v>
      </c>
      <c r="D442" t="s">
        <v>552</v>
      </c>
      <c r="E442">
        <v>4</v>
      </c>
      <c r="F442" t="s">
        <v>42</v>
      </c>
      <c r="G442" t="s">
        <v>57</v>
      </c>
      <c r="H442">
        <v>1</v>
      </c>
      <c r="I442">
        <v>35820</v>
      </c>
      <c r="J442">
        <v>1800</v>
      </c>
      <c r="K442">
        <v>4</v>
      </c>
      <c r="L442">
        <v>35820</v>
      </c>
      <c r="M442">
        <v>1800</v>
      </c>
      <c r="N442" t="s">
        <v>29</v>
      </c>
      <c r="O442" t="s">
        <v>30</v>
      </c>
      <c r="P442" t="s">
        <v>31</v>
      </c>
      <c r="Q442" t="s">
        <v>32</v>
      </c>
      <c r="R442" t="s">
        <v>33</v>
      </c>
      <c r="S442" t="s">
        <v>70</v>
      </c>
      <c r="T442" t="s">
        <v>90</v>
      </c>
      <c r="U442" t="s">
        <v>60</v>
      </c>
      <c r="V442">
        <v>0.01</v>
      </c>
      <c r="W442" t="s">
        <v>464</v>
      </c>
      <c r="X442" t="s">
        <v>65</v>
      </c>
      <c r="Y442" t="s">
        <v>60</v>
      </c>
    </row>
    <row r="443" spans="1:25" x14ac:dyDescent="0.3">
      <c r="A443">
        <v>6350</v>
      </c>
      <c r="B443" t="s">
        <v>676</v>
      </c>
      <c r="C443" t="s">
        <v>552</v>
      </c>
      <c r="D443" t="s">
        <v>638</v>
      </c>
      <c r="E443">
        <v>4</v>
      </c>
      <c r="F443" t="s">
        <v>42</v>
      </c>
      <c r="G443" t="s">
        <v>57</v>
      </c>
      <c r="H443">
        <v>1</v>
      </c>
      <c r="I443">
        <v>35820</v>
      </c>
      <c r="J443">
        <v>1800</v>
      </c>
      <c r="K443">
        <v>4</v>
      </c>
      <c r="L443">
        <v>35820</v>
      </c>
      <c r="M443">
        <v>1800</v>
      </c>
      <c r="N443" t="s">
        <v>29</v>
      </c>
      <c r="O443" t="s">
        <v>30</v>
      </c>
      <c r="P443" t="s">
        <v>31</v>
      </c>
      <c r="Q443" t="s">
        <v>32</v>
      </c>
      <c r="R443" t="s">
        <v>33</v>
      </c>
      <c r="S443" t="s">
        <v>70</v>
      </c>
      <c r="T443" t="s">
        <v>90</v>
      </c>
      <c r="U443" t="s">
        <v>60</v>
      </c>
      <c r="V443">
        <v>0.01</v>
      </c>
      <c r="W443" t="s">
        <v>464</v>
      </c>
      <c r="X443" t="s">
        <v>65</v>
      </c>
      <c r="Y443" t="s">
        <v>60</v>
      </c>
    </row>
    <row r="444" spans="1:25" x14ac:dyDescent="0.3">
      <c r="A444">
        <v>6360</v>
      </c>
      <c r="B444" t="s">
        <v>676</v>
      </c>
      <c r="C444" t="s">
        <v>638</v>
      </c>
      <c r="D444" t="s">
        <v>692</v>
      </c>
      <c r="E444">
        <v>2</v>
      </c>
      <c r="F444" t="s">
        <v>42</v>
      </c>
      <c r="G444" t="s">
        <v>28</v>
      </c>
      <c r="I444">
        <v>29340</v>
      </c>
      <c r="J444">
        <v>1449</v>
      </c>
      <c r="K444">
        <v>2</v>
      </c>
      <c r="L444">
        <v>29340</v>
      </c>
      <c r="M444">
        <v>1449</v>
      </c>
      <c r="N444" t="s">
        <v>29</v>
      </c>
      <c r="O444" t="s">
        <v>44</v>
      </c>
      <c r="P444" t="s">
        <v>31</v>
      </c>
      <c r="Q444" t="s">
        <v>32</v>
      </c>
      <c r="R444" t="s">
        <v>33</v>
      </c>
      <c r="S444" t="s">
        <v>70</v>
      </c>
      <c r="T444" t="s">
        <v>383</v>
      </c>
      <c r="U444" t="s">
        <v>60</v>
      </c>
      <c r="V444">
        <v>0.01</v>
      </c>
      <c r="W444" t="s">
        <v>464</v>
      </c>
      <c r="X444" t="s">
        <v>181</v>
      </c>
      <c r="Y444" t="s">
        <v>60</v>
      </c>
    </row>
    <row r="445" spans="1:25" x14ac:dyDescent="0.3">
      <c r="A445">
        <v>6370</v>
      </c>
      <c r="B445" t="s">
        <v>205</v>
      </c>
      <c r="C445" t="s">
        <v>222</v>
      </c>
      <c r="D445" t="s">
        <v>693</v>
      </c>
      <c r="E445">
        <v>2</v>
      </c>
      <c r="F445" t="s">
        <v>42</v>
      </c>
      <c r="G445" t="s">
        <v>28</v>
      </c>
      <c r="I445">
        <v>29340</v>
      </c>
      <c r="J445">
        <v>1449</v>
      </c>
      <c r="K445">
        <v>2</v>
      </c>
      <c r="L445">
        <v>29340</v>
      </c>
      <c r="M445">
        <v>1449</v>
      </c>
      <c r="N445" t="s">
        <v>29</v>
      </c>
      <c r="O445" t="s">
        <v>44</v>
      </c>
      <c r="P445" t="s">
        <v>31</v>
      </c>
      <c r="Q445" t="s">
        <v>32</v>
      </c>
      <c r="R445" t="s">
        <v>33</v>
      </c>
      <c r="S445" t="s">
        <v>149</v>
      </c>
      <c r="T445" t="s">
        <v>167</v>
      </c>
      <c r="U445" t="s">
        <v>36</v>
      </c>
      <c r="V445">
        <v>2.86E-2</v>
      </c>
      <c r="W445" t="s">
        <v>203</v>
      </c>
      <c r="X445" t="s">
        <v>163</v>
      </c>
      <c r="Y445" t="s">
        <v>36</v>
      </c>
    </row>
    <row r="446" spans="1:25" x14ac:dyDescent="0.3">
      <c r="A446">
        <v>6380</v>
      </c>
      <c r="B446" t="s">
        <v>607</v>
      </c>
      <c r="C446" t="s">
        <v>245</v>
      </c>
      <c r="D446" t="s">
        <v>313</v>
      </c>
      <c r="E446">
        <v>4</v>
      </c>
      <c r="F446" t="s">
        <v>42</v>
      </c>
      <c r="G446" t="s">
        <v>57</v>
      </c>
      <c r="H446">
        <v>2</v>
      </c>
      <c r="I446">
        <v>30420</v>
      </c>
      <c r="J446">
        <v>1530</v>
      </c>
      <c r="K446">
        <v>4</v>
      </c>
      <c r="L446">
        <v>30420</v>
      </c>
      <c r="M446">
        <v>1530</v>
      </c>
      <c r="N446" t="s">
        <v>29</v>
      </c>
      <c r="O446" t="s">
        <v>30</v>
      </c>
      <c r="P446" t="s">
        <v>414</v>
      </c>
      <c r="Q446" t="s">
        <v>32</v>
      </c>
      <c r="R446" t="s">
        <v>33</v>
      </c>
      <c r="S446" t="s">
        <v>192</v>
      </c>
      <c r="T446" t="s">
        <v>142</v>
      </c>
      <c r="U446" t="s">
        <v>60</v>
      </c>
      <c r="V446">
        <v>0.01</v>
      </c>
      <c r="W446" t="s">
        <v>388</v>
      </c>
      <c r="X446" t="s">
        <v>144</v>
      </c>
      <c r="Y446" t="s">
        <v>60</v>
      </c>
    </row>
    <row r="447" spans="1:25" x14ac:dyDescent="0.3">
      <c r="A447">
        <v>6390</v>
      </c>
      <c r="B447" t="s">
        <v>607</v>
      </c>
      <c r="C447" t="s">
        <v>313</v>
      </c>
      <c r="D447" t="s">
        <v>140</v>
      </c>
      <c r="E447">
        <v>4</v>
      </c>
      <c r="F447" t="s">
        <v>27</v>
      </c>
      <c r="G447" t="s">
        <v>57</v>
      </c>
      <c r="H447">
        <v>2</v>
      </c>
      <c r="I447">
        <v>28899</v>
      </c>
      <c r="J447">
        <v>720</v>
      </c>
      <c r="K447">
        <v>4</v>
      </c>
      <c r="L447">
        <v>28899</v>
      </c>
      <c r="M447">
        <v>720</v>
      </c>
      <c r="N447" t="s">
        <v>29</v>
      </c>
      <c r="O447" t="s">
        <v>44</v>
      </c>
      <c r="P447" t="s">
        <v>414</v>
      </c>
      <c r="Q447" t="s">
        <v>32</v>
      </c>
      <c r="R447" t="s">
        <v>33</v>
      </c>
      <c r="S447" t="s">
        <v>694</v>
      </c>
      <c r="T447" t="s">
        <v>201</v>
      </c>
      <c r="U447" t="s">
        <v>30</v>
      </c>
      <c r="V447">
        <v>4.3099999999999999E-2</v>
      </c>
      <c r="W447" t="s">
        <v>406</v>
      </c>
      <c r="X447" t="s">
        <v>366</v>
      </c>
      <c r="Y447" t="s">
        <v>30</v>
      </c>
    </row>
    <row r="448" spans="1:25" x14ac:dyDescent="0.3">
      <c r="A448">
        <v>6400</v>
      </c>
      <c r="B448" t="s">
        <v>48</v>
      </c>
      <c r="C448" t="s">
        <v>219</v>
      </c>
      <c r="D448" t="s">
        <v>276</v>
      </c>
      <c r="E448">
        <v>4</v>
      </c>
      <c r="F448" t="s">
        <v>27</v>
      </c>
      <c r="G448" t="s">
        <v>28</v>
      </c>
      <c r="I448">
        <v>45800</v>
      </c>
      <c r="J448">
        <v>2390</v>
      </c>
      <c r="K448">
        <v>4</v>
      </c>
      <c r="L448">
        <v>45800</v>
      </c>
      <c r="M448">
        <v>2390</v>
      </c>
      <c r="N448" t="s">
        <v>43</v>
      </c>
      <c r="O448" t="s">
        <v>30</v>
      </c>
      <c r="P448" t="s">
        <v>98</v>
      </c>
      <c r="Q448" t="s">
        <v>99</v>
      </c>
      <c r="R448" t="s">
        <v>60</v>
      </c>
      <c r="S448" t="s">
        <v>280</v>
      </c>
      <c r="T448" t="s">
        <v>38</v>
      </c>
      <c r="U448" t="s">
        <v>36</v>
      </c>
      <c r="V448">
        <v>0.01</v>
      </c>
      <c r="W448" t="s">
        <v>588</v>
      </c>
      <c r="X448" t="s">
        <v>38</v>
      </c>
      <c r="Y448" t="s">
        <v>36</v>
      </c>
    </row>
    <row r="449" spans="1:25" x14ac:dyDescent="0.3">
      <c r="A449">
        <v>6410</v>
      </c>
      <c r="B449" t="s">
        <v>48</v>
      </c>
      <c r="C449" t="s">
        <v>276</v>
      </c>
      <c r="D449" t="s">
        <v>695</v>
      </c>
      <c r="E449">
        <v>4</v>
      </c>
      <c r="F449" t="s">
        <v>27</v>
      </c>
      <c r="G449" t="s">
        <v>28</v>
      </c>
      <c r="I449">
        <v>45800</v>
      </c>
      <c r="J449">
        <v>2390</v>
      </c>
      <c r="K449">
        <v>4</v>
      </c>
      <c r="L449">
        <v>45800</v>
      </c>
      <c r="M449">
        <v>2390</v>
      </c>
      <c r="N449" t="s">
        <v>43</v>
      </c>
      <c r="O449" t="s">
        <v>30</v>
      </c>
      <c r="P449" t="s">
        <v>98</v>
      </c>
      <c r="Q449" t="s">
        <v>99</v>
      </c>
      <c r="R449" t="s">
        <v>60</v>
      </c>
      <c r="S449" t="s">
        <v>236</v>
      </c>
      <c r="T449" t="s">
        <v>113</v>
      </c>
      <c r="U449" t="s">
        <v>36</v>
      </c>
      <c r="V449">
        <v>0.01</v>
      </c>
      <c r="W449" t="s">
        <v>426</v>
      </c>
      <c r="X449" t="s">
        <v>198</v>
      </c>
      <c r="Y449" t="s">
        <v>36</v>
      </c>
    </row>
    <row r="450" spans="1:25" x14ac:dyDescent="0.3">
      <c r="A450">
        <v>6420</v>
      </c>
      <c r="B450" t="s">
        <v>48</v>
      </c>
      <c r="C450" t="s">
        <v>695</v>
      </c>
      <c r="D450" t="s">
        <v>56</v>
      </c>
      <c r="E450">
        <v>4</v>
      </c>
      <c r="F450" t="s">
        <v>27</v>
      </c>
      <c r="G450" t="s">
        <v>57</v>
      </c>
      <c r="I450">
        <v>45800</v>
      </c>
      <c r="J450">
        <v>2390</v>
      </c>
      <c r="K450">
        <v>4</v>
      </c>
      <c r="L450">
        <v>45800</v>
      </c>
      <c r="M450">
        <v>2390</v>
      </c>
      <c r="N450" t="s">
        <v>43</v>
      </c>
      <c r="O450" t="s">
        <v>30</v>
      </c>
      <c r="P450" t="s">
        <v>98</v>
      </c>
      <c r="Q450" t="s">
        <v>99</v>
      </c>
      <c r="R450" t="s">
        <v>60</v>
      </c>
      <c r="S450" t="s">
        <v>236</v>
      </c>
      <c r="T450" t="s">
        <v>113</v>
      </c>
      <c r="U450" t="s">
        <v>36</v>
      </c>
      <c r="V450">
        <v>0.01</v>
      </c>
      <c r="W450" t="s">
        <v>426</v>
      </c>
      <c r="X450" t="s">
        <v>198</v>
      </c>
      <c r="Y450" t="s">
        <v>36</v>
      </c>
    </row>
    <row r="451" spans="1:25" x14ac:dyDescent="0.3">
      <c r="A451">
        <v>6430</v>
      </c>
      <c r="B451" t="s">
        <v>48</v>
      </c>
      <c r="C451" t="s">
        <v>56</v>
      </c>
      <c r="D451" t="s">
        <v>469</v>
      </c>
      <c r="E451">
        <v>4</v>
      </c>
      <c r="F451" t="s">
        <v>27</v>
      </c>
      <c r="G451" t="s">
        <v>57</v>
      </c>
      <c r="I451">
        <v>55700</v>
      </c>
      <c r="J451">
        <v>2910</v>
      </c>
      <c r="K451">
        <v>4</v>
      </c>
      <c r="L451">
        <v>55700</v>
      </c>
      <c r="M451">
        <v>2910</v>
      </c>
      <c r="N451" t="s">
        <v>29</v>
      </c>
      <c r="O451" t="s">
        <v>30</v>
      </c>
      <c r="P451" t="s">
        <v>98</v>
      </c>
      <c r="Q451" t="s">
        <v>99</v>
      </c>
      <c r="R451" t="s">
        <v>30</v>
      </c>
      <c r="S451" t="s">
        <v>515</v>
      </c>
      <c r="T451" t="s">
        <v>90</v>
      </c>
      <c r="U451" t="s">
        <v>36</v>
      </c>
      <c r="V451">
        <v>0.01</v>
      </c>
      <c r="W451" t="s">
        <v>328</v>
      </c>
      <c r="X451" t="s">
        <v>93</v>
      </c>
      <c r="Y451" t="s">
        <v>36</v>
      </c>
    </row>
    <row r="452" spans="1:25" x14ac:dyDescent="0.3">
      <c r="A452">
        <v>6440</v>
      </c>
      <c r="B452" t="s">
        <v>48</v>
      </c>
      <c r="C452" t="s">
        <v>469</v>
      </c>
      <c r="D452" t="s">
        <v>696</v>
      </c>
      <c r="E452">
        <v>4</v>
      </c>
      <c r="F452" t="s">
        <v>27</v>
      </c>
      <c r="G452" t="s">
        <v>57</v>
      </c>
      <c r="I452">
        <v>55700</v>
      </c>
      <c r="J452">
        <v>2910</v>
      </c>
      <c r="K452">
        <v>4</v>
      </c>
      <c r="L452">
        <v>55700</v>
      </c>
      <c r="M452">
        <v>2910</v>
      </c>
      <c r="N452" t="s">
        <v>29</v>
      </c>
      <c r="O452" t="s">
        <v>30</v>
      </c>
      <c r="P452" t="s">
        <v>98</v>
      </c>
      <c r="Q452" t="s">
        <v>99</v>
      </c>
      <c r="R452" t="s">
        <v>30</v>
      </c>
      <c r="S452" t="s">
        <v>515</v>
      </c>
      <c r="T452" t="s">
        <v>90</v>
      </c>
      <c r="U452" t="s">
        <v>36</v>
      </c>
      <c r="V452">
        <v>0.01</v>
      </c>
      <c r="W452" t="s">
        <v>328</v>
      </c>
      <c r="X452" t="s">
        <v>93</v>
      </c>
      <c r="Y452" t="s">
        <v>36</v>
      </c>
    </row>
    <row r="453" spans="1:25" x14ac:dyDescent="0.3">
      <c r="A453">
        <v>6450</v>
      </c>
      <c r="B453" t="s">
        <v>48</v>
      </c>
      <c r="C453" t="s">
        <v>696</v>
      </c>
      <c r="D453" t="s">
        <v>467</v>
      </c>
      <c r="E453">
        <v>4</v>
      </c>
      <c r="F453" t="s">
        <v>27</v>
      </c>
      <c r="G453" t="s">
        <v>57</v>
      </c>
      <c r="I453">
        <v>55700</v>
      </c>
      <c r="J453">
        <v>2910</v>
      </c>
      <c r="K453">
        <v>4</v>
      </c>
      <c r="L453">
        <v>55700</v>
      </c>
      <c r="M453">
        <v>2910</v>
      </c>
      <c r="N453" t="s">
        <v>29</v>
      </c>
      <c r="O453" t="s">
        <v>30</v>
      </c>
      <c r="P453" t="s">
        <v>98</v>
      </c>
      <c r="Q453" t="s">
        <v>99</v>
      </c>
      <c r="R453" t="s">
        <v>30</v>
      </c>
      <c r="S453" t="s">
        <v>683</v>
      </c>
      <c r="T453" t="s">
        <v>383</v>
      </c>
      <c r="U453" t="s">
        <v>36</v>
      </c>
      <c r="V453">
        <v>0.01</v>
      </c>
      <c r="W453" t="s">
        <v>595</v>
      </c>
      <c r="X453" t="s">
        <v>181</v>
      </c>
      <c r="Y453" t="s">
        <v>36</v>
      </c>
    </row>
    <row r="454" spans="1:25" x14ac:dyDescent="0.3">
      <c r="A454">
        <v>6460</v>
      </c>
      <c r="B454" t="s">
        <v>48</v>
      </c>
      <c r="C454" t="s">
        <v>467</v>
      </c>
      <c r="D454" t="s">
        <v>156</v>
      </c>
      <c r="E454">
        <v>4</v>
      </c>
      <c r="F454" t="s">
        <v>27</v>
      </c>
      <c r="G454" t="s">
        <v>57</v>
      </c>
      <c r="I454">
        <v>55700</v>
      </c>
      <c r="J454">
        <v>2910</v>
      </c>
      <c r="K454">
        <v>4</v>
      </c>
      <c r="L454">
        <v>55700</v>
      </c>
      <c r="M454">
        <v>2910</v>
      </c>
      <c r="N454" t="s">
        <v>29</v>
      </c>
      <c r="O454" t="s">
        <v>30</v>
      </c>
      <c r="P454" t="s">
        <v>98</v>
      </c>
      <c r="Q454" t="s">
        <v>99</v>
      </c>
      <c r="R454" t="s">
        <v>30</v>
      </c>
      <c r="S454" t="s">
        <v>683</v>
      </c>
      <c r="T454" t="s">
        <v>383</v>
      </c>
      <c r="U454" t="s">
        <v>36</v>
      </c>
      <c r="V454">
        <v>0.01</v>
      </c>
      <c r="W454" t="s">
        <v>595</v>
      </c>
      <c r="X454" t="s">
        <v>181</v>
      </c>
      <c r="Y454" t="s">
        <v>36</v>
      </c>
    </row>
    <row r="455" spans="1:25" x14ac:dyDescent="0.3">
      <c r="A455">
        <v>6490</v>
      </c>
      <c r="B455" t="s">
        <v>48</v>
      </c>
      <c r="C455" t="s">
        <v>156</v>
      </c>
      <c r="D455" t="s">
        <v>450</v>
      </c>
      <c r="E455">
        <v>4</v>
      </c>
      <c r="F455" t="s">
        <v>27</v>
      </c>
      <c r="G455" t="s">
        <v>57</v>
      </c>
      <c r="I455">
        <v>38430</v>
      </c>
      <c r="J455">
        <v>1901</v>
      </c>
      <c r="K455">
        <v>4</v>
      </c>
      <c r="L455">
        <v>38430</v>
      </c>
      <c r="M455">
        <v>1901</v>
      </c>
      <c r="N455" t="s">
        <v>29</v>
      </c>
      <c r="O455" t="s">
        <v>30</v>
      </c>
      <c r="P455" t="s">
        <v>98</v>
      </c>
      <c r="Q455" t="s">
        <v>99</v>
      </c>
      <c r="R455" t="s">
        <v>30</v>
      </c>
      <c r="S455" t="s">
        <v>521</v>
      </c>
      <c r="T455" t="s">
        <v>341</v>
      </c>
      <c r="U455" t="s">
        <v>60</v>
      </c>
      <c r="V455">
        <v>0.01</v>
      </c>
      <c r="W455" t="s">
        <v>620</v>
      </c>
      <c r="X455" t="s">
        <v>172</v>
      </c>
      <c r="Y455" t="s">
        <v>60</v>
      </c>
    </row>
    <row r="456" spans="1:25" x14ac:dyDescent="0.3">
      <c r="A456">
        <v>6500</v>
      </c>
      <c r="B456" t="s">
        <v>48</v>
      </c>
      <c r="C456" t="s">
        <v>450</v>
      </c>
      <c r="D456" t="s">
        <v>459</v>
      </c>
      <c r="E456">
        <v>4</v>
      </c>
      <c r="F456" t="s">
        <v>27</v>
      </c>
      <c r="G456" t="s">
        <v>57</v>
      </c>
      <c r="I456">
        <v>38430</v>
      </c>
      <c r="J456">
        <v>1901</v>
      </c>
      <c r="K456">
        <v>4</v>
      </c>
      <c r="L456">
        <v>38430</v>
      </c>
      <c r="M456">
        <v>1901</v>
      </c>
      <c r="N456" t="s">
        <v>29</v>
      </c>
      <c r="O456" t="s">
        <v>30</v>
      </c>
      <c r="P456" t="s">
        <v>98</v>
      </c>
      <c r="Q456" t="s">
        <v>99</v>
      </c>
      <c r="R456" t="s">
        <v>30</v>
      </c>
      <c r="S456" t="s">
        <v>642</v>
      </c>
      <c r="T456" t="s">
        <v>289</v>
      </c>
      <c r="U456" t="s">
        <v>60</v>
      </c>
      <c r="V456">
        <v>0.01</v>
      </c>
      <c r="W456" t="s">
        <v>643</v>
      </c>
      <c r="X456" t="s">
        <v>228</v>
      </c>
      <c r="Y456" t="s">
        <v>60</v>
      </c>
    </row>
    <row r="457" spans="1:25" x14ac:dyDescent="0.3">
      <c r="A457">
        <v>6510</v>
      </c>
      <c r="B457" t="s">
        <v>48</v>
      </c>
      <c r="C457" t="s">
        <v>459</v>
      </c>
      <c r="D457" t="s">
        <v>26</v>
      </c>
      <c r="E457">
        <v>4</v>
      </c>
      <c r="F457" t="s">
        <v>27</v>
      </c>
      <c r="G457" t="s">
        <v>57</v>
      </c>
      <c r="I457">
        <v>38430</v>
      </c>
      <c r="J457">
        <v>1901</v>
      </c>
      <c r="K457">
        <v>4</v>
      </c>
      <c r="L457">
        <v>38430</v>
      </c>
      <c r="M457">
        <v>1901</v>
      </c>
      <c r="N457" t="s">
        <v>29</v>
      </c>
      <c r="O457" t="s">
        <v>30</v>
      </c>
      <c r="P457" t="s">
        <v>98</v>
      </c>
      <c r="Q457" t="s">
        <v>99</v>
      </c>
      <c r="R457" t="s">
        <v>30</v>
      </c>
      <c r="S457" t="s">
        <v>697</v>
      </c>
      <c r="T457" t="s">
        <v>294</v>
      </c>
      <c r="U457" t="s">
        <v>60</v>
      </c>
      <c r="V457">
        <v>0.01</v>
      </c>
      <c r="W457" t="s">
        <v>547</v>
      </c>
      <c r="X457" t="s">
        <v>62</v>
      </c>
      <c r="Y457" t="s">
        <v>60</v>
      </c>
    </row>
    <row r="458" spans="1:25" x14ac:dyDescent="0.3">
      <c r="A458">
        <v>6530.1</v>
      </c>
      <c r="B458" t="s">
        <v>183</v>
      </c>
      <c r="C458" t="s">
        <v>348</v>
      </c>
      <c r="D458" t="s">
        <v>69</v>
      </c>
      <c r="E458">
        <v>4</v>
      </c>
      <c r="F458" t="s">
        <v>27</v>
      </c>
      <c r="G458" t="s">
        <v>57</v>
      </c>
      <c r="I458">
        <v>55700</v>
      </c>
      <c r="J458">
        <v>2910</v>
      </c>
      <c r="K458">
        <v>4</v>
      </c>
      <c r="L458">
        <v>55700</v>
      </c>
      <c r="M458">
        <v>2910</v>
      </c>
      <c r="N458" t="s">
        <v>29</v>
      </c>
      <c r="O458" t="s">
        <v>30</v>
      </c>
      <c r="P458" t="s">
        <v>98</v>
      </c>
      <c r="Q458" t="s">
        <v>99</v>
      </c>
      <c r="R458" t="s">
        <v>30</v>
      </c>
      <c r="S458" t="s">
        <v>698</v>
      </c>
      <c r="T458" t="s">
        <v>114</v>
      </c>
      <c r="U458" t="s">
        <v>36</v>
      </c>
      <c r="V458">
        <v>4.9399999999999999E-2</v>
      </c>
      <c r="W458" t="s">
        <v>699</v>
      </c>
      <c r="X458" t="s">
        <v>341</v>
      </c>
      <c r="Y458" t="s">
        <v>36</v>
      </c>
    </row>
    <row r="459" spans="1:25" x14ac:dyDescent="0.3">
      <c r="A459">
        <v>6540</v>
      </c>
      <c r="B459" t="s">
        <v>183</v>
      </c>
      <c r="C459" t="s">
        <v>69</v>
      </c>
      <c r="D459" t="s">
        <v>700</v>
      </c>
      <c r="E459">
        <v>2</v>
      </c>
      <c r="F459" t="s">
        <v>27</v>
      </c>
      <c r="G459" t="s">
        <v>28</v>
      </c>
      <c r="I459">
        <v>14000</v>
      </c>
      <c r="J459">
        <v>730</v>
      </c>
      <c r="K459">
        <v>2</v>
      </c>
      <c r="L459">
        <v>14000</v>
      </c>
      <c r="M459">
        <v>730</v>
      </c>
      <c r="N459" t="s">
        <v>29</v>
      </c>
      <c r="O459" t="s">
        <v>44</v>
      </c>
      <c r="P459" t="s">
        <v>98</v>
      </c>
      <c r="Q459" t="s">
        <v>99</v>
      </c>
      <c r="R459" t="s">
        <v>30</v>
      </c>
      <c r="S459" t="s">
        <v>625</v>
      </c>
      <c r="T459" t="s">
        <v>701</v>
      </c>
      <c r="U459" t="s">
        <v>33</v>
      </c>
      <c r="V459">
        <v>0.01</v>
      </c>
      <c r="W459" t="s">
        <v>627</v>
      </c>
      <c r="X459" t="s">
        <v>702</v>
      </c>
      <c r="Y459" t="s">
        <v>33</v>
      </c>
    </row>
    <row r="460" spans="1:25" x14ac:dyDescent="0.3">
      <c r="A460">
        <v>6550.1</v>
      </c>
      <c r="B460" t="s">
        <v>183</v>
      </c>
      <c r="C460" t="s">
        <v>700</v>
      </c>
      <c r="D460" t="s">
        <v>26</v>
      </c>
      <c r="E460">
        <v>4</v>
      </c>
      <c r="F460" t="s">
        <v>27</v>
      </c>
      <c r="G460" t="s">
        <v>28</v>
      </c>
      <c r="I460">
        <v>32970</v>
      </c>
      <c r="J460">
        <v>987</v>
      </c>
      <c r="K460">
        <v>4</v>
      </c>
      <c r="L460">
        <v>32970</v>
      </c>
      <c r="M460">
        <v>987</v>
      </c>
      <c r="N460" t="s">
        <v>29</v>
      </c>
      <c r="O460" t="s">
        <v>30</v>
      </c>
      <c r="P460" t="s">
        <v>98</v>
      </c>
      <c r="Q460" t="s">
        <v>99</v>
      </c>
      <c r="R460" t="s">
        <v>30</v>
      </c>
      <c r="S460" t="s">
        <v>523</v>
      </c>
      <c r="T460" t="s">
        <v>668</v>
      </c>
      <c r="U460" t="s">
        <v>60</v>
      </c>
      <c r="V460">
        <v>0.01</v>
      </c>
      <c r="W460" t="s">
        <v>524</v>
      </c>
      <c r="X460" t="s">
        <v>362</v>
      </c>
      <c r="Y460" t="s">
        <v>60</v>
      </c>
    </row>
    <row r="461" spans="1:25" x14ac:dyDescent="0.3">
      <c r="A461">
        <v>6560</v>
      </c>
      <c r="B461" t="s">
        <v>183</v>
      </c>
      <c r="C461" t="s">
        <v>26</v>
      </c>
      <c r="D461" t="s">
        <v>394</v>
      </c>
      <c r="E461">
        <v>4</v>
      </c>
      <c r="F461" t="s">
        <v>27</v>
      </c>
      <c r="G461" t="s">
        <v>28</v>
      </c>
      <c r="I461">
        <v>45800</v>
      </c>
      <c r="J461">
        <v>2390</v>
      </c>
      <c r="K461">
        <v>4</v>
      </c>
      <c r="L461">
        <v>45800</v>
      </c>
      <c r="M461">
        <v>2390</v>
      </c>
      <c r="N461" t="s">
        <v>43</v>
      </c>
      <c r="O461" t="s">
        <v>30</v>
      </c>
      <c r="P461" t="s">
        <v>98</v>
      </c>
      <c r="Q461" t="s">
        <v>99</v>
      </c>
      <c r="R461" t="s">
        <v>60</v>
      </c>
      <c r="S461" t="s">
        <v>307</v>
      </c>
      <c r="T461" t="s">
        <v>85</v>
      </c>
      <c r="U461" t="s">
        <v>36</v>
      </c>
      <c r="V461">
        <v>0.01</v>
      </c>
      <c r="W461" t="s">
        <v>347</v>
      </c>
      <c r="X461" t="s">
        <v>117</v>
      </c>
      <c r="Y461" t="s">
        <v>36</v>
      </c>
    </row>
    <row r="462" spans="1:25" x14ac:dyDescent="0.3">
      <c r="A462">
        <v>6570</v>
      </c>
      <c r="B462" t="s">
        <v>183</v>
      </c>
      <c r="C462" t="s">
        <v>394</v>
      </c>
      <c r="D462" t="s">
        <v>55</v>
      </c>
      <c r="E462">
        <v>4</v>
      </c>
      <c r="F462" t="s">
        <v>27</v>
      </c>
      <c r="G462" t="s">
        <v>57</v>
      </c>
      <c r="I462">
        <v>32235</v>
      </c>
      <c r="J462">
        <v>1596</v>
      </c>
      <c r="K462">
        <v>4</v>
      </c>
      <c r="L462">
        <v>32235</v>
      </c>
      <c r="M462">
        <v>1596</v>
      </c>
      <c r="N462" t="s">
        <v>43</v>
      </c>
      <c r="O462" t="s">
        <v>30</v>
      </c>
      <c r="P462" t="s">
        <v>98</v>
      </c>
      <c r="Q462" t="s">
        <v>99</v>
      </c>
      <c r="R462" t="s">
        <v>60</v>
      </c>
      <c r="S462" t="s">
        <v>312</v>
      </c>
      <c r="T462" t="s">
        <v>214</v>
      </c>
      <c r="U462" t="s">
        <v>60</v>
      </c>
      <c r="V462">
        <v>0.01</v>
      </c>
      <c r="W462" t="s">
        <v>684</v>
      </c>
      <c r="X462" t="s">
        <v>284</v>
      </c>
      <c r="Y462" t="s">
        <v>60</v>
      </c>
    </row>
    <row r="463" spans="1:25" x14ac:dyDescent="0.3">
      <c r="A463">
        <v>6580</v>
      </c>
      <c r="B463" t="s">
        <v>183</v>
      </c>
      <c r="C463" t="s">
        <v>55</v>
      </c>
      <c r="D463" t="s">
        <v>373</v>
      </c>
      <c r="E463">
        <v>4</v>
      </c>
      <c r="F463" t="s">
        <v>27</v>
      </c>
      <c r="G463" t="s">
        <v>28</v>
      </c>
      <c r="I463">
        <v>32235</v>
      </c>
      <c r="J463">
        <v>1596</v>
      </c>
      <c r="K463">
        <v>4</v>
      </c>
      <c r="L463">
        <v>32235</v>
      </c>
      <c r="M463">
        <v>1596</v>
      </c>
      <c r="N463" t="s">
        <v>43</v>
      </c>
      <c r="O463" t="s">
        <v>30</v>
      </c>
      <c r="P463" t="s">
        <v>98</v>
      </c>
      <c r="Q463" t="s">
        <v>99</v>
      </c>
      <c r="R463" t="s">
        <v>60</v>
      </c>
      <c r="S463" t="s">
        <v>312</v>
      </c>
      <c r="T463" t="s">
        <v>214</v>
      </c>
      <c r="U463" t="s">
        <v>60</v>
      </c>
      <c r="V463">
        <v>0.01</v>
      </c>
      <c r="W463" t="s">
        <v>684</v>
      </c>
      <c r="X463" t="s">
        <v>284</v>
      </c>
      <c r="Y463" t="s">
        <v>60</v>
      </c>
    </row>
    <row r="464" spans="1:25" x14ac:dyDescent="0.3">
      <c r="A464">
        <v>6590</v>
      </c>
      <c r="B464" t="s">
        <v>188</v>
      </c>
      <c r="C464" t="s">
        <v>348</v>
      </c>
      <c r="D464" t="s">
        <v>285</v>
      </c>
      <c r="E464">
        <v>4</v>
      </c>
      <c r="F464" t="s">
        <v>27</v>
      </c>
      <c r="G464" t="s">
        <v>57</v>
      </c>
      <c r="I464">
        <v>36100</v>
      </c>
      <c r="J464">
        <v>1790</v>
      </c>
      <c r="K464">
        <v>4</v>
      </c>
      <c r="L464">
        <v>36100</v>
      </c>
      <c r="M464">
        <v>1790</v>
      </c>
      <c r="N464" t="s">
        <v>29</v>
      </c>
      <c r="O464" t="s">
        <v>30</v>
      </c>
      <c r="P464" t="s">
        <v>98</v>
      </c>
      <c r="Q464" t="s">
        <v>99</v>
      </c>
      <c r="R464" t="s">
        <v>30</v>
      </c>
      <c r="S464" t="s">
        <v>683</v>
      </c>
      <c r="T464" t="s">
        <v>239</v>
      </c>
      <c r="U464" t="s">
        <v>60</v>
      </c>
      <c r="V464">
        <v>0.01</v>
      </c>
      <c r="W464" t="s">
        <v>595</v>
      </c>
      <c r="X464" t="s">
        <v>316</v>
      </c>
      <c r="Y464" t="s">
        <v>60</v>
      </c>
    </row>
    <row r="465" spans="1:25" x14ac:dyDescent="0.3">
      <c r="A465">
        <v>6600</v>
      </c>
      <c r="B465" t="s">
        <v>188</v>
      </c>
      <c r="C465" t="s">
        <v>285</v>
      </c>
      <c r="D465" t="s">
        <v>703</v>
      </c>
      <c r="E465">
        <v>4</v>
      </c>
      <c r="F465" t="s">
        <v>27</v>
      </c>
      <c r="G465" t="s">
        <v>57</v>
      </c>
      <c r="I465">
        <v>37905</v>
      </c>
      <c r="J465">
        <v>1880</v>
      </c>
      <c r="K465">
        <v>4</v>
      </c>
      <c r="L465">
        <v>37905</v>
      </c>
      <c r="M465">
        <v>1880</v>
      </c>
      <c r="N465" t="s">
        <v>29</v>
      </c>
      <c r="O465" t="s">
        <v>30</v>
      </c>
      <c r="P465" t="s">
        <v>98</v>
      </c>
      <c r="Q465" t="s">
        <v>99</v>
      </c>
      <c r="R465" t="s">
        <v>30</v>
      </c>
      <c r="S465" t="s">
        <v>704</v>
      </c>
      <c r="T465" t="s">
        <v>191</v>
      </c>
      <c r="U465" t="s">
        <v>60</v>
      </c>
      <c r="V465">
        <v>0.01</v>
      </c>
      <c r="W465" t="s">
        <v>705</v>
      </c>
      <c r="X465" t="s">
        <v>533</v>
      </c>
      <c r="Y465" t="s">
        <v>60</v>
      </c>
    </row>
    <row r="466" spans="1:25" x14ac:dyDescent="0.3">
      <c r="A466">
        <v>6620</v>
      </c>
      <c r="B466" t="s">
        <v>188</v>
      </c>
      <c r="C466" t="s">
        <v>703</v>
      </c>
      <c r="D466" t="s">
        <v>706</v>
      </c>
      <c r="E466">
        <v>4</v>
      </c>
      <c r="F466" t="s">
        <v>27</v>
      </c>
      <c r="G466" t="s">
        <v>57</v>
      </c>
      <c r="I466">
        <v>38430</v>
      </c>
      <c r="J466">
        <v>1901</v>
      </c>
      <c r="K466">
        <v>4</v>
      </c>
      <c r="L466">
        <v>38430</v>
      </c>
      <c r="M466">
        <v>1901</v>
      </c>
      <c r="N466" t="s">
        <v>29</v>
      </c>
      <c r="O466" t="s">
        <v>30</v>
      </c>
      <c r="P466" t="s">
        <v>98</v>
      </c>
      <c r="Q466" t="s">
        <v>99</v>
      </c>
      <c r="R466" t="s">
        <v>30</v>
      </c>
      <c r="S466" t="s">
        <v>579</v>
      </c>
      <c r="T466" t="s">
        <v>139</v>
      </c>
      <c r="U466" t="s">
        <v>60</v>
      </c>
      <c r="V466">
        <v>1.46E-2</v>
      </c>
      <c r="W466" t="s">
        <v>621</v>
      </c>
      <c r="X466" t="s">
        <v>178</v>
      </c>
      <c r="Y466" t="s">
        <v>60</v>
      </c>
    </row>
    <row r="467" spans="1:25" x14ac:dyDescent="0.3">
      <c r="A467">
        <v>6640</v>
      </c>
      <c r="B467" t="s">
        <v>188</v>
      </c>
      <c r="C467" t="s">
        <v>706</v>
      </c>
      <c r="D467" t="s">
        <v>707</v>
      </c>
      <c r="E467">
        <v>4</v>
      </c>
      <c r="F467" t="s">
        <v>27</v>
      </c>
      <c r="G467" t="s">
        <v>57</v>
      </c>
      <c r="I467">
        <v>40352</v>
      </c>
      <c r="J467">
        <v>1996</v>
      </c>
      <c r="K467">
        <v>4</v>
      </c>
      <c r="L467">
        <v>40352</v>
      </c>
      <c r="M467">
        <v>1996</v>
      </c>
      <c r="N467" t="s">
        <v>29</v>
      </c>
      <c r="O467" t="s">
        <v>30</v>
      </c>
      <c r="P467" t="s">
        <v>98</v>
      </c>
      <c r="Q467" t="s">
        <v>99</v>
      </c>
      <c r="R467" t="s">
        <v>30</v>
      </c>
      <c r="S467" t="s">
        <v>579</v>
      </c>
      <c r="T467" t="s">
        <v>288</v>
      </c>
      <c r="U467" t="s">
        <v>60</v>
      </c>
      <c r="V467">
        <v>1.46E-2</v>
      </c>
      <c r="W467" t="s">
        <v>621</v>
      </c>
      <c r="X467" t="s">
        <v>172</v>
      </c>
      <c r="Y467" t="s">
        <v>60</v>
      </c>
    </row>
    <row r="468" spans="1:25" x14ac:dyDescent="0.3">
      <c r="A468">
        <v>6650</v>
      </c>
      <c r="B468" t="s">
        <v>188</v>
      </c>
      <c r="C468" t="s">
        <v>707</v>
      </c>
      <c r="D468" t="s">
        <v>708</v>
      </c>
      <c r="E468">
        <v>2</v>
      </c>
      <c r="F468" t="s">
        <v>27</v>
      </c>
      <c r="G468" t="s">
        <v>57</v>
      </c>
      <c r="I468">
        <v>17360</v>
      </c>
      <c r="J468">
        <v>856</v>
      </c>
      <c r="K468">
        <v>4</v>
      </c>
      <c r="L468">
        <v>40352</v>
      </c>
      <c r="M468">
        <v>1358</v>
      </c>
      <c r="N468" t="s">
        <v>29</v>
      </c>
      <c r="O468" t="s">
        <v>44</v>
      </c>
      <c r="P468" t="s">
        <v>98</v>
      </c>
      <c r="Q468" t="s">
        <v>99</v>
      </c>
      <c r="R468" t="s">
        <v>30</v>
      </c>
      <c r="S468" t="s">
        <v>579</v>
      </c>
      <c r="T468" t="s">
        <v>701</v>
      </c>
      <c r="U468" t="s">
        <v>259</v>
      </c>
      <c r="V468">
        <v>1.46E-2</v>
      </c>
      <c r="W468" t="s">
        <v>621</v>
      </c>
      <c r="X468" t="s">
        <v>179</v>
      </c>
      <c r="Y468" t="s">
        <v>30</v>
      </c>
    </row>
    <row r="469" spans="1:25" x14ac:dyDescent="0.3">
      <c r="A469">
        <v>6660</v>
      </c>
      <c r="B469" t="s">
        <v>188</v>
      </c>
      <c r="C469" t="s">
        <v>708</v>
      </c>
      <c r="D469" t="s">
        <v>709</v>
      </c>
      <c r="E469">
        <v>2</v>
      </c>
      <c r="F469" t="s">
        <v>27</v>
      </c>
      <c r="G469" t="s">
        <v>28</v>
      </c>
      <c r="I469">
        <v>17920</v>
      </c>
      <c r="J469">
        <v>888</v>
      </c>
      <c r="K469">
        <v>4</v>
      </c>
      <c r="L469">
        <v>27450</v>
      </c>
      <c r="M469">
        <v>1388</v>
      </c>
      <c r="N469" t="s">
        <v>29</v>
      </c>
      <c r="O469" t="s">
        <v>44</v>
      </c>
      <c r="P469" t="s">
        <v>98</v>
      </c>
      <c r="Q469" t="s">
        <v>99</v>
      </c>
      <c r="R469" t="s">
        <v>30</v>
      </c>
      <c r="S469" t="s">
        <v>234</v>
      </c>
      <c r="T469" t="s">
        <v>232</v>
      </c>
      <c r="U469" t="s">
        <v>60</v>
      </c>
      <c r="V469">
        <v>1.24E-2</v>
      </c>
      <c r="W469" t="s">
        <v>710</v>
      </c>
      <c r="X469" t="s">
        <v>101</v>
      </c>
      <c r="Y469" t="s">
        <v>60</v>
      </c>
    </row>
    <row r="470" spans="1:25" x14ac:dyDescent="0.3">
      <c r="A470">
        <v>6670</v>
      </c>
      <c r="B470" t="s">
        <v>188</v>
      </c>
      <c r="C470" t="s">
        <v>709</v>
      </c>
      <c r="D470" t="s">
        <v>140</v>
      </c>
      <c r="E470">
        <v>2</v>
      </c>
      <c r="F470" t="s">
        <v>27</v>
      </c>
      <c r="G470" t="s">
        <v>57</v>
      </c>
      <c r="I470">
        <v>17920</v>
      </c>
      <c r="J470">
        <v>888</v>
      </c>
      <c r="K470">
        <v>4</v>
      </c>
      <c r="L470">
        <v>27975</v>
      </c>
      <c r="M470">
        <v>1388</v>
      </c>
      <c r="N470" t="s">
        <v>29</v>
      </c>
      <c r="O470" t="s">
        <v>44</v>
      </c>
      <c r="P470" t="s">
        <v>98</v>
      </c>
      <c r="Q470" t="s">
        <v>99</v>
      </c>
      <c r="R470" t="s">
        <v>30</v>
      </c>
      <c r="S470" t="s">
        <v>234</v>
      </c>
      <c r="T470" t="s">
        <v>232</v>
      </c>
      <c r="U470" t="s">
        <v>60</v>
      </c>
      <c r="V470">
        <v>1.24E-2</v>
      </c>
      <c r="W470" t="s">
        <v>710</v>
      </c>
      <c r="X470" t="s">
        <v>101</v>
      </c>
      <c r="Y470" t="s">
        <v>60</v>
      </c>
    </row>
    <row r="471" spans="1:25" x14ac:dyDescent="0.3">
      <c r="A471">
        <v>6680.1</v>
      </c>
      <c r="B471" t="s">
        <v>188</v>
      </c>
      <c r="C471" t="s">
        <v>140</v>
      </c>
      <c r="D471" t="s">
        <v>111</v>
      </c>
      <c r="E471">
        <v>2</v>
      </c>
      <c r="F471" t="s">
        <v>27</v>
      </c>
      <c r="G471" t="s">
        <v>28</v>
      </c>
      <c r="I471">
        <v>14000</v>
      </c>
      <c r="J471">
        <v>730</v>
      </c>
      <c r="K471">
        <v>2</v>
      </c>
      <c r="L471">
        <v>14000</v>
      </c>
      <c r="M471">
        <v>730</v>
      </c>
      <c r="N471" t="s">
        <v>29</v>
      </c>
      <c r="O471" t="s">
        <v>44</v>
      </c>
      <c r="P471" t="s">
        <v>98</v>
      </c>
      <c r="Q471" t="s">
        <v>99</v>
      </c>
      <c r="R471" t="s">
        <v>30</v>
      </c>
      <c r="S471" t="s">
        <v>234</v>
      </c>
      <c r="T471" t="s">
        <v>500</v>
      </c>
      <c r="U471" t="s">
        <v>30</v>
      </c>
      <c r="V471">
        <v>1.24E-2</v>
      </c>
      <c r="W471" t="s">
        <v>710</v>
      </c>
      <c r="X471" t="s">
        <v>606</v>
      </c>
      <c r="Y471" t="s">
        <v>30</v>
      </c>
    </row>
    <row r="472" spans="1:25" x14ac:dyDescent="0.3">
      <c r="A472">
        <v>6680.2</v>
      </c>
      <c r="B472" t="s">
        <v>188</v>
      </c>
      <c r="C472" t="s">
        <v>111</v>
      </c>
      <c r="D472" t="s">
        <v>711</v>
      </c>
      <c r="E472">
        <v>2</v>
      </c>
      <c r="F472" t="s">
        <v>27</v>
      </c>
      <c r="G472" t="s">
        <v>28</v>
      </c>
      <c r="I472">
        <v>8200</v>
      </c>
      <c r="J472">
        <v>430</v>
      </c>
      <c r="K472">
        <v>2</v>
      </c>
      <c r="L472">
        <v>8200</v>
      </c>
      <c r="M472">
        <v>430</v>
      </c>
      <c r="N472" t="s">
        <v>43</v>
      </c>
      <c r="O472" t="s">
        <v>44</v>
      </c>
      <c r="P472" t="s">
        <v>98</v>
      </c>
      <c r="Q472" t="s">
        <v>99</v>
      </c>
      <c r="R472" t="s">
        <v>60</v>
      </c>
      <c r="S472" t="s">
        <v>234</v>
      </c>
      <c r="T472" t="s">
        <v>712</v>
      </c>
      <c r="U472" t="s">
        <v>30</v>
      </c>
      <c r="V472">
        <v>1.24E-2</v>
      </c>
      <c r="W472" t="s">
        <v>710</v>
      </c>
      <c r="X472" t="s">
        <v>713</v>
      </c>
      <c r="Y472" t="s">
        <v>30</v>
      </c>
    </row>
    <row r="473" spans="1:25" x14ac:dyDescent="0.3">
      <c r="A473">
        <v>6690</v>
      </c>
      <c r="B473" t="s">
        <v>188</v>
      </c>
      <c r="C473" t="s">
        <v>711</v>
      </c>
      <c r="D473" t="s">
        <v>373</v>
      </c>
      <c r="E473">
        <v>2</v>
      </c>
      <c r="F473" t="s">
        <v>27</v>
      </c>
      <c r="G473" t="s">
        <v>28</v>
      </c>
      <c r="I473">
        <v>8200</v>
      </c>
      <c r="J473">
        <v>430</v>
      </c>
      <c r="K473">
        <v>2</v>
      </c>
      <c r="L473">
        <v>8200</v>
      </c>
      <c r="M473">
        <v>430</v>
      </c>
      <c r="N473" t="s">
        <v>43</v>
      </c>
      <c r="O473" t="s">
        <v>44</v>
      </c>
      <c r="P473" t="s">
        <v>98</v>
      </c>
      <c r="Q473" t="s">
        <v>99</v>
      </c>
      <c r="R473" t="s">
        <v>60</v>
      </c>
      <c r="S473" t="s">
        <v>107</v>
      </c>
      <c r="T473" t="s">
        <v>232</v>
      </c>
      <c r="U473" t="s">
        <v>60</v>
      </c>
      <c r="V473">
        <v>0.01</v>
      </c>
      <c r="W473" t="s">
        <v>454</v>
      </c>
      <c r="X473" t="s">
        <v>294</v>
      </c>
      <c r="Y473" t="s">
        <v>60</v>
      </c>
    </row>
    <row r="474" spans="1:25" x14ac:dyDescent="0.3">
      <c r="A474">
        <v>6700</v>
      </c>
      <c r="B474" t="s">
        <v>26</v>
      </c>
      <c r="C474" t="s">
        <v>348</v>
      </c>
      <c r="D474" t="s">
        <v>69</v>
      </c>
      <c r="E474">
        <v>4</v>
      </c>
      <c r="F474" t="s">
        <v>27</v>
      </c>
      <c r="G474" t="s">
        <v>57</v>
      </c>
      <c r="I474">
        <v>40352</v>
      </c>
      <c r="J474">
        <v>1996</v>
      </c>
      <c r="K474">
        <v>4</v>
      </c>
      <c r="L474">
        <v>40352</v>
      </c>
      <c r="M474">
        <v>1996</v>
      </c>
      <c r="N474" t="s">
        <v>29</v>
      </c>
      <c r="O474" t="s">
        <v>30</v>
      </c>
      <c r="P474" t="s">
        <v>98</v>
      </c>
      <c r="Q474" t="s">
        <v>99</v>
      </c>
      <c r="R474" t="s">
        <v>30</v>
      </c>
      <c r="S474" t="s">
        <v>714</v>
      </c>
      <c r="T474" t="s">
        <v>250</v>
      </c>
      <c r="U474" t="s">
        <v>30</v>
      </c>
      <c r="V474">
        <v>0.01</v>
      </c>
      <c r="W474" t="s">
        <v>715</v>
      </c>
      <c r="X474" t="s">
        <v>423</v>
      </c>
      <c r="Y474" t="s">
        <v>30</v>
      </c>
    </row>
    <row r="475" spans="1:25" x14ac:dyDescent="0.3">
      <c r="A475">
        <v>6730</v>
      </c>
      <c r="B475" t="s">
        <v>26</v>
      </c>
      <c r="C475" t="s">
        <v>69</v>
      </c>
      <c r="D475" t="s">
        <v>489</v>
      </c>
      <c r="E475">
        <v>4</v>
      </c>
      <c r="F475" t="s">
        <v>27</v>
      </c>
      <c r="G475" t="s">
        <v>57</v>
      </c>
      <c r="I475">
        <v>38430</v>
      </c>
      <c r="J475">
        <v>1901</v>
      </c>
      <c r="K475">
        <v>4</v>
      </c>
      <c r="L475">
        <v>38430</v>
      </c>
      <c r="M475">
        <v>1901</v>
      </c>
      <c r="N475" t="s">
        <v>29</v>
      </c>
      <c r="O475" t="s">
        <v>30</v>
      </c>
      <c r="P475" t="s">
        <v>98</v>
      </c>
      <c r="Q475" t="s">
        <v>99</v>
      </c>
      <c r="R475" t="s">
        <v>30</v>
      </c>
      <c r="S475" t="s">
        <v>716</v>
      </c>
      <c r="T475" t="s">
        <v>531</v>
      </c>
      <c r="U475" t="s">
        <v>30</v>
      </c>
      <c r="V475">
        <v>2.6200000000000001E-2</v>
      </c>
      <c r="W475" t="s">
        <v>717</v>
      </c>
      <c r="X475" t="s">
        <v>423</v>
      </c>
      <c r="Y475" t="s">
        <v>259</v>
      </c>
    </row>
    <row r="476" spans="1:25" x14ac:dyDescent="0.3">
      <c r="A476">
        <v>6740</v>
      </c>
      <c r="B476" t="s">
        <v>26</v>
      </c>
      <c r="C476" t="s">
        <v>489</v>
      </c>
      <c r="D476" t="s">
        <v>24</v>
      </c>
      <c r="E476">
        <v>4</v>
      </c>
      <c r="F476" t="s">
        <v>27</v>
      </c>
      <c r="G476" t="s">
        <v>57</v>
      </c>
      <c r="I476">
        <v>38430</v>
      </c>
      <c r="J476">
        <v>1901</v>
      </c>
      <c r="K476">
        <v>4</v>
      </c>
      <c r="L476">
        <v>38430</v>
      </c>
      <c r="M476">
        <v>1901</v>
      </c>
      <c r="N476" t="s">
        <v>29</v>
      </c>
      <c r="O476" t="s">
        <v>30</v>
      </c>
      <c r="P476" t="s">
        <v>98</v>
      </c>
      <c r="Q476" t="s">
        <v>99</v>
      </c>
      <c r="R476" t="s">
        <v>30</v>
      </c>
      <c r="S476" t="s">
        <v>568</v>
      </c>
      <c r="T476" t="s">
        <v>656</v>
      </c>
      <c r="U476" t="s">
        <v>30</v>
      </c>
      <c r="V476">
        <v>0.01</v>
      </c>
      <c r="W476" t="s">
        <v>569</v>
      </c>
      <c r="X476" t="s">
        <v>241</v>
      </c>
      <c r="Y476" t="s">
        <v>30</v>
      </c>
    </row>
    <row r="477" spans="1:25" x14ac:dyDescent="0.3">
      <c r="A477">
        <v>6750.2</v>
      </c>
      <c r="B477" t="s">
        <v>26</v>
      </c>
      <c r="C477" t="s">
        <v>104</v>
      </c>
      <c r="D477" t="s">
        <v>183</v>
      </c>
      <c r="E477">
        <v>4</v>
      </c>
      <c r="F477" t="s">
        <v>27</v>
      </c>
      <c r="G477" t="s">
        <v>57</v>
      </c>
      <c r="I477">
        <v>38430</v>
      </c>
      <c r="J477">
        <v>1901</v>
      </c>
      <c r="K477">
        <v>4</v>
      </c>
      <c r="L477">
        <v>38430</v>
      </c>
      <c r="M477">
        <v>1901</v>
      </c>
      <c r="N477" t="s">
        <v>29</v>
      </c>
      <c r="O477" t="s">
        <v>30</v>
      </c>
      <c r="P477" t="s">
        <v>98</v>
      </c>
      <c r="Q477" t="s">
        <v>99</v>
      </c>
      <c r="R477" t="s">
        <v>30</v>
      </c>
      <c r="S477" t="s">
        <v>100</v>
      </c>
      <c r="T477" t="s">
        <v>103</v>
      </c>
      <c r="U477" t="s">
        <v>60</v>
      </c>
      <c r="V477">
        <v>0.01</v>
      </c>
      <c r="W477" t="s">
        <v>102</v>
      </c>
      <c r="X477" t="s">
        <v>284</v>
      </c>
      <c r="Y477" t="s">
        <v>60</v>
      </c>
    </row>
    <row r="478" spans="1:25" x14ac:dyDescent="0.3">
      <c r="A478">
        <v>6750.4</v>
      </c>
      <c r="B478" t="s">
        <v>26</v>
      </c>
      <c r="C478" t="s">
        <v>24</v>
      </c>
      <c r="D478" t="s">
        <v>104</v>
      </c>
      <c r="E478">
        <v>4</v>
      </c>
      <c r="F478" t="s">
        <v>27</v>
      </c>
      <c r="G478" t="s">
        <v>28</v>
      </c>
      <c r="I478">
        <v>38430</v>
      </c>
      <c r="J478">
        <v>1901</v>
      </c>
      <c r="K478">
        <v>4</v>
      </c>
      <c r="L478">
        <v>38430</v>
      </c>
      <c r="M478">
        <v>1901</v>
      </c>
      <c r="N478" t="s">
        <v>29</v>
      </c>
      <c r="O478" t="s">
        <v>30</v>
      </c>
      <c r="P478" t="s">
        <v>98</v>
      </c>
      <c r="Q478" t="s">
        <v>99</v>
      </c>
      <c r="R478" t="s">
        <v>30</v>
      </c>
      <c r="S478" t="s">
        <v>718</v>
      </c>
      <c r="T478" t="s">
        <v>214</v>
      </c>
      <c r="U478" t="s">
        <v>60</v>
      </c>
      <c r="V478">
        <v>0.01</v>
      </c>
      <c r="W478" t="s">
        <v>405</v>
      </c>
      <c r="X478" t="s">
        <v>284</v>
      </c>
      <c r="Y478" t="s">
        <v>60</v>
      </c>
    </row>
    <row r="479" spans="1:25" x14ac:dyDescent="0.3">
      <c r="A479">
        <v>6770</v>
      </c>
      <c r="B479" t="s">
        <v>26</v>
      </c>
      <c r="C479" t="s">
        <v>183</v>
      </c>
      <c r="D479" t="s">
        <v>285</v>
      </c>
      <c r="E479">
        <v>4</v>
      </c>
      <c r="F479" t="s">
        <v>27</v>
      </c>
      <c r="G479" t="s">
        <v>57</v>
      </c>
      <c r="I479">
        <v>38430</v>
      </c>
      <c r="J479">
        <v>1901</v>
      </c>
      <c r="K479">
        <v>4</v>
      </c>
      <c r="L479">
        <v>38430</v>
      </c>
      <c r="M479">
        <v>1901</v>
      </c>
      <c r="N479" t="s">
        <v>29</v>
      </c>
      <c r="O479" t="s">
        <v>30</v>
      </c>
      <c r="P479" t="s">
        <v>98</v>
      </c>
      <c r="Q479" t="s">
        <v>99</v>
      </c>
      <c r="R479" t="s">
        <v>30</v>
      </c>
      <c r="S479" t="s">
        <v>719</v>
      </c>
      <c r="T479" t="s">
        <v>62</v>
      </c>
      <c r="U479" t="s">
        <v>60</v>
      </c>
      <c r="V479">
        <v>0.01</v>
      </c>
      <c r="W479" t="s">
        <v>720</v>
      </c>
      <c r="X479" t="s">
        <v>430</v>
      </c>
      <c r="Y479" t="s">
        <v>60</v>
      </c>
    </row>
    <row r="480" spans="1:25" x14ac:dyDescent="0.3">
      <c r="A480">
        <v>6780</v>
      </c>
      <c r="B480" t="s">
        <v>26</v>
      </c>
      <c r="C480" t="s">
        <v>285</v>
      </c>
      <c r="D480" t="s">
        <v>91</v>
      </c>
      <c r="E480">
        <v>4</v>
      </c>
      <c r="F480" t="s">
        <v>27</v>
      </c>
      <c r="G480" t="s">
        <v>57</v>
      </c>
      <c r="I480">
        <v>38430</v>
      </c>
      <c r="J480">
        <v>1901</v>
      </c>
      <c r="K480">
        <v>4</v>
      </c>
      <c r="L480">
        <v>38430</v>
      </c>
      <c r="M480">
        <v>1901</v>
      </c>
      <c r="N480" t="s">
        <v>29</v>
      </c>
      <c r="O480" t="s">
        <v>30</v>
      </c>
      <c r="P480" t="s">
        <v>98</v>
      </c>
      <c r="Q480" t="s">
        <v>99</v>
      </c>
      <c r="R480" t="s">
        <v>30</v>
      </c>
      <c r="S480" t="s">
        <v>719</v>
      </c>
      <c r="T480" t="s">
        <v>62</v>
      </c>
      <c r="U480" t="s">
        <v>60</v>
      </c>
      <c r="V480">
        <v>0.01</v>
      </c>
      <c r="W480" t="s">
        <v>720</v>
      </c>
      <c r="X480" t="s">
        <v>430</v>
      </c>
      <c r="Y480" t="s">
        <v>60</v>
      </c>
    </row>
    <row r="481" spans="1:25" x14ac:dyDescent="0.3">
      <c r="A481">
        <v>6790</v>
      </c>
      <c r="B481" t="s">
        <v>26</v>
      </c>
      <c r="C481" t="s">
        <v>91</v>
      </c>
      <c r="D481" t="s">
        <v>534</v>
      </c>
      <c r="E481">
        <v>4</v>
      </c>
      <c r="F481" t="s">
        <v>27</v>
      </c>
      <c r="G481" t="s">
        <v>57</v>
      </c>
      <c r="I481">
        <v>38430</v>
      </c>
      <c r="J481">
        <v>1901</v>
      </c>
      <c r="K481">
        <v>4</v>
      </c>
      <c r="L481">
        <v>38430</v>
      </c>
      <c r="M481">
        <v>1901</v>
      </c>
      <c r="N481" t="s">
        <v>29</v>
      </c>
      <c r="O481" t="s">
        <v>30</v>
      </c>
      <c r="P481" t="s">
        <v>98</v>
      </c>
      <c r="Q481" t="s">
        <v>99</v>
      </c>
      <c r="R481" t="s">
        <v>30</v>
      </c>
      <c r="S481" t="s">
        <v>719</v>
      </c>
      <c r="T481" t="s">
        <v>62</v>
      </c>
      <c r="U481" t="s">
        <v>60</v>
      </c>
      <c r="V481">
        <v>0.01</v>
      </c>
      <c r="W481" t="s">
        <v>720</v>
      </c>
      <c r="X481" t="s">
        <v>430</v>
      </c>
      <c r="Y481" t="s">
        <v>60</v>
      </c>
    </row>
    <row r="482" spans="1:25" x14ac:dyDescent="0.3">
      <c r="A482">
        <v>6840</v>
      </c>
      <c r="B482" t="s">
        <v>26</v>
      </c>
      <c r="C482" t="s">
        <v>534</v>
      </c>
      <c r="D482" t="s">
        <v>721</v>
      </c>
      <c r="E482">
        <v>4</v>
      </c>
      <c r="F482" t="s">
        <v>27</v>
      </c>
      <c r="G482" t="s">
        <v>57</v>
      </c>
      <c r="I482">
        <v>38430</v>
      </c>
      <c r="J482">
        <v>1901</v>
      </c>
      <c r="K482">
        <v>4</v>
      </c>
      <c r="L482">
        <v>38430</v>
      </c>
      <c r="M482">
        <v>1901</v>
      </c>
      <c r="N482" t="s">
        <v>29</v>
      </c>
      <c r="O482" t="s">
        <v>30</v>
      </c>
      <c r="P482" t="s">
        <v>98</v>
      </c>
      <c r="Q482" t="s">
        <v>99</v>
      </c>
      <c r="R482" t="s">
        <v>30</v>
      </c>
      <c r="S482" t="s">
        <v>719</v>
      </c>
      <c r="T482" t="s">
        <v>62</v>
      </c>
      <c r="U482" t="s">
        <v>60</v>
      </c>
      <c r="V482">
        <v>1.1299999999999999E-2</v>
      </c>
      <c r="W482" t="s">
        <v>722</v>
      </c>
      <c r="X482" t="s">
        <v>612</v>
      </c>
      <c r="Y482" t="s">
        <v>60</v>
      </c>
    </row>
    <row r="483" spans="1:25" x14ac:dyDescent="0.3">
      <c r="A483">
        <v>6880</v>
      </c>
      <c r="B483" t="s">
        <v>26</v>
      </c>
      <c r="C483" t="s">
        <v>721</v>
      </c>
      <c r="D483" t="s">
        <v>293</v>
      </c>
      <c r="E483">
        <v>4</v>
      </c>
      <c r="F483" t="s">
        <v>27</v>
      </c>
      <c r="G483" t="s">
        <v>57</v>
      </c>
      <c r="I483">
        <v>38430</v>
      </c>
      <c r="J483">
        <v>1901</v>
      </c>
      <c r="K483">
        <v>4</v>
      </c>
      <c r="L483">
        <v>38430</v>
      </c>
      <c r="M483">
        <v>1901</v>
      </c>
      <c r="N483" t="s">
        <v>29</v>
      </c>
      <c r="O483" t="s">
        <v>30</v>
      </c>
      <c r="P483" t="s">
        <v>98</v>
      </c>
      <c r="Q483" t="s">
        <v>99</v>
      </c>
      <c r="R483" t="s">
        <v>30</v>
      </c>
      <c r="S483" t="s">
        <v>719</v>
      </c>
      <c r="T483" t="s">
        <v>62</v>
      </c>
      <c r="U483" t="s">
        <v>60</v>
      </c>
      <c r="V483">
        <v>0.01</v>
      </c>
      <c r="W483" t="s">
        <v>720</v>
      </c>
      <c r="X483" t="s">
        <v>430</v>
      </c>
      <c r="Y483" t="s">
        <v>60</v>
      </c>
    </row>
    <row r="484" spans="1:25" x14ac:dyDescent="0.3">
      <c r="A484">
        <v>6890</v>
      </c>
      <c r="B484" t="s">
        <v>26</v>
      </c>
      <c r="C484" t="s">
        <v>293</v>
      </c>
      <c r="D484" t="s">
        <v>723</v>
      </c>
      <c r="E484">
        <v>4</v>
      </c>
      <c r="F484" t="s">
        <v>27</v>
      </c>
      <c r="G484" t="s">
        <v>57</v>
      </c>
      <c r="I484">
        <v>38430</v>
      </c>
      <c r="J484">
        <v>1901</v>
      </c>
      <c r="K484">
        <v>4</v>
      </c>
      <c r="L484">
        <v>38430</v>
      </c>
      <c r="M484">
        <v>1901</v>
      </c>
      <c r="N484" t="s">
        <v>29</v>
      </c>
      <c r="O484" t="s">
        <v>30</v>
      </c>
      <c r="P484" t="s">
        <v>98</v>
      </c>
      <c r="Q484" t="s">
        <v>99</v>
      </c>
      <c r="R484" t="s">
        <v>30</v>
      </c>
      <c r="S484" t="s">
        <v>604</v>
      </c>
      <c r="T484" t="s">
        <v>209</v>
      </c>
      <c r="U484" t="s">
        <v>30</v>
      </c>
      <c r="V484">
        <v>0.01</v>
      </c>
      <c r="W484" t="s">
        <v>605</v>
      </c>
      <c r="X484" t="s">
        <v>606</v>
      </c>
      <c r="Y484" t="s">
        <v>30</v>
      </c>
    </row>
    <row r="485" spans="1:25" x14ac:dyDescent="0.3">
      <c r="A485">
        <v>6900.1</v>
      </c>
      <c r="B485" t="s">
        <v>26</v>
      </c>
      <c r="C485" t="s">
        <v>723</v>
      </c>
      <c r="D485" t="s">
        <v>224</v>
      </c>
      <c r="E485">
        <v>4</v>
      </c>
      <c r="F485" t="s">
        <v>27</v>
      </c>
      <c r="G485" t="s">
        <v>57</v>
      </c>
      <c r="I485">
        <v>38430</v>
      </c>
      <c r="J485">
        <v>1901</v>
      </c>
      <c r="K485">
        <v>4</v>
      </c>
      <c r="L485">
        <v>38430</v>
      </c>
      <c r="M485">
        <v>1901</v>
      </c>
      <c r="N485" t="s">
        <v>29</v>
      </c>
      <c r="O485" t="s">
        <v>30</v>
      </c>
      <c r="P485" t="s">
        <v>98</v>
      </c>
      <c r="Q485" t="s">
        <v>99</v>
      </c>
      <c r="R485" t="s">
        <v>30</v>
      </c>
      <c r="S485" t="s">
        <v>724</v>
      </c>
      <c r="T485" t="s">
        <v>612</v>
      </c>
      <c r="U485" t="s">
        <v>60</v>
      </c>
      <c r="V485">
        <v>3.5000000000000003E-2</v>
      </c>
      <c r="W485" t="s">
        <v>569</v>
      </c>
      <c r="X485" t="s">
        <v>241</v>
      </c>
      <c r="Y485" t="s">
        <v>30</v>
      </c>
    </row>
    <row r="486" spans="1:25" x14ac:dyDescent="0.3">
      <c r="A486">
        <v>6920</v>
      </c>
      <c r="B486" t="s">
        <v>26</v>
      </c>
      <c r="C486" t="s">
        <v>224</v>
      </c>
      <c r="D486" t="s">
        <v>245</v>
      </c>
      <c r="E486">
        <v>6</v>
      </c>
      <c r="F486" t="s">
        <v>27</v>
      </c>
      <c r="G486" t="s">
        <v>57</v>
      </c>
      <c r="I486">
        <v>59640</v>
      </c>
      <c r="J486">
        <v>2951</v>
      </c>
      <c r="K486">
        <v>6</v>
      </c>
      <c r="L486">
        <v>59640</v>
      </c>
      <c r="M486">
        <v>2951</v>
      </c>
      <c r="N486" t="s">
        <v>29</v>
      </c>
      <c r="O486" t="s">
        <v>30</v>
      </c>
      <c r="P486" t="s">
        <v>98</v>
      </c>
      <c r="Q486" t="s">
        <v>99</v>
      </c>
      <c r="R486" t="s">
        <v>30</v>
      </c>
      <c r="S486" t="s">
        <v>497</v>
      </c>
      <c r="T486" t="s">
        <v>310</v>
      </c>
      <c r="U486" t="s">
        <v>60</v>
      </c>
      <c r="V486">
        <v>2.5100000000000001E-2</v>
      </c>
      <c r="W486" t="s">
        <v>248</v>
      </c>
      <c r="X486" t="s">
        <v>172</v>
      </c>
      <c r="Y486" t="s">
        <v>60</v>
      </c>
    </row>
    <row r="487" spans="1:25" x14ac:dyDescent="0.3">
      <c r="A487">
        <v>6930</v>
      </c>
      <c r="B487" t="s">
        <v>26</v>
      </c>
      <c r="C487" t="s">
        <v>245</v>
      </c>
      <c r="D487" t="s">
        <v>476</v>
      </c>
      <c r="E487">
        <v>6</v>
      </c>
      <c r="F487" t="s">
        <v>27</v>
      </c>
      <c r="G487" t="s">
        <v>57</v>
      </c>
      <c r="I487">
        <v>59640</v>
      </c>
      <c r="J487">
        <v>2951</v>
      </c>
      <c r="K487">
        <v>6</v>
      </c>
      <c r="L487">
        <v>59640</v>
      </c>
      <c r="M487">
        <v>2951</v>
      </c>
      <c r="N487" t="s">
        <v>29</v>
      </c>
      <c r="O487" t="s">
        <v>30</v>
      </c>
      <c r="P487" t="s">
        <v>98</v>
      </c>
      <c r="Q487" t="s">
        <v>99</v>
      </c>
      <c r="R487" t="s">
        <v>30</v>
      </c>
      <c r="S487" t="s">
        <v>725</v>
      </c>
      <c r="T487" t="s">
        <v>288</v>
      </c>
      <c r="U487" t="s">
        <v>60</v>
      </c>
      <c r="V487">
        <v>1.6400000000000001E-2</v>
      </c>
      <c r="W487" t="s">
        <v>252</v>
      </c>
      <c r="X487" t="s">
        <v>201</v>
      </c>
      <c r="Y487" t="s">
        <v>60</v>
      </c>
    </row>
    <row r="488" spans="1:25" x14ac:dyDescent="0.3">
      <c r="A488">
        <v>6940</v>
      </c>
      <c r="B488" t="s">
        <v>26</v>
      </c>
      <c r="C488" t="s">
        <v>476</v>
      </c>
      <c r="D488" t="s">
        <v>140</v>
      </c>
      <c r="E488">
        <v>6</v>
      </c>
      <c r="F488" t="s">
        <v>27</v>
      </c>
      <c r="G488" t="s">
        <v>57</v>
      </c>
      <c r="I488">
        <v>59640</v>
      </c>
      <c r="J488">
        <v>2951</v>
      </c>
      <c r="K488">
        <v>6</v>
      </c>
      <c r="L488">
        <v>59640</v>
      </c>
      <c r="M488">
        <v>2951</v>
      </c>
      <c r="N488" t="s">
        <v>29</v>
      </c>
      <c r="O488" t="s">
        <v>30</v>
      </c>
      <c r="P488" t="s">
        <v>98</v>
      </c>
      <c r="Q488" t="s">
        <v>99</v>
      </c>
      <c r="R488" t="s">
        <v>30</v>
      </c>
      <c r="S488" t="s">
        <v>726</v>
      </c>
      <c r="T488" t="s">
        <v>294</v>
      </c>
      <c r="U488" t="s">
        <v>60</v>
      </c>
      <c r="V488">
        <v>2.4500000000000001E-2</v>
      </c>
      <c r="W488" t="s">
        <v>727</v>
      </c>
      <c r="X488" t="s">
        <v>612</v>
      </c>
      <c r="Y488" t="s">
        <v>60</v>
      </c>
    </row>
    <row r="489" spans="1:25" x14ac:dyDescent="0.3">
      <c r="A489">
        <v>6960</v>
      </c>
      <c r="B489" t="s">
        <v>26</v>
      </c>
      <c r="C489" t="s">
        <v>140</v>
      </c>
      <c r="D489" t="s">
        <v>728</v>
      </c>
      <c r="E489">
        <v>6</v>
      </c>
      <c r="F489" t="s">
        <v>27</v>
      </c>
      <c r="G489" t="s">
        <v>57</v>
      </c>
      <c r="I489">
        <v>59640</v>
      </c>
      <c r="J489">
        <v>2951</v>
      </c>
      <c r="K489">
        <v>6</v>
      </c>
      <c r="L489">
        <v>59640</v>
      </c>
      <c r="M489">
        <v>2951</v>
      </c>
      <c r="N489" t="s">
        <v>29</v>
      </c>
      <c r="O489" t="s">
        <v>30</v>
      </c>
      <c r="P489" t="s">
        <v>98</v>
      </c>
      <c r="Q489" t="s">
        <v>99</v>
      </c>
      <c r="R489" t="s">
        <v>30</v>
      </c>
      <c r="S489" t="s">
        <v>724</v>
      </c>
      <c r="T489" t="s">
        <v>479</v>
      </c>
      <c r="U489" t="s">
        <v>60</v>
      </c>
      <c r="V489">
        <v>1.8200000000000001E-2</v>
      </c>
      <c r="W489" t="s">
        <v>644</v>
      </c>
      <c r="X489" t="s">
        <v>288</v>
      </c>
      <c r="Y489" t="s">
        <v>60</v>
      </c>
    </row>
    <row r="490" spans="1:25" x14ac:dyDescent="0.3">
      <c r="A490">
        <v>6970.1</v>
      </c>
      <c r="B490" t="s">
        <v>26</v>
      </c>
      <c r="C490" t="s">
        <v>728</v>
      </c>
      <c r="D490" t="s">
        <v>729</v>
      </c>
      <c r="E490">
        <v>4</v>
      </c>
      <c r="F490" t="s">
        <v>27</v>
      </c>
      <c r="G490" t="s">
        <v>57</v>
      </c>
      <c r="I490">
        <v>38430</v>
      </c>
      <c r="J490">
        <v>1901</v>
      </c>
      <c r="K490">
        <v>4</v>
      </c>
      <c r="L490">
        <v>38430</v>
      </c>
      <c r="M490">
        <v>1901</v>
      </c>
      <c r="N490" t="s">
        <v>29</v>
      </c>
      <c r="O490" t="s">
        <v>30</v>
      </c>
      <c r="P490" t="s">
        <v>98</v>
      </c>
      <c r="Q490" t="s">
        <v>99</v>
      </c>
      <c r="R490" t="s">
        <v>30</v>
      </c>
      <c r="S490" t="s">
        <v>724</v>
      </c>
      <c r="T490" t="s">
        <v>612</v>
      </c>
      <c r="U490" t="s">
        <v>60</v>
      </c>
      <c r="V490">
        <v>1.8200000000000001E-2</v>
      </c>
      <c r="W490" t="s">
        <v>644</v>
      </c>
      <c r="X490" t="s">
        <v>500</v>
      </c>
      <c r="Y490" t="s">
        <v>30</v>
      </c>
    </row>
    <row r="491" spans="1:25" x14ac:dyDescent="0.3">
      <c r="A491">
        <v>6970.2</v>
      </c>
      <c r="B491" t="s">
        <v>26</v>
      </c>
      <c r="C491" t="s">
        <v>729</v>
      </c>
      <c r="D491" t="s">
        <v>48</v>
      </c>
      <c r="E491">
        <v>4</v>
      </c>
      <c r="F491" t="s">
        <v>27</v>
      </c>
      <c r="G491" t="s">
        <v>57</v>
      </c>
      <c r="I491">
        <v>38430</v>
      </c>
      <c r="J491">
        <v>1901</v>
      </c>
      <c r="K491">
        <v>4</v>
      </c>
      <c r="L491">
        <v>38430</v>
      </c>
      <c r="M491">
        <v>1901</v>
      </c>
      <c r="N491" t="s">
        <v>29</v>
      </c>
      <c r="O491" t="s">
        <v>30</v>
      </c>
      <c r="P491" t="s">
        <v>98</v>
      </c>
      <c r="Q491" t="s">
        <v>99</v>
      </c>
      <c r="R491" t="s">
        <v>30</v>
      </c>
      <c r="S491" t="s">
        <v>724</v>
      </c>
      <c r="T491" t="s">
        <v>612</v>
      </c>
      <c r="U491" t="s">
        <v>60</v>
      </c>
      <c r="V491">
        <v>1.8200000000000001E-2</v>
      </c>
      <c r="W491" t="s">
        <v>644</v>
      </c>
      <c r="X491" t="s">
        <v>500</v>
      </c>
      <c r="Y491" t="s">
        <v>30</v>
      </c>
    </row>
    <row r="492" spans="1:25" x14ac:dyDescent="0.3">
      <c r="A492">
        <v>6980</v>
      </c>
      <c r="B492" t="s">
        <v>26</v>
      </c>
      <c r="C492" t="s">
        <v>48</v>
      </c>
      <c r="D492" t="s">
        <v>730</v>
      </c>
      <c r="E492">
        <v>4</v>
      </c>
      <c r="F492" t="s">
        <v>27</v>
      </c>
      <c r="G492" t="s">
        <v>57</v>
      </c>
      <c r="I492">
        <v>38430</v>
      </c>
      <c r="J492">
        <v>1901</v>
      </c>
      <c r="K492">
        <v>4</v>
      </c>
      <c r="L492">
        <v>38430</v>
      </c>
      <c r="M492">
        <v>1901</v>
      </c>
      <c r="N492" t="s">
        <v>29</v>
      </c>
      <c r="O492" t="s">
        <v>30</v>
      </c>
      <c r="P492" t="s">
        <v>98</v>
      </c>
      <c r="Q492" t="s">
        <v>99</v>
      </c>
      <c r="R492" t="s">
        <v>30</v>
      </c>
      <c r="S492" t="s">
        <v>731</v>
      </c>
      <c r="T492" t="s">
        <v>533</v>
      </c>
      <c r="U492" t="s">
        <v>60</v>
      </c>
      <c r="V492">
        <v>0.01</v>
      </c>
      <c r="W492" t="s">
        <v>598</v>
      </c>
      <c r="X492" t="s">
        <v>416</v>
      </c>
      <c r="Y492" t="s">
        <v>60</v>
      </c>
    </row>
    <row r="493" spans="1:25" x14ac:dyDescent="0.3">
      <c r="A493">
        <v>6990</v>
      </c>
      <c r="B493" t="s">
        <v>26</v>
      </c>
      <c r="C493" t="s">
        <v>730</v>
      </c>
      <c r="D493" t="s">
        <v>385</v>
      </c>
      <c r="E493">
        <v>4</v>
      </c>
      <c r="F493" t="s">
        <v>27</v>
      </c>
      <c r="G493" t="s">
        <v>57</v>
      </c>
      <c r="I493">
        <v>38430</v>
      </c>
      <c r="J493">
        <v>1901</v>
      </c>
      <c r="K493">
        <v>4</v>
      </c>
      <c r="L493">
        <v>38430</v>
      </c>
      <c r="M493">
        <v>1901</v>
      </c>
      <c r="N493" t="s">
        <v>29</v>
      </c>
      <c r="O493" t="s">
        <v>30</v>
      </c>
      <c r="P493" t="s">
        <v>98</v>
      </c>
      <c r="Q493" t="s">
        <v>99</v>
      </c>
      <c r="R493" t="s">
        <v>30</v>
      </c>
      <c r="S493" t="s">
        <v>731</v>
      </c>
      <c r="T493" t="s">
        <v>533</v>
      </c>
      <c r="U493" t="s">
        <v>60</v>
      </c>
      <c r="V493">
        <v>0.01</v>
      </c>
      <c r="W493" t="s">
        <v>598</v>
      </c>
      <c r="X493" t="s">
        <v>416</v>
      </c>
      <c r="Y493" t="s">
        <v>60</v>
      </c>
    </row>
    <row r="494" spans="1:25" x14ac:dyDescent="0.3">
      <c r="A494">
        <v>7010</v>
      </c>
      <c r="B494" t="s">
        <v>26</v>
      </c>
      <c r="C494" t="s">
        <v>385</v>
      </c>
      <c r="D494" t="s">
        <v>732</v>
      </c>
      <c r="E494">
        <v>4</v>
      </c>
      <c r="F494" t="s">
        <v>27</v>
      </c>
      <c r="G494" t="s">
        <v>57</v>
      </c>
      <c r="I494">
        <v>38430</v>
      </c>
      <c r="J494">
        <v>1901</v>
      </c>
      <c r="K494">
        <v>4</v>
      </c>
      <c r="L494">
        <v>38430</v>
      </c>
      <c r="M494">
        <v>1901</v>
      </c>
      <c r="N494" t="s">
        <v>29</v>
      </c>
      <c r="O494" t="s">
        <v>30</v>
      </c>
      <c r="P494" t="s">
        <v>98</v>
      </c>
      <c r="Q494" t="s">
        <v>99</v>
      </c>
      <c r="R494" t="s">
        <v>30</v>
      </c>
      <c r="S494" t="s">
        <v>521</v>
      </c>
      <c r="T494" t="s">
        <v>341</v>
      </c>
      <c r="U494" t="s">
        <v>60</v>
      </c>
      <c r="V494">
        <v>0.01</v>
      </c>
      <c r="W494" t="s">
        <v>620</v>
      </c>
      <c r="X494" t="s">
        <v>172</v>
      </c>
      <c r="Y494" t="s">
        <v>60</v>
      </c>
    </row>
    <row r="495" spans="1:25" x14ac:dyDescent="0.3">
      <c r="A495">
        <v>7020</v>
      </c>
      <c r="B495" t="s">
        <v>26</v>
      </c>
      <c r="C495" t="s">
        <v>732</v>
      </c>
      <c r="D495" t="s">
        <v>106</v>
      </c>
      <c r="E495">
        <v>4</v>
      </c>
      <c r="F495" t="s">
        <v>27</v>
      </c>
      <c r="G495" t="s">
        <v>57</v>
      </c>
      <c r="I495">
        <v>38430</v>
      </c>
      <c r="J495">
        <v>1901</v>
      </c>
      <c r="K495">
        <v>4</v>
      </c>
      <c r="L495">
        <v>38430</v>
      </c>
      <c r="M495">
        <v>1901</v>
      </c>
      <c r="N495" t="s">
        <v>29</v>
      </c>
      <c r="O495" t="s">
        <v>30</v>
      </c>
      <c r="P495" t="s">
        <v>98</v>
      </c>
      <c r="Q495" t="s">
        <v>99</v>
      </c>
      <c r="R495" t="s">
        <v>30</v>
      </c>
      <c r="S495" t="s">
        <v>733</v>
      </c>
      <c r="T495" t="s">
        <v>114</v>
      </c>
      <c r="U495" t="s">
        <v>60</v>
      </c>
      <c r="V495">
        <v>0.01</v>
      </c>
      <c r="W495" t="s">
        <v>587</v>
      </c>
      <c r="X495" t="s">
        <v>110</v>
      </c>
      <c r="Y495" t="s">
        <v>60</v>
      </c>
    </row>
    <row r="496" spans="1:25" x14ac:dyDescent="0.3">
      <c r="A496">
        <v>7030</v>
      </c>
      <c r="B496" t="s">
        <v>26</v>
      </c>
      <c r="C496" t="s">
        <v>106</v>
      </c>
      <c r="D496" t="s">
        <v>734</v>
      </c>
      <c r="E496">
        <v>4</v>
      </c>
      <c r="F496" t="s">
        <v>27</v>
      </c>
      <c r="G496" t="s">
        <v>28</v>
      </c>
      <c r="I496">
        <v>45800</v>
      </c>
      <c r="J496">
        <v>2390</v>
      </c>
      <c r="K496">
        <v>4</v>
      </c>
      <c r="L496">
        <v>45800</v>
      </c>
      <c r="M496">
        <v>2390</v>
      </c>
      <c r="N496" t="s">
        <v>43</v>
      </c>
      <c r="O496" t="s">
        <v>30</v>
      </c>
      <c r="P496" t="s">
        <v>98</v>
      </c>
      <c r="Q496" t="s">
        <v>99</v>
      </c>
      <c r="R496" t="s">
        <v>60</v>
      </c>
      <c r="S496" t="s">
        <v>462</v>
      </c>
      <c r="T496" t="s">
        <v>479</v>
      </c>
      <c r="U496" t="s">
        <v>36</v>
      </c>
      <c r="V496">
        <v>2.5499999999999998E-2</v>
      </c>
      <c r="W496" t="s">
        <v>735</v>
      </c>
      <c r="X496" t="s">
        <v>325</v>
      </c>
      <c r="Y496" t="s">
        <v>36</v>
      </c>
    </row>
    <row r="497" spans="1:25" x14ac:dyDescent="0.3">
      <c r="A497">
        <v>7040.1</v>
      </c>
      <c r="B497" t="s">
        <v>26</v>
      </c>
      <c r="C497" t="s">
        <v>734</v>
      </c>
      <c r="D497" t="s">
        <v>736</v>
      </c>
      <c r="E497">
        <v>4</v>
      </c>
      <c r="F497" t="s">
        <v>27</v>
      </c>
      <c r="G497" t="s">
        <v>28</v>
      </c>
      <c r="I497">
        <v>45800</v>
      </c>
      <c r="J497">
        <v>2390</v>
      </c>
      <c r="K497">
        <v>4</v>
      </c>
      <c r="L497">
        <v>45800</v>
      </c>
      <c r="M497">
        <v>2390</v>
      </c>
      <c r="N497" t="s">
        <v>43</v>
      </c>
      <c r="O497" t="s">
        <v>30</v>
      </c>
      <c r="P497" t="s">
        <v>98</v>
      </c>
      <c r="Q497" t="s">
        <v>99</v>
      </c>
      <c r="R497" t="s">
        <v>60</v>
      </c>
      <c r="S497" t="s">
        <v>716</v>
      </c>
      <c r="T497" t="s">
        <v>362</v>
      </c>
      <c r="U497" t="s">
        <v>60</v>
      </c>
      <c r="V497">
        <v>1.9800000000000002E-2</v>
      </c>
      <c r="W497" t="s">
        <v>737</v>
      </c>
      <c r="X497" t="s">
        <v>193</v>
      </c>
      <c r="Y497" t="s">
        <v>60</v>
      </c>
    </row>
    <row r="498" spans="1:25" x14ac:dyDescent="0.3">
      <c r="A498">
        <v>7040.2</v>
      </c>
      <c r="B498" t="s">
        <v>26</v>
      </c>
      <c r="C498" t="s">
        <v>736</v>
      </c>
      <c r="D498" t="s">
        <v>63</v>
      </c>
      <c r="E498">
        <v>4</v>
      </c>
      <c r="F498" t="s">
        <v>27</v>
      </c>
      <c r="G498" t="s">
        <v>28</v>
      </c>
      <c r="I498">
        <v>45800</v>
      </c>
      <c r="J498">
        <v>2390</v>
      </c>
      <c r="K498">
        <v>4</v>
      </c>
      <c r="L498">
        <v>45800</v>
      </c>
      <c r="M498">
        <v>2390</v>
      </c>
      <c r="N498" t="s">
        <v>43</v>
      </c>
      <c r="O498" t="s">
        <v>30</v>
      </c>
      <c r="P498" t="s">
        <v>98</v>
      </c>
      <c r="Q498" t="s">
        <v>99</v>
      </c>
      <c r="R498" t="s">
        <v>60</v>
      </c>
      <c r="S498" t="s">
        <v>738</v>
      </c>
      <c r="T498" t="s">
        <v>316</v>
      </c>
      <c r="U498" t="s">
        <v>36</v>
      </c>
      <c r="V498">
        <v>7.1999999999999998E-3</v>
      </c>
      <c r="W498" t="s">
        <v>739</v>
      </c>
      <c r="X498" t="s">
        <v>228</v>
      </c>
      <c r="Y498" t="s">
        <v>36</v>
      </c>
    </row>
    <row r="499" spans="1:25" x14ac:dyDescent="0.3">
      <c r="A499">
        <v>7050.1</v>
      </c>
      <c r="B499" t="s">
        <v>26</v>
      </c>
      <c r="C499" t="s">
        <v>63</v>
      </c>
      <c r="D499" t="s">
        <v>183</v>
      </c>
      <c r="E499">
        <v>4</v>
      </c>
      <c r="F499" t="s">
        <v>27</v>
      </c>
      <c r="G499" t="s">
        <v>28</v>
      </c>
      <c r="I499">
        <v>45800</v>
      </c>
      <c r="J499">
        <v>2390</v>
      </c>
      <c r="K499">
        <v>4</v>
      </c>
      <c r="L499">
        <v>45800</v>
      </c>
      <c r="M499">
        <v>2390</v>
      </c>
      <c r="N499" t="s">
        <v>43</v>
      </c>
      <c r="O499" t="s">
        <v>30</v>
      </c>
      <c r="P499" t="s">
        <v>98</v>
      </c>
      <c r="Q499" t="s">
        <v>99</v>
      </c>
      <c r="R499" t="s">
        <v>60</v>
      </c>
      <c r="S499" t="s">
        <v>740</v>
      </c>
      <c r="T499" t="s">
        <v>228</v>
      </c>
      <c r="U499" t="s">
        <v>36</v>
      </c>
      <c r="V499">
        <v>5.0299999999999997E-2</v>
      </c>
      <c r="W499" t="s">
        <v>741</v>
      </c>
      <c r="X499" t="s">
        <v>500</v>
      </c>
      <c r="Y499" t="s">
        <v>60</v>
      </c>
    </row>
    <row r="500" spans="1:25" x14ac:dyDescent="0.3">
      <c r="A500">
        <v>7050.2</v>
      </c>
      <c r="B500" t="s">
        <v>26</v>
      </c>
      <c r="C500" t="s">
        <v>183</v>
      </c>
      <c r="D500" t="s">
        <v>742</v>
      </c>
      <c r="E500">
        <v>4</v>
      </c>
      <c r="F500" t="s">
        <v>27</v>
      </c>
      <c r="G500" t="s">
        <v>28</v>
      </c>
      <c r="I500">
        <v>45800</v>
      </c>
      <c r="J500">
        <v>2390</v>
      </c>
      <c r="K500">
        <v>4</v>
      </c>
      <c r="L500">
        <v>45800</v>
      </c>
      <c r="M500">
        <v>2390</v>
      </c>
      <c r="N500" t="s">
        <v>43</v>
      </c>
      <c r="O500" t="s">
        <v>30</v>
      </c>
      <c r="P500" t="s">
        <v>98</v>
      </c>
      <c r="Q500" t="s">
        <v>99</v>
      </c>
      <c r="R500" t="s">
        <v>60</v>
      </c>
      <c r="S500" t="s">
        <v>280</v>
      </c>
      <c r="T500" t="s">
        <v>38</v>
      </c>
      <c r="U500" t="s">
        <v>36</v>
      </c>
      <c r="V500">
        <v>0.01</v>
      </c>
      <c r="W500" t="s">
        <v>588</v>
      </c>
      <c r="X500" t="s">
        <v>38</v>
      </c>
      <c r="Y500" t="s">
        <v>36</v>
      </c>
    </row>
    <row r="501" spans="1:25" x14ac:dyDescent="0.3">
      <c r="A501">
        <v>7060</v>
      </c>
      <c r="B501" t="s">
        <v>26</v>
      </c>
      <c r="C501" t="s">
        <v>742</v>
      </c>
      <c r="D501" t="s">
        <v>55</v>
      </c>
      <c r="E501">
        <v>4</v>
      </c>
      <c r="F501" t="s">
        <v>27</v>
      </c>
      <c r="G501" t="s">
        <v>28</v>
      </c>
      <c r="I501">
        <v>45800</v>
      </c>
      <c r="J501">
        <v>2390</v>
      </c>
      <c r="K501">
        <v>4</v>
      </c>
      <c r="L501">
        <v>45800</v>
      </c>
      <c r="M501">
        <v>2390</v>
      </c>
      <c r="N501" t="s">
        <v>43</v>
      </c>
      <c r="O501" t="s">
        <v>30</v>
      </c>
      <c r="P501" t="s">
        <v>98</v>
      </c>
      <c r="Q501" t="s">
        <v>99</v>
      </c>
      <c r="R501" t="s">
        <v>60</v>
      </c>
      <c r="S501" t="s">
        <v>280</v>
      </c>
      <c r="T501" t="s">
        <v>38</v>
      </c>
      <c r="U501" t="s">
        <v>36</v>
      </c>
      <c r="V501">
        <v>0.01</v>
      </c>
      <c r="W501" t="s">
        <v>588</v>
      </c>
      <c r="X501" t="s">
        <v>38</v>
      </c>
      <c r="Y501" t="s">
        <v>36</v>
      </c>
    </row>
    <row r="502" spans="1:25" x14ac:dyDescent="0.3">
      <c r="A502">
        <v>7070.1</v>
      </c>
      <c r="B502" t="s">
        <v>26</v>
      </c>
      <c r="C502" t="s">
        <v>55</v>
      </c>
      <c r="D502" t="s">
        <v>743</v>
      </c>
      <c r="E502">
        <v>4</v>
      </c>
      <c r="F502" t="s">
        <v>27</v>
      </c>
      <c r="G502" t="s">
        <v>28</v>
      </c>
      <c r="I502">
        <v>45800</v>
      </c>
      <c r="J502">
        <v>2390</v>
      </c>
      <c r="K502">
        <v>4</v>
      </c>
      <c r="L502">
        <v>45800</v>
      </c>
      <c r="M502">
        <v>2390</v>
      </c>
      <c r="N502" t="s">
        <v>43</v>
      </c>
      <c r="O502" t="s">
        <v>30</v>
      </c>
      <c r="P502" t="s">
        <v>98</v>
      </c>
      <c r="Q502" t="s">
        <v>99</v>
      </c>
      <c r="R502" t="s">
        <v>60</v>
      </c>
      <c r="S502" t="s">
        <v>280</v>
      </c>
      <c r="T502" t="s">
        <v>38</v>
      </c>
      <c r="U502" t="s">
        <v>36</v>
      </c>
      <c r="V502">
        <v>0.01</v>
      </c>
      <c r="W502" t="s">
        <v>588</v>
      </c>
      <c r="X502" t="s">
        <v>38</v>
      </c>
      <c r="Y502" t="s">
        <v>36</v>
      </c>
    </row>
    <row r="503" spans="1:25" x14ac:dyDescent="0.3">
      <c r="A503">
        <v>7070.2</v>
      </c>
      <c r="B503" t="s">
        <v>26</v>
      </c>
      <c r="C503" t="s">
        <v>743</v>
      </c>
      <c r="D503" t="s">
        <v>184</v>
      </c>
      <c r="E503">
        <v>4</v>
      </c>
      <c r="F503" t="s">
        <v>27</v>
      </c>
      <c r="G503" t="s">
        <v>28</v>
      </c>
      <c r="I503">
        <v>16350</v>
      </c>
      <c r="J503">
        <v>855</v>
      </c>
      <c r="K503">
        <v>4</v>
      </c>
      <c r="L503">
        <v>16350</v>
      </c>
      <c r="M503">
        <v>855</v>
      </c>
      <c r="N503" t="s">
        <v>43</v>
      </c>
      <c r="O503" t="s">
        <v>44</v>
      </c>
      <c r="P503" t="s">
        <v>98</v>
      </c>
      <c r="Q503" t="s">
        <v>99</v>
      </c>
      <c r="R503" t="s">
        <v>60</v>
      </c>
      <c r="S503" t="s">
        <v>280</v>
      </c>
      <c r="T503" t="s">
        <v>310</v>
      </c>
      <c r="U503" t="s">
        <v>60</v>
      </c>
      <c r="V503">
        <v>0.01</v>
      </c>
      <c r="W503" t="s">
        <v>588</v>
      </c>
      <c r="X503" t="s">
        <v>288</v>
      </c>
      <c r="Y503" t="s">
        <v>60</v>
      </c>
    </row>
    <row r="504" spans="1:25" x14ac:dyDescent="0.3">
      <c r="A504">
        <v>7080.1</v>
      </c>
      <c r="B504" t="s">
        <v>26</v>
      </c>
      <c r="C504" t="s">
        <v>184</v>
      </c>
      <c r="D504" t="s">
        <v>744</v>
      </c>
      <c r="E504">
        <v>4</v>
      </c>
      <c r="F504" t="s">
        <v>27</v>
      </c>
      <c r="G504" t="s">
        <v>28</v>
      </c>
      <c r="I504">
        <v>16350</v>
      </c>
      <c r="J504">
        <v>855</v>
      </c>
      <c r="K504">
        <v>4</v>
      </c>
      <c r="L504">
        <v>16350</v>
      </c>
      <c r="M504">
        <v>855</v>
      </c>
      <c r="N504" t="s">
        <v>43</v>
      </c>
      <c r="O504" t="s">
        <v>44</v>
      </c>
      <c r="P504" t="s">
        <v>98</v>
      </c>
      <c r="Q504" t="s">
        <v>99</v>
      </c>
      <c r="R504" t="s">
        <v>60</v>
      </c>
      <c r="S504" t="s">
        <v>200</v>
      </c>
      <c r="T504" t="s">
        <v>93</v>
      </c>
      <c r="U504" t="s">
        <v>60</v>
      </c>
      <c r="V504">
        <v>0.01</v>
      </c>
      <c r="W504" t="s">
        <v>136</v>
      </c>
      <c r="X504" t="s">
        <v>95</v>
      </c>
      <c r="Y504" t="s">
        <v>60</v>
      </c>
    </row>
    <row r="505" spans="1:25" x14ac:dyDescent="0.3">
      <c r="A505">
        <v>7080.2</v>
      </c>
      <c r="B505" t="s">
        <v>26</v>
      </c>
      <c r="C505" t="s">
        <v>744</v>
      </c>
      <c r="D505" t="s">
        <v>373</v>
      </c>
      <c r="E505">
        <v>4</v>
      </c>
      <c r="F505" t="s">
        <v>27</v>
      </c>
      <c r="G505" t="s">
        <v>28</v>
      </c>
      <c r="I505">
        <v>45800</v>
      </c>
      <c r="J505">
        <v>2390</v>
      </c>
      <c r="K505">
        <v>4</v>
      </c>
      <c r="L505">
        <v>45800</v>
      </c>
      <c r="M505">
        <v>2390</v>
      </c>
      <c r="N505" t="s">
        <v>43</v>
      </c>
      <c r="O505" t="s">
        <v>30</v>
      </c>
      <c r="P505" t="s">
        <v>98</v>
      </c>
      <c r="Q505" t="s">
        <v>99</v>
      </c>
      <c r="R505" t="s">
        <v>60</v>
      </c>
      <c r="S505" t="s">
        <v>200</v>
      </c>
      <c r="T505" t="s">
        <v>128</v>
      </c>
      <c r="U505" t="s">
        <v>36</v>
      </c>
      <c r="V505">
        <v>0.01</v>
      </c>
      <c r="W505" t="s">
        <v>136</v>
      </c>
      <c r="X505" t="s">
        <v>128</v>
      </c>
      <c r="Y505" t="s">
        <v>36</v>
      </c>
    </row>
    <row r="506" spans="1:25" x14ac:dyDescent="0.3">
      <c r="A506">
        <v>7090</v>
      </c>
      <c r="B506" t="s">
        <v>433</v>
      </c>
      <c r="C506" t="s">
        <v>26</v>
      </c>
      <c r="D506" t="s">
        <v>385</v>
      </c>
      <c r="E506">
        <v>2</v>
      </c>
      <c r="F506" t="s">
        <v>42</v>
      </c>
      <c r="G506" t="s">
        <v>57</v>
      </c>
      <c r="H506">
        <v>1</v>
      </c>
      <c r="I506">
        <v>12744</v>
      </c>
      <c r="J506">
        <v>634</v>
      </c>
      <c r="K506">
        <v>2</v>
      </c>
      <c r="L506">
        <v>12744</v>
      </c>
      <c r="M506">
        <v>634</v>
      </c>
      <c r="N506" t="s">
        <v>29</v>
      </c>
      <c r="O506" t="s">
        <v>44</v>
      </c>
      <c r="P506" t="s">
        <v>31</v>
      </c>
      <c r="Q506" t="s">
        <v>32</v>
      </c>
      <c r="R506" t="s">
        <v>33</v>
      </c>
      <c r="S506" t="s">
        <v>160</v>
      </c>
      <c r="T506" t="s">
        <v>126</v>
      </c>
      <c r="U506" t="s">
        <v>60</v>
      </c>
      <c r="V506">
        <v>0.01</v>
      </c>
      <c r="W506" t="s">
        <v>162</v>
      </c>
      <c r="X506" t="s">
        <v>122</v>
      </c>
      <c r="Y506" t="s">
        <v>60</v>
      </c>
    </row>
    <row r="507" spans="1:25" x14ac:dyDescent="0.3">
      <c r="A507">
        <v>7100</v>
      </c>
      <c r="B507" t="s">
        <v>433</v>
      </c>
      <c r="C507" t="s">
        <v>385</v>
      </c>
      <c r="D507" t="s">
        <v>106</v>
      </c>
      <c r="E507">
        <v>2</v>
      </c>
      <c r="F507" t="s">
        <v>42</v>
      </c>
      <c r="G507" t="s">
        <v>57</v>
      </c>
      <c r="H507">
        <v>1</v>
      </c>
      <c r="I507">
        <v>12744</v>
      </c>
      <c r="J507">
        <v>634</v>
      </c>
      <c r="K507">
        <v>2</v>
      </c>
      <c r="L507">
        <v>12744</v>
      </c>
      <c r="M507">
        <v>634</v>
      </c>
      <c r="N507" t="s">
        <v>29</v>
      </c>
      <c r="O507" t="s">
        <v>44</v>
      </c>
      <c r="P507" t="s">
        <v>31</v>
      </c>
      <c r="Q507" t="s">
        <v>32</v>
      </c>
      <c r="R507" t="s">
        <v>33</v>
      </c>
      <c r="S507" t="s">
        <v>109</v>
      </c>
      <c r="T507" t="s">
        <v>110</v>
      </c>
      <c r="U507" t="s">
        <v>60</v>
      </c>
      <c r="V507">
        <v>1.8499999999999999E-2</v>
      </c>
      <c r="W507" t="s">
        <v>84</v>
      </c>
      <c r="X507" t="s">
        <v>284</v>
      </c>
      <c r="Y507" t="s">
        <v>60</v>
      </c>
    </row>
    <row r="508" spans="1:25" x14ac:dyDescent="0.3">
      <c r="A508">
        <v>7110</v>
      </c>
      <c r="B508" t="s">
        <v>433</v>
      </c>
      <c r="C508" t="s">
        <v>106</v>
      </c>
      <c r="D508" t="s">
        <v>439</v>
      </c>
      <c r="E508">
        <v>2</v>
      </c>
      <c r="F508" t="s">
        <v>42</v>
      </c>
      <c r="G508" t="s">
        <v>28</v>
      </c>
      <c r="I508">
        <v>19170</v>
      </c>
      <c r="J508">
        <v>999</v>
      </c>
      <c r="K508">
        <v>2</v>
      </c>
      <c r="L508">
        <v>19170</v>
      </c>
      <c r="M508">
        <v>999</v>
      </c>
      <c r="N508" t="s">
        <v>43</v>
      </c>
      <c r="O508" t="s">
        <v>44</v>
      </c>
      <c r="P508" t="s">
        <v>31</v>
      </c>
      <c r="Q508" t="s">
        <v>32</v>
      </c>
      <c r="R508" t="s">
        <v>30</v>
      </c>
      <c r="S508" t="s">
        <v>109</v>
      </c>
      <c r="T508" t="s">
        <v>137</v>
      </c>
      <c r="U508" t="s">
        <v>36</v>
      </c>
      <c r="V508">
        <v>0.01</v>
      </c>
      <c r="W508" t="s">
        <v>82</v>
      </c>
      <c r="X508" t="s">
        <v>90</v>
      </c>
      <c r="Y508" t="s">
        <v>36</v>
      </c>
    </row>
    <row r="509" spans="1:25" x14ac:dyDescent="0.3">
      <c r="A509">
        <v>7150</v>
      </c>
      <c r="B509" t="s">
        <v>205</v>
      </c>
      <c r="C509" t="s">
        <v>745</v>
      </c>
      <c r="D509" t="s">
        <v>188</v>
      </c>
      <c r="E509">
        <v>2</v>
      </c>
      <c r="F509" t="s">
        <v>42</v>
      </c>
      <c r="G509" t="s">
        <v>57</v>
      </c>
      <c r="H509">
        <v>2</v>
      </c>
      <c r="I509">
        <v>11232</v>
      </c>
      <c r="J509">
        <v>576</v>
      </c>
      <c r="K509">
        <v>2</v>
      </c>
      <c r="L509">
        <v>11232</v>
      </c>
      <c r="M509">
        <v>576</v>
      </c>
      <c r="N509" t="s">
        <v>29</v>
      </c>
      <c r="O509" t="s">
        <v>44</v>
      </c>
      <c r="P509" t="s">
        <v>31</v>
      </c>
      <c r="Q509" t="s">
        <v>32</v>
      </c>
      <c r="R509" t="s">
        <v>33</v>
      </c>
      <c r="S509" t="s">
        <v>218</v>
      </c>
      <c r="T509" t="s">
        <v>65</v>
      </c>
      <c r="U509" t="s">
        <v>60</v>
      </c>
      <c r="V509">
        <v>0.01</v>
      </c>
      <c r="W509" t="s">
        <v>223</v>
      </c>
      <c r="X509" t="s">
        <v>95</v>
      </c>
      <c r="Y509" t="s">
        <v>60</v>
      </c>
    </row>
    <row r="510" spans="1:25" x14ac:dyDescent="0.3">
      <c r="A510">
        <v>7160</v>
      </c>
      <c r="B510" t="s">
        <v>746</v>
      </c>
      <c r="C510" t="s">
        <v>26</v>
      </c>
      <c r="D510" t="s">
        <v>345</v>
      </c>
      <c r="E510">
        <v>2</v>
      </c>
      <c r="F510" t="s">
        <v>27</v>
      </c>
      <c r="G510" t="s">
        <v>57</v>
      </c>
      <c r="H510">
        <v>2</v>
      </c>
      <c r="I510">
        <v>11232</v>
      </c>
      <c r="J510">
        <v>576</v>
      </c>
      <c r="K510">
        <v>2</v>
      </c>
      <c r="L510">
        <v>11232</v>
      </c>
      <c r="M510">
        <v>576</v>
      </c>
      <c r="N510" t="s">
        <v>29</v>
      </c>
      <c r="O510" t="s">
        <v>44</v>
      </c>
      <c r="P510" t="s">
        <v>31</v>
      </c>
      <c r="Q510" t="s">
        <v>32</v>
      </c>
      <c r="R510" t="s">
        <v>33</v>
      </c>
      <c r="S510" t="s">
        <v>395</v>
      </c>
      <c r="T510" t="s">
        <v>114</v>
      </c>
      <c r="U510" t="s">
        <v>60</v>
      </c>
      <c r="V510">
        <v>0.01</v>
      </c>
      <c r="W510" t="s">
        <v>242</v>
      </c>
      <c r="X510" t="s">
        <v>101</v>
      </c>
      <c r="Y510" t="s">
        <v>60</v>
      </c>
    </row>
    <row r="511" spans="1:25" x14ac:dyDescent="0.3">
      <c r="A511">
        <v>7165</v>
      </c>
      <c r="B511" t="s">
        <v>330</v>
      </c>
      <c r="C511" t="s">
        <v>285</v>
      </c>
      <c r="D511" t="s">
        <v>183</v>
      </c>
      <c r="E511">
        <v>4</v>
      </c>
      <c r="F511" t="s">
        <v>27</v>
      </c>
      <c r="G511" t="s">
        <v>57</v>
      </c>
      <c r="H511">
        <v>1</v>
      </c>
      <c r="I511">
        <v>35820</v>
      </c>
      <c r="J511">
        <v>1800</v>
      </c>
      <c r="K511">
        <v>4</v>
      </c>
      <c r="L511">
        <v>35820</v>
      </c>
      <c r="M511">
        <v>1800</v>
      </c>
      <c r="N511" t="s">
        <v>29</v>
      </c>
      <c r="O511" t="s">
        <v>30</v>
      </c>
      <c r="P511" t="s">
        <v>31</v>
      </c>
      <c r="Q511" t="s">
        <v>32</v>
      </c>
      <c r="R511" t="s">
        <v>33</v>
      </c>
      <c r="S511" t="s">
        <v>509</v>
      </c>
      <c r="T511" t="s">
        <v>272</v>
      </c>
      <c r="U511" t="s">
        <v>60</v>
      </c>
      <c r="V511">
        <v>3.9300000000000002E-2</v>
      </c>
      <c r="W511" t="s">
        <v>263</v>
      </c>
      <c r="X511" t="s">
        <v>103</v>
      </c>
      <c r="Y511" t="s">
        <v>60</v>
      </c>
    </row>
    <row r="512" spans="1:25" x14ac:dyDescent="0.3">
      <c r="A512">
        <v>7170</v>
      </c>
      <c r="B512" t="s">
        <v>330</v>
      </c>
      <c r="C512" t="s">
        <v>183</v>
      </c>
      <c r="D512" t="s">
        <v>26</v>
      </c>
      <c r="E512">
        <v>4</v>
      </c>
      <c r="F512" t="s">
        <v>27</v>
      </c>
      <c r="G512" t="s">
        <v>57</v>
      </c>
      <c r="H512">
        <v>1</v>
      </c>
      <c r="I512">
        <v>35820</v>
      </c>
      <c r="J512">
        <v>1800</v>
      </c>
      <c r="K512">
        <v>4</v>
      </c>
      <c r="L512">
        <v>35820</v>
      </c>
      <c r="M512">
        <v>1800</v>
      </c>
      <c r="N512" t="s">
        <v>29</v>
      </c>
      <c r="O512" t="s">
        <v>30</v>
      </c>
      <c r="P512" t="s">
        <v>31</v>
      </c>
      <c r="Q512" t="s">
        <v>32</v>
      </c>
      <c r="R512" t="s">
        <v>33</v>
      </c>
      <c r="S512" t="s">
        <v>747</v>
      </c>
      <c r="T512" t="s">
        <v>108</v>
      </c>
      <c r="U512" t="s">
        <v>60</v>
      </c>
      <c r="V512">
        <v>7.3300000000000004E-2</v>
      </c>
      <c r="W512" t="s">
        <v>748</v>
      </c>
      <c r="X512" t="s">
        <v>372</v>
      </c>
      <c r="Y512" t="s">
        <v>60</v>
      </c>
    </row>
    <row r="513" spans="1:25" x14ac:dyDescent="0.3">
      <c r="A513">
        <v>7732.1</v>
      </c>
      <c r="B513" t="s">
        <v>749</v>
      </c>
      <c r="C513" t="s">
        <v>750</v>
      </c>
      <c r="D513" t="s">
        <v>751</v>
      </c>
      <c r="E513">
        <v>0</v>
      </c>
      <c r="F513" t="s">
        <v>752</v>
      </c>
      <c r="G513" t="s">
        <v>752</v>
      </c>
      <c r="K513">
        <v>0</v>
      </c>
      <c r="L513">
        <v>0</v>
      </c>
      <c r="N513" t="s">
        <v>29</v>
      </c>
      <c r="O513" t="s">
        <v>44</v>
      </c>
      <c r="P513" t="s">
        <v>31</v>
      </c>
      <c r="Q513" t="s">
        <v>32</v>
      </c>
      <c r="R513" t="s">
        <v>33</v>
      </c>
      <c r="S513" t="s">
        <v>753</v>
      </c>
      <c r="T513" t="s">
        <v>753</v>
      </c>
      <c r="U513" t="s">
        <v>753</v>
      </c>
      <c r="V513">
        <v>0.01</v>
      </c>
      <c r="W513" t="s">
        <v>753</v>
      </c>
      <c r="X513" t="s">
        <v>754</v>
      </c>
      <c r="Y513" t="s">
        <v>753</v>
      </c>
    </row>
    <row r="514" spans="1:25" x14ac:dyDescent="0.3">
      <c r="A514">
        <v>7732.2</v>
      </c>
      <c r="B514" t="s">
        <v>751</v>
      </c>
      <c r="C514" t="s">
        <v>749</v>
      </c>
      <c r="D514" t="s">
        <v>80</v>
      </c>
      <c r="E514">
        <v>2</v>
      </c>
      <c r="F514" t="s">
        <v>42</v>
      </c>
      <c r="G514" t="s">
        <v>28</v>
      </c>
      <c r="I514">
        <v>29340</v>
      </c>
      <c r="J514">
        <v>1449</v>
      </c>
      <c r="K514">
        <v>2</v>
      </c>
      <c r="L514">
        <v>29340</v>
      </c>
      <c r="M514">
        <v>1449</v>
      </c>
      <c r="N514" t="s">
        <v>29</v>
      </c>
      <c r="O514" t="s">
        <v>44</v>
      </c>
      <c r="P514" t="s">
        <v>31</v>
      </c>
      <c r="Q514" t="s">
        <v>32</v>
      </c>
      <c r="R514" t="s">
        <v>33</v>
      </c>
      <c r="S514" t="s">
        <v>45</v>
      </c>
      <c r="T514" t="s">
        <v>46</v>
      </c>
      <c r="U514" t="s">
        <v>46</v>
      </c>
      <c r="V514">
        <v>0.01</v>
      </c>
      <c r="W514" t="s">
        <v>45</v>
      </c>
      <c r="X514" t="s">
        <v>46</v>
      </c>
      <c r="Y514" t="s">
        <v>46</v>
      </c>
    </row>
    <row r="515" spans="1:25" x14ac:dyDescent="0.3">
      <c r="A515">
        <v>7737.1</v>
      </c>
      <c r="B515" t="s">
        <v>755</v>
      </c>
      <c r="C515" t="s">
        <v>467</v>
      </c>
      <c r="D515" t="s">
        <v>458</v>
      </c>
      <c r="E515">
        <v>0</v>
      </c>
      <c r="F515" t="s">
        <v>752</v>
      </c>
      <c r="G515" t="s">
        <v>752</v>
      </c>
      <c r="K515">
        <v>0</v>
      </c>
      <c r="L515">
        <v>0</v>
      </c>
      <c r="N515" t="s">
        <v>29</v>
      </c>
      <c r="O515" t="s">
        <v>30</v>
      </c>
      <c r="P515" t="s">
        <v>31</v>
      </c>
      <c r="Q515" t="s">
        <v>32</v>
      </c>
      <c r="R515" t="s">
        <v>33</v>
      </c>
      <c r="S515" t="s">
        <v>753</v>
      </c>
      <c r="T515" t="s">
        <v>753</v>
      </c>
      <c r="U515" t="s">
        <v>753</v>
      </c>
      <c r="V515">
        <v>0.01</v>
      </c>
      <c r="W515" t="s">
        <v>753</v>
      </c>
      <c r="X515" t="s">
        <v>754</v>
      </c>
      <c r="Y515" t="s">
        <v>753</v>
      </c>
    </row>
    <row r="516" spans="1:25" x14ac:dyDescent="0.3">
      <c r="A516">
        <v>7742</v>
      </c>
      <c r="B516" t="s">
        <v>756</v>
      </c>
      <c r="C516" t="s">
        <v>313</v>
      </c>
      <c r="D516" t="s">
        <v>564</v>
      </c>
      <c r="E516">
        <v>4</v>
      </c>
      <c r="F516" t="s">
        <v>42</v>
      </c>
      <c r="G516" t="s">
        <v>28</v>
      </c>
      <c r="I516">
        <v>67770</v>
      </c>
      <c r="J516">
        <v>3357</v>
      </c>
      <c r="K516">
        <v>4</v>
      </c>
      <c r="L516">
        <v>67770</v>
      </c>
      <c r="M516">
        <v>3357</v>
      </c>
      <c r="N516" t="s">
        <v>29</v>
      </c>
      <c r="O516" t="s">
        <v>30</v>
      </c>
      <c r="P516" t="s">
        <v>31</v>
      </c>
      <c r="Q516" t="s">
        <v>32</v>
      </c>
      <c r="R516" t="s">
        <v>33</v>
      </c>
      <c r="S516" t="s">
        <v>642</v>
      </c>
      <c r="T516" t="s">
        <v>95</v>
      </c>
      <c r="U516" t="s">
        <v>36</v>
      </c>
      <c r="V516">
        <v>0.1</v>
      </c>
      <c r="W516" t="s">
        <v>757</v>
      </c>
      <c r="X516" t="s">
        <v>325</v>
      </c>
      <c r="Y516" t="s">
        <v>60</v>
      </c>
    </row>
    <row r="517" spans="1:25" x14ac:dyDescent="0.3">
      <c r="A517">
        <v>7995</v>
      </c>
      <c r="B517" t="s">
        <v>407</v>
      </c>
      <c r="C517" t="s">
        <v>408</v>
      </c>
      <c r="D517" t="s">
        <v>758</v>
      </c>
      <c r="E517">
        <v>2</v>
      </c>
      <c r="F517" t="s">
        <v>42</v>
      </c>
      <c r="G517" t="s">
        <v>28</v>
      </c>
      <c r="I517">
        <v>19170</v>
      </c>
      <c r="J517">
        <v>999</v>
      </c>
      <c r="K517">
        <v>2</v>
      </c>
      <c r="L517">
        <v>19170</v>
      </c>
      <c r="M517">
        <v>999</v>
      </c>
      <c r="N517" t="s">
        <v>43</v>
      </c>
      <c r="O517" t="s">
        <v>44</v>
      </c>
      <c r="P517" t="s">
        <v>31</v>
      </c>
      <c r="Q517" t="s">
        <v>32</v>
      </c>
      <c r="R517" t="s">
        <v>30</v>
      </c>
      <c r="S517" t="s">
        <v>45</v>
      </c>
      <c r="T517" t="s">
        <v>46</v>
      </c>
      <c r="U517" t="s">
        <v>46</v>
      </c>
      <c r="V517">
        <v>0.01</v>
      </c>
      <c r="W517" t="s">
        <v>45</v>
      </c>
      <c r="X517" t="s">
        <v>46</v>
      </c>
      <c r="Y517" t="s">
        <v>46</v>
      </c>
    </row>
    <row r="518" spans="1:25" x14ac:dyDescent="0.3">
      <c r="A518">
        <v>8000</v>
      </c>
      <c r="B518" t="s">
        <v>385</v>
      </c>
      <c r="C518" t="s">
        <v>759</v>
      </c>
      <c r="D518" t="s">
        <v>760</v>
      </c>
      <c r="E518">
        <v>4</v>
      </c>
      <c r="F518" t="s">
        <v>300</v>
      </c>
      <c r="G518" t="s">
        <v>28</v>
      </c>
      <c r="I518">
        <v>67770</v>
      </c>
      <c r="J518">
        <v>3357</v>
      </c>
      <c r="K518">
        <v>4</v>
      </c>
      <c r="L518">
        <v>67770</v>
      </c>
      <c r="M518">
        <v>3357</v>
      </c>
      <c r="N518" t="s">
        <v>29</v>
      </c>
      <c r="O518" t="s">
        <v>30</v>
      </c>
      <c r="P518" t="s">
        <v>31</v>
      </c>
      <c r="Q518" t="s">
        <v>32</v>
      </c>
      <c r="R518" t="s">
        <v>33</v>
      </c>
      <c r="S518" t="s">
        <v>384</v>
      </c>
      <c r="T518" t="s">
        <v>51</v>
      </c>
      <c r="U518" t="s">
        <v>36</v>
      </c>
      <c r="V518">
        <v>0.01</v>
      </c>
      <c r="W518" t="s">
        <v>70</v>
      </c>
      <c r="X518" t="s">
        <v>130</v>
      </c>
      <c r="Y518" t="s">
        <v>36</v>
      </c>
    </row>
    <row r="519" spans="1:25" x14ac:dyDescent="0.3">
      <c r="A519">
        <v>8005</v>
      </c>
      <c r="B519" t="s">
        <v>458</v>
      </c>
      <c r="C519" t="s">
        <v>453</v>
      </c>
      <c r="D519" t="s">
        <v>385</v>
      </c>
      <c r="E519">
        <v>4</v>
      </c>
      <c r="F519" t="s">
        <v>300</v>
      </c>
      <c r="G519" t="s">
        <v>28</v>
      </c>
      <c r="I519">
        <v>67770</v>
      </c>
      <c r="J519">
        <v>3357</v>
      </c>
      <c r="K519">
        <v>4</v>
      </c>
      <c r="L519">
        <v>67770</v>
      </c>
      <c r="M519">
        <v>3357</v>
      </c>
      <c r="N519" t="s">
        <v>29</v>
      </c>
      <c r="O519" t="s">
        <v>30</v>
      </c>
      <c r="P519" t="s">
        <v>31</v>
      </c>
      <c r="Q519" t="s">
        <v>32</v>
      </c>
      <c r="R519" t="s">
        <v>33</v>
      </c>
      <c r="S519" t="s">
        <v>265</v>
      </c>
      <c r="T519" t="s">
        <v>161</v>
      </c>
      <c r="U519" t="s">
        <v>36</v>
      </c>
      <c r="V519">
        <v>0.01</v>
      </c>
      <c r="W519" t="s">
        <v>387</v>
      </c>
      <c r="X519" t="s">
        <v>163</v>
      </c>
      <c r="Y519" t="s">
        <v>36</v>
      </c>
    </row>
    <row r="520" spans="1:25" x14ac:dyDescent="0.3">
      <c r="A520">
        <v>8010</v>
      </c>
      <c r="B520" t="s">
        <v>638</v>
      </c>
      <c r="C520" t="s">
        <v>679</v>
      </c>
      <c r="D520" t="s">
        <v>650</v>
      </c>
      <c r="E520">
        <v>4</v>
      </c>
      <c r="F520" t="s">
        <v>42</v>
      </c>
      <c r="G520" t="s">
        <v>28</v>
      </c>
      <c r="I520">
        <v>67770</v>
      </c>
      <c r="J520">
        <v>3357</v>
      </c>
      <c r="K520">
        <v>4</v>
      </c>
      <c r="L520">
        <v>67770</v>
      </c>
      <c r="M520">
        <v>3357</v>
      </c>
      <c r="N520" t="s">
        <v>29</v>
      </c>
      <c r="O520" t="s">
        <v>30</v>
      </c>
      <c r="P520" t="s">
        <v>31</v>
      </c>
      <c r="Q520" t="s">
        <v>32</v>
      </c>
      <c r="R520" t="s">
        <v>33</v>
      </c>
      <c r="S520" t="s">
        <v>45</v>
      </c>
      <c r="T520" t="s">
        <v>46</v>
      </c>
      <c r="U520" t="s">
        <v>46</v>
      </c>
      <c r="V520">
        <v>0.01</v>
      </c>
      <c r="W520" t="s">
        <v>45</v>
      </c>
      <c r="X520" t="s">
        <v>46</v>
      </c>
      <c r="Y520" t="s">
        <v>46</v>
      </c>
    </row>
    <row r="521" spans="1:25" x14ac:dyDescent="0.3">
      <c r="A521">
        <v>8015</v>
      </c>
      <c r="B521" t="s">
        <v>638</v>
      </c>
      <c r="C521" t="s">
        <v>650</v>
      </c>
      <c r="D521" t="s">
        <v>665</v>
      </c>
      <c r="E521">
        <v>4</v>
      </c>
      <c r="F521" t="s">
        <v>42</v>
      </c>
      <c r="G521" t="s">
        <v>28</v>
      </c>
      <c r="I521">
        <v>67770</v>
      </c>
      <c r="J521">
        <v>3357</v>
      </c>
      <c r="K521">
        <v>4</v>
      </c>
      <c r="L521">
        <v>67770</v>
      </c>
      <c r="M521">
        <v>3357</v>
      </c>
      <c r="N521" t="s">
        <v>29</v>
      </c>
      <c r="O521" t="s">
        <v>30</v>
      </c>
      <c r="P521" t="s">
        <v>31</v>
      </c>
      <c r="Q521" t="s">
        <v>32</v>
      </c>
      <c r="R521" t="s">
        <v>33</v>
      </c>
      <c r="S521" t="s">
        <v>45</v>
      </c>
      <c r="T521" t="s">
        <v>46</v>
      </c>
      <c r="U521" t="s">
        <v>46</v>
      </c>
      <c r="V521">
        <v>0.01</v>
      </c>
      <c r="W521" t="s">
        <v>45</v>
      </c>
      <c r="X521" t="s">
        <v>46</v>
      </c>
      <c r="Y521" t="s">
        <v>46</v>
      </c>
    </row>
    <row r="522" spans="1:25" x14ac:dyDescent="0.3">
      <c r="A522">
        <v>8020</v>
      </c>
      <c r="B522" t="s">
        <v>665</v>
      </c>
      <c r="C522" t="s">
        <v>638</v>
      </c>
      <c r="D522" t="s">
        <v>657</v>
      </c>
      <c r="E522">
        <v>4</v>
      </c>
      <c r="F522" t="s">
        <v>42</v>
      </c>
      <c r="G522" t="s">
        <v>28</v>
      </c>
      <c r="I522">
        <v>67770</v>
      </c>
      <c r="J522">
        <v>3357</v>
      </c>
      <c r="K522">
        <v>4</v>
      </c>
      <c r="L522">
        <v>67770</v>
      </c>
      <c r="M522">
        <v>3357</v>
      </c>
      <c r="N522" t="s">
        <v>29</v>
      </c>
      <c r="O522" t="s">
        <v>30</v>
      </c>
      <c r="P522" t="s">
        <v>31</v>
      </c>
      <c r="Q522" t="s">
        <v>32</v>
      </c>
      <c r="R522" t="s">
        <v>33</v>
      </c>
      <c r="S522" t="s">
        <v>45</v>
      </c>
      <c r="T522" t="s">
        <v>46</v>
      </c>
      <c r="U522" t="s">
        <v>46</v>
      </c>
      <c r="V522">
        <v>0.01</v>
      </c>
      <c r="W522" t="s">
        <v>45</v>
      </c>
      <c r="X522" t="s">
        <v>46</v>
      </c>
      <c r="Y522" t="s">
        <v>46</v>
      </c>
    </row>
    <row r="523" spans="1:25" x14ac:dyDescent="0.3">
      <c r="A523">
        <v>8030</v>
      </c>
      <c r="B523" t="s">
        <v>676</v>
      </c>
      <c r="C523" t="s">
        <v>692</v>
      </c>
      <c r="D523" t="s">
        <v>761</v>
      </c>
      <c r="E523">
        <v>4</v>
      </c>
      <c r="F523" t="s">
        <v>42</v>
      </c>
      <c r="G523" t="s">
        <v>57</v>
      </c>
      <c r="H523">
        <v>1</v>
      </c>
      <c r="I523">
        <v>35820</v>
      </c>
      <c r="J523">
        <v>1800</v>
      </c>
      <c r="K523">
        <v>4</v>
      </c>
      <c r="L523">
        <v>35820</v>
      </c>
      <c r="M523">
        <v>1800</v>
      </c>
      <c r="N523" t="s">
        <v>29</v>
      </c>
      <c r="O523" t="s">
        <v>30</v>
      </c>
      <c r="P523" t="s">
        <v>31</v>
      </c>
      <c r="Q523" t="s">
        <v>32</v>
      </c>
      <c r="R523" t="s">
        <v>33</v>
      </c>
      <c r="S523" t="s">
        <v>45</v>
      </c>
      <c r="T523" t="s">
        <v>46</v>
      </c>
      <c r="U523" t="s">
        <v>46</v>
      </c>
      <c r="V523">
        <v>0.01</v>
      </c>
      <c r="W523" t="s">
        <v>45</v>
      </c>
      <c r="X523" t="s">
        <v>46</v>
      </c>
      <c r="Y523" t="s">
        <v>46</v>
      </c>
    </row>
    <row r="524" spans="1:25" x14ac:dyDescent="0.3">
      <c r="A524">
        <v>8035</v>
      </c>
      <c r="B524" t="s">
        <v>762</v>
      </c>
      <c r="C524" t="s">
        <v>763</v>
      </c>
      <c r="D524" t="s">
        <v>156</v>
      </c>
      <c r="E524">
        <v>0</v>
      </c>
      <c r="F524" t="s">
        <v>752</v>
      </c>
      <c r="G524" t="s">
        <v>752</v>
      </c>
      <c r="K524">
        <v>0</v>
      </c>
      <c r="L524">
        <v>0</v>
      </c>
      <c r="N524" t="s">
        <v>43</v>
      </c>
      <c r="O524" t="s">
        <v>44</v>
      </c>
      <c r="P524" t="s">
        <v>31</v>
      </c>
      <c r="Q524" t="s">
        <v>32</v>
      </c>
      <c r="R524" t="s">
        <v>30</v>
      </c>
      <c r="S524" t="s">
        <v>753</v>
      </c>
      <c r="T524" t="s">
        <v>753</v>
      </c>
      <c r="U524" t="s">
        <v>753</v>
      </c>
      <c r="V524">
        <v>0.01</v>
      </c>
      <c r="W524" t="s">
        <v>753</v>
      </c>
      <c r="X524" t="s">
        <v>754</v>
      </c>
      <c r="Y524" t="s">
        <v>753</v>
      </c>
    </row>
    <row r="525" spans="1:25" x14ac:dyDescent="0.3">
      <c r="A525">
        <v>8040</v>
      </c>
      <c r="B525" t="s">
        <v>762</v>
      </c>
      <c r="C525" t="s">
        <v>156</v>
      </c>
      <c r="D525" t="s">
        <v>224</v>
      </c>
      <c r="E525">
        <v>0</v>
      </c>
      <c r="F525" t="s">
        <v>752</v>
      </c>
      <c r="G525" t="s">
        <v>752</v>
      </c>
      <c r="K525">
        <v>0</v>
      </c>
      <c r="L525">
        <v>0</v>
      </c>
      <c r="N525" t="s">
        <v>43</v>
      </c>
      <c r="O525" t="s">
        <v>44</v>
      </c>
      <c r="P525" t="s">
        <v>31</v>
      </c>
      <c r="Q525" t="s">
        <v>32</v>
      </c>
      <c r="R525" t="s">
        <v>30</v>
      </c>
      <c r="S525" t="s">
        <v>753</v>
      </c>
      <c r="T525" t="s">
        <v>753</v>
      </c>
      <c r="U525" t="s">
        <v>753</v>
      </c>
      <c r="V525">
        <v>0.01</v>
      </c>
      <c r="W525" t="s">
        <v>753</v>
      </c>
      <c r="X525" t="s">
        <v>754</v>
      </c>
      <c r="Y525" t="s">
        <v>753</v>
      </c>
    </row>
    <row r="526" spans="1:25" x14ac:dyDescent="0.3">
      <c r="A526">
        <v>8060</v>
      </c>
      <c r="B526" t="s">
        <v>755</v>
      </c>
      <c r="C526" t="s">
        <v>56</v>
      </c>
      <c r="D526" t="s">
        <v>469</v>
      </c>
      <c r="E526">
        <v>0</v>
      </c>
      <c r="F526" t="s">
        <v>752</v>
      </c>
      <c r="G526" t="s">
        <v>752</v>
      </c>
      <c r="K526">
        <v>2</v>
      </c>
      <c r="L526">
        <v>0</v>
      </c>
      <c r="N526" t="s">
        <v>29</v>
      </c>
      <c r="O526" t="s">
        <v>44</v>
      </c>
      <c r="P526" t="s">
        <v>31</v>
      </c>
      <c r="Q526" t="s">
        <v>32</v>
      </c>
      <c r="R526" t="s">
        <v>30</v>
      </c>
      <c r="S526" t="s">
        <v>753</v>
      </c>
      <c r="T526" t="s">
        <v>753</v>
      </c>
      <c r="U526" t="s">
        <v>753</v>
      </c>
      <c r="V526">
        <v>0.01</v>
      </c>
      <c r="W526" t="s">
        <v>753</v>
      </c>
      <c r="X526" t="s">
        <v>754</v>
      </c>
      <c r="Y526" t="s">
        <v>753</v>
      </c>
    </row>
    <row r="527" spans="1:25" x14ac:dyDescent="0.3">
      <c r="A527">
        <v>8065</v>
      </c>
      <c r="B527" t="s">
        <v>755</v>
      </c>
      <c r="C527" t="s">
        <v>469</v>
      </c>
      <c r="D527" t="s">
        <v>467</v>
      </c>
      <c r="E527">
        <v>0</v>
      </c>
      <c r="F527" t="s">
        <v>752</v>
      </c>
      <c r="G527" t="s">
        <v>752</v>
      </c>
      <c r="K527">
        <v>2</v>
      </c>
      <c r="L527">
        <v>0</v>
      </c>
      <c r="N527" t="s">
        <v>29</v>
      </c>
      <c r="O527" t="s">
        <v>44</v>
      </c>
      <c r="P527" t="s">
        <v>31</v>
      </c>
      <c r="Q527" t="s">
        <v>32</v>
      </c>
      <c r="R527" t="s">
        <v>30</v>
      </c>
      <c r="S527" t="s">
        <v>753</v>
      </c>
      <c r="T527" t="s">
        <v>753</v>
      </c>
      <c r="U527" t="s">
        <v>753</v>
      </c>
      <c r="V527">
        <v>0.01</v>
      </c>
      <c r="W527" t="s">
        <v>753</v>
      </c>
      <c r="X527" t="s">
        <v>754</v>
      </c>
      <c r="Y527" t="s">
        <v>753</v>
      </c>
    </row>
    <row r="528" spans="1:25" x14ac:dyDescent="0.3">
      <c r="A528">
        <v>8080</v>
      </c>
      <c r="B528" t="s">
        <v>764</v>
      </c>
      <c r="C528" t="s">
        <v>765</v>
      </c>
      <c r="D528" t="s">
        <v>25</v>
      </c>
      <c r="E528">
        <v>2</v>
      </c>
      <c r="F528" t="s">
        <v>42</v>
      </c>
      <c r="G528" t="s">
        <v>57</v>
      </c>
      <c r="H528">
        <v>2</v>
      </c>
      <c r="I528">
        <v>11232</v>
      </c>
      <c r="J528">
        <v>576</v>
      </c>
      <c r="K528">
        <v>2</v>
      </c>
      <c r="L528">
        <v>11232</v>
      </c>
      <c r="M528">
        <v>576</v>
      </c>
      <c r="N528" t="s">
        <v>29</v>
      </c>
      <c r="O528" t="s">
        <v>44</v>
      </c>
      <c r="P528" t="s">
        <v>31</v>
      </c>
      <c r="Q528" t="s">
        <v>32</v>
      </c>
      <c r="R528" t="s">
        <v>33</v>
      </c>
      <c r="S528" t="s">
        <v>64</v>
      </c>
      <c r="T528" t="s">
        <v>78</v>
      </c>
      <c r="U528" t="s">
        <v>60</v>
      </c>
      <c r="V528">
        <v>0.01</v>
      </c>
      <c r="W528" t="s">
        <v>66</v>
      </c>
      <c r="X528" t="s">
        <v>113</v>
      </c>
      <c r="Y528" t="s">
        <v>60</v>
      </c>
    </row>
    <row r="529" spans="1:25" x14ac:dyDescent="0.3">
      <c r="A529">
        <v>8090</v>
      </c>
      <c r="B529" t="s">
        <v>766</v>
      </c>
      <c r="C529" t="s">
        <v>80</v>
      </c>
      <c r="D529" t="s">
        <v>767</v>
      </c>
      <c r="E529">
        <v>0</v>
      </c>
      <c r="F529" t="s">
        <v>752</v>
      </c>
      <c r="G529" t="s">
        <v>752</v>
      </c>
      <c r="K529">
        <v>0</v>
      </c>
      <c r="L529">
        <v>0</v>
      </c>
      <c r="N529" t="s">
        <v>29</v>
      </c>
      <c r="O529" t="s">
        <v>44</v>
      </c>
      <c r="P529" t="s">
        <v>31</v>
      </c>
      <c r="Q529" t="s">
        <v>32</v>
      </c>
      <c r="R529" t="s">
        <v>33</v>
      </c>
      <c r="S529" t="s">
        <v>753</v>
      </c>
      <c r="T529" t="s">
        <v>753</v>
      </c>
      <c r="U529" t="s">
        <v>753</v>
      </c>
      <c r="V529">
        <v>0.01</v>
      </c>
      <c r="W529" t="s">
        <v>753</v>
      </c>
      <c r="X529" t="s">
        <v>754</v>
      </c>
      <c r="Y529" t="s">
        <v>753</v>
      </c>
    </row>
    <row r="530" spans="1:25" x14ac:dyDescent="0.3">
      <c r="A530">
        <v>8100</v>
      </c>
      <c r="B530" t="s">
        <v>767</v>
      </c>
      <c r="C530" t="s">
        <v>80</v>
      </c>
      <c r="D530" t="s">
        <v>80</v>
      </c>
      <c r="E530">
        <v>0</v>
      </c>
      <c r="F530" t="s">
        <v>752</v>
      </c>
      <c r="G530" t="s">
        <v>752</v>
      </c>
      <c r="K530">
        <v>0</v>
      </c>
      <c r="L530">
        <v>0</v>
      </c>
      <c r="N530" t="s">
        <v>29</v>
      </c>
      <c r="O530" t="s">
        <v>44</v>
      </c>
      <c r="P530" t="s">
        <v>31</v>
      </c>
      <c r="Q530" t="s">
        <v>32</v>
      </c>
      <c r="R530" t="s">
        <v>33</v>
      </c>
      <c r="S530" t="s">
        <v>753</v>
      </c>
      <c r="T530" t="s">
        <v>753</v>
      </c>
      <c r="U530" t="s">
        <v>753</v>
      </c>
      <c r="V530">
        <v>0.01</v>
      </c>
      <c r="W530" t="s">
        <v>753</v>
      </c>
      <c r="X530" t="s">
        <v>754</v>
      </c>
      <c r="Y530" t="s">
        <v>753</v>
      </c>
    </row>
    <row r="531" spans="1:25" x14ac:dyDescent="0.3">
      <c r="A531">
        <v>8110</v>
      </c>
      <c r="B531" t="s">
        <v>768</v>
      </c>
      <c r="C531" t="s">
        <v>769</v>
      </c>
      <c r="D531" t="s">
        <v>260</v>
      </c>
      <c r="E531">
        <v>0</v>
      </c>
      <c r="F531" t="s">
        <v>752</v>
      </c>
      <c r="G531" t="s">
        <v>752</v>
      </c>
      <c r="K531">
        <v>0</v>
      </c>
      <c r="L531">
        <v>0</v>
      </c>
      <c r="N531" t="s">
        <v>29</v>
      </c>
      <c r="O531" t="s">
        <v>44</v>
      </c>
      <c r="P531" t="s">
        <v>31</v>
      </c>
      <c r="Q531" t="s">
        <v>32</v>
      </c>
      <c r="R531" t="s">
        <v>33</v>
      </c>
      <c r="S531" t="s">
        <v>753</v>
      </c>
      <c r="T531" t="s">
        <v>753</v>
      </c>
      <c r="U531" t="s">
        <v>753</v>
      </c>
      <c r="V531">
        <v>0.01</v>
      </c>
      <c r="W531" t="s">
        <v>753</v>
      </c>
      <c r="X531" t="s">
        <v>754</v>
      </c>
      <c r="Y531" t="s">
        <v>753</v>
      </c>
    </row>
    <row r="532" spans="1:25" x14ac:dyDescent="0.3">
      <c r="A532">
        <v>8120</v>
      </c>
      <c r="B532" t="s">
        <v>260</v>
      </c>
      <c r="C532" t="s">
        <v>80</v>
      </c>
      <c r="D532" t="s">
        <v>80</v>
      </c>
      <c r="E532">
        <v>0</v>
      </c>
      <c r="F532" t="s">
        <v>752</v>
      </c>
      <c r="G532" t="s">
        <v>752</v>
      </c>
      <c r="K532">
        <v>0</v>
      </c>
      <c r="L532">
        <v>0</v>
      </c>
      <c r="N532" t="s">
        <v>29</v>
      </c>
      <c r="O532" t="s">
        <v>44</v>
      </c>
      <c r="P532" t="s">
        <v>31</v>
      </c>
      <c r="Q532" t="s">
        <v>32</v>
      </c>
      <c r="R532" t="s">
        <v>33</v>
      </c>
      <c r="S532" t="s">
        <v>753</v>
      </c>
      <c r="T532" t="s">
        <v>753</v>
      </c>
      <c r="U532" t="s">
        <v>753</v>
      </c>
      <c r="V532">
        <v>0.01</v>
      </c>
      <c r="W532" t="s">
        <v>753</v>
      </c>
      <c r="X532" t="s">
        <v>754</v>
      </c>
      <c r="Y532" t="s">
        <v>753</v>
      </c>
    </row>
    <row r="533" spans="1:25" x14ac:dyDescent="0.3">
      <c r="A533">
        <v>8130</v>
      </c>
      <c r="B533" t="s">
        <v>770</v>
      </c>
      <c r="C533" t="s">
        <v>638</v>
      </c>
      <c r="D533" t="s">
        <v>771</v>
      </c>
      <c r="E533">
        <v>2</v>
      </c>
      <c r="F533" t="s">
        <v>42</v>
      </c>
      <c r="G533" t="s">
        <v>57</v>
      </c>
      <c r="H533">
        <v>1</v>
      </c>
      <c r="I533">
        <v>15930</v>
      </c>
      <c r="J533">
        <v>832</v>
      </c>
      <c r="K533">
        <v>2</v>
      </c>
      <c r="L533">
        <v>15930</v>
      </c>
      <c r="M533">
        <v>832</v>
      </c>
      <c r="N533" t="s">
        <v>29</v>
      </c>
      <c r="O533" t="s">
        <v>44</v>
      </c>
      <c r="P533" t="s">
        <v>31</v>
      </c>
      <c r="Q533" t="s">
        <v>32</v>
      </c>
      <c r="R533" t="s">
        <v>33</v>
      </c>
      <c r="S533" t="s">
        <v>34</v>
      </c>
      <c r="T533" t="s">
        <v>362</v>
      </c>
      <c r="U533" t="s">
        <v>60</v>
      </c>
      <c r="V533">
        <v>0.01</v>
      </c>
      <c r="W533" t="s">
        <v>37</v>
      </c>
      <c r="X533" t="s">
        <v>364</v>
      </c>
      <c r="Y533" t="s">
        <v>60</v>
      </c>
    </row>
    <row r="534" spans="1:25" x14ac:dyDescent="0.3">
      <c r="A534">
        <v>8140</v>
      </c>
      <c r="B534" t="s">
        <v>771</v>
      </c>
      <c r="C534" t="s">
        <v>285</v>
      </c>
      <c r="D534" t="s">
        <v>770</v>
      </c>
      <c r="E534">
        <v>4</v>
      </c>
      <c r="F534" t="s">
        <v>42</v>
      </c>
      <c r="G534" t="s">
        <v>57</v>
      </c>
      <c r="H534">
        <v>1</v>
      </c>
      <c r="I534">
        <v>35820</v>
      </c>
      <c r="J534">
        <v>1800</v>
      </c>
      <c r="K534">
        <v>4</v>
      </c>
      <c r="L534">
        <v>35820</v>
      </c>
      <c r="M534">
        <v>1800</v>
      </c>
      <c r="N534" t="s">
        <v>29</v>
      </c>
      <c r="O534" t="s">
        <v>30</v>
      </c>
      <c r="P534" t="s">
        <v>31</v>
      </c>
      <c r="Q534" t="s">
        <v>32</v>
      </c>
      <c r="R534" t="s">
        <v>33</v>
      </c>
      <c r="S534" t="s">
        <v>34</v>
      </c>
      <c r="T534" t="s">
        <v>95</v>
      </c>
      <c r="U534" t="s">
        <v>60</v>
      </c>
      <c r="V534">
        <v>0.01</v>
      </c>
      <c r="W534" t="s">
        <v>37</v>
      </c>
      <c r="X534" t="s">
        <v>196</v>
      </c>
      <c r="Y534" t="s">
        <v>60</v>
      </c>
    </row>
    <row r="535" spans="1:25" x14ac:dyDescent="0.3">
      <c r="A535">
        <v>8150</v>
      </c>
      <c r="B535" t="s">
        <v>772</v>
      </c>
      <c r="C535" t="s">
        <v>285</v>
      </c>
      <c r="D535" t="s">
        <v>638</v>
      </c>
      <c r="E535">
        <v>2</v>
      </c>
      <c r="F535" t="s">
        <v>27</v>
      </c>
      <c r="G535" t="s">
        <v>57</v>
      </c>
      <c r="H535">
        <v>1</v>
      </c>
      <c r="I535">
        <v>15930</v>
      </c>
      <c r="J535">
        <v>792</v>
      </c>
      <c r="K535">
        <v>2</v>
      </c>
      <c r="L535">
        <v>15930</v>
      </c>
      <c r="M535">
        <v>792</v>
      </c>
      <c r="N535" t="s">
        <v>29</v>
      </c>
      <c r="O535" t="s">
        <v>44</v>
      </c>
      <c r="P535" t="s">
        <v>31</v>
      </c>
      <c r="Q535" t="s">
        <v>32</v>
      </c>
      <c r="R535" t="s">
        <v>33</v>
      </c>
      <c r="S535" t="s">
        <v>45</v>
      </c>
      <c r="T535" t="s">
        <v>46</v>
      </c>
      <c r="U535" t="s">
        <v>46</v>
      </c>
      <c r="V535">
        <v>0.01</v>
      </c>
      <c r="W535" t="s">
        <v>45</v>
      </c>
      <c r="X535" t="s">
        <v>46</v>
      </c>
      <c r="Y535" t="s">
        <v>46</v>
      </c>
    </row>
    <row r="536" spans="1:25" x14ac:dyDescent="0.3">
      <c r="A536">
        <v>8160</v>
      </c>
      <c r="B536" t="s">
        <v>773</v>
      </c>
      <c r="C536" t="s">
        <v>774</v>
      </c>
      <c r="D536" t="s">
        <v>775</v>
      </c>
      <c r="E536">
        <v>0</v>
      </c>
      <c r="F536" t="s">
        <v>752</v>
      </c>
      <c r="G536" t="s">
        <v>752</v>
      </c>
      <c r="K536">
        <v>0</v>
      </c>
      <c r="L536">
        <v>0</v>
      </c>
      <c r="N536" t="s">
        <v>29</v>
      </c>
      <c r="O536" t="s">
        <v>44</v>
      </c>
      <c r="P536" t="s">
        <v>31</v>
      </c>
      <c r="Q536" t="s">
        <v>32</v>
      </c>
      <c r="R536" t="s">
        <v>33</v>
      </c>
      <c r="S536" t="s">
        <v>753</v>
      </c>
      <c r="T536" t="s">
        <v>753</v>
      </c>
      <c r="U536" t="s">
        <v>753</v>
      </c>
      <c r="V536">
        <v>0.01</v>
      </c>
      <c r="W536" t="s">
        <v>753</v>
      </c>
      <c r="X536" t="s">
        <v>754</v>
      </c>
      <c r="Y536" t="s">
        <v>753</v>
      </c>
    </row>
    <row r="537" spans="1:25" x14ac:dyDescent="0.3">
      <c r="A537">
        <v>8170</v>
      </c>
      <c r="B537" t="s">
        <v>776</v>
      </c>
      <c r="C537" t="s">
        <v>767</v>
      </c>
      <c r="D537" t="s">
        <v>751</v>
      </c>
      <c r="E537">
        <v>0</v>
      </c>
      <c r="F537" t="s">
        <v>752</v>
      </c>
      <c r="G537" t="s">
        <v>752</v>
      </c>
      <c r="K537">
        <v>0</v>
      </c>
      <c r="L537">
        <v>0</v>
      </c>
      <c r="N537" t="s">
        <v>29</v>
      </c>
      <c r="O537" t="s">
        <v>44</v>
      </c>
      <c r="P537" t="s">
        <v>31</v>
      </c>
      <c r="Q537" t="s">
        <v>32</v>
      </c>
      <c r="R537" t="s">
        <v>33</v>
      </c>
      <c r="S537" t="s">
        <v>753</v>
      </c>
      <c r="T537" t="s">
        <v>753</v>
      </c>
      <c r="U537" t="s">
        <v>753</v>
      </c>
      <c r="V537">
        <v>0.01</v>
      </c>
      <c r="W537" t="s">
        <v>753</v>
      </c>
      <c r="X537" t="s">
        <v>754</v>
      </c>
      <c r="Y537" t="s">
        <v>753</v>
      </c>
    </row>
    <row r="538" spans="1:25" x14ac:dyDescent="0.3">
      <c r="A538">
        <v>8180</v>
      </c>
      <c r="B538" t="s">
        <v>772</v>
      </c>
      <c r="C538" t="s">
        <v>777</v>
      </c>
      <c r="D538" t="s">
        <v>778</v>
      </c>
      <c r="E538">
        <v>2</v>
      </c>
      <c r="F538" t="s">
        <v>42</v>
      </c>
      <c r="G538" t="s">
        <v>57</v>
      </c>
      <c r="H538">
        <v>1</v>
      </c>
      <c r="I538">
        <v>15930</v>
      </c>
      <c r="J538">
        <v>792</v>
      </c>
      <c r="K538">
        <v>2</v>
      </c>
      <c r="L538">
        <v>15930</v>
      </c>
      <c r="M538">
        <v>792</v>
      </c>
      <c r="N538" t="s">
        <v>29</v>
      </c>
      <c r="O538" t="s">
        <v>44</v>
      </c>
      <c r="P538" t="s">
        <v>31</v>
      </c>
      <c r="Q538" t="s">
        <v>32</v>
      </c>
      <c r="R538" t="s">
        <v>33</v>
      </c>
      <c r="S538" t="s">
        <v>45</v>
      </c>
      <c r="T538" t="s">
        <v>46</v>
      </c>
      <c r="U538" t="s">
        <v>46</v>
      </c>
      <c r="V538">
        <v>0.01</v>
      </c>
      <c r="W538" t="s">
        <v>45</v>
      </c>
      <c r="X538" t="s">
        <v>46</v>
      </c>
      <c r="Y538" t="s">
        <v>46</v>
      </c>
    </row>
    <row r="539" spans="1:25" x14ac:dyDescent="0.3">
      <c r="B539" t="s">
        <v>765</v>
      </c>
      <c r="C539" t="s">
        <v>25</v>
      </c>
      <c r="D539" t="s">
        <v>764</v>
      </c>
      <c r="E539">
        <v>2</v>
      </c>
      <c r="F539" t="s">
        <v>752</v>
      </c>
      <c r="G539" t="s">
        <v>752</v>
      </c>
      <c r="I539">
        <v>11232</v>
      </c>
      <c r="K539">
        <v>2</v>
      </c>
      <c r="L539">
        <v>11232</v>
      </c>
      <c r="N539" t="s">
        <v>29</v>
      </c>
      <c r="O539" t="s">
        <v>44</v>
      </c>
      <c r="P539" t="s">
        <v>31</v>
      </c>
      <c r="Q539" t="s">
        <v>32</v>
      </c>
      <c r="R539" t="s">
        <v>33</v>
      </c>
      <c r="S539" t="s">
        <v>753</v>
      </c>
      <c r="T539" t="s">
        <v>753</v>
      </c>
      <c r="U539" t="s">
        <v>753</v>
      </c>
      <c r="V539">
        <v>0</v>
      </c>
      <c r="W539" t="s">
        <v>753</v>
      </c>
      <c r="X539" t="s">
        <v>754</v>
      </c>
      <c r="Y539" t="s">
        <v>753</v>
      </c>
    </row>
    <row r="540" spans="1:25" x14ac:dyDescent="0.3">
      <c r="B540" t="s">
        <v>765</v>
      </c>
      <c r="C540" t="s">
        <v>764</v>
      </c>
      <c r="D540" t="s">
        <v>25</v>
      </c>
      <c r="E540">
        <v>2</v>
      </c>
      <c r="F540" t="s">
        <v>752</v>
      </c>
      <c r="G540" t="s">
        <v>752</v>
      </c>
      <c r="I540">
        <v>11232</v>
      </c>
      <c r="K540">
        <v>2</v>
      </c>
      <c r="L540">
        <v>11232</v>
      </c>
      <c r="N540" t="s">
        <v>29</v>
      </c>
      <c r="O540" t="s">
        <v>44</v>
      </c>
      <c r="P540" t="s">
        <v>31</v>
      </c>
      <c r="Q540" t="s">
        <v>32</v>
      </c>
      <c r="R540" t="s">
        <v>33</v>
      </c>
      <c r="S540" t="s">
        <v>753</v>
      </c>
      <c r="T540" t="s">
        <v>753</v>
      </c>
      <c r="U540" t="s">
        <v>753</v>
      </c>
      <c r="V540">
        <v>0</v>
      </c>
      <c r="W540" t="s">
        <v>753</v>
      </c>
      <c r="X540" t="s">
        <v>754</v>
      </c>
      <c r="Y540" t="s">
        <v>753</v>
      </c>
    </row>
    <row r="541" spans="1:25" x14ac:dyDescent="0.3">
      <c r="B541" t="s">
        <v>767</v>
      </c>
      <c r="C541" t="s">
        <v>779</v>
      </c>
      <c r="D541" t="s">
        <v>80</v>
      </c>
      <c r="E541">
        <v>0</v>
      </c>
      <c r="F541" t="s">
        <v>752</v>
      </c>
      <c r="G541" t="s">
        <v>752</v>
      </c>
      <c r="K541">
        <v>0</v>
      </c>
      <c r="L541">
        <v>0</v>
      </c>
      <c r="N541" t="s">
        <v>29</v>
      </c>
      <c r="O541" t="s">
        <v>44</v>
      </c>
      <c r="P541" t="s">
        <v>31</v>
      </c>
      <c r="Q541" t="s">
        <v>32</v>
      </c>
      <c r="R541" t="s">
        <v>33</v>
      </c>
      <c r="S541" t="s">
        <v>753</v>
      </c>
      <c r="T541" t="s">
        <v>753</v>
      </c>
      <c r="U541" t="s">
        <v>753</v>
      </c>
      <c r="V541">
        <v>0</v>
      </c>
      <c r="W541" t="s">
        <v>753</v>
      </c>
      <c r="X541" t="s">
        <v>754</v>
      </c>
      <c r="Y541" t="s">
        <v>753</v>
      </c>
    </row>
    <row r="542" spans="1:25" x14ac:dyDescent="0.3">
      <c r="B542" t="s">
        <v>780</v>
      </c>
      <c r="C542" t="s">
        <v>767</v>
      </c>
      <c r="D542" t="s">
        <v>80</v>
      </c>
      <c r="E542">
        <v>0</v>
      </c>
      <c r="F542" t="s">
        <v>752</v>
      </c>
      <c r="G542" t="s">
        <v>752</v>
      </c>
      <c r="K542">
        <v>0</v>
      </c>
      <c r="L542">
        <v>0</v>
      </c>
      <c r="N542" t="s">
        <v>29</v>
      </c>
      <c r="O542" t="s">
        <v>44</v>
      </c>
      <c r="P542" t="s">
        <v>31</v>
      </c>
      <c r="Q542" t="s">
        <v>32</v>
      </c>
      <c r="R542" t="s">
        <v>33</v>
      </c>
      <c r="S542" t="s">
        <v>753</v>
      </c>
      <c r="T542" t="s">
        <v>753</v>
      </c>
      <c r="U542" t="s">
        <v>753</v>
      </c>
      <c r="V542">
        <v>0</v>
      </c>
      <c r="W542" t="s">
        <v>753</v>
      </c>
      <c r="X542" t="s">
        <v>754</v>
      </c>
      <c r="Y542" t="s">
        <v>753</v>
      </c>
    </row>
    <row r="543" spans="1:25" x14ac:dyDescent="0.3">
      <c r="B543" t="s">
        <v>769</v>
      </c>
      <c r="C543" t="s">
        <v>767</v>
      </c>
      <c r="D543" t="s">
        <v>80</v>
      </c>
      <c r="E543">
        <v>0</v>
      </c>
      <c r="F543" t="s">
        <v>752</v>
      </c>
      <c r="G543" t="s">
        <v>752</v>
      </c>
      <c r="K543">
        <v>0</v>
      </c>
      <c r="L543">
        <v>0</v>
      </c>
      <c r="N543" t="s">
        <v>29</v>
      </c>
      <c r="O543" t="s">
        <v>44</v>
      </c>
      <c r="P543" t="s">
        <v>31</v>
      </c>
      <c r="Q543" t="s">
        <v>32</v>
      </c>
      <c r="R543" t="s">
        <v>33</v>
      </c>
      <c r="S543" t="s">
        <v>753</v>
      </c>
      <c r="T543" t="s">
        <v>753</v>
      </c>
      <c r="U543" t="s">
        <v>753</v>
      </c>
      <c r="V543">
        <v>0</v>
      </c>
      <c r="W543" t="s">
        <v>753</v>
      </c>
      <c r="X543" t="s">
        <v>754</v>
      </c>
      <c r="Y543" t="s">
        <v>753</v>
      </c>
    </row>
    <row r="544" spans="1:25" x14ac:dyDescent="0.3">
      <c r="B544" t="s">
        <v>769</v>
      </c>
      <c r="C544" t="s">
        <v>80</v>
      </c>
      <c r="D544" t="s">
        <v>768</v>
      </c>
      <c r="E544">
        <v>0</v>
      </c>
      <c r="F544" t="s">
        <v>752</v>
      </c>
      <c r="G544" t="s">
        <v>752</v>
      </c>
      <c r="K544">
        <v>0</v>
      </c>
      <c r="L544">
        <v>0</v>
      </c>
      <c r="N544" t="s">
        <v>29</v>
      </c>
      <c r="O544" t="s">
        <v>44</v>
      </c>
      <c r="P544" t="s">
        <v>31</v>
      </c>
      <c r="Q544" t="s">
        <v>32</v>
      </c>
      <c r="R544" t="s">
        <v>33</v>
      </c>
      <c r="S544" t="s">
        <v>753</v>
      </c>
      <c r="T544" t="s">
        <v>753</v>
      </c>
      <c r="U544" t="s">
        <v>753</v>
      </c>
      <c r="V544">
        <v>0</v>
      </c>
      <c r="W544" t="s">
        <v>753</v>
      </c>
      <c r="X544" t="s">
        <v>754</v>
      </c>
      <c r="Y544" t="s">
        <v>753</v>
      </c>
    </row>
    <row r="545" spans="1:25" x14ac:dyDescent="0.3">
      <c r="B545" t="s">
        <v>781</v>
      </c>
      <c r="C545" t="s">
        <v>285</v>
      </c>
      <c r="D545" t="s">
        <v>638</v>
      </c>
      <c r="E545">
        <v>2</v>
      </c>
      <c r="F545" t="s">
        <v>752</v>
      </c>
      <c r="G545" t="s">
        <v>752</v>
      </c>
      <c r="I545">
        <v>15930</v>
      </c>
      <c r="K545">
        <v>2</v>
      </c>
      <c r="L545">
        <v>15930</v>
      </c>
      <c r="N545" t="s">
        <v>29</v>
      </c>
      <c r="O545" t="s">
        <v>44</v>
      </c>
      <c r="P545" t="s">
        <v>31</v>
      </c>
      <c r="Q545" t="s">
        <v>32</v>
      </c>
      <c r="R545" t="s">
        <v>33</v>
      </c>
      <c r="S545" t="s">
        <v>753</v>
      </c>
      <c r="T545" t="s">
        <v>753</v>
      </c>
      <c r="U545" t="s">
        <v>753</v>
      </c>
      <c r="V545">
        <v>0</v>
      </c>
      <c r="W545" t="s">
        <v>753</v>
      </c>
      <c r="X545" t="s">
        <v>754</v>
      </c>
      <c r="Y545" t="s">
        <v>753</v>
      </c>
    </row>
    <row r="546" spans="1:25" x14ac:dyDescent="0.3">
      <c r="B546" t="s">
        <v>771</v>
      </c>
      <c r="C546" t="s">
        <v>770</v>
      </c>
      <c r="D546" t="s">
        <v>782</v>
      </c>
      <c r="E546">
        <v>2</v>
      </c>
      <c r="F546" t="s">
        <v>752</v>
      </c>
      <c r="G546" t="s">
        <v>752</v>
      </c>
      <c r="I546">
        <v>15930</v>
      </c>
      <c r="K546">
        <v>2</v>
      </c>
      <c r="L546">
        <v>15930</v>
      </c>
      <c r="N546" t="s">
        <v>29</v>
      </c>
      <c r="O546" t="s">
        <v>44</v>
      </c>
      <c r="P546" t="s">
        <v>31</v>
      </c>
      <c r="Q546" t="s">
        <v>32</v>
      </c>
      <c r="R546" t="s">
        <v>33</v>
      </c>
      <c r="S546" t="s">
        <v>753</v>
      </c>
      <c r="T546" t="s">
        <v>753</v>
      </c>
      <c r="U546" t="s">
        <v>753</v>
      </c>
      <c r="V546">
        <v>0</v>
      </c>
      <c r="W546" t="s">
        <v>753</v>
      </c>
      <c r="X546" t="s">
        <v>754</v>
      </c>
      <c r="Y546" t="s">
        <v>753</v>
      </c>
    </row>
    <row r="547" spans="1:25" x14ac:dyDescent="0.3">
      <c r="B547" t="s">
        <v>783</v>
      </c>
      <c r="C547" t="s">
        <v>772</v>
      </c>
      <c r="D547" t="s">
        <v>771</v>
      </c>
      <c r="E547">
        <v>2</v>
      </c>
      <c r="F547" t="s">
        <v>752</v>
      </c>
      <c r="G547" t="s">
        <v>752</v>
      </c>
      <c r="I547">
        <v>16727</v>
      </c>
      <c r="K547">
        <v>2</v>
      </c>
      <c r="L547">
        <v>16727</v>
      </c>
      <c r="N547" t="s">
        <v>29</v>
      </c>
      <c r="O547" t="s">
        <v>44</v>
      </c>
      <c r="P547" t="s">
        <v>31</v>
      </c>
      <c r="Q547" t="s">
        <v>32</v>
      </c>
      <c r="R547" t="s">
        <v>33</v>
      </c>
      <c r="S547" t="s">
        <v>753</v>
      </c>
      <c r="T547" t="s">
        <v>753</v>
      </c>
      <c r="U547" t="s">
        <v>753</v>
      </c>
      <c r="V547">
        <v>0</v>
      </c>
      <c r="W547" t="s">
        <v>753</v>
      </c>
      <c r="X547" t="s">
        <v>754</v>
      </c>
      <c r="Y547" t="s">
        <v>753</v>
      </c>
    </row>
    <row r="548" spans="1:25" x14ac:dyDescent="0.3">
      <c r="B548" t="s">
        <v>751</v>
      </c>
      <c r="C548" t="s">
        <v>752</v>
      </c>
      <c r="D548" t="s">
        <v>775</v>
      </c>
      <c r="E548">
        <v>0</v>
      </c>
      <c r="F548" t="s">
        <v>752</v>
      </c>
      <c r="G548" t="s">
        <v>752</v>
      </c>
      <c r="K548">
        <v>0</v>
      </c>
      <c r="L548">
        <v>0</v>
      </c>
      <c r="N548" t="s">
        <v>29</v>
      </c>
      <c r="O548" t="s">
        <v>44</v>
      </c>
      <c r="P548" t="s">
        <v>31</v>
      </c>
      <c r="Q548" t="s">
        <v>32</v>
      </c>
      <c r="R548" t="s">
        <v>33</v>
      </c>
      <c r="S548" t="s">
        <v>753</v>
      </c>
      <c r="T548" t="s">
        <v>753</v>
      </c>
      <c r="U548" t="s">
        <v>753</v>
      </c>
      <c r="V548">
        <v>0</v>
      </c>
      <c r="W548" t="s">
        <v>753</v>
      </c>
      <c r="X548" t="s">
        <v>754</v>
      </c>
      <c r="Y548" t="s">
        <v>753</v>
      </c>
    </row>
    <row r="549" spans="1:25" x14ac:dyDescent="0.3">
      <c r="B549" t="s">
        <v>783</v>
      </c>
      <c r="C549" t="s">
        <v>772</v>
      </c>
      <c r="D549" t="s">
        <v>771</v>
      </c>
      <c r="E549">
        <v>2</v>
      </c>
      <c r="F549" t="s">
        <v>752</v>
      </c>
      <c r="G549" t="s">
        <v>752</v>
      </c>
      <c r="I549">
        <v>15930</v>
      </c>
      <c r="K549">
        <v>2</v>
      </c>
      <c r="L549">
        <v>15930</v>
      </c>
      <c r="N549" t="s">
        <v>29</v>
      </c>
      <c r="O549" t="s">
        <v>44</v>
      </c>
      <c r="P549" t="s">
        <v>31</v>
      </c>
      <c r="Q549" t="s">
        <v>32</v>
      </c>
      <c r="R549" t="s">
        <v>33</v>
      </c>
      <c r="S549" t="s">
        <v>753</v>
      </c>
      <c r="T549" t="s">
        <v>753</v>
      </c>
      <c r="U549" t="s">
        <v>753</v>
      </c>
      <c r="V549">
        <v>0</v>
      </c>
      <c r="W549" t="s">
        <v>753</v>
      </c>
      <c r="X549" t="s">
        <v>754</v>
      </c>
      <c r="Y549" t="s">
        <v>753</v>
      </c>
    </row>
    <row r="550" spans="1:25" x14ac:dyDescent="0.3">
      <c r="B550" t="s">
        <v>784</v>
      </c>
      <c r="C550" t="s">
        <v>772</v>
      </c>
      <c r="D550" t="s">
        <v>770</v>
      </c>
      <c r="E550">
        <v>2</v>
      </c>
      <c r="F550" t="s">
        <v>752</v>
      </c>
      <c r="G550" t="s">
        <v>752</v>
      </c>
      <c r="I550">
        <v>15930</v>
      </c>
      <c r="K550">
        <v>2</v>
      </c>
      <c r="L550">
        <v>15930</v>
      </c>
      <c r="N550" t="s">
        <v>29</v>
      </c>
      <c r="O550" t="s">
        <v>44</v>
      </c>
      <c r="P550" t="s">
        <v>31</v>
      </c>
      <c r="Q550" t="s">
        <v>32</v>
      </c>
      <c r="R550" t="s">
        <v>33</v>
      </c>
      <c r="S550" t="s">
        <v>753</v>
      </c>
      <c r="T550" t="s">
        <v>753</v>
      </c>
      <c r="U550" t="s">
        <v>753</v>
      </c>
      <c r="V550">
        <v>0</v>
      </c>
      <c r="W550" t="s">
        <v>753</v>
      </c>
      <c r="X550" t="s">
        <v>754</v>
      </c>
      <c r="Y550" t="s">
        <v>753</v>
      </c>
    </row>
    <row r="551" spans="1:25" x14ac:dyDescent="0.3">
      <c r="B551" t="s">
        <v>777</v>
      </c>
      <c r="C551" t="s">
        <v>285</v>
      </c>
      <c r="D551" t="s">
        <v>770</v>
      </c>
      <c r="E551">
        <v>2</v>
      </c>
      <c r="F551" t="s">
        <v>752</v>
      </c>
      <c r="G551" t="s">
        <v>752</v>
      </c>
      <c r="I551">
        <v>15930</v>
      </c>
      <c r="K551">
        <v>2</v>
      </c>
      <c r="L551">
        <v>15930</v>
      </c>
      <c r="N551" t="s">
        <v>29</v>
      </c>
      <c r="O551" t="s">
        <v>44</v>
      </c>
      <c r="P551" t="s">
        <v>31</v>
      </c>
      <c r="Q551" t="s">
        <v>32</v>
      </c>
      <c r="R551" t="s">
        <v>33</v>
      </c>
      <c r="S551" t="s">
        <v>753</v>
      </c>
      <c r="T551" t="s">
        <v>753</v>
      </c>
      <c r="U551" t="s">
        <v>753</v>
      </c>
      <c r="V551">
        <v>0</v>
      </c>
      <c r="W551" t="s">
        <v>753</v>
      </c>
      <c r="X551" t="s">
        <v>754</v>
      </c>
      <c r="Y551" t="s">
        <v>753</v>
      </c>
    </row>
    <row r="552" spans="1:25" x14ac:dyDescent="0.3">
      <c r="B552" t="s">
        <v>770</v>
      </c>
      <c r="C552" t="s">
        <v>771</v>
      </c>
      <c r="D552" t="s">
        <v>783</v>
      </c>
      <c r="E552">
        <v>2</v>
      </c>
      <c r="F552" t="s">
        <v>752</v>
      </c>
      <c r="G552" t="s">
        <v>752</v>
      </c>
      <c r="I552">
        <v>15930</v>
      </c>
      <c r="K552">
        <v>2</v>
      </c>
      <c r="L552">
        <v>15930</v>
      </c>
      <c r="N552" t="s">
        <v>29</v>
      </c>
      <c r="O552" t="s">
        <v>44</v>
      </c>
      <c r="P552" t="s">
        <v>31</v>
      </c>
      <c r="Q552" t="s">
        <v>32</v>
      </c>
      <c r="R552" t="s">
        <v>33</v>
      </c>
      <c r="S552" t="s">
        <v>753</v>
      </c>
      <c r="T552" t="s">
        <v>753</v>
      </c>
      <c r="U552" t="s">
        <v>753</v>
      </c>
      <c r="V552">
        <v>0</v>
      </c>
      <c r="W552" t="s">
        <v>753</v>
      </c>
      <c r="X552" t="s">
        <v>754</v>
      </c>
      <c r="Y552" t="s">
        <v>753</v>
      </c>
    </row>
    <row r="553" spans="1:25" x14ac:dyDescent="0.3">
      <c r="A553">
        <v>3470.2</v>
      </c>
      <c r="B553" t="s">
        <v>785</v>
      </c>
      <c r="C553" t="s">
        <v>48</v>
      </c>
      <c r="D553" t="s">
        <v>786</v>
      </c>
      <c r="E553">
        <v>4</v>
      </c>
      <c r="F553" t="s">
        <v>42</v>
      </c>
      <c r="G553" t="s">
        <v>28</v>
      </c>
      <c r="I553">
        <v>67770</v>
      </c>
      <c r="J553">
        <v>3357</v>
      </c>
      <c r="K553">
        <v>4</v>
      </c>
      <c r="L553">
        <v>67770</v>
      </c>
      <c r="M553">
        <v>3357</v>
      </c>
      <c r="N553" t="s">
        <v>29</v>
      </c>
      <c r="O553" t="s">
        <v>30</v>
      </c>
      <c r="P553" t="s">
        <v>31</v>
      </c>
      <c r="Q553" t="s">
        <v>32</v>
      </c>
      <c r="R553" t="s">
        <v>33</v>
      </c>
      <c r="S553" t="s">
        <v>92</v>
      </c>
      <c r="T553" t="s">
        <v>163</v>
      </c>
      <c r="U553" t="s">
        <v>36</v>
      </c>
      <c r="V553">
        <v>1.7399999999999999E-2</v>
      </c>
      <c r="W553" t="s">
        <v>233</v>
      </c>
      <c r="X553" t="s">
        <v>51</v>
      </c>
      <c r="Y553" t="s">
        <v>36</v>
      </c>
    </row>
    <row r="554" spans="1:25" x14ac:dyDescent="0.3">
      <c r="A554">
        <v>8200</v>
      </c>
      <c r="B554" t="s">
        <v>787</v>
      </c>
      <c r="C554" t="s">
        <v>788</v>
      </c>
      <c r="D554" t="s">
        <v>69</v>
      </c>
      <c r="E554">
        <v>4</v>
      </c>
      <c r="F554" t="s">
        <v>42</v>
      </c>
      <c r="G554" t="s">
        <v>57</v>
      </c>
      <c r="H554">
        <v>2</v>
      </c>
      <c r="I554">
        <v>30420</v>
      </c>
      <c r="J554">
        <v>792</v>
      </c>
      <c r="K554">
        <v>4</v>
      </c>
      <c r="L554">
        <v>30420</v>
      </c>
      <c r="M554">
        <v>792</v>
      </c>
      <c r="N554" t="s">
        <v>29</v>
      </c>
      <c r="O554" t="s">
        <v>30</v>
      </c>
      <c r="P554" t="s">
        <v>31</v>
      </c>
      <c r="Q554" t="s">
        <v>32</v>
      </c>
      <c r="R554" t="s">
        <v>33</v>
      </c>
      <c r="S554" t="s">
        <v>449</v>
      </c>
      <c r="T554" t="s">
        <v>612</v>
      </c>
      <c r="U554" t="s">
        <v>60</v>
      </c>
      <c r="V554">
        <v>0.01</v>
      </c>
      <c r="W554" t="s">
        <v>516</v>
      </c>
      <c r="X554" t="s">
        <v>601</v>
      </c>
      <c r="Y554" t="s">
        <v>60</v>
      </c>
    </row>
    <row r="555" spans="1:25" x14ac:dyDescent="0.3">
      <c r="A555">
        <v>9999</v>
      </c>
      <c r="B555" t="s">
        <v>789</v>
      </c>
      <c r="C555" t="s">
        <v>68</v>
      </c>
      <c r="D555" t="s">
        <v>484</v>
      </c>
      <c r="E555">
        <v>4</v>
      </c>
      <c r="F555" t="s">
        <v>42</v>
      </c>
      <c r="G555" t="s">
        <v>57</v>
      </c>
      <c r="H555">
        <v>1</v>
      </c>
      <c r="I555">
        <v>35820</v>
      </c>
      <c r="J555">
        <v>792</v>
      </c>
      <c r="K555">
        <v>4</v>
      </c>
      <c r="L555">
        <v>35820</v>
      </c>
      <c r="M555">
        <v>1800</v>
      </c>
      <c r="N555" t="s">
        <v>29</v>
      </c>
      <c r="O555" t="s">
        <v>30</v>
      </c>
      <c r="P555" t="s">
        <v>31</v>
      </c>
      <c r="Q555" t="s">
        <v>32</v>
      </c>
      <c r="R555" t="s">
        <v>33</v>
      </c>
      <c r="S555" t="s">
        <v>45</v>
      </c>
      <c r="T555" t="s">
        <v>46</v>
      </c>
      <c r="U555" t="s">
        <v>46</v>
      </c>
      <c r="V555">
        <v>0.01</v>
      </c>
      <c r="W555" t="s">
        <v>45</v>
      </c>
      <c r="X555" t="s">
        <v>46</v>
      </c>
      <c r="Y555" t="s">
        <v>46</v>
      </c>
    </row>
  </sheetData>
  <sheetProtection algorithmName="SHA-512" hashValue="yngayIssxK0XmFyvtez+uUxrhoGRAxouEcxTC2f2fi78tUtDZ5SCF9PUJl+Es308Iv7/MQKDkG+Toes7RSG1mg==" saltValue="xT/14AzTFDytWTnuwTblOw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B45B-6810-4BED-863B-660FA1720897}">
  <sheetPr>
    <tabColor theme="4" tint="0.59999389629810485"/>
    <pageSetUpPr fitToPage="1"/>
  </sheetPr>
  <dimension ref="A1:AM801"/>
  <sheetViews>
    <sheetView tabSelected="1" topLeftCell="E1" zoomScaleNormal="100" workbookViewId="0">
      <selection activeCell="AI9" sqref="AI9"/>
    </sheetView>
  </sheetViews>
  <sheetFormatPr defaultColWidth="9.109375" defaultRowHeight="13.8" x14ac:dyDescent="0.25"/>
  <cols>
    <col min="1" max="1" width="9.109375" style="4"/>
    <col min="2" max="2" width="7.5546875" style="4" customWidth="1"/>
    <col min="3" max="5" width="22.5546875" style="4" customWidth="1"/>
    <col min="6" max="8" width="5.5546875" style="4" customWidth="1"/>
    <col min="9" max="9" width="13.6640625" style="4" bestFit="1" customWidth="1"/>
    <col min="10" max="11" width="5.5546875" style="4" customWidth="1"/>
    <col min="12" max="13" width="7.5546875" style="4" customWidth="1"/>
    <col min="14" max="14" width="6.5546875" style="4" customWidth="1"/>
    <col min="15" max="15" width="8.44140625" style="4" bestFit="1" customWidth="1"/>
    <col min="16" max="17" width="6.5546875" style="4" customWidth="1"/>
    <col min="18" max="18" width="9.33203125" style="4" bestFit="1" customWidth="1"/>
    <col min="19" max="19" width="6.5546875" style="4" customWidth="1"/>
    <col min="20" max="20" width="5.5546875" style="4" customWidth="1"/>
    <col min="21" max="21" width="7" style="4" customWidth="1"/>
    <col min="22" max="23" width="5.5546875" style="4" customWidth="1"/>
    <col min="24" max="24" width="7" style="4" customWidth="1"/>
    <col min="25" max="26" width="5.5546875" style="4" customWidth="1"/>
    <col min="27" max="28" width="9.109375" style="4"/>
    <col min="29" max="29" width="6.5546875" style="4" customWidth="1"/>
    <col min="30" max="30" width="5.5546875" style="4" customWidth="1"/>
    <col min="31" max="32" width="9.109375" style="4"/>
    <col min="33" max="33" width="6.5546875" style="4" customWidth="1"/>
    <col min="34" max="34" width="5.5546875" style="4" customWidth="1"/>
    <col min="35" max="35" width="8.88671875" style="4" customWidth="1"/>
    <col min="36" max="16384" width="9.109375" style="4"/>
  </cols>
  <sheetData>
    <row r="1" spans="1:39" x14ac:dyDescent="0.25">
      <c r="A1" s="3"/>
      <c r="B1" s="36"/>
    </row>
    <row r="2" spans="1:39" x14ac:dyDescent="0.25">
      <c r="A2" s="3"/>
      <c r="B2" s="36"/>
      <c r="E2" s="5"/>
      <c r="G2" s="6"/>
      <c r="I2" s="6"/>
      <c r="J2" s="6"/>
      <c r="K2" s="6"/>
      <c r="L2" s="6"/>
      <c r="M2" s="6"/>
      <c r="O2" s="6"/>
    </row>
    <row r="3" spans="1:39" x14ac:dyDescent="0.25">
      <c r="A3" s="3"/>
      <c r="B3" s="36"/>
      <c r="E3" s="5"/>
      <c r="G3" s="6"/>
      <c r="I3" s="6"/>
      <c r="J3" s="6"/>
      <c r="K3" s="6"/>
      <c r="L3" s="6"/>
      <c r="M3" s="6"/>
      <c r="O3" s="6"/>
    </row>
    <row r="4" spans="1:39" x14ac:dyDescent="0.25">
      <c r="A4" s="7"/>
    </row>
    <row r="5" spans="1:39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 x14ac:dyDescent="0.25">
      <c r="A6" s="8"/>
      <c r="B6" s="10"/>
      <c r="C6" s="11"/>
      <c r="D6" s="11"/>
      <c r="E6" s="12"/>
      <c r="F6" s="10"/>
      <c r="G6" s="10"/>
      <c r="H6" s="10"/>
      <c r="I6" s="10"/>
      <c r="J6" s="10"/>
      <c r="K6" s="10"/>
      <c r="L6" s="13" t="s">
        <v>791</v>
      </c>
      <c r="M6" s="14"/>
      <c r="N6" s="14"/>
      <c r="O6" s="13" t="s">
        <v>792</v>
      </c>
      <c r="P6" s="14"/>
      <c r="Q6" s="14"/>
      <c r="R6" s="38" t="str">
        <f>$AA$2&amp;" Existing Conditions"</f>
        <v xml:space="preserve"> Existing Conditions</v>
      </c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  <c r="AJ6" s="41" t="s">
        <v>793</v>
      </c>
      <c r="AK6" s="42"/>
      <c r="AL6" s="42"/>
      <c r="AM6" s="43"/>
    </row>
    <row r="7" spans="1:39" x14ac:dyDescent="0.25">
      <c r="A7" s="8"/>
      <c r="B7" s="15" t="s">
        <v>794</v>
      </c>
      <c r="C7" s="16" t="s">
        <v>795</v>
      </c>
      <c r="D7" s="16"/>
      <c r="E7" s="17"/>
      <c r="F7" s="15" t="s">
        <v>796</v>
      </c>
      <c r="G7" s="15" t="s">
        <v>797</v>
      </c>
      <c r="H7" s="15" t="s">
        <v>798</v>
      </c>
      <c r="I7" s="15" t="s">
        <v>821</v>
      </c>
      <c r="J7" s="15" t="s">
        <v>823</v>
      </c>
      <c r="K7" s="15" t="s">
        <v>825</v>
      </c>
      <c r="L7" s="18" t="s">
        <v>799</v>
      </c>
      <c r="M7" s="19" t="s">
        <v>800</v>
      </c>
      <c r="N7" s="20" t="s">
        <v>801</v>
      </c>
      <c r="O7" s="18" t="s">
        <v>799</v>
      </c>
      <c r="P7" s="19" t="s">
        <v>802</v>
      </c>
      <c r="Q7" s="20" t="s">
        <v>801</v>
      </c>
      <c r="R7" s="44" t="s">
        <v>799</v>
      </c>
      <c r="S7" s="44"/>
      <c r="T7" s="44"/>
      <c r="U7" s="45" t="s">
        <v>803</v>
      </c>
      <c r="V7" s="46"/>
      <c r="W7" s="47"/>
      <c r="X7" s="45" t="s">
        <v>804</v>
      </c>
      <c r="Y7" s="46"/>
      <c r="Z7" s="47"/>
      <c r="AA7" s="48" t="s">
        <v>805</v>
      </c>
      <c r="AB7" s="49"/>
      <c r="AC7" s="49"/>
      <c r="AD7" s="50"/>
      <c r="AE7" s="48" t="s">
        <v>806</v>
      </c>
      <c r="AF7" s="49"/>
      <c r="AG7" s="49"/>
      <c r="AH7" s="50"/>
      <c r="AI7" s="51" t="s">
        <v>807</v>
      </c>
      <c r="AJ7" s="33" t="s">
        <v>808</v>
      </c>
      <c r="AK7" s="33"/>
      <c r="AL7" s="33"/>
      <c r="AM7" s="33"/>
    </row>
    <row r="8" spans="1:39" x14ac:dyDescent="0.25">
      <c r="A8" s="8"/>
      <c r="B8" s="21" t="s">
        <v>809</v>
      </c>
      <c r="C8" s="22" t="s">
        <v>810</v>
      </c>
      <c r="D8" s="22" t="s">
        <v>811</v>
      </c>
      <c r="E8" s="22" t="s">
        <v>812</v>
      </c>
      <c r="F8" s="21" t="s">
        <v>813</v>
      </c>
      <c r="G8" s="21" t="s">
        <v>813</v>
      </c>
      <c r="H8" s="21" t="s">
        <v>814</v>
      </c>
      <c r="I8" s="21" t="s">
        <v>822</v>
      </c>
      <c r="J8" s="21" t="s">
        <v>824</v>
      </c>
      <c r="K8" s="21" t="s">
        <v>826</v>
      </c>
      <c r="L8" s="23" t="s">
        <v>815</v>
      </c>
      <c r="M8" s="24" t="s">
        <v>815</v>
      </c>
      <c r="N8" s="25" t="s">
        <v>815</v>
      </c>
      <c r="O8" s="23" t="s">
        <v>815</v>
      </c>
      <c r="P8" s="24" t="s">
        <v>815</v>
      </c>
      <c r="Q8" s="25" t="s">
        <v>815</v>
      </c>
      <c r="R8" s="23" t="s">
        <v>816</v>
      </c>
      <c r="S8" s="23" t="s">
        <v>817</v>
      </c>
      <c r="T8" s="23" t="s">
        <v>798</v>
      </c>
      <c r="U8" s="24" t="s">
        <v>818</v>
      </c>
      <c r="V8" s="24" t="s">
        <v>817</v>
      </c>
      <c r="W8" s="24" t="s">
        <v>798</v>
      </c>
      <c r="X8" s="24" t="s">
        <v>818</v>
      </c>
      <c r="Y8" s="24" t="s">
        <v>817</v>
      </c>
      <c r="Z8" s="24" t="s">
        <v>798</v>
      </c>
      <c r="AA8" s="26" t="s">
        <v>819</v>
      </c>
      <c r="AB8" s="26" t="s">
        <v>820</v>
      </c>
      <c r="AC8" s="25" t="s">
        <v>817</v>
      </c>
      <c r="AD8" s="27" t="s">
        <v>798</v>
      </c>
      <c r="AE8" s="26" t="s">
        <v>819</v>
      </c>
      <c r="AF8" s="26" t="s">
        <v>820</v>
      </c>
      <c r="AG8" s="25" t="s">
        <v>817</v>
      </c>
      <c r="AH8" s="27" t="s">
        <v>798</v>
      </c>
      <c r="AI8" s="52"/>
      <c r="AJ8" s="34" t="s">
        <v>36</v>
      </c>
      <c r="AK8" s="34" t="s">
        <v>60</v>
      </c>
      <c r="AL8" s="34" t="s">
        <v>30</v>
      </c>
      <c r="AM8" s="34" t="s">
        <v>33</v>
      </c>
    </row>
    <row r="9" spans="1:39" ht="18" customHeight="1" x14ac:dyDescent="0.25">
      <c r="A9" s="8"/>
      <c r="B9" s="37">
        <f>'Table001 (Page 1-6)'!A2</f>
        <v>1010</v>
      </c>
      <c r="C9" s="28" t="str">
        <f>'Table001 (Page 1-6)'!B2</f>
        <v>SE 92 PLACE LOOP</v>
      </c>
      <c r="D9" s="28" t="str">
        <f>'Table001 (Page 1-6)'!C2</f>
        <v>SR 35</v>
      </c>
      <c r="E9" s="28" t="str">
        <f>'Table001 (Page 1-6)'!D2</f>
        <v>US 441</v>
      </c>
      <c r="F9" s="29">
        <f>'Table001 (Page 1-6)'!E2</f>
        <v>4</v>
      </c>
      <c r="G9" s="29">
        <f>'Table001 (Page 1-6)'!K2</f>
        <v>4</v>
      </c>
      <c r="H9" s="30" t="str">
        <f>'Table001 (Page 1-6)'!R2</f>
        <v>E</v>
      </c>
      <c r="I9" s="28" t="str">
        <f>'Table001 (Page 1-6)'!F2</f>
        <v>ARTERIAL</v>
      </c>
      <c r="J9" s="29"/>
      <c r="K9" s="29"/>
      <c r="L9" s="29">
        <f>'Table001 (Page 1-6)'!I2</f>
        <v>67770</v>
      </c>
      <c r="M9" s="29"/>
      <c r="N9" s="29">
        <f>'Table001 (Page 1-6)'!J2</f>
        <v>3357</v>
      </c>
      <c r="O9" s="29">
        <f>'Table001 (Page 1-6)'!L2</f>
        <v>67770</v>
      </c>
      <c r="P9" s="29"/>
      <c r="Q9" s="29">
        <f>'Table001 (Page 1-6)'!M2</f>
        <v>3357</v>
      </c>
      <c r="R9" s="29" t="str">
        <f>'Table001 (Page 1-6)'!S2</f>
        <v>12,400</v>
      </c>
      <c r="S9" s="31" t="str">
        <f>'Table001 (Page 1-6)'!T2</f>
        <v>0.18</v>
      </c>
      <c r="T9" s="29" t="str">
        <f>'Table001 (Page 1-6)'!U2</f>
        <v>B</v>
      </c>
      <c r="U9" s="29"/>
      <c r="V9" s="29"/>
      <c r="W9" s="29"/>
      <c r="X9" s="29"/>
      <c r="Y9" s="29"/>
      <c r="Z9" s="29"/>
      <c r="AA9" s="29"/>
      <c r="AB9" s="29"/>
      <c r="AC9" s="31"/>
      <c r="AD9" s="29"/>
      <c r="AE9" s="29"/>
      <c r="AF9" s="29"/>
      <c r="AG9" s="31"/>
      <c r="AH9" s="29"/>
      <c r="AI9" s="32">
        <f>('Table001 (Page 1-6)'!V2)*100</f>
        <v>1</v>
      </c>
      <c r="AJ9" s="35"/>
      <c r="AK9" s="35"/>
      <c r="AL9" s="35"/>
      <c r="AM9" s="35"/>
    </row>
    <row r="10" spans="1:39" ht="18" customHeight="1" x14ac:dyDescent="0.25">
      <c r="A10" s="8"/>
      <c r="B10" s="37">
        <f>'Table001 (Page 1-6)'!A3</f>
        <v>1020</v>
      </c>
      <c r="C10" s="28" t="str">
        <f>'Table001 (Page 1-6)'!B3</f>
        <v>CR 21</v>
      </c>
      <c r="D10" s="28" t="str">
        <f>'Table001 (Page 1-6)'!C3</f>
        <v>CR 315</v>
      </c>
      <c r="E10" s="28" t="str">
        <f>'Table001 (Page 1-6)'!D3</f>
        <v>COUNTY LINE</v>
      </c>
      <c r="F10" s="29">
        <f>'Table001 (Page 1-6)'!E3</f>
        <v>2</v>
      </c>
      <c r="G10" s="29">
        <f>'Table001 (Page 1-6)'!K3</f>
        <v>2</v>
      </c>
      <c r="H10" s="30" t="str">
        <f>'Table001 (Page 1-6)'!R3</f>
        <v>D</v>
      </c>
      <c r="I10" s="28" t="str">
        <f>'Table001 (Page 1-6)'!F3</f>
        <v>COLLECTOR</v>
      </c>
      <c r="J10" s="29"/>
      <c r="K10" s="29"/>
      <c r="L10" s="29">
        <f>'Table001 (Page 1-6)'!I3</f>
        <v>19170</v>
      </c>
      <c r="M10" s="29"/>
      <c r="N10" s="29">
        <f>'Table001 (Page 1-6)'!J3</f>
        <v>999</v>
      </c>
      <c r="O10" s="29">
        <f>'Table001 (Page 1-6)'!L3</f>
        <v>19170</v>
      </c>
      <c r="P10" s="29"/>
      <c r="Q10" s="29">
        <f>'Table001 (Page 1-6)'!M3</f>
        <v>999</v>
      </c>
      <c r="R10" s="29" t="str">
        <f>'Table001 (Page 1-6)'!S3</f>
        <v>Not Counted</v>
      </c>
      <c r="S10" s="31" t="str">
        <f>'Table001 (Page 1-6)'!T3</f>
        <v>N/A</v>
      </c>
      <c r="T10" s="29" t="str">
        <f>'Table001 (Page 1-6)'!U3</f>
        <v>N/A</v>
      </c>
      <c r="U10" s="29"/>
      <c r="V10" s="29"/>
      <c r="W10" s="29"/>
      <c r="X10" s="29"/>
      <c r="Y10" s="29"/>
      <c r="Z10" s="29"/>
      <c r="AA10" s="29"/>
      <c r="AB10" s="29"/>
      <c r="AC10" s="31"/>
      <c r="AD10" s="29"/>
      <c r="AE10" s="29"/>
      <c r="AF10" s="29"/>
      <c r="AG10" s="31"/>
      <c r="AH10" s="29"/>
      <c r="AI10" s="32">
        <f>('Table001 (Page 1-6)'!V3)*100</f>
        <v>1</v>
      </c>
      <c r="AJ10" s="35"/>
      <c r="AK10" s="35"/>
      <c r="AL10" s="35"/>
      <c r="AM10" s="35"/>
    </row>
    <row r="11" spans="1:39" ht="18" customHeight="1" x14ac:dyDescent="0.25">
      <c r="A11" s="8"/>
      <c r="B11" s="37">
        <f>'Table001 (Page 1-6)'!A4</f>
        <v>1030.0999999999999</v>
      </c>
      <c r="C11" s="28" t="str">
        <f>'Table001 (Page 1-6)'!B4</f>
        <v>CR 225</v>
      </c>
      <c r="D11" s="28" t="str">
        <f>'Table001 (Page 1-6)'!C4</f>
        <v>US 27</v>
      </c>
      <c r="E11" s="28" t="str">
        <f>'Table001 (Page 1-6)'!D4</f>
        <v>CR 326</v>
      </c>
      <c r="F11" s="29">
        <f>'Table001 (Page 1-6)'!E4</f>
        <v>2</v>
      </c>
      <c r="G11" s="29">
        <f>'Table001 (Page 1-6)'!K4</f>
        <v>2</v>
      </c>
      <c r="H11" s="30" t="str">
        <f>'Table001 (Page 1-6)'!R4</f>
        <v>B</v>
      </c>
      <c r="I11" s="28" t="str">
        <f>'Table001 (Page 1-6)'!F4</f>
        <v>COLLECTOR</v>
      </c>
      <c r="J11" s="29"/>
      <c r="K11" s="29"/>
      <c r="L11" s="29">
        <f>'Table001 (Page 1-6)'!I4</f>
        <v>9270</v>
      </c>
      <c r="M11" s="29"/>
      <c r="N11" s="29">
        <f>'Table001 (Page 1-6)'!J4</f>
        <v>486</v>
      </c>
      <c r="O11" s="29">
        <f>'Table001 (Page 1-6)'!L4</f>
        <v>9270</v>
      </c>
      <c r="P11" s="29"/>
      <c r="Q11" s="29">
        <f>'Table001 (Page 1-6)'!M4</f>
        <v>486</v>
      </c>
      <c r="R11" s="29" t="str">
        <f>'Table001 (Page 1-6)'!S4</f>
        <v>1,500</v>
      </c>
      <c r="S11" s="31" t="str">
        <f>'Table001 (Page 1-6)'!T4</f>
        <v>0.16</v>
      </c>
      <c r="T11" s="29" t="str">
        <f>'Table001 (Page 1-6)'!U4</f>
        <v>B</v>
      </c>
      <c r="U11" s="29"/>
      <c r="V11" s="29"/>
      <c r="W11" s="29"/>
      <c r="X11" s="29"/>
      <c r="Y11" s="29"/>
      <c r="Z11" s="29"/>
      <c r="AA11" s="29"/>
      <c r="AB11" s="29"/>
      <c r="AC11" s="31"/>
      <c r="AD11" s="29"/>
      <c r="AE11" s="29"/>
      <c r="AF11" s="29"/>
      <c r="AG11" s="31"/>
      <c r="AH11" s="29"/>
      <c r="AI11" s="32">
        <f>('Table001 (Page 1-6)'!V4)*100</f>
        <v>5.27</v>
      </c>
      <c r="AJ11" s="35"/>
      <c r="AK11" s="35"/>
      <c r="AL11" s="35"/>
      <c r="AM11" s="35"/>
    </row>
    <row r="12" spans="1:39" ht="18" customHeight="1" x14ac:dyDescent="0.25">
      <c r="A12" s="8"/>
      <c r="B12" s="37">
        <f>'Table001 (Page 1-6)'!A5</f>
        <v>1030.4000000000001</v>
      </c>
      <c r="C12" s="28" t="str">
        <f>'Table001 (Page 1-6)'!B5</f>
        <v>CR 225</v>
      </c>
      <c r="D12" s="28" t="str">
        <f>'Table001 (Page 1-6)'!C5</f>
        <v>CR 326</v>
      </c>
      <c r="E12" s="28" t="str">
        <f>'Table001 (Page 1-6)'!D5</f>
        <v>CR 316</v>
      </c>
      <c r="F12" s="29">
        <f>'Table001 (Page 1-6)'!E5</f>
        <v>2</v>
      </c>
      <c r="G12" s="29">
        <f>'Table001 (Page 1-6)'!K5</f>
        <v>2</v>
      </c>
      <c r="H12" s="30" t="str">
        <f>'Table001 (Page 1-6)'!R5</f>
        <v>B</v>
      </c>
      <c r="I12" s="28" t="str">
        <f>'Table001 (Page 1-6)'!F5</f>
        <v>COLLECTOR</v>
      </c>
      <c r="J12" s="29"/>
      <c r="K12" s="29"/>
      <c r="L12" s="29">
        <f>'Table001 (Page 1-6)'!I5</f>
        <v>9270</v>
      </c>
      <c r="M12" s="29"/>
      <c r="N12" s="29">
        <f>'Table001 (Page 1-6)'!J5</f>
        <v>486</v>
      </c>
      <c r="O12" s="29">
        <f>'Table001 (Page 1-6)'!L5</f>
        <v>9270</v>
      </c>
      <c r="P12" s="29"/>
      <c r="Q12" s="29">
        <f>'Table001 (Page 1-6)'!M5</f>
        <v>486</v>
      </c>
      <c r="R12" s="29" t="str">
        <f>'Table001 (Page 1-6)'!S5</f>
        <v>1,500</v>
      </c>
      <c r="S12" s="31" t="str">
        <f>'Table001 (Page 1-6)'!T5</f>
        <v>0.16</v>
      </c>
      <c r="T12" s="29" t="str">
        <f>'Table001 (Page 1-6)'!U5</f>
        <v>B</v>
      </c>
      <c r="U12" s="29"/>
      <c r="V12" s="29"/>
      <c r="W12" s="29"/>
      <c r="X12" s="29"/>
      <c r="Y12" s="29"/>
      <c r="Z12" s="29"/>
      <c r="AA12" s="29"/>
      <c r="AB12" s="29"/>
      <c r="AC12" s="31"/>
      <c r="AD12" s="29"/>
      <c r="AE12" s="29"/>
      <c r="AF12" s="29"/>
      <c r="AG12" s="31"/>
      <c r="AH12" s="29"/>
      <c r="AI12" s="32">
        <f>('Table001 (Page 1-6)'!V5)*100</f>
        <v>5.27</v>
      </c>
      <c r="AJ12" s="35"/>
      <c r="AK12" s="35"/>
      <c r="AL12" s="35"/>
      <c r="AM12" s="35"/>
    </row>
    <row r="13" spans="1:39" ht="18" customHeight="1" x14ac:dyDescent="0.25">
      <c r="A13" s="8"/>
      <c r="B13" s="37">
        <f>'Table001 (Page 1-6)'!A6</f>
        <v>1040.0999999999999</v>
      </c>
      <c r="C13" s="28" t="str">
        <f>'Table001 (Page 1-6)'!B6</f>
        <v>CR 225</v>
      </c>
      <c r="D13" s="28" t="str">
        <f>'Table001 (Page 1-6)'!C6</f>
        <v>CR 316</v>
      </c>
      <c r="E13" s="28" t="str">
        <f>'Table001 (Page 1-6)'!D6</f>
        <v>CR 318</v>
      </c>
      <c r="F13" s="29">
        <f>'Table001 (Page 1-6)'!E6</f>
        <v>2</v>
      </c>
      <c r="G13" s="29">
        <f>'Table001 (Page 1-6)'!K6</f>
        <v>2</v>
      </c>
      <c r="H13" s="30" t="str">
        <f>'Table001 (Page 1-6)'!R6</f>
        <v>B</v>
      </c>
      <c r="I13" s="28" t="str">
        <f>'Table001 (Page 1-6)'!F6</f>
        <v>COLLECTOR</v>
      </c>
      <c r="J13" s="29"/>
      <c r="K13" s="29"/>
      <c r="L13" s="29">
        <f>'Table001 (Page 1-6)'!I6</f>
        <v>9270</v>
      </c>
      <c r="M13" s="29"/>
      <c r="N13" s="29">
        <f>'Table001 (Page 1-6)'!J6</f>
        <v>486</v>
      </c>
      <c r="O13" s="29">
        <f>'Table001 (Page 1-6)'!L6</f>
        <v>9270</v>
      </c>
      <c r="P13" s="29"/>
      <c r="Q13" s="29">
        <f>'Table001 (Page 1-6)'!M6</f>
        <v>486</v>
      </c>
      <c r="R13" s="29" t="str">
        <f>'Table001 (Page 1-6)'!S6</f>
        <v>1,500</v>
      </c>
      <c r="S13" s="31" t="str">
        <f>'Table001 (Page 1-6)'!T6</f>
        <v>0.16</v>
      </c>
      <c r="T13" s="29" t="str">
        <f>'Table001 (Page 1-6)'!U6</f>
        <v>B</v>
      </c>
      <c r="U13" s="29"/>
      <c r="V13" s="29"/>
      <c r="W13" s="29"/>
      <c r="X13" s="29"/>
      <c r="Y13" s="29"/>
      <c r="Z13" s="29"/>
      <c r="AA13" s="29"/>
      <c r="AB13" s="29"/>
      <c r="AC13" s="31"/>
      <c r="AD13" s="29"/>
      <c r="AE13" s="29"/>
      <c r="AF13" s="29"/>
      <c r="AG13" s="31"/>
      <c r="AH13" s="29"/>
      <c r="AI13" s="32">
        <f>('Table001 (Page 1-6)'!V6)*100</f>
        <v>5.27</v>
      </c>
      <c r="AJ13" s="35"/>
      <c r="AK13" s="35"/>
      <c r="AL13" s="35"/>
      <c r="AM13" s="35"/>
    </row>
    <row r="14" spans="1:39" ht="18" customHeight="1" x14ac:dyDescent="0.25">
      <c r="A14" s="8"/>
      <c r="B14" s="37">
        <f>'Table001 (Page 1-6)'!A7</f>
        <v>1050</v>
      </c>
      <c r="C14" s="28" t="str">
        <f>'Table001 (Page 1-6)'!B7</f>
        <v>CR 225A</v>
      </c>
      <c r="D14" s="28" t="str">
        <f>'Table001 (Page 1-6)'!C7</f>
        <v>US 27</v>
      </c>
      <c r="E14" s="28" t="str">
        <f>'Table001 (Page 1-6)'!D7</f>
        <v>CR 326</v>
      </c>
      <c r="F14" s="29">
        <f>'Table001 (Page 1-6)'!E7</f>
        <v>2</v>
      </c>
      <c r="G14" s="29">
        <f>'Table001 (Page 1-6)'!K7</f>
        <v>2</v>
      </c>
      <c r="H14" s="30" t="str">
        <f>'Table001 (Page 1-6)'!R7</f>
        <v>D</v>
      </c>
      <c r="I14" s="28" t="str">
        <f>'Table001 (Page 1-6)'!F7</f>
        <v>COLLECTOR</v>
      </c>
      <c r="J14" s="29"/>
      <c r="K14" s="29"/>
      <c r="L14" s="29">
        <f>'Table001 (Page 1-6)'!I7</f>
        <v>10224</v>
      </c>
      <c r="M14" s="29"/>
      <c r="N14" s="29">
        <f>'Table001 (Page 1-6)'!J7</f>
        <v>533</v>
      </c>
      <c r="O14" s="29">
        <f>'Table001 (Page 1-6)'!L7</f>
        <v>10224</v>
      </c>
      <c r="P14" s="29"/>
      <c r="Q14" s="29">
        <f>'Table001 (Page 1-6)'!M7</f>
        <v>533</v>
      </c>
      <c r="R14" s="29" t="str">
        <f>'Table001 (Page 1-6)'!S7</f>
        <v>7,100</v>
      </c>
      <c r="S14" s="31" t="str">
        <f>'Table001 (Page 1-6)'!T7</f>
        <v>0.69</v>
      </c>
      <c r="T14" s="29" t="str">
        <f>'Table001 (Page 1-6)'!U7</f>
        <v>C</v>
      </c>
      <c r="U14" s="29"/>
      <c r="V14" s="29"/>
      <c r="W14" s="29"/>
      <c r="X14" s="29"/>
      <c r="Y14" s="29"/>
      <c r="Z14" s="29"/>
      <c r="AA14" s="29"/>
      <c r="AB14" s="29"/>
      <c r="AC14" s="31"/>
      <c r="AD14" s="29"/>
      <c r="AE14" s="29"/>
      <c r="AF14" s="29"/>
      <c r="AG14" s="31"/>
      <c r="AH14" s="29"/>
      <c r="AI14" s="32">
        <f>('Table001 (Page 1-6)'!V7)*100</f>
        <v>1</v>
      </c>
      <c r="AJ14" s="35"/>
      <c r="AK14" s="35"/>
      <c r="AL14" s="35"/>
      <c r="AM14" s="35"/>
    </row>
    <row r="15" spans="1:39" ht="18" customHeight="1" x14ac:dyDescent="0.25">
      <c r="A15" s="8"/>
      <c r="B15" s="37">
        <f>'Table001 (Page 1-6)'!A8</f>
        <v>1060</v>
      </c>
      <c r="C15" s="28" t="str">
        <f>'Table001 (Page 1-6)'!B8</f>
        <v>CR 225A</v>
      </c>
      <c r="D15" s="28" t="str">
        <f>'Table001 (Page 1-6)'!C8</f>
        <v>CR 326</v>
      </c>
      <c r="E15" s="28" t="str">
        <f>'Table001 (Page 1-6)'!D8</f>
        <v>CR 329</v>
      </c>
      <c r="F15" s="29">
        <f>'Table001 (Page 1-6)'!E8</f>
        <v>2</v>
      </c>
      <c r="G15" s="29">
        <f>'Table001 (Page 1-6)'!K8</f>
        <v>2</v>
      </c>
      <c r="H15" s="30" t="str">
        <f>'Table001 (Page 1-6)'!R8</f>
        <v>B</v>
      </c>
      <c r="I15" s="28" t="str">
        <f>'Table001 (Page 1-6)'!F8</f>
        <v>COLLECTOR</v>
      </c>
      <c r="J15" s="29"/>
      <c r="K15" s="29"/>
      <c r="L15" s="29">
        <f>'Table001 (Page 1-6)'!I8</f>
        <v>9270</v>
      </c>
      <c r="M15" s="29"/>
      <c r="N15" s="29">
        <f>'Table001 (Page 1-6)'!J8</f>
        <v>486</v>
      </c>
      <c r="O15" s="29">
        <f>'Table001 (Page 1-6)'!L8</f>
        <v>9270</v>
      </c>
      <c r="P15" s="29"/>
      <c r="Q15" s="29">
        <f>'Table001 (Page 1-6)'!M8</f>
        <v>486</v>
      </c>
      <c r="R15" s="29" t="str">
        <f>'Table001 (Page 1-6)'!S8</f>
        <v>3,100</v>
      </c>
      <c r="S15" s="31" t="str">
        <f>'Table001 (Page 1-6)'!T8</f>
        <v>0.33</v>
      </c>
      <c r="T15" s="29" t="str">
        <f>'Table001 (Page 1-6)'!U8</f>
        <v>B</v>
      </c>
      <c r="U15" s="29"/>
      <c r="V15" s="29"/>
      <c r="W15" s="29"/>
      <c r="X15" s="29"/>
      <c r="Y15" s="29"/>
      <c r="Z15" s="29"/>
      <c r="AA15" s="29"/>
      <c r="AB15" s="29"/>
      <c r="AC15" s="31"/>
      <c r="AD15" s="29"/>
      <c r="AE15" s="29"/>
      <c r="AF15" s="29"/>
      <c r="AG15" s="31"/>
      <c r="AH15" s="29"/>
      <c r="AI15" s="32">
        <f>('Table001 (Page 1-6)'!V8)*100</f>
        <v>1</v>
      </c>
      <c r="AJ15" s="35"/>
      <c r="AK15" s="35"/>
      <c r="AL15" s="35"/>
      <c r="AM15" s="35"/>
    </row>
    <row r="16" spans="1:39" ht="18" customHeight="1" x14ac:dyDescent="0.25">
      <c r="A16" s="8"/>
      <c r="B16" s="37">
        <f>'Table001 (Page 1-6)'!A9</f>
        <v>1070</v>
      </c>
      <c r="C16" s="28" t="str">
        <f>'Table001 (Page 1-6)'!B9</f>
        <v>CR 25</v>
      </c>
      <c r="D16" s="28" t="str">
        <f>'Table001 (Page 1-6)'!C9</f>
        <v>COUNTY LINE</v>
      </c>
      <c r="E16" s="28" t="str">
        <f>'Table001 (Page 1-6)'!D9</f>
        <v>CR 42</v>
      </c>
      <c r="F16" s="29">
        <f>'Table001 (Page 1-6)'!E9</f>
        <v>2</v>
      </c>
      <c r="G16" s="29">
        <f>'Table001 (Page 1-6)'!K9</f>
        <v>2</v>
      </c>
      <c r="H16" s="30" t="str">
        <f>'Table001 (Page 1-6)'!R9</f>
        <v>E</v>
      </c>
      <c r="I16" s="28" t="str">
        <f>'Table001 (Page 1-6)'!F9</f>
        <v>COLLECTOR</v>
      </c>
      <c r="J16" s="29"/>
      <c r="K16" s="29"/>
      <c r="L16" s="29">
        <f>'Table001 (Page 1-6)'!I9</f>
        <v>12744</v>
      </c>
      <c r="M16" s="29"/>
      <c r="N16" s="29">
        <f>'Table001 (Page 1-6)'!J9</f>
        <v>634</v>
      </c>
      <c r="O16" s="29">
        <f>'Table001 (Page 1-6)'!L9</f>
        <v>12744</v>
      </c>
      <c r="P16" s="29"/>
      <c r="Q16" s="29">
        <f>'Table001 (Page 1-6)'!M9</f>
        <v>634</v>
      </c>
      <c r="R16" s="29" t="str">
        <f>'Table001 (Page 1-6)'!S9</f>
        <v>11,300</v>
      </c>
      <c r="S16" s="31" t="str">
        <f>'Table001 (Page 1-6)'!T9</f>
        <v>0.89</v>
      </c>
      <c r="T16" s="29" t="str">
        <f>'Table001 (Page 1-6)'!U9</f>
        <v>C</v>
      </c>
      <c r="U16" s="29"/>
      <c r="V16" s="29"/>
      <c r="W16" s="29"/>
      <c r="X16" s="29"/>
      <c r="Y16" s="29"/>
      <c r="Z16" s="29"/>
      <c r="AA16" s="29"/>
      <c r="AB16" s="29"/>
      <c r="AC16" s="31"/>
      <c r="AD16" s="29"/>
      <c r="AE16" s="29"/>
      <c r="AF16" s="29"/>
      <c r="AG16" s="31"/>
      <c r="AH16" s="29"/>
      <c r="AI16" s="32">
        <f>('Table001 (Page 1-6)'!V9)*100</f>
        <v>1.1100000000000001</v>
      </c>
      <c r="AJ16" s="35"/>
      <c r="AK16" s="35"/>
      <c r="AL16" s="35"/>
      <c r="AM16" s="35"/>
    </row>
    <row r="17" spans="1:39" ht="18" customHeight="1" x14ac:dyDescent="0.25">
      <c r="A17" s="8"/>
      <c r="B17" s="37">
        <f>'Table001 (Page 1-6)'!A10</f>
        <v>1080.0999999999999</v>
      </c>
      <c r="C17" s="28" t="str">
        <f>'Table001 (Page 1-6)'!B10</f>
        <v>CR 25</v>
      </c>
      <c r="D17" s="28" t="str">
        <f>'Table001 (Page 1-6)'!C10</f>
        <v>CR 42</v>
      </c>
      <c r="E17" s="28" t="str">
        <f>'Table001 (Page 1-6)'!D10</f>
        <v>SE 128 PL RD</v>
      </c>
      <c r="F17" s="29">
        <f>'Table001 (Page 1-6)'!E10</f>
        <v>2</v>
      </c>
      <c r="G17" s="29">
        <f>'Table001 (Page 1-6)'!K10</f>
        <v>2</v>
      </c>
      <c r="H17" s="30" t="str">
        <f>'Table001 (Page 1-6)'!R10</f>
        <v>E</v>
      </c>
      <c r="I17" s="28" t="str">
        <f>'Table001 (Page 1-6)'!F10</f>
        <v>COLLECTOR</v>
      </c>
      <c r="J17" s="29"/>
      <c r="K17" s="29"/>
      <c r="L17" s="29">
        <f>'Table001 (Page 1-6)'!I10</f>
        <v>29340</v>
      </c>
      <c r="M17" s="29"/>
      <c r="N17" s="29">
        <f>'Table001 (Page 1-6)'!J10</f>
        <v>1449</v>
      </c>
      <c r="O17" s="29">
        <f>'Table001 (Page 1-6)'!L10</f>
        <v>29340</v>
      </c>
      <c r="P17" s="29"/>
      <c r="Q17" s="29">
        <f>'Table001 (Page 1-6)'!M10</f>
        <v>1449</v>
      </c>
      <c r="R17" s="29" t="str">
        <f>'Table001 (Page 1-6)'!S10</f>
        <v>7,800</v>
      </c>
      <c r="S17" s="31" t="str">
        <f>'Table001 (Page 1-6)'!T10</f>
        <v>0.27</v>
      </c>
      <c r="T17" s="29" t="str">
        <f>'Table001 (Page 1-6)'!U10</f>
        <v>B</v>
      </c>
      <c r="U17" s="29"/>
      <c r="V17" s="29"/>
      <c r="W17" s="29"/>
      <c r="X17" s="29"/>
      <c r="Y17" s="29"/>
      <c r="Z17" s="29"/>
      <c r="AA17" s="29"/>
      <c r="AB17" s="29"/>
      <c r="AC17" s="31"/>
      <c r="AD17" s="29"/>
      <c r="AE17" s="29"/>
      <c r="AF17" s="29"/>
      <c r="AG17" s="31"/>
      <c r="AH17" s="29"/>
      <c r="AI17" s="32">
        <f>('Table001 (Page 1-6)'!V10)*100</f>
        <v>1</v>
      </c>
      <c r="AJ17" s="35"/>
      <c r="AK17" s="35"/>
      <c r="AL17" s="35"/>
      <c r="AM17" s="35"/>
    </row>
    <row r="18" spans="1:39" ht="18" customHeight="1" x14ac:dyDescent="0.25">
      <c r="A18" s="8"/>
      <c r="B18" s="37">
        <f>'Table001 (Page 1-6)'!A11</f>
        <v>1080.3</v>
      </c>
      <c r="C18" s="28" t="str">
        <f>'Table001 (Page 1-6)'!B11</f>
        <v>CR 25</v>
      </c>
      <c r="D18" s="28" t="str">
        <f>'Table001 (Page 1-6)'!C11</f>
        <v>SE 128 PL RD</v>
      </c>
      <c r="E18" s="28" t="str">
        <f>'Table001 (Page 1-6)'!D11</f>
        <v>SE 135 AV</v>
      </c>
      <c r="F18" s="29">
        <f>'Table001 (Page 1-6)'!E11</f>
        <v>2</v>
      </c>
      <c r="G18" s="29">
        <f>'Table001 (Page 1-6)'!K11</f>
        <v>2</v>
      </c>
      <c r="H18" s="30" t="str">
        <f>'Table001 (Page 1-6)'!R11</f>
        <v>E</v>
      </c>
      <c r="I18" s="28" t="str">
        <f>'Table001 (Page 1-6)'!F11</f>
        <v>COLLECTOR</v>
      </c>
      <c r="J18" s="29"/>
      <c r="K18" s="29"/>
      <c r="L18" s="29">
        <f>'Table001 (Page 1-6)'!I11</f>
        <v>29340</v>
      </c>
      <c r="M18" s="29"/>
      <c r="N18" s="29">
        <f>'Table001 (Page 1-6)'!J11</f>
        <v>1449</v>
      </c>
      <c r="O18" s="29">
        <f>'Table001 (Page 1-6)'!L11</f>
        <v>29340</v>
      </c>
      <c r="P18" s="29"/>
      <c r="Q18" s="29">
        <f>'Table001 (Page 1-6)'!M11</f>
        <v>1449</v>
      </c>
      <c r="R18" s="29" t="str">
        <f>'Table001 (Page 1-6)'!S11</f>
        <v>7,800</v>
      </c>
      <c r="S18" s="31" t="str">
        <f>'Table001 (Page 1-6)'!T11</f>
        <v>0.27</v>
      </c>
      <c r="T18" s="29" t="str">
        <f>'Table001 (Page 1-6)'!U11</f>
        <v>B</v>
      </c>
      <c r="U18" s="29"/>
      <c r="V18" s="29"/>
      <c r="W18" s="29"/>
      <c r="X18" s="29"/>
      <c r="Y18" s="29"/>
      <c r="Z18" s="29"/>
      <c r="AA18" s="29"/>
      <c r="AB18" s="29"/>
      <c r="AC18" s="31"/>
      <c r="AD18" s="29"/>
      <c r="AE18" s="29"/>
      <c r="AF18" s="29"/>
      <c r="AG18" s="31"/>
      <c r="AH18" s="29"/>
      <c r="AI18" s="32">
        <f>('Table001 (Page 1-6)'!V11)*100</f>
        <v>1</v>
      </c>
      <c r="AJ18" s="35"/>
      <c r="AK18" s="35"/>
      <c r="AL18" s="35"/>
      <c r="AM18" s="35"/>
    </row>
    <row r="19" spans="1:39" ht="18" customHeight="1" x14ac:dyDescent="0.25">
      <c r="A19" s="8"/>
      <c r="B19" s="37">
        <f>'Table001 (Page 1-6)'!A12</f>
        <v>1090.0999999999999</v>
      </c>
      <c r="C19" s="28" t="str">
        <f>'Table001 (Page 1-6)'!B12</f>
        <v>CR 25</v>
      </c>
      <c r="D19" s="28" t="str">
        <f>'Table001 (Page 1-6)'!C12</f>
        <v>SE 135 AV</v>
      </c>
      <c r="E19" s="28" t="str">
        <f>'Table001 (Page 1-6)'!D12</f>
        <v>CR 464</v>
      </c>
      <c r="F19" s="29">
        <f>'Table001 (Page 1-6)'!E12</f>
        <v>2</v>
      </c>
      <c r="G19" s="29">
        <f>'Table001 (Page 1-6)'!K12</f>
        <v>2</v>
      </c>
      <c r="H19" s="30" t="str">
        <f>'Table001 (Page 1-6)'!R12</f>
        <v>E</v>
      </c>
      <c r="I19" s="28" t="str">
        <f>'Table001 (Page 1-6)'!F12</f>
        <v>COLLECTOR</v>
      </c>
      <c r="J19" s="29"/>
      <c r="K19" s="29"/>
      <c r="L19" s="29">
        <f>'Table001 (Page 1-6)'!I12</f>
        <v>29340</v>
      </c>
      <c r="M19" s="29"/>
      <c r="N19" s="29">
        <f>'Table001 (Page 1-6)'!J12</f>
        <v>1449</v>
      </c>
      <c r="O19" s="29">
        <f>'Table001 (Page 1-6)'!L12</f>
        <v>29340</v>
      </c>
      <c r="P19" s="29"/>
      <c r="Q19" s="29">
        <f>'Table001 (Page 1-6)'!M12</f>
        <v>1449</v>
      </c>
      <c r="R19" s="29" t="str">
        <f>'Table001 (Page 1-6)'!S12</f>
        <v>7,800</v>
      </c>
      <c r="S19" s="31" t="str">
        <f>'Table001 (Page 1-6)'!T12</f>
        <v>0.27</v>
      </c>
      <c r="T19" s="29" t="str">
        <f>'Table001 (Page 1-6)'!U12</f>
        <v>B</v>
      </c>
      <c r="U19" s="29"/>
      <c r="V19" s="29"/>
      <c r="W19" s="29"/>
      <c r="X19" s="29"/>
      <c r="Y19" s="29"/>
      <c r="Z19" s="29"/>
      <c r="AA19" s="29"/>
      <c r="AB19" s="29"/>
      <c r="AC19" s="31"/>
      <c r="AD19" s="29"/>
      <c r="AE19" s="29"/>
      <c r="AF19" s="29"/>
      <c r="AG19" s="31"/>
      <c r="AH19" s="29"/>
      <c r="AI19" s="32">
        <f>('Table001 (Page 1-6)'!V12)*100</f>
        <v>1</v>
      </c>
      <c r="AJ19" s="35"/>
      <c r="AK19" s="35"/>
      <c r="AL19" s="35"/>
      <c r="AM19" s="35"/>
    </row>
    <row r="20" spans="1:39" ht="18" customHeight="1" x14ac:dyDescent="0.25">
      <c r="A20" s="8"/>
      <c r="B20" s="37">
        <f>'Table001 (Page 1-6)'!A13</f>
        <v>1100.0999999999999</v>
      </c>
      <c r="C20" s="28" t="str">
        <f>'Table001 (Page 1-6)'!B13</f>
        <v>CR 25</v>
      </c>
      <c r="D20" s="28" t="str">
        <f>'Table001 (Page 1-6)'!C13</f>
        <v>CR 464</v>
      </c>
      <c r="E20" s="28" t="str">
        <f>'Table001 (Page 1-6)'!D13</f>
        <v>SE 108 TER RD</v>
      </c>
      <c r="F20" s="29">
        <f>'Table001 (Page 1-6)'!E13</f>
        <v>2</v>
      </c>
      <c r="G20" s="29">
        <f>'Table001 (Page 1-6)'!K13</f>
        <v>2</v>
      </c>
      <c r="H20" s="30" t="str">
        <f>'Table001 (Page 1-6)'!R13</f>
        <v>E</v>
      </c>
      <c r="I20" s="28" t="str">
        <f>'Table001 (Page 1-6)'!F13</f>
        <v>COLLECTOR</v>
      </c>
      <c r="J20" s="29"/>
      <c r="K20" s="29"/>
      <c r="L20" s="29">
        <f>'Table001 (Page 1-6)'!I13</f>
        <v>29340</v>
      </c>
      <c r="M20" s="29"/>
      <c r="N20" s="29">
        <f>'Table001 (Page 1-6)'!J13</f>
        <v>1449</v>
      </c>
      <c r="O20" s="29">
        <f>'Table001 (Page 1-6)'!L13</f>
        <v>29340</v>
      </c>
      <c r="P20" s="29"/>
      <c r="Q20" s="29">
        <f>'Table001 (Page 1-6)'!M13</f>
        <v>1449</v>
      </c>
      <c r="R20" s="29" t="str">
        <f>'Table001 (Page 1-6)'!S13</f>
        <v>6,100</v>
      </c>
      <c r="S20" s="31" t="str">
        <f>'Table001 (Page 1-6)'!T13</f>
        <v>0.21</v>
      </c>
      <c r="T20" s="29" t="str">
        <f>'Table001 (Page 1-6)'!U13</f>
        <v>B</v>
      </c>
      <c r="U20" s="29"/>
      <c r="V20" s="29"/>
      <c r="W20" s="29"/>
      <c r="X20" s="29"/>
      <c r="Y20" s="29"/>
      <c r="Z20" s="29"/>
      <c r="AA20" s="29"/>
      <c r="AB20" s="29"/>
      <c r="AC20" s="31"/>
      <c r="AD20" s="29"/>
      <c r="AE20" s="29"/>
      <c r="AF20" s="29"/>
      <c r="AG20" s="31"/>
      <c r="AH20" s="29"/>
      <c r="AI20" s="32">
        <f>('Table001 (Page 1-6)'!V13)*100</f>
        <v>1</v>
      </c>
      <c r="AJ20" s="35"/>
      <c r="AK20" s="35"/>
      <c r="AL20" s="35"/>
      <c r="AM20" s="35"/>
    </row>
    <row r="21" spans="1:39" ht="18" customHeight="1" x14ac:dyDescent="0.25">
      <c r="A21" s="8"/>
      <c r="B21" s="37">
        <f>'Table001 (Page 1-6)'!A14</f>
        <v>1100.4000000000001</v>
      </c>
      <c r="C21" s="28" t="str">
        <f>'Table001 (Page 1-6)'!B14</f>
        <v>CR 25</v>
      </c>
      <c r="D21" s="28" t="str">
        <f>'Table001 (Page 1-6)'!C14</f>
        <v>SE 108 TER RD</v>
      </c>
      <c r="E21" s="28" t="str">
        <f>'Table001 (Page 1-6)'!D14</f>
        <v>SE 92 PL LOOP</v>
      </c>
      <c r="F21" s="29">
        <f>'Table001 (Page 1-6)'!E14</f>
        <v>2</v>
      </c>
      <c r="G21" s="29">
        <f>'Table001 (Page 1-6)'!K14</f>
        <v>2</v>
      </c>
      <c r="H21" s="30" t="str">
        <f>'Table001 (Page 1-6)'!R14</f>
        <v>E</v>
      </c>
      <c r="I21" s="28" t="str">
        <f>'Table001 (Page 1-6)'!F14</f>
        <v>COLLECTOR</v>
      </c>
      <c r="J21" s="29"/>
      <c r="K21" s="29"/>
      <c r="L21" s="29">
        <f>'Table001 (Page 1-6)'!I14</f>
        <v>29340</v>
      </c>
      <c r="M21" s="29"/>
      <c r="N21" s="29">
        <f>'Table001 (Page 1-6)'!J14</f>
        <v>1449</v>
      </c>
      <c r="O21" s="29">
        <f>'Table001 (Page 1-6)'!L14</f>
        <v>29340</v>
      </c>
      <c r="P21" s="29"/>
      <c r="Q21" s="29">
        <f>'Table001 (Page 1-6)'!M14</f>
        <v>1449</v>
      </c>
      <c r="R21" s="29" t="str">
        <f>'Table001 (Page 1-6)'!S14</f>
        <v>7,000</v>
      </c>
      <c r="S21" s="31" t="str">
        <f>'Table001 (Page 1-6)'!T14</f>
        <v>0.24</v>
      </c>
      <c r="T21" s="29" t="str">
        <f>'Table001 (Page 1-6)'!U14</f>
        <v>B</v>
      </c>
      <c r="U21" s="29"/>
      <c r="V21" s="29"/>
      <c r="W21" s="29"/>
      <c r="X21" s="29"/>
      <c r="Y21" s="29"/>
      <c r="Z21" s="29"/>
      <c r="AA21" s="29"/>
      <c r="AB21" s="29"/>
      <c r="AC21" s="31"/>
      <c r="AD21" s="29"/>
      <c r="AE21" s="29"/>
      <c r="AF21" s="29"/>
      <c r="AG21" s="31"/>
      <c r="AH21" s="29"/>
      <c r="AI21" s="32">
        <f>('Table001 (Page 1-6)'!V14)*100</f>
        <v>6.2700000000000005</v>
      </c>
      <c r="AJ21" s="35"/>
      <c r="AK21" s="35"/>
      <c r="AL21" s="35"/>
      <c r="AM21" s="35"/>
    </row>
    <row r="22" spans="1:39" ht="18" customHeight="1" x14ac:dyDescent="0.25">
      <c r="A22" s="8"/>
      <c r="B22" s="37">
        <f>'Table001 (Page 1-6)'!A15</f>
        <v>1110.4000000000001</v>
      </c>
      <c r="C22" s="28" t="str">
        <f>'Table001 (Page 1-6)'!B15</f>
        <v>CR 25</v>
      </c>
      <c r="D22" s="28" t="str">
        <f>'Table001 (Page 1-6)'!C15</f>
        <v>SE 92 PL LOOP</v>
      </c>
      <c r="E22" s="28" t="str">
        <f>'Table001 (Page 1-6)'!D15</f>
        <v>SE 110 ST</v>
      </c>
      <c r="F22" s="29">
        <f>'Table001 (Page 1-6)'!E15</f>
        <v>2</v>
      </c>
      <c r="G22" s="29">
        <f>'Table001 (Page 1-6)'!K15</f>
        <v>2</v>
      </c>
      <c r="H22" s="30" t="str">
        <f>'Table001 (Page 1-6)'!R15</f>
        <v>E</v>
      </c>
      <c r="I22" s="28" t="str">
        <f>'Table001 (Page 1-6)'!F15</f>
        <v>COLLECTOR</v>
      </c>
      <c r="J22" s="29"/>
      <c r="K22" s="29"/>
      <c r="L22" s="29">
        <f>'Table001 (Page 1-6)'!I15</f>
        <v>29340</v>
      </c>
      <c r="M22" s="29"/>
      <c r="N22" s="29">
        <f>'Table001 (Page 1-6)'!J15</f>
        <v>1449</v>
      </c>
      <c r="O22" s="29">
        <f>'Table001 (Page 1-6)'!L15</f>
        <v>29340</v>
      </c>
      <c r="P22" s="29"/>
      <c r="Q22" s="29">
        <f>'Table001 (Page 1-6)'!M15</f>
        <v>1449</v>
      </c>
      <c r="R22" s="29" t="str">
        <f>'Table001 (Page 1-6)'!S15</f>
        <v>9,900</v>
      </c>
      <c r="S22" s="31" t="str">
        <f>'Table001 (Page 1-6)'!T15</f>
        <v>0.34</v>
      </c>
      <c r="T22" s="29" t="str">
        <f>'Table001 (Page 1-6)'!U15</f>
        <v>B</v>
      </c>
      <c r="U22" s="29"/>
      <c r="V22" s="29"/>
      <c r="W22" s="29"/>
      <c r="X22" s="29"/>
      <c r="Y22" s="29"/>
      <c r="Z22" s="29"/>
      <c r="AA22" s="29"/>
      <c r="AB22" s="29"/>
      <c r="AC22" s="31"/>
      <c r="AD22" s="29"/>
      <c r="AE22" s="29"/>
      <c r="AF22" s="29"/>
      <c r="AG22" s="31"/>
      <c r="AH22" s="29"/>
      <c r="AI22" s="32">
        <f>('Table001 (Page 1-6)'!V15)*100</f>
        <v>1</v>
      </c>
      <c r="AJ22" s="35"/>
      <c r="AK22" s="35"/>
      <c r="AL22" s="35"/>
      <c r="AM22" s="35"/>
    </row>
    <row r="23" spans="1:39" ht="18" customHeight="1" x14ac:dyDescent="0.25">
      <c r="A23" s="8"/>
      <c r="B23" s="37">
        <f>'Table001 (Page 1-6)'!A16</f>
        <v>1120</v>
      </c>
      <c r="C23" s="28" t="str">
        <f>'Table001 (Page 1-6)'!B16</f>
        <v>US 441</v>
      </c>
      <c r="D23" s="28" t="str">
        <f>'Table001 (Page 1-6)'!C16</f>
        <v>NE 28 ST</v>
      </c>
      <c r="E23" s="28" t="str">
        <f>'Table001 (Page 1-6)'!D16</f>
        <v>CR 25A (S)</v>
      </c>
      <c r="F23" s="29">
        <f>'Table001 (Page 1-6)'!E16</f>
        <v>4</v>
      </c>
      <c r="G23" s="29">
        <f>'Table001 (Page 1-6)'!K16</f>
        <v>4</v>
      </c>
      <c r="H23" s="30" t="str">
        <f>'Table001 (Page 1-6)'!R16</f>
        <v>D</v>
      </c>
      <c r="I23" s="28" t="str">
        <f>'Table001 (Page 1-6)'!F16</f>
        <v>ARTERIAL</v>
      </c>
      <c r="J23" s="29"/>
      <c r="K23" s="29"/>
      <c r="L23" s="29">
        <f>'Table001 (Page 1-6)'!I16</f>
        <v>40352</v>
      </c>
      <c r="M23" s="29"/>
      <c r="N23" s="29">
        <f>'Table001 (Page 1-6)'!J16</f>
        <v>1996</v>
      </c>
      <c r="O23" s="29">
        <f>'Table001 (Page 1-6)'!L16</f>
        <v>40352</v>
      </c>
      <c r="P23" s="29"/>
      <c r="Q23" s="29">
        <f>'Table001 (Page 1-6)'!M16</f>
        <v>1996</v>
      </c>
      <c r="R23" s="29" t="str">
        <f>'Table001 (Page 1-6)'!S16</f>
        <v>18,300</v>
      </c>
      <c r="S23" s="31" t="str">
        <f>'Table001 (Page 1-6)'!T16</f>
        <v>0.45</v>
      </c>
      <c r="T23" s="29" t="str">
        <f>'Table001 (Page 1-6)'!U16</f>
        <v>C</v>
      </c>
      <c r="U23" s="29"/>
      <c r="V23" s="29"/>
      <c r="W23" s="29"/>
      <c r="X23" s="29"/>
      <c r="Y23" s="29"/>
      <c r="Z23" s="29"/>
      <c r="AA23" s="29"/>
      <c r="AB23" s="29"/>
      <c r="AC23" s="31"/>
      <c r="AD23" s="29"/>
      <c r="AE23" s="29"/>
      <c r="AF23" s="29"/>
      <c r="AG23" s="31"/>
      <c r="AH23" s="29"/>
      <c r="AI23" s="32">
        <f>('Table001 (Page 1-6)'!V16)*100</f>
        <v>1</v>
      </c>
      <c r="AJ23" s="35"/>
      <c r="AK23" s="35"/>
      <c r="AL23" s="35"/>
      <c r="AM23" s="35"/>
    </row>
    <row r="24" spans="1:39" ht="18" customHeight="1" x14ac:dyDescent="0.25">
      <c r="A24" s="8"/>
      <c r="B24" s="37">
        <f>'Table001 (Page 1-6)'!A17</f>
        <v>1130</v>
      </c>
      <c r="C24" s="28" t="str">
        <f>'Table001 (Page 1-6)'!B17</f>
        <v>CR 25A</v>
      </c>
      <c r="D24" s="28" t="str">
        <f>'Table001 (Page 1-6)'!C17</f>
        <v>US 441 (S)</v>
      </c>
      <c r="E24" s="28" t="str">
        <f>'Table001 (Page 1-6)'!D17</f>
        <v>SR 326</v>
      </c>
      <c r="F24" s="29">
        <f>'Table001 (Page 1-6)'!E17</f>
        <v>2</v>
      </c>
      <c r="G24" s="29">
        <f>'Table001 (Page 1-6)'!K17</f>
        <v>2</v>
      </c>
      <c r="H24" s="30" t="str">
        <f>'Table001 (Page 1-6)'!R17</f>
        <v>E</v>
      </c>
      <c r="I24" s="28" t="str">
        <f>'Table001 (Page 1-6)'!F17</f>
        <v>COLLECTOR</v>
      </c>
      <c r="J24" s="29"/>
      <c r="K24" s="29"/>
      <c r="L24" s="29">
        <f>'Table001 (Page 1-6)'!I17</f>
        <v>12744</v>
      </c>
      <c r="M24" s="29"/>
      <c r="N24" s="29">
        <f>'Table001 (Page 1-6)'!J17</f>
        <v>634</v>
      </c>
      <c r="O24" s="29">
        <f>'Table001 (Page 1-6)'!L17</f>
        <v>12744</v>
      </c>
      <c r="P24" s="29"/>
      <c r="Q24" s="29">
        <f>'Table001 (Page 1-6)'!M17</f>
        <v>634</v>
      </c>
      <c r="R24" s="29" t="str">
        <f>'Table001 (Page 1-6)'!S17</f>
        <v>5,400</v>
      </c>
      <c r="S24" s="31" t="str">
        <f>'Table001 (Page 1-6)'!T17</f>
        <v>0.42</v>
      </c>
      <c r="T24" s="29" t="str">
        <f>'Table001 (Page 1-6)'!U17</f>
        <v>C</v>
      </c>
      <c r="U24" s="29"/>
      <c r="V24" s="29"/>
      <c r="W24" s="29"/>
      <c r="X24" s="29"/>
      <c r="Y24" s="29"/>
      <c r="Z24" s="29"/>
      <c r="AA24" s="29"/>
      <c r="AB24" s="29"/>
      <c r="AC24" s="31"/>
      <c r="AD24" s="29"/>
      <c r="AE24" s="29"/>
      <c r="AF24" s="29"/>
      <c r="AG24" s="31"/>
      <c r="AH24" s="29"/>
      <c r="AI24" s="32">
        <f>('Table001 (Page 1-6)'!V17)*100</f>
        <v>1.58</v>
      </c>
      <c r="AJ24" s="35"/>
      <c r="AK24" s="35"/>
      <c r="AL24" s="35"/>
      <c r="AM24" s="35"/>
    </row>
    <row r="25" spans="1:39" ht="18" customHeight="1" x14ac:dyDescent="0.25">
      <c r="A25" s="8"/>
      <c r="B25" s="37">
        <f>'Table001 (Page 1-6)'!A18</f>
        <v>1150.0999999999999</v>
      </c>
      <c r="C25" s="28" t="str">
        <f>'Table001 (Page 1-6)'!B18</f>
        <v>CR 25A</v>
      </c>
      <c r="D25" s="28" t="str">
        <f>'Table001 (Page 1-6)'!C18</f>
        <v>SR 326</v>
      </c>
      <c r="E25" s="28" t="str">
        <f>'Table001 (Page 1-6)'!D18</f>
        <v>URBAN AREA BOUNDARY</v>
      </c>
      <c r="F25" s="29">
        <f>'Table001 (Page 1-6)'!E18</f>
        <v>2</v>
      </c>
      <c r="G25" s="29">
        <f>'Table001 (Page 1-6)'!K18</f>
        <v>2</v>
      </c>
      <c r="H25" s="30" t="str">
        <f>'Table001 (Page 1-6)'!R18</f>
        <v>E</v>
      </c>
      <c r="I25" s="28" t="str">
        <f>'Table001 (Page 1-6)'!F18</f>
        <v>COLLECTOR</v>
      </c>
      <c r="J25" s="29"/>
      <c r="K25" s="29"/>
      <c r="L25" s="29">
        <f>'Table001 (Page 1-6)'!I18</f>
        <v>29340</v>
      </c>
      <c r="M25" s="29"/>
      <c r="N25" s="29">
        <f>'Table001 (Page 1-6)'!J18</f>
        <v>1449</v>
      </c>
      <c r="O25" s="29">
        <f>'Table001 (Page 1-6)'!L18</f>
        <v>29340</v>
      </c>
      <c r="P25" s="29"/>
      <c r="Q25" s="29">
        <f>'Table001 (Page 1-6)'!M18</f>
        <v>1449</v>
      </c>
      <c r="R25" s="29" t="str">
        <f>'Table001 (Page 1-6)'!S18</f>
        <v>8,200</v>
      </c>
      <c r="S25" s="31" t="str">
        <f>'Table001 (Page 1-6)'!T18</f>
        <v>0.28</v>
      </c>
      <c r="T25" s="29" t="str">
        <f>'Table001 (Page 1-6)'!U18</f>
        <v>B</v>
      </c>
      <c r="U25" s="29"/>
      <c r="V25" s="29"/>
      <c r="W25" s="29"/>
      <c r="X25" s="29"/>
      <c r="Y25" s="29"/>
      <c r="Z25" s="29"/>
      <c r="AA25" s="29"/>
      <c r="AB25" s="29"/>
      <c r="AC25" s="31"/>
      <c r="AD25" s="29"/>
      <c r="AE25" s="29"/>
      <c r="AF25" s="29"/>
      <c r="AG25" s="31"/>
      <c r="AH25" s="29"/>
      <c r="AI25" s="32">
        <f>('Table001 (Page 1-6)'!V18)*100</f>
        <v>1</v>
      </c>
      <c r="AJ25" s="35"/>
      <c r="AK25" s="35"/>
      <c r="AL25" s="35"/>
      <c r="AM25" s="35"/>
    </row>
    <row r="26" spans="1:39" ht="18" customHeight="1" x14ac:dyDescent="0.25">
      <c r="A26" s="8"/>
      <c r="B26" s="37">
        <f>'Table001 (Page 1-6)'!A19</f>
        <v>1150.2</v>
      </c>
      <c r="C26" s="28" t="str">
        <f>'Table001 (Page 1-6)'!B19</f>
        <v>CR 25A</v>
      </c>
      <c r="D26" s="28" t="str">
        <f>'Table001 (Page 1-6)'!C19</f>
        <v>URBAN AREA BOUNDARY</v>
      </c>
      <c r="E26" s="28" t="str">
        <f>'Table001 (Page 1-6)'!D19</f>
        <v>CR 329</v>
      </c>
      <c r="F26" s="29">
        <f>'Table001 (Page 1-6)'!E19</f>
        <v>2</v>
      </c>
      <c r="G26" s="29">
        <f>'Table001 (Page 1-6)'!K19</f>
        <v>2</v>
      </c>
      <c r="H26" s="30" t="str">
        <f>'Table001 (Page 1-6)'!R19</f>
        <v>D</v>
      </c>
      <c r="I26" s="28" t="str">
        <f>'Table001 (Page 1-6)'!F19</f>
        <v>COLLECTOR</v>
      </c>
      <c r="J26" s="29"/>
      <c r="K26" s="29"/>
      <c r="L26" s="29">
        <f>'Table001 (Page 1-6)'!I19</f>
        <v>19170</v>
      </c>
      <c r="M26" s="29"/>
      <c r="N26" s="29">
        <f>'Table001 (Page 1-6)'!J19</f>
        <v>999</v>
      </c>
      <c r="O26" s="29">
        <f>'Table001 (Page 1-6)'!L19</f>
        <v>19170</v>
      </c>
      <c r="P26" s="29"/>
      <c r="Q26" s="29">
        <f>'Table001 (Page 1-6)'!M19</f>
        <v>999</v>
      </c>
      <c r="R26" s="29" t="str">
        <f>'Table001 (Page 1-6)'!S19</f>
        <v>8,200</v>
      </c>
      <c r="S26" s="31" t="str">
        <f>'Table001 (Page 1-6)'!T19</f>
        <v>0.43</v>
      </c>
      <c r="T26" s="29" t="str">
        <f>'Table001 (Page 1-6)'!U19</f>
        <v>B</v>
      </c>
      <c r="U26" s="29"/>
      <c r="V26" s="29"/>
      <c r="W26" s="29"/>
      <c r="X26" s="29"/>
      <c r="Y26" s="29"/>
      <c r="Z26" s="29"/>
      <c r="AA26" s="29"/>
      <c r="AB26" s="29"/>
      <c r="AC26" s="31"/>
      <c r="AD26" s="29"/>
      <c r="AE26" s="29"/>
      <c r="AF26" s="29"/>
      <c r="AG26" s="31"/>
      <c r="AH26" s="29"/>
      <c r="AI26" s="32">
        <f>('Table001 (Page 1-6)'!V19)*100</f>
        <v>1</v>
      </c>
      <c r="AJ26" s="35"/>
      <c r="AK26" s="35"/>
      <c r="AL26" s="35"/>
      <c r="AM26" s="35"/>
    </row>
    <row r="27" spans="1:39" ht="18" customHeight="1" x14ac:dyDescent="0.25">
      <c r="A27" s="8"/>
      <c r="B27" s="37">
        <f>'Table001 (Page 1-6)'!A20</f>
        <v>1160.2</v>
      </c>
      <c r="C27" s="28" t="str">
        <f>'Table001 (Page 1-6)'!B20</f>
        <v>CR 25A</v>
      </c>
      <c r="D27" s="28" t="str">
        <f>'Table001 (Page 1-6)'!C20</f>
        <v>CR 316</v>
      </c>
      <c r="E27" s="28" t="str">
        <f>'Table001 (Page 1-6)'!D20</f>
        <v>US 441</v>
      </c>
      <c r="F27" s="29">
        <f>'Table001 (Page 1-6)'!E20</f>
        <v>2</v>
      </c>
      <c r="G27" s="29">
        <f>'Table001 (Page 1-6)'!K20</f>
        <v>2</v>
      </c>
      <c r="H27" s="30" t="str">
        <f>'Table001 (Page 1-6)'!R20</f>
        <v>B</v>
      </c>
      <c r="I27" s="28" t="str">
        <f>'Table001 (Page 1-6)'!F20</f>
        <v>COLLECTOR</v>
      </c>
      <c r="J27" s="29"/>
      <c r="K27" s="29"/>
      <c r="L27" s="29">
        <f>'Table001 (Page 1-6)'!I20</f>
        <v>9270</v>
      </c>
      <c r="M27" s="29"/>
      <c r="N27" s="29">
        <f>'Table001 (Page 1-6)'!J20</f>
        <v>486</v>
      </c>
      <c r="O27" s="29">
        <f>'Table001 (Page 1-6)'!L20</f>
        <v>9270</v>
      </c>
      <c r="P27" s="29"/>
      <c r="Q27" s="29">
        <f>'Table001 (Page 1-6)'!M20</f>
        <v>486</v>
      </c>
      <c r="R27" s="29" t="str">
        <f>'Table001 (Page 1-6)'!S20</f>
        <v>3,300</v>
      </c>
      <c r="S27" s="31" t="str">
        <f>'Table001 (Page 1-6)'!T20</f>
        <v>0.36</v>
      </c>
      <c r="T27" s="29" t="str">
        <f>'Table001 (Page 1-6)'!U20</f>
        <v>B</v>
      </c>
      <c r="U27" s="29"/>
      <c r="V27" s="29"/>
      <c r="W27" s="29"/>
      <c r="X27" s="29"/>
      <c r="Y27" s="29"/>
      <c r="Z27" s="29"/>
      <c r="AA27" s="29"/>
      <c r="AB27" s="29"/>
      <c r="AC27" s="31"/>
      <c r="AD27" s="29"/>
      <c r="AE27" s="29"/>
      <c r="AF27" s="29"/>
      <c r="AG27" s="31"/>
      <c r="AH27" s="29"/>
      <c r="AI27" s="32">
        <f>('Table001 (Page 1-6)'!V20)*100</f>
        <v>8.4500000000000011</v>
      </c>
      <c r="AJ27" s="35"/>
      <c r="AK27" s="35"/>
      <c r="AL27" s="35"/>
      <c r="AM27" s="35"/>
    </row>
    <row r="28" spans="1:39" ht="18" customHeight="1" x14ac:dyDescent="0.25">
      <c r="A28" s="8"/>
      <c r="B28" s="37">
        <f>'Table001 (Page 1-6)'!A21</f>
        <v>1160.3</v>
      </c>
      <c r="C28" s="28" t="str">
        <f>'Table001 (Page 1-6)'!B21</f>
        <v>CR 25A</v>
      </c>
      <c r="D28" s="28" t="str">
        <f>'Table001 (Page 1-6)'!C21</f>
        <v>CR 329</v>
      </c>
      <c r="E28" s="28" t="str">
        <f>'Table001 (Page 1-6)'!D21</f>
        <v>CR 316</v>
      </c>
      <c r="F28" s="29">
        <f>'Table001 (Page 1-6)'!E21</f>
        <v>2</v>
      </c>
      <c r="G28" s="29">
        <f>'Table001 (Page 1-6)'!K21</f>
        <v>2</v>
      </c>
      <c r="H28" s="30" t="str">
        <f>'Table001 (Page 1-6)'!R21</f>
        <v>C</v>
      </c>
      <c r="I28" s="28" t="str">
        <f>'Table001 (Page 1-6)'!F21</f>
        <v>COLLECTOR</v>
      </c>
      <c r="J28" s="29"/>
      <c r="K28" s="29"/>
      <c r="L28" s="29">
        <f>'Table001 (Page 1-6)'!I21</f>
        <v>14130</v>
      </c>
      <c r="M28" s="29"/>
      <c r="N28" s="29">
        <f>'Table001 (Page 1-6)'!J21</f>
        <v>738</v>
      </c>
      <c r="O28" s="29">
        <f>'Table001 (Page 1-6)'!L21</f>
        <v>14130</v>
      </c>
      <c r="P28" s="29"/>
      <c r="Q28" s="29">
        <f>'Table001 (Page 1-6)'!M21</f>
        <v>738</v>
      </c>
      <c r="R28" s="29" t="str">
        <f>'Table001 (Page 1-6)'!S21</f>
        <v>3,300</v>
      </c>
      <c r="S28" s="31" t="str">
        <f>'Table001 (Page 1-6)'!T21</f>
        <v>0.23</v>
      </c>
      <c r="T28" s="29" t="str">
        <f>'Table001 (Page 1-6)'!U21</f>
        <v>B</v>
      </c>
      <c r="U28" s="29"/>
      <c r="V28" s="29"/>
      <c r="W28" s="29"/>
      <c r="X28" s="29"/>
      <c r="Y28" s="29"/>
      <c r="Z28" s="29"/>
      <c r="AA28" s="29"/>
      <c r="AB28" s="29"/>
      <c r="AC28" s="31"/>
      <c r="AD28" s="29"/>
      <c r="AE28" s="29"/>
      <c r="AF28" s="29"/>
      <c r="AG28" s="31"/>
      <c r="AH28" s="29"/>
      <c r="AI28" s="32">
        <f>('Table001 (Page 1-6)'!V21)*100</f>
        <v>8.4500000000000011</v>
      </c>
      <c r="AJ28" s="35"/>
      <c r="AK28" s="35"/>
      <c r="AL28" s="35"/>
      <c r="AM28" s="35"/>
    </row>
    <row r="29" spans="1:39" ht="18" customHeight="1" x14ac:dyDescent="0.25">
      <c r="A29" s="8"/>
      <c r="B29" s="37">
        <f>'Table001 (Page 1-6)'!A22</f>
        <v>1170</v>
      </c>
      <c r="C29" s="28" t="str">
        <f>'Table001 (Page 1-6)'!B22</f>
        <v>CR 25A</v>
      </c>
      <c r="D29" s="28" t="str">
        <f>'Table001 (Page 1-6)'!C22</f>
        <v>US 441</v>
      </c>
      <c r="E29" s="28" t="str">
        <f>'Table001 (Page 1-6)'!D22</f>
        <v>CR 25</v>
      </c>
      <c r="F29" s="29">
        <f>'Table001 (Page 1-6)'!E22</f>
        <v>2</v>
      </c>
      <c r="G29" s="29">
        <f>'Table001 (Page 1-6)'!K22</f>
        <v>2</v>
      </c>
      <c r="H29" s="30" t="str">
        <f>'Table001 (Page 1-6)'!R22</f>
        <v>E</v>
      </c>
      <c r="I29" s="28" t="str">
        <f>'Table001 (Page 1-6)'!F22</f>
        <v>COLLECTOR</v>
      </c>
      <c r="J29" s="29"/>
      <c r="K29" s="29"/>
      <c r="L29" s="29">
        <f>'Table001 (Page 1-6)'!I22</f>
        <v>29340</v>
      </c>
      <c r="M29" s="29"/>
      <c r="N29" s="29">
        <f>'Table001 (Page 1-6)'!J22</f>
        <v>1449</v>
      </c>
      <c r="O29" s="29">
        <f>'Table001 (Page 1-6)'!L22</f>
        <v>29340</v>
      </c>
      <c r="P29" s="29"/>
      <c r="Q29" s="29">
        <f>'Table001 (Page 1-6)'!M22</f>
        <v>1449</v>
      </c>
      <c r="R29" s="29" t="str">
        <f>'Table001 (Page 1-6)'!S22</f>
        <v>Not Counted</v>
      </c>
      <c r="S29" s="31" t="str">
        <f>'Table001 (Page 1-6)'!T22</f>
        <v>N/A</v>
      </c>
      <c r="T29" s="29" t="str">
        <f>'Table001 (Page 1-6)'!U22</f>
        <v>N/A</v>
      </c>
      <c r="U29" s="29"/>
      <c r="V29" s="29"/>
      <c r="W29" s="29"/>
      <c r="X29" s="29"/>
      <c r="Y29" s="29"/>
      <c r="Z29" s="29"/>
      <c r="AA29" s="29"/>
      <c r="AB29" s="29"/>
      <c r="AC29" s="31"/>
      <c r="AD29" s="29"/>
      <c r="AE29" s="29"/>
      <c r="AF29" s="29"/>
      <c r="AG29" s="31"/>
      <c r="AH29" s="29"/>
      <c r="AI29" s="32">
        <f>('Table001 (Page 1-6)'!V22)*100</f>
        <v>1</v>
      </c>
      <c r="AJ29" s="35"/>
      <c r="AK29" s="35"/>
      <c r="AL29" s="35"/>
      <c r="AM29" s="35"/>
    </row>
    <row r="30" spans="1:39" ht="18" customHeight="1" x14ac:dyDescent="0.25">
      <c r="A30" s="8"/>
      <c r="B30" s="37">
        <f>'Table001 (Page 1-6)'!A23</f>
        <v>1180</v>
      </c>
      <c r="C30" s="28" t="str">
        <f>'Table001 (Page 1-6)'!B23</f>
        <v>CR 314</v>
      </c>
      <c r="D30" s="28" t="str">
        <f>'Table001 (Page 1-6)'!C23</f>
        <v>NE 7 ST</v>
      </c>
      <c r="E30" s="28" t="str">
        <f>'Table001 (Page 1-6)'!D23</f>
        <v>SE 1 ST</v>
      </c>
      <c r="F30" s="29">
        <f>'Table001 (Page 1-6)'!E23</f>
        <v>2</v>
      </c>
      <c r="G30" s="29">
        <f>'Table001 (Page 1-6)'!K23</f>
        <v>2</v>
      </c>
      <c r="H30" s="30" t="str">
        <f>'Table001 (Page 1-6)'!R23</f>
        <v>D</v>
      </c>
      <c r="I30" s="28" t="str">
        <f>'Table001 (Page 1-6)'!F23</f>
        <v>COLLECTOR</v>
      </c>
      <c r="J30" s="29"/>
      <c r="K30" s="29"/>
      <c r="L30" s="29">
        <f>'Table001 (Page 1-6)'!I23</f>
        <v>19170</v>
      </c>
      <c r="M30" s="29"/>
      <c r="N30" s="29">
        <f>'Table001 (Page 1-6)'!J23</f>
        <v>999</v>
      </c>
      <c r="O30" s="29">
        <f>'Table001 (Page 1-6)'!L23</f>
        <v>19170</v>
      </c>
      <c r="P30" s="29"/>
      <c r="Q30" s="29">
        <f>'Table001 (Page 1-6)'!M23</f>
        <v>999</v>
      </c>
      <c r="R30" s="29" t="str">
        <f>'Table001 (Page 1-6)'!S23</f>
        <v>2,100</v>
      </c>
      <c r="S30" s="31" t="str">
        <f>'Table001 (Page 1-6)'!T23</f>
        <v>0.11</v>
      </c>
      <c r="T30" s="29" t="str">
        <f>'Table001 (Page 1-6)'!U23</f>
        <v>B</v>
      </c>
      <c r="U30" s="29"/>
      <c r="V30" s="29"/>
      <c r="W30" s="29"/>
      <c r="X30" s="29"/>
      <c r="Y30" s="29"/>
      <c r="Z30" s="29"/>
      <c r="AA30" s="29"/>
      <c r="AB30" s="29"/>
      <c r="AC30" s="31"/>
      <c r="AD30" s="29"/>
      <c r="AE30" s="29"/>
      <c r="AF30" s="29"/>
      <c r="AG30" s="31"/>
      <c r="AH30" s="29"/>
      <c r="AI30" s="32">
        <f>('Table001 (Page 1-6)'!V23)*100</f>
        <v>1</v>
      </c>
      <c r="AJ30" s="35"/>
      <c r="AK30" s="35"/>
      <c r="AL30" s="35"/>
      <c r="AM30" s="35"/>
    </row>
    <row r="31" spans="1:39" ht="18" customHeight="1" x14ac:dyDescent="0.25">
      <c r="A31" s="8"/>
      <c r="B31" s="37">
        <f>'Table001 (Page 1-6)'!A24</f>
        <v>1190.0999999999999</v>
      </c>
      <c r="C31" s="28" t="str">
        <f>'Table001 (Page 1-6)'!B24</f>
        <v>CR 314</v>
      </c>
      <c r="D31" s="28" t="str">
        <f>'Table001 (Page 1-6)'!C24</f>
        <v>SE 1 ST</v>
      </c>
      <c r="E31" s="28" t="str">
        <f>'Table001 (Page 1-6)'!D24</f>
        <v>SR 40 (E)</v>
      </c>
      <c r="F31" s="29">
        <f>'Table001 (Page 1-6)'!E24</f>
        <v>2</v>
      </c>
      <c r="G31" s="29">
        <f>'Table001 (Page 1-6)'!K24</f>
        <v>2</v>
      </c>
      <c r="H31" s="30" t="str">
        <f>'Table001 (Page 1-6)'!R24</f>
        <v>D</v>
      </c>
      <c r="I31" s="28" t="str">
        <f>'Table001 (Page 1-6)'!F24</f>
        <v>COLLECTOR</v>
      </c>
      <c r="J31" s="29"/>
      <c r="K31" s="29"/>
      <c r="L31" s="29">
        <f>'Table001 (Page 1-6)'!I24</f>
        <v>19170</v>
      </c>
      <c r="M31" s="29"/>
      <c r="N31" s="29">
        <f>'Table001 (Page 1-6)'!J24</f>
        <v>999</v>
      </c>
      <c r="O31" s="29">
        <f>'Table001 (Page 1-6)'!L24</f>
        <v>19170</v>
      </c>
      <c r="P31" s="29"/>
      <c r="Q31" s="29">
        <f>'Table001 (Page 1-6)'!M24</f>
        <v>999</v>
      </c>
      <c r="R31" s="29" t="str">
        <f>'Table001 (Page 1-6)'!S24</f>
        <v>2,000</v>
      </c>
      <c r="S31" s="31" t="str">
        <f>'Table001 (Page 1-6)'!T24</f>
        <v>0.1</v>
      </c>
      <c r="T31" s="29" t="str">
        <f>'Table001 (Page 1-6)'!U24</f>
        <v>B</v>
      </c>
      <c r="U31" s="29"/>
      <c r="V31" s="29"/>
      <c r="W31" s="29"/>
      <c r="X31" s="29"/>
      <c r="Y31" s="29"/>
      <c r="Z31" s="29"/>
      <c r="AA31" s="29"/>
      <c r="AB31" s="29"/>
      <c r="AC31" s="31"/>
      <c r="AD31" s="29"/>
      <c r="AE31" s="29"/>
      <c r="AF31" s="29"/>
      <c r="AG31" s="31"/>
      <c r="AH31" s="29"/>
      <c r="AI31" s="32">
        <f>('Table001 (Page 1-6)'!V24)*100</f>
        <v>3.5000000000000004</v>
      </c>
      <c r="AJ31" s="35"/>
      <c r="AK31" s="35"/>
      <c r="AL31" s="35"/>
      <c r="AM31" s="35"/>
    </row>
    <row r="32" spans="1:39" ht="18" customHeight="1" x14ac:dyDescent="0.25">
      <c r="A32" s="8"/>
      <c r="B32" s="37">
        <f>'Table001 (Page 1-6)'!A25</f>
        <v>1200</v>
      </c>
      <c r="C32" s="28" t="str">
        <f>'Table001 (Page 1-6)'!B25</f>
        <v>CR 314</v>
      </c>
      <c r="D32" s="28" t="str">
        <f>'Table001 (Page 1-6)'!C25</f>
        <v>SR 40 (E)</v>
      </c>
      <c r="E32" s="28" t="str">
        <f>'Table001 (Page 1-6)'!D25</f>
        <v>CR 314A</v>
      </c>
      <c r="F32" s="29">
        <f>'Table001 (Page 1-6)'!E25</f>
        <v>2</v>
      </c>
      <c r="G32" s="29">
        <f>'Table001 (Page 1-6)'!K25</f>
        <v>2</v>
      </c>
      <c r="H32" s="30" t="str">
        <f>'Table001 (Page 1-6)'!R25</f>
        <v>D</v>
      </c>
      <c r="I32" s="28" t="str">
        <f>'Table001 (Page 1-6)'!F25</f>
        <v>COLLECTOR</v>
      </c>
      <c r="J32" s="29"/>
      <c r="K32" s="29"/>
      <c r="L32" s="29">
        <f>'Table001 (Page 1-6)'!I25</f>
        <v>19170</v>
      </c>
      <c r="M32" s="29"/>
      <c r="N32" s="29">
        <f>'Table001 (Page 1-6)'!J25</f>
        <v>999</v>
      </c>
      <c r="O32" s="29">
        <f>'Table001 (Page 1-6)'!L25</f>
        <v>19170</v>
      </c>
      <c r="P32" s="29"/>
      <c r="Q32" s="29">
        <f>'Table001 (Page 1-6)'!M25</f>
        <v>999</v>
      </c>
      <c r="R32" s="29" t="str">
        <f>'Table001 (Page 1-6)'!S25</f>
        <v>3,100</v>
      </c>
      <c r="S32" s="31" t="str">
        <f>'Table001 (Page 1-6)'!T25</f>
        <v>0.16</v>
      </c>
      <c r="T32" s="29" t="str">
        <f>'Table001 (Page 1-6)'!U25</f>
        <v>B</v>
      </c>
      <c r="U32" s="29"/>
      <c r="V32" s="29"/>
      <c r="W32" s="29"/>
      <c r="X32" s="29"/>
      <c r="Y32" s="29"/>
      <c r="Z32" s="29"/>
      <c r="AA32" s="29"/>
      <c r="AB32" s="29"/>
      <c r="AC32" s="31"/>
      <c r="AD32" s="29"/>
      <c r="AE32" s="29"/>
      <c r="AF32" s="29"/>
      <c r="AG32" s="31"/>
      <c r="AH32" s="29"/>
      <c r="AI32" s="32">
        <f>('Table001 (Page 1-6)'!V25)*100</f>
        <v>1</v>
      </c>
      <c r="AJ32" s="35"/>
      <c r="AK32" s="35"/>
      <c r="AL32" s="35"/>
      <c r="AM32" s="35"/>
    </row>
    <row r="33" spans="1:39" ht="18" customHeight="1" x14ac:dyDescent="0.25">
      <c r="A33" s="8"/>
      <c r="B33" s="37">
        <f>'Table001 (Page 1-6)'!A26</f>
        <v>1210.2</v>
      </c>
      <c r="C33" s="28" t="str">
        <f>'Table001 (Page 1-6)'!B26</f>
        <v>CR 314</v>
      </c>
      <c r="D33" s="28" t="str">
        <f>'Table001 (Page 1-6)'!C26</f>
        <v>CR 314A</v>
      </c>
      <c r="E33" s="28" t="str">
        <f>'Table001 (Page 1-6)'!D26</f>
        <v>SR 19</v>
      </c>
      <c r="F33" s="29">
        <f>'Table001 (Page 1-6)'!E26</f>
        <v>2</v>
      </c>
      <c r="G33" s="29">
        <f>'Table001 (Page 1-6)'!K26</f>
        <v>2</v>
      </c>
      <c r="H33" s="30" t="str">
        <f>'Table001 (Page 1-6)'!R26</f>
        <v>D</v>
      </c>
      <c r="I33" s="28" t="str">
        <f>'Table001 (Page 1-6)'!F26</f>
        <v>COLLECTOR</v>
      </c>
      <c r="J33" s="29"/>
      <c r="K33" s="29"/>
      <c r="L33" s="29">
        <f>'Table001 (Page 1-6)'!I26</f>
        <v>19170</v>
      </c>
      <c r="M33" s="29"/>
      <c r="N33" s="29">
        <f>'Table001 (Page 1-6)'!J26</f>
        <v>999</v>
      </c>
      <c r="O33" s="29">
        <f>'Table001 (Page 1-6)'!L26</f>
        <v>19170</v>
      </c>
      <c r="P33" s="29"/>
      <c r="Q33" s="29">
        <f>'Table001 (Page 1-6)'!M26</f>
        <v>999</v>
      </c>
      <c r="R33" s="29" t="str">
        <f>'Table001 (Page 1-6)'!S26</f>
        <v>3,400</v>
      </c>
      <c r="S33" s="31" t="str">
        <f>'Table001 (Page 1-6)'!T26</f>
        <v>0.18</v>
      </c>
      <c r="T33" s="29" t="str">
        <f>'Table001 (Page 1-6)'!U26</f>
        <v>B</v>
      </c>
      <c r="U33" s="29"/>
      <c r="V33" s="29"/>
      <c r="W33" s="29"/>
      <c r="X33" s="29"/>
      <c r="Y33" s="29"/>
      <c r="Z33" s="29"/>
      <c r="AA33" s="29"/>
      <c r="AB33" s="29"/>
      <c r="AC33" s="31"/>
      <c r="AD33" s="29"/>
      <c r="AE33" s="29"/>
      <c r="AF33" s="29"/>
      <c r="AG33" s="31"/>
      <c r="AH33" s="29"/>
      <c r="AI33" s="32">
        <f>('Table001 (Page 1-6)'!V26)*100</f>
        <v>1</v>
      </c>
      <c r="AJ33" s="35"/>
      <c r="AK33" s="35"/>
      <c r="AL33" s="35"/>
      <c r="AM33" s="35"/>
    </row>
    <row r="34" spans="1:39" ht="18" customHeight="1" x14ac:dyDescent="0.25">
      <c r="A34" s="8"/>
      <c r="B34" s="37">
        <f>'Table001 (Page 1-6)'!A27</f>
        <v>1220</v>
      </c>
      <c r="C34" s="28" t="str">
        <f>'Table001 (Page 1-6)'!B27</f>
        <v>CR 314A</v>
      </c>
      <c r="D34" s="28" t="str">
        <f>'Table001 (Page 1-6)'!C27</f>
        <v>CR 464C</v>
      </c>
      <c r="E34" s="28" t="str">
        <f>'Table001 (Page 1-6)'!D27</f>
        <v>SE 180 AV</v>
      </c>
      <c r="F34" s="29">
        <f>'Table001 (Page 1-6)'!E27</f>
        <v>2</v>
      </c>
      <c r="G34" s="29">
        <f>'Table001 (Page 1-6)'!K27</f>
        <v>2</v>
      </c>
      <c r="H34" s="30" t="str">
        <f>'Table001 (Page 1-6)'!R27</f>
        <v>D</v>
      </c>
      <c r="I34" s="28" t="str">
        <f>'Table001 (Page 1-6)'!F27</f>
        <v>COLLECTOR</v>
      </c>
      <c r="J34" s="29"/>
      <c r="K34" s="29"/>
      <c r="L34" s="29">
        <f>'Table001 (Page 1-6)'!I27</f>
        <v>19170</v>
      </c>
      <c r="M34" s="29"/>
      <c r="N34" s="29">
        <f>'Table001 (Page 1-6)'!J27</f>
        <v>999</v>
      </c>
      <c r="O34" s="29">
        <f>'Table001 (Page 1-6)'!L27</f>
        <v>19170</v>
      </c>
      <c r="P34" s="29"/>
      <c r="Q34" s="29">
        <f>'Table001 (Page 1-6)'!M27</f>
        <v>999</v>
      </c>
      <c r="R34" s="29" t="str">
        <f>'Table001 (Page 1-6)'!S27</f>
        <v>5,700</v>
      </c>
      <c r="S34" s="31" t="str">
        <f>'Table001 (Page 1-6)'!T27</f>
        <v>0.3</v>
      </c>
      <c r="T34" s="29" t="str">
        <f>'Table001 (Page 1-6)'!U27</f>
        <v>B</v>
      </c>
      <c r="U34" s="29"/>
      <c r="V34" s="29"/>
      <c r="W34" s="29"/>
      <c r="X34" s="29"/>
      <c r="Y34" s="29"/>
      <c r="Z34" s="29"/>
      <c r="AA34" s="29"/>
      <c r="AB34" s="29"/>
      <c r="AC34" s="31"/>
      <c r="AD34" s="29"/>
      <c r="AE34" s="29"/>
      <c r="AF34" s="29"/>
      <c r="AG34" s="31"/>
      <c r="AH34" s="29"/>
      <c r="AI34" s="32">
        <f>('Table001 (Page 1-6)'!V27)*100</f>
        <v>13.969999999999999</v>
      </c>
      <c r="AJ34" s="35"/>
      <c r="AK34" s="35"/>
      <c r="AL34" s="35"/>
      <c r="AM34" s="35"/>
    </row>
    <row r="35" spans="1:39" ht="18" customHeight="1" x14ac:dyDescent="0.25">
      <c r="A35" s="8"/>
      <c r="B35" s="37">
        <f>'Table001 (Page 1-6)'!A28</f>
        <v>1230.0999999999999</v>
      </c>
      <c r="C35" s="28" t="str">
        <f>'Table001 (Page 1-6)'!B28</f>
        <v>CR 314A</v>
      </c>
      <c r="D35" s="28" t="str">
        <f>'Table001 (Page 1-6)'!C28</f>
        <v>SE 180 AV</v>
      </c>
      <c r="E35" s="28" t="str">
        <f>'Table001 (Page 1-6)'!D28</f>
        <v>SR 40</v>
      </c>
      <c r="F35" s="29">
        <f>'Table001 (Page 1-6)'!E28</f>
        <v>2</v>
      </c>
      <c r="G35" s="29">
        <f>'Table001 (Page 1-6)'!K28</f>
        <v>2</v>
      </c>
      <c r="H35" s="30" t="str">
        <f>'Table001 (Page 1-6)'!R28</f>
        <v>D</v>
      </c>
      <c r="I35" s="28" t="str">
        <f>'Table001 (Page 1-6)'!F28</f>
        <v>COLLECTOR</v>
      </c>
      <c r="J35" s="29"/>
      <c r="K35" s="29"/>
      <c r="L35" s="29">
        <f>'Table001 (Page 1-6)'!I28</f>
        <v>19170</v>
      </c>
      <c r="M35" s="29"/>
      <c r="N35" s="29">
        <f>'Table001 (Page 1-6)'!J28</f>
        <v>999</v>
      </c>
      <c r="O35" s="29">
        <f>'Table001 (Page 1-6)'!L28</f>
        <v>19170</v>
      </c>
      <c r="P35" s="29"/>
      <c r="Q35" s="29">
        <f>'Table001 (Page 1-6)'!M28</f>
        <v>999</v>
      </c>
      <c r="R35" s="29" t="str">
        <f>'Table001 (Page 1-6)'!S28</f>
        <v>4,700</v>
      </c>
      <c r="S35" s="31" t="str">
        <f>'Table001 (Page 1-6)'!T28</f>
        <v>0.25</v>
      </c>
      <c r="T35" s="29" t="str">
        <f>'Table001 (Page 1-6)'!U28</f>
        <v>B</v>
      </c>
      <c r="U35" s="29"/>
      <c r="V35" s="29"/>
      <c r="W35" s="29"/>
      <c r="X35" s="29"/>
      <c r="Y35" s="29"/>
      <c r="Z35" s="29"/>
      <c r="AA35" s="29"/>
      <c r="AB35" s="29"/>
      <c r="AC35" s="31"/>
      <c r="AD35" s="29"/>
      <c r="AE35" s="29"/>
      <c r="AF35" s="29"/>
      <c r="AG35" s="31"/>
      <c r="AH35" s="29"/>
      <c r="AI35" s="32">
        <f>('Table001 (Page 1-6)'!V28)*100</f>
        <v>1</v>
      </c>
      <c r="AJ35" s="35"/>
      <c r="AK35" s="35"/>
      <c r="AL35" s="35"/>
      <c r="AM35" s="35"/>
    </row>
    <row r="36" spans="1:39" ht="18" customHeight="1" x14ac:dyDescent="0.25">
      <c r="A36" s="8"/>
      <c r="B36" s="37">
        <f>'Table001 (Page 1-6)'!A29</f>
        <v>1240</v>
      </c>
      <c r="C36" s="28" t="str">
        <f>'Table001 (Page 1-6)'!B29</f>
        <v>CR 314A</v>
      </c>
      <c r="D36" s="28" t="str">
        <f>'Table001 (Page 1-6)'!C29</f>
        <v>SR 40</v>
      </c>
      <c r="E36" s="28" t="str">
        <f>'Table001 (Page 1-6)'!D29</f>
        <v>CR 314</v>
      </c>
      <c r="F36" s="29">
        <f>'Table001 (Page 1-6)'!E29</f>
        <v>2</v>
      </c>
      <c r="G36" s="29">
        <f>'Table001 (Page 1-6)'!K29</f>
        <v>2</v>
      </c>
      <c r="H36" s="30" t="str">
        <f>'Table001 (Page 1-6)'!R29</f>
        <v>D</v>
      </c>
      <c r="I36" s="28" t="str">
        <f>'Table001 (Page 1-6)'!F29</f>
        <v>COLLECTOR</v>
      </c>
      <c r="J36" s="29"/>
      <c r="K36" s="29"/>
      <c r="L36" s="29">
        <f>'Table001 (Page 1-6)'!I29</f>
        <v>19170</v>
      </c>
      <c r="M36" s="29"/>
      <c r="N36" s="29">
        <f>'Table001 (Page 1-6)'!J29</f>
        <v>999</v>
      </c>
      <c r="O36" s="29">
        <f>'Table001 (Page 1-6)'!L29</f>
        <v>19170</v>
      </c>
      <c r="P36" s="29"/>
      <c r="Q36" s="29">
        <f>'Table001 (Page 1-6)'!M29</f>
        <v>999</v>
      </c>
      <c r="R36" s="29" t="str">
        <f>'Table001 (Page 1-6)'!S29</f>
        <v>1,800</v>
      </c>
      <c r="S36" s="31" t="str">
        <f>'Table001 (Page 1-6)'!T29</f>
        <v>0.09</v>
      </c>
      <c r="T36" s="29" t="str">
        <f>'Table001 (Page 1-6)'!U29</f>
        <v>B</v>
      </c>
      <c r="U36" s="29"/>
      <c r="V36" s="29"/>
      <c r="W36" s="29"/>
      <c r="X36" s="29"/>
      <c r="Y36" s="29"/>
      <c r="Z36" s="29"/>
      <c r="AA36" s="29"/>
      <c r="AB36" s="29"/>
      <c r="AC36" s="31"/>
      <c r="AD36" s="29"/>
      <c r="AE36" s="29"/>
      <c r="AF36" s="29"/>
      <c r="AG36" s="31"/>
      <c r="AH36" s="29"/>
      <c r="AI36" s="32">
        <f>('Table001 (Page 1-6)'!V29)*100</f>
        <v>1</v>
      </c>
      <c r="AJ36" s="35"/>
      <c r="AK36" s="35"/>
      <c r="AL36" s="35"/>
      <c r="AM36" s="35"/>
    </row>
    <row r="37" spans="1:39" ht="18" customHeight="1" x14ac:dyDescent="0.25">
      <c r="A37" s="8"/>
      <c r="B37" s="37">
        <f>'Table001 (Page 1-6)'!A30</f>
        <v>1250.2</v>
      </c>
      <c r="C37" s="28" t="str">
        <f>'Table001 (Page 1-6)'!B30</f>
        <v>CR 315</v>
      </c>
      <c r="D37" s="28" t="str">
        <f>'Table001 (Page 1-6)'!C30</f>
        <v>CR 316</v>
      </c>
      <c r="E37" s="28" t="str">
        <f>'Table001 (Page 1-6)'!D30</f>
        <v>CR 318</v>
      </c>
      <c r="F37" s="29">
        <f>'Table001 (Page 1-6)'!E30</f>
        <v>2</v>
      </c>
      <c r="G37" s="29">
        <f>'Table001 (Page 1-6)'!K30</f>
        <v>2</v>
      </c>
      <c r="H37" s="30" t="str">
        <f>'Table001 (Page 1-6)'!R30</f>
        <v>D</v>
      </c>
      <c r="I37" s="28" t="str">
        <f>'Table001 (Page 1-6)'!F30</f>
        <v>COLLECTOR</v>
      </c>
      <c r="J37" s="29"/>
      <c r="K37" s="29"/>
      <c r="L37" s="29">
        <f>'Table001 (Page 1-6)'!I30</f>
        <v>19170</v>
      </c>
      <c r="M37" s="29"/>
      <c r="N37" s="29">
        <f>'Table001 (Page 1-6)'!J30</f>
        <v>999</v>
      </c>
      <c r="O37" s="29">
        <f>'Table001 (Page 1-6)'!L30</f>
        <v>19170</v>
      </c>
      <c r="P37" s="29"/>
      <c r="Q37" s="29">
        <f>'Table001 (Page 1-6)'!M30</f>
        <v>999</v>
      </c>
      <c r="R37" s="29" t="str">
        <f>'Table001 (Page 1-6)'!S30</f>
        <v>Not Counted</v>
      </c>
      <c r="S37" s="31" t="str">
        <f>'Table001 (Page 1-6)'!T30</f>
        <v>N/A</v>
      </c>
      <c r="T37" s="29" t="str">
        <f>'Table001 (Page 1-6)'!U30</f>
        <v>N/A</v>
      </c>
      <c r="U37" s="29"/>
      <c r="V37" s="29"/>
      <c r="W37" s="29"/>
      <c r="X37" s="29"/>
      <c r="Y37" s="29"/>
      <c r="Z37" s="29"/>
      <c r="AA37" s="29"/>
      <c r="AB37" s="29"/>
      <c r="AC37" s="31"/>
      <c r="AD37" s="29"/>
      <c r="AE37" s="29"/>
      <c r="AF37" s="29"/>
      <c r="AG37" s="31"/>
      <c r="AH37" s="29"/>
      <c r="AI37" s="32">
        <f>('Table001 (Page 1-6)'!V30)*100</f>
        <v>1</v>
      </c>
      <c r="AJ37" s="35"/>
      <c r="AK37" s="35"/>
      <c r="AL37" s="35"/>
      <c r="AM37" s="35"/>
    </row>
    <row r="38" spans="1:39" ht="18" customHeight="1" x14ac:dyDescent="0.25">
      <c r="A38" s="8"/>
      <c r="B38" s="37">
        <f>'Table001 (Page 1-6)'!A31</f>
        <v>1250.3</v>
      </c>
      <c r="C38" s="28" t="str">
        <f>'Table001 (Page 1-6)'!B31</f>
        <v>CR 315</v>
      </c>
      <c r="D38" s="28" t="str">
        <f>'Table001 (Page 1-6)'!C31</f>
        <v>SR 40</v>
      </c>
      <c r="E38" s="28" t="str">
        <f>'Table001 (Page 1-6)'!D31</f>
        <v>NE 90 ST</v>
      </c>
      <c r="F38" s="29">
        <f>'Table001 (Page 1-6)'!E31</f>
        <v>2</v>
      </c>
      <c r="G38" s="29">
        <f>'Table001 (Page 1-6)'!K31</f>
        <v>2</v>
      </c>
      <c r="H38" s="30" t="str">
        <f>'Table001 (Page 1-6)'!R31</f>
        <v>D</v>
      </c>
      <c r="I38" s="28" t="str">
        <f>'Table001 (Page 1-6)'!F31</f>
        <v>COLLECTOR</v>
      </c>
      <c r="J38" s="29"/>
      <c r="K38" s="29"/>
      <c r="L38" s="29">
        <f>'Table001 (Page 1-6)'!I31</f>
        <v>19170</v>
      </c>
      <c r="M38" s="29"/>
      <c r="N38" s="29">
        <f>'Table001 (Page 1-6)'!J31</f>
        <v>999</v>
      </c>
      <c r="O38" s="29">
        <f>'Table001 (Page 1-6)'!L31</f>
        <v>19170</v>
      </c>
      <c r="P38" s="29"/>
      <c r="Q38" s="29">
        <f>'Table001 (Page 1-6)'!M31</f>
        <v>999</v>
      </c>
      <c r="R38" s="29" t="str">
        <f>'Table001 (Page 1-6)'!S31</f>
        <v>3,800</v>
      </c>
      <c r="S38" s="31" t="str">
        <f>'Table001 (Page 1-6)'!T31</f>
        <v>0.2</v>
      </c>
      <c r="T38" s="29" t="str">
        <f>'Table001 (Page 1-6)'!U31</f>
        <v>B</v>
      </c>
      <c r="U38" s="29"/>
      <c r="V38" s="29"/>
      <c r="W38" s="29"/>
      <c r="X38" s="29"/>
      <c r="Y38" s="29"/>
      <c r="Z38" s="29"/>
      <c r="AA38" s="29"/>
      <c r="AB38" s="29"/>
      <c r="AC38" s="31"/>
      <c r="AD38" s="29"/>
      <c r="AE38" s="29"/>
      <c r="AF38" s="29"/>
      <c r="AG38" s="31"/>
      <c r="AH38" s="29"/>
      <c r="AI38" s="32">
        <f>('Table001 (Page 1-6)'!V31)*100</f>
        <v>1.0900000000000001</v>
      </c>
      <c r="AJ38" s="35"/>
      <c r="AK38" s="35"/>
      <c r="AL38" s="35"/>
      <c r="AM38" s="35"/>
    </row>
    <row r="39" spans="1:39" ht="18" customHeight="1" x14ac:dyDescent="0.25">
      <c r="A39" s="8"/>
      <c r="B39" s="37">
        <f>'Table001 (Page 1-6)'!A32</f>
        <v>1250.4000000000001</v>
      </c>
      <c r="C39" s="28" t="str">
        <f>'Table001 (Page 1-6)'!B32</f>
        <v>CR 315</v>
      </c>
      <c r="D39" s="28" t="str">
        <f>'Table001 (Page 1-6)'!C32</f>
        <v>NE 90 ST</v>
      </c>
      <c r="E39" s="28" t="str">
        <f>'Table001 (Page 1-6)'!D32</f>
        <v>CR 316</v>
      </c>
      <c r="F39" s="29">
        <f>'Table001 (Page 1-6)'!E32</f>
        <v>2</v>
      </c>
      <c r="G39" s="29">
        <f>'Table001 (Page 1-6)'!K32</f>
        <v>2</v>
      </c>
      <c r="H39" s="30" t="str">
        <f>'Table001 (Page 1-6)'!R32</f>
        <v>D</v>
      </c>
      <c r="I39" s="28" t="str">
        <f>'Table001 (Page 1-6)'!F32</f>
        <v>COLLECTOR</v>
      </c>
      <c r="J39" s="29"/>
      <c r="K39" s="29"/>
      <c r="L39" s="29">
        <f>'Table001 (Page 1-6)'!I32</f>
        <v>19170</v>
      </c>
      <c r="M39" s="29"/>
      <c r="N39" s="29">
        <f>'Table001 (Page 1-6)'!J32</f>
        <v>999</v>
      </c>
      <c r="O39" s="29">
        <f>'Table001 (Page 1-6)'!L32</f>
        <v>19170</v>
      </c>
      <c r="P39" s="29"/>
      <c r="Q39" s="29">
        <f>'Table001 (Page 1-6)'!M32</f>
        <v>999</v>
      </c>
      <c r="R39" s="29" t="str">
        <f>'Table001 (Page 1-6)'!S32</f>
        <v>4,300</v>
      </c>
      <c r="S39" s="31" t="str">
        <f>'Table001 (Page 1-6)'!T32</f>
        <v>0.22</v>
      </c>
      <c r="T39" s="29" t="str">
        <f>'Table001 (Page 1-6)'!U32</f>
        <v>B</v>
      </c>
      <c r="U39" s="29"/>
      <c r="V39" s="29"/>
      <c r="W39" s="29"/>
      <c r="X39" s="29"/>
      <c r="Y39" s="29"/>
      <c r="Z39" s="29"/>
      <c r="AA39" s="29"/>
      <c r="AB39" s="29"/>
      <c r="AC39" s="31"/>
      <c r="AD39" s="29"/>
      <c r="AE39" s="29"/>
      <c r="AF39" s="29"/>
      <c r="AG39" s="31"/>
      <c r="AH39" s="29"/>
      <c r="AI39" s="32">
        <f>('Table001 (Page 1-6)'!V32)*100</f>
        <v>1</v>
      </c>
      <c r="AJ39" s="35"/>
      <c r="AK39" s="35"/>
      <c r="AL39" s="35"/>
      <c r="AM39" s="35"/>
    </row>
    <row r="40" spans="1:39" ht="18" customHeight="1" x14ac:dyDescent="0.25">
      <c r="A40" s="8"/>
      <c r="B40" s="37">
        <f>'Table001 (Page 1-6)'!A33</f>
        <v>1260</v>
      </c>
      <c r="C40" s="28" t="str">
        <f>'Table001 (Page 1-6)'!B33</f>
        <v>CR 315</v>
      </c>
      <c r="D40" s="28" t="str">
        <f>'Table001 (Page 1-6)'!C33</f>
        <v>CR 318</v>
      </c>
      <c r="E40" s="28" t="str">
        <f>'Table001 (Page 1-6)'!D33</f>
        <v>CR 21</v>
      </c>
      <c r="F40" s="29">
        <f>'Table001 (Page 1-6)'!E33</f>
        <v>2</v>
      </c>
      <c r="G40" s="29">
        <f>'Table001 (Page 1-6)'!K33</f>
        <v>2</v>
      </c>
      <c r="H40" s="30" t="str">
        <f>'Table001 (Page 1-6)'!R33</f>
        <v>D</v>
      </c>
      <c r="I40" s="28" t="str">
        <f>'Table001 (Page 1-6)'!F33</f>
        <v>COLLECTOR</v>
      </c>
      <c r="J40" s="29"/>
      <c r="K40" s="29"/>
      <c r="L40" s="29">
        <f>'Table001 (Page 1-6)'!I33</f>
        <v>19170</v>
      </c>
      <c r="M40" s="29"/>
      <c r="N40" s="29">
        <f>'Table001 (Page 1-6)'!J33</f>
        <v>999</v>
      </c>
      <c r="O40" s="29">
        <f>'Table001 (Page 1-6)'!L33</f>
        <v>19170</v>
      </c>
      <c r="P40" s="29"/>
      <c r="Q40" s="29">
        <f>'Table001 (Page 1-6)'!M33</f>
        <v>999</v>
      </c>
      <c r="R40" s="29" t="str">
        <f>'Table001 (Page 1-6)'!S33</f>
        <v>4,700</v>
      </c>
      <c r="S40" s="31" t="str">
        <f>'Table001 (Page 1-6)'!T33</f>
        <v>0.25</v>
      </c>
      <c r="T40" s="29" t="str">
        <f>'Table001 (Page 1-6)'!U33</f>
        <v>B</v>
      </c>
      <c r="U40" s="29"/>
      <c r="V40" s="29"/>
      <c r="W40" s="29"/>
      <c r="X40" s="29"/>
      <c r="Y40" s="29"/>
      <c r="Z40" s="29"/>
      <c r="AA40" s="29"/>
      <c r="AB40" s="29"/>
      <c r="AC40" s="31"/>
      <c r="AD40" s="29"/>
      <c r="AE40" s="29"/>
      <c r="AF40" s="29"/>
      <c r="AG40" s="31"/>
      <c r="AH40" s="29"/>
      <c r="AI40" s="32">
        <f>('Table001 (Page 1-6)'!V33)*100</f>
        <v>6.58</v>
      </c>
      <c r="AJ40" s="35"/>
      <c r="AK40" s="35"/>
      <c r="AL40" s="35"/>
      <c r="AM40" s="35"/>
    </row>
    <row r="41" spans="1:39" ht="18" customHeight="1" x14ac:dyDescent="0.25">
      <c r="A41" s="8"/>
      <c r="B41" s="37">
        <f>'Table001 (Page 1-6)'!A34</f>
        <v>1270</v>
      </c>
      <c r="C41" s="28" t="str">
        <f>'Table001 (Page 1-6)'!B34</f>
        <v>CR 315</v>
      </c>
      <c r="D41" s="28" t="str">
        <f>'Table001 (Page 1-6)'!C34</f>
        <v>CR 21</v>
      </c>
      <c r="E41" s="28" t="str">
        <f>'Table001 (Page 1-6)'!D34</f>
        <v>COUNTY LINE</v>
      </c>
      <c r="F41" s="29">
        <f>'Table001 (Page 1-6)'!E34</f>
        <v>2</v>
      </c>
      <c r="G41" s="29">
        <f>'Table001 (Page 1-6)'!K34</f>
        <v>2</v>
      </c>
      <c r="H41" s="30" t="str">
        <f>'Table001 (Page 1-6)'!R34</f>
        <v>D</v>
      </c>
      <c r="I41" s="28" t="str">
        <f>'Table001 (Page 1-6)'!F34</f>
        <v>COLLECTOR</v>
      </c>
      <c r="J41" s="29"/>
      <c r="K41" s="29"/>
      <c r="L41" s="29">
        <f>'Table001 (Page 1-6)'!I34</f>
        <v>19170</v>
      </c>
      <c r="M41" s="29"/>
      <c r="N41" s="29">
        <f>'Table001 (Page 1-6)'!J34</f>
        <v>999</v>
      </c>
      <c r="O41" s="29">
        <f>'Table001 (Page 1-6)'!L34</f>
        <v>19170</v>
      </c>
      <c r="P41" s="29"/>
      <c r="Q41" s="29">
        <f>'Table001 (Page 1-6)'!M34</f>
        <v>999</v>
      </c>
      <c r="R41" s="29" t="str">
        <f>'Table001 (Page 1-6)'!S34</f>
        <v>4,700</v>
      </c>
      <c r="S41" s="31" t="str">
        <f>'Table001 (Page 1-6)'!T34</f>
        <v>0.25</v>
      </c>
      <c r="T41" s="29" t="str">
        <f>'Table001 (Page 1-6)'!U34</f>
        <v>B</v>
      </c>
      <c r="U41" s="29"/>
      <c r="V41" s="29"/>
      <c r="W41" s="29"/>
      <c r="X41" s="29"/>
      <c r="Y41" s="29"/>
      <c r="Z41" s="29"/>
      <c r="AA41" s="29"/>
      <c r="AB41" s="29"/>
      <c r="AC41" s="31"/>
      <c r="AD41" s="29"/>
      <c r="AE41" s="29"/>
      <c r="AF41" s="29"/>
      <c r="AG41" s="31"/>
      <c r="AH41" s="29"/>
      <c r="AI41" s="32">
        <f>('Table001 (Page 1-6)'!V34)*100</f>
        <v>6.58</v>
      </c>
      <c r="AJ41" s="35"/>
      <c r="AK41" s="35"/>
      <c r="AL41" s="35"/>
      <c r="AM41" s="35"/>
    </row>
    <row r="42" spans="1:39" ht="18" customHeight="1" x14ac:dyDescent="0.25">
      <c r="A42" s="8"/>
      <c r="B42" s="37">
        <f>'Table001 (Page 1-6)'!A35</f>
        <v>1280.0999999999999</v>
      </c>
      <c r="C42" s="28" t="str">
        <f>'Table001 (Page 1-6)'!B35</f>
        <v>CR 316</v>
      </c>
      <c r="D42" s="28" t="str">
        <f>'Table001 (Page 1-6)'!C35</f>
        <v>US 27</v>
      </c>
      <c r="E42" s="28" t="str">
        <f>'Table001 (Page 1-6)'!D35</f>
        <v>CR 329</v>
      </c>
      <c r="F42" s="29">
        <f>'Table001 (Page 1-6)'!E35</f>
        <v>2</v>
      </c>
      <c r="G42" s="29">
        <f>'Table001 (Page 1-6)'!K35</f>
        <v>2</v>
      </c>
      <c r="H42" s="30" t="str">
        <f>'Table001 (Page 1-6)'!R35</f>
        <v>B</v>
      </c>
      <c r="I42" s="28" t="str">
        <f>'Table001 (Page 1-6)'!F35</f>
        <v>COLLECTOR</v>
      </c>
      <c r="J42" s="29"/>
      <c r="K42" s="29"/>
      <c r="L42" s="29">
        <f>'Table001 (Page 1-6)'!I35</f>
        <v>9270</v>
      </c>
      <c r="M42" s="29"/>
      <c r="N42" s="29">
        <f>'Table001 (Page 1-6)'!J35</f>
        <v>486</v>
      </c>
      <c r="O42" s="29">
        <f>'Table001 (Page 1-6)'!L35</f>
        <v>9270</v>
      </c>
      <c r="P42" s="29"/>
      <c r="Q42" s="29">
        <f>'Table001 (Page 1-6)'!M35</f>
        <v>486</v>
      </c>
      <c r="R42" s="29" t="str">
        <f>'Table001 (Page 1-6)'!S35</f>
        <v>1,100</v>
      </c>
      <c r="S42" s="31" t="str">
        <f>'Table001 (Page 1-6)'!T35</f>
        <v>0.12</v>
      </c>
      <c r="T42" s="29" t="str">
        <f>'Table001 (Page 1-6)'!U35</f>
        <v>B</v>
      </c>
      <c r="U42" s="29"/>
      <c r="V42" s="29"/>
      <c r="W42" s="29"/>
      <c r="X42" s="29"/>
      <c r="Y42" s="29"/>
      <c r="Z42" s="29"/>
      <c r="AA42" s="29"/>
      <c r="AB42" s="29"/>
      <c r="AC42" s="31"/>
      <c r="AD42" s="29"/>
      <c r="AE42" s="29"/>
      <c r="AF42" s="29"/>
      <c r="AG42" s="31"/>
      <c r="AH42" s="29"/>
      <c r="AI42" s="32">
        <f>('Table001 (Page 1-6)'!V35)*100</f>
        <v>1</v>
      </c>
      <c r="AJ42" s="35"/>
      <c r="AK42" s="35"/>
      <c r="AL42" s="35"/>
      <c r="AM42" s="35"/>
    </row>
    <row r="43" spans="1:39" ht="18" customHeight="1" x14ac:dyDescent="0.25">
      <c r="A43" s="8"/>
      <c r="B43" s="37">
        <f>'Table001 (Page 1-6)'!A36</f>
        <v>1280.2</v>
      </c>
      <c r="C43" s="28" t="str">
        <f>'Table001 (Page 1-6)'!B36</f>
        <v>CR 316</v>
      </c>
      <c r="D43" s="28" t="str">
        <f>'Table001 (Page 1-6)'!C36</f>
        <v>E OF CR 225</v>
      </c>
      <c r="E43" s="28" t="str">
        <f>'Table001 (Page 1-6)'!D36</f>
        <v>I-75</v>
      </c>
      <c r="F43" s="29">
        <f>'Table001 (Page 1-6)'!E36</f>
        <v>2</v>
      </c>
      <c r="G43" s="29">
        <f>'Table001 (Page 1-6)'!K36</f>
        <v>2</v>
      </c>
      <c r="H43" s="30" t="str">
        <f>'Table001 (Page 1-6)'!R36</f>
        <v>B</v>
      </c>
      <c r="I43" s="28" t="str">
        <f>'Table001 (Page 1-6)'!F36</f>
        <v>COLLECTOR</v>
      </c>
      <c r="J43" s="29"/>
      <c r="K43" s="29"/>
      <c r="L43" s="29">
        <f>'Table001 (Page 1-6)'!I36</f>
        <v>9270</v>
      </c>
      <c r="M43" s="29"/>
      <c r="N43" s="29">
        <f>'Table001 (Page 1-6)'!J36</f>
        <v>486</v>
      </c>
      <c r="O43" s="29">
        <f>'Table001 (Page 1-6)'!L36</f>
        <v>9270</v>
      </c>
      <c r="P43" s="29"/>
      <c r="Q43" s="29">
        <f>'Table001 (Page 1-6)'!M36</f>
        <v>486</v>
      </c>
      <c r="R43" s="29" t="str">
        <f>'Table001 (Page 1-6)'!S36</f>
        <v>Not Counted</v>
      </c>
      <c r="S43" s="31" t="str">
        <f>'Table001 (Page 1-6)'!T36</f>
        <v>N/A</v>
      </c>
      <c r="T43" s="29" t="str">
        <f>'Table001 (Page 1-6)'!U36</f>
        <v>N/A</v>
      </c>
      <c r="U43" s="29"/>
      <c r="V43" s="29"/>
      <c r="W43" s="29"/>
      <c r="X43" s="29"/>
      <c r="Y43" s="29"/>
      <c r="Z43" s="29"/>
      <c r="AA43" s="29"/>
      <c r="AB43" s="29"/>
      <c r="AC43" s="31"/>
      <c r="AD43" s="29"/>
      <c r="AE43" s="29"/>
      <c r="AF43" s="29"/>
      <c r="AG43" s="31"/>
      <c r="AH43" s="29"/>
      <c r="AI43" s="32">
        <f>('Table001 (Page 1-6)'!V36)*100</f>
        <v>1</v>
      </c>
      <c r="AJ43" s="35"/>
      <c r="AK43" s="35"/>
      <c r="AL43" s="35"/>
      <c r="AM43" s="35"/>
    </row>
    <row r="44" spans="1:39" ht="18" customHeight="1" x14ac:dyDescent="0.25">
      <c r="A44" s="8"/>
      <c r="B44" s="37">
        <f>'Table001 (Page 1-6)'!A37</f>
        <v>1280.3</v>
      </c>
      <c r="C44" s="28" t="str">
        <f>'Table001 (Page 1-6)'!B37</f>
        <v>CR 316</v>
      </c>
      <c r="D44" s="28" t="str">
        <f>'Table001 (Page 1-6)'!C37</f>
        <v>CR 329</v>
      </c>
      <c r="E44" s="28" t="str">
        <f>'Table001 (Page 1-6)'!D37</f>
        <v>E OF CR 225</v>
      </c>
      <c r="F44" s="29">
        <f>'Table001 (Page 1-6)'!E37</f>
        <v>2</v>
      </c>
      <c r="G44" s="29">
        <f>'Table001 (Page 1-6)'!K37</f>
        <v>2</v>
      </c>
      <c r="H44" s="30" t="str">
        <f>'Table001 (Page 1-6)'!R37</f>
        <v>B</v>
      </c>
      <c r="I44" s="28" t="str">
        <f>'Table001 (Page 1-6)'!F37</f>
        <v>COLLECTOR</v>
      </c>
      <c r="J44" s="29"/>
      <c r="K44" s="29"/>
      <c r="L44" s="29">
        <f>'Table001 (Page 1-6)'!I37</f>
        <v>9270</v>
      </c>
      <c r="M44" s="29"/>
      <c r="N44" s="29">
        <f>'Table001 (Page 1-6)'!J37</f>
        <v>486</v>
      </c>
      <c r="O44" s="29">
        <f>'Table001 (Page 1-6)'!L37</f>
        <v>9270</v>
      </c>
      <c r="P44" s="29"/>
      <c r="Q44" s="29">
        <f>'Table001 (Page 1-6)'!M37</f>
        <v>486</v>
      </c>
      <c r="R44" s="29" t="str">
        <f>'Table001 (Page 1-6)'!S37</f>
        <v>700</v>
      </c>
      <c r="S44" s="31" t="str">
        <f>'Table001 (Page 1-6)'!T37</f>
        <v>0.08</v>
      </c>
      <c r="T44" s="29" t="str">
        <f>'Table001 (Page 1-6)'!U37</f>
        <v>B</v>
      </c>
      <c r="U44" s="29"/>
      <c r="V44" s="29"/>
      <c r="W44" s="29"/>
      <c r="X44" s="29"/>
      <c r="Y44" s="29"/>
      <c r="Z44" s="29"/>
      <c r="AA44" s="29"/>
      <c r="AB44" s="29"/>
      <c r="AC44" s="31"/>
      <c r="AD44" s="29"/>
      <c r="AE44" s="29"/>
      <c r="AF44" s="29"/>
      <c r="AG44" s="31"/>
      <c r="AH44" s="29"/>
      <c r="AI44" s="32">
        <f>('Table001 (Page 1-6)'!V37)*100</f>
        <v>1</v>
      </c>
      <c r="AJ44" s="35"/>
      <c r="AK44" s="35"/>
      <c r="AL44" s="35"/>
      <c r="AM44" s="35"/>
    </row>
    <row r="45" spans="1:39" ht="18" customHeight="1" x14ac:dyDescent="0.25">
      <c r="A45" s="8"/>
      <c r="B45" s="37">
        <f>'Table001 (Page 1-6)'!A38</f>
        <v>1280.4000000000001</v>
      </c>
      <c r="C45" s="28" t="str">
        <f>'Table001 (Page 1-6)'!B38</f>
        <v>CR 316</v>
      </c>
      <c r="D45" s="28" t="str">
        <f>'Table001 (Page 1-6)'!C38</f>
        <v>I-75</v>
      </c>
      <c r="E45" s="28" t="str">
        <f>'Table001 (Page 1-6)'!D38</f>
        <v>CR 25A</v>
      </c>
      <c r="F45" s="29">
        <f>'Table001 (Page 1-6)'!E38</f>
        <v>2</v>
      </c>
      <c r="G45" s="29">
        <f>'Table001 (Page 1-6)'!K38</f>
        <v>2</v>
      </c>
      <c r="H45" s="30" t="str">
        <f>'Table001 (Page 1-6)'!R38</f>
        <v>B</v>
      </c>
      <c r="I45" s="28" t="str">
        <f>'Table001 (Page 1-6)'!F38</f>
        <v>COLLECTOR</v>
      </c>
      <c r="J45" s="29"/>
      <c r="K45" s="29"/>
      <c r="L45" s="29">
        <f>'Table001 (Page 1-6)'!I38</f>
        <v>9270</v>
      </c>
      <c r="M45" s="29"/>
      <c r="N45" s="29">
        <f>'Table001 (Page 1-6)'!J38</f>
        <v>486</v>
      </c>
      <c r="O45" s="29">
        <f>'Table001 (Page 1-6)'!L38</f>
        <v>9270</v>
      </c>
      <c r="P45" s="29"/>
      <c r="Q45" s="29">
        <f>'Table001 (Page 1-6)'!M38</f>
        <v>486</v>
      </c>
      <c r="R45" s="29" t="str">
        <f>'Table001 (Page 1-6)'!S38</f>
        <v>Not Counted</v>
      </c>
      <c r="S45" s="31" t="str">
        <f>'Table001 (Page 1-6)'!T38</f>
        <v>N/A</v>
      </c>
      <c r="T45" s="29" t="str">
        <f>'Table001 (Page 1-6)'!U38</f>
        <v>N/A</v>
      </c>
      <c r="U45" s="29"/>
      <c r="V45" s="29"/>
      <c r="W45" s="29"/>
      <c r="X45" s="29"/>
      <c r="Y45" s="29"/>
      <c r="Z45" s="29"/>
      <c r="AA45" s="29"/>
      <c r="AB45" s="29"/>
      <c r="AC45" s="31"/>
      <c r="AD45" s="29"/>
      <c r="AE45" s="29"/>
      <c r="AF45" s="29"/>
      <c r="AG45" s="31"/>
      <c r="AH45" s="29"/>
      <c r="AI45" s="32">
        <f>('Table001 (Page 1-6)'!V38)*100</f>
        <v>1</v>
      </c>
      <c r="AJ45" s="35"/>
      <c r="AK45" s="35"/>
      <c r="AL45" s="35"/>
      <c r="AM45" s="35"/>
    </row>
    <row r="46" spans="1:39" ht="18" customHeight="1" x14ac:dyDescent="0.25">
      <c r="A46" s="8"/>
      <c r="B46" s="37">
        <f>'Table001 (Page 1-6)'!A39</f>
        <v>1290.0999999999999</v>
      </c>
      <c r="C46" s="28" t="str">
        <f>'Table001 (Page 1-6)'!B39</f>
        <v>CR 316</v>
      </c>
      <c r="D46" s="28" t="str">
        <f>'Table001 (Page 1-6)'!C39</f>
        <v>CR 25A</v>
      </c>
      <c r="E46" s="28" t="str">
        <f>'Table001 (Page 1-6)'!D39</f>
        <v>NW 38TH AVE</v>
      </c>
      <c r="F46" s="29">
        <f>'Table001 (Page 1-6)'!E39</f>
        <v>2</v>
      </c>
      <c r="G46" s="29">
        <f>'Table001 (Page 1-6)'!K39</f>
        <v>2</v>
      </c>
      <c r="H46" s="30" t="str">
        <f>'Table001 (Page 1-6)'!R39</f>
        <v>B</v>
      </c>
      <c r="I46" s="28" t="str">
        <f>'Table001 (Page 1-6)'!F39</f>
        <v>COLLECTOR</v>
      </c>
      <c r="J46" s="29"/>
      <c r="K46" s="29"/>
      <c r="L46" s="29">
        <f>'Table001 (Page 1-6)'!I39</f>
        <v>9270</v>
      </c>
      <c r="M46" s="29"/>
      <c r="N46" s="29">
        <f>'Table001 (Page 1-6)'!J39</f>
        <v>486</v>
      </c>
      <c r="O46" s="29">
        <f>'Table001 (Page 1-6)'!L39</f>
        <v>9270</v>
      </c>
      <c r="P46" s="29"/>
      <c r="Q46" s="29">
        <f>'Table001 (Page 1-6)'!M39</f>
        <v>486</v>
      </c>
      <c r="R46" s="29" t="str">
        <f>'Table001 (Page 1-6)'!S39</f>
        <v>1,300</v>
      </c>
      <c r="S46" s="31" t="str">
        <f>'Table001 (Page 1-6)'!T39</f>
        <v>0.14</v>
      </c>
      <c r="T46" s="29" t="str">
        <f>'Table001 (Page 1-6)'!U39</f>
        <v>B</v>
      </c>
      <c r="U46" s="29"/>
      <c r="V46" s="29"/>
      <c r="W46" s="29"/>
      <c r="X46" s="29"/>
      <c r="Y46" s="29"/>
      <c r="Z46" s="29"/>
      <c r="AA46" s="29"/>
      <c r="AB46" s="29"/>
      <c r="AC46" s="31"/>
      <c r="AD46" s="29"/>
      <c r="AE46" s="29"/>
      <c r="AF46" s="29"/>
      <c r="AG46" s="31"/>
      <c r="AH46" s="29"/>
      <c r="AI46" s="32">
        <f>('Table001 (Page 1-6)'!V39)*100</f>
        <v>1</v>
      </c>
      <c r="AJ46" s="35"/>
      <c r="AK46" s="35"/>
      <c r="AL46" s="35"/>
      <c r="AM46" s="35"/>
    </row>
    <row r="47" spans="1:39" ht="18" customHeight="1" x14ac:dyDescent="0.25">
      <c r="A47" s="8"/>
      <c r="B47" s="37">
        <f>'Table001 (Page 1-6)'!A40</f>
        <v>1290.3</v>
      </c>
      <c r="C47" s="28" t="str">
        <f>'Table001 (Page 1-6)'!B40</f>
        <v>CR 316</v>
      </c>
      <c r="D47" s="28" t="str">
        <f>'Table001 (Page 1-6)'!C40</f>
        <v>NW 38TH AVE</v>
      </c>
      <c r="E47" s="28" t="str">
        <f>'Table001 (Page 1-6)'!D40</f>
        <v>US 441</v>
      </c>
      <c r="F47" s="29">
        <f>'Table001 (Page 1-6)'!E40</f>
        <v>2</v>
      </c>
      <c r="G47" s="29">
        <f>'Table001 (Page 1-6)'!K40</f>
        <v>2</v>
      </c>
      <c r="H47" s="30" t="str">
        <f>'Table001 (Page 1-6)'!R40</f>
        <v>B</v>
      </c>
      <c r="I47" s="28" t="str">
        <f>'Table001 (Page 1-6)'!F40</f>
        <v>COLLECTOR</v>
      </c>
      <c r="J47" s="29"/>
      <c r="K47" s="29"/>
      <c r="L47" s="29">
        <f>'Table001 (Page 1-6)'!I40</f>
        <v>9270</v>
      </c>
      <c r="M47" s="29"/>
      <c r="N47" s="29">
        <f>'Table001 (Page 1-6)'!J40</f>
        <v>486</v>
      </c>
      <c r="O47" s="29">
        <f>'Table001 (Page 1-6)'!L40</f>
        <v>9270</v>
      </c>
      <c r="P47" s="29"/>
      <c r="Q47" s="29">
        <f>'Table001 (Page 1-6)'!M40</f>
        <v>486</v>
      </c>
      <c r="R47" s="29" t="str">
        <f>'Table001 (Page 1-6)'!S40</f>
        <v>1,300</v>
      </c>
      <c r="S47" s="31" t="str">
        <f>'Table001 (Page 1-6)'!T40</f>
        <v>0.14</v>
      </c>
      <c r="T47" s="29" t="str">
        <f>'Table001 (Page 1-6)'!U40</f>
        <v>B</v>
      </c>
      <c r="U47" s="29"/>
      <c r="V47" s="29"/>
      <c r="W47" s="29"/>
      <c r="X47" s="29"/>
      <c r="Y47" s="29"/>
      <c r="Z47" s="29"/>
      <c r="AA47" s="29"/>
      <c r="AB47" s="29"/>
      <c r="AC47" s="31"/>
      <c r="AD47" s="29"/>
      <c r="AE47" s="29"/>
      <c r="AF47" s="29"/>
      <c r="AG47" s="31"/>
      <c r="AH47" s="29"/>
      <c r="AI47" s="32">
        <f>('Table001 (Page 1-6)'!V40)*100</f>
        <v>1</v>
      </c>
      <c r="AJ47" s="35"/>
      <c r="AK47" s="35"/>
      <c r="AL47" s="35"/>
      <c r="AM47" s="35"/>
    </row>
    <row r="48" spans="1:39" ht="18" customHeight="1" x14ac:dyDescent="0.25">
      <c r="A48" s="8"/>
      <c r="B48" s="37">
        <f>'Table001 (Page 1-6)'!A41</f>
        <v>1290.4000000000001</v>
      </c>
      <c r="C48" s="28" t="str">
        <f>'Table001 (Page 1-6)'!B41</f>
        <v>CR 316</v>
      </c>
      <c r="D48" s="28" t="str">
        <f>'Table001 (Page 1-6)'!C41</f>
        <v>US 441</v>
      </c>
      <c r="E48" s="28" t="str">
        <f>'Table001 (Page 1-6)'!D41</f>
        <v>JACKSONVILLE RD</v>
      </c>
      <c r="F48" s="29">
        <f>'Table001 (Page 1-6)'!E41</f>
        <v>2</v>
      </c>
      <c r="G48" s="29">
        <f>'Table001 (Page 1-6)'!K41</f>
        <v>2</v>
      </c>
      <c r="H48" s="30" t="str">
        <f>'Table001 (Page 1-6)'!R41</f>
        <v>B</v>
      </c>
      <c r="I48" s="28" t="str">
        <f>'Table001 (Page 1-6)'!F41</f>
        <v>COLLECTOR</v>
      </c>
      <c r="J48" s="29"/>
      <c r="K48" s="29"/>
      <c r="L48" s="29">
        <f>'Table001 (Page 1-6)'!I41</f>
        <v>9270</v>
      </c>
      <c r="M48" s="29"/>
      <c r="N48" s="29">
        <f>'Table001 (Page 1-6)'!J41</f>
        <v>486</v>
      </c>
      <c r="O48" s="29">
        <f>'Table001 (Page 1-6)'!L41</f>
        <v>9270</v>
      </c>
      <c r="P48" s="29"/>
      <c r="Q48" s="29">
        <f>'Table001 (Page 1-6)'!M41</f>
        <v>486</v>
      </c>
      <c r="R48" s="29" t="str">
        <f>'Table001 (Page 1-6)'!S41</f>
        <v>Not Counted</v>
      </c>
      <c r="S48" s="31" t="str">
        <f>'Table001 (Page 1-6)'!T41</f>
        <v>N/A</v>
      </c>
      <c r="T48" s="29" t="str">
        <f>'Table001 (Page 1-6)'!U41</f>
        <v>N/A</v>
      </c>
      <c r="U48" s="29"/>
      <c r="V48" s="29"/>
      <c r="W48" s="29"/>
      <c r="X48" s="29"/>
      <c r="Y48" s="29"/>
      <c r="Z48" s="29"/>
      <c r="AA48" s="29"/>
      <c r="AB48" s="29"/>
      <c r="AC48" s="31"/>
      <c r="AD48" s="29"/>
      <c r="AE48" s="29"/>
      <c r="AF48" s="29"/>
      <c r="AG48" s="31"/>
      <c r="AH48" s="29"/>
      <c r="AI48" s="32">
        <f>('Table001 (Page 1-6)'!V41)*100</f>
        <v>1</v>
      </c>
      <c r="AJ48" s="35"/>
      <c r="AK48" s="35"/>
      <c r="AL48" s="35"/>
      <c r="AM48" s="35"/>
    </row>
    <row r="49" spans="1:39" ht="18" customHeight="1" x14ac:dyDescent="0.25">
      <c r="A49" s="8"/>
      <c r="B49" s="37">
        <f>'Table001 (Page 1-6)'!A42</f>
        <v>1300.0999999999999</v>
      </c>
      <c r="C49" s="28" t="str">
        <f>'Table001 (Page 1-6)'!B42</f>
        <v>CR 316</v>
      </c>
      <c r="D49" s="28" t="str">
        <f>'Table001 (Page 1-6)'!C42</f>
        <v>JACKSONVILLE RD</v>
      </c>
      <c r="E49" s="28" t="str">
        <f>'Table001 (Page 1-6)'!D42</f>
        <v>NE 110TH AVE RD</v>
      </c>
      <c r="F49" s="29">
        <f>'Table001 (Page 1-6)'!E42</f>
        <v>2</v>
      </c>
      <c r="G49" s="29">
        <f>'Table001 (Page 1-6)'!K42</f>
        <v>2</v>
      </c>
      <c r="H49" s="30" t="str">
        <f>'Table001 (Page 1-6)'!R42</f>
        <v>D</v>
      </c>
      <c r="I49" s="28" t="str">
        <f>'Table001 (Page 1-6)'!F42</f>
        <v>COLLECTOR</v>
      </c>
      <c r="J49" s="29"/>
      <c r="K49" s="29"/>
      <c r="L49" s="29">
        <f>'Table001 (Page 1-6)'!I42</f>
        <v>19170</v>
      </c>
      <c r="M49" s="29"/>
      <c r="N49" s="29">
        <f>'Table001 (Page 1-6)'!J42</f>
        <v>999</v>
      </c>
      <c r="O49" s="29">
        <f>'Table001 (Page 1-6)'!L42</f>
        <v>19170</v>
      </c>
      <c r="P49" s="29"/>
      <c r="Q49" s="29">
        <f>'Table001 (Page 1-6)'!M42</f>
        <v>999</v>
      </c>
      <c r="R49" s="29" t="str">
        <f>'Table001 (Page 1-6)'!S42</f>
        <v>2,300</v>
      </c>
      <c r="S49" s="31" t="str">
        <f>'Table001 (Page 1-6)'!T42</f>
        <v>0.12</v>
      </c>
      <c r="T49" s="29" t="str">
        <f>'Table001 (Page 1-6)'!U42</f>
        <v>B</v>
      </c>
      <c r="U49" s="29"/>
      <c r="V49" s="29"/>
      <c r="W49" s="29"/>
      <c r="X49" s="29"/>
      <c r="Y49" s="29"/>
      <c r="Z49" s="29"/>
      <c r="AA49" s="29"/>
      <c r="AB49" s="29"/>
      <c r="AC49" s="31"/>
      <c r="AD49" s="29"/>
      <c r="AE49" s="29"/>
      <c r="AF49" s="29"/>
      <c r="AG49" s="31"/>
      <c r="AH49" s="29"/>
      <c r="AI49" s="32">
        <f>('Table001 (Page 1-6)'!V42)*100</f>
        <v>1</v>
      </c>
      <c r="AJ49" s="35"/>
      <c r="AK49" s="35"/>
      <c r="AL49" s="35"/>
      <c r="AM49" s="35"/>
    </row>
    <row r="50" spans="1:39" ht="18" customHeight="1" x14ac:dyDescent="0.25">
      <c r="A50" s="8"/>
      <c r="B50" s="37">
        <f>'Table001 (Page 1-6)'!A43</f>
        <v>1300.2</v>
      </c>
      <c r="C50" s="28" t="str">
        <f>'Table001 (Page 1-6)'!B43</f>
        <v>CR 316</v>
      </c>
      <c r="D50" s="28" t="str">
        <f>'Table001 (Page 1-6)'!C43</f>
        <v>NE 110TH AVE RD</v>
      </c>
      <c r="E50" s="28" t="str">
        <f>'Table001 (Page 1-6)'!D43</f>
        <v>CR 315</v>
      </c>
      <c r="F50" s="29">
        <f>'Table001 (Page 1-6)'!E43</f>
        <v>2</v>
      </c>
      <c r="G50" s="29">
        <f>'Table001 (Page 1-6)'!K43</f>
        <v>2</v>
      </c>
      <c r="H50" s="30" t="str">
        <f>'Table001 (Page 1-6)'!R43</f>
        <v>D</v>
      </c>
      <c r="I50" s="28" t="str">
        <f>'Table001 (Page 1-6)'!F43</f>
        <v>COLLECTOR</v>
      </c>
      <c r="J50" s="29"/>
      <c r="K50" s="29"/>
      <c r="L50" s="29">
        <f>'Table001 (Page 1-6)'!I43</f>
        <v>19170</v>
      </c>
      <c r="M50" s="29"/>
      <c r="N50" s="29">
        <f>'Table001 (Page 1-6)'!J43</f>
        <v>999</v>
      </c>
      <c r="O50" s="29">
        <f>'Table001 (Page 1-6)'!L43</f>
        <v>19170</v>
      </c>
      <c r="P50" s="29"/>
      <c r="Q50" s="29">
        <f>'Table001 (Page 1-6)'!M43</f>
        <v>999</v>
      </c>
      <c r="R50" s="29" t="str">
        <f>'Table001 (Page 1-6)'!S43</f>
        <v>2,800</v>
      </c>
      <c r="S50" s="31" t="str">
        <f>'Table001 (Page 1-6)'!T43</f>
        <v>0.15</v>
      </c>
      <c r="T50" s="29" t="str">
        <f>'Table001 (Page 1-6)'!U43</f>
        <v>B</v>
      </c>
      <c r="U50" s="29"/>
      <c r="V50" s="29"/>
      <c r="W50" s="29"/>
      <c r="X50" s="29"/>
      <c r="Y50" s="29"/>
      <c r="Z50" s="29"/>
      <c r="AA50" s="29"/>
      <c r="AB50" s="29"/>
      <c r="AC50" s="31"/>
      <c r="AD50" s="29"/>
      <c r="AE50" s="29"/>
      <c r="AF50" s="29"/>
      <c r="AG50" s="31"/>
      <c r="AH50" s="29"/>
      <c r="AI50" s="32">
        <f>('Table001 (Page 1-6)'!V43)*100</f>
        <v>1.22</v>
      </c>
      <c r="AJ50" s="35"/>
      <c r="AK50" s="35"/>
      <c r="AL50" s="35"/>
      <c r="AM50" s="35"/>
    </row>
    <row r="51" spans="1:39" ht="18" customHeight="1" x14ac:dyDescent="0.25">
      <c r="A51" s="8"/>
      <c r="B51" s="37">
        <f>'Table001 (Page 1-6)'!A44</f>
        <v>1310.0999999999999</v>
      </c>
      <c r="C51" s="28" t="str">
        <f>'Table001 (Page 1-6)'!B44</f>
        <v>CR 316</v>
      </c>
      <c r="D51" s="28" t="str">
        <f>'Table001 (Page 1-6)'!C44</f>
        <v>CR 315</v>
      </c>
      <c r="E51" s="28" t="str">
        <f>'Table001 (Page 1-6)'!D44</f>
        <v>NE 203 AV</v>
      </c>
      <c r="F51" s="29">
        <f>'Table001 (Page 1-6)'!E44</f>
        <v>2</v>
      </c>
      <c r="G51" s="29">
        <f>'Table001 (Page 1-6)'!K44</f>
        <v>2</v>
      </c>
      <c r="H51" s="30" t="str">
        <f>'Table001 (Page 1-6)'!R44</f>
        <v>D</v>
      </c>
      <c r="I51" s="28" t="str">
        <f>'Table001 (Page 1-6)'!F44</f>
        <v>COLLECTOR</v>
      </c>
      <c r="J51" s="29"/>
      <c r="K51" s="29"/>
      <c r="L51" s="29">
        <f>'Table001 (Page 1-6)'!I44</f>
        <v>19170</v>
      </c>
      <c r="M51" s="29"/>
      <c r="N51" s="29">
        <f>'Table001 (Page 1-6)'!J44</f>
        <v>999</v>
      </c>
      <c r="O51" s="29">
        <f>'Table001 (Page 1-6)'!L44</f>
        <v>19170</v>
      </c>
      <c r="P51" s="29"/>
      <c r="Q51" s="29">
        <f>'Table001 (Page 1-6)'!M44</f>
        <v>999</v>
      </c>
      <c r="R51" s="29" t="str">
        <f>'Table001 (Page 1-6)'!S44</f>
        <v>4,600</v>
      </c>
      <c r="S51" s="31" t="str">
        <f>'Table001 (Page 1-6)'!T44</f>
        <v>0.24</v>
      </c>
      <c r="T51" s="29" t="str">
        <f>'Table001 (Page 1-6)'!U44</f>
        <v>B</v>
      </c>
      <c r="U51" s="29"/>
      <c r="V51" s="29"/>
      <c r="W51" s="29"/>
      <c r="X51" s="29"/>
      <c r="Y51" s="29"/>
      <c r="Z51" s="29"/>
      <c r="AA51" s="29"/>
      <c r="AB51" s="29"/>
      <c r="AC51" s="31"/>
      <c r="AD51" s="29"/>
      <c r="AE51" s="29"/>
      <c r="AF51" s="29"/>
      <c r="AG51" s="31"/>
      <c r="AH51" s="29"/>
      <c r="AI51" s="32">
        <f>('Table001 (Page 1-6)'!V44)*100</f>
        <v>7.4700000000000006</v>
      </c>
      <c r="AJ51" s="35"/>
      <c r="AK51" s="35"/>
      <c r="AL51" s="35"/>
      <c r="AM51" s="35"/>
    </row>
    <row r="52" spans="1:39" ht="18" customHeight="1" x14ac:dyDescent="0.25">
      <c r="A52" s="8"/>
      <c r="B52" s="37">
        <f>'Table001 (Page 1-6)'!A45</f>
        <v>1320.1</v>
      </c>
      <c r="C52" s="28" t="str">
        <f>'Table001 (Page 1-6)'!B45</f>
        <v>CR 316</v>
      </c>
      <c r="D52" s="28" t="str">
        <f>'Table001 (Page 1-6)'!C45</f>
        <v>NE 203 AV</v>
      </c>
      <c r="E52" s="28" t="str">
        <f>'Table001 (Page 1-6)'!D45</f>
        <v>SR 19</v>
      </c>
      <c r="F52" s="29">
        <f>'Table001 (Page 1-6)'!E45</f>
        <v>2</v>
      </c>
      <c r="G52" s="29">
        <f>'Table001 (Page 1-6)'!K45</f>
        <v>2</v>
      </c>
      <c r="H52" s="30" t="str">
        <f>'Table001 (Page 1-6)'!R45</f>
        <v>D</v>
      </c>
      <c r="I52" s="28" t="str">
        <f>'Table001 (Page 1-6)'!F45</f>
        <v>COLLECTOR</v>
      </c>
      <c r="J52" s="29"/>
      <c r="K52" s="29"/>
      <c r="L52" s="29">
        <f>'Table001 (Page 1-6)'!I45</f>
        <v>19170</v>
      </c>
      <c r="M52" s="29"/>
      <c r="N52" s="29">
        <f>'Table001 (Page 1-6)'!J45</f>
        <v>999</v>
      </c>
      <c r="O52" s="29">
        <f>'Table001 (Page 1-6)'!L45</f>
        <v>19170</v>
      </c>
      <c r="P52" s="29"/>
      <c r="Q52" s="29">
        <f>'Table001 (Page 1-6)'!M45</f>
        <v>999</v>
      </c>
      <c r="R52" s="29" t="str">
        <f>'Table001 (Page 1-6)'!S45</f>
        <v>1,800</v>
      </c>
      <c r="S52" s="31" t="str">
        <f>'Table001 (Page 1-6)'!T45</f>
        <v>0.09</v>
      </c>
      <c r="T52" s="29" t="str">
        <f>'Table001 (Page 1-6)'!U45</f>
        <v>B</v>
      </c>
      <c r="U52" s="29"/>
      <c r="V52" s="29"/>
      <c r="W52" s="29"/>
      <c r="X52" s="29"/>
      <c r="Y52" s="29"/>
      <c r="Z52" s="29"/>
      <c r="AA52" s="29"/>
      <c r="AB52" s="29"/>
      <c r="AC52" s="31"/>
      <c r="AD52" s="29"/>
      <c r="AE52" s="29"/>
      <c r="AF52" s="29"/>
      <c r="AG52" s="31"/>
      <c r="AH52" s="29"/>
      <c r="AI52" s="32">
        <f>('Table001 (Page 1-6)'!V45)*100</f>
        <v>1</v>
      </c>
      <c r="AJ52" s="35"/>
      <c r="AK52" s="35"/>
      <c r="AL52" s="35"/>
      <c r="AM52" s="35"/>
    </row>
    <row r="53" spans="1:39" ht="18" customHeight="1" x14ac:dyDescent="0.25">
      <c r="A53" s="8"/>
      <c r="B53" s="37">
        <f>'Table001 (Page 1-6)'!A46</f>
        <v>1330</v>
      </c>
      <c r="C53" s="28" t="str">
        <f>'Table001 (Page 1-6)'!B46</f>
        <v>CR 318</v>
      </c>
      <c r="D53" s="28" t="str">
        <f>'Table001 (Page 1-6)'!C46</f>
        <v>COUNTY LINE</v>
      </c>
      <c r="E53" s="28" t="str">
        <f>'Table001 (Page 1-6)'!D46</f>
        <v>I-75</v>
      </c>
      <c r="F53" s="29">
        <f>'Table001 (Page 1-6)'!E46</f>
        <v>2</v>
      </c>
      <c r="G53" s="29">
        <f>'Table001 (Page 1-6)'!K46</f>
        <v>2</v>
      </c>
      <c r="H53" s="30" t="str">
        <f>'Table001 (Page 1-6)'!R46</f>
        <v>B</v>
      </c>
      <c r="I53" s="28" t="str">
        <f>'Table001 (Page 1-6)'!F46</f>
        <v>COLLECTOR</v>
      </c>
      <c r="J53" s="29"/>
      <c r="K53" s="29"/>
      <c r="L53" s="29">
        <f>'Table001 (Page 1-6)'!I46</f>
        <v>9270</v>
      </c>
      <c r="M53" s="29"/>
      <c r="N53" s="29">
        <f>'Table001 (Page 1-6)'!J46</f>
        <v>486</v>
      </c>
      <c r="O53" s="29">
        <f>'Table001 (Page 1-6)'!L46</f>
        <v>9270</v>
      </c>
      <c r="P53" s="29"/>
      <c r="Q53" s="29">
        <f>'Table001 (Page 1-6)'!M46</f>
        <v>486</v>
      </c>
      <c r="R53" s="29" t="str">
        <f>'Table001 (Page 1-6)'!S46</f>
        <v>5,400</v>
      </c>
      <c r="S53" s="31" t="str">
        <f>'Table001 (Page 1-6)'!T46</f>
        <v>0.58</v>
      </c>
      <c r="T53" s="29" t="str">
        <f>'Table001 (Page 1-6)'!U46</f>
        <v>B</v>
      </c>
      <c r="U53" s="29"/>
      <c r="V53" s="29"/>
      <c r="W53" s="29"/>
      <c r="X53" s="29"/>
      <c r="Y53" s="29"/>
      <c r="Z53" s="29"/>
      <c r="AA53" s="29"/>
      <c r="AB53" s="29"/>
      <c r="AC53" s="31"/>
      <c r="AD53" s="29"/>
      <c r="AE53" s="29"/>
      <c r="AF53" s="29"/>
      <c r="AG53" s="31"/>
      <c r="AH53" s="29"/>
      <c r="AI53" s="32">
        <f>('Table001 (Page 1-6)'!V46)*100</f>
        <v>20.11</v>
      </c>
      <c r="AJ53" s="35"/>
      <c r="AK53" s="35"/>
      <c r="AL53" s="35"/>
      <c r="AM53" s="35"/>
    </row>
    <row r="54" spans="1:39" ht="18" customHeight="1" x14ac:dyDescent="0.25">
      <c r="A54" s="8"/>
      <c r="B54" s="37">
        <f>'Table001 (Page 1-6)'!A47</f>
        <v>1340.1</v>
      </c>
      <c r="C54" s="28" t="str">
        <f>'Table001 (Page 1-6)'!B47</f>
        <v>CR 318</v>
      </c>
      <c r="D54" s="28" t="str">
        <f>'Table001 (Page 1-6)'!C47</f>
        <v>I-75</v>
      </c>
      <c r="E54" s="28" t="str">
        <f>'Table001 (Page 1-6)'!D47</f>
        <v>NW 60 AVE</v>
      </c>
      <c r="F54" s="29">
        <f>'Table001 (Page 1-6)'!E47</f>
        <v>2</v>
      </c>
      <c r="G54" s="29">
        <f>'Table001 (Page 1-6)'!K47</f>
        <v>2</v>
      </c>
      <c r="H54" s="30" t="str">
        <f>'Table001 (Page 1-6)'!R47</f>
        <v>D</v>
      </c>
      <c r="I54" s="28" t="str">
        <f>'Table001 (Page 1-6)'!F47</f>
        <v>COLLECTOR</v>
      </c>
      <c r="J54" s="29"/>
      <c r="K54" s="29"/>
      <c r="L54" s="29">
        <f>'Table001 (Page 1-6)'!I47</f>
        <v>19170</v>
      </c>
      <c r="M54" s="29"/>
      <c r="N54" s="29">
        <f>'Table001 (Page 1-6)'!J47</f>
        <v>999</v>
      </c>
      <c r="O54" s="29">
        <f>'Table001 (Page 1-6)'!L47</f>
        <v>19170</v>
      </c>
      <c r="P54" s="29"/>
      <c r="Q54" s="29">
        <f>'Table001 (Page 1-6)'!M47</f>
        <v>999</v>
      </c>
      <c r="R54" s="29" t="str">
        <f>'Table001 (Page 1-6)'!S47</f>
        <v>6,200</v>
      </c>
      <c r="S54" s="31" t="str">
        <f>'Table001 (Page 1-6)'!T47</f>
        <v>0.32</v>
      </c>
      <c r="T54" s="29" t="str">
        <f>'Table001 (Page 1-6)'!U47</f>
        <v>B</v>
      </c>
      <c r="U54" s="29"/>
      <c r="V54" s="29"/>
      <c r="W54" s="29"/>
      <c r="X54" s="29"/>
      <c r="Y54" s="29"/>
      <c r="Z54" s="29"/>
      <c r="AA54" s="29"/>
      <c r="AB54" s="29"/>
      <c r="AC54" s="31"/>
      <c r="AD54" s="29"/>
      <c r="AE54" s="29"/>
      <c r="AF54" s="29"/>
      <c r="AG54" s="31"/>
      <c r="AH54" s="29"/>
      <c r="AI54" s="32">
        <f>('Table001 (Page 1-6)'!V47)*100</f>
        <v>7.1800000000000006</v>
      </c>
      <c r="AJ54" s="35"/>
      <c r="AK54" s="35"/>
      <c r="AL54" s="35"/>
      <c r="AM54" s="35"/>
    </row>
    <row r="55" spans="1:39" ht="18" customHeight="1" x14ac:dyDescent="0.25">
      <c r="A55" s="8"/>
      <c r="B55" s="37">
        <f>'Table001 (Page 1-6)'!A48</f>
        <v>1340.2</v>
      </c>
      <c r="C55" s="28" t="str">
        <f>'Table001 (Page 1-6)'!B48</f>
        <v>CR 318</v>
      </c>
      <c r="D55" s="28" t="str">
        <f>'Table001 (Page 1-6)'!C48</f>
        <v>NW 60 AVE</v>
      </c>
      <c r="E55" s="28" t="str">
        <f>'Table001 (Page 1-6)'!D48</f>
        <v>US 441</v>
      </c>
      <c r="F55" s="29">
        <f>'Table001 (Page 1-6)'!E48</f>
        <v>2</v>
      </c>
      <c r="G55" s="29">
        <f>'Table001 (Page 1-6)'!K48</f>
        <v>2</v>
      </c>
      <c r="H55" s="30" t="str">
        <f>'Table001 (Page 1-6)'!R48</f>
        <v>D</v>
      </c>
      <c r="I55" s="28" t="str">
        <f>'Table001 (Page 1-6)'!F48</f>
        <v>COLLECTOR</v>
      </c>
      <c r="J55" s="29"/>
      <c r="K55" s="29"/>
      <c r="L55" s="29">
        <f>'Table001 (Page 1-6)'!I48</f>
        <v>10224</v>
      </c>
      <c r="M55" s="29"/>
      <c r="N55" s="29">
        <f>'Table001 (Page 1-6)'!J48</f>
        <v>533</v>
      </c>
      <c r="O55" s="29">
        <f>'Table001 (Page 1-6)'!L48</f>
        <v>10224</v>
      </c>
      <c r="P55" s="29"/>
      <c r="Q55" s="29">
        <f>'Table001 (Page 1-6)'!M48</f>
        <v>533</v>
      </c>
      <c r="R55" s="29" t="str">
        <f>'Table001 (Page 1-6)'!S48</f>
        <v>6,200</v>
      </c>
      <c r="S55" s="31" t="str">
        <f>'Table001 (Page 1-6)'!T48</f>
        <v>0.61</v>
      </c>
      <c r="T55" s="29" t="str">
        <f>'Table001 (Page 1-6)'!U48</f>
        <v>C</v>
      </c>
      <c r="U55" s="29"/>
      <c r="V55" s="29"/>
      <c r="W55" s="29"/>
      <c r="X55" s="29"/>
      <c r="Y55" s="29"/>
      <c r="Z55" s="29"/>
      <c r="AA55" s="29"/>
      <c r="AB55" s="29"/>
      <c r="AC55" s="31"/>
      <c r="AD55" s="29"/>
      <c r="AE55" s="29"/>
      <c r="AF55" s="29"/>
      <c r="AG55" s="31"/>
      <c r="AH55" s="29"/>
      <c r="AI55" s="32">
        <f>('Table001 (Page 1-6)'!V48)*100</f>
        <v>7.1800000000000006</v>
      </c>
      <c r="AJ55" s="35"/>
      <c r="AK55" s="35"/>
      <c r="AL55" s="35"/>
      <c r="AM55" s="35"/>
    </row>
    <row r="56" spans="1:39" ht="18" customHeight="1" x14ac:dyDescent="0.25">
      <c r="A56" s="8"/>
      <c r="B56" s="37">
        <f>'Table001 (Page 1-6)'!A49</f>
        <v>1350.1</v>
      </c>
      <c r="C56" s="28" t="str">
        <f>'Table001 (Page 1-6)'!B49</f>
        <v>CR 318</v>
      </c>
      <c r="D56" s="28" t="str">
        <f>'Table001 (Page 1-6)'!C49</f>
        <v>US 441</v>
      </c>
      <c r="E56" s="28" t="str">
        <f>'Table001 (Page 1-6)'!D49</f>
        <v>NE 10 AVE</v>
      </c>
      <c r="F56" s="29">
        <f>'Table001 (Page 1-6)'!E49</f>
        <v>2</v>
      </c>
      <c r="G56" s="29">
        <f>'Table001 (Page 1-6)'!K49</f>
        <v>2</v>
      </c>
      <c r="H56" s="30" t="str">
        <f>'Table001 (Page 1-6)'!R49</f>
        <v>B</v>
      </c>
      <c r="I56" s="28" t="str">
        <f>'Table001 (Page 1-6)'!F49</f>
        <v>COLLECTOR</v>
      </c>
      <c r="J56" s="29"/>
      <c r="K56" s="29"/>
      <c r="L56" s="29">
        <f>'Table001 (Page 1-6)'!I49</f>
        <v>9270</v>
      </c>
      <c r="M56" s="29"/>
      <c r="N56" s="29">
        <f>'Table001 (Page 1-6)'!J49</f>
        <v>486</v>
      </c>
      <c r="O56" s="29">
        <f>'Table001 (Page 1-6)'!L49</f>
        <v>9270</v>
      </c>
      <c r="P56" s="29"/>
      <c r="Q56" s="29">
        <f>'Table001 (Page 1-6)'!M49</f>
        <v>486</v>
      </c>
      <c r="R56" s="29" t="str">
        <f>'Table001 (Page 1-6)'!S49</f>
        <v>3,800</v>
      </c>
      <c r="S56" s="31" t="str">
        <f>'Table001 (Page 1-6)'!T49</f>
        <v>0.41</v>
      </c>
      <c r="T56" s="29" t="str">
        <f>'Table001 (Page 1-6)'!U49</f>
        <v>B</v>
      </c>
      <c r="U56" s="29"/>
      <c r="V56" s="29"/>
      <c r="W56" s="29"/>
      <c r="X56" s="29"/>
      <c r="Y56" s="29"/>
      <c r="Z56" s="29"/>
      <c r="AA56" s="29"/>
      <c r="AB56" s="29"/>
      <c r="AC56" s="31"/>
      <c r="AD56" s="29"/>
      <c r="AE56" s="29"/>
      <c r="AF56" s="29"/>
      <c r="AG56" s="31"/>
      <c r="AH56" s="29"/>
      <c r="AI56" s="32">
        <f>('Table001 (Page 1-6)'!V49)*100</f>
        <v>1</v>
      </c>
      <c r="AJ56" s="35"/>
      <c r="AK56" s="35"/>
      <c r="AL56" s="35"/>
      <c r="AM56" s="35"/>
    </row>
    <row r="57" spans="1:39" ht="18" customHeight="1" x14ac:dyDescent="0.25">
      <c r="A57" s="8"/>
      <c r="B57" s="37">
        <f>'Table001 (Page 1-6)'!A50</f>
        <v>1350.2</v>
      </c>
      <c r="C57" s="28" t="str">
        <f>'Table001 (Page 1-6)'!B50</f>
        <v>CR 318</v>
      </c>
      <c r="D57" s="28" t="str">
        <f>'Table001 (Page 1-6)'!C50</f>
        <v>NE 10 AVE</v>
      </c>
      <c r="E57" s="28" t="str">
        <f>'Table001 (Page 1-6)'!D50</f>
        <v>US 301</v>
      </c>
      <c r="F57" s="29">
        <f>'Table001 (Page 1-6)'!E50</f>
        <v>2</v>
      </c>
      <c r="G57" s="29">
        <f>'Table001 (Page 1-6)'!K50</f>
        <v>2</v>
      </c>
      <c r="H57" s="30" t="str">
        <f>'Table001 (Page 1-6)'!R50</f>
        <v>B</v>
      </c>
      <c r="I57" s="28" t="str">
        <f>'Table001 (Page 1-6)'!F50</f>
        <v>COLLECTOR</v>
      </c>
      <c r="J57" s="29"/>
      <c r="K57" s="29"/>
      <c r="L57" s="29">
        <f>'Table001 (Page 1-6)'!I50</f>
        <v>9270</v>
      </c>
      <c r="M57" s="29"/>
      <c r="N57" s="29">
        <f>'Table001 (Page 1-6)'!J50</f>
        <v>486</v>
      </c>
      <c r="O57" s="29">
        <f>'Table001 (Page 1-6)'!L50</f>
        <v>9270</v>
      </c>
      <c r="P57" s="29"/>
      <c r="Q57" s="29">
        <f>'Table001 (Page 1-6)'!M50</f>
        <v>486</v>
      </c>
      <c r="R57" s="29" t="str">
        <f>'Table001 (Page 1-6)'!S50</f>
        <v>3,800</v>
      </c>
      <c r="S57" s="31" t="str">
        <f>'Table001 (Page 1-6)'!T50</f>
        <v>0.41</v>
      </c>
      <c r="T57" s="29" t="str">
        <f>'Table001 (Page 1-6)'!U50</f>
        <v>B</v>
      </c>
      <c r="U57" s="29"/>
      <c r="V57" s="29"/>
      <c r="W57" s="29"/>
      <c r="X57" s="29"/>
      <c r="Y57" s="29"/>
      <c r="Z57" s="29"/>
      <c r="AA57" s="29"/>
      <c r="AB57" s="29"/>
      <c r="AC57" s="31"/>
      <c r="AD57" s="29"/>
      <c r="AE57" s="29"/>
      <c r="AF57" s="29"/>
      <c r="AG57" s="31"/>
      <c r="AH57" s="29"/>
      <c r="AI57" s="32">
        <f>('Table001 (Page 1-6)'!V50)*100</f>
        <v>1</v>
      </c>
      <c r="AJ57" s="35"/>
      <c r="AK57" s="35"/>
      <c r="AL57" s="35"/>
      <c r="AM57" s="35"/>
    </row>
    <row r="58" spans="1:39" ht="18" customHeight="1" x14ac:dyDescent="0.25">
      <c r="A58" s="8"/>
      <c r="B58" s="37">
        <f>'Table001 (Page 1-6)'!A51</f>
        <v>1360.1</v>
      </c>
      <c r="C58" s="28" t="str">
        <f>'Table001 (Page 1-6)'!B51</f>
        <v>CR 318</v>
      </c>
      <c r="D58" s="28" t="str">
        <f>'Table001 (Page 1-6)'!C51</f>
        <v>US 301</v>
      </c>
      <c r="E58" s="28" t="str">
        <f>'Table001 (Page 1-6)'!D51</f>
        <v>CR 315</v>
      </c>
      <c r="F58" s="29">
        <f>'Table001 (Page 1-6)'!E51</f>
        <v>2</v>
      </c>
      <c r="G58" s="29">
        <f>'Table001 (Page 1-6)'!K51</f>
        <v>2</v>
      </c>
      <c r="H58" s="30" t="str">
        <f>'Table001 (Page 1-6)'!R51</f>
        <v>D</v>
      </c>
      <c r="I58" s="28" t="str">
        <f>'Table001 (Page 1-6)'!F51</f>
        <v>COLLECTOR</v>
      </c>
      <c r="J58" s="29"/>
      <c r="K58" s="29"/>
      <c r="L58" s="29">
        <f>'Table001 (Page 1-6)'!I51</f>
        <v>19170</v>
      </c>
      <c r="M58" s="29"/>
      <c r="N58" s="29">
        <f>'Table001 (Page 1-6)'!J51</f>
        <v>999</v>
      </c>
      <c r="O58" s="29">
        <f>'Table001 (Page 1-6)'!L51</f>
        <v>19170</v>
      </c>
      <c r="P58" s="29"/>
      <c r="Q58" s="29">
        <f>'Table001 (Page 1-6)'!M51</f>
        <v>999</v>
      </c>
      <c r="R58" s="29" t="str">
        <f>'Table001 (Page 1-6)'!S51</f>
        <v>3,800</v>
      </c>
      <c r="S58" s="31" t="str">
        <f>'Table001 (Page 1-6)'!T51</f>
        <v>0.2</v>
      </c>
      <c r="T58" s="29" t="str">
        <f>'Table001 (Page 1-6)'!U51</f>
        <v>B</v>
      </c>
      <c r="U58" s="29"/>
      <c r="V58" s="29"/>
      <c r="W58" s="29"/>
      <c r="X58" s="29"/>
      <c r="Y58" s="29"/>
      <c r="Z58" s="29"/>
      <c r="AA58" s="29"/>
      <c r="AB58" s="29"/>
      <c r="AC58" s="31"/>
      <c r="AD58" s="29"/>
      <c r="AE58" s="29"/>
      <c r="AF58" s="29"/>
      <c r="AG58" s="31"/>
      <c r="AH58" s="29"/>
      <c r="AI58" s="32">
        <f>('Table001 (Page 1-6)'!V51)*100</f>
        <v>1</v>
      </c>
      <c r="AJ58" s="35"/>
      <c r="AK58" s="35"/>
      <c r="AL58" s="35"/>
      <c r="AM58" s="35"/>
    </row>
    <row r="59" spans="1:39" ht="18" customHeight="1" x14ac:dyDescent="0.25">
      <c r="A59" s="8"/>
      <c r="B59" s="37">
        <f>'Table001 (Page 1-6)'!A52</f>
        <v>1380</v>
      </c>
      <c r="C59" s="28" t="str">
        <f>'Table001 (Page 1-6)'!B52</f>
        <v>CR 320</v>
      </c>
      <c r="D59" s="28" t="str">
        <f>'Table001 (Page 1-6)'!C52</f>
        <v>COUNTY LINE</v>
      </c>
      <c r="E59" s="28" t="str">
        <f>'Table001 (Page 1-6)'!D52</f>
        <v>CR 329</v>
      </c>
      <c r="F59" s="29">
        <f>'Table001 (Page 1-6)'!E52</f>
        <v>2</v>
      </c>
      <c r="G59" s="29">
        <f>'Table001 (Page 1-6)'!K52</f>
        <v>2</v>
      </c>
      <c r="H59" s="30" t="str">
        <f>'Table001 (Page 1-6)'!R52</f>
        <v>B</v>
      </c>
      <c r="I59" s="28" t="str">
        <f>'Table001 (Page 1-6)'!F52</f>
        <v>COLLECTOR</v>
      </c>
      <c r="J59" s="29"/>
      <c r="K59" s="29"/>
      <c r="L59" s="29">
        <f>'Table001 (Page 1-6)'!I52</f>
        <v>9270</v>
      </c>
      <c r="M59" s="29"/>
      <c r="N59" s="29">
        <f>'Table001 (Page 1-6)'!J52</f>
        <v>486</v>
      </c>
      <c r="O59" s="29">
        <f>'Table001 (Page 1-6)'!L52</f>
        <v>9270</v>
      </c>
      <c r="P59" s="29"/>
      <c r="Q59" s="29">
        <f>'Table001 (Page 1-6)'!M52</f>
        <v>486</v>
      </c>
      <c r="R59" s="29" t="str">
        <f>'Table001 (Page 1-6)'!S52</f>
        <v>500</v>
      </c>
      <c r="S59" s="31" t="str">
        <f>'Table001 (Page 1-6)'!T52</f>
        <v>0.05</v>
      </c>
      <c r="T59" s="29" t="str">
        <f>'Table001 (Page 1-6)'!U52</f>
        <v>B</v>
      </c>
      <c r="U59" s="29"/>
      <c r="V59" s="29"/>
      <c r="W59" s="29"/>
      <c r="X59" s="29"/>
      <c r="Y59" s="29"/>
      <c r="Z59" s="29"/>
      <c r="AA59" s="29"/>
      <c r="AB59" s="29"/>
      <c r="AC59" s="31"/>
      <c r="AD59" s="29"/>
      <c r="AE59" s="29"/>
      <c r="AF59" s="29"/>
      <c r="AG59" s="31"/>
      <c r="AH59" s="29"/>
      <c r="AI59" s="32">
        <f>('Table001 (Page 1-6)'!V52)*100</f>
        <v>1</v>
      </c>
      <c r="AJ59" s="35"/>
      <c r="AK59" s="35"/>
      <c r="AL59" s="35"/>
      <c r="AM59" s="35"/>
    </row>
    <row r="60" spans="1:39" ht="18" customHeight="1" x14ac:dyDescent="0.25">
      <c r="A60" s="8"/>
      <c r="B60" s="37">
        <f>'Table001 (Page 1-6)'!A53</f>
        <v>1390.1</v>
      </c>
      <c r="C60" s="28" t="str">
        <f>'Table001 (Page 1-6)'!B53</f>
        <v>CR 320</v>
      </c>
      <c r="D60" s="28" t="str">
        <f>'Table001 (Page 1-6)'!C53</f>
        <v>CR 329</v>
      </c>
      <c r="E60" s="28" t="str">
        <f>'Table001 (Page 1-6)'!D53</f>
        <v>US 441</v>
      </c>
      <c r="F60" s="29">
        <f>'Table001 (Page 1-6)'!E53</f>
        <v>2</v>
      </c>
      <c r="G60" s="29">
        <f>'Table001 (Page 1-6)'!K53</f>
        <v>2</v>
      </c>
      <c r="H60" s="30" t="str">
        <f>'Table001 (Page 1-6)'!R53</f>
        <v>B</v>
      </c>
      <c r="I60" s="28" t="str">
        <f>'Table001 (Page 1-6)'!F53</f>
        <v>COLLECTOR</v>
      </c>
      <c r="J60" s="29"/>
      <c r="K60" s="29"/>
      <c r="L60" s="29">
        <f>'Table001 (Page 1-6)'!I53</f>
        <v>9270</v>
      </c>
      <c r="M60" s="29"/>
      <c r="N60" s="29">
        <f>'Table001 (Page 1-6)'!J53</f>
        <v>486</v>
      </c>
      <c r="O60" s="29">
        <f>'Table001 (Page 1-6)'!L53</f>
        <v>9270</v>
      </c>
      <c r="P60" s="29"/>
      <c r="Q60" s="29">
        <f>'Table001 (Page 1-6)'!M53</f>
        <v>486</v>
      </c>
      <c r="R60" s="29" t="str">
        <f>'Table001 (Page 1-6)'!S53</f>
        <v>Not Counted</v>
      </c>
      <c r="S60" s="31" t="str">
        <f>'Table001 (Page 1-6)'!T53</f>
        <v>N/A</v>
      </c>
      <c r="T60" s="29" t="str">
        <f>'Table001 (Page 1-6)'!U53</f>
        <v>N/A</v>
      </c>
      <c r="U60" s="29"/>
      <c r="V60" s="29"/>
      <c r="W60" s="29"/>
      <c r="X60" s="29"/>
      <c r="Y60" s="29"/>
      <c r="Z60" s="29"/>
      <c r="AA60" s="29"/>
      <c r="AB60" s="29"/>
      <c r="AC60" s="31"/>
      <c r="AD60" s="29"/>
      <c r="AE60" s="29"/>
      <c r="AF60" s="29"/>
      <c r="AG60" s="31"/>
      <c r="AH60" s="29"/>
      <c r="AI60" s="32">
        <f>('Table001 (Page 1-6)'!V53)*100</f>
        <v>1</v>
      </c>
      <c r="AJ60" s="35"/>
      <c r="AK60" s="35"/>
      <c r="AL60" s="35"/>
      <c r="AM60" s="35"/>
    </row>
    <row r="61" spans="1:39" ht="18" customHeight="1" x14ac:dyDescent="0.25">
      <c r="A61" s="8"/>
      <c r="B61" s="37">
        <f>'Table001 (Page 1-6)'!A54</f>
        <v>1400</v>
      </c>
      <c r="C61" s="28" t="str">
        <f>'Table001 (Page 1-6)'!B54</f>
        <v>CR 328</v>
      </c>
      <c r="D61" s="28" t="str">
        <f>'Table001 (Page 1-6)'!C54</f>
        <v>US 41</v>
      </c>
      <c r="E61" s="28" t="str">
        <f>'Table001 (Page 1-6)'!D54</f>
        <v>SW 140 AV</v>
      </c>
      <c r="F61" s="29">
        <f>'Table001 (Page 1-6)'!E54</f>
        <v>2</v>
      </c>
      <c r="G61" s="29">
        <f>'Table001 (Page 1-6)'!K54</f>
        <v>2</v>
      </c>
      <c r="H61" s="30" t="str">
        <f>'Table001 (Page 1-6)'!R54</f>
        <v>C</v>
      </c>
      <c r="I61" s="28" t="str">
        <f>'Table001 (Page 1-6)'!F54</f>
        <v>COLLECTOR</v>
      </c>
      <c r="J61" s="29"/>
      <c r="K61" s="29"/>
      <c r="L61" s="29">
        <f>'Table001 (Page 1-6)'!I54</f>
        <v>9288</v>
      </c>
      <c r="M61" s="29"/>
      <c r="N61" s="29">
        <f>'Table001 (Page 1-6)'!J54</f>
        <v>482</v>
      </c>
      <c r="O61" s="29">
        <f>'Table001 (Page 1-6)'!L54</f>
        <v>9288</v>
      </c>
      <c r="P61" s="29"/>
      <c r="Q61" s="29">
        <f>'Table001 (Page 1-6)'!M54</f>
        <v>482</v>
      </c>
      <c r="R61" s="29" t="str">
        <f>'Table001 (Page 1-6)'!S54</f>
        <v>5,900</v>
      </c>
      <c r="S61" s="31" t="str">
        <f>'Table001 (Page 1-6)'!T54</f>
        <v>0.64</v>
      </c>
      <c r="T61" s="29" t="str">
        <f>'Table001 (Page 1-6)'!U54</f>
        <v>C</v>
      </c>
      <c r="U61" s="29"/>
      <c r="V61" s="29"/>
      <c r="W61" s="29"/>
      <c r="X61" s="29"/>
      <c r="Y61" s="29"/>
      <c r="Z61" s="29"/>
      <c r="AA61" s="29"/>
      <c r="AB61" s="29"/>
      <c r="AC61" s="31"/>
      <c r="AD61" s="29"/>
      <c r="AE61" s="29"/>
      <c r="AF61" s="29"/>
      <c r="AG61" s="31"/>
      <c r="AH61" s="29"/>
      <c r="AI61" s="32">
        <f>('Table001 (Page 1-6)'!V54)*100</f>
        <v>5</v>
      </c>
      <c r="AJ61" s="35"/>
      <c r="AK61" s="35"/>
      <c r="AL61" s="35"/>
      <c r="AM61" s="35"/>
    </row>
    <row r="62" spans="1:39" ht="18" customHeight="1" x14ac:dyDescent="0.25">
      <c r="A62" s="8"/>
      <c r="B62" s="37">
        <f>'Table001 (Page 1-6)'!A55</f>
        <v>1410.1</v>
      </c>
      <c r="C62" s="28" t="str">
        <f>'Table001 (Page 1-6)'!B55</f>
        <v>CR 328</v>
      </c>
      <c r="D62" s="28" t="str">
        <f>'Table001 (Page 1-6)'!C55</f>
        <v>SW 140 AV</v>
      </c>
      <c r="E62" s="28" t="str">
        <f>'Table001 (Page 1-6)'!D55</f>
        <v>E OF NW 125 AV</v>
      </c>
      <c r="F62" s="29">
        <f>'Table001 (Page 1-6)'!E55</f>
        <v>2</v>
      </c>
      <c r="G62" s="29">
        <f>'Table001 (Page 1-6)'!K55</f>
        <v>2</v>
      </c>
      <c r="H62" s="30" t="str">
        <f>'Table001 (Page 1-6)'!R55</f>
        <v>C</v>
      </c>
      <c r="I62" s="28" t="str">
        <f>'Table001 (Page 1-6)'!F55</f>
        <v>COLLECTOR</v>
      </c>
      <c r="J62" s="29"/>
      <c r="K62" s="29"/>
      <c r="L62" s="29">
        <f>'Table001 (Page 1-6)'!I55</f>
        <v>14130</v>
      </c>
      <c r="M62" s="29"/>
      <c r="N62" s="29">
        <f>'Table001 (Page 1-6)'!J55</f>
        <v>738</v>
      </c>
      <c r="O62" s="29">
        <f>'Table001 (Page 1-6)'!L55</f>
        <v>14130</v>
      </c>
      <c r="P62" s="29"/>
      <c r="Q62" s="29">
        <f>'Table001 (Page 1-6)'!M55</f>
        <v>738</v>
      </c>
      <c r="R62" s="29" t="str">
        <f>'Table001 (Page 1-6)'!S55</f>
        <v>5,900</v>
      </c>
      <c r="S62" s="31" t="str">
        <f>'Table001 (Page 1-6)'!T55</f>
        <v>0.42</v>
      </c>
      <c r="T62" s="29" t="str">
        <f>'Table001 (Page 1-6)'!U55</f>
        <v>B</v>
      </c>
      <c r="U62" s="29"/>
      <c r="V62" s="29"/>
      <c r="W62" s="29"/>
      <c r="X62" s="29"/>
      <c r="Y62" s="29"/>
      <c r="Z62" s="29"/>
      <c r="AA62" s="29"/>
      <c r="AB62" s="29"/>
      <c r="AC62" s="31"/>
      <c r="AD62" s="29"/>
      <c r="AE62" s="29"/>
      <c r="AF62" s="29"/>
      <c r="AG62" s="31"/>
      <c r="AH62" s="29"/>
      <c r="AI62" s="32">
        <f>('Table001 (Page 1-6)'!V55)*100</f>
        <v>5</v>
      </c>
      <c r="AJ62" s="35"/>
      <c r="AK62" s="35"/>
      <c r="AL62" s="35"/>
      <c r="AM62" s="35"/>
    </row>
    <row r="63" spans="1:39" ht="18" customHeight="1" x14ac:dyDescent="0.25">
      <c r="A63" s="8"/>
      <c r="B63" s="37">
        <f>'Table001 (Page 1-6)'!A56</f>
        <v>1410.2</v>
      </c>
      <c r="C63" s="28" t="str">
        <f>'Table001 (Page 1-6)'!B56</f>
        <v>CR 328</v>
      </c>
      <c r="D63" s="28" t="str">
        <f>'Table001 (Page 1-6)'!C56</f>
        <v>E OF NW 125 AV</v>
      </c>
      <c r="E63" s="28" t="str">
        <f>'Table001 (Page 1-6)'!D56</f>
        <v>SR 40</v>
      </c>
      <c r="F63" s="29">
        <f>'Table001 (Page 1-6)'!E56</f>
        <v>2</v>
      </c>
      <c r="G63" s="29">
        <f>'Table001 (Page 1-6)'!K56</f>
        <v>2</v>
      </c>
      <c r="H63" s="30" t="str">
        <f>'Table001 (Page 1-6)'!R56</f>
        <v>C</v>
      </c>
      <c r="I63" s="28" t="str">
        <f>'Table001 (Page 1-6)'!F56</f>
        <v>COLLECTOR</v>
      </c>
      <c r="J63" s="29"/>
      <c r="K63" s="29"/>
      <c r="L63" s="29">
        <f>'Table001 (Page 1-6)'!I56</f>
        <v>14130</v>
      </c>
      <c r="M63" s="29"/>
      <c r="N63" s="29">
        <f>'Table001 (Page 1-6)'!J56</f>
        <v>738</v>
      </c>
      <c r="O63" s="29">
        <f>'Table001 (Page 1-6)'!L56</f>
        <v>14130</v>
      </c>
      <c r="P63" s="29"/>
      <c r="Q63" s="29">
        <f>'Table001 (Page 1-6)'!M56</f>
        <v>738</v>
      </c>
      <c r="R63" s="29" t="str">
        <f>'Table001 (Page 1-6)'!S56</f>
        <v>5,900</v>
      </c>
      <c r="S63" s="31" t="str">
        <f>'Table001 (Page 1-6)'!T56</f>
        <v>0.42</v>
      </c>
      <c r="T63" s="29" t="str">
        <f>'Table001 (Page 1-6)'!U56</f>
        <v>B</v>
      </c>
      <c r="U63" s="29"/>
      <c r="V63" s="29"/>
      <c r="W63" s="29"/>
      <c r="X63" s="29"/>
      <c r="Y63" s="29"/>
      <c r="Z63" s="29"/>
      <c r="AA63" s="29"/>
      <c r="AB63" s="29"/>
      <c r="AC63" s="31"/>
      <c r="AD63" s="29"/>
      <c r="AE63" s="29"/>
      <c r="AF63" s="29"/>
      <c r="AG63" s="31"/>
      <c r="AH63" s="29"/>
      <c r="AI63" s="32">
        <f>('Table001 (Page 1-6)'!V56)*100</f>
        <v>5</v>
      </c>
      <c r="AJ63" s="35"/>
      <c r="AK63" s="35"/>
      <c r="AL63" s="35"/>
      <c r="AM63" s="35"/>
    </row>
    <row r="64" spans="1:39" ht="18" customHeight="1" x14ac:dyDescent="0.25">
      <c r="A64" s="8"/>
      <c r="B64" s="37">
        <f>'Table001 (Page 1-6)'!A57</f>
        <v>1420</v>
      </c>
      <c r="C64" s="28" t="str">
        <f>'Table001 (Page 1-6)'!B57</f>
        <v>CR 329</v>
      </c>
      <c r="D64" s="28" t="str">
        <f>'Table001 (Page 1-6)'!C57</f>
        <v>COUNTY LINE</v>
      </c>
      <c r="E64" s="28" t="str">
        <f>'Table001 (Page 1-6)'!D57</f>
        <v>HWY 318</v>
      </c>
      <c r="F64" s="29">
        <f>'Table001 (Page 1-6)'!E57</f>
        <v>2</v>
      </c>
      <c r="G64" s="29">
        <f>'Table001 (Page 1-6)'!K57</f>
        <v>2</v>
      </c>
      <c r="H64" s="30" t="str">
        <f>'Table001 (Page 1-6)'!R57</f>
        <v>B</v>
      </c>
      <c r="I64" s="28" t="str">
        <f>'Table001 (Page 1-6)'!F57</f>
        <v>COLLECTOR</v>
      </c>
      <c r="J64" s="29"/>
      <c r="K64" s="29"/>
      <c r="L64" s="29">
        <f>'Table001 (Page 1-6)'!I57</f>
        <v>9270</v>
      </c>
      <c r="M64" s="29"/>
      <c r="N64" s="29">
        <f>'Table001 (Page 1-6)'!J57</f>
        <v>486</v>
      </c>
      <c r="O64" s="29">
        <f>'Table001 (Page 1-6)'!L57</f>
        <v>9270</v>
      </c>
      <c r="P64" s="29"/>
      <c r="Q64" s="29">
        <f>'Table001 (Page 1-6)'!M57</f>
        <v>486</v>
      </c>
      <c r="R64" s="29" t="str">
        <f>'Table001 (Page 1-6)'!S57</f>
        <v>2,300</v>
      </c>
      <c r="S64" s="31" t="str">
        <f>'Table001 (Page 1-6)'!T57</f>
        <v>0.25</v>
      </c>
      <c r="T64" s="29" t="str">
        <f>'Table001 (Page 1-6)'!U57</f>
        <v>B</v>
      </c>
      <c r="U64" s="29"/>
      <c r="V64" s="29"/>
      <c r="W64" s="29"/>
      <c r="X64" s="29"/>
      <c r="Y64" s="29"/>
      <c r="Z64" s="29"/>
      <c r="AA64" s="29"/>
      <c r="AB64" s="29"/>
      <c r="AC64" s="31"/>
      <c r="AD64" s="29"/>
      <c r="AE64" s="29"/>
      <c r="AF64" s="29"/>
      <c r="AG64" s="31"/>
      <c r="AH64" s="29"/>
      <c r="AI64" s="32">
        <f>('Table001 (Page 1-6)'!V57)*100</f>
        <v>8.4500000000000011</v>
      </c>
      <c r="AJ64" s="35"/>
      <c r="AK64" s="35"/>
      <c r="AL64" s="35"/>
      <c r="AM64" s="35"/>
    </row>
    <row r="65" spans="1:39" ht="18" customHeight="1" x14ac:dyDescent="0.25">
      <c r="A65" s="8"/>
      <c r="B65" s="37">
        <f>'Table001 (Page 1-6)'!A58</f>
        <v>1430.1</v>
      </c>
      <c r="C65" s="28" t="str">
        <f>'Table001 (Page 1-6)'!B58</f>
        <v>CR 329</v>
      </c>
      <c r="D65" s="28" t="str">
        <f>'Table001 (Page 1-6)'!C58</f>
        <v>HWY 318</v>
      </c>
      <c r="E65" s="28" t="str">
        <f>'Table001 (Page 1-6)'!D58</f>
        <v>CR 316</v>
      </c>
      <c r="F65" s="29">
        <f>'Table001 (Page 1-6)'!E58</f>
        <v>2</v>
      </c>
      <c r="G65" s="29">
        <f>'Table001 (Page 1-6)'!K58</f>
        <v>2</v>
      </c>
      <c r="H65" s="30" t="str">
        <f>'Table001 (Page 1-6)'!R58</f>
        <v>B</v>
      </c>
      <c r="I65" s="28" t="str">
        <f>'Table001 (Page 1-6)'!F58</f>
        <v>COLLECTOR</v>
      </c>
      <c r="J65" s="29"/>
      <c r="K65" s="29"/>
      <c r="L65" s="29">
        <f>'Table001 (Page 1-6)'!I58</f>
        <v>9270</v>
      </c>
      <c r="M65" s="29"/>
      <c r="N65" s="29">
        <f>'Table001 (Page 1-6)'!J58</f>
        <v>486</v>
      </c>
      <c r="O65" s="29">
        <f>'Table001 (Page 1-6)'!L58</f>
        <v>9270</v>
      </c>
      <c r="P65" s="29"/>
      <c r="Q65" s="29">
        <f>'Table001 (Page 1-6)'!M58</f>
        <v>486</v>
      </c>
      <c r="R65" s="29" t="str">
        <f>'Table001 (Page 1-6)'!S58</f>
        <v>2,100</v>
      </c>
      <c r="S65" s="31" t="str">
        <f>'Table001 (Page 1-6)'!T58</f>
        <v>0.23</v>
      </c>
      <c r="T65" s="29" t="str">
        <f>'Table001 (Page 1-6)'!U58</f>
        <v>B</v>
      </c>
      <c r="U65" s="29"/>
      <c r="V65" s="29"/>
      <c r="W65" s="29"/>
      <c r="X65" s="29"/>
      <c r="Y65" s="29"/>
      <c r="Z65" s="29"/>
      <c r="AA65" s="29"/>
      <c r="AB65" s="29"/>
      <c r="AC65" s="31"/>
      <c r="AD65" s="29"/>
      <c r="AE65" s="29"/>
      <c r="AF65" s="29"/>
      <c r="AG65" s="31"/>
      <c r="AH65" s="29"/>
      <c r="AI65" s="32">
        <f>('Table001 (Page 1-6)'!V58)*100</f>
        <v>1</v>
      </c>
      <c r="AJ65" s="35"/>
      <c r="AK65" s="35"/>
      <c r="AL65" s="35"/>
      <c r="AM65" s="35"/>
    </row>
    <row r="66" spans="1:39" ht="18" customHeight="1" x14ac:dyDescent="0.25">
      <c r="A66" s="8"/>
      <c r="B66" s="37">
        <f>'Table001 (Page 1-6)'!A59</f>
        <v>1430.2</v>
      </c>
      <c r="C66" s="28" t="str">
        <f>'Table001 (Page 1-6)'!B59</f>
        <v>CR 329</v>
      </c>
      <c r="D66" s="28" t="str">
        <f>'Table001 (Page 1-6)'!C59</f>
        <v>CR 316</v>
      </c>
      <c r="E66" s="28" t="str">
        <f>'Table001 (Page 1-6)'!D59</f>
        <v>CR 25A</v>
      </c>
      <c r="F66" s="29">
        <f>'Table001 (Page 1-6)'!E59</f>
        <v>2</v>
      </c>
      <c r="G66" s="29">
        <f>'Table001 (Page 1-6)'!K59</f>
        <v>2</v>
      </c>
      <c r="H66" s="30" t="str">
        <f>'Table001 (Page 1-6)'!R59</f>
        <v>B</v>
      </c>
      <c r="I66" s="28" t="str">
        <f>'Table001 (Page 1-6)'!F59</f>
        <v>COLLECTOR</v>
      </c>
      <c r="J66" s="29"/>
      <c r="K66" s="29"/>
      <c r="L66" s="29">
        <f>'Table001 (Page 1-6)'!I59</f>
        <v>9270</v>
      </c>
      <c r="M66" s="29"/>
      <c r="N66" s="29">
        <f>'Table001 (Page 1-6)'!J59</f>
        <v>486</v>
      </c>
      <c r="O66" s="29">
        <f>'Table001 (Page 1-6)'!L59</f>
        <v>9270</v>
      </c>
      <c r="P66" s="29"/>
      <c r="Q66" s="29">
        <f>'Table001 (Page 1-6)'!M59</f>
        <v>486</v>
      </c>
      <c r="R66" s="29" t="str">
        <f>'Table001 (Page 1-6)'!S59</f>
        <v>2,100</v>
      </c>
      <c r="S66" s="31" t="str">
        <f>'Table001 (Page 1-6)'!T59</f>
        <v>0.23</v>
      </c>
      <c r="T66" s="29" t="str">
        <f>'Table001 (Page 1-6)'!U59</f>
        <v>B</v>
      </c>
      <c r="U66" s="29"/>
      <c r="V66" s="29"/>
      <c r="W66" s="29"/>
      <c r="X66" s="29"/>
      <c r="Y66" s="29"/>
      <c r="Z66" s="29"/>
      <c r="AA66" s="29"/>
      <c r="AB66" s="29"/>
      <c r="AC66" s="31"/>
      <c r="AD66" s="29"/>
      <c r="AE66" s="29"/>
      <c r="AF66" s="29"/>
      <c r="AG66" s="31"/>
      <c r="AH66" s="29"/>
      <c r="AI66" s="32">
        <f>('Table001 (Page 1-6)'!V59)*100</f>
        <v>1</v>
      </c>
      <c r="AJ66" s="35"/>
      <c r="AK66" s="35"/>
      <c r="AL66" s="35"/>
      <c r="AM66" s="35"/>
    </row>
    <row r="67" spans="1:39" ht="18" customHeight="1" x14ac:dyDescent="0.25">
      <c r="A67" s="8"/>
      <c r="B67" s="37">
        <f>'Table001 (Page 1-6)'!A60</f>
        <v>1440.1</v>
      </c>
      <c r="C67" s="28" t="str">
        <f>'Table001 (Page 1-6)'!B60</f>
        <v>CR 329</v>
      </c>
      <c r="D67" s="28" t="str">
        <f>'Table001 (Page 1-6)'!C60</f>
        <v>CR 25A</v>
      </c>
      <c r="E67" s="28" t="str">
        <f>'Table001 (Page 1-6)'!D60</f>
        <v>US 441</v>
      </c>
      <c r="F67" s="29">
        <f>'Table001 (Page 1-6)'!E60</f>
        <v>2</v>
      </c>
      <c r="G67" s="29">
        <f>'Table001 (Page 1-6)'!K60</f>
        <v>2</v>
      </c>
      <c r="H67" s="30" t="str">
        <f>'Table001 (Page 1-6)'!R60</f>
        <v>B</v>
      </c>
      <c r="I67" s="28" t="str">
        <f>'Table001 (Page 1-6)'!F60</f>
        <v>COLLECTOR</v>
      </c>
      <c r="J67" s="29"/>
      <c r="K67" s="29"/>
      <c r="L67" s="29">
        <f>'Table001 (Page 1-6)'!I60</f>
        <v>9270</v>
      </c>
      <c r="M67" s="29"/>
      <c r="N67" s="29">
        <f>'Table001 (Page 1-6)'!J60</f>
        <v>486</v>
      </c>
      <c r="O67" s="29">
        <f>'Table001 (Page 1-6)'!L60</f>
        <v>9270</v>
      </c>
      <c r="P67" s="29"/>
      <c r="Q67" s="29">
        <f>'Table001 (Page 1-6)'!M60</f>
        <v>486</v>
      </c>
      <c r="R67" s="29" t="str">
        <f>'Table001 (Page 1-6)'!S60</f>
        <v>2,200</v>
      </c>
      <c r="S67" s="31" t="str">
        <f>'Table001 (Page 1-6)'!T60</f>
        <v>0.24</v>
      </c>
      <c r="T67" s="29" t="str">
        <f>'Table001 (Page 1-6)'!U60</f>
        <v>B</v>
      </c>
      <c r="U67" s="29"/>
      <c r="V67" s="29"/>
      <c r="W67" s="29"/>
      <c r="X67" s="29"/>
      <c r="Y67" s="29"/>
      <c r="Z67" s="29"/>
      <c r="AA67" s="29"/>
      <c r="AB67" s="29"/>
      <c r="AC67" s="31"/>
      <c r="AD67" s="29"/>
      <c r="AE67" s="29"/>
      <c r="AF67" s="29"/>
      <c r="AG67" s="31"/>
      <c r="AH67" s="29"/>
      <c r="AI67" s="32">
        <f>('Table001 (Page 1-6)'!V60)*100</f>
        <v>5.59</v>
      </c>
      <c r="AJ67" s="35"/>
      <c r="AK67" s="35"/>
      <c r="AL67" s="35"/>
      <c r="AM67" s="35"/>
    </row>
    <row r="68" spans="1:39" ht="18" customHeight="1" x14ac:dyDescent="0.25">
      <c r="A68" s="8"/>
      <c r="B68" s="37">
        <f>'Table001 (Page 1-6)'!A61</f>
        <v>1450</v>
      </c>
      <c r="C68" s="28" t="str">
        <f>'Table001 (Page 1-6)'!B61</f>
        <v>CR 329</v>
      </c>
      <c r="D68" s="28" t="str">
        <f>'Table001 (Page 1-6)'!C61</f>
        <v>US 441</v>
      </c>
      <c r="E68" s="28" t="str">
        <f>'Table001 (Page 1-6)'!D61</f>
        <v>JACKSONVILLE RD</v>
      </c>
      <c r="F68" s="29">
        <f>'Table001 (Page 1-6)'!E61</f>
        <v>2</v>
      </c>
      <c r="G68" s="29">
        <f>'Table001 (Page 1-6)'!K61</f>
        <v>2</v>
      </c>
      <c r="H68" s="30" t="str">
        <f>'Table001 (Page 1-6)'!R61</f>
        <v>B</v>
      </c>
      <c r="I68" s="28" t="str">
        <f>'Table001 (Page 1-6)'!F61</f>
        <v>COLLECTOR</v>
      </c>
      <c r="J68" s="29"/>
      <c r="K68" s="29"/>
      <c r="L68" s="29">
        <f>'Table001 (Page 1-6)'!I61</f>
        <v>9270</v>
      </c>
      <c r="M68" s="29"/>
      <c r="N68" s="29">
        <f>'Table001 (Page 1-6)'!J61</f>
        <v>486</v>
      </c>
      <c r="O68" s="29">
        <f>'Table001 (Page 1-6)'!L61</f>
        <v>9270</v>
      </c>
      <c r="P68" s="29"/>
      <c r="Q68" s="29">
        <f>'Table001 (Page 1-6)'!M61</f>
        <v>486</v>
      </c>
      <c r="R68" s="29" t="str">
        <f>'Table001 (Page 1-6)'!S61</f>
        <v>5,300</v>
      </c>
      <c r="S68" s="31" t="str">
        <f>'Table001 (Page 1-6)'!T61</f>
        <v>0.57</v>
      </c>
      <c r="T68" s="29" t="str">
        <f>'Table001 (Page 1-6)'!U61</f>
        <v>B</v>
      </c>
      <c r="U68" s="29"/>
      <c r="V68" s="29"/>
      <c r="W68" s="29"/>
      <c r="X68" s="29"/>
      <c r="Y68" s="29"/>
      <c r="Z68" s="29"/>
      <c r="AA68" s="29"/>
      <c r="AB68" s="29"/>
      <c r="AC68" s="31"/>
      <c r="AD68" s="29"/>
      <c r="AE68" s="29"/>
      <c r="AF68" s="29"/>
      <c r="AG68" s="31"/>
      <c r="AH68" s="29"/>
      <c r="AI68" s="32">
        <f>('Table001 (Page 1-6)'!V61)*100</f>
        <v>1</v>
      </c>
      <c r="AJ68" s="35"/>
      <c r="AK68" s="35"/>
      <c r="AL68" s="35"/>
      <c r="AM68" s="35"/>
    </row>
    <row r="69" spans="1:39" ht="18" customHeight="1" x14ac:dyDescent="0.25">
      <c r="A69" s="8"/>
      <c r="B69" s="37">
        <f>'Table001 (Page 1-6)'!A62</f>
        <v>1460</v>
      </c>
      <c r="C69" s="28" t="str">
        <f>'Table001 (Page 1-6)'!B62</f>
        <v>CR 329</v>
      </c>
      <c r="D69" s="28" t="str">
        <f>'Table001 (Page 1-6)'!C62</f>
        <v>JACKSONVILLE RD</v>
      </c>
      <c r="E69" s="28" t="str">
        <f>'Table001 (Page 1-6)'!D62</f>
        <v>NE 47 AV</v>
      </c>
      <c r="F69" s="29">
        <f>'Table001 (Page 1-6)'!E62</f>
        <v>2</v>
      </c>
      <c r="G69" s="29">
        <f>'Table001 (Page 1-6)'!K62</f>
        <v>2</v>
      </c>
      <c r="H69" s="30" t="str">
        <f>'Table001 (Page 1-6)'!R62</f>
        <v>D</v>
      </c>
      <c r="I69" s="28" t="str">
        <f>'Table001 (Page 1-6)'!F62</f>
        <v>COLLECTOR</v>
      </c>
      <c r="J69" s="29"/>
      <c r="K69" s="29"/>
      <c r="L69" s="29">
        <f>'Table001 (Page 1-6)'!I62</f>
        <v>19170</v>
      </c>
      <c r="M69" s="29"/>
      <c r="N69" s="29">
        <f>'Table001 (Page 1-6)'!J62</f>
        <v>999</v>
      </c>
      <c r="O69" s="29">
        <f>'Table001 (Page 1-6)'!L62</f>
        <v>19170</v>
      </c>
      <c r="P69" s="29"/>
      <c r="Q69" s="29">
        <f>'Table001 (Page 1-6)'!M62</f>
        <v>999</v>
      </c>
      <c r="R69" s="29" t="str">
        <f>'Table001 (Page 1-6)'!S62</f>
        <v>4,100</v>
      </c>
      <c r="S69" s="31" t="str">
        <f>'Table001 (Page 1-6)'!T62</f>
        <v>0.21</v>
      </c>
      <c r="T69" s="29" t="str">
        <f>'Table001 (Page 1-6)'!U62</f>
        <v>B</v>
      </c>
      <c r="U69" s="29"/>
      <c r="V69" s="29"/>
      <c r="W69" s="29"/>
      <c r="X69" s="29"/>
      <c r="Y69" s="29"/>
      <c r="Z69" s="29"/>
      <c r="AA69" s="29"/>
      <c r="AB69" s="29"/>
      <c r="AC69" s="31"/>
      <c r="AD69" s="29"/>
      <c r="AE69" s="29"/>
      <c r="AF69" s="29"/>
      <c r="AG69" s="31"/>
      <c r="AH69" s="29"/>
      <c r="AI69" s="32">
        <f>('Table001 (Page 1-6)'!V62)*100</f>
        <v>1</v>
      </c>
      <c r="AJ69" s="35"/>
      <c r="AK69" s="35"/>
      <c r="AL69" s="35"/>
      <c r="AM69" s="35"/>
    </row>
    <row r="70" spans="1:39" ht="18" customHeight="1" x14ac:dyDescent="0.25">
      <c r="A70" s="8"/>
      <c r="B70" s="37">
        <f>'Table001 (Page 1-6)'!A63</f>
        <v>1470</v>
      </c>
      <c r="C70" s="28" t="str">
        <f>'Table001 (Page 1-6)'!B63</f>
        <v>CR 336</v>
      </c>
      <c r="D70" s="28" t="str">
        <f>'Table001 (Page 1-6)'!C63</f>
        <v>COUNTY LINE</v>
      </c>
      <c r="E70" s="28" t="str">
        <f>'Table001 (Page 1-6)'!D63</f>
        <v>CR 40</v>
      </c>
      <c r="F70" s="29">
        <f>'Table001 (Page 1-6)'!E63</f>
        <v>2</v>
      </c>
      <c r="G70" s="29">
        <f>'Table001 (Page 1-6)'!K63</f>
        <v>2</v>
      </c>
      <c r="H70" s="30" t="str">
        <f>'Table001 (Page 1-6)'!R63</f>
        <v>D</v>
      </c>
      <c r="I70" s="28" t="str">
        <f>'Table001 (Page 1-6)'!F63</f>
        <v>COLLECTOR</v>
      </c>
      <c r="J70" s="29"/>
      <c r="K70" s="29"/>
      <c r="L70" s="29">
        <f>'Table001 (Page 1-6)'!I63</f>
        <v>19170</v>
      </c>
      <c r="M70" s="29"/>
      <c r="N70" s="29">
        <f>'Table001 (Page 1-6)'!J63</f>
        <v>999</v>
      </c>
      <c r="O70" s="29">
        <f>'Table001 (Page 1-6)'!L63</f>
        <v>19170</v>
      </c>
      <c r="P70" s="29"/>
      <c r="Q70" s="29">
        <f>'Table001 (Page 1-6)'!M63</f>
        <v>999</v>
      </c>
      <c r="R70" s="29" t="str">
        <f>'Table001 (Page 1-6)'!S63</f>
        <v>Not Counted</v>
      </c>
      <c r="S70" s="31" t="str">
        <f>'Table001 (Page 1-6)'!T63</f>
        <v>N/A</v>
      </c>
      <c r="T70" s="29" t="str">
        <f>'Table001 (Page 1-6)'!U63</f>
        <v>N/A</v>
      </c>
      <c r="U70" s="29"/>
      <c r="V70" s="29"/>
      <c r="W70" s="29"/>
      <c r="X70" s="29"/>
      <c r="Y70" s="29"/>
      <c r="Z70" s="29"/>
      <c r="AA70" s="29"/>
      <c r="AB70" s="29"/>
      <c r="AC70" s="31"/>
      <c r="AD70" s="29"/>
      <c r="AE70" s="29"/>
      <c r="AF70" s="29"/>
      <c r="AG70" s="31"/>
      <c r="AH70" s="29"/>
      <c r="AI70" s="32">
        <f>('Table001 (Page 1-6)'!V63)*100</f>
        <v>1</v>
      </c>
      <c r="AJ70" s="35"/>
      <c r="AK70" s="35"/>
      <c r="AL70" s="35"/>
      <c r="AM70" s="35"/>
    </row>
    <row r="71" spans="1:39" ht="18" customHeight="1" x14ac:dyDescent="0.25">
      <c r="A71" s="8"/>
      <c r="B71" s="37">
        <f>'Table001 (Page 1-6)'!A64</f>
        <v>1480</v>
      </c>
      <c r="C71" s="28" t="str">
        <f>'Table001 (Page 1-6)'!B64</f>
        <v>CR 35</v>
      </c>
      <c r="D71" s="28" t="str">
        <f>'Table001 (Page 1-6)'!C64</f>
        <v>SR 40</v>
      </c>
      <c r="E71" s="28" t="str">
        <f>'Table001 (Page 1-6)'!D64</f>
        <v>NE 35 ST</v>
      </c>
      <c r="F71" s="29">
        <f>'Table001 (Page 1-6)'!E64</f>
        <v>2</v>
      </c>
      <c r="G71" s="29">
        <f>'Table001 (Page 1-6)'!K64</f>
        <v>2</v>
      </c>
      <c r="H71" s="30" t="str">
        <f>'Table001 (Page 1-6)'!R64</f>
        <v>E</v>
      </c>
      <c r="I71" s="28" t="str">
        <f>'Table001 (Page 1-6)'!F64</f>
        <v>COLLECTOR</v>
      </c>
      <c r="J71" s="29"/>
      <c r="K71" s="29"/>
      <c r="L71" s="29">
        <f>'Table001 (Page 1-6)'!I64</f>
        <v>11232</v>
      </c>
      <c r="M71" s="29"/>
      <c r="N71" s="29">
        <f>'Table001 (Page 1-6)'!J64</f>
        <v>576</v>
      </c>
      <c r="O71" s="29">
        <f>'Table001 (Page 1-6)'!L64</f>
        <v>11232</v>
      </c>
      <c r="P71" s="29"/>
      <c r="Q71" s="29">
        <f>'Table001 (Page 1-6)'!M64</f>
        <v>576</v>
      </c>
      <c r="R71" s="29" t="str">
        <f>'Table001 (Page 1-6)'!S64</f>
        <v>9,600</v>
      </c>
      <c r="S71" s="31" t="str">
        <f>'Table001 (Page 1-6)'!T64</f>
        <v>0.85</v>
      </c>
      <c r="T71" s="29" t="str">
        <f>'Table001 (Page 1-6)'!U64</f>
        <v>D</v>
      </c>
      <c r="U71" s="29"/>
      <c r="V71" s="29"/>
      <c r="W71" s="29"/>
      <c r="X71" s="29"/>
      <c r="Y71" s="29"/>
      <c r="Z71" s="29"/>
      <c r="AA71" s="29"/>
      <c r="AB71" s="29"/>
      <c r="AC71" s="31"/>
      <c r="AD71" s="29"/>
      <c r="AE71" s="29"/>
      <c r="AF71" s="29"/>
      <c r="AG71" s="31"/>
      <c r="AH71" s="29"/>
      <c r="AI71" s="32">
        <f>('Table001 (Page 1-6)'!V64)*100</f>
        <v>2.52</v>
      </c>
      <c r="AJ71" s="35"/>
      <c r="AK71" s="35"/>
      <c r="AL71" s="35"/>
      <c r="AM71" s="35"/>
    </row>
    <row r="72" spans="1:39" ht="18" customHeight="1" x14ac:dyDescent="0.25">
      <c r="A72" s="8"/>
      <c r="B72" s="37">
        <f>'Table001 (Page 1-6)'!A65</f>
        <v>1490</v>
      </c>
      <c r="C72" s="28" t="str">
        <f>'Table001 (Page 1-6)'!B65</f>
        <v>CR 35</v>
      </c>
      <c r="D72" s="28" t="str">
        <f>'Table001 (Page 1-6)'!C65</f>
        <v>NE 35 ST</v>
      </c>
      <c r="E72" s="28" t="str">
        <f>'Table001 (Page 1-6)'!D65</f>
        <v>NE 58 AV</v>
      </c>
      <c r="F72" s="29">
        <f>'Table001 (Page 1-6)'!E65</f>
        <v>2</v>
      </c>
      <c r="G72" s="29">
        <f>'Table001 (Page 1-6)'!K65</f>
        <v>2</v>
      </c>
      <c r="H72" s="30" t="str">
        <f>'Table001 (Page 1-6)'!R65</f>
        <v>E</v>
      </c>
      <c r="I72" s="28" t="str">
        <f>'Table001 (Page 1-6)'!F65</f>
        <v>COLLECTOR</v>
      </c>
      <c r="J72" s="29"/>
      <c r="K72" s="29"/>
      <c r="L72" s="29">
        <f>'Table001 (Page 1-6)'!I65</f>
        <v>12744</v>
      </c>
      <c r="M72" s="29"/>
      <c r="N72" s="29">
        <f>'Table001 (Page 1-6)'!J65</f>
        <v>634</v>
      </c>
      <c r="O72" s="29">
        <f>'Table001 (Page 1-6)'!L65</f>
        <v>12744</v>
      </c>
      <c r="P72" s="29"/>
      <c r="Q72" s="29">
        <f>'Table001 (Page 1-6)'!M65</f>
        <v>634</v>
      </c>
      <c r="R72" s="29" t="str">
        <f>'Table001 (Page 1-6)'!S65</f>
        <v>6,000</v>
      </c>
      <c r="S72" s="31" t="str">
        <f>'Table001 (Page 1-6)'!T65</f>
        <v>0.47</v>
      </c>
      <c r="T72" s="29" t="str">
        <f>'Table001 (Page 1-6)'!U65</f>
        <v>C</v>
      </c>
      <c r="U72" s="29"/>
      <c r="V72" s="29"/>
      <c r="W72" s="29"/>
      <c r="X72" s="29"/>
      <c r="Y72" s="29"/>
      <c r="Z72" s="29"/>
      <c r="AA72" s="29"/>
      <c r="AB72" s="29"/>
      <c r="AC72" s="31"/>
      <c r="AD72" s="29"/>
      <c r="AE72" s="29"/>
      <c r="AF72" s="29"/>
      <c r="AG72" s="31"/>
      <c r="AH72" s="29"/>
      <c r="AI72" s="32">
        <f>('Table001 (Page 1-6)'!V65)*100</f>
        <v>2.6100000000000003</v>
      </c>
      <c r="AJ72" s="35"/>
      <c r="AK72" s="35"/>
      <c r="AL72" s="35"/>
      <c r="AM72" s="35"/>
    </row>
    <row r="73" spans="1:39" ht="18" customHeight="1" x14ac:dyDescent="0.25">
      <c r="A73" s="8"/>
      <c r="B73" s="37">
        <f>'Table001 (Page 1-6)'!A66</f>
        <v>1500</v>
      </c>
      <c r="C73" s="28" t="str">
        <f>'Table001 (Page 1-6)'!B66</f>
        <v>CR 35</v>
      </c>
      <c r="D73" s="28" t="str">
        <f>'Table001 (Page 1-6)'!C66</f>
        <v>NE 58 AV</v>
      </c>
      <c r="E73" s="28" t="str">
        <f>'Table001 (Page 1-6)'!D66</f>
        <v>SR 326</v>
      </c>
      <c r="F73" s="29">
        <f>'Table001 (Page 1-6)'!E66</f>
        <v>2</v>
      </c>
      <c r="G73" s="29">
        <f>'Table001 (Page 1-6)'!K66</f>
        <v>2</v>
      </c>
      <c r="H73" s="30" t="str">
        <f>'Table001 (Page 1-6)'!R66</f>
        <v>E</v>
      </c>
      <c r="I73" s="28" t="str">
        <f>'Table001 (Page 1-6)'!F66</f>
        <v>COLLECTOR</v>
      </c>
      <c r="J73" s="29"/>
      <c r="K73" s="29"/>
      <c r="L73" s="29">
        <f>'Table001 (Page 1-6)'!I66</f>
        <v>29340</v>
      </c>
      <c r="M73" s="29"/>
      <c r="N73" s="29">
        <f>'Table001 (Page 1-6)'!J66</f>
        <v>1449</v>
      </c>
      <c r="O73" s="29">
        <f>'Table001 (Page 1-6)'!L66</f>
        <v>29340</v>
      </c>
      <c r="P73" s="29"/>
      <c r="Q73" s="29">
        <f>'Table001 (Page 1-6)'!M66</f>
        <v>1449</v>
      </c>
      <c r="R73" s="29" t="str">
        <f>'Table001 (Page 1-6)'!S66</f>
        <v>6,000</v>
      </c>
      <c r="S73" s="31" t="str">
        <f>'Table001 (Page 1-6)'!T66</f>
        <v>0.2</v>
      </c>
      <c r="T73" s="29" t="str">
        <f>'Table001 (Page 1-6)'!U66</f>
        <v>B</v>
      </c>
      <c r="U73" s="29"/>
      <c r="V73" s="29"/>
      <c r="W73" s="29"/>
      <c r="X73" s="29"/>
      <c r="Y73" s="29"/>
      <c r="Z73" s="29"/>
      <c r="AA73" s="29"/>
      <c r="AB73" s="29"/>
      <c r="AC73" s="31"/>
      <c r="AD73" s="29"/>
      <c r="AE73" s="29"/>
      <c r="AF73" s="29"/>
      <c r="AG73" s="31"/>
      <c r="AH73" s="29"/>
      <c r="AI73" s="32">
        <f>('Table001 (Page 1-6)'!V66)*100</f>
        <v>3.01</v>
      </c>
      <c r="AJ73" s="35"/>
      <c r="AK73" s="35"/>
      <c r="AL73" s="35"/>
      <c r="AM73" s="35"/>
    </row>
    <row r="74" spans="1:39" ht="18" customHeight="1" x14ac:dyDescent="0.25">
      <c r="A74" s="8"/>
      <c r="B74" s="37">
        <f>'Table001 (Page 1-6)'!A67</f>
        <v>1510</v>
      </c>
      <c r="C74" s="28" t="str">
        <f>'Table001 (Page 1-6)'!B67</f>
        <v>CR 35</v>
      </c>
      <c r="D74" s="28" t="str">
        <f>'Table001 (Page 1-6)'!C67</f>
        <v>SR 326</v>
      </c>
      <c r="E74" s="28" t="str">
        <f>'Table001 (Page 1-6)'!D67</f>
        <v>NE 97TH ST RD</v>
      </c>
      <c r="F74" s="29">
        <f>'Table001 (Page 1-6)'!E67</f>
        <v>2</v>
      </c>
      <c r="G74" s="29">
        <f>'Table001 (Page 1-6)'!K67</f>
        <v>2</v>
      </c>
      <c r="H74" s="30" t="str">
        <f>'Table001 (Page 1-6)'!R67</f>
        <v>E</v>
      </c>
      <c r="I74" s="28" t="str">
        <f>'Table001 (Page 1-6)'!F67</f>
        <v>COLLECTOR</v>
      </c>
      <c r="J74" s="29"/>
      <c r="K74" s="29"/>
      <c r="L74" s="29">
        <f>'Table001 (Page 1-6)'!I67</f>
        <v>25650</v>
      </c>
      <c r="M74" s="29"/>
      <c r="N74" s="29">
        <f>'Table001 (Page 1-6)'!J67</f>
        <v>1341</v>
      </c>
      <c r="O74" s="29">
        <f>'Table001 (Page 1-6)'!L67</f>
        <v>25650</v>
      </c>
      <c r="P74" s="29"/>
      <c r="Q74" s="29">
        <f>'Table001 (Page 1-6)'!M67</f>
        <v>1341</v>
      </c>
      <c r="R74" s="29" t="str">
        <f>'Table001 (Page 1-6)'!S67</f>
        <v>3,100</v>
      </c>
      <c r="S74" s="31" t="str">
        <f>'Table001 (Page 1-6)'!T67</f>
        <v>0.12</v>
      </c>
      <c r="T74" s="29" t="str">
        <f>'Table001 (Page 1-6)'!U67</f>
        <v>B</v>
      </c>
      <c r="U74" s="29"/>
      <c r="V74" s="29"/>
      <c r="W74" s="29"/>
      <c r="X74" s="29"/>
      <c r="Y74" s="29"/>
      <c r="Z74" s="29"/>
      <c r="AA74" s="29"/>
      <c r="AB74" s="29"/>
      <c r="AC74" s="31"/>
      <c r="AD74" s="29"/>
      <c r="AE74" s="29"/>
      <c r="AF74" s="29"/>
      <c r="AG74" s="31"/>
      <c r="AH74" s="29"/>
      <c r="AI74" s="32">
        <f>('Table001 (Page 1-6)'!V67)*100</f>
        <v>3.71</v>
      </c>
      <c r="AJ74" s="35"/>
      <c r="AK74" s="35"/>
      <c r="AL74" s="35"/>
      <c r="AM74" s="35"/>
    </row>
    <row r="75" spans="1:39" ht="18" customHeight="1" x14ac:dyDescent="0.25">
      <c r="A75" s="8"/>
      <c r="B75" s="37">
        <f>'Table001 (Page 1-6)'!A68</f>
        <v>1520.2</v>
      </c>
      <c r="C75" s="28" t="str">
        <f>'Table001 (Page 1-6)'!B68</f>
        <v>CR 40</v>
      </c>
      <c r="D75" s="28" t="str">
        <f>'Table001 (Page 1-6)'!C68</f>
        <v>COUNTY LINE (W)</v>
      </c>
      <c r="E75" s="28" t="str">
        <f>'Table001 (Page 1-6)'!D68</f>
        <v>CR 336</v>
      </c>
      <c r="F75" s="29">
        <f>'Table001 (Page 1-6)'!E68</f>
        <v>2</v>
      </c>
      <c r="G75" s="29">
        <f>'Table001 (Page 1-6)'!K68</f>
        <v>2</v>
      </c>
      <c r="H75" s="30" t="str">
        <f>'Table001 (Page 1-6)'!R68</f>
        <v>D</v>
      </c>
      <c r="I75" s="28" t="str">
        <f>'Table001 (Page 1-6)'!F68</f>
        <v>COLLECTOR</v>
      </c>
      <c r="J75" s="29"/>
      <c r="K75" s="29"/>
      <c r="L75" s="29">
        <f>'Table001 (Page 1-6)'!I68</f>
        <v>19170</v>
      </c>
      <c r="M75" s="29"/>
      <c r="N75" s="29">
        <f>'Table001 (Page 1-6)'!J68</f>
        <v>999</v>
      </c>
      <c r="O75" s="29">
        <f>'Table001 (Page 1-6)'!L68</f>
        <v>19170</v>
      </c>
      <c r="P75" s="29"/>
      <c r="Q75" s="29">
        <f>'Table001 (Page 1-6)'!M68</f>
        <v>999</v>
      </c>
      <c r="R75" s="29" t="str">
        <f>'Table001 (Page 1-6)'!S68</f>
        <v>3,700</v>
      </c>
      <c r="S75" s="31" t="str">
        <f>'Table001 (Page 1-6)'!T68</f>
        <v>0.19</v>
      </c>
      <c r="T75" s="29" t="str">
        <f>'Table001 (Page 1-6)'!U68</f>
        <v>B</v>
      </c>
      <c r="U75" s="29"/>
      <c r="V75" s="29"/>
      <c r="W75" s="29"/>
      <c r="X75" s="29"/>
      <c r="Y75" s="29"/>
      <c r="Z75" s="29"/>
      <c r="AA75" s="29"/>
      <c r="AB75" s="29"/>
      <c r="AC75" s="31"/>
      <c r="AD75" s="29"/>
      <c r="AE75" s="29"/>
      <c r="AF75" s="29"/>
      <c r="AG75" s="31"/>
      <c r="AH75" s="29"/>
      <c r="AI75" s="32">
        <f>('Table001 (Page 1-6)'!V68)*100</f>
        <v>9.1</v>
      </c>
      <c r="AJ75" s="35"/>
      <c r="AK75" s="35"/>
      <c r="AL75" s="35"/>
      <c r="AM75" s="35"/>
    </row>
    <row r="76" spans="1:39" ht="18" customHeight="1" x14ac:dyDescent="0.25">
      <c r="A76" s="8"/>
      <c r="B76" s="37">
        <f>'Table001 (Page 1-6)'!A69</f>
        <v>1530</v>
      </c>
      <c r="C76" s="28" t="str">
        <f>'Table001 (Page 1-6)'!B69</f>
        <v>CR 40</v>
      </c>
      <c r="D76" s="28" t="str">
        <f>'Table001 (Page 1-6)'!C69</f>
        <v>CR 336</v>
      </c>
      <c r="E76" s="28" t="str">
        <f>'Table001 (Page 1-6)'!D69</f>
        <v>URBAN AREA BOUNDRY</v>
      </c>
      <c r="F76" s="29">
        <f>'Table001 (Page 1-6)'!E69</f>
        <v>2</v>
      </c>
      <c r="G76" s="29">
        <f>'Table001 (Page 1-6)'!K69</f>
        <v>2</v>
      </c>
      <c r="H76" s="30" t="str">
        <f>'Table001 (Page 1-6)'!R69</f>
        <v>D</v>
      </c>
      <c r="I76" s="28" t="str">
        <f>'Table001 (Page 1-6)'!F69</f>
        <v>COLLECTOR</v>
      </c>
      <c r="J76" s="29"/>
      <c r="K76" s="29"/>
      <c r="L76" s="29">
        <f>'Table001 (Page 1-6)'!I69</f>
        <v>19170</v>
      </c>
      <c r="M76" s="29"/>
      <c r="N76" s="29">
        <f>'Table001 (Page 1-6)'!J69</f>
        <v>999</v>
      </c>
      <c r="O76" s="29">
        <f>'Table001 (Page 1-6)'!L69</f>
        <v>19170</v>
      </c>
      <c r="P76" s="29"/>
      <c r="Q76" s="29">
        <f>'Table001 (Page 1-6)'!M69</f>
        <v>999</v>
      </c>
      <c r="R76" s="29" t="str">
        <f>'Table001 (Page 1-6)'!S69</f>
        <v>3,400</v>
      </c>
      <c r="S76" s="31" t="str">
        <f>'Table001 (Page 1-6)'!T69</f>
        <v>0.18</v>
      </c>
      <c r="T76" s="29" t="str">
        <f>'Table001 (Page 1-6)'!U69</f>
        <v>B</v>
      </c>
      <c r="U76" s="29"/>
      <c r="V76" s="29"/>
      <c r="W76" s="29"/>
      <c r="X76" s="29"/>
      <c r="Y76" s="29"/>
      <c r="Z76" s="29"/>
      <c r="AA76" s="29"/>
      <c r="AB76" s="29"/>
      <c r="AC76" s="31"/>
      <c r="AD76" s="29"/>
      <c r="AE76" s="29"/>
      <c r="AF76" s="29"/>
      <c r="AG76" s="31"/>
      <c r="AH76" s="29"/>
      <c r="AI76" s="32">
        <f>('Table001 (Page 1-6)'!V69)*100</f>
        <v>1</v>
      </c>
      <c r="AJ76" s="35"/>
      <c r="AK76" s="35"/>
      <c r="AL76" s="35"/>
      <c r="AM76" s="35"/>
    </row>
    <row r="77" spans="1:39" x14ac:dyDescent="0.25">
      <c r="B77" s="37">
        <f>'Table001 (Page 1-6)'!A70</f>
        <v>1540.1</v>
      </c>
      <c r="C77" s="28" t="str">
        <f>'Table001 (Page 1-6)'!B70</f>
        <v>CR 40</v>
      </c>
      <c r="D77" s="28" t="str">
        <f>'Table001 (Page 1-6)'!C70</f>
        <v>URBAN AREA BOUNDRY</v>
      </c>
      <c r="E77" s="28" t="str">
        <f>'Table001 (Page 1-6)'!D70</f>
        <v>SW ROLLING HILLS RD</v>
      </c>
      <c r="F77" s="29">
        <f>'Table001 (Page 1-6)'!E70</f>
        <v>2</v>
      </c>
      <c r="G77" s="29">
        <f>'Table001 (Page 1-6)'!K70</f>
        <v>2</v>
      </c>
      <c r="H77" s="30" t="str">
        <f>'Table001 (Page 1-6)'!R70</f>
        <v>E</v>
      </c>
      <c r="I77" s="28" t="str">
        <f>'Table001 (Page 1-6)'!F70</f>
        <v>COLLECTOR</v>
      </c>
      <c r="J77" s="29"/>
      <c r="K77" s="29"/>
      <c r="L77" s="29">
        <f>'Table001 (Page 1-6)'!I70</f>
        <v>29340</v>
      </c>
      <c r="M77" s="29"/>
      <c r="N77" s="29">
        <f>'Table001 (Page 1-6)'!J70</f>
        <v>1449</v>
      </c>
      <c r="O77" s="29">
        <f>'Table001 (Page 1-6)'!L70</f>
        <v>29340</v>
      </c>
      <c r="P77" s="29"/>
      <c r="Q77" s="29">
        <f>'Table001 (Page 1-6)'!M70</f>
        <v>1449</v>
      </c>
      <c r="R77" s="29" t="str">
        <f>'Table001 (Page 1-6)'!S70</f>
        <v>3,700</v>
      </c>
      <c r="S77" s="31" t="str">
        <f>'Table001 (Page 1-6)'!T70</f>
        <v>0.13</v>
      </c>
      <c r="T77" s="29" t="str">
        <f>'Table001 (Page 1-6)'!U70</f>
        <v>B</v>
      </c>
      <c r="U77" s="29"/>
      <c r="V77" s="29"/>
      <c r="W77" s="29"/>
      <c r="X77" s="29"/>
      <c r="Y77" s="29"/>
      <c r="Z77" s="29"/>
      <c r="AA77" s="29"/>
      <c r="AB77" s="29"/>
      <c r="AC77" s="31"/>
      <c r="AD77" s="29"/>
      <c r="AE77" s="29"/>
      <c r="AF77" s="29"/>
      <c r="AG77" s="31"/>
      <c r="AH77" s="29"/>
      <c r="AI77" s="32">
        <f>('Table001 (Page 1-6)'!V70)*100</f>
        <v>1</v>
      </c>
      <c r="AJ77" s="35"/>
      <c r="AK77" s="35"/>
      <c r="AL77" s="35"/>
      <c r="AM77" s="35"/>
    </row>
    <row r="78" spans="1:39" x14ac:dyDescent="0.25">
      <c r="B78" s="37">
        <f>'Table001 (Page 1-6)'!A71</f>
        <v>1550.1</v>
      </c>
      <c r="C78" s="28" t="str">
        <f>'Table001 (Page 1-6)'!B71</f>
        <v>CR 42</v>
      </c>
      <c r="D78" s="28" t="str">
        <f>'Table001 (Page 1-6)'!C71</f>
        <v>CR 475</v>
      </c>
      <c r="E78" s="28" t="str">
        <f>'Table001 (Page 1-6)'!D71</f>
        <v>US 301</v>
      </c>
      <c r="F78" s="29">
        <f>'Table001 (Page 1-6)'!E71</f>
        <v>2</v>
      </c>
      <c r="G78" s="29">
        <f>'Table001 (Page 1-6)'!K71</f>
        <v>2</v>
      </c>
      <c r="H78" s="30" t="str">
        <f>'Table001 (Page 1-6)'!R71</f>
        <v>D</v>
      </c>
      <c r="I78" s="28" t="str">
        <f>'Table001 (Page 1-6)'!F71</f>
        <v>COLLECTOR</v>
      </c>
      <c r="J78" s="29"/>
      <c r="K78" s="29"/>
      <c r="L78" s="29">
        <f>'Table001 (Page 1-6)'!I71</f>
        <v>19170</v>
      </c>
      <c r="M78" s="29"/>
      <c r="N78" s="29">
        <f>'Table001 (Page 1-6)'!J71</f>
        <v>999</v>
      </c>
      <c r="O78" s="29">
        <f>'Table001 (Page 1-6)'!L71</f>
        <v>19170</v>
      </c>
      <c r="P78" s="29"/>
      <c r="Q78" s="29">
        <f>'Table001 (Page 1-6)'!M71</f>
        <v>999</v>
      </c>
      <c r="R78" s="29" t="str">
        <f>'Table001 (Page 1-6)'!S71</f>
        <v>5,300</v>
      </c>
      <c r="S78" s="31" t="str">
        <f>'Table001 (Page 1-6)'!T71</f>
        <v>0.28</v>
      </c>
      <c r="T78" s="29" t="str">
        <f>'Table001 (Page 1-6)'!U71</f>
        <v>B</v>
      </c>
      <c r="U78" s="29"/>
      <c r="V78" s="29"/>
      <c r="W78" s="29"/>
      <c r="X78" s="29"/>
      <c r="Y78" s="29"/>
      <c r="Z78" s="29"/>
      <c r="AA78" s="29"/>
      <c r="AB78" s="29"/>
      <c r="AC78" s="31"/>
      <c r="AD78" s="29"/>
      <c r="AE78" s="29"/>
      <c r="AF78" s="29"/>
      <c r="AG78" s="31"/>
      <c r="AH78" s="29"/>
      <c r="AI78" s="32">
        <f>('Table001 (Page 1-6)'!V71)*100</f>
        <v>1</v>
      </c>
      <c r="AJ78" s="35"/>
      <c r="AK78" s="35"/>
      <c r="AL78" s="35"/>
      <c r="AM78" s="35"/>
    </row>
    <row r="79" spans="1:39" x14ac:dyDescent="0.25">
      <c r="B79" s="37">
        <f>'Table001 (Page 1-6)'!A72</f>
        <v>1560</v>
      </c>
      <c r="C79" s="28" t="str">
        <f>'Table001 (Page 1-6)'!B72</f>
        <v>CR 42</v>
      </c>
      <c r="D79" s="28" t="str">
        <f>'Table001 (Page 1-6)'!C72</f>
        <v>US 301</v>
      </c>
      <c r="E79" s="28" t="str">
        <f>'Table001 (Page 1-6)'!D72</f>
        <v>SE 77 AV</v>
      </c>
      <c r="F79" s="29">
        <f>'Table001 (Page 1-6)'!E72</f>
        <v>4</v>
      </c>
      <c r="G79" s="29">
        <f>'Table001 (Page 1-6)'!K72</f>
        <v>4</v>
      </c>
      <c r="H79" s="30" t="str">
        <f>'Table001 (Page 1-6)'!R72</f>
        <v>E</v>
      </c>
      <c r="I79" s="28" t="str">
        <f>'Table001 (Page 1-6)'!F72</f>
        <v>ARTERIAL</v>
      </c>
      <c r="J79" s="29"/>
      <c r="K79" s="29"/>
      <c r="L79" s="29">
        <f>'Table001 (Page 1-6)'!I72</f>
        <v>35820</v>
      </c>
      <c r="M79" s="29"/>
      <c r="N79" s="29">
        <f>'Table001 (Page 1-6)'!J72</f>
        <v>1800</v>
      </c>
      <c r="O79" s="29">
        <f>'Table001 (Page 1-6)'!L72</f>
        <v>35820</v>
      </c>
      <c r="P79" s="29"/>
      <c r="Q79" s="29">
        <f>'Table001 (Page 1-6)'!M72</f>
        <v>1800</v>
      </c>
      <c r="R79" s="29" t="str">
        <f>'Table001 (Page 1-6)'!S72</f>
        <v>18,300</v>
      </c>
      <c r="S79" s="31" t="str">
        <f>'Table001 (Page 1-6)'!T72</f>
        <v>0.51</v>
      </c>
      <c r="T79" s="29" t="str">
        <f>'Table001 (Page 1-6)'!U72</f>
        <v>C</v>
      </c>
      <c r="U79" s="29"/>
      <c r="V79" s="29"/>
      <c r="W79" s="29"/>
      <c r="X79" s="29"/>
      <c r="Y79" s="29"/>
      <c r="Z79" s="29"/>
      <c r="AA79" s="29"/>
      <c r="AB79" s="29"/>
      <c r="AC79" s="31"/>
      <c r="AD79" s="29"/>
      <c r="AE79" s="29"/>
      <c r="AF79" s="29"/>
      <c r="AG79" s="31"/>
      <c r="AH79" s="29"/>
      <c r="AI79" s="32">
        <f>('Table001 (Page 1-6)'!V72)*100</f>
        <v>5.0500000000000007</v>
      </c>
      <c r="AJ79" s="35"/>
      <c r="AK79" s="35"/>
      <c r="AL79" s="35"/>
      <c r="AM79" s="35"/>
    </row>
    <row r="80" spans="1:39" x14ac:dyDescent="0.25">
      <c r="B80" s="37">
        <f>'Table001 (Page 1-6)'!A73</f>
        <v>1570</v>
      </c>
      <c r="C80" s="28" t="str">
        <f>'Table001 (Page 1-6)'!B73</f>
        <v>CR 42</v>
      </c>
      <c r="D80" s="28" t="str">
        <f>'Table001 (Page 1-6)'!C73</f>
        <v>SE 77 AV</v>
      </c>
      <c r="E80" s="28" t="str">
        <f>'Table001 (Page 1-6)'!D73</f>
        <v>US 441</v>
      </c>
      <c r="F80" s="29">
        <f>'Table001 (Page 1-6)'!E73</f>
        <v>4</v>
      </c>
      <c r="G80" s="29">
        <f>'Table001 (Page 1-6)'!K73</f>
        <v>4</v>
      </c>
      <c r="H80" s="30" t="str">
        <f>'Table001 (Page 1-6)'!R73</f>
        <v>E</v>
      </c>
      <c r="I80" s="28" t="str">
        <f>'Table001 (Page 1-6)'!F73</f>
        <v>ARTERIAL</v>
      </c>
      <c r="J80" s="29"/>
      <c r="K80" s="29"/>
      <c r="L80" s="29">
        <f>'Table001 (Page 1-6)'!I73</f>
        <v>35820</v>
      </c>
      <c r="M80" s="29"/>
      <c r="N80" s="29">
        <f>'Table001 (Page 1-6)'!J73</f>
        <v>1800</v>
      </c>
      <c r="O80" s="29">
        <f>'Table001 (Page 1-6)'!L73</f>
        <v>35820</v>
      </c>
      <c r="P80" s="29"/>
      <c r="Q80" s="29">
        <f>'Table001 (Page 1-6)'!M73</f>
        <v>1800</v>
      </c>
      <c r="R80" s="29" t="str">
        <f>'Table001 (Page 1-6)'!S73</f>
        <v>18,300</v>
      </c>
      <c r="S80" s="31" t="str">
        <f>'Table001 (Page 1-6)'!T73</f>
        <v>0.51</v>
      </c>
      <c r="T80" s="29" t="str">
        <f>'Table001 (Page 1-6)'!U73</f>
        <v>C</v>
      </c>
      <c r="U80" s="29"/>
      <c r="V80" s="29"/>
      <c r="W80" s="29"/>
      <c r="X80" s="29"/>
      <c r="Y80" s="29"/>
      <c r="Z80" s="29"/>
      <c r="AA80" s="29"/>
      <c r="AB80" s="29"/>
      <c r="AC80" s="31"/>
      <c r="AD80" s="29"/>
      <c r="AE80" s="29"/>
      <c r="AF80" s="29"/>
      <c r="AG80" s="31"/>
      <c r="AH80" s="29"/>
      <c r="AI80" s="32">
        <f>('Table001 (Page 1-6)'!V73)*100</f>
        <v>5.0500000000000007</v>
      </c>
      <c r="AJ80" s="35"/>
      <c r="AK80" s="35"/>
      <c r="AL80" s="35"/>
      <c r="AM80" s="35"/>
    </row>
    <row r="81" spans="2:39" x14ac:dyDescent="0.25">
      <c r="B81" s="37">
        <f>'Table001 (Page 1-6)'!A74</f>
        <v>1610.1</v>
      </c>
      <c r="C81" s="28" t="str">
        <f>'Table001 (Page 1-6)'!B74</f>
        <v>CR 42</v>
      </c>
      <c r="D81" s="28" t="str">
        <f>'Table001 (Page 1-6)'!C74</f>
        <v>US 441</v>
      </c>
      <c r="E81" s="28" t="str">
        <f>'Table001 (Page 1-6)'!D74</f>
        <v>SE 130 AVE</v>
      </c>
      <c r="F81" s="29">
        <f>'Table001 (Page 1-6)'!E74</f>
        <v>2</v>
      </c>
      <c r="G81" s="29">
        <f>'Table001 (Page 1-6)'!K74</f>
        <v>2</v>
      </c>
      <c r="H81" s="30" t="str">
        <f>'Table001 (Page 1-6)'!R74</f>
        <v>E</v>
      </c>
      <c r="I81" s="28" t="str">
        <f>'Table001 (Page 1-6)'!F74</f>
        <v>COLLECTOR</v>
      </c>
      <c r="J81" s="29"/>
      <c r="K81" s="29"/>
      <c r="L81" s="29">
        <f>'Table001 (Page 1-6)'!I74</f>
        <v>29340</v>
      </c>
      <c r="M81" s="29"/>
      <c r="N81" s="29">
        <f>'Table001 (Page 1-6)'!J74</f>
        <v>1449</v>
      </c>
      <c r="O81" s="29">
        <f>'Table001 (Page 1-6)'!L74</f>
        <v>29340</v>
      </c>
      <c r="P81" s="29"/>
      <c r="Q81" s="29">
        <f>'Table001 (Page 1-6)'!M74</f>
        <v>1449</v>
      </c>
      <c r="R81" s="29" t="str">
        <f>'Table001 (Page 1-6)'!S74</f>
        <v>14,100</v>
      </c>
      <c r="S81" s="31" t="str">
        <f>'Table001 (Page 1-6)'!T74</f>
        <v>0.48</v>
      </c>
      <c r="T81" s="29" t="str">
        <f>'Table001 (Page 1-6)'!U74</f>
        <v>C</v>
      </c>
      <c r="U81" s="29"/>
      <c r="V81" s="29"/>
      <c r="W81" s="29"/>
      <c r="X81" s="29"/>
      <c r="Y81" s="29"/>
      <c r="Z81" s="29"/>
      <c r="AA81" s="29"/>
      <c r="AB81" s="29"/>
      <c r="AC81" s="31"/>
      <c r="AD81" s="29"/>
      <c r="AE81" s="29"/>
      <c r="AF81" s="29"/>
      <c r="AG81" s="31"/>
      <c r="AH81" s="29"/>
      <c r="AI81" s="32">
        <f>('Table001 (Page 1-6)'!V74)*100</f>
        <v>6.58</v>
      </c>
      <c r="AJ81" s="35"/>
      <c r="AK81" s="35"/>
      <c r="AL81" s="35"/>
      <c r="AM81" s="35"/>
    </row>
    <row r="82" spans="2:39" x14ac:dyDescent="0.25">
      <c r="B82" s="37">
        <f>'Table001 (Page 1-6)'!A75</f>
        <v>1610.2</v>
      </c>
      <c r="C82" s="28" t="str">
        <f>'Table001 (Page 1-6)'!B75</f>
        <v>CR 42</v>
      </c>
      <c r="D82" s="28" t="str">
        <f>'Table001 (Page 1-6)'!C75</f>
        <v>SE 130 AVE</v>
      </c>
      <c r="E82" s="28" t="str">
        <f>'Table001 (Page 1-6)'!D75</f>
        <v>CR 25</v>
      </c>
      <c r="F82" s="29">
        <f>'Table001 (Page 1-6)'!E75</f>
        <v>2</v>
      </c>
      <c r="G82" s="29">
        <f>'Table001 (Page 1-6)'!K75</f>
        <v>2</v>
      </c>
      <c r="H82" s="30" t="str">
        <f>'Table001 (Page 1-6)'!R75</f>
        <v>E</v>
      </c>
      <c r="I82" s="28" t="str">
        <f>'Table001 (Page 1-6)'!F75</f>
        <v>COLLECTOR</v>
      </c>
      <c r="J82" s="29"/>
      <c r="K82" s="29"/>
      <c r="L82" s="29">
        <f>'Table001 (Page 1-6)'!I75</f>
        <v>29340</v>
      </c>
      <c r="M82" s="29"/>
      <c r="N82" s="29">
        <f>'Table001 (Page 1-6)'!J75</f>
        <v>1449</v>
      </c>
      <c r="O82" s="29">
        <f>'Table001 (Page 1-6)'!L75</f>
        <v>29340</v>
      </c>
      <c r="P82" s="29"/>
      <c r="Q82" s="29">
        <f>'Table001 (Page 1-6)'!M75</f>
        <v>1449</v>
      </c>
      <c r="R82" s="29" t="str">
        <f>'Table001 (Page 1-6)'!S75</f>
        <v>10,800</v>
      </c>
      <c r="S82" s="31" t="str">
        <f>'Table001 (Page 1-6)'!T75</f>
        <v>0.37</v>
      </c>
      <c r="T82" s="29" t="str">
        <f>'Table001 (Page 1-6)'!U75</f>
        <v>C</v>
      </c>
      <c r="U82" s="29"/>
      <c r="V82" s="29"/>
      <c r="W82" s="29"/>
      <c r="X82" s="29"/>
      <c r="Y82" s="29"/>
      <c r="Z82" s="29"/>
      <c r="AA82" s="29"/>
      <c r="AB82" s="29"/>
      <c r="AC82" s="31"/>
      <c r="AD82" s="29"/>
      <c r="AE82" s="29"/>
      <c r="AF82" s="29"/>
      <c r="AG82" s="31"/>
      <c r="AH82" s="29"/>
      <c r="AI82" s="32">
        <f>('Table001 (Page 1-6)'!V75)*100</f>
        <v>1.79</v>
      </c>
      <c r="AJ82" s="35"/>
      <c r="AK82" s="35"/>
      <c r="AL82" s="35"/>
      <c r="AM82" s="35"/>
    </row>
    <row r="83" spans="2:39" x14ac:dyDescent="0.25">
      <c r="B83" s="37">
        <f>'Table001 (Page 1-6)'!A76</f>
        <v>1620.1</v>
      </c>
      <c r="C83" s="28" t="str">
        <f>'Table001 (Page 1-6)'!B76</f>
        <v>CR 42</v>
      </c>
      <c r="D83" s="28" t="str">
        <f>'Table001 (Page 1-6)'!C76</f>
        <v>CR 25</v>
      </c>
      <c r="E83" s="28" t="str">
        <f>'Table001 (Page 1-6)'!D76</f>
        <v>URBAN AREA BOUNDARY</v>
      </c>
      <c r="F83" s="29">
        <f>'Table001 (Page 1-6)'!E76</f>
        <v>2</v>
      </c>
      <c r="G83" s="29">
        <f>'Table001 (Page 1-6)'!K76</f>
        <v>2</v>
      </c>
      <c r="H83" s="30" t="str">
        <f>'Table001 (Page 1-6)'!R76</f>
        <v>E</v>
      </c>
      <c r="I83" s="28" t="str">
        <f>'Table001 (Page 1-6)'!F76</f>
        <v>COLLECTOR</v>
      </c>
      <c r="J83" s="29"/>
      <c r="K83" s="29"/>
      <c r="L83" s="29">
        <f>'Table001 (Page 1-6)'!I76</f>
        <v>29340</v>
      </c>
      <c r="M83" s="29"/>
      <c r="N83" s="29">
        <f>'Table001 (Page 1-6)'!J76</f>
        <v>1449</v>
      </c>
      <c r="O83" s="29">
        <f>'Table001 (Page 1-6)'!L76</f>
        <v>29340</v>
      </c>
      <c r="P83" s="29"/>
      <c r="Q83" s="29">
        <f>'Table001 (Page 1-6)'!M76</f>
        <v>1449</v>
      </c>
      <c r="R83" s="29" t="str">
        <f>'Table001 (Page 1-6)'!S76</f>
        <v>11,000</v>
      </c>
      <c r="S83" s="31" t="str">
        <f>'Table001 (Page 1-6)'!T76</f>
        <v>0.37</v>
      </c>
      <c r="T83" s="29" t="str">
        <f>'Table001 (Page 1-6)'!U76</f>
        <v>C</v>
      </c>
      <c r="U83" s="29"/>
      <c r="V83" s="29"/>
      <c r="W83" s="29"/>
      <c r="X83" s="29"/>
      <c r="Y83" s="29"/>
      <c r="Z83" s="29"/>
      <c r="AA83" s="29"/>
      <c r="AB83" s="29"/>
      <c r="AC83" s="31"/>
      <c r="AD83" s="29"/>
      <c r="AE83" s="29"/>
      <c r="AF83" s="29"/>
      <c r="AG83" s="31"/>
      <c r="AH83" s="29"/>
      <c r="AI83" s="32">
        <f>('Table001 (Page 1-6)'!V76)*100</f>
        <v>3.7900000000000005</v>
      </c>
      <c r="AJ83" s="35"/>
      <c r="AK83" s="35"/>
      <c r="AL83" s="35"/>
      <c r="AM83" s="35"/>
    </row>
    <row r="84" spans="2:39" x14ac:dyDescent="0.25">
      <c r="B84" s="37">
        <f>'Table001 (Page 1-6)'!A77</f>
        <v>1620.3</v>
      </c>
      <c r="C84" s="28" t="str">
        <f>'Table001 (Page 1-6)'!B77</f>
        <v>CR 42</v>
      </c>
      <c r="D84" s="28" t="str">
        <f>'Table001 (Page 1-6)'!C77</f>
        <v>URBAN AREA BOUNDARY</v>
      </c>
      <c r="E84" s="28" t="str">
        <f>'Table001 (Page 1-6)'!D77</f>
        <v>CR 450</v>
      </c>
      <c r="F84" s="29">
        <f>'Table001 (Page 1-6)'!E77</f>
        <v>2</v>
      </c>
      <c r="G84" s="29">
        <f>'Table001 (Page 1-6)'!K77</f>
        <v>2</v>
      </c>
      <c r="H84" s="30" t="str">
        <f>'Table001 (Page 1-6)'!R77</f>
        <v>D</v>
      </c>
      <c r="I84" s="28" t="str">
        <f>'Table001 (Page 1-6)'!F77</f>
        <v>COLLECTOR</v>
      </c>
      <c r="J84" s="29"/>
      <c r="K84" s="29"/>
      <c r="L84" s="29">
        <f>'Table001 (Page 1-6)'!I77</f>
        <v>19170</v>
      </c>
      <c r="M84" s="29"/>
      <c r="N84" s="29">
        <f>'Table001 (Page 1-6)'!J77</f>
        <v>999</v>
      </c>
      <c r="O84" s="29">
        <f>'Table001 (Page 1-6)'!L77</f>
        <v>19170</v>
      </c>
      <c r="P84" s="29"/>
      <c r="Q84" s="29">
        <f>'Table001 (Page 1-6)'!M77</f>
        <v>999</v>
      </c>
      <c r="R84" s="29" t="str">
        <f>'Table001 (Page 1-6)'!S77</f>
        <v>11,500</v>
      </c>
      <c r="S84" s="31" t="str">
        <f>'Table001 (Page 1-6)'!T77</f>
        <v>0.6</v>
      </c>
      <c r="T84" s="29" t="str">
        <f>'Table001 (Page 1-6)'!U77</f>
        <v>C</v>
      </c>
      <c r="U84" s="29"/>
      <c r="V84" s="29"/>
      <c r="W84" s="29"/>
      <c r="X84" s="29"/>
      <c r="Y84" s="29"/>
      <c r="Z84" s="29"/>
      <c r="AA84" s="29"/>
      <c r="AB84" s="29"/>
      <c r="AC84" s="31"/>
      <c r="AD84" s="29"/>
      <c r="AE84" s="29"/>
      <c r="AF84" s="29"/>
      <c r="AG84" s="31"/>
      <c r="AH84" s="29"/>
      <c r="AI84" s="32">
        <f>('Table001 (Page 1-6)'!V77)*100</f>
        <v>8.6499999999999986</v>
      </c>
      <c r="AJ84" s="35"/>
      <c r="AK84" s="35"/>
      <c r="AL84" s="35"/>
      <c r="AM84" s="35"/>
    </row>
    <row r="85" spans="2:39" x14ac:dyDescent="0.25">
      <c r="B85" s="37">
        <f>'Table001 (Page 1-6)'!A78</f>
        <v>1630</v>
      </c>
      <c r="C85" s="28" t="str">
        <f>'Table001 (Page 1-6)'!B78</f>
        <v>CR 42</v>
      </c>
      <c r="D85" s="28" t="str">
        <f>'Table001 (Page 1-6)'!C78</f>
        <v>CR 450</v>
      </c>
      <c r="E85" s="28" t="str">
        <f>'Table001 (Page 1-6)'!D78</f>
        <v>COUNTY LINE</v>
      </c>
      <c r="F85" s="29">
        <f>'Table001 (Page 1-6)'!E78</f>
        <v>2</v>
      </c>
      <c r="G85" s="29">
        <f>'Table001 (Page 1-6)'!K78</f>
        <v>2</v>
      </c>
      <c r="H85" s="30" t="str">
        <f>'Table001 (Page 1-6)'!R78</f>
        <v>D</v>
      </c>
      <c r="I85" s="28" t="str">
        <f>'Table001 (Page 1-6)'!F78</f>
        <v>COLLECTOR</v>
      </c>
      <c r="J85" s="29"/>
      <c r="K85" s="29"/>
      <c r="L85" s="29">
        <f>'Table001 (Page 1-6)'!I78</f>
        <v>19170</v>
      </c>
      <c r="M85" s="29"/>
      <c r="N85" s="29">
        <f>'Table001 (Page 1-6)'!J78</f>
        <v>999</v>
      </c>
      <c r="O85" s="29">
        <f>'Table001 (Page 1-6)'!L78</f>
        <v>19170</v>
      </c>
      <c r="P85" s="29"/>
      <c r="Q85" s="29">
        <f>'Table001 (Page 1-6)'!M78</f>
        <v>999</v>
      </c>
      <c r="R85" s="29" t="str">
        <f>'Table001 (Page 1-6)'!S78</f>
        <v>5,100</v>
      </c>
      <c r="S85" s="31" t="str">
        <f>'Table001 (Page 1-6)'!T78</f>
        <v>0.27</v>
      </c>
      <c r="T85" s="29" t="str">
        <f>'Table001 (Page 1-6)'!U78</f>
        <v>B</v>
      </c>
      <c r="U85" s="29"/>
      <c r="V85" s="29"/>
      <c r="W85" s="29"/>
      <c r="X85" s="29"/>
      <c r="Y85" s="29"/>
      <c r="Z85" s="29"/>
      <c r="AA85" s="29"/>
      <c r="AB85" s="29"/>
      <c r="AC85" s="31"/>
      <c r="AD85" s="29"/>
      <c r="AE85" s="29"/>
      <c r="AF85" s="29"/>
      <c r="AG85" s="31"/>
      <c r="AH85" s="29"/>
      <c r="AI85" s="32">
        <f>('Table001 (Page 1-6)'!V78)*100</f>
        <v>5.92</v>
      </c>
      <c r="AJ85" s="35"/>
      <c r="AK85" s="35"/>
      <c r="AL85" s="35"/>
      <c r="AM85" s="35"/>
    </row>
    <row r="86" spans="2:39" x14ac:dyDescent="0.25">
      <c r="B86" s="37">
        <f>'Table001 (Page 1-6)'!A79</f>
        <v>1640</v>
      </c>
      <c r="C86" s="28" t="str">
        <f>'Table001 (Page 1-6)'!B79</f>
        <v>CR 450</v>
      </c>
      <c r="D86" s="28" t="str">
        <f>'Table001 (Page 1-6)'!C79</f>
        <v>COUNTY LINE</v>
      </c>
      <c r="E86" s="28" t="str">
        <f>'Table001 (Page 1-6)'!D79</f>
        <v>CR 42</v>
      </c>
      <c r="F86" s="29">
        <f>'Table001 (Page 1-6)'!E79</f>
        <v>2</v>
      </c>
      <c r="G86" s="29">
        <f>'Table001 (Page 1-6)'!K79</f>
        <v>2</v>
      </c>
      <c r="H86" s="30" t="str">
        <f>'Table001 (Page 1-6)'!R79</f>
        <v>D</v>
      </c>
      <c r="I86" s="28" t="str">
        <f>'Table001 (Page 1-6)'!F79</f>
        <v>COLLECTOR</v>
      </c>
      <c r="J86" s="29"/>
      <c r="K86" s="29"/>
      <c r="L86" s="29">
        <f>'Table001 (Page 1-6)'!I79</f>
        <v>19170</v>
      </c>
      <c r="M86" s="29"/>
      <c r="N86" s="29">
        <f>'Table001 (Page 1-6)'!J79</f>
        <v>999</v>
      </c>
      <c r="O86" s="29">
        <f>'Table001 (Page 1-6)'!L79</f>
        <v>19170</v>
      </c>
      <c r="P86" s="29"/>
      <c r="Q86" s="29">
        <f>'Table001 (Page 1-6)'!M79</f>
        <v>999</v>
      </c>
      <c r="R86" s="29" t="str">
        <f>'Table001 (Page 1-6)'!S79</f>
        <v>1,500</v>
      </c>
      <c r="S86" s="31" t="str">
        <f>'Table001 (Page 1-6)'!T79</f>
        <v>0.08</v>
      </c>
      <c r="T86" s="29" t="str">
        <f>'Table001 (Page 1-6)'!U79</f>
        <v>B</v>
      </c>
      <c r="U86" s="29"/>
      <c r="V86" s="29"/>
      <c r="W86" s="29"/>
      <c r="X86" s="29"/>
      <c r="Y86" s="29"/>
      <c r="Z86" s="29"/>
      <c r="AA86" s="29"/>
      <c r="AB86" s="29"/>
      <c r="AC86" s="31"/>
      <c r="AD86" s="29"/>
      <c r="AE86" s="29"/>
      <c r="AF86" s="29"/>
      <c r="AG86" s="31"/>
      <c r="AH86" s="29"/>
      <c r="AI86" s="32">
        <f>('Table001 (Page 1-6)'!V79)*100</f>
        <v>1</v>
      </c>
      <c r="AJ86" s="35"/>
      <c r="AK86" s="35"/>
      <c r="AL86" s="35"/>
      <c r="AM86" s="35"/>
    </row>
    <row r="87" spans="2:39" x14ac:dyDescent="0.25">
      <c r="B87" s="37">
        <f>'Table001 (Page 1-6)'!A80</f>
        <v>1650</v>
      </c>
      <c r="C87" s="28" t="str">
        <f>'Table001 (Page 1-6)'!B80</f>
        <v>CR 452</v>
      </c>
      <c r="D87" s="28" t="str">
        <f>'Table001 (Page 1-6)'!C80</f>
        <v>COUNTY LINE</v>
      </c>
      <c r="E87" s="28" t="str">
        <f>'Table001 (Page 1-6)'!D80</f>
        <v>CR 42</v>
      </c>
      <c r="F87" s="29">
        <f>'Table001 (Page 1-6)'!E80</f>
        <v>2</v>
      </c>
      <c r="G87" s="29">
        <f>'Table001 (Page 1-6)'!K80</f>
        <v>2</v>
      </c>
      <c r="H87" s="30" t="str">
        <f>'Table001 (Page 1-6)'!R80</f>
        <v>D</v>
      </c>
      <c r="I87" s="28" t="str">
        <f>'Table001 (Page 1-6)'!F80</f>
        <v>COLLECTOR</v>
      </c>
      <c r="J87" s="29"/>
      <c r="K87" s="29"/>
      <c r="L87" s="29">
        <f>'Table001 (Page 1-6)'!I80</f>
        <v>19170</v>
      </c>
      <c r="M87" s="29"/>
      <c r="N87" s="29">
        <f>'Table001 (Page 1-6)'!J80</f>
        <v>999</v>
      </c>
      <c r="O87" s="29">
        <f>'Table001 (Page 1-6)'!L80</f>
        <v>19170</v>
      </c>
      <c r="P87" s="29"/>
      <c r="Q87" s="29">
        <f>'Table001 (Page 1-6)'!M80</f>
        <v>999</v>
      </c>
      <c r="R87" s="29" t="str">
        <f>'Table001 (Page 1-6)'!S80</f>
        <v>6,300</v>
      </c>
      <c r="S87" s="31" t="str">
        <f>'Table001 (Page 1-6)'!T80</f>
        <v>0.33</v>
      </c>
      <c r="T87" s="29" t="str">
        <f>'Table001 (Page 1-6)'!U80</f>
        <v>B</v>
      </c>
      <c r="U87" s="29"/>
      <c r="V87" s="29"/>
      <c r="W87" s="29"/>
      <c r="X87" s="29"/>
      <c r="Y87" s="29"/>
      <c r="Z87" s="29"/>
      <c r="AA87" s="29"/>
      <c r="AB87" s="29"/>
      <c r="AC87" s="31"/>
      <c r="AD87" s="29"/>
      <c r="AE87" s="29"/>
      <c r="AF87" s="29"/>
      <c r="AG87" s="31"/>
      <c r="AH87" s="29"/>
      <c r="AI87" s="32">
        <f>('Table001 (Page 1-6)'!V80)*100</f>
        <v>1</v>
      </c>
      <c r="AJ87" s="35"/>
      <c r="AK87" s="35"/>
      <c r="AL87" s="35"/>
      <c r="AM87" s="35"/>
    </row>
    <row r="88" spans="2:39" x14ac:dyDescent="0.25">
      <c r="B88" s="37">
        <f>'Table001 (Page 1-6)'!A81</f>
        <v>1660</v>
      </c>
      <c r="C88" s="28" t="str">
        <f>'Table001 (Page 1-6)'!B81</f>
        <v>SR 464</v>
      </c>
      <c r="D88" s="28" t="str">
        <f>'Table001 (Page 1-6)'!C81</f>
        <v>SE 25 AV</v>
      </c>
      <c r="E88" s="28" t="str">
        <f>'Table001 (Page 1-6)'!D81</f>
        <v>SE 44 AV</v>
      </c>
      <c r="F88" s="29">
        <f>'Table001 (Page 1-6)'!E81</f>
        <v>4</v>
      </c>
      <c r="G88" s="29">
        <f>'Table001 (Page 1-6)'!K81</f>
        <v>4</v>
      </c>
      <c r="H88" s="30" t="str">
        <f>'Table001 (Page 1-6)'!R81</f>
        <v>D</v>
      </c>
      <c r="I88" s="28" t="str">
        <f>'Table001 (Page 1-6)'!F81</f>
        <v>ARTERIAL</v>
      </c>
      <c r="J88" s="29"/>
      <c r="K88" s="29"/>
      <c r="L88" s="29">
        <f>'Table001 (Page 1-6)'!I81</f>
        <v>38430</v>
      </c>
      <c r="M88" s="29"/>
      <c r="N88" s="29">
        <f>'Table001 (Page 1-6)'!J81</f>
        <v>1901</v>
      </c>
      <c r="O88" s="29">
        <f>'Table001 (Page 1-6)'!L81</f>
        <v>38430</v>
      </c>
      <c r="P88" s="29"/>
      <c r="Q88" s="29">
        <f>'Table001 (Page 1-6)'!M81</f>
        <v>1901</v>
      </c>
      <c r="R88" s="29" t="str">
        <f>'Table001 (Page 1-6)'!S81</f>
        <v>34,800</v>
      </c>
      <c r="S88" s="31" t="str">
        <f>'Table001 (Page 1-6)'!T81</f>
        <v>0.91</v>
      </c>
      <c r="T88" s="29" t="str">
        <f>'Table001 (Page 1-6)'!U81</f>
        <v>D</v>
      </c>
      <c r="U88" s="29"/>
      <c r="V88" s="29"/>
      <c r="W88" s="29"/>
      <c r="X88" s="29"/>
      <c r="Y88" s="29"/>
      <c r="Z88" s="29"/>
      <c r="AA88" s="29"/>
      <c r="AB88" s="29"/>
      <c r="AC88" s="31"/>
      <c r="AD88" s="29"/>
      <c r="AE88" s="29"/>
      <c r="AF88" s="29"/>
      <c r="AG88" s="31"/>
      <c r="AH88" s="29"/>
      <c r="AI88" s="32">
        <f>('Table001 (Page 1-6)'!V81)*100</f>
        <v>1</v>
      </c>
      <c r="AJ88" s="35"/>
      <c r="AK88" s="35"/>
      <c r="AL88" s="35"/>
      <c r="AM88" s="35"/>
    </row>
    <row r="89" spans="2:39" x14ac:dyDescent="0.25">
      <c r="B89" s="37">
        <f>'Table001 (Page 1-6)'!A82</f>
        <v>1690</v>
      </c>
      <c r="C89" s="28" t="str">
        <f>'Table001 (Page 1-6)'!B82</f>
        <v>SR 464</v>
      </c>
      <c r="D89" s="28" t="str">
        <f>'Table001 (Page 1-6)'!C82</f>
        <v>SE 44 AV</v>
      </c>
      <c r="E89" s="28" t="str">
        <f>'Table001 (Page 1-6)'!D82</f>
        <v>SR 35</v>
      </c>
      <c r="F89" s="29">
        <f>'Table001 (Page 1-6)'!E82</f>
        <v>4</v>
      </c>
      <c r="G89" s="29">
        <f>'Table001 (Page 1-6)'!K82</f>
        <v>4</v>
      </c>
      <c r="H89" s="30" t="str">
        <f>'Table001 (Page 1-6)'!R82</f>
        <v>D</v>
      </c>
      <c r="I89" s="28" t="str">
        <f>'Table001 (Page 1-6)'!F82</f>
        <v>ARTERIAL</v>
      </c>
      <c r="J89" s="29"/>
      <c r="K89" s="29"/>
      <c r="L89" s="29">
        <f>'Table001 (Page 1-6)'!I82</f>
        <v>38430</v>
      </c>
      <c r="M89" s="29"/>
      <c r="N89" s="29">
        <f>'Table001 (Page 1-6)'!J82</f>
        <v>1901</v>
      </c>
      <c r="O89" s="29">
        <f>'Table001 (Page 1-6)'!L82</f>
        <v>38430</v>
      </c>
      <c r="P89" s="29"/>
      <c r="Q89" s="29">
        <f>'Table001 (Page 1-6)'!M82</f>
        <v>1901</v>
      </c>
      <c r="R89" s="29" t="str">
        <f>'Table001 (Page 1-6)'!S82</f>
        <v>33,200</v>
      </c>
      <c r="S89" s="31" t="str">
        <f>'Table001 (Page 1-6)'!T82</f>
        <v>0.86</v>
      </c>
      <c r="T89" s="29" t="str">
        <f>'Table001 (Page 1-6)'!U82</f>
        <v>D</v>
      </c>
      <c r="U89" s="29"/>
      <c r="V89" s="29"/>
      <c r="W89" s="29"/>
      <c r="X89" s="29"/>
      <c r="Y89" s="29"/>
      <c r="Z89" s="29"/>
      <c r="AA89" s="29"/>
      <c r="AB89" s="29"/>
      <c r="AC89" s="31"/>
      <c r="AD89" s="29"/>
      <c r="AE89" s="29"/>
      <c r="AF89" s="29"/>
      <c r="AG89" s="31"/>
      <c r="AH89" s="29"/>
      <c r="AI89" s="32">
        <f>('Table001 (Page 1-6)'!V82)*100</f>
        <v>1.25</v>
      </c>
      <c r="AJ89" s="35"/>
      <c r="AK89" s="35"/>
      <c r="AL89" s="35"/>
      <c r="AM89" s="35"/>
    </row>
    <row r="90" spans="2:39" x14ac:dyDescent="0.25">
      <c r="B90" s="37">
        <f>'Table001 (Page 1-6)'!A83</f>
        <v>1710</v>
      </c>
      <c r="C90" s="28" t="str">
        <f>'Table001 (Page 1-6)'!B83</f>
        <v>CR 464</v>
      </c>
      <c r="D90" s="28" t="str">
        <f>'Table001 (Page 1-6)'!C83</f>
        <v>SR 35</v>
      </c>
      <c r="E90" s="28" t="str">
        <f>'Table001 (Page 1-6)'!D83</f>
        <v>EMERALD RD (N)</v>
      </c>
      <c r="F90" s="29">
        <f>'Table001 (Page 1-6)'!E83</f>
        <v>4</v>
      </c>
      <c r="G90" s="29">
        <f>'Table001 (Page 1-6)'!K83</f>
        <v>4</v>
      </c>
      <c r="H90" s="30" t="str">
        <f>'Table001 (Page 1-6)'!R83</f>
        <v>E</v>
      </c>
      <c r="I90" s="28" t="str">
        <f>'Table001 (Page 1-6)'!F83</f>
        <v>ARTERIAL</v>
      </c>
      <c r="J90" s="29"/>
      <c r="K90" s="29"/>
      <c r="L90" s="29">
        <f>'Table001 (Page 1-6)'!I83</f>
        <v>35820</v>
      </c>
      <c r="M90" s="29"/>
      <c r="N90" s="29">
        <f>'Table001 (Page 1-6)'!J83</f>
        <v>1800</v>
      </c>
      <c r="O90" s="29">
        <f>'Table001 (Page 1-6)'!L83</f>
        <v>35820</v>
      </c>
      <c r="P90" s="29"/>
      <c r="Q90" s="29">
        <f>'Table001 (Page 1-6)'!M83</f>
        <v>1800</v>
      </c>
      <c r="R90" s="29" t="str">
        <f>'Table001 (Page 1-6)'!S83</f>
        <v>34,300</v>
      </c>
      <c r="S90" s="31" t="str">
        <f>'Table001 (Page 1-6)'!T83</f>
        <v>0.96</v>
      </c>
      <c r="T90" s="29" t="str">
        <f>'Table001 (Page 1-6)'!U83</f>
        <v>D</v>
      </c>
      <c r="U90" s="29"/>
      <c r="V90" s="29"/>
      <c r="W90" s="29"/>
      <c r="X90" s="29"/>
      <c r="Y90" s="29"/>
      <c r="Z90" s="29"/>
      <c r="AA90" s="29"/>
      <c r="AB90" s="29"/>
      <c r="AC90" s="31"/>
      <c r="AD90" s="29"/>
      <c r="AE90" s="29"/>
      <c r="AF90" s="29"/>
      <c r="AG90" s="31"/>
      <c r="AH90" s="29"/>
      <c r="AI90" s="32">
        <f>('Table001 (Page 1-6)'!V83)*100</f>
        <v>1</v>
      </c>
      <c r="AJ90" s="35"/>
      <c r="AK90" s="35"/>
      <c r="AL90" s="35"/>
      <c r="AM90" s="35"/>
    </row>
    <row r="91" spans="2:39" x14ac:dyDescent="0.25">
      <c r="B91" s="37">
        <f>'Table001 (Page 1-6)'!A84</f>
        <v>1770</v>
      </c>
      <c r="C91" s="28" t="str">
        <f>'Table001 (Page 1-6)'!B84</f>
        <v>CR 464</v>
      </c>
      <c r="D91" s="28" t="str">
        <f>'Table001 (Page 1-6)'!C84</f>
        <v>EMERALD RD (N)</v>
      </c>
      <c r="E91" s="28" t="str">
        <f>'Table001 (Page 1-6)'!D84</f>
        <v>OAK RD</v>
      </c>
      <c r="F91" s="29">
        <f>'Table001 (Page 1-6)'!E84</f>
        <v>4</v>
      </c>
      <c r="G91" s="29">
        <f>'Table001 (Page 1-6)'!K84</f>
        <v>4</v>
      </c>
      <c r="H91" s="30" t="str">
        <f>'Table001 (Page 1-6)'!R84</f>
        <v>E</v>
      </c>
      <c r="I91" s="28" t="str">
        <f>'Table001 (Page 1-6)'!F84</f>
        <v>ARTERIAL</v>
      </c>
      <c r="J91" s="29"/>
      <c r="K91" s="29"/>
      <c r="L91" s="29">
        <f>'Table001 (Page 1-6)'!I84</f>
        <v>35820</v>
      </c>
      <c r="M91" s="29"/>
      <c r="N91" s="29">
        <f>'Table001 (Page 1-6)'!J84</f>
        <v>1800</v>
      </c>
      <c r="O91" s="29">
        <f>'Table001 (Page 1-6)'!L84</f>
        <v>35820</v>
      </c>
      <c r="P91" s="29"/>
      <c r="Q91" s="29">
        <f>'Table001 (Page 1-6)'!M84</f>
        <v>1800</v>
      </c>
      <c r="R91" s="29" t="str">
        <f>'Table001 (Page 1-6)'!S84</f>
        <v>15,600</v>
      </c>
      <c r="S91" s="31" t="str">
        <f>'Table001 (Page 1-6)'!T84</f>
        <v>0.44</v>
      </c>
      <c r="T91" s="29" t="str">
        <f>'Table001 (Page 1-6)'!U84</f>
        <v>C</v>
      </c>
      <c r="U91" s="29"/>
      <c r="V91" s="29"/>
      <c r="W91" s="29"/>
      <c r="X91" s="29"/>
      <c r="Y91" s="29"/>
      <c r="Z91" s="29"/>
      <c r="AA91" s="29"/>
      <c r="AB91" s="29"/>
      <c r="AC91" s="31"/>
      <c r="AD91" s="29"/>
      <c r="AE91" s="29"/>
      <c r="AF91" s="29"/>
      <c r="AG91" s="31"/>
      <c r="AH91" s="29"/>
      <c r="AI91" s="32">
        <f>('Table001 (Page 1-6)'!V84)*100</f>
        <v>2.09</v>
      </c>
      <c r="AJ91" s="35"/>
      <c r="AK91" s="35"/>
      <c r="AL91" s="35"/>
      <c r="AM91" s="35"/>
    </row>
    <row r="92" spans="2:39" x14ac:dyDescent="0.25">
      <c r="B92" s="37">
        <f>'Table001 (Page 1-6)'!A85</f>
        <v>1780</v>
      </c>
      <c r="C92" s="28" t="str">
        <f>'Table001 (Page 1-6)'!B85</f>
        <v>CR 464</v>
      </c>
      <c r="D92" s="28" t="str">
        <f>'Table001 (Page 1-6)'!C85</f>
        <v>OAK RD</v>
      </c>
      <c r="E92" s="28" t="str">
        <f>'Table001 (Page 1-6)'!D85</f>
        <v>EMERALD RD (S)</v>
      </c>
      <c r="F92" s="29">
        <f>'Table001 (Page 1-6)'!E85</f>
        <v>4</v>
      </c>
      <c r="G92" s="29">
        <f>'Table001 (Page 1-6)'!K85</f>
        <v>4</v>
      </c>
      <c r="H92" s="30" t="str">
        <f>'Table001 (Page 1-6)'!R85</f>
        <v>E</v>
      </c>
      <c r="I92" s="28" t="str">
        <f>'Table001 (Page 1-6)'!F85</f>
        <v>ARTERIAL</v>
      </c>
      <c r="J92" s="29"/>
      <c r="K92" s="29"/>
      <c r="L92" s="29">
        <f>'Table001 (Page 1-6)'!I85</f>
        <v>35820</v>
      </c>
      <c r="M92" s="29"/>
      <c r="N92" s="29">
        <f>'Table001 (Page 1-6)'!J85</f>
        <v>1800</v>
      </c>
      <c r="O92" s="29">
        <f>'Table001 (Page 1-6)'!L85</f>
        <v>35820</v>
      </c>
      <c r="P92" s="29"/>
      <c r="Q92" s="29">
        <f>'Table001 (Page 1-6)'!M85</f>
        <v>1800</v>
      </c>
      <c r="R92" s="29" t="str">
        <f>'Table001 (Page 1-6)'!S85</f>
        <v>9,800</v>
      </c>
      <c r="S92" s="31" t="str">
        <f>'Table001 (Page 1-6)'!T85</f>
        <v>0.27</v>
      </c>
      <c r="T92" s="29" t="str">
        <f>'Table001 (Page 1-6)'!U85</f>
        <v>C</v>
      </c>
      <c r="U92" s="29"/>
      <c r="V92" s="29"/>
      <c r="W92" s="29"/>
      <c r="X92" s="29"/>
      <c r="Y92" s="29"/>
      <c r="Z92" s="29"/>
      <c r="AA92" s="29"/>
      <c r="AB92" s="29"/>
      <c r="AC92" s="31"/>
      <c r="AD92" s="29"/>
      <c r="AE92" s="29"/>
      <c r="AF92" s="29"/>
      <c r="AG92" s="31"/>
      <c r="AH92" s="29"/>
      <c r="AI92" s="32">
        <f>('Table001 (Page 1-6)'!V85)*100</f>
        <v>8.1199999999999992</v>
      </c>
      <c r="AJ92" s="35"/>
      <c r="AK92" s="35"/>
      <c r="AL92" s="35"/>
      <c r="AM92" s="35"/>
    </row>
    <row r="93" spans="2:39" x14ac:dyDescent="0.25">
      <c r="B93" s="37">
        <f>'Table001 (Page 1-6)'!A86</f>
        <v>1790</v>
      </c>
      <c r="C93" s="28" t="str">
        <f>'Table001 (Page 1-6)'!B86</f>
        <v>CR 464</v>
      </c>
      <c r="D93" s="28" t="str">
        <f>'Table001 (Page 1-6)'!C86</f>
        <v>EMERALD RD (S)</v>
      </c>
      <c r="E93" s="28" t="str">
        <f>'Table001 (Page 1-6)'!D86</f>
        <v>SE 110 ST</v>
      </c>
      <c r="F93" s="29">
        <f>'Table001 (Page 1-6)'!E86</f>
        <v>4</v>
      </c>
      <c r="G93" s="29">
        <f>'Table001 (Page 1-6)'!K86</f>
        <v>4</v>
      </c>
      <c r="H93" s="30" t="str">
        <f>'Table001 (Page 1-6)'!R86</f>
        <v>E</v>
      </c>
      <c r="I93" s="28" t="str">
        <f>'Table001 (Page 1-6)'!F86</f>
        <v>ARTERIAL</v>
      </c>
      <c r="J93" s="29"/>
      <c r="K93" s="29"/>
      <c r="L93" s="29">
        <f>'Table001 (Page 1-6)'!I86</f>
        <v>35820</v>
      </c>
      <c r="M93" s="29"/>
      <c r="N93" s="29">
        <f>'Table001 (Page 1-6)'!J86</f>
        <v>1800</v>
      </c>
      <c r="O93" s="29">
        <f>'Table001 (Page 1-6)'!L86</f>
        <v>35820</v>
      </c>
      <c r="P93" s="29"/>
      <c r="Q93" s="29">
        <f>'Table001 (Page 1-6)'!M86</f>
        <v>1800</v>
      </c>
      <c r="R93" s="29" t="str">
        <f>'Table001 (Page 1-6)'!S86</f>
        <v>9,300</v>
      </c>
      <c r="S93" s="31" t="str">
        <f>'Table001 (Page 1-6)'!T86</f>
        <v>0.26</v>
      </c>
      <c r="T93" s="29" t="str">
        <f>'Table001 (Page 1-6)'!U86</f>
        <v>C</v>
      </c>
      <c r="U93" s="29"/>
      <c r="V93" s="29"/>
      <c r="W93" s="29"/>
      <c r="X93" s="29"/>
      <c r="Y93" s="29"/>
      <c r="Z93" s="29"/>
      <c r="AA93" s="29"/>
      <c r="AB93" s="29"/>
      <c r="AC93" s="31"/>
      <c r="AD93" s="29"/>
      <c r="AE93" s="29"/>
      <c r="AF93" s="29"/>
      <c r="AG93" s="31"/>
      <c r="AH93" s="29"/>
      <c r="AI93" s="32">
        <f>('Table001 (Page 1-6)'!V86)*100</f>
        <v>1.8599999999999999</v>
      </c>
      <c r="AJ93" s="35"/>
      <c r="AK93" s="35"/>
      <c r="AL93" s="35"/>
      <c r="AM93" s="35"/>
    </row>
    <row r="94" spans="2:39" x14ac:dyDescent="0.25">
      <c r="B94" s="37">
        <f>'Table001 (Page 1-6)'!A87</f>
        <v>1800.2</v>
      </c>
      <c r="C94" s="28" t="str">
        <f>'Table001 (Page 1-6)'!B87</f>
        <v>CR 464</v>
      </c>
      <c r="D94" s="28" t="str">
        <f>'Table001 (Page 1-6)'!C87</f>
        <v>SE 110 ST</v>
      </c>
      <c r="E94" s="28" t="str">
        <f>'Table001 (Page 1-6)'!D87</f>
        <v>CR 25</v>
      </c>
      <c r="F94" s="29">
        <f>'Table001 (Page 1-6)'!E87</f>
        <v>2</v>
      </c>
      <c r="G94" s="29">
        <f>'Table001 (Page 1-6)'!K87</f>
        <v>2</v>
      </c>
      <c r="H94" s="30" t="str">
        <f>'Table001 (Page 1-6)'!R87</f>
        <v>E</v>
      </c>
      <c r="I94" s="28" t="str">
        <f>'Table001 (Page 1-6)'!F87</f>
        <v>ARTERIAL</v>
      </c>
      <c r="J94" s="29"/>
      <c r="K94" s="29"/>
      <c r="L94" s="29">
        <f>'Table001 (Page 1-6)'!I87</f>
        <v>11232</v>
      </c>
      <c r="M94" s="29"/>
      <c r="N94" s="29">
        <f>'Table001 (Page 1-6)'!J87</f>
        <v>576</v>
      </c>
      <c r="O94" s="29">
        <f>'Table001 (Page 1-6)'!L87</f>
        <v>11232</v>
      </c>
      <c r="P94" s="29"/>
      <c r="Q94" s="29">
        <f>'Table001 (Page 1-6)'!M87</f>
        <v>576</v>
      </c>
      <c r="R94" s="29" t="str">
        <f>'Table001 (Page 1-6)'!S87</f>
        <v>2,700</v>
      </c>
      <c r="S94" s="31" t="str">
        <f>'Table001 (Page 1-6)'!T87</f>
        <v>0.24</v>
      </c>
      <c r="T94" s="29" t="str">
        <f>'Table001 (Page 1-6)'!U87</f>
        <v>C</v>
      </c>
      <c r="U94" s="29"/>
      <c r="V94" s="29"/>
      <c r="W94" s="29"/>
      <c r="X94" s="29"/>
      <c r="Y94" s="29"/>
      <c r="Z94" s="29"/>
      <c r="AA94" s="29"/>
      <c r="AB94" s="29"/>
      <c r="AC94" s="31"/>
      <c r="AD94" s="29"/>
      <c r="AE94" s="29"/>
      <c r="AF94" s="29"/>
      <c r="AG94" s="31"/>
      <c r="AH94" s="29"/>
      <c r="AI94" s="32">
        <f>('Table001 (Page 1-6)'!V87)*100</f>
        <v>1</v>
      </c>
      <c r="AJ94" s="35"/>
      <c r="AK94" s="35"/>
      <c r="AL94" s="35"/>
      <c r="AM94" s="35"/>
    </row>
    <row r="95" spans="2:39" x14ac:dyDescent="0.25">
      <c r="B95" s="37">
        <f>'Table001 (Page 1-6)'!A88</f>
        <v>1810</v>
      </c>
      <c r="C95" s="28" t="str">
        <f>'Table001 (Page 1-6)'!B88</f>
        <v>CR 464A</v>
      </c>
      <c r="D95" s="28" t="str">
        <f>'Table001 (Page 1-6)'!C88</f>
        <v>US 441</v>
      </c>
      <c r="E95" s="28" t="str">
        <f>'Table001 (Page 1-6)'!D88</f>
        <v>SE 31 ST</v>
      </c>
      <c r="F95" s="29">
        <f>'Table001 (Page 1-6)'!E88</f>
        <v>2</v>
      </c>
      <c r="G95" s="29">
        <f>'Table001 (Page 1-6)'!K88</f>
        <v>2</v>
      </c>
      <c r="H95" s="30" t="str">
        <f>'Table001 (Page 1-6)'!R88</f>
        <v>E</v>
      </c>
      <c r="I95" s="28" t="str">
        <f>'Table001 (Page 1-6)'!F88</f>
        <v>COLLECTOR</v>
      </c>
      <c r="J95" s="29"/>
      <c r="K95" s="29"/>
      <c r="L95" s="29">
        <f>'Table001 (Page 1-6)'!I88</f>
        <v>15930</v>
      </c>
      <c r="M95" s="29"/>
      <c r="N95" s="29">
        <f>'Table001 (Page 1-6)'!J88</f>
        <v>792</v>
      </c>
      <c r="O95" s="29">
        <f>'Table001 (Page 1-6)'!L88</f>
        <v>15930</v>
      </c>
      <c r="P95" s="29"/>
      <c r="Q95" s="29">
        <f>'Table001 (Page 1-6)'!M88</f>
        <v>792</v>
      </c>
      <c r="R95" s="29" t="str">
        <f>'Table001 (Page 1-6)'!S88</f>
        <v>6,300</v>
      </c>
      <c r="S95" s="31" t="str">
        <f>'Table001 (Page 1-6)'!T88</f>
        <v>0.4</v>
      </c>
      <c r="T95" s="29" t="str">
        <f>'Table001 (Page 1-6)'!U88</f>
        <v>C</v>
      </c>
      <c r="U95" s="29"/>
      <c r="V95" s="29"/>
      <c r="W95" s="29"/>
      <c r="X95" s="29"/>
      <c r="Y95" s="29"/>
      <c r="Z95" s="29"/>
      <c r="AA95" s="29"/>
      <c r="AB95" s="29"/>
      <c r="AC95" s="31"/>
      <c r="AD95" s="29"/>
      <c r="AE95" s="29"/>
      <c r="AF95" s="29"/>
      <c r="AG95" s="31"/>
      <c r="AH95" s="29"/>
      <c r="AI95" s="32">
        <f>('Table001 (Page 1-6)'!V88)*100</f>
        <v>1</v>
      </c>
      <c r="AJ95" s="35"/>
      <c r="AK95" s="35"/>
      <c r="AL95" s="35"/>
      <c r="AM95" s="35"/>
    </row>
    <row r="96" spans="2:39" x14ac:dyDescent="0.25">
      <c r="B96" s="37">
        <f>'Table001 (Page 1-6)'!A89</f>
        <v>1830</v>
      </c>
      <c r="C96" s="28" t="str">
        <f>'Table001 (Page 1-6)'!B89</f>
        <v>CR 464A</v>
      </c>
      <c r="D96" s="28" t="str">
        <f>'Table001 (Page 1-6)'!C89</f>
        <v>SE 31 ST</v>
      </c>
      <c r="E96" s="28" t="str">
        <f>'Table001 (Page 1-6)'!D89</f>
        <v>SR 464</v>
      </c>
      <c r="F96" s="29">
        <f>'Table001 (Page 1-6)'!E89</f>
        <v>2</v>
      </c>
      <c r="G96" s="29">
        <f>'Table001 (Page 1-6)'!K89</f>
        <v>2</v>
      </c>
      <c r="H96" s="30" t="str">
        <f>'Table001 (Page 1-6)'!R89</f>
        <v>E</v>
      </c>
      <c r="I96" s="28" t="str">
        <f>'Table001 (Page 1-6)'!F89</f>
        <v>COLLECTOR</v>
      </c>
      <c r="J96" s="29"/>
      <c r="K96" s="29"/>
      <c r="L96" s="29">
        <f>'Table001 (Page 1-6)'!I89</f>
        <v>14742</v>
      </c>
      <c r="M96" s="29"/>
      <c r="N96" s="29">
        <f>'Table001 (Page 1-6)'!J89</f>
        <v>756</v>
      </c>
      <c r="O96" s="29">
        <f>'Table001 (Page 1-6)'!L89</f>
        <v>14742</v>
      </c>
      <c r="P96" s="29"/>
      <c r="Q96" s="29">
        <f>'Table001 (Page 1-6)'!M89</f>
        <v>756</v>
      </c>
      <c r="R96" s="29" t="str">
        <f>'Table001 (Page 1-6)'!S89</f>
        <v>10,600</v>
      </c>
      <c r="S96" s="31" t="str">
        <f>'Table001 (Page 1-6)'!T89</f>
        <v>0.72</v>
      </c>
      <c r="T96" s="29" t="str">
        <f>'Table001 (Page 1-6)'!U89</f>
        <v>D</v>
      </c>
      <c r="U96" s="29"/>
      <c r="V96" s="29"/>
      <c r="W96" s="29"/>
      <c r="X96" s="29"/>
      <c r="Y96" s="29"/>
      <c r="Z96" s="29"/>
      <c r="AA96" s="29"/>
      <c r="AB96" s="29"/>
      <c r="AC96" s="31"/>
      <c r="AD96" s="29"/>
      <c r="AE96" s="29"/>
      <c r="AF96" s="29"/>
      <c r="AG96" s="31"/>
      <c r="AH96" s="29"/>
      <c r="AI96" s="32">
        <f>('Table001 (Page 1-6)'!V89)*100</f>
        <v>1</v>
      </c>
      <c r="AJ96" s="35"/>
      <c r="AK96" s="35"/>
      <c r="AL96" s="35"/>
      <c r="AM96" s="35"/>
    </row>
    <row r="97" spans="2:39" x14ac:dyDescent="0.25">
      <c r="B97" s="37">
        <f>'Table001 (Page 1-6)'!A90</f>
        <v>1840</v>
      </c>
      <c r="C97" s="28" t="str">
        <f>'Table001 (Page 1-6)'!B90</f>
        <v>CR 464B</v>
      </c>
      <c r="D97" s="28" t="str">
        <f>'Table001 (Page 1-6)'!C90</f>
        <v>COUNTY LINE</v>
      </c>
      <c r="E97" s="28" t="str">
        <f>'Table001 (Page 1-6)'!D90</f>
        <v>US 27</v>
      </c>
      <c r="F97" s="29">
        <f>'Table001 (Page 1-6)'!E90</f>
        <v>2</v>
      </c>
      <c r="G97" s="29">
        <f>'Table001 (Page 1-6)'!K90</f>
        <v>2</v>
      </c>
      <c r="H97" s="30" t="str">
        <f>'Table001 (Page 1-6)'!R90</f>
        <v>B</v>
      </c>
      <c r="I97" s="28" t="str">
        <f>'Table001 (Page 1-6)'!F90</f>
        <v>COLLECTOR</v>
      </c>
      <c r="J97" s="29"/>
      <c r="K97" s="29"/>
      <c r="L97" s="29">
        <f>'Table001 (Page 1-6)'!I90</f>
        <v>9270</v>
      </c>
      <c r="M97" s="29"/>
      <c r="N97" s="29">
        <f>'Table001 (Page 1-6)'!J90</f>
        <v>486</v>
      </c>
      <c r="O97" s="29">
        <f>'Table001 (Page 1-6)'!L90</f>
        <v>9270</v>
      </c>
      <c r="P97" s="29"/>
      <c r="Q97" s="29">
        <f>'Table001 (Page 1-6)'!M90</f>
        <v>486</v>
      </c>
      <c r="R97" s="29" t="str">
        <f>'Table001 (Page 1-6)'!S90</f>
        <v>3,300</v>
      </c>
      <c r="S97" s="31" t="str">
        <f>'Table001 (Page 1-6)'!T90</f>
        <v>0.36</v>
      </c>
      <c r="T97" s="29" t="str">
        <f>'Table001 (Page 1-6)'!U90</f>
        <v>B</v>
      </c>
      <c r="U97" s="29"/>
      <c r="V97" s="29"/>
      <c r="W97" s="29"/>
      <c r="X97" s="29"/>
      <c r="Y97" s="29"/>
      <c r="Z97" s="29"/>
      <c r="AA97" s="29"/>
      <c r="AB97" s="29"/>
      <c r="AC97" s="31"/>
      <c r="AD97" s="29"/>
      <c r="AE97" s="29"/>
      <c r="AF97" s="29"/>
      <c r="AG97" s="31"/>
      <c r="AH97" s="29"/>
      <c r="AI97" s="32">
        <f>('Table001 (Page 1-6)'!V90)*100</f>
        <v>1</v>
      </c>
      <c r="AJ97" s="35"/>
      <c r="AK97" s="35"/>
      <c r="AL97" s="35"/>
      <c r="AM97" s="35"/>
    </row>
    <row r="98" spans="2:39" x14ac:dyDescent="0.25">
      <c r="B98" s="37">
        <f>'Table001 (Page 1-6)'!A91</f>
        <v>1850</v>
      </c>
      <c r="C98" s="28" t="str">
        <f>'Table001 (Page 1-6)'!B91</f>
        <v>SE 114TH ST RD</v>
      </c>
      <c r="D98" s="28" t="str">
        <f>'Table001 (Page 1-6)'!C91</f>
        <v>CR 464</v>
      </c>
      <c r="E98" s="28" t="str">
        <f>'Table001 (Page 1-6)'!D91</f>
        <v>SE 135 AV</v>
      </c>
      <c r="F98" s="29">
        <f>'Table001 (Page 1-6)'!E91</f>
        <v>2</v>
      </c>
      <c r="G98" s="29">
        <f>'Table001 (Page 1-6)'!K91</f>
        <v>2</v>
      </c>
      <c r="H98" s="30" t="str">
        <f>'Table001 (Page 1-6)'!R91</f>
        <v>E</v>
      </c>
      <c r="I98" s="28" t="str">
        <f>'Table001 (Page 1-6)'!F91</f>
        <v>COLLECTOR</v>
      </c>
      <c r="J98" s="29"/>
      <c r="K98" s="29"/>
      <c r="L98" s="29">
        <f>'Table001 (Page 1-6)'!I91</f>
        <v>29340</v>
      </c>
      <c r="M98" s="29"/>
      <c r="N98" s="29">
        <f>'Table001 (Page 1-6)'!J91</f>
        <v>1449</v>
      </c>
      <c r="O98" s="29">
        <f>'Table001 (Page 1-6)'!L91</f>
        <v>29340</v>
      </c>
      <c r="P98" s="29"/>
      <c r="Q98" s="29">
        <f>'Table001 (Page 1-6)'!M91</f>
        <v>1449</v>
      </c>
      <c r="R98" s="29" t="str">
        <f>'Table001 (Page 1-6)'!S91</f>
        <v>5,500</v>
      </c>
      <c r="S98" s="31" t="str">
        <f>'Table001 (Page 1-6)'!T91</f>
        <v>0.19</v>
      </c>
      <c r="T98" s="29" t="str">
        <f>'Table001 (Page 1-6)'!U91</f>
        <v>B</v>
      </c>
      <c r="U98" s="29"/>
      <c r="V98" s="29"/>
      <c r="W98" s="29"/>
      <c r="X98" s="29"/>
      <c r="Y98" s="29"/>
      <c r="Z98" s="29"/>
      <c r="AA98" s="29"/>
      <c r="AB98" s="29"/>
      <c r="AC98" s="31"/>
      <c r="AD98" s="29"/>
      <c r="AE98" s="29"/>
      <c r="AF98" s="29"/>
      <c r="AG98" s="31"/>
      <c r="AH98" s="29"/>
      <c r="AI98" s="32">
        <f>('Table001 (Page 1-6)'!V91)*100</f>
        <v>9.34</v>
      </c>
      <c r="AJ98" s="35"/>
      <c r="AK98" s="35"/>
      <c r="AL98" s="35"/>
      <c r="AM98" s="35"/>
    </row>
    <row r="99" spans="2:39" x14ac:dyDescent="0.25">
      <c r="B99" s="37">
        <f>'Table001 (Page 1-6)'!A92</f>
        <v>1860.1</v>
      </c>
      <c r="C99" s="28" t="str">
        <f>'Table001 (Page 1-6)'!B92</f>
        <v>CR 464C</v>
      </c>
      <c r="D99" s="28" t="str">
        <f>'Table001 (Page 1-6)'!C92</f>
        <v>SE 114TH ST RD</v>
      </c>
      <c r="E99" s="28" t="str">
        <f>'Table001 (Page 1-6)'!D92</f>
        <v>URBAN AREA BOUNDARY</v>
      </c>
      <c r="F99" s="29">
        <f>'Table001 (Page 1-6)'!E92</f>
        <v>2</v>
      </c>
      <c r="G99" s="29">
        <f>'Table001 (Page 1-6)'!K92</f>
        <v>2</v>
      </c>
      <c r="H99" s="30" t="str">
        <f>'Table001 (Page 1-6)'!R92</f>
        <v>E</v>
      </c>
      <c r="I99" s="28" t="str">
        <f>'Table001 (Page 1-6)'!F92</f>
        <v>COLLECTOR</v>
      </c>
      <c r="J99" s="29"/>
      <c r="K99" s="29"/>
      <c r="L99" s="29">
        <f>'Table001 (Page 1-6)'!I92</f>
        <v>29340</v>
      </c>
      <c r="M99" s="29"/>
      <c r="N99" s="29">
        <f>'Table001 (Page 1-6)'!J92</f>
        <v>1449</v>
      </c>
      <c r="O99" s="29">
        <f>'Table001 (Page 1-6)'!L92</f>
        <v>29340</v>
      </c>
      <c r="P99" s="29"/>
      <c r="Q99" s="29">
        <f>'Table001 (Page 1-6)'!M92</f>
        <v>1449</v>
      </c>
      <c r="R99" s="29" t="str">
        <f>'Table001 (Page 1-6)'!S92</f>
        <v>5,400</v>
      </c>
      <c r="S99" s="31" t="str">
        <f>'Table001 (Page 1-6)'!T92</f>
        <v>0.18</v>
      </c>
      <c r="T99" s="29" t="str">
        <f>'Table001 (Page 1-6)'!U92</f>
        <v>B</v>
      </c>
      <c r="U99" s="29"/>
      <c r="V99" s="29"/>
      <c r="W99" s="29"/>
      <c r="X99" s="29"/>
      <c r="Y99" s="29"/>
      <c r="Z99" s="29"/>
      <c r="AA99" s="29"/>
      <c r="AB99" s="29"/>
      <c r="AC99" s="31"/>
      <c r="AD99" s="29"/>
      <c r="AE99" s="29"/>
      <c r="AF99" s="29"/>
      <c r="AG99" s="31"/>
      <c r="AH99" s="29"/>
      <c r="AI99" s="32">
        <f>('Table001 (Page 1-6)'!V92)*100</f>
        <v>3.4000000000000004</v>
      </c>
      <c r="AJ99" s="35"/>
      <c r="AK99" s="35"/>
      <c r="AL99" s="35"/>
      <c r="AM99" s="35"/>
    </row>
    <row r="100" spans="2:39" x14ac:dyDescent="0.25">
      <c r="B100" s="37">
        <f>'Table001 (Page 1-6)'!A93</f>
        <v>1860.4</v>
      </c>
      <c r="C100" s="28" t="str">
        <f>'Table001 (Page 1-6)'!B93</f>
        <v>CR 464C</v>
      </c>
      <c r="D100" s="28" t="str">
        <f>'Table001 (Page 1-6)'!C93</f>
        <v>URBAN AREA BOUNDARY</v>
      </c>
      <c r="E100" s="28" t="str">
        <f>'Table001 (Page 1-6)'!D93</f>
        <v>CR 314A</v>
      </c>
      <c r="F100" s="29">
        <f>'Table001 (Page 1-6)'!E93</f>
        <v>2</v>
      </c>
      <c r="G100" s="29">
        <f>'Table001 (Page 1-6)'!K93</f>
        <v>2</v>
      </c>
      <c r="H100" s="30" t="str">
        <f>'Table001 (Page 1-6)'!R93</f>
        <v>D</v>
      </c>
      <c r="I100" s="28" t="str">
        <f>'Table001 (Page 1-6)'!F93</f>
        <v>COLLECTOR</v>
      </c>
      <c r="J100" s="29"/>
      <c r="K100" s="29"/>
      <c r="L100" s="29">
        <f>'Table001 (Page 1-6)'!I93</f>
        <v>19170</v>
      </c>
      <c r="M100" s="29"/>
      <c r="N100" s="29">
        <f>'Table001 (Page 1-6)'!J93</f>
        <v>999</v>
      </c>
      <c r="O100" s="29">
        <f>'Table001 (Page 1-6)'!L93</f>
        <v>19170</v>
      </c>
      <c r="P100" s="29"/>
      <c r="Q100" s="29">
        <f>'Table001 (Page 1-6)'!M93</f>
        <v>999</v>
      </c>
      <c r="R100" s="29" t="str">
        <f>'Table001 (Page 1-6)'!S93</f>
        <v>5,400</v>
      </c>
      <c r="S100" s="31" t="str">
        <f>'Table001 (Page 1-6)'!T93</f>
        <v>0.28</v>
      </c>
      <c r="T100" s="29" t="str">
        <f>'Table001 (Page 1-6)'!U93</f>
        <v>B</v>
      </c>
      <c r="U100" s="29"/>
      <c r="V100" s="29"/>
      <c r="W100" s="29"/>
      <c r="X100" s="29"/>
      <c r="Y100" s="29"/>
      <c r="Z100" s="29"/>
      <c r="AA100" s="29"/>
      <c r="AB100" s="29"/>
      <c r="AC100" s="31"/>
      <c r="AD100" s="29"/>
      <c r="AE100" s="29"/>
      <c r="AF100" s="29"/>
      <c r="AG100" s="31"/>
      <c r="AH100" s="29"/>
      <c r="AI100" s="32">
        <f>('Table001 (Page 1-6)'!V93)*100</f>
        <v>3.4000000000000004</v>
      </c>
      <c r="AJ100" s="35"/>
      <c r="AK100" s="35"/>
      <c r="AL100" s="35"/>
      <c r="AM100" s="35"/>
    </row>
    <row r="101" spans="2:39" x14ac:dyDescent="0.25">
      <c r="B101" s="37">
        <f>'Table001 (Page 1-6)'!A94</f>
        <v>1870.1</v>
      </c>
      <c r="C101" s="28" t="str">
        <f>'Table001 (Page 1-6)'!B94</f>
        <v>CR 475</v>
      </c>
      <c r="D101" s="28" t="str">
        <f>'Table001 (Page 1-6)'!C94</f>
        <v>COUNTY LINE</v>
      </c>
      <c r="E101" s="28" t="str">
        <f>'Table001 (Page 1-6)'!D94</f>
        <v>CR 475A</v>
      </c>
      <c r="F101" s="29">
        <f>'Table001 (Page 1-6)'!E94</f>
        <v>2</v>
      </c>
      <c r="G101" s="29">
        <f>'Table001 (Page 1-6)'!K94</f>
        <v>2</v>
      </c>
      <c r="H101" s="30" t="str">
        <f>'Table001 (Page 1-6)'!R94</f>
        <v>C</v>
      </c>
      <c r="I101" s="28" t="str">
        <f>'Table001 (Page 1-6)'!F94</f>
        <v>COLLECTOR</v>
      </c>
      <c r="J101" s="29"/>
      <c r="K101" s="29"/>
      <c r="L101" s="29">
        <f>'Table001 (Page 1-6)'!I94</f>
        <v>14130</v>
      </c>
      <c r="M101" s="29"/>
      <c r="N101" s="29">
        <f>'Table001 (Page 1-6)'!J94</f>
        <v>738</v>
      </c>
      <c r="O101" s="29">
        <f>'Table001 (Page 1-6)'!L94</f>
        <v>14130</v>
      </c>
      <c r="P101" s="29"/>
      <c r="Q101" s="29">
        <f>'Table001 (Page 1-6)'!M94</f>
        <v>738</v>
      </c>
      <c r="R101" s="29" t="str">
        <f>'Table001 (Page 1-6)'!S94</f>
        <v>9,300</v>
      </c>
      <c r="S101" s="31" t="str">
        <f>'Table001 (Page 1-6)'!T94</f>
        <v>0.66</v>
      </c>
      <c r="T101" s="29" t="str">
        <f>'Table001 (Page 1-6)'!U94</f>
        <v>C</v>
      </c>
      <c r="U101" s="29"/>
      <c r="V101" s="29"/>
      <c r="W101" s="29"/>
      <c r="X101" s="29"/>
      <c r="Y101" s="29"/>
      <c r="Z101" s="29"/>
      <c r="AA101" s="29"/>
      <c r="AB101" s="29"/>
      <c r="AC101" s="31"/>
      <c r="AD101" s="29"/>
      <c r="AE101" s="29"/>
      <c r="AF101" s="29"/>
      <c r="AG101" s="31"/>
      <c r="AH101" s="29"/>
      <c r="AI101" s="32">
        <f>('Table001 (Page 1-6)'!V94)*100</f>
        <v>3.71</v>
      </c>
      <c r="AJ101" s="35"/>
      <c r="AK101" s="35"/>
      <c r="AL101" s="35"/>
      <c r="AM101" s="35"/>
    </row>
    <row r="102" spans="2:39" x14ac:dyDescent="0.25">
      <c r="B102" s="37">
        <f>'Table001 (Page 1-6)'!A95</f>
        <v>1870.3</v>
      </c>
      <c r="C102" s="28" t="str">
        <f>'Table001 (Page 1-6)'!B95</f>
        <v>CR 475</v>
      </c>
      <c r="D102" s="28" t="str">
        <f>'Table001 (Page 1-6)'!C95</f>
        <v>CR 475A</v>
      </c>
      <c r="E102" s="28" t="str">
        <f>'Table001 (Page 1-6)'!D95</f>
        <v>URBAN AREA BOUNDARY</v>
      </c>
      <c r="F102" s="29">
        <f>'Table001 (Page 1-6)'!E95</f>
        <v>2</v>
      </c>
      <c r="G102" s="29">
        <f>'Table001 (Page 1-6)'!K95</f>
        <v>2</v>
      </c>
      <c r="H102" s="30" t="str">
        <f>'Table001 (Page 1-6)'!R95</f>
        <v>C</v>
      </c>
      <c r="I102" s="28" t="str">
        <f>'Table001 (Page 1-6)'!F95</f>
        <v>COLLECTOR</v>
      </c>
      <c r="J102" s="29"/>
      <c r="K102" s="29"/>
      <c r="L102" s="29">
        <f>'Table001 (Page 1-6)'!I95</f>
        <v>14130</v>
      </c>
      <c r="M102" s="29"/>
      <c r="N102" s="29">
        <f>'Table001 (Page 1-6)'!J95</f>
        <v>738</v>
      </c>
      <c r="O102" s="29">
        <f>'Table001 (Page 1-6)'!L95</f>
        <v>14130</v>
      </c>
      <c r="P102" s="29"/>
      <c r="Q102" s="29">
        <f>'Table001 (Page 1-6)'!M95</f>
        <v>738</v>
      </c>
      <c r="R102" s="29" t="str">
        <f>'Table001 (Page 1-6)'!S95</f>
        <v>6,100</v>
      </c>
      <c r="S102" s="31" t="str">
        <f>'Table001 (Page 1-6)'!T95</f>
        <v>0.43</v>
      </c>
      <c r="T102" s="29" t="str">
        <f>'Table001 (Page 1-6)'!U95</f>
        <v>B</v>
      </c>
      <c r="U102" s="29"/>
      <c r="V102" s="29"/>
      <c r="W102" s="29"/>
      <c r="X102" s="29"/>
      <c r="Y102" s="29"/>
      <c r="Z102" s="29"/>
      <c r="AA102" s="29"/>
      <c r="AB102" s="29"/>
      <c r="AC102" s="31"/>
      <c r="AD102" s="29"/>
      <c r="AE102" s="29"/>
      <c r="AF102" s="29"/>
      <c r="AG102" s="31"/>
      <c r="AH102" s="29"/>
      <c r="AI102" s="32">
        <f>('Table001 (Page 1-6)'!V95)*100</f>
        <v>2.96</v>
      </c>
      <c r="AJ102" s="35"/>
      <c r="AK102" s="35"/>
      <c r="AL102" s="35"/>
      <c r="AM102" s="35"/>
    </row>
    <row r="103" spans="2:39" x14ac:dyDescent="0.25">
      <c r="B103" s="37">
        <f>'Table001 (Page 1-6)'!A96</f>
        <v>1870.4</v>
      </c>
      <c r="C103" s="28" t="str">
        <f>'Table001 (Page 1-6)'!B96</f>
        <v>CR 475</v>
      </c>
      <c r="D103" s="28" t="str">
        <f>'Table001 (Page 1-6)'!C96</f>
        <v>URBAN AREA BOUNDARY</v>
      </c>
      <c r="E103" s="28" t="str">
        <f>'Table001 (Page 1-6)'!D96</f>
        <v>CR 484</v>
      </c>
      <c r="F103" s="29">
        <f>'Table001 (Page 1-6)'!E96</f>
        <v>2</v>
      </c>
      <c r="G103" s="29">
        <f>'Table001 (Page 1-6)'!K96</f>
        <v>2</v>
      </c>
      <c r="H103" s="30" t="str">
        <f>'Table001 (Page 1-6)'!R96</f>
        <v>C</v>
      </c>
      <c r="I103" s="28" t="str">
        <f>'Table001 (Page 1-6)'!F96</f>
        <v>COLLECTOR</v>
      </c>
      <c r="J103" s="29"/>
      <c r="K103" s="29"/>
      <c r="L103" s="29">
        <f>'Table001 (Page 1-6)'!I96</f>
        <v>16200</v>
      </c>
      <c r="M103" s="29"/>
      <c r="N103" s="29">
        <f>'Table001 (Page 1-6)'!J96</f>
        <v>801</v>
      </c>
      <c r="O103" s="29">
        <f>'Table001 (Page 1-6)'!L96</f>
        <v>16200</v>
      </c>
      <c r="P103" s="29"/>
      <c r="Q103" s="29">
        <f>'Table001 (Page 1-6)'!M96</f>
        <v>801</v>
      </c>
      <c r="R103" s="29" t="str">
        <f>'Table001 (Page 1-6)'!S96</f>
        <v>6,100</v>
      </c>
      <c r="S103" s="31" t="str">
        <f>'Table001 (Page 1-6)'!T96</f>
        <v>0.38</v>
      </c>
      <c r="T103" s="29" t="str">
        <f>'Table001 (Page 1-6)'!U96</f>
        <v>B</v>
      </c>
      <c r="U103" s="29"/>
      <c r="V103" s="29"/>
      <c r="W103" s="29"/>
      <c r="X103" s="29"/>
      <c r="Y103" s="29"/>
      <c r="Z103" s="29"/>
      <c r="AA103" s="29"/>
      <c r="AB103" s="29"/>
      <c r="AC103" s="31"/>
      <c r="AD103" s="29"/>
      <c r="AE103" s="29"/>
      <c r="AF103" s="29"/>
      <c r="AG103" s="31"/>
      <c r="AH103" s="29"/>
      <c r="AI103" s="32">
        <f>('Table001 (Page 1-6)'!V96)*100</f>
        <v>2.96</v>
      </c>
      <c r="AJ103" s="35"/>
      <c r="AK103" s="35"/>
      <c r="AL103" s="35"/>
      <c r="AM103" s="35"/>
    </row>
    <row r="104" spans="2:39" x14ac:dyDescent="0.25">
      <c r="B104" s="37">
        <f>'Table001 (Page 1-6)'!A97</f>
        <v>1880.1</v>
      </c>
      <c r="C104" s="28" t="str">
        <f>'Table001 (Page 1-6)'!B97</f>
        <v>CR 475</v>
      </c>
      <c r="D104" s="28" t="str">
        <f>'Table001 (Page 1-6)'!C97</f>
        <v>CR 484</v>
      </c>
      <c r="E104" s="28" t="str">
        <f>'Table001 (Page 1-6)'!D97</f>
        <v>URBAN AREA BOUNDARY</v>
      </c>
      <c r="F104" s="29">
        <f>'Table001 (Page 1-6)'!E97</f>
        <v>2</v>
      </c>
      <c r="G104" s="29">
        <f>'Table001 (Page 1-6)'!K97</f>
        <v>2</v>
      </c>
      <c r="H104" s="30" t="str">
        <f>'Table001 (Page 1-6)'!R97</f>
        <v>C</v>
      </c>
      <c r="I104" s="28" t="str">
        <f>'Table001 (Page 1-6)'!F97</f>
        <v>ARTERIAL</v>
      </c>
      <c r="J104" s="29"/>
      <c r="K104" s="29"/>
      <c r="L104" s="29">
        <f>'Table001 (Page 1-6)'!I97</f>
        <v>16200</v>
      </c>
      <c r="M104" s="29"/>
      <c r="N104" s="29">
        <f>'Table001 (Page 1-6)'!J97</f>
        <v>801</v>
      </c>
      <c r="O104" s="29">
        <f>'Table001 (Page 1-6)'!L97</f>
        <v>16200</v>
      </c>
      <c r="P104" s="29"/>
      <c r="Q104" s="29">
        <f>'Table001 (Page 1-6)'!M97</f>
        <v>801</v>
      </c>
      <c r="R104" s="29" t="str">
        <f>'Table001 (Page 1-6)'!S97</f>
        <v>6,200</v>
      </c>
      <c r="S104" s="31" t="str">
        <f>'Table001 (Page 1-6)'!T97</f>
        <v>0.38</v>
      </c>
      <c r="T104" s="29" t="str">
        <f>'Table001 (Page 1-6)'!U97</f>
        <v>B</v>
      </c>
      <c r="U104" s="29"/>
      <c r="V104" s="29"/>
      <c r="W104" s="29"/>
      <c r="X104" s="29"/>
      <c r="Y104" s="29"/>
      <c r="Z104" s="29"/>
      <c r="AA104" s="29"/>
      <c r="AB104" s="29"/>
      <c r="AC104" s="31"/>
      <c r="AD104" s="29"/>
      <c r="AE104" s="29"/>
      <c r="AF104" s="29"/>
      <c r="AG104" s="31"/>
      <c r="AH104" s="29"/>
      <c r="AI104" s="32">
        <f>('Table001 (Page 1-6)'!V97)*100</f>
        <v>4.1300000000000008</v>
      </c>
      <c r="AJ104" s="35"/>
      <c r="AK104" s="35"/>
      <c r="AL104" s="35"/>
      <c r="AM104" s="35"/>
    </row>
    <row r="105" spans="2:39" x14ac:dyDescent="0.25">
      <c r="B105" s="37">
        <f>'Table001 (Page 1-6)'!A98</f>
        <v>1880.2</v>
      </c>
      <c r="C105" s="28" t="str">
        <f>'Table001 (Page 1-6)'!B98</f>
        <v>CR 475</v>
      </c>
      <c r="D105" s="28" t="str">
        <f>'Table001 (Page 1-6)'!C98</f>
        <v>URBAN AREA BOUNDARY</v>
      </c>
      <c r="E105" s="28" t="str">
        <f>'Table001 (Page 1-6)'!D98</f>
        <v>SE 90 ST</v>
      </c>
      <c r="F105" s="29">
        <f>'Table001 (Page 1-6)'!E98</f>
        <v>2</v>
      </c>
      <c r="G105" s="29">
        <f>'Table001 (Page 1-6)'!K98</f>
        <v>2</v>
      </c>
      <c r="H105" s="30" t="str">
        <f>'Table001 (Page 1-6)'!R98</f>
        <v>C</v>
      </c>
      <c r="I105" s="28" t="str">
        <f>'Table001 (Page 1-6)'!F98</f>
        <v>ARTERIAL</v>
      </c>
      <c r="J105" s="29"/>
      <c r="K105" s="29"/>
      <c r="L105" s="29">
        <f>'Table001 (Page 1-6)'!I98</f>
        <v>14130</v>
      </c>
      <c r="M105" s="29"/>
      <c r="N105" s="29">
        <f>'Table001 (Page 1-6)'!J98</f>
        <v>738</v>
      </c>
      <c r="O105" s="29">
        <f>'Table001 (Page 1-6)'!L98</f>
        <v>14130</v>
      </c>
      <c r="P105" s="29"/>
      <c r="Q105" s="29">
        <f>'Table001 (Page 1-6)'!M98</f>
        <v>738</v>
      </c>
      <c r="R105" s="29" t="str">
        <f>'Table001 (Page 1-6)'!S98</f>
        <v>6,200</v>
      </c>
      <c r="S105" s="31" t="str">
        <f>'Table001 (Page 1-6)'!T98</f>
        <v>0.44</v>
      </c>
      <c r="T105" s="29" t="str">
        <f>'Table001 (Page 1-6)'!U98</f>
        <v>B</v>
      </c>
      <c r="U105" s="29"/>
      <c r="V105" s="29"/>
      <c r="W105" s="29"/>
      <c r="X105" s="29"/>
      <c r="Y105" s="29"/>
      <c r="Z105" s="29"/>
      <c r="AA105" s="29"/>
      <c r="AB105" s="29"/>
      <c r="AC105" s="31"/>
      <c r="AD105" s="29"/>
      <c r="AE105" s="29"/>
      <c r="AF105" s="29"/>
      <c r="AG105" s="31"/>
      <c r="AH105" s="29"/>
      <c r="AI105" s="32">
        <f>('Table001 (Page 1-6)'!V98)*100</f>
        <v>4.1300000000000008</v>
      </c>
      <c r="AJ105" s="35"/>
      <c r="AK105" s="35"/>
      <c r="AL105" s="35"/>
      <c r="AM105" s="35"/>
    </row>
    <row r="106" spans="2:39" x14ac:dyDescent="0.25">
      <c r="B106" s="37">
        <f>'Table001 (Page 1-6)'!A99</f>
        <v>1890.1</v>
      </c>
      <c r="C106" s="28" t="str">
        <f>'Table001 (Page 1-6)'!B99</f>
        <v>CR 475</v>
      </c>
      <c r="D106" s="28" t="str">
        <f>'Table001 (Page 1-6)'!C99</f>
        <v>SE 90 ST</v>
      </c>
      <c r="E106" s="28" t="str">
        <f>'Table001 (Page 1-6)'!D99</f>
        <v>URBAN AREA BOUNDARY</v>
      </c>
      <c r="F106" s="29">
        <f>'Table001 (Page 1-6)'!E99</f>
        <v>2</v>
      </c>
      <c r="G106" s="29">
        <f>'Table001 (Page 1-6)'!K99</f>
        <v>2</v>
      </c>
      <c r="H106" s="30" t="str">
        <f>'Table001 (Page 1-6)'!R99</f>
        <v>C</v>
      </c>
      <c r="I106" s="28" t="str">
        <f>'Table001 (Page 1-6)'!F99</f>
        <v>ARTERIAL</v>
      </c>
      <c r="J106" s="29"/>
      <c r="K106" s="29"/>
      <c r="L106" s="29">
        <f>'Table001 (Page 1-6)'!I99</f>
        <v>14130</v>
      </c>
      <c r="M106" s="29"/>
      <c r="N106" s="29">
        <f>'Table001 (Page 1-6)'!J99</f>
        <v>738</v>
      </c>
      <c r="O106" s="29">
        <f>'Table001 (Page 1-6)'!L99</f>
        <v>14130</v>
      </c>
      <c r="P106" s="29"/>
      <c r="Q106" s="29">
        <f>'Table001 (Page 1-6)'!M99</f>
        <v>738</v>
      </c>
      <c r="R106" s="29" t="str">
        <f>'Table001 (Page 1-6)'!S99</f>
        <v>8,800</v>
      </c>
      <c r="S106" s="31" t="str">
        <f>'Table001 (Page 1-6)'!T99</f>
        <v>0.62</v>
      </c>
      <c r="T106" s="29" t="str">
        <f>'Table001 (Page 1-6)'!U99</f>
        <v>B</v>
      </c>
      <c r="U106" s="29"/>
      <c r="V106" s="29"/>
      <c r="W106" s="29"/>
      <c r="X106" s="29"/>
      <c r="Y106" s="29"/>
      <c r="Z106" s="29"/>
      <c r="AA106" s="29"/>
      <c r="AB106" s="29"/>
      <c r="AC106" s="31"/>
      <c r="AD106" s="29"/>
      <c r="AE106" s="29"/>
      <c r="AF106" s="29"/>
      <c r="AG106" s="31"/>
      <c r="AH106" s="29"/>
      <c r="AI106" s="32">
        <f>('Table001 (Page 1-6)'!V99)*100</f>
        <v>5.26</v>
      </c>
      <c r="AJ106" s="35"/>
      <c r="AK106" s="35"/>
      <c r="AL106" s="35"/>
      <c r="AM106" s="35"/>
    </row>
    <row r="107" spans="2:39" x14ac:dyDescent="0.25">
      <c r="B107" s="37">
        <f>'Table001 (Page 1-6)'!A100</f>
        <v>1890.2</v>
      </c>
      <c r="C107" s="28" t="str">
        <f>'Table001 (Page 1-6)'!B100</f>
        <v>CR 475</v>
      </c>
      <c r="D107" s="28" t="str">
        <f>'Table001 (Page 1-6)'!C100</f>
        <v>URBAN AREA BOUNDARY</v>
      </c>
      <c r="E107" s="28" t="str">
        <f>'Table001 (Page 1-6)'!D100</f>
        <v>SE 80 ST</v>
      </c>
      <c r="F107" s="29">
        <f>'Table001 (Page 1-6)'!E100</f>
        <v>2</v>
      </c>
      <c r="G107" s="29">
        <f>'Table001 (Page 1-6)'!K100</f>
        <v>2</v>
      </c>
      <c r="H107" s="30" t="str">
        <f>'Table001 (Page 1-6)'!R100</f>
        <v>C</v>
      </c>
      <c r="I107" s="28" t="str">
        <f>'Table001 (Page 1-6)'!F100</f>
        <v>ARTERIAL</v>
      </c>
      <c r="J107" s="29"/>
      <c r="K107" s="29"/>
      <c r="L107" s="29">
        <f>'Table001 (Page 1-6)'!I100</f>
        <v>16200</v>
      </c>
      <c r="M107" s="29"/>
      <c r="N107" s="29">
        <f>'Table001 (Page 1-6)'!J100</f>
        <v>801</v>
      </c>
      <c r="O107" s="29">
        <f>'Table001 (Page 1-6)'!L100</f>
        <v>16200</v>
      </c>
      <c r="P107" s="29"/>
      <c r="Q107" s="29">
        <f>'Table001 (Page 1-6)'!M100</f>
        <v>801</v>
      </c>
      <c r="R107" s="29" t="str">
        <f>'Table001 (Page 1-6)'!S100</f>
        <v>8,800</v>
      </c>
      <c r="S107" s="31" t="str">
        <f>'Table001 (Page 1-6)'!T100</f>
        <v>0.54</v>
      </c>
      <c r="T107" s="29" t="str">
        <f>'Table001 (Page 1-6)'!U100</f>
        <v>B</v>
      </c>
      <c r="U107" s="29"/>
      <c r="V107" s="29"/>
      <c r="W107" s="29"/>
      <c r="X107" s="29"/>
      <c r="Y107" s="29"/>
      <c r="Z107" s="29"/>
      <c r="AA107" s="29"/>
      <c r="AB107" s="29"/>
      <c r="AC107" s="31"/>
      <c r="AD107" s="29"/>
      <c r="AE107" s="29"/>
      <c r="AF107" s="29"/>
      <c r="AG107" s="31"/>
      <c r="AH107" s="29"/>
      <c r="AI107" s="32">
        <f>('Table001 (Page 1-6)'!V100)*100</f>
        <v>5.26</v>
      </c>
      <c r="AJ107" s="35"/>
      <c r="AK107" s="35"/>
      <c r="AL107" s="35"/>
      <c r="AM107" s="35"/>
    </row>
    <row r="108" spans="2:39" x14ac:dyDescent="0.25">
      <c r="B108" s="37">
        <f>'Table001 (Page 1-6)'!A101</f>
        <v>1900</v>
      </c>
      <c r="C108" s="28" t="str">
        <f>'Table001 (Page 1-6)'!B101</f>
        <v>CR 475</v>
      </c>
      <c r="D108" s="28" t="str">
        <f>'Table001 (Page 1-6)'!C101</f>
        <v>SE 80 ST</v>
      </c>
      <c r="E108" s="28" t="str">
        <f>'Table001 (Page 1-6)'!D101</f>
        <v>SE 52 ST</v>
      </c>
      <c r="F108" s="29">
        <f>'Table001 (Page 1-6)'!E101</f>
        <v>2</v>
      </c>
      <c r="G108" s="29">
        <f>'Table001 (Page 1-6)'!K101</f>
        <v>2</v>
      </c>
      <c r="H108" s="30" t="str">
        <f>'Table001 (Page 1-6)'!R101</f>
        <v>C</v>
      </c>
      <c r="I108" s="28" t="str">
        <f>'Table001 (Page 1-6)'!F101</f>
        <v>ARTERIAL</v>
      </c>
      <c r="J108" s="29"/>
      <c r="K108" s="29"/>
      <c r="L108" s="29">
        <f>'Table001 (Page 1-6)'!I101</f>
        <v>12096</v>
      </c>
      <c r="M108" s="29"/>
      <c r="N108" s="29">
        <f>'Table001 (Page 1-6)'!J101</f>
        <v>598</v>
      </c>
      <c r="O108" s="29">
        <f>'Table001 (Page 1-6)'!L101</f>
        <v>12096</v>
      </c>
      <c r="P108" s="29"/>
      <c r="Q108" s="29">
        <f>'Table001 (Page 1-6)'!M101</f>
        <v>598</v>
      </c>
      <c r="R108" s="29" t="str">
        <f>'Table001 (Page 1-6)'!S101</f>
        <v>8,200</v>
      </c>
      <c r="S108" s="31" t="str">
        <f>'Table001 (Page 1-6)'!T101</f>
        <v>0.68</v>
      </c>
      <c r="T108" s="29" t="str">
        <f>'Table001 (Page 1-6)'!U101</f>
        <v>C</v>
      </c>
      <c r="U108" s="29"/>
      <c r="V108" s="29"/>
      <c r="W108" s="29"/>
      <c r="X108" s="29"/>
      <c r="Y108" s="29"/>
      <c r="Z108" s="29"/>
      <c r="AA108" s="29"/>
      <c r="AB108" s="29"/>
      <c r="AC108" s="31"/>
      <c r="AD108" s="29"/>
      <c r="AE108" s="29"/>
      <c r="AF108" s="29"/>
      <c r="AG108" s="31"/>
      <c r="AH108" s="29"/>
      <c r="AI108" s="32">
        <f>('Table001 (Page 1-6)'!V101)*100</f>
        <v>3.35</v>
      </c>
      <c r="AJ108" s="35"/>
      <c r="AK108" s="35"/>
      <c r="AL108" s="35"/>
      <c r="AM108" s="35"/>
    </row>
    <row r="109" spans="2:39" x14ac:dyDescent="0.25">
      <c r="B109" s="37">
        <f>'Table001 (Page 1-6)'!A102</f>
        <v>1910.1</v>
      </c>
      <c r="C109" s="28" t="str">
        <f>'Table001 (Page 1-6)'!B102</f>
        <v>CR 475</v>
      </c>
      <c r="D109" s="28" t="str">
        <f>'Table001 (Page 1-6)'!C102</f>
        <v>SE 52 ST</v>
      </c>
      <c r="E109" s="28" t="str">
        <f>'Table001 (Page 1-6)'!D102</f>
        <v>SE 35 ST</v>
      </c>
      <c r="F109" s="29">
        <f>'Table001 (Page 1-6)'!E102</f>
        <v>2</v>
      </c>
      <c r="G109" s="29">
        <f>'Table001 (Page 1-6)'!K102</f>
        <v>2</v>
      </c>
      <c r="H109" s="30" t="str">
        <f>'Table001 (Page 1-6)'!R102</f>
        <v>C</v>
      </c>
      <c r="I109" s="28" t="str">
        <f>'Table001 (Page 1-6)'!F102</f>
        <v>ARTERIAL</v>
      </c>
      <c r="J109" s="29"/>
      <c r="K109" s="29"/>
      <c r="L109" s="29">
        <f>'Table001 (Page 1-6)'!I102</f>
        <v>12096</v>
      </c>
      <c r="M109" s="29"/>
      <c r="N109" s="29">
        <f>'Table001 (Page 1-6)'!J102</f>
        <v>598</v>
      </c>
      <c r="O109" s="29">
        <f>'Table001 (Page 1-6)'!L102</f>
        <v>12096</v>
      </c>
      <c r="P109" s="29"/>
      <c r="Q109" s="29">
        <f>'Table001 (Page 1-6)'!M102</f>
        <v>598</v>
      </c>
      <c r="R109" s="29" t="str">
        <f>'Table001 (Page 1-6)'!S102</f>
        <v>9,600</v>
      </c>
      <c r="S109" s="31" t="str">
        <f>'Table001 (Page 1-6)'!T102</f>
        <v>0.79</v>
      </c>
      <c r="T109" s="29" t="str">
        <f>'Table001 (Page 1-6)'!U102</f>
        <v>C</v>
      </c>
      <c r="U109" s="29"/>
      <c r="V109" s="29"/>
      <c r="W109" s="29"/>
      <c r="X109" s="29"/>
      <c r="Y109" s="29"/>
      <c r="Z109" s="29"/>
      <c r="AA109" s="29"/>
      <c r="AB109" s="29"/>
      <c r="AC109" s="31"/>
      <c r="AD109" s="29"/>
      <c r="AE109" s="29"/>
      <c r="AF109" s="29"/>
      <c r="AG109" s="31"/>
      <c r="AH109" s="29"/>
      <c r="AI109" s="32">
        <f>('Table001 (Page 1-6)'!V102)*100</f>
        <v>3.9</v>
      </c>
      <c r="AJ109" s="35"/>
      <c r="AK109" s="35"/>
      <c r="AL109" s="35"/>
      <c r="AM109" s="35"/>
    </row>
    <row r="110" spans="2:39" x14ac:dyDescent="0.25">
      <c r="B110" s="37">
        <f>'Table001 (Page 1-6)'!A103</f>
        <v>1910.3</v>
      </c>
      <c r="C110" s="28" t="str">
        <f>'Table001 (Page 1-6)'!B103</f>
        <v>CR 475</v>
      </c>
      <c r="D110" s="28" t="str">
        <f>'Table001 (Page 1-6)'!C103</f>
        <v>SE 35 ST</v>
      </c>
      <c r="E110" s="28" t="str">
        <f>'Table001 (Page 1-6)'!D103</f>
        <v>SE 31 ST</v>
      </c>
      <c r="F110" s="29">
        <f>'Table001 (Page 1-6)'!E103</f>
        <v>2</v>
      </c>
      <c r="G110" s="29">
        <f>'Table001 (Page 1-6)'!K103</f>
        <v>2</v>
      </c>
      <c r="H110" s="30" t="str">
        <f>'Table001 (Page 1-6)'!R103</f>
        <v>C</v>
      </c>
      <c r="I110" s="28" t="str">
        <f>'Table001 (Page 1-6)'!F103</f>
        <v>ARTERIAL</v>
      </c>
      <c r="J110" s="29"/>
      <c r="K110" s="29"/>
      <c r="L110" s="29">
        <f>'Table001 (Page 1-6)'!I103</f>
        <v>16200</v>
      </c>
      <c r="M110" s="29"/>
      <c r="N110" s="29">
        <f>'Table001 (Page 1-6)'!J103</f>
        <v>801</v>
      </c>
      <c r="O110" s="29">
        <f>'Table001 (Page 1-6)'!L103</f>
        <v>16200</v>
      </c>
      <c r="P110" s="29"/>
      <c r="Q110" s="29">
        <f>'Table001 (Page 1-6)'!M103</f>
        <v>801</v>
      </c>
      <c r="R110" s="29" t="str">
        <f>'Table001 (Page 1-6)'!S103</f>
        <v>9,600</v>
      </c>
      <c r="S110" s="31" t="str">
        <f>'Table001 (Page 1-6)'!T103</f>
        <v>0.59</v>
      </c>
      <c r="T110" s="29" t="str">
        <f>'Table001 (Page 1-6)'!U103</f>
        <v>B</v>
      </c>
      <c r="U110" s="29"/>
      <c r="V110" s="29"/>
      <c r="W110" s="29"/>
      <c r="X110" s="29"/>
      <c r="Y110" s="29"/>
      <c r="Z110" s="29"/>
      <c r="AA110" s="29"/>
      <c r="AB110" s="29"/>
      <c r="AC110" s="31"/>
      <c r="AD110" s="29"/>
      <c r="AE110" s="29"/>
      <c r="AF110" s="29"/>
      <c r="AG110" s="31"/>
      <c r="AH110" s="29"/>
      <c r="AI110" s="32">
        <f>('Table001 (Page 1-6)'!V103)*100</f>
        <v>3.9</v>
      </c>
      <c r="AJ110" s="35"/>
      <c r="AK110" s="35"/>
      <c r="AL110" s="35"/>
      <c r="AM110" s="35"/>
    </row>
    <row r="111" spans="2:39" x14ac:dyDescent="0.25">
      <c r="B111" s="37">
        <f>'Table001 (Page 1-6)'!A104</f>
        <v>1910.5</v>
      </c>
      <c r="C111" s="28" t="str">
        <f>'Table001 (Page 1-6)'!B104</f>
        <v>CR 475</v>
      </c>
      <c r="D111" s="28" t="str">
        <f>'Table001 (Page 1-6)'!C104</f>
        <v>SE 31 ST</v>
      </c>
      <c r="E111" s="28" t="str">
        <f>'Table001 (Page 1-6)'!D104</f>
        <v>N OF SW 29TH ST RD</v>
      </c>
      <c r="F111" s="29">
        <f>'Table001 (Page 1-6)'!E104</f>
        <v>2</v>
      </c>
      <c r="G111" s="29">
        <f>'Table001 (Page 1-6)'!K104</f>
        <v>2</v>
      </c>
      <c r="H111" s="30" t="str">
        <f>'Table001 (Page 1-6)'!R104</f>
        <v>E</v>
      </c>
      <c r="I111" s="28" t="str">
        <f>'Table001 (Page 1-6)'!F104</f>
        <v>ARTERIAL</v>
      </c>
      <c r="J111" s="29"/>
      <c r="K111" s="29"/>
      <c r="L111" s="29">
        <f>'Table001 (Page 1-6)'!I104</f>
        <v>29340</v>
      </c>
      <c r="M111" s="29"/>
      <c r="N111" s="29">
        <f>'Table001 (Page 1-6)'!J104</f>
        <v>1449</v>
      </c>
      <c r="O111" s="29">
        <f>'Table001 (Page 1-6)'!L104</f>
        <v>29340</v>
      </c>
      <c r="P111" s="29"/>
      <c r="Q111" s="29">
        <f>'Table001 (Page 1-6)'!M104</f>
        <v>1449</v>
      </c>
      <c r="R111" s="29" t="str">
        <f>'Table001 (Page 1-6)'!S104</f>
        <v>Not Counted</v>
      </c>
      <c r="S111" s="31" t="str">
        <f>'Table001 (Page 1-6)'!T104</f>
        <v>N/A</v>
      </c>
      <c r="T111" s="29" t="str">
        <f>'Table001 (Page 1-6)'!U104</f>
        <v>N/A</v>
      </c>
      <c r="U111" s="29"/>
      <c r="V111" s="29"/>
      <c r="W111" s="29"/>
      <c r="X111" s="29"/>
      <c r="Y111" s="29"/>
      <c r="Z111" s="29"/>
      <c r="AA111" s="29"/>
      <c r="AB111" s="29"/>
      <c r="AC111" s="31"/>
      <c r="AD111" s="29"/>
      <c r="AE111" s="29"/>
      <c r="AF111" s="29"/>
      <c r="AG111" s="31"/>
      <c r="AH111" s="29"/>
      <c r="AI111" s="32">
        <f>('Table001 (Page 1-6)'!V104)*100</f>
        <v>1</v>
      </c>
      <c r="AJ111" s="35"/>
      <c r="AK111" s="35"/>
      <c r="AL111" s="35"/>
      <c r="AM111" s="35"/>
    </row>
    <row r="112" spans="2:39" x14ac:dyDescent="0.25">
      <c r="B112" s="37">
        <f>'Table001 (Page 1-6)'!A105</f>
        <v>1910.6</v>
      </c>
      <c r="C112" s="28" t="str">
        <f>'Table001 (Page 1-6)'!B105</f>
        <v>CR 475</v>
      </c>
      <c r="D112" s="28" t="str">
        <f>'Table001 (Page 1-6)'!C105</f>
        <v>N OF SW 29TH ST RD</v>
      </c>
      <c r="E112" s="28" t="str">
        <f>'Table001 (Page 1-6)'!D105</f>
        <v>US 441</v>
      </c>
      <c r="F112" s="29">
        <f>'Table001 (Page 1-6)'!E105</f>
        <v>2</v>
      </c>
      <c r="G112" s="29">
        <f>'Table001 (Page 1-6)'!K105</f>
        <v>2</v>
      </c>
      <c r="H112" s="30" t="str">
        <f>'Table001 (Page 1-6)'!R105</f>
        <v>E</v>
      </c>
      <c r="I112" s="28" t="str">
        <f>'Table001 (Page 1-6)'!F105</f>
        <v>ARTERIAL</v>
      </c>
      <c r="J112" s="29"/>
      <c r="K112" s="29"/>
      <c r="L112" s="29">
        <f>'Table001 (Page 1-6)'!I105</f>
        <v>11232</v>
      </c>
      <c r="M112" s="29"/>
      <c r="N112" s="29">
        <f>'Table001 (Page 1-6)'!J105</f>
        <v>576</v>
      </c>
      <c r="O112" s="29">
        <f>'Table001 (Page 1-6)'!L105</f>
        <v>11232</v>
      </c>
      <c r="P112" s="29"/>
      <c r="Q112" s="29">
        <f>'Table001 (Page 1-6)'!M105</f>
        <v>576</v>
      </c>
      <c r="R112" s="29" t="str">
        <f>'Table001 (Page 1-6)'!S105</f>
        <v>Not Counted</v>
      </c>
      <c r="S112" s="31" t="str">
        <f>'Table001 (Page 1-6)'!T105</f>
        <v>N/A</v>
      </c>
      <c r="T112" s="29" t="str">
        <f>'Table001 (Page 1-6)'!U105</f>
        <v>N/A</v>
      </c>
      <c r="U112" s="29"/>
      <c r="V112" s="29"/>
      <c r="W112" s="29"/>
      <c r="X112" s="29"/>
      <c r="Y112" s="29"/>
      <c r="Z112" s="29"/>
      <c r="AA112" s="29"/>
      <c r="AB112" s="29"/>
      <c r="AC112" s="31"/>
      <c r="AD112" s="29"/>
      <c r="AE112" s="29"/>
      <c r="AF112" s="29"/>
      <c r="AG112" s="31"/>
      <c r="AH112" s="29"/>
      <c r="AI112" s="32">
        <f>('Table001 (Page 1-6)'!V105)*100</f>
        <v>1</v>
      </c>
      <c r="AJ112" s="35"/>
      <c r="AK112" s="35"/>
      <c r="AL112" s="35"/>
      <c r="AM112" s="35"/>
    </row>
    <row r="113" spans="2:39" x14ac:dyDescent="0.25">
      <c r="B113" s="37">
        <f>'Table001 (Page 1-6)'!A106</f>
        <v>1920</v>
      </c>
      <c r="C113" s="28" t="str">
        <f>'Table001 (Page 1-6)'!B106</f>
        <v>SE 23 PL</v>
      </c>
      <c r="D113" s="28" t="str">
        <f>'Table001 (Page 1-6)'!C106</f>
        <v>US 441</v>
      </c>
      <c r="E113" s="28" t="str">
        <f>'Table001 (Page 1-6)'!D106</f>
        <v>SE 3 AV</v>
      </c>
      <c r="F113" s="29">
        <f>'Table001 (Page 1-6)'!E106</f>
        <v>2</v>
      </c>
      <c r="G113" s="29">
        <f>'Table001 (Page 1-6)'!K106</f>
        <v>2</v>
      </c>
      <c r="H113" s="30" t="str">
        <f>'Table001 (Page 1-6)'!R106</f>
        <v>E</v>
      </c>
      <c r="I113" s="28" t="str">
        <f>'Table001 (Page 1-6)'!F106</f>
        <v>LOCAL</v>
      </c>
      <c r="J113" s="29"/>
      <c r="K113" s="29"/>
      <c r="L113" s="29">
        <f>'Table001 (Page 1-6)'!I106</f>
        <v>11794</v>
      </c>
      <c r="M113" s="29"/>
      <c r="N113" s="29">
        <f>'Table001 (Page 1-6)'!J106</f>
        <v>605</v>
      </c>
      <c r="O113" s="29">
        <f>'Table001 (Page 1-6)'!L106</f>
        <v>11794</v>
      </c>
      <c r="P113" s="29"/>
      <c r="Q113" s="29">
        <f>'Table001 (Page 1-6)'!M106</f>
        <v>605</v>
      </c>
      <c r="R113" s="29" t="str">
        <f>'Table001 (Page 1-6)'!S106</f>
        <v>Not Counted</v>
      </c>
      <c r="S113" s="31" t="str">
        <f>'Table001 (Page 1-6)'!T106</f>
        <v>N/A</v>
      </c>
      <c r="T113" s="29" t="str">
        <f>'Table001 (Page 1-6)'!U106</f>
        <v>N/A</v>
      </c>
      <c r="U113" s="29"/>
      <c r="V113" s="29"/>
      <c r="W113" s="29"/>
      <c r="X113" s="29"/>
      <c r="Y113" s="29"/>
      <c r="Z113" s="29"/>
      <c r="AA113" s="29"/>
      <c r="AB113" s="29"/>
      <c r="AC113" s="31"/>
      <c r="AD113" s="29"/>
      <c r="AE113" s="29"/>
      <c r="AF113" s="29"/>
      <c r="AG113" s="31"/>
      <c r="AH113" s="29"/>
      <c r="AI113" s="32">
        <f>('Table001 (Page 1-6)'!V106)*100</f>
        <v>1</v>
      </c>
      <c r="AJ113" s="35"/>
      <c r="AK113" s="35"/>
      <c r="AL113" s="35"/>
      <c r="AM113" s="35"/>
    </row>
    <row r="114" spans="2:39" x14ac:dyDescent="0.25">
      <c r="B114" s="37">
        <f>'Table001 (Page 1-6)'!A107</f>
        <v>1930.1</v>
      </c>
      <c r="C114" s="28" t="str">
        <f>'Table001 (Page 1-6)'!B107</f>
        <v>CR 475A</v>
      </c>
      <c r="D114" s="28" t="str">
        <f>'Table001 (Page 1-6)'!C107</f>
        <v>CR 475B</v>
      </c>
      <c r="E114" s="28" t="str">
        <f>'Table001 (Page 1-6)'!D107</f>
        <v>CR 484</v>
      </c>
      <c r="F114" s="29">
        <f>'Table001 (Page 1-6)'!E107</f>
        <v>2</v>
      </c>
      <c r="G114" s="29">
        <f>'Table001 (Page 1-6)'!K107</f>
        <v>2</v>
      </c>
      <c r="H114" s="30" t="str">
        <f>'Table001 (Page 1-6)'!R107</f>
        <v>E</v>
      </c>
      <c r="I114" s="28" t="str">
        <f>'Table001 (Page 1-6)'!F107</f>
        <v>ARTERIAL</v>
      </c>
      <c r="J114" s="29"/>
      <c r="K114" s="29"/>
      <c r="L114" s="29">
        <f>'Table001 (Page 1-6)'!I107</f>
        <v>12744</v>
      </c>
      <c r="M114" s="29"/>
      <c r="N114" s="29">
        <f>'Table001 (Page 1-6)'!J107</f>
        <v>634</v>
      </c>
      <c r="O114" s="29">
        <f>'Table001 (Page 1-6)'!L107</f>
        <v>12744</v>
      </c>
      <c r="P114" s="29"/>
      <c r="Q114" s="29">
        <f>'Table001 (Page 1-6)'!M107</f>
        <v>634</v>
      </c>
      <c r="R114" s="29" t="str">
        <f>'Table001 (Page 1-6)'!S107</f>
        <v>7,300</v>
      </c>
      <c r="S114" s="31" t="str">
        <f>'Table001 (Page 1-6)'!T107</f>
        <v>0.57</v>
      </c>
      <c r="T114" s="29" t="str">
        <f>'Table001 (Page 1-6)'!U107</f>
        <v>C</v>
      </c>
      <c r="U114" s="29"/>
      <c r="V114" s="29"/>
      <c r="W114" s="29"/>
      <c r="X114" s="29"/>
      <c r="Y114" s="29"/>
      <c r="Z114" s="29"/>
      <c r="AA114" s="29"/>
      <c r="AB114" s="29"/>
      <c r="AC114" s="31"/>
      <c r="AD114" s="29"/>
      <c r="AE114" s="29"/>
      <c r="AF114" s="29"/>
      <c r="AG114" s="31"/>
      <c r="AH114" s="29"/>
      <c r="AI114" s="32">
        <f>('Table001 (Page 1-6)'!V107)*100</f>
        <v>2.75</v>
      </c>
      <c r="AJ114" s="35"/>
      <c r="AK114" s="35"/>
      <c r="AL114" s="35"/>
      <c r="AM114" s="35"/>
    </row>
    <row r="115" spans="2:39" x14ac:dyDescent="0.25">
      <c r="B115" s="37">
        <f>'Table001 (Page 1-6)'!A108</f>
        <v>1940.1</v>
      </c>
      <c r="C115" s="28" t="str">
        <f>'Table001 (Page 1-6)'!B108</f>
        <v>CR 475A</v>
      </c>
      <c r="D115" s="28" t="str">
        <f>'Table001 (Page 1-6)'!C108</f>
        <v>CR 484</v>
      </c>
      <c r="E115" s="28" t="str">
        <f>'Table001 (Page 1-6)'!D108</f>
        <v>URBAN AREA BOUNDARY</v>
      </c>
      <c r="F115" s="29">
        <f>'Table001 (Page 1-6)'!E108</f>
        <v>2</v>
      </c>
      <c r="G115" s="29">
        <f>'Table001 (Page 1-6)'!K108</f>
        <v>2</v>
      </c>
      <c r="H115" s="30" t="str">
        <f>'Table001 (Page 1-6)'!R108</f>
        <v>E</v>
      </c>
      <c r="I115" s="28" t="str">
        <f>'Table001 (Page 1-6)'!F108</f>
        <v>ARTERIAL</v>
      </c>
      <c r="J115" s="29"/>
      <c r="K115" s="29"/>
      <c r="L115" s="29">
        <f>'Table001 (Page 1-6)'!I108</f>
        <v>29340</v>
      </c>
      <c r="M115" s="29"/>
      <c r="N115" s="29">
        <f>'Table001 (Page 1-6)'!J108</f>
        <v>1449</v>
      </c>
      <c r="O115" s="29">
        <f>'Table001 (Page 1-6)'!L108</f>
        <v>29340</v>
      </c>
      <c r="P115" s="29"/>
      <c r="Q115" s="29">
        <f>'Table001 (Page 1-6)'!M108</f>
        <v>1449</v>
      </c>
      <c r="R115" s="29" t="str">
        <f>'Table001 (Page 1-6)'!S108</f>
        <v>5,800</v>
      </c>
      <c r="S115" s="31" t="str">
        <f>'Table001 (Page 1-6)'!T108</f>
        <v>0.2</v>
      </c>
      <c r="T115" s="29" t="str">
        <f>'Table001 (Page 1-6)'!U108</f>
        <v>B</v>
      </c>
      <c r="U115" s="29"/>
      <c r="V115" s="29"/>
      <c r="W115" s="29"/>
      <c r="X115" s="29"/>
      <c r="Y115" s="29"/>
      <c r="Z115" s="29"/>
      <c r="AA115" s="29"/>
      <c r="AB115" s="29"/>
      <c r="AC115" s="31"/>
      <c r="AD115" s="29"/>
      <c r="AE115" s="29"/>
      <c r="AF115" s="29"/>
      <c r="AG115" s="31"/>
      <c r="AH115" s="29"/>
      <c r="AI115" s="32">
        <f>('Table001 (Page 1-6)'!V108)*100</f>
        <v>1</v>
      </c>
      <c r="AJ115" s="35"/>
      <c r="AK115" s="35"/>
      <c r="AL115" s="35"/>
      <c r="AM115" s="35"/>
    </row>
    <row r="116" spans="2:39" x14ac:dyDescent="0.25">
      <c r="B116" s="37">
        <f>'Table001 (Page 1-6)'!A109</f>
        <v>1940.2</v>
      </c>
      <c r="C116" s="28" t="str">
        <f>'Table001 (Page 1-6)'!B109</f>
        <v>CR 475A</v>
      </c>
      <c r="D116" s="28" t="str">
        <f>'Table001 (Page 1-6)'!C109</f>
        <v>URBAN AREA BOUNDARY</v>
      </c>
      <c r="E116" s="28" t="str">
        <f>'Table001 (Page 1-6)'!D109</f>
        <v>CR 475</v>
      </c>
      <c r="F116" s="29">
        <f>'Table001 (Page 1-6)'!E109</f>
        <v>2</v>
      </c>
      <c r="G116" s="29">
        <f>'Table001 (Page 1-6)'!K109</f>
        <v>2</v>
      </c>
      <c r="H116" s="30" t="str">
        <f>'Table001 (Page 1-6)'!R109</f>
        <v>C</v>
      </c>
      <c r="I116" s="28" t="str">
        <f>'Table001 (Page 1-6)'!F109</f>
        <v>COLLECTOR</v>
      </c>
      <c r="J116" s="29"/>
      <c r="K116" s="29"/>
      <c r="L116" s="29">
        <f>'Table001 (Page 1-6)'!I109</f>
        <v>14130</v>
      </c>
      <c r="M116" s="29"/>
      <c r="N116" s="29">
        <f>'Table001 (Page 1-6)'!J109</f>
        <v>738</v>
      </c>
      <c r="O116" s="29">
        <f>'Table001 (Page 1-6)'!L109</f>
        <v>14130</v>
      </c>
      <c r="P116" s="29"/>
      <c r="Q116" s="29">
        <f>'Table001 (Page 1-6)'!M109</f>
        <v>738</v>
      </c>
      <c r="R116" s="29" t="str">
        <f>'Table001 (Page 1-6)'!S109</f>
        <v>5,800</v>
      </c>
      <c r="S116" s="31" t="str">
        <f>'Table001 (Page 1-6)'!T109</f>
        <v>0.41</v>
      </c>
      <c r="T116" s="29" t="str">
        <f>'Table001 (Page 1-6)'!U109</f>
        <v>B</v>
      </c>
      <c r="U116" s="29"/>
      <c r="V116" s="29"/>
      <c r="W116" s="29"/>
      <c r="X116" s="29"/>
      <c r="Y116" s="29"/>
      <c r="Z116" s="29"/>
      <c r="AA116" s="29"/>
      <c r="AB116" s="29"/>
      <c r="AC116" s="31"/>
      <c r="AD116" s="29"/>
      <c r="AE116" s="29"/>
      <c r="AF116" s="29"/>
      <c r="AG116" s="31"/>
      <c r="AH116" s="29"/>
      <c r="AI116" s="32">
        <f>('Table001 (Page 1-6)'!V109)*100</f>
        <v>1</v>
      </c>
      <c r="AJ116" s="35"/>
      <c r="AK116" s="35"/>
      <c r="AL116" s="35"/>
      <c r="AM116" s="35"/>
    </row>
    <row r="117" spans="2:39" x14ac:dyDescent="0.25">
      <c r="B117" s="37">
        <f>'Table001 (Page 1-6)'!A110</f>
        <v>1950</v>
      </c>
      <c r="C117" s="28" t="str">
        <f>'Table001 (Page 1-6)'!B110</f>
        <v>CR 475A</v>
      </c>
      <c r="D117" s="28" t="str">
        <f>'Table001 (Page 1-6)'!C110</f>
        <v>CR 475</v>
      </c>
      <c r="E117" s="28" t="str">
        <f>'Table001 (Page 1-6)'!D110</f>
        <v>SE 25 AV</v>
      </c>
      <c r="F117" s="29">
        <f>'Table001 (Page 1-6)'!E110</f>
        <v>2</v>
      </c>
      <c r="G117" s="29">
        <f>'Table001 (Page 1-6)'!K110</f>
        <v>2</v>
      </c>
      <c r="H117" s="30" t="str">
        <f>'Table001 (Page 1-6)'!R110</f>
        <v>C</v>
      </c>
      <c r="I117" s="28" t="str">
        <f>'Table001 (Page 1-6)'!F110</f>
        <v>COLLECTOR</v>
      </c>
      <c r="J117" s="29"/>
      <c r="K117" s="29"/>
      <c r="L117" s="29">
        <f>'Table001 (Page 1-6)'!I110</f>
        <v>9288</v>
      </c>
      <c r="M117" s="29"/>
      <c r="N117" s="29">
        <f>'Table001 (Page 1-6)'!J110</f>
        <v>482</v>
      </c>
      <c r="O117" s="29">
        <f>'Table001 (Page 1-6)'!L110</f>
        <v>9288</v>
      </c>
      <c r="P117" s="29"/>
      <c r="Q117" s="29">
        <f>'Table001 (Page 1-6)'!M110</f>
        <v>482</v>
      </c>
      <c r="R117" s="29" t="str">
        <f>'Table001 (Page 1-6)'!S110</f>
        <v>2,000</v>
      </c>
      <c r="S117" s="31" t="str">
        <f>'Table001 (Page 1-6)'!T110</f>
        <v>0.22</v>
      </c>
      <c r="T117" s="29" t="str">
        <f>'Table001 (Page 1-6)'!U110</f>
        <v>C</v>
      </c>
      <c r="U117" s="29"/>
      <c r="V117" s="29"/>
      <c r="W117" s="29"/>
      <c r="X117" s="29"/>
      <c r="Y117" s="29"/>
      <c r="Z117" s="29"/>
      <c r="AA117" s="29"/>
      <c r="AB117" s="29"/>
      <c r="AC117" s="31"/>
      <c r="AD117" s="29"/>
      <c r="AE117" s="29"/>
      <c r="AF117" s="29"/>
      <c r="AG117" s="31"/>
      <c r="AH117" s="29"/>
      <c r="AI117" s="32">
        <f>('Table001 (Page 1-6)'!V110)*100</f>
        <v>1</v>
      </c>
      <c r="AJ117" s="35"/>
      <c r="AK117" s="35"/>
      <c r="AL117" s="35"/>
      <c r="AM117" s="35"/>
    </row>
    <row r="118" spans="2:39" x14ac:dyDescent="0.25">
      <c r="B118" s="37">
        <f>'Table001 (Page 1-6)'!A111</f>
        <v>1960</v>
      </c>
      <c r="C118" s="28" t="str">
        <f>'Table001 (Page 1-6)'!B111</f>
        <v>CR 475A</v>
      </c>
      <c r="D118" s="28" t="str">
        <f>'Table001 (Page 1-6)'!C111</f>
        <v>SE 25 AV</v>
      </c>
      <c r="E118" s="28" t="str">
        <f>'Table001 (Page 1-6)'!D111</f>
        <v>SE 36 AV</v>
      </c>
      <c r="F118" s="29">
        <f>'Table001 (Page 1-6)'!E111</f>
        <v>2</v>
      </c>
      <c r="G118" s="29">
        <f>'Table001 (Page 1-6)'!K111</f>
        <v>2</v>
      </c>
      <c r="H118" s="30" t="str">
        <f>'Table001 (Page 1-6)'!R111</f>
        <v>E</v>
      </c>
      <c r="I118" s="28" t="str">
        <f>'Table001 (Page 1-6)'!F111</f>
        <v>COLLECTOR</v>
      </c>
      <c r="J118" s="29"/>
      <c r="K118" s="29"/>
      <c r="L118" s="29">
        <f>'Table001 (Page 1-6)'!I111</f>
        <v>12744</v>
      </c>
      <c r="M118" s="29"/>
      <c r="N118" s="29">
        <f>'Table001 (Page 1-6)'!J111</f>
        <v>634</v>
      </c>
      <c r="O118" s="29">
        <f>'Table001 (Page 1-6)'!L111</f>
        <v>12744</v>
      </c>
      <c r="P118" s="29"/>
      <c r="Q118" s="29">
        <f>'Table001 (Page 1-6)'!M111</f>
        <v>634</v>
      </c>
      <c r="R118" s="29" t="str">
        <f>'Table001 (Page 1-6)'!S111</f>
        <v>2,000</v>
      </c>
      <c r="S118" s="31" t="str">
        <f>'Table001 (Page 1-6)'!T111</f>
        <v>0.16</v>
      </c>
      <c r="T118" s="29" t="str">
        <f>'Table001 (Page 1-6)'!U111</f>
        <v>C</v>
      </c>
      <c r="U118" s="29"/>
      <c r="V118" s="29"/>
      <c r="W118" s="29"/>
      <c r="X118" s="29"/>
      <c r="Y118" s="29"/>
      <c r="Z118" s="29"/>
      <c r="AA118" s="29"/>
      <c r="AB118" s="29"/>
      <c r="AC118" s="31"/>
      <c r="AD118" s="29"/>
      <c r="AE118" s="29"/>
      <c r="AF118" s="29"/>
      <c r="AG118" s="31"/>
      <c r="AH118" s="29"/>
      <c r="AI118" s="32">
        <f>('Table001 (Page 1-6)'!V111)*100</f>
        <v>1</v>
      </c>
      <c r="AJ118" s="35"/>
      <c r="AK118" s="35"/>
      <c r="AL118" s="35"/>
      <c r="AM118" s="35"/>
    </row>
    <row r="119" spans="2:39" x14ac:dyDescent="0.25">
      <c r="B119" s="37">
        <f>'Table001 (Page 1-6)'!A112</f>
        <v>1970</v>
      </c>
      <c r="C119" s="28" t="str">
        <f>'Table001 (Page 1-6)'!B112</f>
        <v>CR 475A</v>
      </c>
      <c r="D119" s="28" t="str">
        <f>'Table001 (Page 1-6)'!C112</f>
        <v>SE 36 AV</v>
      </c>
      <c r="E119" s="28" t="str">
        <f>'Table001 (Page 1-6)'!D112</f>
        <v>US 301</v>
      </c>
      <c r="F119" s="29">
        <f>'Table001 (Page 1-6)'!E112</f>
        <v>2</v>
      </c>
      <c r="G119" s="29">
        <f>'Table001 (Page 1-6)'!K112</f>
        <v>2</v>
      </c>
      <c r="H119" s="30" t="str">
        <f>'Table001 (Page 1-6)'!R112</f>
        <v>E</v>
      </c>
      <c r="I119" s="28" t="str">
        <f>'Table001 (Page 1-6)'!F112</f>
        <v>COLLECTOR</v>
      </c>
      <c r="J119" s="29"/>
      <c r="K119" s="29"/>
      <c r="L119" s="29">
        <f>'Table001 (Page 1-6)'!I112</f>
        <v>12744</v>
      </c>
      <c r="M119" s="29"/>
      <c r="N119" s="29">
        <f>'Table001 (Page 1-6)'!J112</f>
        <v>634</v>
      </c>
      <c r="O119" s="29">
        <f>'Table001 (Page 1-6)'!L112</f>
        <v>12744</v>
      </c>
      <c r="P119" s="29"/>
      <c r="Q119" s="29">
        <f>'Table001 (Page 1-6)'!M112</f>
        <v>634</v>
      </c>
      <c r="R119" s="29" t="str">
        <f>'Table001 (Page 1-6)'!S112</f>
        <v>2,100</v>
      </c>
      <c r="S119" s="31" t="str">
        <f>'Table001 (Page 1-6)'!T112</f>
        <v>0.16</v>
      </c>
      <c r="T119" s="29" t="str">
        <f>'Table001 (Page 1-6)'!U112</f>
        <v>C</v>
      </c>
      <c r="U119" s="29"/>
      <c r="V119" s="29"/>
      <c r="W119" s="29"/>
      <c r="X119" s="29"/>
      <c r="Y119" s="29"/>
      <c r="Z119" s="29"/>
      <c r="AA119" s="29"/>
      <c r="AB119" s="29"/>
      <c r="AC119" s="31"/>
      <c r="AD119" s="29"/>
      <c r="AE119" s="29"/>
      <c r="AF119" s="29"/>
      <c r="AG119" s="31"/>
      <c r="AH119" s="29"/>
      <c r="AI119" s="32">
        <f>('Table001 (Page 1-6)'!V112)*100</f>
        <v>1</v>
      </c>
      <c r="AJ119" s="35"/>
      <c r="AK119" s="35"/>
      <c r="AL119" s="35"/>
      <c r="AM119" s="35"/>
    </row>
    <row r="120" spans="2:39" x14ac:dyDescent="0.25">
      <c r="B120" s="37">
        <f>'Table001 (Page 1-6)'!A113</f>
        <v>1980</v>
      </c>
      <c r="C120" s="28" t="str">
        <f>'Table001 (Page 1-6)'!B113</f>
        <v>CR 475B</v>
      </c>
      <c r="D120" s="28" t="str">
        <f>'Table001 (Page 1-6)'!C113</f>
        <v>CR 475A</v>
      </c>
      <c r="E120" s="28" t="str">
        <f>'Table001 (Page 1-6)'!D113</f>
        <v>CR 475</v>
      </c>
      <c r="F120" s="29">
        <f>'Table001 (Page 1-6)'!E113</f>
        <v>2</v>
      </c>
      <c r="G120" s="29">
        <f>'Table001 (Page 1-6)'!K113</f>
        <v>2</v>
      </c>
      <c r="H120" s="30" t="str">
        <f>'Table001 (Page 1-6)'!R113</f>
        <v>C</v>
      </c>
      <c r="I120" s="28" t="str">
        <f>'Table001 (Page 1-6)'!F113</f>
        <v>COLLECTOR</v>
      </c>
      <c r="J120" s="29"/>
      <c r="K120" s="29"/>
      <c r="L120" s="29">
        <f>'Table001 (Page 1-6)'!I113</f>
        <v>14130</v>
      </c>
      <c r="M120" s="29"/>
      <c r="N120" s="29">
        <f>'Table001 (Page 1-6)'!J113</f>
        <v>738</v>
      </c>
      <c r="O120" s="29">
        <f>'Table001 (Page 1-6)'!L113</f>
        <v>14130</v>
      </c>
      <c r="P120" s="29"/>
      <c r="Q120" s="29">
        <f>'Table001 (Page 1-6)'!M113</f>
        <v>738</v>
      </c>
      <c r="R120" s="29" t="str">
        <f>'Table001 (Page 1-6)'!S113</f>
        <v>5,300</v>
      </c>
      <c r="S120" s="31" t="str">
        <f>'Table001 (Page 1-6)'!T113</f>
        <v>0.38</v>
      </c>
      <c r="T120" s="29" t="str">
        <f>'Table001 (Page 1-6)'!U113</f>
        <v>B</v>
      </c>
      <c r="U120" s="29"/>
      <c r="V120" s="29"/>
      <c r="W120" s="29"/>
      <c r="X120" s="29"/>
      <c r="Y120" s="29"/>
      <c r="Z120" s="29"/>
      <c r="AA120" s="29"/>
      <c r="AB120" s="29"/>
      <c r="AC120" s="31"/>
      <c r="AD120" s="29"/>
      <c r="AE120" s="29"/>
      <c r="AF120" s="29"/>
      <c r="AG120" s="31"/>
      <c r="AH120" s="29"/>
      <c r="AI120" s="32">
        <f>('Table001 (Page 1-6)'!V113)*100</f>
        <v>7.580000000000001</v>
      </c>
      <c r="AJ120" s="35"/>
      <c r="AK120" s="35"/>
      <c r="AL120" s="35"/>
      <c r="AM120" s="35"/>
    </row>
    <row r="121" spans="2:39" x14ac:dyDescent="0.25">
      <c r="B121" s="37">
        <f>'Table001 (Page 1-6)'!A114</f>
        <v>1990.3</v>
      </c>
      <c r="C121" s="28" t="str">
        <f>'Table001 (Page 1-6)'!B114</f>
        <v>CR 484</v>
      </c>
      <c r="D121" s="28" t="str">
        <f>'Table001 (Page 1-6)'!C114</f>
        <v>LAKESHORE DR</v>
      </c>
      <c r="E121" s="28" t="str">
        <f>'Table001 (Page 1-6)'!D114</f>
        <v>E OF HENDRIX DR</v>
      </c>
      <c r="F121" s="29">
        <f>'Table001 (Page 1-6)'!E114</f>
        <v>2</v>
      </c>
      <c r="G121" s="29">
        <f>'Table001 (Page 1-6)'!K114</f>
        <v>2</v>
      </c>
      <c r="H121" s="30" t="str">
        <f>'Table001 (Page 1-6)'!R114</f>
        <v>E</v>
      </c>
      <c r="I121" s="28" t="str">
        <f>'Table001 (Page 1-6)'!F114</f>
        <v>ARTERIAL</v>
      </c>
      <c r="J121" s="29"/>
      <c r="K121" s="29"/>
      <c r="L121" s="29">
        <f>'Table001 (Page 1-6)'!I114</f>
        <v>29340</v>
      </c>
      <c r="M121" s="29"/>
      <c r="N121" s="29">
        <f>'Table001 (Page 1-6)'!J114</f>
        <v>1449</v>
      </c>
      <c r="O121" s="29">
        <f>'Table001 (Page 1-6)'!L114</f>
        <v>29340</v>
      </c>
      <c r="P121" s="29"/>
      <c r="Q121" s="29">
        <f>'Table001 (Page 1-6)'!M114</f>
        <v>1449</v>
      </c>
      <c r="R121" s="29" t="str">
        <f>'Table001 (Page 1-6)'!S114</f>
        <v>9,500</v>
      </c>
      <c r="S121" s="31" t="str">
        <f>'Table001 (Page 1-6)'!T114</f>
        <v>0.32</v>
      </c>
      <c r="T121" s="29" t="str">
        <f>'Table001 (Page 1-6)'!U114</f>
        <v>B</v>
      </c>
      <c r="U121" s="29"/>
      <c r="V121" s="29"/>
      <c r="W121" s="29"/>
      <c r="X121" s="29"/>
      <c r="Y121" s="29"/>
      <c r="Z121" s="29"/>
      <c r="AA121" s="29"/>
      <c r="AB121" s="29"/>
      <c r="AC121" s="31"/>
      <c r="AD121" s="29"/>
      <c r="AE121" s="29"/>
      <c r="AF121" s="29"/>
      <c r="AG121" s="31"/>
      <c r="AH121" s="29"/>
      <c r="AI121" s="32">
        <f>('Table001 (Page 1-6)'!V114)*100</f>
        <v>1.0999999999999999</v>
      </c>
      <c r="AJ121" s="35"/>
      <c r="AK121" s="35"/>
      <c r="AL121" s="35"/>
      <c r="AM121" s="35"/>
    </row>
    <row r="122" spans="2:39" x14ac:dyDescent="0.25">
      <c r="B122" s="37">
        <f>'Table001 (Page 1-6)'!A115</f>
        <v>1990.4</v>
      </c>
      <c r="C122" s="28" t="str">
        <f>'Table001 (Page 1-6)'!B115</f>
        <v>CR 484</v>
      </c>
      <c r="D122" s="28" t="str">
        <f>'Table001 (Page 1-6)'!C115</f>
        <v>E OF HENDRIX DR</v>
      </c>
      <c r="E122" s="28" t="str">
        <f>'Table001 (Page 1-6)'!D115</f>
        <v>SW 140 AVE</v>
      </c>
      <c r="F122" s="29">
        <f>'Table001 (Page 1-6)'!E115</f>
        <v>2</v>
      </c>
      <c r="G122" s="29">
        <f>'Table001 (Page 1-6)'!K115</f>
        <v>2</v>
      </c>
      <c r="H122" s="30" t="str">
        <f>'Table001 (Page 1-6)'!R115</f>
        <v>D</v>
      </c>
      <c r="I122" s="28" t="str">
        <f>'Table001 (Page 1-6)'!F115</f>
        <v>ARTERIAL</v>
      </c>
      <c r="J122" s="29"/>
      <c r="K122" s="29"/>
      <c r="L122" s="29">
        <f>'Table001 (Page 1-6)'!I115</f>
        <v>19170</v>
      </c>
      <c r="M122" s="29"/>
      <c r="N122" s="29">
        <f>'Table001 (Page 1-6)'!J115</f>
        <v>999</v>
      </c>
      <c r="O122" s="29">
        <f>'Table001 (Page 1-6)'!L115</f>
        <v>19170</v>
      </c>
      <c r="P122" s="29"/>
      <c r="Q122" s="29">
        <f>'Table001 (Page 1-6)'!M115</f>
        <v>999</v>
      </c>
      <c r="R122" s="29" t="str">
        <f>'Table001 (Page 1-6)'!S115</f>
        <v>9,500</v>
      </c>
      <c r="S122" s="31" t="str">
        <f>'Table001 (Page 1-6)'!T115</f>
        <v>0.5</v>
      </c>
      <c r="T122" s="29" t="str">
        <f>'Table001 (Page 1-6)'!U115</f>
        <v>C</v>
      </c>
      <c r="U122" s="29"/>
      <c r="V122" s="29"/>
      <c r="W122" s="29"/>
      <c r="X122" s="29"/>
      <c r="Y122" s="29"/>
      <c r="Z122" s="29"/>
      <c r="AA122" s="29"/>
      <c r="AB122" s="29"/>
      <c r="AC122" s="31"/>
      <c r="AD122" s="29"/>
      <c r="AE122" s="29"/>
      <c r="AF122" s="29"/>
      <c r="AG122" s="31"/>
      <c r="AH122" s="29"/>
      <c r="AI122" s="32">
        <f>('Table001 (Page 1-6)'!V115)*100</f>
        <v>1.0999999999999999</v>
      </c>
      <c r="AJ122" s="35"/>
      <c r="AK122" s="35"/>
      <c r="AL122" s="35"/>
      <c r="AM122" s="35"/>
    </row>
    <row r="123" spans="2:39" x14ac:dyDescent="0.25">
      <c r="B123" s="37">
        <f>'Table001 (Page 1-6)'!A116</f>
        <v>1990.6</v>
      </c>
      <c r="C123" s="28" t="str">
        <f>'Table001 (Page 1-6)'!B116</f>
        <v>CR 484</v>
      </c>
      <c r="D123" s="28" t="str">
        <f>'Table001 (Page 1-6)'!C116</f>
        <v>SW 140 AVE</v>
      </c>
      <c r="E123" s="28" t="str">
        <f>'Table001 (Page 1-6)'!D116</f>
        <v>SW 105 AV</v>
      </c>
      <c r="F123" s="29">
        <f>'Table001 (Page 1-6)'!E116</f>
        <v>2</v>
      </c>
      <c r="G123" s="29">
        <f>'Table001 (Page 1-6)'!K116</f>
        <v>2</v>
      </c>
      <c r="H123" s="30" t="str">
        <f>'Table001 (Page 1-6)'!R116</f>
        <v>E</v>
      </c>
      <c r="I123" s="28" t="str">
        <f>'Table001 (Page 1-6)'!F116</f>
        <v>ARTERIAL</v>
      </c>
      <c r="J123" s="29"/>
      <c r="K123" s="29"/>
      <c r="L123" s="29">
        <f>'Table001 (Page 1-6)'!I116</f>
        <v>29340</v>
      </c>
      <c r="M123" s="29"/>
      <c r="N123" s="29">
        <f>'Table001 (Page 1-6)'!J116</f>
        <v>1449</v>
      </c>
      <c r="O123" s="29">
        <f>'Table001 (Page 1-6)'!L116</f>
        <v>29340</v>
      </c>
      <c r="P123" s="29"/>
      <c r="Q123" s="29">
        <f>'Table001 (Page 1-6)'!M116</f>
        <v>1449</v>
      </c>
      <c r="R123" s="29" t="str">
        <f>'Table001 (Page 1-6)'!S116</f>
        <v>12,000</v>
      </c>
      <c r="S123" s="31" t="str">
        <f>'Table001 (Page 1-6)'!T116</f>
        <v>0.41</v>
      </c>
      <c r="T123" s="29" t="str">
        <f>'Table001 (Page 1-6)'!U116</f>
        <v>C</v>
      </c>
      <c r="U123" s="29"/>
      <c r="V123" s="29"/>
      <c r="W123" s="29"/>
      <c r="X123" s="29"/>
      <c r="Y123" s="29"/>
      <c r="Z123" s="29"/>
      <c r="AA123" s="29"/>
      <c r="AB123" s="29"/>
      <c r="AC123" s="31"/>
      <c r="AD123" s="29"/>
      <c r="AE123" s="29"/>
      <c r="AF123" s="29"/>
      <c r="AG123" s="31"/>
      <c r="AH123" s="29"/>
      <c r="AI123" s="32">
        <f>('Table001 (Page 1-6)'!V116)*100</f>
        <v>5.08</v>
      </c>
      <c r="AJ123" s="35"/>
      <c r="AK123" s="35"/>
      <c r="AL123" s="35"/>
      <c r="AM123" s="35"/>
    </row>
    <row r="124" spans="2:39" x14ac:dyDescent="0.25">
      <c r="B124" s="37">
        <f>'Table001 (Page 1-6)'!A117</f>
        <v>2010</v>
      </c>
      <c r="C124" s="28" t="str">
        <f>'Table001 (Page 1-6)'!B117</f>
        <v>CR 484</v>
      </c>
      <c r="D124" s="28" t="str">
        <f>'Table001 (Page 1-6)'!C117</f>
        <v>SW 105 AV</v>
      </c>
      <c r="E124" s="28" t="str">
        <f>'Table001 (Page 1-6)'!D117</f>
        <v>SR 200</v>
      </c>
      <c r="F124" s="29">
        <f>'Table001 (Page 1-6)'!E117</f>
        <v>2</v>
      </c>
      <c r="G124" s="29">
        <f>'Table001 (Page 1-6)'!K117</f>
        <v>2</v>
      </c>
      <c r="H124" s="30" t="str">
        <f>'Table001 (Page 1-6)'!R117</f>
        <v>E</v>
      </c>
      <c r="I124" s="28" t="str">
        <f>'Table001 (Page 1-6)'!F117</f>
        <v>ARTERIAL</v>
      </c>
      <c r="J124" s="29"/>
      <c r="K124" s="29"/>
      <c r="L124" s="29">
        <f>'Table001 (Page 1-6)'!I117</f>
        <v>29340</v>
      </c>
      <c r="M124" s="29"/>
      <c r="N124" s="29">
        <f>'Table001 (Page 1-6)'!J117</f>
        <v>1449</v>
      </c>
      <c r="O124" s="29">
        <f>'Table001 (Page 1-6)'!L117</f>
        <v>29340</v>
      </c>
      <c r="P124" s="29"/>
      <c r="Q124" s="29">
        <f>'Table001 (Page 1-6)'!M117</f>
        <v>1449</v>
      </c>
      <c r="R124" s="29" t="str">
        <f>'Table001 (Page 1-6)'!S117</f>
        <v>12,000</v>
      </c>
      <c r="S124" s="31" t="str">
        <f>'Table001 (Page 1-6)'!T117</f>
        <v>0.41</v>
      </c>
      <c r="T124" s="29" t="str">
        <f>'Table001 (Page 1-6)'!U117</f>
        <v>C</v>
      </c>
      <c r="U124" s="29"/>
      <c r="V124" s="29"/>
      <c r="W124" s="29"/>
      <c r="X124" s="29"/>
      <c r="Y124" s="29"/>
      <c r="Z124" s="29"/>
      <c r="AA124" s="29"/>
      <c r="AB124" s="29"/>
      <c r="AC124" s="31"/>
      <c r="AD124" s="29"/>
      <c r="AE124" s="29"/>
      <c r="AF124" s="29"/>
      <c r="AG124" s="31"/>
      <c r="AH124" s="29"/>
      <c r="AI124" s="32">
        <f>('Table001 (Page 1-6)'!V117)*100</f>
        <v>5.08</v>
      </c>
      <c r="AJ124" s="35"/>
      <c r="AK124" s="35"/>
      <c r="AL124" s="35"/>
      <c r="AM124" s="35"/>
    </row>
    <row r="125" spans="2:39" x14ac:dyDescent="0.25">
      <c r="B125" s="37">
        <f>'Table001 (Page 1-6)'!A118</f>
        <v>2020.1</v>
      </c>
      <c r="C125" s="28" t="str">
        <f>'Table001 (Page 1-6)'!B118</f>
        <v>CR 484</v>
      </c>
      <c r="D125" s="28" t="str">
        <f>'Table001 (Page 1-6)'!C118</f>
        <v>SR 200</v>
      </c>
      <c r="E125" s="28" t="str">
        <f>'Table001 (Page 1-6)'!D118</f>
        <v>SW 45 AV</v>
      </c>
      <c r="F125" s="29">
        <f>'Table001 (Page 1-6)'!E118</f>
        <v>2</v>
      </c>
      <c r="G125" s="29">
        <f>'Table001 (Page 1-6)'!K118</f>
        <v>2</v>
      </c>
      <c r="H125" s="30" t="str">
        <f>'Table001 (Page 1-6)'!R118</f>
        <v>E</v>
      </c>
      <c r="I125" s="28" t="str">
        <f>'Table001 (Page 1-6)'!F118</f>
        <v>ARTERIAL</v>
      </c>
      <c r="J125" s="29"/>
      <c r="K125" s="29"/>
      <c r="L125" s="29">
        <f>'Table001 (Page 1-6)'!I118</f>
        <v>12744</v>
      </c>
      <c r="M125" s="29"/>
      <c r="N125" s="29">
        <f>'Table001 (Page 1-6)'!J118</f>
        <v>634</v>
      </c>
      <c r="O125" s="29">
        <f>'Table001 (Page 1-6)'!L118</f>
        <v>12744</v>
      </c>
      <c r="P125" s="29"/>
      <c r="Q125" s="29">
        <f>'Table001 (Page 1-6)'!M118</f>
        <v>634</v>
      </c>
      <c r="R125" s="29" t="str">
        <f>'Table001 (Page 1-6)'!S118</f>
        <v>8,000</v>
      </c>
      <c r="S125" s="31" t="str">
        <f>'Table001 (Page 1-6)'!T118</f>
        <v>0.63</v>
      </c>
      <c r="T125" s="29" t="str">
        <f>'Table001 (Page 1-6)'!U118</f>
        <v>C</v>
      </c>
      <c r="U125" s="29"/>
      <c r="V125" s="29"/>
      <c r="W125" s="29"/>
      <c r="X125" s="29"/>
      <c r="Y125" s="29"/>
      <c r="Z125" s="29"/>
      <c r="AA125" s="29"/>
      <c r="AB125" s="29"/>
      <c r="AC125" s="31"/>
      <c r="AD125" s="29"/>
      <c r="AE125" s="29"/>
      <c r="AF125" s="29"/>
      <c r="AG125" s="31"/>
      <c r="AH125" s="29"/>
      <c r="AI125" s="32">
        <f>('Table001 (Page 1-6)'!V118)*100</f>
        <v>1</v>
      </c>
      <c r="AJ125" s="35"/>
      <c r="AK125" s="35"/>
      <c r="AL125" s="35"/>
      <c r="AM125" s="35"/>
    </row>
    <row r="126" spans="2:39" x14ac:dyDescent="0.25">
      <c r="B126" s="37">
        <f>'Table001 (Page 1-6)'!A119</f>
        <v>2030</v>
      </c>
      <c r="C126" s="28" t="str">
        <f>'Table001 (Page 1-6)'!B119</f>
        <v>CR 484</v>
      </c>
      <c r="D126" s="28" t="str">
        <f>'Table001 (Page 1-6)'!C119</f>
        <v>SW 45 AV</v>
      </c>
      <c r="E126" s="28" t="str">
        <f>'Table001 (Page 1-6)'!D119</f>
        <v>I-75 RAMP (W)</v>
      </c>
      <c r="F126" s="29">
        <f>'Table001 (Page 1-6)'!E119</f>
        <v>4</v>
      </c>
      <c r="G126" s="29">
        <f>'Table001 (Page 1-6)'!K119</f>
        <v>4</v>
      </c>
      <c r="H126" s="30" t="str">
        <f>'Table001 (Page 1-6)'!R119</f>
        <v>E</v>
      </c>
      <c r="I126" s="28" t="str">
        <f>'Table001 (Page 1-6)'!F119</f>
        <v>ARTERIAL</v>
      </c>
      <c r="J126" s="29"/>
      <c r="K126" s="29"/>
      <c r="L126" s="29">
        <f>'Table001 (Page 1-6)'!I119</f>
        <v>35820</v>
      </c>
      <c r="M126" s="29"/>
      <c r="N126" s="29">
        <f>'Table001 (Page 1-6)'!J119</f>
        <v>1800</v>
      </c>
      <c r="O126" s="29">
        <f>'Table001 (Page 1-6)'!L119</f>
        <v>35820</v>
      </c>
      <c r="P126" s="29"/>
      <c r="Q126" s="29">
        <f>'Table001 (Page 1-6)'!M119</f>
        <v>1800</v>
      </c>
      <c r="R126" s="29" t="str">
        <f>'Table001 (Page 1-6)'!S119</f>
        <v>33,000</v>
      </c>
      <c r="S126" s="31" t="str">
        <f>'Table001 (Page 1-6)'!T119</f>
        <v>0.92</v>
      </c>
      <c r="T126" s="29" t="str">
        <f>'Table001 (Page 1-6)'!U119</f>
        <v>C</v>
      </c>
      <c r="U126" s="29"/>
      <c r="V126" s="29"/>
      <c r="W126" s="29"/>
      <c r="X126" s="29"/>
      <c r="Y126" s="29"/>
      <c r="Z126" s="29"/>
      <c r="AA126" s="29"/>
      <c r="AB126" s="29"/>
      <c r="AC126" s="31"/>
      <c r="AD126" s="29"/>
      <c r="AE126" s="29"/>
      <c r="AF126" s="29"/>
      <c r="AG126" s="31"/>
      <c r="AH126" s="29"/>
      <c r="AI126" s="32">
        <f>('Table001 (Page 1-6)'!V119)*100</f>
        <v>1</v>
      </c>
      <c r="AJ126" s="35"/>
      <c r="AK126" s="35"/>
      <c r="AL126" s="35"/>
      <c r="AM126" s="35"/>
    </row>
    <row r="127" spans="2:39" x14ac:dyDescent="0.25">
      <c r="B127" s="37">
        <f>'Table001 (Page 1-6)'!A120</f>
        <v>2060</v>
      </c>
      <c r="C127" s="28" t="str">
        <f>'Table001 (Page 1-6)'!B120</f>
        <v>CR 484</v>
      </c>
      <c r="D127" s="28" t="str">
        <f>'Table001 (Page 1-6)'!C120</f>
        <v>I-75 RAMP (W)</v>
      </c>
      <c r="E127" s="28" t="str">
        <f>'Table001 (Page 1-6)'!D120</f>
        <v>I-75 RAMP (E)</v>
      </c>
      <c r="F127" s="29">
        <f>'Table001 (Page 1-6)'!E120</f>
        <v>6</v>
      </c>
      <c r="G127" s="29">
        <f>'Table001 (Page 1-6)'!K120</f>
        <v>6</v>
      </c>
      <c r="H127" s="30" t="str">
        <f>'Table001 (Page 1-6)'!R120</f>
        <v>D</v>
      </c>
      <c r="I127" s="28" t="str">
        <f>'Table001 (Page 1-6)'!F120</f>
        <v>ARTERIAL</v>
      </c>
      <c r="J127" s="29"/>
      <c r="K127" s="29"/>
      <c r="L127" s="29">
        <f>'Table001 (Page 1-6)'!I120</f>
        <v>53910</v>
      </c>
      <c r="M127" s="29"/>
      <c r="N127" s="29">
        <f>'Table001 (Page 1-6)'!J120</f>
        <v>2718</v>
      </c>
      <c r="O127" s="29">
        <f>'Table001 (Page 1-6)'!L120</f>
        <v>53910</v>
      </c>
      <c r="P127" s="29"/>
      <c r="Q127" s="29">
        <f>'Table001 (Page 1-6)'!M120</f>
        <v>2718</v>
      </c>
      <c r="R127" s="29" t="str">
        <f>'Table001 (Page 1-6)'!S120</f>
        <v>33,500</v>
      </c>
      <c r="S127" s="31" t="str">
        <f>'Table001 (Page 1-6)'!T120</f>
        <v>0.62</v>
      </c>
      <c r="T127" s="29" t="str">
        <f>'Table001 (Page 1-6)'!U120</f>
        <v>C</v>
      </c>
      <c r="U127" s="29"/>
      <c r="V127" s="29"/>
      <c r="W127" s="29"/>
      <c r="X127" s="29"/>
      <c r="Y127" s="29"/>
      <c r="Z127" s="29"/>
      <c r="AA127" s="29"/>
      <c r="AB127" s="29"/>
      <c r="AC127" s="31"/>
      <c r="AD127" s="29"/>
      <c r="AE127" s="29"/>
      <c r="AF127" s="29"/>
      <c r="AG127" s="31"/>
      <c r="AH127" s="29"/>
      <c r="AI127" s="32">
        <f>('Table001 (Page 1-6)'!V120)*100</f>
        <v>1</v>
      </c>
      <c r="AJ127" s="35"/>
      <c r="AK127" s="35"/>
      <c r="AL127" s="35"/>
      <c r="AM127" s="35"/>
    </row>
    <row r="128" spans="2:39" x14ac:dyDescent="0.25">
      <c r="B128" s="37">
        <f>'Table001 (Page 1-6)'!A121</f>
        <v>2070</v>
      </c>
      <c r="C128" s="28" t="str">
        <f>'Table001 (Page 1-6)'!B121</f>
        <v>CR 484</v>
      </c>
      <c r="D128" s="28" t="str">
        <f>'Table001 (Page 1-6)'!C121</f>
        <v>I-75 RAMP (E)</v>
      </c>
      <c r="E128" s="28" t="str">
        <f>'Table001 (Page 1-6)'!D121</f>
        <v>CR 475A</v>
      </c>
      <c r="F128" s="29">
        <f>'Table001 (Page 1-6)'!E121</f>
        <v>4</v>
      </c>
      <c r="G128" s="29">
        <f>'Table001 (Page 1-6)'!K121</f>
        <v>4</v>
      </c>
      <c r="H128" s="30" t="str">
        <f>'Table001 (Page 1-6)'!R121</f>
        <v>D</v>
      </c>
      <c r="I128" s="28" t="str">
        <f>'Table001 (Page 1-6)'!F121</f>
        <v>ARTERIAL</v>
      </c>
      <c r="J128" s="29"/>
      <c r="K128" s="29"/>
      <c r="L128" s="29">
        <f>'Table001 (Page 1-6)'!I121</f>
        <v>35820</v>
      </c>
      <c r="M128" s="29"/>
      <c r="N128" s="29">
        <f>'Table001 (Page 1-6)'!J121</f>
        <v>1800</v>
      </c>
      <c r="O128" s="29">
        <f>'Table001 (Page 1-6)'!L121</f>
        <v>35820</v>
      </c>
      <c r="P128" s="29"/>
      <c r="Q128" s="29">
        <f>'Table001 (Page 1-6)'!M121</f>
        <v>1800</v>
      </c>
      <c r="R128" s="29" t="str">
        <f>'Table001 (Page 1-6)'!S121</f>
        <v>33,500</v>
      </c>
      <c r="S128" s="31" t="str">
        <f>'Table001 (Page 1-6)'!T121</f>
        <v>0.94</v>
      </c>
      <c r="T128" s="29" t="str">
        <f>'Table001 (Page 1-6)'!U121</f>
        <v>C</v>
      </c>
      <c r="U128" s="29"/>
      <c r="V128" s="29"/>
      <c r="W128" s="29"/>
      <c r="X128" s="29"/>
      <c r="Y128" s="29"/>
      <c r="Z128" s="29"/>
      <c r="AA128" s="29"/>
      <c r="AB128" s="29"/>
      <c r="AC128" s="31"/>
      <c r="AD128" s="29"/>
      <c r="AE128" s="29"/>
      <c r="AF128" s="29"/>
      <c r="AG128" s="31"/>
      <c r="AH128" s="29"/>
      <c r="AI128" s="32">
        <f>('Table001 (Page 1-6)'!V121)*100</f>
        <v>1</v>
      </c>
      <c r="AJ128" s="35"/>
      <c r="AK128" s="35"/>
      <c r="AL128" s="35"/>
      <c r="AM128" s="35"/>
    </row>
    <row r="129" spans="2:39" x14ac:dyDescent="0.25">
      <c r="B129" s="37">
        <f>'Table001 (Page 1-6)'!A122</f>
        <v>2080</v>
      </c>
      <c r="C129" s="28" t="str">
        <f>'Table001 (Page 1-6)'!B122</f>
        <v>CR 484</v>
      </c>
      <c r="D129" s="28" t="str">
        <f>'Table001 (Page 1-6)'!C122</f>
        <v>CR 475A</v>
      </c>
      <c r="E129" s="28" t="str">
        <f>'Table001 (Page 1-6)'!D122</f>
        <v>CR 475</v>
      </c>
      <c r="F129" s="29">
        <f>'Table001 (Page 1-6)'!E122</f>
        <v>4</v>
      </c>
      <c r="G129" s="29">
        <f>'Table001 (Page 1-6)'!K122</f>
        <v>4</v>
      </c>
      <c r="H129" s="30" t="str">
        <f>'Table001 (Page 1-6)'!R122</f>
        <v>D</v>
      </c>
      <c r="I129" s="28" t="str">
        <f>'Table001 (Page 1-6)'!F122</f>
        <v>ARTERIAL</v>
      </c>
      <c r="J129" s="29"/>
      <c r="K129" s="29"/>
      <c r="L129" s="29">
        <f>'Table001 (Page 1-6)'!I122</f>
        <v>35820</v>
      </c>
      <c r="M129" s="29"/>
      <c r="N129" s="29">
        <f>'Table001 (Page 1-6)'!J122</f>
        <v>1800</v>
      </c>
      <c r="O129" s="29">
        <f>'Table001 (Page 1-6)'!L122</f>
        <v>35820</v>
      </c>
      <c r="P129" s="29"/>
      <c r="Q129" s="29">
        <f>'Table001 (Page 1-6)'!M122</f>
        <v>1800</v>
      </c>
      <c r="R129" s="29" t="str">
        <f>'Table001 (Page 1-6)'!S122</f>
        <v>19,900</v>
      </c>
      <c r="S129" s="31" t="str">
        <f>'Table001 (Page 1-6)'!T122</f>
        <v>0.56</v>
      </c>
      <c r="T129" s="29" t="str">
        <f>'Table001 (Page 1-6)'!U122</f>
        <v>C</v>
      </c>
      <c r="U129" s="29"/>
      <c r="V129" s="29"/>
      <c r="W129" s="29"/>
      <c r="X129" s="29"/>
      <c r="Y129" s="29"/>
      <c r="Z129" s="29"/>
      <c r="AA129" s="29"/>
      <c r="AB129" s="29"/>
      <c r="AC129" s="31"/>
      <c r="AD129" s="29"/>
      <c r="AE129" s="29"/>
      <c r="AF129" s="29"/>
      <c r="AG129" s="31"/>
      <c r="AH129" s="29"/>
      <c r="AI129" s="32">
        <f>('Table001 (Page 1-6)'!V122)*100</f>
        <v>1</v>
      </c>
      <c r="AJ129" s="35"/>
      <c r="AK129" s="35"/>
      <c r="AL129" s="35"/>
      <c r="AM129" s="35"/>
    </row>
    <row r="130" spans="2:39" x14ac:dyDescent="0.25">
      <c r="B130" s="37">
        <f>'Table001 (Page 1-6)'!A123</f>
        <v>2090</v>
      </c>
      <c r="C130" s="28" t="str">
        <f>'Table001 (Page 1-6)'!B123</f>
        <v>CR 484</v>
      </c>
      <c r="D130" s="28" t="str">
        <f>'Table001 (Page 1-6)'!C123</f>
        <v>CR 475</v>
      </c>
      <c r="E130" s="28" t="str">
        <f>'Table001 (Page 1-6)'!D123</f>
        <v>CR 467</v>
      </c>
      <c r="F130" s="29">
        <f>'Table001 (Page 1-6)'!E123</f>
        <v>4</v>
      </c>
      <c r="G130" s="29">
        <f>'Table001 (Page 1-6)'!K123</f>
        <v>4</v>
      </c>
      <c r="H130" s="30" t="str">
        <f>'Table001 (Page 1-6)'!R123</f>
        <v>D</v>
      </c>
      <c r="I130" s="28" t="str">
        <f>'Table001 (Page 1-6)'!F123</f>
        <v>ARTERIAL</v>
      </c>
      <c r="J130" s="29"/>
      <c r="K130" s="29"/>
      <c r="L130" s="29">
        <f>'Table001 (Page 1-6)'!I123</f>
        <v>35820</v>
      </c>
      <c r="M130" s="29"/>
      <c r="N130" s="29">
        <f>'Table001 (Page 1-6)'!J123</f>
        <v>1800</v>
      </c>
      <c r="O130" s="29">
        <f>'Table001 (Page 1-6)'!L123</f>
        <v>35820</v>
      </c>
      <c r="P130" s="29"/>
      <c r="Q130" s="29">
        <f>'Table001 (Page 1-6)'!M123</f>
        <v>1800</v>
      </c>
      <c r="R130" s="29" t="str">
        <f>'Table001 (Page 1-6)'!S123</f>
        <v>19,000</v>
      </c>
      <c r="S130" s="31" t="str">
        <f>'Table001 (Page 1-6)'!T123</f>
        <v>0.53</v>
      </c>
      <c r="T130" s="29" t="str">
        <f>'Table001 (Page 1-6)'!U123</f>
        <v>C</v>
      </c>
      <c r="U130" s="29"/>
      <c r="V130" s="29"/>
      <c r="W130" s="29"/>
      <c r="X130" s="29"/>
      <c r="Y130" s="29"/>
      <c r="Z130" s="29"/>
      <c r="AA130" s="29"/>
      <c r="AB130" s="29"/>
      <c r="AC130" s="31"/>
      <c r="AD130" s="29"/>
      <c r="AE130" s="29"/>
      <c r="AF130" s="29"/>
      <c r="AG130" s="31"/>
      <c r="AH130" s="29"/>
      <c r="AI130" s="32">
        <f>('Table001 (Page 1-6)'!V123)*100</f>
        <v>1</v>
      </c>
      <c r="AJ130" s="35"/>
      <c r="AK130" s="35"/>
      <c r="AL130" s="35"/>
      <c r="AM130" s="35"/>
    </row>
    <row r="131" spans="2:39" x14ac:dyDescent="0.25">
      <c r="B131" s="37">
        <f>'Table001 (Page 1-6)'!A124</f>
        <v>2110</v>
      </c>
      <c r="C131" s="28" t="str">
        <f>'Table001 (Page 1-6)'!B124</f>
        <v>CR 484</v>
      </c>
      <c r="D131" s="28" t="str">
        <f>'Table001 (Page 1-6)'!C124</f>
        <v>CR 467</v>
      </c>
      <c r="E131" s="28" t="str">
        <f>'Table001 (Page 1-6)'!D124</f>
        <v>SE 132 ST RD</v>
      </c>
      <c r="F131" s="29">
        <f>'Table001 (Page 1-6)'!E124</f>
        <v>4</v>
      </c>
      <c r="G131" s="29">
        <f>'Table001 (Page 1-6)'!K124</f>
        <v>4</v>
      </c>
      <c r="H131" s="30" t="str">
        <f>'Table001 (Page 1-6)'!R124</f>
        <v>D</v>
      </c>
      <c r="I131" s="28" t="str">
        <f>'Table001 (Page 1-6)'!F124</f>
        <v>ARTERIAL</v>
      </c>
      <c r="J131" s="29"/>
      <c r="K131" s="29"/>
      <c r="L131" s="29">
        <f>'Table001 (Page 1-6)'!I124</f>
        <v>35820</v>
      </c>
      <c r="M131" s="29"/>
      <c r="N131" s="29">
        <f>'Table001 (Page 1-6)'!J124</f>
        <v>1800</v>
      </c>
      <c r="O131" s="29">
        <f>'Table001 (Page 1-6)'!L124</f>
        <v>35820</v>
      </c>
      <c r="P131" s="29"/>
      <c r="Q131" s="29">
        <f>'Table001 (Page 1-6)'!M124</f>
        <v>1800</v>
      </c>
      <c r="R131" s="29" t="str">
        <f>'Table001 (Page 1-6)'!S124</f>
        <v>17,900</v>
      </c>
      <c r="S131" s="31" t="str">
        <f>'Table001 (Page 1-6)'!T124</f>
        <v>0.5</v>
      </c>
      <c r="T131" s="29" t="str">
        <f>'Table001 (Page 1-6)'!U124</f>
        <v>C</v>
      </c>
      <c r="U131" s="29"/>
      <c r="V131" s="29"/>
      <c r="W131" s="29"/>
      <c r="X131" s="29"/>
      <c r="Y131" s="29"/>
      <c r="Z131" s="29"/>
      <c r="AA131" s="29"/>
      <c r="AB131" s="29"/>
      <c r="AC131" s="31"/>
      <c r="AD131" s="29"/>
      <c r="AE131" s="29"/>
      <c r="AF131" s="29"/>
      <c r="AG131" s="31"/>
      <c r="AH131" s="29"/>
      <c r="AI131" s="32">
        <f>('Table001 (Page 1-6)'!V124)*100</f>
        <v>1</v>
      </c>
      <c r="AJ131" s="35"/>
      <c r="AK131" s="35"/>
      <c r="AL131" s="35"/>
      <c r="AM131" s="35"/>
    </row>
    <row r="132" spans="2:39" x14ac:dyDescent="0.25">
      <c r="B132" s="37">
        <f>'Table001 (Page 1-6)'!A125</f>
        <v>2120.1999999999998</v>
      </c>
      <c r="C132" s="28" t="str">
        <f>'Table001 (Page 1-6)'!B125</f>
        <v>CR 484</v>
      </c>
      <c r="D132" s="28" t="str">
        <f>'Table001 (Page 1-6)'!C125</f>
        <v>SE 132 ST RD</v>
      </c>
      <c r="E132" s="28" t="str">
        <f>'Table001 (Page 1-6)'!D125</f>
        <v>US 441</v>
      </c>
      <c r="F132" s="29">
        <f>'Table001 (Page 1-6)'!E125</f>
        <v>2</v>
      </c>
      <c r="G132" s="29">
        <f>'Table001 (Page 1-6)'!K125</f>
        <v>2</v>
      </c>
      <c r="H132" s="30" t="str">
        <f>'Table001 (Page 1-6)'!R125</f>
        <v>E</v>
      </c>
      <c r="I132" s="28" t="str">
        <f>'Table001 (Page 1-6)'!F125</f>
        <v>COLLECTOR</v>
      </c>
      <c r="J132" s="29"/>
      <c r="K132" s="29"/>
      <c r="L132" s="29">
        <f>'Table001 (Page 1-6)'!I125</f>
        <v>29340</v>
      </c>
      <c r="M132" s="29"/>
      <c r="N132" s="29">
        <f>'Table001 (Page 1-6)'!J125</f>
        <v>1449</v>
      </c>
      <c r="O132" s="29">
        <f>'Table001 (Page 1-6)'!L125</f>
        <v>29340</v>
      </c>
      <c r="P132" s="29"/>
      <c r="Q132" s="29">
        <f>'Table001 (Page 1-6)'!M125</f>
        <v>1449</v>
      </c>
      <c r="R132" s="29" t="str">
        <f>'Table001 (Page 1-6)'!S125</f>
        <v>8,400</v>
      </c>
      <c r="S132" s="31" t="str">
        <f>'Table001 (Page 1-6)'!T125</f>
        <v>0.29</v>
      </c>
      <c r="T132" s="29" t="str">
        <f>'Table001 (Page 1-6)'!U125</f>
        <v>B</v>
      </c>
      <c r="U132" s="29"/>
      <c r="V132" s="29"/>
      <c r="W132" s="29"/>
      <c r="X132" s="29"/>
      <c r="Y132" s="29"/>
      <c r="Z132" s="29"/>
      <c r="AA132" s="29"/>
      <c r="AB132" s="29"/>
      <c r="AC132" s="31"/>
      <c r="AD132" s="29"/>
      <c r="AE132" s="29"/>
      <c r="AF132" s="29"/>
      <c r="AG132" s="31"/>
      <c r="AH132" s="29"/>
      <c r="AI132" s="32">
        <f>('Table001 (Page 1-6)'!V125)*100</f>
        <v>1</v>
      </c>
      <c r="AJ132" s="35"/>
      <c r="AK132" s="35"/>
      <c r="AL132" s="35"/>
      <c r="AM132" s="35"/>
    </row>
    <row r="133" spans="2:39" x14ac:dyDescent="0.25">
      <c r="B133" s="37">
        <f>'Table001 (Page 1-6)'!A126</f>
        <v>2150</v>
      </c>
      <c r="C133" s="28" t="str">
        <f>'Table001 (Page 1-6)'!B126</f>
        <v>E FORT KING ST</v>
      </c>
      <c r="D133" s="28" t="str">
        <f>'Table001 (Page 1-6)'!C126</f>
        <v>NE 1 AV</v>
      </c>
      <c r="E133" s="28" t="str">
        <f>'Table001 (Page 1-6)'!D126</f>
        <v>SE WATULA AVE</v>
      </c>
      <c r="F133" s="29">
        <f>'Table001 (Page 1-6)'!E126</f>
        <v>2</v>
      </c>
      <c r="G133" s="29">
        <f>'Table001 (Page 1-6)'!K126</f>
        <v>2</v>
      </c>
      <c r="H133" s="30" t="str">
        <f>'Table001 (Page 1-6)'!R126</f>
        <v>E</v>
      </c>
      <c r="I133" s="28" t="str">
        <f>'Table001 (Page 1-6)'!F126</f>
        <v>COLLECTOR</v>
      </c>
      <c r="J133" s="29"/>
      <c r="K133" s="29"/>
      <c r="L133" s="29">
        <f>'Table001 (Page 1-6)'!I126</f>
        <v>11232</v>
      </c>
      <c r="M133" s="29"/>
      <c r="N133" s="29">
        <f>'Table001 (Page 1-6)'!J126</f>
        <v>576</v>
      </c>
      <c r="O133" s="29">
        <f>'Table001 (Page 1-6)'!L126</f>
        <v>11232</v>
      </c>
      <c r="P133" s="29"/>
      <c r="Q133" s="29">
        <f>'Table001 (Page 1-6)'!M126</f>
        <v>576</v>
      </c>
      <c r="R133" s="29" t="str">
        <f>'Table001 (Page 1-6)'!S126</f>
        <v>Not Counted</v>
      </c>
      <c r="S133" s="31" t="str">
        <f>'Table001 (Page 1-6)'!T126</f>
        <v>N/A</v>
      </c>
      <c r="T133" s="29" t="str">
        <f>'Table001 (Page 1-6)'!U126</f>
        <v>N/A</v>
      </c>
      <c r="U133" s="29"/>
      <c r="V133" s="29"/>
      <c r="W133" s="29"/>
      <c r="X133" s="29"/>
      <c r="Y133" s="29"/>
      <c r="Z133" s="29"/>
      <c r="AA133" s="29"/>
      <c r="AB133" s="29"/>
      <c r="AC133" s="31"/>
      <c r="AD133" s="29"/>
      <c r="AE133" s="29"/>
      <c r="AF133" s="29"/>
      <c r="AG133" s="31"/>
      <c r="AH133" s="29"/>
      <c r="AI133" s="32">
        <f>('Table001 (Page 1-6)'!V126)*100</f>
        <v>1</v>
      </c>
      <c r="AJ133" s="35"/>
      <c r="AK133" s="35"/>
      <c r="AL133" s="35"/>
      <c r="AM133" s="35"/>
    </row>
    <row r="134" spans="2:39" x14ac:dyDescent="0.25">
      <c r="B134" s="37">
        <f>'Table001 (Page 1-6)'!A127</f>
        <v>2160</v>
      </c>
      <c r="C134" s="28" t="str">
        <f>'Table001 (Page 1-6)'!B127</f>
        <v>E FORT KING ST</v>
      </c>
      <c r="D134" s="28" t="str">
        <f>'Table001 (Page 1-6)'!C127</f>
        <v>SE WATULA AVE</v>
      </c>
      <c r="E134" s="28" t="str">
        <f>'Table001 (Page 1-6)'!D127</f>
        <v>SE 11 AV</v>
      </c>
      <c r="F134" s="29">
        <f>'Table001 (Page 1-6)'!E127</f>
        <v>2</v>
      </c>
      <c r="G134" s="29">
        <f>'Table001 (Page 1-6)'!K127</f>
        <v>2</v>
      </c>
      <c r="H134" s="30" t="str">
        <f>'Table001 (Page 1-6)'!R127</f>
        <v>E</v>
      </c>
      <c r="I134" s="28" t="str">
        <f>'Table001 (Page 1-6)'!F127</f>
        <v>COLLECTOR</v>
      </c>
      <c r="J134" s="29"/>
      <c r="K134" s="29"/>
      <c r="L134" s="29">
        <f>'Table001 (Page 1-6)'!I127</f>
        <v>11232</v>
      </c>
      <c r="M134" s="29"/>
      <c r="N134" s="29">
        <f>'Table001 (Page 1-6)'!J127</f>
        <v>576</v>
      </c>
      <c r="O134" s="29">
        <f>'Table001 (Page 1-6)'!L127</f>
        <v>11232</v>
      </c>
      <c r="P134" s="29"/>
      <c r="Q134" s="29">
        <f>'Table001 (Page 1-6)'!M127</f>
        <v>576</v>
      </c>
      <c r="R134" s="29" t="str">
        <f>'Table001 (Page 1-6)'!S127</f>
        <v>6,000</v>
      </c>
      <c r="S134" s="31" t="str">
        <f>'Table001 (Page 1-6)'!T127</f>
        <v>0.53</v>
      </c>
      <c r="T134" s="29" t="str">
        <f>'Table001 (Page 1-6)'!U127</f>
        <v>D</v>
      </c>
      <c r="U134" s="29"/>
      <c r="V134" s="29"/>
      <c r="W134" s="29"/>
      <c r="X134" s="29"/>
      <c r="Y134" s="29"/>
      <c r="Z134" s="29"/>
      <c r="AA134" s="29"/>
      <c r="AB134" s="29"/>
      <c r="AC134" s="31"/>
      <c r="AD134" s="29"/>
      <c r="AE134" s="29"/>
      <c r="AF134" s="29"/>
      <c r="AG134" s="31"/>
      <c r="AH134" s="29"/>
      <c r="AI134" s="32">
        <f>('Table001 (Page 1-6)'!V127)*100</f>
        <v>1.41</v>
      </c>
      <c r="AJ134" s="35"/>
      <c r="AK134" s="35"/>
      <c r="AL134" s="35"/>
      <c r="AM134" s="35"/>
    </row>
    <row r="135" spans="2:39" x14ac:dyDescent="0.25">
      <c r="B135" s="37">
        <f>'Table001 (Page 1-6)'!A128</f>
        <v>2170</v>
      </c>
      <c r="C135" s="28" t="str">
        <f>'Table001 (Page 1-6)'!B128</f>
        <v>E FORT KING ST</v>
      </c>
      <c r="D135" s="28" t="str">
        <f>'Table001 (Page 1-6)'!C128</f>
        <v>SE 11 AV</v>
      </c>
      <c r="E135" s="28" t="str">
        <f>'Table001 (Page 1-6)'!D128</f>
        <v>SE 16 AV</v>
      </c>
      <c r="F135" s="29">
        <f>'Table001 (Page 1-6)'!E128</f>
        <v>2</v>
      </c>
      <c r="G135" s="29">
        <f>'Table001 (Page 1-6)'!K128</f>
        <v>2</v>
      </c>
      <c r="H135" s="30" t="str">
        <f>'Table001 (Page 1-6)'!R128</f>
        <v>E</v>
      </c>
      <c r="I135" s="28" t="str">
        <f>'Table001 (Page 1-6)'!F128</f>
        <v>COLLECTOR</v>
      </c>
      <c r="J135" s="29"/>
      <c r="K135" s="29"/>
      <c r="L135" s="29">
        <f>'Table001 (Page 1-6)'!I128</f>
        <v>11232</v>
      </c>
      <c r="M135" s="29"/>
      <c r="N135" s="29">
        <f>'Table001 (Page 1-6)'!J128</f>
        <v>576</v>
      </c>
      <c r="O135" s="29">
        <f>'Table001 (Page 1-6)'!L128</f>
        <v>11232</v>
      </c>
      <c r="P135" s="29"/>
      <c r="Q135" s="29">
        <f>'Table001 (Page 1-6)'!M128</f>
        <v>576</v>
      </c>
      <c r="R135" s="29" t="str">
        <f>'Table001 (Page 1-6)'!S128</f>
        <v>5,800</v>
      </c>
      <c r="S135" s="31" t="str">
        <f>'Table001 (Page 1-6)'!T128</f>
        <v>0.52</v>
      </c>
      <c r="T135" s="29" t="str">
        <f>'Table001 (Page 1-6)'!U128</f>
        <v>D</v>
      </c>
      <c r="U135" s="29"/>
      <c r="V135" s="29"/>
      <c r="W135" s="29"/>
      <c r="X135" s="29"/>
      <c r="Y135" s="29"/>
      <c r="Z135" s="29"/>
      <c r="AA135" s="29"/>
      <c r="AB135" s="29"/>
      <c r="AC135" s="31"/>
      <c r="AD135" s="29"/>
      <c r="AE135" s="29"/>
      <c r="AF135" s="29"/>
      <c r="AG135" s="31"/>
      <c r="AH135" s="29"/>
      <c r="AI135" s="32">
        <f>('Table001 (Page 1-6)'!V128)*100</f>
        <v>1</v>
      </c>
      <c r="AJ135" s="35"/>
      <c r="AK135" s="35"/>
      <c r="AL135" s="35"/>
      <c r="AM135" s="35"/>
    </row>
    <row r="136" spans="2:39" x14ac:dyDescent="0.25">
      <c r="B136" s="37">
        <f>'Table001 (Page 1-6)'!A129</f>
        <v>2180</v>
      </c>
      <c r="C136" s="28" t="str">
        <f>'Table001 (Page 1-6)'!B129</f>
        <v>E FORT KING ST</v>
      </c>
      <c r="D136" s="28" t="str">
        <f>'Table001 (Page 1-6)'!C129</f>
        <v>SE 16 AV</v>
      </c>
      <c r="E136" s="28" t="str">
        <f>'Table001 (Page 1-6)'!D129</f>
        <v>SE 22 AV</v>
      </c>
      <c r="F136" s="29">
        <f>'Table001 (Page 1-6)'!E129</f>
        <v>2</v>
      </c>
      <c r="G136" s="29">
        <f>'Table001 (Page 1-6)'!K129</f>
        <v>2</v>
      </c>
      <c r="H136" s="30" t="str">
        <f>'Table001 (Page 1-6)'!R129</f>
        <v>E</v>
      </c>
      <c r="I136" s="28" t="str">
        <f>'Table001 (Page 1-6)'!F129</f>
        <v>COLLECTOR</v>
      </c>
      <c r="J136" s="29"/>
      <c r="K136" s="29"/>
      <c r="L136" s="29">
        <f>'Table001 (Page 1-6)'!I129</f>
        <v>14742</v>
      </c>
      <c r="M136" s="29"/>
      <c r="N136" s="29">
        <f>'Table001 (Page 1-6)'!J129</f>
        <v>756</v>
      </c>
      <c r="O136" s="29">
        <f>'Table001 (Page 1-6)'!L129</f>
        <v>14742</v>
      </c>
      <c r="P136" s="29"/>
      <c r="Q136" s="29">
        <f>'Table001 (Page 1-6)'!M129</f>
        <v>756</v>
      </c>
      <c r="R136" s="29" t="str">
        <f>'Table001 (Page 1-6)'!S129</f>
        <v>7,700</v>
      </c>
      <c r="S136" s="31" t="str">
        <f>'Table001 (Page 1-6)'!T129</f>
        <v>0.52</v>
      </c>
      <c r="T136" s="29" t="str">
        <f>'Table001 (Page 1-6)'!U129</f>
        <v>D</v>
      </c>
      <c r="U136" s="29"/>
      <c r="V136" s="29"/>
      <c r="W136" s="29"/>
      <c r="X136" s="29"/>
      <c r="Y136" s="29"/>
      <c r="Z136" s="29"/>
      <c r="AA136" s="29"/>
      <c r="AB136" s="29"/>
      <c r="AC136" s="31"/>
      <c r="AD136" s="29"/>
      <c r="AE136" s="29"/>
      <c r="AF136" s="29"/>
      <c r="AG136" s="31"/>
      <c r="AH136" s="29"/>
      <c r="AI136" s="32">
        <f>('Table001 (Page 1-6)'!V129)*100</f>
        <v>1</v>
      </c>
      <c r="AJ136" s="35"/>
      <c r="AK136" s="35"/>
      <c r="AL136" s="35"/>
      <c r="AM136" s="35"/>
    </row>
    <row r="137" spans="2:39" x14ac:dyDescent="0.25">
      <c r="B137" s="37">
        <f>'Table001 (Page 1-6)'!A130</f>
        <v>2190</v>
      </c>
      <c r="C137" s="28" t="str">
        <f>'Table001 (Page 1-6)'!B130</f>
        <v>E FORT KING ST</v>
      </c>
      <c r="D137" s="28" t="str">
        <f>'Table001 (Page 1-6)'!C130</f>
        <v>SE 22 AV</v>
      </c>
      <c r="E137" s="28" t="str">
        <f>'Table001 (Page 1-6)'!D130</f>
        <v>SW 25 AV</v>
      </c>
      <c r="F137" s="29">
        <f>'Table001 (Page 1-6)'!E130</f>
        <v>2</v>
      </c>
      <c r="G137" s="29">
        <f>'Table001 (Page 1-6)'!K130</f>
        <v>2</v>
      </c>
      <c r="H137" s="30" t="str">
        <f>'Table001 (Page 1-6)'!R130</f>
        <v>E</v>
      </c>
      <c r="I137" s="28" t="str">
        <f>'Table001 (Page 1-6)'!F130</f>
        <v>COLLECTOR</v>
      </c>
      <c r="J137" s="29"/>
      <c r="K137" s="29"/>
      <c r="L137" s="29">
        <f>'Table001 (Page 1-6)'!I130</f>
        <v>14742</v>
      </c>
      <c r="M137" s="29"/>
      <c r="N137" s="29">
        <f>'Table001 (Page 1-6)'!J130</f>
        <v>756</v>
      </c>
      <c r="O137" s="29">
        <f>'Table001 (Page 1-6)'!L130</f>
        <v>14742</v>
      </c>
      <c r="P137" s="29"/>
      <c r="Q137" s="29">
        <f>'Table001 (Page 1-6)'!M130</f>
        <v>756</v>
      </c>
      <c r="R137" s="29" t="str">
        <f>'Table001 (Page 1-6)'!S130</f>
        <v>6,800</v>
      </c>
      <c r="S137" s="31" t="str">
        <f>'Table001 (Page 1-6)'!T130</f>
        <v>0.46</v>
      </c>
      <c r="T137" s="29" t="str">
        <f>'Table001 (Page 1-6)'!U130</f>
        <v>C</v>
      </c>
      <c r="U137" s="29"/>
      <c r="V137" s="29"/>
      <c r="W137" s="29"/>
      <c r="X137" s="29"/>
      <c r="Y137" s="29"/>
      <c r="Z137" s="29"/>
      <c r="AA137" s="29"/>
      <c r="AB137" s="29"/>
      <c r="AC137" s="31"/>
      <c r="AD137" s="29"/>
      <c r="AE137" s="29"/>
      <c r="AF137" s="29"/>
      <c r="AG137" s="31"/>
      <c r="AH137" s="29"/>
      <c r="AI137" s="32">
        <f>('Table001 (Page 1-6)'!V130)*100</f>
        <v>1</v>
      </c>
      <c r="AJ137" s="35"/>
      <c r="AK137" s="35"/>
      <c r="AL137" s="35"/>
      <c r="AM137" s="35"/>
    </row>
    <row r="138" spans="2:39" x14ac:dyDescent="0.25">
      <c r="B138" s="37">
        <f>'Table001 (Page 1-6)'!A131</f>
        <v>2200</v>
      </c>
      <c r="C138" s="28" t="str">
        <f>'Table001 (Page 1-6)'!B131</f>
        <v>E FORT KING ST</v>
      </c>
      <c r="D138" s="28" t="str">
        <f>'Table001 (Page 1-6)'!C131</f>
        <v>SW 25 AV</v>
      </c>
      <c r="E138" s="28" t="str">
        <f>'Table001 (Page 1-6)'!D131</f>
        <v>SE 30TH AVE</v>
      </c>
      <c r="F138" s="29">
        <f>'Table001 (Page 1-6)'!E131</f>
        <v>2</v>
      </c>
      <c r="G138" s="29">
        <f>'Table001 (Page 1-6)'!K131</f>
        <v>2</v>
      </c>
      <c r="H138" s="30" t="str">
        <f>'Table001 (Page 1-6)'!R131</f>
        <v>E</v>
      </c>
      <c r="I138" s="28" t="str">
        <f>'Table001 (Page 1-6)'!F131</f>
        <v>COLLECTOR</v>
      </c>
      <c r="J138" s="29"/>
      <c r="K138" s="29"/>
      <c r="L138" s="29">
        <f>'Table001 (Page 1-6)'!I131</f>
        <v>14742</v>
      </c>
      <c r="M138" s="29"/>
      <c r="N138" s="29">
        <f>'Table001 (Page 1-6)'!J131</f>
        <v>756</v>
      </c>
      <c r="O138" s="29">
        <f>'Table001 (Page 1-6)'!L131</f>
        <v>14742</v>
      </c>
      <c r="P138" s="29"/>
      <c r="Q138" s="29">
        <f>'Table001 (Page 1-6)'!M131</f>
        <v>756</v>
      </c>
      <c r="R138" s="29" t="str">
        <f>'Table001 (Page 1-6)'!S131</f>
        <v>7,800</v>
      </c>
      <c r="S138" s="31" t="str">
        <f>'Table001 (Page 1-6)'!T131</f>
        <v>0.53</v>
      </c>
      <c r="T138" s="29" t="str">
        <f>'Table001 (Page 1-6)'!U131</f>
        <v>D</v>
      </c>
      <c r="U138" s="29"/>
      <c r="V138" s="29"/>
      <c r="W138" s="29"/>
      <c r="X138" s="29"/>
      <c r="Y138" s="29"/>
      <c r="Z138" s="29"/>
      <c r="AA138" s="29"/>
      <c r="AB138" s="29"/>
      <c r="AC138" s="31"/>
      <c r="AD138" s="29"/>
      <c r="AE138" s="29"/>
      <c r="AF138" s="29"/>
      <c r="AG138" s="31"/>
      <c r="AH138" s="29"/>
      <c r="AI138" s="32">
        <f>('Table001 (Page 1-6)'!V131)*100</f>
        <v>1</v>
      </c>
      <c r="AJ138" s="35"/>
      <c r="AK138" s="35"/>
      <c r="AL138" s="35"/>
      <c r="AM138" s="35"/>
    </row>
    <row r="139" spans="2:39" x14ac:dyDescent="0.25">
      <c r="B139" s="37">
        <f>'Table001 (Page 1-6)'!A132</f>
        <v>2210.4</v>
      </c>
      <c r="C139" s="28" t="str">
        <f>'Table001 (Page 1-6)'!B132</f>
        <v>E FORT KING ST</v>
      </c>
      <c r="D139" s="28" t="str">
        <f>'Table001 (Page 1-6)'!C132</f>
        <v>SE 30TH AVE</v>
      </c>
      <c r="E139" s="28" t="str">
        <f>'Table001 (Page 1-6)'!D132</f>
        <v>SE 36 AV</v>
      </c>
      <c r="F139" s="29">
        <f>'Table001 (Page 1-6)'!E132</f>
        <v>2</v>
      </c>
      <c r="G139" s="29">
        <f>'Table001 (Page 1-6)'!K132</f>
        <v>2</v>
      </c>
      <c r="H139" s="30" t="str">
        <f>'Table001 (Page 1-6)'!R132</f>
        <v>E</v>
      </c>
      <c r="I139" s="28" t="str">
        <f>'Table001 (Page 1-6)'!F132</f>
        <v>COLLECTOR</v>
      </c>
      <c r="J139" s="29"/>
      <c r="K139" s="29"/>
      <c r="L139" s="29">
        <f>'Table001 (Page 1-6)'!I132</f>
        <v>16727</v>
      </c>
      <c r="M139" s="29"/>
      <c r="N139" s="29">
        <f>'Table001 (Page 1-6)'!J132</f>
        <v>832</v>
      </c>
      <c r="O139" s="29">
        <f>'Table001 (Page 1-6)'!L132</f>
        <v>16727</v>
      </c>
      <c r="P139" s="29"/>
      <c r="Q139" s="29">
        <f>'Table001 (Page 1-6)'!M132</f>
        <v>832</v>
      </c>
      <c r="R139" s="29" t="str">
        <f>'Table001 (Page 1-6)'!S132</f>
        <v>8,000</v>
      </c>
      <c r="S139" s="31" t="str">
        <f>'Table001 (Page 1-6)'!T132</f>
        <v>0.48</v>
      </c>
      <c r="T139" s="29" t="str">
        <f>'Table001 (Page 1-6)'!U132</f>
        <v>C</v>
      </c>
      <c r="U139" s="29"/>
      <c r="V139" s="29"/>
      <c r="W139" s="29"/>
      <c r="X139" s="29"/>
      <c r="Y139" s="29"/>
      <c r="Z139" s="29"/>
      <c r="AA139" s="29"/>
      <c r="AB139" s="29"/>
      <c r="AC139" s="31"/>
      <c r="AD139" s="29"/>
      <c r="AE139" s="29"/>
      <c r="AF139" s="29"/>
      <c r="AG139" s="31"/>
      <c r="AH139" s="29"/>
      <c r="AI139" s="32">
        <f>('Table001 (Page 1-6)'!V132)*100</f>
        <v>3.7699999999999996</v>
      </c>
      <c r="AJ139" s="35"/>
      <c r="AK139" s="35"/>
      <c r="AL139" s="35"/>
      <c r="AM139" s="35"/>
    </row>
    <row r="140" spans="2:39" x14ac:dyDescent="0.25">
      <c r="B140" s="37">
        <f>'Table001 (Page 1-6)'!A133</f>
        <v>2220</v>
      </c>
      <c r="C140" s="28" t="str">
        <f>'Table001 (Page 1-6)'!B133</f>
        <v>E FORT KING ST</v>
      </c>
      <c r="D140" s="28" t="str">
        <f>'Table001 (Page 1-6)'!C133</f>
        <v>SE 36 AV</v>
      </c>
      <c r="E140" s="28" t="str">
        <f>'Table001 (Page 1-6)'!D133</f>
        <v>SR 35</v>
      </c>
      <c r="F140" s="29">
        <f>'Table001 (Page 1-6)'!E133</f>
        <v>2</v>
      </c>
      <c r="G140" s="29">
        <f>'Table001 (Page 1-6)'!K133</f>
        <v>2</v>
      </c>
      <c r="H140" s="30" t="str">
        <f>'Table001 (Page 1-6)'!R133</f>
        <v>E</v>
      </c>
      <c r="I140" s="28" t="str">
        <f>'Table001 (Page 1-6)'!F133</f>
        <v>COLLECTOR</v>
      </c>
      <c r="J140" s="29"/>
      <c r="K140" s="29"/>
      <c r="L140" s="29">
        <f>'Table001 (Page 1-6)'!I133</f>
        <v>12744</v>
      </c>
      <c r="M140" s="29"/>
      <c r="N140" s="29">
        <f>'Table001 (Page 1-6)'!J133</f>
        <v>634</v>
      </c>
      <c r="O140" s="29">
        <f>'Table001 (Page 1-6)'!L133</f>
        <v>12744</v>
      </c>
      <c r="P140" s="29"/>
      <c r="Q140" s="29">
        <f>'Table001 (Page 1-6)'!M133</f>
        <v>634</v>
      </c>
      <c r="R140" s="29" t="str">
        <f>'Table001 (Page 1-6)'!S133</f>
        <v>7,800</v>
      </c>
      <c r="S140" s="31" t="str">
        <f>'Table001 (Page 1-6)'!T133</f>
        <v>0.61</v>
      </c>
      <c r="T140" s="29" t="str">
        <f>'Table001 (Page 1-6)'!U133</f>
        <v>C</v>
      </c>
      <c r="U140" s="29"/>
      <c r="V140" s="29"/>
      <c r="W140" s="29"/>
      <c r="X140" s="29"/>
      <c r="Y140" s="29"/>
      <c r="Z140" s="29"/>
      <c r="AA140" s="29"/>
      <c r="AB140" s="29"/>
      <c r="AC140" s="31"/>
      <c r="AD140" s="29"/>
      <c r="AE140" s="29"/>
      <c r="AF140" s="29"/>
      <c r="AG140" s="31"/>
      <c r="AH140" s="29"/>
      <c r="AI140" s="32">
        <f>('Table001 (Page 1-6)'!V133)*100</f>
        <v>1</v>
      </c>
      <c r="AJ140" s="35"/>
      <c r="AK140" s="35"/>
      <c r="AL140" s="35"/>
      <c r="AM140" s="35"/>
    </row>
    <row r="141" spans="2:39" x14ac:dyDescent="0.25">
      <c r="B141" s="37">
        <f>'Table001 (Page 1-6)'!A134</f>
        <v>2230</v>
      </c>
      <c r="C141" s="28" t="str">
        <f>'Table001 (Page 1-6)'!B134</f>
        <v>CR 484</v>
      </c>
      <c r="D141" s="28" t="str">
        <f>'Table001 (Page 1-6)'!C134</f>
        <v>US 41</v>
      </c>
      <c r="E141" s="28" t="str">
        <f>'Table001 (Page 1-6)'!D134</f>
        <v>LAKESHORE DR</v>
      </c>
      <c r="F141" s="29">
        <f>'Table001 (Page 1-6)'!E134</f>
        <v>2</v>
      </c>
      <c r="G141" s="29">
        <f>'Table001 (Page 1-6)'!K134</f>
        <v>2</v>
      </c>
      <c r="H141" s="30" t="str">
        <f>'Table001 (Page 1-6)'!R134</f>
        <v>E</v>
      </c>
      <c r="I141" s="28" t="str">
        <f>'Table001 (Page 1-6)'!F134</f>
        <v>ARTERIAL</v>
      </c>
      <c r="J141" s="29"/>
      <c r="K141" s="29"/>
      <c r="L141" s="29">
        <f>'Table001 (Page 1-6)'!I134</f>
        <v>11232</v>
      </c>
      <c r="M141" s="29"/>
      <c r="N141" s="29">
        <f>'Table001 (Page 1-6)'!J134</f>
        <v>576</v>
      </c>
      <c r="O141" s="29">
        <f>'Table001 (Page 1-6)'!L134</f>
        <v>11232</v>
      </c>
      <c r="P141" s="29"/>
      <c r="Q141" s="29">
        <f>'Table001 (Page 1-6)'!M134</f>
        <v>576</v>
      </c>
      <c r="R141" s="29" t="str">
        <f>'Table001 (Page 1-6)'!S134</f>
        <v>11,400</v>
      </c>
      <c r="S141" s="31" t="str">
        <f>'Table001 (Page 1-6)'!T134</f>
        <v>1.01</v>
      </c>
      <c r="T141" s="29" t="str">
        <f>'Table001 (Page 1-6)'!U134</f>
        <v>F</v>
      </c>
      <c r="U141" s="29"/>
      <c r="V141" s="29"/>
      <c r="W141" s="29"/>
      <c r="X141" s="29"/>
      <c r="Y141" s="29"/>
      <c r="Z141" s="29"/>
      <c r="AA141" s="29"/>
      <c r="AB141" s="29"/>
      <c r="AC141" s="31"/>
      <c r="AD141" s="29"/>
      <c r="AE141" s="29"/>
      <c r="AF141" s="29"/>
      <c r="AG141" s="31"/>
      <c r="AH141" s="29"/>
      <c r="AI141" s="32">
        <f>('Table001 (Page 1-6)'!V134)*100</f>
        <v>1</v>
      </c>
      <c r="AJ141" s="35"/>
      <c r="AK141" s="35"/>
      <c r="AL141" s="35"/>
      <c r="AM141" s="35"/>
    </row>
    <row r="142" spans="2:39" x14ac:dyDescent="0.25">
      <c r="B142" s="37">
        <f>'Table001 (Page 1-6)'!A135</f>
        <v>2240</v>
      </c>
      <c r="C142" s="28" t="str">
        <f>'Table001 (Page 1-6)'!B135</f>
        <v>SR 25</v>
      </c>
      <c r="D142" s="28" t="str">
        <f>'Table001 (Page 1-6)'!C135</f>
        <v>US 441</v>
      </c>
      <c r="E142" s="28" t="str">
        <f>'Table001 (Page 1-6)'!D135</f>
        <v>BASELINE RD</v>
      </c>
      <c r="F142" s="29">
        <f>'Table001 (Page 1-6)'!E135</f>
        <v>2</v>
      </c>
      <c r="G142" s="29">
        <f>'Table001 (Page 1-6)'!K135</f>
        <v>2</v>
      </c>
      <c r="H142" s="30" t="str">
        <f>'Table001 (Page 1-6)'!R135</f>
        <v>D</v>
      </c>
      <c r="I142" s="28" t="str">
        <f>'Table001 (Page 1-6)'!F135</f>
        <v>ARTERIAL</v>
      </c>
      <c r="J142" s="29"/>
      <c r="K142" s="29"/>
      <c r="L142" s="29">
        <f>'Table001 (Page 1-6)'!I135</f>
        <v>22785</v>
      </c>
      <c r="M142" s="29"/>
      <c r="N142" s="29">
        <f>'Table001 (Page 1-6)'!J135</f>
        <v>1124</v>
      </c>
      <c r="O142" s="29">
        <f>'Table001 (Page 1-6)'!L135</f>
        <v>22785</v>
      </c>
      <c r="P142" s="29"/>
      <c r="Q142" s="29">
        <f>'Table001 (Page 1-6)'!M135</f>
        <v>1124</v>
      </c>
      <c r="R142" s="29" t="str">
        <f>'Table001 (Page 1-6)'!S135</f>
        <v>10,500</v>
      </c>
      <c r="S142" s="31" t="str">
        <f>'Table001 (Page 1-6)'!T135</f>
        <v>0.46</v>
      </c>
      <c r="T142" s="29" t="str">
        <f>'Table001 (Page 1-6)'!U135</f>
        <v>C</v>
      </c>
      <c r="U142" s="29"/>
      <c r="V142" s="29"/>
      <c r="W142" s="29"/>
      <c r="X142" s="29"/>
      <c r="Y142" s="29"/>
      <c r="Z142" s="29"/>
      <c r="AA142" s="29"/>
      <c r="AB142" s="29"/>
      <c r="AC142" s="31"/>
      <c r="AD142" s="29"/>
      <c r="AE142" s="29"/>
      <c r="AF142" s="29"/>
      <c r="AG142" s="31"/>
      <c r="AH142" s="29"/>
      <c r="AI142" s="32">
        <f>('Table001 (Page 1-6)'!V135)*100</f>
        <v>1</v>
      </c>
      <c r="AJ142" s="35"/>
      <c r="AK142" s="35"/>
      <c r="AL142" s="35"/>
      <c r="AM142" s="35"/>
    </row>
    <row r="143" spans="2:39" x14ac:dyDescent="0.25">
      <c r="B143" s="37">
        <f>'Table001 (Page 1-6)'!A136</f>
        <v>2260.1</v>
      </c>
      <c r="C143" s="28" t="str">
        <f>'Table001 (Page 1-6)'!B136</f>
        <v>I-75</v>
      </c>
      <c r="D143" s="28" t="str">
        <f>'Table001 (Page 1-6)'!C136</f>
        <v>COUNTY LINE (S)</v>
      </c>
      <c r="E143" s="28" t="str">
        <f>'Table001 (Page 1-6)'!D136</f>
        <v>URBAN AREA BOUNDARY</v>
      </c>
      <c r="F143" s="29">
        <f>'Table001 (Page 1-6)'!E136</f>
        <v>6</v>
      </c>
      <c r="G143" s="29">
        <f>'Table001 (Page 1-6)'!K136</f>
        <v>6</v>
      </c>
      <c r="H143" s="30" t="str">
        <f>'Table001 (Page 1-6)'!R136</f>
        <v>C</v>
      </c>
      <c r="I143" s="28" t="str">
        <f>'Table001 (Page 1-6)'!F136</f>
        <v>INTERSTATE</v>
      </c>
      <c r="J143" s="29"/>
      <c r="K143" s="29"/>
      <c r="L143" s="29">
        <f>'Table001 (Page 1-6)'!I136</f>
        <v>69000</v>
      </c>
      <c r="M143" s="29"/>
      <c r="N143" s="29">
        <f>'Table001 (Page 1-6)'!J136</f>
        <v>3990</v>
      </c>
      <c r="O143" s="29">
        <f>'Table001 (Page 1-6)'!L136</f>
        <v>69000</v>
      </c>
      <c r="P143" s="29"/>
      <c r="Q143" s="29">
        <f>'Table001 (Page 1-6)'!M136</f>
        <v>3990</v>
      </c>
      <c r="R143" s="29" t="str">
        <f>'Table001 (Page 1-6)'!S136</f>
        <v>110,800</v>
      </c>
      <c r="S143" s="31" t="str">
        <f>'Table001 (Page 1-6)'!T136</f>
        <v>1.61</v>
      </c>
      <c r="T143" s="29" t="str">
        <f>'Table001 (Page 1-6)'!U136</f>
        <v>F</v>
      </c>
      <c r="U143" s="29"/>
      <c r="V143" s="29"/>
      <c r="W143" s="29"/>
      <c r="X143" s="29"/>
      <c r="Y143" s="29"/>
      <c r="Z143" s="29"/>
      <c r="AA143" s="29"/>
      <c r="AB143" s="29"/>
      <c r="AC143" s="31"/>
      <c r="AD143" s="29"/>
      <c r="AE143" s="29"/>
      <c r="AF143" s="29"/>
      <c r="AG143" s="31"/>
      <c r="AH143" s="29"/>
      <c r="AI143" s="32">
        <f>('Table001 (Page 1-6)'!V136)*100</f>
        <v>6.02</v>
      </c>
      <c r="AJ143" s="35"/>
      <c r="AK143" s="35"/>
      <c r="AL143" s="35"/>
      <c r="AM143" s="35"/>
    </row>
    <row r="144" spans="2:39" x14ac:dyDescent="0.25">
      <c r="B144" s="37">
        <f>'Table001 (Page 1-6)'!A137</f>
        <v>2260.1999999999998</v>
      </c>
      <c r="C144" s="28" t="str">
        <f>'Table001 (Page 1-6)'!B137</f>
        <v>I-75</v>
      </c>
      <c r="D144" s="28" t="str">
        <f>'Table001 (Page 1-6)'!C137</f>
        <v>URBAN AREA BOUNDARY</v>
      </c>
      <c r="E144" s="28" t="str">
        <f>'Table001 (Page 1-6)'!D137</f>
        <v>CR 484</v>
      </c>
      <c r="F144" s="29">
        <f>'Table001 (Page 1-6)'!E137</f>
        <v>6</v>
      </c>
      <c r="G144" s="29">
        <f>'Table001 (Page 1-6)'!K137</f>
        <v>6</v>
      </c>
      <c r="H144" s="30" t="str">
        <f>'Table001 (Page 1-6)'!R137</f>
        <v>D</v>
      </c>
      <c r="I144" s="28" t="str">
        <f>'Table001 (Page 1-6)'!F137</f>
        <v>INTERSTATE</v>
      </c>
      <c r="J144" s="29"/>
      <c r="K144" s="29"/>
      <c r="L144" s="29">
        <f>'Table001 (Page 1-6)'!I137</f>
        <v>122800</v>
      </c>
      <c r="M144" s="29"/>
      <c r="N144" s="29">
        <f>'Table001 (Page 1-6)'!J137</f>
        <v>6080</v>
      </c>
      <c r="O144" s="29">
        <f>'Table001 (Page 1-6)'!L137</f>
        <v>122800</v>
      </c>
      <c r="P144" s="29"/>
      <c r="Q144" s="29">
        <f>'Table001 (Page 1-6)'!M137</f>
        <v>6080</v>
      </c>
      <c r="R144" s="29" t="str">
        <f>'Table001 (Page 1-6)'!S137</f>
        <v>110,800</v>
      </c>
      <c r="S144" s="31" t="str">
        <f>'Table001 (Page 1-6)'!T137</f>
        <v>0.9</v>
      </c>
      <c r="T144" s="29" t="str">
        <f>'Table001 (Page 1-6)'!U137</f>
        <v>D</v>
      </c>
      <c r="U144" s="29"/>
      <c r="V144" s="29"/>
      <c r="W144" s="29"/>
      <c r="X144" s="29"/>
      <c r="Y144" s="29"/>
      <c r="Z144" s="29"/>
      <c r="AA144" s="29"/>
      <c r="AB144" s="29"/>
      <c r="AC144" s="31"/>
      <c r="AD144" s="29"/>
      <c r="AE144" s="29"/>
      <c r="AF144" s="29"/>
      <c r="AG144" s="31"/>
      <c r="AH144" s="29"/>
      <c r="AI144" s="32">
        <f>('Table001 (Page 1-6)'!V137)*100</f>
        <v>6.02</v>
      </c>
      <c r="AJ144" s="35"/>
      <c r="AK144" s="35"/>
      <c r="AL144" s="35"/>
      <c r="AM144" s="35"/>
    </row>
    <row r="145" spans="2:39" x14ac:dyDescent="0.25">
      <c r="B145" s="37">
        <f>'Table001 (Page 1-6)'!A138</f>
        <v>2280</v>
      </c>
      <c r="C145" s="28" t="str">
        <f>'Table001 (Page 1-6)'!B138</f>
        <v>I-75</v>
      </c>
      <c r="D145" s="28" t="str">
        <f>'Table001 (Page 1-6)'!C138</f>
        <v>CR 484</v>
      </c>
      <c r="E145" s="28" t="str">
        <f>'Table001 (Page 1-6)'!D138</f>
        <v>SR 200</v>
      </c>
      <c r="F145" s="29">
        <f>'Table001 (Page 1-6)'!E138</f>
        <v>6</v>
      </c>
      <c r="G145" s="29">
        <f>'Table001 (Page 1-6)'!K138</f>
        <v>6</v>
      </c>
      <c r="H145" s="30" t="str">
        <f>'Table001 (Page 1-6)'!R138</f>
        <v>D</v>
      </c>
      <c r="I145" s="28" t="str">
        <f>'Table001 (Page 1-6)'!F138</f>
        <v>INTERSTATE</v>
      </c>
      <c r="J145" s="29"/>
      <c r="K145" s="29"/>
      <c r="L145" s="29">
        <f>'Table001 (Page 1-6)'!I138</f>
        <v>122800</v>
      </c>
      <c r="M145" s="29"/>
      <c r="N145" s="29">
        <f>'Table001 (Page 1-6)'!J138</f>
        <v>6080</v>
      </c>
      <c r="O145" s="29">
        <f>'Table001 (Page 1-6)'!L138</f>
        <v>122800</v>
      </c>
      <c r="P145" s="29"/>
      <c r="Q145" s="29">
        <f>'Table001 (Page 1-6)'!M138</f>
        <v>6080</v>
      </c>
      <c r="R145" s="29" t="str">
        <f>'Table001 (Page 1-6)'!S138</f>
        <v>84,000</v>
      </c>
      <c r="S145" s="31" t="str">
        <f>'Table001 (Page 1-6)'!T138</f>
        <v>0.68</v>
      </c>
      <c r="T145" s="29" t="str">
        <f>'Table001 (Page 1-6)'!U138</f>
        <v>C</v>
      </c>
      <c r="U145" s="29"/>
      <c r="V145" s="29"/>
      <c r="W145" s="29"/>
      <c r="X145" s="29"/>
      <c r="Y145" s="29"/>
      <c r="Z145" s="29"/>
      <c r="AA145" s="29"/>
      <c r="AB145" s="29"/>
      <c r="AC145" s="31"/>
      <c r="AD145" s="29"/>
      <c r="AE145" s="29"/>
      <c r="AF145" s="29"/>
      <c r="AG145" s="31"/>
      <c r="AH145" s="29"/>
      <c r="AI145" s="32">
        <f>('Table001 (Page 1-6)'!V138)*100</f>
        <v>1</v>
      </c>
      <c r="AJ145" s="35"/>
      <c r="AK145" s="35"/>
      <c r="AL145" s="35"/>
      <c r="AM145" s="35"/>
    </row>
    <row r="146" spans="2:39" x14ac:dyDescent="0.25">
      <c r="B146" s="37">
        <f>'Table001 (Page 1-6)'!A139</f>
        <v>2290</v>
      </c>
      <c r="C146" s="28" t="str">
        <f>'Table001 (Page 1-6)'!B139</f>
        <v>I-75</v>
      </c>
      <c r="D146" s="28" t="str">
        <f>'Table001 (Page 1-6)'!C139</f>
        <v>SR 200</v>
      </c>
      <c r="E146" s="28" t="str">
        <f>'Table001 (Page 1-6)'!D139</f>
        <v>SR 40</v>
      </c>
      <c r="F146" s="29">
        <f>'Table001 (Page 1-6)'!E139</f>
        <v>6</v>
      </c>
      <c r="G146" s="29">
        <f>'Table001 (Page 1-6)'!K139</f>
        <v>6</v>
      </c>
      <c r="H146" s="30" t="str">
        <f>'Table001 (Page 1-6)'!R139</f>
        <v>D</v>
      </c>
      <c r="I146" s="28" t="str">
        <f>'Table001 (Page 1-6)'!F139</f>
        <v>INTERSTATE</v>
      </c>
      <c r="J146" s="29"/>
      <c r="K146" s="29"/>
      <c r="L146" s="29">
        <f>'Table001 (Page 1-6)'!I139</f>
        <v>122800</v>
      </c>
      <c r="M146" s="29"/>
      <c r="N146" s="29">
        <f>'Table001 (Page 1-6)'!J139</f>
        <v>6080</v>
      </c>
      <c r="O146" s="29">
        <f>'Table001 (Page 1-6)'!L139</f>
        <v>122800</v>
      </c>
      <c r="P146" s="29"/>
      <c r="Q146" s="29">
        <f>'Table001 (Page 1-6)'!M139</f>
        <v>6080</v>
      </c>
      <c r="R146" s="29" t="str">
        <f>'Table001 (Page 1-6)'!S139</f>
        <v>90,900</v>
      </c>
      <c r="S146" s="31" t="str">
        <f>'Table001 (Page 1-6)'!T139</f>
        <v>0.74</v>
      </c>
      <c r="T146" s="29" t="str">
        <f>'Table001 (Page 1-6)'!U139</f>
        <v>C</v>
      </c>
      <c r="U146" s="29"/>
      <c r="V146" s="29"/>
      <c r="W146" s="29"/>
      <c r="X146" s="29"/>
      <c r="Y146" s="29"/>
      <c r="Z146" s="29"/>
      <c r="AA146" s="29"/>
      <c r="AB146" s="29"/>
      <c r="AC146" s="31"/>
      <c r="AD146" s="29"/>
      <c r="AE146" s="29"/>
      <c r="AF146" s="29"/>
      <c r="AG146" s="31"/>
      <c r="AH146" s="29"/>
      <c r="AI146" s="32">
        <f>('Table001 (Page 1-6)'!V139)*100</f>
        <v>1</v>
      </c>
      <c r="AJ146" s="35"/>
      <c r="AK146" s="35"/>
      <c r="AL146" s="35"/>
      <c r="AM146" s="35"/>
    </row>
    <row r="147" spans="2:39" x14ac:dyDescent="0.25">
      <c r="B147" s="37">
        <f>'Table001 (Page 1-6)'!A140</f>
        <v>2300</v>
      </c>
      <c r="C147" s="28" t="str">
        <f>'Table001 (Page 1-6)'!B140</f>
        <v>I-75</v>
      </c>
      <c r="D147" s="28" t="str">
        <f>'Table001 (Page 1-6)'!C140</f>
        <v>SR 40</v>
      </c>
      <c r="E147" s="28" t="str">
        <f>'Table001 (Page 1-6)'!D140</f>
        <v>US 27</v>
      </c>
      <c r="F147" s="29">
        <f>'Table001 (Page 1-6)'!E140</f>
        <v>6</v>
      </c>
      <c r="G147" s="29">
        <f>'Table001 (Page 1-6)'!K140</f>
        <v>6</v>
      </c>
      <c r="H147" s="30" t="str">
        <f>'Table001 (Page 1-6)'!R140</f>
        <v>D</v>
      </c>
      <c r="I147" s="28" t="str">
        <f>'Table001 (Page 1-6)'!F140</f>
        <v>INTERSTATE</v>
      </c>
      <c r="J147" s="29"/>
      <c r="K147" s="29"/>
      <c r="L147" s="29">
        <f>'Table001 (Page 1-6)'!I140</f>
        <v>122800</v>
      </c>
      <c r="M147" s="29"/>
      <c r="N147" s="29">
        <f>'Table001 (Page 1-6)'!J140</f>
        <v>6080</v>
      </c>
      <c r="O147" s="29">
        <f>'Table001 (Page 1-6)'!L140</f>
        <v>122800</v>
      </c>
      <c r="P147" s="29"/>
      <c r="Q147" s="29">
        <f>'Table001 (Page 1-6)'!M140</f>
        <v>6080</v>
      </c>
      <c r="R147" s="29" t="str">
        <f>'Table001 (Page 1-6)'!S140</f>
        <v>90,200</v>
      </c>
      <c r="S147" s="31" t="str">
        <f>'Table001 (Page 1-6)'!T140</f>
        <v>0.73</v>
      </c>
      <c r="T147" s="29" t="str">
        <f>'Table001 (Page 1-6)'!U140</f>
        <v>C</v>
      </c>
      <c r="U147" s="29"/>
      <c r="V147" s="29"/>
      <c r="W147" s="29"/>
      <c r="X147" s="29"/>
      <c r="Y147" s="29"/>
      <c r="Z147" s="29"/>
      <c r="AA147" s="29"/>
      <c r="AB147" s="29"/>
      <c r="AC147" s="31"/>
      <c r="AD147" s="29"/>
      <c r="AE147" s="29"/>
      <c r="AF147" s="29"/>
      <c r="AG147" s="31"/>
      <c r="AH147" s="29"/>
      <c r="AI147" s="32">
        <f>('Table001 (Page 1-6)'!V140)*100</f>
        <v>3.1300000000000003</v>
      </c>
      <c r="AJ147" s="35"/>
      <c r="AK147" s="35"/>
      <c r="AL147" s="35"/>
      <c r="AM147" s="35"/>
    </row>
    <row r="148" spans="2:39" x14ac:dyDescent="0.25">
      <c r="B148" s="37">
        <f>'Table001 (Page 1-6)'!A141</f>
        <v>2310</v>
      </c>
      <c r="C148" s="28" t="str">
        <f>'Table001 (Page 1-6)'!B141</f>
        <v>I-75</v>
      </c>
      <c r="D148" s="28" t="str">
        <f>'Table001 (Page 1-6)'!C141</f>
        <v>US 27</v>
      </c>
      <c r="E148" s="28" t="str">
        <f>'Table001 (Page 1-6)'!D141</f>
        <v>SR 326</v>
      </c>
      <c r="F148" s="29">
        <f>'Table001 (Page 1-6)'!E141</f>
        <v>6</v>
      </c>
      <c r="G148" s="29">
        <f>'Table001 (Page 1-6)'!K141</f>
        <v>6</v>
      </c>
      <c r="H148" s="30" t="str">
        <f>'Table001 (Page 1-6)'!R141</f>
        <v>D</v>
      </c>
      <c r="I148" s="28" t="str">
        <f>'Table001 (Page 1-6)'!F141</f>
        <v>INTERSTATE</v>
      </c>
      <c r="J148" s="29"/>
      <c r="K148" s="29"/>
      <c r="L148" s="29">
        <f>'Table001 (Page 1-6)'!I141</f>
        <v>122800</v>
      </c>
      <c r="M148" s="29"/>
      <c r="N148" s="29">
        <f>'Table001 (Page 1-6)'!J141</f>
        <v>6080</v>
      </c>
      <c r="O148" s="29">
        <f>'Table001 (Page 1-6)'!L141</f>
        <v>122800</v>
      </c>
      <c r="P148" s="29"/>
      <c r="Q148" s="29">
        <f>'Table001 (Page 1-6)'!M141</f>
        <v>6080</v>
      </c>
      <c r="R148" s="29" t="str">
        <f>'Table001 (Page 1-6)'!S141</f>
        <v>81,400</v>
      </c>
      <c r="S148" s="31" t="str">
        <f>'Table001 (Page 1-6)'!T141</f>
        <v>0.66</v>
      </c>
      <c r="T148" s="29" t="str">
        <f>'Table001 (Page 1-6)'!U141</f>
        <v>C</v>
      </c>
      <c r="U148" s="29"/>
      <c r="V148" s="29"/>
      <c r="W148" s="29"/>
      <c r="X148" s="29"/>
      <c r="Y148" s="29"/>
      <c r="Z148" s="29"/>
      <c r="AA148" s="29"/>
      <c r="AB148" s="29"/>
      <c r="AC148" s="31"/>
      <c r="AD148" s="29"/>
      <c r="AE148" s="29"/>
      <c r="AF148" s="29"/>
      <c r="AG148" s="31"/>
      <c r="AH148" s="29"/>
      <c r="AI148" s="32">
        <f>('Table001 (Page 1-6)'!V141)*100</f>
        <v>1.1599999999999999</v>
      </c>
      <c r="AJ148" s="35"/>
      <c r="AK148" s="35"/>
      <c r="AL148" s="35"/>
      <c r="AM148" s="35"/>
    </row>
    <row r="149" spans="2:39" x14ac:dyDescent="0.25">
      <c r="B149" s="37">
        <f>'Table001 (Page 1-6)'!A142</f>
        <v>2320.1</v>
      </c>
      <c r="C149" s="28" t="str">
        <f>'Table001 (Page 1-6)'!B142</f>
        <v>I-75</v>
      </c>
      <c r="D149" s="28" t="str">
        <f>'Table001 (Page 1-6)'!C142</f>
        <v>SR 326</v>
      </c>
      <c r="E149" s="28" t="str">
        <f>'Table001 (Page 1-6)'!D142</f>
        <v>URBAN AREA BOUNDARY</v>
      </c>
      <c r="F149" s="29">
        <f>'Table001 (Page 1-6)'!E142</f>
        <v>6</v>
      </c>
      <c r="G149" s="29">
        <f>'Table001 (Page 1-6)'!K142</f>
        <v>6</v>
      </c>
      <c r="H149" s="30" t="str">
        <f>'Table001 (Page 1-6)'!R142</f>
        <v>D</v>
      </c>
      <c r="I149" s="28" t="str">
        <f>'Table001 (Page 1-6)'!F142</f>
        <v>INTERSTATE</v>
      </c>
      <c r="J149" s="29"/>
      <c r="K149" s="29"/>
      <c r="L149" s="29">
        <f>'Table001 (Page 1-6)'!I142</f>
        <v>122800</v>
      </c>
      <c r="M149" s="29"/>
      <c r="N149" s="29">
        <f>'Table001 (Page 1-6)'!J142</f>
        <v>6080</v>
      </c>
      <c r="O149" s="29">
        <f>'Table001 (Page 1-6)'!L142</f>
        <v>122800</v>
      </c>
      <c r="P149" s="29"/>
      <c r="Q149" s="29">
        <f>'Table001 (Page 1-6)'!M142</f>
        <v>6080</v>
      </c>
      <c r="R149" s="29" t="str">
        <f>'Table001 (Page 1-6)'!S142</f>
        <v>69,400</v>
      </c>
      <c r="S149" s="31" t="str">
        <f>'Table001 (Page 1-6)'!T142</f>
        <v>0.57</v>
      </c>
      <c r="T149" s="29" t="str">
        <f>'Table001 (Page 1-6)'!U142</f>
        <v>B</v>
      </c>
      <c r="U149" s="29"/>
      <c r="V149" s="29"/>
      <c r="W149" s="29"/>
      <c r="X149" s="29"/>
      <c r="Y149" s="29"/>
      <c r="Z149" s="29"/>
      <c r="AA149" s="29"/>
      <c r="AB149" s="29"/>
      <c r="AC149" s="31"/>
      <c r="AD149" s="29"/>
      <c r="AE149" s="29"/>
      <c r="AF149" s="29"/>
      <c r="AG149" s="31"/>
      <c r="AH149" s="29"/>
      <c r="AI149" s="32">
        <f>('Table001 (Page 1-6)'!V142)*100</f>
        <v>1.25</v>
      </c>
      <c r="AJ149" s="35"/>
      <c r="AK149" s="35"/>
      <c r="AL149" s="35"/>
      <c r="AM149" s="35"/>
    </row>
    <row r="150" spans="2:39" x14ac:dyDescent="0.25">
      <c r="B150" s="37">
        <f>'Table001 (Page 1-6)'!A143</f>
        <v>2320.1999999999998</v>
      </c>
      <c r="C150" s="28" t="str">
        <f>'Table001 (Page 1-6)'!B143</f>
        <v>I-75</v>
      </c>
      <c r="D150" s="28" t="str">
        <f>'Table001 (Page 1-6)'!C143</f>
        <v>URBAN AREA BOUNDARY</v>
      </c>
      <c r="E150" s="28" t="str">
        <f>'Table001 (Page 1-6)'!D143</f>
        <v>CR 318</v>
      </c>
      <c r="F150" s="29">
        <f>'Table001 (Page 1-6)'!E143</f>
        <v>6</v>
      </c>
      <c r="G150" s="29">
        <f>'Table001 (Page 1-6)'!K143</f>
        <v>6</v>
      </c>
      <c r="H150" s="30" t="str">
        <f>'Table001 (Page 1-6)'!R143</f>
        <v>C</v>
      </c>
      <c r="I150" s="28" t="str">
        <f>'Table001 (Page 1-6)'!F143</f>
        <v>INTERSTATE</v>
      </c>
      <c r="J150" s="29"/>
      <c r="K150" s="29"/>
      <c r="L150" s="29">
        <f>'Table001 (Page 1-6)'!I143</f>
        <v>69000</v>
      </c>
      <c r="M150" s="29"/>
      <c r="N150" s="29">
        <f>'Table001 (Page 1-6)'!J143</f>
        <v>3990</v>
      </c>
      <c r="O150" s="29">
        <f>'Table001 (Page 1-6)'!L143</f>
        <v>69000</v>
      </c>
      <c r="P150" s="29"/>
      <c r="Q150" s="29">
        <f>'Table001 (Page 1-6)'!M143</f>
        <v>3990</v>
      </c>
      <c r="R150" s="29" t="str">
        <f>'Table001 (Page 1-6)'!S143</f>
        <v>69,400</v>
      </c>
      <c r="S150" s="31" t="str">
        <f>'Table001 (Page 1-6)'!T143</f>
        <v>1.01</v>
      </c>
      <c r="T150" s="29" t="str">
        <f>'Table001 (Page 1-6)'!U143</f>
        <v>D</v>
      </c>
      <c r="U150" s="29"/>
      <c r="V150" s="29"/>
      <c r="W150" s="29"/>
      <c r="X150" s="29"/>
      <c r="Y150" s="29"/>
      <c r="Z150" s="29"/>
      <c r="AA150" s="29"/>
      <c r="AB150" s="29"/>
      <c r="AC150" s="31"/>
      <c r="AD150" s="29"/>
      <c r="AE150" s="29"/>
      <c r="AF150" s="29"/>
      <c r="AG150" s="31"/>
      <c r="AH150" s="29"/>
      <c r="AI150" s="32">
        <f>('Table001 (Page 1-6)'!V143)*100</f>
        <v>1.25</v>
      </c>
      <c r="AJ150" s="35"/>
      <c r="AK150" s="35"/>
      <c r="AL150" s="35"/>
      <c r="AM150" s="35"/>
    </row>
    <row r="151" spans="2:39" x14ac:dyDescent="0.25">
      <c r="B151" s="37">
        <f>'Table001 (Page 1-6)'!A144</f>
        <v>2330</v>
      </c>
      <c r="C151" s="28" t="str">
        <f>'Table001 (Page 1-6)'!B144</f>
        <v>I-75</v>
      </c>
      <c r="D151" s="28" t="str">
        <f>'Table001 (Page 1-6)'!C144</f>
        <v>CR 318</v>
      </c>
      <c r="E151" s="28" t="str">
        <f>'Table001 (Page 1-6)'!D144</f>
        <v>COUNTY LINE (N)</v>
      </c>
      <c r="F151" s="29">
        <f>'Table001 (Page 1-6)'!E144</f>
        <v>6</v>
      </c>
      <c r="G151" s="29">
        <f>'Table001 (Page 1-6)'!K144</f>
        <v>6</v>
      </c>
      <c r="H151" s="30" t="str">
        <f>'Table001 (Page 1-6)'!R144</f>
        <v>C</v>
      </c>
      <c r="I151" s="28" t="str">
        <f>'Table001 (Page 1-6)'!F144</f>
        <v>INTERSTATE</v>
      </c>
      <c r="J151" s="29"/>
      <c r="K151" s="29"/>
      <c r="L151" s="29">
        <f>'Table001 (Page 1-6)'!I144</f>
        <v>69000</v>
      </c>
      <c r="M151" s="29"/>
      <c r="N151" s="29">
        <f>'Table001 (Page 1-6)'!J144</f>
        <v>3990</v>
      </c>
      <c r="O151" s="29">
        <f>'Table001 (Page 1-6)'!L144</f>
        <v>69000</v>
      </c>
      <c r="P151" s="29"/>
      <c r="Q151" s="29">
        <f>'Table001 (Page 1-6)'!M144</f>
        <v>3990</v>
      </c>
      <c r="R151" s="29" t="str">
        <f>'Table001 (Page 1-6)'!S144</f>
        <v>74,200</v>
      </c>
      <c r="S151" s="31" t="str">
        <f>'Table001 (Page 1-6)'!T144</f>
        <v>1.08</v>
      </c>
      <c r="T151" s="29" t="str">
        <f>'Table001 (Page 1-6)'!U144</f>
        <v>D</v>
      </c>
      <c r="U151" s="29"/>
      <c r="V151" s="29"/>
      <c r="W151" s="29"/>
      <c r="X151" s="29"/>
      <c r="Y151" s="29"/>
      <c r="Z151" s="29"/>
      <c r="AA151" s="29"/>
      <c r="AB151" s="29"/>
      <c r="AC151" s="31"/>
      <c r="AD151" s="29"/>
      <c r="AE151" s="29"/>
      <c r="AF151" s="29"/>
      <c r="AG151" s="31"/>
      <c r="AH151" s="29"/>
      <c r="AI151" s="32">
        <f>('Table001 (Page 1-6)'!V144)*100</f>
        <v>2.41</v>
      </c>
      <c r="AJ151" s="35"/>
      <c r="AK151" s="35"/>
      <c r="AL151" s="35"/>
      <c r="AM151" s="35"/>
    </row>
    <row r="152" spans="2:39" x14ac:dyDescent="0.25">
      <c r="B152" s="37">
        <f>'Table001 (Page 1-6)'!A145</f>
        <v>2340.1</v>
      </c>
      <c r="C152" s="28" t="str">
        <f>'Table001 (Page 1-6)'!B145</f>
        <v>CR 200A</v>
      </c>
      <c r="D152" s="28" t="str">
        <f>'Table001 (Page 1-6)'!C145</f>
        <v>NE 20 ST</v>
      </c>
      <c r="E152" s="28" t="str">
        <f>'Table001 (Page 1-6)'!D145</f>
        <v>NE 8 AV</v>
      </c>
      <c r="F152" s="29">
        <f>'Table001 (Page 1-6)'!E145</f>
        <v>4</v>
      </c>
      <c r="G152" s="29">
        <f>'Table001 (Page 1-6)'!K145</f>
        <v>4</v>
      </c>
      <c r="H152" s="30" t="str">
        <f>'Table001 (Page 1-6)'!R145</f>
        <v>E</v>
      </c>
      <c r="I152" s="28" t="str">
        <f>'Table001 (Page 1-6)'!F145</f>
        <v>ARTERIAL</v>
      </c>
      <c r="J152" s="29"/>
      <c r="K152" s="29"/>
      <c r="L152" s="29">
        <f>'Table001 (Page 1-6)'!I145</f>
        <v>30420</v>
      </c>
      <c r="M152" s="29"/>
      <c r="N152" s="29">
        <f>'Table001 (Page 1-6)'!J145</f>
        <v>1530</v>
      </c>
      <c r="O152" s="29">
        <f>'Table001 (Page 1-6)'!L145</f>
        <v>30420</v>
      </c>
      <c r="P152" s="29"/>
      <c r="Q152" s="29">
        <f>'Table001 (Page 1-6)'!M145</f>
        <v>1530</v>
      </c>
      <c r="R152" s="29" t="str">
        <f>'Table001 (Page 1-6)'!S145</f>
        <v>9,100</v>
      </c>
      <c r="S152" s="31" t="str">
        <f>'Table001 (Page 1-6)'!T145</f>
        <v>0.3</v>
      </c>
      <c r="T152" s="29" t="str">
        <f>'Table001 (Page 1-6)'!U145</f>
        <v>C</v>
      </c>
      <c r="U152" s="29"/>
      <c r="V152" s="29"/>
      <c r="W152" s="29"/>
      <c r="X152" s="29"/>
      <c r="Y152" s="29"/>
      <c r="Z152" s="29"/>
      <c r="AA152" s="29"/>
      <c r="AB152" s="29"/>
      <c r="AC152" s="31"/>
      <c r="AD152" s="29"/>
      <c r="AE152" s="29"/>
      <c r="AF152" s="29"/>
      <c r="AG152" s="31"/>
      <c r="AH152" s="29"/>
      <c r="AI152" s="32">
        <f>('Table001 (Page 1-6)'!V145)*100</f>
        <v>1</v>
      </c>
      <c r="AJ152" s="35"/>
      <c r="AK152" s="35"/>
      <c r="AL152" s="35"/>
      <c r="AM152" s="35"/>
    </row>
    <row r="153" spans="2:39" x14ac:dyDescent="0.25">
      <c r="B153" s="37">
        <f>'Table001 (Page 1-6)'!A146</f>
        <v>2350</v>
      </c>
      <c r="C153" s="28" t="str">
        <f>'Table001 (Page 1-6)'!B146</f>
        <v>CR 200A / JACKSONVILLE RD</v>
      </c>
      <c r="D153" s="28" t="str">
        <f>'Table001 (Page 1-6)'!C146</f>
        <v>NE 8 AV</v>
      </c>
      <c r="E153" s="28" t="str">
        <f>'Table001 (Page 1-6)'!D146</f>
        <v>NE 28 ST</v>
      </c>
      <c r="F153" s="29">
        <f>'Table001 (Page 1-6)'!E146</f>
        <v>4</v>
      </c>
      <c r="G153" s="29">
        <f>'Table001 (Page 1-6)'!K146</f>
        <v>4</v>
      </c>
      <c r="H153" s="30" t="str">
        <f>'Table001 (Page 1-6)'!R146</f>
        <v>E</v>
      </c>
      <c r="I153" s="28" t="str">
        <f>'Table001 (Page 1-6)'!F146</f>
        <v>ARTERIAL</v>
      </c>
      <c r="J153" s="29"/>
      <c r="K153" s="29"/>
      <c r="L153" s="29">
        <f>'Table001 (Page 1-6)'!I146</f>
        <v>37611</v>
      </c>
      <c r="M153" s="29"/>
      <c r="N153" s="29">
        <f>'Table001 (Page 1-6)'!J146</f>
        <v>1890</v>
      </c>
      <c r="O153" s="29">
        <f>'Table001 (Page 1-6)'!L146</f>
        <v>37611</v>
      </c>
      <c r="P153" s="29"/>
      <c r="Q153" s="29">
        <f>'Table001 (Page 1-6)'!M146</f>
        <v>1890</v>
      </c>
      <c r="R153" s="29" t="str">
        <f>'Table001 (Page 1-6)'!S146</f>
        <v>11,200</v>
      </c>
      <c r="S153" s="31" t="str">
        <f>'Table001 (Page 1-6)'!T146</f>
        <v>0.3</v>
      </c>
      <c r="T153" s="29" t="str">
        <f>'Table001 (Page 1-6)'!U146</f>
        <v>C</v>
      </c>
      <c r="U153" s="29"/>
      <c r="V153" s="29"/>
      <c r="W153" s="29"/>
      <c r="X153" s="29"/>
      <c r="Y153" s="29"/>
      <c r="Z153" s="29"/>
      <c r="AA153" s="29"/>
      <c r="AB153" s="29"/>
      <c r="AC153" s="31"/>
      <c r="AD153" s="29"/>
      <c r="AE153" s="29"/>
      <c r="AF153" s="29"/>
      <c r="AG153" s="31"/>
      <c r="AH153" s="29"/>
      <c r="AI153" s="32">
        <f>('Table001 (Page 1-6)'!V146)*100</f>
        <v>5.6099999999999994</v>
      </c>
      <c r="AJ153" s="35"/>
      <c r="AK153" s="35"/>
      <c r="AL153" s="35"/>
      <c r="AM153" s="35"/>
    </row>
    <row r="154" spans="2:39" x14ac:dyDescent="0.25">
      <c r="B154" s="37">
        <f>'Table001 (Page 1-6)'!A147</f>
        <v>2360</v>
      </c>
      <c r="C154" s="28" t="str">
        <f>'Table001 (Page 1-6)'!B147</f>
        <v>CR 200A / JACKSONVILLE RD</v>
      </c>
      <c r="D154" s="28" t="str">
        <f>'Table001 (Page 1-6)'!C147</f>
        <v>NE 28 ST</v>
      </c>
      <c r="E154" s="28" t="str">
        <f>'Table001 (Page 1-6)'!D147</f>
        <v>NE 35 ST</v>
      </c>
      <c r="F154" s="29">
        <f>'Table001 (Page 1-6)'!E147</f>
        <v>4</v>
      </c>
      <c r="G154" s="29">
        <f>'Table001 (Page 1-6)'!K147</f>
        <v>4</v>
      </c>
      <c r="H154" s="30" t="str">
        <f>'Table001 (Page 1-6)'!R147</f>
        <v>E</v>
      </c>
      <c r="I154" s="28" t="str">
        <f>'Table001 (Page 1-6)'!F147</f>
        <v>ARTERIAL</v>
      </c>
      <c r="J154" s="29"/>
      <c r="K154" s="29"/>
      <c r="L154" s="29">
        <f>'Table001 (Page 1-6)'!I147</f>
        <v>35820</v>
      </c>
      <c r="M154" s="29"/>
      <c r="N154" s="29">
        <f>'Table001 (Page 1-6)'!J147</f>
        <v>1800</v>
      </c>
      <c r="O154" s="29">
        <f>'Table001 (Page 1-6)'!L147</f>
        <v>35820</v>
      </c>
      <c r="P154" s="29"/>
      <c r="Q154" s="29">
        <f>'Table001 (Page 1-6)'!M147</f>
        <v>1800</v>
      </c>
      <c r="R154" s="29" t="str">
        <f>'Table001 (Page 1-6)'!S147</f>
        <v>10,700</v>
      </c>
      <c r="S154" s="31" t="str">
        <f>'Table001 (Page 1-6)'!T147</f>
        <v>0.3</v>
      </c>
      <c r="T154" s="29" t="str">
        <f>'Table001 (Page 1-6)'!U147</f>
        <v>C</v>
      </c>
      <c r="U154" s="29"/>
      <c r="V154" s="29"/>
      <c r="W154" s="29"/>
      <c r="X154" s="29"/>
      <c r="Y154" s="29"/>
      <c r="Z154" s="29"/>
      <c r="AA154" s="29"/>
      <c r="AB154" s="29"/>
      <c r="AC154" s="31"/>
      <c r="AD154" s="29"/>
      <c r="AE154" s="29"/>
      <c r="AF154" s="29"/>
      <c r="AG154" s="31"/>
      <c r="AH154" s="29"/>
      <c r="AI154" s="32">
        <f>('Table001 (Page 1-6)'!V147)*100</f>
        <v>1</v>
      </c>
      <c r="AJ154" s="35"/>
      <c r="AK154" s="35"/>
      <c r="AL154" s="35"/>
      <c r="AM154" s="35"/>
    </row>
    <row r="155" spans="2:39" x14ac:dyDescent="0.25">
      <c r="B155" s="37">
        <f>'Table001 (Page 1-6)'!A148</f>
        <v>2370</v>
      </c>
      <c r="C155" s="28" t="str">
        <f>'Table001 (Page 1-6)'!B148</f>
        <v>CR 200A / JACKSONVILLE RD</v>
      </c>
      <c r="D155" s="28" t="str">
        <f>'Table001 (Page 1-6)'!C148</f>
        <v>NW 35 ST</v>
      </c>
      <c r="E155" s="28" t="str">
        <f>'Table001 (Page 1-6)'!D148</f>
        <v>NE 49 ST</v>
      </c>
      <c r="F155" s="29">
        <f>'Table001 (Page 1-6)'!E148</f>
        <v>2</v>
      </c>
      <c r="G155" s="29">
        <f>'Table001 (Page 1-6)'!K148</f>
        <v>2</v>
      </c>
      <c r="H155" s="30" t="str">
        <f>'Table001 (Page 1-6)'!R148</f>
        <v>E</v>
      </c>
      <c r="I155" s="28" t="str">
        <f>'Table001 (Page 1-6)'!F148</f>
        <v>ARTERIAL</v>
      </c>
      <c r="J155" s="29"/>
      <c r="K155" s="29"/>
      <c r="L155" s="29">
        <f>'Table001 (Page 1-6)'!I148</f>
        <v>12744</v>
      </c>
      <c r="M155" s="29"/>
      <c r="N155" s="29">
        <f>'Table001 (Page 1-6)'!J148</f>
        <v>634</v>
      </c>
      <c r="O155" s="29">
        <f>'Table001 (Page 1-6)'!L148</f>
        <v>12744</v>
      </c>
      <c r="P155" s="29"/>
      <c r="Q155" s="29">
        <f>'Table001 (Page 1-6)'!M148</f>
        <v>634</v>
      </c>
      <c r="R155" s="29" t="str">
        <f>'Table001 (Page 1-6)'!S148</f>
        <v>9,500</v>
      </c>
      <c r="S155" s="31" t="str">
        <f>'Table001 (Page 1-6)'!T148</f>
        <v>0.75</v>
      </c>
      <c r="T155" s="29" t="str">
        <f>'Table001 (Page 1-6)'!U148</f>
        <v>C</v>
      </c>
      <c r="U155" s="29"/>
      <c r="V155" s="29"/>
      <c r="W155" s="29"/>
      <c r="X155" s="29"/>
      <c r="Y155" s="29"/>
      <c r="Z155" s="29"/>
      <c r="AA155" s="29"/>
      <c r="AB155" s="29"/>
      <c r="AC155" s="31"/>
      <c r="AD155" s="29"/>
      <c r="AE155" s="29"/>
      <c r="AF155" s="29"/>
      <c r="AG155" s="31"/>
      <c r="AH155" s="29"/>
      <c r="AI155" s="32">
        <f>('Table001 (Page 1-6)'!V148)*100</f>
        <v>1.5599999999999998</v>
      </c>
      <c r="AJ155" s="35"/>
      <c r="AK155" s="35"/>
      <c r="AL155" s="35"/>
      <c r="AM155" s="35"/>
    </row>
    <row r="156" spans="2:39" x14ac:dyDescent="0.25">
      <c r="B156" s="37">
        <f>'Table001 (Page 1-6)'!A149</f>
        <v>2380</v>
      </c>
      <c r="C156" s="28" t="str">
        <f>'Table001 (Page 1-6)'!B149</f>
        <v>CR 200A / JACKSONVILLE RD</v>
      </c>
      <c r="D156" s="28" t="str">
        <f>'Table001 (Page 1-6)'!C149</f>
        <v>NE 49 ST</v>
      </c>
      <c r="E156" s="28" t="str">
        <f>'Table001 (Page 1-6)'!D149</f>
        <v>SR 326</v>
      </c>
      <c r="F156" s="29">
        <f>'Table001 (Page 1-6)'!E149</f>
        <v>2</v>
      </c>
      <c r="G156" s="29">
        <f>'Table001 (Page 1-6)'!K149</f>
        <v>2</v>
      </c>
      <c r="H156" s="30" t="str">
        <f>'Table001 (Page 1-6)'!R149</f>
        <v>E</v>
      </c>
      <c r="I156" s="28" t="str">
        <f>'Table001 (Page 1-6)'!F149</f>
        <v>ARTERIAL</v>
      </c>
      <c r="J156" s="29"/>
      <c r="K156" s="29"/>
      <c r="L156" s="29">
        <f>'Table001 (Page 1-6)'!I149</f>
        <v>12744</v>
      </c>
      <c r="M156" s="29"/>
      <c r="N156" s="29">
        <f>'Table001 (Page 1-6)'!J149</f>
        <v>634</v>
      </c>
      <c r="O156" s="29">
        <f>'Table001 (Page 1-6)'!L149</f>
        <v>12744</v>
      </c>
      <c r="P156" s="29"/>
      <c r="Q156" s="29">
        <f>'Table001 (Page 1-6)'!M149</f>
        <v>634</v>
      </c>
      <c r="R156" s="29" t="str">
        <f>'Table001 (Page 1-6)'!S149</f>
        <v>7,900</v>
      </c>
      <c r="S156" s="31" t="str">
        <f>'Table001 (Page 1-6)'!T149</f>
        <v>0.62</v>
      </c>
      <c r="T156" s="29" t="str">
        <f>'Table001 (Page 1-6)'!U149</f>
        <v>C</v>
      </c>
      <c r="U156" s="29"/>
      <c r="V156" s="29"/>
      <c r="W156" s="29"/>
      <c r="X156" s="29"/>
      <c r="Y156" s="29"/>
      <c r="Z156" s="29"/>
      <c r="AA156" s="29"/>
      <c r="AB156" s="29"/>
      <c r="AC156" s="31"/>
      <c r="AD156" s="29"/>
      <c r="AE156" s="29"/>
      <c r="AF156" s="29"/>
      <c r="AG156" s="31"/>
      <c r="AH156" s="29"/>
      <c r="AI156" s="32">
        <f>('Table001 (Page 1-6)'!V149)*100</f>
        <v>1</v>
      </c>
      <c r="AJ156" s="35"/>
      <c r="AK156" s="35"/>
      <c r="AL156" s="35"/>
      <c r="AM156" s="35"/>
    </row>
    <row r="157" spans="2:39" x14ac:dyDescent="0.25">
      <c r="B157" s="37">
        <f>'Table001 (Page 1-6)'!A150</f>
        <v>2390</v>
      </c>
      <c r="C157" s="28" t="str">
        <f>'Table001 (Page 1-6)'!B150</f>
        <v>CR 200A / JACKSONVILLE RD</v>
      </c>
      <c r="D157" s="28" t="str">
        <f>'Table001 (Page 1-6)'!C150</f>
        <v>SR 326</v>
      </c>
      <c r="E157" s="28" t="str">
        <f>'Table001 (Page 1-6)'!D150</f>
        <v>URBAN AREA BOUNDARY</v>
      </c>
      <c r="F157" s="29">
        <f>'Table001 (Page 1-6)'!E150</f>
        <v>2</v>
      </c>
      <c r="G157" s="29">
        <f>'Table001 (Page 1-6)'!K150</f>
        <v>2</v>
      </c>
      <c r="H157" s="30" t="str">
        <f>'Table001 (Page 1-6)'!R150</f>
        <v>E</v>
      </c>
      <c r="I157" s="28" t="str">
        <f>'Table001 (Page 1-6)'!F150</f>
        <v>ARTERIAL</v>
      </c>
      <c r="J157" s="29"/>
      <c r="K157" s="29"/>
      <c r="L157" s="29">
        <f>'Table001 (Page 1-6)'!I150</f>
        <v>29340</v>
      </c>
      <c r="M157" s="29"/>
      <c r="N157" s="29">
        <f>'Table001 (Page 1-6)'!J150</f>
        <v>1449</v>
      </c>
      <c r="O157" s="29">
        <f>'Table001 (Page 1-6)'!L150</f>
        <v>29340</v>
      </c>
      <c r="P157" s="29"/>
      <c r="Q157" s="29">
        <f>'Table001 (Page 1-6)'!M150</f>
        <v>1449</v>
      </c>
      <c r="R157" s="29" t="str">
        <f>'Table001 (Page 1-6)'!S150</f>
        <v>10,100</v>
      </c>
      <c r="S157" s="31" t="str">
        <f>'Table001 (Page 1-6)'!T150</f>
        <v>0.34</v>
      </c>
      <c r="T157" s="29" t="str">
        <f>'Table001 (Page 1-6)'!U150</f>
        <v>B</v>
      </c>
      <c r="U157" s="29"/>
      <c r="V157" s="29"/>
      <c r="W157" s="29"/>
      <c r="X157" s="29"/>
      <c r="Y157" s="29"/>
      <c r="Z157" s="29"/>
      <c r="AA157" s="29"/>
      <c r="AB157" s="29"/>
      <c r="AC157" s="31"/>
      <c r="AD157" s="29"/>
      <c r="AE157" s="29"/>
      <c r="AF157" s="29"/>
      <c r="AG157" s="31"/>
      <c r="AH157" s="29"/>
      <c r="AI157" s="32">
        <f>('Table001 (Page 1-6)'!V150)*100</f>
        <v>1</v>
      </c>
      <c r="AJ157" s="35"/>
      <c r="AK157" s="35"/>
      <c r="AL157" s="35"/>
      <c r="AM157" s="35"/>
    </row>
    <row r="158" spans="2:39" x14ac:dyDescent="0.25">
      <c r="B158" s="37">
        <f>'Table001 (Page 1-6)'!A151</f>
        <v>2400.3000000000002</v>
      </c>
      <c r="C158" s="28" t="str">
        <f>'Table001 (Page 1-6)'!B151</f>
        <v>CR 200A / JACKSONVILLE RD</v>
      </c>
      <c r="D158" s="28" t="str">
        <f>'Table001 (Page 1-6)'!C151</f>
        <v>URBAN AREA BOUNDARY</v>
      </c>
      <c r="E158" s="28" t="str">
        <f>'Table001 (Page 1-6)'!D151</f>
        <v>NE 101 ST</v>
      </c>
      <c r="F158" s="29">
        <f>'Table001 (Page 1-6)'!E151</f>
        <v>2</v>
      </c>
      <c r="G158" s="29">
        <f>'Table001 (Page 1-6)'!K151</f>
        <v>2</v>
      </c>
      <c r="H158" s="30" t="str">
        <f>'Table001 (Page 1-6)'!R151</f>
        <v>D</v>
      </c>
      <c r="I158" s="28" t="str">
        <f>'Table001 (Page 1-6)'!F151</f>
        <v>ARTERIAL</v>
      </c>
      <c r="J158" s="29"/>
      <c r="K158" s="29"/>
      <c r="L158" s="29">
        <f>'Table001 (Page 1-6)'!I151</f>
        <v>19170</v>
      </c>
      <c r="M158" s="29"/>
      <c r="N158" s="29">
        <f>'Table001 (Page 1-6)'!J151</f>
        <v>999</v>
      </c>
      <c r="O158" s="29">
        <f>'Table001 (Page 1-6)'!L151</f>
        <v>19170</v>
      </c>
      <c r="P158" s="29"/>
      <c r="Q158" s="29">
        <f>'Table001 (Page 1-6)'!M151</f>
        <v>999</v>
      </c>
      <c r="R158" s="29" t="str">
        <f>'Table001 (Page 1-6)'!S151</f>
        <v>6,900</v>
      </c>
      <c r="S158" s="31" t="str">
        <f>'Table001 (Page 1-6)'!T151</f>
        <v>0.36</v>
      </c>
      <c r="T158" s="29" t="str">
        <f>'Table001 (Page 1-6)'!U151</f>
        <v>B</v>
      </c>
      <c r="U158" s="29"/>
      <c r="V158" s="29"/>
      <c r="W158" s="29"/>
      <c r="X158" s="29"/>
      <c r="Y158" s="29"/>
      <c r="Z158" s="29"/>
      <c r="AA158" s="29"/>
      <c r="AB158" s="29"/>
      <c r="AC158" s="31"/>
      <c r="AD158" s="29"/>
      <c r="AE158" s="29"/>
      <c r="AF158" s="29"/>
      <c r="AG158" s="31"/>
      <c r="AH158" s="29"/>
      <c r="AI158" s="32">
        <f>('Table001 (Page 1-6)'!V151)*100</f>
        <v>4.1000000000000005</v>
      </c>
      <c r="AJ158" s="35"/>
      <c r="AK158" s="35"/>
      <c r="AL158" s="35"/>
      <c r="AM158" s="35"/>
    </row>
    <row r="159" spans="2:39" x14ac:dyDescent="0.25">
      <c r="B159" s="37">
        <f>'Table001 (Page 1-6)'!A152</f>
        <v>2410</v>
      </c>
      <c r="C159" s="28" t="str">
        <f>'Table001 (Page 1-6)'!B152</f>
        <v>CR 200A / JACKSONVILLE RD</v>
      </c>
      <c r="D159" s="28" t="str">
        <f>'Table001 (Page 1-6)'!C152</f>
        <v>NE 101 ST</v>
      </c>
      <c r="E159" s="28" t="str">
        <f>'Table001 (Page 1-6)'!D152</f>
        <v>US 301</v>
      </c>
      <c r="F159" s="29">
        <f>'Table001 (Page 1-6)'!E152</f>
        <v>2</v>
      </c>
      <c r="G159" s="29">
        <f>'Table001 (Page 1-6)'!K152</f>
        <v>2</v>
      </c>
      <c r="H159" s="30" t="str">
        <f>'Table001 (Page 1-6)'!R152</f>
        <v>D</v>
      </c>
      <c r="I159" s="28" t="str">
        <f>'Table001 (Page 1-6)'!F152</f>
        <v>ARTERIAL</v>
      </c>
      <c r="J159" s="29"/>
      <c r="K159" s="29"/>
      <c r="L159" s="29">
        <f>'Table001 (Page 1-6)'!I152</f>
        <v>19170</v>
      </c>
      <c r="M159" s="29"/>
      <c r="N159" s="29">
        <f>'Table001 (Page 1-6)'!J152</f>
        <v>999</v>
      </c>
      <c r="O159" s="29">
        <f>'Table001 (Page 1-6)'!L152</f>
        <v>19170</v>
      </c>
      <c r="P159" s="29"/>
      <c r="Q159" s="29">
        <f>'Table001 (Page 1-6)'!M152</f>
        <v>999</v>
      </c>
      <c r="R159" s="29" t="str">
        <f>'Table001 (Page 1-6)'!S152</f>
        <v>5,700</v>
      </c>
      <c r="S159" s="31" t="str">
        <f>'Table001 (Page 1-6)'!T152</f>
        <v>0.3</v>
      </c>
      <c r="T159" s="29" t="str">
        <f>'Table001 (Page 1-6)'!U152</f>
        <v>B</v>
      </c>
      <c r="U159" s="29"/>
      <c r="V159" s="29"/>
      <c r="W159" s="29"/>
      <c r="X159" s="29"/>
      <c r="Y159" s="29"/>
      <c r="Z159" s="29"/>
      <c r="AA159" s="29"/>
      <c r="AB159" s="29"/>
      <c r="AC159" s="31"/>
      <c r="AD159" s="29"/>
      <c r="AE159" s="29"/>
      <c r="AF159" s="29"/>
      <c r="AG159" s="31"/>
      <c r="AH159" s="29"/>
      <c r="AI159" s="32">
        <f>('Table001 (Page 1-6)'!V152)*100</f>
        <v>1</v>
      </c>
      <c r="AJ159" s="35"/>
      <c r="AK159" s="35"/>
      <c r="AL159" s="35"/>
      <c r="AM159" s="35"/>
    </row>
    <row r="160" spans="2:39" x14ac:dyDescent="0.25">
      <c r="B160" s="37">
        <f>'Table001 (Page 1-6)'!A153</f>
        <v>2420</v>
      </c>
      <c r="C160" s="28" t="str">
        <f>'Table001 (Page 1-6)'!B153</f>
        <v>MAGNOLIA AV N</v>
      </c>
      <c r="D160" s="28" t="str">
        <f>'Table001 (Page 1-6)'!C153</f>
        <v>NE 1 AV</v>
      </c>
      <c r="E160" s="28" t="str">
        <f>'Table001 (Page 1-6)'!D153</f>
        <v>SR 492</v>
      </c>
      <c r="F160" s="29">
        <f>'Table001 (Page 1-6)'!E153</f>
        <v>2</v>
      </c>
      <c r="G160" s="29">
        <f>'Table001 (Page 1-6)'!K153</f>
        <v>2</v>
      </c>
      <c r="H160" s="30" t="str">
        <f>'Table001 (Page 1-6)'!R153</f>
        <v>E</v>
      </c>
      <c r="I160" s="28" t="str">
        <f>'Table001 (Page 1-6)'!F153</f>
        <v>COLLECTOR</v>
      </c>
      <c r="J160" s="29"/>
      <c r="K160" s="29"/>
      <c r="L160" s="29">
        <f>'Table001 (Page 1-6)'!I153</f>
        <v>14742</v>
      </c>
      <c r="M160" s="29"/>
      <c r="N160" s="29">
        <f>'Table001 (Page 1-6)'!J153</f>
        <v>756</v>
      </c>
      <c r="O160" s="29">
        <f>'Table001 (Page 1-6)'!L153</f>
        <v>14742</v>
      </c>
      <c r="P160" s="29"/>
      <c r="Q160" s="29">
        <f>'Table001 (Page 1-6)'!M153</f>
        <v>756</v>
      </c>
      <c r="R160" s="29" t="str">
        <f>'Table001 (Page 1-6)'!S153</f>
        <v>3,600</v>
      </c>
      <c r="S160" s="31" t="str">
        <f>'Table001 (Page 1-6)'!T153</f>
        <v>0.24</v>
      </c>
      <c r="T160" s="29" t="str">
        <f>'Table001 (Page 1-6)'!U153</f>
        <v>C</v>
      </c>
      <c r="U160" s="29"/>
      <c r="V160" s="29"/>
      <c r="W160" s="29"/>
      <c r="X160" s="29"/>
      <c r="Y160" s="29"/>
      <c r="Z160" s="29"/>
      <c r="AA160" s="29"/>
      <c r="AB160" s="29"/>
      <c r="AC160" s="31"/>
      <c r="AD160" s="29"/>
      <c r="AE160" s="29"/>
      <c r="AF160" s="29"/>
      <c r="AG160" s="31"/>
      <c r="AH160" s="29"/>
      <c r="AI160" s="32">
        <f>('Table001 (Page 1-6)'!V153)*100</f>
        <v>1</v>
      </c>
      <c r="AJ160" s="35"/>
      <c r="AK160" s="35"/>
      <c r="AL160" s="35"/>
      <c r="AM160" s="35"/>
    </row>
    <row r="161" spans="2:39" x14ac:dyDescent="0.25">
      <c r="B161" s="37">
        <f>'Table001 (Page 1-6)'!A154</f>
        <v>2430</v>
      </c>
      <c r="C161" s="28" t="str">
        <f>'Table001 (Page 1-6)'!B154</f>
        <v>MAGNOLIA AV N</v>
      </c>
      <c r="D161" s="28" t="str">
        <f>'Table001 (Page 1-6)'!C154</f>
        <v>SR 492</v>
      </c>
      <c r="E161" s="28" t="str">
        <f>'Table001 (Page 1-6)'!D154</f>
        <v>NE JACKSONVILLE RD</v>
      </c>
      <c r="F161" s="29">
        <f>'Table001 (Page 1-6)'!E154</f>
        <v>2</v>
      </c>
      <c r="G161" s="29">
        <f>'Table001 (Page 1-6)'!K154</f>
        <v>2</v>
      </c>
      <c r="H161" s="30" t="str">
        <f>'Table001 (Page 1-6)'!R154</f>
        <v>E</v>
      </c>
      <c r="I161" s="28" t="str">
        <f>'Table001 (Page 1-6)'!F154</f>
        <v>COLLECTOR</v>
      </c>
      <c r="J161" s="29"/>
      <c r="K161" s="29"/>
      <c r="L161" s="29">
        <f>'Table001 (Page 1-6)'!I154</f>
        <v>15479</v>
      </c>
      <c r="M161" s="29"/>
      <c r="N161" s="29">
        <f>'Table001 (Page 1-6)'!J154</f>
        <v>794</v>
      </c>
      <c r="O161" s="29">
        <f>'Table001 (Page 1-6)'!L154</f>
        <v>15479</v>
      </c>
      <c r="P161" s="29"/>
      <c r="Q161" s="29">
        <f>'Table001 (Page 1-6)'!M154</f>
        <v>794</v>
      </c>
      <c r="R161" s="29" t="str">
        <f>'Table001 (Page 1-6)'!S154</f>
        <v>4,000</v>
      </c>
      <c r="S161" s="31" t="str">
        <f>'Table001 (Page 1-6)'!T154</f>
        <v>0.26</v>
      </c>
      <c r="T161" s="29" t="str">
        <f>'Table001 (Page 1-6)'!U154</f>
        <v>C</v>
      </c>
      <c r="U161" s="29"/>
      <c r="V161" s="29"/>
      <c r="W161" s="29"/>
      <c r="X161" s="29"/>
      <c r="Y161" s="29"/>
      <c r="Z161" s="29"/>
      <c r="AA161" s="29"/>
      <c r="AB161" s="29"/>
      <c r="AC161" s="31"/>
      <c r="AD161" s="29"/>
      <c r="AE161" s="29"/>
      <c r="AF161" s="29"/>
      <c r="AG161" s="31"/>
      <c r="AH161" s="29"/>
      <c r="AI161" s="32">
        <f>('Table001 (Page 1-6)'!V154)*100</f>
        <v>3.6700000000000004</v>
      </c>
      <c r="AJ161" s="35"/>
      <c r="AK161" s="35"/>
      <c r="AL161" s="35"/>
      <c r="AM161" s="35"/>
    </row>
    <row r="162" spans="2:39" x14ac:dyDescent="0.25">
      <c r="B162" s="37">
        <f>'Table001 (Page 1-6)'!A155</f>
        <v>2450</v>
      </c>
      <c r="C162" s="28" t="str">
        <f>'Table001 (Page 1-6)'!B155</f>
        <v>MAGNOLIA AV N</v>
      </c>
      <c r="D162" s="28" t="str">
        <f>'Table001 (Page 1-6)'!C155</f>
        <v>NE JACKSONVILLE RD</v>
      </c>
      <c r="E162" s="28" t="str">
        <f>'Table001 (Page 1-6)'!D155</f>
        <v>CR 200A</v>
      </c>
      <c r="F162" s="29">
        <f>'Table001 (Page 1-6)'!E155</f>
        <v>2</v>
      </c>
      <c r="G162" s="29">
        <f>'Table001 (Page 1-6)'!K155</f>
        <v>2</v>
      </c>
      <c r="H162" s="30" t="str">
        <f>'Table001 (Page 1-6)'!R155</f>
        <v>E</v>
      </c>
      <c r="I162" s="28" t="str">
        <f>'Table001 (Page 1-6)'!F155</f>
        <v>COLLECTOR</v>
      </c>
      <c r="J162" s="29"/>
      <c r="K162" s="29"/>
      <c r="L162" s="29">
        <f>'Table001 (Page 1-6)'!I155</f>
        <v>14742</v>
      </c>
      <c r="M162" s="29"/>
      <c r="N162" s="29">
        <f>'Table001 (Page 1-6)'!J155</f>
        <v>756</v>
      </c>
      <c r="O162" s="29">
        <f>'Table001 (Page 1-6)'!L155</f>
        <v>14742</v>
      </c>
      <c r="P162" s="29"/>
      <c r="Q162" s="29">
        <f>'Table001 (Page 1-6)'!M155</f>
        <v>756</v>
      </c>
      <c r="R162" s="29" t="str">
        <f>'Table001 (Page 1-6)'!S155</f>
        <v>1,100</v>
      </c>
      <c r="S162" s="31" t="str">
        <f>'Table001 (Page 1-6)'!T155</f>
        <v>0.1</v>
      </c>
      <c r="T162" s="29" t="str">
        <f>'Table001 (Page 1-6)'!U155</f>
        <v>C</v>
      </c>
      <c r="U162" s="29"/>
      <c r="V162" s="29"/>
      <c r="W162" s="29"/>
      <c r="X162" s="29"/>
      <c r="Y162" s="29"/>
      <c r="Z162" s="29"/>
      <c r="AA162" s="29"/>
      <c r="AB162" s="29"/>
      <c r="AC162" s="31"/>
      <c r="AD162" s="29"/>
      <c r="AE162" s="29"/>
      <c r="AF162" s="29"/>
      <c r="AG162" s="31"/>
      <c r="AH162" s="29"/>
      <c r="AI162" s="32">
        <f>('Table001 (Page 1-6)'!V155)*100</f>
        <v>1</v>
      </c>
      <c r="AJ162" s="35"/>
      <c r="AK162" s="35"/>
      <c r="AL162" s="35"/>
      <c r="AM162" s="35"/>
    </row>
    <row r="163" spans="2:39" x14ac:dyDescent="0.25">
      <c r="B163" s="37">
        <f>'Table001 (Page 1-6)'!A156</f>
        <v>2460</v>
      </c>
      <c r="C163" s="28" t="str">
        <f>'Table001 (Page 1-6)'!B156</f>
        <v>MAGNOLIA AV N</v>
      </c>
      <c r="D163" s="28" t="str">
        <f>'Table001 (Page 1-6)'!C156</f>
        <v>CR 200A</v>
      </c>
      <c r="E163" s="28" t="str">
        <f>'Table001 (Page 1-6)'!D156</f>
        <v>US 441</v>
      </c>
      <c r="F163" s="29">
        <f>'Table001 (Page 1-6)'!E156</f>
        <v>2</v>
      </c>
      <c r="G163" s="29">
        <f>'Table001 (Page 1-6)'!K156</f>
        <v>2</v>
      </c>
      <c r="H163" s="30" t="str">
        <f>'Table001 (Page 1-6)'!R156</f>
        <v>E</v>
      </c>
      <c r="I163" s="28" t="str">
        <f>'Table001 (Page 1-6)'!F156</f>
        <v>COLLECTOR</v>
      </c>
      <c r="J163" s="29"/>
      <c r="K163" s="29"/>
      <c r="L163" s="29">
        <f>'Table001 (Page 1-6)'!I156</f>
        <v>11232</v>
      </c>
      <c r="M163" s="29"/>
      <c r="N163" s="29">
        <f>'Table001 (Page 1-6)'!J156</f>
        <v>576</v>
      </c>
      <c r="O163" s="29">
        <f>'Table001 (Page 1-6)'!L156</f>
        <v>11232</v>
      </c>
      <c r="P163" s="29"/>
      <c r="Q163" s="29">
        <f>'Table001 (Page 1-6)'!M156</f>
        <v>576</v>
      </c>
      <c r="R163" s="29" t="str">
        <f>'Table001 (Page 1-6)'!S156</f>
        <v>1,100</v>
      </c>
      <c r="S163" s="31" t="str">
        <f>'Table001 (Page 1-6)'!T156</f>
        <v>0.1</v>
      </c>
      <c r="T163" s="29" t="str">
        <f>'Table001 (Page 1-6)'!U156</f>
        <v>C</v>
      </c>
      <c r="U163" s="29"/>
      <c r="V163" s="29"/>
      <c r="W163" s="29"/>
      <c r="X163" s="29"/>
      <c r="Y163" s="29"/>
      <c r="Z163" s="29"/>
      <c r="AA163" s="29"/>
      <c r="AB163" s="29"/>
      <c r="AC163" s="31"/>
      <c r="AD163" s="29"/>
      <c r="AE163" s="29"/>
      <c r="AF163" s="29"/>
      <c r="AG163" s="31"/>
      <c r="AH163" s="29"/>
      <c r="AI163" s="32">
        <f>('Table001 (Page 1-6)'!V156)*100</f>
        <v>1</v>
      </c>
      <c r="AJ163" s="35"/>
      <c r="AK163" s="35"/>
      <c r="AL163" s="35"/>
      <c r="AM163" s="35"/>
    </row>
    <row r="164" spans="2:39" x14ac:dyDescent="0.25">
      <c r="B164" s="37">
        <f>'Table001 (Page 1-6)'!A157</f>
        <v>2470</v>
      </c>
      <c r="C164" s="28" t="str">
        <f>'Table001 (Page 1-6)'!B157</f>
        <v>MAGNOLIA AV N</v>
      </c>
      <c r="D164" s="28" t="str">
        <f>'Table001 (Page 1-6)'!C157</f>
        <v>NE 1 AV</v>
      </c>
      <c r="E164" s="28" t="str">
        <f>'Table001 (Page 1-6)'!D157</f>
        <v>SR 40</v>
      </c>
      <c r="F164" s="29">
        <f>'Table001 (Page 1-6)'!E157</f>
        <v>2</v>
      </c>
      <c r="G164" s="29">
        <f>'Table001 (Page 1-6)'!K157</f>
        <v>2</v>
      </c>
      <c r="H164" s="30" t="str">
        <f>'Table001 (Page 1-6)'!R157</f>
        <v>E</v>
      </c>
      <c r="I164" s="28" t="str">
        <f>'Table001 (Page 1-6)'!F157</f>
        <v>COLLECTOR</v>
      </c>
      <c r="J164" s="29"/>
      <c r="K164" s="29"/>
      <c r="L164" s="29">
        <f>'Table001 (Page 1-6)'!I157</f>
        <v>18252</v>
      </c>
      <c r="M164" s="29"/>
      <c r="N164" s="29">
        <f>'Table001 (Page 1-6)'!J157</f>
        <v>1836</v>
      </c>
      <c r="O164" s="29">
        <f>'Table001 (Page 1-6)'!L157</f>
        <v>18252</v>
      </c>
      <c r="P164" s="29"/>
      <c r="Q164" s="29">
        <f>'Table001 (Page 1-6)'!M157</f>
        <v>1836</v>
      </c>
      <c r="R164" s="29" t="str">
        <f>'Table001 (Page 1-6)'!S157</f>
        <v>Not Counted</v>
      </c>
      <c r="S164" s="31" t="str">
        <f>'Table001 (Page 1-6)'!T157</f>
        <v>N/A</v>
      </c>
      <c r="T164" s="29" t="str">
        <f>'Table001 (Page 1-6)'!U157</f>
        <v>N/A</v>
      </c>
      <c r="U164" s="29"/>
      <c r="V164" s="29"/>
      <c r="W164" s="29"/>
      <c r="X164" s="29"/>
      <c r="Y164" s="29"/>
      <c r="Z164" s="29"/>
      <c r="AA164" s="29"/>
      <c r="AB164" s="29"/>
      <c r="AC164" s="31"/>
      <c r="AD164" s="29"/>
      <c r="AE164" s="29"/>
      <c r="AF164" s="29"/>
      <c r="AG164" s="31"/>
      <c r="AH164" s="29"/>
      <c r="AI164" s="32">
        <f>('Table001 (Page 1-6)'!V157)*100</f>
        <v>1</v>
      </c>
      <c r="AJ164" s="35"/>
      <c r="AK164" s="35"/>
      <c r="AL164" s="35"/>
      <c r="AM164" s="35"/>
    </row>
    <row r="165" spans="2:39" x14ac:dyDescent="0.25">
      <c r="B165" s="37">
        <f>'Table001 (Page 1-6)'!A158</f>
        <v>2510</v>
      </c>
      <c r="C165" s="28" t="str">
        <f>'Table001 (Page 1-6)'!B158</f>
        <v>NE 1 AV</v>
      </c>
      <c r="D165" s="28" t="str">
        <f>'Table001 (Page 1-6)'!C158</f>
        <v>SR 40</v>
      </c>
      <c r="E165" s="28" t="str">
        <f>'Table001 (Page 1-6)'!D158</f>
        <v>N MAGNOLIA AV</v>
      </c>
      <c r="F165" s="29">
        <f>'Table001 (Page 1-6)'!E158</f>
        <v>2</v>
      </c>
      <c r="G165" s="29">
        <f>'Table001 (Page 1-6)'!K158</f>
        <v>2</v>
      </c>
      <c r="H165" s="30" t="str">
        <f>'Table001 (Page 1-6)'!R158</f>
        <v>E</v>
      </c>
      <c r="I165" s="28" t="str">
        <f>'Table001 (Page 1-6)'!F158</f>
        <v>COLLECTOR</v>
      </c>
      <c r="J165" s="29"/>
      <c r="K165" s="29"/>
      <c r="L165" s="29">
        <f>'Table001 (Page 1-6)'!I158</f>
        <v>18252</v>
      </c>
      <c r="M165" s="29"/>
      <c r="N165" s="29">
        <f>'Table001 (Page 1-6)'!J158</f>
        <v>1836</v>
      </c>
      <c r="O165" s="29">
        <f>'Table001 (Page 1-6)'!L158</f>
        <v>18252</v>
      </c>
      <c r="P165" s="29"/>
      <c r="Q165" s="29">
        <f>'Table001 (Page 1-6)'!M158</f>
        <v>1836</v>
      </c>
      <c r="R165" s="29" t="str">
        <f>'Table001 (Page 1-6)'!S158</f>
        <v>Not Counted</v>
      </c>
      <c r="S165" s="31" t="str">
        <f>'Table001 (Page 1-6)'!T158</f>
        <v>N/A</v>
      </c>
      <c r="T165" s="29" t="str">
        <f>'Table001 (Page 1-6)'!U158</f>
        <v>N/A</v>
      </c>
      <c r="U165" s="29"/>
      <c r="V165" s="29"/>
      <c r="W165" s="29"/>
      <c r="X165" s="29"/>
      <c r="Y165" s="29"/>
      <c r="Z165" s="29"/>
      <c r="AA165" s="29"/>
      <c r="AB165" s="29"/>
      <c r="AC165" s="31"/>
      <c r="AD165" s="29"/>
      <c r="AE165" s="29"/>
      <c r="AF165" s="29"/>
      <c r="AG165" s="31"/>
      <c r="AH165" s="29"/>
      <c r="AI165" s="32">
        <f>('Table001 (Page 1-6)'!V158)*100</f>
        <v>1</v>
      </c>
      <c r="AJ165" s="35"/>
      <c r="AK165" s="35"/>
      <c r="AL165" s="35"/>
      <c r="AM165" s="35"/>
    </row>
    <row r="166" spans="2:39" x14ac:dyDescent="0.25">
      <c r="B166" s="37">
        <f>'Table001 (Page 1-6)'!A159</f>
        <v>2545</v>
      </c>
      <c r="C166" s="28" t="str">
        <f>'Table001 (Page 1-6)'!B159</f>
        <v>SR 492</v>
      </c>
      <c r="D166" s="28" t="str">
        <f>'Table001 (Page 1-6)'!C159</f>
        <v>US 441</v>
      </c>
      <c r="E166" s="28" t="str">
        <f>'Table001 (Page 1-6)'!D159</f>
        <v>N MAGNOLIA AV</v>
      </c>
      <c r="F166" s="29">
        <f>'Table001 (Page 1-6)'!E159</f>
        <v>4</v>
      </c>
      <c r="G166" s="29">
        <f>'Table001 (Page 1-6)'!K159</f>
        <v>4</v>
      </c>
      <c r="H166" s="30" t="str">
        <f>'Table001 (Page 1-6)'!R159</f>
        <v>D</v>
      </c>
      <c r="I166" s="28" t="str">
        <f>'Table001 (Page 1-6)'!F159</f>
        <v>ARTERIAL</v>
      </c>
      <c r="J166" s="29"/>
      <c r="K166" s="29"/>
      <c r="L166" s="29">
        <f>'Table001 (Page 1-6)'!I159</f>
        <v>38430</v>
      </c>
      <c r="M166" s="29"/>
      <c r="N166" s="29">
        <f>'Table001 (Page 1-6)'!J159</f>
        <v>1901</v>
      </c>
      <c r="O166" s="29">
        <f>'Table001 (Page 1-6)'!L159</f>
        <v>38430</v>
      </c>
      <c r="P166" s="29"/>
      <c r="Q166" s="29">
        <f>'Table001 (Page 1-6)'!M159</f>
        <v>1901</v>
      </c>
      <c r="R166" s="29" t="str">
        <f>'Table001 (Page 1-6)'!S159</f>
        <v>19,200</v>
      </c>
      <c r="S166" s="31" t="str">
        <f>'Table001 (Page 1-6)'!T159</f>
        <v>0.5</v>
      </c>
      <c r="T166" s="29" t="str">
        <f>'Table001 (Page 1-6)'!U159</f>
        <v>C</v>
      </c>
      <c r="U166" s="29"/>
      <c r="V166" s="29"/>
      <c r="W166" s="29"/>
      <c r="X166" s="29"/>
      <c r="Y166" s="29"/>
      <c r="Z166" s="29"/>
      <c r="AA166" s="29"/>
      <c r="AB166" s="29"/>
      <c r="AC166" s="31"/>
      <c r="AD166" s="29"/>
      <c r="AE166" s="29"/>
      <c r="AF166" s="29"/>
      <c r="AG166" s="31"/>
      <c r="AH166" s="29"/>
      <c r="AI166" s="32">
        <f>('Table001 (Page 1-6)'!V159)*100</f>
        <v>1</v>
      </c>
      <c r="AJ166" s="35"/>
      <c r="AK166" s="35"/>
      <c r="AL166" s="35"/>
      <c r="AM166" s="35"/>
    </row>
    <row r="167" spans="2:39" x14ac:dyDescent="0.25">
      <c r="B167" s="37">
        <f>'Table001 (Page 1-6)'!A160</f>
        <v>2550</v>
      </c>
      <c r="C167" s="28" t="str">
        <f>'Table001 (Page 1-6)'!B160</f>
        <v>SR 492</v>
      </c>
      <c r="D167" s="28" t="str">
        <f>'Table001 (Page 1-6)'!C160</f>
        <v>N MAGNOLIA AV</v>
      </c>
      <c r="E167" s="28" t="str">
        <f>'Table001 (Page 1-6)'!D160</f>
        <v>NE 8 AV</v>
      </c>
      <c r="F167" s="29">
        <f>'Table001 (Page 1-6)'!E160</f>
        <v>4</v>
      </c>
      <c r="G167" s="29">
        <f>'Table001 (Page 1-6)'!K160</f>
        <v>4</v>
      </c>
      <c r="H167" s="30" t="str">
        <f>'Table001 (Page 1-6)'!R160</f>
        <v>D</v>
      </c>
      <c r="I167" s="28" t="str">
        <f>'Table001 (Page 1-6)'!F160</f>
        <v>ARTERIAL</v>
      </c>
      <c r="J167" s="29"/>
      <c r="K167" s="29"/>
      <c r="L167" s="29">
        <f>'Table001 (Page 1-6)'!I160</f>
        <v>38430</v>
      </c>
      <c r="M167" s="29"/>
      <c r="N167" s="29">
        <f>'Table001 (Page 1-6)'!J160</f>
        <v>1901</v>
      </c>
      <c r="O167" s="29">
        <f>'Table001 (Page 1-6)'!L160</f>
        <v>38430</v>
      </c>
      <c r="P167" s="29"/>
      <c r="Q167" s="29">
        <f>'Table001 (Page 1-6)'!M160</f>
        <v>1901</v>
      </c>
      <c r="R167" s="29" t="str">
        <f>'Table001 (Page 1-6)'!S160</f>
        <v>19,200</v>
      </c>
      <c r="S167" s="31" t="str">
        <f>'Table001 (Page 1-6)'!T160</f>
        <v>0.5</v>
      </c>
      <c r="T167" s="29" t="str">
        <f>'Table001 (Page 1-6)'!U160</f>
        <v>C</v>
      </c>
      <c r="U167" s="29"/>
      <c r="V167" s="29"/>
      <c r="W167" s="29"/>
      <c r="X167" s="29"/>
      <c r="Y167" s="29"/>
      <c r="Z167" s="29"/>
      <c r="AA167" s="29"/>
      <c r="AB167" s="29"/>
      <c r="AC167" s="31"/>
      <c r="AD167" s="29"/>
      <c r="AE167" s="29"/>
      <c r="AF167" s="29"/>
      <c r="AG167" s="31"/>
      <c r="AH167" s="29"/>
      <c r="AI167" s="32">
        <f>('Table001 (Page 1-6)'!V160)*100</f>
        <v>1</v>
      </c>
      <c r="AJ167" s="35"/>
      <c r="AK167" s="35"/>
      <c r="AL167" s="35"/>
      <c r="AM167" s="35"/>
    </row>
    <row r="168" spans="2:39" x14ac:dyDescent="0.25">
      <c r="B168" s="37">
        <f>'Table001 (Page 1-6)'!A161</f>
        <v>2570</v>
      </c>
      <c r="C168" s="28" t="str">
        <f>'Table001 (Page 1-6)'!B161</f>
        <v>NE 127 ST RD</v>
      </c>
      <c r="D168" s="28" t="str">
        <f>'Table001 (Page 1-6)'!C161</f>
        <v>CR 314</v>
      </c>
      <c r="E168" s="28" t="str">
        <f>'Table001 (Page 1-6)'!D161</f>
        <v>NE 203 AV</v>
      </c>
      <c r="F168" s="29">
        <f>'Table001 (Page 1-6)'!E161</f>
        <v>2</v>
      </c>
      <c r="G168" s="29">
        <f>'Table001 (Page 1-6)'!K161</f>
        <v>2</v>
      </c>
      <c r="H168" s="30" t="str">
        <f>'Table001 (Page 1-6)'!R161</f>
        <v>D</v>
      </c>
      <c r="I168" s="28" t="str">
        <f>'Table001 (Page 1-6)'!F161</f>
        <v>COLLECTOR</v>
      </c>
      <c r="J168" s="29"/>
      <c r="K168" s="29"/>
      <c r="L168" s="29">
        <f>'Table001 (Page 1-6)'!I161</f>
        <v>19170</v>
      </c>
      <c r="M168" s="29"/>
      <c r="N168" s="29">
        <f>'Table001 (Page 1-6)'!J161</f>
        <v>999</v>
      </c>
      <c r="O168" s="29">
        <f>'Table001 (Page 1-6)'!L161</f>
        <v>19170</v>
      </c>
      <c r="P168" s="29"/>
      <c r="Q168" s="29">
        <f>'Table001 (Page 1-6)'!M161</f>
        <v>999</v>
      </c>
      <c r="R168" s="29" t="str">
        <f>'Table001 (Page 1-6)'!S161</f>
        <v>Not Counted</v>
      </c>
      <c r="S168" s="31" t="str">
        <f>'Table001 (Page 1-6)'!T161</f>
        <v>N/A</v>
      </c>
      <c r="T168" s="29" t="str">
        <f>'Table001 (Page 1-6)'!U161</f>
        <v>N/A</v>
      </c>
      <c r="U168" s="29"/>
      <c r="V168" s="29"/>
      <c r="W168" s="29"/>
      <c r="X168" s="29"/>
      <c r="Y168" s="29"/>
      <c r="Z168" s="29"/>
      <c r="AA168" s="29"/>
      <c r="AB168" s="29"/>
      <c r="AC168" s="31"/>
      <c r="AD168" s="29"/>
      <c r="AE168" s="29"/>
      <c r="AF168" s="29"/>
      <c r="AG168" s="31"/>
      <c r="AH168" s="29"/>
      <c r="AI168" s="32">
        <f>('Table001 (Page 1-6)'!V161)*100</f>
        <v>1</v>
      </c>
      <c r="AJ168" s="35"/>
      <c r="AK168" s="35"/>
      <c r="AL168" s="35"/>
      <c r="AM168" s="35"/>
    </row>
    <row r="169" spans="2:39" x14ac:dyDescent="0.25">
      <c r="B169" s="37">
        <f>'Table001 (Page 1-6)'!A162</f>
        <v>2590</v>
      </c>
      <c r="C169" s="28" t="str">
        <f>'Table001 (Page 1-6)'!B162</f>
        <v>SR 492</v>
      </c>
      <c r="D169" s="28" t="str">
        <f>'Table001 (Page 1-6)'!C162</f>
        <v>NE 8 AV</v>
      </c>
      <c r="E169" s="28" t="str">
        <f>'Table001 (Page 1-6)'!D162</f>
        <v>NE 19 AV</v>
      </c>
      <c r="F169" s="29">
        <f>'Table001 (Page 1-6)'!E162</f>
        <v>4</v>
      </c>
      <c r="G169" s="29">
        <f>'Table001 (Page 1-6)'!K162</f>
        <v>4</v>
      </c>
      <c r="H169" s="30" t="str">
        <f>'Table001 (Page 1-6)'!R162</f>
        <v>D</v>
      </c>
      <c r="I169" s="28" t="str">
        <f>'Table001 (Page 1-6)'!F162</f>
        <v>ARTERIAL</v>
      </c>
      <c r="J169" s="29"/>
      <c r="K169" s="29"/>
      <c r="L169" s="29">
        <f>'Table001 (Page 1-6)'!I162</f>
        <v>38430</v>
      </c>
      <c r="M169" s="29"/>
      <c r="N169" s="29">
        <f>'Table001 (Page 1-6)'!J162</f>
        <v>1901</v>
      </c>
      <c r="O169" s="29">
        <f>'Table001 (Page 1-6)'!L162</f>
        <v>38430</v>
      </c>
      <c r="P169" s="29"/>
      <c r="Q169" s="29">
        <f>'Table001 (Page 1-6)'!M162</f>
        <v>1901</v>
      </c>
      <c r="R169" s="29" t="str">
        <f>'Table001 (Page 1-6)'!S162</f>
        <v>19,200</v>
      </c>
      <c r="S169" s="31" t="str">
        <f>'Table001 (Page 1-6)'!T162</f>
        <v>0.5</v>
      </c>
      <c r="T169" s="29" t="str">
        <f>'Table001 (Page 1-6)'!U162</f>
        <v>C</v>
      </c>
      <c r="U169" s="29"/>
      <c r="V169" s="29"/>
      <c r="W169" s="29"/>
      <c r="X169" s="29"/>
      <c r="Y169" s="29"/>
      <c r="Z169" s="29"/>
      <c r="AA169" s="29"/>
      <c r="AB169" s="29"/>
      <c r="AC169" s="31"/>
      <c r="AD169" s="29"/>
      <c r="AE169" s="29"/>
      <c r="AF169" s="29"/>
      <c r="AG169" s="31"/>
      <c r="AH169" s="29"/>
      <c r="AI169" s="32">
        <f>('Table001 (Page 1-6)'!V162)*100</f>
        <v>1</v>
      </c>
      <c r="AJ169" s="35"/>
      <c r="AK169" s="35"/>
      <c r="AL169" s="35"/>
      <c r="AM169" s="35"/>
    </row>
    <row r="170" spans="2:39" x14ac:dyDescent="0.25">
      <c r="B170" s="37">
        <f>'Table001 (Page 1-6)'!A163</f>
        <v>2610</v>
      </c>
      <c r="C170" s="28" t="str">
        <f>'Table001 (Page 1-6)'!B163</f>
        <v>SR 492</v>
      </c>
      <c r="D170" s="28" t="str">
        <f>'Table001 (Page 1-6)'!C163</f>
        <v>NE 19 AV</v>
      </c>
      <c r="E170" s="28" t="str">
        <f>'Table001 (Page 1-6)'!D163</f>
        <v>NE 25 AV</v>
      </c>
      <c r="F170" s="29">
        <f>'Table001 (Page 1-6)'!E163</f>
        <v>4</v>
      </c>
      <c r="G170" s="29">
        <f>'Table001 (Page 1-6)'!K163</f>
        <v>4</v>
      </c>
      <c r="H170" s="30" t="str">
        <f>'Table001 (Page 1-6)'!R163</f>
        <v>D</v>
      </c>
      <c r="I170" s="28" t="str">
        <f>'Table001 (Page 1-6)'!F163</f>
        <v>ARTERIAL</v>
      </c>
      <c r="J170" s="29"/>
      <c r="K170" s="29"/>
      <c r="L170" s="29">
        <f>'Table001 (Page 1-6)'!I163</f>
        <v>38430</v>
      </c>
      <c r="M170" s="29"/>
      <c r="N170" s="29">
        <f>'Table001 (Page 1-6)'!J163</f>
        <v>1901</v>
      </c>
      <c r="O170" s="29">
        <f>'Table001 (Page 1-6)'!L163</f>
        <v>38430</v>
      </c>
      <c r="P170" s="29"/>
      <c r="Q170" s="29">
        <f>'Table001 (Page 1-6)'!M163</f>
        <v>1901</v>
      </c>
      <c r="R170" s="29" t="str">
        <f>'Table001 (Page 1-6)'!S163</f>
        <v>19,600</v>
      </c>
      <c r="S170" s="31" t="str">
        <f>'Table001 (Page 1-6)'!T163</f>
        <v>0.51</v>
      </c>
      <c r="T170" s="29" t="str">
        <f>'Table001 (Page 1-6)'!U163</f>
        <v>C</v>
      </c>
      <c r="U170" s="29"/>
      <c r="V170" s="29"/>
      <c r="W170" s="29"/>
      <c r="X170" s="29"/>
      <c r="Y170" s="29"/>
      <c r="Z170" s="29"/>
      <c r="AA170" s="29"/>
      <c r="AB170" s="29"/>
      <c r="AC170" s="31"/>
      <c r="AD170" s="29"/>
      <c r="AE170" s="29"/>
      <c r="AF170" s="29"/>
      <c r="AG170" s="31"/>
      <c r="AH170" s="29"/>
      <c r="AI170" s="32">
        <f>('Table001 (Page 1-6)'!V163)*100</f>
        <v>1</v>
      </c>
      <c r="AJ170" s="35"/>
      <c r="AK170" s="35"/>
      <c r="AL170" s="35"/>
      <c r="AM170" s="35"/>
    </row>
    <row r="171" spans="2:39" x14ac:dyDescent="0.25">
      <c r="B171" s="37">
        <f>'Table001 (Page 1-6)'!A164</f>
        <v>2620</v>
      </c>
      <c r="C171" s="28" t="str">
        <f>'Table001 (Page 1-6)'!B164</f>
        <v>SR 492</v>
      </c>
      <c r="D171" s="28" t="str">
        <f>'Table001 (Page 1-6)'!C164</f>
        <v>NE 25 AV</v>
      </c>
      <c r="E171" s="28" t="str">
        <f>'Table001 (Page 1-6)'!D164</f>
        <v>NE 36 AV</v>
      </c>
      <c r="F171" s="29">
        <f>'Table001 (Page 1-6)'!E164</f>
        <v>4</v>
      </c>
      <c r="G171" s="29">
        <f>'Table001 (Page 1-6)'!K164</f>
        <v>4</v>
      </c>
      <c r="H171" s="30" t="str">
        <f>'Table001 (Page 1-6)'!R164</f>
        <v>D</v>
      </c>
      <c r="I171" s="28" t="str">
        <f>'Table001 (Page 1-6)'!F164</f>
        <v>ARTERIAL</v>
      </c>
      <c r="J171" s="29"/>
      <c r="K171" s="29"/>
      <c r="L171" s="29">
        <f>'Table001 (Page 1-6)'!I164</f>
        <v>38430</v>
      </c>
      <c r="M171" s="29"/>
      <c r="N171" s="29">
        <f>'Table001 (Page 1-6)'!J164</f>
        <v>1901</v>
      </c>
      <c r="O171" s="29">
        <f>'Table001 (Page 1-6)'!L164</f>
        <v>38430</v>
      </c>
      <c r="P171" s="29"/>
      <c r="Q171" s="29">
        <f>'Table001 (Page 1-6)'!M164</f>
        <v>1901</v>
      </c>
      <c r="R171" s="29" t="str">
        <f>'Table001 (Page 1-6)'!S164</f>
        <v>19,100</v>
      </c>
      <c r="S171" s="31" t="str">
        <f>'Table001 (Page 1-6)'!T164</f>
        <v>0.5</v>
      </c>
      <c r="T171" s="29" t="str">
        <f>'Table001 (Page 1-6)'!U164</f>
        <v>C</v>
      </c>
      <c r="U171" s="29"/>
      <c r="V171" s="29"/>
      <c r="W171" s="29"/>
      <c r="X171" s="29"/>
      <c r="Y171" s="29"/>
      <c r="Z171" s="29"/>
      <c r="AA171" s="29"/>
      <c r="AB171" s="29"/>
      <c r="AC171" s="31"/>
      <c r="AD171" s="29"/>
      <c r="AE171" s="29"/>
      <c r="AF171" s="29"/>
      <c r="AG171" s="31"/>
      <c r="AH171" s="29"/>
      <c r="AI171" s="32">
        <f>('Table001 (Page 1-6)'!V164)*100</f>
        <v>1.92</v>
      </c>
      <c r="AJ171" s="35"/>
      <c r="AK171" s="35"/>
      <c r="AL171" s="35"/>
      <c r="AM171" s="35"/>
    </row>
    <row r="172" spans="2:39" x14ac:dyDescent="0.25">
      <c r="B172" s="37">
        <f>'Table001 (Page 1-6)'!A165</f>
        <v>2630</v>
      </c>
      <c r="C172" s="28" t="str">
        <f>'Table001 (Page 1-6)'!B165</f>
        <v>SR 492</v>
      </c>
      <c r="D172" s="28" t="str">
        <f>'Table001 (Page 1-6)'!C165</f>
        <v>NE 36 AV</v>
      </c>
      <c r="E172" s="28" t="str">
        <f>'Table001 (Page 1-6)'!D165</f>
        <v>SR 40</v>
      </c>
      <c r="F172" s="29">
        <f>'Table001 (Page 1-6)'!E165</f>
        <v>4</v>
      </c>
      <c r="G172" s="29">
        <f>'Table001 (Page 1-6)'!K165</f>
        <v>4</v>
      </c>
      <c r="H172" s="30" t="str">
        <f>'Table001 (Page 1-6)'!R165</f>
        <v>D</v>
      </c>
      <c r="I172" s="28" t="str">
        <f>'Table001 (Page 1-6)'!F165</f>
        <v>ARTERIAL</v>
      </c>
      <c r="J172" s="29"/>
      <c r="K172" s="29"/>
      <c r="L172" s="29">
        <f>'Table001 (Page 1-6)'!I165</f>
        <v>38430</v>
      </c>
      <c r="M172" s="29"/>
      <c r="N172" s="29">
        <f>'Table001 (Page 1-6)'!J165</f>
        <v>1901</v>
      </c>
      <c r="O172" s="29">
        <f>'Table001 (Page 1-6)'!L165</f>
        <v>38430</v>
      </c>
      <c r="P172" s="29"/>
      <c r="Q172" s="29">
        <f>'Table001 (Page 1-6)'!M165</f>
        <v>1901</v>
      </c>
      <c r="R172" s="29" t="str">
        <f>'Table001 (Page 1-6)'!S165</f>
        <v>9,800</v>
      </c>
      <c r="S172" s="31" t="str">
        <f>'Table001 (Page 1-6)'!T165</f>
        <v>0.26</v>
      </c>
      <c r="T172" s="29" t="str">
        <f>'Table001 (Page 1-6)'!U165</f>
        <v>C</v>
      </c>
      <c r="U172" s="29"/>
      <c r="V172" s="29"/>
      <c r="W172" s="29"/>
      <c r="X172" s="29"/>
      <c r="Y172" s="29"/>
      <c r="Z172" s="29"/>
      <c r="AA172" s="29"/>
      <c r="AB172" s="29"/>
      <c r="AC172" s="31"/>
      <c r="AD172" s="29"/>
      <c r="AE172" s="29"/>
      <c r="AF172" s="29"/>
      <c r="AG172" s="31"/>
      <c r="AH172" s="29"/>
      <c r="AI172" s="32">
        <f>('Table001 (Page 1-6)'!V165)*100</f>
        <v>2.2200000000000002</v>
      </c>
      <c r="AJ172" s="35"/>
      <c r="AK172" s="35"/>
      <c r="AL172" s="35"/>
      <c r="AM172" s="35"/>
    </row>
    <row r="173" spans="2:39" x14ac:dyDescent="0.25">
      <c r="B173" s="37">
        <f>'Table001 (Page 1-6)'!A166</f>
        <v>2650.1</v>
      </c>
      <c r="C173" s="28" t="str">
        <f>'Table001 (Page 1-6)'!B166</f>
        <v>NE 160 AV RD</v>
      </c>
      <c r="D173" s="28" t="str">
        <f>'Table001 (Page 1-6)'!C166</f>
        <v>CR 316</v>
      </c>
      <c r="E173" s="28" t="str">
        <f>'Table001 (Page 1-6)'!D166</f>
        <v>NE 145 AV</v>
      </c>
      <c r="F173" s="29">
        <f>'Table001 (Page 1-6)'!E166</f>
        <v>2</v>
      </c>
      <c r="G173" s="29">
        <f>'Table001 (Page 1-6)'!K166</f>
        <v>2</v>
      </c>
      <c r="H173" s="30" t="str">
        <f>'Table001 (Page 1-6)'!R166</f>
        <v>D</v>
      </c>
      <c r="I173" s="28" t="str">
        <f>'Table001 (Page 1-6)'!F166</f>
        <v>COLLECTOR</v>
      </c>
      <c r="J173" s="29"/>
      <c r="K173" s="29"/>
      <c r="L173" s="29">
        <f>'Table001 (Page 1-6)'!I166</f>
        <v>19170</v>
      </c>
      <c r="M173" s="29"/>
      <c r="N173" s="29">
        <f>'Table001 (Page 1-6)'!J166</f>
        <v>999</v>
      </c>
      <c r="O173" s="29">
        <f>'Table001 (Page 1-6)'!L166</f>
        <v>19170</v>
      </c>
      <c r="P173" s="29"/>
      <c r="Q173" s="29">
        <f>'Table001 (Page 1-6)'!M166</f>
        <v>999</v>
      </c>
      <c r="R173" s="29" t="str">
        <f>'Table001 (Page 1-6)'!S166</f>
        <v>Not Counted</v>
      </c>
      <c r="S173" s="31" t="str">
        <f>'Table001 (Page 1-6)'!T166</f>
        <v>N/A</v>
      </c>
      <c r="T173" s="29" t="str">
        <f>'Table001 (Page 1-6)'!U166</f>
        <v>N/A</v>
      </c>
      <c r="U173" s="29"/>
      <c r="V173" s="29"/>
      <c r="W173" s="29"/>
      <c r="X173" s="29"/>
      <c r="Y173" s="29"/>
      <c r="Z173" s="29"/>
      <c r="AA173" s="29"/>
      <c r="AB173" s="29"/>
      <c r="AC173" s="31"/>
      <c r="AD173" s="29"/>
      <c r="AE173" s="29"/>
      <c r="AF173" s="29"/>
      <c r="AG173" s="31"/>
      <c r="AH173" s="29"/>
      <c r="AI173" s="32">
        <f>('Table001 (Page 1-6)'!V166)*100</f>
        <v>1</v>
      </c>
      <c r="AJ173" s="35"/>
      <c r="AK173" s="35"/>
      <c r="AL173" s="35"/>
      <c r="AM173" s="35"/>
    </row>
    <row r="174" spans="2:39" x14ac:dyDescent="0.25">
      <c r="B174" s="37">
        <f>'Table001 (Page 1-6)'!A167</f>
        <v>2670</v>
      </c>
      <c r="C174" s="28" t="str">
        <f>'Table001 (Page 1-6)'!B167</f>
        <v>NE 175 ST</v>
      </c>
      <c r="D174" s="28" t="str">
        <f>'Table001 (Page 1-6)'!C167</f>
        <v>CR 200A</v>
      </c>
      <c r="E174" s="28" t="str">
        <f>'Table001 (Page 1-6)'!D167</f>
        <v>NE 70 AV</v>
      </c>
      <c r="F174" s="29">
        <f>'Table001 (Page 1-6)'!E167</f>
        <v>2</v>
      </c>
      <c r="G174" s="29">
        <f>'Table001 (Page 1-6)'!K167</f>
        <v>2</v>
      </c>
      <c r="H174" s="30" t="str">
        <f>'Table001 (Page 1-6)'!R167</f>
        <v>D</v>
      </c>
      <c r="I174" s="28" t="str">
        <f>'Table001 (Page 1-6)'!F167</f>
        <v>COLLECTOR</v>
      </c>
      <c r="J174" s="29"/>
      <c r="K174" s="29"/>
      <c r="L174" s="29">
        <f>'Table001 (Page 1-6)'!I167</f>
        <v>19170</v>
      </c>
      <c r="M174" s="29"/>
      <c r="N174" s="29">
        <f>'Table001 (Page 1-6)'!J167</f>
        <v>999</v>
      </c>
      <c r="O174" s="29">
        <f>'Table001 (Page 1-6)'!L167</f>
        <v>19170</v>
      </c>
      <c r="P174" s="29"/>
      <c r="Q174" s="29">
        <f>'Table001 (Page 1-6)'!M167</f>
        <v>999</v>
      </c>
      <c r="R174" s="29" t="str">
        <f>'Table001 (Page 1-6)'!S167</f>
        <v>2,600</v>
      </c>
      <c r="S174" s="31" t="str">
        <f>'Table001 (Page 1-6)'!T167</f>
        <v>0.14</v>
      </c>
      <c r="T174" s="29" t="str">
        <f>'Table001 (Page 1-6)'!U167</f>
        <v>B</v>
      </c>
      <c r="U174" s="29"/>
      <c r="V174" s="29"/>
      <c r="W174" s="29"/>
      <c r="X174" s="29"/>
      <c r="Y174" s="29"/>
      <c r="Z174" s="29"/>
      <c r="AA174" s="29"/>
      <c r="AB174" s="29"/>
      <c r="AC174" s="31"/>
      <c r="AD174" s="29"/>
      <c r="AE174" s="29"/>
      <c r="AF174" s="29"/>
      <c r="AG174" s="31"/>
      <c r="AH174" s="29"/>
      <c r="AI174" s="32">
        <f>('Table001 (Page 1-6)'!V167)*100</f>
        <v>3.55</v>
      </c>
      <c r="AJ174" s="35"/>
      <c r="AK174" s="35"/>
      <c r="AL174" s="35"/>
      <c r="AM174" s="35"/>
    </row>
    <row r="175" spans="2:39" x14ac:dyDescent="0.25">
      <c r="B175" s="37">
        <f>'Table001 (Page 1-6)'!A168</f>
        <v>2700</v>
      </c>
      <c r="C175" s="28" t="str">
        <f>'Table001 (Page 1-6)'!B168</f>
        <v>NE 203 AV</v>
      </c>
      <c r="D175" s="28" t="str">
        <f>'Table001 (Page 1-6)'!C168</f>
        <v>NE 127 ST</v>
      </c>
      <c r="E175" s="28" t="str">
        <f>'Table001 (Page 1-6)'!D168</f>
        <v>CR 316</v>
      </c>
      <c r="F175" s="29">
        <f>'Table001 (Page 1-6)'!E168</f>
        <v>2</v>
      </c>
      <c r="G175" s="29">
        <f>'Table001 (Page 1-6)'!K168</f>
        <v>2</v>
      </c>
      <c r="H175" s="30" t="str">
        <f>'Table001 (Page 1-6)'!R168</f>
        <v>D</v>
      </c>
      <c r="I175" s="28" t="str">
        <f>'Table001 (Page 1-6)'!F168</f>
        <v>COLLECTOR</v>
      </c>
      <c r="J175" s="29"/>
      <c r="K175" s="29"/>
      <c r="L175" s="29">
        <f>'Table001 (Page 1-6)'!I168</f>
        <v>19170</v>
      </c>
      <c r="M175" s="29"/>
      <c r="N175" s="29">
        <f>'Table001 (Page 1-6)'!J168</f>
        <v>999</v>
      </c>
      <c r="O175" s="29">
        <f>'Table001 (Page 1-6)'!L168</f>
        <v>19170</v>
      </c>
      <c r="P175" s="29"/>
      <c r="Q175" s="29">
        <f>'Table001 (Page 1-6)'!M168</f>
        <v>999</v>
      </c>
      <c r="R175" s="29" t="str">
        <f>'Table001 (Page 1-6)'!S168</f>
        <v>Not Counted</v>
      </c>
      <c r="S175" s="31" t="str">
        <f>'Table001 (Page 1-6)'!T168</f>
        <v>N/A</v>
      </c>
      <c r="T175" s="29" t="str">
        <f>'Table001 (Page 1-6)'!U168</f>
        <v>N/A</v>
      </c>
      <c r="U175" s="29"/>
      <c r="V175" s="29"/>
      <c r="W175" s="29"/>
      <c r="X175" s="29"/>
      <c r="Y175" s="29"/>
      <c r="Z175" s="29"/>
      <c r="AA175" s="29"/>
      <c r="AB175" s="29"/>
      <c r="AC175" s="31"/>
      <c r="AD175" s="29"/>
      <c r="AE175" s="29"/>
      <c r="AF175" s="29"/>
      <c r="AG175" s="31"/>
      <c r="AH175" s="29"/>
      <c r="AI175" s="32">
        <f>('Table001 (Page 1-6)'!V168)*100</f>
        <v>1</v>
      </c>
      <c r="AJ175" s="35"/>
      <c r="AK175" s="35"/>
      <c r="AL175" s="35"/>
      <c r="AM175" s="35"/>
    </row>
    <row r="176" spans="2:39" x14ac:dyDescent="0.25">
      <c r="B176" s="37">
        <f>'Table001 (Page 1-6)'!A169</f>
        <v>2720</v>
      </c>
      <c r="C176" s="28" t="str">
        <f>'Table001 (Page 1-6)'!B169</f>
        <v>NE 24 ST</v>
      </c>
      <c r="D176" s="28" t="str">
        <f>'Table001 (Page 1-6)'!C169</f>
        <v>CR 200A</v>
      </c>
      <c r="E176" s="28" t="str">
        <f>'Table001 (Page 1-6)'!D169</f>
        <v>NE 25 AV</v>
      </c>
      <c r="F176" s="29">
        <f>'Table001 (Page 1-6)'!E169</f>
        <v>2</v>
      </c>
      <c r="G176" s="29">
        <f>'Table001 (Page 1-6)'!K169</f>
        <v>2</v>
      </c>
      <c r="H176" s="30" t="str">
        <f>'Table001 (Page 1-6)'!R169</f>
        <v>E</v>
      </c>
      <c r="I176" s="28" t="str">
        <f>'Table001 (Page 1-6)'!F169</f>
        <v>COLLECTOR</v>
      </c>
      <c r="J176" s="29"/>
      <c r="K176" s="29"/>
      <c r="L176" s="29">
        <f>'Table001 (Page 1-6)'!I169</f>
        <v>11232</v>
      </c>
      <c r="M176" s="29"/>
      <c r="N176" s="29">
        <f>'Table001 (Page 1-6)'!J169</f>
        <v>576</v>
      </c>
      <c r="O176" s="29">
        <f>'Table001 (Page 1-6)'!L169</f>
        <v>11232</v>
      </c>
      <c r="P176" s="29"/>
      <c r="Q176" s="29">
        <f>'Table001 (Page 1-6)'!M169</f>
        <v>576</v>
      </c>
      <c r="R176" s="29" t="str">
        <f>'Table001 (Page 1-6)'!S169</f>
        <v>3,800</v>
      </c>
      <c r="S176" s="31" t="str">
        <f>'Table001 (Page 1-6)'!T169</f>
        <v>0.34</v>
      </c>
      <c r="T176" s="29" t="str">
        <f>'Table001 (Page 1-6)'!U169</f>
        <v>C</v>
      </c>
      <c r="U176" s="29"/>
      <c r="V176" s="29"/>
      <c r="W176" s="29"/>
      <c r="X176" s="29"/>
      <c r="Y176" s="29"/>
      <c r="Z176" s="29"/>
      <c r="AA176" s="29"/>
      <c r="AB176" s="29"/>
      <c r="AC176" s="31"/>
      <c r="AD176" s="29"/>
      <c r="AE176" s="29"/>
      <c r="AF176" s="29"/>
      <c r="AG176" s="31"/>
      <c r="AH176" s="29"/>
      <c r="AI176" s="32">
        <f>('Table001 (Page 1-6)'!V169)*100</f>
        <v>1</v>
      </c>
      <c r="AJ176" s="35"/>
      <c r="AK176" s="35"/>
      <c r="AL176" s="35"/>
      <c r="AM176" s="35"/>
    </row>
    <row r="177" spans="2:39" x14ac:dyDescent="0.25">
      <c r="B177" s="37">
        <f>'Table001 (Page 1-6)'!A170</f>
        <v>2730</v>
      </c>
      <c r="C177" s="28" t="str">
        <f>'Table001 (Page 1-6)'!B170</f>
        <v>NE 24 ST</v>
      </c>
      <c r="D177" s="28" t="str">
        <f>'Table001 (Page 1-6)'!C170</f>
        <v>NE 25 AV</v>
      </c>
      <c r="E177" s="28" t="str">
        <f>'Table001 (Page 1-6)'!D170</f>
        <v>NE 36 AV</v>
      </c>
      <c r="F177" s="29">
        <f>'Table001 (Page 1-6)'!E170</f>
        <v>2</v>
      </c>
      <c r="G177" s="29">
        <f>'Table001 (Page 1-6)'!K170</f>
        <v>2</v>
      </c>
      <c r="H177" s="30" t="str">
        <f>'Table001 (Page 1-6)'!R170</f>
        <v>E</v>
      </c>
      <c r="I177" s="28" t="str">
        <f>'Table001 (Page 1-6)'!F170</f>
        <v>COLLECTOR</v>
      </c>
      <c r="J177" s="29"/>
      <c r="K177" s="29"/>
      <c r="L177" s="29">
        <f>'Table001 (Page 1-6)'!I170</f>
        <v>12744</v>
      </c>
      <c r="M177" s="29"/>
      <c r="N177" s="29">
        <f>'Table001 (Page 1-6)'!J170</f>
        <v>634</v>
      </c>
      <c r="O177" s="29">
        <f>'Table001 (Page 1-6)'!L170</f>
        <v>12744</v>
      </c>
      <c r="P177" s="29"/>
      <c r="Q177" s="29">
        <f>'Table001 (Page 1-6)'!M170</f>
        <v>634</v>
      </c>
      <c r="R177" s="29" t="str">
        <f>'Table001 (Page 1-6)'!S170</f>
        <v>2,300</v>
      </c>
      <c r="S177" s="31" t="str">
        <f>'Table001 (Page 1-6)'!T170</f>
        <v>0.18</v>
      </c>
      <c r="T177" s="29" t="str">
        <f>'Table001 (Page 1-6)'!U170</f>
        <v>C</v>
      </c>
      <c r="U177" s="29"/>
      <c r="V177" s="29"/>
      <c r="W177" s="29"/>
      <c r="X177" s="29"/>
      <c r="Y177" s="29"/>
      <c r="Z177" s="29"/>
      <c r="AA177" s="29"/>
      <c r="AB177" s="29"/>
      <c r="AC177" s="31"/>
      <c r="AD177" s="29"/>
      <c r="AE177" s="29"/>
      <c r="AF177" s="29"/>
      <c r="AG177" s="31"/>
      <c r="AH177" s="29"/>
      <c r="AI177" s="32">
        <f>('Table001 (Page 1-6)'!V170)*100</f>
        <v>1</v>
      </c>
      <c r="AJ177" s="35"/>
      <c r="AK177" s="35"/>
      <c r="AL177" s="35"/>
      <c r="AM177" s="35"/>
    </row>
    <row r="178" spans="2:39" x14ac:dyDescent="0.25">
      <c r="B178" s="37">
        <f>'Table001 (Page 1-6)'!A171</f>
        <v>2740</v>
      </c>
      <c r="C178" s="28" t="str">
        <f>'Table001 (Page 1-6)'!B171</f>
        <v>NE 25 AV</v>
      </c>
      <c r="D178" s="28" t="str">
        <f>'Table001 (Page 1-6)'!C171</f>
        <v>SR 40</v>
      </c>
      <c r="E178" s="28" t="str">
        <f>'Table001 (Page 1-6)'!D171</f>
        <v>SR 492</v>
      </c>
      <c r="F178" s="29">
        <f>'Table001 (Page 1-6)'!E171</f>
        <v>4</v>
      </c>
      <c r="G178" s="29">
        <f>'Table001 (Page 1-6)'!K171</f>
        <v>4</v>
      </c>
      <c r="H178" s="30" t="str">
        <f>'Table001 (Page 1-6)'!R171</f>
        <v>E</v>
      </c>
      <c r="I178" s="28" t="str">
        <f>'Table001 (Page 1-6)'!F171</f>
        <v>ARTERIAL</v>
      </c>
      <c r="J178" s="29"/>
      <c r="K178" s="29"/>
      <c r="L178" s="29">
        <f>'Table001 (Page 1-6)'!I171</f>
        <v>35820</v>
      </c>
      <c r="M178" s="29"/>
      <c r="N178" s="29">
        <f>'Table001 (Page 1-6)'!J171</f>
        <v>1800</v>
      </c>
      <c r="O178" s="29">
        <f>'Table001 (Page 1-6)'!L171</f>
        <v>35820</v>
      </c>
      <c r="P178" s="29"/>
      <c r="Q178" s="29">
        <f>'Table001 (Page 1-6)'!M171</f>
        <v>1800</v>
      </c>
      <c r="R178" s="29" t="str">
        <f>'Table001 (Page 1-6)'!S171</f>
        <v>6,900</v>
      </c>
      <c r="S178" s="31" t="str">
        <f>'Table001 (Page 1-6)'!T171</f>
        <v>0.19</v>
      </c>
      <c r="T178" s="29" t="str">
        <f>'Table001 (Page 1-6)'!U171</f>
        <v>C</v>
      </c>
      <c r="U178" s="29"/>
      <c r="V178" s="29"/>
      <c r="W178" s="29"/>
      <c r="X178" s="29"/>
      <c r="Y178" s="29"/>
      <c r="Z178" s="29"/>
      <c r="AA178" s="29"/>
      <c r="AB178" s="29"/>
      <c r="AC178" s="31"/>
      <c r="AD178" s="29"/>
      <c r="AE178" s="29"/>
      <c r="AF178" s="29"/>
      <c r="AG178" s="31"/>
      <c r="AH178" s="29"/>
      <c r="AI178" s="32">
        <f>('Table001 (Page 1-6)'!V171)*100</f>
        <v>1</v>
      </c>
      <c r="AJ178" s="35"/>
      <c r="AK178" s="35"/>
      <c r="AL178" s="35"/>
      <c r="AM178" s="35"/>
    </row>
    <row r="179" spans="2:39" x14ac:dyDescent="0.25">
      <c r="B179" s="37">
        <f>'Table001 (Page 1-6)'!A172</f>
        <v>2760</v>
      </c>
      <c r="C179" s="28" t="str">
        <f>'Table001 (Page 1-6)'!B172</f>
        <v>NE 25 AV</v>
      </c>
      <c r="D179" s="28" t="str">
        <f>'Table001 (Page 1-6)'!C172</f>
        <v>SR 492</v>
      </c>
      <c r="E179" s="28" t="str">
        <f>'Table001 (Page 1-6)'!D172</f>
        <v>NE 24 ST</v>
      </c>
      <c r="F179" s="29">
        <f>'Table001 (Page 1-6)'!E172</f>
        <v>2</v>
      </c>
      <c r="G179" s="29">
        <f>'Table001 (Page 1-6)'!K172</f>
        <v>2</v>
      </c>
      <c r="H179" s="30" t="str">
        <f>'Table001 (Page 1-6)'!R172</f>
        <v>E</v>
      </c>
      <c r="I179" s="28" t="str">
        <f>'Table001 (Page 1-6)'!F172</f>
        <v>COLLECTOR</v>
      </c>
      <c r="J179" s="29"/>
      <c r="K179" s="29"/>
      <c r="L179" s="29">
        <f>'Table001 (Page 1-6)'!I172</f>
        <v>11232</v>
      </c>
      <c r="M179" s="29"/>
      <c r="N179" s="29">
        <f>'Table001 (Page 1-6)'!J172</f>
        <v>576</v>
      </c>
      <c r="O179" s="29">
        <f>'Table001 (Page 1-6)'!L172</f>
        <v>11232</v>
      </c>
      <c r="P179" s="29"/>
      <c r="Q179" s="29">
        <f>'Table001 (Page 1-6)'!M172</f>
        <v>576</v>
      </c>
      <c r="R179" s="29" t="str">
        <f>'Table001 (Page 1-6)'!S172</f>
        <v>10,700</v>
      </c>
      <c r="S179" s="31" t="str">
        <f>'Table001 (Page 1-6)'!T172</f>
        <v>0.95</v>
      </c>
      <c r="T179" s="29" t="str">
        <f>'Table001 (Page 1-6)'!U172</f>
        <v>E</v>
      </c>
      <c r="U179" s="29"/>
      <c r="V179" s="29"/>
      <c r="W179" s="29"/>
      <c r="X179" s="29"/>
      <c r="Y179" s="29"/>
      <c r="Z179" s="29"/>
      <c r="AA179" s="29"/>
      <c r="AB179" s="29"/>
      <c r="AC179" s="31"/>
      <c r="AD179" s="29"/>
      <c r="AE179" s="29"/>
      <c r="AF179" s="29"/>
      <c r="AG179" s="31"/>
      <c r="AH179" s="29"/>
      <c r="AI179" s="32">
        <f>('Table001 (Page 1-6)'!V172)*100</f>
        <v>1</v>
      </c>
      <c r="AJ179" s="35"/>
      <c r="AK179" s="35"/>
      <c r="AL179" s="35"/>
      <c r="AM179" s="35"/>
    </row>
    <row r="180" spans="2:39" x14ac:dyDescent="0.25">
      <c r="B180" s="37">
        <f>'Table001 (Page 1-6)'!A173</f>
        <v>2770</v>
      </c>
      <c r="C180" s="28" t="str">
        <f>'Table001 (Page 1-6)'!B173</f>
        <v>NE 25 AV</v>
      </c>
      <c r="D180" s="28" t="str">
        <f>'Table001 (Page 1-6)'!C173</f>
        <v>NE 24 ST</v>
      </c>
      <c r="E180" s="28" t="str">
        <f>'Table001 (Page 1-6)'!D173</f>
        <v>NE 35 ST</v>
      </c>
      <c r="F180" s="29">
        <f>'Table001 (Page 1-6)'!E173</f>
        <v>2</v>
      </c>
      <c r="G180" s="29">
        <f>'Table001 (Page 1-6)'!K173</f>
        <v>2</v>
      </c>
      <c r="H180" s="30" t="str">
        <f>'Table001 (Page 1-6)'!R173</f>
        <v>E</v>
      </c>
      <c r="I180" s="28" t="str">
        <f>'Table001 (Page 1-6)'!F173</f>
        <v>COLLECTOR</v>
      </c>
      <c r="J180" s="29"/>
      <c r="K180" s="29"/>
      <c r="L180" s="29">
        <f>'Table001 (Page 1-6)'!I173</f>
        <v>11232</v>
      </c>
      <c r="M180" s="29"/>
      <c r="N180" s="29">
        <f>'Table001 (Page 1-6)'!J173</f>
        <v>576</v>
      </c>
      <c r="O180" s="29">
        <f>'Table001 (Page 1-6)'!L173</f>
        <v>11232</v>
      </c>
      <c r="P180" s="29"/>
      <c r="Q180" s="29">
        <f>'Table001 (Page 1-6)'!M173</f>
        <v>576</v>
      </c>
      <c r="R180" s="29" t="str">
        <f>'Table001 (Page 1-6)'!S173</f>
        <v>8,000</v>
      </c>
      <c r="S180" s="31" t="str">
        <f>'Table001 (Page 1-6)'!T173</f>
        <v>0.71</v>
      </c>
      <c r="T180" s="29" t="str">
        <f>'Table001 (Page 1-6)'!U173</f>
        <v>D</v>
      </c>
      <c r="U180" s="29"/>
      <c r="V180" s="29"/>
      <c r="W180" s="29"/>
      <c r="X180" s="29"/>
      <c r="Y180" s="29"/>
      <c r="Z180" s="29"/>
      <c r="AA180" s="29"/>
      <c r="AB180" s="29"/>
      <c r="AC180" s="31"/>
      <c r="AD180" s="29"/>
      <c r="AE180" s="29"/>
      <c r="AF180" s="29"/>
      <c r="AG180" s="31"/>
      <c r="AH180" s="29"/>
      <c r="AI180" s="32">
        <f>('Table001 (Page 1-6)'!V173)*100</f>
        <v>1</v>
      </c>
      <c r="AJ180" s="35"/>
      <c r="AK180" s="35"/>
      <c r="AL180" s="35"/>
      <c r="AM180" s="35"/>
    </row>
    <row r="181" spans="2:39" x14ac:dyDescent="0.25">
      <c r="B181" s="37">
        <f>'Table001 (Page 1-6)'!A174</f>
        <v>2780</v>
      </c>
      <c r="C181" s="28" t="str">
        <f>'Table001 (Page 1-6)'!B174</f>
        <v>NE 25 AV</v>
      </c>
      <c r="D181" s="28" t="str">
        <f>'Table001 (Page 1-6)'!C174</f>
        <v>NE 35 ST</v>
      </c>
      <c r="E181" s="28" t="str">
        <f>'Table001 (Page 1-6)'!D174</f>
        <v>NE 49 ST</v>
      </c>
      <c r="F181" s="29">
        <f>'Table001 (Page 1-6)'!E174</f>
        <v>2</v>
      </c>
      <c r="G181" s="29">
        <f>'Table001 (Page 1-6)'!K174</f>
        <v>2</v>
      </c>
      <c r="H181" s="30" t="str">
        <f>'Table001 (Page 1-6)'!R174</f>
        <v>E</v>
      </c>
      <c r="I181" s="28" t="str">
        <f>'Table001 (Page 1-6)'!F174</f>
        <v>COLLECTOR</v>
      </c>
      <c r="J181" s="29"/>
      <c r="K181" s="29"/>
      <c r="L181" s="29">
        <f>'Table001 (Page 1-6)'!I174</f>
        <v>11232</v>
      </c>
      <c r="M181" s="29"/>
      <c r="N181" s="29">
        <f>'Table001 (Page 1-6)'!J174</f>
        <v>576</v>
      </c>
      <c r="O181" s="29">
        <f>'Table001 (Page 1-6)'!L174</f>
        <v>11232</v>
      </c>
      <c r="P181" s="29"/>
      <c r="Q181" s="29">
        <f>'Table001 (Page 1-6)'!M174</f>
        <v>576</v>
      </c>
      <c r="R181" s="29" t="str">
        <f>'Table001 (Page 1-6)'!S174</f>
        <v>5,100</v>
      </c>
      <c r="S181" s="31" t="str">
        <f>'Table001 (Page 1-6)'!T174</f>
        <v>0.45</v>
      </c>
      <c r="T181" s="29" t="str">
        <f>'Table001 (Page 1-6)'!U174</f>
        <v>C</v>
      </c>
      <c r="U181" s="29"/>
      <c r="V181" s="29"/>
      <c r="W181" s="29"/>
      <c r="X181" s="29"/>
      <c r="Y181" s="29"/>
      <c r="Z181" s="29"/>
      <c r="AA181" s="29"/>
      <c r="AB181" s="29"/>
      <c r="AC181" s="31"/>
      <c r="AD181" s="29"/>
      <c r="AE181" s="29"/>
      <c r="AF181" s="29"/>
      <c r="AG181" s="31"/>
      <c r="AH181" s="29"/>
      <c r="AI181" s="32">
        <f>('Table001 (Page 1-6)'!V174)*100</f>
        <v>1</v>
      </c>
      <c r="AJ181" s="35"/>
      <c r="AK181" s="35"/>
      <c r="AL181" s="35"/>
      <c r="AM181" s="35"/>
    </row>
    <row r="182" spans="2:39" x14ac:dyDescent="0.25">
      <c r="B182" s="37">
        <f>'Table001 (Page 1-6)'!A175</f>
        <v>2790</v>
      </c>
      <c r="C182" s="28" t="str">
        <f>'Table001 (Page 1-6)'!B175</f>
        <v>NE 25 AV</v>
      </c>
      <c r="D182" s="28" t="str">
        <f>'Table001 (Page 1-6)'!C175</f>
        <v>NE 49 ST</v>
      </c>
      <c r="E182" s="28" t="str">
        <f>'Table001 (Page 1-6)'!D175</f>
        <v>SR 326</v>
      </c>
      <c r="F182" s="29">
        <f>'Table001 (Page 1-6)'!E175</f>
        <v>2</v>
      </c>
      <c r="G182" s="29">
        <f>'Table001 (Page 1-6)'!K175</f>
        <v>2</v>
      </c>
      <c r="H182" s="30" t="str">
        <f>'Table001 (Page 1-6)'!R175</f>
        <v>E</v>
      </c>
      <c r="I182" s="28" t="str">
        <f>'Table001 (Page 1-6)'!F175</f>
        <v>COLLECTOR</v>
      </c>
      <c r="J182" s="29"/>
      <c r="K182" s="29"/>
      <c r="L182" s="29">
        <f>'Table001 (Page 1-6)'!I175</f>
        <v>11232</v>
      </c>
      <c r="M182" s="29"/>
      <c r="N182" s="29">
        <f>'Table001 (Page 1-6)'!J175</f>
        <v>576</v>
      </c>
      <c r="O182" s="29">
        <f>'Table001 (Page 1-6)'!L175</f>
        <v>11232</v>
      </c>
      <c r="P182" s="29"/>
      <c r="Q182" s="29">
        <f>'Table001 (Page 1-6)'!M175</f>
        <v>576</v>
      </c>
      <c r="R182" s="29" t="str">
        <f>'Table001 (Page 1-6)'!S175</f>
        <v>3,500</v>
      </c>
      <c r="S182" s="31" t="str">
        <f>'Table001 (Page 1-6)'!T175</f>
        <v>0.31</v>
      </c>
      <c r="T182" s="29" t="str">
        <f>'Table001 (Page 1-6)'!U175</f>
        <v>C</v>
      </c>
      <c r="U182" s="29"/>
      <c r="V182" s="29"/>
      <c r="W182" s="29"/>
      <c r="X182" s="29"/>
      <c r="Y182" s="29"/>
      <c r="Z182" s="29"/>
      <c r="AA182" s="29"/>
      <c r="AB182" s="29"/>
      <c r="AC182" s="31"/>
      <c r="AD182" s="29"/>
      <c r="AE182" s="29"/>
      <c r="AF182" s="29"/>
      <c r="AG182" s="31"/>
      <c r="AH182" s="29"/>
      <c r="AI182" s="32">
        <f>('Table001 (Page 1-6)'!V175)*100</f>
        <v>1</v>
      </c>
      <c r="AJ182" s="35"/>
      <c r="AK182" s="35"/>
      <c r="AL182" s="35"/>
      <c r="AM182" s="35"/>
    </row>
    <row r="183" spans="2:39" x14ac:dyDescent="0.25">
      <c r="B183" s="37">
        <f>'Table001 (Page 1-6)'!A176</f>
        <v>2800</v>
      </c>
      <c r="C183" s="28" t="str">
        <f>'Table001 (Page 1-6)'!B176</f>
        <v>NE 28 ST</v>
      </c>
      <c r="D183" s="28" t="str">
        <f>'Table001 (Page 1-6)'!C176</f>
        <v>US 441</v>
      </c>
      <c r="E183" s="28" t="str">
        <f>'Table001 (Page 1-6)'!D176</f>
        <v>CR 200A</v>
      </c>
      <c r="F183" s="29">
        <f>'Table001 (Page 1-6)'!E176</f>
        <v>2</v>
      </c>
      <c r="G183" s="29">
        <f>'Table001 (Page 1-6)'!K176</f>
        <v>2</v>
      </c>
      <c r="H183" s="30" t="str">
        <f>'Table001 (Page 1-6)'!R176</f>
        <v>E</v>
      </c>
      <c r="I183" s="28" t="str">
        <f>'Table001 (Page 1-6)'!F176</f>
        <v>COLLECTOR</v>
      </c>
      <c r="J183" s="29"/>
      <c r="K183" s="29"/>
      <c r="L183" s="29">
        <f>'Table001 (Page 1-6)'!I176</f>
        <v>11232</v>
      </c>
      <c r="M183" s="29"/>
      <c r="N183" s="29">
        <f>'Table001 (Page 1-6)'!J176</f>
        <v>576</v>
      </c>
      <c r="O183" s="29">
        <f>'Table001 (Page 1-6)'!L176</f>
        <v>11232</v>
      </c>
      <c r="P183" s="29"/>
      <c r="Q183" s="29">
        <f>'Table001 (Page 1-6)'!M176</f>
        <v>576</v>
      </c>
      <c r="R183" s="29" t="str">
        <f>'Table001 (Page 1-6)'!S176</f>
        <v>2,300</v>
      </c>
      <c r="S183" s="31" t="str">
        <f>'Table001 (Page 1-6)'!T176</f>
        <v>0.2</v>
      </c>
      <c r="T183" s="29" t="str">
        <f>'Table001 (Page 1-6)'!U176</f>
        <v>C</v>
      </c>
      <c r="U183" s="29"/>
      <c r="V183" s="29"/>
      <c r="W183" s="29"/>
      <c r="X183" s="29"/>
      <c r="Y183" s="29"/>
      <c r="Z183" s="29"/>
      <c r="AA183" s="29"/>
      <c r="AB183" s="29"/>
      <c r="AC183" s="31"/>
      <c r="AD183" s="29"/>
      <c r="AE183" s="29"/>
      <c r="AF183" s="29"/>
      <c r="AG183" s="31"/>
      <c r="AH183" s="29"/>
      <c r="AI183" s="32">
        <f>('Table001 (Page 1-6)'!V176)*100</f>
        <v>1</v>
      </c>
      <c r="AJ183" s="35"/>
      <c r="AK183" s="35"/>
      <c r="AL183" s="35"/>
      <c r="AM183" s="35"/>
    </row>
    <row r="184" spans="2:39" x14ac:dyDescent="0.25">
      <c r="B184" s="37">
        <f>'Table001 (Page 1-6)'!A177</f>
        <v>2830</v>
      </c>
      <c r="C184" s="28" t="str">
        <f>'Table001 (Page 1-6)'!B177</f>
        <v>NE 3 ST</v>
      </c>
      <c r="D184" s="28" t="str">
        <f>'Table001 (Page 1-6)'!C177</f>
        <v>N MAGNOLIA AV</v>
      </c>
      <c r="E184" s="28" t="str">
        <f>'Table001 (Page 1-6)'!D177</f>
        <v>NE 1 AV</v>
      </c>
      <c r="F184" s="29">
        <f>'Table001 (Page 1-6)'!E177</f>
        <v>2</v>
      </c>
      <c r="G184" s="29">
        <f>'Table001 (Page 1-6)'!K177</f>
        <v>2</v>
      </c>
      <c r="H184" s="30" t="str">
        <f>'Table001 (Page 1-6)'!R177</f>
        <v>E</v>
      </c>
      <c r="I184" s="28" t="str">
        <f>'Table001 (Page 1-6)'!F177</f>
        <v>COLLECTOR</v>
      </c>
      <c r="J184" s="29"/>
      <c r="K184" s="29"/>
      <c r="L184" s="29">
        <f>'Table001 (Page 1-6)'!I177</f>
        <v>11232</v>
      </c>
      <c r="M184" s="29"/>
      <c r="N184" s="29">
        <f>'Table001 (Page 1-6)'!J177</f>
        <v>576</v>
      </c>
      <c r="O184" s="29">
        <f>'Table001 (Page 1-6)'!L177</f>
        <v>11232</v>
      </c>
      <c r="P184" s="29"/>
      <c r="Q184" s="29">
        <f>'Table001 (Page 1-6)'!M177</f>
        <v>576</v>
      </c>
      <c r="R184" s="29" t="str">
        <f>'Table001 (Page 1-6)'!S177</f>
        <v>Not Counted</v>
      </c>
      <c r="S184" s="31" t="str">
        <f>'Table001 (Page 1-6)'!T177</f>
        <v>N/A</v>
      </c>
      <c r="T184" s="29" t="str">
        <f>'Table001 (Page 1-6)'!U177</f>
        <v>N/A</v>
      </c>
      <c r="U184" s="29"/>
      <c r="V184" s="29"/>
      <c r="W184" s="29"/>
      <c r="X184" s="29"/>
      <c r="Y184" s="29"/>
      <c r="Z184" s="29"/>
      <c r="AA184" s="29"/>
      <c r="AB184" s="29"/>
      <c r="AC184" s="31"/>
      <c r="AD184" s="29"/>
      <c r="AE184" s="29"/>
      <c r="AF184" s="29"/>
      <c r="AG184" s="31"/>
      <c r="AH184" s="29"/>
      <c r="AI184" s="32">
        <f>('Table001 (Page 1-6)'!V177)*100</f>
        <v>1</v>
      </c>
      <c r="AJ184" s="35"/>
      <c r="AK184" s="35"/>
      <c r="AL184" s="35"/>
      <c r="AM184" s="35"/>
    </row>
    <row r="185" spans="2:39" x14ac:dyDescent="0.25">
      <c r="B185" s="37">
        <f>'Table001 (Page 1-6)'!A178</f>
        <v>2840</v>
      </c>
      <c r="C185" s="28" t="str">
        <f>'Table001 (Page 1-6)'!B178</f>
        <v>NE 3 ST</v>
      </c>
      <c r="D185" s="28" t="str">
        <f>'Table001 (Page 1-6)'!C178</f>
        <v>NE 1 AV</v>
      </c>
      <c r="E185" s="28" t="str">
        <f>'Table001 (Page 1-6)'!D178</f>
        <v>NE 8 AV</v>
      </c>
      <c r="F185" s="29">
        <f>'Table001 (Page 1-6)'!E178</f>
        <v>2</v>
      </c>
      <c r="G185" s="29">
        <f>'Table001 (Page 1-6)'!K178</f>
        <v>2</v>
      </c>
      <c r="H185" s="30" t="str">
        <f>'Table001 (Page 1-6)'!R178</f>
        <v>E</v>
      </c>
      <c r="I185" s="28" t="str">
        <f>'Table001 (Page 1-6)'!F178</f>
        <v>COLLECTOR</v>
      </c>
      <c r="J185" s="29"/>
      <c r="K185" s="29"/>
      <c r="L185" s="29">
        <f>'Table001 (Page 1-6)'!I178</f>
        <v>11232</v>
      </c>
      <c r="M185" s="29"/>
      <c r="N185" s="29">
        <f>'Table001 (Page 1-6)'!J178</f>
        <v>576</v>
      </c>
      <c r="O185" s="29">
        <f>'Table001 (Page 1-6)'!L178</f>
        <v>11232</v>
      </c>
      <c r="P185" s="29"/>
      <c r="Q185" s="29">
        <f>'Table001 (Page 1-6)'!M178</f>
        <v>576</v>
      </c>
      <c r="R185" s="29" t="str">
        <f>'Table001 (Page 1-6)'!S178</f>
        <v>Not Counted</v>
      </c>
      <c r="S185" s="31" t="str">
        <f>'Table001 (Page 1-6)'!T178</f>
        <v>N/A</v>
      </c>
      <c r="T185" s="29" t="str">
        <f>'Table001 (Page 1-6)'!U178</f>
        <v>N/A</v>
      </c>
      <c r="U185" s="29"/>
      <c r="V185" s="29"/>
      <c r="W185" s="29"/>
      <c r="X185" s="29"/>
      <c r="Y185" s="29"/>
      <c r="Z185" s="29"/>
      <c r="AA185" s="29"/>
      <c r="AB185" s="29"/>
      <c r="AC185" s="31"/>
      <c r="AD185" s="29"/>
      <c r="AE185" s="29"/>
      <c r="AF185" s="29"/>
      <c r="AG185" s="31"/>
      <c r="AH185" s="29"/>
      <c r="AI185" s="32">
        <f>('Table001 (Page 1-6)'!V178)*100</f>
        <v>1</v>
      </c>
      <c r="AJ185" s="35"/>
      <c r="AK185" s="35"/>
      <c r="AL185" s="35"/>
      <c r="AM185" s="35"/>
    </row>
    <row r="186" spans="2:39" x14ac:dyDescent="0.25">
      <c r="B186" s="37">
        <f>'Table001 (Page 1-6)'!A179</f>
        <v>2850</v>
      </c>
      <c r="C186" s="28" t="str">
        <f>'Table001 (Page 1-6)'!B179</f>
        <v>NE 3 ST</v>
      </c>
      <c r="D186" s="28" t="str">
        <f>'Table001 (Page 1-6)'!C179</f>
        <v>NE 8 AV</v>
      </c>
      <c r="E186" s="28" t="str">
        <f>'Table001 (Page 1-6)'!D179</f>
        <v>NE 25 AV</v>
      </c>
      <c r="F186" s="29">
        <f>'Table001 (Page 1-6)'!E179</f>
        <v>2</v>
      </c>
      <c r="G186" s="29">
        <f>'Table001 (Page 1-6)'!K179</f>
        <v>2</v>
      </c>
      <c r="H186" s="30" t="str">
        <f>'Table001 (Page 1-6)'!R179</f>
        <v>E</v>
      </c>
      <c r="I186" s="28" t="str">
        <f>'Table001 (Page 1-6)'!F179</f>
        <v>COLLECTOR</v>
      </c>
      <c r="J186" s="29"/>
      <c r="K186" s="29"/>
      <c r="L186" s="29">
        <f>'Table001 (Page 1-6)'!I179</f>
        <v>11232</v>
      </c>
      <c r="M186" s="29"/>
      <c r="N186" s="29">
        <f>'Table001 (Page 1-6)'!J179</f>
        <v>576</v>
      </c>
      <c r="O186" s="29">
        <f>'Table001 (Page 1-6)'!L179</f>
        <v>11232</v>
      </c>
      <c r="P186" s="29"/>
      <c r="Q186" s="29">
        <f>'Table001 (Page 1-6)'!M179</f>
        <v>576</v>
      </c>
      <c r="R186" s="29" t="str">
        <f>'Table001 (Page 1-6)'!S179</f>
        <v>4,000</v>
      </c>
      <c r="S186" s="31" t="str">
        <f>'Table001 (Page 1-6)'!T179</f>
        <v>0.36</v>
      </c>
      <c r="T186" s="29" t="str">
        <f>'Table001 (Page 1-6)'!U179</f>
        <v>C</v>
      </c>
      <c r="U186" s="29"/>
      <c r="V186" s="29"/>
      <c r="W186" s="29"/>
      <c r="X186" s="29"/>
      <c r="Y186" s="29"/>
      <c r="Z186" s="29"/>
      <c r="AA186" s="29"/>
      <c r="AB186" s="29"/>
      <c r="AC186" s="31"/>
      <c r="AD186" s="29"/>
      <c r="AE186" s="29"/>
      <c r="AF186" s="29"/>
      <c r="AG186" s="31"/>
      <c r="AH186" s="29"/>
      <c r="AI186" s="32">
        <f>('Table001 (Page 1-6)'!V179)*100</f>
        <v>4.16</v>
      </c>
      <c r="AJ186" s="35"/>
      <c r="AK186" s="35"/>
      <c r="AL186" s="35"/>
      <c r="AM186" s="35"/>
    </row>
    <row r="187" spans="2:39" x14ac:dyDescent="0.25">
      <c r="B187" s="37">
        <f>'Table001 (Page 1-6)'!A180</f>
        <v>2860</v>
      </c>
      <c r="C187" s="28" t="str">
        <f>'Table001 (Page 1-6)'!B180</f>
        <v>NE 3 ST</v>
      </c>
      <c r="D187" s="28" t="str">
        <f>'Table001 (Page 1-6)'!C180</f>
        <v>NE 25 AV</v>
      </c>
      <c r="E187" s="28" t="str">
        <f>'Table001 (Page 1-6)'!D180</f>
        <v>SR 40</v>
      </c>
      <c r="F187" s="29">
        <f>'Table001 (Page 1-6)'!E180</f>
        <v>2</v>
      </c>
      <c r="G187" s="29">
        <f>'Table001 (Page 1-6)'!K180</f>
        <v>2</v>
      </c>
      <c r="H187" s="30" t="str">
        <f>'Table001 (Page 1-6)'!R180</f>
        <v>E</v>
      </c>
      <c r="I187" s="28" t="str">
        <f>'Table001 (Page 1-6)'!F180</f>
        <v>COLLECTOR</v>
      </c>
      <c r="J187" s="29"/>
      <c r="K187" s="29"/>
      <c r="L187" s="29">
        <f>'Table001 (Page 1-6)'!I180</f>
        <v>11232</v>
      </c>
      <c r="M187" s="29"/>
      <c r="N187" s="29">
        <f>'Table001 (Page 1-6)'!J180</f>
        <v>576</v>
      </c>
      <c r="O187" s="29">
        <f>'Table001 (Page 1-6)'!L180</f>
        <v>11232</v>
      </c>
      <c r="P187" s="29"/>
      <c r="Q187" s="29">
        <f>'Table001 (Page 1-6)'!M180</f>
        <v>576</v>
      </c>
      <c r="R187" s="29" t="str">
        <f>'Table001 (Page 1-6)'!S180</f>
        <v>1,800</v>
      </c>
      <c r="S187" s="31" t="str">
        <f>'Table001 (Page 1-6)'!T180</f>
        <v>0.16</v>
      </c>
      <c r="T187" s="29" t="str">
        <f>'Table001 (Page 1-6)'!U180</f>
        <v>C</v>
      </c>
      <c r="U187" s="29"/>
      <c r="V187" s="29"/>
      <c r="W187" s="29"/>
      <c r="X187" s="29"/>
      <c r="Y187" s="29"/>
      <c r="Z187" s="29"/>
      <c r="AA187" s="29"/>
      <c r="AB187" s="29"/>
      <c r="AC187" s="31"/>
      <c r="AD187" s="29"/>
      <c r="AE187" s="29"/>
      <c r="AF187" s="29"/>
      <c r="AG187" s="31"/>
      <c r="AH187" s="29"/>
      <c r="AI187" s="32">
        <f>('Table001 (Page 1-6)'!V180)*100</f>
        <v>1</v>
      </c>
      <c r="AJ187" s="35"/>
      <c r="AK187" s="35"/>
      <c r="AL187" s="35"/>
      <c r="AM187" s="35"/>
    </row>
    <row r="188" spans="2:39" x14ac:dyDescent="0.25">
      <c r="B188" s="37">
        <f>'Table001 (Page 1-6)'!A181</f>
        <v>2870</v>
      </c>
      <c r="C188" s="28" t="str">
        <f>'Table001 (Page 1-6)'!B181</f>
        <v>NE 35 ST</v>
      </c>
      <c r="D188" s="28" t="str">
        <f>'Table001 (Page 1-6)'!C181</f>
        <v>CR 200A</v>
      </c>
      <c r="E188" s="28" t="str">
        <f>'Table001 (Page 1-6)'!D181</f>
        <v>NE 25 AV</v>
      </c>
      <c r="F188" s="29">
        <f>'Table001 (Page 1-6)'!E181</f>
        <v>2</v>
      </c>
      <c r="G188" s="29">
        <f>'Table001 (Page 1-6)'!K181</f>
        <v>2</v>
      </c>
      <c r="H188" s="30" t="str">
        <f>'Table001 (Page 1-6)'!R181</f>
        <v>E</v>
      </c>
      <c r="I188" s="28" t="str">
        <f>'Table001 (Page 1-6)'!F181</f>
        <v>COLLECTOR</v>
      </c>
      <c r="J188" s="29"/>
      <c r="K188" s="29"/>
      <c r="L188" s="29">
        <f>'Table001 (Page 1-6)'!I181</f>
        <v>11232</v>
      </c>
      <c r="M188" s="29"/>
      <c r="N188" s="29">
        <f>'Table001 (Page 1-6)'!J181</f>
        <v>576</v>
      </c>
      <c r="O188" s="29">
        <f>'Table001 (Page 1-6)'!L181</f>
        <v>11232</v>
      </c>
      <c r="P188" s="29"/>
      <c r="Q188" s="29">
        <f>'Table001 (Page 1-6)'!M181</f>
        <v>576</v>
      </c>
      <c r="R188" s="29" t="str">
        <f>'Table001 (Page 1-6)'!S181</f>
        <v>10,100</v>
      </c>
      <c r="S188" s="31" t="str">
        <f>'Table001 (Page 1-6)'!T181</f>
        <v>0.9</v>
      </c>
      <c r="T188" s="29" t="str">
        <f>'Table001 (Page 1-6)'!U181</f>
        <v>D</v>
      </c>
      <c r="U188" s="29"/>
      <c r="V188" s="29"/>
      <c r="W188" s="29"/>
      <c r="X188" s="29"/>
      <c r="Y188" s="29"/>
      <c r="Z188" s="29"/>
      <c r="AA188" s="29"/>
      <c r="AB188" s="29"/>
      <c r="AC188" s="31"/>
      <c r="AD188" s="29"/>
      <c r="AE188" s="29"/>
      <c r="AF188" s="29"/>
      <c r="AG188" s="31"/>
      <c r="AH188" s="29"/>
      <c r="AI188" s="32">
        <f>('Table001 (Page 1-6)'!V181)*100</f>
        <v>3.38</v>
      </c>
      <c r="AJ188" s="35"/>
      <c r="AK188" s="35"/>
      <c r="AL188" s="35"/>
      <c r="AM188" s="35"/>
    </row>
    <row r="189" spans="2:39" x14ac:dyDescent="0.25">
      <c r="B189" s="37">
        <f>'Table001 (Page 1-6)'!A182</f>
        <v>2880.1</v>
      </c>
      <c r="C189" s="28" t="str">
        <f>'Table001 (Page 1-6)'!B182</f>
        <v>NE 35 ST</v>
      </c>
      <c r="D189" s="28" t="str">
        <f>'Table001 (Page 1-6)'!C182</f>
        <v>NE 25 AV</v>
      </c>
      <c r="E189" s="28" t="str">
        <f>'Table001 (Page 1-6)'!D182</f>
        <v>NE 36 AV</v>
      </c>
      <c r="F189" s="29">
        <f>'Table001 (Page 1-6)'!E182</f>
        <v>2</v>
      </c>
      <c r="G189" s="29">
        <f>'Table001 (Page 1-6)'!K182</f>
        <v>2</v>
      </c>
      <c r="H189" s="30" t="str">
        <f>'Table001 (Page 1-6)'!R182</f>
        <v>E</v>
      </c>
      <c r="I189" s="28" t="str">
        <f>'Table001 (Page 1-6)'!F182</f>
        <v>COLLECTOR</v>
      </c>
      <c r="J189" s="29"/>
      <c r="K189" s="29"/>
      <c r="L189" s="29">
        <f>'Table001 (Page 1-6)'!I182</f>
        <v>11232</v>
      </c>
      <c r="M189" s="29"/>
      <c r="N189" s="29">
        <f>'Table001 (Page 1-6)'!J182</f>
        <v>576</v>
      </c>
      <c r="O189" s="29">
        <f>'Table001 (Page 1-6)'!L182</f>
        <v>11232</v>
      </c>
      <c r="P189" s="29"/>
      <c r="Q189" s="29">
        <f>'Table001 (Page 1-6)'!M182</f>
        <v>576</v>
      </c>
      <c r="R189" s="29" t="str">
        <f>'Table001 (Page 1-6)'!S182</f>
        <v>8,000</v>
      </c>
      <c r="S189" s="31" t="str">
        <f>'Table001 (Page 1-6)'!T182</f>
        <v>0.71</v>
      </c>
      <c r="T189" s="29" t="str">
        <f>'Table001 (Page 1-6)'!U182</f>
        <v>D</v>
      </c>
      <c r="U189" s="29"/>
      <c r="V189" s="29"/>
      <c r="W189" s="29"/>
      <c r="X189" s="29"/>
      <c r="Y189" s="29"/>
      <c r="Z189" s="29"/>
      <c r="AA189" s="29"/>
      <c r="AB189" s="29"/>
      <c r="AC189" s="31"/>
      <c r="AD189" s="29"/>
      <c r="AE189" s="29"/>
      <c r="AF189" s="29"/>
      <c r="AG189" s="31"/>
      <c r="AH189" s="29"/>
      <c r="AI189" s="32">
        <f>('Table001 (Page 1-6)'!V182)*100</f>
        <v>1</v>
      </c>
      <c r="AJ189" s="35"/>
      <c r="AK189" s="35"/>
      <c r="AL189" s="35"/>
      <c r="AM189" s="35"/>
    </row>
    <row r="190" spans="2:39" x14ac:dyDescent="0.25">
      <c r="B190" s="37">
        <f>'Table001 (Page 1-6)'!A183</f>
        <v>2890</v>
      </c>
      <c r="C190" s="28" t="str">
        <f>'Table001 (Page 1-6)'!B183</f>
        <v>NE 35 ST</v>
      </c>
      <c r="D190" s="28" t="str">
        <f>'Table001 (Page 1-6)'!C183</f>
        <v>NE 36 AV</v>
      </c>
      <c r="E190" s="28" t="str">
        <f>'Table001 (Page 1-6)'!D183</f>
        <v>CR 35</v>
      </c>
      <c r="F190" s="29">
        <f>'Table001 (Page 1-6)'!E183</f>
        <v>2</v>
      </c>
      <c r="G190" s="29">
        <f>'Table001 (Page 1-6)'!K183</f>
        <v>2</v>
      </c>
      <c r="H190" s="30" t="str">
        <f>'Table001 (Page 1-6)'!R183</f>
        <v>E</v>
      </c>
      <c r="I190" s="28" t="str">
        <f>'Table001 (Page 1-6)'!F183</f>
        <v>COLLECTOR</v>
      </c>
      <c r="J190" s="29"/>
      <c r="K190" s="29"/>
      <c r="L190" s="29">
        <f>'Table001 (Page 1-6)'!I183</f>
        <v>11232</v>
      </c>
      <c r="M190" s="29"/>
      <c r="N190" s="29">
        <f>'Table001 (Page 1-6)'!J183</f>
        <v>576</v>
      </c>
      <c r="O190" s="29">
        <f>'Table001 (Page 1-6)'!L183</f>
        <v>11232</v>
      </c>
      <c r="P190" s="29"/>
      <c r="Q190" s="29">
        <f>'Table001 (Page 1-6)'!M183</f>
        <v>576</v>
      </c>
      <c r="R190" s="29" t="str">
        <f>'Table001 (Page 1-6)'!S183</f>
        <v>7,200</v>
      </c>
      <c r="S190" s="31" t="str">
        <f>'Table001 (Page 1-6)'!T183</f>
        <v>0.64</v>
      </c>
      <c r="T190" s="29" t="str">
        <f>'Table001 (Page 1-6)'!U183</f>
        <v>D</v>
      </c>
      <c r="U190" s="29"/>
      <c r="V190" s="29"/>
      <c r="W190" s="29"/>
      <c r="X190" s="29"/>
      <c r="Y190" s="29"/>
      <c r="Z190" s="29"/>
      <c r="AA190" s="29"/>
      <c r="AB190" s="29"/>
      <c r="AC190" s="31"/>
      <c r="AD190" s="29"/>
      <c r="AE190" s="29"/>
      <c r="AF190" s="29"/>
      <c r="AG190" s="31"/>
      <c r="AH190" s="29"/>
      <c r="AI190" s="32">
        <f>('Table001 (Page 1-6)'!V183)*100</f>
        <v>2.1</v>
      </c>
      <c r="AJ190" s="35"/>
      <c r="AK190" s="35"/>
      <c r="AL190" s="35"/>
      <c r="AM190" s="35"/>
    </row>
    <row r="191" spans="2:39" x14ac:dyDescent="0.25">
      <c r="B191" s="37">
        <f>'Table001 (Page 1-6)'!A184</f>
        <v>2900</v>
      </c>
      <c r="C191" s="28" t="str">
        <f>'Table001 (Page 1-6)'!B184</f>
        <v>NE 36 AV</v>
      </c>
      <c r="D191" s="28" t="str">
        <f>'Table001 (Page 1-6)'!C184</f>
        <v>NE 97 ST</v>
      </c>
      <c r="E191" s="28" t="str">
        <f>'Table001 (Page 1-6)'!D184</f>
        <v>CR 329</v>
      </c>
      <c r="F191" s="29">
        <f>'Table001 (Page 1-6)'!E184</f>
        <v>2</v>
      </c>
      <c r="G191" s="29">
        <f>'Table001 (Page 1-6)'!K184</f>
        <v>2</v>
      </c>
      <c r="H191" s="30" t="str">
        <f>'Table001 (Page 1-6)'!R184</f>
        <v>D</v>
      </c>
      <c r="I191" s="28" t="str">
        <f>'Table001 (Page 1-6)'!F184</f>
        <v>COLLECTOR</v>
      </c>
      <c r="J191" s="29"/>
      <c r="K191" s="29"/>
      <c r="L191" s="29">
        <f>'Table001 (Page 1-6)'!I184</f>
        <v>19170</v>
      </c>
      <c r="M191" s="29"/>
      <c r="N191" s="29">
        <f>'Table001 (Page 1-6)'!J184</f>
        <v>999</v>
      </c>
      <c r="O191" s="29">
        <f>'Table001 (Page 1-6)'!L184</f>
        <v>19170</v>
      </c>
      <c r="P191" s="29"/>
      <c r="Q191" s="29">
        <f>'Table001 (Page 1-6)'!M184</f>
        <v>999</v>
      </c>
      <c r="R191" s="29" t="str">
        <f>'Table001 (Page 1-6)'!S184</f>
        <v>1,900</v>
      </c>
      <c r="S191" s="31" t="str">
        <f>'Table001 (Page 1-6)'!T184</f>
        <v>0.1</v>
      </c>
      <c r="T191" s="29" t="str">
        <f>'Table001 (Page 1-6)'!U184</f>
        <v>B</v>
      </c>
      <c r="U191" s="29"/>
      <c r="V191" s="29"/>
      <c r="W191" s="29"/>
      <c r="X191" s="29"/>
      <c r="Y191" s="29"/>
      <c r="Z191" s="29"/>
      <c r="AA191" s="29"/>
      <c r="AB191" s="29"/>
      <c r="AC191" s="31"/>
      <c r="AD191" s="29"/>
      <c r="AE191" s="29"/>
      <c r="AF191" s="29"/>
      <c r="AG191" s="31"/>
      <c r="AH191" s="29"/>
      <c r="AI191" s="32">
        <f>('Table001 (Page 1-6)'!V184)*100</f>
        <v>1.0900000000000001</v>
      </c>
      <c r="AJ191" s="35"/>
      <c r="AK191" s="35"/>
      <c r="AL191" s="35"/>
      <c r="AM191" s="35"/>
    </row>
    <row r="192" spans="2:39" x14ac:dyDescent="0.25">
      <c r="B192" s="37">
        <f>'Table001 (Page 1-6)'!A185</f>
        <v>2920</v>
      </c>
      <c r="C192" s="28" t="str">
        <f>'Table001 (Page 1-6)'!B185</f>
        <v>NE 36 AV</v>
      </c>
      <c r="D192" s="28" t="str">
        <f>'Table001 (Page 1-6)'!C185</f>
        <v>NE 14 ST</v>
      </c>
      <c r="E192" s="28" t="str">
        <f>'Table001 (Page 1-6)'!D185</f>
        <v>NE 21 ST</v>
      </c>
      <c r="F192" s="29">
        <f>'Table001 (Page 1-6)'!E185</f>
        <v>2</v>
      </c>
      <c r="G192" s="29">
        <f>'Table001 (Page 1-6)'!K185</f>
        <v>2</v>
      </c>
      <c r="H192" s="30" t="str">
        <f>'Table001 (Page 1-6)'!R185</f>
        <v>E</v>
      </c>
      <c r="I192" s="28" t="str">
        <f>'Table001 (Page 1-6)'!F185</f>
        <v>ARTERIAL</v>
      </c>
      <c r="J192" s="29"/>
      <c r="K192" s="29"/>
      <c r="L192" s="29">
        <f>'Table001 (Page 1-6)'!I185</f>
        <v>12744</v>
      </c>
      <c r="M192" s="29"/>
      <c r="N192" s="29">
        <f>'Table001 (Page 1-6)'!J185</f>
        <v>634</v>
      </c>
      <c r="O192" s="29">
        <f>'Table001 (Page 1-6)'!L185</f>
        <v>12744</v>
      </c>
      <c r="P192" s="29"/>
      <c r="Q192" s="29">
        <f>'Table001 (Page 1-6)'!M185</f>
        <v>634</v>
      </c>
      <c r="R192" s="29" t="str">
        <f>'Table001 (Page 1-6)'!S185</f>
        <v>12,200</v>
      </c>
      <c r="S192" s="31" t="str">
        <f>'Table001 (Page 1-6)'!T185</f>
        <v>0.96</v>
      </c>
      <c r="T192" s="29" t="str">
        <f>'Table001 (Page 1-6)'!U185</f>
        <v>D</v>
      </c>
      <c r="U192" s="29"/>
      <c r="V192" s="29"/>
      <c r="W192" s="29"/>
      <c r="X192" s="29"/>
      <c r="Y192" s="29"/>
      <c r="Z192" s="29"/>
      <c r="AA192" s="29"/>
      <c r="AB192" s="29"/>
      <c r="AC192" s="31"/>
      <c r="AD192" s="29"/>
      <c r="AE192" s="29"/>
      <c r="AF192" s="29"/>
      <c r="AG192" s="31"/>
      <c r="AH192" s="29"/>
      <c r="AI192" s="32">
        <f>('Table001 (Page 1-6)'!V185)*100</f>
        <v>1</v>
      </c>
      <c r="AJ192" s="35"/>
      <c r="AK192" s="35"/>
      <c r="AL192" s="35"/>
      <c r="AM192" s="35"/>
    </row>
    <row r="193" spans="2:39" x14ac:dyDescent="0.25">
      <c r="B193" s="37">
        <f>'Table001 (Page 1-6)'!A186</f>
        <v>2930</v>
      </c>
      <c r="C193" s="28" t="str">
        <f>'Table001 (Page 1-6)'!B186</f>
        <v>NE 36 AV</v>
      </c>
      <c r="D193" s="28" t="str">
        <f>'Table001 (Page 1-6)'!C186</f>
        <v>NE 21 ST</v>
      </c>
      <c r="E193" s="28" t="str">
        <f>'Table001 (Page 1-6)'!D186</f>
        <v>NE 35 ST</v>
      </c>
      <c r="F193" s="29">
        <f>'Table001 (Page 1-6)'!E186</f>
        <v>2</v>
      </c>
      <c r="G193" s="29">
        <f>'Table001 (Page 1-6)'!K186</f>
        <v>2</v>
      </c>
      <c r="H193" s="30" t="str">
        <f>'Table001 (Page 1-6)'!R186</f>
        <v>E</v>
      </c>
      <c r="I193" s="28" t="str">
        <f>'Table001 (Page 1-6)'!F186</f>
        <v>ARTERIAL</v>
      </c>
      <c r="J193" s="29"/>
      <c r="K193" s="29"/>
      <c r="L193" s="29">
        <f>'Table001 (Page 1-6)'!I186</f>
        <v>12744</v>
      </c>
      <c r="M193" s="29"/>
      <c r="N193" s="29">
        <f>'Table001 (Page 1-6)'!J186</f>
        <v>634</v>
      </c>
      <c r="O193" s="29">
        <f>'Table001 (Page 1-6)'!L186</f>
        <v>12744</v>
      </c>
      <c r="P193" s="29"/>
      <c r="Q193" s="29">
        <f>'Table001 (Page 1-6)'!M186</f>
        <v>634</v>
      </c>
      <c r="R193" s="29" t="str">
        <f>'Table001 (Page 1-6)'!S186</f>
        <v>12,700</v>
      </c>
      <c r="S193" s="31" t="str">
        <f>'Table001 (Page 1-6)'!T186</f>
        <v>1</v>
      </c>
      <c r="T193" s="29" t="str">
        <f>'Table001 (Page 1-6)'!U186</f>
        <v>D</v>
      </c>
      <c r="U193" s="29"/>
      <c r="V193" s="29"/>
      <c r="W193" s="29"/>
      <c r="X193" s="29"/>
      <c r="Y193" s="29"/>
      <c r="Z193" s="29"/>
      <c r="AA193" s="29"/>
      <c r="AB193" s="29"/>
      <c r="AC193" s="31"/>
      <c r="AD193" s="29"/>
      <c r="AE193" s="29"/>
      <c r="AF193" s="29"/>
      <c r="AG193" s="31"/>
      <c r="AH193" s="29"/>
      <c r="AI193" s="32">
        <f>('Table001 (Page 1-6)'!V186)*100</f>
        <v>1.8599999999999999</v>
      </c>
      <c r="AJ193" s="35"/>
      <c r="AK193" s="35"/>
      <c r="AL193" s="35"/>
      <c r="AM193" s="35"/>
    </row>
    <row r="194" spans="2:39" x14ac:dyDescent="0.25">
      <c r="B194" s="37">
        <f>'Table001 (Page 1-6)'!A187</f>
        <v>2940</v>
      </c>
      <c r="C194" s="28" t="str">
        <f>'Table001 (Page 1-6)'!B187</f>
        <v>NE 36 AV</v>
      </c>
      <c r="D194" s="28" t="str">
        <f>'Table001 (Page 1-6)'!C187</f>
        <v>NE 35 ST</v>
      </c>
      <c r="E194" s="28" t="str">
        <f>'Table001 (Page 1-6)'!D187</f>
        <v>NE 49 ST</v>
      </c>
      <c r="F194" s="29">
        <f>'Table001 (Page 1-6)'!E187</f>
        <v>2</v>
      </c>
      <c r="G194" s="29">
        <f>'Table001 (Page 1-6)'!K187</f>
        <v>2</v>
      </c>
      <c r="H194" s="30" t="str">
        <f>'Table001 (Page 1-6)'!R187</f>
        <v>E</v>
      </c>
      <c r="I194" s="28" t="str">
        <f>'Table001 (Page 1-6)'!F187</f>
        <v>COLLECTOR</v>
      </c>
      <c r="J194" s="29"/>
      <c r="K194" s="29"/>
      <c r="L194" s="29">
        <f>'Table001 (Page 1-6)'!I187</f>
        <v>12744</v>
      </c>
      <c r="M194" s="29"/>
      <c r="N194" s="29">
        <f>'Table001 (Page 1-6)'!J187</f>
        <v>634</v>
      </c>
      <c r="O194" s="29">
        <f>'Table001 (Page 1-6)'!L187</f>
        <v>12744</v>
      </c>
      <c r="P194" s="29"/>
      <c r="Q194" s="29">
        <f>'Table001 (Page 1-6)'!M187</f>
        <v>634</v>
      </c>
      <c r="R194" s="29" t="str">
        <f>'Table001 (Page 1-6)'!S187</f>
        <v>9,200</v>
      </c>
      <c r="S194" s="31" t="str">
        <f>'Table001 (Page 1-6)'!T187</f>
        <v>0.72</v>
      </c>
      <c r="T194" s="29" t="str">
        <f>'Table001 (Page 1-6)'!U187</f>
        <v>C</v>
      </c>
      <c r="U194" s="29"/>
      <c r="V194" s="29"/>
      <c r="W194" s="29"/>
      <c r="X194" s="29"/>
      <c r="Y194" s="29"/>
      <c r="Z194" s="29"/>
      <c r="AA194" s="29"/>
      <c r="AB194" s="29"/>
      <c r="AC194" s="31"/>
      <c r="AD194" s="29"/>
      <c r="AE194" s="29"/>
      <c r="AF194" s="29"/>
      <c r="AG194" s="31"/>
      <c r="AH194" s="29"/>
      <c r="AI194" s="32">
        <f>('Table001 (Page 1-6)'!V187)*100</f>
        <v>1</v>
      </c>
      <c r="AJ194" s="35"/>
      <c r="AK194" s="35"/>
      <c r="AL194" s="35"/>
      <c r="AM194" s="35"/>
    </row>
    <row r="195" spans="2:39" x14ac:dyDescent="0.25">
      <c r="B195" s="37">
        <f>'Table001 (Page 1-6)'!A188</f>
        <v>2950</v>
      </c>
      <c r="C195" s="28" t="str">
        <f>'Table001 (Page 1-6)'!B188</f>
        <v>NE 36 AV</v>
      </c>
      <c r="D195" s="28" t="str">
        <f>'Table001 (Page 1-6)'!C188</f>
        <v>NE 49 ST</v>
      </c>
      <c r="E195" s="28" t="str">
        <f>'Table001 (Page 1-6)'!D188</f>
        <v>SR 326</v>
      </c>
      <c r="F195" s="29">
        <f>'Table001 (Page 1-6)'!E188</f>
        <v>2</v>
      </c>
      <c r="G195" s="29">
        <f>'Table001 (Page 1-6)'!K188</f>
        <v>2</v>
      </c>
      <c r="H195" s="30" t="str">
        <f>'Table001 (Page 1-6)'!R188</f>
        <v>B</v>
      </c>
      <c r="I195" s="28" t="str">
        <f>'Table001 (Page 1-6)'!F188</f>
        <v>COLLECTOR</v>
      </c>
      <c r="J195" s="29"/>
      <c r="K195" s="29"/>
      <c r="L195" s="29">
        <f>'Table001 (Page 1-6)'!I188</f>
        <v>9270</v>
      </c>
      <c r="M195" s="29"/>
      <c r="N195" s="29">
        <f>'Table001 (Page 1-6)'!J188</f>
        <v>486</v>
      </c>
      <c r="O195" s="29">
        <f>'Table001 (Page 1-6)'!L188</f>
        <v>9270</v>
      </c>
      <c r="P195" s="29"/>
      <c r="Q195" s="29">
        <f>'Table001 (Page 1-6)'!M188</f>
        <v>486</v>
      </c>
      <c r="R195" s="29" t="str">
        <f>'Table001 (Page 1-6)'!S188</f>
        <v>3,800</v>
      </c>
      <c r="S195" s="31" t="str">
        <f>'Table001 (Page 1-6)'!T188</f>
        <v>0.41</v>
      </c>
      <c r="T195" s="29" t="str">
        <f>'Table001 (Page 1-6)'!U188</f>
        <v>B</v>
      </c>
      <c r="U195" s="29"/>
      <c r="V195" s="29"/>
      <c r="W195" s="29"/>
      <c r="X195" s="29"/>
      <c r="Y195" s="29"/>
      <c r="Z195" s="29"/>
      <c r="AA195" s="29"/>
      <c r="AB195" s="29"/>
      <c r="AC195" s="31"/>
      <c r="AD195" s="29"/>
      <c r="AE195" s="29"/>
      <c r="AF195" s="29"/>
      <c r="AG195" s="31"/>
      <c r="AH195" s="29"/>
      <c r="AI195" s="32">
        <f>('Table001 (Page 1-6)'!V188)*100</f>
        <v>1</v>
      </c>
      <c r="AJ195" s="35"/>
      <c r="AK195" s="35"/>
      <c r="AL195" s="35"/>
      <c r="AM195" s="35"/>
    </row>
    <row r="196" spans="2:39" x14ac:dyDescent="0.25">
      <c r="B196" s="37">
        <f>'Table001 (Page 1-6)'!A189</f>
        <v>2990</v>
      </c>
      <c r="C196" s="28" t="str">
        <f>'Table001 (Page 1-6)'!B189</f>
        <v>NE 47 AV</v>
      </c>
      <c r="D196" s="28" t="str">
        <f>'Table001 (Page 1-6)'!C189</f>
        <v>CR 329</v>
      </c>
      <c r="E196" s="28" t="str">
        <f>'Table001 (Page 1-6)'!D189</f>
        <v>CR 316</v>
      </c>
      <c r="F196" s="29">
        <f>'Table001 (Page 1-6)'!E189</f>
        <v>2</v>
      </c>
      <c r="G196" s="29">
        <f>'Table001 (Page 1-6)'!K189</f>
        <v>2</v>
      </c>
      <c r="H196" s="30" t="str">
        <f>'Table001 (Page 1-6)'!R189</f>
        <v>D</v>
      </c>
      <c r="I196" s="28" t="str">
        <f>'Table001 (Page 1-6)'!F189</f>
        <v>COLLECTOR</v>
      </c>
      <c r="J196" s="29"/>
      <c r="K196" s="29"/>
      <c r="L196" s="29">
        <f>'Table001 (Page 1-6)'!I189</f>
        <v>19170</v>
      </c>
      <c r="M196" s="29"/>
      <c r="N196" s="29">
        <f>'Table001 (Page 1-6)'!J189</f>
        <v>999</v>
      </c>
      <c r="O196" s="29">
        <f>'Table001 (Page 1-6)'!L189</f>
        <v>19170</v>
      </c>
      <c r="P196" s="29"/>
      <c r="Q196" s="29">
        <f>'Table001 (Page 1-6)'!M189</f>
        <v>999</v>
      </c>
      <c r="R196" s="29" t="str">
        <f>'Table001 (Page 1-6)'!S189</f>
        <v>Not Counted</v>
      </c>
      <c r="S196" s="31" t="str">
        <f>'Table001 (Page 1-6)'!T189</f>
        <v>N/A</v>
      </c>
      <c r="T196" s="29" t="str">
        <f>'Table001 (Page 1-6)'!U189</f>
        <v>N/A</v>
      </c>
      <c r="U196" s="29"/>
      <c r="V196" s="29"/>
      <c r="W196" s="29"/>
      <c r="X196" s="29"/>
      <c r="Y196" s="29"/>
      <c r="Z196" s="29"/>
      <c r="AA196" s="29"/>
      <c r="AB196" s="29"/>
      <c r="AC196" s="31"/>
      <c r="AD196" s="29"/>
      <c r="AE196" s="29"/>
      <c r="AF196" s="29"/>
      <c r="AG196" s="31"/>
      <c r="AH196" s="29"/>
      <c r="AI196" s="32">
        <f>('Table001 (Page 1-6)'!V189)*100</f>
        <v>1</v>
      </c>
      <c r="AJ196" s="35"/>
      <c r="AK196" s="35"/>
      <c r="AL196" s="35"/>
      <c r="AM196" s="35"/>
    </row>
    <row r="197" spans="2:39" x14ac:dyDescent="0.25">
      <c r="B197" s="37">
        <f>'Table001 (Page 1-6)'!A190</f>
        <v>3040</v>
      </c>
      <c r="C197" s="28" t="str">
        <f>'Table001 (Page 1-6)'!B190</f>
        <v>CR 314</v>
      </c>
      <c r="D197" s="28" t="str">
        <f>'Table001 (Page 1-6)'!C190</f>
        <v>SR 40 (W)</v>
      </c>
      <c r="E197" s="28" t="str">
        <f>'Table001 (Page 1-6)'!D190</f>
        <v>NE 36 AV</v>
      </c>
      <c r="F197" s="29">
        <f>'Table001 (Page 1-6)'!E190</f>
        <v>2</v>
      </c>
      <c r="G197" s="29">
        <f>'Table001 (Page 1-6)'!K190</f>
        <v>2</v>
      </c>
      <c r="H197" s="30" t="str">
        <f>'Table001 (Page 1-6)'!R190</f>
        <v>E</v>
      </c>
      <c r="I197" s="28" t="str">
        <f>'Table001 (Page 1-6)'!F190</f>
        <v>COLLECTOR</v>
      </c>
      <c r="J197" s="29"/>
      <c r="K197" s="29"/>
      <c r="L197" s="29">
        <f>'Table001 (Page 1-6)'!I190</f>
        <v>12744</v>
      </c>
      <c r="M197" s="29"/>
      <c r="N197" s="29">
        <f>'Table001 (Page 1-6)'!J190</f>
        <v>634</v>
      </c>
      <c r="O197" s="29">
        <f>'Table001 (Page 1-6)'!L190</f>
        <v>12744</v>
      </c>
      <c r="P197" s="29"/>
      <c r="Q197" s="29">
        <f>'Table001 (Page 1-6)'!M190</f>
        <v>634</v>
      </c>
      <c r="R197" s="29" t="str">
        <f>'Table001 (Page 1-6)'!S190</f>
        <v>Not Counted</v>
      </c>
      <c r="S197" s="31" t="str">
        <f>'Table001 (Page 1-6)'!T190</f>
        <v>N/A</v>
      </c>
      <c r="T197" s="29" t="str">
        <f>'Table001 (Page 1-6)'!U190</f>
        <v>N/A</v>
      </c>
      <c r="U197" s="29"/>
      <c r="V197" s="29"/>
      <c r="W197" s="29"/>
      <c r="X197" s="29"/>
      <c r="Y197" s="29"/>
      <c r="Z197" s="29"/>
      <c r="AA197" s="29"/>
      <c r="AB197" s="29"/>
      <c r="AC197" s="31"/>
      <c r="AD197" s="29"/>
      <c r="AE197" s="29"/>
      <c r="AF197" s="29"/>
      <c r="AG197" s="31"/>
      <c r="AH197" s="29"/>
      <c r="AI197" s="32">
        <f>('Table001 (Page 1-6)'!V190)*100</f>
        <v>1</v>
      </c>
      <c r="AJ197" s="35"/>
      <c r="AK197" s="35"/>
      <c r="AL197" s="35"/>
      <c r="AM197" s="35"/>
    </row>
    <row r="198" spans="2:39" x14ac:dyDescent="0.25">
      <c r="B198" s="37">
        <f>'Table001 (Page 1-6)'!A191</f>
        <v>3050.1</v>
      </c>
      <c r="C198" s="28" t="str">
        <f>'Table001 (Page 1-6)'!B191</f>
        <v>CR 314</v>
      </c>
      <c r="D198" s="28" t="str">
        <f>'Table001 (Page 1-6)'!C191</f>
        <v>NE 36 AV</v>
      </c>
      <c r="E198" s="28" t="str">
        <f>'Table001 (Page 1-6)'!D191</f>
        <v>SR 35</v>
      </c>
      <c r="F198" s="29">
        <f>'Table001 (Page 1-6)'!E191</f>
        <v>2</v>
      </c>
      <c r="G198" s="29">
        <f>'Table001 (Page 1-6)'!K191</f>
        <v>2</v>
      </c>
      <c r="H198" s="30" t="str">
        <f>'Table001 (Page 1-6)'!R191</f>
        <v>E</v>
      </c>
      <c r="I198" s="28" t="str">
        <f>'Table001 (Page 1-6)'!F191</f>
        <v>COLLECTOR</v>
      </c>
      <c r="J198" s="29"/>
      <c r="K198" s="29"/>
      <c r="L198" s="29">
        <f>'Table001 (Page 1-6)'!I191</f>
        <v>12744</v>
      </c>
      <c r="M198" s="29"/>
      <c r="N198" s="29">
        <f>'Table001 (Page 1-6)'!J191</f>
        <v>634</v>
      </c>
      <c r="O198" s="29">
        <f>'Table001 (Page 1-6)'!L191</f>
        <v>12744</v>
      </c>
      <c r="P198" s="29"/>
      <c r="Q198" s="29">
        <f>'Table001 (Page 1-6)'!M191</f>
        <v>634</v>
      </c>
      <c r="R198" s="29" t="str">
        <f>'Table001 (Page 1-6)'!S191</f>
        <v>5,800</v>
      </c>
      <c r="S198" s="31" t="str">
        <f>'Table001 (Page 1-6)'!T191</f>
        <v>0.46</v>
      </c>
      <c r="T198" s="29" t="str">
        <f>'Table001 (Page 1-6)'!U191</f>
        <v>C</v>
      </c>
      <c r="U198" s="29"/>
      <c r="V198" s="29"/>
      <c r="W198" s="29"/>
      <c r="X198" s="29"/>
      <c r="Y198" s="29"/>
      <c r="Z198" s="29"/>
      <c r="AA198" s="29"/>
      <c r="AB198" s="29"/>
      <c r="AC198" s="31"/>
      <c r="AD198" s="29"/>
      <c r="AE198" s="29"/>
      <c r="AF198" s="29"/>
      <c r="AG198" s="31"/>
      <c r="AH198" s="29"/>
      <c r="AI198" s="32">
        <f>('Table001 (Page 1-6)'!V191)*100</f>
        <v>1</v>
      </c>
      <c r="AJ198" s="35"/>
      <c r="AK198" s="35"/>
      <c r="AL198" s="35"/>
      <c r="AM198" s="35"/>
    </row>
    <row r="199" spans="2:39" x14ac:dyDescent="0.25">
      <c r="B199" s="37">
        <f>'Table001 (Page 1-6)'!A192</f>
        <v>3060</v>
      </c>
      <c r="C199" s="28" t="str">
        <f>'Table001 (Page 1-6)'!B192</f>
        <v>CR 314</v>
      </c>
      <c r="D199" s="28" t="str">
        <f>'Table001 (Page 1-6)'!C192</f>
        <v>SR 35</v>
      </c>
      <c r="E199" s="28" t="str">
        <f>'Table001 (Page 1-6)'!D192</f>
        <v>URBAN AREA BOUNDARY</v>
      </c>
      <c r="F199" s="29">
        <f>'Table001 (Page 1-6)'!E192</f>
        <v>2</v>
      </c>
      <c r="G199" s="29">
        <f>'Table001 (Page 1-6)'!K192</f>
        <v>2</v>
      </c>
      <c r="H199" s="30" t="str">
        <f>'Table001 (Page 1-6)'!R192</f>
        <v>E</v>
      </c>
      <c r="I199" s="28" t="str">
        <f>'Table001 (Page 1-6)'!F192</f>
        <v>COLLECTOR</v>
      </c>
      <c r="J199" s="29"/>
      <c r="K199" s="29"/>
      <c r="L199" s="29">
        <f>'Table001 (Page 1-6)'!I192</f>
        <v>29340</v>
      </c>
      <c r="M199" s="29"/>
      <c r="N199" s="29">
        <f>'Table001 (Page 1-6)'!J192</f>
        <v>1449</v>
      </c>
      <c r="O199" s="29">
        <f>'Table001 (Page 1-6)'!L192</f>
        <v>29340</v>
      </c>
      <c r="P199" s="29"/>
      <c r="Q199" s="29">
        <f>'Table001 (Page 1-6)'!M192</f>
        <v>1449</v>
      </c>
      <c r="R199" s="29" t="str">
        <f>'Table001 (Page 1-6)'!S192</f>
        <v>7,600</v>
      </c>
      <c r="S199" s="31" t="str">
        <f>'Table001 (Page 1-6)'!T192</f>
        <v>0.26</v>
      </c>
      <c r="T199" s="29" t="str">
        <f>'Table001 (Page 1-6)'!U192</f>
        <v>B</v>
      </c>
      <c r="U199" s="29"/>
      <c r="V199" s="29"/>
      <c r="W199" s="29"/>
      <c r="X199" s="29"/>
      <c r="Y199" s="29"/>
      <c r="Z199" s="29"/>
      <c r="AA199" s="29"/>
      <c r="AB199" s="29"/>
      <c r="AC199" s="31"/>
      <c r="AD199" s="29"/>
      <c r="AE199" s="29"/>
      <c r="AF199" s="29"/>
      <c r="AG199" s="31"/>
      <c r="AH199" s="29"/>
      <c r="AI199" s="32">
        <f>('Table001 (Page 1-6)'!V192)*100</f>
        <v>3.66</v>
      </c>
      <c r="AJ199" s="35"/>
      <c r="AK199" s="35"/>
      <c r="AL199" s="35"/>
      <c r="AM199" s="35"/>
    </row>
    <row r="200" spans="2:39" x14ac:dyDescent="0.25">
      <c r="B200" s="37">
        <f>'Table001 (Page 1-6)'!A193</f>
        <v>3070.2</v>
      </c>
      <c r="C200" s="28" t="str">
        <f>'Table001 (Page 1-6)'!B193</f>
        <v>CR 314</v>
      </c>
      <c r="D200" s="28" t="str">
        <f>'Table001 (Page 1-6)'!C193</f>
        <v>URBAN AREA BOUNDARY</v>
      </c>
      <c r="E200" s="28" t="str">
        <f>'Table001 (Page 1-6)'!D193</f>
        <v>NE 7 ST</v>
      </c>
      <c r="F200" s="29">
        <f>'Table001 (Page 1-6)'!E193</f>
        <v>2</v>
      </c>
      <c r="G200" s="29">
        <f>'Table001 (Page 1-6)'!K193</f>
        <v>2</v>
      </c>
      <c r="H200" s="30" t="str">
        <f>'Table001 (Page 1-6)'!R193</f>
        <v>D</v>
      </c>
      <c r="I200" s="28" t="str">
        <f>'Table001 (Page 1-6)'!F193</f>
        <v>COLLECTOR</v>
      </c>
      <c r="J200" s="29"/>
      <c r="K200" s="29"/>
      <c r="L200" s="29">
        <f>'Table001 (Page 1-6)'!I193</f>
        <v>19170</v>
      </c>
      <c r="M200" s="29"/>
      <c r="N200" s="29">
        <f>'Table001 (Page 1-6)'!J193</f>
        <v>999</v>
      </c>
      <c r="O200" s="29">
        <f>'Table001 (Page 1-6)'!L193</f>
        <v>19170</v>
      </c>
      <c r="P200" s="29"/>
      <c r="Q200" s="29">
        <f>'Table001 (Page 1-6)'!M193</f>
        <v>999</v>
      </c>
      <c r="R200" s="29" t="str">
        <f>'Table001 (Page 1-6)'!S193</f>
        <v>7,600</v>
      </c>
      <c r="S200" s="31" t="str">
        <f>'Table001 (Page 1-6)'!T193</f>
        <v>0.4</v>
      </c>
      <c r="T200" s="29" t="str">
        <f>'Table001 (Page 1-6)'!U193</f>
        <v>B</v>
      </c>
      <c r="U200" s="29"/>
      <c r="V200" s="29"/>
      <c r="W200" s="29"/>
      <c r="X200" s="29"/>
      <c r="Y200" s="29"/>
      <c r="Z200" s="29"/>
      <c r="AA200" s="29"/>
      <c r="AB200" s="29"/>
      <c r="AC200" s="31"/>
      <c r="AD200" s="29"/>
      <c r="AE200" s="29"/>
      <c r="AF200" s="29"/>
      <c r="AG200" s="31"/>
      <c r="AH200" s="29"/>
      <c r="AI200" s="32">
        <f>('Table001 (Page 1-6)'!V193)*100</f>
        <v>3.66</v>
      </c>
      <c r="AJ200" s="35"/>
      <c r="AK200" s="35"/>
      <c r="AL200" s="35"/>
      <c r="AM200" s="35"/>
    </row>
    <row r="201" spans="2:39" x14ac:dyDescent="0.25">
      <c r="B201" s="37">
        <f>'Table001 (Page 1-6)'!A194</f>
        <v>3080</v>
      </c>
      <c r="C201" s="28" t="str">
        <f>'Table001 (Page 1-6)'!B194</f>
        <v>NE 70 AV</v>
      </c>
      <c r="D201" s="28" t="str">
        <f>'Table001 (Page 1-6)'!C194</f>
        <v>NE 175 ST</v>
      </c>
      <c r="E201" s="28" t="str">
        <f>'Table001 (Page 1-6)'!D194</f>
        <v>CR 316</v>
      </c>
      <c r="F201" s="29">
        <f>'Table001 (Page 1-6)'!E194</f>
        <v>2</v>
      </c>
      <c r="G201" s="29">
        <f>'Table001 (Page 1-6)'!K194</f>
        <v>2</v>
      </c>
      <c r="H201" s="30" t="str">
        <f>'Table001 (Page 1-6)'!R194</f>
        <v>D</v>
      </c>
      <c r="I201" s="28" t="str">
        <f>'Table001 (Page 1-6)'!F194</f>
        <v>COLLECTOR</v>
      </c>
      <c r="J201" s="29"/>
      <c r="K201" s="29"/>
      <c r="L201" s="29">
        <f>'Table001 (Page 1-6)'!I194</f>
        <v>19170</v>
      </c>
      <c r="M201" s="29"/>
      <c r="N201" s="29">
        <f>'Table001 (Page 1-6)'!J194</f>
        <v>999</v>
      </c>
      <c r="O201" s="29">
        <f>'Table001 (Page 1-6)'!L194</f>
        <v>19170</v>
      </c>
      <c r="P201" s="29"/>
      <c r="Q201" s="29">
        <f>'Table001 (Page 1-6)'!M194</f>
        <v>999</v>
      </c>
      <c r="R201" s="29" t="str">
        <f>'Table001 (Page 1-6)'!S194</f>
        <v>2,500</v>
      </c>
      <c r="S201" s="31" t="str">
        <f>'Table001 (Page 1-6)'!T194</f>
        <v>0.13</v>
      </c>
      <c r="T201" s="29" t="str">
        <f>'Table001 (Page 1-6)'!U194</f>
        <v>B</v>
      </c>
      <c r="U201" s="29"/>
      <c r="V201" s="29"/>
      <c r="W201" s="29"/>
      <c r="X201" s="29"/>
      <c r="Y201" s="29"/>
      <c r="Z201" s="29"/>
      <c r="AA201" s="29"/>
      <c r="AB201" s="29"/>
      <c r="AC201" s="31"/>
      <c r="AD201" s="29"/>
      <c r="AE201" s="29"/>
      <c r="AF201" s="29"/>
      <c r="AG201" s="31"/>
      <c r="AH201" s="29"/>
      <c r="AI201" s="32">
        <f>('Table001 (Page 1-6)'!V194)*100</f>
        <v>1</v>
      </c>
      <c r="AJ201" s="35"/>
      <c r="AK201" s="35"/>
      <c r="AL201" s="35"/>
      <c r="AM201" s="35"/>
    </row>
    <row r="202" spans="2:39" x14ac:dyDescent="0.25">
      <c r="B202" s="37">
        <f>'Table001 (Page 1-6)'!A195</f>
        <v>3090.1</v>
      </c>
      <c r="C202" s="28" t="str">
        <f>'Table001 (Page 1-6)'!B195</f>
        <v>SR 326</v>
      </c>
      <c r="D202" s="28" t="str">
        <f>'Table001 (Page 1-6)'!C195</f>
        <v>US 441</v>
      </c>
      <c r="E202" s="28" t="str">
        <f>'Table001 (Page 1-6)'!D195</f>
        <v>W ANTHONY RD</v>
      </c>
      <c r="F202" s="29">
        <f>'Table001 (Page 1-6)'!E195</f>
        <v>2</v>
      </c>
      <c r="G202" s="29">
        <f>'Table001 (Page 1-6)'!K195</f>
        <v>2</v>
      </c>
      <c r="H202" s="30" t="str">
        <f>'Table001 (Page 1-6)'!R195</f>
        <v>D</v>
      </c>
      <c r="I202" s="28" t="str">
        <f>'Table001 (Page 1-6)'!F195</f>
        <v>ARTERIAL</v>
      </c>
      <c r="J202" s="29"/>
      <c r="K202" s="29"/>
      <c r="L202" s="29">
        <f>'Table001 (Page 1-6)'!I195</f>
        <v>17920</v>
      </c>
      <c r="M202" s="29"/>
      <c r="N202" s="29">
        <f>'Table001 (Page 1-6)'!J195</f>
        <v>888</v>
      </c>
      <c r="O202" s="29">
        <f>'Table001 (Page 1-6)'!L195</f>
        <v>17920</v>
      </c>
      <c r="P202" s="29"/>
      <c r="Q202" s="29">
        <f>'Table001 (Page 1-6)'!M195</f>
        <v>888</v>
      </c>
      <c r="R202" s="29" t="str">
        <f>'Table001 (Page 1-6)'!S195</f>
        <v>11,500</v>
      </c>
      <c r="S202" s="31" t="str">
        <f>'Table001 (Page 1-6)'!T195</f>
        <v>0.64</v>
      </c>
      <c r="T202" s="29" t="str">
        <f>'Table001 (Page 1-6)'!U195</f>
        <v>C</v>
      </c>
      <c r="U202" s="29"/>
      <c r="V202" s="29"/>
      <c r="W202" s="29"/>
      <c r="X202" s="29"/>
      <c r="Y202" s="29"/>
      <c r="Z202" s="29"/>
      <c r="AA202" s="29"/>
      <c r="AB202" s="29"/>
      <c r="AC202" s="31"/>
      <c r="AD202" s="29"/>
      <c r="AE202" s="29"/>
      <c r="AF202" s="29"/>
      <c r="AG202" s="31"/>
      <c r="AH202" s="29"/>
      <c r="AI202" s="32">
        <f>('Table001 (Page 1-6)'!V195)*100</f>
        <v>1</v>
      </c>
      <c r="AJ202" s="35"/>
      <c r="AK202" s="35"/>
      <c r="AL202" s="35"/>
      <c r="AM202" s="35"/>
    </row>
    <row r="203" spans="2:39" x14ac:dyDescent="0.25">
      <c r="B203" s="37">
        <f>'Table001 (Page 1-6)'!A196</f>
        <v>3100</v>
      </c>
      <c r="C203" s="28" t="str">
        <f>'Table001 (Page 1-6)'!B196</f>
        <v>SR 326</v>
      </c>
      <c r="D203" s="28" t="str">
        <f>'Table001 (Page 1-6)'!C196</f>
        <v>W ANTHONY RD</v>
      </c>
      <c r="E203" s="28" t="str">
        <f>'Table001 (Page 1-6)'!D196</f>
        <v>CR 200A</v>
      </c>
      <c r="F203" s="29">
        <f>'Table001 (Page 1-6)'!E196</f>
        <v>2</v>
      </c>
      <c r="G203" s="29">
        <f>'Table001 (Page 1-6)'!K196</f>
        <v>2</v>
      </c>
      <c r="H203" s="30" t="str">
        <f>'Table001 (Page 1-6)'!R196</f>
        <v>D</v>
      </c>
      <c r="I203" s="28" t="str">
        <f>'Table001 (Page 1-6)'!F196</f>
        <v>ARTERIAL</v>
      </c>
      <c r="J203" s="29"/>
      <c r="K203" s="29"/>
      <c r="L203" s="29">
        <f>'Table001 (Page 1-6)'!I196</f>
        <v>17920</v>
      </c>
      <c r="M203" s="29"/>
      <c r="N203" s="29">
        <f>'Table001 (Page 1-6)'!J196</f>
        <v>888</v>
      </c>
      <c r="O203" s="29">
        <f>'Table001 (Page 1-6)'!L196</f>
        <v>17920</v>
      </c>
      <c r="P203" s="29"/>
      <c r="Q203" s="29">
        <f>'Table001 (Page 1-6)'!M196</f>
        <v>888</v>
      </c>
      <c r="R203" s="29" t="str">
        <f>'Table001 (Page 1-6)'!S196</f>
        <v>11,500</v>
      </c>
      <c r="S203" s="31" t="str">
        <f>'Table001 (Page 1-6)'!T196</f>
        <v>0.64</v>
      </c>
      <c r="T203" s="29" t="str">
        <f>'Table001 (Page 1-6)'!U196</f>
        <v>C</v>
      </c>
      <c r="U203" s="29"/>
      <c r="V203" s="29"/>
      <c r="W203" s="29"/>
      <c r="X203" s="29"/>
      <c r="Y203" s="29"/>
      <c r="Z203" s="29"/>
      <c r="AA203" s="29"/>
      <c r="AB203" s="29"/>
      <c r="AC203" s="31"/>
      <c r="AD203" s="29"/>
      <c r="AE203" s="29"/>
      <c r="AF203" s="29"/>
      <c r="AG203" s="31"/>
      <c r="AH203" s="29"/>
      <c r="AI203" s="32">
        <f>('Table001 (Page 1-6)'!V196)*100</f>
        <v>1</v>
      </c>
      <c r="AJ203" s="35"/>
      <c r="AK203" s="35"/>
      <c r="AL203" s="35"/>
      <c r="AM203" s="35"/>
    </row>
    <row r="204" spans="2:39" x14ac:dyDescent="0.25">
      <c r="B204" s="37">
        <f>'Table001 (Page 1-6)'!A197</f>
        <v>3110</v>
      </c>
      <c r="C204" s="28" t="str">
        <f>'Table001 (Page 1-6)'!B197</f>
        <v>SR 326</v>
      </c>
      <c r="D204" s="28" t="str">
        <f>'Table001 (Page 1-6)'!C197</f>
        <v>CR 200A</v>
      </c>
      <c r="E204" s="28" t="str">
        <f>'Table001 (Page 1-6)'!D197</f>
        <v>NE 36 AV</v>
      </c>
      <c r="F204" s="29">
        <f>'Table001 (Page 1-6)'!E197</f>
        <v>2</v>
      </c>
      <c r="G204" s="29">
        <f>'Table001 (Page 1-6)'!K197</f>
        <v>2</v>
      </c>
      <c r="H204" s="30" t="str">
        <f>'Table001 (Page 1-6)'!R197</f>
        <v>C</v>
      </c>
      <c r="I204" s="28" t="str">
        <f>'Table001 (Page 1-6)'!F197</f>
        <v>ARTERIAL</v>
      </c>
      <c r="J204" s="29"/>
      <c r="K204" s="29"/>
      <c r="L204" s="29">
        <f>'Table001 (Page 1-6)'!I197</f>
        <v>19600</v>
      </c>
      <c r="M204" s="29"/>
      <c r="N204" s="29">
        <f>'Table001 (Page 1-6)'!J197</f>
        <v>970</v>
      </c>
      <c r="O204" s="29">
        <f>'Table001 (Page 1-6)'!L197</f>
        <v>19600</v>
      </c>
      <c r="P204" s="29"/>
      <c r="Q204" s="29">
        <f>'Table001 (Page 1-6)'!M197</f>
        <v>970</v>
      </c>
      <c r="R204" s="29" t="str">
        <f>'Table001 (Page 1-6)'!S197</f>
        <v>12,200</v>
      </c>
      <c r="S204" s="31" t="str">
        <f>'Table001 (Page 1-6)'!T197</f>
        <v>0.62</v>
      </c>
      <c r="T204" s="29" t="str">
        <f>'Table001 (Page 1-6)'!U197</f>
        <v>C</v>
      </c>
      <c r="U204" s="29"/>
      <c r="V204" s="29"/>
      <c r="W204" s="29"/>
      <c r="X204" s="29"/>
      <c r="Y204" s="29"/>
      <c r="Z204" s="29"/>
      <c r="AA204" s="29"/>
      <c r="AB204" s="29"/>
      <c r="AC204" s="31"/>
      <c r="AD204" s="29"/>
      <c r="AE204" s="29"/>
      <c r="AF204" s="29"/>
      <c r="AG204" s="31"/>
      <c r="AH204" s="29"/>
      <c r="AI204" s="32">
        <f>('Table001 (Page 1-6)'!V197)*100</f>
        <v>1</v>
      </c>
      <c r="AJ204" s="35"/>
      <c r="AK204" s="35"/>
      <c r="AL204" s="35"/>
      <c r="AM204" s="35"/>
    </row>
    <row r="205" spans="2:39" x14ac:dyDescent="0.25">
      <c r="B205" s="37">
        <f>'Table001 (Page 1-6)'!A198</f>
        <v>3130</v>
      </c>
      <c r="C205" s="28" t="str">
        <f>'Table001 (Page 1-6)'!B198</f>
        <v>SR 326</v>
      </c>
      <c r="D205" s="28" t="str">
        <f>'Table001 (Page 1-6)'!C198</f>
        <v>NE 36 AV</v>
      </c>
      <c r="E205" s="28" t="str">
        <f>'Table001 (Page 1-6)'!D198</f>
        <v>NE 40 AV</v>
      </c>
      <c r="F205" s="29">
        <f>'Table001 (Page 1-6)'!E198</f>
        <v>2</v>
      </c>
      <c r="G205" s="29">
        <f>'Table001 (Page 1-6)'!K198</f>
        <v>2</v>
      </c>
      <c r="H205" s="30" t="str">
        <f>'Table001 (Page 1-6)'!R198</f>
        <v>C</v>
      </c>
      <c r="I205" s="28" t="str">
        <f>'Table001 (Page 1-6)'!F198</f>
        <v>ARTERIAL</v>
      </c>
      <c r="J205" s="29"/>
      <c r="K205" s="29"/>
      <c r="L205" s="29">
        <f>'Table001 (Page 1-6)'!I198</f>
        <v>8200</v>
      </c>
      <c r="M205" s="29"/>
      <c r="N205" s="29">
        <f>'Table001 (Page 1-6)'!J198</f>
        <v>430</v>
      </c>
      <c r="O205" s="29">
        <f>'Table001 (Page 1-6)'!L198</f>
        <v>8200</v>
      </c>
      <c r="P205" s="29"/>
      <c r="Q205" s="29">
        <f>'Table001 (Page 1-6)'!M198</f>
        <v>430</v>
      </c>
      <c r="R205" s="29" t="str">
        <f>'Table001 (Page 1-6)'!S198</f>
        <v>8,100</v>
      </c>
      <c r="S205" s="31" t="str">
        <f>'Table001 (Page 1-6)'!T198</f>
        <v>0.99</v>
      </c>
      <c r="T205" s="29" t="str">
        <f>'Table001 (Page 1-6)'!U198</f>
        <v>C</v>
      </c>
      <c r="U205" s="29"/>
      <c r="V205" s="29"/>
      <c r="W205" s="29"/>
      <c r="X205" s="29"/>
      <c r="Y205" s="29"/>
      <c r="Z205" s="29"/>
      <c r="AA205" s="29"/>
      <c r="AB205" s="29"/>
      <c r="AC205" s="31"/>
      <c r="AD205" s="29"/>
      <c r="AE205" s="29"/>
      <c r="AF205" s="29"/>
      <c r="AG205" s="31"/>
      <c r="AH205" s="29"/>
      <c r="AI205" s="32">
        <f>('Table001 (Page 1-6)'!V198)*100</f>
        <v>2.4500000000000002</v>
      </c>
      <c r="AJ205" s="35"/>
      <c r="AK205" s="35"/>
      <c r="AL205" s="35"/>
      <c r="AM205" s="35"/>
    </row>
    <row r="206" spans="2:39" x14ac:dyDescent="0.25">
      <c r="B206" s="37">
        <f>'Table001 (Page 1-6)'!A199</f>
        <v>3140</v>
      </c>
      <c r="C206" s="28" t="str">
        <f>'Table001 (Page 1-6)'!B199</f>
        <v>NE 8 AV</v>
      </c>
      <c r="D206" s="28" t="str">
        <f>'Table001 (Page 1-6)'!C199</f>
        <v>SR 40</v>
      </c>
      <c r="E206" s="28" t="str">
        <f>'Table001 (Page 1-6)'!D199</f>
        <v>NE 3 ST</v>
      </c>
      <c r="F206" s="29">
        <f>'Table001 (Page 1-6)'!E199</f>
        <v>4</v>
      </c>
      <c r="G206" s="29">
        <f>'Table001 (Page 1-6)'!K199</f>
        <v>4</v>
      </c>
      <c r="H206" s="30" t="str">
        <f>'Table001 (Page 1-6)'!R199</f>
        <v>E</v>
      </c>
      <c r="I206" s="28" t="str">
        <f>'Table001 (Page 1-6)'!F199</f>
        <v>COLLECTOR</v>
      </c>
      <c r="J206" s="29"/>
      <c r="K206" s="29"/>
      <c r="L206" s="29">
        <f>'Table001 (Page 1-6)'!I199</f>
        <v>28899</v>
      </c>
      <c r="M206" s="29"/>
      <c r="N206" s="29">
        <f>'Table001 (Page 1-6)'!J199</f>
        <v>720</v>
      </c>
      <c r="O206" s="29">
        <f>'Table001 (Page 1-6)'!L199</f>
        <v>28899</v>
      </c>
      <c r="P206" s="29"/>
      <c r="Q206" s="29">
        <f>'Table001 (Page 1-6)'!M199</f>
        <v>720</v>
      </c>
      <c r="R206" s="29" t="str">
        <f>'Table001 (Page 1-6)'!S199</f>
        <v>Not Counted</v>
      </c>
      <c r="S206" s="31" t="str">
        <f>'Table001 (Page 1-6)'!T199</f>
        <v>N/A</v>
      </c>
      <c r="T206" s="29" t="str">
        <f>'Table001 (Page 1-6)'!U199</f>
        <v>N/A</v>
      </c>
      <c r="U206" s="29"/>
      <c r="V206" s="29"/>
      <c r="W206" s="29"/>
      <c r="X206" s="29"/>
      <c r="Y206" s="29"/>
      <c r="Z206" s="29"/>
      <c r="AA206" s="29"/>
      <c r="AB206" s="29"/>
      <c r="AC206" s="31"/>
      <c r="AD206" s="29"/>
      <c r="AE206" s="29"/>
      <c r="AF206" s="29"/>
      <c r="AG206" s="31"/>
      <c r="AH206" s="29"/>
      <c r="AI206" s="32">
        <f>('Table001 (Page 1-6)'!V199)*100</f>
        <v>1</v>
      </c>
      <c r="AJ206" s="35"/>
      <c r="AK206" s="35"/>
      <c r="AL206" s="35"/>
      <c r="AM206" s="35"/>
    </row>
    <row r="207" spans="2:39" x14ac:dyDescent="0.25">
      <c r="B207" s="37">
        <f>'Table001 (Page 1-6)'!A200</f>
        <v>3160</v>
      </c>
      <c r="C207" s="28" t="str">
        <f>'Table001 (Page 1-6)'!B200</f>
        <v>NE 8 AV</v>
      </c>
      <c r="D207" s="28" t="str">
        <f>'Table001 (Page 1-6)'!C200</f>
        <v>NE 3 ST</v>
      </c>
      <c r="E207" s="28" t="str">
        <f>'Table001 (Page 1-6)'!D200</f>
        <v>SR 492</v>
      </c>
      <c r="F207" s="29">
        <f>'Table001 (Page 1-6)'!E200</f>
        <v>4</v>
      </c>
      <c r="G207" s="29">
        <f>'Table001 (Page 1-6)'!K200</f>
        <v>4</v>
      </c>
      <c r="H207" s="30" t="str">
        <f>'Table001 (Page 1-6)'!R200</f>
        <v>E</v>
      </c>
      <c r="I207" s="28" t="str">
        <f>'Table001 (Page 1-6)'!F200</f>
        <v>COLLECTOR</v>
      </c>
      <c r="J207" s="29"/>
      <c r="K207" s="29"/>
      <c r="L207" s="29">
        <f>'Table001 (Page 1-6)'!I200</f>
        <v>28899</v>
      </c>
      <c r="M207" s="29"/>
      <c r="N207" s="29">
        <f>'Table001 (Page 1-6)'!J200</f>
        <v>720</v>
      </c>
      <c r="O207" s="29">
        <f>'Table001 (Page 1-6)'!L200</f>
        <v>28899</v>
      </c>
      <c r="P207" s="29"/>
      <c r="Q207" s="29">
        <f>'Table001 (Page 1-6)'!M200</f>
        <v>720</v>
      </c>
      <c r="R207" s="29" t="str">
        <f>'Table001 (Page 1-6)'!S200</f>
        <v>7,200</v>
      </c>
      <c r="S207" s="31" t="str">
        <f>'Table001 (Page 1-6)'!T200</f>
        <v>0.25</v>
      </c>
      <c r="T207" s="29" t="str">
        <f>'Table001 (Page 1-6)'!U200</f>
        <v>C</v>
      </c>
      <c r="U207" s="29"/>
      <c r="V207" s="29"/>
      <c r="W207" s="29"/>
      <c r="X207" s="29"/>
      <c r="Y207" s="29"/>
      <c r="Z207" s="29"/>
      <c r="AA207" s="29"/>
      <c r="AB207" s="29"/>
      <c r="AC207" s="31"/>
      <c r="AD207" s="29"/>
      <c r="AE207" s="29"/>
      <c r="AF207" s="29"/>
      <c r="AG207" s="31"/>
      <c r="AH207" s="29"/>
      <c r="AI207" s="32">
        <f>('Table001 (Page 1-6)'!V200)*100</f>
        <v>1</v>
      </c>
      <c r="AJ207" s="35"/>
      <c r="AK207" s="35"/>
      <c r="AL207" s="35"/>
      <c r="AM207" s="35"/>
    </row>
    <row r="208" spans="2:39" x14ac:dyDescent="0.25">
      <c r="B208" s="37">
        <f>'Table001 (Page 1-6)'!A201</f>
        <v>3170</v>
      </c>
      <c r="C208" s="28" t="str">
        <f>'Table001 (Page 1-6)'!B201</f>
        <v>NE 8 AV</v>
      </c>
      <c r="D208" s="28" t="str">
        <f>'Table001 (Page 1-6)'!C201</f>
        <v>SR 492</v>
      </c>
      <c r="E208" s="28" t="str">
        <f>'Table001 (Page 1-6)'!D201</f>
        <v>CR 200A</v>
      </c>
      <c r="F208" s="29">
        <f>'Table001 (Page 1-6)'!E201</f>
        <v>2</v>
      </c>
      <c r="G208" s="29">
        <f>'Table001 (Page 1-6)'!K201</f>
        <v>2</v>
      </c>
      <c r="H208" s="30" t="str">
        <f>'Table001 (Page 1-6)'!R201</f>
        <v>E</v>
      </c>
      <c r="I208" s="28" t="str">
        <f>'Table001 (Page 1-6)'!F201</f>
        <v>COLLECTOR</v>
      </c>
      <c r="J208" s="29"/>
      <c r="K208" s="29"/>
      <c r="L208" s="29">
        <f>'Table001 (Page 1-6)'!I201</f>
        <v>11232</v>
      </c>
      <c r="M208" s="29"/>
      <c r="N208" s="29">
        <f>'Table001 (Page 1-6)'!J201</f>
        <v>576</v>
      </c>
      <c r="O208" s="29">
        <f>'Table001 (Page 1-6)'!L201</f>
        <v>11232</v>
      </c>
      <c r="P208" s="29"/>
      <c r="Q208" s="29">
        <f>'Table001 (Page 1-6)'!M201</f>
        <v>576</v>
      </c>
      <c r="R208" s="29" t="str">
        <f>'Table001 (Page 1-6)'!S201</f>
        <v>7,700</v>
      </c>
      <c r="S208" s="31" t="str">
        <f>'Table001 (Page 1-6)'!T201</f>
        <v>0.69</v>
      </c>
      <c r="T208" s="29" t="str">
        <f>'Table001 (Page 1-6)'!U201</f>
        <v>D</v>
      </c>
      <c r="U208" s="29"/>
      <c r="V208" s="29"/>
      <c r="W208" s="29"/>
      <c r="X208" s="29"/>
      <c r="Y208" s="29"/>
      <c r="Z208" s="29"/>
      <c r="AA208" s="29"/>
      <c r="AB208" s="29"/>
      <c r="AC208" s="31"/>
      <c r="AD208" s="29"/>
      <c r="AE208" s="29"/>
      <c r="AF208" s="29"/>
      <c r="AG208" s="31"/>
      <c r="AH208" s="29"/>
      <c r="AI208" s="32">
        <f>('Table001 (Page 1-6)'!V201)*100</f>
        <v>3.2199999999999998</v>
      </c>
      <c r="AJ208" s="35"/>
      <c r="AK208" s="35"/>
      <c r="AL208" s="35"/>
      <c r="AM208" s="35"/>
    </row>
    <row r="209" spans="2:39" x14ac:dyDescent="0.25">
      <c r="B209" s="37">
        <f>'Table001 (Page 1-6)'!A202</f>
        <v>3180.1</v>
      </c>
      <c r="C209" s="28" t="str">
        <f>'Table001 (Page 1-6)'!B202</f>
        <v>NE 90 ST</v>
      </c>
      <c r="D209" s="28" t="str">
        <f>'Table001 (Page 1-6)'!C202</f>
        <v>CR 35</v>
      </c>
      <c r="E209" s="28" t="str">
        <f>'Table001 (Page 1-6)'!D202</f>
        <v>CR 315</v>
      </c>
      <c r="F209" s="29">
        <f>'Table001 (Page 1-6)'!E202</f>
        <v>2</v>
      </c>
      <c r="G209" s="29">
        <f>'Table001 (Page 1-6)'!K202</f>
        <v>2</v>
      </c>
      <c r="H209" s="30" t="str">
        <f>'Table001 (Page 1-6)'!R202</f>
        <v>D</v>
      </c>
      <c r="I209" s="28" t="str">
        <f>'Table001 (Page 1-6)'!F202</f>
        <v>COLLECTOR</v>
      </c>
      <c r="J209" s="29"/>
      <c r="K209" s="29"/>
      <c r="L209" s="29">
        <f>'Table001 (Page 1-6)'!I202</f>
        <v>19170</v>
      </c>
      <c r="M209" s="29"/>
      <c r="N209" s="29">
        <f>'Table001 (Page 1-6)'!J202</f>
        <v>999</v>
      </c>
      <c r="O209" s="29">
        <f>'Table001 (Page 1-6)'!L202</f>
        <v>19170</v>
      </c>
      <c r="P209" s="29"/>
      <c r="Q209" s="29">
        <f>'Table001 (Page 1-6)'!M202</f>
        <v>999</v>
      </c>
      <c r="R209" s="29" t="str">
        <f>'Table001 (Page 1-6)'!S202</f>
        <v>900</v>
      </c>
      <c r="S209" s="31" t="str">
        <f>'Table001 (Page 1-6)'!T202</f>
        <v>0.05</v>
      </c>
      <c r="T209" s="29" t="str">
        <f>'Table001 (Page 1-6)'!U202</f>
        <v>B</v>
      </c>
      <c r="U209" s="29"/>
      <c r="V209" s="29"/>
      <c r="W209" s="29"/>
      <c r="X209" s="29"/>
      <c r="Y209" s="29"/>
      <c r="Z209" s="29"/>
      <c r="AA209" s="29"/>
      <c r="AB209" s="29"/>
      <c r="AC209" s="31"/>
      <c r="AD209" s="29"/>
      <c r="AE209" s="29"/>
      <c r="AF209" s="29"/>
      <c r="AG209" s="31"/>
      <c r="AH209" s="29"/>
      <c r="AI209" s="32">
        <f>('Table001 (Page 1-6)'!V202)*100</f>
        <v>1</v>
      </c>
      <c r="AJ209" s="35"/>
      <c r="AK209" s="35"/>
      <c r="AL209" s="35"/>
      <c r="AM209" s="35"/>
    </row>
    <row r="210" spans="2:39" x14ac:dyDescent="0.25">
      <c r="B210" s="37">
        <f>'Table001 (Page 1-6)'!A203</f>
        <v>3190</v>
      </c>
      <c r="C210" s="28" t="str">
        <f>'Table001 (Page 1-6)'!B203</f>
        <v>NE 95 ST</v>
      </c>
      <c r="D210" s="28" t="str">
        <f>'Table001 (Page 1-6)'!C203</f>
        <v>W ANTHONY RD</v>
      </c>
      <c r="E210" s="28" t="str">
        <f>'Table001 (Page 1-6)'!D203</f>
        <v>CR 200A</v>
      </c>
      <c r="F210" s="29">
        <f>'Table001 (Page 1-6)'!E203</f>
        <v>2</v>
      </c>
      <c r="G210" s="29">
        <f>'Table001 (Page 1-6)'!K203</f>
        <v>2</v>
      </c>
      <c r="H210" s="30" t="str">
        <f>'Table001 (Page 1-6)'!R203</f>
        <v>B</v>
      </c>
      <c r="I210" s="28" t="str">
        <f>'Table001 (Page 1-6)'!F203</f>
        <v>COLLECTOR</v>
      </c>
      <c r="J210" s="29"/>
      <c r="K210" s="29"/>
      <c r="L210" s="29">
        <f>'Table001 (Page 1-6)'!I203</f>
        <v>9270</v>
      </c>
      <c r="M210" s="29"/>
      <c r="N210" s="29">
        <f>'Table001 (Page 1-6)'!J203</f>
        <v>486</v>
      </c>
      <c r="O210" s="29">
        <f>'Table001 (Page 1-6)'!L203</f>
        <v>9270</v>
      </c>
      <c r="P210" s="29"/>
      <c r="Q210" s="29">
        <f>'Table001 (Page 1-6)'!M203</f>
        <v>486</v>
      </c>
      <c r="R210" s="29" t="str">
        <f>'Table001 (Page 1-6)'!S203</f>
        <v>1,600</v>
      </c>
      <c r="S210" s="31" t="str">
        <f>'Table001 (Page 1-6)'!T203</f>
        <v>0.17</v>
      </c>
      <c r="T210" s="29" t="str">
        <f>'Table001 (Page 1-6)'!U203</f>
        <v>B</v>
      </c>
      <c r="U210" s="29"/>
      <c r="V210" s="29"/>
      <c r="W210" s="29"/>
      <c r="X210" s="29"/>
      <c r="Y210" s="29"/>
      <c r="Z210" s="29"/>
      <c r="AA210" s="29"/>
      <c r="AB210" s="29"/>
      <c r="AC210" s="31"/>
      <c r="AD210" s="29"/>
      <c r="AE210" s="29"/>
      <c r="AF210" s="29"/>
      <c r="AG210" s="31"/>
      <c r="AH210" s="29"/>
      <c r="AI210" s="32">
        <f>('Table001 (Page 1-6)'!V203)*100</f>
        <v>1</v>
      </c>
      <c r="AJ210" s="35"/>
      <c r="AK210" s="35"/>
      <c r="AL210" s="35"/>
      <c r="AM210" s="35"/>
    </row>
    <row r="211" spans="2:39" x14ac:dyDescent="0.25">
      <c r="B211" s="37">
        <f>'Table001 (Page 1-6)'!A204</f>
        <v>3200.1</v>
      </c>
      <c r="C211" s="28" t="str">
        <f>'Table001 (Page 1-6)'!B204</f>
        <v>NE 97 ST</v>
      </c>
      <c r="D211" s="28" t="str">
        <f>'Table001 (Page 1-6)'!C204</f>
        <v>CR 200A</v>
      </c>
      <c r="E211" s="28" t="str">
        <f>'Table001 (Page 1-6)'!D204</f>
        <v>URBAN AREA BOUNDARY</v>
      </c>
      <c r="F211" s="29">
        <f>'Table001 (Page 1-6)'!E204</f>
        <v>2</v>
      </c>
      <c r="G211" s="29">
        <f>'Table001 (Page 1-6)'!K204</f>
        <v>2</v>
      </c>
      <c r="H211" s="30" t="str">
        <f>'Table001 (Page 1-6)'!R204</f>
        <v>E</v>
      </c>
      <c r="I211" s="28" t="str">
        <f>'Table001 (Page 1-6)'!F204</f>
        <v>COLLECTOR</v>
      </c>
      <c r="J211" s="29"/>
      <c r="K211" s="29"/>
      <c r="L211" s="29">
        <f>'Table001 (Page 1-6)'!I204</f>
        <v>29340</v>
      </c>
      <c r="M211" s="29"/>
      <c r="N211" s="29">
        <f>'Table001 (Page 1-6)'!J204</f>
        <v>1449</v>
      </c>
      <c r="O211" s="29">
        <f>'Table001 (Page 1-6)'!L204</f>
        <v>29340</v>
      </c>
      <c r="P211" s="29"/>
      <c r="Q211" s="29">
        <f>'Table001 (Page 1-6)'!M204</f>
        <v>1449</v>
      </c>
      <c r="R211" s="29" t="str">
        <f>'Table001 (Page 1-6)'!S204</f>
        <v>2,900</v>
      </c>
      <c r="S211" s="31" t="str">
        <f>'Table001 (Page 1-6)'!T204</f>
        <v>0.1</v>
      </c>
      <c r="T211" s="29" t="str">
        <f>'Table001 (Page 1-6)'!U204</f>
        <v>B</v>
      </c>
      <c r="U211" s="29"/>
      <c r="V211" s="29"/>
      <c r="W211" s="29"/>
      <c r="X211" s="29"/>
      <c r="Y211" s="29"/>
      <c r="Z211" s="29"/>
      <c r="AA211" s="29"/>
      <c r="AB211" s="29"/>
      <c r="AC211" s="31"/>
      <c r="AD211" s="29"/>
      <c r="AE211" s="29"/>
      <c r="AF211" s="29"/>
      <c r="AG211" s="31"/>
      <c r="AH211" s="29"/>
      <c r="AI211" s="32">
        <f>('Table001 (Page 1-6)'!V204)*100</f>
        <v>1</v>
      </c>
      <c r="AJ211" s="35"/>
      <c r="AK211" s="35"/>
      <c r="AL211" s="35"/>
      <c r="AM211" s="35"/>
    </row>
    <row r="212" spans="2:39" x14ac:dyDescent="0.25">
      <c r="B212" s="37">
        <f>'Table001 (Page 1-6)'!A205</f>
        <v>3200.3</v>
      </c>
      <c r="C212" s="28" t="str">
        <f>'Table001 (Page 1-6)'!B205</f>
        <v>NE 97 ST</v>
      </c>
      <c r="D212" s="28" t="str">
        <f>'Table001 (Page 1-6)'!C205</f>
        <v>URBAN AREA BOUNDARY</v>
      </c>
      <c r="E212" s="28" t="str">
        <f>'Table001 (Page 1-6)'!D205</f>
        <v>CR 35</v>
      </c>
      <c r="F212" s="29">
        <f>'Table001 (Page 1-6)'!E205</f>
        <v>2</v>
      </c>
      <c r="G212" s="29">
        <f>'Table001 (Page 1-6)'!K205</f>
        <v>2</v>
      </c>
      <c r="H212" s="30" t="str">
        <f>'Table001 (Page 1-6)'!R205</f>
        <v>D</v>
      </c>
      <c r="I212" s="28" t="str">
        <f>'Table001 (Page 1-6)'!F205</f>
        <v>COLLECTOR</v>
      </c>
      <c r="J212" s="29"/>
      <c r="K212" s="29"/>
      <c r="L212" s="29">
        <f>'Table001 (Page 1-6)'!I205</f>
        <v>19170</v>
      </c>
      <c r="M212" s="29"/>
      <c r="N212" s="29">
        <f>'Table001 (Page 1-6)'!J205</f>
        <v>999</v>
      </c>
      <c r="O212" s="29">
        <f>'Table001 (Page 1-6)'!L205</f>
        <v>19170</v>
      </c>
      <c r="P212" s="29"/>
      <c r="Q212" s="29">
        <f>'Table001 (Page 1-6)'!M205</f>
        <v>999</v>
      </c>
      <c r="R212" s="29" t="str">
        <f>'Table001 (Page 1-6)'!S205</f>
        <v>900</v>
      </c>
      <c r="S212" s="31" t="str">
        <f>'Table001 (Page 1-6)'!T205</f>
        <v>0.05</v>
      </c>
      <c r="T212" s="29" t="str">
        <f>'Table001 (Page 1-6)'!U205</f>
        <v>B</v>
      </c>
      <c r="U212" s="29"/>
      <c r="V212" s="29"/>
      <c r="W212" s="29"/>
      <c r="X212" s="29"/>
      <c r="Y212" s="29"/>
      <c r="Z212" s="29"/>
      <c r="AA212" s="29"/>
      <c r="AB212" s="29"/>
      <c r="AC212" s="31"/>
      <c r="AD212" s="29"/>
      <c r="AE212" s="29"/>
      <c r="AF212" s="29"/>
      <c r="AG212" s="31"/>
      <c r="AH212" s="29"/>
      <c r="AI212" s="32">
        <f>('Table001 (Page 1-6)'!V205)*100</f>
        <v>1</v>
      </c>
      <c r="AJ212" s="35"/>
      <c r="AK212" s="35"/>
      <c r="AL212" s="35"/>
      <c r="AM212" s="35"/>
    </row>
    <row r="213" spans="2:39" x14ac:dyDescent="0.25">
      <c r="B213" s="37">
        <f>'Table001 (Page 1-6)'!A206</f>
        <v>3210</v>
      </c>
      <c r="C213" s="28" t="str">
        <f>'Table001 (Page 1-6)'!B206</f>
        <v>NE JACKSONVILLE RD</v>
      </c>
      <c r="D213" s="28" t="str">
        <f>'Table001 (Page 1-6)'!C206</f>
        <v>N MAGNOLIA AV</v>
      </c>
      <c r="E213" s="28" t="str">
        <f>'Table001 (Page 1-6)'!D206</f>
        <v>CR 200A</v>
      </c>
      <c r="F213" s="29">
        <f>'Table001 (Page 1-6)'!E206</f>
        <v>2</v>
      </c>
      <c r="G213" s="29">
        <f>'Table001 (Page 1-6)'!K206</f>
        <v>2</v>
      </c>
      <c r="H213" s="30" t="str">
        <f>'Table001 (Page 1-6)'!R206</f>
        <v>E</v>
      </c>
      <c r="I213" s="28" t="str">
        <f>'Table001 (Page 1-6)'!F206</f>
        <v>COLLECTOR</v>
      </c>
      <c r="J213" s="29"/>
      <c r="K213" s="29"/>
      <c r="L213" s="29">
        <f>'Table001 (Page 1-6)'!I206</f>
        <v>29340</v>
      </c>
      <c r="M213" s="29"/>
      <c r="N213" s="29">
        <f>'Table001 (Page 1-6)'!J206</f>
        <v>1449</v>
      </c>
      <c r="O213" s="29">
        <f>'Table001 (Page 1-6)'!L206</f>
        <v>29340</v>
      </c>
      <c r="P213" s="29"/>
      <c r="Q213" s="29">
        <f>'Table001 (Page 1-6)'!M206</f>
        <v>1449</v>
      </c>
      <c r="R213" s="29" t="str">
        <f>'Table001 (Page 1-6)'!S206</f>
        <v>9,700</v>
      </c>
      <c r="S213" s="31" t="str">
        <f>'Table001 (Page 1-6)'!T206</f>
        <v>0.33</v>
      </c>
      <c r="T213" s="29" t="str">
        <f>'Table001 (Page 1-6)'!U206</f>
        <v>B</v>
      </c>
      <c r="U213" s="29"/>
      <c r="V213" s="29"/>
      <c r="W213" s="29"/>
      <c r="X213" s="29"/>
      <c r="Y213" s="29"/>
      <c r="Z213" s="29"/>
      <c r="AA213" s="29"/>
      <c r="AB213" s="29"/>
      <c r="AC213" s="31"/>
      <c r="AD213" s="29"/>
      <c r="AE213" s="29"/>
      <c r="AF213" s="29"/>
      <c r="AG213" s="31"/>
      <c r="AH213" s="29"/>
      <c r="AI213" s="32">
        <f>('Table001 (Page 1-6)'!V206)*100</f>
        <v>1.77</v>
      </c>
      <c r="AJ213" s="35"/>
      <c r="AK213" s="35"/>
      <c r="AL213" s="35"/>
      <c r="AM213" s="35"/>
    </row>
    <row r="214" spans="2:39" x14ac:dyDescent="0.25">
      <c r="B214" s="37">
        <f>'Table001 (Page 1-6)'!A207</f>
        <v>3230</v>
      </c>
      <c r="C214" s="28" t="str">
        <f>'Table001 (Page 1-6)'!B207</f>
        <v>NE WATULA AVE</v>
      </c>
      <c r="D214" s="28" t="str">
        <f>'Table001 (Page 1-6)'!C207</f>
        <v>SR 40</v>
      </c>
      <c r="E214" s="28" t="str">
        <f>'Table001 (Page 1-6)'!D207</f>
        <v>NE 3 ST</v>
      </c>
      <c r="F214" s="29">
        <f>'Table001 (Page 1-6)'!E207</f>
        <v>2</v>
      </c>
      <c r="G214" s="29">
        <f>'Table001 (Page 1-6)'!K207</f>
        <v>2</v>
      </c>
      <c r="H214" s="30" t="str">
        <f>'Table001 (Page 1-6)'!R207</f>
        <v>E</v>
      </c>
      <c r="I214" s="28" t="str">
        <f>'Table001 (Page 1-6)'!F207</f>
        <v>COLLECTOR</v>
      </c>
      <c r="J214" s="29"/>
      <c r="K214" s="29"/>
      <c r="L214" s="29">
        <f>'Table001 (Page 1-6)'!I207</f>
        <v>11232</v>
      </c>
      <c r="M214" s="29"/>
      <c r="N214" s="29">
        <f>'Table001 (Page 1-6)'!J207</f>
        <v>576</v>
      </c>
      <c r="O214" s="29">
        <f>'Table001 (Page 1-6)'!L207</f>
        <v>11232</v>
      </c>
      <c r="P214" s="29"/>
      <c r="Q214" s="29">
        <f>'Table001 (Page 1-6)'!M207</f>
        <v>576</v>
      </c>
      <c r="R214" s="29" t="str">
        <f>'Table001 (Page 1-6)'!S207</f>
        <v>900</v>
      </c>
      <c r="S214" s="31" t="str">
        <f>'Table001 (Page 1-6)'!T207</f>
        <v>0.08</v>
      </c>
      <c r="T214" s="29" t="str">
        <f>'Table001 (Page 1-6)'!U207</f>
        <v>C</v>
      </c>
      <c r="U214" s="29"/>
      <c r="V214" s="29"/>
      <c r="W214" s="29"/>
      <c r="X214" s="29"/>
      <c r="Y214" s="29"/>
      <c r="Z214" s="29"/>
      <c r="AA214" s="29"/>
      <c r="AB214" s="29"/>
      <c r="AC214" s="31"/>
      <c r="AD214" s="29"/>
      <c r="AE214" s="29"/>
      <c r="AF214" s="29"/>
      <c r="AG214" s="31"/>
      <c r="AH214" s="29"/>
      <c r="AI214" s="32">
        <f>('Table001 (Page 1-6)'!V207)*100</f>
        <v>25.990000000000002</v>
      </c>
      <c r="AJ214" s="35"/>
      <c r="AK214" s="35"/>
      <c r="AL214" s="35"/>
      <c r="AM214" s="35"/>
    </row>
    <row r="215" spans="2:39" x14ac:dyDescent="0.25">
      <c r="B215" s="37">
        <f>'Table001 (Page 1-6)'!A208</f>
        <v>3240.1</v>
      </c>
      <c r="C215" s="28" t="str">
        <f>'Table001 (Page 1-6)'!B208</f>
        <v>NW 100 ST</v>
      </c>
      <c r="D215" s="28" t="str">
        <f>'Table001 (Page 1-6)'!C208</f>
        <v>HWY 225A</v>
      </c>
      <c r="E215" s="28" t="str">
        <f>'Table001 (Page 1-6)'!D208</f>
        <v>US 441</v>
      </c>
      <c r="F215" s="29">
        <f>'Table001 (Page 1-6)'!E208</f>
        <v>2</v>
      </c>
      <c r="G215" s="29">
        <f>'Table001 (Page 1-6)'!K208</f>
        <v>2</v>
      </c>
      <c r="H215" s="30" t="str">
        <f>'Table001 (Page 1-6)'!R208</f>
        <v>B</v>
      </c>
      <c r="I215" s="28" t="str">
        <f>'Table001 (Page 1-6)'!F208</f>
        <v>COLLECTOR</v>
      </c>
      <c r="J215" s="29"/>
      <c r="K215" s="29"/>
      <c r="L215" s="29">
        <f>'Table001 (Page 1-6)'!I208</f>
        <v>9270</v>
      </c>
      <c r="M215" s="29"/>
      <c r="N215" s="29">
        <f>'Table001 (Page 1-6)'!J208</f>
        <v>486</v>
      </c>
      <c r="O215" s="29">
        <f>'Table001 (Page 1-6)'!L208</f>
        <v>9270</v>
      </c>
      <c r="P215" s="29"/>
      <c r="Q215" s="29">
        <f>'Table001 (Page 1-6)'!M208</f>
        <v>486</v>
      </c>
      <c r="R215" s="29" t="str">
        <f>'Table001 (Page 1-6)'!S208</f>
        <v>Not Counted</v>
      </c>
      <c r="S215" s="31" t="str">
        <f>'Table001 (Page 1-6)'!T208</f>
        <v>N/A</v>
      </c>
      <c r="T215" s="29" t="str">
        <f>'Table001 (Page 1-6)'!U208</f>
        <v>N/A</v>
      </c>
      <c r="U215" s="29"/>
      <c r="V215" s="29"/>
      <c r="W215" s="29"/>
      <c r="X215" s="29"/>
      <c r="Y215" s="29"/>
      <c r="Z215" s="29"/>
      <c r="AA215" s="29"/>
      <c r="AB215" s="29"/>
      <c r="AC215" s="31"/>
      <c r="AD215" s="29"/>
      <c r="AE215" s="29"/>
      <c r="AF215" s="29"/>
      <c r="AG215" s="31"/>
      <c r="AH215" s="29"/>
      <c r="AI215" s="32">
        <f>('Table001 (Page 1-6)'!V208)*100</f>
        <v>1</v>
      </c>
      <c r="AJ215" s="35"/>
      <c r="AK215" s="35"/>
      <c r="AL215" s="35"/>
      <c r="AM215" s="35"/>
    </row>
    <row r="216" spans="2:39" x14ac:dyDescent="0.25">
      <c r="B216" s="37">
        <f>'Table001 (Page 1-6)'!A209</f>
        <v>3240.2</v>
      </c>
      <c r="C216" s="28" t="str">
        <f>'Table001 (Page 1-6)'!B209</f>
        <v>NW 100 ST</v>
      </c>
      <c r="D216" s="28" t="str">
        <f>'Table001 (Page 1-6)'!C209</f>
        <v>US 441</v>
      </c>
      <c r="E216" s="28" t="str">
        <f>'Table001 (Page 1-6)'!D209</f>
        <v>JACKSONVILLE RD</v>
      </c>
      <c r="F216" s="29">
        <f>'Table001 (Page 1-6)'!E209</f>
        <v>2</v>
      </c>
      <c r="G216" s="29">
        <f>'Table001 (Page 1-6)'!K209</f>
        <v>2</v>
      </c>
      <c r="H216" s="30" t="str">
        <f>'Table001 (Page 1-6)'!R209</f>
        <v>B</v>
      </c>
      <c r="I216" s="28" t="str">
        <f>'Table001 (Page 1-6)'!F209</f>
        <v>COLLECTOR</v>
      </c>
      <c r="J216" s="29"/>
      <c r="K216" s="29"/>
      <c r="L216" s="29">
        <f>'Table001 (Page 1-6)'!I209</f>
        <v>9270</v>
      </c>
      <c r="M216" s="29"/>
      <c r="N216" s="29">
        <f>'Table001 (Page 1-6)'!J209</f>
        <v>486</v>
      </c>
      <c r="O216" s="29">
        <f>'Table001 (Page 1-6)'!L209</f>
        <v>9270</v>
      </c>
      <c r="P216" s="29"/>
      <c r="Q216" s="29">
        <f>'Table001 (Page 1-6)'!M209</f>
        <v>486</v>
      </c>
      <c r="R216" s="29" t="str">
        <f>'Table001 (Page 1-6)'!S209</f>
        <v>Not Counted</v>
      </c>
      <c r="S216" s="31" t="str">
        <f>'Table001 (Page 1-6)'!T209</f>
        <v>N/A</v>
      </c>
      <c r="T216" s="29" t="str">
        <f>'Table001 (Page 1-6)'!U209</f>
        <v>N/A</v>
      </c>
      <c r="U216" s="29"/>
      <c r="V216" s="29"/>
      <c r="W216" s="29"/>
      <c r="X216" s="29"/>
      <c r="Y216" s="29"/>
      <c r="Z216" s="29"/>
      <c r="AA216" s="29"/>
      <c r="AB216" s="29"/>
      <c r="AC216" s="31"/>
      <c r="AD216" s="29"/>
      <c r="AE216" s="29"/>
      <c r="AF216" s="29"/>
      <c r="AG216" s="31"/>
      <c r="AH216" s="29"/>
      <c r="AI216" s="32">
        <f>('Table001 (Page 1-6)'!V209)*100</f>
        <v>1</v>
      </c>
      <c r="AJ216" s="35"/>
      <c r="AK216" s="35"/>
      <c r="AL216" s="35"/>
      <c r="AM216" s="35"/>
    </row>
    <row r="217" spans="2:39" x14ac:dyDescent="0.25">
      <c r="B217" s="37">
        <f>'Table001 (Page 1-6)'!A210</f>
        <v>3280</v>
      </c>
      <c r="C217" s="28" t="str">
        <f>'Table001 (Page 1-6)'!B210</f>
        <v>NW 120 ST</v>
      </c>
      <c r="D217" s="28" t="str">
        <f>'Table001 (Page 1-6)'!C210</f>
        <v>NW 55 CT</v>
      </c>
      <c r="E217" s="28" t="str">
        <f>'Table001 (Page 1-6)'!D210</f>
        <v>CR 25A</v>
      </c>
      <c r="F217" s="29">
        <f>'Table001 (Page 1-6)'!E210</f>
        <v>2</v>
      </c>
      <c r="G217" s="29">
        <f>'Table001 (Page 1-6)'!K210</f>
        <v>2</v>
      </c>
      <c r="H217" s="30" t="str">
        <f>'Table001 (Page 1-6)'!R210</f>
        <v>B</v>
      </c>
      <c r="I217" s="28" t="str">
        <f>'Table001 (Page 1-6)'!F210</f>
        <v>LOCAL</v>
      </c>
      <c r="J217" s="29"/>
      <c r="K217" s="29"/>
      <c r="L217" s="29">
        <f>'Table001 (Page 1-6)'!I210</f>
        <v>9270</v>
      </c>
      <c r="M217" s="29"/>
      <c r="N217" s="29">
        <f>'Table001 (Page 1-6)'!J210</f>
        <v>486</v>
      </c>
      <c r="O217" s="29">
        <f>'Table001 (Page 1-6)'!L210</f>
        <v>9270</v>
      </c>
      <c r="P217" s="29"/>
      <c r="Q217" s="29">
        <f>'Table001 (Page 1-6)'!M210</f>
        <v>486</v>
      </c>
      <c r="R217" s="29" t="str">
        <f>'Table001 (Page 1-6)'!S210</f>
        <v>Not Counted</v>
      </c>
      <c r="S217" s="31" t="str">
        <f>'Table001 (Page 1-6)'!T210</f>
        <v>N/A</v>
      </c>
      <c r="T217" s="29" t="str">
        <f>'Table001 (Page 1-6)'!U210</f>
        <v>N/A</v>
      </c>
      <c r="U217" s="29"/>
      <c r="V217" s="29"/>
      <c r="W217" s="29"/>
      <c r="X217" s="29"/>
      <c r="Y217" s="29"/>
      <c r="Z217" s="29"/>
      <c r="AA217" s="29"/>
      <c r="AB217" s="29"/>
      <c r="AC217" s="31"/>
      <c r="AD217" s="29"/>
      <c r="AE217" s="29"/>
      <c r="AF217" s="29"/>
      <c r="AG217" s="31"/>
      <c r="AH217" s="29"/>
      <c r="AI217" s="32">
        <f>('Table001 (Page 1-6)'!V210)*100</f>
        <v>1</v>
      </c>
      <c r="AJ217" s="35"/>
      <c r="AK217" s="35"/>
      <c r="AL217" s="35"/>
      <c r="AM217" s="35"/>
    </row>
    <row r="218" spans="2:39" x14ac:dyDescent="0.25">
      <c r="B218" s="37">
        <f>'Table001 (Page 1-6)'!A211</f>
        <v>3290</v>
      </c>
      <c r="C218" s="28" t="str">
        <f>'Table001 (Page 1-6)'!B211</f>
        <v>NW 135 ST</v>
      </c>
      <c r="D218" s="28" t="str">
        <f>'Table001 (Page 1-6)'!C211</f>
        <v>CR 225</v>
      </c>
      <c r="E218" s="28" t="str">
        <f>'Table001 (Page 1-6)'!D211</f>
        <v>CR 225A</v>
      </c>
      <c r="F218" s="29">
        <f>'Table001 (Page 1-6)'!E211</f>
        <v>2</v>
      </c>
      <c r="G218" s="29">
        <f>'Table001 (Page 1-6)'!K211</f>
        <v>2</v>
      </c>
      <c r="H218" s="30" t="str">
        <f>'Table001 (Page 1-6)'!R211</f>
        <v>B</v>
      </c>
      <c r="I218" s="28" t="str">
        <f>'Table001 (Page 1-6)'!F211</f>
        <v>COLLECTOR</v>
      </c>
      <c r="J218" s="29"/>
      <c r="K218" s="29"/>
      <c r="L218" s="29">
        <f>'Table001 (Page 1-6)'!I211</f>
        <v>9270</v>
      </c>
      <c r="M218" s="29"/>
      <c r="N218" s="29">
        <f>'Table001 (Page 1-6)'!J211</f>
        <v>486</v>
      </c>
      <c r="O218" s="29">
        <f>'Table001 (Page 1-6)'!L211</f>
        <v>9270</v>
      </c>
      <c r="P218" s="29"/>
      <c r="Q218" s="29">
        <f>'Table001 (Page 1-6)'!M211</f>
        <v>486</v>
      </c>
      <c r="R218" s="29" t="str">
        <f>'Table001 (Page 1-6)'!S211</f>
        <v>Not Counted</v>
      </c>
      <c r="S218" s="31" t="str">
        <f>'Table001 (Page 1-6)'!T211</f>
        <v>N/A</v>
      </c>
      <c r="T218" s="29" t="str">
        <f>'Table001 (Page 1-6)'!U211</f>
        <v>N/A</v>
      </c>
      <c r="U218" s="29"/>
      <c r="V218" s="29"/>
      <c r="W218" s="29"/>
      <c r="X218" s="29"/>
      <c r="Y218" s="29"/>
      <c r="Z218" s="29"/>
      <c r="AA218" s="29"/>
      <c r="AB218" s="29"/>
      <c r="AC218" s="31"/>
      <c r="AD218" s="29"/>
      <c r="AE218" s="29"/>
      <c r="AF218" s="29"/>
      <c r="AG218" s="31"/>
      <c r="AH218" s="29"/>
      <c r="AI218" s="32">
        <f>('Table001 (Page 1-6)'!V211)*100</f>
        <v>1</v>
      </c>
      <c r="AJ218" s="35"/>
      <c r="AK218" s="35"/>
      <c r="AL218" s="35"/>
      <c r="AM218" s="35"/>
    </row>
    <row r="219" spans="2:39" x14ac:dyDescent="0.25">
      <c r="B219" s="37">
        <f>'Table001 (Page 1-6)'!A212</f>
        <v>3320</v>
      </c>
      <c r="C219" s="28" t="str">
        <f>'Table001 (Page 1-6)'!B212</f>
        <v>NW 165 ST</v>
      </c>
      <c r="D219" s="28" t="str">
        <f>'Table001 (Page 1-6)'!C212</f>
        <v>US 441</v>
      </c>
      <c r="E219" s="28" t="str">
        <f>'Table001 (Page 1-6)'!D212</f>
        <v>US 301</v>
      </c>
      <c r="F219" s="29">
        <f>'Table001 (Page 1-6)'!E212</f>
        <v>2</v>
      </c>
      <c r="G219" s="29">
        <f>'Table001 (Page 1-6)'!K212</f>
        <v>2</v>
      </c>
      <c r="H219" s="30" t="str">
        <f>'Table001 (Page 1-6)'!R212</f>
        <v>B</v>
      </c>
      <c r="I219" s="28" t="str">
        <f>'Table001 (Page 1-6)'!F212</f>
        <v>COLLECTOR</v>
      </c>
      <c r="J219" s="29"/>
      <c r="K219" s="29"/>
      <c r="L219" s="29">
        <f>'Table001 (Page 1-6)'!I212</f>
        <v>9270</v>
      </c>
      <c r="M219" s="29"/>
      <c r="N219" s="29">
        <f>'Table001 (Page 1-6)'!J212</f>
        <v>486</v>
      </c>
      <c r="O219" s="29">
        <f>'Table001 (Page 1-6)'!L212</f>
        <v>9270</v>
      </c>
      <c r="P219" s="29"/>
      <c r="Q219" s="29">
        <f>'Table001 (Page 1-6)'!M212</f>
        <v>486</v>
      </c>
      <c r="R219" s="29" t="str">
        <f>'Table001 (Page 1-6)'!S212</f>
        <v>Not Counted</v>
      </c>
      <c r="S219" s="31" t="str">
        <f>'Table001 (Page 1-6)'!T212</f>
        <v>N/A</v>
      </c>
      <c r="T219" s="29" t="str">
        <f>'Table001 (Page 1-6)'!U212</f>
        <v>N/A</v>
      </c>
      <c r="U219" s="29"/>
      <c r="V219" s="29"/>
      <c r="W219" s="29"/>
      <c r="X219" s="29"/>
      <c r="Y219" s="29"/>
      <c r="Z219" s="29"/>
      <c r="AA219" s="29"/>
      <c r="AB219" s="29"/>
      <c r="AC219" s="31"/>
      <c r="AD219" s="29"/>
      <c r="AE219" s="29"/>
      <c r="AF219" s="29"/>
      <c r="AG219" s="31"/>
      <c r="AH219" s="29"/>
      <c r="AI219" s="32">
        <f>('Table001 (Page 1-6)'!V212)*100</f>
        <v>1</v>
      </c>
      <c r="AJ219" s="35"/>
      <c r="AK219" s="35"/>
      <c r="AL219" s="35"/>
      <c r="AM219" s="35"/>
    </row>
    <row r="220" spans="2:39" x14ac:dyDescent="0.25">
      <c r="B220" s="37">
        <f>'Table001 (Page 1-6)'!A213</f>
        <v>3330</v>
      </c>
      <c r="C220" s="28" t="str">
        <f>'Table001 (Page 1-6)'!B213</f>
        <v>NW 193 ST</v>
      </c>
      <c r="D220" s="28" t="str">
        <f>'Table001 (Page 1-6)'!C213</f>
        <v>CR 329</v>
      </c>
      <c r="E220" s="28" t="str">
        <f>'Table001 (Page 1-6)'!D213</f>
        <v>US 441</v>
      </c>
      <c r="F220" s="29">
        <f>'Table001 (Page 1-6)'!E213</f>
        <v>2</v>
      </c>
      <c r="G220" s="29">
        <f>'Table001 (Page 1-6)'!K213</f>
        <v>2</v>
      </c>
      <c r="H220" s="30" t="str">
        <f>'Table001 (Page 1-6)'!R213</f>
        <v>B</v>
      </c>
      <c r="I220" s="28" t="str">
        <f>'Table001 (Page 1-6)'!F213</f>
        <v>COLLECTOR</v>
      </c>
      <c r="J220" s="29"/>
      <c r="K220" s="29"/>
      <c r="L220" s="29">
        <f>'Table001 (Page 1-6)'!I213</f>
        <v>9270</v>
      </c>
      <c r="M220" s="29"/>
      <c r="N220" s="29">
        <f>'Table001 (Page 1-6)'!J213</f>
        <v>486</v>
      </c>
      <c r="O220" s="29">
        <f>'Table001 (Page 1-6)'!L213</f>
        <v>9270</v>
      </c>
      <c r="P220" s="29"/>
      <c r="Q220" s="29">
        <f>'Table001 (Page 1-6)'!M213</f>
        <v>486</v>
      </c>
      <c r="R220" s="29" t="str">
        <f>'Table001 (Page 1-6)'!S213</f>
        <v>Not Counted</v>
      </c>
      <c r="S220" s="31" t="str">
        <f>'Table001 (Page 1-6)'!T213</f>
        <v>N/A</v>
      </c>
      <c r="T220" s="29" t="str">
        <f>'Table001 (Page 1-6)'!U213</f>
        <v>N/A</v>
      </c>
      <c r="U220" s="29"/>
      <c r="V220" s="29"/>
      <c r="W220" s="29"/>
      <c r="X220" s="29"/>
      <c r="Y220" s="29"/>
      <c r="Z220" s="29"/>
      <c r="AA220" s="29"/>
      <c r="AB220" s="29"/>
      <c r="AC220" s="31"/>
      <c r="AD220" s="29"/>
      <c r="AE220" s="29"/>
      <c r="AF220" s="29"/>
      <c r="AG220" s="31"/>
      <c r="AH220" s="29"/>
      <c r="AI220" s="32">
        <f>('Table001 (Page 1-6)'!V213)*100</f>
        <v>1</v>
      </c>
      <c r="AJ220" s="35"/>
      <c r="AK220" s="35"/>
      <c r="AL220" s="35"/>
      <c r="AM220" s="35"/>
    </row>
    <row r="221" spans="2:39" x14ac:dyDescent="0.25">
      <c r="B221" s="37">
        <f>'Table001 (Page 1-6)'!A214</f>
        <v>3340.1</v>
      </c>
      <c r="C221" s="28" t="str">
        <f>'Table001 (Page 1-6)'!B214</f>
        <v>CR 200A</v>
      </c>
      <c r="D221" s="28" t="str">
        <f>'Table001 (Page 1-6)'!C214</f>
        <v>US 441</v>
      </c>
      <c r="E221" s="28" t="str">
        <f>'Table001 (Page 1-6)'!D214</f>
        <v>NE JACKSONVILLE RD</v>
      </c>
      <c r="F221" s="29">
        <f>'Table001 (Page 1-6)'!E214</f>
        <v>4</v>
      </c>
      <c r="G221" s="29">
        <f>'Table001 (Page 1-6)'!K214</f>
        <v>4</v>
      </c>
      <c r="H221" s="30" t="str">
        <f>'Table001 (Page 1-6)'!R214</f>
        <v>E</v>
      </c>
      <c r="I221" s="28" t="str">
        <f>'Table001 (Page 1-6)'!F214</f>
        <v>ARTERIAL</v>
      </c>
      <c r="J221" s="29"/>
      <c r="K221" s="29"/>
      <c r="L221" s="29">
        <f>'Table001 (Page 1-6)'!I214</f>
        <v>30420</v>
      </c>
      <c r="M221" s="29"/>
      <c r="N221" s="29">
        <f>'Table001 (Page 1-6)'!J214</f>
        <v>1530</v>
      </c>
      <c r="O221" s="29">
        <f>'Table001 (Page 1-6)'!L214</f>
        <v>30420</v>
      </c>
      <c r="P221" s="29"/>
      <c r="Q221" s="29">
        <f>'Table001 (Page 1-6)'!M214</f>
        <v>1530</v>
      </c>
      <c r="R221" s="29" t="str">
        <f>'Table001 (Page 1-6)'!S214</f>
        <v>9,500</v>
      </c>
      <c r="S221" s="31" t="str">
        <f>'Table001 (Page 1-6)'!T214</f>
        <v>0.31</v>
      </c>
      <c r="T221" s="29" t="str">
        <f>'Table001 (Page 1-6)'!U214</f>
        <v>C</v>
      </c>
      <c r="U221" s="29"/>
      <c r="V221" s="29"/>
      <c r="W221" s="29"/>
      <c r="X221" s="29"/>
      <c r="Y221" s="29"/>
      <c r="Z221" s="29"/>
      <c r="AA221" s="29"/>
      <c r="AB221" s="29"/>
      <c r="AC221" s="31"/>
      <c r="AD221" s="29"/>
      <c r="AE221" s="29"/>
      <c r="AF221" s="29"/>
      <c r="AG221" s="31"/>
      <c r="AH221" s="29"/>
      <c r="AI221" s="32">
        <f>('Table001 (Page 1-6)'!V214)*100</f>
        <v>5.34</v>
      </c>
      <c r="AJ221" s="35"/>
      <c r="AK221" s="35"/>
      <c r="AL221" s="35"/>
      <c r="AM221" s="35"/>
    </row>
    <row r="222" spans="2:39" x14ac:dyDescent="0.25">
      <c r="B222" s="37">
        <f>'Table001 (Page 1-6)'!A215</f>
        <v>3360</v>
      </c>
      <c r="C222" s="28" t="str">
        <f>'Table001 (Page 1-6)'!B215</f>
        <v>NW 27 AV</v>
      </c>
      <c r="D222" s="28" t="str">
        <f>'Table001 (Page 1-6)'!C215</f>
        <v>SR 40</v>
      </c>
      <c r="E222" s="28" t="str">
        <f>'Table001 (Page 1-6)'!D215</f>
        <v>US 27</v>
      </c>
      <c r="F222" s="29">
        <f>'Table001 (Page 1-6)'!E215</f>
        <v>4</v>
      </c>
      <c r="G222" s="29">
        <f>'Table001 (Page 1-6)'!K215</f>
        <v>4</v>
      </c>
      <c r="H222" s="30" t="str">
        <f>'Table001 (Page 1-6)'!R215</f>
        <v>E</v>
      </c>
      <c r="I222" s="28" t="str">
        <f>'Table001 (Page 1-6)'!F215</f>
        <v>ARTERIAL</v>
      </c>
      <c r="J222" s="29"/>
      <c r="K222" s="29"/>
      <c r="L222" s="29">
        <f>'Table001 (Page 1-6)'!I215</f>
        <v>35820</v>
      </c>
      <c r="M222" s="29"/>
      <c r="N222" s="29">
        <f>'Table001 (Page 1-6)'!J215</f>
        <v>1800</v>
      </c>
      <c r="O222" s="29">
        <f>'Table001 (Page 1-6)'!L215</f>
        <v>35820</v>
      </c>
      <c r="P222" s="29"/>
      <c r="Q222" s="29">
        <f>'Table001 (Page 1-6)'!M215</f>
        <v>1800</v>
      </c>
      <c r="R222" s="29" t="str">
        <f>'Table001 (Page 1-6)'!S215</f>
        <v>27,200</v>
      </c>
      <c r="S222" s="31" t="str">
        <f>'Table001 (Page 1-6)'!T215</f>
        <v>0.76</v>
      </c>
      <c r="T222" s="29" t="str">
        <f>'Table001 (Page 1-6)'!U215</f>
        <v>C</v>
      </c>
      <c r="U222" s="29"/>
      <c r="V222" s="29"/>
      <c r="W222" s="29"/>
      <c r="X222" s="29"/>
      <c r="Y222" s="29"/>
      <c r="Z222" s="29"/>
      <c r="AA222" s="29"/>
      <c r="AB222" s="29"/>
      <c r="AC222" s="31"/>
      <c r="AD222" s="29"/>
      <c r="AE222" s="29"/>
      <c r="AF222" s="29"/>
      <c r="AG222" s="31"/>
      <c r="AH222" s="29"/>
      <c r="AI222" s="32">
        <f>('Table001 (Page 1-6)'!V215)*100</f>
        <v>5.4399999999999995</v>
      </c>
      <c r="AJ222" s="35"/>
      <c r="AK222" s="35"/>
      <c r="AL222" s="35"/>
      <c r="AM222" s="35"/>
    </row>
    <row r="223" spans="2:39" x14ac:dyDescent="0.25">
      <c r="B223" s="37">
        <f>'Table001 (Page 1-6)'!A216</f>
        <v>3370</v>
      </c>
      <c r="C223" s="28" t="str">
        <f>'Table001 (Page 1-6)'!B216</f>
        <v>NW 27 AV</v>
      </c>
      <c r="D223" s="28" t="str">
        <f>'Table001 (Page 1-6)'!C216</f>
        <v>US 27</v>
      </c>
      <c r="E223" s="28" t="str">
        <f>'Table001 (Page 1-6)'!D216</f>
        <v>NW 21 ST</v>
      </c>
      <c r="F223" s="29">
        <f>'Table001 (Page 1-6)'!E216</f>
        <v>2</v>
      </c>
      <c r="G223" s="29">
        <f>'Table001 (Page 1-6)'!K216</f>
        <v>2</v>
      </c>
      <c r="H223" s="30" t="str">
        <f>'Table001 (Page 1-6)'!R216</f>
        <v>E</v>
      </c>
      <c r="I223" s="28" t="str">
        <f>'Table001 (Page 1-6)'!F216</f>
        <v>COLLECTOR</v>
      </c>
      <c r="J223" s="29"/>
      <c r="K223" s="29"/>
      <c r="L223" s="29">
        <f>'Table001 (Page 1-6)'!I216</f>
        <v>14040</v>
      </c>
      <c r="M223" s="29"/>
      <c r="N223" s="29">
        <f>'Table001 (Page 1-6)'!J216</f>
        <v>720</v>
      </c>
      <c r="O223" s="29">
        <f>'Table001 (Page 1-6)'!L216</f>
        <v>14040</v>
      </c>
      <c r="P223" s="29"/>
      <c r="Q223" s="29">
        <f>'Table001 (Page 1-6)'!M216</f>
        <v>720</v>
      </c>
      <c r="R223" s="29" t="str">
        <f>'Table001 (Page 1-6)'!S216</f>
        <v>6,300</v>
      </c>
      <c r="S223" s="31" t="str">
        <f>'Table001 (Page 1-6)'!T216</f>
        <v>0.45</v>
      </c>
      <c r="T223" s="29" t="str">
        <f>'Table001 (Page 1-6)'!U216</f>
        <v>C</v>
      </c>
      <c r="U223" s="29"/>
      <c r="V223" s="29"/>
      <c r="W223" s="29"/>
      <c r="X223" s="29"/>
      <c r="Y223" s="29"/>
      <c r="Z223" s="29"/>
      <c r="AA223" s="29"/>
      <c r="AB223" s="29"/>
      <c r="AC223" s="31"/>
      <c r="AD223" s="29"/>
      <c r="AE223" s="29"/>
      <c r="AF223" s="29"/>
      <c r="AG223" s="31"/>
      <c r="AH223" s="29"/>
      <c r="AI223" s="32">
        <f>('Table001 (Page 1-6)'!V216)*100</f>
        <v>1</v>
      </c>
      <c r="AJ223" s="35"/>
      <c r="AK223" s="35"/>
      <c r="AL223" s="35"/>
      <c r="AM223" s="35"/>
    </row>
    <row r="224" spans="2:39" x14ac:dyDescent="0.25">
      <c r="B224" s="37">
        <f>'Table001 (Page 1-6)'!A217</f>
        <v>3380</v>
      </c>
      <c r="C224" s="28" t="str">
        <f>'Table001 (Page 1-6)'!B217</f>
        <v>NW 27 AV</v>
      </c>
      <c r="D224" s="28" t="str">
        <f>'Table001 (Page 1-6)'!C217</f>
        <v>NW 21 ST</v>
      </c>
      <c r="E224" s="28" t="str">
        <f>'Table001 (Page 1-6)'!D217</f>
        <v>NW 35 ST</v>
      </c>
      <c r="F224" s="29">
        <f>'Table001 (Page 1-6)'!E217</f>
        <v>2</v>
      </c>
      <c r="G224" s="29">
        <f>'Table001 (Page 1-6)'!K217</f>
        <v>2</v>
      </c>
      <c r="H224" s="30" t="str">
        <f>'Table001 (Page 1-6)'!R217</f>
        <v>E</v>
      </c>
      <c r="I224" s="28" t="str">
        <f>'Table001 (Page 1-6)'!F217</f>
        <v>COLLECTOR</v>
      </c>
      <c r="J224" s="29"/>
      <c r="K224" s="29"/>
      <c r="L224" s="29">
        <f>'Table001 (Page 1-6)'!I217</f>
        <v>11232</v>
      </c>
      <c r="M224" s="29"/>
      <c r="N224" s="29">
        <f>'Table001 (Page 1-6)'!J217</f>
        <v>576</v>
      </c>
      <c r="O224" s="29">
        <f>'Table001 (Page 1-6)'!L217</f>
        <v>11232</v>
      </c>
      <c r="P224" s="29"/>
      <c r="Q224" s="29">
        <f>'Table001 (Page 1-6)'!M217</f>
        <v>576</v>
      </c>
      <c r="R224" s="29" t="str">
        <f>'Table001 (Page 1-6)'!S217</f>
        <v>5,600</v>
      </c>
      <c r="S224" s="31" t="str">
        <f>'Table001 (Page 1-6)'!T217</f>
        <v>0.5</v>
      </c>
      <c r="T224" s="29" t="str">
        <f>'Table001 (Page 1-6)'!U217</f>
        <v>D</v>
      </c>
      <c r="U224" s="29"/>
      <c r="V224" s="29"/>
      <c r="W224" s="29"/>
      <c r="X224" s="29"/>
      <c r="Y224" s="29"/>
      <c r="Z224" s="29"/>
      <c r="AA224" s="29"/>
      <c r="AB224" s="29"/>
      <c r="AC224" s="31"/>
      <c r="AD224" s="29"/>
      <c r="AE224" s="29"/>
      <c r="AF224" s="29"/>
      <c r="AG224" s="31"/>
      <c r="AH224" s="29"/>
      <c r="AI224" s="32">
        <f>('Table001 (Page 1-6)'!V217)*100</f>
        <v>1</v>
      </c>
      <c r="AJ224" s="35"/>
      <c r="AK224" s="35"/>
      <c r="AL224" s="35"/>
      <c r="AM224" s="35"/>
    </row>
    <row r="225" spans="2:39" x14ac:dyDescent="0.25">
      <c r="B225" s="37">
        <f>'Table001 (Page 1-6)'!A218</f>
        <v>3390</v>
      </c>
      <c r="C225" s="28" t="str">
        <f>'Table001 (Page 1-6)'!B218</f>
        <v>NW 3 ST</v>
      </c>
      <c r="D225" s="28" t="str">
        <f>'Table001 (Page 1-6)'!C218</f>
        <v>NW 40 AV</v>
      </c>
      <c r="E225" s="28" t="str">
        <f>'Table001 (Page 1-6)'!D218</f>
        <v>NW 38 AV</v>
      </c>
      <c r="F225" s="29">
        <f>'Table001 (Page 1-6)'!E218</f>
        <v>2</v>
      </c>
      <c r="G225" s="29">
        <f>'Table001 (Page 1-6)'!K218</f>
        <v>2</v>
      </c>
      <c r="H225" s="30" t="str">
        <f>'Table001 (Page 1-6)'!R218</f>
        <v>E</v>
      </c>
      <c r="I225" s="28" t="str">
        <f>'Table001 (Page 1-6)'!F218</f>
        <v>COLLECTOR</v>
      </c>
      <c r="J225" s="29"/>
      <c r="K225" s="29"/>
      <c r="L225" s="29">
        <f>'Table001 (Page 1-6)'!I218</f>
        <v>11232</v>
      </c>
      <c r="M225" s="29"/>
      <c r="N225" s="29">
        <f>'Table001 (Page 1-6)'!J218</f>
        <v>576</v>
      </c>
      <c r="O225" s="29">
        <f>'Table001 (Page 1-6)'!L218</f>
        <v>11232</v>
      </c>
      <c r="P225" s="29"/>
      <c r="Q225" s="29">
        <f>'Table001 (Page 1-6)'!M218</f>
        <v>576</v>
      </c>
      <c r="R225" s="29" t="str">
        <f>'Table001 (Page 1-6)'!S218</f>
        <v>2,500</v>
      </c>
      <c r="S225" s="31" t="str">
        <f>'Table001 (Page 1-6)'!T218</f>
        <v>0.22</v>
      </c>
      <c r="T225" s="29" t="str">
        <f>'Table001 (Page 1-6)'!U218</f>
        <v>C</v>
      </c>
      <c r="U225" s="29"/>
      <c r="V225" s="29"/>
      <c r="W225" s="29"/>
      <c r="X225" s="29"/>
      <c r="Y225" s="29"/>
      <c r="Z225" s="29"/>
      <c r="AA225" s="29"/>
      <c r="AB225" s="29"/>
      <c r="AC225" s="31"/>
      <c r="AD225" s="29"/>
      <c r="AE225" s="29"/>
      <c r="AF225" s="29"/>
      <c r="AG225" s="31"/>
      <c r="AH225" s="29"/>
      <c r="AI225" s="32">
        <f>('Table001 (Page 1-6)'!V218)*100</f>
        <v>1.37</v>
      </c>
      <c r="AJ225" s="35"/>
      <c r="AK225" s="35"/>
      <c r="AL225" s="35"/>
      <c r="AM225" s="35"/>
    </row>
    <row r="226" spans="2:39" x14ac:dyDescent="0.25">
      <c r="B226" s="37">
        <f>'Table001 (Page 1-6)'!A219</f>
        <v>3400</v>
      </c>
      <c r="C226" s="28" t="str">
        <f>'Table001 (Page 1-6)'!B219</f>
        <v>NW 35 AV</v>
      </c>
      <c r="D226" s="28" t="str">
        <f>'Table001 (Page 1-6)'!C219</f>
        <v>US 27</v>
      </c>
      <c r="E226" s="28" t="str">
        <f>'Table001 (Page 1-6)'!D219</f>
        <v>NW 21 ST</v>
      </c>
      <c r="F226" s="29">
        <f>'Table001 (Page 1-6)'!E219</f>
        <v>4</v>
      </c>
      <c r="G226" s="29">
        <f>'Table001 (Page 1-6)'!K219</f>
        <v>4</v>
      </c>
      <c r="H226" s="30" t="str">
        <f>'Table001 (Page 1-6)'!R219</f>
        <v>E</v>
      </c>
      <c r="I226" s="28" t="str">
        <f>'Table001 (Page 1-6)'!F219</f>
        <v>LOCAL</v>
      </c>
      <c r="J226" s="29"/>
      <c r="K226" s="29"/>
      <c r="L226" s="29">
        <f>'Table001 (Page 1-6)'!I219</f>
        <v>67770</v>
      </c>
      <c r="M226" s="29"/>
      <c r="N226" s="29">
        <f>'Table001 (Page 1-6)'!J219</f>
        <v>3357</v>
      </c>
      <c r="O226" s="29">
        <f>'Table001 (Page 1-6)'!L219</f>
        <v>67770</v>
      </c>
      <c r="P226" s="29"/>
      <c r="Q226" s="29">
        <f>'Table001 (Page 1-6)'!M219</f>
        <v>3357</v>
      </c>
      <c r="R226" s="29" t="str">
        <f>'Table001 (Page 1-6)'!S219</f>
        <v>9,200</v>
      </c>
      <c r="S226" s="31" t="str">
        <f>'Table001 (Page 1-6)'!T219</f>
        <v>0.14</v>
      </c>
      <c r="T226" s="29" t="str">
        <f>'Table001 (Page 1-6)'!U219</f>
        <v>B</v>
      </c>
      <c r="U226" s="29"/>
      <c r="V226" s="29"/>
      <c r="W226" s="29"/>
      <c r="X226" s="29"/>
      <c r="Y226" s="29"/>
      <c r="Z226" s="29"/>
      <c r="AA226" s="29"/>
      <c r="AB226" s="29"/>
      <c r="AC226" s="31"/>
      <c r="AD226" s="29"/>
      <c r="AE226" s="29"/>
      <c r="AF226" s="29"/>
      <c r="AG226" s="31"/>
      <c r="AH226" s="29"/>
      <c r="AI226" s="32">
        <f>('Table001 (Page 1-6)'!V219)*100</f>
        <v>1</v>
      </c>
      <c r="AJ226" s="35"/>
      <c r="AK226" s="35"/>
      <c r="AL226" s="35"/>
      <c r="AM226" s="35"/>
    </row>
    <row r="227" spans="2:39" x14ac:dyDescent="0.25">
      <c r="B227" s="37">
        <f>'Table001 (Page 1-6)'!A220</f>
        <v>3410</v>
      </c>
      <c r="C227" s="28" t="str">
        <f>'Table001 (Page 1-6)'!B220</f>
        <v>NW 35 ST</v>
      </c>
      <c r="D227" s="28" t="str">
        <f>'Table001 (Page 1-6)'!C220</f>
        <v>NW 27 AV</v>
      </c>
      <c r="E227" s="28" t="str">
        <f>'Table001 (Page 1-6)'!D220</f>
        <v>NW MARTIN L KING AV</v>
      </c>
      <c r="F227" s="29">
        <f>'Table001 (Page 1-6)'!E220</f>
        <v>4</v>
      </c>
      <c r="G227" s="29">
        <f>'Table001 (Page 1-6)'!K220</f>
        <v>4</v>
      </c>
      <c r="H227" s="30" t="str">
        <f>'Table001 (Page 1-6)'!R220</f>
        <v>E</v>
      </c>
      <c r="I227" s="28" t="str">
        <f>'Table001 (Page 1-6)'!F220</f>
        <v>COLLECTOR</v>
      </c>
      <c r="J227" s="29"/>
      <c r="K227" s="29"/>
      <c r="L227" s="29">
        <f>'Table001 (Page 1-6)'!I220</f>
        <v>30420</v>
      </c>
      <c r="M227" s="29"/>
      <c r="N227" s="29">
        <f>'Table001 (Page 1-6)'!J220</f>
        <v>1530</v>
      </c>
      <c r="O227" s="29">
        <f>'Table001 (Page 1-6)'!L220</f>
        <v>30420</v>
      </c>
      <c r="P227" s="29"/>
      <c r="Q227" s="29">
        <f>'Table001 (Page 1-6)'!M220</f>
        <v>1530</v>
      </c>
      <c r="R227" s="29" t="str">
        <f>'Table001 (Page 1-6)'!S220</f>
        <v>11,500</v>
      </c>
      <c r="S227" s="31" t="str">
        <f>'Table001 (Page 1-6)'!T220</f>
        <v>0.38</v>
      </c>
      <c r="T227" s="29" t="str">
        <f>'Table001 (Page 1-6)'!U220</f>
        <v>C</v>
      </c>
      <c r="U227" s="29"/>
      <c r="V227" s="29"/>
      <c r="W227" s="29"/>
      <c r="X227" s="29"/>
      <c r="Y227" s="29"/>
      <c r="Z227" s="29"/>
      <c r="AA227" s="29"/>
      <c r="AB227" s="29"/>
      <c r="AC227" s="31"/>
      <c r="AD227" s="29"/>
      <c r="AE227" s="29"/>
      <c r="AF227" s="29"/>
      <c r="AG227" s="31"/>
      <c r="AH227" s="29"/>
      <c r="AI227" s="32">
        <f>('Table001 (Page 1-6)'!V220)*100</f>
        <v>8.35</v>
      </c>
      <c r="AJ227" s="35"/>
      <c r="AK227" s="35"/>
      <c r="AL227" s="35"/>
      <c r="AM227" s="35"/>
    </row>
    <row r="228" spans="2:39" x14ac:dyDescent="0.25">
      <c r="B228" s="37">
        <f>'Table001 (Page 1-6)'!A221</f>
        <v>3420</v>
      </c>
      <c r="C228" s="28" t="str">
        <f>'Table001 (Page 1-6)'!B221</f>
        <v>NW 35 ST</v>
      </c>
      <c r="D228" s="28" t="str">
        <f>'Table001 (Page 1-6)'!C221</f>
        <v>NW MARTIN L KING AV</v>
      </c>
      <c r="E228" s="28" t="str">
        <f>'Table001 (Page 1-6)'!D221</f>
        <v>US 441</v>
      </c>
      <c r="F228" s="29">
        <f>'Table001 (Page 1-6)'!E221</f>
        <v>4</v>
      </c>
      <c r="G228" s="29">
        <f>'Table001 (Page 1-6)'!K221</f>
        <v>4</v>
      </c>
      <c r="H228" s="30" t="str">
        <f>'Table001 (Page 1-6)'!R221</f>
        <v>E</v>
      </c>
      <c r="I228" s="28" t="str">
        <f>'Table001 (Page 1-6)'!F221</f>
        <v>COLLECTOR</v>
      </c>
      <c r="J228" s="29"/>
      <c r="K228" s="29"/>
      <c r="L228" s="29">
        <f>'Table001 (Page 1-6)'!I221</f>
        <v>30420</v>
      </c>
      <c r="M228" s="29"/>
      <c r="N228" s="29">
        <f>'Table001 (Page 1-6)'!J221</f>
        <v>1530</v>
      </c>
      <c r="O228" s="29">
        <f>'Table001 (Page 1-6)'!L221</f>
        <v>30420</v>
      </c>
      <c r="P228" s="29"/>
      <c r="Q228" s="29">
        <f>'Table001 (Page 1-6)'!M221</f>
        <v>1530</v>
      </c>
      <c r="R228" s="29" t="str">
        <f>'Table001 (Page 1-6)'!S221</f>
        <v>17,800</v>
      </c>
      <c r="S228" s="31" t="str">
        <f>'Table001 (Page 1-6)'!T221</f>
        <v>0.59</v>
      </c>
      <c r="T228" s="29" t="str">
        <f>'Table001 (Page 1-6)'!U221</f>
        <v>D</v>
      </c>
      <c r="U228" s="29"/>
      <c r="V228" s="29"/>
      <c r="W228" s="29"/>
      <c r="X228" s="29"/>
      <c r="Y228" s="29"/>
      <c r="Z228" s="29"/>
      <c r="AA228" s="29"/>
      <c r="AB228" s="29"/>
      <c r="AC228" s="31"/>
      <c r="AD228" s="29"/>
      <c r="AE228" s="29"/>
      <c r="AF228" s="29"/>
      <c r="AG228" s="31"/>
      <c r="AH228" s="29"/>
      <c r="AI228" s="32">
        <f>('Table001 (Page 1-6)'!V221)*100</f>
        <v>4.87</v>
      </c>
      <c r="AJ228" s="35"/>
      <c r="AK228" s="35"/>
      <c r="AL228" s="35"/>
      <c r="AM228" s="35"/>
    </row>
    <row r="229" spans="2:39" x14ac:dyDescent="0.25">
      <c r="B229" s="37">
        <f>'Table001 (Page 1-6)'!A222</f>
        <v>3430.2</v>
      </c>
      <c r="C229" s="28" t="str">
        <f>'Table001 (Page 1-6)'!B222</f>
        <v>NW 35 ST</v>
      </c>
      <c r="D229" s="28" t="str">
        <f>'Table001 (Page 1-6)'!C222</f>
        <v>NE 2ND AVE</v>
      </c>
      <c r="E229" s="28" t="str">
        <f>'Table001 (Page 1-6)'!D222</f>
        <v>CR 200A</v>
      </c>
      <c r="F229" s="29">
        <f>'Table001 (Page 1-6)'!E222</f>
        <v>2</v>
      </c>
      <c r="G229" s="29">
        <f>'Table001 (Page 1-6)'!K222</f>
        <v>2</v>
      </c>
      <c r="H229" s="30" t="str">
        <f>'Table001 (Page 1-6)'!R222</f>
        <v>E</v>
      </c>
      <c r="I229" s="28" t="str">
        <f>'Table001 (Page 1-6)'!F222</f>
        <v>COLLECTOR</v>
      </c>
      <c r="J229" s="29"/>
      <c r="K229" s="29"/>
      <c r="L229" s="29">
        <f>'Table001 (Page 1-6)'!I222</f>
        <v>29340</v>
      </c>
      <c r="M229" s="29"/>
      <c r="N229" s="29">
        <f>'Table001 (Page 1-6)'!J222</f>
        <v>1449</v>
      </c>
      <c r="O229" s="29">
        <f>'Table001 (Page 1-6)'!L222</f>
        <v>29340</v>
      </c>
      <c r="P229" s="29"/>
      <c r="Q229" s="29">
        <f>'Table001 (Page 1-6)'!M222</f>
        <v>1449</v>
      </c>
      <c r="R229" s="29" t="str">
        <f>'Table001 (Page 1-6)'!S222</f>
        <v>10,400</v>
      </c>
      <c r="S229" s="31" t="str">
        <f>'Table001 (Page 1-6)'!T222</f>
        <v>0.35</v>
      </c>
      <c r="T229" s="29" t="str">
        <f>'Table001 (Page 1-6)'!U222</f>
        <v>B</v>
      </c>
      <c r="U229" s="29"/>
      <c r="V229" s="29"/>
      <c r="W229" s="29"/>
      <c r="X229" s="29"/>
      <c r="Y229" s="29"/>
      <c r="Z229" s="29"/>
      <c r="AA229" s="29"/>
      <c r="AB229" s="29"/>
      <c r="AC229" s="31"/>
      <c r="AD229" s="29"/>
      <c r="AE229" s="29"/>
      <c r="AF229" s="29"/>
      <c r="AG229" s="31"/>
      <c r="AH229" s="29"/>
      <c r="AI229" s="32">
        <f>('Table001 (Page 1-6)'!V222)*100</f>
        <v>2.79</v>
      </c>
      <c r="AJ229" s="35"/>
      <c r="AK229" s="35"/>
      <c r="AL229" s="35"/>
      <c r="AM229" s="35"/>
    </row>
    <row r="230" spans="2:39" x14ac:dyDescent="0.25">
      <c r="B230" s="37">
        <f>'Table001 (Page 1-6)'!A223</f>
        <v>3430.3</v>
      </c>
      <c r="C230" s="28" t="str">
        <f>'Table001 (Page 1-6)'!B223</f>
        <v>NW 35 ST</v>
      </c>
      <c r="D230" s="28" t="str">
        <f>'Table001 (Page 1-6)'!C223</f>
        <v>US 441</v>
      </c>
      <c r="E230" s="28" t="str">
        <f>'Table001 (Page 1-6)'!D223</f>
        <v>NE 2ND AVE</v>
      </c>
      <c r="F230" s="29">
        <f>'Table001 (Page 1-6)'!E223</f>
        <v>4</v>
      </c>
      <c r="G230" s="29">
        <f>'Table001 (Page 1-6)'!K223</f>
        <v>4</v>
      </c>
      <c r="H230" s="30" t="str">
        <f>'Table001 (Page 1-6)'!R223</f>
        <v>E</v>
      </c>
      <c r="I230" s="28" t="str">
        <f>'Table001 (Page 1-6)'!F223</f>
        <v>COLLECTOR</v>
      </c>
      <c r="J230" s="29"/>
      <c r="K230" s="29"/>
      <c r="L230" s="29">
        <f>'Table001 (Page 1-6)'!I223</f>
        <v>30420</v>
      </c>
      <c r="M230" s="29"/>
      <c r="N230" s="29">
        <f>'Table001 (Page 1-6)'!J223</f>
        <v>1530</v>
      </c>
      <c r="O230" s="29">
        <f>'Table001 (Page 1-6)'!L223</f>
        <v>30420</v>
      </c>
      <c r="P230" s="29"/>
      <c r="Q230" s="29">
        <f>'Table001 (Page 1-6)'!M223</f>
        <v>1530</v>
      </c>
      <c r="R230" s="29" t="str">
        <f>'Table001 (Page 1-6)'!S223</f>
        <v>10,400</v>
      </c>
      <c r="S230" s="31" t="str">
        <f>'Table001 (Page 1-6)'!T223</f>
        <v>0.34</v>
      </c>
      <c r="T230" s="29" t="str">
        <f>'Table001 (Page 1-6)'!U223</f>
        <v>C</v>
      </c>
      <c r="U230" s="29"/>
      <c r="V230" s="29"/>
      <c r="W230" s="29"/>
      <c r="X230" s="29"/>
      <c r="Y230" s="29"/>
      <c r="Z230" s="29"/>
      <c r="AA230" s="29"/>
      <c r="AB230" s="29"/>
      <c r="AC230" s="31"/>
      <c r="AD230" s="29"/>
      <c r="AE230" s="29"/>
      <c r="AF230" s="29"/>
      <c r="AG230" s="31"/>
      <c r="AH230" s="29"/>
      <c r="AI230" s="32">
        <f>('Table001 (Page 1-6)'!V223)*100</f>
        <v>2.79</v>
      </c>
      <c r="AJ230" s="35"/>
      <c r="AK230" s="35"/>
      <c r="AL230" s="35"/>
      <c r="AM230" s="35"/>
    </row>
    <row r="231" spans="2:39" x14ac:dyDescent="0.25">
      <c r="B231" s="37">
        <f>'Table001 (Page 1-6)'!A224</f>
        <v>3440</v>
      </c>
      <c r="C231" s="28" t="str">
        <f>'Table001 (Page 1-6)'!B224</f>
        <v>NW 38 AV</v>
      </c>
      <c r="D231" s="28" t="str">
        <f>'Table001 (Page 1-6)'!C224</f>
        <v>NW 3 ST</v>
      </c>
      <c r="E231" s="28" t="str">
        <f>'Table001 (Page 1-6)'!D224</f>
        <v>US 27</v>
      </c>
      <c r="F231" s="29">
        <f>'Table001 (Page 1-6)'!E224</f>
        <v>2</v>
      </c>
      <c r="G231" s="29">
        <f>'Table001 (Page 1-6)'!K224</f>
        <v>2</v>
      </c>
      <c r="H231" s="30" t="str">
        <f>'Table001 (Page 1-6)'!R224</f>
        <v>E</v>
      </c>
      <c r="I231" s="28" t="str">
        <f>'Table001 (Page 1-6)'!F224</f>
        <v>COLLECTOR</v>
      </c>
      <c r="J231" s="29"/>
      <c r="K231" s="29"/>
      <c r="L231" s="29">
        <f>'Table001 (Page 1-6)'!I224</f>
        <v>11232</v>
      </c>
      <c r="M231" s="29"/>
      <c r="N231" s="29">
        <f>'Table001 (Page 1-6)'!J224</f>
        <v>576</v>
      </c>
      <c r="O231" s="29">
        <f>'Table001 (Page 1-6)'!L224</f>
        <v>11232</v>
      </c>
      <c r="P231" s="29"/>
      <c r="Q231" s="29">
        <f>'Table001 (Page 1-6)'!M224</f>
        <v>576</v>
      </c>
      <c r="R231" s="29" t="str">
        <f>'Table001 (Page 1-6)'!S224</f>
        <v>2,500</v>
      </c>
      <c r="S231" s="31" t="str">
        <f>'Table001 (Page 1-6)'!T224</f>
        <v>0.22</v>
      </c>
      <c r="T231" s="29" t="str">
        <f>'Table001 (Page 1-6)'!U224</f>
        <v>C</v>
      </c>
      <c r="U231" s="29"/>
      <c r="V231" s="29"/>
      <c r="W231" s="29"/>
      <c r="X231" s="29"/>
      <c r="Y231" s="29"/>
      <c r="Z231" s="29"/>
      <c r="AA231" s="29"/>
      <c r="AB231" s="29"/>
      <c r="AC231" s="31"/>
      <c r="AD231" s="29"/>
      <c r="AE231" s="29"/>
      <c r="AF231" s="29"/>
      <c r="AG231" s="31"/>
      <c r="AH231" s="29"/>
      <c r="AI231" s="32">
        <f>('Table001 (Page 1-6)'!V224)*100</f>
        <v>1</v>
      </c>
      <c r="AJ231" s="35"/>
      <c r="AK231" s="35"/>
      <c r="AL231" s="35"/>
      <c r="AM231" s="35"/>
    </row>
    <row r="232" spans="2:39" x14ac:dyDescent="0.25">
      <c r="B232" s="37">
        <f>'Table001 (Page 1-6)'!A225</f>
        <v>3450</v>
      </c>
      <c r="C232" s="28" t="str">
        <f>'Table001 (Page 1-6)'!B225</f>
        <v>NW 40 AV</v>
      </c>
      <c r="D232" s="28" t="str">
        <f>'Table001 (Page 1-6)'!C225</f>
        <v>SR 40</v>
      </c>
      <c r="E232" s="28" t="str">
        <f>'Table001 (Page 1-6)'!D225</f>
        <v>NW 3 ST</v>
      </c>
      <c r="F232" s="29">
        <f>'Table001 (Page 1-6)'!E225</f>
        <v>2</v>
      </c>
      <c r="G232" s="29">
        <f>'Table001 (Page 1-6)'!K225</f>
        <v>2</v>
      </c>
      <c r="H232" s="30" t="str">
        <f>'Table001 (Page 1-6)'!R225</f>
        <v>E</v>
      </c>
      <c r="I232" s="28" t="str">
        <f>'Table001 (Page 1-6)'!F225</f>
        <v>COLLECTOR</v>
      </c>
      <c r="J232" s="29"/>
      <c r="K232" s="29"/>
      <c r="L232" s="29">
        <f>'Table001 (Page 1-6)'!I225</f>
        <v>11232</v>
      </c>
      <c r="M232" s="29"/>
      <c r="N232" s="29">
        <f>'Table001 (Page 1-6)'!J225</f>
        <v>576</v>
      </c>
      <c r="O232" s="29">
        <f>'Table001 (Page 1-6)'!L225</f>
        <v>11232</v>
      </c>
      <c r="P232" s="29"/>
      <c r="Q232" s="29">
        <f>'Table001 (Page 1-6)'!M225</f>
        <v>576</v>
      </c>
      <c r="R232" s="29" t="str">
        <f>'Table001 (Page 1-6)'!S225</f>
        <v>2,700</v>
      </c>
      <c r="S232" s="31" t="str">
        <f>'Table001 (Page 1-6)'!T225</f>
        <v>0.24</v>
      </c>
      <c r="T232" s="29" t="str">
        <f>'Table001 (Page 1-6)'!U225</f>
        <v>C</v>
      </c>
      <c r="U232" s="29"/>
      <c r="V232" s="29"/>
      <c r="W232" s="29"/>
      <c r="X232" s="29"/>
      <c r="Y232" s="29"/>
      <c r="Z232" s="29"/>
      <c r="AA232" s="29"/>
      <c r="AB232" s="29"/>
      <c r="AC232" s="31"/>
      <c r="AD232" s="29"/>
      <c r="AE232" s="29"/>
      <c r="AF232" s="29"/>
      <c r="AG232" s="31"/>
      <c r="AH232" s="29"/>
      <c r="AI232" s="32">
        <f>('Table001 (Page 1-6)'!V225)*100</f>
        <v>9.34</v>
      </c>
      <c r="AJ232" s="35"/>
      <c r="AK232" s="35"/>
      <c r="AL232" s="35"/>
      <c r="AM232" s="35"/>
    </row>
    <row r="233" spans="2:39" x14ac:dyDescent="0.25">
      <c r="B233" s="37">
        <f>'Table001 (Page 1-6)'!A226</f>
        <v>3460.1</v>
      </c>
      <c r="C233" s="28" t="str">
        <f>'Table001 (Page 1-6)'!B226</f>
        <v>SW 46 AV</v>
      </c>
      <c r="D233" s="28" t="str">
        <f>'Table001 (Page 1-6)'!C226</f>
        <v>SW 13 ST</v>
      </c>
      <c r="E233" s="28" t="str">
        <f>'Table001 (Page 1-6)'!D226</f>
        <v>SR 40</v>
      </c>
      <c r="F233" s="29">
        <f>'Table001 (Page 1-6)'!E226</f>
        <v>2</v>
      </c>
      <c r="G233" s="29">
        <f>'Table001 (Page 1-6)'!K226</f>
        <v>2</v>
      </c>
      <c r="H233" s="30" t="str">
        <f>'Table001 (Page 1-6)'!R226</f>
        <v>E</v>
      </c>
      <c r="I233" s="28" t="str">
        <f>'Table001 (Page 1-6)'!F226</f>
        <v>ARTERIAL</v>
      </c>
      <c r="J233" s="29"/>
      <c r="K233" s="29"/>
      <c r="L233" s="29">
        <f>'Table001 (Page 1-6)'!I226</f>
        <v>16727</v>
      </c>
      <c r="M233" s="29"/>
      <c r="N233" s="29">
        <f>'Table001 (Page 1-6)'!J226</f>
        <v>832</v>
      </c>
      <c r="O233" s="29">
        <f>'Table001 (Page 1-6)'!L226</f>
        <v>16727</v>
      </c>
      <c r="P233" s="29"/>
      <c r="Q233" s="29">
        <f>'Table001 (Page 1-6)'!M226</f>
        <v>832</v>
      </c>
      <c r="R233" s="29" t="str">
        <f>'Table001 (Page 1-6)'!S226</f>
        <v>9,900</v>
      </c>
      <c r="S233" s="31" t="str">
        <f>'Table001 (Page 1-6)'!T226</f>
        <v>0.59</v>
      </c>
      <c r="T233" s="29" t="str">
        <f>'Table001 (Page 1-6)'!U226</f>
        <v>C</v>
      </c>
      <c r="U233" s="29"/>
      <c r="V233" s="29"/>
      <c r="W233" s="29"/>
      <c r="X233" s="29"/>
      <c r="Y233" s="29"/>
      <c r="Z233" s="29"/>
      <c r="AA233" s="29"/>
      <c r="AB233" s="29"/>
      <c r="AC233" s="31"/>
      <c r="AD233" s="29"/>
      <c r="AE233" s="29"/>
      <c r="AF233" s="29"/>
      <c r="AG233" s="31"/>
      <c r="AH233" s="29"/>
      <c r="AI233" s="32">
        <f>('Table001 (Page 1-6)'!V226)*100</f>
        <v>1.7399999999999998</v>
      </c>
      <c r="AJ233" s="35"/>
      <c r="AK233" s="35"/>
      <c r="AL233" s="35"/>
      <c r="AM233" s="35"/>
    </row>
    <row r="234" spans="2:39" x14ac:dyDescent="0.25">
      <c r="B234" s="37">
        <f>'Table001 (Page 1-6)'!A227</f>
        <v>3470.1</v>
      </c>
      <c r="C234" s="28" t="str">
        <f>'Table001 (Page 1-6)'!B227</f>
        <v>NW 44 AV</v>
      </c>
      <c r="D234" s="28" t="str">
        <f>'Table001 (Page 1-6)'!C227</f>
        <v>US 27</v>
      </c>
      <c r="E234" s="28" t="str">
        <f>'Table001 (Page 1-6)'!D227</f>
        <v>NW 63RD ST</v>
      </c>
      <c r="F234" s="29">
        <f>'Table001 (Page 1-6)'!E227</f>
        <v>4</v>
      </c>
      <c r="G234" s="29">
        <f>'Table001 (Page 1-6)'!K227</f>
        <v>4</v>
      </c>
      <c r="H234" s="30" t="str">
        <f>'Table001 (Page 1-6)'!R227</f>
        <v>E</v>
      </c>
      <c r="I234" s="28" t="str">
        <f>'Table001 (Page 1-6)'!F227</f>
        <v>COLLECTOR</v>
      </c>
      <c r="J234" s="29"/>
      <c r="K234" s="29"/>
      <c r="L234" s="29">
        <f>'Table001 (Page 1-6)'!I227</f>
        <v>67770</v>
      </c>
      <c r="M234" s="29"/>
      <c r="N234" s="29">
        <f>'Table001 (Page 1-6)'!J227</f>
        <v>3357</v>
      </c>
      <c r="O234" s="29">
        <f>'Table001 (Page 1-6)'!L227</f>
        <v>67770</v>
      </c>
      <c r="P234" s="29"/>
      <c r="Q234" s="29">
        <f>'Table001 (Page 1-6)'!M227</f>
        <v>3357</v>
      </c>
      <c r="R234" s="29" t="str">
        <f>'Table001 (Page 1-6)'!S227</f>
        <v>9,900</v>
      </c>
      <c r="S234" s="31" t="str">
        <f>'Table001 (Page 1-6)'!T227</f>
        <v>0.15</v>
      </c>
      <c r="T234" s="29" t="str">
        <f>'Table001 (Page 1-6)'!U227</f>
        <v>B</v>
      </c>
      <c r="U234" s="29"/>
      <c r="V234" s="29"/>
      <c r="W234" s="29"/>
      <c r="X234" s="29"/>
      <c r="Y234" s="29"/>
      <c r="Z234" s="29"/>
      <c r="AA234" s="29"/>
      <c r="AB234" s="29"/>
      <c r="AC234" s="31"/>
      <c r="AD234" s="29"/>
      <c r="AE234" s="29"/>
      <c r="AF234" s="29"/>
      <c r="AG234" s="31"/>
      <c r="AH234" s="29"/>
      <c r="AI234" s="32">
        <f>('Table001 (Page 1-6)'!V227)*100</f>
        <v>1.7399999999999998</v>
      </c>
      <c r="AJ234" s="35"/>
      <c r="AK234" s="35"/>
      <c r="AL234" s="35"/>
      <c r="AM234" s="35"/>
    </row>
    <row r="235" spans="2:39" x14ac:dyDescent="0.25">
      <c r="B235" s="37">
        <f>'Table001 (Page 1-6)'!A228</f>
        <v>3470.4</v>
      </c>
      <c r="C235" s="28" t="str">
        <f>'Table001 (Page 1-6)'!B228</f>
        <v>NW 44 AV</v>
      </c>
      <c r="D235" s="28" t="str">
        <f>'Table001 (Page 1-6)'!C228</f>
        <v>NW 63RD ST</v>
      </c>
      <c r="E235" s="28" t="str">
        <f>'Table001 (Page 1-6)'!D228</f>
        <v>SR 326</v>
      </c>
      <c r="F235" s="29">
        <f>'Table001 (Page 1-6)'!E228</f>
        <v>2</v>
      </c>
      <c r="G235" s="29">
        <f>'Table001 (Page 1-6)'!K228</f>
        <v>2</v>
      </c>
      <c r="H235" s="30" t="str">
        <f>'Table001 (Page 1-6)'!R228</f>
        <v>E</v>
      </c>
      <c r="I235" s="28" t="str">
        <f>'Table001 (Page 1-6)'!F228</f>
        <v>COLLECTOR</v>
      </c>
      <c r="J235" s="29"/>
      <c r="K235" s="29"/>
      <c r="L235" s="29">
        <f>'Table001 (Page 1-6)'!I228</f>
        <v>29340</v>
      </c>
      <c r="M235" s="29"/>
      <c r="N235" s="29">
        <f>'Table001 (Page 1-6)'!J228</f>
        <v>1449</v>
      </c>
      <c r="O235" s="29">
        <f>'Table001 (Page 1-6)'!L228</f>
        <v>29340</v>
      </c>
      <c r="P235" s="29"/>
      <c r="Q235" s="29">
        <f>'Table001 (Page 1-6)'!M228</f>
        <v>1449</v>
      </c>
      <c r="R235" s="29" t="str">
        <f>'Table001 (Page 1-6)'!S228</f>
        <v>9,900</v>
      </c>
      <c r="S235" s="31" t="str">
        <f>'Table001 (Page 1-6)'!T228</f>
        <v>0.34</v>
      </c>
      <c r="T235" s="29" t="str">
        <f>'Table001 (Page 1-6)'!U228</f>
        <v>B</v>
      </c>
      <c r="U235" s="29"/>
      <c r="V235" s="29"/>
      <c r="W235" s="29"/>
      <c r="X235" s="29"/>
      <c r="Y235" s="29"/>
      <c r="Z235" s="29"/>
      <c r="AA235" s="29"/>
      <c r="AB235" s="29"/>
      <c r="AC235" s="31"/>
      <c r="AD235" s="29"/>
      <c r="AE235" s="29"/>
      <c r="AF235" s="29"/>
      <c r="AG235" s="31"/>
      <c r="AH235" s="29"/>
      <c r="AI235" s="32">
        <f>('Table001 (Page 1-6)'!V228)*100</f>
        <v>1.7399999999999998</v>
      </c>
      <c r="AJ235" s="35"/>
      <c r="AK235" s="35"/>
      <c r="AL235" s="35"/>
      <c r="AM235" s="35"/>
    </row>
    <row r="236" spans="2:39" x14ac:dyDescent="0.25">
      <c r="B236" s="37">
        <f>'Table001 (Page 1-6)'!A229</f>
        <v>3480</v>
      </c>
      <c r="C236" s="28" t="str">
        <f>'Table001 (Page 1-6)'!B229</f>
        <v>NW 60 AV</v>
      </c>
      <c r="D236" s="28" t="str">
        <f>'Table001 (Page 1-6)'!C229</f>
        <v>SR 40</v>
      </c>
      <c r="E236" s="28" t="str">
        <f>'Table001 (Page 1-6)'!D229</f>
        <v>US 27</v>
      </c>
      <c r="F236" s="29">
        <f>'Table001 (Page 1-6)'!E229</f>
        <v>4</v>
      </c>
      <c r="G236" s="29">
        <f>'Table001 (Page 1-6)'!K229</f>
        <v>4</v>
      </c>
      <c r="H236" s="30" t="str">
        <f>'Table001 (Page 1-6)'!R229</f>
        <v>E</v>
      </c>
      <c r="I236" s="28" t="str">
        <f>'Table001 (Page 1-6)'!F229</f>
        <v>ARTERIAL</v>
      </c>
      <c r="J236" s="29"/>
      <c r="K236" s="29"/>
      <c r="L236" s="29">
        <f>'Table001 (Page 1-6)'!I229</f>
        <v>35820</v>
      </c>
      <c r="M236" s="29"/>
      <c r="N236" s="29">
        <f>'Table001 (Page 1-6)'!J229</f>
        <v>1800</v>
      </c>
      <c r="O236" s="29">
        <f>'Table001 (Page 1-6)'!L229</f>
        <v>35820</v>
      </c>
      <c r="P236" s="29"/>
      <c r="Q236" s="29">
        <f>'Table001 (Page 1-6)'!M229</f>
        <v>1800</v>
      </c>
      <c r="R236" s="29" t="str">
        <f>'Table001 (Page 1-6)'!S229</f>
        <v>11,100</v>
      </c>
      <c r="S236" s="31" t="str">
        <f>'Table001 (Page 1-6)'!T229</f>
        <v>0.31</v>
      </c>
      <c r="T236" s="29" t="str">
        <f>'Table001 (Page 1-6)'!U229</f>
        <v>C</v>
      </c>
      <c r="U236" s="29"/>
      <c r="V236" s="29"/>
      <c r="W236" s="29"/>
      <c r="X236" s="29"/>
      <c r="Y236" s="29"/>
      <c r="Z236" s="29"/>
      <c r="AA236" s="29"/>
      <c r="AB236" s="29"/>
      <c r="AC236" s="31"/>
      <c r="AD236" s="29"/>
      <c r="AE236" s="29"/>
      <c r="AF236" s="29"/>
      <c r="AG236" s="31"/>
      <c r="AH236" s="29"/>
      <c r="AI236" s="32">
        <f>('Table001 (Page 1-6)'!V229)*100</f>
        <v>2.3800000000000003</v>
      </c>
      <c r="AJ236" s="35"/>
      <c r="AK236" s="35"/>
      <c r="AL236" s="35"/>
      <c r="AM236" s="35"/>
    </row>
    <row r="237" spans="2:39" x14ac:dyDescent="0.25">
      <c r="B237" s="37">
        <f>'Table001 (Page 1-6)'!A230</f>
        <v>3510</v>
      </c>
      <c r="C237" s="28" t="str">
        <f>'Table001 (Page 1-6)'!B230</f>
        <v>CR 225A</v>
      </c>
      <c r="D237" s="28" t="str">
        <f>'Table001 (Page 1-6)'!C230</f>
        <v>SR 40</v>
      </c>
      <c r="E237" s="28" t="str">
        <f>'Table001 (Page 1-6)'!D230</f>
        <v>US 27</v>
      </c>
      <c r="F237" s="29">
        <f>'Table001 (Page 1-6)'!E230</f>
        <v>2</v>
      </c>
      <c r="G237" s="29">
        <f>'Table001 (Page 1-6)'!K230</f>
        <v>4</v>
      </c>
      <c r="H237" s="30" t="str">
        <f>'Table001 (Page 1-6)'!R230</f>
        <v>E</v>
      </c>
      <c r="I237" s="28" t="str">
        <f>'Table001 (Page 1-6)'!F230</f>
        <v>COLLECTOR</v>
      </c>
      <c r="J237" s="29"/>
      <c r="K237" s="29"/>
      <c r="L237" s="29">
        <f>'Table001 (Page 1-6)'!I230</f>
        <v>29340</v>
      </c>
      <c r="M237" s="29"/>
      <c r="N237" s="29">
        <f>'Table001 (Page 1-6)'!J230</f>
        <v>1449</v>
      </c>
      <c r="O237" s="29">
        <f>'Table001 (Page 1-6)'!L230</f>
        <v>35820</v>
      </c>
      <c r="P237" s="29"/>
      <c r="Q237" s="29">
        <f>'Table001 (Page 1-6)'!M230</f>
        <v>2518</v>
      </c>
      <c r="R237" s="29" t="str">
        <f>'Table001 (Page 1-6)'!S230</f>
        <v>7,400</v>
      </c>
      <c r="S237" s="31" t="str">
        <f>'Table001 (Page 1-6)'!T230</f>
        <v>0.25</v>
      </c>
      <c r="T237" s="29" t="str">
        <f>'Table001 (Page 1-6)'!U230</f>
        <v>B</v>
      </c>
      <c r="U237" s="29"/>
      <c r="V237" s="29"/>
      <c r="W237" s="29"/>
      <c r="X237" s="29"/>
      <c r="Y237" s="29"/>
      <c r="Z237" s="29"/>
      <c r="AA237" s="29"/>
      <c r="AB237" s="29"/>
      <c r="AC237" s="31"/>
      <c r="AD237" s="29"/>
      <c r="AE237" s="29"/>
      <c r="AF237" s="29"/>
      <c r="AG237" s="31"/>
      <c r="AH237" s="29"/>
      <c r="AI237" s="32">
        <f>('Table001 (Page 1-6)'!V230)*100</f>
        <v>1</v>
      </c>
      <c r="AJ237" s="35"/>
      <c r="AK237" s="35"/>
      <c r="AL237" s="35"/>
      <c r="AM237" s="35"/>
    </row>
    <row r="238" spans="2:39" x14ac:dyDescent="0.25">
      <c r="B238" s="37">
        <f>'Table001 (Page 1-6)'!A231</f>
        <v>3530</v>
      </c>
      <c r="C238" s="28" t="str">
        <f>'Table001 (Page 1-6)'!B231</f>
        <v>NW 95 ST</v>
      </c>
      <c r="D238" s="28" t="str">
        <f>'Table001 (Page 1-6)'!C231</f>
        <v>US 441</v>
      </c>
      <c r="E238" s="28" t="str">
        <f>'Table001 (Page 1-6)'!D231</f>
        <v>W ANTHONY RD</v>
      </c>
      <c r="F238" s="29">
        <f>'Table001 (Page 1-6)'!E231</f>
        <v>2</v>
      </c>
      <c r="G238" s="29">
        <f>'Table001 (Page 1-6)'!K231</f>
        <v>2</v>
      </c>
      <c r="H238" s="30" t="str">
        <f>'Table001 (Page 1-6)'!R231</f>
        <v>B</v>
      </c>
      <c r="I238" s="28" t="str">
        <f>'Table001 (Page 1-6)'!F231</f>
        <v>COLLECTOR</v>
      </c>
      <c r="J238" s="29"/>
      <c r="K238" s="29"/>
      <c r="L238" s="29">
        <f>'Table001 (Page 1-6)'!I231</f>
        <v>9270</v>
      </c>
      <c r="M238" s="29"/>
      <c r="N238" s="29">
        <f>'Table001 (Page 1-6)'!J231</f>
        <v>486</v>
      </c>
      <c r="O238" s="29">
        <f>'Table001 (Page 1-6)'!L231</f>
        <v>9270</v>
      </c>
      <c r="P238" s="29"/>
      <c r="Q238" s="29">
        <f>'Table001 (Page 1-6)'!M231</f>
        <v>486</v>
      </c>
      <c r="R238" s="29" t="str">
        <f>'Table001 (Page 1-6)'!S231</f>
        <v>1,600</v>
      </c>
      <c r="S238" s="31" t="str">
        <f>'Table001 (Page 1-6)'!T231</f>
        <v>0.17</v>
      </c>
      <c r="T238" s="29" t="str">
        <f>'Table001 (Page 1-6)'!U231</f>
        <v>B</v>
      </c>
      <c r="U238" s="29"/>
      <c r="V238" s="29"/>
      <c r="W238" s="29"/>
      <c r="X238" s="29"/>
      <c r="Y238" s="29"/>
      <c r="Z238" s="29"/>
      <c r="AA238" s="29"/>
      <c r="AB238" s="29"/>
      <c r="AC238" s="31"/>
      <c r="AD238" s="29"/>
      <c r="AE238" s="29"/>
      <c r="AF238" s="29"/>
      <c r="AG238" s="31"/>
      <c r="AH238" s="29"/>
      <c r="AI238" s="32">
        <f>('Table001 (Page 1-6)'!V231)*100</f>
        <v>1</v>
      </c>
      <c r="AJ238" s="35"/>
      <c r="AK238" s="35"/>
      <c r="AL238" s="35"/>
      <c r="AM238" s="35"/>
    </row>
    <row r="239" spans="2:39" x14ac:dyDescent="0.25">
      <c r="B239" s="37">
        <f>'Table001 (Page 1-6)'!A232</f>
        <v>3540</v>
      </c>
      <c r="C239" s="28" t="str">
        <f>'Table001 (Page 1-6)'!B232</f>
        <v>NW MARTIN L KING AV</v>
      </c>
      <c r="D239" s="28" t="str">
        <f>'Table001 (Page 1-6)'!C232</f>
        <v>SR 40</v>
      </c>
      <c r="E239" s="28" t="str">
        <f>'Table001 (Page 1-6)'!D232</f>
        <v>US 27</v>
      </c>
      <c r="F239" s="29">
        <f>'Table001 (Page 1-6)'!E232</f>
        <v>4</v>
      </c>
      <c r="G239" s="29">
        <f>'Table001 (Page 1-6)'!K232</f>
        <v>4</v>
      </c>
      <c r="H239" s="30" t="str">
        <f>'Table001 (Page 1-6)'!R232</f>
        <v>E</v>
      </c>
      <c r="I239" s="28" t="str">
        <f>'Table001 (Page 1-6)'!F232</f>
        <v>ARTERIAL</v>
      </c>
      <c r="J239" s="29"/>
      <c r="K239" s="29"/>
      <c r="L239" s="29">
        <f>'Table001 (Page 1-6)'!I232</f>
        <v>22815</v>
      </c>
      <c r="M239" s="29"/>
      <c r="N239" s="29">
        <f>'Table001 (Page 1-6)'!J232</f>
        <v>540</v>
      </c>
      <c r="O239" s="29">
        <f>'Table001 (Page 1-6)'!L232</f>
        <v>22815</v>
      </c>
      <c r="P239" s="29"/>
      <c r="Q239" s="29">
        <f>'Table001 (Page 1-6)'!M232</f>
        <v>540</v>
      </c>
      <c r="R239" s="29" t="str">
        <f>'Table001 (Page 1-6)'!S232</f>
        <v>13,600</v>
      </c>
      <c r="S239" s="31" t="str">
        <f>'Table001 (Page 1-6)'!T232</f>
        <v>0.6</v>
      </c>
      <c r="T239" s="29" t="str">
        <f>'Table001 (Page 1-6)'!U232</f>
        <v>D</v>
      </c>
      <c r="U239" s="29"/>
      <c r="V239" s="29"/>
      <c r="W239" s="29"/>
      <c r="X239" s="29"/>
      <c r="Y239" s="29"/>
      <c r="Z239" s="29"/>
      <c r="AA239" s="29"/>
      <c r="AB239" s="29"/>
      <c r="AC239" s="31"/>
      <c r="AD239" s="29"/>
      <c r="AE239" s="29"/>
      <c r="AF239" s="29"/>
      <c r="AG239" s="31"/>
      <c r="AH239" s="29"/>
      <c r="AI239" s="32">
        <f>('Table001 (Page 1-6)'!V232)*100</f>
        <v>1</v>
      </c>
      <c r="AJ239" s="35"/>
      <c r="AK239" s="35"/>
      <c r="AL239" s="35"/>
      <c r="AM239" s="35"/>
    </row>
    <row r="240" spans="2:39" x14ac:dyDescent="0.25">
      <c r="B240" s="37">
        <f>'Table001 (Page 1-6)'!A233</f>
        <v>3560</v>
      </c>
      <c r="C240" s="28" t="str">
        <f>'Table001 (Page 1-6)'!B233</f>
        <v>NW MARTIN L KING AV</v>
      </c>
      <c r="D240" s="28" t="str">
        <f>'Table001 (Page 1-6)'!C233</f>
        <v>US 27</v>
      </c>
      <c r="E240" s="28" t="str">
        <f>'Table001 (Page 1-6)'!D233</f>
        <v>NW 22 ST</v>
      </c>
      <c r="F240" s="29">
        <f>'Table001 (Page 1-6)'!E233</f>
        <v>4</v>
      </c>
      <c r="G240" s="29">
        <f>'Table001 (Page 1-6)'!K233</f>
        <v>4</v>
      </c>
      <c r="H240" s="30" t="str">
        <f>'Table001 (Page 1-6)'!R233</f>
        <v>E</v>
      </c>
      <c r="I240" s="28" t="str">
        <f>'Table001 (Page 1-6)'!F233</f>
        <v>COLLECTOR</v>
      </c>
      <c r="J240" s="29"/>
      <c r="K240" s="29"/>
      <c r="L240" s="29">
        <f>'Table001 (Page 1-6)'!I233</f>
        <v>67770</v>
      </c>
      <c r="M240" s="29"/>
      <c r="N240" s="29">
        <f>'Table001 (Page 1-6)'!J233</f>
        <v>3357</v>
      </c>
      <c r="O240" s="29">
        <f>'Table001 (Page 1-6)'!L233</f>
        <v>67770</v>
      </c>
      <c r="P240" s="29"/>
      <c r="Q240" s="29">
        <f>'Table001 (Page 1-6)'!M233</f>
        <v>3357</v>
      </c>
      <c r="R240" s="29" t="str">
        <f>'Table001 (Page 1-6)'!S233</f>
        <v>8,200</v>
      </c>
      <c r="S240" s="31" t="str">
        <f>'Table001 (Page 1-6)'!T233</f>
        <v>0.12</v>
      </c>
      <c r="T240" s="29" t="str">
        <f>'Table001 (Page 1-6)'!U233</f>
        <v>B</v>
      </c>
      <c r="U240" s="29"/>
      <c r="V240" s="29"/>
      <c r="W240" s="29"/>
      <c r="X240" s="29"/>
      <c r="Y240" s="29"/>
      <c r="Z240" s="29"/>
      <c r="AA240" s="29"/>
      <c r="AB240" s="29"/>
      <c r="AC240" s="31"/>
      <c r="AD240" s="29"/>
      <c r="AE240" s="29"/>
      <c r="AF240" s="29"/>
      <c r="AG240" s="31"/>
      <c r="AH240" s="29"/>
      <c r="AI240" s="32">
        <f>('Table001 (Page 1-6)'!V233)*100</f>
        <v>1</v>
      </c>
      <c r="AJ240" s="35"/>
      <c r="AK240" s="35"/>
      <c r="AL240" s="35"/>
      <c r="AM240" s="35"/>
    </row>
    <row r="241" spans="2:39" x14ac:dyDescent="0.25">
      <c r="B241" s="37">
        <f>'Table001 (Page 1-6)'!A234</f>
        <v>3570.1</v>
      </c>
      <c r="C241" s="28" t="str">
        <f>'Table001 (Page 1-6)'!B234</f>
        <v>NW MARTIN L KING AV</v>
      </c>
      <c r="D241" s="28" t="str">
        <f>'Table001 (Page 1-6)'!C234</f>
        <v>NW 22 ST</v>
      </c>
      <c r="E241" s="28" t="str">
        <f>'Table001 (Page 1-6)'!D234</f>
        <v>NW 35 ST</v>
      </c>
      <c r="F241" s="29">
        <f>'Table001 (Page 1-6)'!E234</f>
        <v>2</v>
      </c>
      <c r="G241" s="29">
        <f>'Table001 (Page 1-6)'!K234</f>
        <v>2</v>
      </c>
      <c r="H241" s="30" t="str">
        <f>'Table001 (Page 1-6)'!R234</f>
        <v>E</v>
      </c>
      <c r="I241" s="28" t="str">
        <f>'Table001 (Page 1-6)'!F234</f>
        <v>COLLECTOR</v>
      </c>
      <c r="J241" s="29"/>
      <c r="K241" s="29"/>
      <c r="L241" s="29">
        <f>'Table001 (Page 1-6)'!I234</f>
        <v>29340</v>
      </c>
      <c r="M241" s="29"/>
      <c r="N241" s="29">
        <f>'Table001 (Page 1-6)'!J234</f>
        <v>1449</v>
      </c>
      <c r="O241" s="29">
        <f>'Table001 (Page 1-6)'!L234</f>
        <v>29340</v>
      </c>
      <c r="P241" s="29"/>
      <c r="Q241" s="29">
        <f>'Table001 (Page 1-6)'!M234</f>
        <v>1449</v>
      </c>
      <c r="R241" s="29" t="str">
        <f>'Table001 (Page 1-6)'!S234</f>
        <v>7,800</v>
      </c>
      <c r="S241" s="31" t="str">
        <f>'Table001 (Page 1-6)'!T234</f>
        <v>0.27</v>
      </c>
      <c r="T241" s="29" t="str">
        <f>'Table001 (Page 1-6)'!U234</f>
        <v>B</v>
      </c>
      <c r="U241" s="29"/>
      <c r="V241" s="29"/>
      <c r="W241" s="29"/>
      <c r="X241" s="29"/>
      <c r="Y241" s="29"/>
      <c r="Z241" s="29"/>
      <c r="AA241" s="29"/>
      <c r="AB241" s="29"/>
      <c r="AC241" s="31"/>
      <c r="AD241" s="29"/>
      <c r="AE241" s="29"/>
      <c r="AF241" s="29"/>
      <c r="AG241" s="31"/>
      <c r="AH241" s="29"/>
      <c r="AI241" s="32">
        <f>('Table001 (Page 1-6)'!V234)*100</f>
        <v>3.18</v>
      </c>
      <c r="AJ241" s="35"/>
      <c r="AK241" s="35"/>
      <c r="AL241" s="35"/>
      <c r="AM241" s="35"/>
    </row>
    <row r="242" spans="2:39" x14ac:dyDescent="0.25">
      <c r="B242" s="37">
        <f>'Table001 (Page 1-6)'!A235</f>
        <v>3580</v>
      </c>
      <c r="C242" s="28" t="str">
        <f>'Table001 (Page 1-6)'!B235</f>
        <v>NW MARTIN L KING AV</v>
      </c>
      <c r="D242" s="28" t="str">
        <f>'Table001 (Page 1-6)'!C235</f>
        <v>NW 35 ST</v>
      </c>
      <c r="E242" s="28" t="str">
        <f>'Table001 (Page 1-6)'!D235</f>
        <v>CR 25A</v>
      </c>
      <c r="F242" s="29">
        <f>'Table001 (Page 1-6)'!E235</f>
        <v>2</v>
      </c>
      <c r="G242" s="29">
        <f>'Table001 (Page 1-6)'!K235</f>
        <v>2</v>
      </c>
      <c r="H242" s="30" t="str">
        <f>'Table001 (Page 1-6)'!R235</f>
        <v>E</v>
      </c>
      <c r="I242" s="28" t="str">
        <f>'Table001 (Page 1-6)'!F235</f>
        <v>COLLECTOR</v>
      </c>
      <c r="J242" s="29"/>
      <c r="K242" s="29"/>
      <c r="L242" s="29">
        <f>'Table001 (Page 1-6)'!I235</f>
        <v>13381</v>
      </c>
      <c r="M242" s="29"/>
      <c r="N242" s="29">
        <f>'Table001 (Page 1-6)'!J235</f>
        <v>665</v>
      </c>
      <c r="O242" s="29">
        <f>'Table001 (Page 1-6)'!L235</f>
        <v>13381</v>
      </c>
      <c r="P242" s="29"/>
      <c r="Q242" s="29">
        <f>'Table001 (Page 1-6)'!M235</f>
        <v>665</v>
      </c>
      <c r="R242" s="29" t="str">
        <f>'Table001 (Page 1-6)'!S235</f>
        <v>7,700</v>
      </c>
      <c r="S242" s="31" t="str">
        <f>'Table001 (Page 1-6)'!T235</f>
        <v>0.58</v>
      </c>
      <c r="T242" s="29" t="str">
        <f>'Table001 (Page 1-6)'!U235</f>
        <v>C</v>
      </c>
      <c r="U242" s="29"/>
      <c r="V242" s="29"/>
      <c r="W242" s="29"/>
      <c r="X242" s="29"/>
      <c r="Y242" s="29"/>
      <c r="Z242" s="29"/>
      <c r="AA242" s="29"/>
      <c r="AB242" s="29"/>
      <c r="AC242" s="31"/>
      <c r="AD242" s="29"/>
      <c r="AE242" s="29"/>
      <c r="AF242" s="29"/>
      <c r="AG242" s="31"/>
      <c r="AH242" s="29"/>
      <c r="AI242" s="32">
        <f>('Table001 (Page 1-6)'!V235)*100</f>
        <v>1</v>
      </c>
      <c r="AJ242" s="35"/>
      <c r="AK242" s="35"/>
      <c r="AL242" s="35"/>
      <c r="AM242" s="35"/>
    </row>
    <row r="243" spans="2:39" x14ac:dyDescent="0.25">
      <c r="B243" s="37">
        <f>'Table001 (Page 1-6)'!A236</f>
        <v>3590.1</v>
      </c>
      <c r="C243" s="28" t="str">
        <f>'Table001 (Page 1-6)'!B236</f>
        <v>OAK RD</v>
      </c>
      <c r="D243" s="28" t="str">
        <f>'Table001 (Page 1-6)'!C236</f>
        <v>SE 110 ST</v>
      </c>
      <c r="E243" s="28" t="str">
        <f>'Table001 (Page 1-6)'!D236</f>
        <v>CR 464</v>
      </c>
      <c r="F243" s="29">
        <f>'Table001 (Page 1-6)'!E236</f>
        <v>2</v>
      </c>
      <c r="G243" s="29">
        <f>'Table001 (Page 1-6)'!K236</f>
        <v>2</v>
      </c>
      <c r="H243" s="30" t="str">
        <f>'Table001 (Page 1-6)'!R236</f>
        <v>E</v>
      </c>
      <c r="I243" s="28" t="str">
        <f>'Table001 (Page 1-6)'!F236</f>
        <v>COLLECTOR</v>
      </c>
      <c r="J243" s="29"/>
      <c r="K243" s="29"/>
      <c r="L243" s="29">
        <f>'Table001 (Page 1-6)'!I236</f>
        <v>29340</v>
      </c>
      <c r="M243" s="29"/>
      <c r="N243" s="29">
        <f>'Table001 (Page 1-6)'!J236</f>
        <v>1449</v>
      </c>
      <c r="O243" s="29">
        <f>'Table001 (Page 1-6)'!L236</f>
        <v>29340</v>
      </c>
      <c r="P243" s="29"/>
      <c r="Q243" s="29">
        <f>'Table001 (Page 1-6)'!M236</f>
        <v>1449</v>
      </c>
      <c r="R243" s="29" t="str">
        <f>'Table001 (Page 1-6)'!S236</f>
        <v>6,000</v>
      </c>
      <c r="S243" s="31" t="str">
        <f>'Table001 (Page 1-6)'!T236</f>
        <v>0.2</v>
      </c>
      <c r="T243" s="29" t="str">
        <f>'Table001 (Page 1-6)'!U236</f>
        <v>B</v>
      </c>
      <c r="U243" s="29"/>
      <c r="V243" s="29"/>
      <c r="W243" s="29"/>
      <c r="X243" s="29"/>
      <c r="Y243" s="29"/>
      <c r="Z243" s="29"/>
      <c r="AA243" s="29"/>
      <c r="AB243" s="29"/>
      <c r="AC243" s="31"/>
      <c r="AD243" s="29"/>
      <c r="AE243" s="29"/>
      <c r="AF243" s="29"/>
      <c r="AG243" s="31"/>
      <c r="AH243" s="29"/>
      <c r="AI243" s="32">
        <f>('Table001 (Page 1-6)'!V236)*100</f>
        <v>12.82</v>
      </c>
      <c r="AJ243" s="35"/>
      <c r="AK243" s="35"/>
      <c r="AL243" s="35"/>
      <c r="AM243" s="35"/>
    </row>
    <row r="244" spans="2:39" x14ac:dyDescent="0.25">
      <c r="B244" s="37">
        <f>'Table001 (Page 1-6)'!A237</f>
        <v>3610</v>
      </c>
      <c r="C244" s="28" t="str">
        <f>'Table001 (Page 1-6)'!B237</f>
        <v>POWELL RD</v>
      </c>
      <c r="D244" s="28" t="str">
        <f>'Table001 (Page 1-6)'!C237</f>
        <v>CR 40</v>
      </c>
      <c r="E244" s="28" t="str">
        <f>'Table001 (Page 1-6)'!D237</f>
        <v>US 41</v>
      </c>
      <c r="F244" s="29">
        <f>'Table001 (Page 1-6)'!E237</f>
        <v>2</v>
      </c>
      <c r="G244" s="29">
        <f>'Table001 (Page 1-6)'!K237</f>
        <v>2</v>
      </c>
      <c r="H244" s="30" t="str">
        <f>'Table001 (Page 1-6)'!R237</f>
        <v>E</v>
      </c>
      <c r="I244" s="28" t="str">
        <f>'Table001 (Page 1-6)'!F237</f>
        <v>COLLECTOR</v>
      </c>
      <c r="J244" s="29"/>
      <c r="K244" s="29"/>
      <c r="L244" s="29">
        <f>'Table001 (Page 1-6)'!I237</f>
        <v>11232</v>
      </c>
      <c r="M244" s="29"/>
      <c r="N244" s="29">
        <f>'Table001 (Page 1-6)'!J237</f>
        <v>576</v>
      </c>
      <c r="O244" s="29">
        <f>'Table001 (Page 1-6)'!L237</f>
        <v>11232</v>
      </c>
      <c r="P244" s="29"/>
      <c r="Q244" s="29">
        <f>'Table001 (Page 1-6)'!M237</f>
        <v>576</v>
      </c>
      <c r="R244" s="29" t="str">
        <f>'Table001 (Page 1-6)'!S237</f>
        <v>3,600</v>
      </c>
      <c r="S244" s="31" t="str">
        <f>'Table001 (Page 1-6)'!T237</f>
        <v>0.32</v>
      </c>
      <c r="T244" s="29" t="str">
        <f>'Table001 (Page 1-6)'!U237</f>
        <v>C</v>
      </c>
      <c r="U244" s="29"/>
      <c r="V244" s="29"/>
      <c r="W244" s="29"/>
      <c r="X244" s="29"/>
      <c r="Y244" s="29"/>
      <c r="Z244" s="29"/>
      <c r="AA244" s="29"/>
      <c r="AB244" s="29"/>
      <c r="AC244" s="31"/>
      <c r="AD244" s="29"/>
      <c r="AE244" s="29"/>
      <c r="AF244" s="29"/>
      <c r="AG244" s="31"/>
      <c r="AH244" s="29"/>
      <c r="AI244" s="32">
        <f>('Table001 (Page 1-6)'!V237)*100</f>
        <v>1</v>
      </c>
      <c r="AJ244" s="35"/>
      <c r="AK244" s="35"/>
      <c r="AL244" s="35"/>
      <c r="AM244" s="35"/>
    </row>
    <row r="245" spans="2:39" x14ac:dyDescent="0.25">
      <c r="B245" s="37">
        <f>'Table001 (Page 1-6)'!A238</f>
        <v>3620</v>
      </c>
      <c r="C245" s="28" t="str">
        <f>'Table001 (Page 1-6)'!B238</f>
        <v>MAGNOLIA AV S</v>
      </c>
      <c r="D245" s="28" t="str">
        <f>'Table001 (Page 1-6)'!C238</f>
        <v>SR 40</v>
      </c>
      <c r="E245" s="28" t="str">
        <f>'Table001 (Page 1-6)'!D238</f>
        <v>SW 10 ST</v>
      </c>
      <c r="F245" s="29">
        <f>'Table001 (Page 1-6)'!E238</f>
        <v>4</v>
      </c>
      <c r="G245" s="29">
        <f>'Table001 (Page 1-6)'!K238</f>
        <v>4</v>
      </c>
      <c r="H245" s="30" t="str">
        <f>'Table001 (Page 1-6)'!R238</f>
        <v>E</v>
      </c>
      <c r="I245" s="28" t="str">
        <f>'Table001 (Page 1-6)'!F238</f>
        <v>COLLECTOR</v>
      </c>
      <c r="J245" s="29"/>
      <c r="K245" s="29"/>
      <c r="L245" s="29">
        <f>'Table001 (Page 1-6)'!I238</f>
        <v>36774</v>
      </c>
      <c r="M245" s="29"/>
      <c r="N245" s="29">
        <f>'Table001 (Page 1-6)'!J238</f>
        <v>3694</v>
      </c>
      <c r="O245" s="29">
        <f>'Table001 (Page 1-6)'!L238</f>
        <v>36774</v>
      </c>
      <c r="P245" s="29"/>
      <c r="Q245" s="29">
        <f>'Table001 (Page 1-6)'!M238</f>
        <v>3694</v>
      </c>
      <c r="R245" s="29" t="str">
        <f>'Table001 (Page 1-6)'!S238</f>
        <v>Not Counted</v>
      </c>
      <c r="S245" s="31" t="str">
        <f>'Table001 (Page 1-6)'!T238</f>
        <v>N/A</v>
      </c>
      <c r="T245" s="29" t="str">
        <f>'Table001 (Page 1-6)'!U238</f>
        <v>N/A</v>
      </c>
      <c r="U245" s="29"/>
      <c r="V245" s="29"/>
      <c r="W245" s="29"/>
      <c r="X245" s="29"/>
      <c r="Y245" s="29"/>
      <c r="Z245" s="29"/>
      <c r="AA245" s="29"/>
      <c r="AB245" s="29"/>
      <c r="AC245" s="31"/>
      <c r="AD245" s="29"/>
      <c r="AE245" s="29"/>
      <c r="AF245" s="29"/>
      <c r="AG245" s="31"/>
      <c r="AH245" s="29"/>
      <c r="AI245" s="32">
        <f>('Table001 (Page 1-6)'!V238)*100</f>
        <v>1</v>
      </c>
      <c r="AJ245" s="35"/>
      <c r="AK245" s="35"/>
      <c r="AL245" s="35"/>
      <c r="AM245" s="35"/>
    </row>
    <row r="246" spans="2:39" x14ac:dyDescent="0.25">
      <c r="B246" s="37">
        <f>'Table001 (Page 1-6)'!A239</f>
        <v>3680</v>
      </c>
      <c r="C246" s="28" t="str">
        <f>'Table001 (Page 1-6)'!B239</f>
        <v>SE MAGNOLIA EXT</v>
      </c>
      <c r="D246" s="28" t="str">
        <f>'Table001 (Page 1-6)'!C239</f>
        <v>SE 3 AV</v>
      </c>
      <c r="E246" s="28" t="str">
        <f>'Table001 (Page 1-6)'!D239</f>
        <v>SW 10TH ST</v>
      </c>
      <c r="F246" s="29">
        <f>'Table001 (Page 1-6)'!E239</f>
        <v>2</v>
      </c>
      <c r="G246" s="29">
        <f>'Table001 (Page 1-6)'!K239</f>
        <v>2</v>
      </c>
      <c r="H246" s="30" t="str">
        <f>'Table001 (Page 1-6)'!R239</f>
        <v>E</v>
      </c>
      <c r="I246" s="28" t="str">
        <f>'Table001 (Page 1-6)'!F239</f>
        <v>COLLECTOR</v>
      </c>
      <c r="J246" s="29"/>
      <c r="K246" s="29"/>
      <c r="L246" s="29">
        <f>'Table001 (Page 1-6)'!I239</f>
        <v>11232</v>
      </c>
      <c r="M246" s="29"/>
      <c r="N246" s="29">
        <f>'Table001 (Page 1-6)'!J239</f>
        <v>576</v>
      </c>
      <c r="O246" s="29">
        <f>'Table001 (Page 1-6)'!L239</f>
        <v>11232</v>
      </c>
      <c r="P246" s="29"/>
      <c r="Q246" s="29">
        <f>'Table001 (Page 1-6)'!M239</f>
        <v>576</v>
      </c>
      <c r="R246" s="29" t="str">
        <f>'Table001 (Page 1-6)'!S239</f>
        <v>5,300</v>
      </c>
      <c r="S246" s="31" t="str">
        <f>'Table001 (Page 1-6)'!T239</f>
        <v>0.47</v>
      </c>
      <c r="T246" s="29" t="str">
        <f>'Table001 (Page 1-6)'!U239</f>
        <v>D</v>
      </c>
      <c r="U246" s="29"/>
      <c r="V246" s="29"/>
      <c r="W246" s="29"/>
      <c r="X246" s="29"/>
      <c r="Y246" s="29"/>
      <c r="Z246" s="29"/>
      <c r="AA246" s="29"/>
      <c r="AB246" s="29"/>
      <c r="AC246" s="31"/>
      <c r="AD246" s="29"/>
      <c r="AE246" s="29"/>
      <c r="AF246" s="29"/>
      <c r="AG246" s="31"/>
      <c r="AH246" s="29"/>
      <c r="AI246" s="32">
        <f>('Table001 (Page 1-6)'!V239)*100</f>
        <v>1</v>
      </c>
      <c r="AJ246" s="35"/>
      <c r="AK246" s="35"/>
      <c r="AL246" s="35"/>
      <c r="AM246" s="35"/>
    </row>
    <row r="247" spans="2:39" x14ac:dyDescent="0.25">
      <c r="B247" s="37">
        <f>'Table001 (Page 1-6)'!A240</f>
        <v>3690</v>
      </c>
      <c r="C247" s="28" t="str">
        <f>'Table001 (Page 1-6)'!B240</f>
        <v>SE MAGNOLIA EXT</v>
      </c>
      <c r="D247" s="28" t="str">
        <f>'Table001 (Page 1-6)'!C240</f>
        <v>SR 464</v>
      </c>
      <c r="E247" s="28" t="str">
        <f>'Table001 (Page 1-6)'!D240</f>
        <v>SE 3 AV</v>
      </c>
      <c r="F247" s="29">
        <f>'Table001 (Page 1-6)'!E240</f>
        <v>2</v>
      </c>
      <c r="G247" s="29">
        <f>'Table001 (Page 1-6)'!K240</f>
        <v>2</v>
      </c>
      <c r="H247" s="30" t="str">
        <f>'Table001 (Page 1-6)'!R240</f>
        <v>E</v>
      </c>
      <c r="I247" s="28" t="str">
        <f>'Table001 (Page 1-6)'!F240</f>
        <v>COLLECTOR</v>
      </c>
      <c r="J247" s="29"/>
      <c r="K247" s="29"/>
      <c r="L247" s="29">
        <f>'Table001 (Page 1-6)'!I240</f>
        <v>12744</v>
      </c>
      <c r="M247" s="29"/>
      <c r="N247" s="29">
        <f>'Table001 (Page 1-6)'!J240</f>
        <v>634</v>
      </c>
      <c r="O247" s="29">
        <f>'Table001 (Page 1-6)'!L240</f>
        <v>12744</v>
      </c>
      <c r="P247" s="29"/>
      <c r="Q247" s="29">
        <f>'Table001 (Page 1-6)'!M240</f>
        <v>634</v>
      </c>
      <c r="R247" s="29" t="str">
        <f>'Table001 (Page 1-6)'!S240</f>
        <v>5,300</v>
      </c>
      <c r="S247" s="31" t="str">
        <f>'Table001 (Page 1-6)'!T240</f>
        <v>0.42</v>
      </c>
      <c r="T247" s="29" t="str">
        <f>'Table001 (Page 1-6)'!U240</f>
        <v>C</v>
      </c>
      <c r="U247" s="29"/>
      <c r="V247" s="29"/>
      <c r="W247" s="29"/>
      <c r="X247" s="29"/>
      <c r="Y247" s="29"/>
      <c r="Z247" s="29"/>
      <c r="AA247" s="29"/>
      <c r="AB247" s="29"/>
      <c r="AC247" s="31"/>
      <c r="AD247" s="29"/>
      <c r="AE247" s="29"/>
      <c r="AF247" s="29"/>
      <c r="AG247" s="31"/>
      <c r="AH247" s="29"/>
      <c r="AI247" s="32">
        <f>('Table001 (Page 1-6)'!V240)*100</f>
        <v>1</v>
      </c>
      <c r="AJ247" s="35"/>
      <c r="AK247" s="35"/>
      <c r="AL247" s="35"/>
      <c r="AM247" s="35"/>
    </row>
    <row r="248" spans="2:39" x14ac:dyDescent="0.25">
      <c r="B248" s="37">
        <f>'Table001 (Page 1-6)'!A241</f>
        <v>3700</v>
      </c>
      <c r="C248" s="28" t="str">
        <f>'Table001 (Page 1-6)'!B241</f>
        <v>SE 1 AV</v>
      </c>
      <c r="D248" s="28" t="str">
        <f>'Table001 (Page 1-6)'!C241</f>
        <v>SW 10 ST</v>
      </c>
      <c r="E248" s="28" t="str">
        <f>'Table001 (Page 1-6)'!D241</f>
        <v>E FORT KING ST</v>
      </c>
      <c r="F248" s="29">
        <f>'Table001 (Page 1-6)'!E241</f>
        <v>2</v>
      </c>
      <c r="G248" s="29">
        <f>'Table001 (Page 1-6)'!K241</f>
        <v>2</v>
      </c>
      <c r="H248" s="30" t="str">
        <f>'Table001 (Page 1-6)'!R241</f>
        <v>E</v>
      </c>
      <c r="I248" s="28" t="str">
        <f>'Table001 (Page 1-6)'!F241</f>
        <v>COLLECTOR</v>
      </c>
      <c r="J248" s="29"/>
      <c r="K248" s="29"/>
      <c r="L248" s="29">
        <f>'Table001 (Page 1-6)'!I241</f>
        <v>18252</v>
      </c>
      <c r="M248" s="29"/>
      <c r="N248" s="29">
        <f>'Table001 (Page 1-6)'!J241</f>
        <v>1836</v>
      </c>
      <c r="O248" s="29">
        <f>'Table001 (Page 1-6)'!L241</f>
        <v>18252</v>
      </c>
      <c r="P248" s="29"/>
      <c r="Q248" s="29">
        <f>'Table001 (Page 1-6)'!M241</f>
        <v>1836</v>
      </c>
      <c r="R248" s="29" t="str">
        <f>'Table001 (Page 1-6)'!S241</f>
        <v>1,700</v>
      </c>
      <c r="S248" s="31" t="str">
        <f>'Table001 (Page 1-6)'!T241</f>
        <v>0.09</v>
      </c>
      <c r="T248" s="29" t="str">
        <f>'Table001 (Page 1-6)'!U241</f>
        <v>C</v>
      </c>
      <c r="U248" s="29"/>
      <c r="V248" s="29"/>
      <c r="W248" s="29"/>
      <c r="X248" s="29"/>
      <c r="Y248" s="29"/>
      <c r="Z248" s="29"/>
      <c r="AA248" s="29"/>
      <c r="AB248" s="29"/>
      <c r="AC248" s="31"/>
      <c r="AD248" s="29"/>
      <c r="AE248" s="29"/>
      <c r="AF248" s="29"/>
      <c r="AG248" s="31"/>
      <c r="AH248" s="29"/>
      <c r="AI248" s="32">
        <f>('Table001 (Page 1-6)'!V241)*100</f>
        <v>1</v>
      </c>
      <c r="AJ248" s="35"/>
      <c r="AK248" s="35"/>
      <c r="AL248" s="35"/>
      <c r="AM248" s="35"/>
    </row>
    <row r="249" spans="2:39" x14ac:dyDescent="0.25">
      <c r="B249" s="37">
        <f>'Table001 (Page 1-6)'!A242</f>
        <v>3740</v>
      </c>
      <c r="C249" s="28" t="str">
        <f>'Table001 (Page 1-6)'!B242</f>
        <v>SE 1 AV</v>
      </c>
      <c r="D249" s="28" t="str">
        <f>'Table001 (Page 1-6)'!C242</f>
        <v>E FORT KING ST</v>
      </c>
      <c r="E249" s="28" t="str">
        <f>'Table001 (Page 1-6)'!D242</f>
        <v>SR 40</v>
      </c>
      <c r="F249" s="29">
        <f>'Table001 (Page 1-6)'!E242</f>
        <v>2</v>
      </c>
      <c r="G249" s="29">
        <f>'Table001 (Page 1-6)'!K242</f>
        <v>2</v>
      </c>
      <c r="H249" s="30" t="str">
        <f>'Table001 (Page 1-6)'!R242</f>
        <v>E</v>
      </c>
      <c r="I249" s="28" t="str">
        <f>'Table001 (Page 1-6)'!F242</f>
        <v>COLLECTOR</v>
      </c>
      <c r="J249" s="29"/>
      <c r="K249" s="29"/>
      <c r="L249" s="29">
        <f>'Table001 (Page 1-6)'!I242</f>
        <v>18252</v>
      </c>
      <c r="M249" s="29"/>
      <c r="N249" s="29">
        <f>'Table001 (Page 1-6)'!J242</f>
        <v>1836</v>
      </c>
      <c r="O249" s="29">
        <f>'Table001 (Page 1-6)'!L242</f>
        <v>18252</v>
      </c>
      <c r="P249" s="29"/>
      <c r="Q249" s="29">
        <f>'Table001 (Page 1-6)'!M242</f>
        <v>1836</v>
      </c>
      <c r="R249" s="29" t="str">
        <f>'Table001 (Page 1-6)'!S242</f>
        <v>1,700</v>
      </c>
      <c r="S249" s="31" t="str">
        <f>'Table001 (Page 1-6)'!T242</f>
        <v>0.09</v>
      </c>
      <c r="T249" s="29" t="str">
        <f>'Table001 (Page 1-6)'!U242</f>
        <v>C</v>
      </c>
      <c r="U249" s="29"/>
      <c r="V249" s="29"/>
      <c r="W249" s="29"/>
      <c r="X249" s="29"/>
      <c r="Y249" s="29"/>
      <c r="Z249" s="29"/>
      <c r="AA249" s="29"/>
      <c r="AB249" s="29"/>
      <c r="AC249" s="31"/>
      <c r="AD249" s="29"/>
      <c r="AE249" s="29"/>
      <c r="AF249" s="29"/>
      <c r="AG249" s="31"/>
      <c r="AH249" s="29"/>
      <c r="AI249" s="32">
        <f>('Table001 (Page 1-6)'!V242)*100</f>
        <v>1</v>
      </c>
      <c r="AJ249" s="35"/>
      <c r="AK249" s="35"/>
      <c r="AL249" s="35"/>
      <c r="AM249" s="35"/>
    </row>
    <row r="250" spans="2:39" x14ac:dyDescent="0.25">
      <c r="B250" s="37">
        <f>'Table001 (Page 1-6)'!A243</f>
        <v>3760.1</v>
      </c>
      <c r="C250" s="28" t="str">
        <f>'Table001 (Page 1-6)'!B243</f>
        <v>SE 100 AV</v>
      </c>
      <c r="D250" s="28" t="str">
        <f>'Table001 (Page 1-6)'!C243</f>
        <v>CR 25</v>
      </c>
      <c r="E250" s="28" t="str">
        <f>'Table001 (Page 1-6)'!D243</f>
        <v>SUNSET HARBOR RD</v>
      </c>
      <c r="F250" s="29">
        <f>'Table001 (Page 1-6)'!E243</f>
        <v>2</v>
      </c>
      <c r="G250" s="29">
        <f>'Table001 (Page 1-6)'!K243</f>
        <v>2</v>
      </c>
      <c r="H250" s="30" t="str">
        <f>'Table001 (Page 1-6)'!R243</f>
        <v>E</v>
      </c>
      <c r="I250" s="28" t="str">
        <f>'Table001 (Page 1-6)'!F243</f>
        <v>COLLECTOR</v>
      </c>
      <c r="J250" s="29"/>
      <c r="K250" s="29"/>
      <c r="L250" s="29">
        <f>'Table001 (Page 1-6)'!I243</f>
        <v>29340</v>
      </c>
      <c r="M250" s="29"/>
      <c r="N250" s="29">
        <f>'Table001 (Page 1-6)'!J243</f>
        <v>1449</v>
      </c>
      <c r="O250" s="29">
        <f>'Table001 (Page 1-6)'!L243</f>
        <v>29340</v>
      </c>
      <c r="P250" s="29"/>
      <c r="Q250" s="29">
        <f>'Table001 (Page 1-6)'!M243</f>
        <v>1449</v>
      </c>
      <c r="R250" s="29" t="str">
        <f>'Table001 (Page 1-6)'!S243</f>
        <v>5,100</v>
      </c>
      <c r="S250" s="31" t="str">
        <f>'Table001 (Page 1-6)'!T243</f>
        <v>0.17</v>
      </c>
      <c r="T250" s="29" t="str">
        <f>'Table001 (Page 1-6)'!U243</f>
        <v>B</v>
      </c>
      <c r="U250" s="29"/>
      <c r="V250" s="29"/>
      <c r="W250" s="29"/>
      <c r="X250" s="29"/>
      <c r="Y250" s="29"/>
      <c r="Z250" s="29"/>
      <c r="AA250" s="29"/>
      <c r="AB250" s="29"/>
      <c r="AC250" s="31"/>
      <c r="AD250" s="29"/>
      <c r="AE250" s="29"/>
      <c r="AF250" s="29"/>
      <c r="AG250" s="31"/>
      <c r="AH250" s="29"/>
      <c r="AI250" s="32">
        <f>('Table001 (Page 1-6)'!V243)*100</f>
        <v>1</v>
      </c>
      <c r="AJ250" s="35"/>
      <c r="AK250" s="35"/>
      <c r="AL250" s="35"/>
      <c r="AM250" s="35"/>
    </row>
    <row r="251" spans="2:39" x14ac:dyDescent="0.25">
      <c r="B251" s="37">
        <f>'Table001 (Page 1-6)'!A244</f>
        <v>3770</v>
      </c>
      <c r="C251" s="28" t="str">
        <f>'Table001 (Page 1-6)'!B244</f>
        <v>SE 108 TER RD</v>
      </c>
      <c r="D251" s="28" t="str">
        <f>'Table001 (Page 1-6)'!C244</f>
        <v>CR 25</v>
      </c>
      <c r="E251" s="28" t="str">
        <f>'Table001 (Page 1-6)'!D244</f>
        <v>SE 110 ST RD</v>
      </c>
      <c r="F251" s="29">
        <f>'Table001 (Page 1-6)'!E244</f>
        <v>2</v>
      </c>
      <c r="G251" s="29">
        <f>'Table001 (Page 1-6)'!K244</f>
        <v>2</v>
      </c>
      <c r="H251" s="30" t="str">
        <f>'Table001 (Page 1-6)'!R244</f>
        <v>E</v>
      </c>
      <c r="I251" s="28" t="str">
        <f>'Table001 (Page 1-6)'!F244</f>
        <v>COLLECTOR</v>
      </c>
      <c r="J251" s="29"/>
      <c r="K251" s="29"/>
      <c r="L251" s="29">
        <f>'Table001 (Page 1-6)'!I244</f>
        <v>29340</v>
      </c>
      <c r="M251" s="29"/>
      <c r="N251" s="29">
        <f>'Table001 (Page 1-6)'!J244</f>
        <v>1449</v>
      </c>
      <c r="O251" s="29">
        <f>'Table001 (Page 1-6)'!L244</f>
        <v>29340</v>
      </c>
      <c r="P251" s="29"/>
      <c r="Q251" s="29">
        <f>'Table001 (Page 1-6)'!M244</f>
        <v>1449</v>
      </c>
      <c r="R251" s="29" t="str">
        <f>'Table001 (Page 1-6)'!S244</f>
        <v>Not Counted</v>
      </c>
      <c r="S251" s="31" t="str">
        <f>'Table001 (Page 1-6)'!T244</f>
        <v>N/A</v>
      </c>
      <c r="T251" s="29" t="str">
        <f>'Table001 (Page 1-6)'!U244</f>
        <v>N/A</v>
      </c>
      <c r="U251" s="29"/>
      <c r="V251" s="29"/>
      <c r="W251" s="29"/>
      <c r="X251" s="29"/>
      <c r="Y251" s="29"/>
      <c r="Z251" s="29"/>
      <c r="AA251" s="29"/>
      <c r="AB251" s="29"/>
      <c r="AC251" s="31"/>
      <c r="AD251" s="29"/>
      <c r="AE251" s="29"/>
      <c r="AF251" s="29"/>
      <c r="AG251" s="31"/>
      <c r="AH251" s="29"/>
      <c r="AI251" s="32">
        <f>('Table001 (Page 1-6)'!V244)*100</f>
        <v>1</v>
      </c>
      <c r="AJ251" s="35"/>
      <c r="AK251" s="35"/>
      <c r="AL251" s="35"/>
      <c r="AM251" s="35"/>
    </row>
    <row r="252" spans="2:39" x14ac:dyDescent="0.25">
      <c r="B252" s="37">
        <f>'Table001 (Page 1-6)'!A245</f>
        <v>3790</v>
      </c>
      <c r="C252" s="28" t="str">
        <f>'Table001 (Page 1-6)'!B245</f>
        <v>SE 11 AV</v>
      </c>
      <c r="D252" s="28" t="str">
        <f>'Table001 (Page 1-6)'!C245</f>
        <v>SR 464</v>
      </c>
      <c r="E252" s="28" t="str">
        <f>'Table001 (Page 1-6)'!D245</f>
        <v>E FT KING ST</v>
      </c>
      <c r="F252" s="29">
        <f>'Table001 (Page 1-6)'!E245</f>
        <v>2</v>
      </c>
      <c r="G252" s="29">
        <f>'Table001 (Page 1-6)'!K245</f>
        <v>2</v>
      </c>
      <c r="H252" s="30" t="str">
        <f>'Table001 (Page 1-6)'!R245</f>
        <v>E</v>
      </c>
      <c r="I252" s="28" t="str">
        <f>'Table001 (Page 1-6)'!F245</f>
        <v>COLLECTOR</v>
      </c>
      <c r="J252" s="29"/>
      <c r="K252" s="29"/>
      <c r="L252" s="29">
        <f>'Table001 (Page 1-6)'!I245</f>
        <v>11232</v>
      </c>
      <c r="M252" s="29"/>
      <c r="N252" s="29">
        <f>'Table001 (Page 1-6)'!J245</f>
        <v>576</v>
      </c>
      <c r="O252" s="29">
        <f>'Table001 (Page 1-6)'!L245</f>
        <v>11232</v>
      </c>
      <c r="P252" s="29"/>
      <c r="Q252" s="29">
        <f>'Table001 (Page 1-6)'!M245</f>
        <v>576</v>
      </c>
      <c r="R252" s="29" t="str">
        <f>'Table001 (Page 1-6)'!S245</f>
        <v>3,100</v>
      </c>
      <c r="S252" s="31" t="str">
        <f>'Table001 (Page 1-6)'!T245</f>
        <v>0.28</v>
      </c>
      <c r="T252" s="29" t="str">
        <f>'Table001 (Page 1-6)'!U245</f>
        <v>C</v>
      </c>
      <c r="U252" s="29"/>
      <c r="V252" s="29"/>
      <c r="W252" s="29"/>
      <c r="X252" s="29"/>
      <c r="Y252" s="29"/>
      <c r="Z252" s="29"/>
      <c r="AA252" s="29"/>
      <c r="AB252" s="29"/>
      <c r="AC252" s="31"/>
      <c r="AD252" s="29"/>
      <c r="AE252" s="29"/>
      <c r="AF252" s="29"/>
      <c r="AG252" s="31"/>
      <c r="AH252" s="29"/>
      <c r="AI252" s="32">
        <f>('Table001 (Page 1-6)'!V245)*100</f>
        <v>1</v>
      </c>
      <c r="AJ252" s="35"/>
      <c r="AK252" s="35"/>
      <c r="AL252" s="35"/>
      <c r="AM252" s="35"/>
    </row>
    <row r="253" spans="2:39" x14ac:dyDescent="0.25">
      <c r="B253" s="37">
        <f>'Table001 (Page 1-6)'!A246</f>
        <v>3800</v>
      </c>
      <c r="C253" s="28" t="str">
        <f>'Table001 (Page 1-6)'!B246</f>
        <v>SE 11 AV</v>
      </c>
      <c r="D253" s="28" t="str">
        <f>'Table001 (Page 1-6)'!C246</f>
        <v>E FT KING ST</v>
      </c>
      <c r="E253" s="28" t="str">
        <f>'Table001 (Page 1-6)'!D246</f>
        <v>SR 40</v>
      </c>
      <c r="F253" s="29">
        <f>'Table001 (Page 1-6)'!E246</f>
        <v>2</v>
      </c>
      <c r="G253" s="29">
        <f>'Table001 (Page 1-6)'!K246</f>
        <v>2</v>
      </c>
      <c r="H253" s="30" t="str">
        <f>'Table001 (Page 1-6)'!R246</f>
        <v>E</v>
      </c>
      <c r="I253" s="28" t="str">
        <f>'Table001 (Page 1-6)'!F246</f>
        <v>COLLECTOR</v>
      </c>
      <c r="J253" s="29"/>
      <c r="K253" s="29"/>
      <c r="L253" s="29">
        <f>'Table001 (Page 1-6)'!I246</f>
        <v>11232</v>
      </c>
      <c r="M253" s="29"/>
      <c r="N253" s="29">
        <f>'Table001 (Page 1-6)'!J246</f>
        <v>576</v>
      </c>
      <c r="O253" s="29">
        <f>'Table001 (Page 1-6)'!L246</f>
        <v>11232</v>
      </c>
      <c r="P253" s="29"/>
      <c r="Q253" s="29">
        <f>'Table001 (Page 1-6)'!M246</f>
        <v>576</v>
      </c>
      <c r="R253" s="29" t="str">
        <f>'Table001 (Page 1-6)'!S246</f>
        <v>2,400</v>
      </c>
      <c r="S253" s="31" t="str">
        <f>'Table001 (Page 1-6)'!T246</f>
        <v>0.21</v>
      </c>
      <c r="T253" s="29" t="str">
        <f>'Table001 (Page 1-6)'!U246</f>
        <v>C</v>
      </c>
      <c r="U253" s="29"/>
      <c r="V253" s="29"/>
      <c r="W253" s="29"/>
      <c r="X253" s="29"/>
      <c r="Y253" s="29"/>
      <c r="Z253" s="29"/>
      <c r="AA253" s="29"/>
      <c r="AB253" s="29"/>
      <c r="AC253" s="31"/>
      <c r="AD253" s="29"/>
      <c r="AE253" s="29"/>
      <c r="AF253" s="29"/>
      <c r="AG253" s="31"/>
      <c r="AH253" s="29"/>
      <c r="AI253" s="32">
        <f>('Table001 (Page 1-6)'!V246)*100</f>
        <v>1</v>
      </c>
      <c r="AJ253" s="35"/>
      <c r="AK253" s="35"/>
      <c r="AL253" s="35"/>
      <c r="AM253" s="35"/>
    </row>
    <row r="254" spans="2:39" x14ac:dyDescent="0.25">
      <c r="B254" s="37">
        <f>'Table001 (Page 1-6)'!A247</f>
        <v>3810.1</v>
      </c>
      <c r="C254" s="28" t="str">
        <f>'Table001 (Page 1-6)'!B247</f>
        <v>SE 110 ST</v>
      </c>
      <c r="D254" s="28" t="str">
        <f>'Table001 (Page 1-6)'!C247</f>
        <v>CR 475</v>
      </c>
      <c r="E254" s="28" t="str">
        <f>'Table001 (Page 1-6)'!D247</f>
        <v>CR 467</v>
      </c>
      <c r="F254" s="29">
        <f>'Table001 (Page 1-6)'!E247</f>
        <v>2</v>
      </c>
      <c r="G254" s="29">
        <f>'Table001 (Page 1-6)'!K247</f>
        <v>2</v>
      </c>
      <c r="H254" s="30" t="str">
        <f>'Table001 (Page 1-6)'!R247</f>
        <v>C</v>
      </c>
      <c r="I254" s="28" t="str">
        <f>'Table001 (Page 1-6)'!F247</f>
        <v>COLLECTOR</v>
      </c>
      <c r="J254" s="29"/>
      <c r="K254" s="29"/>
      <c r="L254" s="29">
        <f>'Table001 (Page 1-6)'!I247</f>
        <v>14130</v>
      </c>
      <c r="M254" s="29"/>
      <c r="N254" s="29">
        <f>'Table001 (Page 1-6)'!J247</f>
        <v>738</v>
      </c>
      <c r="O254" s="29">
        <f>'Table001 (Page 1-6)'!L247</f>
        <v>14130</v>
      </c>
      <c r="P254" s="29"/>
      <c r="Q254" s="29">
        <f>'Table001 (Page 1-6)'!M247</f>
        <v>738</v>
      </c>
      <c r="R254" s="29" t="str">
        <f>'Table001 (Page 1-6)'!S247</f>
        <v>6,700</v>
      </c>
      <c r="S254" s="31" t="str">
        <f>'Table001 (Page 1-6)'!T247</f>
        <v>0.47</v>
      </c>
      <c r="T254" s="29" t="str">
        <f>'Table001 (Page 1-6)'!U247</f>
        <v>B</v>
      </c>
      <c r="U254" s="29"/>
      <c r="V254" s="29"/>
      <c r="W254" s="29"/>
      <c r="X254" s="29"/>
      <c r="Y254" s="29"/>
      <c r="Z254" s="29"/>
      <c r="AA254" s="29"/>
      <c r="AB254" s="29"/>
      <c r="AC254" s="31"/>
      <c r="AD254" s="29"/>
      <c r="AE254" s="29"/>
      <c r="AF254" s="29"/>
      <c r="AG254" s="31"/>
      <c r="AH254" s="29"/>
      <c r="AI254" s="32">
        <f>('Table001 (Page 1-6)'!V247)*100</f>
        <v>1</v>
      </c>
      <c r="AJ254" s="35"/>
      <c r="AK254" s="35"/>
      <c r="AL254" s="35"/>
      <c r="AM254" s="35"/>
    </row>
    <row r="255" spans="2:39" x14ac:dyDescent="0.25">
      <c r="B255" s="37">
        <f>'Table001 (Page 1-6)'!A248</f>
        <v>3820</v>
      </c>
      <c r="C255" s="28" t="str">
        <f>'Table001 (Page 1-6)'!B248</f>
        <v>SE 110 ST</v>
      </c>
      <c r="D255" s="28" t="str">
        <f>'Table001 (Page 1-6)'!C248</f>
        <v>CR 467</v>
      </c>
      <c r="E255" s="28" t="str">
        <f>'Table001 (Page 1-6)'!D248</f>
        <v>US 441</v>
      </c>
      <c r="F255" s="29">
        <f>'Table001 (Page 1-6)'!E248</f>
        <v>2</v>
      </c>
      <c r="G255" s="29">
        <f>'Table001 (Page 1-6)'!K248</f>
        <v>2</v>
      </c>
      <c r="H255" s="30" t="str">
        <f>'Table001 (Page 1-6)'!R248</f>
        <v>C</v>
      </c>
      <c r="I255" s="28" t="str">
        <f>'Table001 (Page 1-6)'!F248</f>
        <v>COLLECTOR</v>
      </c>
      <c r="J255" s="29"/>
      <c r="K255" s="29"/>
      <c r="L255" s="29">
        <f>'Table001 (Page 1-6)'!I248</f>
        <v>5256</v>
      </c>
      <c r="M255" s="29"/>
      <c r="N255" s="29">
        <f>'Table001 (Page 1-6)'!J248</f>
        <v>266</v>
      </c>
      <c r="O255" s="29">
        <f>'Table001 (Page 1-6)'!L248</f>
        <v>5256</v>
      </c>
      <c r="P255" s="29"/>
      <c r="Q255" s="29">
        <f>'Table001 (Page 1-6)'!M248</f>
        <v>266</v>
      </c>
      <c r="R255" s="29" t="str">
        <f>'Table001 (Page 1-6)'!S248</f>
        <v>6,900</v>
      </c>
      <c r="S255" s="31" t="str">
        <f>'Table001 (Page 1-6)'!T248</f>
        <v>1.31</v>
      </c>
      <c r="T255" s="29" t="str">
        <f>'Table001 (Page 1-6)'!U248</f>
        <v>D</v>
      </c>
      <c r="U255" s="29"/>
      <c r="V255" s="29"/>
      <c r="W255" s="29"/>
      <c r="X255" s="29"/>
      <c r="Y255" s="29"/>
      <c r="Z255" s="29"/>
      <c r="AA255" s="29"/>
      <c r="AB255" s="29"/>
      <c r="AC255" s="31"/>
      <c r="AD255" s="29"/>
      <c r="AE255" s="29"/>
      <c r="AF255" s="29"/>
      <c r="AG255" s="31"/>
      <c r="AH255" s="29"/>
      <c r="AI255" s="32">
        <f>('Table001 (Page 1-6)'!V248)*100</f>
        <v>4.1000000000000005</v>
      </c>
      <c r="AJ255" s="35"/>
      <c r="AK255" s="35"/>
      <c r="AL255" s="35"/>
      <c r="AM255" s="35"/>
    </row>
    <row r="256" spans="2:39" x14ac:dyDescent="0.25">
      <c r="B256" s="37">
        <f>'Table001 (Page 1-6)'!A249</f>
        <v>3830.1</v>
      </c>
      <c r="C256" s="28" t="str">
        <f>'Table001 (Page 1-6)'!B249</f>
        <v>CR 25</v>
      </c>
      <c r="D256" s="28" t="str">
        <f>'Table001 (Page 1-6)'!C249</f>
        <v>SE 110 ST</v>
      </c>
      <c r="E256" s="28" t="str">
        <f>'Table001 (Page 1-6)'!D249</f>
        <v>SR 35</v>
      </c>
      <c r="F256" s="29">
        <f>'Table001 (Page 1-6)'!E249</f>
        <v>2</v>
      </c>
      <c r="G256" s="29">
        <f>'Table001 (Page 1-6)'!K249</f>
        <v>2</v>
      </c>
      <c r="H256" s="30" t="str">
        <f>'Table001 (Page 1-6)'!R249</f>
        <v>E</v>
      </c>
      <c r="I256" s="28" t="str">
        <f>'Table001 (Page 1-6)'!F249</f>
        <v>COLLECTOR</v>
      </c>
      <c r="J256" s="29"/>
      <c r="K256" s="29"/>
      <c r="L256" s="29">
        <f>'Table001 (Page 1-6)'!I249</f>
        <v>30807</v>
      </c>
      <c r="M256" s="29"/>
      <c r="N256" s="29">
        <f>'Table001 (Page 1-6)'!J249</f>
        <v>1521</v>
      </c>
      <c r="O256" s="29">
        <f>'Table001 (Page 1-6)'!L249</f>
        <v>30807</v>
      </c>
      <c r="P256" s="29"/>
      <c r="Q256" s="29">
        <f>'Table001 (Page 1-6)'!M249</f>
        <v>1521</v>
      </c>
      <c r="R256" s="29" t="str">
        <f>'Table001 (Page 1-6)'!S249</f>
        <v>9,900</v>
      </c>
      <c r="S256" s="31" t="str">
        <f>'Table001 (Page 1-6)'!T249</f>
        <v>0.32</v>
      </c>
      <c r="T256" s="29" t="str">
        <f>'Table001 (Page 1-6)'!U249</f>
        <v>B</v>
      </c>
      <c r="U256" s="29"/>
      <c r="V256" s="29"/>
      <c r="W256" s="29"/>
      <c r="X256" s="29"/>
      <c r="Y256" s="29"/>
      <c r="Z256" s="29"/>
      <c r="AA256" s="29"/>
      <c r="AB256" s="29"/>
      <c r="AC256" s="31"/>
      <c r="AD256" s="29"/>
      <c r="AE256" s="29"/>
      <c r="AF256" s="29"/>
      <c r="AG256" s="31"/>
      <c r="AH256" s="29"/>
      <c r="AI256" s="32">
        <f>('Table001 (Page 1-6)'!V249)*100</f>
        <v>1</v>
      </c>
      <c r="AJ256" s="35"/>
      <c r="AK256" s="35"/>
      <c r="AL256" s="35"/>
      <c r="AM256" s="35"/>
    </row>
    <row r="257" spans="2:39" x14ac:dyDescent="0.25">
      <c r="B257" s="37">
        <f>'Table001 (Page 1-6)'!A250</f>
        <v>3840.1</v>
      </c>
      <c r="C257" s="28" t="str">
        <f>'Table001 (Page 1-6)'!B250</f>
        <v>SE 110 ST RD</v>
      </c>
      <c r="D257" s="28" t="str">
        <f>'Table001 (Page 1-6)'!C250</f>
        <v>CR 25</v>
      </c>
      <c r="E257" s="28" t="str">
        <f>'Table001 (Page 1-6)'!D250</f>
        <v>OAK RD</v>
      </c>
      <c r="F257" s="29">
        <f>'Table001 (Page 1-6)'!E250</f>
        <v>2</v>
      </c>
      <c r="G257" s="29">
        <f>'Table001 (Page 1-6)'!K250</f>
        <v>2</v>
      </c>
      <c r="H257" s="30" t="str">
        <f>'Table001 (Page 1-6)'!R250</f>
        <v>E</v>
      </c>
      <c r="I257" s="28" t="str">
        <f>'Table001 (Page 1-6)'!F250</f>
        <v>COLLECTOR</v>
      </c>
      <c r="J257" s="29"/>
      <c r="K257" s="29"/>
      <c r="L257" s="29">
        <f>'Table001 (Page 1-6)'!I250</f>
        <v>29340</v>
      </c>
      <c r="M257" s="29"/>
      <c r="N257" s="29">
        <f>'Table001 (Page 1-6)'!J250</f>
        <v>1449</v>
      </c>
      <c r="O257" s="29">
        <f>'Table001 (Page 1-6)'!L250</f>
        <v>29340</v>
      </c>
      <c r="P257" s="29"/>
      <c r="Q257" s="29">
        <f>'Table001 (Page 1-6)'!M250</f>
        <v>1449</v>
      </c>
      <c r="R257" s="29" t="str">
        <f>'Table001 (Page 1-6)'!S250</f>
        <v>3,400</v>
      </c>
      <c r="S257" s="31" t="str">
        <f>'Table001 (Page 1-6)'!T250</f>
        <v>0.12</v>
      </c>
      <c r="T257" s="29" t="str">
        <f>'Table001 (Page 1-6)'!U250</f>
        <v>B</v>
      </c>
      <c r="U257" s="29"/>
      <c r="V257" s="29"/>
      <c r="W257" s="29"/>
      <c r="X257" s="29"/>
      <c r="Y257" s="29"/>
      <c r="Z257" s="29"/>
      <c r="AA257" s="29"/>
      <c r="AB257" s="29"/>
      <c r="AC257" s="31"/>
      <c r="AD257" s="29"/>
      <c r="AE257" s="29"/>
      <c r="AF257" s="29"/>
      <c r="AG257" s="31"/>
      <c r="AH257" s="29"/>
      <c r="AI257" s="32">
        <f>('Table001 (Page 1-6)'!V250)*100</f>
        <v>1</v>
      </c>
      <c r="AJ257" s="35"/>
      <c r="AK257" s="35"/>
      <c r="AL257" s="35"/>
      <c r="AM257" s="35"/>
    </row>
    <row r="258" spans="2:39" x14ac:dyDescent="0.25">
      <c r="B258" s="37">
        <f>'Table001 (Page 1-6)'!A251</f>
        <v>3850.1</v>
      </c>
      <c r="C258" s="28" t="str">
        <f>'Table001 (Page 1-6)'!B251</f>
        <v>SE 110 ST RD</v>
      </c>
      <c r="D258" s="28" t="str">
        <f>'Table001 (Page 1-6)'!C251</f>
        <v>OAK RD</v>
      </c>
      <c r="E258" s="28" t="str">
        <f>'Table001 (Page 1-6)'!D251</f>
        <v>CR 464</v>
      </c>
      <c r="F258" s="29">
        <f>'Table001 (Page 1-6)'!E251</f>
        <v>2</v>
      </c>
      <c r="G258" s="29">
        <f>'Table001 (Page 1-6)'!K251</f>
        <v>2</v>
      </c>
      <c r="H258" s="30" t="str">
        <f>'Table001 (Page 1-6)'!R251</f>
        <v>E</v>
      </c>
      <c r="I258" s="28" t="str">
        <f>'Table001 (Page 1-6)'!F251</f>
        <v>COLLECTOR</v>
      </c>
      <c r="J258" s="29"/>
      <c r="K258" s="29"/>
      <c r="L258" s="29">
        <f>'Table001 (Page 1-6)'!I251</f>
        <v>29340</v>
      </c>
      <c r="M258" s="29"/>
      <c r="N258" s="29">
        <f>'Table001 (Page 1-6)'!J251</f>
        <v>1449</v>
      </c>
      <c r="O258" s="29">
        <f>'Table001 (Page 1-6)'!L251</f>
        <v>29340</v>
      </c>
      <c r="P258" s="29"/>
      <c r="Q258" s="29">
        <f>'Table001 (Page 1-6)'!M251</f>
        <v>1449</v>
      </c>
      <c r="R258" s="29" t="str">
        <f>'Table001 (Page 1-6)'!S251</f>
        <v>3,400</v>
      </c>
      <c r="S258" s="31" t="str">
        <f>'Table001 (Page 1-6)'!T251</f>
        <v>0.12</v>
      </c>
      <c r="T258" s="29" t="str">
        <f>'Table001 (Page 1-6)'!U251</f>
        <v>B</v>
      </c>
      <c r="U258" s="29"/>
      <c r="V258" s="29"/>
      <c r="W258" s="29"/>
      <c r="X258" s="29"/>
      <c r="Y258" s="29"/>
      <c r="Z258" s="29"/>
      <c r="AA258" s="29"/>
      <c r="AB258" s="29"/>
      <c r="AC258" s="31"/>
      <c r="AD258" s="29"/>
      <c r="AE258" s="29"/>
      <c r="AF258" s="29"/>
      <c r="AG258" s="31"/>
      <c r="AH258" s="29"/>
      <c r="AI258" s="32">
        <f>('Table001 (Page 1-6)'!V251)*100</f>
        <v>1</v>
      </c>
      <c r="AJ258" s="35"/>
      <c r="AK258" s="35"/>
      <c r="AL258" s="35"/>
      <c r="AM258" s="35"/>
    </row>
    <row r="259" spans="2:39" x14ac:dyDescent="0.25">
      <c r="B259" s="37">
        <f>'Table001 (Page 1-6)'!A252</f>
        <v>3860</v>
      </c>
      <c r="C259" s="28" t="str">
        <f>'Table001 (Page 1-6)'!B252</f>
        <v>CR 464C</v>
      </c>
      <c r="D259" s="28" t="str">
        <f>'Table001 (Page 1-6)'!C252</f>
        <v>CR 25</v>
      </c>
      <c r="E259" s="28" t="str">
        <f>'Table001 (Page 1-6)'!D252</f>
        <v>SE 114TH ST RD</v>
      </c>
      <c r="F259" s="29">
        <f>'Table001 (Page 1-6)'!E252</f>
        <v>2</v>
      </c>
      <c r="G259" s="29">
        <f>'Table001 (Page 1-6)'!K252</f>
        <v>2</v>
      </c>
      <c r="H259" s="30" t="str">
        <f>'Table001 (Page 1-6)'!R252</f>
        <v>E</v>
      </c>
      <c r="I259" s="28" t="str">
        <f>'Table001 (Page 1-6)'!F252</f>
        <v>COLLECTOR</v>
      </c>
      <c r="J259" s="29"/>
      <c r="K259" s="29"/>
      <c r="L259" s="29">
        <f>'Table001 (Page 1-6)'!I252</f>
        <v>29340</v>
      </c>
      <c r="M259" s="29"/>
      <c r="N259" s="29">
        <f>'Table001 (Page 1-6)'!J252</f>
        <v>1449</v>
      </c>
      <c r="O259" s="29">
        <f>'Table001 (Page 1-6)'!L252</f>
        <v>29340</v>
      </c>
      <c r="P259" s="29"/>
      <c r="Q259" s="29">
        <f>'Table001 (Page 1-6)'!M252</f>
        <v>1449</v>
      </c>
      <c r="R259" s="29" t="str">
        <f>'Table001 (Page 1-6)'!S252</f>
        <v>4,400</v>
      </c>
      <c r="S259" s="31" t="str">
        <f>'Table001 (Page 1-6)'!T252</f>
        <v>0.15</v>
      </c>
      <c r="T259" s="29" t="str">
        <f>'Table001 (Page 1-6)'!U252</f>
        <v>B</v>
      </c>
      <c r="U259" s="29"/>
      <c r="V259" s="29"/>
      <c r="W259" s="29"/>
      <c r="X259" s="29"/>
      <c r="Y259" s="29"/>
      <c r="Z259" s="29"/>
      <c r="AA259" s="29"/>
      <c r="AB259" s="29"/>
      <c r="AC259" s="31"/>
      <c r="AD259" s="29"/>
      <c r="AE259" s="29"/>
      <c r="AF259" s="29"/>
      <c r="AG259" s="31"/>
      <c r="AH259" s="29"/>
      <c r="AI259" s="32">
        <f>('Table001 (Page 1-6)'!V252)*100</f>
        <v>1</v>
      </c>
      <c r="AJ259" s="35"/>
      <c r="AK259" s="35"/>
      <c r="AL259" s="35"/>
      <c r="AM259" s="35"/>
    </row>
    <row r="260" spans="2:39" x14ac:dyDescent="0.25">
      <c r="B260" s="37">
        <f>'Table001 (Page 1-6)'!A253</f>
        <v>3880</v>
      </c>
      <c r="C260" s="28" t="str">
        <f>'Table001 (Page 1-6)'!B253</f>
        <v>SE 147 PL</v>
      </c>
      <c r="D260" s="28" t="str">
        <f>'Table001 (Page 1-6)'!C253</f>
        <v>US 301</v>
      </c>
      <c r="E260" s="28" t="str">
        <f>'Table001 (Page 1-6)'!D253</f>
        <v>US 441</v>
      </c>
      <c r="F260" s="29">
        <f>'Table001 (Page 1-6)'!E253</f>
        <v>2</v>
      </c>
      <c r="G260" s="29">
        <f>'Table001 (Page 1-6)'!K253</f>
        <v>2</v>
      </c>
      <c r="H260" s="30" t="str">
        <f>'Table001 (Page 1-6)'!R253</f>
        <v>E</v>
      </c>
      <c r="I260" s="28" t="str">
        <f>'Table001 (Page 1-6)'!F253</f>
        <v>COLLECTOR</v>
      </c>
      <c r="J260" s="29"/>
      <c r="K260" s="29"/>
      <c r="L260" s="29">
        <f>'Table001 (Page 1-6)'!I253</f>
        <v>12744</v>
      </c>
      <c r="M260" s="29"/>
      <c r="N260" s="29">
        <f>'Table001 (Page 1-6)'!J253</f>
        <v>634</v>
      </c>
      <c r="O260" s="29">
        <f>'Table001 (Page 1-6)'!L253</f>
        <v>12744</v>
      </c>
      <c r="P260" s="29"/>
      <c r="Q260" s="29">
        <f>'Table001 (Page 1-6)'!M253</f>
        <v>634</v>
      </c>
      <c r="R260" s="29" t="str">
        <f>'Table001 (Page 1-6)'!S253</f>
        <v>6,000</v>
      </c>
      <c r="S260" s="31" t="str">
        <f>'Table001 (Page 1-6)'!T253</f>
        <v>0.47</v>
      </c>
      <c r="T260" s="29" t="str">
        <f>'Table001 (Page 1-6)'!U253</f>
        <v>C</v>
      </c>
      <c r="U260" s="29"/>
      <c r="V260" s="29"/>
      <c r="W260" s="29"/>
      <c r="X260" s="29"/>
      <c r="Y260" s="29"/>
      <c r="Z260" s="29"/>
      <c r="AA260" s="29"/>
      <c r="AB260" s="29"/>
      <c r="AC260" s="31"/>
      <c r="AD260" s="29"/>
      <c r="AE260" s="29"/>
      <c r="AF260" s="29"/>
      <c r="AG260" s="31"/>
      <c r="AH260" s="29"/>
      <c r="AI260" s="32">
        <f>('Table001 (Page 1-6)'!V253)*100</f>
        <v>6.9599999999999991</v>
      </c>
      <c r="AJ260" s="35"/>
      <c r="AK260" s="35"/>
      <c r="AL260" s="35"/>
      <c r="AM260" s="35"/>
    </row>
    <row r="261" spans="2:39" x14ac:dyDescent="0.25">
      <c r="B261" s="37">
        <f>'Table001 (Page 1-6)'!A254</f>
        <v>3900.1</v>
      </c>
      <c r="C261" s="28" t="str">
        <f>'Table001 (Page 1-6)'!B254</f>
        <v>SE SUNSET HARBOR RD</v>
      </c>
      <c r="D261" s="28" t="str">
        <f>'Table001 (Page 1-6)'!C254</f>
        <v>US 441</v>
      </c>
      <c r="E261" s="28" t="str">
        <f>'Table001 (Page 1-6)'!D254</f>
        <v>SE 99TH AVE</v>
      </c>
      <c r="F261" s="29">
        <f>'Table001 (Page 1-6)'!E254</f>
        <v>2</v>
      </c>
      <c r="G261" s="29">
        <f>'Table001 (Page 1-6)'!K254</f>
        <v>2</v>
      </c>
      <c r="H261" s="30" t="str">
        <f>'Table001 (Page 1-6)'!R254</f>
        <v>E</v>
      </c>
      <c r="I261" s="28" t="str">
        <f>'Table001 (Page 1-6)'!F254</f>
        <v>COLLECTOR</v>
      </c>
      <c r="J261" s="29"/>
      <c r="K261" s="29"/>
      <c r="L261" s="29">
        <f>'Table001 (Page 1-6)'!I254</f>
        <v>29340</v>
      </c>
      <c r="M261" s="29"/>
      <c r="N261" s="29">
        <f>'Table001 (Page 1-6)'!J254</f>
        <v>1449</v>
      </c>
      <c r="O261" s="29">
        <f>'Table001 (Page 1-6)'!L254</f>
        <v>29340</v>
      </c>
      <c r="P261" s="29"/>
      <c r="Q261" s="29">
        <f>'Table001 (Page 1-6)'!M254</f>
        <v>1449</v>
      </c>
      <c r="R261" s="29" t="str">
        <f>'Table001 (Page 1-6)'!S254</f>
        <v>6,900</v>
      </c>
      <c r="S261" s="31" t="str">
        <f>'Table001 (Page 1-6)'!T254</f>
        <v>0.24</v>
      </c>
      <c r="T261" s="29" t="str">
        <f>'Table001 (Page 1-6)'!U254</f>
        <v>B</v>
      </c>
      <c r="U261" s="29"/>
      <c r="V261" s="29"/>
      <c r="W261" s="29"/>
      <c r="X261" s="29"/>
      <c r="Y261" s="29"/>
      <c r="Z261" s="29"/>
      <c r="AA261" s="29"/>
      <c r="AB261" s="29"/>
      <c r="AC261" s="31"/>
      <c r="AD261" s="29"/>
      <c r="AE261" s="29"/>
      <c r="AF261" s="29"/>
      <c r="AG261" s="31"/>
      <c r="AH261" s="29"/>
      <c r="AI261" s="32">
        <f>('Table001 (Page 1-6)'!V254)*100</f>
        <v>7.7799999999999994</v>
      </c>
      <c r="AJ261" s="35"/>
      <c r="AK261" s="35"/>
      <c r="AL261" s="35"/>
      <c r="AM261" s="35"/>
    </row>
    <row r="262" spans="2:39" x14ac:dyDescent="0.25">
      <c r="B262" s="37">
        <f>'Table001 (Page 1-6)'!A255</f>
        <v>3900.2</v>
      </c>
      <c r="C262" s="28" t="str">
        <f>'Table001 (Page 1-6)'!B255</f>
        <v>SE SUNSET HARBOR RD</v>
      </c>
      <c r="D262" s="28" t="str">
        <f>'Table001 (Page 1-6)'!C255</f>
        <v>SE 99TH AVE</v>
      </c>
      <c r="E262" s="28" t="str">
        <f>'Table001 (Page 1-6)'!D255</f>
        <v>SE 150 LN</v>
      </c>
      <c r="F262" s="29">
        <f>'Table001 (Page 1-6)'!E255</f>
        <v>2</v>
      </c>
      <c r="G262" s="29">
        <f>'Table001 (Page 1-6)'!K255</f>
        <v>2</v>
      </c>
      <c r="H262" s="30" t="str">
        <f>'Table001 (Page 1-6)'!R255</f>
        <v>E</v>
      </c>
      <c r="I262" s="28" t="str">
        <f>'Table001 (Page 1-6)'!F255</f>
        <v>COLLECTOR</v>
      </c>
      <c r="J262" s="29"/>
      <c r="K262" s="29"/>
      <c r="L262" s="29">
        <f>'Table001 (Page 1-6)'!I255</f>
        <v>29340</v>
      </c>
      <c r="M262" s="29"/>
      <c r="N262" s="29">
        <f>'Table001 (Page 1-6)'!J255</f>
        <v>1449</v>
      </c>
      <c r="O262" s="29">
        <f>'Table001 (Page 1-6)'!L255</f>
        <v>29340</v>
      </c>
      <c r="P262" s="29"/>
      <c r="Q262" s="29">
        <f>'Table001 (Page 1-6)'!M255</f>
        <v>1449</v>
      </c>
      <c r="R262" s="29" t="str">
        <f>'Table001 (Page 1-6)'!S255</f>
        <v>6,500</v>
      </c>
      <c r="S262" s="31" t="str">
        <f>'Table001 (Page 1-6)'!T255</f>
        <v>0.22</v>
      </c>
      <c r="T262" s="29" t="str">
        <f>'Table001 (Page 1-6)'!U255</f>
        <v>B</v>
      </c>
      <c r="U262" s="29"/>
      <c r="V262" s="29"/>
      <c r="W262" s="29"/>
      <c r="X262" s="29"/>
      <c r="Y262" s="29"/>
      <c r="Z262" s="29"/>
      <c r="AA262" s="29"/>
      <c r="AB262" s="29"/>
      <c r="AC262" s="31"/>
      <c r="AD262" s="29"/>
      <c r="AE262" s="29"/>
      <c r="AF262" s="29"/>
      <c r="AG262" s="31"/>
      <c r="AH262" s="29"/>
      <c r="AI262" s="32">
        <f>('Table001 (Page 1-6)'!V255)*100</f>
        <v>1</v>
      </c>
      <c r="AJ262" s="35"/>
      <c r="AK262" s="35"/>
      <c r="AL262" s="35"/>
      <c r="AM262" s="35"/>
    </row>
    <row r="263" spans="2:39" x14ac:dyDescent="0.25">
      <c r="B263" s="37">
        <f>'Table001 (Page 1-6)'!A256</f>
        <v>3910</v>
      </c>
      <c r="C263" s="28" t="str">
        <f>'Table001 (Page 1-6)'!B256</f>
        <v>SR 464</v>
      </c>
      <c r="D263" s="28" t="str">
        <f>'Table001 (Page 1-6)'!C256</f>
        <v>SE 3 AV</v>
      </c>
      <c r="E263" s="28" t="str">
        <f>'Table001 (Page 1-6)'!D256</f>
        <v>SE 11 AV</v>
      </c>
      <c r="F263" s="29">
        <f>'Table001 (Page 1-6)'!E256</f>
        <v>4</v>
      </c>
      <c r="G263" s="29">
        <f>'Table001 (Page 1-6)'!K256</f>
        <v>4</v>
      </c>
      <c r="H263" s="30" t="str">
        <f>'Table001 (Page 1-6)'!R256</f>
        <v>D</v>
      </c>
      <c r="I263" s="28" t="str">
        <f>'Table001 (Page 1-6)'!F256</f>
        <v>ARTERIAL</v>
      </c>
      <c r="J263" s="29"/>
      <c r="K263" s="29"/>
      <c r="L263" s="29">
        <f>'Table001 (Page 1-6)'!I256</f>
        <v>38430</v>
      </c>
      <c r="M263" s="29"/>
      <c r="N263" s="29">
        <f>'Table001 (Page 1-6)'!J256</f>
        <v>1901</v>
      </c>
      <c r="O263" s="29">
        <f>'Table001 (Page 1-6)'!L256</f>
        <v>38430</v>
      </c>
      <c r="P263" s="29"/>
      <c r="Q263" s="29">
        <f>'Table001 (Page 1-6)'!M256</f>
        <v>1901</v>
      </c>
      <c r="R263" s="29" t="str">
        <f>'Table001 (Page 1-6)'!S256</f>
        <v>30,300</v>
      </c>
      <c r="S263" s="31" t="str">
        <f>'Table001 (Page 1-6)'!T256</f>
        <v>0.79</v>
      </c>
      <c r="T263" s="29" t="str">
        <f>'Table001 (Page 1-6)'!U256</f>
        <v>C</v>
      </c>
      <c r="U263" s="29"/>
      <c r="V263" s="29"/>
      <c r="W263" s="29"/>
      <c r="X263" s="29"/>
      <c r="Y263" s="29"/>
      <c r="Z263" s="29"/>
      <c r="AA263" s="29"/>
      <c r="AB263" s="29"/>
      <c r="AC263" s="31"/>
      <c r="AD263" s="29"/>
      <c r="AE263" s="29"/>
      <c r="AF263" s="29"/>
      <c r="AG263" s="31"/>
      <c r="AH263" s="29"/>
      <c r="AI263" s="32">
        <f>('Table001 (Page 1-6)'!V256)*100</f>
        <v>1</v>
      </c>
      <c r="AJ263" s="35"/>
      <c r="AK263" s="35"/>
      <c r="AL263" s="35"/>
      <c r="AM263" s="35"/>
    </row>
    <row r="264" spans="2:39" x14ac:dyDescent="0.25">
      <c r="B264" s="37">
        <f>'Table001 (Page 1-6)'!A257</f>
        <v>3930.1</v>
      </c>
      <c r="C264" s="28" t="str">
        <f>'Table001 (Page 1-6)'!B257</f>
        <v>SR 464</v>
      </c>
      <c r="D264" s="28" t="str">
        <f>'Table001 (Page 1-6)'!C257</f>
        <v>SE 11 AV</v>
      </c>
      <c r="E264" s="28" t="str">
        <f>'Table001 (Page 1-6)'!D257</f>
        <v>SE 22 AV</v>
      </c>
      <c r="F264" s="29">
        <f>'Table001 (Page 1-6)'!E257</f>
        <v>4</v>
      </c>
      <c r="G264" s="29">
        <f>'Table001 (Page 1-6)'!K257</f>
        <v>4</v>
      </c>
      <c r="H264" s="30" t="str">
        <f>'Table001 (Page 1-6)'!R257</f>
        <v>D</v>
      </c>
      <c r="I264" s="28" t="str">
        <f>'Table001 (Page 1-6)'!F257</f>
        <v>ARTERIAL</v>
      </c>
      <c r="J264" s="29"/>
      <c r="K264" s="29"/>
      <c r="L264" s="29">
        <f>'Table001 (Page 1-6)'!I257</f>
        <v>39165</v>
      </c>
      <c r="M264" s="29"/>
      <c r="N264" s="29">
        <f>'Table001 (Page 1-6)'!J257</f>
        <v>1943</v>
      </c>
      <c r="O264" s="29">
        <f>'Table001 (Page 1-6)'!L257</f>
        <v>39165</v>
      </c>
      <c r="P264" s="29"/>
      <c r="Q264" s="29">
        <f>'Table001 (Page 1-6)'!M257</f>
        <v>1943</v>
      </c>
      <c r="R264" s="29" t="str">
        <f>'Table001 (Page 1-6)'!S257</f>
        <v>30,800</v>
      </c>
      <c r="S264" s="31" t="str">
        <f>'Table001 (Page 1-6)'!T257</f>
        <v>0.79</v>
      </c>
      <c r="T264" s="29" t="str">
        <f>'Table001 (Page 1-6)'!U257</f>
        <v>C</v>
      </c>
      <c r="U264" s="29"/>
      <c r="V264" s="29"/>
      <c r="W264" s="29"/>
      <c r="X264" s="29"/>
      <c r="Y264" s="29"/>
      <c r="Z264" s="29"/>
      <c r="AA264" s="29"/>
      <c r="AB264" s="29"/>
      <c r="AC264" s="31"/>
      <c r="AD264" s="29"/>
      <c r="AE264" s="29"/>
      <c r="AF264" s="29"/>
      <c r="AG264" s="31"/>
      <c r="AH264" s="29"/>
      <c r="AI264" s="32">
        <f>('Table001 (Page 1-6)'!V257)*100</f>
        <v>1</v>
      </c>
      <c r="AJ264" s="35"/>
      <c r="AK264" s="35"/>
      <c r="AL264" s="35"/>
      <c r="AM264" s="35"/>
    </row>
    <row r="265" spans="2:39" x14ac:dyDescent="0.25">
      <c r="B265" s="37">
        <f>'Table001 (Page 1-6)'!A258</f>
        <v>3950</v>
      </c>
      <c r="C265" s="28" t="str">
        <f>'Table001 (Page 1-6)'!B258</f>
        <v>SR 464</v>
      </c>
      <c r="D265" s="28" t="str">
        <f>'Table001 (Page 1-6)'!C258</f>
        <v>SE 22 AV</v>
      </c>
      <c r="E265" s="28" t="str">
        <f>'Table001 (Page 1-6)'!D258</f>
        <v>SE 25 AV</v>
      </c>
      <c r="F265" s="29">
        <f>'Table001 (Page 1-6)'!E258</f>
        <v>4</v>
      </c>
      <c r="G265" s="29">
        <f>'Table001 (Page 1-6)'!K258</f>
        <v>4</v>
      </c>
      <c r="H265" s="30" t="str">
        <f>'Table001 (Page 1-6)'!R258</f>
        <v>D</v>
      </c>
      <c r="I265" s="28" t="str">
        <f>'Table001 (Page 1-6)'!F258</f>
        <v>ARTERIAL</v>
      </c>
      <c r="J265" s="29"/>
      <c r="K265" s="29"/>
      <c r="L265" s="29">
        <f>'Table001 (Page 1-6)'!I258</f>
        <v>38430</v>
      </c>
      <c r="M265" s="29"/>
      <c r="N265" s="29">
        <f>'Table001 (Page 1-6)'!J258</f>
        <v>1901</v>
      </c>
      <c r="O265" s="29">
        <f>'Table001 (Page 1-6)'!L258</f>
        <v>38430</v>
      </c>
      <c r="P265" s="29"/>
      <c r="Q265" s="29">
        <f>'Table001 (Page 1-6)'!M258</f>
        <v>1901</v>
      </c>
      <c r="R265" s="29" t="str">
        <f>'Table001 (Page 1-6)'!S258</f>
        <v>30,800</v>
      </c>
      <c r="S265" s="31" t="str">
        <f>'Table001 (Page 1-6)'!T258</f>
        <v>0.8</v>
      </c>
      <c r="T265" s="29" t="str">
        <f>'Table001 (Page 1-6)'!U258</f>
        <v>C</v>
      </c>
      <c r="U265" s="29"/>
      <c r="V265" s="29"/>
      <c r="W265" s="29"/>
      <c r="X265" s="29"/>
      <c r="Y265" s="29"/>
      <c r="Z265" s="29"/>
      <c r="AA265" s="29"/>
      <c r="AB265" s="29"/>
      <c r="AC265" s="31"/>
      <c r="AD265" s="29"/>
      <c r="AE265" s="29"/>
      <c r="AF265" s="29"/>
      <c r="AG265" s="31"/>
      <c r="AH265" s="29"/>
      <c r="AI265" s="32">
        <f>('Table001 (Page 1-6)'!V258)*100</f>
        <v>1</v>
      </c>
      <c r="AJ265" s="35"/>
      <c r="AK265" s="35"/>
      <c r="AL265" s="35"/>
      <c r="AM265" s="35"/>
    </row>
    <row r="266" spans="2:39" x14ac:dyDescent="0.25">
      <c r="B266" s="37">
        <f>'Table001 (Page 1-6)'!A259</f>
        <v>3960</v>
      </c>
      <c r="C266" s="28" t="str">
        <f>'Table001 (Page 1-6)'!B259</f>
        <v>SE 17 ST</v>
      </c>
      <c r="D266" s="28" t="str">
        <f>'Table001 (Page 1-6)'!C259</f>
        <v>SE 25 AV</v>
      </c>
      <c r="E266" s="28" t="str">
        <f>'Table001 (Page 1-6)'!D259</f>
        <v>SE 36 AV</v>
      </c>
      <c r="F266" s="29">
        <f>'Table001 (Page 1-6)'!E259</f>
        <v>2</v>
      </c>
      <c r="G266" s="29">
        <f>'Table001 (Page 1-6)'!K259</f>
        <v>2</v>
      </c>
      <c r="H266" s="30" t="str">
        <f>'Table001 (Page 1-6)'!R259</f>
        <v>E</v>
      </c>
      <c r="I266" s="28" t="str">
        <f>'Table001 (Page 1-6)'!F259</f>
        <v>COLLECTOR</v>
      </c>
      <c r="J266" s="29"/>
      <c r="K266" s="29"/>
      <c r="L266" s="29">
        <f>'Table001 (Page 1-6)'!I259</f>
        <v>11232</v>
      </c>
      <c r="M266" s="29"/>
      <c r="N266" s="29">
        <f>'Table001 (Page 1-6)'!J259</f>
        <v>576</v>
      </c>
      <c r="O266" s="29">
        <f>'Table001 (Page 1-6)'!L259</f>
        <v>11232</v>
      </c>
      <c r="P266" s="29"/>
      <c r="Q266" s="29">
        <f>'Table001 (Page 1-6)'!M259</f>
        <v>576</v>
      </c>
      <c r="R266" s="29" t="str">
        <f>'Table001 (Page 1-6)'!S259</f>
        <v>3,400</v>
      </c>
      <c r="S266" s="31" t="str">
        <f>'Table001 (Page 1-6)'!T259</f>
        <v>0.3</v>
      </c>
      <c r="T266" s="29" t="str">
        <f>'Table001 (Page 1-6)'!U259</f>
        <v>C</v>
      </c>
      <c r="U266" s="29"/>
      <c r="V266" s="29"/>
      <c r="W266" s="29"/>
      <c r="X266" s="29"/>
      <c r="Y266" s="29"/>
      <c r="Z266" s="29"/>
      <c r="AA266" s="29"/>
      <c r="AB266" s="29"/>
      <c r="AC266" s="31"/>
      <c r="AD266" s="29"/>
      <c r="AE266" s="29"/>
      <c r="AF266" s="29"/>
      <c r="AG266" s="31"/>
      <c r="AH266" s="29"/>
      <c r="AI266" s="32">
        <f>('Table001 (Page 1-6)'!V259)*100</f>
        <v>1</v>
      </c>
      <c r="AJ266" s="35"/>
      <c r="AK266" s="35"/>
      <c r="AL266" s="35"/>
      <c r="AM266" s="35"/>
    </row>
    <row r="267" spans="2:39" x14ac:dyDescent="0.25">
      <c r="B267" s="37">
        <f>'Table001 (Page 1-6)'!A260</f>
        <v>4020</v>
      </c>
      <c r="C267" s="28" t="str">
        <f>'Table001 (Page 1-6)'!B260</f>
        <v>CR 314A</v>
      </c>
      <c r="D267" s="28" t="str">
        <f>'Table001 (Page 1-6)'!C260</f>
        <v>CR 42</v>
      </c>
      <c r="E267" s="28" t="str">
        <f>'Table001 (Page 1-6)'!D260</f>
        <v>SE 183 AV RD</v>
      </c>
      <c r="F267" s="29">
        <f>'Table001 (Page 1-6)'!E260</f>
        <v>2</v>
      </c>
      <c r="G267" s="29">
        <f>'Table001 (Page 1-6)'!K260</f>
        <v>2</v>
      </c>
      <c r="H267" s="30" t="str">
        <f>'Table001 (Page 1-6)'!R260</f>
        <v>D</v>
      </c>
      <c r="I267" s="28" t="str">
        <f>'Table001 (Page 1-6)'!F260</f>
        <v>COLLECTOR</v>
      </c>
      <c r="J267" s="29"/>
      <c r="K267" s="29"/>
      <c r="L267" s="29">
        <f>'Table001 (Page 1-6)'!I260</f>
        <v>19170</v>
      </c>
      <c r="M267" s="29"/>
      <c r="N267" s="29">
        <f>'Table001 (Page 1-6)'!J260</f>
        <v>999</v>
      </c>
      <c r="O267" s="29">
        <f>'Table001 (Page 1-6)'!L260</f>
        <v>19170</v>
      </c>
      <c r="P267" s="29"/>
      <c r="Q267" s="29">
        <f>'Table001 (Page 1-6)'!M260</f>
        <v>999</v>
      </c>
      <c r="R267" s="29" t="str">
        <f>'Table001 (Page 1-6)'!S260</f>
        <v>Not Counted</v>
      </c>
      <c r="S267" s="31" t="str">
        <f>'Table001 (Page 1-6)'!T260</f>
        <v>N/A</v>
      </c>
      <c r="T267" s="29" t="str">
        <f>'Table001 (Page 1-6)'!U260</f>
        <v>N/A</v>
      </c>
      <c r="U267" s="29"/>
      <c r="V267" s="29"/>
      <c r="W267" s="29"/>
      <c r="X267" s="29"/>
      <c r="Y267" s="29"/>
      <c r="Z267" s="29"/>
      <c r="AA267" s="29"/>
      <c r="AB267" s="29"/>
      <c r="AC267" s="31"/>
      <c r="AD267" s="29"/>
      <c r="AE267" s="29"/>
      <c r="AF267" s="29"/>
      <c r="AG267" s="31"/>
      <c r="AH267" s="29"/>
      <c r="AI267" s="32">
        <f>('Table001 (Page 1-6)'!V260)*100</f>
        <v>1</v>
      </c>
      <c r="AJ267" s="35"/>
      <c r="AK267" s="35"/>
      <c r="AL267" s="35"/>
      <c r="AM267" s="35"/>
    </row>
    <row r="268" spans="2:39" x14ac:dyDescent="0.25">
      <c r="B268" s="37">
        <f>'Table001 (Page 1-6)'!A261</f>
        <v>4040</v>
      </c>
      <c r="C268" s="28" t="str">
        <f>'Table001 (Page 1-6)'!B261</f>
        <v>SE 19 AV</v>
      </c>
      <c r="D268" s="28" t="str">
        <f>'Table001 (Page 1-6)'!C261</f>
        <v>SE 38 ST</v>
      </c>
      <c r="E268" s="28" t="str">
        <f>'Table001 (Page 1-6)'!D261</f>
        <v>SE 31 ST</v>
      </c>
      <c r="F268" s="29">
        <f>'Table001 (Page 1-6)'!E261</f>
        <v>2</v>
      </c>
      <c r="G268" s="29">
        <f>'Table001 (Page 1-6)'!K261</f>
        <v>2</v>
      </c>
      <c r="H268" s="30" t="str">
        <f>'Table001 (Page 1-6)'!R261</f>
        <v>E</v>
      </c>
      <c r="I268" s="28" t="str">
        <f>'Table001 (Page 1-6)'!F261</f>
        <v>LOCAL</v>
      </c>
      <c r="J268" s="29"/>
      <c r="K268" s="29"/>
      <c r="L268" s="29">
        <f>'Table001 (Page 1-6)'!I261</f>
        <v>11232</v>
      </c>
      <c r="M268" s="29"/>
      <c r="N268" s="29">
        <f>'Table001 (Page 1-6)'!J261</f>
        <v>576</v>
      </c>
      <c r="O268" s="29">
        <f>'Table001 (Page 1-6)'!L261</f>
        <v>11232</v>
      </c>
      <c r="P268" s="29"/>
      <c r="Q268" s="29">
        <f>'Table001 (Page 1-6)'!M261</f>
        <v>576</v>
      </c>
      <c r="R268" s="29" t="str">
        <f>'Table001 (Page 1-6)'!S261</f>
        <v>8,400</v>
      </c>
      <c r="S268" s="31" t="str">
        <f>'Table001 (Page 1-6)'!T261</f>
        <v>0.75</v>
      </c>
      <c r="T268" s="29" t="str">
        <f>'Table001 (Page 1-6)'!U261</f>
        <v>D</v>
      </c>
      <c r="U268" s="29"/>
      <c r="V268" s="29"/>
      <c r="W268" s="29"/>
      <c r="X268" s="29"/>
      <c r="Y268" s="29"/>
      <c r="Z268" s="29"/>
      <c r="AA268" s="29"/>
      <c r="AB268" s="29"/>
      <c r="AC268" s="31"/>
      <c r="AD268" s="29"/>
      <c r="AE268" s="29"/>
      <c r="AF268" s="29"/>
      <c r="AG268" s="31"/>
      <c r="AH268" s="29"/>
      <c r="AI268" s="32">
        <f>('Table001 (Page 1-6)'!V261)*100</f>
        <v>1</v>
      </c>
      <c r="AJ268" s="35"/>
      <c r="AK268" s="35"/>
      <c r="AL268" s="35"/>
      <c r="AM268" s="35"/>
    </row>
    <row r="269" spans="2:39" x14ac:dyDescent="0.25">
      <c r="B269" s="37">
        <f>'Table001 (Page 1-6)'!A262</f>
        <v>4050</v>
      </c>
      <c r="C269" s="28" t="str">
        <f>'Table001 (Page 1-6)'!B262</f>
        <v>SE 19 AV</v>
      </c>
      <c r="D269" s="28" t="str">
        <f>'Table001 (Page 1-6)'!C262</f>
        <v>SE 31 ST</v>
      </c>
      <c r="E269" s="28" t="str">
        <f>'Table001 (Page 1-6)'!D262</f>
        <v>SR 464</v>
      </c>
      <c r="F269" s="29">
        <f>'Table001 (Page 1-6)'!E262</f>
        <v>2</v>
      </c>
      <c r="G269" s="29">
        <f>'Table001 (Page 1-6)'!K262</f>
        <v>2</v>
      </c>
      <c r="H269" s="30" t="str">
        <f>'Table001 (Page 1-6)'!R262</f>
        <v>E</v>
      </c>
      <c r="I269" s="28" t="str">
        <f>'Table001 (Page 1-6)'!F262</f>
        <v>COLLECTOR</v>
      </c>
      <c r="J269" s="29"/>
      <c r="K269" s="29"/>
      <c r="L269" s="29">
        <f>'Table001 (Page 1-6)'!I262</f>
        <v>14040</v>
      </c>
      <c r="M269" s="29"/>
      <c r="N269" s="29">
        <f>'Table001 (Page 1-6)'!J262</f>
        <v>720</v>
      </c>
      <c r="O269" s="29">
        <f>'Table001 (Page 1-6)'!L262</f>
        <v>14040</v>
      </c>
      <c r="P269" s="29"/>
      <c r="Q269" s="29">
        <f>'Table001 (Page 1-6)'!M262</f>
        <v>720</v>
      </c>
      <c r="R269" s="29" t="str">
        <f>'Table001 (Page 1-6)'!S262</f>
        <v>8,400</v>
      </c>
      <c r="S269" s="31" t="str">
        <f>'Table001 (Page 1-6)'!T262</f>
        <v>0.6</v>
      </c>
      <c r="T269" s="29" t="str">
        <f>'Table001 (Page 1-6)'!U262</f>
        <v>D</v>
      </c>
      <c r="U269" s="29"/>
      <c r="V269" s="29"/>
      <c r="W269" s="29"/>
      <c r="X269" s="29"/>
      <c r="Y269" s="29"/>
      <c r="Z269" s="29"/>
      <c r="AA269" s="29"/>
      <c r="AB269" s="29"/>
      <c r="AC269" s="31"/>
      <c r="AD269" s="29"/>
      <c r="AE269" s="29"/>
      <c r="AF269" s="29"/>
      <c r="AG269" s="31"/>
      <c r="AH269" s="29"/>
      <c r="AI269" s="32">
        <f>('Table001 (Page 1-6)'!V262)*100</f>
        <v>1</v>
      </c>
      <c r="AJ269" s="35"/>
      <c r="AK269" s="35"/>
      <c r="AL269" s="35"/>
      <c r="AM269" s="35"/>
    </row>
    <row r="270" spans="2:39" x14ac:dyDescent="0.25">
      <c r="B270" s="37">
        <f>'Table001 (Page 1-6)'!A263</f>
        <v>4060</v>
      </c>
      <c r="C270" s="28" t="str">
        <f>'Table001 (Page 1-6)'!B263</f>
        <v>SE 22 AV</v>
      </c>
      <c r="D270" s="28" t="str">
        <f>'Table001 (Page 1-6)'!C263</f>
        <v>SR 464</v>
      </c>
      <c r="E270" s="28" t="str">
        <f>'Table001 (Page 1-6)'!D263</f>
        <v>E FORT KING ST</v>
      </c>
      <c r="F270" s="29">
        <f>'Table001 (Page 1-6)'!E263</f>
        <v>2</v>
      </c>
      <c r="G270" s="29">
        <f>'Table001 (Page 1-6)'!K263</f>
        <v>2</v>
      </c>
      <c r="H270" s="30" t="str">
        <f>'Table001 (Page 1-6)'!R263</f>
        <v>E</v>
      </c>
      <c r="I270" s="28" t="str">
        <f>'Table001 (Page 1-6)'!F263</f>
        <v>COLLECTOR</v>
      </c>
      <c r="J270" s="29"/>
      <c r="K270" s="29"/>
      <c r="L270" s="29">
        <f>'Table001 (Page 1-6)'!I263</f>
        <v>11232</v>
      </c>
      <c r="M270" s="29"/>
      <c r="N270" s="29">
        <f>'Table001 (Page 1-6)'!J263</f>
        <v>576</v>
      </c>
      <c r="O270" s="29">
        <f>'Table001 (Page 1-6)'!L263</f>
        <v>11232</v>
      </c>
      <c r="P270" s="29"/>
      <c r="Q270" s="29">
        <f>'Table001 (Page 1-6)'!M263</f>
        <v>576</v>
      </c>
      <c r="R270" s="29" t="str">
        <f>'Table001 (Page 1-6)'!S263</f>
        <v>2,400</v>
      </c>
      <c r="S270" s="31" t="str">
        <f>'Table001 (Page 1-6)'!T263</f>
        <v>0.21</v>
      </c>
      <c r="T270" s="29" t="str">
        <f>'Table001 (Page 1-6)'!U263</f>
        <v>C</v>
      </c>
      <c r="U270" s="29"/>
      <c r="V270" s="29"/>
      <c r="W270" s="29"/>
      <c r="X270" s="29"/>
      <c r="Y270" s="29"/>
      <c r="Z270" s="29"/>
      <c r="AA270" s="29"/>
      <c r="AB270" s="29"/>
      <c r="AC270" s="31"/>
      <c r="AD270" s="29"/>
      <c r="AE270" s="29"/>
      <c r="AF270" s="29"/>
      <c r="AG270" s="31"/>
      <c r="AH270" s="29"/>
      <c r="AI270" s="32">
        <f>('Table001 (Page 1-6)'!V263)*100</f>
        <v>5.0200000000000005</v>
      </c>
      <c r="AJ270" s="35"/>
      <c r="AK270" s="35"/>
      <c r="AL270" s="35"/>
      <c r="AM270" s="35"/>
    </row>
    <row r="271" spans="2:39" x14ac:dyDescent="0.25">
      <c r="B271" s="37">
        <f>'Table001 (Page 1-6)'!A264</f>
        <v>4070</v>
      </c>
      <c r="C271" s="28" t="str">
        <f>'Table001 (Page 1-6)'!B264</f>
        <v>SE 24 ST</v>
      </c>
      <c r="D271" s="28" t="str">
        <f>'Table001 (Page 1-6)'!C264</f>
        <v>SR 464</v>
      </c>
      <c r="E271" s="28" t="str">
        <f>'Table001 (Page 1-6)'!D264</f>
        <v>SE 36 AV</v>
      </c>
      <c r="F271" s="29">
        <f>'Table001 (Page 1-6)'!E264</f>
        <v>2</v>
      </c>
      <c r="G271" s="29">
        <f>'Table001 (Page 1-6)'!K264</f>
        <v>2</v>
      </c>
      <c r="H271" s="30" t="str">
        <f>'Table001 (Page 1-6)'!R264</f>
        <v>E</v>
      </c>
      <c r="I271" s="28" t="str">
        <f>'Table001 (Page 1-6)'!F264</f>
        <v>COLLECTOR</v>
      </c>
      <c r="J271" s="29"/>
      <c r="K271" s="29"/>
      <c r="L271" s="29">
        <f>'Table001 (Page 1-6)'!I264</f>
        <v>11232</v>
      </c>
      <c r="M271" s="29"/>
      <c r="N271" s="29">
        <f>'Table001 (Page 1-6)'!J264</f>
        <v>576</v>
      </c>
      <c r="O271" s="29">
        <f>'Table001 (Page 1-6)'!L264</f>
        <v>11232</v>
      </c>
      <c r="P271" s="29"/>
      <c r="Q271" s="29">
        <f>'Table001 (Page 1-6)'!M264</f>
        <v>576</v>
      </c>
      <c r="R271" s="29" t="str">
        <f>'Table001 (Page 1-6)'!S264</f>
        <v>10,300</v>
      </c>
      <c r="S271" s="31" t="str">
        <f>'Table001 (Page 1-6)'!T264</f>
        <v>0.92</v>
      </c>
      <c r="T271" s="29" t="str">
        <f>'Table001 (Page 1-6)'!U264</f>
        <v>D</v>
      </c>
      <c r="U271" s="29"/>
      <c r="V271" s="29"/>
      <c r="W271" s="29"/>
      <c r="X271" s="29"/>
      <c r="Y271" s="29"/>
      <c r="Z271" s="29"/>
      <c r="AA271" s="29"/>
      <c r="AB271" s="29"/>
      <c r="AC271" s="31"/>
      <c r="AD271" s="29"/>
      <c r="AE271" s="29"/>
      <c r="AF271" s="29"/>
      <c r="AG271" s="31"/>
      <c r="AH271" s="29"/>
      <c r="AI271" s="32">
        <f>('Table001 (Page 1-6)'!V264)*100</f>
        <v>1.71</v>
      </c>
      <c r="AJ271" s="35"/>
      <c r="AK271" s="35"/>
      <c r="AL271" s="35"/>
      <c r="AM271" s="35"/>
    </row>
    <row r="272" spans="2:39" x14ac:dyDescent="0.25">
      <c r="B272" s="37">
        <f>'Table001 (Page 1-6)'!A265</f>
        <v>4080</v>
      </c>
      <c r="C272" s="28" t="str">
        <f>'Table001 (Page 1-6)'!B265</f>
        <v>SE 24 ST</v>
      </c>
      <c r="D272" s="28" t="str">
        <f>'Table001 (Page 1-6)'!C265</f>
        <v>SE 36 AV</v>
      </c>
      <c r="E272" s="28" t="str">
        <f>'Table001 (Page 1-6)'!D265</f>
        <v>SE 28 ST</v>
      </c>
      <c r="F272" s="29">
        <f>'Table001 (Page 1-6)'!E265</f>
        <v>2</v>
      </c>
      <c r="G272" s="29">
        <f>'Table001 (Page 1-6)'!K265</f>
        <v>2</v>
      </c>
      <c r="H272" s="30" t="str">
        <f>'Table001 (Page 1-6)'!R265</f>
        <v>E</v>
      </c>
      <c r="I272" s="28" t="str">
        <f>'Table001 (Page 1-6)'!F265</f>
        <v>COLLECTOR</v>
      </c>
      <c r="J272" s="29"/>
      <c r="K272" s="29"/>
      <c r="L272" s="29">
        <f>'Table001 (Page 1-6)'!I265</f>
        <v>11232</v>
      </c>
      <c r="M272" s="29"/>
      <c r="N272" s="29">
        <f>'Table001 (Page 1-6)'!J265</f>
        <v>576</v>
      </c>
      <c r="O272" s="29">
        <f>'Table001 (Page 1-6)'!L265</f>
        <v>11232</v>
      </c>
      <c r="P272" s="29"/>
      <c r="Q272" s="29">
        <f>'Table001 (Page 1-6)'!M265</f>
        <v>576</v>
      </c>
      <c r="R272" s="29" t="str">
        <f>'Table001 (Page 1-6)'!S265</f>
        <v>10,500</v>
      </c>
      <c r="S272" s="31" t="str">
        <f>'Table001 (Page 1-6)'!T265</f>
        <v>0.93</v>
      </c>
      <c r="T272" s="29" t="str">
        <f>'Table001 (Page 1-6)'!U265</f>
        <v>D</v>
      </c>
      <c r="U272" s="29"/>
      <c r="V272" s="29"/>
      <c r="W272" s="29"/>
      <c r="X272" s="29"/>
      <c r="Y272" s="29"/>
      <c r="Z272" s="29"/>
      <c r="AA272" s="29"/>
      <c r="AB272" s="29"/>
      <c r="AC272" s="31"/>
      <c r="AD272" s="29"/>
      <c r="AE272" s="29"/>
      <c r="AF272" s="29"/>
      <c r="AG272" s="31"/>
      <c r="AH272" s="29"/>
      <c r="AI272" s="32">
        <f>('Table001 (Page 1-6)'!V265)*100</f>
        <v>3.51</v>
      </c>
      <c r="AJ272" s="35"/>
      <c r="AK272" s="35"/>
      <c r="AL272" s="35"/>
      <c r="AM272" s="35"/>
    </row>
    <row r="273" spans="2:39" x14ac:dyDescent="0.25">
      <c r="B273" s="37">
        <f>'Table001 (Page 1-6)'!A266</f>
        <v>4110</v>
      </c>
      <c r="C273" s="28" t="str">
        <f>'Table001 (Page 1-6)'!B266</f>
        <v>SE 25 AV</v>
      </c>
      <c r="D273" s="28" t="str">
        <f>'Table001 (Page 1-6)'!C266</f>
        <v>SR 464</v>
      </c>
      <c r="E273" s="28" t="str">
        <f>'Table001 (Page 1-6)'!D266</f>
        <v>E FORT KING</v>
      </c>
      <c r="F273" s="29">
        <f>'Table001 (Page 1-6)'!E266</f>
        <v>4</v>
      </c>
      <c r="G273" s="29">
        <f>'Table001 (Page 1-6)'!K266</f>
        <v>4</v>
      </c>
      <c r="H273" s="30" t="str">
        <f>'Table001 (Page 1-6)'!R266</f>
        <v>E</v>
      </c>
      <c r="I273" s="28" t="str">
        <f>'Table001 (Page 1-6)'!F266</f>
        <v>ARTERIAL</v>
      </c>
      <c r="J273" s="29"/>
      <c r="K273" s="29"/>
      <c r="L273" s="29">
        <f>'Table001 (Page 1-6)'!I266</f>
        <v>30420</v>
      </c>
      <c r="M273" s="29"/>
      <c r="N273" s="29">
        <f>'Table001 (Page 1-6)'!J266</f>
        <v>1530</v>
      </c>
      <c r="O273" s="29">
        <f>'Table001 (Page 1-6)'!L266</f>
        <v>30420</v>
      </c>
      <c r="P273" s="29"/>
      <c r="Q273" s="29">
        <f>'Table001 (Page 1-6)'!M266</f>
        <v>1530</v>
      </c>
      <c r="R273" s="29" t="str">
        <f>'Table001 (Page 1-6)'!S266</f>
        <v>18,300</v>
      </c>
      <c r="S273" s="31" t="str">
        <f>'Table001 (Page 1-6)'!T266</f>
        <v>0.6</v>
      </c>
      <c r="T273" s="29" t="str">
        <f>'Table001 (Page 1-6)'!U266</f>
        <v>D</v>
      </c>
      <c r="U273" s="29"/>
      <c r="V273" s="29"/>
      <c r="W273" s="29"/>
      <c r="X273" s="29"/>
      <c r="Y273" s="29"/>
      <c r="Z273" s="29"/>
      <c r="AA273" s="29"/>
      <c r="AB273" s="29"/>
      <c r="AC273" s="31"/>
      <c r="AD273" s="29"/>
      <c r="AE273" s="29"/>
      <c r="AF273" s="29"/>
      <c r="AG273" s="31"/>
      <c r="AH273" s="29"/>
      <c r="AI273" s="32">
        <f>('Table001 (Page 1-6)'!V266)*100</f>
        <v>1</v>
      </c>
      <c r="AJ273" s="35"/>
      <c r="AK273" s="35"/>
      <c r="AL273" s="35"/>
      <c r="AM273" s="35"/>
    </row>
    <row r="274" spans="2:39" x14ac:dyDescent="0.25">
      <c r="B274" s="37">
        <f>'Table001 (Page 1-6)'!A267</f>
        <v>4130</v>
      </c>
      <c r="C274" s="28" t="str">
        <f>'Table001 (Page 1-6)'!B267</f>
        <v>NE 25 AV</v>
      </c>
      <c r="D274" s="28" t="str">
        <f>'Table001 (Page 1-6)'!C267</f>
        <v>E FORT KING</v>
      </c>
      <c r="E274" s="28" t="str">
        <f>'Table001 (Page 1-6)'!D267</f>
        <v>SR 40</v>
      </c>
      <c r="F274" s="29">
        <f>'Table001 (Page 1-6)'!E267</f>
        <v>4</v>
      </c>
      <c r="G274" s="29">
        <f>'Table001 (Page 1-6)'!K267</f>
        <v>4</v>
      </c>
      <c r="H274" s="30" t="str">
        <f>'Table001 (Page 1-6)'!R267</f>
        <v>E</v>
      </c>
      <c r="I274" s="28" t="str">
        <f>'Table001 (Page 1-6)'!F267</f>
        <v>ARTERIAL</v>
      </c>
      <c r="J274" s="29"/>
      <c r="K274" s="29"/>
      <c r="L274" s="29">
        <f>'Table001 (Page 1-6)'!I267</f>
        <v>30420</v>
      </c>
      <c r="M274" s="29"/>
      <c r="N274" s="29">
        <f>'Table001 (Page 1-6)'!J267</f>
        <v>1530</v>
      </c>
      <c r="O274" s="29">
        <f>'Table001 (Page 1-6)'!L267</f>
        <v>30420</v>
      </c>
      <c r="P274" s="29"/>
      <c r="Q274" s="29">
        <f>'Table001 (Page 1-6)'!M267</f>
        <v>1530</v>
      </c>
      <c r="R274" s="29" t="str">
        <f>'Table001 (Page 1-6)'!S267</f>
        <v>13,500</v>
      </c>
      <c r="S274" s="31" t="str">
        <f>'Table001 (Page 1-6)'!T267</f>
        <v>0.44</v>
      </c>
      <c r="T274" s="29" t="str">
        <f>'Table001 (Page 1-6)'!U267</f>
        <v>D</v>
      </c>
      <c r="U274" s="29"/>
      <c r="V274" s="29"/>
      <c r="W274" s="29"/>
      <c r="X274" s="29"/>
      <c r="Y274" s="29"/>
      <c r="Z274" s="29"/>
      <c r="AA274" s="29"/>
      <c r="AB274" s="29"/>
      <c r="AC274" s="31"/>
      <c r="AD274" s="29"/>
      <c r="AE274" s="29"/>
      <c r="AF274" s="29"/>
      <c r="AG274" s="31"/>
      <c r="AH274" s="29"/>
      <c r="AI274" s="32">
        <f>('Table001 (Page 1-6)'!V267)*100</f>
        <v>1</v>
      </c>
      <c r="AJ274" s="35"/>
      <c r="AK274" s="35"/>
      <c r="AL274" s="35"/>
      <c r="AM274" s="35"/>
    </row>
    <row r="275" spans="2:39" x14ac:dyDescent="0.25">
      <c r="B275" s="37">
        <f>'Table001 (Page 1-6)'!A268</f>
        <v>4140</v>
      </c>
      <c r="C275" s="28" t="str">
        <f>'Table001 (Page 1-6)'!B268</f>
        <v>SE 28 ST</v>
      </c>
      <c r="D275" s="28" t="str">
        <f>'Table001 (Page 1-6)'!C268</f>
        <v>SE 24 ST</v>
      </c>
      <c r="E275" s="28" t="str">
        <f>'Table001 (Page 1-6)'!D268</f>
        <v>SR 35</v>
      </c>
      <c r="F275" s="29">
        <f>'Table001 (Page 1-6)'!E268</f>
        <v>2</v>
      </c>
      <c r="G275" s="29">
        <f>'Table001 (Page 1-6)'!K268</f>
        <v>2</v>
      </c>
      <c r="H275" s="30" t="str">
        <f>'Table001 (Page 1-6)'!R268</f>
        <v>E</v>
      </c>
      <c r="I275" s="28" t="str">
        <f>'Table001 (Page 1-6)'!F268</f>
        <v>COLLECTOR</v>
      </c>
      <c r="J275" s="29"/>
      <c r="K275" s="29"/>
      <c r="L275" s="29">
        <f>'Table001 (Page 1-6)'!I268</f>
        <v>11232</v>
      </c>
      <c r="M275" s="29"/>
      <c r="N275" s="29">
        <f>'Table001 (Page 1-6)'!J268</f>
        <v>576</v>
      </c>
      <c r="O275" s="29">
        <f>'Table001 (Page 1-6)'!L268</f>
        <v>11232</v>
      </c>
      <c r="P275" s="29"/>
      <c r="Q275" s="29">
        <f>'Table001 (Page 1-6)'!M268</f>
        <v>576</v>
      </c>
      <c r="R275" s="29" t="str">
        <f>'Table001 (Page 1-6)'!S268</f>
        <v>Not Counted</v>
      </c>
      <c r="S275" s="31" t="str">
        <f>'Table001 (Page 1-6)'!T268</f>
        <v>N/A</v>
      </c>
      <c r="T275" s="29" t="str">
        <f>'Table001 (Page 1-6)'!U268</f>
        <v>N/A</v>
      </c>
      <c r="U275" s="29"/>
      <c r="V275" s="29"/>
      <c r="W275" s="29"/>
      <c r="X275" s="29"/>
      <c r="Y275" s="29"/>
      <c r="Z275" s="29"/>
      <c r="AA275" s="29"/>
      <c r="AB275" s="29"/>
      <c r="AC275" s="31"/>
      <c r="AD275" s="29"/>
      <c r="AE275" s="29"/>
      <c r="AF275" s="29"/>
      <c r="AG275" s="31"/>
      <c r="AH275" s="29"/>
      <c r="AI275" s="32">
        <f>('Table001 (Page 1-6)'!V268)*100</f>
        <v>1</v>
      </c>
      <c r="AJ275" s="35"/>
      <c r="AK275" s="35"/>
      <c r="AL275" s="35"/>
      <c r="AM275" s="35"/>
    </row>
    <row r="276" spans="2:39" x14ac:dyDescent="0.25">
      <c r="B276" s="37">
        <f>'Table001 (Page 1-6)'!A269</f>
        <v>4150</v>
      </c>
      <c r="C276" s="28" t="str">
        <f>'Table001 (Page 1-6)'!B269</f>
        <v>SE 3 AV</v>
      </c>
      <c r="D276" s="28" t="str">
        <f>'Table001 (Page 1-6)'!C269</f>
        <v>US 441</v>
      </c>
      <c r="E276" s="28" t="str">
        <f>'Table001 (Page 1-6)'!D269</f>
        <v>SR 464</v>
      </c>
      <c r="F276" s="29">
        <f>'Table001 (Page 1-6)'!E269</f>
        <v>2</v>
      </c>
      <c r="G276" s="29">
        <f>'Table001 (Page 1-6)'!K269</f>
        <v>2</v>
      </c>
      <c r="H276" s="30" t="str">
        <f>'Table001 (Page 1-6)'!R269</f>
        <v>E</v>
      </c>
      <c r="I276" s="28" t="str">
        <f>'Table001 (Page 1-6)'!F269</f>
        <v>COLLECTOR</v>
      </c>
      <c r="J276" s="29"/>
      <c r="K276" s="29"/>
      <c r="L276" s="29">
        <f>'Table001 (Page 1-6)'!I269</f>
        <v>11232</v>
      </c>
      <c r="M276" s="29"/>
      <c r="N276" s="29">
        <f>'Table001 (Page 1-6)'!J269</f>
        <v>576</v>
      </c>
      <c r="O276" s="29">
        <f>'Table001 (Page 1-6)'!L269</f>
        <v>11232</v>
      </c>
      <c r="P276" s="29"/>
      <c r="Q276" s="29">
        <f>'Table001 (Page 1-6)'!M269</f>
        <v>576</v>
      </c>
      <c r="R276" s="29" t="str">
        <f>'Table001 (Page 1-6)'!S269</f>
        <v>2,700</v>
      </c>
      <c r="S276" s="31" t="str">
        <f>'Table001 (Page 1-6)'!T269</f>
        <v>0.24</v>
      </c>
      <c r="T276" s="29" t="str">
        <f>'Table001 (Page 1-6)'!U269</f>
        <v>C</v>
      </c>
      <c r="U276" s="29"/>
      <c r="V276" s="29"/>
      <c r="W276" s="29"/>
      <c r="X276" s="29"/>
      <c r="Y276" s="29"/>
      <c r="Z276" s="29"/>
      <c r="AA276" s="29"/>
      <c r="AB276" s="29"/>
      <c r="AC276" s="31"/>
      <c r="AD276" s="29"/>
      <c r="AE276" s="29"/>
      <c r="AF276" s="29"/>
      <c r="AG276" s="31"/>
      <c r="AH276" s="29"/>
      <c r="AI276" s="32">
        <f>('Table001 (Page 1-6)'!V269)*100</f>
        <v>1</v>
      </c>
      <c r="AJ276" s="35"/>
      <c r="AK276" s="35"/>
      <c r="AL276" s="35"/>
      <c r="AM276" s="35"/>
    </row>
    <row r="277" spans="2:39" x14ac:dyDescent="0.25">
      <c r="B277" s="37">
        <f>'Table001 (Page 1-6)'!A270</f>
        <v>4160</v>
      </c>
      <c r="C277" s="28" t="str">
        <f>'Table001 (Page 1-6)'!B270</f>
        <v>SE 3 AV</v>
      </c>
      <c r="D277" s="28" t="str">
        <f>'Table001 (Page 1-6)'!C270</f>
        <v>SR 464</v>
      </c>
      <c r="E277" s="28" t="str">
        <f>'Table001 (Page 1-6)'!D270</f>
        <v>S MAGNOLIA AV</v>
      </c>
      <c r="F277" s="29">
        <f>'Table001 (Page 1-6)'!E270</f>
        <v>2</v>
      </c>
      <c r="G277" s="29">
        <f>'Table001 (Page 1-6)'!K270</f>
        <v>2</v>
      </c>
      <c r="H277" s="30" t="str">
        <f>'Table001 (Page 1-6)'!R270</f>
        <v>E</v>
      </c>
      <c r="I277" s="28" t="str">
        <f>'Table001 (Page 1-6)'!F270</f>
        <v>COLLECTOR</v>
      </c>
      <c r="J277" s="29"/>
      <c r="K277" s="29"/>
      <c r="L277" s="29">
        <f>'Table001 (Page 1-6)'!I270</f>
        <v>11232</v>
      </c>
      <c r="M277" s="29"/>
      <c r="N277" s="29">
        <f>'Table001 (Page 1-6)'!J270</f>
        <v>576</v>
      </c>
      <c r="O277" s="29">
        <f>'Table001 (Page 1-6)'!L270</f>
        <v>11232</v>
      </c>
      <c r="P277" s="29"/>
      <c r="Q277" s="29">
        <f>'Table001 (Page 1-6)'!M270</f>
        <v>576</v>
      </c>
      <c r="R277" s="29" t="str">
        <f>'Table001 (Page 1-6)'!S270</f>
        <v>3,500</v>
      </c>
      <c r="S277" s="31" t="str">
        <f>'Table001 (Page 1-6)'!T270</f>
        <v>0.31</v>
      </c>
      <c r="T277" s="29" t="str">
        <f>'Table001 (Page 1-6)'!U270</f>
        <v>C</v>
      </c>
      <c r="U277" s="29"/>
      <c r="V277" s="29"/>
      <c r="W277" s="29"/>
      <c r="X277" s="29"/>
      <c r="Y277" s="29"/>
      <c r="Z277" s="29"/>
      <c r="AA277" s="29"/>
      <c r="AB277" s="29"/>
      <c r="AC277" s="31"/>
      <c r="AD277" s="29"/>
      <c r="AE277" s="29"/>
      <c r="AF277" s="29"/>
      <c r="AG277" s="31"/>
      <c r="AH277" s="29"/>
      <c r="AI277" s="32">
        <f>('Table001 (Page 1-6)'!V270)*100</f>
        <v>1</v>
      </c>
      <c r="AJ277" s="35"/>
      <c r="AK277" s="35"/>
      <c r="AL277" s="35"/>
      <c r="AM277" s="35"/>
    </row>
    <row r="278" spans="2:39" x14ac:dyDescent="0.25">
      <c r="B278" s="37">
        <f>'Table001 (Page 1-6)'!A271</f>
        <v>4170</v>
      </c>
      <c r="C278" s="28" t="str">
        <f>'Table001 (Page 1-6)'!B271</f>
        <v>SE 3 AV</v>
      </c>
      <c r="D278" s="28" t="str">
        <f>'Table001 (Page 1-6)'!C271</f>
        <v>S MAGNOLIA AV</v>
      </c>
      <c r="E278" s="28" t="str">
        <f>'Table001 (Page 1-6)'!D271</f>
        <v>SE 8 ST</v>
      </c>
      <c r="F278" s="29">
        <f>'Table001 (Page 1-6)'!E271</f>
        <v>2</v>
      </c>
      <c r="G278" s="29">
        <f>'Table001 (Page 1-6)'!K271</f>
        <v>2</v>
      </c>
      <c r="H278" s="30" t="str">
        <f>'Table001 (Page 1-6)'!R271</f>
        <v>E</v>
      </c>
      <c r="I278" s="28" t="str">
        <f>'Table001 (Page 1-6)'!F271</f>
        <v>COLLECTOR</v>
      </c>
      <c r="J278" s="29"/>
      <c r="K278" s="29"/>
      <c r="L278" s="29">
        <f>'Table001 (Page 1-6)'!I271</f>
        <v>11232</v>
      </c>
      <c r="M278" s="29"/>
      <c r="N278" s="29">
        <f>'Table001 (Page 1-6)'!J271</f>
        <v>576</v>
      </c>
      <c r="O278" s="29">
        <f>'Table001 (Page 1-6)'!L271</f>
        <v>11232</v>
      </c>
      <c r="P278" s="29"/>
      <c r="Q278" s="29">
        <f>'Table001 (Page 1-6)'!M271</f>
        <v>576</v>
      </c>
      <c r="R278" s="29" t="str">
        <f>'Table001 (Page 1-6)'!S271</f>
        <v>Not Counted</v>
      </c>
      <c r="S278" s="31" t="str">
        <f>'Table001 (Page 1-6)'!T271</f>
        <v>N/A</v>
      </c>
      <c r="T278" s="29" t="str">
        <f>'Table001 (Page 1-6)'!U271</f>
        <v>N/A</v>
      </c>
      <c r="U278" s="29"/>
      <c r="V278" s="29"/>
      <c r="W278" s="29"/>
      <c r="X278" s="29"/>
      <c r="Y278" s="29"/>
      <c r="Z278" s="29"/>
      <c r="AA278" s="29"/>
      <c r="AB278" s="29"/>
      <c r="AC278" s="31"/>
      <c r="AD278" s="29"/>
      <c r="AE278" s="29"/>
      <c r="AF278" s="29"/>
      <c r="AG278" s="31"/>
      <c r="AH278" s="29"/>
      <c r="AI278" s="32">
        <f>('Table001 (Page 1-6)'!V271)*100</f>
        <v>1</v>
      </c>
      <c r="AJ278" s="35"/>
      <c r="AK278" s="35"/>
      <c r="AL278" s="35"/>
      <c r="AM278" s="35"/>
    </row>
    <row r="279" spans="2:39" x14ac:dyDescent="0.25">
      <c r="B279" s="37">
        <f>'Table001 (Page 1-6)'!A272</f>
        <v>4200.1000000000004</v>
      </c>
      <c r="C279" s="28" t="str">
        <f>'Table001 (Page 1-6)'!B272</f>
        <v>SE 31 ST</v>
      </c>
      <c r="D279" s="28" t="str">
        <f>'Table001 (Page 1-6)'!C272</f>
        <v>SW 7 AV</v>
      </c>
      <c r="E279" s="28" t="str">
        <f>'Table001 (Page 1-6)'!D272</f>
        <v>CR 475</v>
      </c>
      <c r="F279" s="29">
        <f>'Table001 (Page 1-6)'!E272</f>
        <v>4</v>
      </c>
      <c r="G279" s="29">
        <f>'Table001 (Page 1-6)'!K272</f>
        <v>4</v>
      </c>
      <c r="H279" s="30" t="str">
        <f>'Table001 (Page 1-6)'!R272</f>
        <v>E</v>
      </c>
      <c r="I279" s="28" t="str">
        <f>'Table001 (Page 1-6)'!F272</f>
        <v>ARTERIAL</v>
      </c>
      <c r="J279" s="29"/>
      <c r="K279" s="29"/>
      <c r="L279" s="29">
        <f>'Table001 (Page 1-6)'!I272</f>
        <v>35820</v>
      </c>
      <c r="M279" s="29"/>
      <c r="N279" s="29">
        <f>'Table001 (Page 1-6)'!J272</f>
        <v>1800</v>
      </c>
      <c r="O279" s="29">
        <f>'Table001 (Page 1-6)'!L272</f>
        <v>35820</v>
      </c>
      <c r="P279" s="29"/>
      <c r="Q279" s="29">
        <f>'Table001 (Page 1-6)'!M272</f>
        <v>1800</v>
      </c>
      <c r="R279" s="29" t="str">
        <f>'Table001 (Page 1-6)'!S272</f>
        <v>27,000</v>
      </c>
      <c r="S279" s="31" t="str">
        <f>'Table001 (Page 1-6)'!T272</f>
        <v>0.75</v>
      </c>
      <c r="T279" s="29" t="str">
        <f>'Table001 (Page 1-6)'!U272</f>
        <v>C</v>
      </c>
      <c r="U279" s="29"/>
      <c r="V279" s="29"/>
      <c r="W279" s="29"/>
      <c r="X279" s="29"/>
      <c r="Y279" s="29"/>
      <c r="Z279" s="29"/>
      <c r="AA279" s="29"/>
      <c r="AB279" s="29"/>
      <c r="AC279" s="31"/>
      <c r="AD279" s="29"/>
      <c r="AE279" s="29"/>
      <c r="AF279" s="29"/>
      <c r="AG279" s="31"/>
      <c r="AH279" s="29"/>
      <c r="AI279" s="32">
        <f>('Table001 (Page 1-6)'!V272)*100</f>
        <v>4.18</v>
      </c>
      <c r="AJ279" s="35"/>
      <c r="AK279" s="35"/>
      <c r="AL279" s="35"/>
      <c r="AM279" s="35"/>
    </row>
    <row r="280" spans="2:39" x14ac:dyDescent="0.25">
      <c r="B280" s="37">
        <f>'Table001 (Page 1-6)'!A273</f>
        <v>4200.2</v>
      </c>
      <c r="C280" s="28" t="str">
        <f>'Table001 (Page 1-6)'!B273</f>
        <v>SE 31 ST</v>
      </c>
      <c r="D280" s="28" t="str">
        <f>'Table001 (Page 1-6)'!C273</f>
        <v>CR 475</v>
      </c>
      <c r="E280" s="28" t="str">
        <f>'Table001 (Page 1-6)'!D273</f>
        <v>US 441</v>
      </c>
      <c r="F280" s="29">
        <f>'Table001 (Page 1-6)'!E273</f>
        <v>4</v>
      </c>
      <c r="G280" s="29">
        <f>'Table001 (Page 1-6)'!K273</f>
        <v>4</v>
      </c>
      <c r="H280" s="30" t="str">
        <f>'Table001 (Page 1-6)'!R273</f>
        <v>E</v>
      </c>
      <c r="I280" s="28" t="str">
        <f>'Table001 (Page 1-6)'!F273</f>
        <v>ARTERIAL</v>
      </c>
      <c r="J280" s="29"/>
      <c r="K280" s="29"/>
      <c r="L280" s="29">
        <f>'Table001 (Page 1-6)'!I273</f>
        <v>35820</v>
      </c>
      <c r="M280" s="29"/>
      <c r="N280" s="29">
        <f>'Table001 (Page 1-6)'!J273</f>
        <v>1800</v>
      </c>
      <c r="O280" s="29">
        <f>'Table001 (Page 1-6)'!L273</f>
        <v>35820</v>
      </c>
      <c r="P280" s="29"/>
      <c r="Q280" s="29">
        <f>'Table001 (Page 1-6)'!M273</f>
        <v>1800</v>
      </c>
      <c r="R280" s="29" t="str">
        <f>'Table001 (Page 1-6)'!S273</f>
        <v>27,000</v>
      </c>
      <c r="S280" s="31" t="str">
        <f>'Table001 (Page 1-6)'!T273</f>
        <v>0.75</v>
      </c>
      <c r="T280" s="29" t="str">
        <f>'Table001 (Page 1-6)'!U273</f>
        <v>C</v>
      </c>
      <c r="U280" s="29"/>
      <c r="V280" s="29"/>
      <c r="W280" s="29"/>
      <c r="X280" s="29"/>
      <c r="Y280" s="29"/>
      <c r="Z280" s="29"/>
      <c r="AA280" s="29"/>
      <c r="AB280" s="29"/>
      <c r="AC280" s="31"/>
      <c r="AD280" s="29"/>
      <c r="AE280" s="29"/>
      <c r="AF280" s="29"/>
      <c r="AG280" s="31"/>
      <c r="AH280" s="29"/>
      <c r="AI280" s="32">
        <f>('Table001 (Page 1-6)'!V273)*100</f>
        <v>4.18</v>
      </c>
      <c r="AJ280" s="35"/>
      <c r="AK280" s="35"/>
      <c r="AL280" s="35"/>
      <c r="AM280" s="35"/>
    </row>
    <row r="281" spans="2:39" x14ac:dyDescent="0.25">
      <c r="B281" s="37">
        <f>'Table001 (Page 1-6)'!A274</f>
        <v>4210</v>
      </c>
      <c r="C281" s="28" t="str">
        <f>'Table001 (Page 1-6)'!B274</f>
        <v>SE 31 ST</v>
      </c>
      <c r="D281" s="28" t="str">
        <f>'Table001 (Page 1-6)'!C274</f>
        <v>US 441</v>
      </c>
      <c r="E281" s="28" t="str">
        <f>'Table001 (Page 1-6)'!D274</f>
        <v>CR 464A</v>
      </c>
      <c r="F281" s="29">
        <f>'Table001 (Page 1-6)'!E274</f>
        <v>4</v>
      </c>
      <c r="G281" s="29">
        <f>'Table001 (Page 1-6)'!K274</f>
        <v>4</v>
      </c>
      <c r="H281" s="30" t="str">
        <f>'Table001 (Page 1-6)'!R274</f>
        <v>E</v>
      </c>
      <c r="I281" s="28" t="str">
        <f>'Table001 (Page 1-6)'!F274</f>
        <v>ARTERIAL</v>
      </c>
      <c r="J281" s="29"/>
      <c r="K281" s="29"/>
      <c r="L281" s="29">
        <f>'Table001 (Page 1-6)'!I274</f>
        <v>35820</v>
      </c>
      <c r="M281" s="29"/>
      <c r="N281" s="29">
        <f>'Table001 (Page 1-6)'!J274</f>
        <v>1800</v>
      </c>
      <c r="O281" s="29">
        <f>'Table001 (Page 1-6)'!L274</f>
        <v>35820</v>
      </c>
      <c r="P281" s="29"/>
      <c r="Q281" s="29">
        <f>'Table001 (Page 1-6)'!M274</f>
        <v>1800</v>
      </c>
      <c r="R281" s="29" t="str">
        <f>'Table001 (Page 1-6)'!S274</f>
        <v>18,100</v>
      </c>
      <c r="S281" s="31" t="str">
        <f>'Table001 (Page 1-6)'!T274</f>
        <v>0.51</v>
      </c>
      <c r="T281" s="29" t="str">
        <f>'Table001 (Page 1-6)'!U274</f>
        <v>C</v>
      </c>
      <c r="U281" s="29"/>
      <c r="V281" s="29"/>
      <c r="W281" s="29"/>
      <c r="X281" s="29"/>
      <c r="Y281" s="29"/>
      <c r="Z281" s="29"/>
      <c r="AA281" s="29"/>
      <c r="AB281" s="29"/>
      <c r="AC281" s="31"/>
      <c r="AD281" s="29"/>
      <c r="AE281" s="29"/>
      <c r="AF281" s="29"/>
      <c r="AG281" s="31"/>
      <c r="AH281" s="29"/>
      <c r="AI281" s="32">
        <f>('Table001 (Page 1-6)'!V274)*100</f>
        <v>1</v>
      </c>
      <c r="AJ281" s="35"/>
      <c r="AK281" s="35"/>
      <c r="AL281" s="35"/>
      <c r="AM281" s="35"/>
    </row>
    <row r="282" spans="2:39" x14ac:dyDescent="0.25">
      <c r="B282" s="37">
        <f>'Table001 (Page 1-6)'!A275</f>
        <v>4220</v>
      </c>
      <c r="C282" s="28" t="str">
        <f>'Table001 (Page 1-6)'!B275</f>
        <v>SE 31 ST</v>
      </c>
      <c r="D282" s="28" t="str">
        <f>'Table001 (Page 1-6)'!C275</f>
        <v>CR 464A</v>
      </c>
      <c r="E282" s="28" t="str">
        <f>'Table001 (Page 1-6)'!D275</f>
        <v>SE 19 AV</v>
      </c>
      <c r="F282" s="29">
        <f>'Table001 (Page 1-6)'!E275</f>
        <v>4</v>
      </c>
      <c r="G282" s="29">
        <f>'Table001 (Page 1-6)'!K275</f>
        <v>4</v>
      </c>
      <c r="H282" s="30" t="str">
        <f>'Table001 (Page 1-6)'!R275</f>
        <v>E</v>
      </c>
      <c r="I282" s="28" t="str">
        <f>'Table001 (Page 1-6)'!F275</f>
        <v>ARTERIAL</v>
      </c>
      <c r="J282" s="29"/>
      <c r="K282" s="29"/>
      <c r="L282" s="29">
        <f>'Table001 (Page 1-6)'!I275</f>
        <v>35820</v>
      </c>
      <c r="M282" s="29"/>
      <c r="N282" s="29">
        <f>'Table001 (Page 1-6)'!J275</f>
        <v>1800</v>
      </c>
      <c r="O282" s="29">
        <f>'Table001 (Page 1-6)'!L275</f>
        <v>35820</v>
      </c>
      <c r="P282" s="29"/>
      <c r="Q282" s="29">
        <f>'Table001 (Page 1-6)'!M275</f>
        <v>1800</v>
      </c>
      <c r="R282" s="29" t="str">
        <f>'Table001 (Page 1-6)'!S275</f>
        <v>18,100</v>
      </c>
      <c r="S282" s="31" t="str">
        <f>'Table001 (Page 1-6)'!T275</f>
        <v>0.51</v>
      </c>
      <c r="T282" s="29" t="str">
        <f>'Table001 (Page 1-6)'!U275</f>
        <v>C</v>
      </c>
      <c r="U282" s="29"/>
      <c r="V282" s="29"/>
      <c r="W282" s="29"/>
      <c r="X282" s="29"/>
      <c r="Y282" s="29"/>
      <c r="Z282" s="29"/>
      <c r="AA282" s="29"/>
      <c r="AB282" s="29"/>
      <c r="AC282" s="31"/>
      <c r="AD282" s="29"/>
      <c r="AE282" s="29"/>
      <c r="AF282" s="29"/>
      <c r="AG282" s="31"/>
      <c r="AH282" s="29"/>
      <c r="AI282" s="32">
        <f>('Table001 (Page 1-6)'!V275)*100</f>
        <v>1</v>
      </c>
      <c r="AJ282" s="35"/>
      <c r="AK282" s="35"/>
      <c r="AL282" s="35"/>
      <c r="AM282" s="35"/>
    </row>
    <row r="283" spans="2:39" x14ac:dyDescent="0.25">
      <c r="B283" s="37">
        <f>'Table001 (Page 1-6)'!A276</f>
        <v>4230.1000000000004</v>
      </c>
      <c r="C283" s="28" t="str">
        <f>'Table001 (Page 1-6)'!B276</f>
        <v>SE 31 ST</v>
      </c>
      <c r="D283" s="28" t="str">
        <f>'Table001 (Page 1-6)'!C276</f>
        <v>SE 19 AV</v>
      </c>
      <c r="E283" s="28" t="str">
        <f>'Table001 (Page 1-6)'!D276</f>
        <v>SE 36 AV</v>
      </c>
      <c r="F283" s="29">
        <f>'Table001 (Page 1-6)'!E276</f>
        <v>4</v>
      </c>
      <c r="G283" s="29">
        <f>'Table001 (Page 1-6)'!K276</f>
        <v>4</v>
      </c>
      <c r="H283" s="30" t="str">
        <f>'Table001 (Page 1-6)'!R276</f>
        <v>E</v>
      </c>
      <c r="I283" s="28" t="str">
        <f>'Table001 (Page 1-6)'!F276</f>
        <v>ARTERIAL</v>
      </c>
      <c r="J283" s="29"/>
      <c r="K283" s="29"/>
      <c r="L283" s="29">
        <f>'Table001 (Page 1-6)'!I276</f>
        <v>35820</v>
      </c>
      <c r="M283" s="29"/>
      <c r="N283" s="29">
        <f>'Table001 (Page 1-6)'!J276</f>
        <v>1800</v>
      </c>
      <c r="O283" s="29">
        <f>'Table001 (Page 1-6)'!L276</f>
        <v>35820</v>
      </c>
      <c r="P283" s="29"/>
      <c r="Q283" s="29">
        <f>'Table001 (Page 1-6)'!M276</f>
        <v>1800</v>
      </c>
      <c r="R283" s="29" t="str">
        <f>'Table001 (Page 1-6)'!S276</f>
        <v>13,000</v>
      </c>
      <c r="S283" s="31" t="str">
        <f>'Table001 (Page 1-6)'!T276</f>
        <v>0.36</v>
      </c>
      <c r="T283" s="29" t="str">
        <f>'Table001 (Page 1-6)'!U276</f>
        <v>C</v>
      </c>
      <c r="U283" s="29"/>
      <c r="V283" s="29"/>
      <c r="W283" s="29"/>
      <c r="X283" s="29"/>
      <c r="Y283" s="29"/>
      <c r="Z283" s="29"/>
      <c r="AA283" s="29"/>
      <c r="AB283" s="29"/>
      <c r="AC283" s="31"/>
      <c r="AD283" s="29"/>
      <c r="AE283" s="29"/>
      <c r="AF283" s="29"/>
      <c r="AG283" s="31"/>
      <c r="AH283" s="29"/>
      <c r="AI283" s="32">
        <f>('Table001 (Page 1-6)'!V276)*100</f>
        <v>1</v>
      </c>
      <c r="AJ283" s="35"/>
      <c r="AK283" s="35"/>
      <c r="AL283" s="35"/>
      <c r="AM283" s="35"/>
    </row>
    <row r="284" spans="2:39" x14ac:dyDescent="0.25">
      <c r="B284" s="37">
        <f>'Table001 (Page 1-6)'!A277</f>
        <v>4240</v>
      </c>
      <c r="C284" s="28" t="str">
        <f>'Table001 (Page 1-6)'!B277</f>
        <v>SE 31 ST</v>
      </c>
      <c r="D284" s="28" t="str">
        <f>'Table001 (Page 1-6)'!C277</f>
        <v>SE 36 AV</v>
      </c>
      <c r="E284" s="28" t="str">
        <f>'Table001 (Page 1-6)'!D277</f>
        <v>SR 464</v>
      </c>
      <c r="F284" s="29">
        <f>'Table001 (Page 1-6)'!E277</f>
        <v>4</v>
      </c>
      <c r="G284" s="29">
        <f>'Table001 (Page 1-6)'!K277</f>
        <v>4</v>
      </c>
      <c r="H284" s="30" t="str">
        <f>'Table001 (Page 1-6)'!R277</f>
        <v>E</v>
      </c>
      <c r="I284" s="28" t="str">
        <f>'Table001 (Page 1-6)'!F277</f>
        <v>ARTERIAL</v>
      </c>
      <c r="J284" s="29"/>
      <c r="K284" s="29"/>
      <c r="L284" s="29">
        <f>'Table001 (Page 1-6)'!I277</f>
        <v>37611</v>
      </c>
      <c r="M284" s="29"/>
      <c r="N284" s="29">
        <f>'Table001 (Page 1-6)'!J277</f>
        <v>1890</v>
      </c>
      <c r="O284" s="29">
        <f>'Table001 (Page 1-6)'!L277</f>
        <v>37611</v>
      </c>
      <c r="P284" s="29"/>
      <c r="Q284" s="29">
        <f>'Table001 (Page 1-6)'!M277</f>
        <v>1890</v>
      </c>
      <c r="R284" s="29" t="str">
        <f>'Table001 (Page 1-6)'!S277</f>
        <v>7,900</v>
      </c>
      <c r="S284" s="31" t="str">
        <f>'Table001 (Page 1-6)'!T277</f>
        <v>0.21</v>
      </c>
      <c r="T284" s="29" t="str">
        <f>'Table001 (Page 1-6)'!U277</f>
        <v>C</v>
      </c>
      <c r="U284" s="29"/>
      <c r="V284" s="29"/>
      <c r="W284" s="29"/>
      <c r="X284" s="29"/>
      <c r="Y284" s="29"/>
      <c r="Z284" s="29"/>
      <c r="AA284" s="29"/>
      <c r="AB284" s="29"/>
      <c r="AC284" s="31"/>
      <c r="AD284" s="29"/>
      <c r="AE284" s="29"/>
      <c r="AF284" s="29"/>
      <c r="AG284" s="31"/>
      <c r="AH284" s="29"/>
      <c r="AI284" s="32">
        <f>('Table001 (Page 1-6)'!V277)*100</f>
        <v>1</v>
      </c>
      <c r="AJ284" s="35"/>
      <c r="AK284" s="35"/>
      <c r="AL284" s="35"/>
      <c r="AM284" s="35"/>
    </row>
    <row r="285" spans="2:39" x14ac:dyDescent="0.25">
      <c r="B285" s="37">
        <f>'Table001 (Page 1-6)'!A278</f>
        <v>4250</v>
      </c>
      <c r="C285" s="28" t="str">
        <f>'Table001 (Page 1-6)'!B278</f>
        <v>CR 467</v>
      </c>
      <c r="D285" s="28" t="str">
        <f>'Table001 (Page 1-6)'!C278</f>
        <v>CR 42</v>
      </c>
      <c r="E285" s="28" t="str">
        <f>'Table001 (Page 1-6)'!D278</f>
        <v>CR 475A</v>
      </c>
      <c r="F285" s="29">
        <f>'Table001 (Page 1-6)'!E278</f>
        <v>2</v>
      </c>
      <c r="G285" s="29">
        <f>'Table001 (Page 1-6)'!K278</f>
        <v>2</v>
      </c>
      <c r="H285" s="30" t="str">
        <f>'Table001 (Page 1-6)'!R278</f>
        <v>E</v>
      </c>
      <c r="I285" s="28" t="str">
        <f>'Table001 (Page 1-6)'!F278</f>
        <v>COLLECTOR</v>
      </c>
      <c r="J285" s="29"/>
      <c r="K285" s="29"/>
      <c r="L285" s="29">
        <f>'Table001 (Page 1-6)'!I278</f>
        <v>29340</v>
      </c>
      <c r="M285" s="29"/>
      <c r="N285" s="29">
        <f>'Table001 (Page 1-6)'!J278</f>
        <v>1449</v>
      </c>
      <c r="O285" s="29">
        <f>'Table001 (Page 1-6)'!L278</f>
        <v>29340</v>
      </c>
      <c r="P285" s="29"/>
      <c r="Q285" s="29">
        <f>'Table001 (Page 1-6)'!M278</f>
        <v>1449</v>
      </c>
      <c r="R285" s="29" t="str">
        <f>'Table001 (Page 1-6)'!S278</f>
        <v>5,200</v>
      </c>
      <c r="S285" s="31" t="str">
        <f>'Table001 (Page 1-6)'!T278</f>
        <v>0.18</v>
      </c>
      <c r="T285" s="29" t="str">
        <f>'Table001 (Page 1-6)'!U278</f>
        <v>B</v>
      </c>
      <c r="U285" s="29"/>
      <c r="V285" s="29"/>
      <c r="W285" s="29"/>
      <c r="X285" s="29"/>
      <c r="Y285" s="29"/>
      <c r="Z285" s="29"/>
      <c r="AA285" s="29"/>
      <c r="AB285" s="29"/>
      <c r="AC285" s="31"/>
      <c r="AD285" s="29"/>
      <c r="AE285" s="29"/>
      <c r="AF285" s="29"/>
      <c r="AG285" s="31"/>
      <c r="AH285" s="29"/>
      <c r="AI285" s="32">
        <f>('Table001 (Page 1-6)'!V278)*100</f>
        <v>5.2200000000000006</v>
      </c>
      <c r="AJ285" s="35"/>
      <c r="AK285" s="35"/>
      <c r="AL285" s="35"/>
      <c r="AM285" s="35"/>
    </row>
    <row r="286" spans="2:39" x14ac:dyDescent="0.25">
      <c r="B286" s="37">
        <f>'Table001 (Page 1-6)'!A279</f>
        <v>4270</v>
      </c>
      <c r="C286" s="28" t="str">
        <f>'Table001 (Page 1-6)'!B279</f>
        <v>CR 467</v>
      </c>
      <c r="D286" s="28" t="str">
        <f>'Table001 (Page 1-6)'!C279</f>
        <v>CR 475A</v>
      </c>
      <c r="E286" s="28" t="str">
        <f>'Table001 (Page 1-6)'!D279</f>
        <v>CR 484</v>
      </c>
      <c r="F286" s="29">
        <f>'Table001 (Page 1-6)'!E279</f>
        <v>2</v>
      </c>
      <c r="G286" s="29">
        <f>'Table001 (Page 1-6)'!K279</f>
        <v>2</v>
      </c>
      <c r="H286" s="30" t="str">
        <f>'Table001 (Page 1-6)'!R279</f>
        <v>E</v>
      </c>
      <c r="I286" s="28" t="str">
        <f>'Table001 (Page 1-6)'!F279</f>
        <v>COLLECTOR</v>
      </c>
      <c r="J286" s="29"/>
      <c r="K286" s="29"/>
      <c r="L286" s="29">
        <f>'Table001 (Page 1-6)'!I279</f>
        <v>12744</v>
      </c>
      <c r="M286" s="29"/>
      <c r="N286" s="29">
        <f>'Table001 (Page 1-6)'!J279</f>
        <v>634</v>
      </c>
      <c r="O286" s="29">
        <f>'Table001 (Page 1-6)'!L279</f>
        <v>12744</v>
      </c>
      <c r="P286" s="29"/>
      <c r="Q286" s="29">
        <f>'Table001 (Page 1-6)'!M279</f>
        <v>634</v>
      </c>
      <c r="R286" s="29" t="str">
        <f>'Table001 (Page 1-6)'!S279</f>
        <v>5,200</v>
      </c>
      <c r="S286" s="31" t="str">
        <f>'Table001 (Page 1-6)'!T279</f>
        <v>0.41</v>
      </c>
      <c r="T286" s="29" t="str">
        <f>'Table001 (Page 1-6)'!U279</f>
        <v>C</v>
      </c>
      <c r="U286" s="29"/>
      <c r="V286" s="29"/>
      <c r="W286" s="29"/>
      <c r="X286" s="29"/>
      <c r="Y286" s="29"/>
      <c r="Z286" s="29"/>
      <c r="AA286" s="29"/>
      <c r="AB286" s="29"/>
      <c r="AC286" s="31"/>
      <c r="AD286" s="29"/>
      <c r="AE286" s="29"/>
      <c r="AF286" s="29"/>
      <c r="AG286" s="31"/>
      <c r="AH286" s="29"/>
      <c r="AI286" s="32">
        <f>('Table001 (Page 1-6)'!V279)*100</f>
        <v>5.2200000000000006</v>
      </c>
      <c r="AJ286" s="35"/>
      <c r="AK286" s="35"/>
      <c r="AL286" s="35"/>
      <c r="AM286" s="35"/>
    </row>
    <row r="287" spans="2:39" x14ac:dyDescent="0.25">
      <c r="B287" s="37">
        <f>'Table001 (Page 1-6)'!A280</f>
        <v>4280</v>
      </c>
      <c r="C287" s="28" t="str">
        <f>'Table001 (Page 1-6)'!B280</f>
        <v>CR 467</v>
      </c>
      <c r="D287" s="28" t="str">
        <f>'Table001 (Page 1-6)'!C280</f>
        <v>CR 484</v>
      </c>
      <c r="E287" s="28" t="str">
        <f>'Table001 (Page 1-6)'!D280</f>
        <v>SE 95 ST</v>
      </c>
      <c r="F287" s="29">
        <f>'Table001 (Page 1-6)'!E280</f>
        <v>2</v>
      </c>
      <c r="G287" s="29">
        <f>'Table001 (Page 1-6)'!K280</f>
        <v>2</v>
      </c>
      <c r="H287" s="30" t="str">
        <f>'Table001 (Page 1-6)'!R280</f>
        <v>E</v>
      </c>
      <c r="I287" s="28" t="str">
        <f>'Table001 (Page 1-6)'!F280</f>
        <v>COLLECTOR</v>
      </c>
      <c r="J287" s="29"/>
      <c r="K287" s="29"/>
      <c r="L287" s="29">
        <f>'Table001 (Page 1-6)'!I280</f>
        <v>12744</v>
      </c>
      <c r="M287" s="29"/>
      <c r="N287" s="29">
        <f>'Table001 (Page 1-6)'!J280</f>
        <v>634</v>
      </c>
      <c r="O287" s="29">
        <f>'Table001 (Page 1-6)'!L280</f>
        <v>12744</v>
      </c>
      <c r="P287" s="29"/>
      <c r="Q287" s="29">
        <f>'Table001 (Page 1-6)'!M280</f>
        <v>634</v>
      </c>
      <c r="R287" s="29" t="str">
        <f>'Table001 (Page 1-6)'!S280</f>
        <v>6,000</v>
      </c>
      <c r="S287" s="31" t="str">
        <f>'Table001 (Page 1-6)'!T280</f>
        <v>0.47</v>
      </c>
      <c r="T287" s="29" t="str">
        <f>'Table001 (Page 1-6)'!U280</f>
        <v>C</v>
      </c>
      <c r="U287" s="29"/>
      <c r="V287" s="29"/>
      <c r="W287" s="29"/>
      <c r="X287" s="29"/>
      <c r="Y287" s="29"/>
      <c r="Z287" s="29"/>
      <c r="AA287" s="29"/>
      <c r="AB287" s="29"/>
      <c r="AC287" s="31"/>
      <c r="AD287" s="29"/>
      <c r="AE287" s="29"/>
      <c r="AF287" s="29"/>
      <c r="AG287" s="31"/>
      <c r="AH287" s="29"/>
      <c r="AI287" s="32">
        <f>('Table001 (Page 1-6)'!V280)*100</f>
        <v>5.8000000000000007</v>
      </c>
      <c r="AJ287" s="35"/>
      <c r="AK287" s="35"/>
      <c r="AL287" s="35"/>
      <c r="AM287" s="35"/>
    </row>
    <row r="288" spans="2:39" x14ac:dyDescent="0.25">
      <c r="B288" s="37">
        <f>'Table001 (Page 1-6)'!A281</f>
        <v>4290</v>
      </c>
      <c r="C288" s="28" t="str">
        <f>'Table001 (Page 1-6)'!B281</f>
        <v>SE 36 AV</v>
      </c>
      <c r="D288" s="28" t="str">
        <f>'Table001 (Page 1-6)'!C281</f>
        <v>SE 38 ST</v>
      </c>
      <c r="E288" s="28" t="str">
        <f>'Table001 (Page 1-6)'!D281</f>
        <v>SE 31 ST</v>
      </c>
      <c r="F288" s="29">
        <f>'Table001 (Page 1-6)'!E281</f>
        <v>2</v>
      </c>
      <c r="G288" s="29">
        <f>'Table001 (Page 1-6)'!K281</f>
        <v>2</v>
      </c>
      <c r="H288" s="30" t="str">
        <f>'Table001 (Page 1-6)'!R281</f>
        <v>E</v>
      </c>
      <c r="I288" s="28" t="str">
        <f>'Table001 (Page 1-6)'!F281</f>
        <v>COLLECTOR</v>
      </c>
      <c r="J288" s="29"/>
      <c r="K288" s="29"/>
      <c r="L288" s="29">
        <f>'Table001 (Page 1-6)'!I281</f>
        <v>11232</v>
      </c>
      <c r="M288" s="29"/>
      <c r="N288" s="29">
        <f>'Table001 (Page 1-6)'!J281</f>
        <v>576</v>
      </c>
      <c r="O288" s="29">
        <f>'Table001 (Page 1-6)'!L281</f>
        <v>11232</v>
      </c>
      <c r="P288" s="29"/>
      <c r="Q288" s="29">
        <f>'Table001 (Page 1-6)'!M281</f>
        <v>576</v>
      </c>
      <c r="R288" s="29" t="str">
        <f>'Table001 (Page 1-6)'!S281</f>
        <v>6,100</v>
      </c>
      <c r="S288" s="31" t="str">
        <f>'Table001 (Page 1-6)'!T281</f>
        <v>0.54</v>
      </c>
      <c r="T288" s="29" t="str">
        <f>'Table001 (Page 1-6)'!U281</f>
        <v>D</v>
      </c>
      <c r="U288" s="29"/>
      <c r="V288" s="29"/>
      <c r="W288" s="29"/>
      <c r="X288" s="29"/>
      <c r="Y288" s="29"/>
      <c r="Z288" s="29"/>
      <c r="AA288" s="29"/>
      <c r="AB288" s="29"/>
      <c r="AC288" s="31"/>
      <c r="AD288" s="29"/>
      <c r="AE288" s="29"/>
      <c r="AF288" s="29"/>
      <c r="AG288" s="31"/>
      <c r="AH288" s="29"/>
      <c r="AI288" s="32">
        <f>('Table001 (Page 1-6)'!V281)*100</f>
        <v>1</v>
      </c>
      <c r="AJ288" s="35"/>
      <c r="AK288" s="35"/>
      <c r="AL288" s="35"/>
      <c r="AM288" s="35"/>
    </row>
    <row r="289" spans="2:39" x14ac:dyDescent="0.25">
      <c r="B289" s="37">
        <f>'Table001 (Page 1-6)'!A282</f>
        <v>4300</v>
      </c>
      <c r="C289" s="28" t="str">
        <f>'Table001 (Page 1-6)'!B282</f>
        <v>SE 36 AV</v>
      </c>
      <c r="D289" s="28" t="str">
        <f>'Table001 (Page 1-6)'!C282</f>
        <v>SE 31 ST</v>
      </c>
      <c r="E289" s="28" t="str">
        <f>'Table001 (Page 1-6)'!D282</f>
        <v>SR 464</v>
      </c>
      <c r="F289" s="29">
        <f>'Table001 (Page 1-6)'!E282</f>
        <v>4</v>
      </c>
      <c r="G289" s="29">
        <f>'Table001 (Page 1-6)'!K282</f>
        <v>4</v>
      </c>
      <c r="H289" s="30" t="str">
        <f>'Table001 (Page 1-6)'!R282</f>
        <v>E</v>
      </c>
      <c r="I289" s="28" t="str">
        <f>'Table001 (Page 1-6)'!F282</f>
        <v>COLLECTOR</v>
      </c>
      <c r="J289" s="29"/>
      <c r="K289" s="29"/>
      <c r="L289" s="29">
        <f>'Table001 (Page 1-6)'!I282</f>
        <v>31941</v>
      </c>
      <c r="M289" s="29"/>
      <c r="N289" s="29">
        <f>'Table001 (Page 1-6)'!J282</f>
        <v>1607</v>
      </c>
      <c r="O289" s="29">
        <f>'Table001 (Page 1-6)'!L282</f>
        <v>31941</v>
      </c>
      <c r="P289" s="29"/>
      <c r="Q289" s="29">
        <f>'Table001 (Page 1-6)'!M282</f>
        <v>1607</v>
      </c>
      <c r="R289" s="29" t="str">
        <f>'Table001 (Page 1-6)'!S282</f>
        <v>7,000</v>
      </c>
      <c r="S289" s="31" t="str">
        <f>'Table001 (Page 1-6)'!T282</f>
        <v>0.22</v>
      </c>
      <c r="T289" s="29" t="str">
        <f>'Table001 (Page 1-6)'!U282</f>
        <v>C</v>
      </c>
      <c r="U289" s="29"/>
      <c r="V289" s="29"/>
      <c r="W289" s="29"/>
      <c r="X289" s="29"/>
      <c r="Y289" s="29"/>
      <c r="Z289" s="29"/>
      <c r="AA289" s="29"/>
      <c r="AB289" s="29"/>
      <c r="AC289" s="31"/>
      <c r="AD289" s="29"/>
      <c r="AE289" s="29"/>
      <c r="AF289" s="29"/>
      <c r="AG289" s="31"/>
      <c r="AH289" s="29"/>
      <c r="AI289" s="32">
        <f>('Table001 (Page 1-6)'!V282)*100</f>
        <v>1</v>
      </c>
      <c r="AJ289" s="35"/>
      <c r="AK289" s="35"/>
      <c r="AL289" s="35"/>
      <c r="AM289" s="35"/>
    </row>
    <row r="290" spans="2:39" x14ac:dyDescent="0.25">
      <c r="B290" s="37">
        <f>'Table001 (Page 1-6)'!A283</f>
        <v>4310</v>
      </c>
      <c r="C290" s="28" t="str">
        <f>'Table001 (Page 1-6)'!B283</f>
        <v>SE 36 AV</v>
      </c>
      <c r="D290" s="28" t="str">
        <f>'Table001 (Page 1-6)'!C283</f>
        <v>SR 464</v>
      </c>
      <c r="E290" s="28" t="str">
        <f>'Table001 (Page 1-6)'!D283</f>
        <v>SE 24 ST</v>
      </c>
      <c r="F290" s="29">
        <f>'Table001 (Page 1-6)'!E283</f>
        <v>4</v>
      </c>
      <c r="G290" s="29">
        <f>'Table001 (Page 1-6)'!K283</f>
        <v>4</v>
      </c>
      <c r="H290" s="30" t="str">
        <f>'Table001 (Page 1-6)'!R283</f>
        <v>E</v>
      </c>
      <c r="I290" s="28" t="str">
        <f>'Table001 (Page 1-6)'!F283</f>
        <v>ARTERIAL</v>
      </c>
      <c r="J290" s="29"/>
      <c r="K290" s="29"/>
      <c r="L290" s="29">
        <f>'Table001 (Page 1-6)'!I283</f>
        <v>35820</v>
      </c>
      <c r="M290" s="29"/>
      <c r="N290" s="29">
        <f>'Table001 (Page 1-6)'!J283</f>
        <v>1800</v>
      </c>
      <c r="O290" s="29">
        <f>'Table001 (Page 1-6)'!L283</f>
        <v>35820</v>
      </c>
      <c r="P290" s="29"/>
      <c r="Q290" s="29">
        <f>'Table001 (Page 1-6)'!M283</f>
        <v>1800</v>
      </c>
      <c r="R290" s="29" t="str">
        <f>'Table001 (Page 1-6)'!S283</f>
        <v>18,700</v>
      </c>
      <c r="S290" s="31" t="str">
        <f>'Table001 (Page 1-6)'!T283</f>
        <v>0.52</v>
      </c>
      <c r="T290" s="29" t="str">
        <f>'Table001 (Page 1-6)'!U283</f>
        <v>C</v>
      </c>
      <c r="U290" s="29"/>
      <c r="V290" s="29"/>
      <c r="W290" s="29"/>
      <c r="X290" s="29"/>
      <c r="Y290" s="29"/>
      <c r="Z290" s="29"/>
      <c r="AA290" s="29"/>
      <c r="AB290" s="29"/>
      <c r="AC290" s="31"/>
      <c r="AD290" s="29"/>
      <c r="AE290" s="29"/>
      <c r="AF290" s="29"/>
      <c r="AG290" s="31"/>
      <c r="AH290" s="29"/>
      <c r="AI290" s="32">
        <f>('Table001 (Page 1-6)'!V283)*100</f>
        <v>2.6100000000000003</v>
      </c>
      <c r="AJ290" s="35"/>
      <c r="AK290" s="35"/>
      <c r="AL290" s="35"/>
      <c r="AM290" s="35"/>
    </row>
    <row r="291" spans="2:39" x14ac:dyDescent="0.25">
      <c r="B291" s="37">
        <f>'Table001 (Page 1-6)'!A284</f>
        <v>4320</v>
      </c>
      <c r="C291" s="28" t="str">
        <f>'Table001 (Page 1-6)'!B284</f>
        <v>SE 36 AV</v>
      </c>
      <c r="D291" s="28" t="str">
        <f>'Table001 (Page 1-6)'!C284</f>
        <v>SE 24 ST</v>
      </c>
      <c r="E291" s="28" t="str">
        <f>'Table001 (Page 1-6)'!D284</f>
        <v>SE 17 ST</v>
      </c>
      <c r="F291" s="29">
        <f>'Table001 (Page 1-6)'!E284</f>
        <v>4</v>
      </c>
      <c r="G291" s="29">
        <f>'Table001 (Page 1-6)'!K284</f>
        <v>4</v>
      </c>
      <c r="H291" s="30" t="str">
        <f>'Table001 (Page 1-6)'!R284</f>
        <v>E</v>
      </c>
      <c r="I291" s="28" t="str">
        <f>'Table001 (Page 1-6)'!F284</f>
        <v>ARTERIAL</v>
      </c>
      <c r="J291" s="29"/>
      <c r="K291" s="29"/>
      <c r="L291" s="29">
        <f>'Table001 (Page 1-6)'!I284</f>
        <v>35820</v>
      </c>
      <c r="M291" s="29"/>
      <c r="N291" s="29">
        <f>'Table001 (Page 1-6)'!J284</f>
        <v>1800</v>
      </c>
      <c r="O291" s="29">
        <f>'Table001 (Page 1-6)'!L284</f>
        <v>35820</v>
      </c>
      <c r="P291" s="29"/>
      <c r="Q291" s="29">
        <f>'Table001 (Page 1-6)'!M284</f>
        <v>1800</v>
      </c>
      <c r="R291" s="29" t="str">
        <f>'Table001 (Page 1-6)'!S284</f>
        <v>15,600</v>
      </c>
      <c r="S291" s="31" t="str">
        <f>'Table001 (Page 1-6)'!T284</f>
        <v>0.44</v>
      </c>
      <c r="T291" s="29" t="str">
        <f>'Table001 (Page 1-6)'!U284</f>
        <v>C</v>
      </c>
      <c r="U291" s="29"/>
      <c r="V291" s="29"/>
      <c r="W291" s="29"/>
      <c r="X291" s="29"/>
      <c r="Y291" s="29"/>
      <c r="Z291" s="29"/>
      <c r="AA291" s="29"/>
      <c r="AB291" s="29"/>
      <c r="AC291" s="31"/>
      <c r="AD291" s="29"/>
      <c r="AE291" s="29"/>
      <c r="AF291" s="29"/>
      <c r="AG291" s="31"/>
      <c r="AH291" s="29"/>
      <c r="AI291" s="32">
        <f>('Table001 (Page 1-6)'!V284)*100</f>
        <v>1</v>
      </c>
      <c r="AJ291" s="35"/>
      <c r="AK291" s="35"/>
      <c r="AL291" s="35"/>
      <c r="AM291" s="35"/>
    </row>
    <row r="292" spans="2:39" x14ac:dyDescent="0.25">
      <c r="B292" s="37">
        <f>'Table001 (Page 1-6)'!A285</f>
        <v>4330</v>
      </c>
      <c r="C292" s="28" t="str">
        <f>'Table001 (Page 1-6)'!B285</f>
        <v>SE 36 AV</v>
      </c>
      <c r="D292" s="28" t="str">
        <f>'Table001 (Page 1-6)'!C285</f>
        <v>SE 17 ST</v>
      </c>
      <c r="E292" s="28" t="str">
        <f>'Table001 (Page 1-6)'!D285</f>
        <v>E FORT KING ST</v>
      </c>
      <c r="F292" s="29">
        <f>'Table001 (Page 1-6)'!E285</f>
        <v>4</v>
      </c>
      <c r="G292" s="29">
        <f>'Table001 (Page 1-6)'!K285</f>
        <v>4</v>
      </c>
      <c r="H292" s="30" t="str">
        <f>'Table001 (Page 1-6)'!R285</f>
        <v>E</v>
      </c>
      <c r="I292" s="28" t="str">
        <f>'Table001 (Page 1-6)'!F285</f>
        <v>ARTERIAL</v>
      </c>
      <c r="J292" s="29"/>
      <c r="K292" s="29"/>
      <c r="L292" s="29">
        <f>'Table001 (Page 1-6)'!I285</f>
        <v>35820</v>
      </c>
      <c r="M292" s="29"/>
      <c r="N292" s="29">
        <f>'Table001 (Page 1-6)'!J285</f>
        <v>1800</v>
      </c>
      <c r="O292" s="29">
        <f>'Table001 (Page 1-6)'!L285</f>
        <v>35820</v>
      </c>
      <c r="P292" s="29"/>
      <c r="Q292" s="29">
        <f>'Table001 (Page 1-6)'!M285</f>
        <v>1800</v>
      </c>
      <c r="R292" s="29" t="str">
        <f>'Table001 (Page 1-6)'!S285</f>
        <v>17,400</v>
      </c>
      <c r="S292" s="31" t="str">
        <f>'Table001 (Page 1-6)'!T285</f>
        <v>0.49</v>
      </c>
      <c r="T292" s="29" t="str">
        <f>'Table001 (Page 1-6)'!U285</f>
        <v>C</v>
      </c>
      <c r="U292" s="29"/>
      <c r="V292" s="29"/>
      <c r="W292" s="29"/>
      <c r="X292" s="29"/>
      <c r="Y292" s="29"/>
      <c r="Z292" s="29"/>
      <c r="AA292" s="29"/>
      <c r="AB292" s="29"/>
      <c r="AC292" s="31"/>
      <c r="AD292" s="29"/>
      <c r="AE292" s="29"/>
      <c r="AF292" s="29"/>
      <c r="AG292" s="31"/>
      <c r="AH292" s="29"/>
      <c r="AI292" s="32">
        <f>('Table001 (Page 1-6)'!V285)*100</f>
        <v>1</v>
      </c>
      <c r="AJ292" s="35"/>
      <c r="AK292" s="35"/>
      <c r="AL292" s="35"/>
      <c r="AM292" s="35"/>
    </row>
    <row r="293" spans="2:39" x14ac:dyDescent="0.25">
      <c r="B293" s="37">
        <f>'Table001 (Page 1-6)'!A286</f>
        <v>4340.2</v>
      </c>
      <c r="C293" s="28" t="str">
        <f>'Table001 (Page 1-6)'!B286</f>
        <v>NE 36 AV</v>
      </c>
      <c r="D293" s="28" t="str">
        <f>'Table001 (Page 1-6)'!C286</f>
        <v>E FORT KING ST</v>
      </c>
      <c r="E293" s="28" t="str">
        <f>'Table001 (Page 1-6)'!D286</f>
        <v>CR 314</v>
      </c>
      <c r="F293" s="29">
        <f>'Table001 (Page 1-6)'!E286</f>
        <v>4</v>
      </c>
      <c r="G293" s="29">
        <f>'Table001 (Page 1-6)'!K286</f>
        <v>4</v>
      </c>
      <c r="H293" s="30" t="str">
        <f>'Table001 (Page 1-6)'!R286</f>
        <v>E</v>
      </c>
      <c r="I293" s="28" t="str">
        <f>'Table001 (Page 1-6)'!F286</f>
        <v>ARTERIAL</v>
      </c>
      <c r="J293" s="29"/>
      <c r="K293" s="29"/>
      <c r="L293" s="29">
        <f>'Table001 (Page 1-6)'!I286</f>
        <v>35820</v>
      </c>
      <c r="M293" s="29"/>
      <c r="N293" s="29">
        <f>'Table001 (Page 1-6)'!J286</f>
        <v>1800</v>
      </c>
      <c r="O293" s="29">
        <f>'Table001 (Page 1-6)'!L286</f>
        <v>35820</v>
      </c>
      <c r="P293" s="29"/>
      <c r="Q293" s="29">
        <f>'Table001 (Page 1-6)'!M286</f>
        <v>1800</v>
      </c>
      <c r="R293" s="29" t="str">
        <f>'Table001 (Page 1-6)'!S286</f>
        <v>13,200</v>
      </c>
      <c r="S293" s="31" t="str">
        <f>'Table001 (Page 1-6)'!T286</f>
        <v>0.37</v>
      </c>
      <c r="T293" s="29" t="str">
        <f>'Table001 (Page 1-6)'!U286</f>
        <v>C</v>
      </c>
      <c r="U293" s="29"/>
      <c r="V293" s="29"/>
      <c r="W293" s="29"/>
      <c r="X293" s="29"/>
      <c r="Y293" s="29"/>
      <c r="Z293" s="29"/>
      <c r="AA293" s="29"/>
      <c r="AB293" s="29"/>
      <c r="AC293" s="31"/>
      <c r="AD293" s="29"/>
      <c r="AE293" s="29"/>
      <c r="AF293" s="29"/>
      <c r="AG293" s="31"/>
      <c r="AH293" s="29"/>
      <c r="AI293" s="32">
        <f>('Table001 (Page 1-6)'!V286)*100</f>
        <v>1</v>
      </c>
      <c r="AJ293" s="35"/>
      <c r="AK293" s="35"/>
      <c r="AL293" s="35"/>
      <c r="AM293" s="35"/>
    </row>
    <row r="294" spans="2:39" x14ac:dyDescent="0.25">
      <c r="B294" s="37">
        <f>'Table001 (Page 1-6)'!A287</f>
        <v>4350</v>
      </c>
      <c r="C294" s="28" t="str">
        <f>'Table001 (Page 1-6)'!B287</f>
        <v>NE 36 AV</v>
      </c>
      <c r="D294" s="28" t="str">
        <f>'Table001 (Page 1-6)'!C287</f>
        <v>CR 314</v>
      </c>
      <c r="E294" s="28" t="str">
        <f>'Table001 (Page 1-6)'!D287</f>
        <v>SR 40</v>
      </c>
      <c r="F294" s="29">
        <f>'Table001 (Page 1-6)'!E287</f>
        <v>4</v>
      </c>
      <c r="G294" s="29">
        <f>'Table001 (Page 1-6)'!K287</f>
        <v>4</v>
      </c>
      <c r="H294" s="30" t="str">
        <f>'Table001 (Page 1-6)'!R287</f>
        <v>E</v>
      </c>
      <c r="I294" s="28" t="str">
        <f>'Table001 (Page 1-6)'!F287</f>
        <v>ARTERIAL</v>
      </c>
      <c r="J294" s="29"/>
      <c r="K294" s="29"/>
      <c r="L294" s="29">
        <f>'Table001 (Page 1-6)'!I287</f>
        <v>35820</v>
      </c>
      <c r="M294" s="29"/>
      <c r="N294" s="29">
        <f>'Table001 (Page 1-6)'!J287</f>
        <v>1800</v>
      </c>
      <c r="O294" s="29">
        <f>'Table001 (Page 1-6)'!L287</f>
        <v>35820</v>
      </c>
      <c r="P294" s="29"/>
      <c r="Q294" s="29">
        <f>'Table001 (Page 1-6)'!M287</f>
        <v>1800</v>
      </c>
      <c r="R294" s="29" t="str">
        <f>'Table001 (Page 1-6)'!S287</f>
        <v>13,200</v>
      </c>
      <c r="S294" s="31" t="str">
        <f>'Table001 (Page 1-6)'!T287</f>
        <v>0.37</v>
      </c>
      <c r="T294" s="29" t="str">
        <f>'Table001 (Page 1-6)'!U287</f>
        <v>C</v>
      </c>
      <c r="U294" s="29"/>
      <c r="V294" s="29"/>
      <c r="W294" s="29"/>
      <c r="X294" s="29"/>
      <c r="Y294" s="29"/>
      <c r="Z294" s="29"/>
      <c r="AA294" s="29"/>
      <c r="AB294" s="29"/>
      <c r="AC294" s="31"/>
      <c r="AD294" s="29"/>
      <c r="AE294" s="29"/>
      <c r="AF294" s="29"/>
      <c r="AG294" s="31"/>
      <c r="AH294" s="29"/>
      <c r="AI294" s="32">
        <f>('Table001 (Page 1-6)'!V287)*100</f>
        <v>1</v>
      </c>
      <c r="AJ294" s="35"/>
      <c r="AK294" s="35"/>
      <c r="AL294" s="35"/>
      <c r="AM294" s="35"/>
    </row>
    <row r="295" spans="2:39" x14ac:dyDescent="0.25">
      <c r="B295" s="37">
        <f>'Table001 (Page 1-6)'!A288</f>
        <v>4360</v>
      </c>
      <c r="C295" s="28" t="str">
        <f>'Table001 (Page 1-6)'!B288</f>
        <v>NE 36 AV</v>
      </c>
      <c r="D295" s="28" t="str">
        <f>'Table001 (Page 1-6)'!C288</f>
        <v>SR 40</v>
      </c>
      <c r="E295" s="28" t="str">
        <f>'Table001 (Page 1-6)'!D288</f>
        <v>NE 14 ST</v>
      </c>
      <c r="F295" s="29">
        <f>'Table001 (Page 1-6)'!E288</f>
        <v>4</v>
      </c>
      <c r="G295" s="29">
        <f>'Table001 (Page 1-6)'!K288</f>
        <v>4</v>
      </c>
      <c r="H295" s="30" t="str">
        <f>'Table001 (Page 1-6)'!R288</f>
        <v>E</v>
      </c>
      <c r="I295" s="28" t="str">
        <f>'Table001 (Page 1-6)'!F288</f>
        <v>ARTERIAL</v>
      </c>
      <c r="J295" s="29"/>
      <c r="K295" s="29"/>
      <c r="L295" s="29">
        <f>'Table001 (Page 1-6)'!I288</f>
        <v>35820</v>
      </c>
      <c r="M295" s="29"/>
      <c r="N295" s="29">
        <f>'Table001 (Page 1-6)'!J288</f>
        <v>1800</v>
      </c>
      <c r="O295" s="29">
        <f>'Table001 (Page 1-6)'!L288</f>
        <v>35820</v>
      </c>
      <c r="P295" s="29"/>
      <c r="Q295" s="29">
        <f>'Table001 (Page 1-6)'!M288</f>
        <v>1800</v>
      </c>
      <c r="R295" s="29" t="str">
        <f>'Table001 (Page 1-6)'!S288</f>
        <v>15,200</v>
      </c>
      <c r="S295" s="31" t="str">
        <f>'Table001 (Page 1-6)'!T288</f>
        <v>0.42</v>
      </c>
      <c r="T295" s="29" t="str">
        <f>'Table001 (Page 1-6)'!U288</f>
        <v>C</v>
      </c>
      <c r="U295" s="29"/>
      <c r="V295" s="29"/>
      <c r="W295" s="29"/>
      <c r="X295" s="29"/>
      <c r="Y295" s="29"/>
      <c r="Z295" s="29"/>
      <c r="AA295" s="29"/>
      <c r="AB295" s="29"/>
      <c r="AC295" s="31"/>
      <c r="AD295" s="29"/>
      <c r="AE295" s="29"/>
      <c r="AF295" s="29"/>
      <c r="AG295" s="31"/>
      <c r="AH295" s="29"/>
      <c r="AI295" s="32">
        <f>('Table001 (Page 1-6)'!V288)*100</f>
        <v>1</v>
      </c>
      <c r="AJ295" s="35"/>
      <c r="AK295" s="35"/>
      <c r="AL295" s="35"/>
      <c r="AM295" s="35"/>
    </row>
    <row r="296" spans="2:39" x14ac:dyDescent="0.25">
      <c r="B296" s="37">
        <f>'Table001 (Page 1-6)'!A289</f>
        <v>4370</v>
      </c>
      <c r="C296" s="28" t="str">
        <f>'Table001 (Page 1-6)'!B289</f>
        <v>SE 38 ST</v>
      </c>
      <c r="D296" s="28" t="str">
        <f>'Table001 (Page 1-6)'!C289</f>
        <v>CR 464A</v>
      </c>
      <c r="E296" s="28" t="str">
        <f>'Table001 (Page 1-6)'!D289</f>
        <v>SE 36 AV</v>
      </c>
      <c r="F296" s="29">
        <f>'Table001 (Page 1-6)'!E289</f>
        <v>2</v>
      </c>
      <c r="G296" s="29">
        <f>'Table001 (Page 1-6)'!K289</f>
        <v>2</v>
      </c>
      <c r="H296" s="30" t="str">
        <f>'Table001 (Page 1-6)'!R289</f>
        <v>E</v>
      </c>
      <c r="I296" s="28" t="str">
        <f>'Table001 (Page 1-6)'!F289</f>
        <v>COLLECTOR</v>
      </c>
      <c r="J296" s="29"/>
      <c r="K296" s="29"/>
      <c r="L296" s="29">
        <f>'Table001 (Page 1-6)'!I289</f>
        <v>11232</v>
      </c>
      <c r="M296" s="29"/>
      <c r="N296" s="29">
        <f>'Table001 (Page 1-6)'!J289</f>
        <v>576</v>
      </c>
      <c r="O296" s="29">
        <f>'Table001 (Page 1-6)'!L289</f>
        <v>11232</v>
      </c>
      <c r="P296" s="29"/>
      <c r="Q296" s="29">
        <f>'Table001 (Page 1-6)'!M289</f>
        <v>576</v>
      </c>
      <c r="R296" s="29" t="str">
        <f>'Table001 (Page 1-6)'!S289</f>
        <v>5,600</v>
      </c>
      <c r="S296" s="31" t="str">
        <f>'Table001 (Page 1-6)'!T289</f>
        <v>0.5</v>
      </c>
      <c r="T296" s="29" t="str">
        <f>'Table001 (Page 1-6)'!U289</f>
        <v>D</v>
      </c>
      <c r="U296" s="29"/>
      <c r="V296" s="29"/>
      <c r="W296" s="29"/>
      <c r="X296" s="29"/>
      <c r="Y296" s="29"/>
      <c r="Z296" s="29"/>
      <c r="AA296" s="29"/>
      <c r="AB296" s="29"/>
      <c r="AC296" s="31"/>
      <c r="AD296" s="29"/>
      <c r="AE296" s="29"/>
      <c r="AF296" s="29"/>
      <c r="AG296" s="31"/>
      <c r="AH296" s="29"/>
      <c r="AI296" s="32">
        <f>('Table001 (Page 1-6)'!V289)*100</f>
        <v>3.29</v>
      </c>
      <c r="AJ296" s="35"/>
      <c r="AK296" s="35"/>
      <c r="AL296" s="35"/>
      <c r="AM296" s="35"/>
    </row>
    <row r="297" spans="2:39" x14ac:dyDescent="0.25">
      <c r="B297" s="37">
        <f>'Table001 (Page 1-6)'!A290</f>
        <v>4380</v>
      </c>
      <c r="C297" s="28" t="str">
        <f>'Table001 (Page 1-6)'!B290</f>
        <v>SE 38 ST</v>
      </c>
      <c r="D297" s="28" t="str">
        <f>'Table001 (Page 1-6)'!C290</f>
        <v>SE 36 AV</v>
      </c>
      <c r="E297" s="28" t="str">
        <f>'Table001 (Page 1-6)'!D290</f>
        <v>SE 44 AV</v>
      </c>
      <c r="F297" s="29">
        <f>'Table001 (Page 1-6)'!E290</f>
        <v>2</v>
      </c>
      <c r="G297" s="29">
        <f>'Table001 (Page 1-6)'!K290</f>
        <v>2</v>
      </c>
      <c r="H297" s="30" t="str">
        <f>'Table001 (Page 1-6)'!R290</f>
        <v>C</v>
      </c>
      <c r="I297" s="28" t="str">
        <f>'Table001 (Page 1-6)'!F290</f>
        <v>COLLECTOR</v>
      </c>
      <c r="J297" s="29"/>
      <c r="K297" s="29"/>
      <c r="L297" s="29">
        <f>'Table001 (Page 1-6)'!I290</f>
        <v>16200</v>
      </c>
      <c r="M297" s="29"/>
      <c r="N297" s="29">
        <f>'Table001 (Page 1-6)'!J290</f>
        <v>801</v>
      </c>
      <c r="O297" s="29">
        <f>'Table001 (Page 1-6)'!L290</f>
        <v>16200</v>
      </c>
      <c r="P297" s="29"/>
      <c r="Q297" s="29">
        <f>'Table001 (Page 1-6)'!M290</f>
        <v>801</v>
      </c>
      <c r="R297" s="29" t="str">
        <f>'Table001 (Page 1-6)'!S290</f>
        <v>5,500</v>
      </c>
      <c r="S297" s="31" t="str">
        <f>'Table001 (Page 1-6)'!T290</f>
        <v>0.34</v>
      </c>
      <c r="T297" s="29" t="str">
        <f>'Table001 (Page 1-6)'!U290</f>
        <v>B</v>
      </c>
      <c r="U297" s="29"/>
      <c r="V297" s="29"/>
      <c r="W297" s="29"/>
      <c r="X297" s="29"/>
      <c r="Y297" s="29"/>
      <c r="Z297" s="29"/>
      <c r="AA297" s="29"/>
      <c r="AB297" s="29"/>
      <c r="AC297" s="31"/>
      <c r="AD297" s="29"/>
      <c r="AE297" s="29"/>
      <c r="AF297" s="29"/>
      <c r="AG297" s="31"/>
      <c r="AH297" s="29"/>
      <c r="AI297" s="32">
        <f>('Table001 (Page 1-6)'!V290)*100</f>
        <v>1</v>
      </c>
      <c r="AJ297" s="35"/>
      <c r="AK297" s="35"/>
      <c r="AL297" s="35"/>
      <c r="AM297" s="35"/>
    </row>
    <row r="298" spans="2:39" x14ac:dyDescent="0.25">
      <c r="B298" s="37">
        <f>'Table001 (Page 1-6)'!A291</f>
        <v>4400</v>
      </c>
      <c r="C298" s="28" t="str">
        <f>'Table001 (Page 1-6)'!B291</f>
        <v>SE 41 CT</v>
      </c>
      <c r="D298" s="28" t="str">
        <f>'Table001 (Page 1-6)'!C291</f>
        <v>SE 80 ST</v>
      </c>
      <c r="E298" s="28" t="str">
        <f>'Table001 (Page 1-6)'!D291</f>
        <v>SE 52 ST</v>
      </c>
      <c r="F298" s="29">
        <f>'Table001 (Page 1-6)'!E291</f>
        <v>2</v>
      </c>
      <c r="G298" s="29">
        <f>'Table001 (Page 1-6)'!K291</f>
        <v>2</v>
      </c>
      <c r="H298" s="30" t="str">
        <f>'Table001 (Page 1-6)'!R291</f>
        <v>E</v>
      </c>
      <c r="I298" s="28" t="str">
        <f>'Table001 (Page 1-6)'!F291</f>
        <v>COLLECTOR</v>
      </c>
      <c r="J298" s="29"/>
      <c r="K298" s="29"/>
      <c r="L298" s="29">
        <f>'Table001 (Page 1-6)'!I291</f>
        <v>12744</v>
      </c>
      <c r="M298" s="29"/>
      <c r="N298" s="29">
        <f>'Table001 (Page 1-6)'!J291</f>
        <v>634</v>
      </c>
      <c r="O298" s="29">
        <f>'Table001 (Page 1-6)'!L291</f>
        <v>12744</v>
      </c>
      <c r="P298" s="29"/>
      <c r="Q298" s="29">
        <f>'Table001 (Page 1-6)'!M291</f>
        <v>634</v>
      </c>
      <c r="R298" s="29" t="str">
        <f>'Table001 (Page 1-6)'!S291</f>
        <v>5,200</v>
      </c>
      <c r="S298" s="31" t="str">
        <f>'Table001 (Page 1-6)'!T291</f>
        <v>0.41</v>
      </c>
      <c r="T298" s="29" t="str">
        <f>'Table001 (Page 1-6)'!U291</f>
        <v>C</v>
      </c>
      <c r="U298" s="29"/>
      <c r="V298" s="29"/>
      <c r="W298" s="29"/>
      <c r="X298" s="29"/>
      <c r="Y298" s="29"/>
      <c r="Z298" s="29"/>
      <c r="AA298" s="29"/>
      <c r="AB298" s="29"/>
      <c r="AC298" s="31"/>
      <c r="AD298" s="29"/>
      <c r="AE298" s="29"/>
      <c r="AF298" s="29"/>
      <c r="AG298" s="31"/>
      <c r="AH298" s="29"/>
      <c r="AI298" s="32">
        <f>('Table001 (Page 1-6)'!V291)*100</f>
        <v>1</v>
      </c>
      <c r="AJ298" s="35"/>
      <c r="AK298" s="35"/>
      <c r="AL298" s="35"/>
      <c r="AM298" s="35"/>
    </row>
    <row r="299" spans="2:39" x14ac:dyDescent="0.25">
      <c r="B299" s="37">
        <f>'Table001 (Page 1-6)'!A292</f>
        <v>4420</v>
      </c>
      <c r="C299" s="28" t="str">
        <f>'Table001 (Page 1-6)'!B292</f>
        <v>SE 44 AV</v>
      </c>
      <c r="D299" s="28" t="str">
        <f>'Table001 (Page 1-6)'!C292</f>
        <v>SE 52 ST</v>
      </c>
      <c r="E299" s="28" t="str">
        <f>'Table001 (Page 1-6)'!D292</f>
        <v>SE 38 ST</v>
      </c>
      <c r="F299" s="29">
        <f>'Table001 (Page 1-6)'!E292</f>
        <v>2</v>
      </c>
      <c r="G299" s="29">
        <f>'Table001 (Page 1-6)'!K292</f>
        <v>2</v>
      </c>
      <c r="H299" s="30" t="str">
        <f>'Table001 (Page 1-6)'!R292</f>
        <v>C</v>
      </c>
      <c r="I299" s="28" t="str">
        <f>'Table001 (Page 1-6)'!F292</f>
        <v>COLLECTOR</v>
      </c>
      <c r="J299" s="29"/>
      <c r="K299" s="29"/>
      <c r="L299" s="29">
        <f>'Table001 (Page 1-6)'!I292</f>
        <v>5256</v>
      </c>
      <c r="M299" s="29"/>
      <c r="N299" s="29">
        <f>'Table001 (Page 1-6)'!J292</f>
        <v>266</v>
      </c>
      <c r="O299" s="29">
        <f>'Table001 (Page 1-6)'!L292</f>
        <v>5256</v>
      </c>
      <c r="P299" s="29"/>
      <c r="Q299" s="29">
        <f>'Table001 (Page 1-6)'!M292</f>
        <v>266</v>
      </c>
      <c r="R299" s="29" t="str">
        <f>'Table001 (Page 1-6)'!S292</f>
        <v>8,500</v>
      </c>
      <c r="S299" s="31" t="str">
        <f>'Table001 (Page 1-6)'!T292</f>
        <v>1.62</v>
      </c>
      <c r="T299" s="29" t="str">
        <f>'Table001 (Page 1-6)'!U292</f>
        <v>D</v>
      </c>
      <c r="U299" s="29"/>
      <c r="V299" s="29"/>
      <c r="W299" s="29"/>
      <c r="X299" s="29"/>
      <c r="Y299" s="29"/>
      <c r="Z299" s="29"/>
      <c r="AA299" s="29"/>
      <c r="AB299" s="29"/>
      <c r="AC299" s="31"/>
      <c r="AD299" s="29"/>
      <c r="AE299" s="29"/>
      <c r="AF299" s="29"/>
      <c r="AG299" s="31"/>
      <c r="AH299" s="29"/>
      <c r="AI299" s="32">
        <f>('Table001 (Page 1-6)'!V292)*100</f>
        <v>2.88</v>
      </c>
      <c r="AJ299" s="35"/>
      <c r="AK299" s="35"/>
      <c r="AL299" s="35"/>
      <c r="AM299" s="35"/>
    </row>
    <row r="300" spans="2:39" x14ac:dyDescent="0.25">
      <c r="B300" s="37">
        <f>'Table001 (Page 1-6)'!A293</f>
        <v>4425</v>
      </c>
      <c r="C300" s="28" t="str">
        <f>'Table001 (Page 1-6)'!B293</f>
        <v>SE 44 AV RD</v>
      </c>
      <c r="D300" s="28" t="str">
        <f>'Table001 (Page 1-6)'!C293</f>
        <v>SE 44 AV</v>
      </c>
      <c r="E300" s="28" t="str">
        <f>'Table001 (Page 1-6)'!D293</f>
        <v>SR 464</v>
      </c>
      <c r="F300" s="29">
        <f>'Table001 (Page 1-6)'!E293</f>
        <v>2</v>
      </c>
      <c r="G300" s="29">
        <f>'Table001 (Page 1-6)'!K293</f>
        <v>2</v>
      </c>
      <c r="H300" s="30" t="str">
        <f>'Table001 (Page 1-6)'!R293</f>
        <v>E</v>
      </c>
      <c r="I300" s="28" t="str">
        <f>'Table001 (Page 1-6)'!F293</f>
        <v>COLLECTOR</v>
      </c>
      <c r="J300" s="29"/>
      <c r="K300" s="29"/>
      <c r="L300" s="29">
        <f>'Table001 (Page 1-6)'!I293</f>
        <v>11794</v>
      </c>
      <c r="M300" s="29"/>
      <c r="N300" s="29">
        <f>'Table001 (Page 1-6)'!J293</f>
        <v>605</v>
      </c>
      <c r="O300" s="29">
        <f>'Table001 (Page 1-6)'!L293</f>
        <v>11794</v>
      </c>
      <c r="P300" s="29"/>
      <c r="Q300" s="29">
        <f>'Table001 (Page 1-6)'!M293</f>
        <v>605</v>
      </c>
      <c r="R300" s="29" t="str">
        <f>'Table001 (Page 1-6)'!S293</f>
        <v>8,600</v>
      </c>
      <c r="S300" s="31" t="str">
        <f>'Table001 (Page 1-6)'!T293</f>
        <v>0.73</v>
      </c>
      <c r="T300" s="29" t="str">
        <f>'Table001 (Page 1-6)'!U293</f>
        <v>D</v>
      </c>
      <c r="U300" s="29"/>
      <c r="V300" s="29"/>
      <c r="W300" s="29"/>
      <c r="X300" s="29"/>
      <c r="Y300" s="29"/>
      <c r="Z300" s="29"/>
      <c r="AA300" s="29"/>
      <c r="AB300" s="29"/>
      <c r="AC300" s="31"/>
      <c r="AD300" s="29"/>
      <c r="AE300" s="29"/>
      <c r="AF300" s="29"/>
      <c r="AG300" s="31"/>
      <c r="AH300" s="29"/>
      <c r="AI300" s="32">
        <f>('Table001 (Page 1-6)'!V293)*100</f>
        <v>3.7600000000000002</v>
      </c>
      <c r="AJ300" s="35"/>
      <c r="AK300" s="35"/>
      <c r="AL300" s="35"/>
      <c r="AM300" s="35"/>
    </row>
    <row r="301" spans="2:39" x14ac:dyDescent="0.25">
      <c r="B301" s="37">
        <f>'Table001 (Page 1-6)'!A294</f>
        <v>4450</v>
      </c>
      <c r="C301" s="28" t="str">
        <f>'Table001 (Page 1-6)'!B294</f>
        <v>SE 52 ST</v>
      </c>
      <c r="D301" s="28" t="str">
        <f>'Table001 (Page 1-6)'!C294</f>
        <v>CR 475</v>
      </c>
      <c r="E301" s="28" t="str">
        <f>'Table001 (Page 1-6)'!D294</f>
        <v>US 441</v>
      </c>
      <c r="F301" s="29">
        <f>'Table001 (Page 1-6)'!E294</f>
        <v>2</v>
      </c>
      <c r="G301" s="29">
        <f>'Table001 (Page 1-6)'!K294</f>
        <v>2</v>
      </c>
      <c r="H301" s="30" t="str">
        <f>'Table001 (Page 1-6)'!R294</f>
        <v>E</v>
      </c>
      <c r="I301" s="28" t="str">
        <f>'Table001 (Page 1-6)'!F294</f>
        <v>COLLECTOR</v>
      </c>
      <c r="J301" s="29"/>
      <c r="K301" s="29"/>
      <c r="L301" s="29">
        <f>'Table001 (Page 1-6)'!I294</f>
        <v>12744</v>
      </c>
      <c r="M301" s="29"/>
      <c r="N301" s="29">
        <f>'Table001 (Page 1-6)'!J294</f>
        <v>634</v>
      </c>
      <c r="O301" s="29">
        <f>'Table001 (Page 1-6)'!L294</f>
        <v>12744</v>
      </c>
      <c r="P301" s="29"/>
      <c r="Q301" s="29">
        <f>'Table001 (Page 1-6)'!M294</f>
        <v>634</v>
      </c>
      <c r="R301" s="29" t="str">
        <f>'Table001 (Page 1-6)'!S294</f>
        <v>3,400</v>
      </c>
      <c r="S301" s="31" t="str">
        <f>'Table001 (Page 1-6)'!T294</f>
        <v>0.27</v>
      </c>
      <c r="T301" s="29" t="str">
        <f>'Table001 (Page 1-6)'!U294</f>
        <v>C</v>
      </c>
      <c r="U301" s="29"/>
      <c r="V301" s="29"/>
      <c r="W301" s="29"/>
      <c r="X301" s="29"/>
      <c r="Y301" s="29"/>
      <c r="Z301" s="29"/>
      <c r="AA301" s="29"/>
      <c r="AB301" s="29"/>
      <c r="AC301" s="31"/>
      <c r="AD301" s="29"/>
      <c r="AE301" s="29"/>
      <c r="AF301" s="29"/>
      <c r="AG301" s="31"/>
      <c r="AH301" s="29"/>
      <c r="AI301" s="32">
        <f>('Table001 (Page 1-6)'!V294)*100</f>
        <v>1</v>
      </c>
      <c r="AJ301" s="35"/>
      <c r="AK301" s="35"/>
      <c r="AL301" s="35"/>
      <c r="AM301" s="35"/>
    </row>
    <row r="302" spans="2:39" x14ac:dyDescent="0.25">
      <c r="B302" s="37">
        <f>'Table001 (Page 1-6)'!A295</f>
        <v>4460</v>
      </c>
      <c r="C302" s="28" t="str">
        <f>'Table001 (Page 1-6)'!B295</f>
        <v>SE 52 ST</v>
      </c>
      <c r="D302" s="28" t="str">
        <f>'Table001 (Page 1-6)'!C295</f>
        <v>US 441</v>
      </c>
      <c r="E302" s="28" t="str">
        <f>'Table001 (Page 1-6)'!D295</f>
        <v>SE 44 AV RD</v>
      </c>
      <c r="F302" s="29">
        <f>'Table001 (Page 1-6)'!E295</f>
        <v>2</v>
      </c>
      <c r="G302" s="29">
        <f>'Table001 (Page 1-6)'!K295</f>
        <v>2</v>
      </c>
      <c r="H302" s="30" t="str">
        <f>'Table001 (Page 1-6)'!R295</f>
        <v>E</v>
      </c>
      <c r="I302" s="28" t="str">
        <f>'Table001 (Page 1-6)'!F295</f>
        <v>COLLECTOR</v>
      </c>
      <c r="J302" s="29"/>
      <c r="K302" s="29"/>
      <c r="L302" s="29">
        <f>'Table001 (Page 1-6)'!I295</f>
        <v>11232</v>
      </c>
      <c r="M302" s="29"/>
      <c r="N302" s="29">
        <f>'Table001 (Page 1-6)'!J295</f>
        <v>576</v>
      </c>
      <c r="O302" s="29">
        <f>'Table001 (Page 1-6)'!L295</f>
        <v>11232</v>
      </c>
      <c r="P302" s="29"/>
      <c r="Q302" s="29">
        <f>'Table001 (Page 1-6)'!M295</f>
        <v>576</v>
      </c>
      <c r="R302" s="29" t="str">
        <f>'Table001 (Page 1-6)'!S295</f>
        <v>6,100</v>
      </c>
      <c r="S302" s="31" t="str">
        <f>'Table001 (Page 1-6)'!T295</f>
        <v>0.54</v>
      </c>
      <c r="T302" s="29" t="str">
        <f>'Table001 (Page 1-6)'!U295</f>
        <v>D</v>
      </c>
      <c r="U302" s="29"/>
      <c r="V302" s="29"/>
      <c r="W302" s="29"/>
      <c r="X302" s="29"/>
      <c r="Y302" s="29"/>
      <c r="Z302" s="29"/>
      <c r="AA302" s="29"/>
      <c r="AB302" s="29"/>
      <c r="AC302" s="31"/>
      <c r="AD302" s="29"/>
      <c r="AE302" s="29"/>
      <c r="AF302" s="29"/>
      <c r="AG302" s="31"/>
      <c r="AH302" s="29"/>
      <c r="AI302" s="32">
        <f>('Table001 (Page 1-6)'!V295)*100</f>
        <v>1</v>
      </c>
      <c r="AJ302" s="35"/>
      <c r="AK302" s="35"/>
      <c r="AL302" s="35"/>
      <c r="AM302" s="35"/>
    </row>
    <row r="303" spans="2:39" x14ac:dyDescent="0.25">
      <c r="B303" s="37">
        <f>'Table001 (Page 1-6)'!A296</f>
        <v>4470</v>
      </c>
      <c r="C303" s="28" t="str">
        <f>'Table001 (Page 1-6)'!B296</f>
        <v>SE 8 ST</v>
      </c>
      <c r="D303" s="28" t="str">
        <f>'Table001 (Page 1-6)'!C296</f>
        <v>S MAGNOLIA AV</v>
      </c>
      <c r="E303" s="28" t="str">
        <f>'Table001 (Page 1-6)'!D296</f>
        <v>SE WATULA AVE</v>
      </c>
      <c r="F303" s="29">
        <f>'Table001 (Page 1-6)'!E296</f>
        <v>2</v>
      </c>
      <c r="G303" s="29">
        <f>'Table001 (Page 1-6)'!K296</f>
        <v>2</v>
      </c>
      <c r="H303" s="30" t="str">
        <f>'Table001 (Page 1-6)'!R296</f>
        <v>E</v>
      </c>
      <c r="I303" s="28" t="str">
        <f>'Table001 (Page 1-6)'!F296</f>
        <v>COLLECTOR</v>
      </c>
      <c r="J303" s="29"/>
      <c r="K303" s="29"/>
      <c r="L303" s="29">
        <f>'Table001 (Page 1-6)'!I296</f>
        <v>11232</v>
      </c>
      <c r="M303" s="29"/>
      <c r="N303" s="29">
        <f>'Table001 (Page 1-6)'!J296</f>
        <v>576</v>
      </c>
      <c r="O303" s="29">
        <f>'Table001 (Page 1-6)'!L296</f>
        <v>11232</v>
      </c>
      <c r="P303" s="29"/>
      <c r="Q303" s="29">
        <f>'Table001 (Page 1-6)'!M296</f>
        <v>576</v>
      </c>
      <c r="R303" s="29" t="str">
        <f>'Table001 (Page 1-6)'!S296</f>
        <v>Not Counted</v>
      </c>
      <c r="S303" s="31" t="str">
        <f>'Table001 (Page 1-6)'!T296</f>
        <v>N/A</v>
      </c>
      <c r="T303" s="29" t="str">
        <f>'Table001 (Page 1-6)'!U296</f>
        <v>N/A</v>
      </c>
      <c r="U303" s="29"/>
      <c r="V303" s="29"/>
      <c r="W303" s="29"/>
      <c r="X303" s="29"/>
      <c r="Y303" s="29"/>
      <c r="Z303" s="29"/>
      <c r="AA303" s="29"/>
      <c r="AB303" s="29"/>
      <c r="AC303" s="31"/>
      <c r="AD303" s="29"/>
      <c r="AE303" s="29"/>
      <c r="AF303" s="29"/>
      <c r="AG303" s="31"/>
      <c r="AH303" s="29"/>
      <c r="AI303" s="32">
        <f>('Table001 (Page 1-6)'!V296)*100</f>
        <v>1</v>
      </c>
      <c r="AJ303" s="35"/>
      <c r="AK303" s="35"/>
      <c r="AL303" s="35"/>
      <c r="AM303" s="35"/>
    </row>
    <row r="304" spans="2:39" x14ac:dyDescent="0.25">
      <c r="B304" s="37">
        <f>'Table001 (Page 1-6)'!A297</f>
        <v>4510.1000000000004</v>
      </c>
      <c r="C304" s="28" t="str">
        <f>'Table001 (Page 1-6)'!B297</f>
        <v>SE 80 ST</v>
      </c>
      <c r="D304" s="28" t="str">
        <f>'Table001 (Page 1-6)'!C297</f>
        <v>CR 475</v>
      </c>
      <c r="E304" s="28" t="str">
        <f>'Table001 (Page 1-6)'!D297</f>
        <v>SE 25 AV</v>
      </c>
      <c r="F304" s="29">
        <f>'Table001 (Page 1-6)'!E297</f>
        <v>2</v>
      </c>
      <c r="G304" s="29">
        <f>'Table001 (Page 1-6)'!K297</f>
        <v>2</v>
      </c>
      <c r="H304" s="30" t="str">
        <f>'Table001 (Page 1-6)'!R297</f>
        <v>D</v>
      </c>
      <c r="I304" s="28" t="str">
        <f>'Table001 (Page 1-6)'!F297</f>
        <v>COLLECTOR</v>
      </c>
      <c r="J304" s="29"/>
      <c r="K304" s="29"/>
      <c r="L304" s="29">
        <f>'Table001 (Page 1-6)'!I297</f>
        <v>10224</v>
      </c>
      <c r="M304" s="29"/>
      <c r="N304" s="29">
        <f>'Table001 (Page 1-6)'!J297</f>
        <v>533</v>
      </c>
      <c r="O304" s="29">
        <f>'Table001 (Page 1-6)'!L297</f>
        <v>10224</v>
      </c>
      <c r="P304" s="29"/>
      <c r="Q304" s="29">
        <f>'Table001 (Page 1-6)'!M297</f>
        <v>533</v>
      </c>
      <c r="R304" s="29" t="str">
        <f>'Table001 (Page 1-6)'!S297</f>
        <v>6,600</v>
      </c>
      <c r="S304" s="31" t="str">
        <f>'Table001 (Page 1-6)'!T297</f>
        <v>0.65</v>
      </c>
      <c r="T304" s="29" t="str">
        <f>'Table001 (Page 1-6)'!U297</f>
        <v>C</v>
      </c>
      <c r="U304" s="29"/>
      <c r="V304" s="29"/>
      <c r="W304" s="29"/>
      <c r="X304" s="29"/>
      <c r="Y304" s="29"/>
      <c r="Z304" s="29"/>
      <c r="AA304" s="29"/>
      <c r="AB304" s="29"/>
      <c r="AC304" s="31"/>
      <c r="AD304" s="29"/>
      <c r="AE304" s="29"/>
      <c r="AF304" s="29"/>
      <c r="AG304" s="31"/>
      <c r="AH304" s="29"/>
      <c r="AI304" s="32">
        <f>('Table001 (Page 1-6)'!V297)*100</f>
        <v>3.46</v>
      </c>
      <c r="AJ304" s="35"/>
      <c r="AK304" s="35"/>
      <c r="AL304" s="35"/>
      <c r="AM304" s="35"/>
    </row>
    <row r="305" spans="2:39" x14ac:dyDescent="0.25">
      <c r="B305" s="37">
        <f>'Table001 (Page 1-6)'!A298</f>
        <v>4510.2</v>
      </c>
      <c r="C305" s="28" t="str">
        <f>'Table001 (Page 1-6)'!B298</f>
        <v>SE 80 ST</v>
      </c>
      <c r="D305" s="28" t="str">
        <f>'Table001 (Page 1-6)'!C298</f>
        <v>SE 25 AV</v>
      </c>
      <c r="E305" s="28" t="str">
        <f>'Table001 (Page 1-6)'!D298</f>
        <v>US 441 (E)</v>
      </c>
      <c r="F305" s="29">
        <f>'Table001 (Page 1-6)'!E298</f>
        <v>2</v>
      </c>
      <c r="G305" s="29">
        <f>'Table001 (Page 1-6)'!K298</f>
        <v>2</v>
      </c>
      <c r="H305" s="30" t="str">
        <f>'Table001 (Page 1-6)'!R298</f>
        <v>D</v>
      </c>
      <c r="I305" s="28" t="str">
        <f>'Table001 (Page 1-6)'!F298</f>
        <v>COLLECTOR</v>
      </c>
      <c r="J305" s="29"/>
      <c r="K305" s="29"/>
      <c r="L305" s="29">
        <f>'Table001 (Page 1-6)'!I298</f>
        <v>10224</v>
      </c>
      <c r="M305" s="29"/>
      <c r="N305" s="29">
        <f>'Table001 (Page 1-6)'!J298</f>
        <v>533</v>
      </c>
      <c r="O305" s="29">
        <f>'Table001 (Page 1-6)'!L298</f>
        <v>10224</v>
      </c>
      <c r="P305" s="29"/>
      <c r="Q305" s="29">
        <f>'Table001 (Page 1-6)'!M298</f>
        <v>533</v>
      </c>
      <c r="R305" s="29" t="str">
        <f>'Table001 (Page 1-6)'!S298</f>
        <v>6,800</v>
      </c>
      <c r="S305" s="31" t="str">
        <f>'Table001 (Page 1-6)'!T298</f>
        <v>0.67</v>
      </c>
      <c r="T305" s="29" t="str">
        <f>'Table001 (Page 1-6)'!U298</f>
        <v>C</v>
      </c>
      <c r="U305" s="29"/>
      <c r="V305" s="29"/>
      <c r="W305" s="29"/>
      <c r="X305" s="29"/>
      <c r="Y305" s="29"/>
      <c r="Z305" s="29"/>
      <c r="AA305" s="29"/>
      <c r="AB305" s="29"/>
      <c r="AC305" s="31"/>
      <c r="AD305" s="29"/>
      <c r="AE305" s="29"/>
      <c r="AF305" s="29"/>
      <c r="AG305" s="31"/>
      <c r="AH305" s="29"/>
      <c r="AI305" s="32">
        <f>('Table001 (Page 1-6)'!V298)*100</f>
        <v>5.4899999999999993</v>
      </c>
      <c r="AJ305" s="35"/>
      <c r="AK305" s="35"/>
      <c r="AL305" s="35"/>
      <c r="AM305" s="35"/>
    </row>
    <row r="306" spans="2:39" x14ac:dyDescent="0.25">
      <c r="B306" s="37">
        <f>'Table001 (Page 1-6)'!A299</f>
        <v>4530</v>
      </c>
      <c r="C306" s="28" t="str">
        <f>'Table001 (Page 1-6)'!B299</f>
        <v>SE 80 ST</v>
      </c>
      <c r="D306" s="28" t="str">
        <f>'Table001 (Page 1-6)'!C299</f>
        <v>US 441 (E)</v>
      </c>
      <c r="E306" s="28" t="str">
        <f>'Table001 (Page 1-6)'!D299</f>
        <v>SE 41 CT</v>
      </c>
      <c r="F306" s="29">
        <f>'Table001 (Page 1-6)'!E299</f>
        <v>2</v>
      </c>
      <c r="G306" s="29">
        <f>'Table001 (Page 1-6)'!K299</f>
        <v>2</v>
      </c>
      <c r="H306" s="30" t="str">
        <f>'Table001 (Page 1-6)'!R299</f>
        <v>D</v>
      </c>
      <c r="I306" s="28" t="str">
        <f>'Table001 (Page 1-6)'!F299</f>
        <v>COLLECTOR</v>
      </c>
      <c r="J306" s="29"/>
      <c r="K306" s="29"/>
      <c r="L306" s="29">
        <f>'Table001 (Page 1-6)'!I299</f>
        <v>10224</v>
      </c>
      <c r="M306" s="29"/>
      <c r="N306" s="29">
        <f>'Table001 (Page 1-6)'!J299</f>
        <v>533</v>
      </c>
      <c r="O306" s="29">
        <f>'Table001 (Page 1-6)'!L299</f>
        <v>10224</v>
      </c>
      <c r="P306" s="29"/>
      <c r="Q306" s="29">
        <f>'Table001 (Page 1-6)'!M299</f>
        <v>533</v>
      </c>
      <c r="R306" s="29" t="str">
        <f>'Table001 (Page 1-6)'!S299</f>
        <v>6,200</v>
      </c>
      <c r="S306" s="31" t="str">
        <f>'Table001 (Page 1-6)'!T299</f>
        <v>0.61</v>
      </c>
      <c r="T306" s="29" t="str">
        <f>'Table001 (Page 1-6)'!U299</f>
        <v>C</v>
      </c>
      <c r="U306" s="29"/>
      <c r="V306" s="29"/>
      <c r="W306" s="29"/>
      <c r="X306" s="29"/>
      <c r="Y306" s="29"/>
      <c r="Z306" s="29"/>
      <c r="AA306" s="29"/>
      <c r="AB306" s="29"/>
      <c r="AC306" s="31"/>
      <c r="AD306" s="29"/>
      <c r="AE306" s="29"/>
      <c r="AF306" s="29"/>
      <c r="AG306" s="31"/>
      <c r="AH306" s="29"/>
      <c r="AI306" s="32">
        <f>('Table001 (Page 1-6)'!V299)*100</f>
        <v>6.17</v>
      </c>
      <c r="AJ306" s="35"/>
      <c r="AK306" s="35"/>
      <c r="AL306" s="35"/>
      <c r="AM306" s="35"/>
    </row>
    <row r="307" spans="2:39" x14ac:dyDescent="0.25">
      <c r="B307" s="37">
        <f>'Table001 (Page 1-6)'!A300</f>
        <v>4550</v>
      </c>
      <c r="C307" s="28" t="str">
        <f>'Table001 (Page 1-6)'!B300</f>
        <v>SE 92 PL RD</v>
      </c>
      <c r="D307" s="28" t="str">
        <f>'Table001 (Page 1-6)'!C300</f>
        <v>US 441</v>
      </c>
      <c r="E307" s="28" t="str">
        <f>'Table001 (Page 1-6)'!D300</f>
        <v>SR 35</v>
      </c>
      <c r="F307" s="29">
        <f>'Table001 (Page 1-6)'!E300</f>
        <v>2</v>
      </c>
      <c r="G307" s="29">
        <f>'Table001 (Page 1-6)'!K300</f>
        <v>2</v>
      </c>
      <c r="H307" s="30" t="str">
        <f>'Table001 (Page 1-6)'!R300</f>
        <v>E</v>
      </c>
      <c r="I307" s="28" t="str">
        <f>'Table001 (Page 1-6)'!F300</f>
        <v>ARTERIAL</v>
      </c>
      <c r="J307" s="29"/>
      <c r="K307" s="29"/>
      <c r="L307" s="29">
        <f>'Table001 (Page 1-6)'!I300</f>
        <v>12744</v>
      </c>
      <c r="M307" s="29"/>
      <c r="N307" s="29">
        <f>'Table001 (Page 1-6)'!J300</f>
        <v>634</v>
      </c>
      <c r="O307" s="29">
        <f>'Table001 (Page 1-6)'!L300</f>
        <v>12744</v>
      </c>
      <c r="P307" s="29"/>
      <c r="Q307" s="29">
        <f>'Table001 (Page 1-6)'!M300</f>
        <v>634</v>
      </c>
      <c r="R307" s="29" t="str">
        <f>'Table001 (Page 1-6)'!S300</f>
        <v>10,900</v>
      </c>
      <c r="S307" s="31" t="str">
        <f>'Table001 (Page 1-6)'!T300</f>
        <v>0.86</v>
      </c>
      <c r="T307" s="29" t="str">
        <f>'Table001 (Page 1-6)'!U300</f>
        <v>C</v>
      </c>
      <c r="U307" s="29"/>
      <c r="V307" s="29"/>
      <c r="W307" s="29"/>
      <c r="X307" s="29"/>
      <c r="Y307" s="29"/>
      <c r="Z307" s="29"/>
      <c r="AA307" s="29"/>
      <c r="AB307" s="29"/>
      <c r="AC307" s="31"/>
      <c r="AD307" s="29"/>
      <c r="AE307" s="29"/>
      <c r="AF307" s="29"/>
      <c r="AG307" s="31"/>
      <c r="AH307" s="29"/>
      <c r="AI307" s="32">
        <f>('Table001 (Page 1-6)'!V300)*100</f>
        <v>5</v>
      </c>
      <c r="AJ307" s="35"/>
      <c r="AK307" s="35"/>
      <c r="AL307" s="35"/>
      <c r="AM307" s="35"/>
    </row>
    <row r="308" spans="2:39" x14ac:dyDescent="0.25">
      <c r="B308" s="37">
        <f>'Table001 (Page 1-6)'!A301</f>
        <v>4570</v>
      </c>
      <c r="C308" s="28" t="str">
        <f>'Table001 (Page 1-6)'!B301</f>
        <v>CR 314A</v>
      </c>
      <c r="D308" s="28" t="str">
        <f>'Table001 (Page 1-6)'!C301</f>
        <v>SE 183 AV RD</v>
      </c>
      <c r="E308" s="28" t="str">
        <f>'Table001 (Page 1-6)'!D301</f>
        <v>CR 464C</v>
      </c>
      <c r="F308" s="29">
        <f>'Table001 (Page 1-6)'!E301</f>
        <v>2</v>
      </c>
      <c r="G308" s="29">
        <f>'Table001 (Page 1-6)'!K301</f>
        <v>2</v>
      </c>
      <c r="H308" s="30" t="str">
        <f>'Table001 (Page 1-6)'!R301</f>
        <v>D</v>
      </c>
      <c r="I308" s="28" t="str">
        <f>'Table001 (Page 1-6)'!F301</f>
        <v>COLLECTOR</v>
      </c>
      <c r="J308" s="29"/>
      <c r="K308" s="29"/>
      <c r="L308" s="29">
        <f>'Table001 (Page 1-6)'!I301</f>
        <v>19170</v>
      </c>
      <c r="M308" s="29"/>
      <c r="N308" s="29">
        <f>'Table001 (Page 1-6)'!J301</f>
        <v>999</v>
      </c>
      <c r="O308" s="29">
        <f>'Table001 (Page 1-6)'!L301</f>
        <v>19170</v>
      </c>
      <c r="P308" s="29"/>
      <c r="Q308" s="29">
        <f>'Table001 (Page 1-6)'!M301</f>
        <v>999</v>
      </c>
      <c r="R308" s="29" t="str">
        <f>'Table001 (Page 1-6)'!S301</f>
        <v>5,300</v>
      </c>
      <c r="S308" s="31" t="str">
        <f>'Table001 (Page 1-6)'!T301</f>
        <v>0.28</v>
      </c>
      <c r="T308" s="29" t="str">
        <f>'Table001 (Page 1-6)'!U301</f>
        <v>B</v>
      </c>
      <c r="U308" s="29"/>
      <c r="V308" s="29"/>
      <c r="W308" s="29"/>
      <c r="X308" s="29"/>
      <c r="Y308" s="29"/>
      <c r="Z308" s="29"/>
      <c r="AA308" s="29"/>
      <c r="AB308" s="29"/>
      <c r="AC308" s="31"/>
      <c r="AD308" s="29"/>
      <c r="AE308" s="29"/>
      <c r="AF308" s="29"/>
      <c r="AG308" s="31"/>
      <c r="AH308" s="29"/>
      <c r="AI308" s="32">
        <f>('Table001 (Page 1-6)'!V301)*100</f>
        <v>6.21</v>
      </c>
      <c r="AJ308" s="35"/>
      <c r="AK308" s="35"/>
      <c r="AL308" s="35"/>
      <c r="AM308" s="35"/>
    </row>
    <row r="309" spans="2:39" x14ac:dyDescent="0.25">
      <c r="B309" s="37">
        <f>'Table001 (Page 1-6)'!A302</f>
        <v>4590.2</v>
      </c>
      <c r="C309" s="28" t="str">
        <f>'Table001 (Page 1-6)'!B302</f>
        <v>SE 95 ST</v>
      </c>
      <c r="D309" s="28" t="str">
        <f>'Table001 (Page 1-6)'!C302</f>
        <v>URBAN AREA BOUNDARY</v>
      </c>
      <c r="E309" s="28" t="str">
        <f>'Table001 (Page 1-6)'!D302</f>
        <v>CR 467</v>
      </c>
      <c r="F309" s="29">
        <f>'Table001 (Page 1-6)'!E302</f>
        <v>2</v>
      </c>
      <c r="G309" s="29">
        <f>'Table001 (Page 1-6)'!K302</f>
        <v>2</v>
      </c>
      <c r="H309" s="30" t="str">
        <f>'Table001 (Page 1-6)'!R302</f>
        <v>E</v>
      </c>
      <c r="I309" s="28" t="str">
        <f>'Table001 (Page 1-6)'!F302</f>
        <v>COLLECTOR</v>
      </c>
      <c r="J309" s="29"/>
      <c r="K309" s="29"/>
      <c r="L309" s="29">
        <f>'Table001 (Page 1-6)'!I302</f>
        <v>11232</v>
      </c>
      <c r="M309" s="29"/>
      <c r="N309" s="29">
        <f>'Table001 (Page 1-6)'!J302</f>
        <v>1341</v>
      </c>
      <c r="O309" s="29">
        <f>'Table001 (Page 1-6)'!L302</f>
        <v>11232</v>
      </c>
      <c r="P309" s="29"/>
      <c r="Q309" s="29">
        <f>'Table001 (Page 1-6)'!M302</f>
        <v>1341</v>
      </c>
      <c r="R309" s="29" t="str">
        <f>'Table001 (Page 1-6)'!S302</f>
        <v>7,200</v>
      </c>
      <c r="S309" s="31" t="str">
        <f>'Table001 (Page 1-6)'!T302</f>
        <v>0.28</v>
      </c>
      <c r="T309" s="29" t="str">
        <f>'Table001 (Page 1-6)'!U302</f>
        <v>B</v>
      </c>
      <c r="U309" s="29"/>
      <c r="V309" s="29"/>
      <c r="W309" s="29"/>
      <c r="X309" s="29"/>
      <c r="Y309" s="29"/>
      <c r="Z309" s="29"/>
      <c r="AA309" s="29"/>
      <c r="AB309" s="29"/>
      <c r="AC309" s="31"/>
      <c r="AD309" s="29"/>
      <c r="AE309" s="29"/>
      <c r="AF309" s="29"/>
      <c r="AG309" s="31"/>
      <c r="AH309" s="29"/>
      <c r="AI309" s="32">
        <f>('Table001 (Page 1-6)'!V302)*100</f>
        <v>5.5100000000000007</v>
      </c>
      <c r="AJ309" s="35"/>
      <c r="AK309" s="35"/>
      <c r="AL309" s="35"/>
      <c r="AM309" s="35"/>
    </row>
    <row r="310" spans="2:39" x14ac:dyDescent="0.25">
      <c r="B310" s="37">
        <f>'Table001 (Page 1-6)'!A303</f>
        <v>4590.3</v>
      </c>
      <c r="C310" s="28" t="str">
        <f>'Table001 (Page 1-6)'!B303</f>
        <v>SE 95 ST</v>
      </c>
      <c r="D310" s="28" t="str">
        <f>'Table001 (Page 1-6)'!C303</f>
        <v>CR 475</v>
      </c>
      <c r="E310" s="28" t="str">
        <f>'Table001 (Page 1-6)'!D303</f>
        <v>URBAN AREA BOUNDARY</v>
      </c>
      <c r="F310" s="29">
        <f>'Table001 (Page 1-6)'!E303</f>
        <v>2</v>
      </c>
      <c r="G310" s="29">
        <f>'Table001 (Page 1-6)'!K303</f>
        <v>2</v>
      </c>
      <c r="H310" s="30" t="str">
        <f>'Table001 (Page 1-6)'!R303</f>
        <v>D</v>
      </c>
      <c r="I310" s="28" t="str">
        <f>'Table001 (Page 1-6)'!F303</f>
        <v>COLLECTOR</v>
      </c>
      <c r="J310" s="29"/>
      <c r="K310" s="29"/>
      <c r="L310" s="29">
        <f>'Table001 (Page 1-6)'!I303</f>
        <v>19170</v>
      </c>
      <c r="M310" s="29"/>
      <c r="N310" s="29">
        <f>'Table001 (Page 1-6)'!J303</f>
        <v>999</v>
      </c>
      <c r="O310" s="29">
        <f>'Table001 (Page 1-6)'!L303</f>
        <v>19170</v>
      </c>
      <c r="P310" s="29"/>
      <c r="Q310" s="29">
        <f>'Table001 (Page 1-6)'!M303</f>
        <v>999</v>
      </c>
      <c r="R310" s="29" t="str">
        <f>'Table001 (Page 1-6)'!S303</f>
        <v>7,200</v>
      </c>
      <c r="S310" s="31" t="str">
        <f>'Table001 (Page 1-6)'!T303</f>
        <v>0.38</v>
      </c>
      <c r="T310" s="29" t="str">
        <f>'Table001 (Page 1-6)'!U303</f>
        <v>B</v>
      </c>
      <c r="U310" s="29"/>
      <c r="V310" s="29"/>
      <c r="W310" s="29"/>
      <c r="X310" s="29"/>
      <c r="Y310" s="29"/>
      <c r="Z310" s="29"/>
      <c r="AA310" s="29"/>
      <c r="AB310" s="29"/>
      <c r="AC310" s="31"/>
      <c r="AD310" s="29"/>
      <c r="AE310" s="29"/>
      <c r="AF310" s="29"/>
      <c r="AG310" s="31"/>
      <c r="AH310" s="29"/>
      <c r="AI310" s="32">
        <f>('Table001 (Page 1-6)'!V303)*100</f>
        <v>5.5100000000000007</v>
      </c>
      <c r="AJ310" s="35"/>
      <c r="AK310" s="35"/>
      <c r="AL310" s="35"/>
      <c r="AM310" s="35"/>
    </row>
    <row r="311" spans="2:39" x14ac:dyDescent="0.25">
      <c r="B311" s="37">
        <f>'Table001 (Page 1-6)'!A304</f>
        <v>4600</v>
      </c>
      <c r="C311" s="28" t="str">
        <f>'Table001 (Page 1-6)'!B304</f>
        <v>SE 95 ST</v>
      </c>
      <c r="D311" s="28" t="str">
        <f>'Table001 (Page 1-6)'!C304</f>
        <v>CR 467</v>
      </c>
      <c r="E311" s="28" t="str">
        <f>'Table001 (Page 1-6)'!D304</f>
        <v>US 441 (N)</v>
      </c>
      <c r="F311" s="29">
        <f>'Table001 (Page 1-6)'!E304</f>
        <v>2</v>
      </c>
      <c r="G311" s="29">
        <f>'Table001 (Page 1-6)'!K304</f>
        <v>2</v>
      </c>
      <c r="H311" s="30" t="str">
        <f>'Table001 (Page 1-6)'!R304</f>
        <v>E</v>
      </c>
      <c r="I311" s="28" t="str">
        <f>'Table001 (Page 1-6)'!F304</f>
        <v>COLLECTOR</v>
      </c>
      <c r="J311" s="29"/>
      <c r="K311" s="29"/>
      <c r="L311" s="29">
        <f>'Table001 (Page 1-6)'!I304</f>
        <v>29340</v>
      </c>
      <c r="M311" s="29"/>
      <c r="N311" s="29">
        <f>'Table001 (Page 1-6)'!J304</f>
        <v>1449</v>
      </c>
      <c r="O311" s="29">
        <f>'Table001 (Page 1-6)'!L304</f>
        <v>29340</v>
      </c>
      <c r="P311" s="29"/>
      <c r="Q311" s="29">
        <f>'Table001 (Page 1-6)'!M304</f>
        <v>1449</v>
      </c>
      <c r="R311" s="29" t="str">
        <f>'Table001 (Page 1-6)'!S304</f>
        <v>7,200</v>
      </c>
      <c r="S311" s="31" t="str">
        <f>'Table001 (Page 1-6)'!T304</f>
        <v>0.25</v>
      </c>
      <c r="T311" s="29" t="str">
        <f>'Table001 (Page 1-6)'!U304</f>
        <v>B</v>
      </c>
      <c r="U311" s="29"/>
      <c r="V311" s="29"/>
      <c r="W311" s="29"/>
      <c r="X311" s="29"/>
      <c r="Y311" s="29"/>
      <c r="Z311" s="29"/>
      <c r="AA311" s="29"/>
      <c r="AB311" s="29"/>
      <c r="AC311" s="31"/>
      <c r="AD311" s="29"/>
      <c r="AE311" s="29"/>
      <c r="AF311" s="29"/>
      <c r="AG311" s="31"/>
      <c r="AH311" s="29"/>
      <c r="AI311" s="32">
        <f>('Table001 (Page 1-6)'!V304)*100</f>
        <v>5.5100000000000007</v>
      </c>
      <c r="AJ311" s="35"/>
      <c r="AK311" s="35"/>
      <c r="AL311" s="35"/>
      <c r="AM311" s="35"/>
    </row>
    <row r="312" spans="2:39" x14ac:dyDescent="0.25">
      <c r="B312" s="37">
        <f>'Table001 (Page 1-6)'!A305</f>
        <v>4620</v>
      </c>
      <c r="C312" s="28" t="str">
        <f>'Table001 (Page 1-6)'!B305</f>
        <v>SE JUNIPER CIR</v>
      </c>
      <c r="D312" s="28" t="str">
        <f>'Table001 (Page 1-6)'!C305</f>
        <v>SE 41 CT</v>
      </c>
      <c r="E312" s="28" t="str">
        <f>'Table001 (Page 1-6)'!D305</f>
        <v>SE 58 AV</v>
      </c>
      <c r="F312" s="29">
        <f>'Table001 (Page 1-6)'!E305</f>
        <v>2</v>
      </c>
      <c r="G312" s="29">
        <f>'Table001 (Page 1-6)'!K305</f>
        <v>2</v>
      </c>
      <c r="H312" s="30" t="str">
        <f>'Table001 (Page 1-6)'!R305</f>
        <v>E</v>
      </c>
      <c r="I312" s="28" t="str">
        <f>'Table001 (Page 1-6)'!F305</f>
        <v>COLLECTOR</v>
      </c>
      <c r="J312" s="29"/>
      <c r="K312" s="29"/>
      <c r="L312" s="29">
        <f>'Table001 (Page 1-6)'!I305</f>
        <v>29340</v>
      </c>
      <c r="M312" s="29"/>
      <c r="N312" s="29">
        <f>'Table001 (Page 1-6)'!J305</f>
        <v>1449</v>
      </c>
      <c r="O312" s="29">
        <f>'Table001 (Page 1-6)'!L305</f>
        <v>29340</v>
      </c>
      <c r="P312" s="29"/>
      <c r="Q312" s="29">
        <f>'Table001 (Page 1-6)'!M305</f>
        <v>1449</v>
      </c>
      <c r="R312" s="29" t="str">
        <f>'Table001 (Page 1-6)'!S305</f>
        <v>7,200</v>
      </c>
      <c r="S312" s="31" t="str">
        <f>'Table001 (Page 1-6)'!T305</f>
        <v>0.25</v>
      </c>
      <c r="T312" s="29" t="str">
        <f>'Table001 (Page 1-6)'!U305</f>
        <v>B</v>
      </c>
      <c r="U312" s="29"/>
      <c r="V312" s="29"/>
      <c r="W312" s="29"/>
      <c r="X312" s="29"/>
      <c r="Y312" s="29"/>
      <c r="Z312" s="29"/>
      <c r="AA312" s="29"/>
      <c r="AB312" s="29"/>
      <c r="AC312" s="31"/>
      <c r="AD312" s="29"/>
      <c r="AE312" s="29"/>
      <c r="AF312" s="29"/>
      <c r="AG312" s="31"/>
      <c r="AH312" s="29"/>
      <c r="AI312" s="32">
        <f>('Table001 (Page 1-6)'!V305)*100</f>
        <v>1</v>
      </c>
      <c r="AJ312" s="35"/>
      <c r="AK312" s="35"/>
      <c r="AL312" s="35"/>
      <c r="AM312" s="35"/>
    </row>
    <row r="313" spans="2:39" x14ac:dyDescent="0.25">
      <c r="B313" s="37">
        <f>'Table001 (Page 1-6)'!A306</f>
        <v>4630</v>
      </c>
      <c r="C313" s="28" t="str">
        <f>'Table001 (Page 1-6)'!B306</f>
        <v>SE SUNSET HARBOR RD</v>
      </c>
      <c r="D313" s="28" t="str">
        <f>'Table001 (Page 1-6)'!C306</f>
        <v>SE 150 LN</v>
      </c>
      <c r="E313" s="28" t="str">
        <f>'Table001 (Page 1-6)'!D306</f>
        <v>SE 105 AV</v>
      </c>
      <c r="F313" s="29">
        <f>'Table001 (Page 1-6)'!E306</f>
        <v>2</v>
      </c>
      <c r="G313" s="29">
        <f>'Table001 (Page 1-6)'!K306</f>
        <v>2</v>
      </c>
      <c r="H313" s="30" t="str">
        <f>'Table001 (Page 1-6)'!R306</f>
        <v>E</v>
      </c>
      <c r="I313" s="28" t="str">
        <f>'Table001 (Page 1-6)'!F306</f>
        <v>COLLECTOR</v>
      </c>
      <c r="J313" s="29"/>
      <c r="K313" s="29"/>
      <c r="L313" s="29">
        <f>'Table001 (Page 1-6)'!I306</f>
        <v>11232</v>
      </c>
      <c r="M313" s="29"/>
      <c r="N313" s="29">
        <f>'Table001 (Page 1-6)'!J306</f>
        <v>576</v>
      </c>
      <c r="O313" s="29">
        <f>'Table001 (Page 1-6)'!L306</f>
        <v>11232</v>
      </c>
      <c r="P313" s="29"/>
      <c r="Q313" s="29">
        <f>'Table001 (Page 1-6)'!M306</f>
        <v>576</v>
      </c>
      <c r="R313" s="29" t="str">
        <f>'Table001 (Page 1-6)'!S306</f>
        <v>3,400</v>
      </c>
      <c r="S313" s="31" t="str">
        <f>'Table001 (Page 1-6)'!T306</f>
        <v>0.3</v>
      </c>
      <c r="T313" s="29" t="str">
        <f>'Table001 (Page 1-6)'!U306</f>
        <v>C</v>
      </c>
      <c r="U313" s="29"/>
      <c r="V313" s="29"/>
      <c r="W313" s="29"/>
      <c r="X313" s="29"/>
      <c r="Y313" s="29"/>
      <c r="Z313" s="29"/>
      <c r="AA313" s="29"/>
      <c r="AB313" s="29"/>
      <c r="AC313" s="31"/>
      <c r="AD313" s="29"/>
      <c r="AE313" s="29"/>
      <c r="AF313" s="29"/>
      <c r="AG313" s="31"/>
      <c r="AH313" s="29"/>
      <c r="AI313" s="32">
        <f>('Table001 (Page 1-6)'!V306)*100</f>
        <v>1</v>
      </c>
      <c r="AJ313" s="35"/>
      <c r="AK313" s="35"/>
      <c r="AL313" s="35"/>
      <c r="AM313" s="35"/>
    </row>
    <row r="314" spans="2:39" x14ac:dyDescent="0.25">
      <c r="B314" s="37">
        <f>'Table001 (Page 1-6)'!A307</f>
        <v>4640</v>
      </c>
      <c r="C314" s="28" t="str">
        <f>'Table001 (Page 1-6)'!B307</f>
        <v>SE SUNSET HARBOR RD</v>
      </c>
      <c r="D314" s="28" t="str">
        <f>'Table001 (Page 1-6)'!C307</f>
        <v>SE 105 AV</v>
      </c>
      <c r="E314" s="28" t="str">
        <f>'Table001 (Page 1-6)'!D307</f>
        <v>CR 25</v>
      </c>
      <c r="F314" s="29">
        <f>'Table001 (Page 1-6)'!E307</f>
        <v>2</v>
      </c>
      <c r="G314" s="29">
        <f>'Table001 (Page 1-6)'!K307</f>
        <v>2</v>
      </c>
      <c r="H314" s="30" t="str">
        <f>'Table001 (Page 1-6)'!R307</f>
        <v>E</v>
      </c>
      <c r="I314" s="28" t="str">
        <f>'Table001 (Page 1-6)'!F307</f>
        <v>COLLECTOR</v>
      </c>
      <c r="J314" s="29"/>
      <c r="K314" s="29"/>
      <c r="L314" s="29">
        <f>'Table001 (Page 1-6)'!I307</f>
        <v>11232</v>
      </c>
      <c r="M314" s="29"/>
      <c r="N314" s="29">
        <f>'Table001 (Page 1-6)'!J307</f>
        <v>576</v>
      </c>
      <c r="O314" s="29">
        <f>'Table001 (Page 1-6)'!L307</f>
        <v>11232</v>
      </c>
      <c r="P314" s="29"/>
      <c r="Q314" s="29">
        <f>'Table001 (Page 1-6)'!M307</f>
        <v>576</v>
      </c>
      <c r="R314" s="29" t="str">
        <f>'Table001 (Page 1-6)'!S307</f>
        <v>5,200</v>
      </c>
      <c r="S314" s="31" t="str">
        <f>'Table001 (Page 1-6)'!T307</f>
        <v>0.46</v>
      </c>
      <c r="T314" s="29" t="str">
        <f>'Table001 (Page 1-6)'!U307</f>
        <v>C</v>
      </c>
      <c r="U314" s="29"/>
      <c r="V314" s="29"/>
      <c r="W314" s="29"/>
      <c r="X314" s="29"/>
      <c r="Y314" s="29"/>
      <c r="Z314" s="29"/>
      <c r="AA314" s="29"/>
      <c r="AB314" s="29"/>
      <c r="AC314" s="31"/>
      <c r="AD314" s="29"/>
      <c r="AE314" s="29"/>
      <c r="AF314" s="29"/>
      <c r="AG314" s="31"/>
      <c r="AH314" s="29"/>
      <c r="AI314" s="32">
        <f>('Table001 (Page 1-6)'!V307)*100</f>
        <v>6.9599999999999991</v>
      </c>
      <c r="AJ314" s="35"/>
      <c r="AK314" s="35"/>
      <c r="AL314" s="35"/>
      <c r="AM314" s="35"/>
    </row>
    <row r="315" spans="2:39" x14ac:dyDescent="0.25">
      <c r="B315" s="37">
        <f>'Table001 (Page 1-6)'!A308</f>
        <v>4650</v>
      </c>
      <c r="C315" s="28" t="str">
        <f>'Table001 (Page 1-6)'!B308</f>
        <v>SE WATULA AVE</v>
      </c>
      <c r="D315" s="28" t="str">
        <f>'Table001 (Page 1-6)'!C308</f>
        <v>SE 8 ST</v>
      </c>
      <c r="E315" s="28" t="str">
        <f>'Table001 (Page 1-6)'!D308</f>
        <v>E FORT KING ST</v>
      </c>
      <c r="F315" s="29">
        <f>'Table001 (Page 1-6)'!E308</f>
        <v>2</v>
      </c>
      <c r="G315" s="29">
        <f>'Table001 (Page 1-6)'!K308</f>
        <v>2</v>
      </c>
      <c r="H315" s="30" t="str">
        <f>'Table001 (Page 1-6)'!R308</f>
        <v>E</v>
      </c>
      <c r="I315" s="28" t="str">
        <f>'Table001 (Page 1-6)'!F308</f>
        <v>COLLECTOR</v>
      </c>
      <c r="J315" s="29"/>
      <c r="K315" s="29"/>
      <c r="L315" s="29">
        <f>'Table001 (Page 1-6)'!I308</f>
        <v>11232</v>
      </c>
      <c r="M315" s="29"/>
      <c r="N315" s="29">
        <f>'Table001 (Page 1-6)'!J308</f>
        <v>576</v>
      </c>
      <c r="O315" s="29">
        <f>'Table001 (Page 1-6)'!L308</f>
        <v>11232</v>
      </c>
      <c r="P315" s="29"/>
      <c r="Q315" s="29">
        <f>'Table001 (Page 1-6)'!M308</f>
        <v>576</v>
      </c>
      <c r="R315" s="29" t="str">
        <f>'Table001 (Page 1-6)'!S308</f>
        <v>4,600</v>
      </c>
      <c r="S315" s="31" t="str">
        <f>'Table001 (Page 1-6)'!T308</f>
        <v>0.41</v>
      </c>
      <c r="T315" s="29" t="str">
        <f>'Table001 (Page 1-6)'!U308</f>
        <v>C</v>
      </c>
      <c r="U315" s="29"/>
      <c r="V315" s="29"/>
      <c r="W315" s="29"/>
      <c r="X315" s="29"/>
      <c r="Y315" s="29"/>
      <c r="Z315" s="29"/>
      <c r="AA315" s="29"/>
      <c r="AB315" s="29"/>
      <c r="AC315" s="31"/>
      <c r="AD315" s="29"/>
      <c r="AE315" s="29"/>
      <c r="AF315" s="29"/>
      <c r="AG315" s="31"/>
      <c r="AH315" s="29"/>
      <c r="AI315" s="32">
        <f>('Table001 (Page 1-6)'!V308)*100</f>
        <v>1.39</v>
      </c>
      <c r="AJ315" s="35"/>
      <c r="AK315" s="35"/>
      <c r="AL315" s="35"/>
      <c r="AM315" s="35"/>
    </row>
    <row r="316" spans="2:39" x14ac:dyDescent="0.25">
      <c r="B316" s="37">
        <f>'Table001 (Page 1-6)'!A309</f>
        <v>4660</v>
      </c>
      <c r="C316" s="28" t="str">
        <f>'Table001 (Page 1-6)'!B309</f>
        <v>SE WATULA AVE</v>
      </c>
      <c r="D316" s="28" t="str">
        <f>'Table001 (Page 1-6)'!C309</f>
        <v>E FORT KING ST</v>
      </c>
      <c r="E316" s="28" t="str">
        <f>'Table001 (Page 1-6)'!D309</f>
        <v>SR 40</v>
      </c>
      <c r="F316" s="29">
        <f>'Table001 (Page 1-6)'!E309</f>
        <v>2</v>
      </c>
      <c r="G316" s="29">
        <f>'Table001 (Page 1-6)'!K309</f>
        <v>2</v>
      </c>
      <c r="H316" s="30" t="str">
        <f>'Table001 (Page 1-6)'!R309</f>
        <v>E</v>
      </c>
      <c r="I316" s="28" t="str">
        <f>'Table001 (Page 1-6)'!F309</f>
        <v>COLLECTOR</v>
      </c>
      <c r="J316" s="29"/>
      <c r="K316" s="29"/>
      <c r="L316" s="29">
        <f>'Table001 (Page 1-6)'!I309</f>
        <v>11232</v>
      </c>
      <c r="M316" s="29"/>
      <c r="N316" s="29">
        <f>'Table001 (Page 1-6)'!J309</f>
        <v>576</v>
      </c>
      <c r="O316" s="29">
        <f>'Table001 (Page 1-6)'!L309</f>
        <v>11232</v>
      </c>
      <c r="P316" s="29"/>
      <c r="Q316" s="29">
        <f>'Table001 (Page 1-6)'!M309</f>
        <v>576</v>
      </c>
      <c r="R316" s="29" t="str">
        <f>'Table001 (Page 1-6)'!S309</f>
        <v>3,400</v>
      </c>
      <c r="S316" s="31" t="str">
        <f>'Table001 (Page 1-6)'!T309</f>
        <v>0.3</v>
      </c>
      <c r="T316" s="29" t="str">
        <f>'Table001 (Page 1-6)'!U309</f>
        <v>C</v>
      </c>
      <c r="U316" s="29"/>
      <c r="V316" s="29"/>
      <c r="W316" s="29"/>
      <c r="X316" s="29"/>
      <c r="Y316" s="29"/>
      <c r="Z316" s="29"/>
      <c r="AA316" s="29"/>
      <c r="AB316" s="29"/>
      <c r="AC316" s="31"/>
      <c r="AD316" s="29"/>
      <c r="AE316" s="29"/>
      <c r="AF316" s="29"/>
      <c r="AG316" s="31"/>
      <c r="AH316" s="29"/>
      <c r="AI316" s="32">
        <f>('Table001 (Page 1-6)'!V309)*100</f>
        <v>1.39</v>
      </c>
      <c r="AJ316" s="35"/>
      <c r="AK316" s="35"/>
      <c r="AL316" s="35"/>
      <c r="AM316" s="35"/>
    </row>
    <row r="317" spans="2:39" x14ac:dyDescent="0.25">
      <c r="B317" s="37">
        <f>'Table001 (Page 1-6)'!A310</f>
        <v>4670.1000000000004</v>
      </c>
      <c r="C317" s="28" t="str">
        <f>'Table001 (Page 1-6)'!B310</f>
        <v>SR 19</v>
      </c>
      <c r="D317" s="28" t="str">
        <f>'Table001 (Page 1-6)'!C310</f>
        <v>COUNTY LINE (S)</v>
      </c>
      <c r="E317" s="28" t="str">
        <f>'Table001 (Page 1-6)'!D310</f>
        <v>SR 40</v>
      </c>
      <c r="F317" s="29">
        <f>'Table001 (Page 1-6)'!E310</f>
        <v>2</v>
      </c>
      <c r="G317" s="29">
        <f>'Table001 (Page 1-6)'!K310</f>
        <v>2</v>
      </c>
      <c r="H317" s="30" t="str">
        <f>'Table001 (Page 1-6)'!R310</f>
        <v>C</v>
      </c>
      <c r="I317" s="28" t="str">
        <f>'Table001 (Page 1-6)'!F310</f>
        <v>ARTERIAL</v>
      </c>
      <c r="J317" s="29"/>
      <c r="K317" s="29"/>
      <c r="L317" s="29">
        <f>'Table001 (Page 1-6)'!I310</f>
        <v>8200</v>
      </c>
      <c r="M317" s="29"/>
      <c r="N317" s="29">
        <f>'Table001 (Page 1-6)'!J310</f>
        <v>430</v>
      </c>
      <c r="O317" s="29">
        <f>'Table001 (Page 1-6)'!L310</f>
        <v>8200</v>
      </c>
      <c r="P317" s="29"/>
      <c r="Q317" s="29">
        <f>'Table001 (Page 1-6)'!M310</f>
        <v>430</v>
      </c>
      <c r="R317" s="29" t="str">
        <f>'Table001 (Page 1-6)'!S310</f>
        <v>2,400</v>
      </c>
      <c r="S317" s="31" t="str">
        <f>'Table001 (Page 1-6)'!T310</f>
        <v>0.29</v>
      </c>
      <c r="T317" s="29" t="str">
        <f>'Table001 (Page 1-6)'!U310</f>
        <v>B</v>
      </c>
      <c r="U317" s="29"/>
      <c r="V317" s="29"/>
      <c r="W317" s="29"/>
      <c r="X317" s="29"/>
      <c r="Y317" s="29"/>
      <c r="Z317" s="29"/>
      <c r="AA317" s="29"/>
      <c r="AB317" s="29"/>
      <c r="AC317" s="31"/>
      <c r="AD317" s="29"/>
      <c r="AE317" s="29"/>
      <c r="AF317" s="29"/>
      <c r="AG317" s="31"/>
      <c r="AH317" s="29"/>
      <c r="AI317" s="32">
        <f>('Table001 (Page 1-6)'!V310)*100</f>
        <v>7.9600000000000009</v>
      </c>
      <c r="AJ317" s="35"/>
      <c r="AK317" s="35"/>
      <c r="AL317" s="35"/>
      <c r="AM317" s="35"/>
    </row>
    <row r="318" spans="2:39" x14ac:dyDescent="0.25">
      <c r="B318" s="37">
        <f>'Table001 (Page 1-6)'!A311</f>
        <v>4670.2</v>
      </c>
      <c r="C318" s="28" t="str">
        <f>'Table001 (Page 1-6)'!B311</f>
        <v>SR 19</v>
      </c>
      <c r="D318" s="28" t="str">
        <f>'Table001 (Page 1-6)'!C311</f>
        <v>SR 40</v>
      </c>
      <c r="E318" s="28" t="str">
        <f>'Table001 (Page 1-6)'!D311</f>
        <v>COUNTY LINE (N)</v>
      </c>
      <c r="F318" s="29">
        <f>'Table001 (Page 1-6)'!E311</f>
        <v>2</v>
      </c>
      <c r="G318" s="29">
        <f>'Table001 (Page 1-6)'!K311</f>
        <v>2</v>
      </c>
      <c r="H318" s="30" t="str">
        <f>'Table001 (Page 1-6)'!R311</f>
        <v>C</v>
      </c>
      <c r="I318" s="28" t="str">
        <f>'Table001 (Page 1-6)'!F311</f>
        <v>ARTERIAL</v>
      </c>
      <c r="J318" s="29"/>
      <c r="K318" s="29"/>
      <c r="L318" s="29">
        <f>'Table001 (Page 1-6)'!I311</f>
        <v>8200</v>
      </c>
      <c r="M318" s="29"/>
      <c r="N318" s="29">
        <f>'Table001 (Page 1-6)'!J311</f>
        <v>430</v>
      </c>
      <c r="O318" s="29">
        <f>'Table001 (Page 1-6)'!L311</f>
        <v>8200</v>
      </c>
      <c r="P318" s="29"/>
      <c r="Q318" s="29">
        <f>'Table001 (Page 1-6)'!M311</f>
        <v>430</v>
      </c>
      <c r="R318" s="29" t="str">
        <f>'Table001 (Page 1-6)'!S311</f>
        <v>2,400</v>
      </c>
      <c r="S318" s="31" t="str">
        <f>'Table001 (Page 1-6)'!T311</f>
        <v>0.29</v>
      </c>
      <c r="T318" s="29" t="str">
        <f>'Table001 (Page 1-6)'!U311</f>
        <v>B</v>
      </c>
      <c r="U318" s="29"/>
      <c r="V318" s="29"/>
      <c r="W318" s="29"/>
      <c r="X318" s="29"/>
      <c r="Y318" s="29"/>
      <c r="Z318" s="29"/>
      <c r="AA318" s="29"/>
      <c r="AB318" s="29"/>
      <c r="AC318" s="31"/>
      <c r="AD318" s="29"/>
      <c r="AE318" s="29"/>
      <c r="AF318" s="29"/>
      <c r="AG318" s="31"/>
      <c r="AH318" s="29"/>
      <c r="AI318" s="32">
        <f>('Table001 (Page 1-6)'!V311)*100</f>
        <v>7.9600000000000009</v>
      </c>
      <c r="AJ318" s="35"/>
      <c r="AK318" s="35"/>
      <c r="AL318" s="35"/>
      <c r="AM318" s="35"/>
    </row>
    <row r="319" spans="2:39" x14ac:dyDescent="0.25">
      <c r="B319" s="37">
        <f>'Table001 (Page 1-6)'!A312</f>
        <v>4690.1000000000004</v>
      </c>
      <c r="C319" s="28" t="str">
        <f>'Table001 (Page 1-6)'!B312</f>
        <v>SR 200</v>
      </c>
      <c r="D319" s="28" t="str">
        <f>'Table001 (Page 1-6)'!C312</f>
        <v>COUNTY LINE</v>
      </c>
      <c r="E319" s="28" t="str">
        <f>'Table001 (Page 1-6)'!D312</f>
        <v>1/4 MI SW OF CR 484</v>
      </c>
      <c r="F319" s="29">
        <f>'Table001 (Page 1-6)'!E312</f>
        <v>2</v>
      </c>
      <c r="G319" s="29">
        <f>'Table001 (Page 1-6)'!K312</f>
        <v>2</v>
      </c>
      <c r="H319" s="30" t="str">
        <f>'Table001 (Page 1-6)'!R312</f>
        <v>C</v>
      </c>
      <c r="I319" s="28" t="str">
        <f>'Table001 (Page 1-6)'!F312</f>
        <v>ARTERIAL</v>
      </c>
      <c r="J319" s="29"/>
      <c r="K319" s="29"/>
      <c r="L319" s="29">
        <f>'Table001 (Page 1-6)'!I312</f>
        <v>8200</v>
      </c>
      <c r="M319" s="29"/>
      <c r="N319" s="29">
        <f>'Table001 (Page 1-6)'!J312</f>
        <v>430</v>
      </c>
      <c r="O319" s="29">
        <f>'Table001 (Page 1-6)'!L312</f>
        <v>8200</v>
      </c>
      <c r="P319" s="29"/>
      <c r="Q319" s="29">
        <f>'Table001 (Page 1-6)'!M312</f>
        <v>430</v>
      </c>
      <c r="R319" s="29" t="str">
        <f>'Table001 (Page 1-6)'!S312</f>
        <v>15,800</v>
      </c>
      <c r="S319" s="31" t="str">
        <f>'Table001 (Page 1-6)'!T312</f>
        <v>1.93</v>
      </c>
      <c r="T319" s="29" t="str">
        <f>'Table001 (Page 1-6)'!U312</f>
        <v>E</v>
      </c>
      <c r="U319" s="29"/>
      <c r="V319" s="29"/>
      <c r="W319" s="29"/>
      <c r="X319" s="29"/>
      <c r="Y319" s="29"/>
      <c r="Z319" s="29"/>
      <c r="AA319" s="29"/>
      <c r="AB319" s="29"/>
      <c r="AC319" s="31"/>
      <c r="AD319" s="29"/>
      <c r="AE319" s="29"/>
      <c r="AF319" s="29"/>
      <c r="AG319" s="31"/>
      <c r="AH319" s="29"/>
      <c r="AI319" s="32">
        <f>('Table001 (Page 1-6)'!V312)*100</f>
        <v>1</v>
      </c>
      <c r="AJ319" s="35"/>
      <c r="AK319" s="35"/>
      <c r="AL319" s="35"/>
      <c r="AM319" s="35"/>
    </row>
    <row r="320" spans="2:39" x14ac:dyDescent="0.25">
      <c r="B320" s="37">
        <f>'Table001 (Page 1-6)'!A313</f>
        <v>4690.2</v>
      </c>
      <c r="C320" s="28" t="str">
        <f>'Table001 (Page 1-6)'!B313</f>
        <v>SR 200</v>
      </c>
      <c r="D320" s="28" t="str">
        <f>'Table001 (Page 1-6)'!C313</f>
        <v>1/4 MI SW OF CR 484</v>
      </c>
      <c r="E320" s="28" t="str">
        <f>'Table001 (Page 1-6)'!D313</f>
        <v>CR 484</v>
      </c>
      <c r="F320" s="29">
        <f>'Table001 (Page 1-6)'!E313</f>
        <v>4</v>
      </c>
      <c r="G320" s="29">
        <f>'Table001 (Page 1-6)'!K313</f>
        <v>4</v>
      </c>
      <c r="H320" s="30" t="str">
        <f>'Table001 (Page 1-6)'!R313</f>
        <v>C</v>
      </c>
      <c r="I320" s="28" t="str">
        <f>'Table001 (Page 1-6)'!F313</f>
        <v>ARTERIAL</v>
      </c>
      <c r="J320" s="29"/>
      <c r="K320" s="29"/>
      <c r="L320" s="29">
        <f>'Table001 (Page 1-6)'!I313</f>
        <v>33847</v>
      </c>
      <c r="M320" s="29"/>
      <c r="N320" s="29">
        <f>'Table001 (Page 1-6)'!J313</f>
        <v>1676</v>
      </c>
      <c r="O320" s="29">
        <f>'Table001 (Page 1-6)'!L313</f>
        <v>33847</v>
      </c>
      <c r="P320" s="29"/>
      <c r="Q320" s="29">
        <f>'Table001 (Page 1-6)'!M313</f>
        <v>1676</v>
      </c>
      <c r="R320" s="29" t="str">
        <f>'Table001 (Page 1-6)'!S313</f>
        <v>15,800</v>
      </c>
      <c r="S320" s="31" t="str">
        <f>'Table001 (Page 1-6)'!T313</f>
        <v>0.47</v>
      </c>
      <c r="T320" s="29" t="str">
        <f>'Table001 (Page 1-6)'!U313</f>
        <v>C</v>
      </c>
      <c r="U320" s="29"/>
      <c r="V320" s="29"/>
      <c r="W320" s="29"/>
      <c r="X320" s="29"/>
      <c r="Y320" s="29"/>
      <c r="Z320" s="29"/>
      <c r="AA320" s="29"/>
      <c r="AB320" s="29"/>
      <c r="AC320" s="31"/>
      <c r="AD320" s="29"/>
      <c r="AE320" s="29"/>
      <c r="AF320" s="29"/>
      <c r="AG320" s="31"/>
      <c r="AH320" s="29"/>
      <c r="AI320" s="32">
        <f>('Table001 (Page 1-6)'!V313)*100</f>
        <v>1</v>
      </c>
      <c r="AJ320" s="35"/>
      <c r="AK320" s="35"/>
      <c r="AL320" s="35"/>
      <c r="AM320" s="35"/>
    </row>
    <row r="321" spans="2:39" x14ac:dyDescent="0.25">
      <c r="B321" s="37">
        <f>'Table001 (Page 1-6)'!A314</f>
        <v>4700</v>
      </c>
      <c r="C321" s="28" t="str">
        <f>'Table001 (Page 1-6)'!B314</f>
        <v>SR 200</v>
      </c>
      <c r="D321" s="28" t="str">
        <f>'Table001 (Page 1-6)'!C314</f>
        <v>CR 484</v>
      </c>
      <c r="E321" s="28" t="str">
        <f>'Table001 (Page 1-6)'!D314</f>
        <v>SE 95 TH CIR</v>
      </c>
      <c r="F321" s="29">
        <f>'Table001 (Page 1-6)'!E314</f>
        <v>6</v>
      </c>
      <c r="G321" s="29">
        <f>'Table001 (Page 1-6)'!K314</f>
        <v>6</v>
      </c>
      <c r="H321" s="30" t="str">
        <f>'Table001 (Page 1-6)'!R314</f>
        <v>D</v>
      </c>
      <c r="I321" s="28" t="str">
        <f>'Table001 (Page 1-6)'!F314</f>
        <v>ARTERIAL</v>
      </c>
      <c r="J321" s="29"/>
      <c r="K321" s="29"/>
      <c r="L321" s="29">
        <f>'Table001 (Page 1-6)'!I314</f>
        <v>56805</v>
      </c>
      <c r="M321" s="29"/>
      <c r="N321" s="29">
        <f>'Table001 (Page 1-6)'!J314</f>
        <v>2814</v>
      </c>
      <c r="O321" s="29">
        <f>'Table001 (Page 1-6)'!L314</f>
        <v>56805</v>
      </c>
      <c r="P321" s="29"/>
      <c r="Q321" s="29">
        <f>'Table001 (Page 1-6)'!M314</f>
        <v>2814</v>
      </c>
      <c r="R321" s="29" t="str">
        <f>'Table001 (Page 1-6)'!S314</f>
        <v>27,600</v>
      </c>
      <c r="S321" s="31" t="str">
        <f>'Table001 (Page 1-6)'!T314</f>
        <v>0.49</v>
      </c>
      <c r="T321" s="29" t="str">
        <f>'Table001 (Page 1-6)'!U314</f>
        <v>C</v>
      </c>
      <c r="U321" s="29"/>
      <c r="V321" s="29"/>
      <c r="W321" s="29"/>
      <c r="X321" s="29"/>
      <c r="Y321" s="29"/>
      <c r="Z321" s="29"/>
      <c r="AA321" s="29"/>
      <c r="AB321" s="29"/>
      <c r="AC321" s="31"/>
      <c r="AD321" s="29"/>
      <c r="AE321" s="29"/>
      <c r="AF321" s="29"/>
      <c r="AG321" s="31"/>
      <c r="AH321" s="29"/>
      <c r="AI321" s="32">
        <f>('Table001 (Page 1-6)'!V314)*100</f>
        <v>4.2700000000000005</v>
      </c>
      <c r="AJ321" s="35"/>
      <c r="AK321" s="35"/>
      <c r="AL321" s="35"/>
      <c r="AM321" s="35"/>
    </row>
    <row r="322" spans="2:39" x14ac:dyDescent="0.25">
      <c r="B322" s="37">
        <f>'Table001 (Page 1-6)'!A315</f>
        <v>4710</v>
      </c>
      <c r="C322" s="28" t="str">
        <f>'Table001 (Page 1-6)'!B315</f>
        <v>SR 200</v>
      </c>
      <c r="D322" s="28" t="str">
        <f>'Table001 (Page 1-6)'!C315</f>
        <v>SE 95 TH CIR</v>
      </c>
      <c r="E322" s="28" t="str">
        <f>'Table001 (Page 1-6)'!D315</f>
        <v>SW 80 AV</v>
      </c>
      <c r="F322" s="29">
        <f>'Table001 (Page 1-6)'!E315</f>
        <v>6</v>
      </c>
      <c r="G322" s="29">
        <f>'Table001 (Page 1-6)'!K315</f>
        <v>6</v>
      </c>
      <c r="H322" s="30" t="str">
        <f>'Table001 (Page 1-6)'!R315</f>
        <v>D</v>
      </c>
      <c r="I322" s="28" t="str">
        <f>'Table001 (Page 1-6)'!F315</f>
        <v>ARTERIAL</v>
      </c>
      <c r="J322" s="29"/>
      <c r="K322" s="29"/>
      <c r="L322" s="29">
        <f>'Table001 (Page 1-6)'!I315</f>
        <v>56805</v>
      </c>
      <c r="M322" s="29"/>
      <c r="N322" s="29">
        <f>'Table001 (Page 1-6)'!J315</f>
        <v>2814</v>
      </c>
      <c r="O322" s="29">
        <f>'Table001 (Page 1-6)'!L315</f>
        <v>56805</v>
      </c>
      <c r="P322" s="29"/>
      <c r="Q322" s="29">
        <f>'Table001 (Page 1-6)'!M315</f>
        <v>2814</v>
      </c>
      <c r="R322" s="29" t="str">
        <f>'Table001 (Page 1-6)'!S315</f>
        <v>31,300</v>
      </c>
      <c r="S322" s="31" t="str">
        <f>'Table001 (Page 1-6)'!T315</f>
        <v>0.55</v>
      </c>
      <c r="T322" s="29" t="str">
        <f>'Table001 (Page 1-6)'!U315</f>
        <v>C</v>
      </c>
      <c r="U322" s="29"/>
      <c r="V322" s="29"/>
      <c r="W322" s="29"/>
      <c r="X322" s="29"/>
      <c r="Y322" s="29"/>
      <c r="Z322" s="29"/>
      <c r="AA322" s="29"/>
      <c r="AB322" s="29"/>
      <c r="AC322" s="31"/>
      <c r="AD322" s="29"/>
      <c r="AE322" s="29"/>
      <c r="AF322" s="29"/>
      <c r="AG322" s="31"/>
      <c r="AH322" s="29"/>
      <c r="AI322" s="32">
        <f>('Table001 (Page 1-6)'!V315)*100</f>
        <v>1</v>
      </c>
      <c r="AJ322" s="35"/>
      <c r="AK322" s="35"/>
      <c r="AL322" s="35"/>
      <c r="AM322" s="35"/>
    </row>
    <row r="323" spans="2:39" x14ac:dyDescent="0.25">
      <c r="B323" s="37">
        <f>'Table001 (Page 1-6)'!A316</f>
        <v>4770</v>
      </c>
      <c r="C323" s="28" t="str">
        <f>'Table001 (Page 1-6)'!B316</f>
        <v>SR 200</v>
      </c>
      <c r="D323" s="28" t="str">
        <f>'Table001 (Page 1-6)'!C316</f>
        <v>SW 80 AV</v>
      </c>
      <c r="E323" s="28" t="str">
        <f>'Table001 (Page 1-6)'!D316</f>
        <v>SW 60 AV</v>
      </c>
      <c r="F323" s="29">
        <f>'Table001 (Page 1-6)'!E316</f>
        <v>6</v>
      </c>
      <c r="G323" s="29">
        <f>'Table001 (Page 1-6)'!K316</f>
        <v>6</v>
      </c>
      <c r="H323" s="30" t="str">
        <f>'Table001 (Page 1-6)'!R316</f>
        <v>D</v>
      </c>
      <c r="I323" s="28" t="str">
        <f>'Table001 (Page 1-6)'!F316</f>
        <v>ARTERIAL</v>
      </c>
      <c r="J323" s="29"/>
      <c r="K323" s="29"/>
      <c r="L323" s="29">
        <f>'Table001 (Page 1-6)'!I316</f>
        <v>56805</v>
      </c>
      <c r="M323" s="29"/>
      <c r="N323" s="29">
        <f>'Table001 (Page 1-6)'!J316</f>
        <v>2814</v>
      </c>
      <c r="O323" s="29">
        <f>'Table001 (Page 1-6)'!L316</f>
        <v>56805</v>
      </c>
      <c r="P323" s="29"/>
      <c r="Q323" s="29">
        <f>'Table001 (Page 1-6)'!M316</f>
        <v>2814</v>
      </c>
      <c r="R323" s="29" t="str">
        <f>'Table001 (Page 1-6)'!S316</f>
        <v>44,600</v>
      </c>
      <c r="S323" s="31" t="str">
        <f>'Table001 (Page 1-6)'!T316</f>
        <v>0.79</v>
      </c>
      <c r="T323" s="29" t="str">
        <f>'Table001 (Page 1-6)'!U316</f>
        <v>C</v>
      </c>
      <c r="U323" s="29"/>
      <c r="V323" s="29"/>
      <c r="W323" s="29"/>
      <c r="X323" s="29"/>
      <c r="Y323" s="29"/>
      <c r="Z323" s="29"/>
      <c r="AA323" s="29"/>
      <c r="AB323" s="29"/>
      <c r="AC323" s="31"/>
      <c r="AD323" s="29"/>
      <c r="AE323" s="29"/>
      <c r="AF323" s="29"/>
      <c r="AG323" s="31"/>
      <c r="AH323" s="29"/>
      <c r="AI323" s="32">
        <f>('Table001 (Page 1-6)'!V316)*100</f>
        <v>1.4200000000000002</v>
      </c>
      <c r="AJ323" s="35"/>
      <c r="AK323" s="35"/>
      <c r="AL323" s="35"/>
      <c r="AM323" s="35"/>
    </row>
    <row r="324" spans="2:39" x14ac:dyDescent="0.25">
      <c r="B324" s="37">
        <f>'Table001 (Page 1-6)'!A317</f>
        <v>4800</v>
      </c>
      <c r="C324" s="28" t="str">
        <f>'Table001 (Page 1-6)'!B317</f>
        <v>SR 200</v>
      </c>
      <c r="D324" s="28" t="str">
        <f>'Table001 (Page 1-6)'!C317</f>
        <v>SW 60 AV</v>
      </c>
      <c r="E324" s="28" t="str">
        <f>'Table001 (Page 1-6)'!D317</f>
        <v>SW 48TH AVE</v>
      </c>
      <c r="F324" s="29">
        <f>'Table001 (Page 1-6)'!E317</f>
        <v>6</v>
      </c>
      <c r="G324" s="29">
        <f>'Table001 (Page 1-6)'!K317</f>
        <v>6</v>
      </c>
      <c r="H324" s="30" t="str">
        <f>'Table001 (Page 1-6)'!R317</f>
        <v>D</v>
      </c>
      <c r="I324" s="28" t="str">
        <f>'Table001 (Page 1-6)'!F317</f>
        <v>ARTERIAL</v>
      </c>
      <c r="J324" s="29"/>
      <c r="K324" s="29"/>
      <c r="L324" s="29">
        <f>'Table001 (Page 1-6)'!I317</f>
        <v>56805</v>
      </c>
      <c r="M324" s="29"/>
      <c r="N324" s="29">
        <f>'Table001 (Page 1-6)'!J317</f>
        <v>2814</v>
      </c>
      <c r="O324" s="29">
        <f>'Table001 (Page 1-6)'!L317</f>
        <v>56805</v>
      </c>
      <c r="P324" s="29"/>
      <c r="Q324" s="29">
        <f>'Table001 (Page 1-6)'!M317</f>
        <v>2814</v>
      </c>
      <c r="R324" s="29" t="str">
        <f>'Table001 (Page 1-6)'!S317</f>
        <v>42,400</v>
      </c>
      <c r="S324" s="31" t="str">
        <f>'Table001 (Page 1-6)'!T317</f>
        <v>0.75</v>
      </c>
      <c r="T324" s="29" t="str">
        <f>'Table001 (Page 1-6)'!U317</f>
        <v>C</v>
      </c>
      <c r="U324" s="29"/>
      <c r="V324" s="29"/>
      <c r="W324" s="29"/>
      <c r="X324" s="29"/>
      <c r="Y324" s="29"/>
      <c r="Z324" s="29"/>
      <c r="AA324" s="29"/>
      <c r="AB324" s="29"/>
      <c r="AC324" s="31"/>
      <c r="AD324" s="29"/>
      <c r="AE324" s="29"/>
      <c r="AF324" s="29"/>
      <c r="AG324" s="31"/>
      <c r="AH324" s="29"/>
      <c r="AI324" s="32">
        <f>('Table001 (Page 1-6)'!V317)*100</f>
        <v>1</v>
      </c>
      <c r="AJ324" s="35"/>
      <c r="AK324" s="35"/>
      <c r="AL324" s="35"/>
      <c r="AM324" s="35"/>
    </row>
    <row r="325" spans="2:39" x14ac:dyDescent="0.25">
      <c r="B325" s="37">
        <f>'Table001 (Page 1-6)'!A318</f>
        <v>4810.2</v>
      </c>
      <c r="C325" s="28" t="str">
        <f>'Table001 (Page 1-6)'!B318</f>
        <v>SR 200</v>
      </c>
      <c r="D325" s="28" t="str">
        <f>'Table001 (Page 1-6)'!C318</f>
        <v>SW 48TH AVE</v>
      </c>
      <c r="E325" s="28" t="str">
        <f>'Table001 (Page 1-6)'!D318</f>
        <v>SW 44 CT</v>
      </c>
      <c r="F325" s="29">
        <f>'Table001 (Page 1-6)'!E318</f>
        <v>6</v>
      </c>
      <c r="G325" s="29">
        <f>'Table001 (Page 1-6)'!K318</f>
        <v>6</v>
      </c>
      <c r="H325" s="30" t="str">
        <f>'Table001 (Page 1-6)'!R318</f>
        <v>D</v>
      </c>
      <c r="I325" s="28" t="str">
        <f>'Table001 (Page 1-6)'!F318</f>
        <v>ARTERIAL</v>
      </c>
      <c r="J325" s="29"/>
      <c r="K325" s="29"/>
      <c r="L325" s="29">
        <f>'Table001 (Page 1-6)'!I318</f>
        <v>56805</v>
      </c>
      <c r="M325" s="29"/>
      <c r="N325" s="29">
        <f>'Table001 (Page 1-6)'!J318</f>
        <v>2814</v>
      </c>
      <c r="O325" s="29">
        <f>'Table001 (Page 1-6)'!L318</f>
        <v>56805</v>
      </c>
      <c r="P325" s="29"/>
      <c r="Q325" s="29">
        <f>'Table001 (Page 1-6)'!M318</f>
        <v>2814</v>
      </c>
      <c r="R325" s="29" t="str">
        <f>'Table001 (Page 1-6)'!S318</f>
        <v>41,200</v>
      </c>
      <c r="S325" s="31" t="str">
        <f>'Table001 (Page 1-6)'!T318</f>
        <v>0.73</v>
      </c>
      <c r="T325" s="29" t="str">
        <f>'Table001 (Page 1-6)'!U318</f>
        <v>C</v>
      </c>
      <c r="U325" s="29"/>
      <c r="V325" s="29"/>
      <c r="W325" s="29"/>
      <c r="X325" s="29"/>
      <c r="Y325" s="29"/>
      <c r="Z325" s="29"/>
      <c r="AA325" s="29"/>
      <c r="AB325" s="29"/>
      <c r="AC325" s="31"/>
      <c r="AD325" s="29"/>
      <c r="AE325" s="29"/>
      <c r="AF325" s="29"/>
      <c r="AG325" s="31"/>
      <c r="AH325" s="29"/>
      <c r="AI325" s="32">
        <f>('Table001 (Page 1-6)'!V318)*100</f>
        <v>1</v>
      </c>
      <c r="AJ325" s="35"/>
      <c r="AK325" s="35"/>
      <c r="AL325" s="35"/>
      <c r="AM325" s="35"/>
    </row>
    <row r="326" spans="2:39" x14ac:dyDescent="0.25">
      <c r="B326" s="37">
        <f>'Table001 (Page 1-6)'!A319</f>
        <v>4820.1000000000004</v>
      </c>
      <c r="C326" s="28" t="str">
        <f>'Table001 (Page 1-6)'!B319</f>
        <v>SR 200</v>
      </c>
      <c r="D326" s="28" t="str">
        <f>'Table001 (Page 1-6)'!C319</f>
        <v>SW 44 CT</v>
      </c>
      <c r="E326" s="28" t="str">
        <f>'Table001 (Page 1-6)'!D319</f>
        <v>I-75</v>
      </c>
      <c r="F326" s="29">
        <f>'Table001 (Page 1-6)'!E319</f>
        <v>6</v>
      </c>
      <c r="G326" s="29">
        <f>'Table001 (Page 1-6)'!K319</f>
        <v>6</v>
      </c>
      <c r="H326" s="30" t="str">
        <f>'Table001 (Page 1-6)'!R319</f>
        <v>D</v>
      </c>
      <c r="I326" s="28" t="str">
        <f>'Table001 (Page 1-6)'!F319</f>
        <v>ARTERIAL</v>
      </c>
      <c r="J326" s="29"/>
      <c r="K326" s="29"/>
      <c r="L326" s="29">
        <f>'Table001 (Page 1-6)'!I319</f>
        <v>56805</v>
      </c>
      <c r="M326" s="29"/>
      <c r="N326" s="29">
        <f>'Table001 (Page 1-6)'!J319</f>
        <v>2814</v>
      </c>
      <c r="O326" s="29">
        <f>'Table001 (Page 1-6)'!L319</f>
        <v>56805</v>
      </c>
      <c r="P326" s="29"/>
      <c r="Q326" s="29">
        <f>'Table001 (Page 1-6)'!M319</f>
        <v>2814</v>
      </c>
      <c r="R326" s="29" t="str">
        <f>'Table001 (Page 1-6)'!S319</f>
        <v>43,400</v>
      </c>
      <c r="S326" s="31" t="str">
        <f>'Table001 (Page 1-6)'!T319</f>
        <v>0.76</v>
      </c>
      <c r="T326" s="29" t="str">
        <f>'Table001 (Page 1-6)'!U319</f>
        <v>C</v>
      </c>
      <c r="U326" s="29"/>
      <c r="V326" s="29"/>
      <c r="W326" s="29"/>
      <c r="X326" s="29"/>
      <c r="Y326" s="29"/>
      <c r="Z326" s="29"/>
      <c r="AA326" s="29"/>
      <c r="AB326" s="29"/>
      <c r="AC326" s="31"/>
      <c r="AD326" s="29"/>
      <c r="AE326" s="29"/>
      <c r="AF326" s="29"/>
      <c r="AG326" s="31"/>
      <c r="AH326" s="29"/>
      <c r="AI326" s="32">
        <f>('Table001 (Page 1-6)'!V319)*100</f>
        <v>1</v>
      </c>
      <c r="AJ326" s="35"/>
      <c r="AK326" s="35"/>
      <c r="AL326" s="35"/>
      <c r="AM326" s="35"/>
    </row>
    <row r="327" spans="2:39" x14ac:dyDescent="0.25">
      <c r="B327" s="37">
        <f>'Table001 (Page 1-6)'!A320</f>
        <v>4850</v>
      </c>
      <c r="C327" s="28" t="str">
        <f>'Table001 (Page 1-6)'!B320</f>
        <v>SR 200</v>
      </c>
      <c r="D327" s="28" t="str">
        <f>'Table001 (Page 1-6)'!C320</f>
        <v>I-75</v>
      </c>
      <c r="E327" s="28" t="str">
        <f>'Table001 (Page 1-6)'!D320</f>
        <v>SW 32 AV</v>
      </c>
      <c r="F327" s="29">
        <f>'Table001 (Page 1-6)'!E320</f>
        <v>6</v>
      </c>
      <c r="G327" s="29">
        <f>'Table001 (Page 1-6)'!K320</f>
        <v>6</v>
      </c>
      <c r="H327" s="30" t="str">
        <f>'Table001 (Page 1-6)'!R320</f>
        <v>D</v>
      </c>
      <c r="I327" s="28" t="str">
        <f>'Table001 (Page 1-6)'!F320</f>
        <v>ARTERIAL</v>
      </c>
      <c r="J327" s="29"/>
      <c r="K327" s="29"/>
      <c r="L327" s="29">
        <f>'Table001 (Page 1-6)'!I320</f>
        <v>56805</v>
      </c>
      <c r="M327" s="29"/>
      <c r="N327" s="29">
        <f>'Table001 (Page 1-6)'!J320</f>
        <v>2814</v>
      </c>
      <c r="O327" s="29">
        <f>'Table001 (Page 1-6)'!L320</f>
        <v>56805</v>
      </c>
      <c r="P327" s="29"/>
      <c r="Q327" s="29">
        <f>'Table001 (Page 1-6)'!M320</f>
        <v>2814</v>
      </c>
      <c r="R327" s="29" t="str">
        <f>'Table001 (Page 1-6)'!S320</f>
        <v>43,400</v>
      </c>
      <c r="S327" s="31" t="str">
        <f>'Table001 (Page 1-6)'!T320</f>
        <v>0.76</v>
      </c>
      <c r="T327" s="29" t="str">
        <f>'Table001 (Page 1-6)'!U320</f>
        <v>C</v>
      </c>
      <c r="U327" s="29"/>
      <c r="V327" s="29"/>
      <c r="W327" s="29"/>
      <c r="X327" s="29"/>
      <c r="Y327" s="29"/>
      <c r="Z327" s="29"/>
      <c r="AA327" s="29"/>
      <c r="AB327" s="29"/>
      <c r="AC327" s="31"/>
      <c r="AD327" s="29"/>
      <c r="AE327" s="29"/>
      <c r="AF327" s="29"/>
      <c r="AG327" s="31"/>
      <c r="AH327" s="29"/>
      <c r="AI327" s="32">
        <f>('Table001 (Page 1-6)'!V320)*100</f>
        <v>1</v>
      </c>
      <c r="AJ327" s="35"/>
      <c r="AK327" s="35"/>
      <c r="AL327" s="35"/>
      <c r="AM327" s="35"/>
    </row>
    <row r="328" spans="2:39" x14ac:dyDescent="0.25">
      <c r="B328" s="37">
        <f>'Table001 (Page 1-6)'!A321</f>
        <v>4880</v>
      </c>
      <c r="C328" s="28" t="str">
        <f>'Table001 (Page 1-6)'!B321</f>
        <v>SR 200</v>
      </c>
      <c r="D328" s="28" t="str">
        <f>'Table001 (Page 1-6)'!C321</f>
        <v>SW 32 AV</v>
      </c>
      <c r="E328" s="28" t="str">
        <f>'Table001 (Page 1-6)'!D321</f>
        <v>SW 27 AV</v>
      </c>
      <c r="F328" s="29">
        <f>'Table001 (Page 1-6)'!E321</f>
        <v>6</v>
      </c>
      <c r="G328" s="29">
        <f>'Table001 (Page 1-6)'!K321</f>
        <v>6</v>
      </c>
      <c r="H328" s="30" t="str">
        <f>'Table001 (Page 1-6)'!R321</f>
        <v>D</v>
      </c>
      <c r="I328" s="28" t="str">
        <f>'Table001 (Page 1-6)'!F321</f>
        <v>ARTERIAL</v>
      </c>
      <c r="J328" s="29"/>
      <c r="K328" s="29"/>
      <c r="L328" s="29">
        <f>'Table001 (Page 1-6)'!I321</f>
        <v>56805</v>
      </c>
      <c r="M328" s="29"/>
      <c r="N328" s="29">
        <f>'Table001 (Page 1-6)'!J321</f>
        <v>2814</v>
      </c>
      <c r="O328" s="29">
        <f>'Table001 (Page 1-6)'!L321</f>
        <v>56805</v>
      </c>
      <c r="P328" s="29"/>
      <c r="Q328" s="29">
        <f>'Table001 (Page 1-6)'!M321</f>
        <v>2814</v>
      </c>
      <c r="R328" s="29" t="str">
        <f>'Table001 (Page 1-6)'!S321</f>
        <v>37,900</v>
      </c>
      <c r="S328" s="31" t="str">
        <f>'Table001 (Page 1-6)'!T321</f>
        <v>0.67</v>
      </c>
      <c r="T328" s="29" t="str">
        <f>'Table001 (Page 1-6)'!U321</f>
        <v>C</v>
      </c>
      <c r="U328" s="29"/>
      <c r="V328" s="29"/>
      <c r="W328" s="29"/>
      <c r="X328" s="29"/>
      <c r="Y328" s="29"/>
      <c r="Z328" s="29"/>
      <c r="AA328" s="29"/>
      <c r="AB328" s="29"/>
      <c r="AC328" s="31"/>
      <c r="AD328" s="29"/>
      <c r="AE328" s="29"/>
      <c r="AF328" s="29"/>
      <c r="AG328" s="31"/>
      <c r="AH328" s="29"/>
      <c r="AI328" s="32">
        <f>('Table001 (Page 1-6)'!V321)*100</f>
        <v>1</v>
      </c>
      <c r="AJ328" s="35"/>
      <c r="AK328" s="35"/>
      <c r="AL328" s="35"/>
      <c r="AM328" s="35"/>
    </row>
    <row r="329" spans="2:39" x14ac:dyDescent="0.25">
      <c r="B329" s="37">
        <f>'Table001 (Page 1-6)'!A322</f>
        <v>4900</v>
      </c>
      <c r="C329" s="28" t="str">
        <f>'Table001 (Page 1-6)'!B322</f>
        <v>SR 200</v>
      </c>
      <c r="D329" s="28" t="str">
        <f>'Table001 (Page 1-6)'!C322</f>
        <v>SW 27 AV</v>
      </c>
      <c r="E329" s="28" t="str">
        <f>'Table001 (Page 1-6)'!D322</f>
        <v>SW 20 ST</v>
      </c>
      <c r="F329" s="29">
        <f>'Table001 (Page 1-6)'!E322</f>
        <v>6</v>
      </c>
      <c r="G329" s="29">
        <f>'Table001 (Page 1-6)'!K322</f>
        <v>6</v>
      </c>
      <c r="H329" s="30" t="str">
        <f>'Table001 (Page 1-6)'!R322</f>
        <v>D</v>
      </c>
      <c r="I329" s="28" t="str">
        <f>'Table001 (Page 1-6)'!F322</f>
        <v>ARTERIAL</v>
      </c>
      <c r="J329" s="29"/>
      <c r="K329" s="29"/>
      <c r="L329" s="29">
        <f>'Table001 (Page 1-6)'!I322</f>
        <v>56805</v>
      </c>
      <c r="M329" s="29"/>
      <c r="N329" s="29">
        <f>'Table001 (Page 1-6)'!J322</f>
        <v>2814</v>
      </c>
      <c r="O329" s="29">
        <f>'Table001 (Page 1-6)'!L322</f>
        <v>56805</v>
      </c>
      <c r="P329" s="29"/>
      <c r="Q329" s="29">
        <f>'Table001 (Page 1-6)'!M322</f>
        <v>2814</v>
      </c>
      <c r="R329" s="29" t="str">
        <f>'Table001 (Page 1-6)'!S322</f>
        <v>37,900</v>
      </c>
      <c r="S329" s="31" t="str">
        <f>'Table001 (Page 1-6)'!T322</f>
        <v>0.67</v>
      </c>
      <c r="T329" s="29" t="str">
        <f>'Table001 (Page 1-6)'!U322</f>
        <v>C</v>
      </c>
      <c r="U329" s="29"/>
      <c r="V329" s="29"/>
      <c r="W329" s="29"/>
      <c r="X329" s="29"/>
      <c r="Y329" s="29"/>
      <c r="Z329" s="29"/>
      <c r="AA329" s="29"/>
      <c r="AB329" s="29"/>
      <c r="AC329" s="31"/>
      <c r="AD329" s="29"/>
      <c r="AE329" s="29"/>
      <c r="AF329" s="29"/>
      <c r="AG329" s="31"/>
      <c r="AH329" s="29"/>
      <c r="AI329" s="32">
        <f>('Table001 (Page 1-6)'!V322)*100</f>
        <v>1</v>
      </c>
      <c r="AJ329" s="35"/>
      <c r="AK329" s="35"/>
      <c r="AL329" s="35"/>
      <c r="AM329" s="35"/>
    </row>
    <row r="330" spans="2:39" x14ac:dyDescent="0.25">
      <c r="B330" s="37">
        <f>'Table001 (Page 1-6)'!A323</f>
        <v>4910</v>
      </c>
      <c r="C330" s="28" t="str">
        <f>'Table001 (Page 1-6)'!B323</f>
        <v>SR 200</v>
      </c>
      <c r="D330" s="28" t="str">
        <f>'Table001 (Page 1-6)'!C323</f>
        <v>SW 20 ST</v>
      </c>
      <c r="E330" s="28" t="str">
        <f>'Table001 (Page 1-6)'!D323</f>
        <v>SR 464</v>
      </c>
      <c r="F330" s="29">
        <f>'Table001 (Page 1-6)'!E323</f>
        <v>6</v>
      </c>
      <c r="G330" s="29">
        <f>'Table001 (Page 1-6)'!K323</f>
        <v>6</v>
      </c>
      <c r="H330" s="30" t="str">
        <f>'Table001 (Page 1-6)'!R323</f>
        <v>D</v>
      </c>
      <c r="I330" s="28" t="str">
        <f>'Table001 (Page 1-6)'!F323</f>
        <v>ARTERIAL</v>
      </c>
      <c r="J330" s="29"/>
      <c r="K330" s="29"/>
      <c r="L330" s="29">
        <f>'Table001 (Page 1-6)'!I323</f>
        <v>56805</v>
      </c>
      <c r="M330" s="29"/>
      <c r="N330" s="29">
        <f>'Table001 (Page 1-6)'!J323</f>
        <v>2814</v>
      </c>
      <c r="O330" s="29">
        <f>'Table001 (Page 1-6)'!L323</f>
        <v>56805</v>
      </c>
      <c r="P330" s="29"/>
      <c r="Q330" s="29">
        <f>'Table001 (Page 1-6)'!M323</f>
        <v>2814</v>
      </c>
      <c r="R330" s="29" t="str">
        <f>'Table001 (Page 1-6)'!S323</f>
        <v>33,300</v>
      </c>
      <c r="S330" s="31" t="str">
        <f>'Table001 (Page 1-6)'!T323</f>
        <v>0.59</v>
      </c>
      <c r="T330" s="29" t="str">
        <f>'Table001 (Page 1-6)'!U323</f>
        <v>C</v>
      </c>
      <c r="U330" s="29"/>
      <c r="V330" s="29"/>
      <c r="W330" s="29"/>
      <c r="X330" s="29"/>
      <c r="Y330" s="29"/>
      <c r="Z330" s="29"/>
      <c r="AA330" s="29"/>
      <c r="AB330" s="29"/>
      <c r="AC330" s="31"/>
      <c r="AD330" s="29"/>
      <c r="AE330" s="29"/>
      <c r="AF330" s="29"/>
      <c r="AG330" s="31"/>
      <c r="AH330" s="29"/>
      <c r="AI330" s="32">
        <f>('Table001 (Page 1-6)'!V323)*100</f>
        <v>1</v>
      </c>
      <c r="AJ330" s="35"/>
      <c r="AK330" s="35"/>
      <c r="AL330" s="35"/>
      <c r="AM330" s="35"/>
    </row>
    <row r="331" spans="2:39" x14ac:dyDescent="0.25">
      <c r="B331" s="37">
        <f>'Table001 (Page 1-6)'!A324</f>
        <v>4930</v>
      </c>
      <c r="C331" s="28" t="str">
        <f>'Table001 (Page 1-6)'!B324</f>
        <v>SR 200</v>
      </c>
      <c r="D331" s="28" t="str">
        <f>'Table001 (Page 1-6)'!C324</f>
        <v>SR 464</v>
      </c>
      <c r="E331" s="28" t="str">
        <f>'Table001 (Page 1-6)'!D324</f>
        <v>SW MARTIN L KING AV</v>
      </c>
      <c r="F331" s="29">
        <f>'Table001 (Page 1-6)'!E324</f>
        <v>6</v>
      </c>
      <c r="G331" s="29">
        <f>'Table001 (Page 1-6)'!K324</f>
        <v>6</v>
      </c>
      <c r="H331" s="30" t="str">
        <f>'Table001 (Page 1-6)'!R324</f>
        <v>D</v>
      </c>
      <c r="I331" s="28" t="str">
        <f>'Table001 (Page 1-6)'!F324</f>
        <v>ARTERIAL</v>
      </c>
      <c r="J331" s="29"/>
      <c r="K331" s="29"/>
      <c r="L331" s="29">
        <f>'Table001 (Page 1-6)'!I324</f>
        <v>56805</v>
      </c>
      <c r="M331" s="29"/>
      <c r="N331" s="29">
        <f>'Table001 (Page 1-6)'!J324</f>
        <v>2814</v>
      </c>
      <c r="O331" s="29">
        <f>'Table001 (Page 1-6)'!L324</f>
        <v>56805</v>
      </c>
      <c r="P331" s="29"/>
      <c r="Q331" s="29">
        <f>'Table001 (Page 1-6)'!M324</f>
        <v>2814</v>
      </c>
      <c r="R331" s="29" t="str">
        <f>'Table001 (Page 1-6)'!S324</f>
        <v>22,200</v>
      </c>
      <c r="S331" s="31" t="str">
        <f>'Table001 (Page 1-6)'!T324</f>
        <v>0.39</v>
      </c>
      <c r="T331" s="29" t="str">
        <f>'Table001 (Page 1-6)'!U324</f>
        <v>C</v>
      </c>
      <c r="U331" s="29"/>
      <c r="V331" s="29"/>
      <c r="W331" s="29"/>
      <c r="X331" s="29"/>
      <c r="Y331" s="29"/>
      <c r="Z331" s="29"/>
      <c r="AA331" s="29"/>
      <c r="AB331" s="29"/>
      <c r="AC331" s="31"/>
      <c r="AD331" s="29"/>
      <c r="AE331" s="29"/>
      <c r="AF331" s="29"/>
      <c r="AG331" s="31"/>
      <c r="AH331" s="29"/>
      <c r="AI331" s="32">
        <f>('Table001 (Page 1-6)'!V324)*100</f>
        <v>1</v>
      </c>
      <c r="AJ331" s="35"/>
      <c r="AK331" s="35"/>
      <c r="AL331" s="35"/>
      <c r="AM331" s="35"/>
    </row>
    <row r="332" spans="2:39" x14ac:dyDescent="0.25">
      <c r="B332" s="37">
        <f>'Table001 (Page 1-6)'!A325</f>
        <v>4940</v>
      </c>
      <c r="C332" s="28" t="str">
        <f>'Table001 (Page 1-6)'!B325</f>
        <v>SR 200</v>
      </c>
      <c r="D332" s="28" t="str">
        <f>'Table001 (Page 1-6)'!C325</f>
        <v>SW MARTIN L KING AV</v>
      </c>
      <c r="E332" s="28" t="str">
        <f>'Table001 (Page 1-6)'!D325</f>
        <v>SW 7 RD</v>
      </c>
      <c r="F332" s="29">
        <f>'Table001 (Page 1-6)'!E325</f>
        <v>6</v>
      </c>
      <c r="G332" s="29">
        <f>'Table001 (Page 1-6)'!K325</f>
        <v>6</v>
      </c>
      <c r="H332" s="30" t="str">
        <f>'Table001 (Page 1-6)'!R325</f>
        <v>D</v>
      </c>
      <c r="I332" s="28" t="str">
        <f>'Table001 (Page 1-6)'!F325</f>
        <v>ARTERIAL</v>
      </c>
      <c r="J332" s="29"/>
      <c r="K332" s="29"/>
      <c r="L332" s="29">
        <f>'Table001 (Page 1-6)'!I325</f>
        <v>56805</v>
      </c>
      <c r="M332" s="29"/>
      <c r="N332" s="29">
        <f>'Table001 (Page 1-6)'!J325</f>
        <v>2814</v>
      </c>
      <c r="O332" s="29">
        <f>'Table001 (Page 1-6)'!L325</f>
        <v>56805</v>
      </c>
      <c r="P332" s="29"/>
      <c r="Q332" s="29">
        <f>'Table001 (Page 1-6)'!M325</f>
        <v>2814</v>
      </c>
      <c r="R332" s="29" t="str">
        <f>'Table001 (Page 1-6)'!S325</f>
        <v>25,300</v>
      </c>
      <c r="S332" s="31" t="str">
        <f>'Table001 (Page 1-6)'!T325</f>
        <v>0.45</v>
      </c>
      <c r="T332" s="29" t="str">
        <f>'Table001 (Page 1-6)'!U325</f>
        <v>C</v>
      </c>
      <c r="U332" s="29"/>
      <c r="V332" s="29"/>
      <c r="W332" s="29"/>
      <c r="X332" s="29"/>
      <c r="Y332" s="29"/>
      <c r="Z332" s="29"/>
      <c r="AA332" s="29"/>
      <c r="AB332" s="29"/>
      <c r="AC332" s="31"/>
      <c r="AD332" s="29"/>
      <c r="AE332" s="29"/>
      <c r="AF332" s="29"/>
      <c r="AG332" s="31"/>
      <c r="AH332" s="29"/>
      <c r="AI332" s="32">
        <f>('Table001 (Page 1-6)'!V325)*100</f>
        <v>1</v>
      </c>
      <c r="AJ332" s="35"/>
      <c r="AK332" s="35"/>
      <c r="AL332" s="35"/>
      <c r="AM332" s="35"/>
    </row>
    <row r="333" spans="2:39" x14ac:dyDescent="0.25">
      <c r="B333" s="37">
        <f>'Table001 (Page 1-6)'!A326</f>
        <v>4950</v>
      </c>
      <c r="C333" s="28" t="str">
        <f>'Table001 (Page 1-6)'!B326</f>
        <v>SR 200</v>
      </c>
      <c r="D333" s="28" t="str">
        <f>'Table001 (Page 1-6)'!C326</f>
        <v>SW 7 RD</v>
      </c>
      <c r="E333" s="28" t="str">
        <f>'Table001 (Page 1-6)'!D326</f>
        <v>US 441</v>
      </c>
      <c r="F333" s="29">
        <f>'Table001 (Page 1-6)'!E326</f>
        <v>4</v>
      </c>
      <c r="G333" s="29">
        <f>'Table001 (Page 1-6)'!K326</f>
        <v>4</v>
      </c>
      <c r="H333" s="30" t="str">
        <f>'Table001 (Page 1-6)'!R326</f>
        <v>D</v>
      </c>
      <c r="I333" s="28" t="str">
        <f>'Table001 (Page 1-6)'!F326</f>
        <v>ARTERIAL</v>
      </c>
      <c r="J333" s="29"/>
      <c r="K333" s="29"/>
      <c r="L333" s="29">
        <f>'Table001 (Page 1-6)'!I326</f>
        <v>38430</v>
      </c>
      <c r="M333" s="29"/>
      <c r="N333" s="29">
        <f>'Table001 (Page 1-6)'!J326</f>
        <v>1901</v>
      </c>
      <c r="O333" s="29">
        <f>'Table001 (Page 1-6)'!L326</f>
        <v>38430</v>
      </c>
      <c r="P333" s="29"/>
      <c r="Q333" s="29">
        <f>'Table001 (Page 1-6)'!M326</f>
        <v>1901</v>
      </c>
      <c r="R333" s="29" t="str">
        <f>'Table001 (Page 1-6)'!S326</f>
        <v>25,300</v>
      </c>
      <c r="S333" s="31" t="str">
        <f>'Table001 (Page 1-6)'!T326</f>
        <v>0.66</v>
      </c>
      <c r="T333" s="29" t="str">
        <f>'Table001 (Page 1-6)'!U326</f>
        <v>C</v>
      </c>
      <c r="U333" s="29"/>
      <c r="V333" s="29"/>
      <c r="W333" s="29"/>
      <c r="X333" s="29"/>
      <c r="Y333" s="29"/>
      <c r="Z333" s="29"/>
      <c r="AA333" s="29"/>
      <c r="AB333" s="29"/>
      <c r="AC333" s="31"/>
      <c r="AD333" s="29"/>
      <c r="AE333" s="29"/>
      <c r="AF333" s="29"/>
      <c r="AG333" s="31"/>
      <c r="AH333" s="29"/>
      <c r="AI333" s="32">
        <f>('Table001 (Page 1-6)'!V326)*100</f>
        <v>1</v>
      </c>
      <c r="AJ333" s="35"/>
      <c r="AK333" s="35"/>
      <c r="AL333" s="35"/>
      <c r="AM333" s="35"/>
    </row>
    <row r="334" spans="2:39" x14ac:dyDescent="0.25">
      <c r="B334" s="37">
        <f>'Table001 (Page 1-6)'!A327</f>
        <v>4960</v>
      </c>
      <c r="C334" s="28" t="str">
        <f>'Table001 (Page 1-6)'!B327</f>
        <v>SW 10 ST</v>
      </c>
      <c r="D334" s="28" t="str">
        <f>'Table001 (Page 1-6)'!C327</f>
        <v>US 441</v>
      </c>
      <c r="E334" s="28" t="str">
        <f>'Table001 (Page 1-6)'!D327</f>
        <v>SE 1 AV</v>
      </c>
      <c r="F334" s="29">
        <f>'Table001 (Page 1-6)'!E327</f>
        <v>4</v>
      </c>
      <c r="G334" s="29">
        <f>'Table001 (Page 1-6)'!K327</f>
        <v>4</v>
      </c>
      <c r="H334" s="30" t="str">
        <f>'Table001 (Page 1-6)'!R327</f>
        <v>D</v>
      </c>
      <c r="I334" s="28" t="str">
        <f>'Table001 (Page 1-6)'!F327</f>
        <v>COLLECTOR</v>
      </c>
      <c r="J334" s="29"/>
      <c r="K334" s="29"/>
      <c r="L334" s="29">
        <f>'Table001 (Page 1-6)'!I327</f>
        <v>29160</v>
      </c>
      <c r="M334" s="29"/>
      <c r="N334" s="29">
        <f>'Table001 (Page 1-6)'!J327</f>
        <v>1467</v>
      </c>
      <c r="O334" s="29">
        <f>'Table001 (Page 1-6)'!L327</f>
        <v>29160</v>
      </c>
      <c r="P334" s="29"/>
      <c r="Q334" s="29">
        <f>'Table001 (Page 1-6)'!M327</f>
        <v>1467</v>
      </c>
      <c r="R334" s="29" t="str">
        <f>'Table001 (Page 1-6)'!S327</f>
        <v>11,200</v>
      </c>
      <c r="S334" s="31" t="str">
        <f>'Table001 (Page 1-6)'!T327</f>
        <v>0.38</v>
      </c>
      <c r="T334" s="29" t="str">
        <f>'Table001 (Page 1-6)'!U327</f>
        <v>C</v>
      </c>
      <c r="U334" s="29"/>
      <c r="V334" s="29"/>
      <c r="W334" s="29"/>
      <c r="X334" s="29"/>
      <c r="Y334" s="29"/>
      <c r="Z334" s="29"/>
      <c r="AA334" s="29"/>
      <c r="AB334" s="29"/>
      <c r="AC334" s="31"/>
      <c r="AD334" s="29"/>
      <c r="AE334" s="29"/>
      <c r="AF334" s="29"/>
      <c r="AG334" s="31"/>
      <c r="AH334" s="29"/>
      <c r="AI334" s="32">
        <f>('Table001 (Page 1-6)'!V327)*100</f>
        <v>1</v>
      </c>
      <c r="AJ334" s="35"/>
      <c r="AK334" s="35"/>
      <c r="AL334" s="35"/>
      <c r="AM334" s="35"/>
    </row>
    <row r="335" spans="2:39" x14ac:dyDescent="0.25">
      <c r="B335" s="37">
        <f>'Table001 (Page 1-6)'!A328</f>
        <v>4970</v>
      </c>
      <c r="C335" s="28" t="str">
        <f>'Table001 (Page 1-6)'!B328</f>
        <v>SW 10 ST</v>
      </c>
      <c r="D335" s="28" t="str">
        <f>'Table001 (Page 1-6)'!C328</f>
        <v>SE 1 AV</v>
      </c>
      <c r="E335" s="28" t="str">
        <f>'Table001 (Page 1-6)'!D328</f>
        <v>S MAGNOLIA AV</v>
      </c>
      <c r="F335" s="29">
        <f>'Table001 (Page 1-6)'!E328</f>
        <v>4</v>
      </c>
      <c r="G335" s="29">
        <f>'Table001 (Page 1-6)'!K328</f>
        <v>4</v>
      </c>
      <c r="H335" s="30" t="str">
        <f>'Table001 (Page 1-6)'!R328</f>
        <v>D</v>
      </c>
      <c r="I335" s="28" t="str">
        <f>'Table001 (Page 1-6)'!F328</f>
        <v>COLLECTOR</v>
      </c>
      <c r="J335" s="29"/>
      <c r="K335" s="29"/>
      <c r="L335" s="29">
        <f>'Table001 (Page 1-6)'!I328</f>
        <v>29160</v>
      </c>
      <c r="M335" s="29"/>
      <c r="N335" s="29">
        <f>'Table001 (Page 1-6)'!J328</f>
        <v>1467</v>
      </c>
      <c r="O335" s="29">
        <f>'Table001 (Page 1-6)'!L328</f>
        <v>29160</v>
      </c>
      <c r="P335" s="29"/>
      <c r="Q335" s="29">
        <f>'Table001 (Page 1-6)'!M328</f>
        <v>1467</v>
      </c>
      <c r="R335" s="29" t="str">
        <f>'Table001 (Page 1-6)'!S328</f>
        <v>11,200</v>
      </c>
      <c r="S335" s="31" t="str">
        <f>'Table001 (Page 1-6)'!T328</f>
        <v>0.38</v>
      </c>
      <c r="T335" s="29" t="str">
        <f>'Table001 (Page 1-6)'!U328</f>
        <v>C</v>
      </c>
      <c r="U335" s="29"/>
      <c r="V335" s="29"/>
      <c r="W335" s="29"/>
      <c r="X335" s="29"/>
      <c r="Y335" s="29"/>
      <c r="Z335" s="29"/>
      <c r="AA335" s="29"/>
      <c r="AB335" s="29"/>
      <c r="AC335" s="31"/>
      <c r="AD335" s="29"/>
      <c r="AE335" s="29"/>
      <c r="AF335" s="29"/>
      <c r="AG335" s="31"/>
      <c r="AH335" s="29"/>
      <c r="AI335" s="32">
        <f>('Table001 (Page 1-6)'!V328)*100</f>
        <v>1</v>
      </c>
      <c r="AJ335" s="35"/>
      <c r="AK335" s="35"/>
      <c r="AL335" s="35"/>
      <c r="AM335" s="35"/>
    </row>
    <row r="336" spans="2:39" x14ac:dyDescent="0.25">
      <c r="B336" s="37">
        <f>'Table001 (Page 1-6)'!A329</f>
        <v>4980</v>
      </c>
      <c r="C336" s="28" t="str">
        <f>'Table001 (Page 1-6)'!B329</f>
        <v>CR 326</v>
      </c>
      <c r="D336" s="28" t="str">
        <f>'Table001 (Page 1-6)'!C329</f>
        <v>COUNTY LINE</v>
      </c>
      <c r="E336" s="28" t="str">
        <f>'Table001 (Page 1-6)'!D329</f>
        <v>US 27</v>
      </c>
      <c r="F336" s="29">
        <f>'Table001 (Page 1-6)'!E329</f>
        <v>2</v>
      </c>
      <c r="G336" s="29">
        <f>'Table001 (Page 1-6)'!K329</f>
        <v>2</v>
      </c>
      <c r="H336" s="30" t="str">
        <f>'Table001 (Page 1-6)'!R329</f>
        <v>B</v>
      </c>
      <c r="I336" s="28" t="str">
        <f>'Table001 (Page 1-6)'!F329</f>
        <v>COLLECTOR</v>
      </c>
      <c r="J336" s="29"/>
      <c r="K336" s="29"/>
      <c r="L336" s="29">
        <f>'Table001 (Page 1-6)'!I329</f>
        <v>9270</v>
      </c>
      <c r="M336" s="29"/>
      <c r="N336" s="29">
        <f>'Table001 (Page 1-6)'!J329</f>
        <v>486</v>
      </c>
      <c r="O336" s="29">
        <f>'Table001 (Page 1-6)'!L329</f>
        <v>9270</v>
      </c>
      <c r="P336" s="29"/>
      <c r="Q336" s="29">
        <f>'Table001 (Page 1-6)'!M329</f>
        <v>486</v>
      </c>
      <c r="R336" s="29" t="str">
        <f>'Table001 (Page 1-6)'!S329</f>
        <v>5,500</v>
      </c>
      <c r="S336" s="31" t="str">
        <f>'Table001 (Page 1-6)'!T329</f>
        <v>0.59</v>
      </c>
      <c r="T336" s="29" t="str">
        <f>'Table001 (Page 1-6)'!U329</f>
        <v>B</v>
      </c>
      <c r="U336" s="29"/>
      <c r="V336" s="29"/>
      <c r="W336" s="29"/>
      <c r="X336" s="29"/>
      <c r="Y336" s="29"/>
      <c r="Z336" s="29"/>
      <c r="AA336" s="29"/>
      <c r="AB336" s="29"/>
      <c r="AC336" s="31"/>
      <c r="AD336" s="29"/>
      <c r="AE336" s="29"/>
      <c r="AF336" s="29"/>
      <c r="AG336" s="31"/>
      <c r="AH336" s="29"/>
      <c r="AI336" s="32">
        <f>('Table001 (Page 1-6)'!V329)*100</f>
        <v>5.7299999999999995</v>
      </c>
      <c r="AJ336" s="35"/>
      <c r="AK336" s="35"/>
      <c r="AL336" s="35"/>
      <c r="AM336" s="35"/>
    </row>
    <row r="337" spans="2:39" x14ac:dyDescent="0.25">
      <c r="B337" s="37">
        <f>'Table001 (Page 1-6)'!A330</f>
        <v>4990</v>
      </c>
      <c r="C337" s="28" t="str">
        <f>'Table001 (Page 1-6)'!B330</f>
        <v>CR 326</v>
      </c>
      <c r="D337" s="28" t="str">
        <f>'Table001 (Page 1-6)'!C330</f>
        <v>US 27</v>
      </c>
      <c r="E337" s="28" t="str">
        <f>'Table001 (Page 1-6)'!D330</f>
        <v>CR 225A</v>
      </c>
      <c r="F337" s="29">
        <f>'Table001 (Page 1-6)'!E330</f>
        <v>2</v>
      </c>
      <c r="G337" s="29">
        <f>'Table001 (Page 1-6)'!K330</f>
        <v>2</v>
      </c>
      <c r="H337" s="30" t="str">
        <f>'Table001 (Page 1-6)'!R330</f>
        <v>B</v>
      </c>
      <c r="I337" s="28" t="str">
        <f>'Table001 (Page 1-6)'!F330</f>
        <v>COLLECTOR</v>
      </c>
      <c r="J337" s="29"/>
      <c r="K337" s="29"/>
      <c r="L337" s="29">
        <f>'Table001 (Page 1-6)'!I330</f>
        <v>9270</v>
      </c>
      <c r="M337" s="29"/>
      <c r="N337" s="29">
        <f>'Table001 (Page 1-6)'!J330</f>
        <v>486</v>
      </c>
      <c r="O337" s="29">
        <f>'Table001 (Page 1-6)'!L330</f>
        <v>9270</v>
      </c>
      <c r="P337" s="29"/>
      <c r="Q337" s="29">
        <f>'Table001 (Page 1-6)'!M330</f>
        <v>486</v>
      </c>
      <c r="R337" s="29" t="str">
        <f>'Table001 (Page 1-6)'!S330</f>
        <v>5,300</v>
      </c>
      <c r="S337" s="31" t="str">
        <f>'Table001 (Page 1-6)'!T330</f>
        <v>0.57</v>
      </c>
      <c r="T337" s="29" t="str">
        <f>'Table001 (Page 1-6)'!U330</f>
        <v>B</v>
      </c>
      <c r="U337" s="29"/>
      <c r="V337" s="29"/>
      <c r="W337" s="29"/>
      <c r="X337" s="29"/>
      <c r="Y337" s="29"/>
      <c r="Z337" s="29"/>
      <c r="AA337" s="29"/>
      <c r="AB337" s="29"/>
      <c r="AC337" s="31"/>
      <c r="AD337" s="29"/>
      <c r="AE337" s="29"/>
      <c r="AF337" s="29"/>
      <c r="AG337" s="31"/>
      <c r="AH337" s="29"/>
      <c r="AI337" s="32">
        <f>('Table001 (Page 1-6)'!V330)*100</f>
        <v>1</v>
      </c>
      <c r="AJ337" s="35"/>
      <c r="AK337" s="35"/>
      <c r="AL337" s="35"/>
      <c r="AM337" s="35"/>
    </row>
    <row r="338" spans="2:39" x14ac:dyDescent="0.25">
      <c r="B338" s="37">
        <f>'Table001 (Page 1-6)'!A331</f>
        <v>5000.1000000000004</v>
      </c>
      <c r="C338" s="28" t="str">
        <f>'Table001 (Page 1-6)'!B331</f>
        <v>CR 326</v>
      </c>
      <c r="D338" s="28" t="str">
        <f>'Table001 (Page 1-6)'!C331</f>
        <v>CR 225A</v>
      </c>
      <c r="E338" s="28" t="str">
        <f>'Table001 (Page 1-6)'!D331</f>
        <v>NW 49TH AVE</v>
      </c>
      <c r="F338" s="29">
        <f>'Table001 (Page 1-6)'!E331</f>
        <v>2</v>
      </c>
      <c r="G338" s="29">
        <f>'Table001 (Page 1-6)'!K331</f>
        <v>2</v>
      </c>
      <c r="H338" s="30" t="str">
        <f>'Table001 (Page 1-6)'!R331</f>
        <v>D</v>
      </c>
      <c r="I338" s="28" t="str">
        <f>'Table001 (Page 1-6)'!F331</f>
        <v>COLLECTOR</v>
      </c>
      <c r="J338" s="29"/>
      <c r="K338" s="29"/>
      <c r="L338" s="29">
        <f>'Table001 (Page 1-6)'!I331</f>
        <v>19170</v>
      </c>
      <c r="M338" s="29"/>
      <c r="N338" s="29">
        <f>'Table001 (Page 1-6)'!J331</f>
        <v>999</v>
      </c>
      <c r="O338" s="29">
        <f>'Table001 (Page 1-6)'!L331</f>
        <v>19170</v>
      </c>
      <c r="P338" s="29"/>
      <c r="Q338" s="29">
        <f>'Table001 (Page 1-6)'!M331</f>
        <v>999</v>
      </c>
      <c r="R338" s="29" t="str">
        <f>'Table001 (Page 1-6)'!S331</f>
        <v>7,500</v>
      </c>
      <c r="S338" s="31" t="str">
        <f>'Table001 (Page 1-6)'!T331</f>
        <v>0.39</v>
      </c>
      <c r="T338" s="29" t="str">
        <f>'Table001 (Page 1-6)'!U331</f>
        <v>B</v>
      </c>
      <c r="U338" s="29"/>
      <c r="V338" s="29"/>
      <c r="W338" s="29"/>
      <c r="X338" s="29"/>
      <c r="Y338" s="29"/>
      <c r="Z338" s="29"/>
      <c r="AA338" s="29"/>
      <c r="AB338" s="29"/>
      <c r="AC338" s="31"/>
      <c r="AD338" s="29"/>
      <c r="AE338" s="29"/>
      <c r="AF338" s="29"/>
      <c r="AG338" s="31"/>
      <c r="AH338" s="29"/>
      <c r="AI338" s="32">
        <f>('Table001 (Page 1-6)'!V331)*100</f>
        <v>1</v>
      </c>
      <c r="AJ338" s="35"/>
      <c r="AK338" s="35"/>
      <c r="AL338" s="35"/>
      <c r="AM338" s="35"/>
    </row>
    <row r="339" spans="2:39" x14ac:dyDescent="0.25">
      <c r="B339" s="37">
        <f>'Table001 (Page 1-6)'!A332</f>
        <v>5000.2</v>
      </c>
      <c r="C339" s="28" t="str">
        <f>'Table001 (Page 1-6)'!B332</f>
        <v>CR 326</v>
      </c>
      <c r="D339" s="28" t="str">
        <f>'Table001 (Page 1-6)'!C332</f>
        <v>NW 49TH AVE</v>
      </c>
      <c r="E339" s="28" t="str">
        <f>'Table001 (Page 1-6)'!D332</f>
        <v>NW 44 AV</v>
      </c>
      <c r="F339" s="29">
        <f>'Table001 (Page 1-6)'!E332</f>
        <v>2</v>
      </c>
      <c r="G339" s="29">
        <f>'Table001 (Page 1-6)'!K332</f>
        <v>2</v>
      </c>
      <c r="H339" s="30" t="str">
        <f>'Table001 (Page 1-6)'!R332</f>
        <v>E</v>
      </c>
      <c r="I339" s="28" t="str">
        <f>'Table001 (Page 1-6)'!F332</f>
        <v>ARTERIAL</v>
      </c>
      <c r="J339" s="29"/>
      <c r="K339" s="29"/>
      <c r="L339" s="29">
        <f>'Table001 (Page 1-6)'!I332</f>
        <v>29340</v>
      </c>
      <c r="M339" s="29"/>
      <c r="N339" s="29">
        <f>'Table001 (Page 1-6)'!J332</f>
        <v>1449</v>
      </c>
      <c r="O339" s="29">
        <f>'Table001 (Page 1-6)'!L332</f>
        <v>29340</v>
      </c>
      <c r="P339" s="29"/>
      <c r="Q339" s="29">
        <f>'Table001 (Page 1-6)'!M332</f>
        <v>1449</v>
      </c>
      <c r="R339" s="29" t="str">
        <f>'Table001 (Page 1-6)'!S332</f>
        <v>7,500</v>
      </c>
      <c r="S339" s="31" t="str">
        <f>'Table001 (Page 1-6)'!T332</f>
        <v>0.26</v>
      </c>
      <c r="T339" s="29" t="str">
        <f>'Table001 (Page 1-6)'!U332</f>
        <v>B</v>
      </c>
      <c r="U339" s="29"/>
      <c r="V339" s="29"/>
      <c r="W339" s="29"/>
      <c r="X339" s="29"/>
      <c r="Y339" s="29"/>
      <c r="Z339" s="29"/>
      <c r="AA339" s="29"/>
      <c r="AB339" s="29"/>
      <c r="AC339" s="31"/>
      <c r="AD339" s="29"/>
      <c r="AE339" s="29"/>
      <c r="AF339" s="29"/>
      <c r="AG339" s="31"/>
      <c r="AH339" s="29"/>
      <c r="AI339" s="32">
        <f>('Table001 (Page 1-6)'!V332)*100</f>
        <v>1</v>
      </c>
      <c r="AJ339" s="35"/>
      <c r="AK339" s="35"/>
      <c r="AL339" s="35"/>
      <c r="AM339" s="35"/>
    </row>
    <row r="340" spans="2:39" x14ac:dyDescent="0.25">
      <c r="B340" s="37">
        <f>'Table001 (Page 1-6)'!A333</f>
        <v>5010</v>
      </c>
      <c r="C340" s="28" t="str">
        <f>'Table001 (Page 1-6)'!B333</f>
        <v>CR 326</v>
      </c>
      <c r="D340" s="28" t="str">
        <f>'Table001 (Page 1-6)'!C333</f>
        <v>NW 44 AV</v>
      </c>
      <c r="E340" s="28" t="str">
        <f>'Table001 (Page 1-6)'!D333</f>
        <v>I-75 RAMP (WEST)</v>
      </c>
      <c r="F340" s="29">
        <f>'Table001 (Page 1-6)'!E333</f>
        <v>4</v>
      </c>
      <c r="G340" s="29">
        <f>'Table001 (Page 1-6)'!K333</f>
        <v>4</v>
      </c>
      <c r="H340" s="30" t="str">
        <f>'Table001 (Page 1-6)'!R333</f>
        <v>E</v>
      </c>
      <c r="I340" s="28" t="str">
        <f>'Table001 (Page 1-6)'!F333</f>
        <v>ARTERIAL</v>
      </c>
      <c r="J340" s="29"/>
      <c r="K340" s="29"/>
      <c r="L340" s="29">
        <f>'Table001 (Page 1-6)'!I333</f>
        <v>35820</v>
      </c>
      <c r="M340" s="29"/>
      <c r="N340" s="29">
        <f>'Table001 (Page 1-6)'!J333</f>
        <v>1800</v>
      </c>
      <c r="O340" s="29">
        <f>'Table001 (Page 1-6)'!L333</f>
        <v>35820</v>
      </c>
      <c r="P340" s="29"/>
      <c r="Q340" s="29">
        <f>'Table001 (Page 1-6)'!M333</f>
        <v>1800</v>
      </c>
      <c r="R340" s="29" t="str">
        <f>'Table001 (Page 1-6)'!S333</f>
        <v>7,500</v>
      </c>
      <c r="S340" s="31" t="str">
        <f>'Table001 (Page 1-6)'!T333</f>
        <v>0.21</v>
      </c>
      <c r="T340" s="29" t="str">
        <f>'Table001 (Page 1-6)'!U333</f>
        <v>C</v>
      </c>
      <c r="U340" s="29"/>
      <c r="V340" s="29"/>
      <c r="W340" s="29"/>
      <c r="X340" s="29"/>
      <c r="Y340" s="29"/>
      <c r="Z340" s="29"/>
      <c r="AA340" s="29"/>
      <c r="AB340" s="29"/>
      <c r="AC340" s="31"/>
      <c r="AD340" s="29"/>
      <c r="AE340" s="29"/>
      <c r="AF340" s="29"/>
      <c r="AG340" s="31"/>
      <c r="AH340" s="29"/>
      <c r="AI340" s="32">
        <f>('Table001 (Page 1-6)'!V333)*100</f>
        <v>1.41</v>
      </c>
      <c r="AJ340" s="35"/>
      <c r="AK340" s="35"/>
      <c r="AL340" s="35"/>
      <c r="AM340" s="35"/>
    </row>
    <row r="341" spans="2:39" x14ac:dyDescent="0.25">
      <c r="B341" s="37">
        <f>'Table001 (Page 1-6)'!A334</f>
        <v>5020</v>
      </c>
      <c r="C341" s="28" t="str">
        <f>'Table001 (Page 1-6)'!B334</f>
        <v>SR 326</v>
      </c>
      <c r="D341" s="28" t="str">
        <f>'Table001 (Page 1-6)'!C334</f>
        <v>I-75 RAMP (WEST)</v>
      </c>
      <c r="E341" s="28" t="str">
        <f>'Table001 (Page 1-6)'!D334</f>
        <v>I-75 RAMP (EAST)</v>
      </c>
      <c r="F341" s="29">
        <f>'Table001 (Page 1-6)'!E334</f>
        <v>4</v>
      </c>
      <c r="G341" s="29">
        <f>'Table001 (Page 1-6)'!K334</f>
        <v>4</v>
      </c>
      <c r="H341" s="30" t="str">
        <f>'Table001 (Page 1-6)'!R334</f>
        <v>D</v>
      </c>
      <c r="I341" s="28" t="str">
        <f>'Table001 (Page 1-6)'!F334</f>
        <v>ARTERIAL</v>
      </c>
      <c r="J341" s="29"/>
      <c r="K341" s="29"/>
      <c r="L341" s="29">
        <f>'Table001 (Page 1-6)'!I334</f>
        <v>55700</v>
      </c>
      <c r="M341" s="29"/>
      <c r="N341" s="29">
        <f>'Table001 (Page 1-6)'!J334</f>
        <v>2910</v>
      </c>
      <c r="O341" s="29">
        <f>'Table001 (Page 1-6)'!L334</f>
        <v>55700</v>
      </c>
      <c r="P341" s="29"/>
      <c r="Q341" s="29">
        <f>'Table001 (Page 1-6)'!M334</f>
        <v>2910</v>
      </c>
      <c r="R341" s="29" t="str">
        <f>'Table001 (Page 1-6)'!S334</f>
        <v>7,500</v>
      </c>
      <c r="S341" s="31" t="str">
        <f>'Table001 (Page 1-6)'!T334</f>
        <v>0.13</v>
      </c>
      <c r="T341" s="29" t="str">
        <f>'Table001 (Page 1-6)'!U334</f>
        <v>B</v>
      </c>
      <c r="U341" s="29"/>
      <c r="V341" s="29"/>
      <c r="W341" s="29"/>
      <c r="X341" s="29"/>
      <c r="Y341" s="29"/>
      <c r="Z341" s="29"/>
      <c r="AA341" s="29"/>
      <c r="AB341" s="29"/>
      <c r="AC341" s="31"/>
      <c r="AD341" s="29"/>
      <c r="AE341" s="29"/>
      <c r="AF341" s="29"/>
      <c r="AG341" s="31"/>
      <c r="AH341" s="29"/>
      <c r="AI341" s="32">
        <f>('Table001 (Page 1-6)'!V334)*100</f>
        <v>1.41</v>
      </c>
      <c r="AJ341" s="35"/>
      <c r="AK341" s="35"/>
      <c r="AL341" s="35"/>
      <c r="AM341" s="35"/>
    </row>
    <row r="342" spans="2:39" x14ac:dyDescent="0.25">
      <c r="B342" s="37">
        <f>'Table001 (Page 1-6)'!A335</f>
        <v>5030</v>
      </c>
      <c r="C342" s="28" t="str">
        <f>'Table001 (Page 1-6)'!B335</f>
        <v>SR 326</v>
      </c>
      <c r="D342" s="28" t="str">
        <f>'Table001 (Page 1-6)'!C335</f>
        <v>I-75 RAMP (EAST)</v>
      </c>
      <c r="E342" s="28" t="str">
        <f>'Table001 (Page 1-6)'!D335</f>
        <v>CR 25A</v>
      </c>
      <c r="F342" s="29">
        <f>'Table001 (Page 1-6)'!E335</f>
        <v>4</v>
      </c>
      <c r="G342" s="29">
        <f>'Table001 (Page 1-6)'!K335</f>
        <v>4</v>
      </c>
      <c r="H342" s="30" t="str">
        <f>'Table001 (Page 1-6)'!R335</f>
        <v>D</v>
      </c>
      <c r="I342" s="28" t="str">
        <f>'Table001 (Page 1-6)'!F335</f>
        <v>ARTERIAL</v>
      </c>
      <c r="J342" s="29"/>
      <c r="K342" s="29"/>
      <c r="L342" s="29">
        <f>'Table001 (Page 1-6)'!I335</f>
        <v>55700</v>
      </c>
      <c r="M342" s="29"/>
      <c r="N342" s="29">
        <f>'Table001 (Page 1-6)'!J335</f>
        <v>2910</v>
      </c>
      <c r="O342" s="29">
        <f>'Table001 (Page 1-6)'!L335</f>
        <v>55700</v>
      </c>
      <c r="P342" s="29"/>
      <c r="Q342" s="29">
        <f>'Table001 (Page 1-6)'!M335</f>
        <v>2910</v>
      </c>
      <c r="R342" s="29" t="str">
        <f>'Table001 (Page 1-6)'!S335</f>
        <v>20,700</v>
      </c>
      <c r="S342" s="31" t="str">
        <f>'Table001 (Page 1-6)'!T335</f>
        <v>0.37</v>
      </c>
      <c r="T342" s="29" t="str">
        <f>'Table001 (Page 1-6)'!U335</f>
        <v>B</v>
      </c>
      <c r="U342" s="29"/>
      <c r="V342" s="29"/>
      <c r="W342" s="29"/>
      <c r="X342" s="29"/>
      <c r="Y342" s="29"/>
      <c r="Z342" s="29"/>
      <c r="AA342" s="29"/>
      <c r="AB342" s="29"/>
      <c r="AC342" s="31"/>
      <c r="AD342" s="29"/>
      <c r="AE342" s="29"/>
      <c r="AF342" s="29"/>
      <c r="AG342" s="31"/>
      <c r="AH342" s="29"/>
      <c r="AI342" s="32">
        <f>('Table001 (Page 1-6)'!V335)*100</f>
        <v>1</v>
      </c>
      <c r="AJ342" s="35"/>
      <c r="AK342" s="35"/>
      <c r="AL342" s="35"/>
      <c r="AM342" s="35"/>
    </row>
    <row r="343" spans="2:39" x14ac:dyDescent="0.25">
      <c r="B343" s="37">
        <f>'Table001 (Page 1-6)'!A336</f>
        <v>5040</v>
      </c>
      <c r="C343" s="28" t="str">
        <f>'Table001 (Page 1-6)'!B336</f>
        <v>SR 326</v>
      </c>
      <c r="D343" s="28" t="str">
        <f>'Table001 (Page 1-6)'!C336</f>
        <v>CR 25A</v>
      </c>
      <c r="E343" s="28" t="str">
        <f>'Table001 (Page 1-6)'!D336</f>
        <v>US 441</v>
      </c>
      <c r="F343" s="29">
        <f>'Table001 (Page 1-6)'!E336</f>
        <v>4</v>
      </c>
      <c r="G343" s="29">
        <f>'Table001 (Page 1-6)'!K336</f>
        <v>4</v>
      </c>
      <c r="H343" s="30" t="str">
        <f>'Table001 (Page 1-6)'!R336</f>
        <v>D</v>
      </c>
      <c r="I343" s="28" t="str">
        <f>'Table001 (Page 1-6)'!F336</f>
        <v>ARTERIAL</v>
      </c>
      <c r="J343" s="29"/>
      <c r="K343" s="29"/>
      <c r="L343" s="29">
        <f>'Table001 (Page 1-6)'!I336</f>
        <v>55700</v>
      </c>
      <c r="M343" s="29"/>
      <c r="N343" s="29">
        <f>'Table001 (Page 1-6)'!J336</f>
        <v>2910</v>
      </c>
      <c r="O343" s="29">
        <f>'Table001 (Page 1-6)'!L336</f>
        <v>55700</v>
      </c>
      <c r="P343" s="29"/>
      <c r="Q343" s="29">
        <f>'Table001 (Page 1-6)'!M336</f>
        <v>2910</v>
      </c>
      <c r="R343" s="29" t="str">
        <f>'Table001 (Page 1-6)'!S336</f>
        <v>11,500</v>
      </c>
      <c r="S343" s="31" t="str">
        <f>'Table001 (Page 1-6)'!T336</f>
        <v>0.21</v>
      </c>
      <c r="T343" s="29" t="str">
        <f>'Table001 (Page 1-6)'!U336</f>
        <v>B</v>
      </c>
      <c r="U343" s="29"/>
      <c r="V343" s="29"/>
      <c r="W343" s="29"/>
      <c r="X343" s="29"/>
      <c r="Y343" s="29"/>
      <c r="Z343" s="29"/>
      <c r="AA343" s="29"/>
      <c r="AB343" s="29"/>
      <c r="AC343" s="31"/>
      <c r="AD343" s="29"/>
      <c r="AE343" s="29"/>
      <c r="AF343" s="29"/>
      <c r="AG343" s="31"/>
      <c r="AH343" s="29"/>
      <c r="AI343" s="32">
        <f>('Table001 (Page 1-6)'!V336)*100</f>
        <v>1.0900000000000001</v>
      </c>
      <c r="AJ343" s="35"/>
      <c r="AK343" s="35"/>
      <c r="AL343" s="35"/>
      <c r="AM343" s="35"/>
    </row>
    <row r="344" spans="2:39" x14ac:dyDescent="0.25">
      <c r="B344" s="37">
        <f>'Table001 (Page 1-6)'!A337</f>
        <v>5050</v>
      </c>
      <c r="C344" s="28" t="str">
        <f>'Table001 (Page 1-6)'!B337</f>
        <v>SR 326</v>
      </c>
      <c r="D344" s="28" t="str">
        <f>'Table001 (Page 1-6)'!C337</f>
        <v>NE 40 AV</v>
      </c>
      <c r="E344" s="28" t="str">
        <f>'Table001 (Page 1-6)'!D337</f>
        <v>CR 35</v>
      </c>
      <c r="F344" s="29">
        <f>'Table001 (Page 1-6)'!E337</f>
        <v>2</v>
      </c>
      <c r="G344" s="29">
        <f>'Table001 (Page 1-6)'!K337</f>
        <v>2</v>
      </c>
      <c r="H344" s="30" t="str">
        <f>'Table001 (Page 1-6)'!R337</f>
        <v>C</v>
      </c>
      <c r="I344" s="28" t="str">
        <f>'Table001 (Page 1-6)'!F337</f>
        <v>ARTERIAL</v>
      </c>
      <c r="J344" s="29"/>
      <c r="K344" s="29"/>
      <c r="L344" s="29">
        <f>'Table001 (Page 1-6)'!I337</f>
        <v>8200</v>
      </c>
      <c r="M344" s="29"/>
      <c r="N344" s="29">
        <f>'Table001 (Page 1-6)'!J337</f>
        <v>430</v>
      </c>
      <c r="O344" s="29">
        <f>'Table001 (Page 1-6)'!L337</f>
        <v>8200</v>
      </c>
      <c r="P344" s="29"/>
      <c r="Q344" s="29">
        <f>'Table001 (Page 1-6)'!M337</f>
        <v>430</v>
      </c>
      <c r="R344" s="29" t="str">
        <f>'Table001 (Page 1-6)'!S337</f>
        <v>8,100</v>
      </c>
      <c r="S344" s="31" t="str">
        <f>'Table001 (Page 1-6)'!T337</f>
        <v>0.99</v>
      </c>
      <c r="T344" s="29" t="str">
        <f>'Table001 (Page 1-6)'!U337</f>
        <v>C</v>
      </c>
      <c r="U344" s="29"/>
      <c r="V344" s="29"/>
      <c r="W344" s="29"/>
      <c r="X344" s="29"/>
      <c r="Y344" s="29"/>
      <c r="Z344" s="29"/>
      <c r="AA344" s="29"/>
      <c r="AB344" s="29"/>
      <c r="AC344" s="31"/>
      <c r="AD344" s="29"/>
      <c r="AE344" s="29"/>
      <c r="AF344" s="29"/>
      <c r="AG344" s="31"/>
      <c r="AH344" s="29"/>
      <c r="AI344" s="32">
        <f>('Table001 (Page 1-6)'!V337)*100</f>
        <v>2.4500000000000002</v>
      </c>
      <c r="AJ344" s="35"/>
      <c r="AK344" s="35"/>
      <c r="AL344" s="35"/>
      <c r="AM344" s="35"/>
    </row>
    <row r="345" spans="2:39" x14ac:dyDescent="0.25">
      <c r="B345" s="37">
        <f>'Table001 (Page 1-6)'!A338</f>
        <v>5060</v>
      </c>
      <c r="C345" s="28" t="str">
        <f>'Table001 (Page 1-6)'!B338</f>
        <v>SR 326</v>
      </c>
      <c r="D345" s="28" t="str">
        <f>'Table001 (Page 1-6)'!C338</f>
        <v>CR 35</v>
      </c>
      <c r="E345" s="28" t="str">
        <f>'Table001 (Page 1-6)'!D338</f>
        <v>NE 64 AV</v>
      </c>
      <c r="F345" s="29">
        <f>'Table001 (Page 1-6)'!E338</f>
        <v>2</v>
      </c>
      <c r="G345" s="29">
        <f>'Table001 (Page 1-6)'!K338</f>
        <v>2</v>
      </c>
      <c r="H345" s="30" t="str">
        <f>'Table001 (Page 1-6)'!R338</f>
        <v>D</v>
      </c>
      <c r="I345" s="28" t="str">
        <f>'Table001 (Page 1-6)'!F338</f>
        <v>ARTERIAL</v>
      </c>
      <c r="J345" s="29"/>
      <c r="K345" s="29"/>
      <c r="L345" s="29">
        <f>'Table001 (Page 1-6)'!I338</f>
        <v>17920</v>
      </c>
      <c r="M345" s="29"/>
      <c r="N345" s="29">
        <f>'Table001 (Page 1-6)'!J338</f>
        <v>888</v>
      </c>
      <c r="O345" s="29">
        <f>'Table001 (Page 1-6)'!L338</f>
        <v>17920</v>
      </c>
      <c r="P345" s="29"/>
      <c r="Q345" s="29">
        <f>'Table001 (Page 1-6)'!M338</f>
        <v>888</v>
      </c>
      <c r="R345" s="29" t="str">
        <f>'Table001 (Page 1-6)'!S338</f>
        <v>3,600</v>
      </c>
      <c r="S345" s="31" t="str">
        <f>'Table001 (Page 1-6)'!T338</f>
        <v>0.2</v>
      </c>
      <c r="T345" s="29" t="str">
        <f>'Table001 (Page 1-6)'!U338</f>
        <v>C</v>
      </c>
      <c r="U345" s="29"/>
      <c r="V345" s="29"/>
      <c r="W345" s="29"/>
      <c r="X345" s="29"/>
      <c r="Y345" s="29"/>
      <c r="Z345" s="29"/>
      <c r="AA345" s="29"/>
      <c r="AB345" s="29"/>
      <c r="AC345" s="31"/>
      <c r="AD345" s="29"/>
      <c r="AE345" s="29"/>
      <c r="AF345" s="29"/>
      <c r="AG345" s="31"/>
      <c r="AH345" s="29"/>
      <c r="AI345" s="32">
        <f>('Table001 (Page 1-6)'!V338)*100</f>
        <v>1</v>
      </c>
      <c r="AJ345" s="35"/>
      <c r="AK345" s="35"/>
      <c r="AL345" s="35"/>
      <c r="AM345" s="35"/>
    </row>
    <row r="346" spans="2:39" x14ac:dyDescent="0.25">
      <c r="B346" s="37">
        <f>'Table001 (Page 1-6)'!A339</f>
        <v>5070</v>
      </c>
      <c r="C346" s="28" t="str">
        <f>'Table001 (Page 1-6)'!B339</f>
        <v>SR 326</v>
      </c>
      <c r="D346" s="28" t="str">
        <f>'Table001 (Page 1-6)'!C339</f>
        <v>NE 64 AV</v>
      </c>
      <c r="E346" s="28" t="str">
        <f>'Table001 (Page 1-6)'!D339</f>
        <v>SR 40</v>
      </c>
      <c r="F346" s="29">
        <f>'Table001 (Page 1-6)'!E339</f>
        <v>2</v>
      </c>
      <c r="G346" s="29">
        <f>'Table001 (Page 1-6)'!K339</f>
        <v>2</v>
      </c>
      <c r="H346" s="30" t="str">
        <f>'Table001 (Page 1-6)'!R339</f>
        <v>D</v>
      </c>
      <c r="I346" s="28" t="str">
        <f>'Table001 (Page 1-6)'!F339</f>
        <v>ARTERIAL</v>
      </c>
      <c r="J346" s="29"/>
      <c r="K346" s="29"/>
      <c r="L346" s="29">
        <f>'Table001 (Page 1-6)'!I339</f>
        <v>17920</v>
      </c>
      <c r="M346" s="29"/>
      <c r="N346" s="29">
        <f>'Table001 (Page 1-6)'!J339</f>
        <v>888</v>
      </c>
      <c r="O346" s="29">
        <f>'Table001 (Page 1-6)'!L339</f>
        <v>17920</v>
      </c>
      <c r="P346" s="29"/>
      <c r="Q346" s="29">
        <f>'Table001 (Page 1-6)'!M339</f>
        <v>888</v>
      </c>
      <c r="R346" s="29" t="str">
        <f>'Table001 (Page 1-6)'!S339</f>
        <v>3,600</v>
      </c>
      <c r="S346" s="31" t="str">
        <f>'Table001 (Page 1-6)'!T339</f>
        <v>0.2</v>
      </c>
      <c r="T346" s="29" t="str">
        <f>'Table001 (Page 1-6)'!U339</f>
        <v>C</v>
      </c>
      <c r="U346" s="29"/>
      <c r="V346" s="29"/>
      <c r="W346" s="29"/>
      <c r="X346" s="29"/>
      <c r="Y346" s="29"/>
      <c r="Z346" s="29"/>
      <c r="AA346" s="29"/>
      <c r="AB346" s="29"/>
      <c r="AC346" s="31"/>
      <c r="AD346" s="29"/>
      <c r="AE346" s="29"/>
      <c r="AF346" s="29"/>
      <c r="AG346" s="31"/>
      <c r="AH346" s="29"/>
      <c r="AI346" s="32">
        <f>('Table001 (Page 1-6)'!V339)*100</f>
        <v>1</v>
      </c>
      <c r="AJ346" s="35"/>
      <c r="AK346" s="35"/>
      <c r="AL346" s="35"/>
      <c r="AM346" s="35"/>
    </row>
    <row r="347" spans="2:39" x14ac:dyDescent="0.25">
      <c r="B347" s="37">
        <f>'Table001 (Page 1-6)'!A340</f>
        <v>5080.1000000000004</v>
      </c>
      <c r="C347" s="28" t="str">
        <f>'Table001 (Page 1-6)'!B340</f>
        <v>SR 35</v>
      </c>
      <c r="D347" s="28" t="str">
        <f>'Table001 (Page 1-6)'!C340</f>
        <v>SR 25</v>
      </c>
      <c r="E347" s="28" t="str">
        <f>'Table001 (Page 1-6)'!D340</f>
        <v>SE 92ND PL</v>
      </c>
      <c r="F347" s="29">
        <f>'Table001 (Page 1-6)'!E340</f>
        <v>4</v>
      </c>
      <c r="G347" s="29">
        <f>'Table001 (Page 1-6)'!K340</f>
        <v>4</v>
      </c>
      <c r="H347" s="30" t="str">
        <f>'Table001 (Page 1-6)'!R340</f>
        <v>D</v>
      </c>
      <c r="I347" s="28" t="str">
        <f>'Table001 (Page 1-6)'!F340</f>
        <v>ARTERIAL</v>
      </c>
      <c r="J347" s="29"/>
      <c r="K347" s="29"/>
      <c r="L347" s="29">
        <f>'Table001 (Page 1-6)'!I340</f>
        <v>32970</v>
      </c>
      <c r="M347" s="29"/>
      <c r="N347" s="29">
        <f>'Table001 (Page 1-6)'!J340</f>
        <v>1722</v>
      </c>
      <c r="O347" s="29">
        <f>'Table001 (Page 1-6)'!L340</f>
        <v>32970</v>
      </c>
      <c r="P347" s="29"/>
      <c r="Q347" s="29">
        <f>'Table001 (Page 1-6)'!M340</f>
        <v>1722</v>
      </c>
      <c r="R347" s="29" t="str">
        <f>'Table001 (Page 1-6)'!S340</f>
        <v>12,700</v>
      </c>
      <c r="S347" s="31" t="str">
        <f>'Table001 (Page 1-6)'!T340</f>
        <v>0.39</v>
      </c>
      <c r="T347" s="29" t="str">
        <f>'Table001 (Page 1-6)'!U340</f>
        <v>C</v>
      </c>
      <c r="U347" s="29"/>
      <c r="V347" s="29"/>
      <c r="W347" s="29"/>
      <c r="X347" s="29"/>
      <c r="Y347" s="29"/>
      <c r="Z347" s="29"/>
      <c r="AA347" s="29"/>
      <c r="AB347" s="29"/>
      <c r="AC347" s="31"/>
      <c r="AD347" s="29"/>
      <c r="AE347" s="29"/>
      <c r="AF347" s="29"/>
      <c r="AG347" s="31"/>
      <c r="AH347" s="29"/>
      <c r="AI347" s="32">
        <f>('Table001 (Page 1-6)'!V340)*100</f>
        <v>1</v>
      </c>
      <c r="AJ347" s="35"/>
      <c r="AK347" s="35"/>
      <c r="AL347" s="35"/>
      <c r="AM347" s="35"/>
    </row>
    <row r="348" spans="2:39" x14ac:dyDescent="0.25">
      <c r="B348" s="37">
        <f>'Table001 (Page 1-6)'!A341</f>
        <v>5090.1000000000004</v>
      </c>
      <c r="C348" s="28" t="str">
        <f>'Table001 (Page 1-6)'!B341</f>
        <v>SR 35</v>
      </c>
      <c r="D348" s="28" t="str">
        <f>'Table001 (Page 1-6)'!C341</f>
        <v>SE 92ND PL</v>
      </c>
      <c r="E348" s="28" t="str">
        <f>'Table001 (Page 1-6)'!D341</f>
        <v>LAUREL RD</v>
      </c>
      <c r="F348" s="29">
        <f>'Table001 (Page 1-6)'!E341</f>
        <v>4</v>
      </c>
      <c r="G348" s="29">
        <f>'Table001 (Page 1-6)'!K341</f>
        <v>4</v>
      </c>
      <c r="H348" s="30" t="str">
        <f>'Table001 (Page 1-6)'!R341</f>
        <v>D</v>
      </c>
      <c r="I348" s="28" t="str">
        <f>'Table001 (Page 1-6)'!F341</f>
        <v>ARTERIAL</v>
      </c>
      <c r="J348" s="29"/>
      <c r="K348" s="29"/>
      <c r="L348" s="29">
        <f>'Table001 (Page 1-6)'!I341</f>
        <v>58485</v>
      </c>
      <c r="M348" s="29"/>
      <c r="N348" s="29">
        <f>'Table001 (Page 1-6)'!J341</f>
        <v>3056</v>
      </c>
      <c r="O348" s="29">
        <f>'Table001 (Page 1-6)'!L341</f>
        <v>58485</v>
      </c>
      <c r="P348" s="29"/>
      <c r="Q348" s="29">
        <f>'Table001 (Page 1-6)'!M341</f>
        <v>3056</v>
      </c>
      <c r="R348" s="29" t="str">
        <f>'Table001 (Page 1-6)'!S341</f>
        <v>27,600</v>
      </c>
      <c r="S348" s="31" t="str">
        <f>'Table001 (Page 1-6)'!T341</f>
        <v>0.47</v>
      </c>
      <c r="T348" s="29" t="str">
        <f>'Table001 (Page 1-6)'!U341</f>
        <v>B</v>
      </c>
      <c r="U348" s="29"/>
      <c r="V348" s="29"/>
      <c r="W348" s="29"/>
      <c r="X348" s="29"/>
      <c r="Y348" s="29"/>
      <c r="Z348" s="29"/>
      <c r="AA348" s="29"/>
      <c r="AB348" s="29"/>
      <c r="AC348" s="31"/>
      <c r="AD348" s="29"/>
      <c r="AE348" s="29"/>
      <c r="AF348" s="29"/>
      <c r="AG348" s="31"/>
      <c r="AH348" s="29"/>
      <c r="AI348" s="32">
        <f>('Table001 (Page 1-6)'!V341)*100</f>
        <v>4.2700000000000005</v>
      </c>
      <c r="AJ348" s="35"/>
      <c r="AK348" s="35"/>
      <c r="AL348" s="35"/>
      <c r="AM348" s="35"/>
    </row>
    <row r="349" spans="2:39" x14ac:dyDescent="0.25">
      <c r="B349" s="37">
        <f>'Table001 (Page 1-6)'!A342</f>
        <v>5100</v>
      </c>
      <c r="C349" s="28" t="str">
        <f>'Table001 (Page 1-6)'!B342</f>
        <v>SR 35</v>
      </c>
      <c r="D349" s="28" t="str">
        <f>'Table001 (Page 1-6)'!C342</f>
        <v>LAUREL RD</v>
      </c>
      <c r="E349" s="28" t="str">
        <f>'Table001 (Page 1-6)'!D342</f>
        <v>SR 464</v>
      </c>
      <c r="F349" s="29">
        <f>'Table001 (Page 1-6)'!E342</f>
        <v>4</v>
      </c>
      <c r="G349" s="29">
        <f>'Table001 (Page 1-6)'!K342</f>
        <v>4</v>
      </c>
      <c r="H349" s="30" t="str">
        <f>'Table001 (Page 1-6)'!R342</f>
        <v>D</v>
      </c>
      <c r="I349" s="28" t="str">
        <f>'Table001 (Page 1-6)'!F342</f>
        <v>ARTERIAL</v>
      </c>
      <c r="J349" s="29"/>
      <c r="K349" s="29"/>
      <c r="L349" s="29">
        <f>'Table001 (Page 1-6)'!I342</f>
        <v>55700</v>
      </c>
      <c r="M349" s="29"/>
      <c r="N349" s="29">
        <f>'Table001 (Page 1-6)'!J342</f>
        <v>2910</v>
      </c>
      <c r="O349" s="29">
        <f>'Table001 (Page 1-6)'!L342</f>
        <v>55700</v>
      </c>
      <c r="P349" s="29"/>
      <c r="Q349" s="29">
        <f>'Table001 (Page 1-6)'!M342</f>
        <v>2910</v>
      </c>
      <c r="R349" s="29" t="str">
        <f>'Table001 (Page 1-6)'!S342</f>
        <v>27,600</v>
      </c>
      <c r="S349" s="31" t="str">
        <f>'Table001 (Page 1-6)'!T342</f>
        <v>0.5</v>
      </c>
      <c r="T349" s="29" t="str">
        <f>'Table001 (Page 1-6)'!U342</f>
        <v>B</v>
      </c>
      <c r="U349" s="29"/>
      <c r="V349" s="29"/>
      <c r="W349" s="29"/>
      <c r="X349" s="29"/>
      <c r="Y349" s="29"/>
      <c r="Z349" s="29"/>
      <c r="AA349" s="29"/>
      <c r="AB349" s="29"/>
      <c r="AC349" s="31"/>
      <c r="AD349" s="29"/>
      <c r="AE349" s="29"/>
      <c r="AF349" s="29"/>
      <c r="AG349" s="31"/>
      <c r="AH349" s="29"/>
      <c r="AI349" s="32">
        <f>('Table001 (Page 1-6)'!V342)*100</f>
        <v>4.2700000000000005</v>
      </c>
      <c r="AJ349" s="35"/>
      <c r="AK349" s="35"/>
      <c r="AL349" s="35"/>
      <c r="AM349" s="35"/>
    </row>
    <row r="350" spans="2:39" x14ac:dyDescent="0.25">
      <c r="B350" s="37">
        <f>'Table001 (Page 1-6)'!A343</f>
        <v>5110</v>
      </c>
      <c r="C350" s="28" t="str">
        <f>'Table001 (Page 1-6)'!B343</f>
        <v>SR 35</v>
      </c>
      <c r="D350" s="28" t="str">
        <f>'Table001 (Page 1-6)'!C343</f>
        <v>SR 464</v>
      </c>
      <c r="E350" s="28" t="str">
        <f>'Table001 (Page 1-6)'!D343</f>
        <v>SE 28 ST</v>
      </c>
      <c r="F350" s="29">
        <f>'Table001 (Page 1-6)'!E343</f>
        <v>4</v>
      </c>
      <c r="G350" s="29">
        <f>'Table001 (Page 1-6)'!K343</f>
        <v>4</v>
      </c>
      <c r="H350" s="30" t="str">
        <f>'Table001 (Page 1-6)'!R343</f>
        <v>D</v>
      </c>
      <c r="I350" s="28" t="str">
        <f>'Table001 (Page 1-6)'!F343</f>
        <v>ARTERIAL</v>
      </c>
      <c r="J350" s="29"/>
      <c r="K350" s="29"/>
      <c r="L350" s="29">
        <f>'Table001 (Page 1-6)'!I343</f>
        <v>55700</v>
      </c>
      <c r="M350" s="29"/>
      <c r="N350" s="29">
        <f>'Table001 (Page 1-6)'!J343</f>
        <v>2910</v>
      </c>
      <c r="O350" s="29">
        <f>'Table001 (Page 1-6)'!L343</f>
        <v>55700</v>
      </c>
      <c r="P350" s="29"/>
      <c r="Q350" s="29">
        <f>'Table001 (Page 1-6)'!M343</f>
        <v>2910</v>
      </c>
      <c r="R350" s="29" t="str">
        <f>'Table001 (Page 1-6)'!S343</f>
        <v>20,700</v>
      </c>
      <c r="S350" s="31" t="str">
        <f>'Table001 (Page 1-6)'!T343</f>
        <v>0.37</v>
      </c>
      <c r="T350" s="29" t="str">
        <f>'Table001 (Page 1-6)'!U343</f>
        <v>B</v>
      </c>
      <c r="U350" s="29"/>
      <c r="V350" s="29"/>
      <c r="W350" s="29"/>
      <c r="X350" s="29"/>
      <c r="Y350" s="29"/>
      <c r="Z350" s="29"/>
      <c r="AA350" s="29"/>
      <c r="AB350" s="29"/>
      <c r="AC350" s="31"/>
      <c r="AD350" s="29"/>
      <c r="AE350" s="29"/>
      <c r="AF350" s="29"/>
      <c r="AG350" s="31"/>
      <c r="AH350" s="29"/>
      <c r="AI350" s="32">
        <f>('Table001 (Page 1-6)'!V343)*100</f>
        <v>1</v>
      </c>
      <c r="AJ350" s="35"/>
      <c r="AK350" s="35"/>
      <c r="AL350" s="35"/>
      <c r="AM350" s="35"/>
    </row>
    <row r="351" spans="2:39" x14ac:dyDescent="0.25">
      <c r="B351" s="37">
        <f>'Table001 (Page 1-6)'!A344</f>
        <v>5120</v>
      </c>
      <c r="C351" s="28" t="str">
        <f>'Table001 (Page 1-6)'!B344</f>
        <v>SR 35</v>
      </c>
      <c r="D351" s="28" t="str">
        <f>'Table001 (Page 1-6)'!C344</f>
        <v>SE 28 ST</v>
      </c>
      <c r="E351" s="28" t="str">
        <f>'Table001 (Page 1-6)'!D344</f>
        <v>CHERRY RD</v>
      </c>
      <c r="F351" s="29">
        <f>'Table001 (Page 1-6)'!E344</f>
        <v>4</v>
      </c>
      <c r="G351" s="29">
        <f>'Table001 (Page 1-6)'!K344</f>
        <v>4</v>
      </c>
      <c r="H351" s="30" t="str">
        <f>'Table001 (Page 1-6)'!R344</f>
        <v>D</v>
      </c>
      <c r="I351" s="28" t="str">
        <f>'Table001 (Page 1-6)'!F344</f>
        <v>ARTERIAL</v>
      </c>
      <c r="J351" s="29"/>
      <c r="K351" s="29"/>
      <c r="L351" s="29">
        <f>'Table001 (Page 1-6)'!I344</f>
        <v>38430</v>
      </c>
      <c r="M351" s="29"/>
      <c r="N351" s="29">
        <f>'Table001 (Page 1-6)'!J344</f>
        <v>1901</v>
      </c>
      <c r="O351" s="29">
        <f>'Table001 (Page 1-6)'!L344</f>
        <v>38430</v>
      </c>
      <c r="P351" s="29"/>
      <c r="Q351" s="29">
        <f>'Table001 (Page 1-6)'!M344</f>
        <v>1901</v>
      </c>
      <c r="R351" s="29" t="str">
        <f>'Table001 (Page 1-6)'!S344</f>
        <v>20,700</v>
      </c>
      <c r="S351" s="31" t="str">
        <f>'Table001 (Page 1-6)'!T344</f>
        <v>0.54</v>
      </c>
      <c r="T351" s="29" t="str">
        <f>'Table001 (Page 1-6)'!U344</f>
        <v>C</v>
      </c>
      <c r="U351" s="29"/>
      <c r="V351" s="29"/>
      <c r="W351" s="29"/>
      <c r="X351" s="29"/>
      <c r="Y351" s="29"/>
      <c r="Z351" s="29"/>
      <c r="AA351" s="29"/>
      <c r="AB351" s="29"/>
      <c r="AC351" s="31"/>
      <c r="AD351" s="29"/>
      <c r="AE351" s="29"/>
      <c r="AF351" s="29"/>
      <c r="AG351" s="31"/>
      <c r="AH351" s="29"/>
      <c r="AI351" s="32">
        <f>('Table001 (Page 1-6)'!V344)*100</f>
        <v>1</v>
      </c>
      <c r="AJ351" s="35"/>
      <c r="AK351" s="35"/>
      <c r="AL351" s="35"/>
      <c r="AM351" s="35"/>
    </row>
    <row r="352" spans="2:39" x14ac:dyDescent="0.25">
      <c r="B352" s="37">
        <f>'Table001 (Page 1-6)'!A345</f>
        <v>5130</v>
      </c>
      <c r="C352" s="28" t="str">
        <f>'Table001 (Page 1-6)'!B345</f>
        <v>SR 35</v>
      </c>
      <c r="D352" s="28" t="str">
        <f>'Table001 (Page 1-6)'!C345</f>
        <v>CHERRY RD</v>
      </c>
      <c r="E352" s="28" t="str">
        <f>'Table001 (Page 1-6)'!D345</f>
        <v>E FORT KING ST</v>
      </c>
      <c r="F352" s="29">
        <f>'Table001 (Page 1-6)'!E345</f>
        <v>4</v>
      </c>
      <c r="G352" s="29">
        <f>'Table001 (Page 1-6)'!K345</f>
        <v>4</v>
      </c>
      <c r="H352" s="30" t="str">
        <f>'Table001 (Page 1-6)'!R345</f>
        <v>D</v>
      </c>
      <c r="I352" s="28" t="str">
        <f>'Table001 (Page 1-6)'!F345</f>
        <v>ARTERIAL</v>
      </c>
      <c r="J352" s="29"/>
      <c r="K352" s="29"/>
      <c r="L352" s="29">
        <f>'Table001 (Page 1-6)'!I345</f>
        <v>39165</v>
      </c>
      <c r="M352" s="29"/>
      <c r="N352" s="29">
        <f>'Table001 (Page 1-6)'!J345</f>
        <v>1943</v>
      </c>
      <c r="O352" s="29">
        <f>'Table001 (Page 1-6)'!L345</f>
        <v>39165</v>
      </c>
      <c r="P352" s="29"/>
      <c r="Q352" s="29">
        <f>'Table001 (Page 1-6)'!M345</f>
        <v>1943</v>
      </c>
      <c r="R352" s="29" t="str">
        <f>'Table001 (Page 1-6)'!S345</f>
        <v>20,700</v>
      </c>
      <c r="S352" s="31" t="str">
        <f>'Table001 (Page 1-6)'!T345</f>
        <v>0.53</v>
      </c>
      <c r="T352" s="29" t="str">
        <f>'Table001 (Page 1-6)'!U345</f>
        <v>C</v>
      </c>
      <c r="U352" s="29"/>
      <c r="V352" s="29"/>
      <c r="W352" s="29"/>
      <c r="X352" s="29"/>
      <c r="Y352" s="29"/>
      <c r="Z352" s="29"/>
      <c r="AA352" s="29"/>
      <c r="AB352" s="29"/>
      <c r="AC352" s="31"/>
      <c r="AD352" s="29"/>
      <c r="AE352" s="29"/>
      <c r="AF352" s="29"/>
      <c r="AG352" s="31"/>
      <c r="AH352" s="29"/>
      <c r="AI352" s="32">
        <f>('Table001 (Page 1-6)'!V345)*100</f>
        <v>1.21</v>
      </c>
      <c r="AJ352" s="35"/>
      <c r="AK352" s="35"/>
      <c r="AL352" s="35"/>
      <c r="AM352" s="35"/>
    </row>
    <row r="353" spans="2:39" x14ac:dyDescent="0.25">
      <c r="B353" s="37">
        <f>'Table001 (Page 1-6)'!A346</f>
        <v>5140</v>
      </c>
      <c r="C353" s="28" t="str">
        <f>'Table001 (Page 1-6)'!B346</f>
        <v>SR 35</v>
      </c>
      <c r="D353" s="28" t="str">
        <f>'Table001 (Page 1-6)'!C346</f>
        <v>E FORT KING ST</v>
      </c>
      <c r="E353" s="28" t="str">
        <f>'Table001 (Page 1-6)'!D346</f>
        <v>CR 314</v>
      </c>
      <c r="F353" s="29">
        <f>'Table001 (Page 1-6)'!E346</f>
        <v>4</v>
      </c>
      <c r="G353" s="29">
        <f>'Table001 (Page 1-6)'!K346</f>
        <v>4</v>
      </c>
      <c r="H353" s="30" t="str">
        <f>'Table001 (Page 1-6)'!R346</f>
        <v>D</v>
      </c>
      <c r="I353" s="28" t="str">
        <f>'Table001 (Page 1-6)'!F346</f>
        <v>ARTERIAL</v>
      </c>
      <c r="J353" s="29"/>
      <c r="K353" s="29"/>
      <c r="L353" s="29">
        <f>'Table001 (Page 1-6)'!I346</f>
        <v>39165</v>
      </c>
      <c r="M353" s="29"/>
      <c r="N353" s="29">
        <f>'Table001 (Page 1-6)'!J346</f>
        <v>1943</v>
      </c>
      <c r="O353" s="29">
        <f>'Table001 (Page 1-6)'!L346</f>
        <v>39165</v>
      </c>
      <c r="P353" s="29"/>
      <c r="Q353" s="29">
        <f>'Table001 (Page 1-6)'!M346</f>
        <v>1943</v>
      </c>
      <c r="R353" s="29" t="str">
        <f>'Table001 (Page 1-6)'!S346</f>
        <v>20,700</v>
      </c>
      <c r="S353" s="31" t="str">
        <f>'Table001 (Page 1-6)'!T346</f>
        <v>0.53</v>
      </c>
      <c r="T353" s="29" t="str">
        <f>'Table001 (Page 1-6)'!U346</f>
        <v>C</v>
      </c>
      <c r="U353" s="29"/>
      <c r="V353" s="29"/>
      <c r="W353" s="29"/>
      <c r="X353" s="29"/>
      <c r="Y353" s="29"/>
      <c r="Z353" s="29"/>
      <c r="AA353" s="29"/>
      <c r="AB353" s="29"/>
      <c r="AC353" s="31"/>
      <c r="AD353" s="29"/>
      <c r="AE353" s="29"/>
      <c r="AF353" s="29"/>
      <c r="AG353" s="31"/>
      <c r="AH353" s="29"/>
      <c r="AI353" s="32">
        <f>('Table001 (Page 1-6)'!V346)*100</f>
        <v>1.21</v>
      </c>
      <c r="AJ353" s="35"/>
      <c r="AK353" s="35"/>
      <c r="AL353" s="35"/>
      <c r="AM353" s="35"/>
    </row>
    <row r="354" spans="2:39" x14ac:dyDescent="0.25">
      <c r="B354" s="37">
        <f>'Table001 (Page 1-6)'!A347</f>
        <v>5150</v>
      </c>
      <c r="C354" s="28" t="str">
        <f>'Table001 (Page 1-6)'!B347</f>
        <v>SR 35</v>
      </c>
      <c r="D354" s="28" t="str">
        <f>'Table001 (Page 1-6)'!C347</f>
        <v>CR 314</v>
      </c>
      <c r="E354" s="28" t="str">
        <f>'Table001 (Page 1-6)'!D347</f>
        <v>SR 40</v>
      </c>
      <c r="F354" s="29">
        <f>'Table001 (Page 1-6)'!E347</f>
        <v>4</v>
      </c>
      <c r="G354" s="29">
        <f>'Table001 (Page 1-6)'!K347</f>
        <v>4</v>
      </c>
      <c r="H354" s="30" t="str">
        <f>'Table001 (Page 1-6)'!R347</f>
        <v>D</v>
      </c>
      <c r="I354" s="28" t="str">
        <f>'Table001 (Page 1-6)'!F347</f>
        <v>ARTERIAL</v>
      </c>
      <c r="J354" s="29"/>
      <c r="K354" s="29"/>
      <c r="L354" s="29">
        <f>'Table001 (Page 1-6)'!I347</f>
        <v>55700</v>
      </c>
      <c r="M354" s="29"/>
      <c r="N354" s="29">
        <f>'Table001 (Page 1-6)'!J347</f>
        <v>2910</v>
      </c>
      <c r="O354" s="29">
        <f>'Table001 (Page 1-6)'!L347</f>
        <v>55700</v>
      </c>
      <c r="P354" s="29"/>
      <c r="Q354" s="29">
        <f>'Table001 (Page 1-6)'!M347</f>
        <v>2910</v>
      </c>
      <c r="R354" s="29" t="str">
        <f>'Table001 (Page 1-6)'!S347</f>
        <v>16,100</v>
      </c>
      <c r="S354" s="31" t="str">
        <f>'Table001 (Page 1-6)'!T347</f>
        <v>0.29</v>
      </c>
      <c r="T354" s="29" t="str">
        <f>'Table001 (Page 1-6)'!U347</f>
        <v>B</v>
      </c>
      <c r="U354" s="29"/>
      <c r="V354" s="29"/>
      <c r="W354" s="29"/>
      <c r="X354" s="29"/>
      <c r="Y354" s="29"/>
      <c r="Z354" s="29"/>
      <c r="AA354" s="29"/>
      <c r="AB354" s="29"/>
      <c r="AC354" s="31"/>
      <c r="AD354" s="29"/>
      <c r="AE354" s="29"/>
      <c r="AF354" s="29"/>
      <c r="AG354" s="31"/>
      <c r="AH354" s="29"/>
      <c r="AI354" s="32">
        <f>('Table001 (Page 1-6)'!V347)*100</f>
        <v>1.73</v>
      </c>
      <c r="AJ354" s="35"/>
      <c r="AK354" s="35"/>
      <c r="AL354" s="35"/>
      <c r="AM354" s="35"/>
    </row>
    <row r="355" spans="2:39" x14ac:dyDescent="0.25">
      <c r="B355" s="37">
        <f>'Table001 (Page 1-6)'!A348</f>
        <v>5170.1000000000004</v>
      </c>
      <c r="C355" s="28" t="str">
        <f>'Table001 (Page 1-6)'!B348</f>
        <v>SR 40</v>
      </c>
      <c r="D355" s="28" t="str">
        <f>'Table001 (Page 1-6)'!C348</f>
        <v>US 41</v>
      </c>
      <c r="E355" s="28" t="str">
        <f>'Table001 (Page 1-6)'!D348</f>
        <v>URBAN AREA BOUNDARY</v>
      </c>
      <c r="F355" s="29">
        <f>'Table001 (Page 1-6)'!E348</f>
        <v>2</v>
      </c>
      <c r="G355" s="29">
        <f>'Table001 (Page 1-6)'!K348</f>
        <v>2</v>
      </c>
      <c r="H355" s="30" t="str">
        <f>'Table001 (Page 1-6)'!R348</f>
        <v>D</v>
      </c>
      <c r="I355" s="28" t="str">
        <f>'Table001 (Page 1-6)'!F348</f>
        <v>ARTERIAL</v>
      </c>
      <c r="J355" s="29"/>
      <c r="K355" s="29"/>
      <c r="L355" s="29">
        <f>'Table001 (Page 1-6)'!I348</f>
        <v>14000</v>
      </c>
      <c r="M355" s="29"/>
      <c r="N355" s="29">
        <f>'Table001 (Page 1-6)'!J348</f>
        <v>730</v>
      </c>
      <c r="O355" s="29">
        <f>'Table001 (Page 1-6)'!L348</f>
        <v>14000</v>
      </c>
      <c r="P355" s="29"/>
      <c r="Q355" s="29">
        <f>'Table001 (Page 1-6)'!M348</f>
        <v>730</v>
      </c>
      <c r="R355" s="29" t="str">
        <f>'Table001 (Page 1-6)'!S348</f>
        <v>8,500</v>
      </c>
      <c r="S355" s="31" t="str">
        <f>'Table001 (Page 1-6)'!T348</f>
        <v>0.61</v>
      </c>
      <c r="T355" s="29" t="str">
        <f>'Table001 (Page 1-6)'!U348</f>
        <v>D</v>
      </c>
      <c r="U355" s="29"/>
      <c r="V355" s="29"/>
      <c r="W355" s="29"/>
      <c r="X355" s="29"/>
      <c r="Y355" s="29"/>
      <c r="Z355" s="29"/>
      <c r="AA355" s="29"/>
      <c r="AB355" s="29"/>
      <c r="AC355" s="31"/>
      <c r="AD355" s="29"/>
      <c r="AE355" s="29"/>
      <c r="AF355" s="29"/>
      <c r="AG355" s="31"/>
      <c r="AH355" s="29"/>
      <c r="AI355" s="32">
        <f>('Table001 (Page 1-6)'!V348)*100</f>
        <v>1</v>
      </c>
      <c r="AJ355" s="35"/>
      <c r="AK355" s="35"/>
      <c r="AL355" s="35"/>
      <c r="AM355" s="35"/>
    </row>
    <row r="356" spans="2:39" x14ac:dyDescent="0.25">
      <c r="B356" s="37">
        <f>'Table001 (Page 1-6)'!A349</f>
        <v>5170.2</v>
      </c>
      <c r="C356" s="28" t="str">
        <f>'Table001 (Page 1-6)'!B349</f>
        <v>SR 40</v>
      </c>
      <c r="D356" s="28" t="str">
        <f>'Table001 (Page 1-6)'!C349</f>
        <v>URBAN AREA BOUNDARY</v>
      </c>
      <c r="E356" s="28" t="str">
        <f>'Table001 (Page 1-6)'!D349</f>
        <v>SW 140 AV</v>
      </c>
      <c r="F356" s="29">
        <f>'Table001 (Page 1-6)'!E349</f>
        <v>2</v>
      </c>
      <c r="G356" s="29">
        <f>'Table001 (Page 1-6)'!K349</f>
        <v>2</v>
      </c>
      <c r="H356" s="30" t="str">
        <f>'Table001 (Page 1-6)'!R349</f>
        <v>C</v>
      </c>
      <c r="I356" s="28" t="str">
        <f>'Table001 (Page 1-6)'!F349</f>
        <v>ARTERIAL</v>
      </c>
      <c r="J356" s="29"/>
      <c r="K356" s="29"/>
      <c r="L356" s="29">
        <f>'Table001 (Page 1-6)'!I349</f>
        <v>8200</v>
      </c>
      <c r="M356" s="29"/>
      <c r="N356" s="29">
        <f>'Table001 (Page 1-6)'!J349</f>
        <v>430</v>
      </c>
      <c r="O356" s="29">
        <f>'Table001 (Page 1-6)'!L349</f>
        <v>8200</v>
      </c>
      <c r="P356" s="29"/>
      <c r="Q356" s="29">
        <f>'Table001 (Page 1-6)'!M349</f>
        <v>430</v>
      </c>
      <c r="R356" s="29" t="str">
        <f>'Table001 (Page 1-6)'!S349</f>
        <v>8,500</v>
      </c>
      <c r="S356" s="31" t="str">
        <f>'Table001 (Page 1-6)'!T349</f>
        <v>1.04</v>
      </c>
      <c r="T356" s="29" t="str">
        <f>'Table001 (Page 1-6)'!U349</f>
        <v>D</v>
      </c>
      <c r="U356" s="29"/>
      <c r="V356" s="29"/>
      <c r="W356" s="29"/>
      <c r="X356" s="29"/>
      <c r="Y356" s="29"/>
      <c r="Z356" s="29"/>
      <c r="AA356" s="29"/>
      <c r="AB356" s="29"/>
      <c r="AC356" s="31"/>
      <c r="AD356" s="29"/>
      <c r="AE356" s="29"/>
      <c r="AF356" s="29"/>
      <c r="AG356" s="31"/>
      <c r="AH356" s="29"/>
      <c r="AI356" s="32">
        <f>('Table001 (Page 1-6)'!V349)*100</f>
        <v>1</v>
      </c>
      <c r="AJ356" s="35"/>
      <c r="AK356" s="35"/>
      <c r="AL356" s="35"/>
      <c r="AM356" s="35"/>
    </row>
    <row r="357" spans="2:39" x14ac:dyDescent="0.25">
      <c r="B357" s="37">
        <f>'Table001 (Page 1-6)'!A350</f>
        <v>5180</v>
      </c>
      <c r="C357" s="28" t="str">
        <f>'Table001 (Page 1-6)'!B350</f>
        <v>SR 40</v>
      </c>
      <c r="D357" s="28" t="str">
        <f>'Table001 (Page 1-6)'!C350</f>
        <v>SW 140 AV</v>
      </c>
      <c r="E357" s="28" t="str">
        <f>'Table001 (Page 1-6)'!D350</f>
        <v>CR 328</v>
      </c>
      <c r="F357" s="29">
        <f>'Table001 (Page 1-6)'!E350</f>
        <v>2</v>
      </c>
      <c r="G357" s="29">
        <f>'Table001 (Page 1-6)'!K350</f>
        <v>2</v>
      </c>
      <c r="H357" s="30" t="str">
        <f>'Table001 (Page 1-6)'!R350</f>
        <v>C</v>
      </c>
      <c r="I357" s="28" t="str">
        <f>'Table001 (Page 1-6)'!F350</f>
        <v>ARTERIAL</v>
      </c>
      <c r="J357" s="29"/>
      <c r="K357" s="29"/>
      <c r="L357" s="29">
        <f>'Table001 (Page 1-6)'!I350</f>
        <v>8200</v>
      </c>
      <c r="M357" s="29"/>
      <c r="N357" s="29">
        <f>'Table001 (Page 1-6)'!J350</f>
        <v>430</v>
      </c>
      <c r="O357" s="29">
        <f>'Table001 (Page 1-6)'!L350</f>
        <v>8200</v>
      </c>
      <c r="P357" s="29"/>
      <c r="Q357" s="29">
        <f>'Table001 (Page 1-6)'!M350</f>
        <v>430</v>
      </c>
      <c r="R357" s="29" t="str">
        <f>'Table001 (Page 1-6)'!S350</f>
        <v>17,500</v>
      </c>
      <c r="S357" s="31" t="str">
        <f>'Table001 (Page 1-6)'!T350</f>
        <v>2.13</v>
      </c>
      <c r="T357" s="29" t="str">
        <f>'Table001 (Page 1-6)'!U350</f>
        <v>E</v>
      </c>
      <c r="U357" s="29"/>
      <c r="V357" s="29"/>
      <c r="W357" s="29"/>
      <c r="X357" s="29"/>
      <c r="Y357" s="29"/>
      <c r="Z357" s="29"/>
      <c r="AA357" s="29"/>
      <c r="AB357" s="29"/>
      <c r="AC357" s="31"/>
      <c r="AD357" s="29"/>
      <c r="AE357" s="29"/>
      <c r="AF357" s="29"/>
      <c r="AG357" s="31"/>
      <c r="AH357" s="29"/>
      <c r="AI357" s="32">
        <f>('Table001 (Page 1-6)'!V350)*100</f>
        <v>1.97</v>
      </c>
      <c r="AJ357" s="35"/>
      <c r="AK357" s="35"/>
      <c r="AL357" s="35"/>
      <c r="AM357" s="35"/>
    </row>
    <row r="358" spans="2:39" x14ac:dyDescent="0.25">
      <c r="B358" s="37">
        <f>'Table001 (Page 1-6)'!A351</f>
        <v>5190</v>
      </c>
      <c r="C358" s="28" t="str">
        <f>'Table001 (Page 1-6)'!B351</f>
        <v>SR 40</v>
      </c>
      <c r="D358" s="28" t="str">
        <f>'Table001 (Page 1-6)'!C351</f>
        <v>CR 328</v>
      </c>
      <c r="E358" s="28" t="str">
        <f>'Table001 (Page 1-6)'!D351</f>
        <v>SW 110 AV</v>
      </c>
      <c r="F358" s="29">
        <f>'Table001 (Page 1-6)'!E351</f>
        <v>4</v>
      </c>
      <c r="G358" s="29">
        <f>'Table001 (Page 1-6)'!K351</f>
        <v>4</v>
      </c>
      <c r="H358" s="30" t="str">
        <f>'Table001 (Page 1-6)'!R351</f>
        <v>C</v>
      </c>
      <c r="I358" s="28" t="str">
        <f>'Table001 (Page 1-6)'!F351</f>
        <v>ARTERIAL</v>
      </c>
      <c r="J358" s="29"/>
      <c r="K358" s="29"/>
      <c r="L358" s="29">
        <f>'Table001 (Page 1-6)'!I351</f>
        <v>19600</v>
      </c>
      <c r="M358" s="29"/>
      <c r="N358" s="29">
        <f>'Table001 (Page 1-6)'!J351</f>
        <v>970</v>
      </c>
      <c r="O358" s="29">
        <f>'Table001 (Page 1-6)'!L351</f>
        <v>19600</v>
      </c>
      <c r="P358" s="29"/>
      <c r="Q358" s="29">
        <f>'Table001 (Page 1-6)'!M351</f>
        <v>970</v>
      </c>
      <c r="R358" s="29" t="str">
        <f>'Table001 (Page 1-6)'!S351</f>
        <v>17,500</v>
      </c>
      <c r="S358" s="31" t="str">
        <f>'Table001 (Page 1-6)'!T351</f>
        <v>0.89</v>
      </c>
      <c r="T358" s="29" t="str">
        <f>'Table001 (Page 1-6)'!U351</f>
        <v>C</v>
      </c>
      <c r="U358" s="29"/>
      <c r="V358" s="29"/>
      <c r="W358" s="29"/>
      <c r="X358" s="29"/>
      <c r="Y358" s="29"/>
      <c r="Z358" s="29"/>
      <c r="AA358" s="29"/>
      <c r="AB358" s="29"/>
      <c r="AC358" s="31"/>
      <c r="AD358" s="29"/>
      <c r="AE358" s="29"/>
      <c r="AF358" s="29"/>
      <c r="AG358" s="31"/>
      <c r="AH358" s="29"/>
      <c r="AI358" s="32">
        <f>('Table001 (Page 1-6)'!V351)*100</f>
        <v>1.97</v>
      </c>
      <c r="AJ358" s="35"/>
      <c r="AK358" s="35"/>
      <c r="AL358" s="35"/>
      <c r="AM358" s="35"/>
    </row>
    <row r="359" spans="2:39" x14ac:dyDescent="0.25">
      <c r="B359" s="37">
        <f>'Table001 (Page 1-6)'!A352</f>
        <v>5200.1000000000004</v>
      </c>
      <c r="C359" s="28" t="str">
        <f>'Table001 (Page 1-6)'!B352</f>
        <v>SR 40</v>
      </c>
      <c r="D359" s="28" t="str">
        <f>'Table001 (Page 1-6)'!C352</f>
        <v>SW 110 AV</v>
      </c>
      <c r="E359" s="28" t="str">
        <f>'Table001 (Page 1-6)'!D352</f>
        <v>SW 85 AV</v>
      </c>
      <c r="F359" s="29">
        <f>'Table001 (Page 1-6)'!E352</f>
        <v>4</v>
      </c>
      <c r="G359" s="29">
        <f>'Table001 (Page 1-6)'!K352</f>
        <v>4</v>
      </c>
      <c r="H359" s="30" t="str">
        <f>'Table001 (Page 1-6)'!R352</f>
        <v>C</v>
      </c>
      <c r="I359" s="28" t="str">
        <f>'Table001 (Page 1-6)'!F352</f>
        <v>ARTERIAL</v>
      </c>
      <c r="J359" s="29"/>
      <c r="K359" s="29"/>
      <c r="L359" s="29">
        <f>'Table001 (Page 1-6)'!I352</f>
        <v>36015</v>
      </c>
      <c r="M359" s="29"/>
      <c r="N359" s="29">
        <f>'Table001 (Page 1-6)'!J352</f>
        <v>1785</v>
      </c>
      <c r="O359" s="29">
        <f>'Table001 (Page 1-6)'!L352</f>
        <v>36015</v>
      </c>
      <c r="P359" s="29"/>
      <c r="Q359" s="29">
        <f>'Table001 (Page 1-6)'!M352</f>
        <v>1785</v>
      </c>
      <c r="R359" s="29" t="str">
        <f>'Table001 (Page 1-6)'!S352</f>
        <v>19,300</v>
      </c>
      <c r="S359" s="31" t="str">
        <f>'Table001 (Page 1-6)'!T352</f>
        <v>0.54</v>
      </c>
      <c r="T359" s="29" t="str">
        <f>'Table001 (Page 1-6)'!U352</f>
        <v>C</v>
      </c>
      <c r="U359" s="29"/>
      <c r="V359" s="29"/>
      <c r="W359" s="29"/>
      <c r="X359" s="29"/>
      <c r="Y359" s="29"/>
      <c r="Z359" s="29"/>
      <c r="AA359" s="29"/>
      <c r="AB359" s="29"/>
      <c r="AC359" s="31"/>
      <c r="AD359" s="29"/>
      <c r="AE359" s="29"/>
      <c r="AF359" s="29"/>
      <c r="AG359" s="31"/>
      <c r="AH359" s="29"/>
      <c r="AI359" s="32">
        <f>('Table001 (Page 1-6)'!V352)*100</f>
        <v>1</v>
      </c>
      <c r="AJ359" s="35"/>
      <c r="AK359" s="35"/>
      <c r="AL359" s="35"/>
      <c r="AM359" s="35"/>
    </row>
    <row r="360" spans="2:39" x14ac:dyDescent="0.25">
      <c r="B360" s="37">
        <f>'Table001 (Page 1-6)'!A353</f>
        <v>5200.2</v>
      </c>
      <c r="C360" s="28" t="str">
        <f>'Table001 (Page 1-6)'!B353</f>
        <v>SR 40</v>
      </c>
      <c r="D360" s="28" t="str">
        <f>'Table001 (Page 1-6)'!C353</f>
        <v>SW 85 AV</v>
      </c>
      <c r="E360" s="28" t="str">
        <f>'Table001 (Page 1-6)'!D353</f>
        <v>SW 80 AV</v>
      </c>
      <c r="F360" s="29">
        <f>'Table001 (Page 1-6)'!E353</f>
        <v>4</v>
      </c>
      <c r="G360" s="29">
        <f>'Table001 (Page 1-6)'!K353</f>
        <v>4</v>
      </c>
      <c r="H360" s="30" t="str">
        <f>'Table001 (Page 1-6)'!R353</f>
        <v>C</v>
      </c>
      <c r="I360" s="28" t="str">
        <f>'Table001 (Page 1-6)'!F353</f>
        <v>ARTERIAL</v>
      </c>
      <c r="J360" s="29"/>
      <c r="K360" s="29"/>
      <c r="L360" s="29">
        <f>'Table001 (Page 1-6)'!I353</f>
        <v>36015</v>
      </c>
      <c r="M360" s="29"/>
      <c r="N360" s="29">
        <f>'Table001 (Page 1-6)'!J353</f>
        <v>1785</v>
      </c>
      <c r="O360" s="29">
        <f>'Table001 (Page 1-6)'!L353</f>
        <v>36015</v>
      </c>
      <c r="P360" s="29"/>
      <c r="Q360" s="29">
        <f>'Table001 (Page 1-6)'!M353</f>
        <v>1785</v>
      </c>
      <c r="R360" s="29" t="str">
        <f>'Table001 (Page 1-6)'!S353</f>
        <v>19,300</v>
      </c>
      <c r="S360" s="31" t="str">
        <f>'Table001 (Page 1-6)'!T353</f>
        <v>0.54</v>
      </c>
      <c r="T360" s="29" t="str">
        <f>'Table001 (Page 1-6)'!U353</f>
        <v>C</v>
      </c>
      <c r="U360" s="29"/>
      <c r="V360" s="29"/>
      <c r="W360" s="29"/>
      <c r="X360" s="29"/>
      <c r="Y360" s="29"/>
      <c r="Z360" s="29"/>
      <c r="AA360" s="29"/>
      <c r="AB360" s="29"/>
      <c r="AC360" s="31"/>
      <c r="AD360" s="29"/>
      <c r="AE360" s="29"/>
      <c r="AF360" s="29"/>
      <c r="AG360" s="31"/>
      <c r="AH360" s="29"/>
      <c r="AI360" s="32">
        <f>('Table001 (Page 1-6)'!V353)*100</f>
        <v>1</v>
      </c>
      <c r="AJ360" s="35"/>
      <c r="AK360" s="35"/>
      <c r="AL360" s="35"/>
      <c r="AM360" s="35"/>
    </row>
    <row r="361" spans="2:39" x14ac:dyDescent="0.25">
      <c r="B361" s="37">
        <f>'Table001 (Page 1-6)'!A354</f>
        <v>5210</v>
      </c>
      <c r="C361" s="28" t="str">
        <f>'Table001 (Page 1-6)'!B354</f>
        <v>SR 40</v>
      </c>
      <c r="D361" s="28" t="str">
        <f>'Table001 (Page 1-6)'!C354</f>
        <v>SW 80 AV</v>
      </c>
      <c r="E361" s="28" t="str">
        <f>'Table001 (Page 1-6)'!D354</f>
        <v>SW 60 AV</v>
      </c>
      <c r="F361" s="29">
        <f>'Table001 (Page 1-6)'!E354</f>
        <v>4</v>
      </c>
      <c r="G361" s="29">
        <f>'Table001 (Page 1-6)'!K354</f>
        <v>4</v>
      </c>
      <c r="H361" s="30" t="str">
        <f>'Table001 (Page 1-6)'!R354</f>
        <v>D</v>
      </c>
      <c r="I361" s="28" t="str">
        <f>'Table001 (Page 1-6)'!F354</f>
        <v>ARTERIAL</v>
      </c>
      <c r="J361" s="29"/>
      <c r="K361" s="29"/>
      <c r="L361" s="29">
        <f>'Table001 (Page 1-6)'!I354</f>
        <v>39165</v>
      </c>
      <c r="M361" s="29"/>
      <c r="N361" s="29">
        <f>'Table001 (Page 1-6)'!J354</f>
        <v>1943</v>
      </c>
      <c r="O361" s="29">
        <f>'Table001 (Page 1-6)'!L354</f>
        <v>39165</v>
      </c>
      <c r="P361" s="29"/>
      <c r="Q361" s="29">
        <f>'Table001 (Page 1-6)'!M354</f>
        <v>1943</v>
      </c>
      <c r="R361" s="29" t="str">
        <f>'Table001 (Page 1-6)'!S354</f>
        <v>22,800</v>
      </c>
      <c r="S361" s="31" t="str">
        <f>'Table001 (Page 1-6)'!T354</f>
        <v>0.58</v>
      </c>
      <c r="T361" s="29" t="str">
        <f>'Table001 (Page 1-6)'!U354</f>
        <v>C</v>
      </c>
      <c r="U361" s="29"/>
      <c r="V361" s="29"/>
      <c r="W361" s="29"/>
      <c r="X361" s="29"/>
      <c r="Y361" s="29"/>
      <c r="Z361" s="29"/>
      <c r="AA361" s="29"/>
      <c r="AB361" s="29"/>
      <c r="AC361" s="31"/>
      <c r="AD361" s="29"/>
      <c r="AE361" s="29"/>
      <c r="AF361" s="29"/>
      <c r="AG361" s="31"/>
      <c r="AH361" s="29"/>
      <c r="AI361" s="32">
        <f>('Table001 (Page 1-6)'!V354)*100</f>
        <v>1.39</v>
      </c>
      <c r="AJ361" s="35"/>
      <c r="AK361" s="35"/>
      <c r="AL361" s="35"/>
      <c r="AM361" s="35"/>
    </row>
    <row r="362" spans="2:39" x14ac:dyDescent="0.25">
      <c r="B362" s="37">
        <f>'Table001 (Page 1-6)'!A355</f>
        <v>5220</v>
      </c>
      <c r="C362" s="28" t="str">
        <f>'Table001 (Page 1-6)'!B355</f>
        <v>SR 40</v>
      </c>
      <c r="D362" s="28" t="str">
        <f>'Table001 (Page 1-6)'!C355</f>
        <v>SW 60 AV</v>
      </c>
      <c r="E362" s="28" t="str">
        <f>'Table001 (Page 1-6)'!D355</f>
        <v>SW 52 AV</v>
      </c>
      <c r="F362" s="29">
        <f>'Table001 (Page 1-6)'!E355</f>
        <v>4</v>
      </c>
      <c r="G362" s="29">
        <f>'Table001 (Page 1-6)'!K355</f>
        <v>4</v>
      </c>
      <c r="H362" s="30" t="str">
        <f>'Table001 (Page 1-6)'!R355</f>
        <v>D</v>
      </c>
      <c r="I362" s="28" t="str">
        <f>'Table001 (Page 1-6)'!F355</f>
        <v>ARTERIAL</v>
      </c>
      <c r="J362" s="29"/>
      <c r="K362" s="29"/>
      <c r="L362" s="29">
        <f>'Table001 (Page 1-6)'!I355</f>
        <v>38430</v>
      </c>
      <c r="M362" s="29"/>
      <c r="N362" s="29">
        <f>'Table001 (Page 1-6)'!J355</f>
        <v>1901</v>
      </c>
      <c r="O362" s="29">
        <f>'Table001 (Page 1-6)'!L355</f>
        <v>38430</v>
      </c>
      <c r="P362" s="29"/>
      <c r="Q362" s="29">
        <f>'Table001 (Page 1-6)'!M355</f>
        <v>1901</v>
      </c>
      <c r="R362" s="29" t="str">
        <f>'Table001 (Page 1-6)'!S355</f>
        <v>27,100</v>
      </c>
      <c r="S362" s="31" t="str">
        <f>'Table001 (Page 1-6)'!T355</f>
        <v>0.71</v>
      </c>
      <c r="T362" s="29" t="str">
        <f>'Table001 (Page 1-6)'!U355</f>
        <v>C</v>
      </c>
      <c r="U362" s="29"/>
      <c r="V362" s="29"/>
      <c r="W362" s="29"/>
      <c r="X362" s="29"/>
      <c r="Y362" s="29"/>
      <c r="Z362" s="29"/>
      <c r="AA362" s="29"/>
      <c r="AB362" s="29"/>
      <c r="AC362" s="31"/>
      <c r="AD362" s="29"/>
      <c r="AE362" s="29"/>
      <c r="AF362" s="29"/>
      <c r="AG362" s="31"/>
      <c r="AH362" s="29"/>
      <c r="AI362" s="32">
        <f>('Table001 (Page 1-6)'!V355)*100</f>
        <v>1</v>
      </c>
      <c r="AJ362" s="35"/>
      <c r="AK362" s="35"/>
      <c r="AL362" s="35"/>
      <c r="AM362" s="35"/>
    </row>
    <row r="363" spans="2:39" x14ac:dyDescent="0.25">
      <c r="B363" s="37">
        <f>'Table001 (Page 1-6)'!A356</f>
        <v>5230.1000000000004</v>
      </c>
      <c r="C363" s="28" t="str">
        <f>'Table001 (Page 1-6)'!B356</f>
        <v>SR 40</v>
      </c>
      <c r="D363" s="28" t="str">
        <f>'Table001 (Page 1-6)'!C356</f>
        <v>SW 52 AV</v>
      </c>
      <c r="E363" s="28" t="str">
        <f>'Table001 (Page 1-6)'!D356</f>
        <v>I-75 RAMP (WEST)</v>
      </c>
      <c r="F363" s="29">
        <f>'Table001 (Page 1-6)'!E356</f>
        <v>4</v>
      </c>
      <c r="G363" s="29">
        <f>'Table001 (Page 1-6)'!K356</f>
        <v>4</v>
      </c>
      <c r="H363" s="30" t="str">
        <f>'Table001 (Page 1-6)'!R356</f>
        <v>D</v>
      </c>
      <c r="I363" s="28" t="str">
        <f>'Table001 (Page 1-6)'!F356</f>
        <v>ARTERIAL</v>
      </c>
      <c r="J363" s="29"/>
      <c r="K363" s="29"/>
      <c r="L363" s="29">
        <f>'Table001 (Page 1-6)'!I356</f>
        <v>38430</v>
      </c>
      <c r="M363" s="29"/>
      <c r="N363" s="29">
        <f>'Table001 (Page 1-6)'!J356</f>
        <v>1901</v>
      </c>
      <c r="O363" s="29">
        <f>'Table001 (Page 1-6)'!L356</f>
        <v>38430</v>
      </c>
      <c r="P363" s="29"/>
      <c r="Q363" s="29">
        <f>'Table001 (Page 1-6)'!M356</f>
        <v>1901</v>
      </c>
      <c r="R363" s="29" t="str">
        <f>'Table001 (Page 1-6)'!S356</f>
        <v>31,500</v>
      </c>
      <c r="S363" s="31" t="str">
        <f>'Table001 (Page 1-6)'!T356</f>
        <v>0.82</v>
      </c>
      <c r="T363" s="29" t="str">
        <f>'Table001 (Page 1-6)'!U356</f>
        <v>C</v>
      </c>
      <c r="U363" s="29"/>
      <c r="V363" s="29"/>
      <c r="W363" s="29"/>
      <c r="X363" s="29"/>
      <c r="Y363" s="29"/>
      <c r="Z363" s="29"/>
      <c r="AA363" s="29"/>
      <c r="AB363" s="29"/>
      <c r="AC363" s="31"/>
      <c r="AD363" s="29"/>
      <c r="AE363" s="29"/>
      <c r="AF363" s="29"/>
      <c r="AG363" s="31"/>
      <c r="AH363" s="29"/>
      <c r="AI363" s="32">
        <f>('Table001 (Page 1-6)'!V356)*100</f>
        <v>1.7000000000000002</v>
      </c>
      <c r="AJ363" s="35"/>
      <c r="AK363" s="35"/>
      <c r="AL363" s="35"/>
      <c r="AM363" s="35"/>
    </row>
    <row r="364" spans="2:39" x14ac:dyDescent="0.25">
      <c r="B364" s="37">
        <f>'Table001 (Page 1-6)'!A357</f>
        <v>5240</v>
      </c>
      <c r="C364" s="28" t="str">
        <f>'Table001 (Page 1-6)'!B357</f>
        <v>SR 40</v>
      </c>
      <c r="D364" s="28" t="str">
        <f>'Table001 (Page 1-6)'!C357</f>
        <v>I-75 RAMP (WEST)</v>
      </c>
      <c r="E364" s="28" t="str">
        <f>'Table001 (Page 1-6)'!D357</f>
        <v>I-75 RAMP (EAST)</v>
      </c>
      <c r="F364" s="29">
        <f>'Table001 (Page 1-6)'!E357</f>
        <v>4</v>
      </c>
      <c r="G364" s="29">
        <f>'Table001 (Page 1-6)'!K357</f>
        <v>4</v>
      </c>
      <c r="H364" s="30" t="str">
        <f>'Table001 (Page 1-6)'!R357</f>
        <v>D</v>
      </c>
      <c r="I364" s="28" t="str">
        <f>'Table001 (Page 1-6)'!F357</f>
        <v>ARTERIAL</v>
      </c>
      <c r="J364" s="29"/>
      <c r="K364" s="29"/>
      <c r="L364" s="29">
        <f>'Table001 (Page 1-6)'!I357</f>
        <v>40352</v>
      </c>
      <c r="M364" s="29"/>
      <c r="N364" s="29">
        <f>'Table001 (Page 1-6)'!J357</f>
        <v>1996</v>
      </c>
      <c r="O364" s="29">
        <f>'Table001 (Page 1-6)'!L357</f>
        <v>40352</v>
      </c>
      <c r="P364" s="29"/>
      <c r="Q364" s="29">
        <f>'Table001 (Page 1-6)'!M357</f>
        <v>1996</v>
      </c>
      <c r="R364" s="29" t="str">
        <f>'Table001 (Page 1-6)'!S357</f>
        <v>32,200</v>
      </c>
      <c r="S364" s="31" t="str">
        <f>'Table001 (Page 1-6)'!T357</f>
        <v>0.8</v>
      </c>
      <c r="T364" s="29" t="str">
        <f>'Table001 (Page 1-6)'!U357</f>
        <v>C</v>
      </c>
      <c r="U364" s="29"/>
      <c r="V364" s="29"/>
      <c r="W364" s="29"/>
      <c r="X364" s="29"/>
      <c r="Y364" s="29"/>
      <c r="Z364" s="29"/>
      <c r="AA364" s="29"/>
      <c r="AB364" s="29"/>
      <c r="AC364" s="31"/>
      <c r="AD364" s="29"/>
      <c r="AE364" s="29"/>
      <c r="AF364" s="29"/>
      <c r="AG364" s="31"/>
      <c r="AH364" s="29"/>
      <c r="AI364" s="32">
        <f>('Table001 (Page 1-6)'!V357)*100</f>
        <v>1.17</v>
      </c>
      <c r="AJ364" s="35"/>
      <c r="AK364" s="35"/>
      <c r="AL364" s="35"/>
      <c r="AM364" s="35"/>
    </row>
    <row r="365" spans="2:39" x14ac:dyDescent="0.25">
      <c r="B365" s="37">
        <f>'Table001 (Page 1-6)'!A358</f>
        <v>5250</v>
      </c>
      <c r="C365" s="28" t="str">
        <f>'Table001 (Page 1-6)'!B358</f>
        <v>SR 40</v>
      </c>
      <c r="D365" s="28" t="str">
        <f>'Table001 (Page 1-6)'!C358</f>
        <v>I-75 RAMP (EAST)</v>
      </c>
      <c r="E365" s="28" t="str">
        <f>'Table001 (Page 1-6)'!D358</f>
        <v>SW 33 AV</v>
      </c>
      <c r="F365" s="29">
        <f>'Table001 (Page 1-6)'!E358</f>
        <v>4</v>
      </c>
      <c r="G365" s="29">
        <f>'Table001 (Page 1-6)'!K358</f>
        <v>4</v>
      </c>
      <c r="H365" s="30" t="str">
        <f>'Table001 (Page 1-6)'!R358</f>
        <v>D</v>
      </c>
      <c r="I365" s="28" t="str">
        <f>'Table001 (Page 1-6)'!F358</f>
        <v>ARTERIAL</v>
      </c>
      <c r="J365" s="29"/>
      <c r="K365" s="29"/>
      <c r="L365" s="29">
        <f>'Table001 (Page 1-6)'!I358</f>
        <v>38430</v>
      </c>
      <c r="M365" s="29"/>
      <c r="N365" s="29">
        <f>'Table001 (Page 1-6)'!J358</f>
        <v>1901</v>
      </c>
      <c r="O365" s="29">
        <f>'Table001 (Page 1-6)'!L358</f>
        <v>38430</v>
      </c>
      <c r="P365" s="29"/>
      <c r="Q365" s="29">
        <f>'Table001 (Page 1-6)'!M358</f>
        <v>1901</v>
      </c>
      <c r="R365" s="29" t="str">
        <f>'Table001 (Page 1-6)'!S358</f>
        <v>32,200</v>
      </c>
      <c r="S365" s="31" t="str">
        <f>'Table001 (Page 1-6)'!T358</f>
        <v>0.84</v>
      </c>
      <c r="T365" s="29" t="str">
        <f>'Table001 (Page 1-6)'!U358</f>
        <v>C</v>
      </c>
      <c r="U365" s="29"/>
      <c r="V365" s="29"/>
      <c r="W365" s="29"/>
      <c r="X365" s="29"/>
      <c r="Y365" s="29"/>
      <c r="Z365" s="29"/>
      <c r="AA365" s="29"/>
      <c r="AB365" s="29"/>
      <c r="AC365" s="31"/>
      <c r="AD365" s="29"/>
      <c r="AE365" s="29"/>
      <c r="AF365" s="29"/>
      <c r="AG365" s="31"/>
      <c r="AH365" s="29"/>
      <c r="AI365" s="32">
        <f>('Table001 (Page 1-6)'!V358)*100</f>
        <v>1.17</v>
      </c>
      <c r="AJ365" s="35"/>
      <c r="AK365" s="35"/>
      <c r="AL365" s="35"/>
      <c r="AM365" s="35"/>
    </row>
    <row r="366" spans="2:39" x14ac:dyDescent="0.25">
      <c r="B366" s="37">
        <f>'Table001 (Page 1-6)'!A359</f>
        <v>5260</v>
      </c>
      <c r="C366" s="28" t="str">
        <f>'Table001 (Page 1-6)'!B359</f>
        <v>SR 40</v>
      </c>
      <c r="D366" s="28" t="str">
        <f>'Table001 (Page 1-6)'!C359</f>
        <v>SW 33 AV</v>
      </c>
      <c r="E366" s="28" t="str">
        <f>'Table001 (Page 1-6)'!D359</f>
        <v>SW 27 AV</v>
      </c>
      <c r="F366" s="29">
        <f>'Table001 (Page 1-6)'!E359</f>
        <v>4</v>
      </c>
      <c r="G366" s="29">
        <f>'Table001 (Page 1-6)'!K359</f>
        <v>4</v>
      </c>
      <c r="H366" s="30" t="str">
        <f>'Table001 (Page 1-6)'!R359</f>
        <v>D</v>
      </c>
      <c r="I366" s="28" t="str">
        <f>'Table001 (Page 1-6)'!F359</f>
        <v>ARTERIAL</v>
      </c>
      <c r="J366" s="29"/>
      <c r="K366" s="29"/>
      <c r="L366" s="29">
        <f>'Table001 (Page 1-6)'!I359</f>
        <v>38430</v>
      </c>
      <c r="M366" s="29"/>
      <c r="N366" s="29">
        <f>'Table001 (Page 1-6)'!J359</f>
        <v>1901</v>
      </c>
      <c r="O366" s="29">
        <f>'Table001 (Page 1-6)'!L359</f>
        <v>38430</v>
      </c>
      <c r="P366" s="29"/>
      <c r="Q366" s="29">
        <f>'Table001 (Page 1-6)'!M359</f>
        <v>1901</v>
      </c>
      <c r="R366" s="29" t="str">
        <f>'Table001 (Page 1-6)'!S359</f>
        <v>32,800</v>
      </c>
      <c r="S366" s="31" t="str">
        <f>'Table001 (Page 1-6)'!T359</f>
        <v>0.85</v>
      </c>
      <c r="T366" s="29" t="str">
        <f>'Table001 (Page 1-6)'!U359</f>
        <v>D</v>
      </c>
      <c r="U366" s="29"/>
      <c r="V366" s="29"/>
      <c r="W366" s="29"/>
      <c r="X366" s="29"/>
      <c r="Y366" s="29"/>
      <c r="Z366" s="29"/>
      <c r="AA366" s="29"/>
      <c r="AB366" s="29"/>
      <c r="AC366" s="31"/>
      <c r="AD366" s="29"/>
      <c r="AE366" s="29"/>
      <c r="AF366" s="29"/>
      <c r="AG366" s="31"/>
      <c r="AH366" s="29"/>
      <c r="AI366" s="32">
        <f>('Table001 (Page 1-6)'!V359)*100</f>
        <v>1</v>
      </c>
      <c r="AJ366" s="35"/>
      <c r="AK366" s="35"/>
      <c r="AL366" s="35"/>
      <c r="AM366" s="35"/>
    </row>
    <row r="367" spans="2:39" x14ac:dyDescent="0.25">
      <c r="B367" s="37">
        <f>'Table001 (Page 1-6)'!A360</f>
        <v>5270</v>
      </c>
      <c r="C367" s="28" t="str">
        <f>'Table001 (Page 1-6)'!B360</f>
        <v>SR 40</v>
      </c>
      <c r="D367" s="28" t="str">
        <f>'Table001 (Page 1-6)'!C360</f>
        <v>SW 27 AV</v>
      </c>
      <c r="E367" s="28" t="str">
        <f>'Table001 (Page 1-6)'!D360</f>
        <v>SW MARTIN L KING AVE</v>
      </c>
      <c r="F367" s="29">
        <f>'Table001 (Page 1-6)'!E360</f>
        <v>4</v>
      </c>
      <c r="G367" s="29">
        <f>'Table001 (Page 1-6)'!K360</f>
        <v>4</v>
      </c>
      <c r="H367" s="30" t="str">
        <f>'Table001 (Page 1-6)'!R360</f>
        <v>D</v>
      </c>
      <c r="I367" s="28" t="str">
        <f>'Table001 (Page 1-6)'!F360</f>
        <v>ARTERIAL</v>
      </c>
      <c r="J367" s="29"/>
      <c r="K367" s="29"/>
      <c r="L367" s="29">
        <f>'Table001 (Page 1-6)'!I360</f>
        <v>37905</v>
      </c>
      <c r="M367" s="29"/>
      <c r="N367" s="29">
        <f>'Table001 (Page 1-6)'!J360</f>
        <v>1880</v>
      </c>
      <c r="O367" s="29">
        <f>'Table001 (Page 1-6)'!L360</f>
        <v>37905</v>
      </c>
      <c r="P367" s="29"/>
      <c r="Q367" s="29">
        <f>'Table001 (Page 1-6)'!M360</f>
        <v>1880</v>
      </c>
      <c r="R367" s="29" t="str">
        <f>'Table001 (Page 1-6)'!S360</f>
        <v>23,200</v>
      </c>
      <c r="S367" s="31" t="str">
        <f>'Table001 (Page 1-6)'!T360</f>
        <v>0.61</v>
      </c>
      <c r="T367" s="29" t="str">
        <f>'Table001 (Page 1-6)'!U360</f>
        <v>C</v>
      </c>
      <c r="U367" s="29"/>
      <c r="V367" s="29"/>
      <c r="W367" s="29"/>
      <c r="X367" s="29"/>
      <c r="Y367" s="29"/>
      <c r="Z367" s="29"/>
      <c r="AA367" s="29"/>
      <c r="AB367" s="29"/>
      <c r="AC367" s="31"/>
      <c r="AD367" s="29"/>
      <c r="AE367" s="29"/>
      <c r="AF367" s="29"/>
      <c r="AG367" s="31"/>
      <c r="AH367" s="29"/>
      <c r="AI367" s="32">
        <f>('Table001 (Page 1-6)'!V360)*100</f>
        <v>1</v>
      </c>
      <c r="AJ367" s="35"/>
      <c r="AK367" s="35"/>
      <c r="AL367" s="35"/>
      <c r="AM367" s="35"/>
    </row>
    <row r="368" spans="2:39" x14ac:dyDescent="0.25">
      <c r="B368" s="37">
        <f>'Table001 (Page 1-6)'!A361</f>
        <v>5280</v>
      </c>
      <c r="C368" s="28" t="str">
        <f>'Table001 (Page 1-6)'!B361</f>
        <v>SR 40</v>
      </c>
      <c r="D368" s="28" t="str">
        <f>'Table001 (Page 1-6)'!C361</f>
        <v>SW MARTIN L KING AVE</v>
      </c>
      <c r="E368" s="28" t="str">
        <f>'Table001 (Page 1-6)'!D361</f>
        <v>US 441</v>
      </c>
      <c r="F368" s="29">
        <f>'Table001 (Page 1-6)'!E361</f>
        <v>4</v>
      </c>
      <c r="G368" s="29">
        <f>'Table001 (Page 1-6)'!K361</f>
        <v>4</v>
      </c>
      <c r="H368" s="30" t="str">
        <f>'Table001 (Page 1-6)'!R361</f>
        <v>D</v>
      </c>
      <c r="I368" s="28" t="str">
        <f>'Table001 (Page 1-6)'!F361</f>
        <v>ARTERIAL</v>
      </c>
      <c r="J368" s="29"/>
      <c r="K368" s="29"/>
      <c r="L368" s="29">
        <f>'Table001 (Page 1-6)'!I361</f>
        <v>37905</v>
      </c>
      <c r="M368" s="29"/>
      <c r="N368" s="29">
        <f>'Table001 (Page 1-6)'!J361</f>
        <v>1880</v>
      </c>
      <c r="O368" s="29">
        <f>'Table001 (Page 1-6)'!L361</f>
        <v>37905</v>
      </c>
      <c r="P368" s="29"/>
      <c r="Q368" s="29">
        <f>'Table001 (Page 1-6)'!M361</f>
        <v>1880</v>
      </c>
      <c r="R368" s="29" t="str">
        <f>'Table001 (Page 1-6)'!S361</f>
        <v>20,900</v>
      </c>
      <c r="S368" s="31" t="str">
        <f>'Table001 (Page 1-6)'!T361</f>
        <v>0.55</v>
      </c>
      <c r="T368" s="29" t="str">
        <f>'Table001 (Page 1-6)'!U361</f>
        <v>C</v>
      </c>
      <c r="U368" s="29"/>
      <c r="V368" s="29"/>
      <c r="W368" s="29"/>
      <c r="X368" s="29"/>
      <c r="Y368" s="29"/>
      <c r="Z368" s="29"/>
      <c r="AA368" s="29"/>
      <c r="AB368" s="29"/>
      <c r="AC368" s="31"/>
      <c r="AD368" s="29"/>
      <c r="AE368" s="29"/>
      <c r="AF368" s="29"/>
      <c r="AG368" s="31"/>
      <c r="AH368" s="29"/>
      <c r="AI368" s="32">
        <f>('Table001 (Page 1-6)'!V361)*100</f>
        <v>2.0299999999999998</v>
      </c>
      <c r="AJ368" s="35"/>
      <c r="AK368" s="35"/>
      <c r="AL368" s="35"/>
      <c r="AM368" s="35"/>
    </row>
    <row r="369" spans="2:39" x14ac:dyDescent="0.25">
      <c r="B369" s="37">
        <f>'Table001 (Page 1-6)'!A362</f>
        <v>5300</v>
      </c>
      <c r="C369" s="28" t="str">
        <f>'Table001 (Page 1-6)'!B362</f>
        <v>SR 40</v>
      </c>
      <c r="D369" s="28" t="str">
        <f>'Table001 (Page 1-6)'!C362</f>
        <v>US 441</v>
      </c>
      <c r="E369" s="28" t="str">
        <f>'Table001 (Page 1-6)'!D362</f>
        <v>NW 2 AV</v>
      </c>
      <c r="F369" s="29">
        <f>'Table001 (Page 1-6)'!E362</f>
        <v>4</v>
      </c>
      <c r="G369" s="29">
        <f>'Table001 (Page 1-6)'!K362</f>
        <v>4</v>
      </c>
      <c r="H369" s="30" t="str">
        <f>'Table001 (Page 1-6)'!R362</f>
        <v>D</v>
      </c>
      <c r="I369" s="28" t="str">
        <f>'Table001 (Page 1-6)'!F362</f>
        <v>ARTERIAL</v>
      </c>
      <c r="J369" s="29"/>
      <c r="K369" s="29"/>
      <c r="L369" s="29">
        <f>'Table001 (Page 1-6)'!I362</f>
        <v>37905</v>
      </c>
      <c r="M369" s="29"/>
      <c r="N369" s="29">
        <f>'Table001 (Page 1-6)'!J362</f>
        <v>1880</v>
      </c>
      <c r="O369" s="29">
        <f>'Table001 (Page 1-6)'!L362</f>
        <v>37905</v>
      </c>
      <c r="P369" s="29"/>
      <c r="Q369" s="29">
        <f>'Table001 (Page 1-6)'!M362</f>
        <v>1880</v>
      </c>
      <c r="R369" s="29" t="str">
        <f>'Table001 (Page 1-6)'!S362</f>
        <v>29,300</v>
      </c>
      <c r="S369" s="31" t="str">
        <f>'Table001 (Page 1-6)'!T362</f>
        <v>0.77</v>
      </c>
      <c r="T369" s="29" t="str">
        <f>'Table001 (Page 1-6)'!U362</f>
        <v>D</v>
      </c>
      <c r="U369" s="29"/>
      <c r="V369" s="29"/>
      <c r="W369" s="29"/>
      <c r="X369" s="29"/>
      <c r="Y369" s="29"/>
      <c r="Z369" s="29"/>
      <c r="AA369" s="29"/>
      <c r="AB369" s="29"/>
      <c r="AC369" s="31"/>
      <c r="AD369" s="29"/>
      <c r="AE369" s="29"/>
      <c r="AF369" s="29"/>
      <c r="AG369" s="31"/>
      <c r="AH369" s="29"/>
      <c r="AI369" s="32">
        <f>('Table001 (Page 1-6)'!V362)*100</f>
        <v>1</v>
      </c>
      <c r="AJ369" s="35"/>
      <c r="AK369" s="35"/>
      <c r="AL369" s="35"/>
      <c r="AM369" s="35"/>
    </row>
    <row r="370" spans="2:39" x14ac:dyDescent="0.25">
      <c r="B370" s="37">
        <f>'Table001 (Page 1-6)'!A363</f>
        <v>5310</v>
      </c>
      <c r="C370" s="28" t="str">
        <f>'Table001 (Page 1-6)'!B363</f>
        <v>SR 40</v>
      </c>
      <c r="D370" s="28" t="str">
        <f>'Table001 (Page 1-6)'!C363</f>
        <v>NW 2 AV</v>
      </c>
      <c r="E370" s="28" t="str">
        <f>'Table001 (Page 1-6)'!D363</f>
        <v>N MAGNOLIA AV</v>
      </c>
      <c r="F370" s="29">
        <f>'Table001 (Page 1-6)'!E363</f>
        <v>4</v>
      </c>
      <c r="G370" s="29">
        <f>'Table001 (Page 1-6)'!K363</f>
        <v>4</v>
      </c>
      <c r="H370" s="30" t="str">
        <f>'Table001 (Page 1-6)'!R363</f>
        <v>D</v>
      </c>
      <c r="I370" s="28" t="str">
        <f>'Table001 (Page 1-6)'!F363</f>
        <v>ARTERIAL</v>
      </c>
      <c r="J370" s="29"/>
      <c r="K370" s="29"/>
      <c r="L370" s="29">
        <f>'Table001 (Page 1-6)'!I363</f>
        <v>37905</v>
      </c>
      <c r="M370" s="29"/>
      <c r="N370" s="29">
        <f>'Table001 (Page 1-6)'!J363</f>
        <v>1880</v>
      </c>
      <c r="O370" s="29">
        <f>'Table001 (Page 1-6)'!L363</f>
        <v>37905</v>
      </c>
      <c r="P370" s="29"/>
      <c r="Q370" s="29">
        <f>'Table001 (Page 1-6)'!M363</f>
        <v>1880</v>
      </c>
      <c r="R370" s="29" t="str">
        <f>'Table001 (Page 1-6)'!S363</f>
        <v>29,300</v>
      </c>
      <c r="S370" s="31" t="str">
        <f>'Table001 (Page 1-6)'!T363</f>
        <v>0.77</v>
      </c>
      <c r="T370" s="29" t="str">
        <f>'Table001 (Page 1-6)'!U363</f>
        <v>D</v>
      </c>
      <c r="U370" s="29"/>
      <c r="V370" s="29"/>
      <c r="W370" s="29"/>
      <c r="X370" s="29"/>
      <c r="Y370" s="29"/>
      <c r="Z370" s="29"/>
      <c r="AA370" s="29"/>
      <c r="AB370" s="29"/>
      <c r="AC370" s="31"/>
      <c r="AD370" s="29"/>
      <c r="AE370" s="29"/>
      <c r="AF370" s="29"/>
      <c r="AG370" s="31"/>
      <c r="AH370" s="29"/>
      <c r="AI370" s="32">
        <f>('Table001 (Page 1-6)'!V363)*100</f>
        <v>1</v>
      </c>
      <c r="AJ370" s="35"/>
      <c r="AK370" s="35"/>
      <c r="AL370" s="35"/>
      <c r="AM370" s="35"/>
    </row>
    <row r="371" spans="2:39" x14ac:dyDescent="0.25">
      <c r="B371" s="37">
        <f>'Table001 (Page 1-6)'!A364</f>
        <v>5330</v>
      </c>
      <c r="C371" s="28" t="str">
        <f>'Table001 (Page 1-6)'!B364</f>
        <v>SR 40</v>
      </c>
      <c r="D371" s="28" t="str">
        <f>'Table001 (Page 1-6)'!C364</f>
        <v>N MAGNOLIA AV</v>
      </c>
      <c r="E371" s="28" t="str">
        <f>'Table001 (Page 1-6)'!D364</f>
        <v>NE WATULA AV</v>
      </c>
      <c r="F371" s="29">
        <f>'Table001 (Page 1-6)'!E364</f>
        <v>4</v>
      </c>
      <c r="G371" s="29">
        <f>'Table001 (Page 1-6)'!K364</f>
        <v>4</v>
      </c>
      <c r="H371" s="30" t="str">
        <f>'Table001 (Page 1-6)'!R364</f>
        <v>D</v>
      </c>
      <c r="I371" s="28" t="str">
        <f>'Table001 (Page 1-6)'!F364</f>
        <v>ARTERIAL</v>
      </c>
      <c r="J371" s="29"/>
      <c r="K371" s="29"/>
      <c r="L371" s="29">
        <f>'Table001 (Page 1-6)'!I364</f>
        <v>37905</v>
      </c>
      <c r="M371" s="29"/>
      <c r="N371" s="29">
        <f>'Table001 (Page 1-6)'!J364</f>
        <v>1880</v>
      </c>
      <c r="O371" s="29">
        <f>'Table001 (Page 1-6)'!L364</f>
        <v>37905</v>
      </c>
      <c r="P371" s="29"/>
      <c r="Q371" s="29">
        <f>'Table001 (Page 1-6)'!M364</f>
        <v>1880</v>
      </c>
      <c r="R371" s="29" t="str">
        <f>'Table001 (Page 1-6)'!S364</f>
        <v>29,300</v>
      </c>
      <c r="S371" s="31" t="str">
        <f>'Table001 (Page 1-6)'!T364</f>
        <v>0.77</v>
      </c>
      <c r="T371" s="29" t="str">
        <f>'Table001 (Page 1-6)'!U364</f>
        <v>D</v>
      </c>
      <c r="U371" s="29"/>
      <c r="V371" s="29"/>
      <c r="W371" s="29"/>
      <c r="X371" s="29"/>
      <c r="Y371" s="29"/>
      <c r="Z371" s="29"/>
      <c r="AA371" s="29"/>
      <c r="AB371" s="29"/>
      <c r="AC371" s="31"/>
      <c r="AD371" s="29"/>
      <c r="AE371" s="29"/>
      <c r="AF371" s="29"/>
      <c r="AG371" s="31"/>
      <c r="AH371" s="29"/>
      <c r="AI371" s="32">
        <f>('Table001 (Page 1-6)'!V364)*100</f>
        <v>1</v>
      </c>
      <c r="AJ371" s="35"/>
      <c r="AK371" s="35"/>
      <c r="AL371" s="35"/>
      <c r="AM371" s="35"/>
    </row>
    <row r="372" spans="2:39" x14ac:dyDescent="0.25">
      <c r="B372" s="37">
        <f>'Table001 (Page 1-6)'!A365</f>
        <v>5350</v>
      </c>
      <c r="C372" s="28" t="str">
        <f>'Table001 (Page 1-6)'!B365</f>
        <v>SR 40</v>
      </c>
      <c r="D372" s="28" t="str">
        <f>'Table001 (Page 1-6)'!C365</f>
        <v>NE WATULA AV</v>
      </c>
      <c r="E372" s="28" t="str">
        <f>'Table001 (Page 1-6)'!D365</f>
        <v>NE 8 AV</v>
      </c>
      <c r="F372" s="29">
        <f>'Table001 (Page 1-6)'!E365</f>
        <v>4</v>
      </c>
      <c r="G372" s="29">
        <f>'Table001 (Page 1-6)'!K365</f>
        <v>4</v>
      </c>
      <c r="H372" s="30" t="str">
        <f>'Table001 (Page 1-6)'!R365</f>
        <v>D</v>
      </c>
      <c r="I372" s="28" t="str">
        <f>'Table001 (Page 1-6)'!F365</f>
        <v>ARTERIAL</v>
      </c>
      <c r="J372" s="29"/>
      <c r="K372" s="29"/>
      <c r="L372" s="29">
        <f>'Table001 (Page 1-6)'!I365</f>
        <v>37905</v>
      </c>
      <c r="M372" s="29"/>
      <c r="N372" s="29">
        <f>'Table001 (Page 1-6)'!J365</f>
        <v>1880</v>
      </c>
      <c r="O372" s="29">
        <f>'Table001 (Page 1-6)'!L365</f>
        <v>37905</v>
      </c>
      <c r="P372" s="29"/>
      <c r="Q372" s="29">
        <f>'Table001 (Page 1-6)'!M365</f>
        <v>1880</v>
      </c>
      <c r="R372" s="29" t="str">
        <f>'Table001 (Page 1-6)'!S365</f>
        <v>29,300</v>
      </c>
      <c r="S372" s="31" t="str">
        <f>'Table001 (Page 1-6)'!T365</f>
        <v>0.77</v>
      </c>
      <c r="T372" s="29" t="str">
        <f>'Table001 (Page 1-6)'!U365</f>
        <v>D</v>
      </c>
      <c r="U372" s="29"/>
      <c r="V372" s="29"/>
      <c r="W372" s="29"/>
      <c r="X372" s="29"/>
      <c r="Y372" s="29"/>
      <c r="Z372" s="29"/>
      <c r="AA372" s="29"/>
      <c r="AB372" s="29"/>
      <c r="AC372" s="31"/>
      <c r="AD372" s="29"/>
      <c r="AE372" s="29"/>
      <c r="AF372" s="29"/>
      <c r="AG372" s="31"/>
      <c r="AH372" s="29"/>
      <c r="AI372" s="32">
        <f>('Table001 (Page 1-6)'!V365)*100</f>
        <v>1</v>
      </c>
      <c r="AJ372" s="35"/>
      <c r="AK372" s="35"/>
      <c r="AL372" s="35"/>
      <c r="AM372" s="35"/>
    </row>
    <row r="373" spans="2:39" x14ac:dyDescent="0.25">
      <c r="B373" s="37">
        <f>'Table001 (Page 1-6)'!A366</f>
        <v>5360.1</v>
      </c>
      <c r="C373" s="28" t="str">
        <f>'Table001 (Page 1-6)'!B366</f>
        <v>SR 40</v>
      </c>
      <c r="D373" s="28" t="str">
        <f>'Table001 (Page 1-6)'!C366</f>
        <v>NE 8 AV</v>
      </c>
      <c r="E373" s="28" t="str">
        <f>'Table001 (Page 1-6)'!D366</f>
        <v>NE 10TH ST</v>
      </c>
      <c r="F373" s="29">
        <f>'Table001 (Page 1-6)'!E366</f>
        <v>4</v>
      </c>
      <c r="G373" s="29">
        <f>'Table001 (Page 1-6)'!K366</f>
        <v>4</v>
      </c>
      <c r="H373" s="30" t="str">
        <f>'Table001 (Page 1-6)'!R366</f>
        <v>D</v>
      </c>
      <c r="I373" s="28" t="str">
        <f>'Table001 (Page 1-6)'!F366</f>
        <v>ARTERIAL</v>
      </c>
      <c r="J373" s="29"/>
      <c r="K373" s="29"/>
      <c r="L373" s="29">
        <f>'Table001 (Page 1-6)'!I366</f>
        <v>37905</v>
      </c>
      <c r="M373" s="29"/>
      <c r="N373" s="29">
        <f>'Table001 (Page 1-6)'!J366</f>
        <v>1880</v>
      </c>
      <c r="O373" s="29">
        <f>'Table001 (Page 1-6)'!L366</f>
        <v>37905</v>
      </c>
      <c r="P373" s="29"/>
      <c r="Q373" s="29">
        <f>'Table001 (Page 1-6)'!M366</f>
        <v>1880</v>
      </c>
      <c r="R373" s="29" t="str">
        <f>'Table001 (Page 1-6)'!S366</f>
        <v>29,300</v>
      </c>
      <c r="S373" s="31" t="str">
        <f>'Table001 (Page 1-6)'!T366</f>
        <v>0.77</v>
      </c>
      <c r="T373" s="29" t="str">
        <f>'Table001 (Page 1-6)'!U366</f>
        <v>D</v>
      </c>
      <c r="U373" s="29"/>
      <c r="V373" s="29"/>
      <c r="W373" s="29"/>
      <c r="X373" s="29"/>
      <c r="Y373" s="29"/>
      <c r="Z373" s="29"/>
      <c r="AA373" s="29"/>
      <c r="AB373" s="29"/>
      <c r="AC373" s="31"/>
      <c r="AD373" s="29"/>
      <c r="AE373" s="29"/>
      <c r="AF373" s="29"/>
      <c r="AG373" s="31"/>
      <c r="AH373" s="29"/>
      <c r="AI373" s="32">
        <f>('Table001 (Page 1-6)'!V366)*100</f>
        <v>1</v>
      </c>
      <c r="AJ373" s="35"/>
      <c r="AK373" s="35"/>
      <c r="AL373" s="35"/>
      <c r="AM373" s="35"/>
    </row>
    <row r="374" spans="2:39" x14ac:dyDescent="0.25">
      <c r="B374" s="37">
        <f>'Table001 (Page 1-6)'!A367</f>
        <v>5360.2</v>
      </c>
      <c r="C374" s="28" t="str">
        <f>'Table001 (Page 1-6)'!B367</f>
        <v>SR 40</v>
      </c>
      <c r="D374" s="28" t="str">
        <f>'Table001 (Page 1-6)'!C367</f>
        <v>NE 10TH ST</v>
      </c>
      <c r="E374" s="28" t="str">
        <f>'Table001 (Page 1-6)'!D367</f>
        <v>NE 11 AV</v>
      </c>
      <c r="F374" s="29">
        <f>'Table001 (Page 1-6)'!E367</f>
        <v>4</v>
      </c>
      <c r="G374" s="29">
        <f>'Table001 (Page 1-6)'!K367</f>
        <v>4</v>
      </c>
      <c r="H374" s="30" t="str">
        <f>'Table001 (Page 1-6)'!R367</f>
        <v>D</v>
      </c>
      <c r="I374" s="28" t="str">
        <f>'Table001 (Page 1-6)'!F367</f>
        <v>ARTERIAL</v>
      </c>
      <c r="J374" s="29"/>
      <c r="K374" s="29"/>
      <c r="L374" s="29">
        <f>'Table001 (Page 1-6)'!I367</f>
        <v>37905</v>
      </c>
      <c r="M374" s="29"/>
      <c r="N374" s="29">
        <f>'Table001 (Page 1-6)'!J367</f>
        <v>1880</v>
      </c>
      <c r="O374" s="29">
        <f>'Table001 (Page 1-6)'!L367</f>
        <v>37905</v>
      </c>
      <c r="P374" s="29"/>
      <c r="Q374" s="29">
        <f>'Table001 (Page 1-6)'!M367</f>
        <v>1880</v>
      </c>
      <c r="R374" s="29" t="str">
        <f>'Table001 (Page 1-6)'!S367</f>
        <v>29,300</v>
      </c>
      <c r="S374" s="31" t="str">
        <f>'Table001 (Page 1-6)'!T367</f>
        <v>0.77</v>
      </c>
      <c r="T374" s="29" t="str">
        <f>'Table001 (Page 1-6)'!U367</f>
        <v>D</v>
      </c>
      <c r="U374" s="29"/>
      <c r="V374" s="29"/>
      <c r="W374" s="29"/>
      <c r="X374" s="29"/>
      <c r="Y374" s="29"/>
      <c r="Z374" s="29"/>
      <c r="AA374" s="29"/>
      <c r="AB374" s="29"/>
      <c r="AC374" s="31"/>
      <c r="AD374" s="29"/>
      <c r="AE374" s="29"/>
      <c r="AF374" s="29"/>
      <c r="AG374" s="31"/>
      <c r="AH374" s="29"/>
      <c r="AI374" s="32">
        <f>('Table001 (Page 1-6)'!V367)*100</f>
        <v>1</v>
      </c>
      <c r="AJ374" s="35"/>
      <c r="AK374" s="35"/>
      <c r="AL374" s="35"/>
      <c r="AM374" s="35"/>
    </row>
    <row r="375" spans="2:39" x14ac:dyDescent="0.25">
      <c r="B375" s="37">
        <f>'Table001 (Page 1-6)'!A368</f>
        <v>5370</v>
      </c>
      <c r="C375" s="28" t="str">
        <f>'Table001 (Page 1-6)'!B368</f>
        <v>SR 40</v>
      </c>
      <c r="D375" s="28" t="str">
        <f>'Table001 (Page 1-6)'!C368</f>
        <v>NE 11 AV</v>
      </c>
      <c r="E375" s="28" t="str">
        <f>'Table001 (Page 1-6)'!D368</f>
        <v>NE 25 AV</v>
      </c>
      <c r="F375" s="29">
        <f>'Table001 (Page 1-6)'!E368</f>
        <v>4</v>
      </c>
      <c r="G375" s="29">
        <f>'Table001 (Page 1-6)'!K368</f>
        <v>4</v>
      </c>
      <c r="H375" s="30" t="str">
        <f>'Table001 (Page 1-6)'!R368</f>
        <v>D</v>
      </c>
      <c r="I375" s="28" t="str">
        <f>'Table001 (Page 1-6)'!F368</f>
        <v>ARTERIAL</v>
      </c>
      <c r="J375" s="29"/>
      <c r="K375" s="29"/>
      <c r="L375" s="29">
        <f>'Table001 (Page 1-6)'!I368</f>
        <v>37905</v>
      </c>
      <c r="M375" s="29"/>
      <c r="N375" s="29">
        <f>'Table001 (Page 1-6)'!J368</f>
        <v>1880</v>
      </c>
      <c r="O375" s="29">
        <f>'Table001 (Page 1-6)'!L368</f>
        <v>37905</v>
      </c>
      <c r="P375" s="29"/>
      <c r="Q375" s="29">
        <f>'Table001 (Page 1-6)'!M368</f>
        <v>1880</v>
      </c>
      <c r="R375" s="29" t="str">
        <f>'Table001 (Page 1-6)'!S368</f>
        <v>28,300</v>
      </c>
      <c r="S375" s="31" t="str">
        <f>'Table001 (Page 1-6)'!T368</f>
        <v>0.75</v>
      </c>
      <c r="T375" s="29" t="str">
        <f>'Table001 (Page 1-6)'!U368</f>
        <v>D</v>
      </c>
      <c r="U375" s="29"/>
      <c r="V375" s="29"/>
      <c r="W375" s="29"/>
      <c r="X375" s="29"/>
      <c r="Y375" s="29"/>
      <c r="Z375" s="29"/>
      <c r="AA375" s="29"/>
      <c r="AB375" s="29"/>
      <c r="AC375" s="31"/>
      <c r="AD375" s="29"/>
      <c r="AE375" s="29"/>
      <c r="AF375" s="29"/>
      <c r="AG375" s="31"/>
      <c r="AH375" s="29"/>
      <c r="AI375" s="32">
        <f>('Table001 (Page 1-6)'!V368)*100</f>
        <v>1</v>
      </c>
      <c r="AJ375" s="35"/>
      <c r="AK375" s="35"/>
      <c r="AL375" s="35"/>
      <c r="AM375" s="35"/>
    </row>
    <row r="376" spans="2:39" x14ac:dyDescent="0.25">
      <c r="B376" s="37">
        <f>'Table001 (Page 1-6)'!A369</f>
        <v>5410</v>
      </c>
      <c r="C376" s="28" t="str">
        <f>'Table001 (Page 1-6)'!B369</f>
        <v>SR 40</v>
      </c>
      <c r="D376" s="28" t="str">
        <f>'Table001 (Page 1-6)'!C369</f>
        <v>NE 25 AV</v>
      </c>
      <c r="E376" s="28" t="str">
        <f>'Table001 (Page 1-6)'!D369</f>
        <v>NE 36 AV</v>
      </c>
      <c r="F376" s="29">
        <f>'Table001 (Page 1-6)'!E369</f>
        <v>4</v>
      </c>
      <c r="G376" s="29">
        <f>'Table001 (Page 1-6)'!K369</f>
        <v>4</v>
      </c>
      <c r="H376" s="30" t="str">
        <f>'Table001 (Page 1-6)'!R369</f>
        <v>D</v>
      </c>
      <c r="I376" s="28" t="str">
        <f>'Table001 (Page 1-6)'!F369</f>
        <v>ARTERIAL</v>
      </c>
      <c r="J376" s="29"/>
      <c r="K376" s="29"/>
      <c r="L376" s="29">
        <f>'Table001 (Page 1-6)'!I369</f>
        <v>38430</v>
      </c>
      <c r="M376" s="29"/>
      <c r="N376" s="29">
        <f>'Table001 (Page 1-6)'!J369</f>
        <v>1901</v>
      </c>
      <c r="O376" s="29">
        <f>'Table001 (Page 1-6)'!L369</f>
        <v>38430</v>
      </c>
      <c r="P376" s="29"/>
      <c r="Q376" s="29">
        <f>'Table001 (Page 1-6)'!M369</f>
        <v>1901</v>
      </c>
      <c r="R376" s="29" t="str">
        <f>'Table001 (Page 1-6)'!S369</f>
        <v>29,100</v>
      </c>
      <c r="S376" s="31" t="str">
        <f>'Table001 (Page 1-6)'!T369</f>
        <v>0.76</v>
      </c>
      <c r="T376" s="29" t="str">
        <f>'Table001 (Page 1-6)'!U369</f>
        <v>C</v>
      </c>
      <c r="U376" s="29"/>
      <c r="V376" s="29"/>
      <c r="W376" s="29"/>
      <c r="X376" s="29"/>
      <c r="Y376" s="29"/>
      <c r="Z376" s="29"/>
      <c r="AA376" s="29"/>
      <c r="AB376" s="29"/>
      <c r="AC376" s="31"/>
      <c r="AD376" s="29"/>
      <c r="AE376" s="29"/>
      <c r="AF376" s="29"/>
      <c r="AG376" s="31"/>
      <c r="AH376" s="29"/>
      <c r="AI376" s="32">
        <f>('Table001 (Page 1-6)'!V369)*100</f>
        <v>2.25</v>
      </c>
      <c r="AJ376" s="35"/>
      <c r="AK376" s="35"/>
      <c r="AL376" s="35"/>
      <c r="AM376" s="35"/>
    </row>
    <row r="377" spans="2:39" x14ac:dyDescent="0.25">
      <c r="B377" s="37">
        <f>'Table001 (Page 1-6)'!A370</f>
        <v>5420</v>
      </c>
      <c r="C377" s="28" t="str">
        <f>'Table001 (Page 1-6)'!B370</f>
        <v>SR 40</v>
      </c>
      <c r="D377" s="28" t="str">
        <f>'Table001 (Page 1-6)'!C370</f>
        <v>NE 36 AV</v>
      </c>
      <c r="E377" s="28" t="str">
        <f>'Table001 (Page 1-6)'!D370</f>
        <v>SR 492</v>
      </c>
      <c r="F377" s="29">
        <f>'Table001 (Page 1-6)'!E370</f>
        <v>4</v>
      </c>
      <c r="G377" s="29">
        <f>'Table001 (Page 1-6)'!K370</f>
        <v>4</v>
      </c>
      <c r="H377" s="30" t="str">
        <f>'Table001 (Page 1-6)'!R370</f>
        <v>D</v>
      </c>
      <c r="I377" s="28" t="str">
        <f>'Table001 (Page 1-6)'!F370</f>
        <v>ARTERIAL</v>
      </c>
      <c r="J377" s="29"/>
      <c r="K377" s="29"/>
      <c r="L377" s="29">
        <f>'Table001 (Page 1-6)'!I370</f>
        <v>38430</v>
      </c>
      <c r="M377" s="29"/>
      <c r="N377" s="29">
        <f>'Table001 (Page 1-6)'!J370</f>
        <v>1901</v>
      </c>
      <c r="O377" s="29">
        <f>'Table001 (Page 1-6)'!L370</f>
        <v>38430</v>
      </c>
      <c r="P377" s="29"/>
      <c r="Q377" s="29">
        <f>'Table001 (Page 1-6)'!M370</f>
        <v>1901</v>
      </c>
      <c r="R377" s="29" t="str">
        <f>'Table001 (Page 1-6)'!S370</f>
        <v>22,300</v>
      </c>
      <c r="S377" s="31" t="str">
        <f>'Table001 (Page 1-6)'!T370</f>
        <v>0.58</v>
      </c>
      <c r="T377" s="29" t="str">
        <f>'Table001 (Page 1-6)'!U370</f>
        <v>C</v>
      </c>
      <c r="U377" s="29"/>
      <c r="V377" s="29"/>
      <c r="W377" s="29"/>
      <c r="X377" s="29"/>
      <c r="Y377" s="29"/>
      <c r="Z377" s="29"/>
      <c r="AA377" s="29"/>
      <c r="AB377" s="29"/>
      <c r="AC377" s="31"/>
      <c r="AD377" s="29"/>
      <c r="AE377" s="29"/>
      <c r="AF377" s="29"/>
      <c r="AG377" s="31"/>
      <c r="AH377" s="29"/>
      <c r="AI377" s="32">
        <f>('Table001 (Page 1-6)'!V370)*100</f>
        <v>1</v>
      </c>
      <c r="AJ377" s="35"/>
      <c r="AK377" s="35"/>
      <c r="AL377" s="35"/>
      <c r="AM377" s="35"/>
    </row>
    <row r="378" spans="2:39" x14ac:dyDescent="0.25">
      <c r="B378" s="37">
        <f>'Table001 (Page 1-6)'!A371</f>
        <v>5430</v>
      </c>
      <c r="C378" s="28" t="str">
        <f>'Table001 (Page 1-6)'!B371</f>
        <v>SR 40</v>
      </c>
      <c r="D378" s="28" t="str">
        <f>'Table001 (Page 1-6)'!C371</f>
        <v>SR 492</v>
      </c>
      <c r="E378" s="28" t="str">
        <f>'Table001 (Page 1-6)'!D371</f>
        <v>NE 49 CT</v>
      </c>
      <c r="F378" s="29">
        <f>'Table001 (Page 1-6)'!E371</f>
        <v>4</v>
      </c>
      <c r="G378" s="29">
        <f>'Table001 (Page 1-6)'!K371</f>
        <v>4</v>
      </c>
      <c r="H378" s="30" t="str">
        <f>'Table001 (Page 1-6)'!R371</f>
        <v>D</v>
      </c>
      <c r="I378" s="28" t="str">
        <f>'Table001 (Page 1-6)'!F371</f>
        <v>ARTERIAL</v>
      </c>
      <c r="J378" s="29"/>
      <c r="K378" s="29"/>
      <c r="L378" s="29">
        <f>'Table001 (Page 1-6)'!I371</f>
        <v>38430</v>
      </c>
      <c r="M378" s="29"/>
      <c r="N378" s="29">
        <f>'Table001 (Page 1-6)'!J371</f>
        <v>1901</v>
      </c>
      <c r="O378" s="29">
        <f>'Table001 (Page 1-6)'!L371</f>
        <v>38430</v>
      </c>
      <c r="P378" s="29"/>
      <c r="Q378" s="29">
        <f>'Table001 (Page 1-6)'!M371</f>
        <v>1901</v>
      </c>
      <c r="R378" s="29" t="str">
        <f>'Table001 (Page 1-6)'!S371</f>
        <v>22,300</v>
      </c>
      <c r="S378" s="31" t="str">
        <f>'Table001 (Page 1-6)'!T371</f>
        <v>0.58</v>
      </c>
      <c r="T378" s="29" t="str">
        <f>'Table001 (Page 1-6)'!U371</f>
        <v>C</v>
      </c>
      <c r="U378" s="29"/>
      <c r="V378" s="29"/>
      <c r="W378" s="29"/>
      <c r="X378" s="29"/>
      <c r="Y378" s="29"/>
      <c r="Z378" s="29"/>
      <c r="AA378" s="29"/>
      <c r="AB378" s="29"/>
      <c r="AC378" s="31"/>
      <c r="AD378" s="29"/>
      <c r="AE378" s="29"/>
      <c r="AF378" s="29"/>
      <c r="AG378" s="31"/>
      <c r="AH378" s="29"/>
      <c r="AI378" s="32">
        <f>('Table001 (Page 1-6)'!V371)*100</f>
        <v>1</v>
      </c>
      <c r="AJ378" s="35"/>
      <c r="AK378" s="35"/>
      <c r="AL378" s="35"/>
      <c r="AM378" s="35"/>
    </row>
    <row r="379" spans="2:39" x14ac:dyDescent="0.25">
      <c r="B379" s="37">
        <f>'Table001 (Page 1-6)'!A372</f>
        <v>5440.2</v>
      </c>
      <c r="C379" s="28" t="str">
        <f>'Table001 (Page 1-6)'!B372</f>
        <v>SR 40</v>
      </c>
      <c r="D379" s="28" t="str">
        <f>'Table001 (Page 1-6)'!C372</f>
        <v>NE 49 CT</v>
      </c>
      <c r="E379" s="28" t="str">
        <f>'Table001 (Page 1-6)'!D372</f>
        <v>NE 49 TER</v>
      </c>
      <c r="F379" s="29">
        <f>'Table001 (Page 1-6)'!E372</f>
        <v>4</v>
      </c>
      <c r="G379" s="29">
        <f>'Table001 (Page 1-6)'!K372</f>
        <v>4</v>
      </c>
      <c r="H379" s="30" t="str">
        <f>'Table001 (Page 1-6)'!R372</f>
        <v>D</v>
      </c>
      <c r="I379" s="28" t="str">
        <f>'Table001 (Page 1-6)'!F372</f>
        <v>ARTERIAL</v>
      </c>
      <c r="J379" s="29"/>
      <c r="K379" s="29"/>
      <c r="L379" s="29">
        <f>'Table001 (Page 1-6)'!I372</f>
        <v>40352</v>
      </c>
      <c r="M379" s="29"/>
      <c r="N379" s="29">
        <f>'Table001 (Page 1-6)'!J372</f>
        <v>1996</v>
      </c>
      <c r="O379" s="29">
        <f>'Table001 (Page 1-6)'!L372</f>
        <v>40352</v>
      </c>
      <c r="P379" s="29"/>
      <c r="Q379" s="29">
        <f>'Table001 (Page 1-6)'!M372</f>
        <v>1996</v>
      </c>
      <c r="R379" s="29" t="str">
        <f>'Table001 (Page 1-6)'!S372</f>
        <v>22,300</v>
      </c>
      <c r="S379" s="31" t="str">
        <f>'Table001 (Page 1-6)'!T372</f>
        <v>0.55</v>
      </c>
      <c r="T379" s="29" t="str">
        <f>'Table001 (Page 1-6)'!U372</f>
        <v>C</v>
      </c>
      <c r="U379" s="29"/>
      <c r="V379" s="29"/>
      <c r="W379" s="29"/>
      <c r="X379" s="29"/>
      <c r="Y379" s="29"/>
      <c r="Z379" s="29"/>
      <c r="AA379" s="29"/>
      <c r="AB379" s="29"/>
      <c r="AC379" s="31"/>
      <c r="AD379" s="29"/>
      <c r="AE379" s="29"/>
      <c r="AF379" s="29"/>
      <c r="AG379" s="31"/>
      <c r="AH379" s="29"/>
      <c r="AI379" s="32">
        <f>('Table001 (Page 1-6)'!V372)*100</f>
        <v>1</v>
      </c>
      <c r="AJ379" s="35"/>
      <c r="AK379" s="35"/>
      <c r="AL379" s="35"/>
      <c r="AM379" s="35"/>
    </row>
    <row r="380" spans="2:39" x14ac:dyDescent="0.25">
      <c r="B380" s="37">
        <f>'Table001 (Page 1-6)'!A373</f>
        <v>5450</v>
      </c>
      <c r="C380" s="28" t="str">
        <f>'Table001 (Page 1-6)'!B373</f>
        <v>SR 40</v>
      </c>
      <c r="D380" s="28" t="str">
        <f>'Table001 (Page 1-6)'!C373</f>
        <v>NE 49 TER</v>
      </c>
      <c r="E380" s="28" t="str">
        <f>'Table001 (Page 1-6)'!D373</f>
        <v>SR 35</v>
      </c>
      <c r="F380" s="29">
        <f>'Table001 (Page 1-6)'!E373</f>
        <v>4</v>
      </c>
      <c r="G380" s="29">
        <f>'Table001 (Page 1-6)'!K373</f>
        <v>4</v>
      </c>
      <c r="H380" s="30" t="str">
        <f>'Table001 (Page 1-6)'!R373</f>
        <v>D</v>
      </c>
      <c r="I380" s="28" t="str">
        <f>'Table001 (Page 1-6)'!F373</f>
        <v>ARTERIAL</v>
      </c>
      <c r="J380" s="29"/>
      <c r="K380" s="29"/>
      <c r="L380" s="29">
        <f>'Table001 (Page 1-6)'!I373</f>
        <v>38430</v>
      </c>
      <c r="M380" s="29"/>
      <c r="N380" s="29">
        <f>'Table001 (Page 1-6)'!J373</f>
        <v>1901</v>
      </c>
      <c r="O380" s="29">
        <f>'Table001 (Page 1-6)'!L373</f>
        <v>38430</v>
      </c>
      <c r="P380" s="29"/>
      <c r="Q380" s="29">
        <f>'Table001 (Page 1-6)'!M373</f>
        <v>1901</v>
      </c>
      <c r="R380" s="29" t="str">
        <f>'Table001 (Page 1-6)'!S373</f>
        <v>22,300</v>
      </c>
      <c r="S380" s="31" t="str">
        <f>'Table001 (Page 1-6)'!T373</f>
        <v>0.58</v>
      </c>
      <c r="T380" s="29" t="str">
        <f>'Table001 (Page 1-6)'!U373</f>
        <v>C</v>
      </c>
      <c r="U380" s="29"/>
      <c r="V380" s="29"/>
      <c r="W380" s="29"/>
      <c r="X380" s="29"/>
      <c r="Y380" s="29"/>
      <c r="Z380" s="29"/>
      <c r="AA380" s="29"/>
      <c r="AB380" s="29"/>
      <c r="AC380" s="31"/>
      <c r="AD380" s="29"/>
      <c r="AE380" s="29"/>
      <c r="AF380" s="29"/>
      <c r="AG380" s="31"/>
      <c r="AH380" s="29"/>
      <c r="AI380" s="32">
        <f>('Table001 (Page 1-6)'!V373)*100</f>
        <v>1.03</v>
      </c>
      <c r="AJ380" s="35"/>
      <c r="AK380" s="35"/>
      <c r="AL380" s="35"/>
      <c r="AM380" s="35"/>
    </row>
    <row r="381" spans="2:39" x14ac:dyDescent="0.25">
      <c r="B381" s="37">
        <f>'Table001 (Page 1-6)'!A374</f>
        <v>5460.1</v>
      </c>
      <c r="C381" s="28" t="str">
        <f>'Table001 (Page 1-6)'!B374</f>
        <v>SR 40</v>
      </c>
      <c r="D381" s="28" t="str">
        <f>'Table001 (Page 1-6)'!C374</f>
        <v>SR 35</v>
      </c>
      <c r="E381" s="28" t="str">
        <f>'Table001 (Page 1-6)'!D374</f>
        <v>SR 326</v>
      </c>
      <c r="F381" s="29">
        <f>'Table001 (Page 1-6)'!E374</f>
        <v>2</v>
      </c>
      <c r="G381" s="29">
        <f>'Table001 (Page 1-6)'!K374</f>
        <v>2</v>
      </c>
      <c r="H381" s="30" t="str">
        <f>'Table001 (Page 1-6)'!R374</f>
        <v>D</v>
      </c>
      <c r="I381" s="28" t="str">
        <f>'Table001 (Page 1-6)'!F374</f>
        <v>ARTERIAL</v>
      </c>
      <c r="J381" s="29"/>
      <c r="K381" s="29"/>
      <c r="L381" s="29">
        <f>'Table001 (Page 1-6)'!I374</f>
        <v>14000</v>
      </c>
      <c r="M381" s="29"/>
      <c r="N381" s="29">
        <f>'Table001 (Page 1-6)'!J374</f>
        <v>730</v>
      </c>
      <c r="O381" s="29">
        <f>'Table001 (Page 1-6)'!L374</f>
        <v>14000</v>
      </c>
      <c r="P381" s="29"/>
      <c r="Q381" s="29">
        <f>'Table001 (Page 1-6)'!M374</f>
        <v>730</v>
      </c>
      <c r="R381" s="29" t="str">
        <f>'Table001 (Page 1-6)'!S374</f>
        <v>13,100</v>
      </c>
      <c r="S381" s="31" t="str">
        <f>'Table001 (Page 1-6)'!T374</f>
        <v>0.94</v>
      </c>
      <c r="T381" s="29" t="str">
        <f>'Table001 (Page 1-6)'!U374</f>
        <v>D</v>
      </c>
      <c r="U381" s="29"/>
      <c r="V381" s="29"/>
      <c r="W381" s="29"/>
      <c r="X381" s="29"/>
      <c r="Y381" s="29"/>
      <c r="Z381" s="29"/>
      <c r="AA381" s="29"/>
      <c r="AB381" s="29"/>
      <c r="AC381" s="31"/>
      <c r="AD381" s="29"/>
      <c r="AE381" s="29"/>
      <c r="AF381" s="29"/>
      <c r="AG381" s="31"/>
      <c r="AH381" s="29"/>
      <c r="AI381" s="32">
        <f>('Table001 (Page 1-6)'!V374)*100</f>
        <v>1</v>
      </c>
      <c r="AJ381" s="35"/>
      <c r="AK381" s="35"/>
      <c r="AL381" s="35"/>
      <c r="AM381" s="35"/>
    </row>
    <row r="382" spans="2:39" x14ac:dyDescent="0.25">
      <c r="B382" s="37">
        <f>'Table001 (Page 1-6)'!A375</f>
        <v>5470</v>
      </c>
      <c r="C382" s="28" t="str">
        <f>'Table001 (Page 1-6)'!B375</f>
        <v>SR 40</v>
      </c>
      <c r="D382" s="28" t="str">
        <f>'Table001 (Page 1-6)'!C375</f>
        <v>SR 326</v>
      </c>
      <c r="E382" s="28" t="str">
        <f>'Table001 (Page 1-6)'!D375</f>
        <v>CR 315</v>
      </c>
      <c r="F382" s="29">
        <f>'Table001 (Page 1-6)'!E375</f>
        <v>2</v>
      </c>
      <c r="G382" s="29">
        <f>'Table001 (Page 1-6)'!K375</f>
        <v>2</v>
      </c>
      <c r="H382" s="30" t="str">
        <f>'Table001 (Page 1-6)'!R375</f>
        <v>C</v>
      </c>
      <c r="I382" s="28" t="str">
        <f>'Table001 (Page 1-6)'!F375</f>
        <v>ARTERIAL</v>
      </c>
      <c r="J382" s="29"/>
      <c r="K382" s="29"/>
      <c r="L382" s="29">
        <f>'Table001 (Page 1-6)'!I375</f>
        <v>8200</v>
      </c>
      <c r="M382" s="29"/>
      <c r="N382" s="29">
        <f>'Table001 (Page 1-6)'!J375</f>
        <v>430</v>
      </c>
      <c r="O382" s="29">
        <f>'Table001 (Page 1-6)'!L375</f>
        <v>8200</v>
      </c>
      <c r="P382" s="29"/>
      <c r="Q382" s="29">
        <f>'Table001 (Page 1-6)'!M375</f>
        <v>430</v>
      </c>
      <c r="R382" s="29" t="str">
        <f>'Table001 (Page 1-6)'!S375</f>
        <v>17,700</v>
      </c>
      <c r="S382" s="31" t="str">
        <f>'Table001 (Page 1-6)'!T375</f>
        <v>2.16</v>
      </c>
      <c r="T382" s="29" t="str">
        <f>'Table001 (Page 1-6)'!U375</f>
        <v>E</v>
      </c>
      <c r="U382" s="29"/>
      <c r="V382" s="29"/>
      <c r="W382" s="29"/>
      <c r="X382" s="29"/>
      <c r="Y382" s="29"/>
      <c r="Z382" s="29"/>
      <c r="AA382" s="29"/>
      <c r="AB382" s="29"/>
      <c r="AC382" s="31"/>
      <c r="AD382" s="29"/>
      <c r="AE382" s="29"/>
      <c r="AF382" s="29"/>
      <c r="AG382" s="31"/>
      <c r="AH382" s="29"/>
      <c r="AI382" s="32">
        <f>('Table001 (Page 1-6)'!V375)*100</f>
        <v>1</v>
      </c>
      <c r="AJ382" s="35"/>
      <c r="AK382" s="35"/>
      <c r="AL382" s="35"/>
      <c r="AM382" s="35"/>
    </row>
    <row r="383" spans="2:39" x14ac:dyDescent="0.25">
      <c r="B383" s="37">
        <f>'Table001 (Page 1-6)'!A376</f>
        <v>5480</v>
      </c>
      <c r="C383" s="28" t="str">
        <f>'Table001 (Page 1-6)'!B376</f>
        <v>SR 40</v>
      </c>
      <c r="D383" s="28" t="str">
        <f>'Table001 (Page 1-6)'!C376</f>
        <v>CR 315</v>
      </c>
      <c r="E383" s="28" t="str">
        <f>'Table001 (Page 1-6)'!D376</f>
        <v>CR 314</v>
      </c>
      <c r="F383" s="29">
        <f>'Table001 (Page 1-6)'!E376</f>
        <v>2</v>
      </c>
      <c r="G383" s="29">
        <f>'Table001 (Page 1-6)'!K376</f>
        <v>2</v>
      </c>
      <c r="H383" s="30" t="str">
        <f>'Table001 (Page 1-6)'!R376</f>
        <v>C</v>
      </c>
      <c r="I383" s="28" t="str">
        <f>'Table001 (Page 1-6)'!F376</f>
        <v>ARTERIAL</v>
      </c>
      <c r="J383" s="29"/>
      <c r="K383" s="29"/>
      <c r="L383" s="29">
        <f>'Table001 (Page 1-6)'!I376</f>
        <v>8200</v>
      </c>
      <c r="M383" s="29"/>
      <c r="N383" s="29">
        <f>'Table001 (Page 1-6)'!J376</f>
        <v>430</v>
      </c>
      <c r="O383" s="29">
        <f>'Table001 (Page 1-6)'!L376</f>
        <v>8200</v>
      </c>
      <c r="P383" s="29"/>
      <c r="Q383" s="29">
        <f>'Table001 (Page 1-6)'!M376</f>
        <v>430</v>
      </c>
      <c r="R383" s="29" t="str">
        <f>'Table001 (Page 1-6)'!S376</f>
        <v>17,700</v>
      </c>
      <c r="S383" s="31" t="str">
        <f>'Table001 (Page 1-6)'!T376</f>
        <v>2.16</v>
      </c>
      <c r="T383" s="29" t="str">
        <f>'Table001 (Page 1-6)'!U376</f>
        <v>E</v>
      </c>
      <c r="U383" s="29"/>
      <c r="V383" s="29"/>
      <c r="W383" s="29"/>
      <c r="X383" s="29"/>
      <c r="Y383" s="29"/>
      <c r="Z383" s="29"/>
      <c r="AA383" s="29"/>
      <c r="AB383" s="29"/>
      <c r="AC383" s="31"/>
      <c r="AD383" s="29"/>
      <c r="AE383" s="29"/>
      <c r="AF383" s="29"/>
      <c r="AG383" s="31"/>
      <c r="AH383" s="29"/>
      <c r="AI383" s="32">
        <f>('Table001 (Page 1-6)'!V376)*100</f>
        <v>1</v>
      </c>
      <c r="AJ383" s="35"/>
      <c r="AK383" s="35"/>
      <c r="AL383" s="35"/>
      <c r="AM383" s="35"/>
    </row>
    <row r="384" spans="2:39" x14ac:dyDescent="0.25">
      <c r="B384" s="37">
        <f>'Table001 (Page 1-6)'!A377</f>
        <v>5490.1</v>
      </c>
      <c r="C384" s="28" t="str">
        <f>'Table001 (Page 1-6)'!B377</f>
        <v>SR 40</v>
      </c>
      <c r="D384" s="28" t="str">
        <f>'Table001 (Page 1-6)'!C377</f>
        <v>CR 314</v>
      </c>
      <c r="E384" s="28" t="str">
        <f>'Table001 (Page 1-6)'!D377</f>
        <v>NE 145 AV</v>
      </c>
      <c r="F384" s="29">
        <f>'Table001 (Page 1-6)'!E377</f>
        <v>2</v>
      </c>
      <c r="G384" s="29">
        <f>'Table001 (Page 1-6)'!K377</f>
        <v>2</v>
      </c>
      <c r="H384" s="30" t="str">
        <f>'Table001 (Page 1-6)'!R377</f>
        <v>C</v>
      </c>
      <c r="I384" s="28" t="str">
        <f>'Table001 (Page 1-6)'!F377</f>
        <v>ARTERIAL</v>
      </c>
      <c r="J384" s="29"/>
      <c r="K384" s="29"/>
      <c r="L384" s="29">
        <f>'Table001 (Page 1-6)'!I377</f>
        <v>8200</v>
      </c>
      <c r="M384" s="29"/>
      <c r="N384" s="29">
        <f>'Table001 (Page 1-6)'!J377</f>
        <v>430</v>
      </c>
      <c r="O384" s="29">
        <f>'Table001 (Page 1-6)'!L377</f>
        <v>8200</v>
      </c>
      <c r="P384" s="29"/>
      <c r="Q384" s="29">
        <f>'Table001 (Page 1-6)'!M377</f>
        <v>430</v>
      </c>
      <c r="R384" s="29" t="str">
        <f>'Table001 (Page 1-6)'!S377</f>
        <v>13,200</v>
      </c>
      <c r="S384" s="31" t="str">
        <f>'Table001 (Page 1-6)'!T377</f>
        <v>1.61</v>
      </c>
      <c r="T384" s="29" t="str">
        <f>'Table001 (Page 1-6)'!U377</f>
        <v>D</v>
      </c>
      <c r="U384" s="29"/>
      <c r="V384" s="29"/>
      <c r="W384" s="29"/>
      <c r="X384" s="29"/>
      <c r="Y384" s="29"/>
      <c r="Z384" s="29"/>
      <c r="AA384" s="29"/>
      <c r="AB384" s="29"/>
      <c r="AC384" s="31"/>
      <c r="AD384" s="29"/>
      <c r="AE384" s="29"/>
      <c r="AF384" s="29"/>
      <c r="AG384" s="31"/>
      <c r="AH384" s="29"/>
      <c r="AI384" s="32">
        <f>('Table001 (Page 1-6)'!V377)*100</f>
        <v>1.6099999999999999</v>
      </c>
      <c r="AJ384" s="35"/>
      <c r="AK384" s="35"/>
      <c r="AL384" s="35"/>
      <c r="AM384" s="35"/>
    </row>
    <row r="385" spans="2:39" x14ac:dyDescent="0.25">
      <c r="B385" s="37">
        <f>'Table001 (Page 1-6)'!A378</f>
        <v>5490.2</v>
      </c>
      <c r="C385" s="28" t="str">
        <f>'Table001 (Page 1-6)'!B378</f>
        <v>SR 40</v>
      </c>
      <c r="D385" s="28" t="str">
        <f>'Table001 (Page 1-6)'!C378</f>
        <v>NE 145 AV</v>
      </c>
      <c r="E385" s="28" t="str">
        <f>'Table001 (Page 1-6)'!D378</f>
        <v>CR 314A</v>
      </c>
      <c r="F385" s="29">
        <f>'Table001 (Page 1-6)'!E378</f>
        <v>2</v>
      </c>
      <c r="G385" s="29">
        <f>'Table001 (Page 1-6)'!K378</f>
        <v>2</v>
      </c>
      <c r="H385" s="30" t="str">
        <f>'Table001 (Page 1-6)'!R378</f>
        <v>C</v>
      </c>
      <c r="I385" s="28" t="str">
        <f>'Table001 (Page 1-6)'!F378</f>
        <v>ARTERIAL</v>
      </c>
      <c r="J385" s="29"/>
      <c r="K385" s="29"/>
      <c r="L385" s="29">
        <f>'Table001 (Page 1-6)'!I378</f>
        <v>8200</v>
      </c>
      <c r="M385" s="29"/>
      <c r="N385" s="29">
        <f>'Table001 (Page 1-6)'!J378</f>
        <v>430</v>
      </c>
      <c r="O385" s="29">
        <f>'Table001 (Page 1-6)'!L378</f>
        <v>8200</v>
      </c>
      <c r="P385" s="29"/>
      <c r="Q385" s="29">
        <f>'Table001 (Page 1-6)'!M378</f>
        <v>430</v>
      </c>
      <c r="R385" s="29" t="str">
        <f>'Table001 (Page 1-6)'!S378</f>
        <v>13,100</v>
      </c>
      <c r="S385" s="31" t="str">
        <f>'Table001 (Page 1-6)'!T378</f>
        <v>1.6</v>
      </c>
      <c r="T385" s="29" t="str">
        <f>'Table001 (Page 1-6)'!U378</f>
        <v>D</v>
      </c>
      <c r="U385" s="29"/>
      <c r="V385" s="29"/>
      <c r="W385" s="29"/>
      <c r="X385" s="29"/>
      <c r="Y385" s="29"/>
      <c r="Z385" s="29"/>
      <c r="AA385" s="29"/>
      <c r="AB385" s="29"/>
      <c r="AC385" s="31"/>
      <c r="AD385" s="29"/>
      <c r="AE385" s="29"/>
      <c r="AF385" s="29"/>
      <c r="AG385" s="31"/>
      <c r="AH385" s="29"/>
      <c r="AI385" s="32">
        <f>('Table001 (Page 1-6)'!V378)*100</f>
        <v>1.1100000000000001</v>
      </c>
      <c r="AJ385" s="35"/>
      <c r="AK385" s="35"/>
      <c r="AL385" s="35"/>
      <c r="AM385" s="35"/>
    </row>
    <row r="386" spans="2:39" x14ac:dyDescent="0.25">
      <c r="B386" s="37">
        <f>'Table001 (Page 1-6)'!A379</f>
        <v>5500</v>
      </c>
      <c r="C386" s="28" t="str">
        <f>'Table001 (Page 1-6)'!B379</f>
        <v>SR 40</v>
      </c>
      <c r="D386" s="28" t="str">
        <f>'Table001 (Page 1-6)'!C379</f>
        <v>CR 314A</v>
      </c>
      <c r="E386" s="28" t="str">
        <f>'Table001 (Page 1-6)'!D379</f>
        <v>SE 183 AV</v>
      </c>
      <c r="F386" s="29">
        <f>'Table001 (Page 1-6)'!E379</f>
        <v>2</v>
      </c>
      <c r="G386" s="29">
        <f>'Table001 (Page 1-6)'!K379</f>
        <v>2</v>
      </c>
      <c r="H386" s="30" t="str">
        <f>'Table001 (Page 1-6)'!R379</f>
        <v>C</v>
      </c>
      <c r="I386" s="28" t="str">
        <f>'Table001 (Page 1-6)'!F379</f>
        <v>ARTERIAL</v>
      </c>
      <c r="J386" s="29"/>
      <c r="K386" s="29"/>
      <c r="L386" s="29">
        <f>'Table001 (Page 1-6)'!I379</f>
        <v>12240</v>
      </c>
      <c r="M386" s="29"/>
      <c r="N386" s="29">
        <f>'Table001 (Page 1-6)'!J379</f>
        <v>608</v>
      </c>
      <c r="O386" s="29">
        <f>'Table001 (Page 1-6)'!L379</f>
        <v>12240</v>
      </c>
      <c r="P386" s="29"/>
      <c r="Q386" s="29">
        <f>'Table001 (Page 1-6)'!M379</f>
        <v>608</v>
      </c>
      <c r="R386" s="29" t="str">
        <f>'Table001 (Page 1-6)'!S379</f>
        <v>13,100</v>
      </c>
      <c r="S386" s="31" t="str">
        <f>'Table001 (Page 1-6)'!T379</f>
        <v>1.07</v>
      </c>
      <c r="T386" s="29" t="str">
        <f>'Table001 (Page 1-6)'!U379</f>
        <v>D</v>
      </c>
      <c r="U386" s="29"/>
      <c r="V386" s="29"/>
      <c r="W386" s="29"/>
      <c r="X386" s="29"/>
      <c r="Y386" s="29"/>
      <c r="Z386" s="29"/>
      <c r="AA386" s="29"/>
      <c r="AB386" s="29"/>
      <c r="AC386" s="31"/>
      <c r="AD386" s="29"/>
      <c r="AE386" s="29"/>
      <c r="AF386" s="29"/>
      <c r="AG386" s="31"/>
      <c r="AH386" s="29"/>
      <c r="AI386" s="32">
        <f>('Table001 (Page 1-6)'!V379)*100</f>
        <v>1</v>
      </c>
      <c r="AJ386" s="35"/>
      <c r="AK386" s="35"/>
      <c r="AL386" s="35"/>
      <c r="AM386" s="35"/>
    </row>
    <row r="387" spans="2:39" x14ac:dyDescent="0.25">
      <c r="B387" s="37">
        <f>'Table001 (Page 1-6)'!A380</f>
        <v>5510</v>
      </c>
      <c r="C387" s="28" t="str">
        <f>'Table001 (Page 1-6)'!B380</f>
        <v>SR 40</v>
      </c>
      <c r="D387" s="28" t="str">
        <f>'Table001 (Page 1-6)'!C380</f>
        <v>SE 183 AV</v>
      </c>
      <c r="E387" s="28" t="str">
        <f>'Table001 (Page 1-6)'!D380</f>
        <v>SR 19</v>
      </c>
      <c r="F387" s="29">
        <f>'Table001 (Page 1-6)'!E380</f>
        <v>2</v>
      </c>
      <c r="G387" s="29">
        <f>'Table001 (Page 1-6)'!K380</f>
        <v>2</v>
      </c>
      <c r="H387" s="30" t="str">
        <f>'Table001 (Page 1-6)'!R380</f>
        <v>C</v>
      </c>
      <c r="I387" s="28" t="str">
        <f>'Table001 (Page 1-6)'!F380</f>
        <v>ARTERIAL</v>
      </c>
      <c r="J387" s="29"/>
      <c r="K387" s="29"/>
      <c r="L387" s="29">
        <f>'Table001 (Page 1-6)'!I380</f>
        <v>8200</v>
      </c>
      <c r="M387" s="29"/>
      <c r="N387" s="29">
        <f>'Table001 (Page 1-6)'!J380</f>
        <v>430</v>
      </c>
      <c r="O387" s="29">
        <f>'Table001 (Page 1-6)'!L380</f>
        <v>8200</v>
      </c>
      <c r="P387" s="29"/>
      <c r="Q387" s="29">
        <f>'Table001 (Page 1-6)'!M380</f>
        <v>430</v>
      </c>
      <c r="R387" s="29" t="str">
        <f>'Table001 (Page 1-6)'!S380</f>
        <v>8,400</v>
      </c>
      <c r="S387" s="31" t="str">
        <f>'Table001 (Page 1-6)'!T380</f>
        <v>1.02</v>
      </c>
      <c r="T387" s="29" t="str">
        <f>'Table001 (Page 1-6)'!U380</f>
        <v>D</v>
      </c>
      <c r="U387" s="29"/>
      <c r="V387" s="29"/>
      <c r="W387" s="29"/>
      <c r="X387" s="29"/>
      <c r="Y387" s="29"/>
      <c r="Z387" s="29"/>
      <c r="AA387" s="29"/>
      <c r="AB387" s="29"/>
      <c r="AC387" s="31"/>
      <c r="AD387" s="29"/>
      <c r="AE387" s="29"/>
      <c r="AF387" s="29"/>
      <c r="AG387" s="31"/>
      <c r="AH387" s="29"/>
      <c r="AI387" s="32">
        <f>('Table001 (Page 1-6)'!V380)*100</f>
        <v>1</v>
      </c>
      <c r="AJ387" s="35"/>
      <c r="AK387" s="35"/>
      <c r="AL387" s="35"/>
      <c r="AM387" s="35"/>
    </row>
    <row r="388" spans="2:39" x14ac:dyDescent="0.25">
      <c r="B388" s="37">
        <f>'Table001 (Page 1-6)'!A381</f>
        <v>5520</v>
      </c>
      <c r="C388" s="28" t="str">
        <f>'Table001 (Page 1-6)'!B381</f>
        <v>SR 40</v>
      </c>
      <c r="D388" s="28" t="str">
        <f>'Table001 (Page 1-6)'!C381</f>
        <v>SR 19</v>
      </c>
      <c r="E388" s="28" t="str">
        <f>'Table001 (Page 1-6)'!D381</f>
        <v>COUNTY LINE (E)</v>
      </c>
      <c r="F388" s="29">
        <f>'Table001 (Page 1-6)'!E381</f>
        <v>2</v>
      </c>
      <c r="G388" s="29">
        <f>'Table001 (Page 1-6)'!K381</f>
        <v>2</v>
      </c>
      <c r="H388" s="30" t="str">
        <f>'Table001 (Page 1-6)'!R381</f>
        <v>C</v>
      </c>
      <c r="I388" s="28" t="str">
        <f>'Table001 (Page 1-6)'!F381</f>
        <v>ARTERIAL</v>
      </c>
      <c r="J388" s="29"/>
      <c r="K388" s="29"/>
      <c r="L388" s="29">
        <f>'Table001 (Page 1-6)'!I381</f>
        <v>8610</v>
      </c>
      <c r="M388" s="29"/>
      <c r="N388" s="29">
        <f>'Table001 (Page 1-6)'!J381</f>
        <v>452</v>
      </c>
      <c r="O388" s="29">
        <f>'Table001 (Page 1-6)'!L381</f>
        <v>8610</v>
      </c>
      <c r="P388" s="29"/>
      <c r="Q388" s="29">
        <f>'Table001 (Page 1-6)'!M381</f>
        <v>452</v>
      </c>
      <c r="R388" s="29" t="str">
        <f>'Table001 (Page 1-6)'!S381</f>
        <v>5,300</v>
      </c>
      <c r="S388" s="31" t="str">
        <f>'Table001 (Page 1-6)'!T381</f>
        <v>0.62</v>
      </c>
      <c r="T388" s="29" t="str">
        <f>'Table001 (Page 1-6)'!U381</f>
        <v>C</v>
      </c>
      <c r="U388" s="29"/>
      <c r="V388" s="29"/>
      <c r="W388" s="29"/>
      <c r="X388" s="29"/>
      <c r="Y388" s="29"/>
      <c r="Z388" s="29"/>
      <c r="AA388" s="29"/>
      <c r="AB388" s="29"/>
      <c r="AC388" s="31"/>
      <c r="AD388" s="29"/>
      <c r="AE388" s="29"/>
      <c r="AF388" s="29"/>
      <c r="AG388" s="31"/>
      <c r="AH388" s="29"/>
      <c r="AI388" s="32">
        <f>('Table001 (Page 1-6)'!V381)*100</f>
        <v>1</v>
      </c>
      <c r="AJ388" s="35"/>
      <c r="AK388" s="35"/>
      <c r="AL388" s="35"/>
      <c r="AM388" s="35"/>
    </row>
    <row r="389" spans="2:39" x14ac:dyDescent="0.25">
      <c r="B389" s="37">
        <f>'Table001 (Page 1-6)'!A382</f>
        <v>5540</v>
      </c>
      <c r="C389" s="28" t="str">
        <f>'Table001 (Page 1-6)'!B382</f>
        <v>SW 1 AV</v>
      </c>
      <c r="D389" s="28" t="str">
        <f>'Table001 (Page 1-6)'!C382</f>
        <v>SR 464</v>
      </c>
      <c r="E389" s="28" t="str">
        <f>'Table001 (Page 1-6)'!D382</f>
        <v>SW 10 ST</v>
      </c>
      <c r="F389" s="29">
        <f>'Table001 (Page 1-6)'!E382</f>
        <v>2</v>
      </c>
      <c r="G389" s="29">
        <f>'Table001 (Page 1-6)'!K382</f>
        <v>2</v>
      </c>
      <c r="H389" s="30" t="str">
        <f>'Table001 (Page 1-6)'!R382</f>
        <v>E</v>
      </c>
      <c r="I389" s="28" t="str">
        <f>'Table001 (Page 1-6)'!F382</f>
        <v>COLLECTOR</v>
      </c>
      <c r="J389" s="29"/>
      <c r="K389" s="29"/>
      <c r="L389" s="29">
        <f>'Table001 (Page 1-6)'!I382</f>
        <v>11232</v>
      </c>
      <c r="M389" s="29"/>
      <c r="N389" s="29">
        <f>'Table001 (Page 1-6)'!J382</f>
        <v>576</v>
      </c>
      <c r="O389" s="29">
        <f>'Table001 (Page 1-6)'!L382</f>
        <v>11232</v>
      </c>
      <c r="P389" s="29"/>
      <c r="Q389" s="29">
        <f>'Table001 (Page 1-6)'!M382</f>
        <v>576</v>
      </c>
      <c r="R389" s="29" t="str">
        <f>'Table001 (Page 1-6)'!S382</f>
        <v>4,700</v>
      </c>
      <c r="S389" s="31" t="str">
        <f>'Table001 (Page 1-6)'!T382</f>
        <v>0.42</v>
      </c>
      <c r="T389" s="29" t="str">
        <f>'Table001 (Page 1-6)'!U382</f>
        <v>C</v>
      </c>
      <c r="U389" s="29"/>
      <c r="V389" s="29"/>
      <c r="W389" s="29"/>
      <c r="X389" s="29"/>
      <c r="Y389" s="29"/>
      <c r="Z389" s="29"/>
      <c r="AA389" s="29"/>
      <c r="AB389" s="29"/>
      <c r="AC389" s="31"/>
      <c r="AD389" s="29"/>
      <c r="AE389" s="29"/>
      <c r="AF389" s="29"/>
      <c r="AG389" s="31"/>
      <c r="AH389" s="29"/>
      <c r="AI389" s="32">
        <f>('Table001 (Page 1-6)'!V382)*100</f>
        <v>1</v>
      </c>
      <c r="AJ389" s="35"/>
      <c r="AK389" s="35"/>
      <c r="AL389" s="35"/>
      <c r="AM389" s="35"/>
    </row>
    <row r="390" spans="2:39" x14ac:dyDescent="0.25">
      <c r="B390" s="37">
        <f>'Table001 (Page 1-6)'!A383</f>
        <v>5550</v>
      </c>
      <c r="C390" s="28" t="str">
        <f>'Table001 (Page 1-6)'!B383</f>
        <v>SW 103 ST RD</v>
      </c>
      <c r="D390" s="28" t="str">
        <f>'Table001 (Page 1-6)'!C383</f>
        <v>SR 200</v>
      </c>
      <c r="E390" s="28" t="str">
        <f>'Table001 (Page 1-6)'!D383</f>
        <v>SW 49 AV</v>
      </c>
      <c r="F390" s="29">
        <f>'Table001 (Page 1-6)'!E383</f>
        <v>2</v>
      </c>
      <c r="G390" s="29">
        <f>'Table001 (Page 1-6)'!K383</f>
        <v>2</v>
      </c>
      <c r="H390" s="30" t="str">
        <f>'Table001 (Page 1-6)'!R383</f>
        <v>E</v>
      </c>
      <c r="I390" s="28" t="str">
        <f>'Table001 (Page 1-6)'!F383</f>
        <v>COLLECTOR</v>
      </c>
      <c r="J390" s="29"/>
      <c r="K390" s="29"/>
      <c r="L390" s="29">
        <f>'Table001 (Page 1-6)'!I383</f>
        <v>12744</v>
      </c>
      <c r="M390" s="29"/>
      <c r="N390" s="29">
        <f>'Table001 (Page 1-6)'!J383</f>
        <v>634</v>
      </c>
      <c r="O390" s="29">
        <f>'Table001 (Page 1-6)'!L383</f>
        <v>12744</v>
      </c>
      <c r="P390" s="29"/>
      <c r="Q390" s="29">
        <f>'Table001 (Page 1-6)'!M383</f>
        <v>634</v>
      </c>
      <c r="R390" s="29" t="str">
        <f>'Table001 (Page 1-6)'!S383</f>
        <v>5,700</v>
      </c>
      <c r="S390" s="31" t="str">
        <f>'Table001 (Page 1-6)'!T383</f>
        <v>0.45</v>
      </c>
      <c r="T390" s="29" t="str">
        <f>'Table001 (Page 1-6)'!U383</f>
        <v>C</v>
      </c>
      <c r="U390" s="29"/>
      <c r="V390" s="29"/>
      <c r="W390" s="29"/>
      <c r="X390" s="29"/>
      <c r="Y390" s="29"/>
      <c r="Z390" s="29"/>
      <c r="AA390" s="29"/>
      <c r="AB390" s="29"/>
      <c r="AC390" s="31"/>
      <c r="AD390" s="29"/>
      <c r="AE390" s="29"/>
      <c r="AF390" s="29"/>
      <c r="AG390" s="31"/>
      <c r="AH390" s="29"/>
      <c r="AI390" s="32">
        <f>('Table001 (Page 1-6)'!V383)*100</f>
        <v>1</v>
      </c>
      <c r="AJ390" s="35"/>
      <c r="AK390" s="35"/>
      <c r="AL390" s="35"/>
      <c r="AM390" s="35"/>
    </row>
    <row r="391" spans="2:39" x14ac:dyDescent="0.25">
      <c r="B391" s="37">
        <f>'Table001 (Page 1-6)'!A384</f>
        <v>5560</v>
      </c>
      <c r="C391" s="28" t="str">
        <f>'Table001 (Page 1-6)'!B384</f>
        <v>CR 475A</v>
      </c>
      <c r="D391" s="28" t="str">
        <f>'Table001 (Page 1-6)'!C384</f>
        <v>CR 475B</v>
      </c>
      <c r="E391" s="28" t="str">
        <f>'Table001 (Page 1-6)'!D384</f>
        <v>SW 27 AV</v>
      </c>
      <c r="F391" s="29">
        <f>'Table001 (Page 1-6)'!E384</f>
        <v>2</v>
      </c>
      <c r="G391" s="29">
        <f>'Table001 (Page 1-6)'!K384</f>
        <v>2</v>
      </c>
      <c r="H391" s="30" t="str">
        <f>'Table001 (Page 1-6)'!R384</f>
        <v>C</v>
      </c>
      <c r="I391" s="28" t="str">
        <f>'Table001 (Page 1-6)'!F384</f>
        <v>ARTERIAL</v>
      </c>
      <c r="J391" s="29"/>
      <c r="K391" s="29"/>
      <c r="L391" s="29">
        <f>'Table001 (Page 1-6)'!I384</f>
        <v>16200</v>
      </c>
      <c r="M391" s="29"/>
      <c r="N391" s="29">
        <f>'Table001 (Page 1-6)'!J384</f>
        <v>801</v>
      </c>
      <c r="O391" s="29">
        <f>'Table001 (Page 1-6)'!L384</f>
        <v>16200</v>
      </c>
      <c r="P391" s="29"/>
      <c r="Q391" s="29">
        <f>'Table001 (Page 1-6)'!M384</f>
        <v>801</v>
      </c>
      <c r="R391" s="29" t="str">
        <f>'Table001 (Page 1-6)'!S384</f>
        <v>7,400</v>
      </c>
      <c r="S391" s="31" t="str">
        <f>'Table001 (Page 1-6)'!T384</f>
        <v>0.46</v>
      </c>
      <c r="T391" s="29" t="str">
        <f>'Table001 (Page 1-6)'!U384</f>
        <v>B</v>
      </c>
      <c r="U391" s="29"/>
      <c r="V391" s="29"/>
      <c r="W391" s="29"/>
      <c r="X391" s="29"/>
      <c r="Y391" s="29"/>
      <c r="Z391" s="29"/>
      <c r="AA391" s="29"/>
      <c r="AB391" s="29"/>
      <c r="AC391" s="31"/>
      <c r="AD391" s="29"/>
      <c r="AE391" s="29"/>
      <c r="AF391" s="29"/>
      <c r="AG391" s="31"/>
      <c r="AH391" s="29"/>
      <c r="AI391" s="32">
        <f>('Table001 (Page 1-6)'!V384)*100</f>
        <v>4.49</v>
      </c>
      <c r="AJ391" s="35"/>
      <c r="AK391" s="35"/>
      <c r="AL391" s="35"/>
      <c r="AM391" s="35"/>
    </row>
    <row r="392" spans="2:39" x14ac:dyDescent="0.25">
      <c r="B392" s="37">
        <f>'Table001 (Page 1-6)'!A385</f>
        <v>5580.1</v>
      </c>
      <c r="C392" s="28" t="str">
        <f>'Table001 (Page 1-6)'!B385</f>
        <v>NW 110 AV</v>
      </c>
      <c r="D392" s="28" t="str">
        <f>'Table001 (Page 1-6)'!C385</f>
        <v>SR 40</v>
      </c>
      <c r="E392" s="28" t="str">
        <f>'Table001 (Page 1-6)'!D385</f>
        <v>US 27</v>
      </c>
      <c r="F392" s="29">
        <f>'Table001 (Page 1-6)'!E385</f>
        <v>2</v>
      </c>
      <c r="G392" s="29">
        <f>'Table001 (Page 1-6)'!K385</f>
        <v>2</v>
      </c>
      <c r="H392" s="30" t="str">
        <f>'Table001 (Page 1-6)'!R385</f>
        <v>B</v>
      </c>
      <c r="I392" s="28" t="str">
        <f>'Table001 (Page 1-6)'!F385</f>
        <v>COLLECTOR</v>
      </c>
      <c r="J392" s="29"/>
      <c r="K392" s="29"/>
      <c r="L392" s="29">
        <f>'Table001 (Page 1-6)'!I385</f>
        <v>9270</v>
      </c>
      <c r="M392" s="29"/>
      <c r="N392" s="29">
        <f>'Table001 (Page 1-6)'!J385</f>
        <v>486</v>
      </c>
      <c r="O392" s="29">
        <f>'Table001 (Page 1-6)'!L385</f>
        <v>9270</v>
      </c>
      <c r="P392" s="29"/>
      <c r="Q392" s="29">
        <f>'Table001 (Page 1-6)'!M385</f>
        <v>486</v>
      </c>
      <c r="R392" s="29" t="str">
        <f>'Table001 (Page 1-6)'!S385</f>
        <v>5,700</v>
      </c>
      <c r="S392" s="31" t="str">
        <f>'Table001 (Page 1-6)'!T385</f>
        <v>0.61</v>
      </c>
      <c r="T392" s="29" t="str">
        <f>'Table001 (Page 1-6)'!U385</f>
        <v>B</v>
      </c>
      <c r="U392" s="29"/>
      <c r="V392" s="29"/>
      <c r="W392" s="29"/>
      <c r="X392" s="29"/>
      <c r="Y392" s="29"/>
      <c r="Z392" s="29"/>
      <c r="AA392" s="29"/>
      <c r="AB392" s="29"/>
      <c r="AC392" s="31"/>
      <c r="AD392" s="29"/>
      <c r="AE392" s="29"/>
      <c r="AF392" s="29"/>
      <c r="AG392" s="31"/>
      <c r="AH392" s="29"/>
      <c r="AI392" s="32">
        <f>('Table001 (Page 1-6)'!V385)*100</f>
        <v>6.1899999999999995</v>
      </c>
      <c r="AJ392" s="35"/>
      <c r="AK392" s="35"/>
      <c r="AL392" s="35"/>
      <c r="AM392" s="35"/>
    </row>
    <row r="393" spans="2:39" x14ac:dyDescent="0.25">
      <c r="B393" s="37">
        <f>'Table001 (Page 1-6)'!A386</f>
        <v>5600</v>
      </c>
      <c r="C393" s="28" t="str">
        <f>'Table001 (Page 1-6)'!B386</f>
        <v>SW 13 ST</v>
      </c>
      <c r="D393" s="28" t="str">
        <f>'Table001 (Page 1-6)'!C386</f>
        <v>SW 33 AV</v>
      </c>
      <c r="E393" s="28" t="str">
        <f>'Table001 (Page 1-6)'!D386</f>
        <v>SW 27 AV</v>
      </c>
      <c r="F393" s="29">
        <f>'Table001 (Page 1-6)'!E386</f>
        <v>4</v>
      </c>
      <c r="G393" s="29">
        <f>'Table001 (Page 1-6)'!K386</f>
        <v>4</v>
      </c>
      <c r="H393" s="30" t="str">
        <f>'Table001 (Page 1-6)'!R386</f>
        <v>E</v>
      </c>
      <c r="I393" s="28" t="str">
        <f>'Table001 (Page 1-6)'!F386</f>
        <v>COLLECTOR</v>
      </c>
      <c r="J393" s="29"/>
      <c r="K393" s="29"/>
      <c r="L393" s="29">
        <f>'Table001 (Page 1-6)'!I386</f>
        <v>30420</v>
      </c>
      <c r="M393" s="29"/>
      <c r="N393" s="29">
        <f>'Table001 (Page 1-6)'!J386</f>
        <v>1530</v>
      </c>
      <c r="O393" s="29">
        <f>'Table001 (Page 1-6)'!L386</f>
        <v>30420</v>
      </c>
      <c r="P393" s="29"/>
      <c r="Q393" s="29">
        <f>'Table001 (Page 1-6)'!M386</f>
        <v>1530</v>
      </c>
      <c r="R393" s="29" t="str">
        <f>'Table001 (Page 1-6)'!S386</f>
        <v>12,200</v>
      </c>
      <c r="S393" s="31" t="str">
        <f>'Table001 (Page 1-6)'!T386</f>
        <v>0.4</v>
      </c>
      <c r="T393" s="29" t="str">
        <f>'Table001 (Page 1-6)'!U386</f>
        <v>C</v>
      </c>
      <c r="U393" s="29"/>
      <c r="V393" s="29"/>
      <c r="W393" s="29"/>
      <c r="X393" s="29"/>
      <c r="Y393" s="29"/>
      <c r="Z393" s="29"/>
      <c r="AA393" s="29"/>
      <c r="AB393" s="29"/>
      <c r="AC393" s="31"/>
      <c r="AD393" s="29"/>
      <c r="AE393" s="29"/>
      <c r="AF393" s="29"/>
      <c r="AG393" s="31"/>
      <c r="AH393" s="29"/>
      <c r="AI393" s="32">
        <f>('Table001 (Page 1-6)'!V386)*100</f>
        <v>1</v>
      </c>
      <c r="AJ393" s="35"/>
      <c r="AK393" s="35"/>
      <c r="AL393" s="35"/>
      <c r="AM393" s="35"/>
    </row>
    <row r="394" spans="2:39" x14ac:dyDescent="0.25">
      <c r="B394" s="37">
        <f>'Table001 (Page 1-6)'!A387</f>
        <v>5610</v>
      </c>
      <c r="C394" s="28" t="str">
        <f>'Table001 (Page 1-6)'!B387</f>
        <v>SW 140 AV</v>
      </c>
      <c r="D394" s="28" t="str">
        <f>'Table001 (Page 1-6)'!C387</f>
        <v>CR 484</v>
      </c>
      <c r="E394" s="28" t="str">
        <f>'Table001 (Page 1-6)'!D387</f>
        <v>SR 40</v>
      </c>
      <c r="F394" s="29">
        <f>'Table001 (Page 1-6)'!E387</f>
        <v>2</v>
      </c>
      <c r="G394" s="29">
        <f>'Table001 (Page 1-6)'!K387</f>
        <v>2</v>
      </c>
      <c r="H394" s="30" t="str">
        <f>'Table001 (Page 1-6)'!R387</f>
        <v>D</v>
      </c>
      <c r="I394" s="28" t="str">
        <f>'Table001 (Page 1-6)'!F387</f>
        <v>COLLECTOR</v>
      </c>
      <c r="J394" s="29"/>
      <c r="K394" s="29"/>
      <c r="L394" s="29">
        <f>'Table001 (Page 1-6)'!I387</f>
        <v>19170</v>
      </c>
      <c r="M394" s="29"/>
      <c r="N394" s="29">
        <f>'Table001 (Page 1-6)'!J387</f>
        <v>999</v>
      </c>
      <c r="O394" s="29">
        <f>'Table001 (Page 1-6)'!L387</f>
        <v>19170</v>
      </c>
      <c r="P394" s="29"/>
      <c r="Q394" s="29">
        <f>'Table001 (Page 1-6)'!M387</f>
        <v>999</v>
      </c>
      <c r="R394" s="29" t="str">
        <f>'Table001 (Page 1-6)'!S387</f>
        <v>2,500</v>
      </c>
      <c r="S394" s="31" t="str">
        <f>'Table001 (Page 1-6)'!T387</f>
        <v>0.13</v>
      </c>
      <c r="T394" s="29" t="str">
        <f>'Table001 (Page 1-6)'!U387</f>
        <v>B</v>
      </c>
      <c r="U394" s="29"/>
      <c r="V394" s="29"/>
      <c r="W394" s="29"/>
      <c r="X394" s="29"/>
      <c r="Y394" s="29"/>
      <c r="Z394" s="29"/>
      <c r="AA394" s="29"/>
      <c r="AB394" s="29"/>
      <c r="AC394" s="31"/>
      <c r="AD394" s="29"/>
      <c r="AE394" s="29"/>
      <c r="AF394" s="29"/>
      <c r="AG394" s="31"/>
      <c r="AH394" s="29"/>
      <c r="AI394" s="32">
        <f>('Table001 (Page 1-6)'!V387)*100</f>
        <v>1</v>
      </c>
      <c r="AJ394" s="35"/>
      <c r="AK394" s="35"/>
      <c r="AL394" s="35"/>
      <c r="AM394" s="35"/>
    </row>
    <row r="395" spans="2:39" x14ac:dyDescent="0.25">
      <c r="B395" s="37">
        <f>'Table001 (Page 1-6)'!A388</f>
        <v>5630</v>
      </c>
      <c r="C395" s="28" t="str">
        <f>'Table001 (Page 1-6)'!B388</f>
        <v>SW 140 AV</v>
      </c>
      <c r="D395" s="28" t="str">
        <f>'Table001 (Page 1-6)'!C388</f>
        <v>SR 40</v>
      </c>
      <c r="E395" s="28" t="str">
        <f>'Table001 (Page 1-6)'!D388</f>
        <v>CR 328</v>
      </c>
      <c r="F395" s="29">
        <f>'Table001 (Page 1-6)'!E388</f>
        <v>2</v>
      </c>
      <c r="G395" s="29">
        <f>'Table001 (Page 1-6)'!K388</f>
        <v>2</v>
      </c>
      <c r="H395" s="30" t="str">
        <f>'Table001 (Page 1-6)'!R388</f>
        <v>D</v>
      </c>
      <c r="I395" s="28" t="str">
        <f>'Table001 (Page 1-6)'!F388</f>
        <v>COLLECTOR</v>
      </c>
      <c r="J395" s="29"/>
      <c r="K395" s="29"/>
      <c r="L395" s="29">
        <f>'Table001 (Page 1-6)'!I388</f>
        <v>19170</v>
      </c>
      <c r="M395" s="29"/>
      <c r="N395" s="29">
        <f>'Table001 (Page 1-6)'!J388</f>
        <v>999</v>
      </c>
      <c r="O395" s="29">
        <f>'Table001 (Page 1-6)'!L388</f>
        <v>19170</v>
      </c>
      <c r="P395" s="29"/>
      <c r="Q395" s="29">
        <f>'Table001 (Page 1-6)'!M388</f>
        <v>999</v>
      </c>
      <c r="R395" s="29" t="str">
        <f>'Table001 (Page 1-6)'!S388</f>
        <v>2,200</v>
      </c>
      <c r="S395" s="31" t="str">
        <f>'Table001 (Page 1-6)'!T388</f>
        <v>0.11</v>
      </c>
      <c r="T395" s="29" t="str">
        <f>'Table001 (Page 1-6)'!U388</f>
        <v>B</v>
      </c>
      <c r="U395" s="29"/>
      <c r="V395" s="29"/>
      <c r="W395" s="29"/>
      <c r="X395" s="29"/>
      <c r="Y395" s="29"/>
      <c r="Z395" s="29"/>
      <c r="AA395" s="29"/>
      <c r="AB395" s="29"/>
      <c r="AC395" s="31"/>
      <c r="AD395" s="29"/>
      <c r="AE395" s="29"/>
      <c r="AF395" s="29"/>
      <c r="AG395" s="31"/>
      <c r="AH395" s="29"/>
      <c r="AI395" s="32">
        <f>('Table001 (Page 1-6)'!V388)*100</f>
        <v>1</v>
      </c>
      <c r="AJ395" s="35"/>
      <c r="AK395" s="35"/>
      <c r="AL395" s="35"/>
      <c r="AM395" s="35"/>
    </row>
    <row r="396" spans="2:39" x14ac:dyDescent="0.25">
      <c r="B396" s="37">
        <f>'Table001 (Page 1-6)'!A389</f>
        <v>5650</v>
      </c>
      <c r="C396" s="28" t="str">
        <f>'Table001 (Page 1-6)'!B389</f>
        <v>SW 17 ST</v>
      </c>
      <c r="D396" s="28" t="str">
        <f>'Table001 (Page 1-6)'!C389</f>
        <v>SW 27 AV</v>
      </c>
      <c r="E396" s="28" t="str">
        <f>'Table001 (Page 1-6)'!D389</f>
        <v>SR 200</v>
      </c>
      <c r="F396" s="29">
        <f>'Table001 (Page 1-6)'!E389</f>
        <v>4</v>
      </c>
      <c r="G396" s="29">
        <f>'Table001 (Page 1-6)'!K389</f>
        <v>4</v>
      </c>
      <c r="H396" s="30" t="str">
        <f>'Table001 (Page 1-6)'!R389</f>
        <v>E</v>
      </c>
      <c r="I396" s="28" t="str">
        <f>'Table001 (Page 1-6)'!F389</f>
        <v>ARTERIAL</v>
      </c>
      <c r="J396" s="29"/>
      <c r="K396" s="29"/>
      <c r="L396" s="29">
        <f>'Table001 (Page 1-6)'!I389</f>
        <v>35820</v>
      </c>
      <c r="M396" s="29"/>
      <c r="N396" s="29">
        <f>'Table001 (Page 1-6)'!J389</f>
        <v>1800</v>
      </c>
      <c r="O396" s="29">
        <f>'Table001 (Page 1-6)'!L389</f>
        <v>35820</v>
      </c>
      <c r="P396" s="29"/>
      <c r="Q396" s="29">
        <f>'Table001 (Page 1-6)'!M389</f>
        <v>1800</v>
      </c>
      <c r="R396" s="29" t="str">
        <f>'Table001 (Page 1-6)'!S389</f>
        <v>12,200</v>
      </c>
      <c r="S396" s="31" t="str">
        <f>'Table001 (Page 1-6)'!T389</f>
        <v>0.34</v>
      </c>
      <c r="T396" s="29" t="str">
        <f>'Table001 (Page 1-6)'!U389</f>
        <v>C</v>
      </c>
      <c r="U396" s="29"/>
      <c r="V396" s="29"/>
      <c r="W396" s="29"/>
      <c r="X396" s="29"/>
      <c r="Y396" s="29"/>
      <c r="Z396" s="29"/>
      <c r="AA396" s="29"/>
      <c r="AB396" s="29"/>
      <c r="AC396" s="31"/>
      <c r="AD396" s="29"/>
      <c r="AE396" s="29"/>
      <c r="AF396" s="29"/>
      <c r="AG396" s="31"/>
      <c r="AH396" s="29"/>
      <c r="AI396" s="32">
        <f>('Table001 (Page 1-6)'!V389)*100</f>
        <v>1</v>
      </c>
      <c r="AJ396" s="35"/>
      <c r="AK396" s="35"/>
      <c r="AL396" s="35"/>
      <c r="AM396" s="35"/>
    </row>
    <row r="397" spans="2:39" x14ac:dyDescent="0.25">
      <c r="B397" s="37">
        <f>'Table001 (Page 1-6)'!A390</f>
        <v>5660</v>
      </c>
      <c r="C397" s="28" t="str">
        <f>'Table001 (Page 1-6)'!B390</f>
        <v>SR 464</v>
      </c>
      <c r="D397" s="28" t="str">
        <f>'Table001 (Page 1-6)'!C390</f>
        <v>SR 200</v>
      </c>
      <c r="E397" s="28" t="str">
        <f>'Table001 (Page 1-6)'!D390</f>
        <v>SW 19 AV RD</v>
      </c>
      <c r="F397" s="29">
        <f>'Table001 (Page 1-6)'!E390</f>
        <v>4</v>
      </c>
      <c r="G397" s="29">
        <f>'Table001 (Page 1-6)'!K390</f>
        <v>4</v>
      </c>
      <c r="H397" s="30" t="str">
        <f>'Table001 (Page 1-6)'!R390</f>
        <v>D</v>
      </c>
      <c r="I397" s="28" t="str">
        <f>'Table001 (Page 1-6)'!F390</f>
        <v>ARTERIAL</v>
      </c>
      <c r="J397" s="29"/>
      <c r="K397" s="29"/>
      <c r="L397" s="29">
        <f>'Table001 (Page 1-6)'!I390</f>
        <v>40352</v>
      </c>
      <c r="M397" s="29"/>
      <c r="N397" s="29">
        <f>'Table001 (Page 1-6)'!J390</f>
        <v>1996</v>
      </c>
      <c r="O397" s="29">
        <f>'Table001 (Page 1-6)'!L390</f>
        <v>40352</v>
      </c>
      <c r="P397" s="29"/>
      <c r="Q397" s="29">
        <f>'Table001 (Page 1-6)'!M390</f>
        <v>1996</v>
      </c>
      <c r="R397" s="29" t="str">
        <f>'Table001 (Page 1-6)'!S390</f>
        <v>23,700</v>
      </c>
      <c r="S397" s="31" t="str">
        <f>'Table001 (Page 1-6)'!T390</f>
        <v>0.59</v>
      </c>
      <c r="T397" s="29" t="str">
        <f>'Table001 (Page 1-6)'!U390</f>
        <v>C</v>
      </c>
      <c r="U397" s="29"/>
      <c r="V397" s="29"/>
      <c r="W397" s="29"/>
      <c r="X397" s="29"/>
      <c r="Y397" s="29"/>
      <c r="Z397" s="29"/>
      <c r="AA397" s="29"/>
      <c r="AB397" s="29"/>
      <c r="AC397" s="31"/>
      <c r="AD397" s="29"/>
      <c r="AE397" s="29"/>
      <c r="AF397" s="29"/>
      <c r="AG397" s="31"/>
      <c r="AH397" s="29"/>
      <c r="AI397" s="32">
        <f>('Table001 (Page 1-6)'!V390)*100</f>
        <v>1</v>
      </c>
      <c r="AJ397" s="35"/>
      <c r="AK397" s="35"/>
      <c r="AL397" s="35"/>
      <c r="AM397" s="35"/>
    </row>
    <row r="398" spans="2:39" x14ac:dyDescent="0.25">
      <c r="B398" s="37">
        <f>'Table001 (Page 1-6)'!A391</f>
        <v>5670.1</v>
      </c>
      <c r="C398" s="28" t="str">
        <f>'Table001 (Page 1-6)'!B391</f>
        <v>SR 464</v>
      </c>
      <c r="D398" s="28" t="str">
        <f>'Table001 (Page 1-6)'!C391</f>
        <v>SW 19 AV RD</v>
      </c>
      <c r="E398" s="28" t="str">
        <f>'Table001 (Page 1-6)'!D391</f>
        <v>SW 7 AV</v>
      </c>
      <c r="F398" s="29">
        <f>'Table001 (Page 1-6)'!E391</f>
        <v>4</v>
      </c>
      <c r="G398" s="29">
        <f>'Table001 (Page 1-6)'!K391</f>
        <v>4</v>
      </c>
      <c r="H398" s="30" t="str">
        <f>'Table001 (Page 1-6)'!R391</f>
        <v>D</v>
      </c>
      <c r="I398" s="28" t="str">
        <f>'Table001 (Page 1-6)'!F391</f>
        <v>ARTERIAL</v>
      </c>
      <c r="J398" s="29"/>
      <c r="K398" s="29"/>
      <c r="L398" s="29">
        <f>'Table001 (Page 1-6)'!I391</f>
        <v>38430</v>
      </c>
      <c r="M398" s="29"/>
      <c r="N398" s="29">
        <f>'Table001 (Page 1-6)'!J391</f>
        <v>1901</v>
      </c>
      <c r="O398" s="29">
        <f>'Table001 (Page 1-6)'!L391</f>
        <v>38430</v>
      </c>
      <c r="P398" s="29"/>
      <c r="Q398" s="29">
        <f>'Table001 (Page 1-6)'!M391</f>
        <v>1901</v>
      </c>
      <c r="R398" s="29" t="str">
        <f>'Table001 (Page 1-6)'!S391</f>
        <v>32,300</v>
      </c>
      <c r="S398" s="31" t="str">
        <f>'Table001 (Page 1-6)'!T391</f>
        <v>0.84</v>
      </c>
      <c r="T398" s="29" t="str">
        <f>'Table001 (Page 1-6)'!U391</f>
        <v>D</v>
      </c>
      <c r="U398" s="29"/>
      <c r="V398" s="29"/>
      <c r="W398" s="29"/>
      <c r="X398" s="29"/>
      <c r="Y398" s="29"/>
      <c r="Z398" s="29"/>
      <c r="AA398" s="29"/>
      <c r="AB398" s="29"/>
      <c r="AC398" s="31"/>
      <c r="AD398" s="29"/>
      <c r="AE398" s="29"/>
      <c r="AF398" s="29"/>
      <c r="AG398" s="31"/>
      <c r="AH398" s="29"/>
      <c r="AI398" s="32">
        <f>('Table001 (Page 1-6)'!V391)*100</f>
        <v>1</v>
      </c>
      <c r="AJ398" s="35"/>
      <c r="AK398" s="35"/>
      <c r="AL398" s="35"/>
      <c r="AM398" s="35"/>
    </row>
    <row r="399" spans="2:39" x14ac:dyDescent="0.25">
      <c r="B399" s="37">
        <f>'Table001 (Page 1-6)'!A392</f>
        <v>5680.1</v>
      </c>
      <c r="C399" s="28" t="str">
        <f>'Table001 (Page 1-6)'!B392</f>
        <v>SR 464</v>
      </c>
      <c r="D399" s="28" t="str">
        <f>'Table001 (Page 1-6)'!C392</f>
        <v>SW 7 AV</v>
      </c>
      <c r="E399" s="28" t="str">
        <f>'Table001 (Page 1-6)'!D392</f>
        <v>US 441</v>
      </c>
      <c r="F399" s="29">
        <f>'Table001 (Page 1-6)'!E392</f>
        <v>4</v>
      </c>
      <c r="G399" s="29">
        <f>'Table001 (Page 1-6)'!K392</f>
        <v>4</v>
      </c>
      <c r="H399" s="30" t="str">
        <f>'Table001 (Page 1-6)'!R392</f>
        <v>D</v>
      </c>
      <c r="I399" s="28" t="str">
        <f>'Table001 (Page 1-6)'!F392</f>
        <v>ARTERIAL</v>
      </c>
      <c r="J399" s="29"/>
      <c r="K399" s="29"/>
      <c r="L399" s="29">
        <f>'Table001 (Page 1-6)'!I392</f>
        <v>39800</v>
      </c>
      <c r="M399" s="29"/>
      <c r="N399" s="29">
        <f>'Table001 (Page 1-6)'!J392</f>
        <v>1973</v>
      </c>
      <c r="O399" s="29">
        <f>'Table001 (Page 1-6)'!L392</f>
        <v>39800</v>
      </c>
      <c r="P399" s="29"/>
      <c r="Q399" s="29">
        <f>'Table001 (Page 1-6)'!M392</f>
        <v>1973</v>
      </c>
      <c r="R399" s="29" t="str">
        <f>'Table001 (Page 1-6)'!S392</f>
        <v>32,300</v>
      </c>
      <c r="S399" s="31" t="str">
        <f>'Table001 (Page 1-6)'!T392</f>
        <v>0.81</v>
      </c>
      <c r="T399" s="29" t="str">
        <f>'Table001 (Page 1-6)'!U392</f>
        <v>D</v>
      </c>
      <c r="U399" s="29"/>
      <c r="V399" s="29"/>
      <c r="W399" s="29"/>
      <c r="X399" s="29"/>
      <c r="Y399" s="29"/>
      <c r="Z399" s="29"/>
      <c r="AA399" s="29"/>
      <c r="AB399" s="29"/>
      <c r="AC399" s="31"/>
      <c r="AD399" s="29"/>
      <c r="AE399" s="29"/>
      <c r="AF399" s="29"/>
      <c r="AG399" s="31"/>
      <c r="AH399" s="29"/>
      <c r="AI399" s="32">
        <f>('Table001 (Page 1-6)'!V392)*100</f>
        <v>1</v>
      </c>
      <c r="AJ399" s="35"/>
      <c r="AK399" s="35"/>
      <c r="AL399" s="35"/>
      <c r="AM399" s="35"/>
    </row>
    <row r="400" spans="2:39" x14ac:dyDescent="0.25">
      <c r="B400" s="37">
        <f>'Table001 (Page 1-6)'!A393</f>
        <v>5690</v>
      </c>
      <c r="C400" s="28" t="str">
        <f>'Table001 (Page 1-6)'!B393</f>
        <v>SR 464</v>
      </c>
      <c r="D400" s="28" t="str">
        <f>'Table001 (Page 1-6)'!C393</f>
        <v>US 441</v>
      </c>
      <c r="E400" s="28" t="str">
        <f>'Table001 (Page 1-6)'!D393</f>
        <v>SE 3 AV</v>
      </c>
      <c r="F400" s="29">
        <f>'Table001 (Page 1-6)'!E393</f>
        <v>4</v>
      </c>
      <c r="G400" s="29">
        <f>'Table001 (Page 1-6)'!K393</f>
        <v>4</v>
      </c>
      <c r="H400" s="30" t="str">
        <f>'Table001 (Page 1-6)'!R393</f>
        <v>D</v>
      </c>
      <c r="I400" s="28" t="str">
        <f>'Table001 (Page 1-6)'!F393</f>
        <v>ARTERIAL</v>
      </c>
      <c r="J400" s="29"/>
      <c r="K400" s="29"/>
      <c r="L400" s="29">
        <f>'Table001 (Page 1-6)'!I393</f>
        <v>37905</v>
      </c>
      <c r="M400" s="29"/>
      <c r="N400" s="29">
        <f>'Table001 (Page 1-6)'!J393</f>
        <v>1880</v>
      </c>
      <c r="O400" s="29">
        <f>'Table001 (Page 1-6)'!L393</f>
        <v>37905</v>
      </c>
      <c r="P400" s="29"/>
      <c r="Q400" s="29">
        <f>'Table001 (Page 1-6)'!M393</f>
        <v>1880</v>
      </c>
      <c r="R400" s="29" t="str">
        <f>'Table001 (Page 1-6)'!S393</f>
        <v>30,300</v>
      </c>
      <c r="S400" s="31" t="str">
        <f>'Table001 (Page 1-6)'!T393</f>
        <v>0.8</v>
      </c>
      <c r="T400" s="29" t="str">
        <f>'Table001 (Page 1-6)'!U393</f>
        <v>D</v>
      </c>
      <c r="U400" s="29"/>
      <c r="V400" s="29"/>
      <c r="W400" s="29"/>
      <c r="X400" s="29"/>
      <c r="Y400" s="29"/>
      <c r="Z400" s="29"/>
      <c r="AA400" s="29"/>
      <c r="AB400" s="29"/>
      <c r="AC400" s="31"/>
      <c r="AD400" s="29"/>
      <c r="AE400" s="29"/>
      <c r="AF400" s="29"/>
      <c r="AG400" s="31"/>
      <c r="AH400" s="29"/>
      <c r="AI400" s="32">
        <f>('Table001 (Page 1-6)'!V393)*100</f>
        <v>1</v>
      </c>
      <c r="AJ400" s="35"/>
      <c r="AK400" s="35"/>
      <c r="AL400" s="35"/>
      <c r="AM400" s="35"/>
    </row>
    <row r="401" spans="2:39" x14ac:dyDescent="0.25">
      <c r="B401" s="37">
        <f>'Table001 (Page 1-6)'!A394</f>
        <v>5710</v>
      </c>
      <c r="C401" s="28" t="str">
        <f>'Table001 (Page 1-6)'!B394</f>
        <v>SW 180 AV RD</v>
      </c>
      <c r="D401" s="28" t="str">
        <f>'Table001 (Page 1-6)'!C394</f>
        <v>CR 484</v>
      </c>
      <c r="E401" s="28" t="str">
        <f>'Table001 (Page 1-6)'!D394</f>
        <v>SW 180 AV</v>
      </c>
      <c r="F401" s="29">
        <f>'Table001 (Page 1-6)'!E394</f>
        <v>2</v>
      </c>
      <c r="G401" s="29">
        <f>'Table001 (Page 1-6)'!K394</f>
        <v>2</v>
      </c>
      <c r="H401" s="30" t="str">
        <f>'Table001 (Page 1-6)'!R394</f>
        <v>D</v>
      </c>
      <c r="I401" s="28" t="str">
        <f>'Table001 (Page 1-6)'!F394</f>
        <v>COLLECTOR</v>
      </c>
      <c r="J401" s="29"/>
      <c r="K401" s="29"/>
      <c r="L401" s="29">
        <f>'Table001 (Page 1-6)'!I394</f>
        <v>19170</v>
      </c>
      <c r="M401" s="29"/>
      <c r="N401" s="29">
        <f>'Table001 (Page 1-6)'!J394</f>
        <v>999</v>
      </c>
      <c r="O401" s="29">
        <f>'Table001 (Page 1-6)'!L394</f>
        <v>19170</v>
      </c>
      <c r="P401" s="29"/>
      <c r="Q401" s="29">
        <f>'Table001 (Page 1-6)'!M394</f>
        <v>999</v>
      </c>
      <c r="R401" s="29" t="str">
        <f>'Table001 (Page 1-6)'!S394</f>
        <v>6,100</v>
      </c>
      <c r="S401" s="31" t="str">
        <f>'Table001 (Page 1-6)'!T394</f>
        <v>0.32</v>
      </c>
      <c r="T401" s="29" t="str">
        <f>'Table001 (Page 1-6)'!U394</f>
        <v>B</v>
      </c>
      <c r="U401" s="29"/>
      <c r="V401" s="29"/>
      <c r="W401" s="29"/>
      <c r="X401" s="29"/>
      <c r="Y401" s="29"/>
      <c r="Z401" s="29"/>
      <c r="AA401" s="29"/>
      <c r="AB401" s="29"/>
      <c r="AC401" s="31"/>
      <c r="AD401" s="29"/>
      <c r="AE401" s="29"/>
      <c r="AF401" s="29"/>
      <c r="AG401" s="31"/>
      <c r="AH401" s="29"/>
      <c r="AI401" s="32">
        <f>('Table001 (Page 1-6)'!V394)*100</f>
        <v>17.72</v>
      </c>
      <c r="AJ401" s="35"/>
      <c r="AK401" s="35"/>
      <c r="AL401" s="35"/>
      <c r="AM401" s="35"/>
    </row>
    <row r="402" spans="2:39" x14ac:dyDescent="0.25">
      <c r="B402" s="37">
        <f>'Table001 (Page 1-6)'!A395</f>
        <v>5730</v>
      </c>
      <c r="C402" s="28" t="str">
        <f>'Table001 (Page 1-6)'!B395</f>
        <v>SW 180 AV RD</v>
      </c>
      <c r="D402" s="28" t="str">
        <f>'Table001 (Page 1-6)'!C395</f>
        <v>SW 180 AV</v>
      </c>
      <c r="E402" s="28" t="str">
        <f>'Table001 (Page 1-6)'!D395</f>
        <v>SR 40</v>
      </c>
      <c r="F402" s="29">
        <f>'Table001 (Page 1-6)'!E395</f>
        <v>2</v>
      </c>
      <c r="G402" s="29">
        <f>'Table001 (Page 1-6)'!K395</f>
        <v>2</v>
      </c>
      <c r="H402" s="30" t="str">
        <f>'Table001 (Page 1-6)'!R395</f>
        <v>D</v>
      </c>
      <c r="I402" s="28" t="str">
        <f>'Table001 (Page 1-6)'!F395</f>
        <v>COLLECTOR</v>
      </c>
      <c r="J402" s="29"/>
      <c r="K402" s="29"/>
      <c r="L402" s="29">
        <f>'Table001 (Page 1-6)'!I395</f>
        <v>19170</v>
      </c>
      <c r="M402" s="29"/>
      <c r="N402" s="29">
        <f>'Table001 (Page 1-6)'!J395</f>
        <v>999</v>
      </c>
      <c r="O402" s="29">
        <f>'Table001 (Page 1-6)'!L395</f>
        <v>19170</v>
      </c>
      <c r="P402" s="29"/>
      <c r="Q402" s="29">
        <f>'Table001 (Page 1-6)'!M395</f>
        <v>999</v>
      </c>
      <c r="R402" s="29" t="str">
        <f>'Table001 (Page 1-6)'!S395</f>
        <v>6,100</v>
      </c>
      <c r="S402" s="31" t="str">
        <f>'Table001 (Page 1-6)'!T395</f>
        <v>0.32</v>
      </c>
      <c r="T402" s="29" t="str">
        <f>'Table001 (Page 1-6)'!U395</f>
        <v>B</v>
      </c>
      <c r="U402" s="29"/>
      <c r="V402" s="29"/>
      <c r="W402" s="29"/>
      <c r="X402" s="29"/>
      <c r="Y402" s="29"/>
      <c r="Z402" s="29"/>
      <c r="AA402" s="29"/>
      <c r="AB402" s="29"/>
      <c r="AC402" s="31"/>
      <c r="AD402" s="29"/>
      <c r="AE402" s="29"/>
      <c r="AF402" s="29"/>
      <c r="AG402" s="31"/>
      <c r="AH402" s="29"/>
      <c r="AI402" s="32">
        <f>('Table001 (Page 1-6)'!V395)*100</f>
        <v>17.72</v>
      </c>
      <c r="AJ402" s="35"/>
      <c r="AK402" s="35"/>
      <c r="AL402" s="35"/>
      <c r="AM402" s="35"/>
    </row>
    <row r="403" spans="2:39" x14ac:dyDescent="0.25">
      <c r="B403" s="37">
        <f>'Table001 (Page 1-6)'!A396</f>
        <v>5740</v>
      </c>
      <c r="C403" s="28" t="str">
        <f>'Table001 (Page 1-6)'!B396</f>
        <v>SW 19 AV</v>
      </c>
      <c r="D403" s="28" t="str">
        <f>'Table001 (Page 1-6)'!C396</f>
        <v>SW 80 ST</v>
      </c>
      <c r="E403" s="28" t="str">
        <f>'Table001 (Page 1-6)'!D396</f>
        <v>SW 66 ST</v>
      </c>
      <c r="F403" s="29">
        <f>'Table001 (Page 1-6)'!E396</f>
        <v>2</v>
      </c>
      <c r="G403" s="29">
        <f>'Table001 (Page 1-6)'!K396</f>
        <v>2</v>
      </c>
      <c r="H403" s="30" t="str">
        <f>'Table001 (Page 1-6)'!R396</f>
        <v>C</v>
      </c>
      <c r="I403" s="28" t="str">
        <f>'Table001 (Page 1-6)'!F396</f>
        <v>COLLECTOR</v>
      </c>
      <c r="J403" s="29"/>
      <c r="K403" s="29"/>
      <c r="L403" s="29">
        <f>'Table001 (Page 1-6)'!I396</f>
        <v>9288</v>
      </c>
      <c r="M403" s="29"/>
      <c r="N403" s="29">
        <f>'Table001 (Page 1-6)'!J396</f>
        <v>482</v>
      </c>
      <c r="O403" s="29">
        <f>'Table001 (Page 1-6)'!L396</f>
        <v>9288</v>
      </c>
      <c r="P403" s="29"/>
      <c r="Q403" s="29">
        <f>'Table001 (Page 1-6)'!M396</f>
        <v>482</v>
      </c>
      <c r="R403" s="29" t="str">
        <f>'Table001 (Page 1-6)'!S396</f>
        <v>4,000</v>
      </c>
      <c r="S403" s="31" t="str">
        <f>'Table001 (Page 1-6)'!T396</f>
        <v>0.43</v>
      </c>
      <c r="T403" s="29" t="str">
        <f>'Table001 (Page 1-6)'!U396</f>
        <v>C</v>
      </c>
      <c r="U403" s="29"/>
      <c r="V403" s="29"/>
      <c r="W403" s="29"/>
      <c r="X403" s="29"/>
      <c r="Y403" s="29"/>
      <c r="Z403" s="29"/>
      <c r="AA403" s="29"/>
      <c r="AB403" s="29"/>
      <c r="AC403" s="31"/>
      <c r="AD403" s="29"/>
      <c r="AE403" s="29"/>
      <c r="AF403" s="29"/>
      <c r="AG403" s="31"/>
      <c r="AH403" s="29"/>
      <c r="AI403" s="32">
        <f>('Table001 (Page 1-6)'!V396)*100</f>
        <v>1</v>
      </c>
      <c r="AJ403" s="35"/>
      <c r="AK403" s="35"/>
      <c r="AL403" s="35"/>
      <c r="AM403" s="35"/>
    </row>
    <row r="404" spans="2:39" x14ac:dyDescent="0.25">
      <c r="B404" s="37">
        <f>'Table001 (Page 1-6)'!A397</f>
        <v>5750.1</v>
      </c>
      <c r="C404" s="28" t="str">
        <f>'Table001 (Page 1-6)'!B397</f>
        <v>SW 19 AV RD</v>
      </c>
      <c r="D404" s="28" t="str">
        <f>'Table001 (Page 1-6)'!C397</f>
        <v>SW 27 AV</v>
      </c>
      <c r="E404" s="28" t="str">
        <f>'Table001 (Page 1-6)'!D397</f>
        <v>SR 464</v>
      </c>
      <c r="F404" s="29">
        <f>'Table001 (Page 1-6)'!E397</f>
        <v>4</v>
      </c>
      <c r="G404" s="29">
        <f>'Table001 (Page 1-6)'!K397</f>
        <v>4</v>
      </c>
      <c r="H404" s="30" t="str">
        <f>'Table001 (Page 1-6)'!R397</f>
        <v>E</v>
      </c>
      <c r="I404" s="28" t="str">
        <f>'Table001 (Page 1-6)'!F397</f>
        <v>COLLECTOR</v>
      </c>
      <c r="J404" s="29"/>
      <c r="K404" s="29"/>
      <c r="L404" s="29">
        <f>'Table001 (Page 1-6)'!I397</f>
        <v>35820</v>
      </c>
      <c r="M404" s="29"/>
      <c r="N404" s="29">
        <f>'Table001 (Page 1-6)'!J397</f>
        <v>1800</v>
      </c>
      <c r="O404" s="29">
        <f>'Table001 (Page 1-6)'!L397</f>
        <v>35820</v>
      </c>
      <c r="P404" s="29"/>
      <c r="Q404" s="29">
        <f>'Table001 (Page 1-6)'!M397</f>
        <v>1800</v>
      </c>
      <c r="R404" s="29" t="str">
        <f>'Table001 (Page 1-6)'!S397</f>
        <v>15,200</v>
      </c>
      <c r="S404" s="31" t="str">
        <f>'Table001 (Page 1-6)'!T397</f>
        <v>0.42</v>
      </c>
      <c r="T404" s="29" t="str">
        <f>'Table001 (Page 1-6)'!U397</f>
        <v>C</v>
      </c>
      <c r="U404" s="29"/>
      <c r="V404" s="29"/>
      <c r="W404" s="29"/>
      <c r="X404" s="29"/>
      <c r="Y404" s="29"/>
      <c r="Z404" s="29"/>
      <c r="AA404" s="29"/>
      <c r="AB404" s="29"/>
      <c r="AC404" s="31"/>
      <c r="AD404" s="29"/>
      <c r="AE404" s="29"/>
      <c r="AF404" s="29"/>
      <c r="AG404" s="31"/>
      <c r="AH404" s="29"/>
      <c r="AI404" s="32">
        <f>('Table001 (Page 1-6)'!V397)*100</f>
        <v>1.8599999999999999</v>
      </c>
      <c r="AJ404" s="35"/>
      <c r="AK404" s="35"/>
      <c r="AL404" s="35"/>
      <c r="AM404" s="35"/>
    </row>
    <row r="405" spans="2:39" x14ac:dyDescent="0.25">
      <c r="B405" s="37">
        <f>'Table001 (Page 1-6)'!A398</f>
        <v>5760</v>
      </c>
      <c r="C405" s="28" t="str">
        <f>'Table001 (Page 1-6)'!B398</f>
        <v>SW 20 ST</v>
      </c>
      <c r="D405" s="28" t="str">
        <f>'Table001 (Page 1-6)'!C398</f>
        <v>SW 60 AV</v>
      </c>
      <c r="E405" s="28" t="str">
        <f>'Table001 (Page 1-6)'!D398</f>
        <v>SW 38 AV</v>
      </c>
      <c r="F405" s="29">
        <f>'Table001 (Page 1-6)'!E398</f>
        <v>4</v>
      </c>
      <c r="G405" s="29">
        <f>'Table001 (Page 1-6)'!K398</f>
        <v>4</v>
      </c>
      <c r="H405" s="30" t="str">
        <f>'Table001 (Page 1-6)'!R398</f>
        <v>E</v>
      </c>
      <c r="I405" s="28" t="str">
        <f>'Table001 (Page 1-6)'!F398</f>
        <v>COLLECTOR</v>
      </c>
      <c r="J405" s="29"/>
      <c r="K405" s="29"/>
      <c r="L405" s="29">
        <f>'Table001 (Page 1-6)'!I398</f>
        <v>35820</v>
      </c>
      <c r="M405" s="29"/>
      <c r="N405" s="29">
        <f>'Table001 (Page 1-6)'!J398</f>
        <v>1800</v>
      </c>
      <c r="O405" s="29">
        <f>'Table001 (Page 1-6)'!L398</f>
        <v>35820</v>
      </c>
      <c r="P405" s="29"/>
      <c r="Q405" s="29">
        <f>'Table001 (Page 1-6)'!M398</f>
        <v>1800</v>
      </c>
      <c r="R405" s="29" t="str">
        <f>'Table001 (Page 1-6)'!S398</f>
        <v>12,500</v>
      </c>
      <c r="S405" s="31" t="str">
        <f>'Table001 (Page 1-6)'!T398</f>
        <v>0.35</v>
      </c>
      <c r="T405" s="29" t="str">
        <f>'Table001 (Page 1-6)'!U398</f>
        <v>C</v>
      </c>
      <c r="U405" s="29"/>
      <c r="V405" s="29"/>
      <c r="W405" s="29"/>
      <c r="X405" s="29"/>
      <c r="Y405" s="29"/>
      <c r="Z405" s="29"/>
      <c r="AA405" s="29"/>
      <c r="AB405" s="29"/>
      <c r="AC405" s="31"/>
      <c r="AD405" s="29"/>
      <c r="AE405" s="29"/>
      <c r="AF405" s="29"/>
      <c r="AG405" s="31"/>
      <c r="AH405" s="29"/>
      <c r="AI405" s="32">
        <f>('Table001 (Page 1-6)'!V398)*100</f>
        <v>1</v>
      </c>
      <c r="AJ405" s="35"/>
      <c r="AK405" s="35"/>
      <c r="AL405" s="35"/>
      <c r="AM405" s="35"/>
    </row>
    <row r="406" spans="2:39" x14ac:dyDescent="0.25">
      <c r="B406" s="37">
        <f>'Table001 (Page 1-6)'!A399</f>
        <v>5780</v>
      </c>
      <c r="C406" s="28" t="str">
        <f>'Table001 (Page 1-6)'!B399</f>
        <v>SW 20 ST</v>
      </c>
      <c r="D406" s="28" t="str">
        <f>'Table001 (Page 1-6)'!C399</f>
        <v>SW 38 AV</v>
      </c>
      <c r="E406" s="28" t="str">
        <f>'Table001 (Page 1-6)'!D399</f>
        <v>SW 27 AV</v>
      </c>
      <c r="F406" s="29">
        <f>'Table001 (Page 1-6)'!E399</f>
        <v>2</v>
      </c>
      <c r="G406" s="29">
        <f>'Table001 (Page 1-6)'!K399</f>
        <v>2</v>
      </c>
      <c r="H406" s="30" t="str">
        <f>'Table001 (Page 1-6)'!R399</f>
        <v>E</v>
      </c>
      <c r="I406" s="28" t="str">
        <f>'Table001 (Page 1-6)'!F399</f>
        <v>COLLECTOR</v>
      </c>
      <c r="J406" s="29"/>
      <c r="K406" s="29"/>
      <c r="L406" s="29">
        <f>'Table001 (Page 1-6)'!I399</f>
        <v>16727</v>
      </c>
      <c r="M406" s="29"/>
      <c r="N406" s="29">
        <f>'Table001 (Page 1-6)'!J399</f>
        <v>832</v>
      </c>
      <c r="O406" s="29">
        <f>'Table001 (Page 1-6)'!L399</f>
        <v>16727</v>
      </c>
      <c r="P406" s="29"/>
      <c r="Q406" s="29">
        <f>'Table001 (Page 1-6)'!M399</f>
        <v>832</v>
      </c>
      <c r="R406" s="29" t="str">
        <f>'Table001 (Page 1-6)'!S399</f>
        <v>14,200</v>
      </c>
      <c r="S406" s="31" t="str">
        <f>'Table001 (Page 1-6)'!T399</f>
        <v>0.85</v>
      </c>
      <c r="T406" s="29" t="str">
        <f>'Table001 (Page 1-6)'!U399</f>
        <v>C</v>
      </c>
      <c r="U406" s="29"/>
      <c r="V406" s="29"/>
      <c r="W406" s="29"/>
      <c r="X406" s="29"/>
      <c r="Y406" s="29"/>
      <c r="Z406" s="29"/>
      <c r="AA406" s="29"/>
      <c r="AB406" s="29"/>
      <c r="AC406" s="31"/>
      <c r="AD406" s="29"/>
      <c r="AE406" s="29"/>
      <c r="AF406" s="29"/>
      <c r="AG406" s="31"/>
      <c r="AH406" s="29"/>
      <c r="AI406" s="32">
        <f>('Table001 (Page 1-6)'!V399)*100</f>
        <v>1.34</v>
      </c>
      <c r="AJ406" s="35"/>
      <c r="AK406" s="35"/>
      <c r="AL406" s="35"/>
      <c r="AM406" s="35"/>
    </row>
    <row r="407" spans="2:39" x14ac:dyDescent="0.25">
      <c r="B407" s="37">
        <f>'Table001 (Page 1-6)'!A400</f>
        <v>5800</v>
      </c>
      <c r="C407" s="28" t="str">
        <f>'Table001 (Page 1-6)'!B400</f>
        <v>SW 20 ST</v>
      </c>
      <c r="D407" s="28" t="str">
        <f>'Table001 (Page 1-6)'!C400</f>
        <v>SW 27 AV</v>
      </c>
      <c r="E407" s="28" t="str">
        <f>'Table001 (Page 1-6)'!D400</f>
        <v>SR 200</v>
      </c>
      <c r="F407" s="29">
        <f>'Table001 (Page 1-6)'!E400</f>
        <v>2</v>
      </c>
      <c r="G407" s="29">
        <f>'Table001 (Page 1-6)'!K400</f>
        <v>2</v>
      </c>
      <c r="H407" s="30" t="str">
        <f>'Table001 (Page 1-6)'!R400</f>
        <v>E</v>
      </c>
      <c r="I407" s="28" t="str">
        <f>'Table001 (Page 1-6)'!F400</f>
        <v>COLLECTOR</v>
      </c>
      <c r="J407" s="29"/>
      <c r="K407" s="29"/>
      <c r="L407" s="29">
        <f>'Table001 (Page 1-6)'!I400</f>
        <v>16727</v>
      </c>
      <c r="M407" s="29"/>
      <c r="N407" s="29">
        <f>'Table001 (Page 1-6)'!J400</f>
        <v>832</v>
      </c>
      <c r="O407" s="29">
        <f>'Table001 (Page 1-6)'!L400</f>
        <v>16727</v>
      </c>
      <c r="P407" s="29"/>
      <c r="Q407" s="29">
        <f>'Table001 (Page 1-6)'!M400</f>
        <v>832</v>
      </c>
      <c r="R407" s="29" t="str">
        <f>'Table001 (Page 1-6)'!S400</f>
        <v>Not Counted</v>
      </c>
      <c r="S407" s="31" t="str">
        <f>'Table001 (Page 1-6)'!T400</f>
        <v>N/A</v>
      </c>
      <c r="T407" s="29" t="str">
        <f>'Table001 (Page 1-6)'!U400</f>
        <v>N/A</v>
      </c>
      <c r="U407" s="29"/>
      <c r="V407" s="29"/>
      <c r="W407" s="29"/>
      <c r="X407" s="29"/>
      <c r="Y407" s="29"/>
      <c r="Z407" s="29"/>
      <c r="AA407" s="29"/>
      <c r="AB407" s="29"/>
      <c r="AC407" s="31"/>
      <c r="AD407" s="29"/>
      <c r="AE407" s="29"/>
      <c r="AF407" s="29"/>
      <c r="AG407" s="31"/>
      <c r="AH407" s="29"/>
      <c r="AI407" s="32">
        <f>('Table001 (Page 1-6)'!V400)*100</f>
        <v>1</v>
      </c>
      <c r="AJ407" s="35"/>
      <c r="AK407" s="35"/>
      <c r="AL407" s="35"/>
      <c r="AM407" s="35"/>
    </row>
    <row r="408" spans="2:39" x14ac:dyDescent="0.25">
      <c r="B408" s="37">
        <f>'Table001 (Page 1-6)'!A401</f>
        <v>5810.1</v>
      </c>
      <c r="C408" s="28" t="str">
        <f>'Table001 (Page 1-6)'!B401</f>
        <v>CR 475A</v>
      </c>
      <c r="D408" s="28" t="str">
        <f>'Table001 (Page 1-6)'!C401</f>
        <v>SW 107 PL</v>
      </c>
      <c r="E408" s="28" t="str">
        <f>'Table001 (Page 1-6)'!D401</f>
        <v>SW 66 ST</v>
      </c>
      <c r="F408" s="29">
        <f>'Table001 (Page 1-6)'!E401</f>
        <v>2</v>
      </c>
      <c r="G408" s="29">
        <f>'Table001 (Page 1-6)'!K401</f>
        <v>2</v>
      </c>
      <c r="H408" s="30" t="str">
        <f>'Table001 (Page 1-6)'!R401</f>
        <v>C</v>
      </c>
      <c r="I408" s="28" t="str">
        <f>'Table001 (Page 1-6)'!F401</f>
        <v>ARTERIAL</v>
      </c>
      <c r="J408" s="29"/>
      <c r="K408" s="29"/>
      <c r="L408" s="29">
        <f>'Table001 (Page 1-6)'!I401</f>
        <v>16200</v>
      </c>
      <c r="M408" s="29"/>
      <c r="N408" s="29">
        <f>'Table001 (Page 1-6)'!J401</f>
        <v>801</v>
      </c>
      <c r="O408" s="29">
        <f>'Table001 (Page 1-6)'!L401</f>
        <v>16200</v>
      </c>
      <c r="P408" s="29"/>
      <c r="Q408" s="29">
        <f>'Table001 (Page 1-6)'!M401</f>
        <v>801</v>
      </c>
      <c r="R408" s="29" t="str">
        <f>'Table001 (Page 1-6)'!S401</f>
        <v>10,400</v>
      </c>
      <c r="S408" s="31" t="str">
        <f>'Table001 (Page 1-6)'!T401</f>
        <v>0.64</v>
      </c>
      <c r="T408" s="29" t="str">
        <f>'Table001 (Page 1-6)'!U401</f>
        <v>B</v>
      </c>
      <c r="U408" s="29"/>
      <c r="V408" s="29"/>
      <c r="W408" s="29"/>
      <c r="X408" s="29"/>
      <c r="Y408" s="29"/>
      <c r="Z408" s="29"/>
      <c r="AA408" s="29"/>
      <c r="AB408" s="29"/>
      <c r="AC408" s="31"/>
      <c r="AD408" s="29"/>
      <c r="AE408" s="29"/>
      <c r="AF408" s="29"/>
      <c r="AG408" s="31"/>
      <c r="AH408" s="29"/>
      <c r="AI408" s="32">
        <f>('Table001 (Page 1-6)'!V401)*100</f>
        <v>1.8599999999999999</v>
      </c>
      <c r="AJ408" s="35"/>
      <c r="AK408" s="35"/>
      <c r="AL408" s="35"/>
      <c r="AM408" s="35"/>
    </row>
    <row r="409" spans="2:39" x14ac:dyDescent="0.25">
      <c r="B409" s="37">
        <f>'Table001 (Page 1-6)'!A402</f>
        <v>5820.3</v>
      </c>
      <c r="C409" s="28" t="str">
        <f>'Table001 (Page 1-6)'!B402</f>
        <v>CR 475A</v>
      </c>
      <c r="D409" s="28" t="str">
        <f>'Table001 (Page 1-6)'!C402</f>
        <v>SW 66 ST</v>
      </c>
      <c r="E409" s="28" t="str">
        <f>'Table001 (Page 1-6)'!D402</f>
        <v>CR 475C</v>
      </c>
      <c r="F409" s="29">
        <f>'Table001 (Page 1-6)'!E402</f>
        <v>2</v>
      </c>
      <c r="G409" s="29">
        <f>'Table001 (Page 1-6)'!K402</f>
        <v>2</v>
      </c>
      <c r="H409" s="30" t="str">
        <f>'Table001 (Page 1-6)'!R402</f>
        <v>C</v>
      </c>
      <c r="I409" s="28" t="str">
        <f>'Table001 (Page 1-6)'!F402</f>
        <v>ARTERIAL</v>
      </c>
      <c r="J409" s="29"/>
      <c r="K409" s="29"/>
      <c r="L409" s="29">
        <f>'Table001 (Page 1-6)'!I402</f>
        <v>16200</v>
      </c>
      <c r="M409" s="29"/>
      <c r="N409" s="29">
        <f>'Table001 (Page 1-6)'!J402</f>
        <v>801</v>
      </c>
      <c r="O409" s="29">
        <f>'Table001 (Page 1-6)'!L402</f>
        <v>16200</v>
      </c>
      <c r="P409" s="29"/>
      <c r="Q409" s="29">
        <f>'Table001 (Page 1-6)'!M402</f>
        <v>801</v>
      </c>
      <c r="R409" s="29" t="str">
        <f>'Table001 (Page 1-6)'!S402</f>
        <v>14,100</v>
      </c>
      <c r="S409" s="31" t="str">
        <f>'Table001 (Page 1-6)'!T402</f>
        <v>0.87</v>
      </c>
      <c r="T409" s="29" t="str">
        <f>'Table001 (Page 1-6)'!U402</f>
        <v>C</v>
      </c>
      <c r="U409" s="29"/>
      <c r="V409" s="29"/>
      <c r="W409" s="29"/>
      <c r="X409" s="29"/>
      <c r="Y409" s="29"/>
      <c r="Z409" s="29"/>
      <c r="AA409" s="29"/>
      <c r="AB409" s="29"/>
      <c r="AC409" s="31"/>
      <c r="AD409" s="29"/>
      <c r="AE409" s="29"/>
      <c r="AF409" s="29"/>
      <c r="AG409" s="31"/>
      <c r="AH409" s="29"/>
      <c r="AI409" s="32">
        <f>('Table001 (Page 1-6)'!V402)*100</f>
        <v>2.69</v>
      </c>
      <c r="AJ409" s="35"/>
      <c r="AK409" s="35"/>
      <c r="AL409" s="35"/>
      <c r="AM409" s="35"/>
    </row>
    <row r="410" spans="2:39" x14ac:dyDescent="0.25">
      <c r="B410" s="37">
        <f>'Table001 (Page 1-6)'!A403</f>
        <v>5830</v>
      </c>
      <c r="C410" s="28" t="str">
        <f>'Table001 (Page 1-6)'!B403</f>
        <v>SW 27 AV</v>
      </c>
      <c r="D410" s="28" t="str">
        <f>'Table001 (Page 1-6)'!C403</f>
        <v>SW 42 ST</v>
      </c>
      <c r="E410" s="28" t="str">
        <f>'Table001 (Page 1-6)'!D403</f>
        <v>SW 19 AV RD</v>
      </c>
      <c r="F410" s="29">
        <f>'Table001 (Page 1-6)'!E403</f>
        <v>4</v>
      </c>
      <c r="G410" s="29">
        <f>'Table001 (Page 1-6)'!K403</f>
        <v>4</v>
      </c>
      <c r="H410" s="30" t="str">
        <f>'Table001 (Page 1-6)'!R403</f>
        <v>E</v>
      </c>
      <c r="I410" s="28" t="str">
        <f>'Table001 (Page 1-6)'!F403</f>
        <v>ARTERIAL</v>
      </c>
      <c r="J410" s="29"/>
      <c r="K410" s="29"/>
      <c r="L410" s="29">
        <f>'Table001 (Page 1-6)'!I403</f>
        <v>35820</v>
      </c>
      <c r="M410" s="29"/>
      <c r="N410" s="29">
        <f>'Table001 (Page 1-6)'!J403</f>
        <v>1800</v>
      </c>
      <c r="O410" s="29">
        <f>'Table001 (Page 1-6)'!L403</f>
        <v>35820</v>
      </c>
      <c r="P410" s="29"/>
      <c r="Q410" s="29">
        <f>'Table001 (Page 1-6)'!M403</f>
        <v>1800</v>
      </c>
      <c r="R410" s="29" t="str">
        <f>'Table001 (Page 1-6)'!S403</f>
        <v>24,700</v>
      </c>
      <c r="S410" s="31" t="str">
        <f>'Table001 (Page 1-6)'!T403</f>
        <v>0.69</v>
      </c>
      <c r="T410" s="29" t="str">
        <f>'Table001 (Page 1-6)'!U403</f>
        <v>C</v>
      </c>
      <c r="U410" s="29"/>
      <c r="V410" s="29"/>
      <c r="W410" s="29"/>
      <c r="X410" s="29"/>
      <c r="Y410" s="29"/>
      <c r="Z410" s="29"/>
      <c r="AA410" s="29"/>
      <c r="AB410" s="29"/>
      <c r="AC410" s="31"/>
      <c r="AD410" s="29"/>
      <c r="AE410" s="29"/>
      <c r="AF410" s="29"/>
      <c r="AG410" s="31"/>
      <c r="AH410" s="29"/>
      <c r="AI410" s="32">
        <f>('Table001 (Page 1-6)'!V403)*100</f>
        <v>5.01</v>
      </c>
      <c r="AJ410" s="35"/>
      <c r="AK410" s="35"/>
      <c r="AL410" s="35"/>
      <c r="AM410" s="35"/>
    </row>
    <row r="411" spans="2:39" x14ac:dyDescent="0.25">
      <c r="B411" s="37">
        <f>'Table001 (Page 1-6)'!A404</f>
        <v>5850</v>
      </c>
      <c r="C411" s="28" t="str">
        <f>'Table001 (Page 1-6)'!B404</f>
        <v>SW 27 AV</v>
      </c>
      <c r="D411" s="28" t="str">
        <f>'Table001 (Page 1-6)'!C404</f>
        <v>SW 19 AV RD</v>
      </c>
      <c r="E411" s="28" t="str">
        <f>'Table001 (Page 1-6)'!D404</f>
        <v>SR 200</v>
      </c>
      <c r="F411" s="29">
        <f>'Table001 (Page 1-6)'!E404</f>
        <v>4</v>
      </c>
      <c r="G411" s="29">
        <f>'Table001 (Page 1-6)'!K404</f>
        <v>4</v>
      </c>
      <c r="H411" s="30" t="str">
        <f>'Table001 (Page 1-6)'!R404</f>
        <v>E</v>
      </c>
      <c r="I411" s="28" t="str">
        <f>'Table001 (Page 1-6)'!F404</f>
        <v>ARTERIAL</v>
      </c>
      <c r="J411" s="29"/>
      <c r="K411" s="29"/>
      <c r="L411" s="29">
        <f>'Table001 (Page 1-6)'!I404</f>
        <v>35820</v>
      </c>
      <c r="M411" s="29"/>
      <c r="N411" s="29">
        <f>'Table001 (Page 1-6)'!J404</f>
        <v>1800</v>
      </c>
      <c r="O411" s="29">
        <f>'Table001 (Page 1-6)'!L404</f>
        <v>35820</v>
      </c>
      <c r="P411" s="29"/>
      <c r="Q411" s="29">
        <f>'Table001 (Page 1-6)'!M404</f>
        <v>1800</v>
      </c>
      <c r="R411" s="29" t="str">
        <f>'Table001 (Page 1-6)'!S404</f>
        <v>18,000</v>
      </c>
      <c r="S411" s="31" t="str">
        <f>'Table001 (Page 1-6)'!T404</f>
        <v>0.5</v>
      </c>
      <c r="T411" s="29" t="str">
        <f>'Table001 (Page 1-6)'!U404</f>
        <v>C</v>
      </c>
      <c r="U411" s="29"/>
      <c r="V411" s="29"/>
      <c r="W411" s="29"/>
      <c r="X411" s="29"/>
      <c r="Y411" s="29"/>
      <c r="Z411" s="29"/>
      <c r="AA411" s="29"/>
      <c r="AB411" s="29"/>
      <c r="AC411" s="31"/>
      <c r="AD411" s="29"/>
      <c r="AE411" s="29"/>
      <c r="AF411" s="29"/>
      <c r="AG411" s="31"/>
      <c r="AH411" s="29"/>
      <c r="AI411" s="32">
        <f>('Table001 (Page 1-6)'!V404)*100</f>
        <v>1</v>
      </c>
      <c r="AJ411" s="35"/>
      <c r="AK411" s="35"/>
      <c r="AL411" s="35"/>
      <c r="AM411" s="35"/>
    </row>
    <row r="412" spans="2:39" x14ac:dyDescent="0.25">
      <c r="B412" s="37">
        <f>'Table001 (Page 1-6)'!A405</f>
        <v>5860</v>
      </c>
      <c r="C412" s="28" t="str">
        <f>'Table001 (Page 1-6)'!B405</f>
        <v>SW 27 AV</v>
      </c>
      <c r="D412" s="28" t="str">
        <f>'Table001 (Page 1-6)'!C405</f>
        <v>SR 200</v>
      </c>
      <c r="E412" s="28" t="str">
        <f>'Table001 (Page 1-6)'!D405</f>
        <v>SR 464</v>
      </c>
      <c r="F412" s="29">
        <f>'Table001 (Page 1-6)'!E405</f>
        <v>4</v>
      </c>
      <c r="G412" s="29">
        <f>'Table001 (Page 1-6)'!K405</f>
        <v>4</v>
      </c>
      <c r="H412" s="30" t="str">
        <f>'Table001 (Page 1-6)'!R405</f>
        <v>E</v>
      </c>
      <c r="I412" s="28" t="str">
        <f>'Table001 (Page 1-6)'!F405</f>
        <v>ARTERIAL</v>
      </c>
      <c r="J412" s="29"/>
      <c r="K412" s="29"/>
      <c r="L412" s="29">
        <f>'Table001 (Page 1-6)'!I405</f>
        <v>35820</v>
      </c>
      <c r="M412" s="29"/>
      <c r="N412" s="29">
        <f>'Table001 (Page 1-6)'!J405</f>
        <v>1800</v>
      </c>
      <c r="O412" s="29">
        <f>'Table001 (Page 1-6)'!L405</f>
        <v>35820</v>
      </c>
      <c r="P412" s="29"/>
      <c r="Q412" s="29">
        <f>'Table001 (Page 1-6)'!M405</f>
        <v>1800</v>
      </c>
      <c r="R412" s="29" t="str">
        <f>'Table001 (Page 1-6)'!S405</f>
        <v>19,000</v>
      </c>
      <c r="S412" s="31" t="str">
        <f>'Table001 (Page 1-6)'!T405</f>
        <v>0.53</v>
      </c>
      <c r="T412" s="29" t="str">
        <f>'Table001 (Page 1-6)'!U405</f>
        <v>C</v>
      </c>
      <c r="U412" s="29"/>
      <c r="V412" s="29"/>
      <c r="W412" s="29"/>
      <c r="X412" s="29"/>
      <c r="Y412" s="29"/>
      <c r="Z412" s="29"/>
      <c r="AA412" s="29"/>
      <c r="AB412" s="29"/>
      <c r="AC412" s="31"/>
      <c r="AD412" s="29"/>
      <c r="AE412" s="29"/>
      <c r="AF412" s="29"/>
      <c r="AG412" s="31"/>
      <c r="AH412" s="29"/>
      <c r="AI412" s="32">
        <f>('Table001 (Page 1-6)'!V405)*100</f>
        <v>1</v>
      </c>
      <c r="AJ412" s="35"/>
      <c r="AK412" s="35"/>
      <c r="AL412" s="35"/>
      <c r="AM412" s="35"/>
    </row>
    <row r="413" spans="2:39" x14ac:dyDescent="0.25">
      <c r="B413" s="37">
        <f>'Table001 (Page 1-6)'!A406</f>
        <v>5870.2</v>
      </c>
      <c r="C413" s="28" t="str">
        <f>'Table001 (Page 1-6)'!B406</f>
        <v>SW 27 AV</v>
      </c>
      <c r="D413" s="28" t="str">
        <f>'Table001 (Page 1-6)'!C406</f>
        <v>SR 464</v>
      </c>
      <c r="E413" s="28" t="str">
        <f>'Table001 (Page 1-6)'!D406</f>
        <v>SR 40</v>
      </c>
      <c r="F413" s="29">
        <f>'Table001 (Page 1-6)'!E406</f>
        <v>4</v>
      </c>
      <c r="G413" s="29">
        <f>'Table001 (Page 1-6)'!K406</f>
        <v>4</v>
      </c>
      <c r="H413" s="30" t="str">
        <f>'Table001 (Page 1-6)'!R406</f>
        <v>E</v>
      </c>
      <c r="I413" s="28" t="str">
        <f>'Table001 (Page 1-6)'!F406</f>
        <v>ARTERIAL</v>
      </c>
      <c r="J413" s="29"/>
      <c r="K413" s="29"/>
      <c r="L413" s="29">
        <f>'Table001 (Page 1-6)'!I406</f>
        <v>35820</v>
      </c>
      <c r="M413" s="29"/>
      <c r="N413" s="29">
        <f>'Table001 (Page 1-6)'!J406</f>
        <v>1800</v>
      </c>
      <c r="O413" s="29">
        <f>'Table001 (Page 1-6)'!L406</f>
        <v>35820</v>
      </c>
      <c r="P413" s="29"/>
      <c r="Q413" s="29">
        <f>'Table001 (Page 1-6)'!M406</f>
        <v>1800</v>
      </c>
      <c r="R413" s="29" t="str">
        <f>'Table001 (Page 1-6)'!S406</f>
        <v>19,000</v>
      </c>
      <c r="S413" s="31" t="str">
        <f>'Table001 (Page 1-6)'!T406</f>
        <v>0.53</v>
      </c>
      <c r="T413" s="29" t="str">
        <f>'Table001 (Page 1-6)'!U406</f>
        <v>C</v>
      </c>
      <c r="U413" s="29"/>
      <c r="V413" s="29"/>
      <c r="W413" s="29"/>
      <c r="X413" s="29"/>
      <c r="Y413" s="29"/>
      <c r="Z413" s="29"/>
      <c r="AA413" s="29"/>
      <c r="AB413" s="29"/>
      <c r="AC413" s="31"/>
      <c r="AD413" s="29"/>
      <c r="AE413" s="29"/>
      <c r="AF413" s="29"/>
      <c r="AG413" s="31"/>
      <c r="AH413" s="29"/>
      <c r="AI413" s="32">
        <f>('Table001 (Page 1-6)'!V406)*100</f>
        <v>1</v>
      </c>
      <c r="AJ413" s="35"/>
      <c r="AK413" s="35"/>
      <c r="AL413" s="35"/>
      <c r="AM413" s="35"/>
    </row>
    <row r="414" spans="2:39" x14ac:dyDescent="0.25">
      <c r="B414" s="37">
        <f>'Table001 (Page 1-6)'!A407</f>
        <v>5900</v>
      </c>
      <c r="C414" s="28" t="str">
        <f>'Table001 (Page 1-6)'!B407</f>
        <v>SW 31 AV</v>
      </c>
      <c r="D414" s="28" t="str">
        <f>'Table001 (Page 1-6)'!C407</f>
        <v>SW 20 ST</v>
      </c>
      <c r="E414" s="28" t="str">
        <f>'Table001 (Page 1-6)'!D407</f>
        <v>SW 13 ST</v>
      </c>
      <c r="F414" s="29">
        <f>'Table001 (Page 1-6)'!E407</f>
        <v>2</v>
      </c>
      <c r="G414" s="29">
        <f>'Table001 (Page 1-6)'!K407</f>
        <v>2</v>
      </c>
      <c r="H414" s="30" t="str">
        <f>'Table001 (Page 1-6)'!R407</f>
        <v>E</v>
      </c>
      <c r="I414" s="28" t="str">
        <f>'Table001 (Page 1-6)'!F407</f>
        <v>COLLECTOR</v>
      </c>
      <c r="J414" s="29"/>
      <c r="K414" s="29"/>
      <c r="L414" s="29">
        <f>'Table001 (Page 1-6)'!I407</f>
        <v>11232</v>
      </c>
      <c r="M414" s="29"/>
      <c r="N414" s="29">
        <f>'Table001 (Page 1-6)'!J407</f>
        <v>576</v>
      </c>
      <c r="O414" s="29">
        <f>'Table001 (Page 1-6)'!L407</f>
        <v>11232</v>
      </c>
      <c r="P414" s="29"/>
      <c r="Q414" s="29">
        <f>'Table001 (Page 1-6)'!M407</f>
        <v>576</v>
      </c>
      <c r="R414" s="29" t="str">
        <f>'Table001 (Page 1-6)'!S407</f>
        <v>5,100</v>
      </c>
      <c r="S414" s="31" t="str">
        <f>'Table001 (Page 1-6)'!T407</f>
        <v>0.45</v>
      </c>
      <c r="T414" s="29" t="str">
        <f>'Table001 (Page 1-6)'!U407</f>
        <v>C</v>
      </c>
      <c r="U414" s="29"/>
      <c r="V414" s="29"/>
      <c r="W414" s="29"/>
      <c r="X414" s="29"/>
      <c r="Y414" s="29"/>
      <c r="Z414" s="29"/>
      <c r="AA414" s="29"/>
      <c r="AB414" s="29"/>
      <c r="AC414" s="31"/>
      <c r="AD414" s="29"/>
      <c r="AE414" s="29"/>
      <c r="AF414" s="29"/>
      <c r="AG414" s="31"/>
      <c r="AH414" s="29"/>
      <c r="AI414" s="32">
        <f>('Table001 (Page 1-6)'!V407)*100</f>
        <v>5.92</v>
      </c>
      <c r="AJ414" s="35"/>
      <c r="AK414" s="35"/>
      <c r="AL414" s="35"/>
      <c r="AM414" s="35"/>
    </row>
    <row r="415" spans="2:39" x14ac:dyDescent="0.25">
      <c r="B415" s="37">
        <f>'Table001 (Page 1-6)'!A408</f>
        <v>5910.1</v>
      </c>
      <c r="C415" s="28" t="str">
        <f>'Table001 (Page 1-6)'!B408</f>
        <v>SW 33 AV</v>
      </c>
      <c r="D415" s="28" t="str">
        <f>'Table001 (Page 1-6)'!C408</f>
        <v>SW 13 ST</v>
      </c>
      <c r="E415" s="28" t="str">
        <f>'Table001 (Page 1-6)'!D408</f>
        <v>SR 40</v>
      </c>
      <c r="F415" s="29">
        <f>'Table001 (Page 1-6)'!E408</f>
        <v>2</v>
      </c>
      <c r="G415" s="29">
        <f>'Table001 (Page 1-6)'!K408</f>
        <v>2</v>
      </c>
      <c r="H415" s="30" t="str">
        <f>'Table001 (Page 1-6)'!R408</f>
        <v>E</v>
      </c>
      <c r="I415" s="28" t="str">
        <f>'Table001 (Page 1-6)'!F408</f>
        <v>COLLECTOR</v>
      </c>
      <c r="J415" s="29"/>
      <c r="K415" s="29"/>
      <c r="L415" s="29">
        <f>'Table001 (Page 1-6)'!I408</f>
        <v>29340</v>
      </c>
      <c r="M415" s="29"/>
      <c r="N415" s="29">
        <f>'Table001 (Page 1-6)'!J408</f>
        <v>1449</v>
      </c>
      <c r="O415" s="29">
        <f>'Table001 (Page 1-6)'!L408</f>
        <v>29340</v>
      </c>
      <c r="P415" s="29"/>
      <c r="Q415" s="29">
        <f>'Table001 (Page 1-6)'!M408</f>
        <v>1449</v>
      </c>
      <c r="R415" s="29" t="str">
        <f>'Table001 (Page 1-6)'!S408</f>
        <v>5,100</v>
      </c>
      <c r="S415" s="31" t="str">
        <f>'Table001 (Page 1-6)'!T408</f>
        <v>0.17</v>
      </c>
      <c r="T415" s="29" t="str">
        <f>'Table001 (Page 1-6)'!U408</f>
        <v>B</v>
      </c>
      <c r="U415" s="29"/>
      <c r="V415" s="29"/>
      <c r="W415" s="29"/>
      <c r="X415" s="29"/>
      <c r="Y415" s="29"/>
      <c r="Z415" s="29"/>
      <c r="AA415" s="29"/>
      <c r="AB415" s="29"/>
      <c r="AC415" s="31"/>
      <c r="AD415" s="29"/>
      <c r="AE415" s="29"/>
      <c r="AF415" s="29"/>
      <c r="AG415" s="31"/>
      <c r="AH415" s="29"/>
      <c r="AI415" s="32">
        <f>('Table001 (Page 1-6)'!V408)*100</f>
        <v>5.92</v>
      </c>
      <c r="AJ415" s="35"/>
      <c r="AK415" s="35"/>
      <c r="AL415" s="35"/>
      <c r="AM415" s="35"/>
    </row>
    <row r="416" spans="2:39" x14ac:dyDescent="0.25">
      <c r="B416" s="37">
        <f>'Table001 (Page 1-6)'!A409</f>
        <v>5920</v>
      </c>
      <c r="C416" s="28" t="str">
        <f>'Table001 (Page 1-6)'!B409</f>
        <v>SW 37 AV</v>
      </c>
      <c r="D416" s="28" t="str">
        <f>'Table001 (Page 1-6)'!C409</f>
        <v>SW 20 ST</v>
      </c>
      <c r="E416" s="28" t="str">
        <f>'Table001 (Page 1-6)'!D409</f>
        <v>SW 13 ST</v>
      </c>
      <c r="F416" s="29">
        <f>'Table001 (Page 1-6)'!E409</f>
        <v>2</v>
      </c>
      <c r="G416" s="29">
        <f>'Table001 (Page 1-6)'!K409</f>
        <v>2</v>
      </c>
      <c r="H416" s="30" t="str">
        <f>'Table001 (Page 1-6)'!R409</f>
        <v>E</v>
      </c>
      <c r="I416" s="28" t="str">
        <f>'Table001 (Page 1-6)'!F409</f>
        <v>COLLECTOR</v>
      </c>
      <c r="J416" s="29"/>
      <c r="K416" s="29"/>
      <c r="L416" s="29">
        <f>'Table001 (Page 1-6)'!I409</f>
        <v>29340</v>
      </c>
      <c r="M416" s="29"/>
      <c r="N416" s="29">
        <f>'Table001 (Page 1-6)'!J409</f>
        <v>1449</v>
      </c>
      <c r="O416" s="29">
        <f>'Table001 (Page 1-6)'!L409</f>
        <v>29340</v>
      </c>
      <c r="P416" s="29"/>
      <c r="Q416" s="29">
        <f>'Table001 (Page 1-6)'!M409</f>
        <v>1449</v>
      </c>
      <c r="R416" s="29" t="str">
        <f>'Table001 (Page 1-6)'!S409</f>
        <v>3,500</v>
      </c>
      <c r="S416" s="31" t="str">
        <f>'Table001 (Page 1-6)'!T409</f>
        <v>0.12</v>
      </c>
      <c r="T416" s="29" t="str">
        <f>'Table001 (Page 1-6)'!U409</f>
        <v>B</v>
      </c>
      <c r="U416" s="29"/>
      <c r="V416" s="29"/>
      <c r="W416" s="29"/>
      <c r="X416" s="29"/>
      <c r="Y416" s="29"/>
      <c r="Z416" s="29"/>
      <c r="AA416" s="29"/>
      <c r="AB416" s="29"/>
      <c r="AC416" s="31"/>
      <c r="AD416" s="29"/>
      <c r="AE416" s="29"/>
      <c r="AF416" s="29"/>
      <c r="AG416" s="31"/>
      <c r="AH416" s="29"/>
      <c r="AI416" s="32">
        <f>('Table001 (Page 1-6)'!V409)*100</f>
        <v>1</v>
      </c>
      <c r="AJ416" s="35"/>
      <c r="AK416" s="35"/>
      <c r="AL416" s="35"/>
      <c r="AM416" s="35"/>
    </row>
    <row r="417" spans="2:39" x14ac:dyDescent="0.25">
      <c r="B417" s="37">
        <f>'Table001 (Page 1-6)'!A410</f>
        <v>5940.1</v>
      </c>
      <c r="C417" s="28" t="str">
        <f>'Table001 (Page 1-6)'!B410</f>
        <v>SW 38 AV</v>
      </c>
      <c r="D417" s="28" t="str">
        <f>'Table001 (Page 1-6)'!C410</f>
        <v>SW 20 ST</v>
      </c>
      <c r="E417" s="28" t="str">
        <f>'Table001 (Page 1-6)'!D410</f>
        <v>SW 40 ST</v>
      </c>
      <c r="F417" s="29">
        <f>'Table001 (Page 1-6)'!E410</f>
        <v>2</v>
      </c>
      <c r="G417" s="29">
        <f>'Table001 (Page 1-6)'!K410</f>
        <v>2</v>
      </c>
      <c r="H417" s="30" t="str">
        <f>'Table001 (Page 1-6)'!R410</f>
        <v>E</v>
      </c>
      <c r="I417" s="28" t="str">
        <f>'Table001 (Page 1-6)'!F410</f>
        <v>COLLECTOR</v>
      </c>
      <c r="J417" s="29"/>
      <c r="K417" s="29"/>
      <c r="L417" s="29">
        <f>'Table001 (Page 1-6)'!I410</f>
        <v>29340</v>
      </c>
      <c r="M417" s="29"/>
      <c r="N417" s="29">
        <f>'Table001 (Page 1-6)'!J410</f>
        <v>1449</v>
      </c>
      <c r="O417" s="29">
        <f>'Table001 (Page 1-6)'!L410</f>
        <v>29340</v>
      </c>
      <c r="P417" s="29"/>
      <c r="Q417" s="29">
        <f>'Table001 (Page 1-6)'!M410</f>
        <v>1449</v>
      </c>
      <c r="R417" s="29" t="str">
        <f>'Table001 (Page 1-6)'!S410</f>
        <v>2,200</v>
      </c>
      <c r="S417" s="31" t="str">
        <f>'Table001 (Page 1-6)'!T410</f>
        <v>0.07</v>
      </c>
      <c r="T417" s="29" t="str">
        <f>'Table001 (Page 1-6)'!U410</f>
        <v>B</v>
      </c>
      <c r="U417" s="29"/>
      <c r="V417" s="29"/>
      <c r="W417" s="29"/>
      <c r="X417" s="29"/>
      <c r="Y417" s="29"/>
      <c r="Z417" s="29"/>
      <c r="AA417" s="29"/>
      <c r="AB417" s="29"/>
      <c r="AC417" s="31"/>
      <c r="AD417" s="29"/>
      <c r="AE417" s="29"/>
      <c r="AF417" s="29"/>
      <c r="AG417" s="31"/>
      <c r="AH417" s="29"/>
      <c r="AI417" s="32">
        <f>('Table001 (Page 1-6)'!V410)*100</f>
        <v>1</v>
      </c>
      <c r="AJ417" s="35"/>
      <c r="AK417" s="35"/>
      <c r="AL417" s="35"/>
      <c r="AM417" s="35"/>
    </row>
    <row r="418" spans="2:39" x14ac:dyDescent="0.25">
      <c r="B418" s="37">
        <f>'Table001 (Page 1-6)'!A411</f>
        <v>5950</v>
      </c>
      <c r="C418" s="28" t="str">
        <f>'Table001 (Page 1-6)'!B411</f>
        <v>SW 38 AV</v>
      </c>
      <c r="D418" s="28" t="str">
        <f>'Table001 (Page 1-6)'!C411</f>
        <v>SW 40 AV</v>
      </c>
      <c r="E418" s="28" t="str">
        <f>'Table001 (Page 1-6)'!D411</f>
        <v>SW 20 ST</v>
      </c>
      <c r="F418" s="29">
        <f>'Table001 (Page 1-6)'!E411</f>
        <v>2</v>
      </c>
      <c r="G418" s="29">
        <f>'Table001 (Page 1-6)'!K411</f>
        <v>2</v>
      </c>
      <c r="H418" s="30" t="str">
        <f>'Table001 (Page 1-6)'!R411</f>
        <v>E</v>
      </c>
      <c r="I418" s="28" t="str">
        <f>'Table001 (Page 1-6)'!F411</f>
        <v>COLLECTOR</v>
      </c>
      <c r="J418" s="29"/>
      <c r="K418" s="29"/>
      <c r="L418" s="29">
        <f>'Table001 (Page 1-6)'!I411</f>
        <v>11232</v>
      </c>
      <c r="M418" s="29"/>
      <c r="N418" s="29">
        <f>'Table001 (Page 1-6)'!J411</f>
        <v>576</v>
      </c>
      <c r="O418" s="29">
        <f>'Table001 (Page 1-6)'!L411</f>
        <v>11232</v>
      </c>
      <c r="P418" s="29"/>
      <c r="Q418" s="29">
        <f>'Table001 (Page 1-6)'!M411</f>
        <v>576</v>
      </c>
      <c r="R418" s="29" t="str">
        <f>'Table001 (Page 1-6)'!S411</f>
        <v>6,100</v>
      </c>
      <c r="S418" s="31" t="str">
        <f>'Table001 (Page 1-6)'!T411</f>
        <v>0.54</v>
      </c>
      <c r="T418" s="29" t="str">
        <f>'Table001 (Page 1-6)'!U411</f>
        <v>D</v>
      </c>
      <c r="U418" s="29"/>
      <c r="V418" s="29"/>
      <c r="W418" s="29"/>
      <c r="X418" s="29"/>
      <c r="Y418" s="29"/>
      <c r="Z418" s="29"/>
      <c r="AA418" s="29"/>
      <c r="AB418" s="29"/>
      <c r="AC418" s="31"/>
      <c r="AD418" s="29"/>
      <c r="AE418" s="29"/>
      <c r="AF418" s="29"/>
      <c r="AG418" s="31"/>
      <c r="AH418" s="29"/>
      <c r="AI418" s="32">
        <f>('Table001 (Page 1-6)'!V411)*100</f>
        <v>1</v>
      </c>
      <c r="AJ418" s="35"/>
      <c r="AK418" s="35"/>
      <c r="AL418" s="35"/>
      <c r="AM418" s="35"/>
    </row>
    <row r="419" spans="2:39" x14ac:dyDescent="0.25">
      <c r="B419" s="37">
        <f>'Table001 (Page 1-6)'!A412</f>
        <v>5970</v>
      </c>
      <c r="C419" s="28" t="str">
        <f>'Table001 (Page 1-6)'!B412</f>
        <v>SW 38 ST</v>
      </c>
      <c r="D419" s="28" t="str">
        <f>'Table001 (Page 1-6)'!C412</f>
        <v>SW 80 AV</v>
      </c>
      <c r="E419" s="28" t="str">
        <f>'Table001 (Page 1-6)'!D412</f>
        <v>SW 60 AV</v>
      </c>
      <c r="F419" s="29">
        <f>'Table001 (Page 1-6)'!E412</f>
        <v>2</v>
      </c>
      <c r="G419" s="29">
        <f>'Table001 (Page 1-6)'!K412</f>
        <v>2</v>
      </c>
      <c r="H419" s="30" t="str">
        <f>'Table001 (Page 1-6)'!R412</f>
        <v>E</v>
      </c>
      <c r="I419" s="28" t="str">
        <f>'Table001 (Page 1-6)'!F412</f>
        <v>COLLECTOR</v>
      </c>
      <c r="J419" s="29"/>
      <c r="K419" s="29"/>
      <c r="L419" s="29">
        <f>'Table001 (Page 1-6)'!I412</f>
        <v>12744</v>
      </c>
      <c r="M419" s="29"/>
      <c r="N419" s="29">
        <f>'Table001 (Page 1-6)'!J412</f>
        <v>634</v>
      </c>
      <c r="O419" s="29">
        <f>'Table001 (Page 1-6)'!L412</f>
        <v>12744</v>
      </c>
      <c r="P419" s="29"/>
      <c r="Q419" s="29">
        <f>'Table001 (Page 1-6)'!M412</f>
        <v>634</v>
      </c>
      <c r="R419" s="29" t="str">
        <f>'Table001 (Page 1-6)'!S412</f>
        <v>10,500</v>
      </c>
      <c r="S419" s="31" t="str">
        <f>'Table001 (Page 1-6)'!T412</f>
        <v>0.82</v>
      </c>
      <c r="T419" s="29" t="str">
        <f>'Table001 (Page 1-6)'!U412</f>
        <v>C</v>
      </c>
      <c r="U419" s="29"/>
      <c r="V419" s="29"/>
      <c r="W419" s="29"/>
      <c r="X419" s="29"/>
      <c r="Y419" s="29"/>
      <c r="Z419" s="29"/>
      <c r="AA419" s="29"/>
      <c r="AB419" s="29"/>
      <c r="AC419" s="31"/>
      <c r="AD419" s="29"/>
      <c r="AE419" s="29"/>
      <c r="AF419" s="29"/>
      <c r="AG419" s="31"/>
      <c r="AH419" s="29"/>
      <c r="AI419" s="32">
        <f>('Table001 (Page 1-6)'!V412)*100</f>
        <v>1.4000000000000001</v>
      </c>
      <c r="AJ419" s="35"/>
      <c r="AK419" s="35"/>
      <c r="AL419" s="35"/>
      <c r="AM419" s="35"/>
    </row>
    <row r="420" spans="2:39" x14ac:dyDescent="0.25">
      <c r="B420" s="37">
        <f>'Table001 (Page 1-6)'!A413</f>
        <v>5980</v>
      </c>
      <c r="C420" s="28" t="str">
        <f>'Table001 (Page 1-6)'!B413</f>
        <v>SW 38 ST</v>
      </c>
      <c r="D420" s="28" t="str">
        <f>'Table001 (Page 1-6)'!C413</f>
        <v>SW 60 AV</v>
      </c>
      <c r="E420" s="28" t="str">
        <f>'Table001 (Page 1-6)'!D413</f>
        <v>SW 51 TER</v>
      </c>
      <c r="F420" s="29">
        <f>'Table001 (Page 1-6)'!E413</f>
        <v>2</v>
      </c>
      <c r="G420" s="29">
        <f>'Table001 (Page 1-6)'!K413</f>
        <v>2</v>
      </c>
      <c r="H420" s="30" t="str">
        <f>'Table001 (Page 1-6)'!R413</f>
        <v>E</v>
      </c>
      <c r="I420" s="28" t="str">
        <f>'Table001 (Page 1-6)'!F413</f>
        <v>COLLECTOR</v>
      </c>
      <c r="J420" s="29"/>
      <c r="K420" s="29"/>
      <c r="L420" s="29">
        <f>'Table001 (Page 1-6)'!I413</f>
        <v>12744</v>
      </c>
      <c r="M420" s="29"/>
      <c r="N420" s="29">
        <f>'Table001 (Page 1-6)'!J413</f>
        <v>634</v>
      </c>
      <c r="O420" s="29">
        <f>'Table001 (Page 1-6)'!L413</f>
        <v>12744</v>
      </c>
      <c r="P420" s="29"/>
      <c r="Q420" s="29">
        <f>'Table001 (Page 1-6)'!M413</f>
        <v>634</v>
      </c>
      <c r="R420" s="29" t="str">
        <f>'Table001 (Page 1-6)'!S413</f>
        <v>8,900</v>
      </c>
      <c r="S420" s="31" t="str">
        <f>'Table001 (Page 1-6)'!T413</f>
        <v>0.7</v>
      </c>
      <c r="T420" s="29" t="str">
        <f>'Table001 (Page 1-6)'!U413</f>
        <v>C</v>
      </c>
      <c r="U420" s="29"/>
      <c r="V420" s="29"/>
      <c r="W420" s="29"/>
      <c r="X420" s="29"/>
      <c r="Y420" s="29"/>
      <c r="Z420" s="29"/>
      <c r="AA420" s="29"/>
      <c r="AB420" s="29"/>
      <c r="AC420" s="31"/>
      <c r="AD420" s="29"/>
      <c r="AE420" s="29"/>
      <c r="AF420" s="29"/>
      <c r="AG420" s="31"/>
      <c r="AH420" s="29"/>
      <c r="AI420" s="32">
        <f>('Table001 (Page 1-6)'!V413)*100</f>
        <v>3.62</v>
      </c>
      <c r="AJ420" s="35"/>
      <c r="AK420" s="35"/>
      <c r="AL420" s="35"/>
      <c r="AM420" s="35"/>
    </row>
    <row r="421" spans="2:39" x14ac:dyDescent="0.25">
      <c r="B421" s="37">
        <f>'Table001 (Page 1-6)'!A414</f>
        <v>6000</v>
      </c>
      <c r="C421" s="28" t="str">
        <f>'Table001 (Page 1-6)'!B414</f>
        <v>SW 40 AV</v>
      </c>
      <c r="D421" s="28" t="str">
        <f>'Table001 (Page 1-6)'!C414</f>
        <v>SW 38 AV</v>
      </c>
      <c r="E421" s="28" t="str">
        <f>'Table001 (Page 1-6)'!D414</f>
        <v>SR 40</v>
      </c>
      <c r="F421" s="29">
        <f>'Table001 (Page 1-6)'!E414</f>
        <v>2</v>
      </c>
      <c r="G421" s="29">
        <f>'Table001 (Page 1-6)'!K414</f>
        <v>2</v>
      </c>
      <c r="H421" s="30" t="str">
        <f>'Table001 (Page 1-6)'!R414</f>
        <v>E</v>
      </c>
      <c r="I421" s="28" t="str">
        <f>'Table001 (Page 1-6)'!F414</f>
        <v>COLLECTOR</v>
      </c>
      <c r="J421" s="29"/>
      <c r="K421" s="29"/>
      <c r="L421" s="29">
        <f>'Table001 (Page 1-6)'!I414</f>
        <v>11232</v>
      </c>
      <c r="M421" s="29"/>
      <c r="N421" s="29">
        <f>'Table001 (Page 1-6)'!J414</f>
        <v>576</v>
      </c>
      <c r="O421" s="29">
        <f>'Table001 (Page 1-6)'!L414</f>
        <v>11232</v>
      </c>
      <c r="P421" s="29"/>
      <c r="Q421" s="29">
        <f>'Table001 (Page 1-6)'!M414</f>
        <v>576</v>
      </c>
      <c r="R421" s="29" t="str">
        <f>'Table001 (Page 1-6)'!S414</f>
        <v>Not Counted</v>
      </c>
      <c r="S421" s="31" t="str">
        <f>'Table001 (Page 1-6)'!T414</f>
        <v>N/A</v>
      </c>
      <c r="T421" s="29" t="str">
        <f>'Table001 (Page 1-6)'!U414</f>
        <v>N/A</v>
      </c>
      <c r="U421" s="29"/>
      <c r="V421" s="29"/>
      <c r="W421" s="29"/>
      <c r="X421" s="29"/>
      <c r="Y421" s="29"/>
      <c r="Z421" s="29"/>
      <c r="AA421" s="29"/>
      <c r="AB421" s="29"/>
      <c r="AC421" s="31"/>
      <c r="AD421" s="29"/>
      <c r="AE421" s="29"/>
      <c r="AF421" s="29"/>
      <c r="AG421" s="31"/>
      <c r="AH421" s="29"/>
      <c r="AI421" s="32">
        <f>('Table001 (Page 1-6)'!V414)*100</f>
        <v>1</v>
      </c>
      <c r="AJ421" s="35"/>
      <c r="AK421" s="35"/>
      <c r="AL421" s="35"/>
      <c r="AM421" s="35"/>
    </row>
    <row r="422" spans="2:39" x14ac:dyDescent="0.25">
      <c r="B422" s="37">
        <f>'Table001 (Page 1-6)'!A415</f>
        <v>6010</v>
      </c>
      <c r="C422" s="28" t="str">
        <f>'Table001 (Page 1-6)'!B415</f>
        <v>SW 40 ST</v>
      </c>
      <c r="D422" s="28" t="str">
        <f>'Table001 (Page 1-6)'!C415</f>
        <v>SW 51 TER</v>
      </c>
      <c r="E422" s="28" t="str">
        <f>'Table001 (Page 1-6)'!D415</f>
        <v>SW 43 CT</v>
      </c>
      <c r="F422" s="29">
        <f>'Table001 (Page 1-6)'!E415</f>
        <v>2</v>
      </c>
      <c r="G422" s="29">
        <f>'Table001 (Page 1-6)'!K415</f>
        <v>2</v>
      </c>
      <c r="H422" s="30" t="str">
        <f>'Table001 (Page 1-6)'!R415</f>
        <v>E</v>
      </c>
      <c r="I422" s="28" t="str">
        <f>'Table001 (Page 1-6)'!F415</f>
        <v>COLLECTOR</v>
      </c>
      <c r="J422" s="29"/>
      <c r="K422" s="29"/>
      <c r="L422" s="29">
        <f>'Table001 (Page 1-6)'!I415</f>
        <v>12744</v>
      </c>
      <c r="M422" s="29"/>
      <c r="N422" s="29">
        <f>'Table001 (Page 1-6)'!J415</f>
        <v>634</v>
      </c>
      <c r="O422" s="29">
        <f>'Table001 (Page 1-6)'!L415</f>
        <v>12744</v>
      </c>
      <c r="P422" s="29"/>
      <c r="Q422" s="29">
        <f>'Table001 (Page 1-6)'!M415</f>
        <v>634</v>
      </c>
      <c r="R422" s="29" t="str">
        <f>'Table001 (Page 1-6)'!S415</f>
        <v>8,300</v>
      </c>
      <c r="S422" s="31" t="str">
        <f>'Table001 (Page 1-6)'!T415</f>
        <v>0.65</v>
      </c>
      <c r="T422" s="29" t="str">
        <f>'Table001 (Page 1-6)'!U415</f>
        <v>C</v>
      </c>
      <c r="U422" s="29"/>
      <c r="V422" s="29"/>
      <c r="W422" s="29"/>
      <c r="X422" s="29"/>
      <c r="Y422" s="29"/>
      <c r="Z422" s="29"/>
      <c r="AA422" s="29"/>
      <c r="AB422" s="29"/>
      <c r="AC422" s="31"/>
      <c r="AD422" s="29"/>
      <c r="AE422" s="29"/>
      <c r="AF422" s="29"/>
      <c r="AG422" s="31"/>
      <c r="AH422" s="29"/>
      <c r="AI422" s="32">
        <f>('Table001 (Page 1-6)'!V415)*100</f>
        <v>1</v>
      </c>
      <c r="AJ422" s="35"/>
      <c r="AK422" s="35"/>
      <c r="AL422" s="35"/>
      <c r="AM422" s="35"/>
    </row>
    <row r="423" spans="2:39" x14ac:dyDescent="0.25">
      <c r="B423" s="37">
        <f>'Table001 (Page 1-6)'!A416</f>
        <v>6020</v>
      </c>
      <c r="C423" s="28" t="str">
        <f>'Table001 (Page 1-6)'!B416</f>
        <v>SW 40 ST</v>
      </c>
      <c r="D423" s="28" t="str">
        <f>'Table001 (Page 1-6)'!C416</f>
        <v>SW 43 CT</v>
      </c>
      <c r="E423" s="28" t="str">
        <f>'Table001 (Page 1-6)'!D416</f>
        <v>SW 38 AV</v>
      </c>
      <c r="F423" s="29">
        <f>'Table001 (Page 1-6)'!E416</f>
        <v>2</v>
      </c>
      <c r="G423" s="29">
        <f>'Table001 (Page 1-6)'!K416</f>
        <v>2</v>
      </c>
      <c r="H423" s="30" t="str">
        <f>'Table001 (Page 1-6)'!R416</f>
        <v>E</v>
      </c>
      <c r="I423" s="28" t="str">
        <f>'Table001 (Page 1-6)'!F416</f>
        <v>COLLECTOR</v>
      </c>
      <c r="J423" s="29"/>
      <c r="K423" s="29"/>
      <c r="L423" s="29">
        <f>'Table001 (Page 1-6)'!I416</f>
        <v>11232</v>
      </c>
      <c r="M423" s="29"/>
      <c r="N423" s="29">
        <f>'Table001 (Page 1-6)'!J416</f>
        <v>576</v>
      </c>
      <c r="O423" s="29">
        <f>'Table001 (Page 1-6)'!L416</f>
        <v>11232</v>
      </c>
      <c r="P423" s="29"/>
      <c r="Q423" s="29">
        <f>'Table001 (Page 1-6)'!M416</f>
        <v>576</v>
      </c>
      <c r="R423" s="29" t="str">
        <f>'Table001 (Page 1-6)'!S416</f>
        <v>8,300</v>
      </c>
      <c r="S423" s="31" t="str">
        <f>'Table001 (Page 1-6)'!T416</f>
        <v>0.74</v>
      </c>
      <c r="T423" s="29" t="str">
        <f>'Table001 (Page 1-6)'!U416</f>
        <v>D</v>
      </c>
      <c r="U423" s="29"/>
      <c r="V423" s="29"/>
      <c r="W423" s="29"/>
      <c r="X423" s="29"/>
      <c r="Y423" s="29"/>
      <c r="Z423" s="29"/>
      <c r="AA423" s="29"/>
      <c r="AB423" s="29"/>
      <c r="AC423" s="31"/>
      <c r="AD423" s="29"/>
      <c r="AE423" s="29"/>
      <c r="AF423" s="29"/>
      <c r="AG423" s="31"/>
      <c r="AH423" s="29"/>
      <c r="AI423" s="32">
        <f>('Table001 (Page 1-6)'!V416)*100</f>
        <v>1</v>
      </c>
      <c r="AJ423" s="35"/>
      <c r="AK423" s="35"/>
      <c r="AL423" s="35"/>
      <c r="AM423" s="35"/>
    </row>
    <row r="424" spans="2:39" x14ac:dyDescent="0.25">
      <c r="B424" s="37">
        <f>'Table001 (Page 1-6)'!A417</f>
        <v>6030</v>
      </c>
      <c r="C424" s="28" t="str">
        <f>'Table001 (Page 1-6)'!B417</f>
        <v>SW 40 ST</v>
      </c>
      <c r="D424" s="28" t="str">
        <f>'Table001 (Page 1-6)'!C417</f>
        <v>SW 38 AV</v>
      </c>
      <c r="E424" s="28" t="str">
        <f>'Table001 (Page 1-6)'!D417</f>
        <v>SR 200</v>
      </c>
      <c r="F424" s="29">
        <f>'Table001 (Page 1-6)'!E417</f>
        <v>2</v>
      </c>
      <c r="G424" s="29">
        <f>'Table001 (Page 1-6)'!K417</f>
        <v>2</v>
      </c>
      <c r="H424" s="30" t="str">
        <f>'Table001 (Page 1-6)'!R417</f>
        <v>E</v>
      </c>
      <c r="I424" s="28" t="str">
        <f>'Table001 (Page 1-6)'!F417</f>
        <v>ARTERIAL</v>
      </c>
      <c r="J424" s="29"/>
      <c r="K424" s="29"/>
      <c r="L424" s="29">
        <f>'Table001 (Page 1-6)'!I417</f>
        <v>11232</v>
      </c>
      <c r="M424" s="29"/>
      <c r="N424" s="29">
        <f>'Table001 (Page 1-6)'!J417</f>
        <v>576</v>
      </c>
      <c r="O424" s="29">
        <f>'Table001 (Page 1-6)'!L417</f>
        <v>11232</v>
      </c>
      <c r="P424" s="29"/>
      <c r="Q424" s="29">
        <f>'Table001 (Page 1-6)'!M417</f>
        <v>576</v>
      </c>
      <c r="R424" s="29" t="str">
        <f>'Table001 (Page 1-6)'!S417</f>
        <v>Not Counted</v>
      </c>
      <c r="S424" s="31" t="str">
        <f>'Table001 (Page 1-6)'!T417</f>
        <v>N/A</v>
      </c>
      <c r="T424" s="29" t="str">
        <f>'Table001 (Page 1-6)'!U417</f>
        <v>N/A</v>
      </c>
      <c r="U424" s="29"/>
      <c r="V424" s="29"/>
      <c r="W424" s="29"/>
      <c r="X424" s="29"/>
      <c r="Y424" s="29"/>
      <c r="Z424" s="29"/>
      <c r="AA424" s="29"/>
      <c r="AB424" s="29"/>
      <c r="AC424" s="31"/>
      <c r="AD424" s="29"/>
      <c r="AE424" s="29"/>
      <c r="AF424" s="29"/>
      <c r="AG424" s="31"/>
      <c r="AH424" s="29"/>
      <c r="AI424" s="32">
        <f>('Table001 (Page 1-6)'!V417)*100</f>
        <v>1</v>
      </c>
      <c r="AJ424" s="35"/>
      <c r="AK424" s="35"/>
      <c r="AL424" s="35"/>
      <c r="AM424" s="35"/>
    </row>
    <row r="425" spans="2:39" x14ac:dyDescent="0.25">
      <c r="B425" s="37">
        <f>'Table001 (Page 1-6)'!A418</f>
        <v>6040</v>
      </c>
      <c r="C425" s="28" t="str">
        <f>'Table001 (Page 1-6)'!B418</f>
        <v>SW 42 ST</v>
      </c>
      <c r="D425" s="28" t="str">
        <f>'Table001 (Page 1-6)'!C418</f>
        <v>SW 43 CT</v>
      </c>
      <c r="E425" s="28" t="str">
        <f>'Table001 (Page 1-6)'!D418</f>
        <v>SR 200</v>
      </c>
      <c r="F425" s="29">
        <f>'Table001 (Page 1-6)'!E418</f>
        <v>2</v>
      </c>
      <c r="G425" s="29">
        <f>'Table001 (Page 1-6)'!K418</f>
        <v>2</v>
      </c>
      <c r="H425" s="30" t="str">
        <f>'Table001 (Page 1-6)'!R418</f>
        <v>E</v>
      </c>
      <c r="I425" s="28" t="str">
        <f>'Table001 (Page 1-6)'!F418</f>
        <v>COLLECTOR</v>
      </c>
      <c r="J425" s="29"/>
      <c r="K425" s="29"/>
      <c r="L425" s="29">
        <f>'Table001 (Page 1-6)'!I418</f>
        <v>11232</v>
      </c>
      <c r="M425" s="29"/>
      <c r="N425" s="29">
        <f>'Table001 (Page 1-6)'!J418</f>
        <v>576</v>
      </c>
      <c r="O425" s="29">
        <f>'Table001 (Page 1-6)'!L418</f>
        <v>11232</v>
      </c>
      <c r="P425" s="29"/>
      <c r="Q425" s="29">
        <f>'Table001 (Page 1-6)'!M418</f>
        <v>576</v>
      </c>
      <c r="R425" s="29" t="str">
        <f>'Table001 (Page 1-6)'!S418</f>
        <v>Not Counted</v>
      </c>
      <c r="S425" s="31" t="str">
        <f>'Table001 (Page 1-6)'!T418</f>
        <v>N/A</v>
      </c>
      <c r="T425" s="29" t="str">
        <f>'Table001 (Page 1-6)'!U418</f>
        <v>N/A</v>
      </c>
      <c r="U425" s="29"/>
      <c r="V425" s="29"/>
      <c r="W425" s="29"/>
      <c r="X425" s="29"/>
      <c r="Y425" s="29"/>
      <c r="Z425" s="29"/>
      <c r="AA425" s="29"/>
      <c r="AB425" s="29"/>
      <c r="AC425" s="31"/>
      <c r="AD425" s="29"/>
      <c r="AE425" s="29"/>
      <c r="AF425" s="29"/>
      <c r="AG425" s="31"/>
      <c r="AH425" s="29"/>
      <c r="AI425" s="32">
        <f>('Table001 (Page 1-6)'!V418)*100</f>
        <v>1</v>
      </c>
      <c r="AJ425" s="35"/>
      <c r="AK425" s="35"/>
      <c r="AL425" s="35"/>
      <c r="AM425" s="35"/>
    </row>
    <row r="426" spans="2:39" x14ac:dyDescent="0.25">
      <c r="B426" s="37">
        <f>'Table001 (Page 1-6)'!A419</f>
        <v>6050</v>
      </c>
      <c r="C426" s="28" t="str">
        <f>'Table001 (Page 1-6)'!B419</f>
        <v>SW 42 ST</v>
      </c>
      <c r="D426" s="28" t="str">
        <f>'Table001 (Page 1-6)'!C419</f>
        <v>SR 200</v>
      </c>
      <c r="E426" s="28" t="str">
        <f>'Table001 (Page 1-6)'!D419</f>
        <v>SW 27 AV</v>
      </c>
      <c r="F426" s="29">
        <f>'Table001 (Page 1-6)'!E419</f>
        <v>4</v>
      </c>
      <c r="G426" s="29">
        <f>'Table001 (Page 1-6)'!K419</f>
        <v>4</v>
      </c>
      <c r="H426" s="30" t="str">
        <f>'Table001 (Page 1-6)'!R419</f>
        <v>E</v>
      </c>
      <c r="I426" s="28" t="str">
        <f>'Table001 (Page 1-6)'!F419</f>
        <v>ARTERIAL</v>
      </c>
      <c r="J426" s="29"/>
      <c r="K426" s="29"/>
      <c r="L426" s="29">
        <f>'Table001 (Page 1-6)'!I419</f>
        <v>35820</v>
      </c>
      <c r="M426" s="29"/>
      <c r="N426" s="29">
        <f>'Table001 (Page 1-6)'!J419</f>
        <v>1800</v>
      </c>
      <c r="O426" s="29">
        <f>'Table001 (Page 1-6)'!L419</f>
        <v>35820</v>
      </c>
      <c r="P426" s="29"/>
      <c r="Q426" s="29">
        <f>'Table001 (Page 1-6)'!M419</f>
        <v>1800</v>
      </c>
      <c r="R426" s="29" t="str">
        <f>'Table001 (Page 1-6)'!S419</f>
        <v>20,200</v>
      </c>
      <c r="S426" s="31" t="str">
        <f>'Table001 (Page 1-6)'!T419</f>
        <v>0.56</v>
      </c>
      <c r="T426" s="29" t="str">
        <f>'Table001 (Page 1-6)'!U419</f>
        <v>C</v>
      </c>
      <c r="U426" s="29"/>
      <c r="V426" s="29"/>
      <c r="W426" s="29"/>
      <c r="X426" s="29"/>
      <c r="Y426" s="29"/>
      <c r="Z426" s="29"/>
      <c r="AA426" s="29"/>
      <c r="AB426" s="29"/>
      <c r="AC426" s="31"/>
      <c r="AD426" s="29"/>
      <c r="AE426" s="29"/>
      <c r="AF426" s="29"/>
      <c r="AG426" s="31"/>
      <c r="AH426" s="29"/>
      <c r="AI426" s="32">
        <f>('Table001 (Page 1-6)'!V419)*100</f>
        <v>2.04</v>
      </c>
      <c r="AJ426" s="35"/>
      <c r="AK426" s="35"/>
      <c r="AL426" s="35"/>
      <c r="AM426" s="35"/>
    </row>
    <row r="427" spans="2:39" x14ac:dyDescent="0.25">
      <c r="B427" s="37">
        <f>'Table001 (Page 1-6)'!A420</f>
        <v>6060</v>
      </c>
      <c r="C427" s="28" t="str">
        <f>'Table001 (Page 1-6)'!B420</f>
        <v>SW 42 ST</v>
      </c>
      <c r="D427" s="28" t="str">
        <f>'Table001 (Page 1-6)'!C420</f>
        <v>SW 27 AV</v>
      </c>
      <c r="E427" s="28" t="str">
        <f>'Table001 (Page 1-6)'!D420</f>
        <v>SW 7 AV</v>
      </c>
      <c r="F427" s="29">
        <f>'Table001 (Page 1-6)'!E420</f>
        <v>4</v>
      </c>
      <c r="G427" s="29">
        <f>'Table001 (Page 1-6)'!K420</f>
        <v>4</v>
      </c>
      <c r="H427" s="30" t="str">
        <f>'Table001 (Page 1-6)'!R420</f>
        <v>E</v>
      </c>
      <c r="I427" s="28" t="str">
        <f>'Table001 (Page 1-6)'!F420</f>
        <v>ARTERIAL</v>
      </c>
      <c r="J427" s="29"/>
      <c r="K427" s="29"/>
      <c r="L427" s="29">
        <f>'Table001 (Page 1-6)'!I420</f>
        <v>35820</v>
      </c>
      <c r="M427" s="29"/>
      <c r="N427" s="29">
        <f>'Table001 (Page 1-6)'!J420</f>
        <v>1800</v>
      </c>
      <c r="O427" s="29">
        <f>'Table001 (Page 1-6)'!L420</f>
        <v>35820</v>
      </c>
      <c r="P427" s="29"/>
      <c r="Q427" s="29">
        <f>'Table001 (Page 1-6)'!M420</f>
        <v>1800</v>
      </c>
      <c r="R427" s="29" t="str">
        <f>'Table001 (Page 1-6)'!S420</f>
        <v>27,000</v>
      </c>
      <c r="S427" s="31" t="str">
        <f>'Table001 (Page 1-6)'!T420</f>
        <v>0.75</v>
      </c>
      <c r="T427" s="29" t="str">
        <f>'Table001 (Page 1-6)'!U420</f>
        <v>C</v>
      </c>
      <c r="U427" s="29"/>
      <c r="V427" s="29"/>
      <c r="W427" s="29"/>
      <c r="X427" s="29"/>
      <c r="Y427" s="29"/>
      <c r="Z427" s="29"/>
      <c r="AA427" s="29"/>
      <c r="AB427" s="29"/>
      <c r="AC427" s="31"/>
      <c r="AD427" s="29"/>
      <c r="AE427" s="29"/>
      <c r="AF427" s="29"/>
      <c r="AG427" s="31"/>
      <c r="AH427" s="29"/>
      <c r="AI427" s="32">
        <f>('Table001 (Page 1-6)'!V420)*100</f>
        <v>4.18</v>
      </c>
      <c r="AJ427" s="35"/>
      <c r="AK427" s="35"/>
      <c r="AL427" s="35"/>
      <c r="AM427" s="35"/>
    </row>
    <row r="428" spans="2:39" x14ac:dyDescent="0.25">
      <c r="B428" s="37">
        <f>'Table001 (Page 1-6)'!A421</f>
        <v>6080.4</v>
      </c>
      <c r="C428" s="28" t="str">
        <f>'Table001 (Page 1-6)'!B421</f>
        <v>SW 44 AV</v>
      </c>
      <c r="D428" s="28" t="str">
        <f>'Table001 (Page 1-6)'!C421</f>
        <v>SW 20 ST</v>
      </c>
      <c r="E428" s="28" t="str">
        <f>'Table001 (Page 1-6)'!D421</f>
        <v>SW 13 ST</v>
      </c>
      <c r="F428" s="29">
        <f>'Table001 (Page 1-6)'!E421</f>
        <v>2</v>
      </c>
      <c r="G428" s="29">
        <f>'Table001 (Page 1-6)'!K421</f>
        <v>2</v>
      </c>
      <c r="H428" s="30" t="str">
        <f>'Table001 (Page 1-6)'!R421</f>
        <v>E</v>
      </c>
      <c r="I428" s="28" t="str">
        <f>'Table001 (Page 1-6)'!F421</f>
        <v>COLLECTOR</v>
      </c>
      <c r="J428" s="29"/>
      <c r="K428" s="29"/>
      <c r="L428" s="29">
        <f>'Table001 (Page 1-6)'!I421</f>
        <v>29340</v>
      </c>
      <c r="M428" s="29"/>
      <c r="N428" s="29">
        <f>'Table001 (Page 1-6)'!J421</f>
        <v>1449</v>
      </c>
      <c r="O428" s="29">
        <f>'Table001 (Page 1-6)'!L421</f>
        <v>29340</v>
      </c>
      <c r="P428" s="29"/>
      <c r="Q428" s="29">
        <f>'Table001 (Page 1-6)'!M421</f>
        <v>1449</v>
      </c>
      <c r="R428" s="29" t="str">
        <f>'Table001 (Page 1-6)'!S421</f>
        <v>3,500</v>
      </c>
      <c r="S428" s="31" t="str">
        <f>'Table001 (Page 1-6)'!T421</f>
        <v>0.12</v>
      </c>
      <c r="T428" s="29" t="str">
        <f>'Table001 (Page 1-6)'!U421</f>
        <v>B</v>
      </c>
      <c r="U428" s="29"/>
      <c r="V428" s="29"/>
      <c r="W428" s="29"/>
      <c r="X428" s="29"/>
      <c r="Y428" s="29"/>
      <c r="Z428" s="29"/>
      <c r="AA428" s="29"/>
      <c r="AB428" s="29"/>
      <c r="AC428" s="31"/>
      <c r="AD428" s="29"/>
      <c r="AE428" s="29"/>
      <c r="AF428" s="29"/>
      <c r="AG428" s="31"/>
      <c r="AH428" s="29"/>
      <c r="AI428" s="32">
        <f>('Table001 (Page 1-6)'!V421)*100</f>
        <v>1</v>
      </c>
      <c r="AJ428" s="35"/>
      <c r="AK428" s="35"/>
      <c r="AL428" s="35"/>
      <c r="AM428" s="35"/>
    </row>
    <row r="429" spans="2:39" x14ac:dyDescent="0.25">
      <c r="B429" s="37">
        <f>'Table001 (Page 1-6)'!A422</f>
        <v>6090</v>
      </c>
      <c r="C429" s="28" t="str">
        <f>'Table001 (Page 1-6)'!B422</f>
        <v>MARION OAKS</v>
      </c>
      <c r="D429" s="28" t="str">
        <f>'Table001 (Page 1-6)'!C422</f>
        <v>CR 484</v>
      </c>
      <c r="E429" s="28" t="str">
        <f>'Table001 (Page 1-6)'!D422</f>
        <v>SW 49 AV</v>
      </c>
      <c r="F429" s="29">
        <f>'Table001 (Page 1-6)'!E422</f>
        <v>4</v>
      </c>
      <c r="G429" s="29">
        <f>'Table001 (Page 1-6)'!K422</f>
        <v>4</v>
      </c>
      <c r="H429" s="30" t="str">
        <f>'Table001 (Page 1-6)'!R422</f>
        <v>E</v>
      </c>
      <c r="I429" s="28" t="str">
        <f>'Table001 (Page 1-6)'!F422</f>
        <v>COLLECTOR</v>
      </c>
      <c r="J429" s="29"/>
      <c r="K429" s="29"/>
      <c r="L429" s="29">
        <f>'Table001 (Page 1-6)'!I422</f>
        <v>35820</v>
      </c>
      <c r="M429" s="29"/>
      <c r="N429" s="29">
        <f>'Table001 (Page 1-6)'!J422</f>
        <v>1800</v>
      </c>
      <c r="O429" s="29">
        <f>'Table001 (Page 1-6)'!L422</f>
        <v>35820</v>
      </c>
      <c r="P429" s="29"/>
      <c r="Q429" s="29">
        <f>'Table001 (Page 1-6)'!M422</f>
        <v>1800</v>
      </c>
      <c r="R429" s="29" t="str">
        <f>'Table001 (Page 1-6)'!S422</f>
        <v>12,900</v>
      </c>
      <c r="S429" s="31" t="str">
        <f>'Table001 (Page 1-6)'!T422</f>
        <v>0.36</v>
      </c>
      <c r="T429" s="29" t="str">
        <f>'Table001 (Page 1-6)'!U422</f>
        <v>C</v>
      </c>
      <c r="U429" s="29"/>
      <c r="V429" s="29"/>
      <c r="W429" s="29"/>
      <c r="X429" s="29"/>
      <c r="Y429" s="29"/>
      <c r="Z429" s="29"/>
      <c r="AA429" s="29"/>
      <c r="AB429" s="29"/>
      <c r="AC429" s="31"/>
      <c r="AD429" s="29"/>
      <c r="AE429" s="29"/>
      <c r="AF429" s="29"/>
      <c r="AG429" s="31"/>
      <c r="AH429" s="29"/>
      <c r="AI429" s="32">
        <f>('Table001 (Page 1-6)'!V422)*100</f>
        <v>5.58</v>
      </c>
      <c r="AJ429" s="35"/>
      <c r="AK429" s="35"/>
      <c r="AL429" s="35"/>
      <c r="AM429" s="35"/>
    </row>
    <row r="430" spans="2:39" x14ac:dyDescent="0.25">
      <c r="B430" s="37">
        <f>'Table001 (Page 1-6)'!A423</f>
        <v>6100</v>
      </c>
      <c r="C430" s="28" t="str">
        <f>'Table001 (Page 1-6)'!B423</f>
        <v>SW 49 AV</v>
      </c>
      <c r="D430" s="28" t="str">
        <f>'Table001 (Page 1-6)'!C423</f>
        <v>MARION OAKS</v>
      </c>
      <c r="E430" s="28" t="str">
        <f>'Table001 (Page 1-6)'!D423</f>
        <v>SW 95 ST</v>
      </c>
      <c r="F430" s="29">
        <f>'Table001 (Page 1-6)'!E423</f>
        <v>2</v>
      </c>
      <c r="G430" s="29">
        <f>'Table001 (Page 1-6)'!K423</f>
        <v>4</v>
      </c>
      <c r="H430" s="30" t="str">
        <f>'Table001 (Page 1-6)'!R423</f>
        <v>E</v>
      </c>
      <c r="I430" s="28" t="str">
        <f>'Table001 (Page 1-6)'!F423</f>
        <v>COLLECTOR</v>
      </c>
      <c r="J430" s="29"/>
      <c r="K430" s="29"/>
      <c r="L430" s="29">
        <f>'Table001 (Page 1-6)'!I423</f>
        <v>12744</v>
      </c>
      <c r="M430" s="29"/>
      <c r="N430" s="29">
        <f>'Table001 (Page 1-6)'!J423</f>
        <v>634</v>
      </c>
      <c r="O430" s="29">
        <f>'Table001 (Page 1-6)'!L423</f>
        <v>35820</v>
      </c>
      <c r="P430" s="29"/>
      <c r="Q430" s="29">
        <f>'Table001 (Page 1-6)'!M423</f>
        <v>1800</v>
      </c>
      <c r="R430" s="29" t="str">
        <f>'Table001 (Page 1-6)'!S423</f>
        <v>15,200</v>
      </c>
      <c r="S430" s="31" t="str">
        <f>'Table001 (Page 1-6)'!T423</f>
        <v>1.19</v>
      </c>
      <c r="T430" s="29" t="str">
        <f>'Table001 (Page 1-6)'!U423</f>
        <v>F</v>
      </c>
      <c r="U430" s="29"/>
      <c r="V430" s="29"/>
      <c r="W430" s="29"/>
      <c r="X430" s="29"/>
      <c r="Y430" s="29"/>
      <c r="Z430" s="29"/>
      <c r="AA430" s="29"/>
      <c r="AB430" s="29"/>
      <c r="AC430" s="31"/>
      <c r="AD430" s="29"/>
      <c r="AE430" s="29"/>
      <c r="AF430" s="29"/>
      <c r="AG430" s="31"/>
      <c r="AH430" s="29"/>
      <c r="AI430" s="32">
        <f>('Table001 (Page 1-6)'!V423)*100</f>
        <v>12.47</v>
      </c>
      <c r="AJ430" s="35"/>
      <c r="AK430" s="35"/>
      <c r="AL430" s="35"/>
      <c r="AM430" s="35"/>
    </row>
    <row r="431" spans="2:39" x14ac:dyDescent="0.25">
      <c r="B431" s="37">
        <f>'Table001 (Page 1-6)'!A424</f>
        <v>6110</v>
      </c>
      <c r="C431" s="28" t="str">
        <f>'Table001 (Page 1-6)'!B424</f>
        <v>SW 49 AV</v>
      </c>
      <c r="D431" s="28" t="str">
        <f>'Table001 (Page 1-6)'!C424</f>
        <v>SW 95 ST</v>
      </c>
      <c r="E431" s="28" t="str">
        <f>'Table001 (Page 1-6)'!D424</f>
        <v>SW 85 ST</v>
      </c>
      <c r="F431" s="29">
        <f>'Table001 (Page 1-6)'!E424</f>
        <v>4</v>
      </c>
      <c r="G431" s="29">
        <f>'Table001 (Page 1-6)'!K424</f>
        <v>4</v>
      </c>
      <c r="H431" s="30" t="str">
        <f>'Table001 (Page 1-6)'!R424</f>
        <v>E</v>
      </c>
      <c r="I431" s="28" t="str">
        <f>'Table001 (Page 1-6)'!F424</f>
        <v>COLLECTOR</v>
      </c>
      <c r="J431" s="29"/>
      <c r="K431" s="29"/>
      <c r="L431" s="29">
        <f>'Table001 (Page 1-6)'!I424</f>
        <v>67770</v>
      </c>
      <c r="M431" s="29"/>
      <c r="N431" s="29">
        <f>'Table001 (Page 1-6)'!J424</f>
        <v>3357</v>
      </c>
      <c r="O431" s="29">
        <f>'Table001 (Page 1-6)'!L424</f>
        <v>67770</v>
      </c>
      <c r="P431" s="29"/>
      <c r="Q431" s="29">
        <f>'Table001 (Page 1-6)'!M424</f>
        <v>3357</v>
      </c>
      <c r="R431" s="29" t="str">
        <f>'Table001 (Page 1-6)'!S424</f>
        <v>15,200</v>
      </c>
      <c r="S431" s="31" t="str">
        <f>'Table001 (Page 1-6)'!T424</f>
        <v>0.22</v>
      </c>
      <c r="T431" s="29" t="str">
        <f>'Table001 (Page 1-6)'!U424</f>
        <v>B</v>
      </c>
      <c r="U431" s="29"/>
      <c r="V431" s="29"/>
      <c r="W431" s="29"/>
      <c r="X431" s="29"/>
      <c r="Y431" s="29"/>
      <c r="Z431" s="29"/>
      <c r="AA431" s="29"/>
      <c r="AB431" s="29"/>
      <c r="AC431" s="31"/>
      <c r="AD431" s="29"/>
      <c r="AE431" s="29"/>
      <c r="AF431" s="29"/>
      <c r="AG431" s="31"/>
      <c r="AH431" s="29"/>
      <c r="AI431" s="32">
        <f>('Table001 (Page 1-6)'!V424)*100</f>
        <v>12.47</v>
      </c>
      <c r="AJ431" s="35"/>
      <c r="AK431" s="35"/>
      <c r="AL431" s="35"/>
      <c r="AM431" s="35"/>
    </row>
    <row r="432" spans="2:39" x14ac:dyDescent="0.25">
      <c r="B432" s="37">
        <f>'Table001 (Page 1-6)'!A425</f>
        <v>6140.1</v>
      </c>
      <c r="C432" s="28" t="str">
        <f>'Table001 (Page 1-6)'!B425</f>
        <v>SW 60 AV</v>
      </c>
      <c r="D432" s="28" t="str">
        <f>'Table001 (Page 1-6)'!C425</f>
        <v>SW 103 ST</v>
      </c>
      <c r="E432" s="28" t="str">
        <f>'Table001 (Page 1-6)'!D425</f>
        <v>SW 95 ST RD</v>
      </c>
      <c r="F432" s="29">
        <f>'Table001 (Page 1-6)'!E425</f>
        <v>2</v>
      </c>
      <c r="G432" s="29">
        <f>'Table001 (Page 1-6)'!K425</f>
        <v>2</v>
      </c>
      <c r="H432" s="30" t="str">
        <f>'Table001 (Page 1-6)'!R425</f>
        <v>E</v>
      </c>
      <c r="I432" s="28" t="str">
        <f>'Table001 (Page 1-6)'!F425</f>
        <v>COLLECTOR</v>
      </c>
      <c r="J432" s="29"/>
      <c r="K432" s="29"/>
      <c r="L432" s="29">
        <f>'Table001 (Page 1-6)'!I425</f>
        <v>30807</v>
      </c>
      <c r="M432" s="29"/>
      <c r="N432" s="29">
        <f>'Table001 (Page 1-6)'!J425</f>
        <v>1521</v>
      </c>
      <c r="O432" s="29">
        <f>'Table001 (Page 1-6)'!L425</f>
        <v>30807</v>
      </c>
      <c r="P432" s="29"/>
      <c r="Q432" s="29">
        <f>'Table001 (Page 1-6)'!M425</f>
        <v>1521</v>
      </c>
      <c r="R432" s="29" t="str">
        <f>'Table001 (Page 1-6)'!S425</f>
        <v>8,500</v>
      </c>
      <c r="S432" s="31" t="str">
        <f>'Table001 (Page 1-6)'!T425</f>
        <v>0.28</v>
      </c>
      <c r="T432" s="29" t="str">
        <f>'Table001 (Page 1-6)'!U425</f>
        <v>B</v>
      </c>
      <c r="U432" s="29"/>
      <c r="V432" s="29"/>
      <c r="W432" s="29"/>
      <c r="X432" s="29"/>
      <c r="Y432" s="29"/>
      <c r="Z432" s="29"/>
      <c r="AA432" s="29"/>
      <c r="AB432" s="29"/>
      <c r="AC432" s="31"/>
      <c r="AD432" s="29"/>
      <c r="AE432" s="29"/>
      <c r="AF432" s="29"/>
      <c r="AG432" s="31"/>
      <c r="AH432" s="29"/>
      <c r="AI432" s="32">
        <f>('Table001 (Page 1-6)'!V425)*100</f>
        <v>6.2799999999999994</v>
      </c>
      <c r="AJ432" s="35"/>
      <c r="AK432" s="35"/>
      <c r="AL432" s="35"/>
      <c r="AM432" s="35"/>
    </row>
    <row r="433" spans="2:39" x14ac:dyDescent="0.25">
      <c r="B433" s="37">
        <f>'Table001 (Page 1-6)'!A426</f>
        <v>6150</v>
      </c>
      <c r="C433" s="28" t="str">
        <f>'Table001 (Page 1-6)'!B426</f>
        <v>SW 60 AV</v>
      </c>
      <c r="D433" s="28" t="str">
        <f>'Table001 (Page 1-6)'!C426</f>
        <v>SW 95 ST RD</v>
      </c>
      <c r="E433" s="28" t="str">
        <f>'Table001 (Page 1-6)'!D426</f>
        <v>SR 200</v>
      </c>
      <c r="F433" s="29">
        <f>'Table001 (Page 1-6)'!E426</f>
        <v>4</v>
      </c>
      <c r="G433" s="29">
        <f>'Table001 (Page 1-6)'!K426</f>
        <v>4</v>
      </c>
      <c r="H433" s="30" t="str">
        <f>'Table001 (Page 1-6)'!R426</f>
        <v>E</v>
      </c>
      <c r="I433" s="28" t="str">
        <f>'Table001 (Page 1-6)'!F426</f>
        <v>COLLECTOR</v>
      </c>
      <c r="J433" s="29"/>
      <c r="K433" s="29"/>
      <c r="L433" s="29">
        <f>'Table001 (Page 1-6)'!I426</f>
        <v>35820</v>
      </c>
      <c r="M433" s="29"/>
      <c r="N433" s="29">
        <f>'Table001 (Page 1-6)'!J426</f>
        <v>1800</v>
      </c>
      <c r="O433" s="29">
        <f>'Table001 (Page 1-6)'!L426</f>
        <v>35820</v>
      </c>
      <c r="P433" s="29"/>
      <c r="Q433" s="29">
        <f>'Table001 (Page 1-6)'!M426</f>
        <v>1800</v>
      </c>
      <c r="R433" s="29" t="str">
        <f>'Table001 (Page 1-6)'!S426</f>
        <v>19,400</v>
      </c>
      <c r="S433" s="31" t="str">
        <f>'Table001 (Page 1-6)'!T426</f>
        <v>0.54</v>
      </c>
      <c r="T433" s="29" t="str">
        <f>'Table001 (Page 1-6)'!U426</f>
        <v>C</v>
      </c>
      <c r="U433" s="29"/>
      <c r="V433" s="29"/>
      <c r="W433" s="29"/>
      <c r="X433" s="29"/>
      <c r="Y433" s="29"/>
      <c r="Z433" s="29"/>
      <c r="AA433" s="29"/>
      <c r="AB433" s="29"/>
      <c r="AC433" s="31"/>
      <c r="AD433" s="29"/>
      <c r="AE433" s="29"/>
      <c r="AF433" s="29"/>
      <c r="AG433" s="31"/>
      <c r="AH433" s="29"/>
      <c r="AI433" s="32">
        <f>('Table001 (Page 1-6)'!V426)*100</f>
        <v>2.25</v>
      </c>
      <c r="AJ433" s="35"/>
      <c r="AK433" s="35"/>
      <c r="AL433" s="35"/>
      <c r="AM433" s="35"/>
    </row>
    <row r="434" spans="2:39" x14ac:dyDescent="0.25">
      <c r="B434" s="37">
        <f>'Table001 (Page 1-6)'!A427</f>
        <v>6170.1</v>
      </c>
      <c r="C434" s="28" t="str">
        <f>'Table001 (Page 1-6)'!B427</f>
        <v>SW 60 AV</v>
      </c>
      <c r="D434" s="28" t="str">
        <f>'Table001 (Page 1-6)'!C427</f>
        <v>SR 200</v>
      </c>
      <c r="E434" s="28" t="str">
        <f>'Table001 (Page 1-6)'!D427</f>
        <v>SW 38 ST</v>
      </c>
      <c r="F434" s="29">
        <f>'Table001 (Page 1-6)'!E427</f>
        <v>4</v>
      </c>
      <c r="G434" s="29">
        <f>'Table001 (Page 1-6)'!K427</f>
        <v>4</v>
      </c>
      <c r="H434" s="30" t="str">
        <f>'Table001 (Page 1-6)'!R427</f>
        <v>E</v>
      </c>
      <c r="I434" s="28" t="str">
        <f>'Table001 (Page 1-6)'!F427</f>
        <v>ARTERIAL</v>
      </c>
      <c r="J434" s="29"/>
      <c r="K434" s="29"/>
      <c r="L434" s="29">
        <f>'Table001 (Page 1-6)'!I427</f>
        <v>35820</v>
      </c>
      <c r="M434" s="29"/>
      <c r="N434" s="29">
        <f>'Table001 (Page 1-6)'!J427</f>
        <v>1800</v>
      </c>
      <c r="O434" s="29">
        <f>'Table001 (Page 1-6)'!L427</f>
        <v>35820</v>
      </c>
      <c r="P434" s="29"/>
      <c r="Q434" s="29">
        <f>'Table001 (Page 1-6)'!M427</f>
        <v>1800</v>
      </c>
      <c r="R434" s="29" t="str">
        <f>'Table001 (Page 1-6)'!S427</f>
        <v>18,300</v>
      </c>
      <c r="S434" s="31" t="str">
        <f>'Table001 (Page 1-6)'!T427</f>
        <v>0.51</v>
      </c>
      <c r="T434" s="29" t="str">
        <f>'Table001 (Page 1-6)'!U427</f>
        <v>C</v>
      </c>
      <c r="U434" s="29"/>
      <c r="V434" s="29"/>
      <c r="W434" s="29"/>
      <c r="X434" s="29"/>
      <c r="Y434" s="29"/>
      <c r="Z434" s="29"/>
      <c r="AA434" s="29"/>
      <c r="AB434" s="29"/>
      <c r="AC434" s="31"/>
      <c r="AD434" s="29"/>
      <c r="AE434" s="29"/>
      <c r="AF434" s="29"/>
      <c r="AG434" s="31"/>
      <c r="AH434" s="29"/>
      <c r="AI434" s="32">
        <f>('Table001 (Page 1-6)'!V427)*100</f>
        <v>4.1000000000000005</v>
      </c>
      <c r="AJ434" s="35"/>
      <c r="AK434" s="35"/>
      <c r="AL434" s="35"/>
      <c r="AM434" s="35"/>
    </row>
    <row r="435" spans="2:39" x14ac:dyDescent="0.25">
      <c r="B435" s="37">
        <f>'Table001 (Page 1-6)'!A428</f>
        <v>6180</v>
      </c>
      <c r="C435" s="28" t="str">
        <f>'Table001 (Page 1-6)'!B428</f>
        <v>SW 60 AV</v>
      </c>
      <c r="D435" s="28" t="str">
        <f>'Table001 (Page 1-6)'!C428</f>
        <v>SW 38 ST</v>
      </c>
      <c r="E435" s="28" t="str">
        <f>'Table001 (Page 1-6)'!D428</f>
        <v>SW 20 ST</v>
      </c>
      <c r="F435" s="29">
        <f>'Table001 (Page 1-6)'!E428</f>
        <v>4</v>
      </c>
      <c r="G435" s="29">
        <f>'Table001 (Page 1-6)'!K428</f>
        <v>4</v>
      </c>
      <c r="H435" s="30" t="str">
        <f>'Table001 (Page 1-6)'!R428</f>
        <v>E</v>
      </c>
      <c r="I435" s="28" t="str">
        <f>'Table001 (Page 1-6)'!F428</f>
        <v>ARTERIAL</v>
      </c>
      <c r="J435" s="29"/>
      <c r="K435" s="29"/>
      <c r="L435" s="29">
        <f>'Table001 (Page 1-6)'!I428</f>
        <v>35820</v>
      </c>
      <c r="M435" s="29"/>
      <c r="N435" s="29">
        <f>'Table001 (Page 1-6)'!J428</f>
        <v>1800</v>
      </c>
      <c r="O435" s="29">
        <f>'Table001 (Page 1-6)'!L428</f>
        <v>35820</v>
      </c>
      <c r="P435" s="29"/>
      <c r="Q435" s="29">
        <f>'Table001 (Page 1-6)'!M428</f>
        <v>1800</v>
      </c>
      <c r="R435" s="29" t="str">
        <f>'Table001 (Page 1-6)'!S428</f>
        <v>17,200</v>
      </c>
      <c r="S435" s="31" t="str">
        <f>'Table001 (Page 1-6)'!T428</f>
        <v>0.48</v>
      </c>
      <c r="T435" s="29" t="str">
        <f>'Table001 (Page 1-6)'!U428</f>
        <v>C</v>
      </c>
      <c r="U435" s="29"/>
      <c r="V435" s="29"/>
      <c r="W435" s="29"/>
      <c r="X435" s="29"/>
      <c r="Y435" s="29"/>
      <c r="Z435" s="29"/>
      <c r="AA435" s="29"/>
      <c r="AB435" s="29"/>
      <c r="AC435" s="31"/>
      <c r="AD435" s="29"/>
      <c r="AE435" s="29"/>
      <c r="AF435" s="29"/>
      <c r="AG435" s="31"/>
      <c r="AH435" s="29"/>
      <c r="AI435" s="32">
        <f>('Table001 (Page 1-6)'!V428)*100</f>
        <v>4.1000000000000005</v>
      </c>
      <c r="AJ435" s="35"/>
      <c r="AK435" s="35"/>
      <c r="AL435" s="35"/>
      <c r="AM435" s="35"/>
    </row>
    <row r="436" spans="2:39" x14ac:dyDescent="0.25">
      <c r="B436" s="37">
        <f>'Table001 (Page 1-6)'!A429</f>
        <v>6190</v>
      </c>
      <c r="C436" s="28" t="str">
        <f>'Table001 (Page 1-6)'!B429</f>
        <v>SW 60 AV</v>
      </c>
      <c r="D436" s="28" t="str">
        <f>'Table001 (Page 1-6)'!C429</f>
        <v>SW 20 ST</v>
      </c>
      <c r="E436" s="28" t="str">
        <f>'Table001 (Page 1-6)'!D429</f>
        <v>SR 40</v>
      </c>
      <c r="F436" s="29">
        <f>'Table001 (Page 1-6)'!E429</f>
        <v>4</v>
      </c>
      <c r="G436" s="29">
        <f>'Table001 (Page 1-6)'!K429</f>
        <v>4</v>
      </c>
      <c r="H436" s="30" t="str">
        <f>'Table001 (Page 1-6)'!R429</f>
        <v>E</v>
      </c>
      <c r="I436" s="28" t="str">
        <f>'Table001 (Page 1-6)'!F429</f>
        <v>ARTERIAL</v>
      </c>
      <c r="J436" s="29"/>
      <c r="K436" s="29"/>
      <c r="L436" s="29">
        <f>'Table001 (Page 1-6)'!I429</f>
        <v>35820</v>
      </c>
      <c r="M436" s="29"/>
      <c r="N436" s="29">
        <f>'Table001 (Page 1-6)'!J429</f>
        <v>1800</v>
      </c>
      <c r="O436" s="29">
        <f>'Table001 (Page 1-6)'!L429</f>
        <v>35820</v>
      </c>
      <c r="P436" s="29"/>
      <c r="Q436" s="29">
        <f>'Table001 (Page 1-6)'!M429</f>
        <v>1800</v>
      </c>
      <c r="R436" s="29" t="str">
        <f>'Table001 (Page 1-6)'!S429</f>
        <v>16,000</v>
      </c>
      <c r="S436" s="31" t="str">
        <f>'Table001 (Page 1-6)'!T429</f>
        <v>0.45</v>
      </c>
      <c r="T436" s="29" t="str">
        <f>'Table001 (Page 1-6)'!U429</f>
        <v>C</v>
      </c>
      <c r="U436" s="29"/>
      <c r="V436" s="29"/>
      <c r="W436" s="29"/>
      <c r="X436" s="29"/>
      <c r="Y436" s="29"/>
      <c r="Z436" s="29"/>
      <c r="AA436" s="29"/>
      <c r="AB436" s="29"/>
      <c r="AC436" s="31"/>
      <c r="AD436" s="29"/>
      <c r="AE436" s="29"/>
      <c r="AF436" s="29"/>
      <c r="AG436" s="31"/>
      <c r="AH436" s="29"/>
      <c r="AI436" s="32">
        <f>('Table001 (Page 1-6)'!V429)*100</f>
        <v>4.1000000000000005</v>
      </c>
      <c r="AJ436" s="35"/>
      <c r="AK436" s="35"/>
      <c r="AL436" s="35"/>
      <c r="AM436" s="35"/>
    </row>
    <row r="437" spans="2:39" x14ac:dyDescent="0.25">
      <c r="B437" s="37">
        <f>'Table001 (Page 1-6)'!A430</f>
        <v>6200</v>
      </c>
      <c r="C437" s="28" t="str">
        <f>'Table001 (Page 1-6)'!B430</f>
        <v>SW 66 ST</v>
      </c>
      <c r="D437" s="28" t="str">
        <f>'Table001 (Page 1-6)'!C430</f>
        <v>SR 200</v>
      </c>
      <c r="E437" s="28" t="str">
        <f>'Table001 (Page 1-6)'!D430</f>
        <v>I-75</v>
      </c>
      <c r="F437" s="29">
        <f>'Table001 (Page 1-6)'!E430</f>
        <v>2</v>
      </c>
      <c r="G437" s="29">
        <f>'Table001 (Page 1-6)'!K430</f>
        <v>2</v>
      </c>
      <c r="H437" s="30" t="str">
        <f>'Table001 (Page 1-6)'!R430</f>
        <v>C</v>
      </c>
      <c r="I437" s="28" t="str">
        <f>'Table001 (Page 1-6)'!F430</f>
        <v>COLLECTOR</v>
      </c>
      <c r="J437" s="29"/>
      <c r="K437" s="29"/>
      <c r="L437" s="29">
        <f>'Table001 (Page 1-6)'!I430</f>
        <v>12096</v>
      </c>
      <c r="M437" s="29"/>
      <c r="N437" s="29">
        <f>'Table001 (Page 1-6)'!J430</f>
        <v>598</v>
      </c>
      <c r="O437" s="29">
        <f>'Table001 (Page 1-6)'!L430</f>
        <v>12096</v>
      </c>
      <c r="P437" s="29"/>
      <c r="Q437" s="29">
        <f>'Table001 (Page 1-6)'!M430</f>
        <v>598</v>
      </c>
      <c r="R437" s="29" t="str">
        <f>'Table001 (Page 1-6)'!S430</f>
        <v>8,500</v>
      </c>
      <c r="S437" s="31" t="str">
        <f>'Table001 (Page 1-6)'!T430</f>
        <v>0.7</v>
      </c>
      <c r="T437" s="29" t="str">
        <f>'Table001 (Page 1-6)'!U430</f>
        <v>C</v>
      </c>
      <c r="U437" s="29"/>
      <c r="V437" s="29"/>
      <c r="W437" s="29"/>
      <c r="X437" s="29"/>
      <c r="Y437" s="29"/>
      <c r="Z437" s="29"/>
      <c r="AA437" s="29"/>
      <c r="AB437" s="29"/>
      <c r="AC437" s="31"/>
      <c r="AD437" s="29"/>
      <c r="AE437" s="29"/>
      <c r="AF437" s="29"/>
      <c r="AG437" s="31"/>
      <c r="AH437" s="29"/>
      <c r="AI437" s="32">
        <f>('Table001 (Page 1-6)'!V430)*100</f>
        <v>8.4500000000000011</v>
      </c>
      <c r="AJ437" s="35"/>
      <c r="AK437" s="35"/>
      <c r="AL437" s="35"/>
      <c r="AM437" s="35"/>
    </row>
    <row r="438" spans="2:39" x14ac:dyDescent="0.25">
      <c r="B438" s="37">
        <f>'Table001 (Page 1-6)'!A431</f>
        <v>6210</v>
      </c>
      <c r="C438" s="28" t="str">
        <f>'Table001 (Page 1-6)'!B431</f>
        <v>SW 66 ST</v>
      </c>
      <c r="D438" s="28" t="str">
        <f>'Table001 (Page 1-6)'!C431</f>
        <v>I-75</v>
      </c>
      <c r="E438" s="28" t="str">
        <f>'Table001 (Page 1-6)'!D431</f>
        <v>SW 27 AV</v>
      </c>
      <c r="F438" s="29">
        <f>'Table001 (Page 1-6)'!E431</f>
        <v>2</v>
      </c>
      <c r="G438" s="29">
        <f>'Table001 (Page 1-6)'!K431</f>
        <v>2</v>
      </c>
      <c r="H438" s="30" t="str">
        <f>'Table001 (Page 1-6)'!R431</f>
        <v>C</v>
      </c>
      <c r="I438" s="28" t="str">
        <f>'Table001 (Page 1-6)'!F431</f>
        <v>COLLECTOR</v>
      </c>
      <c r="J438" s="29"/>
      <c r="K438" s="29"/>
      <c r="L438" s="29">
        <f>'Table001 (Page 1-6)'!I431</f>
        <v>12096</v>
      </c>
      <c r="M438" s="29"/>
      <c r="N438" s="29">
        <f>'Table001 (Page 1-6)'!J431</f>
        <v>598</v>
      </c>
      <c r="O438" s="29">
        <f>'Table001 (Page 1-6)'!L431</f>
        <v>12096</v>
      </c>
      <c r="P438" s="29"/>
      <c r="Q438" s="29">
        <f>'Table001 (Page 1-6)'!M431</f>
        <v>598</v>
      </c>
      <c r="R438" s="29" t="str">
        <f>'Table001 (Page 1-6)'!S431</f>
        <v>13,400</v>
      </c>
      <c r="S438" s="31" t="str">
        <f>'Table001 (Page 1-6)'!T431</f>
        <v>1.11</v>
      </c>
      <c r="T438" s="29" t="str">
        <f>'Table001 (Page 1-6)'!U431</f>
        <v>F</v>
      </c>
      <c r="U438" s="29"/>
      <c r="V438" s="29"/>
      <c r="W438" s="29"/>
      <c r="X438" s="29"/>
      <c r="Y438" s="29"/>
      <c r="Z438" s="29"/>
      <c r="AA438" s="29"/>
      <c r="AB438" s="29"/>
      <c r="AC438" s="31"/>
      <c r="AD438" s="29"/>
      <c r="AE438" s="29"/>
      <c r="AF438" s="29"/>
      <c r="AG438" s="31"/>
      <c r="AH438" s="29"/>
      <c r="AI438" s="32">
        <f>('Table001 (Page 1-6)'!V431)*100</f>
        <v>8.4500000000000011</v>
      </c>
      <c r="AJ438" s="35"/>
      <c r="AK438" s="35"/>
      <c r="AL438" s="35"/>
      <c r="AM438" s="35"/>
    </row>
    <row r="439" spans="2:39" x14ac:dyDescent="0.25">
      <c r="B439" s="37">
        <f>'Table001 (Page 1-6)'!A432</f>
        <v>6220</v>
      </c>
      <c r="C439" s="28" t="str">
        <f>'Table001 (Page 1-6)'!B432</f>
        <v>SW 66 ST</v>
      </c>
      <c r="D439" s="28" t="str">
        <f>'Table001 (Page 1-6)'!C432</f>
        <v>SW 27 AV</v>
      </c>
      <c r="E439" s="28" t="str">
        <f>'Table001 (Page 1-6)'!D432</f>
        <v>SW 19 AV</v>
      </c>
      <c r="F439" s="29">
        <f>'Table001 (Page 1-6)'!E432</f>
        <v>2</v>
      </c>
      <c r="G439" s="29">
        <f>'Table001 (Page 1-6)'!K432</f>
        <v>2</v>
      </c>
      <c r="H439" s="30" t="str">
        <f>'Table001 (Page 1-6)'!R432</f>
        <v>C</v>
      </c>
      <c r="I439" s="28" t="str">
        <f>'Table001 (Page 1-6)'!F432</f>
        <v>COLLECTOR</v>
      </c>
      <c r="J439" s="29"/>
      <c r="K439" s="29"/>
      <c r="L439" s="29">
        <f>'Table001 (Page 1-6)'!I432</f>
        <v>9288</v>
      </c>
      <c r="M439" s="29"/>
      <c r="N439" s="29">
        <f>'Table001 (Page 1-6)'!J432</f>
        <v>482</v>
      </c>
      <c r="O439" s="29">
        <f>'Table001 (Page 1-6)'!L432</f>
        <v>9288</v>
      </c>
      <c r="P439" s="29"/>
      <c r="Q439" s="29">
        <f>'Table001 (Page 1-6)'!M432</f>
        <v>482</v>
      </c>
      <c r="R439" s="29" t="str">
        <f>'Table001 (Page 1-6)'!S432</f>
        <v>5,800</v>
      </c>
      <c r="S439" s="31" t="str">
        <f>'Table001 (Page 1-6)'!T432</f>
        <v>0.62</v>
      </c>
      <c r="T439" s="29" t="str">
        <f>'Table001 (Page 1-6)'!U432</f>
        <v>C</v>
      </c>
      <c r="U439" s="29"/>
      <c r="V439" s="29"/>
      <c r="W439" s="29"/>
      <c r="X439" s="29"/>
      <c r="Y439" s="29"/>
      <c r="Z439" s="29"/>
      <c r="AA439" s="29"/>
      <c r="AB439" s="29"/>
      <c r="AC439" s="31"/>
      <c r="AD439" s="29"/>
      <c r="AE439" s="29"/>
      <c r="AF439" s="29"/>
      <c r="AG439" s="31"/>
      <c r="AH439" s="29"/>
      <c r="AI439" s="32">
        <f>('Table001 (Page 1-6)'!V432)*100</f>
        <v>1.8499999999999999</v>
      </c>
      <c r="AJ439" s="35"/>
      <c r="AK439" s="35"/>
      <c r="AL439" s="35"/>
      <c r="AM439" s="35"/>
    </row>
    <row r="440" spans="2:39" x14ac:dyDescent="0.25">
      <c r="B440" s="37">
        <f>'Table001 (Page 1-6)'!A433</f>
        <v>6230.1</v>
      </c>
      <c r="C440" s="28" t="str">
        <f>'Table001 (Page 1-6)'!B433</f>
        <v>SW 7 AV</v>
      </c>
      <c r="D440" s="28" t="str">
        <f>'Table001 (Page 1-6)'!C433</f>
        <v>SW 32 ST</v>
      </c>
      <c r="E440" s="28" t="str">
        <f>'Table001 (Page 1-6)'!D433</f>
        <v>SR 464</v>
      </c>
      <c r="F440" s="29">
        <f>'Table001 (Page 1-6)'!E433</f>
        <v>2</v>
      </c>
      <c r="G440" s="29">
        <f>'Table001 (Page 1-6)'!K433</f>
        <v>2</v>
      </c>
      <c r="H440" s="30" t="str">
        <f>'Table001 (Page 1-6)'!R433</f>
        <v>E</v>
      </c>
      <c r="I440" s="28" t="str">
        <f>'Table001 (Page 1-6)'!F433</f>
        <v>LOCAL</v>
      </c>
      <c r="J440" s="29"/>
      <c r="K440" s="29"/>
      <c r="L440" s="29">
        <f>'Table001 (Page 1-6)'!I433</f>
        <v>29340</v>
      </c>
      <c r="M440" s="29"/>
      <c r="N440" s="29">
        <f>'Table001 (Page 1-6)'!J433</f>
        <v>1449</v>
      </c>
      <c r="O440" s="29">
        <f>'Table001 (Page 1-6)'!L433</f>
        <v>29340</v>
      </c>
      <c r="P440" s="29"/>
      <c r="Q440" s="29">
        <f>'Table001 (Page 1-6)'!M433</f>
        <v>1449</v>
      </c>
      <c r="R440" s="29" t="str">
        <f>'Table001 (Page 1-6)'!S433</f>
        <v>Not Counted</v>
      </c>
      <c r="S440" s="31" t="str">
        <f>'Table001 (Page 1-6)'!T433</f>
        <v>N/A</v>
      </c>
      <c r="T440" s="29" t="str">
        <f>'Table001 (Page 1-6)'!U433</f>
        <v>N/A</v>
      </c>
      <c r="U440" s="29"/>
      <c r="V440" s="29"/>
      <c r="W440" s="29"/>
      <c r="X440" s="29"/>
      <c r="Y440" s="29"/>
      <c r="Z440" s="29"/>
      <c r="AA440" s="29"/>
      <c r="AB440" s="29"/>
      <c r="AC440" s="31"/>
      <c r="AD440" s="29"/>
      <c r="AE440" s="29"/>
      <c r="AF440" s="29"/>
      <c r="AG440" s="31"/>
      <c r="AH440" s="29"/>
      <c r="AI440" s="32">
        <f>('Table001 (Page 1-6)'!V433)*100</f>
        <v>1</v>
      </c>
      <c r="AJ440" s="35"/>
      <c r="AK440" s="35"/>
      <c r="AL440" s="35"/>
      <c r="AM440" s="35"/>
    </row>
    <row r="441" spans="2:39" x14ac:dyDescent="0.25">
      <c r="B441" s="37">
        <f>'Table001 (Page 1-6)'!A434</f>
        <v>6240</v>
      </c>
      <c r="C441" s="28" t="str">
        <f>'Table001 (Page 1-6)'!B434</f>
        <v>SW 7 RD</v>
      </c>
      <c r="D441" s="28" t="str">
        <f>'Table001 (Page 1-6)'!C434</f>
        <v>SR 464</v>
      </c>
      <c r="E441" s="28" t="str">
        <f>'Table001 (Page 1-6)'!D434</f>
        <v>SW 10 ST</v>
      </c>
      <c r="F441" s="29">
        <f>'Table001 (Page 1-6)'!E434</f>
        <v>2</v>
      </c>
      <c r="G441" s="29">
        <f>'Table001 (Page 1-6)'!K434</f>
        <v>2</v>
      </c>
      <c r="H441" s="30" t="str">
        <f>'Table001 (Page 1-6)'!R434</f>
        <v>E</v>
      </c>
      <c r="I441" s="28" t="str">
        <f>'Table001 (Page 1-6)'!F434</f>
        <v>LOCAL</v>
      </c>
      <c r="J441" s="29"/>
      <c r="K441" s="29"/>
      <c r="L441" s="29">
        <f>'Table001 (Page 1-6)'!I434</f>
        <v>29340</v>
      </c>
      <c r="M441" s="29"/>
      <c r="N441" s="29">
        <f>'Table001 (Page 1-6)'!J434</f>
        <v>1449</v>
      </c>
      <c r="O441" s="29">
        <f>'Table001 (Page 1-6)'!L434</f>
        <v>29340</v>
      </c>
      <c r="P441" s="29"/>
      <c r="Q441" s="29">
        <f>'Table001 (Page 1-6)'!M434</f>
        <v>1449</v>
      </c>
      <c r="R441" s="29" t="str">
        <f>'Table001 (Page 1-6)'!S434</f>
        <v>Not Counted</v>
      </c>
      <c r="S441" s="31" t="str">
        <f>'Table001 (Page 1-6)'!T434</f>
        <v>N/A</v>
      </c>
      <c r="T441" s="29" t="str">
        <f>'Table001 (Page 1-6)'!U434</f>
        <v>N/A</v>
      </c>
      <c r="U441" s="29"/>
      <c r="V441" s="29"/>
      <c r="W441" s="29"/>
      <c r="X441" s="29"/>
      <c r="Y441" s="29"/>
      <c r="Z441" s="29"/>
      <c r="AA441" s="29"/>
      <c r="AB441" s="29"/>
      <c r="AC441" s="31"/>
      <c r="AD441" s="29"/>
      <c r="AE441" s="29"/>
      <c r="AF441" s="29"/>
      <c r="AG441" s="31"/>
      <c r="AH441" s="29"/>
      <c r="AI441" s="32">
        <f>('Table001 (Page 1-6)'!V434)*100</f>
        <v>1</v>
      </c>
      <c r="AJ441" s="35"/>
      <c r="AK441" s="35"/>
      <c r="AL441" s="35"/>
      <c r="AM441" s="35"/>
    </row>
    <row r="442" spans="2:39" x14ac:dyDescent="0.25">
      <c r="B442" s="37">
        <f>'Table001 (Page 1-6)'!A435</f>
        <v>6250</v>
      </c>
      <c r="C442" s="28" t="str">
        <f>'Table001 (Page 1-6)'!B435</f>
        <v>SW 80 AV</v>
      </c>
      <c r="D442" s="28" t="str">
        <f>'Table001 (Page 1-6)'!C435</f>
        <v>SW 103 ST</v>
      </c>
      <c r="E442" s="28" t="str">
        <f>'Table001 (Page 1-6)'!D435</f>
        <v>SR 200</v>
      </c>
      <c r="F442" s="29">
        <f>'Table001 (Page 1-6)'!E435</f>
        <v>2</v>
      </c>
      <c r="G442" s="29">
        <f>'Table001 (Page 1-6)'!K435</f>
        <v>2</v>
      </c>
      <c r="H442" s="30" t="str">
        <f>'Table001 (Page 1-6)'!R435</f>
        <v>E</v>
      </c>
      <c r="I442" s="28" t="str">
        <f>'Table001 (Page 1-6)'!F435</f>
        <v>COLLECTOR</v>
      </c>
      <c r="J442" s="29"/>
      <c r="K442" s="29"/>
      <c r="L442" s="29">
        <f>'Table001 (Page 1-6)'!I435</f>
        <v>12744</v>
      </c>
      <c r="M442" s="29"/>
      <c r="N442" s="29">
        <f>'Table001 (Page 1-6)'!J435</f>
        <v>634</v>
      </c>
      <c r="O442" s="29">
        <f>'Table001 (Page 1-6)'!L435</f>
        <v>12744</v>
      </c>
      <c r="P442" s="29"/>
      <c r="Q442" s="29">
        <f>'Table001 (Page 1-6)'!M435</f>
        <v>634</v>
      </c>
      <c r="R442" s="29" t="str">
        <f>'Table001 (Page 1-6)'!S435</f>
        <v>5,000</v>
      </c>
      <c r="S442" s="31" t="str">
        <f>'Table001 (Page 1-6)'!T435</f>
        <v>0.39</v>
      </c>
      <c r="T442" s="29" t="str">
        <f>'Table001 (Page 1-6)'!U435</f>
        <v>C</v>
      </c>
      <c r="U442" s="29"/>
      <c r="V442" s="29"/>
      <c r="W442" s="29"/>
      <c r="X442" s="29"/>
      <c r="Y442" s="29"/>
      <c r="Z442" s="29"/>
      <c r="AA442" s="29"/>
      <c r="AB442" s="29"/>
      <c r="AC442" s="31"/>
      <c r="AD442" s="29"/>
      <c r="AE442" s="29"/>
      <c r="AF442" s="29"/>
      <c r="AG442" s="31"/>
      <c r="AH442" s="29"/>
      <c r="AI442" s="32">
        <f>('Table001 (Page 1-6)'!V435)*100</f>
        <v>7.33</v>
      </c>
      <c r="AJ442" s="35"/>
      <c r="AK442" s="35"/>
      <c r="AL442" s="35"/>
      <c r="AM442" s="35"/>
    </row>
    <row r="443" spans="2:39" x14ac:dyDescent="0.25">
      <c r="B443" s="37">
        <f>'Table001 (Page 1-6)'!A436</f>
        <v>6260.1</v>
      </c>
      <c r="C443" s="28" t="str">
        <f>'Table001 (Page 1-6)'!B436</f>
        <v>SW 80 AV</v>
      </c>
      <c r="D443" s="28" t="str">
        <f>'Table001 (Page 1-6)'!C436</f>
        <v>SR 200</v>
      </c>
      <c r="E443" s="28" t="str">
        <f>'Table001 (Page 1-6)'!D436</f>
        <v>SW 90 ST</v>
      </c>
      <c r="F443" s="29">
        <f>'Table001 (Page 1-6)'!E436</f>
        <v>4</v>
      </c>
      <c r="G443" s="29">
        <f>'Table001 (Page 1-6)'!K436</f>
        <v>4</v>
      </c>
      <c r="H443" s="30" t="str">
        <f>'Table001 (Page 1-6)'!R436</f>
        <v>E</v>
      </c>
      <c r="I443" s="28" t="str">
        <f>'Table001 (Page 1-6)'!F436</f>
        <v>COLLECTOR</v>
      </c>
      <c r="J443" s="29"/>
      <c r="K443" s="29"/>
      <c r="L443" s="29">
        <f>'Table001 (Page 1-6)'!I436</f>
        <v>30420</v>
      </c>
      <c r="M443" s="29"/>
      <c r="N443" s="29">
        <f>'Table001 (Page 1-6)'!J436</f>
        <v>1530</v>
      </c>
      <c r="O443" s="29">
        <f>'Table001 (Page 1-6)'!L436</f>
        <v>30420</v>
      </c>
      <c r="P443" s="29"/>
      <c r="Q443" s="29">
        <f>'Table001 (Page 1-6)'!M436</f>
        <v>1530</v>
      </c>
      <c r="R443" s="29" t="str">
        <f>'Table001 (Page 1-6)'!S436</f>
        <v>13,100</v>
      </c>
      <c r="S443" s="31" t="str">
        <f>'Table001 (Page 1-6)'!T436</f>
        <v>0.43</v>
      </c>
      <c r="T443" s="29" t="str">
        <f>'Table001 (Page 1-6)'!U436</f>
        <v>D</v>
      </c>
      <c r="U443" s="29"/>
      <c r="V443" s="29"/>
      <c r="W443" s="29"/>
      <c r="X443" s="29"/>
      <c r="Y443" s="29"/>
      <c r="Z443" s="29"/>
      <c r="AA443" s="29"/>
      <c r="AB443" s="29"/>
      <c r="AC443" s="31"/>
      <c r="AD443" s="29"/>
      <c r="AE443" s="29"/>
      <c r="AF443" s="29"/>
      <c r="AG443" s="31"/>
      <c r="AH443" s="29"/>
      <c r="AI443" s="32">
        <f>('Table001 (Page 1-6)'!V436)*100</f>
        <v>2.52</v>
      </c>
      <c r="AJ443" s="35"/>
      <c r="AK443" s="35"/>
      <c r="AL443" s="35"/>
      <c r="AM443" s="35"/>
    </row>
    <row r="444" spans="2:39" x14ac:dyDescent="0.25">
      <c r="B444" s="37">
        <f>'Table001 (Page 1-6)'!A437</f>
        <v>6260.3</v>
      </c>
      <c r="C444" s="28" t="str">
        <f>'Table001 (Page 1-6)'!B437</f>
        <v>SW 80 AV</v>
      </c>
      <c r="D444" s="28" t="str">
        <f>'Table001 (Page 1-6)'!C437</f>
        <v>SW 90 ST</v>
      </c>
      <c r="E444" s="28" t="str">
        <f>'Table001 (Page 1-6)'!D437</f>
        <v>SW 38 ST</v>
      </c>
      <c r="F444" s="29">
        <f>'Table001 (Page 1-6)'!E437</f>
        <v>2</v>
      </c>
      <c r="G444" s="29">
        <f>'Table001 (Page 1-6)'!K437</f>
        <v>4</v>
      </c>
      <c r="H444" s="30" t="str">
        <f>'Table001 (Page 1-6)'!R437</f>
        <v>E</v>
      </c>
      <c r="I444" s="28" t="str">
        <f>'Table001 (Page 1-6)'!F437</f>
        <v>COLLECTOR</v>
      </c>
      <c r="J444" s="29"/>
      <c r="K444" s="29"/>
      <c r="L444" s="29">
        <f>'Table001 (Page 1-6)'!I437</f>
        <v>29340</v>
      </c>
      <c r="M444" s="29"/>
      <c r="N444" s="29">
        <f>'Table001 (Page 1-6)'!J437</f>
        <v>634</v>
      </c>
      <c r="O444" s="29">
        <f>'Table001 (Page 1-6)'!L437</f>
        <v>30420</v>
      </c>
      <c r="P444" s="29"/>
      <c r="Q444" s="29">
        <f>'Table001 (Page 1-6)'!M437</f>
        <v>1800</v>
      </c>
      <c r="R444" s="29" t="str">
        <f>'Table001 (Page 1-6)'!S437</f>
        <v>11,100</v>
      </c>
      <c r="S444" s="31" t="str">
        <f>'Table001 (Page 1-6)'!T437</f>
        <v>0.87</v>
      </c>
      <c r="T444" s="29" t="str">
        <f>'Table001 (Page 1-6)'!U437</f>
        <v>C</v>
      </c>
      <c r="U444" s="29"/>
      <c r="V444" s="29"/>
      <c r="W444" s="29"/>
      <c r="X444" s="29"/>
      <c r="Y444" s="29"/>
      <c r="Z444" s="29"/>
      <c r="AA444" s="29"/>
      <c r="AB444" s="29"/>
      <c r="AC444" s="31"/>
      <c r="AD444" s="29"/>
      <c r="AE444" s="29"/>
      <c r="AF444" s="29"/>
      <c r="AG444" s="31"/>
      <c r="AH444" s="29"/>
      <c r="AI444" s="32">
        <f>('Table001 (Page 1-6)'!V437)*100</f>
        <v>2.94</v>
      </c>
      <c r="AJ444" s="35"/>
      <c r="AK444" s="35"/>
      <c r="AL444" s="35"/>
      <c r="AM444" s="35"/>
    </row>
    <row r="445" spans="2:39" x14ac:dyDescent="0.25">
      <c r="B445" s="37">
        <f>'Table001 (Page 1-6)'!A438</f>
        <v>6260.4</v>
      </c>
      <c r="C445" s="28" t="str">
        <f>'Table001 (Page 1-6)'!B438</f>
        <v>SW 80 AV</v>
      </c>
      <c r="D445" s="28" t="str">
        <f>'Table001 (Page 1-6)'!C438</f>
        <v>SW 38 ST</v>
      </c>
      <c r="E445" s="28" t="str">
        <f>'Table001 (Page 1-6)'!D438</f>
        <v>SR 40</v>
      </c>
      <c r="F445" s="29">
        <f>'Table001 (Page 1-6)'!E438</f>
        <v>2</v>
      </c>
      <c r="G445" s="29">
        <f>'Table001 (Page 1-6)'!K438</f>
        <v>2</v>
      </c>
      <c r="H445" s="30" t="str">
        <f>'Table001 (Page 1-6)'!R438</f>
        <v>E</v>
      </c>
      <c r="I445" s="28" t="str">
        <f>'Table001 (Page 1-6)'!F438</f>
        <v>COLLECTOR</v>
      </c>
      <c r="J445" s="29"/>
      <c r="K445" s="29"/>
      <c r="L445" s="29">
        <f>'Table001 (Page 1-6)'!I438</f>
        <v>29340</v>
      </c>
      <c r="M445" s="29"/>
      <c r="N445" s="29">
        <f>'Table001 (Page 1-6)'!J438</f>
        <v>1449</v>
      </c>
      <c r="O445" s="29">
        <f>'Table001 (Page 1-6)'!L438</f>
        <v>29340</v>
      </c>
      <c r="P445" s="29"/>
      <c r="Q445" s="29">
        <f>'Table001 (Page 1-6)'!M438</f>
        <v>1449</v>
      </c>
      <c r="R445" s="29" t="str">
        <f>'Table001 (Page 1-6)'!S438</f>
        <v>8,900</v>
      </c>
      <c r="S445" s="31" t="str">
        <f>'Table001 (Page 1-6)'!T438</f>
        <v>0.3</v>
      </c>
      <c r="T445" s="29" t="str">
        <f>'Table001 (Page 1-6)'!U438</f>
        <v>B</v>
      </c>
      <c r="U445" s="29"/>
      <c r="V445" s="29"/>
      <c r="W445" s="29"/>
      <c r="X445" s="29"/>
      <c r="Y445" s="29"/>
      <c r="Z445" s="29"/>
      <c r="AA445" s="29"/>
      <c r="AB445" s="29"/>
      <c r="AC445" s="31"/>
      <c r="AD445" s="29"/>
      <c r="AE445" s="29"/>
      <c r="AF445" s="29"/>
      <c r="AG445" s="31"/>
      <c r="AH445" s="29"/>
      <c r="AI445" s="32">
        <f>('Table001 (Page 1-6)'!V438)*100</f>
        <v>1.67</v>
      </c>
      <c r="AJ445" s="35"/>
      <c r="AK445" s="35"/>
      <c r="AL445" s="35"/>
      <c r="AM445" s="35"/>
    </row>
    <row r="446" spans="2:39" x14ac:dyDescent="0.25">
      <c r="B446" s="37">
        <f>'Table001 (Page 1-6)'!A439</f>
        <v>6290</v>
      </c>
      <c r="C446" s="28" t="str">
        <f>'Table001 (Page 1-6)'!B439</f>
        <v>SW 80 ST</v>
      </c>
      <c r="D446" s="28" t="str">
        <f>'Table001 (Page 1-6)'!C439</f>
        <v>SW 19 AV</v>
      </c>
      <c r="E446" s="28" t="str">
        <f>'Table001 (Page 1-6)'!D439</f>
        <v>CR 475</v>
      </c>
      <c r="F446" s="29">
        <f>'Table001 (Page 1-6)'!E439</f>
        <v>2</v>
      </c>
      <c r="G446" s="29">
        <f>'Table001 (Page 1-6)'!K439</f>
        <v>2</v>
      </c>
      <c r="H446" s="30" t="str">
        <f>'Table001 (Page 1-6)'!R439</f>
        <v>C</v>
      </c>
      <c r="I446" s="28" t="str">
        <f>'Table001 (Page 1-6)'!F439</f>
        <v>COLLECTOR</v>
      </c>
      <c r="J446" s="29"/>
      <c r="K446" s="29"/>
      <c r="L446" s="29">
        <f>'Table001 (Page 1-6)'!I439</f>
        <v>9288</v>
      </c>
      <c r="M446" s="29"/>
      <c r="N446" s="29">
        <f>'Table001 (Page 1-6)'!J439</f>
        <v>482</v>
      </c>
      <c r="O446" s="29">
        <f>'Table001 (Page 1-6)'!L439</f>
        <v>9288</v>
      </c>
      <c r="P446" s="29"/>
      <c r="Q446" s="29">
        <f>'Table001 (Page 1-6)'!M439</f>
        <v>482</v>
      </c>
      <c r="R446" s="29" t="str">
        <f>'Table001 (Page 1-6)'!S439</f>
        <v>4,100</v>
      </c>
      <c r="S446" s="31" t="str">
        <f>'Table001 (Page 1-6)'!T439</f>
        <v>0.44</v>
      </c>
      <c r="T446" s="29" t="str">
        <f>'Table001 (Page 1-6)'!U439</f>
        <v>C</v>
      </c>
      <c r="U446" s="29"/>
      <c r="V446" s="29"/>
      <c r="W446" s="29"/>
      <c r="X446" s="29"/>
      <c r="Y446" s="29"/>
      <c r="Z446" s="29"/>
      <c r="AA446" s="29"/>
      <c r="AB446" s="29"/>
      <c r="AC446" s="31"/>
      <c r="AD446" s="29"/>
      <c r="AE446" s="29"/>
      <c r="AF446" s="29"/>
      <c r="AG446" s="31"/>
      <c r="AH446" s="29"/>
      <c r="AI446" s="32">
        <f>('Table001 (Page 1-6)'!V439)*100</f>
        <v>1</v>
      </c>
      <c r="AJ446" s="35"/>
      <c r="AK446" s="35"/>
      <c r="AL446" s="35"/>
      <c r="AM446" s="35"/>
    </row>
    <row r="447" spans="2:39" x14ac:dyDescent="0.25">
      <c r="B447" s="37">
        <f>'Table001 (Page 1-6)'!A440</f>
        <v>6300</v>
      </c>
      <c r="C447" s="28" t="str">
        <f>'Table001 (Page 1-6)'!B440</f>
        <v>CR 312</v>
      </c>
      <c r="D447" s="28" t="str">
        <f>'Table001 (Page 1-6)'!C440</f>
        <v>CR 475A</v>
      </c>
      <c r="E447" s="28" t="str">
        <f>'Table001 (Page 1-6)'!D440</f>
        <v>CR 475</v>
      </c>
      <c r="F447" s="29">
        <f>'Table001 (Page 1-6)'!E440</f>
        <v>2</v>
      </c>
      <c r="G447" s="29">
        <f>'Table001 (Page 1-6)'!K440</f>
        <v>2</v>
      </c>
      <c r="H447" s="30" t="str">
        <f>'Table001 (Page 1-6)'!R440</f>
        <v>D</v>
      </c>
      <c r="I447" s="28" t="str">
        <f>'Table001 (Page 1-6)'!F440</f>
        <v>COLLECTOR</v>
      </c>
      <c r="J447" s="29"/>
      <c r="K447" s="29"/>
      <c r="L447" s="29">
        <f>'Table001 (Page 1-6)'!I440</f>
        <v>19170</v>
      </c>
      <c r="M447" s="29"/>
      <c r="N447" s="29">
        <f>'Table001 (Page 1-6)'!J440</f>
        <v>999</v>
      </c>
      <c r="O447" s="29">
        <f>'Table001 (Page 1-6)'!L440</f>
        <v>19170</v>
      </c>
      <c r="P447" s="29"/>
      <c r="Q447" s="29">
        <f>'Table001 (Page 1-6)'!M440</f>
        <v>999</v>
      </c>
      <c r="R447" s="29" t="str">
        <f>'Table001 (Page 1-6)'!S440</f>
        <v>3,000</v>
      </c>
      <c r="S447" s="31" t="str">
        <f>'Table001 (Page 1-6)'!T440</f>
        <v>0.16</v>
      </c>
      <c r="T447" s="29" t="str">
        <f>'Table001 (Page 1-6)'!U440</f>
        <v>B</v>
      </c>
      <c r="U447" s="29"/>
      <c r="V447" s="29"/>
      <c r="W447" s="29"/>
      <c r="X447" s="29"/>
      <c r="Y447" s="29"/>
      <c r="Z447" s="29"/>
      <c r="AA447" s="29"/>
      <c r="AB447" s="29"/>
      <c r="AC447" s="31"/>
      <c r="AD447" s="29"/>
      <c r="AE447" s="29"/>
      <c r="AF447" s="29"/>
      <c r="AG447" s="31"/>
      <c r="AH447" s="29"/>
      <c r="AI447" s="32">
        <f>('Table001 (Page 1-6)'!V440)*100</f>
        <v>2.21</v>
      </c>
      <c r="AJ447" s="35"/>
      <c r="AK447" s="35"/>
      <c r="AL447" s="35"/>
      <c r="AM447" s="35"/>
    </row>
    <row r="448" spans="2:39" x14ac:dyDescent="0.25">
      <c r="B448" s="37">
        <f>'Table001 (Page 1-6)'!A441</f>
        <v>6330</v>
      </c>
      <c r="C448" s="28" t="str">
        <f>'Table001 (Page 1-6)'!B441</f>
        <v>SW 95 ST</v>
      </c>
      <c r="D448" s="28" t="str">
        <f>'Table001 (Page 1-6)'!C441</f>
        <v>SW 80 AV</v>
      </c>
      <c r="E448" s="28" t="str">
        <f>'Table001 (Page 1-6)'!D441</f>
        <v>SR 200</v>
      </c>
      <c r="F448" s="29">
        <f>'Table001 (Page 1-6)'!E441</f>
        <v>4</v>
      </c>
      <c r="G448" s="29">
        <f>'Table001 (Page 1-6)'!K441</f>
        <v>4</v>
      </c>
      <c r="H448" s="30" t="str">
        <f>'Table001 (Page 1-6)'!R441</f>
        <v>E</v>
      </c>
      <c r="I448" s="28" t="str">
        <f>'Table001 (Page 1-6)'!F441</f>
        <v>COLLECTOR</v>
      </c>
      <c r="J448" s="29"/>
      <c r="K448" s="29"/>
      <c r="L448" s="29">
        <f>'Table001 (Page 1-6)'!I441</f>
        <v>35820</v>
      </c>
      <c r="M448" s="29"/>
      <c r="N448" s="29">
        <f>'Table001 (Page 1-6)'!J441</f>
        <v>1800</v>
      </c>
      <c r="O448" s="29">
        <f>'Table001 (Page 1-6)'!L441</f>
        <v>35820</v>
      </c>
      <c r="P448" s="29"/>
      <c r="Q448" s="29">
        <f>'Table001 (Page 1-6)'!M441</f>
        <v>1800</v>
      </c>
      <c r="R448" s="29" t="str">
        <f>'Table001 (Page 1-6)'!S441</f>
        <v>10,200</v>
      </c>
      <c r="S448" s="31" t="str">
        <f>'Table001 (Page 1-6)'!T441</f>
        <v>0.28</v>
      </c>
      <c r="T448" s="29" t="str">
        <f>'Table001 (Page 1-6)'!U441</f>
        <v>C</v>
      </c>
      <c r="U448" s="29"/>
      <c r="V448" s="29"/>
      <c r="W448" s="29"/>
      <c r="X448" s="29"/>
      <c r="Y448" s="29"/>
      <c r="Z448" s="29"/>
      <c r="AA448" s="29"/>
      <c r="AB448" s="29"/>
      <c r="AC448" s="31"/>
      <c r="AD448" s="29"/>
      <c r="AE448" s="29"/>
      <c r="AF448" s="29"/>
      <c r="AG448" s="31"/>
      <c r="AH448" s="29"/>
      <c r="AI448" s="32">
        <f>('Table001 (Page 1-6)'!V441)*100</f>
        <v>21.29</v>
      </c>
      <c r="AJ448" s="35"/>
      <c r="AK448" s="35"/>
      <c r="AL448" s="35"/>
      <c r="AM448" s="35"/>
    </row>
    <row r="449" spans="2:39" x14ac:dyDescent="0.25">
      <c r="B449" s="37">
        <f>'Table001 (Page 1-6)'!A442</f>
        <v>6340</v>
      </c>
      <c r="C449" s="28" t="str">
        <f>'Table001 (Page 1-6)'!B442</f>
        <v>SW 95 ST</v>
      </c>
      <c r="D449" s="28" t="str">
        <f>'Table001 (Page 1-6)'!C442</f>
        <v>SR 200</v>
      </c>
      <c r="E449" s="28" t="str">
        <f>'Table001 (Page 1-6)'!D442</f>
        <v>SW 60 AV</v>
      </c>
      <c r="F449" s="29">
        <f>'Table001 (Page 1-6)'!E442</f>
        <v>4</v>
      </c>
      <c r="G449" s="29">
        <f>'Table001 (Page 1-6)'!K442</f>
        <v>4</v>
      </c>
      <c r="H449" s="30" t="str">
        <f>'Table001 (Page 1-6)'!R442</f>
        <v>E</v>
      </c>
      <c r="I449" s="28" t="str">
        <f>'Table001 (Page 1-6)'!F442</f>
        <v>COLLECTOR</v>
      </c>
      <c r="J449" s="29"/>
      <c r="K449" s="29"/>
      <c r="L449" s="29">
        <f>'Table001 (Page 1-6)'!I442</f>
        <v>35820</v>
      </c>
      <c r="M449" s="29"/>
      <c r="N449" s="29">
        <f>'Table001 (Page 1-6)'!J442</f>
        <v>1800</v>
      </c>
      <c r="O449" s="29">
        <f>'Table001 (Page 1-6)'!L442</f>
        <v>35820</v>
      </c>
      <c r="P449" s="29"/>
      <c r="Q449" s="29">
        <f>'Table001 (Page 1-6)'!M442</f>
        <v>1800</v>
      </c>
      <c r="R449" s="29" t="str">
        <f>'Table001 (Page 1-6)'!S442</f>
        <v>11,300</v>
      </c>
      <c r="S449" s="31" t="str">
        <f>'Table001 (Page 1-6)'!T442</f>
        <v>0.32</v>
      </c>
      <c r="T449" s="29" t="str">
        <f>'Table001 (Page 1-6)'!U442</f>
        <v>C</v>
      </c>
      <c r="U449" s="29"/>
      <c r="V449" s="29"/>
      <c r="W449" s="29"/>
      <c r="X449" s="29"/>
      <c r="Y449" s="29"/>
      <c r="Z449" s="29"/>
      <c r="AA449" s="29"/>
      <c r="AB449" s="29"/>
      <c r="AC449" s="31"/>
      <c r="AD449" s="29"/>
      <c r="AE449" s="29"/>
      <c r="AF449" s="29"/>
      <c r="AG449" s="31"/>
      <c r="AH449" s="29"/>
      <c r="AI449" s="32">
        <f>('Table001 (Page 1-6)'!V442)*100</f>
        <v>1</v>
      </c>
      <c r="AJ449" s="35"/>
      <c r="AK449" s="35"/>
      <c r="AL449" s="35"/>
      <c r="AM449" s="35"/>
    </row>
    <row r="450" spans="2:39" x14ac:dyDescent="0.25">
      <c r="B450" s="37">
        <f>'Table001 (Page 1-6)'!A443</f>
        <v>6350</v>
      </c>
      <c r="C450" s="28" t="str">
        <f>'Table001 (Page 1-6)'!B443</f>
        <v>SW 95 ST</v>
      </c>
      <c r="D450" s="28" t="str">
        <f>'Table001 (Page 1-6)'!C443</f>
        <v>SW 60 AV</v>
      </c>
      <c r="E450" s="28" t="str">
        <f>'Table001 (Page 1-6)'!D443</f>
        <v>SW 49 AV</v>
      </c>
      <c r="F450" s="29">
        <f>'Table001 (Page 1-6)'!E443</f>
        <v>4</v>
      </c>
      <c r="G450" s="29">
        <f>'Table001 (Page 1-6)'!K443</f>
        <v>4</v>
      </c>
      <c r="H450" s="30" t="str">
        <f>'Table001 (Page 1-6)'!R443</f>
        <v>E</v>
      </c>
      <c r="I450" s="28" t="str">
        <f>'Table001 (Page 1-6)'!F443</f>
        <v>COLLECTOR</v>
      </c>
      <c r="J450" s="29"/>
      <c r="K450" s="29"/>
      <c r="L450" s="29">
        <f>'Table001 (Page 1-6)'!I443</f>
        <v>35820</v>
      </c>
      <c r="M450" s="29"/>
      <c r="N450" s="29">
        <f>'Table001 (Page 1-6)'!J443</f>
        <v>1800</v>
      </c>
      <c r="O450" s="29">
        <f>'Table001 (Page 1-6)'!L443</f>
        <v>35820</v>
      </c>
      <c r="P450" s="29"/>
      <c r="Q450" s="29">
        <f>'Table001 (Page 1-6)'!M443</f>
        <v>1800</v>
      </c>
      <c r="R450" s="29" t="str">
        <f>'Table001 (Page 1-6)'!S443</f>
        <v>11,300</v>
      </c>
      <c r="S450" s="31" t="str">
        <f>'Table001 (Page 1-6)'!T443</f>
        <v>0.32</v>
      </c>
      <c r="T450" s="29" t="str">
        <f>'Table001 (Page 1-6)'!U443</f>
        <v>C</v>
      </c>
      <c r="U450" s="29"/>
      <c r="V450" s="29"/>
      <c r="W450" s="29"/>
      <c r="X450" s="29"/>
      <c r="Y450" s="29"/>
      <c r="Z450" s="29"/>
      <c r="AA450" s="29"/>
      <c r="AB450" s="29"/>
      <c r="AC450" s="31"/>
      <c r="AD450" s="29"/>
      <c r="AE450" s="29"/>
      <c r="AF450" s="29"/>
      <c r="AG450" s="31"/>
      <c r="AH450" s="29"/>
      <c r="AI450" s="32">
        <f>('Table001 (Page 1-6)'!V443)*100</f>
        <v>1</v>
      </c>
      <c r="AJ450" s="35"/>
      <c r="AK450" s="35"/>
      <c r="AL450" s="35"/>
      <c r="AM450" s="35"/>
    </row>
    <row r="451" spans="2:39" x14ac:dyDescent="0.25">
      <c r="B451" s="37">
        <f>'Table001 (Page 1-6)'!A444</f>
        <v>6360</v>
      </c>
      <c r="C451" s="28" t="str">
        <f>'Table001 (Page 1-6)'!B444</f>
        <v>SW 95 ST</v>
      </c>
      <c r="D451" s="28" t="str">
        <f>'Table001 (Page 1-6)'!C444</f>
        <v>SW 49 AV</v>
      </c>
      <c r="E451" s="28" t="str">
        <f>'Table001 (Page 1-6)'!D444</f>
        <v>I-75 SB</v>
      </c>
      <c r="F451" s="29">
        <f>'Table001 (Page 1-6)'!E444</f>
        <v>2</v>
      </c>
      <c r="G451" s="29">
        <f>'Table001 (Page 1-6)'!K444</f>
        <v>2</v>
      </c>
      <c r="H451" s="30" t="str">
        <f>'Table001 (Page 1-6)'!R444</f>
        <v>E</v>
      </c>
      <c r="I451" s="28" t="str">
        <f>'Table001 (Page 1-6)'!F444</f>
        <v>COLLECTOR</v>
      </c>
      <c r="J451" s="29"/>
      <c r="K451" s="29"/>
      <c r="L451" s="29">
        <f>'Table001 (Page 1-6)'!I444</f>
        <v>29340</v>
      </c>
      <c r="M451" s="29"/>
      <c r="N451" s="29">
        <f>'Table001 (Page 1-6)'!J444</f>
        <v>1449</v>
      </c>
      <c r="O451" s="29">
        <f>'Table001 (Page 1-6)'!L444</f>
        <v>29340</v>
      </c>
      <c r="P451" s="29"/>
      <c r="Q451" s="29">
        <f>'Table001 (Page 1-6)'!M444</f>
        <v>1449</v>
      </c>
      <c r="R451" s="29" t="str">
        <f>'Table001 (Page 1-6)'!S444</f>
        <v>11,300</v>
      </c>
      <c r="S451" s="31" t="str">
        <f>'Table001 (Page 1-6)'!T444</f>
        <v>0.39</v>
      </c>
      <c r="T451" s="29" t="str">
        <f>'Table001 (Page 1-6)'!U444</f>
        <v>C</v>
      </c>
      <c r="U451" s="29"/>
      <c r="V451" s="29"/>
      <c r="W451" s="29"/>
      <c r="X451" s="29"/>
      <c r="Y451" s="29"/>
      <c r="Z451" s="29"/>
      <c r="AA451" s="29"/>
      <c r="AB451" s="29"/>
      <c r="AC451" s="31"/>
      <c r="AD451" s="29"/>
      <c r="AE451" s="29"/>
      <c r="AF451" s="29"/>
      <c r="AG451" s="31"/>
      <c r="AH451" s="29"/>
      <c r="AI451" s="32">
        <f>('Table001 (Page 1-6)'!V444)*100</f>
        <v>1</v>
      </c>
      <c r="AJ451" s="35"/>
      <c r="AK451" s="35"/>
      <c r="AL451" s="35"/>
      <c r="AM451" s="35"/>
    </row>
    <row r="452" spans="2:39" x14ac:dyDescent="0.25">
      <c r="B452" s="37">
        <f>'Table001 (Page 1-6)'!A445</f>
        <v>6370</v>
      </c>
      <c r="C452" s="28" t="str">
        <f>'Table001 (Page 1-6)'!B445</f>
        <v>CR 40</v>
      </c>
      <c r="D452" s="28" t="str">
        <f>'Table001 (Page 1-6)'!C445</f>
        <v>SW ROLLING HILLS RD</v>
      </c>
      <c r="E452" s="28" t="str">
        <f>'Table001 (Page 1-6)'!D445</f>
        <v>PENNSYLVANIA AV</v>
      </c>
      <c r="F452" s="29">
        <f>'Table001 (Page 1-6)'!E445</f>
        <v>2</v>
      </c>
      <c r="G452" s="29">
        <f>'Table001 (Page 1-6)'!K445</f>
        <v>2</v>
      </c>
      <c r="H452" s="30" t="str">
        <f>'Table001 (Page 1-6)'!R445</f>
        <v>E</v>
      </c>
      <c r="I452" s="28" t="str">
        <f>'Table001 (Page 1-6)'!F445</f>
        <v>COLLECTOR</v>
      </c>
      <c r="J452" s="29"/>
      <c r="K452" s="29"/>
      <c r="L452" s="29">
        <f>'Table001 (Page 1-6)'!I445</f>
        <v>29340</v>
      </c>
      <c r="M452" s="29"/>
      <c r="N452" s="29">
        <f>'Table001 (Page 1-6)'!J445</f>
        <v>1449</v>
      </c>
      <c r="O452" s="29">
        <f>'Table001 (Page 1-6)'!L445</f>
        <v>29340</v>
      </c>
      <c r="P452" s="29"/>
      <c r="Q452" s="29">
        <f>'Table001 (Page 1-6)'!M445</f>
        <v>1449</v>
      </c>
      <c r="R452" s="29" t="str">
        <f>'Table001 (Page 1-6)'!S445</f>
        <v>3,800</v>
      </c>
      <c r="S452" s="31" t="str">
        <f>'Table001 (Page 1-6)'!T445</f>
        <v>0.13</v>
      </c>
      <c r="T452" s="29" t="str">
        <f>'Table001 (Page 1-6)'!U445</f>
        <v>B</v>
      </c>
      <c r="U452" s="29"/>
      <c r="V452" s="29"/>
      <c r="W452" s="29"/>
      <c r="X452" s="29"/>
      <c r="Y452" s="29"/>
      <c r="Z452" s="29"/>
      <c r="AA452" s="29"/>
      <c r="AB452" s="29"/>
      <c r="AC452" s="31"/>
      <c r="AD452" s="29"/>
      <c r="AE452" s="29"/>
      <c r="AF452" s="29"/>
      <c r="AG452" s="31"/>
      <c r="AH452" s="29"/>
      <c r="AI452" s="32">
        <f>('Table001 (Page 1-6)'!V445)*100</f>
        <v>2.86</v>
      </c>
      <c r="AJ452" s="35"/>
      <c r="AK452" s="35"/>
      <c r="AL452" s="35"/>
      <c r="AM452" s="35"/>
    </row>
    <row r="453" spans="2:39" x14ac:dyDescent="0.25">
      <c r="B453" s="37">
        <f>'Table001 (Page 1-6)'!A446</f>
        <v>6380</v>
      </c>
      <c r="C453" s="28" t="str">
        <f>'Table001 (Page 1-6)'!B446</f>
        <v>SW MARTIN L KING AVE</v>
      </c>
      <c r="D453" s="28" t="str">
        <f>'Table001 (Page 1-6)'!C446</f>
        <v>SR 464</v>
      </c>
      <c r="E453" s="28" t="str">
        <f>'Table001 (Page 1-6)'!D446</f>
        <v>SR 200</v>
      </c>
      <c r="F453" s="29">
        <f>'Table001 (Page 1-6)'!E446</f>
        <v>4</v>
      </c>
      <c r="G453" s="29">
        <f>'Table001 (Page 1-6)'!K446</f>
        <v>4</v>
      </c>
      <c r="H453" s="30" t="str">
        <f>'Table001 (Page 1-6)'!R446</f>
        <v>E</v>
      </c>
      <c r="I453" s="28" t="str">
        <f>'Table001 (Page 1-6)'!F446</f>
        <v>COLLECTOR</v>
      </c>
      <c r="J453" s="29"/>
      <c r="K453" s="29"/>
      <c r="L453" s="29">
        <f>'Table001 (Page 1-6)'!I446</f>
        <v>30420</v>
      </c>
      <c r="M453" s="29"/>
      <c r="N453" s="29">
        <f>'Table001 (Page 1-6)'!J446</f>
        <v>1530</v>
      </c>
      <c r="O453" s="29">
        <f>'Table001 (Page 1-6)'!L446</f>
        <v>30420</v>
      </c>
      <c r="P453" s="29"/>
      <c r="Q453" s="29">
        <f>'Table001 (Page 1-6)'!M446</f>
        <v>1530</v>
      </c>
      <c r="R453" s="29" t="str">
        <f>'Table001 (Page 1-6)'!S446</f>
        <v>7,500</v>
      </c>
      <c r="S453" s="31" t="str">
        <f>'Table001 (Page 1-6)'!T446</f>
        <v>0.25</v>
      </c>
      <c r="T453" s="29" t="str">
        <f>'Table001 (Page 1-6)'!U446</f>
        <v>C</v>
      </c>
      <c r="U453" s="29"/>
      <c r="V453" s="29"/>
      <c r="W453" s="29"/>
      <c r="X453" s="29"/>
      <c r="Y453" s="29"/>
      <c r="Z453" s="29"/>
      <c r="AA453" s="29"/>
      <c r="AB453" s="29"/>
      <c r="AC453" s="31"/>
      <c r="AD453" s="29"/>
      <c r="AE453" s="29"/>
      <c r="AF453" s="29"/>
      <c r="AG453" s="31"/>
      <c r="AH453" s="29"/>
      <c r="AI453" s="32">
        <f>('Table001 (Page 1-6)'!V446)*100</f>
        <v>1</v>
      </c>
      <c r="AJ453" s="35"/>
      <c r="AK453" s="35"/>
      <c r="AL453" s="35"/>
      <c r="AM453" s="35"/>
    </row>
    <row r="454" spans="2:39" x14ac:dyDescent="0.25">
      <c r="B454" s="37">
        <f>'Table001 (Page 1-6)'!A447</f>
        <v>6390</v>
      </c>
      <c r="C454" s="28" t="str">
        <f>'Table001 (Page 1-6)'!B447</f>
        <v>SW MARTIN L KING AVE</v>
      </c>
      <c r="D454" s="28" t="str">
        <f>'Table001 (Page 1-6)'!C447</f>
        <v>SR 200</v>
      </c>
      <c r="E454" s="28" t="str">
        <f>'Table001 (Page 1-6)'!D447</f>
        <v>SR 40</v>
      </c>
      <c r="F454" s="29">
        <f>'Table001 (Page 1-6)'!E447</f>
        <v>4</v>
      </c>
      <c r="G454" s="29">
        <f>'Table001 (Page 1-6)'!K447</f>
        <v>4</v>
      </c>
      <c r="H454" s="30" t="str">
        <f>'Table001 (Page 1-6)'!R447</f>
        <v>E</v>
      </c>
      <c r="I454" s="28" t="str">
        <f>'Table001 (Page 1-6)'!F447</f>
        <v>ARTERIAL</v>
      </c>
      <c r="J454" s="29"/>
      <c r="K454" s="29"/>
      <c r="L454" s="29">
        <f>'Table001 (Page 1-6)'!I447</f>
        <v>28899</v>
      </c>
      <c r="M454" s="29"/>
      <c r="N454" s="29">
        <f>'Table001 (Page 1-6)'!J447</f>
        <v>720</v>
      </c>
      <c r="O454" s="29">
        <f>'Table001 (Page 1-6)'!L447</f>
        <v>28899</v>
      </c>
      <c r="P454" s="29"/>
      <c r="Q454" s="29">
        <f>'Table001 (Page 1-6)'!M447</f>
        <v>720</v>
      </c>
      <c r="R454" s="29" t="str">
        <f>'Table001 (Page 1-6)'!S447</f>
        <v>17,000</v>
      </c>
      <c r="S454" s="31" t="str">
        <f>'Table001 (Page 1-6)'!T447</f>
        <v>0.59</v>
      </c>
      <c r="T454" s="29" t="str">
        <f>'Table001 (Page 1-6)'!U447</f>
        <v>D</v>
      </c>
      <c r="U454" s="29"/>
      <c r="V454" s="29"/>
      <c r="W454" s="29"/>
      <c r="X454" s="29"/>
      <c r="Y454" s="29"/>
      <c r="Z454" s="29"/>
      <c r="AA454" s="29"/>
      <c r="AB454" s="29"/>
      <c r="AC454" s="31"/>
      <c r="AD454" s="29"/>
      <c r="AE454" s="29"/>
      <c r="AF454" s="29"/>
      <c r="AG454" s="31"/>
      <c r="AH454" s="29"/>
      <c r="AI454" s="32">
        <f>('Table001 (Page 1-6)'!V447)*100</f>
        <v>4.3099999999999996</v>
      </c>
      <c r="AJ454" s="35"/>
      <c r="AK454" s="35"/>
      <c r="AL454" s="35"/>
      <c r="AM454" s="35"/>
    </row>
    <row r="455" spans="2:39" x14ac:dyDescent="0.25">
      <c r="B455" s="37">
        <f>'Table001 (Page 1-6)'!A448</f>
        <v>6400</v>
      </c>
      <c r="C455" s="28" t="str">
        <f>'Table001 (Page 1-6)'!B448</f>
        <v>US 27</v>
      </c>
      <c r="D455" s="28" t="str">
        <f>'Table001 (Page 1-6)'!C448</f>
        <v>COUNTY LINE (W)</v>
      </c>
      <c r="E455" s="28" t="str">
        <f>'Table001 (Page 1-6)'!D448</f>
        <v>CR 464B</v>
      </c>
      <c r="F455" s="29">
        <f>'Table001 (Page 1-6)'!E448</f>
        <v>4</v>
      </c>
      <c r="G455" s="29">
        <f>'Table001 (Page 1-6)'!K448</f>
        <v>4</v>
      </c>
      <c r="H455" s="30" t="str">
        <f>'Table001 (Page 1-6)'!R448</f>
        <v>C</v>
      </c>
      <c r="I455" s="28" t="str">
        <f>'Table001 (Page 1-6)'!F448</f>
        <v>ARTERIAL</v>
      </c>
      <c r="J455" s="29"/>
      <c r="K455" s="29"/>
      <c r="L455" s="29">
        <f>'Table001 (Page 1-6)'!I448</f>
        <v>45800</v>
      </c>
      <c r="M455" s="29"/>
      <c r="N455" s="29">
        <f>'Table001 (Page 1-6)'!J448</f>
        <v>2390</v>
      </c>
      <c r="O455" s="29">
        <f>'Table001 (Page 1-6)'!L448</f>
        <v>45800</v>
      </c>
      <c r="P455" s="29"/>
      <c r="Q455" s="29">
        <f>'Table001 (Page 1-6)'!M448</f>
        <v>2390</v>
      </c>
      <c r="R455" s="29" t="str">
        <f>'Table001 (Page 1-6)'!S448</f>
        <v>8,500</v>
      </c>
      <c r="S455" s="31" t="str">
        <f>'Table001 (Page 1-6)'!T448</f>
        <v>0.19</v>
      </c>
      <c r="T455" s="29" t="str">
        <f>'Table001 (Page 1-6)'!U448</f>
        <v>B</v>
      </c>
      <c r="U455" s="29"/>
      <c r="V455" s="29"/>
      <c r="W455" s="29"/>
      <c r="X455" s="29"/>
      <c r="Y455" s="29"/>
      <c r="Z455" s="29"/>
      <c r="AA455" s="29"/>
      <c r="AB455" s="29"/>
      <c r="AC455" s="31"/>
      <c r="AD455" s="29"/>
      <c r="AE455" s="29"/>
      <c r="AF455" s="29"/>
      <c r="AG455" s="31"/>
      <c r="AH455" s="29"/>
      <c r="AI455" s="32">
        <f>('Table001 (Page 1-6)'!V448)*100</f>
        <v>1</v>
      </c>
      <c r="AJ455" s="35"/>
      <c r="AK455" s="35"/>
      <c r="AL455" s="35"/>
      <c r="AM455" s="35"/>
    </row>
    <row r="456" spans="2:39" x14ac:dyDescent="0.25">
      <c r="B456" s="37">
        <f>'Table001 (Page 1-6)'!A449</f>
        <v>6410</v>
      </c>
      <c r="C456" s="28" t="str">
        <f>'Table001 (Page 1-6)'!B449</f>
        <v>US 27</v>
      </c>
      <c r="D456" s="28" t="str">
        <f>'Table001 (Page 1-6)'!C449</f>
        <v>CR 464B</v>
      </c>
      <c r="E456" s="28" t="str">
        <f>'Table001 (Page 1-6)'!D449</f>
        <v>NW 80 AV</v>
      </c>
      <c r="F456" s="29">
        <f>'Table001 (Page 1-6)'!E449</f>
        <v>4</v>
      </c>
      <c r="G456" s="29">
        <f>'Table001 (Page 1-6)'!K449</f>
        <v>4</v>
      </c>
      <c r="H456" s="30" t="str">
        <f>'Table001 (Page 1-6)'!R449</f>
        <v>C</v>
      </c>
      <c r="I456" s="28" t="str">
        <f>'Table001 (Page 1-6)'!F449</f>
        <v>ARTERIAL</v>
      </c>
      <c r="J456" s="29"/>
      <c r="K456" s="29"/>
      <c r="L456" s="29">
        <f>'Table001 (Page 1-6)'!I449</f>
        <v>45800</v>
      </c>
      <c r="M456" s="29"/>
      <c r="N456" s="29">
        <f>'Table001 (Page 1-6)'!J449</f>
        <v>2390</v>
      </c>
      <c r="O456" s="29">
        <f>'Table001 (Page 1-6)'!L449</f>
        <v>45800</v>
      </c>
      <c r="P456" s="29"/>
      <c r="Q456" s="29">
        <f>'Table001 (Page 1-6)'!M449</f>
        <v>2390</v>
      </c>
      <c r="R456" s="29" t="str">
        <f>'Table001 (Page 1-6)'!S449</f>
        <v>13,300</v>
      </c>
      <c r="S456" s="31" t="str">
        <f>'Table001 (Page 1-6)'!T449</f>
        <v>0.29</v>
      </c>
      <c r="T456" s="29" t="str">
        <f>'Table001 (Page 1-6)'!U449</f>
        <v>B</v>
      </c>
      <c r="U456" s="29"/>
      <c r="V456" s="29"/>
      <c r="W456" s="29"/>
      <c r="X456" s="29"/>
      <c r="Y456" s="29"/>
      <c r="Z456" s="29"/>
      <c r="AA456" s="29"/>
      <c r="AB456" s="29"/>
      <c r="AC456" s="31"/>
      <c r="AD456" s="29"/>
      <c r="AE456" s="29"/>
      <c r="AF456" s="29"/>
      <c r="AG456" s="31"/>
      <c r="AH456" s="29"/>
      <c r="AI456" s="32">
        <f>('Table001 (Page 1-6)'!V449)*100</f>
        <v>1</v>
      </c>
      <c r="AJ456" s="35"/>
      <c r="AK456" s="35"/>
      <c r="AL456" s="35"/>
      <c r="AM456" s="35"/>
    </row>
    <row r="457" spans="2:39" x14ac:dyDescent="0.25">
      <c r="B457" s="37">
        <f>'Table001 (Page 1-6)'!A450</f>
        <v>6420</v>
      </c>
      <c r="C457" s="28" t="str">
        <f>'Table001 (Page 1-6)'!B450</f>
        <v>US 27</v>
      </c>
      <c r="D457" s="28" t="str">
        <f>'Table001 (Page 1-6)'!C450</f>
        <v>NW 80 AV</v>
      </c>
      <c r="E457" s="28" t="str">
        <f>'Table001 (Page 1-6)'!D450</f>
        <v>CR 225A</v>
      </c>
      <c r="F457" s="29">
        <f>'Table001 (Page 1-6)'!E450</f>
        <v>4</v>
      </c>
      <c r="G457" s="29">
        <f>'Table001 (Page 1-6)'!K450</f>
        <v>4</v>
      </c>
      <c r="H457" s="30" t="str">
        <f>'Table001 (Page 1-6)'!R450</f>
        <v>C</v>
      </c>
      <c r="I457" s="28" t="str">
        <f>'Table001 (Page 1-6)'!F450</f>
        <v>ARTERIAL</v>
      </c>
      <c r="J457" s="29"/>
      <c r="K457" s="29"/>
      <c r="L457" s="29">
        <f>'Table001 (Page 1-6)'!I450</f>
        <v>45800</v>
      </c>
      <c r="M457" s="29"/>
      <c r="N457" s="29">
        <f>'Table001 (Page 1-6)'!J450</f>
        <v>2390</v>
      </c>
      <c r="O457" s="29">
        <f>'Table001 (Page 1-6)'!L450</f>
        <v>45800</v>
      </c>
      <c r="P457" s="29"/>
      <c r="Q457" s="29">
        <f>'Table001 (Page 1-6)'!M450</f>
        <v>2390</v>
      </c>
      <c r="R457" s="29" t="str">
        <f>'Table001 (Page 1-6)'!S450</f>
        <v>13,300</v>
      </c>
      <c r="S457" s="31" t="str">
        <f>'Table001 (Page 1-6)'!T450</f>
        <v>0.29</v>
      </c>
      <c r="T457" s="29" t="str">
        <f>'Table001 (Page 1-6)'!U450</f>
        <v>B</v>
      </c>
      <c r="U457" s="29"/>
      <c r="V457" s="29"/>
      <c r="W457" s="29"/>
      <c r="X457" s="29"/>
      <c r="Y457" s="29"/>
      <c r="Z457" s="29"/>
      <c r="AA457" s="29"/>
      <c r="AB457" s="29"/>
      <c r="AC457" s="31"/>
      <c r="AD457" s="29"/>
      <c r="AE457" s="29"/>
      <c r="AF457" s="29"/>
      <c r="AG457" s="31"/>
      <c r="AH457" s="29"/>
      <c r="AI457" s="32">
        <f>('Table001 (Page 1-6)'!V450)*100</f>
        <v>1</v>
      </c>
      <c r="AJ457" s="35"/>
      <c r="AK457" s="35"/>
      <c r="AL457" s="35"/>
      <c r="AM457" s="35"/>
    </row>
    <row r="458" spans="2:39" x14ac:dyDescent="0.25">
      <c r="B458" s="37">
        <f>'Table001 (Page 1-6)'!A451</f>
        <v>6430</v>
      </c>
      <c r="C458" s="28" t="str">
        <f>'Table001 (Page 1-6)'!B451</f>
        <v>US 27</v>
      </c>
      <c r="D458" s="28" t="str">
        <f>'Table001 (Page 1-6)'!C451</f>
        <v>CR 225A</v>
      </c>
      <c r="E458" s="28" t="str">
        <f>'Table001 (Page 1-6)'!D451</f>
        <v>NW 60 AV</v>
      </c>
      <c r="F458" s="29">
        <f>'Table001 (Page 1-6)'!E451</f>
        <v>4</v>
      </c>
      <c r="G458" s="29">
        <f>'Table001 (Page 1-6)'!K451</f>
        <v>4</v>
      </c>
      <c r="H458" s="30" t="str">
        <f>'Table001 (Page 1-6)'!R451</f>
        <v>D</v>
      </c>
      <c r="I458" s="28" t="str">
        <f>'Table001 (Page 1-6)'!F451</f>
        <v>ARTERIAL</v>
      </c>
      <c r="J458" s="29"/>
      <c r="K458" s="29"/>
      <c r="L458" s="29">
        <f>'Table001 (Page 1-6)'!I451</f>
        <v>55700</v>
      </c>
      <c r="M458" s="29"/>
      <c r="N458" s="29">
        <f>'Table001 (Page 1-6)'!J451</f>
        <v>2910</v>
      </c>
      <c r="O458" s="29">
        <f>'Table001 (Page 1-6)'!L451</f>
        <v>55700</v>
      </c>
      <c r="P458" s="29"/>
      <c r="Q458" s="29">
        <f>'Table001 (Page 1-6)'!M451</f>
        <v>2910</v>
      </c>
      <c r="R458" s="29" t="str">
        <f>'Table001 (Page 1-6)'!S451</f>
        <v>18,100</v>
      </c>
      <c r="S458" s="31" t="str">
        <f>'Table001 (Page 1-6)'!T451</f>
        <v>0.32</v>
      </c>
      <c r="T458" s="29" t="str">
        <f>'Table001 (Page 1-6)'!U451</f>
        <v>B</v>
      </c>
      <c r="U458" s="29"/>
      <c r="V458" s="29"/>
      <c r="W458" s="29"/>
      <c r="X458" s="29"/>
      <c r="Y458" s="29"/>
      <c r="Z458" s="29"/>
      <c r="AA458" s="29"/>
      <c r="AB458" s="29"/>
      <c r="AC458" s="31"/>
      <c r="AD458" s="29"/>
      <c r="AE458" s="29"/>
      <c r="AF458" s="29"/>
      <c r="AG458" s="31"/>
      <c r="AH458" s="29"/>
      <c r="AI458" s="32">
        <f>('Table001 (Page 1-6)'!V451)*100</f>
        <v>1</v>
      </c>
      <c r="AJ458" s="35"/>
      <c r="AK458" s="35"/>
      <c r="AL458" s="35"/>
      <c r="AM458" s="35"/>
    </row>
    <row r="459" spans="2:39" x14ac:dyDescent="0.25">
      <c r="B459" s="37">
        <f>'Table001 (Page 1-6)'!A452</f>
        <v>6440</v>
      </c>
      <c r="C459" s="28" t="str">
        <f>'Table001 (Page 1-6)'!B452</f>
        <v>US 27</v>
      </c>
      <c r="D459" s="28" t="str">
        <f>'Table001 (Page 1-6)'!C452</f>
        <v>NW 60 AV</v>
      </c>
      <c r="E459" s="28" t="str">
        <f>'Table001 (Page 1-6)'!D452</f>
        <v>NW 49 AV</v>
      </c>
      <c r="F459" s="29">
        <f>'Table001 (Page 1-6)'!E452</f>
        <v>4</v>
      </c>
      <c r="G459" s="29">
        <f>'Table001 (Page 1-6)'!K452</f>
        <v>4</v>
      </c>
      <c r="H459" s="30" t="str">
        <f>'Table001 (Page 1-6)'!R452</f>
        <v>D</v>
      </c>
      <c r="I459" s="28" t="str">
        <f>'Table001 (Page 1-6)'!F452</f>
        <v>ARTERIAL</v>
      </c>
      <c r="J459" s="29"/>
      <c r="K459" s="29"/>
      <c r="L459" s="29">
        <f>'Table001 (Page 1-6)'!I452</f>
        <v>55700</v>
      </c>
      <c r="M459" s="29"/>
      <c r="N459" s="29">
        <f>'Table001 (Page 1-6)'!J452</f>
        <v>2910</v>
      </c>
      <c r="O459" s="29">
        <f>'Table001 (Page 1-6)'!L452</f>
        <v>55700</v>
      </c>
      <c r="P459" s="29"/>
      <c r="Q459" s="29">
        <f>'Table001 (Page 1-6)'!M452</f>
        <v>2910</v>
      </c>
      <c r="R459" s="29" t="str">
        <f>'Table001 (Page 1-6)'!S452</f>
        <v>18,100</v>
      </c>
      <c r="S459" s="31" t="str">
        <f>'Table001 (Page 1-6)'!T452</f>
        <v>0.32</v>
      </c>
      <c r="T459" s="29" t="str">
        <f>'Table001 (Page 1-6)'!U452</f>
        <v>B</v>
      </c>
      <c r="U459" s="29"/>
      <c r="V459" s="29"/>
      <c r="W459" s="29"/>
      <c r="X459" s="29"/>
      <c r="Y459" s="29"/>
      <c r="Z459" s="29"/>
      <c r="AA459" s="29"/>
      <c r="AB459" s="29"/>
      <c r="AC459" s="31"/>
      <c r="AD459" s="29"/>
      <c r="AE459" s="29"/>
      <c r="AF459" s="29"/>
      <c r="AG459" s="31"/>
      <c r="AH459" s="29"/>
      <c r="AI459" s="32">
        <f>('Table001 (Page 1-6)'!V452)*100</f>
        <v>1</v>
      </c>
      <c r="AJ459" s="35"/>
      <c r="AK459" s="35"/>
      <c r="AL459" s="35"/>
      <c r="AM459" s="35"/>
    </row>
    <row r="460" spans="2:39" x14ac:dyDescent="0.25">
      <c r="B460" s="37">
        <f>'Table001 (Page 1-6)'!A453</f>
        <v>6450</v>
      </c>
      <c r="C460" s="28" t="str">
        <f>'Table001 (Page 1-6)'!B453</f>
        <v>US 27</v>
      </c>
      <c r="D460" s="28" t="str">
        <f>'Table001 (Page 1-6)'!C453</f>
        <v>NW 49 AV</v>
      </c>
      <c r="E460" s="28" t="str">
        <f>'Table001 (Page 1-6)'!D453</f>
        <v>NW 44 AV</v>
      </c>
      <c r="F460" s="29">
        <f>'Table001 (Page 1-6)'!E453</f>
        <v>4</v>
      </c>
      <c r="G460" s="29">
        <f>'Table001 (Page 1-6)'!K453</f>
        <v>4</v>
      </c>
      <c r="H460" s="30" t="str">
        <f>'Table001 (Page 1-6)'!R453</f>
        <v>D</v>
      </c>
      <c r="I460" s="28" t="str">
        <f>'Table001 (Page 1-6)'!F453</f>
        <v>ARTERIAL</v>
      </c>
      <c r="J460" s="29"/>
      <c r="K460" s="29"/>
      <c r="L460" s="29">
        <f>'Table001 (Page 1-6)'!I453</f>
        <v>55700</v>
      </c>
      <c r="M460" s="29"/>
      <c r="N460" s="29">
        <f>'Table001 (Page 1-6)'!J453</f>
        <v>2910</v>
      </c>
      <c r="O460" s="29">
        <f>'Table001 (Page 1-6)'!L453</f>
        <v>55700</v>
      </c>
      <c r="P460" s="29"/>
      <c r="Q460" s="29">
        <f>'Table001 (Page 1-6)'!M453</f>
        <v>2910</v>
      </c>
      <c r="R460" s="29" t="str">
        <f>'Table001 (Page 1-6)'!S453</f>
        <v>21,700</v>
      </c>
      <c r="S460" s="31" t="str">
        <f>'Table001 (Page 1-6)'!T453</f>
        <v>0.39</v>
      </c>
      <c r="T460" s="29" t="str">
        <f>'Table001 (Page 1-6)'!U453</f>
        <v>B</v>
      </c>
      <c r="U460" s="29"/>
      <c r="V460" s="29"/>
      <c r="W460" s="29"/>
      <c r="X460" s="29"/>
      <c r="Y460" s="29"/>
      <c r="Z460" s="29"/>
      <c r="AA460" s="29"/>
      <c r="AB460" s="29"/>
      <c r="AC460" s="31"/>
      <c r="AD460" s="29"/>
      <c r="AE460" s="29"/>
      <c r="AF460" s="29"/>
      <c r="AG460" s="31"/>
      <c r="AH460" s="29"/>
      <c r="AI460" s="32">
        <f>('Table001 (Page 1-6)'!V453)*100</f>
        <v>1</v>
      </c>
      <c r="AJ460" s="35"/>
      <c r="AK460" s="35"/>
      <c r="AL460" s="35"/>
      <c r="AM460" s="35"/>
    </row>
    <row r="461" spans="2:39" x14ac:dyDescent="0.25">
      <c r="B461" s="37">
        <f>'Table001 (Page 1-6)'!A454</f>
        <v>6460</v>
      </c>
      <c r="C461" s="28" t="str">
        <f>'Table001 (Page 1-6)'!B454</f>
        <v>US 27</v>
      </c>
      <c r="D461" s="28" t="str">
        <f>'Table001 (Page 1-6)'!C454</f>
        <v>NW 44 AV</v>
      </c>
      <c r="E461" s="28" t="str">
        <f>'Table001 (Page 1-6)'!D454</f>
        <v>I-75</v>
      </c>
      <c r="F461" s="29">
        <f>'Table001 (Page 1-6)'!E454</f>
        <v>4</v>
      </c>
      <c r="G461" s="29">
        <f>'Table001 (Page 1-6)'!K454</f>
        <v>4</v>
      </c>
      <c r="H461" s="30" t="str">
        <f>'Table001 (Page 1-6)'!R454</f>
        <v>D</v>
      </c>
      <c r="I461" s="28" t="str">
        <f>'Table001 (Page 1-6)'!F454</f>
        <v>ARTERIAL</v>
      </c>
      <c r="J461" s="29"/>
      <c r="K461" s="29"/>
      <c r="L461" s="29">
        <f>'Table001 (Page 1-6)'!I454</f>
        <v>55700</v>
      </c>
      <c r="M461" s="29"/>
      <c r="N461" s="29">
        <f>'Table001 (Page 1-6)'!J454</f>
        <v>2910</v>
      </c>
      <c r="O461" s="29">
        <f>'Table001 (Page 1-6)'!L454</f>
        <v>55700</v>
      </c>
      <c r="P461" s="29"/>
      <c r="Q461" s="29">
        <f>'Table001 (Page 1-6)'!M454</f>
        <v>2910</v>
      </c>
      <c r="R461" s="29" t="str">
        <f>'Table001 (Page 1-6)'!S454</f>
        <v>21,700</v>
      </c>
      <c r="S461" s="31" t="str">
        <f>'Table001 (Page 1-6)'!T454</f>
        <v>0.39</v>
      </c>
      <c r="T461" s="29" t="str">
        <f>'Table001 (Page 1-6)'!U454</f>
        <v>B</v>
      </c>
      <c r="U461" s="29"/>
      <c r="V461" s="29"/>
      <c r="W461" s="29"/>
      <c r="X461" s="29"/>
      <c r="Y461" s="29"/>
      <c r="Z461" s="29"/>
      <c r="AA461" s="29"/>
      <c r="AB461" s="29"/>
      <c r="AC461" s="31"/>
      <c r="AD461" s="29"/>
      <c r="AE461" s="29"/>
      <c r="AF461" s="29"/>
      <c r="AG461" s="31"/>
      <c r="AH461" s="29"/>
      <c r="AI461" s="32">
        <f>('Table001 (Page 1-6)'!V454)*100</f>
        <v>1</v>
      </c>
      <c r="AJ461" s="35"/>
      <c r="AK461" s="35"/>
      <c r="AL461" s="35"/>
      <c r="AM461" s="35"/>
    </row>
    <row r="462" spans="2:39" x14ac:dyDescent="0.25">
      <c r="B462" s="37">
        <f>'Table001 (Page 1-6)'!A455</f>
        <v>6490</v>
      </c>
      <c r="C462" s="28" t="str">
        <f>'Table001 (Page 1-6)'!B455</f>
        <v>US 27</v>
      </c>
      <c r="D462" s="28" t="str">
        <f>'Table001 (Page 1-6)'!C455</f>
        <v>I-75</v>
      </c>
      <c r="E462" s="28" t="str">
        <f>'Table001 (Page 1-6)'!D455</f>
        <v>NW 27 AV</v>
      </c>
      <c r="F462" s="29">
        <f>'Table001 (Page 1-6)'!E455</f>
        <v>4</v>
      </c>
      <c r="G462" s="29">
        <f>'Table001 (Page 1-6)'!K455</f>
        <v>4</v>
      </c>
      <c r="H462" s="30" t="str">
        <f>'Table001 (Page 1-6)'!R455</f>
        <v>D</v>
      </c>
      <c r="I462" s="28" t="str">
        <f>'Table001 (Page 1-6)'!F455</f>
        <v>ARTERIAL</v>
      </c>
      <c r="J462" s="29"/>
      <c r="K462" s="29"/>
      <c r="L462" s="29">
        <f>'Table001 (Page 1-6)'!I455</f>
        <v>38430</v>
      </c>
      <c r="M462" s="29"/>
      <c r="N462" s="29">
        <f>'Table001 (Page 1-6)'!J455</f>
        <v>1901</v>
      </c>
      <c r="O462" s="29">
        <f>'Table001 (Page 1-6)'!L455</f>
        <v>38430</v>
      </c>
      <c r="P462" s="29"/>
      <c r="Q462" s="29">
        <f>'Table001 (Page 1-6)'!M455</f>
        <v>1901</v>
      </c>
      <c r="R462" s="29" t="str">
        <f>'Table001 (Page 1-6)'!S455</f>
        <v>21,200</v>
      </c>
      <c r="S462" s="31" t="str">
        <f>'Table001 (Page 1-6)'!T455</f>
        <v>0.55</v>
      </c>
      <c r="T462" s="29" t="str">
        <f>'Table001 (Page 1-6)'!U455</f>
        <v>C</v>
      </c>
      <c r="U462" s="29"/>
      <c r="V462" s="29"/>
      <c r="W462" s="29"/>
      <c r="X462" s="29"/>
      <c r="Y462" s="29"/>
      <c r="Z462" s="29"/>
      <c r="AA462" s="29"/>
      <c r="AB462" s="29"/>
      <c r="AC462" s="31"/>
      <c r="AD462" s="29"/>
      <c r="AE462" s="29"/>
      <c r="AF462" s="29"/>
      <c r="AG462" s="31"/>
      <c r="AH462" s="29"/>
      <c r="AI462" s="32">
        <f>('Table001 (Page 1-6)'!V455)*100</f>
        <v>1</v>
      </c>
      <c r="AJ462" s="35"/>
      <c r="AK462" s="35"/>
      <c r="AL462" s="35"/>
      <c r="AM462" s="35"/>
    </row>
    <row r="463" spans="2:39" x14ac:dyDescent="0.25">
      <c r="B463" s="37">
        <f>'Table001 (Page 1-6)'!A456</f>
        <v>6500</v>
      </c>
      <c r="C463" s="28" t="str">
        <f>'Table001 (Page 1-6)'!B456</f>
        <v>US 27</v>
      </c>
      <c r="D463" s="28" t="str">
        <f>'Table001 (Page 1-6)'!C456</f>
        <v>NW 27 AV</v>
      </c>
      <c r="E463" s="28" t="str">
        <f>'Table001 (Page 1-6)'!D456</f>
        <v>NW MARTIN L KING AV</v>
      </c>
      <c r="F463" s="29">
        <f>'Table001 (Page 1-6)'!E456</f>
        <v>4</v>
      </c>
      <c r="G463" s="29">
        <f>'Table001 (Page 1-6)'!K456</f>
        <v>4</v>
      </c>
      <c r="H463" s="30" t="str">
        <f>'Table001 (Page 1-6)'!R456</f>
        <v>D</v>
      </c>
      <c r="I463" s="28" t="str">
        <f>'Table001 (Page 1-6)'!F456</f>
        <v>ARTERIAL</v>
      </c>
      <c r="J463" s="29"/>
      <c r="K463" s="29"/>
      <c r="L463" s="29">
        <f>'Table001 (Page 1-6)'!I456</f>
        <v>38430</v>
      </c>
      <c r="M463" s="29"/>
      <c r="N463" s="29">
        <f>'Table001 (Page 1-6)'!J456</f>
        <v>1901</v>
      </c>
      <c r="O463" s="29">
        <f>'Table001 (Page 1-6)'!L456</f>
        <v>38430</v>
      </c>
      <c r="P463" s="29"/>
      <c r="Q463" s="29">
        <f>'Table001 (Page 1-6)'!M456</f>
        <v>1901</v>
      </c>
      <c r="R463" s="29" t="str">
        <f>'Table001 (Page 1-6)'!S456</f>
        <v>23,700</v>
      </c>
      <c r="S463" s="31" t="str">
        <f>'Table001 (Page 1-6)'!T456</f>
        <v>0.62</v>
      </c>
      <c r="T463" s="29" t="str">
        <f>'Table001 (Page 1-6)'!U456</f>
        <v>C</v>
      </c>
      <c r="U463" s="29"/>
      <c r="V463" s="29"/>
      <c r="W463" s="29"/>
      <c r="X463" s="29"/>
      <c r="Y463" s="29"/>
      <c r="Z463" s="29"/>
      <c r="AA463" s="29"/>
      <c r="AB463" s="29"/>
      <c r="AC463" s="31"/>
      <c r="AD463" s="29"/>
      <c r="AE463" s="29"/>
      <c r="AF463" s="29"/>
      <c r="AG463" s="31"/>
      <c r="AH463" s="29"/>
      <c r="AI463" s="32">
        <f>('Table001 (Page 1-6)'!V456)*100</f>
        <v>1</v>
      </c>
      <c r="AJ463" s="35"/>
      <c r="AK463" s="35"/>
      <c r="AL463" s="35"/>
      <c r="AM463" s="35"/>
    </row>
    <row r="464" spans="2:39" x14ac:dyDescent="0.25">
      <c r="B464" s="37">
        <f>'Table001 (Page 1-6)'!A457</f>
        <v>6510</v>
      </c>
      <c r="C464" s="28" t="str">
        <f>'Table001 (Page 1-6)'!B457</f>
        <v>US 27</v>
      </c>
      <c r="D464" s="28" t="str">
        <f>'Table001 (Page 1-6)'!C457</f>
        <v>NW MARTIN L KING AV</v>
      </c>
      <c r="E464" s="28" t="str">
        <f>'Table001 (Page 1-6)'!D457</f>
        <v>US 441</v>
      </c>
      <c r="F464" s="29">
        <f>'Table001 (Page 1-6)'!E457</f>
        <v>4</v>
      </c>
      <c r="G464" s="29">
        <f>'Table001 (Page 1-6)'!K457</f>
        <v>4</v>
      </c>
      <c r="H464" s="30" t="str">
        <f>'Table001 (Page 1-6)'!R457</f>
        <v>D</v>
      </c>
      <c r="I464" s="28" t="str">
        <f>'Table001 (Page 1-6)'!F457</f>
        <v>ARTERIAL</v>
      </c>
      <c r="J464" s="29"/>
      <c r="K464" s="29"/>
      <c r="L464" s="29">
        <f>'Table001 (Page 1-6)'!I457</f>
        <v>38430</v>
      </c>
      <c r="M464" s="29"/>
      <c r="N464" s="29">
        <f>'Table001 (Page 1-6)'!J457</f>
        <v>1901</v>
      </c>
      <c r="O464" s="29">
        <f>'Table001 (Page 1-6)'!L457</f>
        <v>38430</v>
      </c>
      <c r="P464" s="29"/>
      <c r="Q464" s="29">
        <f>'Table001 (Page 1-6)'!M457</f>
        <v>1901</v>
      </c>
      <c r="R464" s="29" t="str">
        <f>'Table001 (Page 1-6)'!S457</f>
        <v>26,300</v>
      </c>
      <c r="S464" s="31" t="str">
        <f>'Table001 (Page 1-6)'!T457</f>
        <v>0.68</v>
      </c>
      <c r="T464" s="29" t="str">
        <f>'Table001 (Page 1-6)'!U457</f>
        <v>C</v>
      </c>
      <c r="U464" s="29"/>
      <c r="V464" s="29"/>
      <c r="W464" s="29"/>
      <c r="X464" s="29"/>
      <c r="Y464" s="29"/>
      <c r="Z464" s="29"/>
      <c r="AA464" s="29"/>
      <c r="AB464" s="29"/>
      <c r="AC464" s="31"/>
      <c r="AD464" s="29"/>
      <c r="AE464" s="29"/>
      <c r="AF464" s="29"/>
      <c r="AG464" s="31"/>
      <c r="AH464" s="29"/>
      <c r="AI464" s="32">
        <f>('Table001 (Page 1-6)'!V457)*100</f>
        <v>1</v>
      </c>
      <c r="AJ464" s="35"/>
      <c r="AK464" s="35"/>
      <c r="AL464" s="35"/>
      <c r="AM464" s="35"/>
    </row>
    <row r="465" spans="2:39" x14ac:dyDescent="0.25">
      <c r="B465" s="37">
        <f>'Table001 (Page 1-6)'!A458</f>
        <v>6530.1</v>
      </c>
      <c r="C465" s="28" t="str">
        <f>'Table001 (Page 1-6)'!B458</f>
        <v>US 301</v>
      </c>
      <c r="D465" s="28" t="str">
        <f>'Table001 (Page 1-6)'!C458</f>
        <v>COUNTY LINE (S)</v>
      </c>
      <c r="E465" s="28" t="str">
        <f>'Table001 (Page 1-6)'!D458</f>
        <v>CR 42</v>
      </c>
      <c r="F465" s="29">
        <f>'Table001 (Page 1-6)'!E458</f>
        <v>4</v>
      </c>
      <c r="G465" s="29">
        <f>'Table001 (Page 1-6)'!K458</f>
        <v>4</v>
      </c>
      <c r="H465" s="30" t="str">
        <f>'Table001 (Page 1-6)'!R458</f>
        <v>D</v>
      </c>
      <c r="I465" s="28" t="str">
        <f>'Table001 (Page 1-6)'!F458</f>
        <v>ARTERIAL</v>
      </c>
      <c r="J465" s="29"/>
      <c r="K465" s="29"/>
      <c r="L465" s="29">
        <f>'Table001 (Page 1-6)'!I458</f>
        <v>55700</v>
      </c>
      <c r="M465" s="29"/>
      <c r="N465" s="29">
        <f>'Table001 (Page 1-6)'!J458</f>
        <v>2910</v>
      </c>
      <c r="O465" s="29">
        <f>'Table001 (Page 1-6)'!L458</f>
        <v>55700</v>
      </c>
      <c r="P465" s="29"/>
      <c r="Q465" s="29">
        <f>'Table001 (Page 1-6)'!M458</f>
        <v>2910</v>
      </c>
      <c r="R465" s="29" t="str">
        <f>'Table001 (Page 1-6)'!S458</f>
        <v>24,100</v>
      </c>
      <c r="S465" s="31" t="str">
        <f>'Table001 (Page 1-6)'!T458</f>
        <v>0.43</v>
      </c>
      <c r="T465" s="29" t="str">
        <f>'Table001 (Page 1-6)'!U458</f>
        <v>B</v>
      </c>
      <c r="U465" s="29"/>
      <c r="V465" s="29"/>
      <c r="W465" s="29"/>
      <c r="X465" s="29"/>
      <c r="Y465" s="29"/>
      <c r="Z465" s="29"/>
      <c r="AA465" s="29"/>
      <c r="AB465" s="29"/>
      <c r="AC465" s="31"/>
      <c r="AD465" s="29"/>
      <c r="AE465" s="29"/>
      <c r="AF465" s="29"/>
      <c r="AG465" s="31"/>
      <c r="AH465" s="29"/>
      <c r="AI465" s="32">
        <f>('Table001 (Page 1-6)'!V458)*100</f>
        <v>4.9399999999999995</v>
      </c>
      <c r="AJ465" s="35"/>
      <c r="AK465" s="35"/>
      <c r="AL465" s="35"/>
      <c r="AM465" s="35"/>
    </row>
    <row r="466" spans="2:39" x14ac:dyDescent="0.25">
      <c r="B466" s="37">
        <f>'Table001 (Page 1-6)'!A459</f>
        <v>6540</v>
      </c>
      <c r="C466" s="28" t="str">
        <f>'Table001 (Page 1-6)'!B459</f>
        <v>US 301</v>
      </c>
      <c r="D466" s="28" t="str">
        <f>'Table001 (Page 1-6)'!C459</f>
        <v>CR 42</v>
      </c>
      <c r="E466" s="28" t="str">
        <f>'Table001 (Page 1-6)'!D459</f>
        <v>SE 147 ST</v>
      </c>
      <c r="F466" s="29">
        <f>'Table001 (Page 1-6)'!E459</f>
        <v>2</v>
      </c>
      <c r="G466" s="29">
        <f>'Table001 (Page 1-6)'!K459</f>
        <v>2</v>
      </c>
      <c r="H466" s="30" t="str">
        <f>'Table001 (Page 1-6)'!R459</f>
        <v>D</v>
      </c>
      <c r="I466" s="28" t="str">
        <f>'Table001 (Page 1-6)'!F459</f>
        <v>ARTERIAL</v>
      </c>
      <c r="J466" s="29"/>
      <c r="K466" s="29"/>
      <c r="L466" s="29">
        <f>'Table001 (Page 1-6)'!I459</f>
        <v>14000</v>
      </c>
      <c r="M466" s="29"/>
      <c r="N466" s="29">
        <f>'Table001 (Page 1-6)'!J459</f>
        <v>730</v>
      </c>
      <c r="O466" s="29">
        <f>'Table001 (Page 1-6)'!L459</f>
        <v>14000</v>
      </c>
      <c r="P466" s="29"/>
      <c r="Q466" s="29">
        <f>'Table001 (Page 1-6)'!M459</f>
        <v>730</v>
      </c>
      <c r="R466" s="29" t="str">
        <f>'Table001 (Page 1-6)'!S459</f>
        <v>17,700</v>
      </c>
      <c r="S466" s="31" t="str">
        <f>'Table001 (Page 1-6)'!T459</f>
        <v>1.26</v>
      </c>
      <c r="T466" s="29" t="str">
        <f>'Table001 (Page 1-6)'!U459</f>
        <v>E</v>
      </c>
      <c r="U466" s="29"/>
      <c r="V466" s="29"/>
      <c r="W466" s="29"/>
      <c r="X466" s="29"/>
      <c r="Y466" s="29"/>
      <c r="Z466" s="29"/>
      <c r="AA466" s="29"/>
      <c r="AB466" s="29"/>
      <c r="AC466" s="31"/>
      <c r="AD466" s="29"/>
      <c r="AE466" s="29"/>
      <c r="AF466" s="29"/>
      <c r="AG466" s="31"/>
      <c r="AH466" s="29"/>
      <c r="AI466" s="32">
        <f>('Table001 (Page 1-6)'!V459)*100</f>
        <v>1</v>
      </c>
      <c r="AJ466" s="35"/>
      <c r="AK466" s="35"/>
      <c r="AL466" s="35"/>
      <c r="AM466" s="35"/>
    </row>
    <row r="467" spans="2:39" x14ac:dyDescent="0.25">
      <c r="B467" s="37">
        <f>'Table001 (Page 1-6)'!A460</f>
        <v>6550.1</v>
      </c>
      <c r="C467" s="28" t="str">
        <f>'Table001 (Page 1-6)'!B460</f>
        <v>US 301</v>
      </c>
      <c r="D467" s="28" t="str">
        <f>'Table001 (Page 1-6)'!C460</f>
        <v>SE 147 ST</v>
      </c>
      <c r="E467" s="28" t="str">
        <f>'Table001 (Page 1-6)'!D460</f>
        <v>US 441</v>
      </c>
      <c r="F467" s="29">
        <f>'Table001 (Page 1-6)'!E460</f>
        <v>4</v>
      </c>
      <c r="G467" s="29">
        <f>'Table001 (Page 1-6)'!K460</f>
        <v>4</v>
      </c>
      <c r="H467" s="30" t="str">
        <f>'Table001 (Page 1-6)'!R460</f>
        <v>D</v>
      </c>
      <c r="I467" s="28" t="str">
        <f>'Table001 (Page 1-6)'!F460</f>
        <v>ARTERIAL</v>
      </c>
      <c r="J467" s="29"/>
      <c r="K467" s="29"/>
      <c r="L467" s="29">
        <f>'Table001 (Page 1-6)'!I460</f>
        <v>32970</v>
      </c>
      <c r="M467" s="29"/>
      <c r="N467" s="29">
        <f>'Table001 (Page 1-6)'!J460</f>
        <v>987</v>
      </c>
      <c r="O467" s="29">
        <f>'Table001 (Page 1-6)'!L460</f>
        <v>32970</v>
      </c>
      <c r="P467" s="29"/>
      <c r="Q467" s="29">
        <f>'Table001 (Page 1-6)'!M460</f>
        <v>987</v>
      </c>
      <c r="R467" s="29" t="str">
        <f>'Table001 (Page 1-6)'!S460</f>
        <v>13,200</v>
      </c>
      <c r="S467" s="31" t="str">
        <f>'Table001 (Page 1-6)'!T460</f>
        <v>0.7</v>
      </c>
      <c r="T467" s="29" t="str">
        <f>'Table001 (Page 1-6)'!U460</f>
        <v>C</v>
      </c>
      <c r="U467" s="29"/>
      <c r="V467" s="29"/>
      <c r="W467" s="29"/>
      <c r="X467" s="29"/>
      <c r="Y467" s="29"/>
      <c r="Z467" s="29"/>
      <c r="AA467" s="29"/>
      <c r="AB467" s="29"/>
      <c r="AC467" s="31"/>
      <c r="AD467" s="29"/>
      <c r="AE467" s="29"/>
      <c r="AF467" s="29"/>
      <c r="AG467" s="31"/>
      <c r="AH467" s="29"/>
      <c r="AI467" s="32">
        <f>('Table001 (Page 1-6)'!V460)*100</f>
        <v>1</v>
      </c>
      <c r="AJ467" s="35"/>
      <c r="AK467" s="35"/>
      <c r="AL467" s="35"/>
      <c r="AM467" s="35"/>
    </row>
    <row r="468" spans="2:39" x14ac:dyDescent="0.25">
      <c r="B468" s="37">
        <f>'Table001 (Page 1-6)'!A461</f>
        <v>6560</v>
      </c>
      <c r="C468" s="28" t="str">
        <f>'Table001 (Page 1-6)'!B461</f>
        <v>US 301</v>
      </c>
      <c r="D468" s="28" t="str">
        <f>'Table001 (Page 1-6)'!C461</f>
        <v>US 441</v>
      </c>
      <c r="E468" s="28" t="str">
        <f>'Table001 (Page 1-6)'!D461</f>
        <v>NE JACKSONVILLE RD</v>
      </c>
      <c r="F468" s="29">
        <f>'Table001 (Page 1-6)'!E461</f>
        <v>4</v>
      </c>
      <c r="G468" s="29">
        <f>'Table001 (Page 1-6)'!K461</f>
        <v>4</v>
      </c>
      <c r="H468" s="30" t="str">
        <f>'Table001 (Page 1-6)'!R461</f>
        <v>C</v>
      </c>
      <c r="I468" s="28" t="str">
        <f>'Table001 (Page 1-6)'!F461</f>
        <v>ARTERIAL</v>
      </c>
      <c r="J468" s="29"/>
      <c r="K468" s="29"/>
      <c r="L468" s="29">
        <f>'Table001 (Page 1-6)'!I461</f>
        <v>45800</v>
      </c>
      <c r="M468" s="29"/>
      <c r="N468" s="29">
        <f>'Table001 (Page 1-6)'!J461</f>
        <v>2390</v>
      </c>
      <c r="O468" s="29">
        <f>'Table001 (Page 1-6)'!L461</f>
        <v>45800</v>
      </c>
      <c r="P468" s="29"/>
      <c r="Q468" s="29">
        <f>'Table001 (Page 1-6)'!M461</f>
        <v>2390</v>
      </c>
      <c r="R468" s="29" t="str">
        <f>'Table001 (Page 1-6)'!S461</f>
        <v>10,000</v>
      </c>
      <c r="S468" s="31" t="str">
        <f>'Table001 (Page 1-6)'!T461</f>
        <v>0.22</v>
      </c>
      <c r="T468" s="29" t="str">
        <f>'Table001 (Page 1-6)'!U461</f>
        <v>B</v>
      </c>
      <c r="U468" s="29"/>
      <c r="V468" s="29"/>
      <c r="W468" s="29"/>
      <c r="X468" s="29"/>
      <c r="Y468" s="29"/>
      <c r="Z468" s="29"/>
      <c r="AA468" s="29"/>
      <c r="AB468" s="29"/>
      <c r="AC468" s="31"/>
      <c r="AD468" s="29"/>
      <c r="AE468" s="29"/>
      <c r="AF468" s="29"/>
      <c r="AG468" s="31"/>
      <c r="AH468" s="29"/>
      <c r="AI468" s="32">
        <f>('Table001 (Page 1-6)'!V461)*100</f>
        <v>1</v>
      </c>
      <c r="AJ468" s="35"/>
      <c r="AK468" s="35"/>
      <c r="AL468" s="35"/>
      <c r="AM468" s="35"/>
    </row>
    <row r="469" spans="2:39" x14ac:dyDescent="0.25">
      <c r="B469" s="37">
        <f>'Table001 (Page 1-6)'!A462</f>
        <v>6570</v>
      </c>
      <c r="C469" s="28" t="str">
        <f>'Table001 (Page 1-6)'!B462</f>
        <v>US 301</v>
      </c>
      <c r="D469" s="28" t="str">
        <f>'Table001 (Page 1-6)'!C462</f>
        <v>NE JACKSONVILLE RD</v>
      </c>
      <c r="E469" s="28" t="str">
        <f>'Table001 (Page 1-6)'!D462</f>
        <v>CR 318</v>
      </c>
      <c r="F469" s="29">
        <f>'Table001 (Page 1-6)'!E462</f>
        <v>4</v>
      </c>
      <c r="G469" s="29">
        <f>'Table001 (Page 1-6)'!K462</f>
        <v>4</v>
      </c>
      <c r="H469" s="30" t="str">
        <f>'Table001 (Page 1-6)'!R462</f>
        <v>C</v>
      </c>
      <c r="I469" s="28" t="str">
        <f>'Table001 (Page 1-6)'!F462</f>
        <v>ARTERIAL</v>
      </c>
      <c r="J469" s="29"/>
      <c r="K469" s="29"/>
      <c r="L469" s="29">
        <f>'Table001 (Page 1-6)'!I462</f>
        <v>32235</v>
      </c>
      <c r="M469" s="29"/>
      <c r="N469" s="29">
        <f>'Table001 (Page 1-6)'!J462</f>
        <v>1596</v>
      </c>
      <c r="O469" s="29">
        <f>'Table001 (Page 1-6)'!L462</f>
        <v>32235</v>
      </c>
      <c r="P469" s="29"/>
      <c r="Q469" s="29">
        <f>'Table001 (Page 1-6)'!M462</f>
        <v>1596</v>
      </c>
      <c r="R469" s="29" t="str">
        <f>'Table001 (Page 1-6)'!S462</f>
        <v>15,300</v>
      </c>
      <c r="S469" s="31" t="str">
        <f>'Table001 (Page 1-6)'!T462</f>
        <v>0.47</v>
      </c>
      <c r="T469" s="29" t="str">
        <f>'Table001 (Page 1-6)'!U462</f>
        <v>C</v>
      </c>
      <c r="U469" s="29"/>
      <c r="V469" s="29"/>
      <c r="W469" s="29"/>
      <c r="X469" s="29"/>
      <c r="Y469" s="29"/>
      <c r="Z469" s="29"/>
      <c r="AA469" s="29"/>
      <c r="AB469" s="29"/>
      <c r="AC469" s="31"/>
      <c r="AD469" s="29"/>
      <c r="AE469" s="29"/>
      <c r="AF469" s="29"/>
      <c r="AG469" s="31"/>
      <c r="AH469" s="29"/>
      <c r="AI469" s="32">
        <f>('Table001 (Page 1-6)'!V462)*100</f>
        <v>1</v>
      </c>
      <c r="AJ469" s="35"/>
      <c r="AK469" s="35"/>
      <c r="AL469" s="35"/>
      <c r="AM469" s="35"/>
    </row>
    <row r="470" spans="2:39" x14ac:dyDescent="0.25">
      <c r="B470" s="37">
        <f>'Table001 (Page 1-6)'!A463</f>
        <v>6580</v>
      </c>
      <c r="C470" s="28" t="str">
        <f>'Table001 (Page 1-6)'!B463</f>
        <v>US 301</v>
      </c>
      <c r="D470" s="28" t="str">
        <f>'Table001 (Page 1-6)'!C463</f>
        <v>CR 318</v>
      </c>
      <c r="E470" s="28" t="str">
        <f>'Table001 (Page 1-6)'!D463</f>
        <v>COUNTY LINE (N)</v>
      </c>
      <c r="F470" s="29">
        <f>'Table001 (Page 1-6)'!E463</f>
        <v>4</v>
      </c>
      <c r="G470" s="29">
        <f>'Table001 (Page 1-6)'!K463</f>
        <v>4</v>
      </c>
      <c r="H470" s="30" t="str">
        <f>'Table001 (Page 1-6)'!R463</f>
        <v>C</v>
      </c>
      <c r="I470" s="28" t="str">
        <f>'Table001 (Page 1-6)'!F463</f>
        <v>ARTERIAL</v>
      </c>
      <c r="J470" s="29"/>
      <c r="K470" s="29"/>
      <c r="L470" s="29">
        <f>'Table001 (Page 1-6)'!I463</f>
        <v>32235</v>
      </c>
      <c r="M470" s="29"/>
      <c r="N470" s="29">
        <f>'Table001 (Page 1-6)'!J463</f>
        <v>1596</v>
      </c>
      <c r="O470" s="29">
        <f>'Table001 (Page 1-6)'!L463</f>
        <v>32235</v>
      </c>
      <c r="P470" s="29"/>
      <c r="Q470" s="29">
        <f>'Table001 (Page 1-6)'!M463</f>
        <v>1596</v>
      </c>
      <c r="R470" s="29" t="str">
        <f>'Table001 (Page 1-6)'!S463</f>
        <v>15,300</v>
      </c>
      <c r="S470" s="31" t="str">
        <f>'Table001 (Page 1-6)'!T463</f>
        <v>0.47</v>
      </c>
      <c r="T470" s="29" t="str">
        <f>'Table001 (Page 1-6)'!U463</f>
        <v>C</v>
      </c>
      <c r="U470" s="29"/>
      <c r="V470" s="29"/>
      <c r="W470" s="29"/>
      <c r="X470" s="29"/>
      <c r="Y470" s="29"/>
      <c r="Z470" s="29"/>
      <c r="AA470" s="29"/>
      <c r="AB470" s="29"/>
      <c r="AC470" s="31"/>
      <c r="AD470" s="29"/>
      <c r="AE470" s="29"/>
      <c r="AF470" s="29"/>
      <c r="AG470" s="31"/>
      <c r="AH470" s="29"/>
      <c r="AI470" s="32">
        <f>('Table001 (Page 1-6)'!V463)*100</f>
        <v>1</v>
      </c>
      <c r="AJ470" s="35"/>
      <c r="AK470" s="35"/>
      <c r="AL470" s="35"/>
      <c r="AM470" s="35"/>
    </row>
    <row r="471" spans="2:39" x14ac:dyDescent="0.25">
      <c r="B471" s="37">
        <f>'Table001 (Page 1-6)'!A464</f>
        <v>6590</v>
      </c>
      <c r="C471" s="28" t="str">
        <f>'Table001 (Page 1-6)'!B464</f>
        <v>US 41</v>
      </c>
      <c r="D471" s="28" t="str">
        <f>'Table001 (Page 1-6)'!C464</f>
        <v>COUNTY LINE (S)</v>
      </c>
      <c r="E471" s="28" t="str">
        <f>'Table001 (Page 1-6)'!D464</f>
        <v>CR 484</v>
      </c>
      <c r="F471" s="29">
        <f>'Table001 (Page 1-6)'!E464</f>
        <v>4</v>
      </c>
      <c r="G471" s="29">
        <f>'Table001 (Page 1-6)'!K464</f>
        <v>4</v>
      </c>
      <c r="H471" s="30" t="str">
        <f>'Table001 (Page 1-6)'!R464</f>
        <v>D</v>
      </c>
      <c r="I471" s="28" t="str">
        <f>'Table001 (Page 1-6)'!F464</f>
        <v>ARTERIAL</v>
      </c>
      <c r="J471" s="29"/>
      <c r="K471" s="29"/>
      <c r="L471" s="29">
        <f>'Table001 (Page 1-6)'!I464</f>
        <v>36100</v>
      </c>
      <c r="M471" s="29"/>
      <c r="N471" s="29">
        <f>'Table001 (Page 1-6)'!J464</f>
        <v>1790</v>
      </c>
      <c r="O471" s="29">
        <f>'Table001 (Page 1-6)'!L464</f>
        <v>36100</v>
      </c>
      <c r="P471" s="29"/>
      <c r="Q471" s="29">
        <f>'Table001 (Page 1-6)'!M464</f>
        <v>1790</v>
      </c>
      <c r="R471" s="29" t="str">
        <f>'Table001 (Page 1-6)'!S464</f>
        <v>21,700</v>
      </c>
      <c r="S471" s="31" t="str">
        <f>'Table001 (Page 1-6)'!T464</f>
        <v>0.6</v>
      </c>
      <c r="T471" s="29" t="str">
        <f>'Table001 (Page 1-6)'!U464</f>
        <v>C</v>
      </c>
      <c r="U471" s="29"/>
      <c r="V471" s="29"/>
      <c r="W471" s="29"/>
      <c r="X471" s="29"/>
      <c r="Y471" s="29"/>
      <c r="Z471" s="29"/>
      <c r="AA471" s="29"/>
      <c r="AB471" s="29"/>
      <c r="AC471" s="31"/>
      <c r="AD471" s="29"/>
      <c r="AE471" s="29"/>
      <c r="AF471" s="29"/>
      <c r="AG471" s="31"/>
      <c r="AH471" s="29"/>
      <c r="AI471" s="32">
        <f>('Table001 (Page 1-6)'!V464)*100</f>
        <v>1</v>
      </c>
      <c r="AJ471" s="35"/>
      <c r="AK471" s="35"/>
      <c r="AL471" s="35"/>
      <c r="AM471" s="35"/>
    </row>
    <row r="472" spans="2:39" x14ac:dyDescent="0.25">
      <c r="B472" s="37">
        <f>'Table001 (Page 1-6)'!A465</f>
        <v>6600</v>
      </c>
      <c r="C472" s="28" t="str">
        <f>'Table001 (Page 1-6)'!B465</f>
        <v>US 41</v>
      </c>
      <c r="D472" s="28" t="str">
        <f>'Table001 (Page 1-6)'!C465</f>
        <v>CR 484</v>
      </c>
      <c r="E472" s="28" t="str">
        <f>'Table001 (Page 1-6)'!D465</f>
        <v>SW ROBINSON RD</v>
      </c>
      <c r="F472" s="29">
        <f>'Table001 (Page 1-6)'!E465</f>
        <v>4</v>
      </c>
      <c r="G472" s="29">
        <f>'Table001 (Page 1-6)'!K465</f>
        <v>4</v>
      </c>
      <c r="H472" s="30" t="str">
        <f>'Table001 (Page 1-6)'!R465</f>
        <v>D</v>
      </c>
      <c r="I472" s="28" t="str">
        <f>'Table001 (Page 1-6)'!F465</f>
        <v>ARTERIAL</v>
      </c>
      <c r="J472" s="29"/>
      <c r="K472" s="29"/>
      <c r="L472" s="29">
        <f>'Table001 (Page 1-6)'!I465</f>
        <v>37905</v>
      </c>
      <c r="M472" s="29"/>
      <c r="N472" s="29">
        <f>'Table001 (Page 1-6)'!J465</f>
        <v>1880</v>
      </c>
      <c r="O472" s="29">
        <f>'Table001 (Page 1-6)'!L465</f>
        <v>37905</v>
      </c>
      <c r="P472" s="29"/>
      <c r="Q472" s="29">
        <f>'Table001 (Page 1-6)'!M465</f>
        <v>1880</v>
      </c>
      <c r="R472" s="29" t="str">
        <f>'Table001 (Page 1-6)'!S465</f>
        <v>24,200</v>
      </c>
      <c r="S472" s="31" t="str">
        <f>'Table001 (Page 1-6)'!T465</f>
        <v>0.64</v>
      </c>
      <c r="T472" s="29" t="str">
        <f>'Table001 (Page 1-6)'!U465</f>
        <v>C</v>
      </c>
      <c r="U472" s="29"/>
      <c r="V472" s="29"/>
      <c r="W472" s="29"/>
      <c r="X472" s="29"/>
      <c r="Y472" s="29"/>
      <c r="Z472" s="29"/>
      <c r="AA472" s="29"/>
      <c r="AB472" s="29"/>
      <c r="AC472" s="31"/>
      <c r="AD472" s="29"/>
      <c r="AE472" s="29"/>
      <c r="AF472" s="29"/>
      <c r="AG472" s="31"/>
      <c r="AH472" s="29"/>
      <c r="AI472" s="32">
        <f>('Table001 (Page 1-6)'!V465)*100</f>
        <v>1</v>
      </c>
      <c r="AJ472" s="35"/>
      <c r="AK472" s="35"/>
      <c r="AL472" s="35"/>
      <c r="AM472" s="35"/>
    </row>
    <row r="473" spans="2:39" x14ac:dyDescent="0.25">
      <c r="B473" s="37">
        <f>'Table001 (Page 1-6)'!A466</f>
        <v>6620</v>
      </c>
      <c r="C473" s="28" t="str">
        <f>'Table001 (Page 1-6)'!B466</f>
        <v>US 41</v>
      </c>
      <c r="D473" s="28" t="str">
        <f>'Table001 (Page 1-6)'!C466</f>
        <v>SW ROBINSON RD</v>
      </c>
      <c r="E473" s="28" t="str">
        <f>'Table001 (Page 1-6)'!D466</f>
        <v>SW 111 PL LN</v>
      </c>
      <c r="F473" s="29">
        <f>'Table001 (Page 1-6)'!E466</f>
        <v>4</v>
      </c>
      <c r="G473" s="29">
        <f>'Table001 (Page 1-6)'!K466</f>
        <v>4</v>
      </c>
      <c r="H473" s="30" t="str">
        <f>'Table001 (Page 1-6)'!R466</f>
        <v>D</v>
      </c>
      <c r="I473" s="28" t="str">
        <f>'Table001 (Page 1-6)'!F466</f>
        <v>ARTERIAL</v>
      </c>
      <c r="J473" s="29"/>
      <c r="K473" s="29"/>
      <c r="L473" s="29">
        <f>'Table001 (Page 1-6)'!I466</f>
        <v>38430</v>
      </c>
      <c r="M473" s="29"/>
      <c r="N473" s="29">
        <f>'Table001 (Page 1-6)'!J466</f>
        <v>1901</v>
      </c>
      <c r="O473" s="29">
        <f>'Table001 (Page 1-6)'!L466</f>
        <v>38430</v>
      </c>
      <c r="P473" s="29"/>
      <c r="Q473" s="29">
        <f>'Table001 (Page 1-6)'!M466</f>
        <v>1901</v>
      </c>
      <c r="R473" s="29" t="str">
        <f>'Table001 (Page 1-6)'!S466</f>
        <v>21,800</v>
      </c>
      <c r="S473" s="31" t="str">
        <f>'Table001 (Page 1-6)'!T466</f>
        <v>0.57</v>
      </c>
      <c r="T473" s="29" t="str">
        <f>'Table001 (Page 1-6)'!U466</f>
        <v>C</v>
      </c>
      <c r="U473" s="29"/>
      <c r="V473" s="29"/>
      <c r="W473" s="29"/>
      <c r="X473" s="29"/>
      <c r="Y473" s="29"/>
      <c r="Z473" s="29"/>
      <c r="AA473" s="29"/>
      <c r="AB473" s="29"/>
      <c r="AC473" s="31"/>
      <c r="AD473" s="29"/>
      <c r="AE473" s="29"/>
      <c r="AF473" s="29"/>
      <c r="AG473" s="31"/>
      <c r="AH473" s="29"/>
      <c r="AI473" s="32">
        <f>('Table001 (Page 1-6)'!V466)*100</f>
        <v>1.46</v>
      </c>
      <c r="AJ473" s="35"/>
      <c r="AK473" s="35"/>
      <c r="AL473" s="35"/>
      <c r="AM473" s="35"/>
    </row>
    <row r="474" spans="2:39" x14ac:dyDescent="0.25">
      <c r="B474" s="37">
        <f>'Table001 (Page 1-6)'!A467</f>
        <v>6640</v>
      </c>
      <c r="C474" s="28" t="str">
        <f>'Table001 (Page 1-6)'!B467</f>
        <v>US 41</v>
      </c>
      <c r="D474" s="28" t="str">
        <f>'Table001 (Page 1-6)'!C467</f>
        <v>SW 111 PL LN</v>
      </c>
      <c r="E474" s="28" t="str">
        <f>'Table001 (Page 1-6)'!D467</f>
        <v>SW 110 ST</v>
      </c>
      <c r="F474" s="29">
        <f>'Table001 (Page 1-6)'!E467</f>
        <v>4</v>
      </c>
      <c r="G474" s="29">
        <f>'Table001 (Page 1-6)'!K467</f>
        <v>4</v>
      </c>
      <c r="H474" s="30" t="str">
        <f>'Table001 (Page 1-6)'!R467</f>
        <v>D</v>
      </c>
      <c r="I474" s="28" t="str">
        <f>'Table001 (Page 1-6)'!F467</f>
        <v>ARTERIAL</v>
      </c>
      <c r="J474" s="29"/>
      <c r="K474" s="29"/>
      <c r="L474" s="29">
        <f>'Table001 (Page 1-6)'!I467</f>
        <v>40352</v>
      </c>
      <c r="M474" s="29"/>
      <c r="N474" s="29">
        <f>'Table001 (Page 1-6)'!J467</f>
        <v>1996</v>
      </c>
      <c r="O474" s="29">
        <f>'Table001 (Page 1-6)'!L467</f>
        <v>40352</v>
      </c>
      <c r="P474" s="29"/>
      <c r="Q474" s="29">
        <f>'Table001 (Page 1-6)'!M467</f>
        <v>1996</v>
      </c>
      <c r="R474" s="29" t="str">
        <f>'Table001 (Page 1-6)'!S467</f>
        <v>21,800</v>
      </c>
      <c r="S474" s="31" t="str">
        <f>'Table001 (Page 1-6)'!T467</f>
        <v>0.54</v>
      </c>
      <c r="T474" s="29" t="str">
        <f>'Table001 (Page 1-6)'!U467</f>
        <v>C</v>
      </c>
      <c r="U474" s="29"/>
      <c r="V474" s="29"/>
      <c r="W474" s="29"/>
      <c r="X474" s="29"/>
      <c r="Y474" s="29"/>
      <c r="Z474" s="29"/>
      <c r="AA474" s="29"/>
      <c r="AB474" s="29"/>
      <c r="AC474" s="31"/>
      <c r="AD474" s="29"/>
      <c r="AE474" s="29"/>
      <c r="AF474" s="29"/>
      <c r="AG474" s="31"/>
      <c r="AH474" s="29"/>
      <c r="AI474" s="32">
        <f>('Table001 (Page 1-6)'!V467)*100</f>
        <v>1.46</v>
      </c>
      <c r="AJ474" s="35"/>
      <c r="AK474" s="35"/>
      <c r="AL474" s="35"/>
      <c r="AM474" s="35"/>
    </row>
    <row r="475" spans="2:39" x14ac:dyDescent="0.25">
      <c r="B475" s="37">
        <f>'Table001 (Page 1-6)'!A468</f>
        <v>6650</v>
      </c>
      <c r="C475" s="28" t="str">
        <f>'Table001 (Page 1-6)'!B468</f>
        <v>US 41</v>
      </c>
      <c r="D475" s="28" t="str">
        <f>'Table001 (Page 1-6)'!C468</f>
        <v>SW 110 ST</v>
      </c>
      <c r="E475" s="28" t="str">
        <f>'Table001 (Page 1-6)'!D468</f>
        <v>SW 99 PL</v>
      </c>
      <c r="F475" s="29">
        <f>'Table001 (Page 1-6)'!E468</f>
        <v>2</v>
      </c>
      <c r="G475" s="29">
        <f>'Table001 (Page 1-6)'!K468</f>
        <v>4</v>
      </c>
      <c r="H475" s="30" t="str">
        <f>'Table001 (Page 1-6)'!R468</f>
        <v>D</v>
      </c>
      <c r="I475" s="28" t="str">
        <f>'Table001 (Page 1-6)'!F468</f>
        <v>ARTERIAL</v>
      </c>
      <c r="J475" s="29"/>
      <c r="K475" s="29"/>
      <c r="L475" s="29">
        <f>'Table001 (Page 1-6)'!I468</f>
        <v>17360</v>
      </c>
      <c r="M475" s="29"/>
      <c r="N475" s="29">
        <f>'Table001 (Page 1-6)'!J468</f>
        <v>856</v>
      </c>
      <c r="O475" s="29">
        <f>'Table001 (Page 1-6)'!L468</f>
        <v>40352</v>
      </c>
      <c r="P475" s="29"/>
      <c r="Q475" s="29">
        <f>'Table001 (Page 1-6)'!M468</f>
        <v>1358</v>
      </c>
      <c r="R475" s="29" t="str">
        <f>'Table001 (Page 1-6)'!S468</f>
        <v>21,800</v>
      </c>
      <c r="S475" s="31" t="str">
        <f>'Table001 (Page 1-6)'!T468</f>
        <v>1.26</v>
      </c>
      <c r="T475" s="29" t="str">
        <f>'Table001 (Page 1-6)'!U468</f>
        <v>F</v>
      </c>
      <c r="U475" s="29"/>
      <c r="V475" s="29"/>
      <c r="W475" s="29"/>
      <c r="X475" s="29"/>
      <c r="Y475" s="29"/>
      <c r="Z475" s="29"/>
      <c r="AA475" s="29"/>
      <c r="AB475" s="29"/>
      <c r="AC475" s="31"/>
      <c r="AD475" s="29"/>
      <c r="AE475" s="29"/>
      <c r="AF475" s="29"/>
      <c r="AG475" s="31"/>
      <c r="AH475" s="29"/>
      <c r="AI475" s="32">
        <f>('Table001 (Page 1-6)'!V468)*100</f>
        <v>1.46</v>
      </c>
      <c r="AJ475" s="35"/>
      <c r="AK475" s="35"/>
      <c r="AL475" s="35"/>
      <c r="AM475" s="35"/>
    </row>
    <row r="476" spans="2:39" x14ac:dyDescent="0.25">
      <c r="B476" s="37">
        <f>'Table001 (Page 1-6)'!A469</f>
        <v>6660</v>
      </c>
      <c r="C476" s="28" t="str">
        <f>'Table001 (Page 1-6)'!B469</f>
        <v>US 41</v>
      </c>
      <c r="D476" s="28" t="str">
        <f>'Table001 (Page 1-6)'!C469</f>
        <v>SW 99 PL</v>
      </c>
      <c r="E476" s="28" t="str">
        <f>'Table001 (Page 1-6)'!D469</f>
        <v>SW 80 PL</v>
      </c>
      <c r="F476" s="29">
        <f>'Table001 (Page 1-6)'!E469</f>
        <v>2</v>
      </c>
      <c r="G476" s="29">
        <f>'Table001 (Page 1-6)'!K469</f>
        <v>4</v>
      </c>
      <c r="H476" s="30" t="str">
        <f>'Table001 (Page 1-6)'!R469</f>
        <v>D</v>
      </c>
      <c r="I476" s="28" t="str">
        <f>'Table001 (Page 1-6)'!F469</f>
        <v>ARTERIAL</v>
      </c>
      <c r="J476" s="29"/>
      <c r="K476" s="29"/>
      <c r="L476" s="29">
        <f>'Table001 (Page 1-6)'!I469</f>
        <v>17920</v>
      </c>
      <c r="M476" s="29"/>
      <c r="N476" s="29">
        <f>'Table001 (Page 1-6)'!J469</f>
        <v>888</v>
      </c>
      <c r="O476" s="29">
        <f>'Table001 (Page 1-6)'!L469</f>
        <v>27450</v>
      </c>
      <c r="P476" s="29"/>
      <c r="Q476" s="29">
        <f>'Table001 (Page 1-6)'!M469</f>
        <v>1388</v>
      </c>
      <c r="R476" s="29" t="str">
        <f>'Table001 (Page 1-6)'!S469</f>
        <v>11,800</v>
      </c>
      <c r="S476" s="31" t="str">
        <f>'Table001 (Page 1-6)'!T469</f>
        <v>0.66</v>
      </c>
      <c r="T476" s="29" t="str">
        <f>'Table001 (Page 1-6)'!U469</f>
        <v>C</v>
      </c>
      <c r="U476" s="29"/>
      <c r="V476" s="29"/>
      <c r="W476" s="29"/>
      <c r="X476" s="29"/>
      <c r="Y476" s="29"/>
      <c r="Z476" s="29"/>
      <c r="AA476" s="29"/>
      <c r="AB476" s="29"/>
      <c r="AC476" s="31"/>
      <c r="AD476" s="29"/>
      <c r="AE476" s="29"/>
      <c r="AF476" s="29"/>
      <c r="AG476" s="31"/>
      <c r="AH476" s="29"/>
      <c r="AI476" s="32">
        <f>('Table001 (Page 1-6)'!V469)*100</f>
        <v>1.24</v>
      </c>
      <c r="AJ476" s="35"/>
      <c r="AK476" s="35"/>
      <c r="AL476" s="35"/>
      <c r="AM476" s="35"/>
    </row>
    <row r="477" spans="2:39" x14ac:dyDescent="0.25">
      <c r="B477" s="37">
        <f>'Table001 (Page 1-6)'!A470</f>
        <v>6670</v>
      </c>
      <c r="C477" s="28" t="str">
        <f>'Table001 (Page 1-6)'!B470</f>
        <v>US 41</v>
      </c>
      <c r="D477" s="28" t="str">
        <f>'Table001 (Page 1-6)'!C470</f>
        <v>SW 80 PL</v>
      </c>
      <c r="E477" s="28" t="str">
        <f>'Table001 (Page 1-6)'!D470</f>
        <v>SR 40</v>
      </c>
      <c r="F477" s="29">
        <f>'Table001 (Page 1-6)'!E470</f>
        <v>2</v>
      </c>
      <c r="G477" s="29">
        <f>'Table001 (Page 1-6)'!K470</f>
        <v>4</v>
      </c>
      <c r="H477" s="30" t="str">
        <f>'Table001 (Page 1-6)'!R470</f>
        <v>D</v>
      </c>
      <c r="I477" s="28" t="str">
        <f>'Table001 (Page 1-6)'!F470</f>
        <v>ARTERIAL</v>
      </c>
      <c r="J477" s="29"/>
      <c r="K477" s="29"/>
      <c r="L477" s="29">
        <f>'Table001 (Page 1-6)'!I470</f>
        <v>17920</v>
      </c>
      <c r="M477" s="29"/>
      <c r="N477" s="29">
        <f>'Table001 (Page 1-6)'!J470</f>
        <v>888</v>
      </c>
      <c r="O477" s="29">
        <f>'Table001 (Page 1-6)'!L470</f>
        <v>27975</v>
      </c>
      <c r="P477" s="29"/>
      <c r="Q477" s="29">
        <f>'Table001 (Page 1-6)'!M470</f>
        <v>1388</v>
      </c>
      <c r="R477" s="29" t="str">
        <f>'Table001 (Page 1-6)'!S470</f>
        <v>11,800</v>
      </c>
      <c r="S477" s="31" t="str">
        <f>'Table001 (Page 1-6)'!T470</f>
        <v>0.66</v>
      </c>
      <c r="T477" s="29" t="str">
        <f>'Table001 (Page 1-6)'!U470</f>
        <v>C</v>
      </c>
      <c r="U477" s="29"/>
      <c r="V477" s="29"/>
      <c r="W477" s="29"/>
      <c r="X477" s="29"/>
      <c r="Y477" s="29"/>
      <c r="Z477" s="29"/>
      <c r="AA477" s="29"/>
      <c r="AB477" s="29"/>
      <c r="AC477" s="31"/>
      <c r="AD477" s="29"/>
      <c r="AE477" s="29"/>
      <c r="AF477" s="29"/>
      <c r="AG477" s="31"/>
      <c r="AH477" s="29"/>
      <c r="AI477" s="32">
        <f>('Table001 (Page 1-6)'!V470)*100</f>
        <v>1.24</v>
      </c>
      <c r="AJ477" s="35"/>
      <c r="AK477" s="35"/>
      <c r="AL477" s="35"/>
      <c r="AM477" s="35"/>
    </row>
    <row r="478" spans="2:39" x14ac:dyDescent="0.25">
      <c r="B478" s="37">
        <f>'Table001 (Page 1-6)'!A471</f>
        <v>6680.1</v>
      </c>
      <c r="C478" s="28" t="str">
        <f>'Table001 (Page 1-6)'!B471</f>
        <v>US 41</v>
      </c>
      <c r="D478" s="28" t="str">
        <f>'Table001 (Page 1-6)'!C471</f>
        <v>SR 40</v>
      </c>
      <c r="E478" s="28" t="str">
        <f>'Table001 (Page 1-6)'!D471</f>
        <v>URBAN AREA BOUNDARY</v>
      </c>
      <c r="F478" s="29">
        <f>'Table001 (Page 1-6)'!E471</f>
        <v>2</v>
      </c>
      <c r="G478" s="29">
        <f>'Table001 (Page 1-6)'!K471</f>
        <v>2</v>
      </c>
      <c r="H478" s="30" t="str">
        <f>'Table001 (Page 1-6)'!R471</f>
        <v>D</v>
      </c>
      <c r="I478" s="28" t="str">
        <f>'Table001 (Page 1-6)'!F471</f>
        <v>ARTERIAL</v>
      </c>
      <c r="J478" s="29"/>
      <c r="K478" s="29"/>
      <c r="L478" s="29">
        <f>'Table001 (Page 1-6)'!I471</f>
        <v>14000</v>
      </c>
      <c r="M478" s="29"/>
      <c r="N478" s="29">
        <f>'Table001 (Page 1-6)'!J471</f>
        <v>730</v>
      </c>
      <c r="O478" s="29">
        <f>'Table001 (Page 1-6)'!L471</f>
        <v>14000</v>
      </c>
      <c r="P478" s="29"/>
      <c r="Q478" s="29">
        <f>'Table001 (Page 1-6)'!M471</f>
        <v>730</v>
      </c>
      <c r="R478" s="29" t="str">
        <f>'Table001 (Page 1-6)'!S471</f>
        <v>11,800</v>
      </c>
      <c r="S478" s="31" t="str">
        <f>'Table001 (Page 1-6)'!T471</f>
        <v>0.84</v>
      </c>
      <c r="T478" s="29" t="str">
        <f>'Table001 (Page 1-6)'!U471</f>
        <v>D</v>
      </c>
      <c r="U478" s="29"/>
      <c r="V478" s="29"/>
      <c r="W478" s="29"/>
      <c r="X478" s="29"/>
      <c r="Y478" s="29"/>
      <c r="Z478" s="29"/>
      <c r="AA478" s="29"/>
      <c r="AB478" s="29"/>
      <c r="AC478" s="31"/>
      <c r="AD478" s="29"/>
      <c r="AE478" s="29"/>
      <c r="AF478" s="29"/>
      <c r="AG478" s="31"/>
      <c r="AH478" s="29"/>
      <c r="AI478" s="32">
        <f>('Table001 (Page 1-6)'!V471)*100</f>
        <v>1.24</v>
      </c>
      <c r="AJ478" s="35"/>
      <c r="AK478" s="35"/>
      <c r="AL478" s="35"/>
      <c r="AM478" s="35"/>
    </row>
    <row r="479" spans="2:39" x14ac:dyDescent="0.25">
      <c r="B479" s="37">
        <f>'Table001 (Page 1-6)'!A472</f>
        <v>6680.2</v>
      </c>
      <c r="C479" s="28" t="str">
        <f>'Table001 (Page 1-6)'!B472</f>
        <v>US 41</v>
      </c>
      <c r="D479" s="28" t="str">
        <f>'Table001 (Page 1-6)'!C472</f>
        <v>URBAN AREA BOUNDARY</v>
      </c>
      <c r="E479" s="28" t="str">
        <f>'Table001 (Page 1-6)'!D472</f>
        <v>SW 36 ST</v>
      </c>
      <c r="F479" s="29">
        <f>'Table001 (Page 1-6)'!E472</f>
        <v>2</v>
      </c>
      <c r="G479" s="29">
        <f>'Table001 (Page 1-6)'!K472</f>
        <v>2</v>
      </c>
      <c r="H479" s="30" t="str">
        <f>'Table001 (Page 1-6)'!R472</f>
        <v>C</v>
      </c>
      <c r="I479" s="28" t="str">
        <f>'Table001 (Page 1-6)'!F472</f>
        <v>ARTERIAL</v>
      </c>
      <c r="J479" s="29"/>
      <c r="K479" s="29"/>
      <c r="L479" s="29">
        <f>'Table001 (Page 1-6)'!I472</f>
        <v>8200</v>
      </c>
      <c r="M479" s="29"/>
      <c r="N479" s="29">
        <f>'Table001 (Page 1-6)'!J472</f>
        <v>430</v>
      </c>
      <c r="O479" s="29">
        <f>'Table001 (Page 1-6)'!L472</f>
        <v>8200</v>
      </c>
      <c r="P479" s="29"/>
      <c r="Q479" s="29">
        <f>'Table001 (Page 1-6)'!M472</f>
        <v>430</v>
      </c>
      <c r="R479" s="29" t="str">
        <f>'Table001 (Page 1-6)'!S472</f>
        <v>11,800</v>
      </c>
      <c r="S479" s="31" t="str">
        <f>'Table001 (Page 1-6)'!T472</f>
        <v>1.44</v>
      </c>
      <c r="T479" s="29" t="str">
        <f>'Table001 (Page 1-6)'!U472</f>
        <v>D</v>
      </c>
      <c r="U479" s="29"/>
      <c r="V479" s="29"/>
      <c r="W479" s="29"/>
      <c r="X479" s="29"/>
      <c r="Y479" s="29"/>
      <c r="Z479" s="29"/>
      <c r="AA479" s="29"/>
      <c r="AB479" s="29"/>
      <c r="AC479" s="31"/>
      <c r="AD479" s="29"/>
      <c r="AE479" s="29"/>
      <c r="AF479" s="29"/>
      <c r="AG479" s="31"/>
      <c r="AH479" s="29"/>
      <c r="AI479" s="32">
        <f>('Table001 (Page 1-6)'!V472)*100</f>
        <v>1.24</v>
      </c>
      <c r="AJ479" s="35"/>
      <c r="AK479" s="35"/>
      <c r="AL479" s="35"/>
      <c r="AM479" s="35"/>
    </row>
    <row r="480" spans="2:39" x14ac:dyDescent="0.25">
      <c r="B480" s="37">
        <f>'Table001 (Page 1-6)'!A473</f>
        <v>6690</v>
      </c>
      <c r="C480" s="28" t="str">
        <f>'Table001 (Page 1-6)'!B473</f>
        <v>US 41</v>
      </c>
      <c r="D480" s="28" t="str">
        <f>'Table001 (Page 1-6)'!C473</f>
        <v>SW 36 ST</v>
      </c>
      <c r="E480" s="28" t="str">
        <f>'Table001 (Page 1-6)'!D473</f>
        <v>COUNTY LINE (N)</v>
      </c>
      <c r="F480" s="29">
        <f>'Table001 (Page 1-6)'!E473</f>
        <v>2</v>
      </c>
      <c r="G480" s="29">
        <f>'Table001 (Page 1-6)'!K473</f>
        <v>2</v>
      </c>
      <c r="H480" s="30" t="str">
        <f>'Table001 (Page 1-6)'!R473</f>
        <v>C</v>
      </c>
      <c r="I480" s="28" t="str">
        <f>'Table001 (Page 1-6)'!F473</f>
        <v>ARTERIAL</v>
      </c>
      <c r="J480" s="29"/>
      <c r="K480" s="29"/>
      <c r="L480" s="29">
        <f>'Table001 (Page 1-6)'!I473</f>
        <v>8200</v>
      </c>
      <c r="M480" s="29"/>
      <c r="N480" s="29">
        <f>'Table001 (Page 1-6)'!J473</f>
        <v>430</v>
      </c>
      <c r="O480" s="29">
        <f>'Table001 (Page 1-6)'!L473</f>
        <v>8200</v>
      </c>
      <c r="P480" s="29"/>
      <c r="Q480" s="29">
        <f>'Table001 (Page 1-6)'!M473</f>
        <v>430</v>
      </c>
      <c r="R480" s="29" t="str">
        <f>'Table001 (Page 1-6)'!S473</f>
        <v>5,400</v>
      </c>
      <c r="S480" s="31" t="str">
        <f>'Table001 (Page 1-6)'!T473</f>
        <v>0.66</v>
      </c>
      <c r="T480" s="29" t="str">
        <f>'Table001 (Page 1-6)'!U473</f>
        <v>C</v>
      </c>
      <c r="U480" s="29"/>
      <c r="V480" s="29"/>
      <c r="W480" s="29"/>
      <c r="X480" s="29"/>
      <c r="Y480" s="29"/>
      <c r="Z480" s="29"/>
      <c r="AA480" s="29"/>
      <c r="AB480" s="29"/>
      <c r="AC480" s="31"/>
      <c r="AD480" s="29"/>
      <c r="AE480" s="29"/>
      <c r="AF480" s="29"/>
      <c r="AG480" s="31"/>
      <c r="AH480" s="29"/>
      <c r="AI480" s="32">
        <f>('Table001 (Page 1-6)'!V473)*100</f>
        <v>1</v>
      </c>
      <c r="AJ480" s="35"/>
      <c r="AK480" s="35"/>
      <c r="AL480" s="35"/>
      <c r="AM480" s="35"/>
    </row>
    <row r="481" spans="2:39" x14ac:dyDescent="0.25">
      <c r="B481" s="37">
        <f>'Table001 (Page 1-6)'!A474</f>
        <v>6700</v>
      </c>
      <c r="C481" s="28" t="str">
        <f>'Table001 (Page 1-6)'!B474</f>
        <v>US 441</v>
      </c>
      <c r="D481" s="28" t="str">
        <f>'Table001 (Page 1-6)'!C474</f>
        <v>COUNTY LINE (S)</v>
      </c>
      <c r="E481" s="28" t="str">
        <f>'Table001 (Page 1-6)'!D474</f>
        <v>CR 42</v>
      </c>
      <c r="F481" s="29">
        <f>'Table001 (Page 1-6)'!E474</f>
        <v>4</v>
      </c>
      <c r="G481" s="29">
        <f>'Table001 (Page 1-6)'!K474</f>
        <v>4</v>
      </c>
      <c r="H481" s="30" t="str">
        <f>'Table001 (Page 1-6)'!R474</f>
        <v>D</v>
      </c>
      <c r="I481" s="28" t="str">
        <f>'Table001 (Page 1-6)'!F474</f>
        <v>ARTERIAL</v>
      </c>
      <c r="J481" s="29"/>
      <c r="K481" s="29"/>
      <c r="L481" s="29">
        <f>'Table001 (Page 1-6)'!I474</f>
        <v>40352</v>
      </c>
      <c r="M481" s="29"/>
      <c r="N481" s="29">
        <f>'Table001 (Page 1-6)'!J474</f>
        <v>1996</v>
      </c>
      <c r="O481" s="29">
        <f>'Table001 (Page 1-6)'!L474</f>
        <v>40352</v>
      </c>
      <c r="P481" s="29"/>
      <c r="Q481" s="29">
        <f>'Table001 (Page 1-6)'!M474</f>
        <v>1996</v>
      </c>
      <c r="R481" s="29" t="str">
        <f>'Table001 (Page 1-6)'!S474</f>
        <v>38,400</v>
      </c>
      <c r="S481" s="31" t="str">
        <f>'Table001 (Page 1-6)'!T474</f>
        <v>0.95</v>
      </c>
      <c r="T481" s="29" t="str">
        <f>'Table001 (Page 1-6)'!U474</f>
        <v>D</v>
      </c>
      <c r="U481" s="29"/>
      <c r="V481" s="29"/>
      <c r="W481" s="29"/>
      <c r="X481" s="29"/>
      <c r="Y481" s="29"/>
      <c r="Z481" s="29"/>
      <c r="AA481" s="29"/>
      <c r="AB481" s="29"/>
      <c r="AC481" s="31"/>
      <c r="AD481" s="29"/>
      <c r="AE481" s="29"/>
      <c r="AF481" s="29"/>
      <c r="AG481" s="31"/>
      <c r="AH481" s="29"/>
      <c r="AI481" s="32">
        <f>('Table001 (Page 1-6)'!V474)*100</f>
        <v>1</v>
      </c>
      <c r="AJ481" s="35"/>
      <c r="AK481" s="35"/>
      <c r="AL481" s="35"/>
      <c r="AM481" s="35"/>
    </row>
    <row r="482" spans="2:39" x14ac:dyDescent="0.25">
      <c r="B482" s="37">
        <f>'Table001 (Page 1-6)'!A475</f>
        <v>6730</v>
      </c>
      <c r="C482" s="28" t="str">
        <f>'Table001 (Page 1-6)'!B475</f>
        <v>US 441</v>
      </c>
      <c r="D482" s="28" t="str">
        <f>'Table001 (Page 1-6)'!C475</f>
        <v>CR 42</v>
      </c>
      <c r="E482" s="28" t="str">
        <f>'Table001 (Page 1-6)'!D475</f>
        <v>SE 147 PL</v>
      </c>
      <c r="F482" s="29">
        <f>'Table001 (Page 1-6)'!E475</f>
        <v>4</v>
      </c>
      <c r="G482" s="29">
        <f>'Table001 (Page 1-6)'!K475</f>
        <v>4</v>
      </c>
      <c r="H482" s="30" t="str">
        <f>'Table001 (Page 1-6)'!R475</f>
        <v>D</v>
      </c>
      <c r="I482" s="28" t="str">
        <f>'Table001 (Page 1-6)'!F475</f>
        <v>ARTERIAL</v>
      </c>
      <c r="J482" s="29"/>
      <c r="K482" s="29"/>
      <c r="L482" s="29">
        <f>'Table001 (Page 1-6)'!I475</f>
        <v>38430</v>
      </c>
      <c r="M482" s="29"/>
      <c r="N482" s="29">
        <f>'Table001 (Page 1-6)'!J475</f>
        <v>1901</v>
      </c>
      <c r="O482" s="29">
        <f>'Table001 (Page 1-6)'!L475</f>
        <v>38430</v>
      </c>
      <c r="P482" s="29"/>
      <c r="Q482" s="29">
        <f>'Table001 (Page 1-6)'!M475</f>
        <v>1901</v>
      </c>
      <c r="R482" s="29" t="str">
        <f>'Table001 (Page 1-6)'!S475</f>
        <v>33,900</v>
      </c>
      <c r="S482" s="31" t="str">
        <f>'Table001 (Page 1-6)'!T475</f>
        <v>0.88</v>
      </c>
      <c r="T482" s="29" t="str">
        <f>'Table001 (Page 1-6)'!U475</f>
        <v>D</v>
      </c>
      <c r="U482" s="29"/>
      <c r="V482" s="29"/>
      <c r="W482" s="29"/>
      <c r="X482" s="29"/>
      <c r="Y482" s="29"/>
      <c r="Z482" s="29"/>
      <c r="AA482" s="29"/>
      <c r="AB482" s="29"/>
      <c r="AC482" s="31"/>
      <c r="AD482" s="29"/>
      <c r="AE482" s="29"/>
      <c r="AF482" s="29"/>
      <c r="AG482" s="31"/>
      <c r="AH482" s="29"/>
      <c r="AI482" s="32">
        <f>('Table001 (Page 1-6)'!V475)*100</f>
        <v>2.62</v>
      </c>
      <c r="AJ482" s="35"/>
      <c r="AK482" s="35"/>
      <c r="AL482" s="35"/>
      <c r="AM482" s="35"/>
    </row>
    <row r="483" spans="2:39" x14ac:dyDescent="0.25">
      <c r="B483" s="37">
        <f>'Table001 (Page 1-6)'!A476</f>
        <v>6740</v>
      </c>
      <c r="C483" s="28" t="str">
        <f>'Table001 (Page 1-6)'!B476</f>
        <v>US 441</v>
      </c>
      <c r="D483" s="28" t="str">
        <f>'Table001 (Page 1-6)'!C476</f>
        <v>SE 147 PL</v>
      </c>
      <c r="E483" s="28" t="str">
        <f>'Table001 (Page 1-6)'!D476</f>
        <v>SE 92 PLACE LOOP</v>
      </c>
      <c r="F483" s="29">
        <f>'Table001 (Page 1-6)'!E476</f>
        <v>4</v>
      </c>
      <c r="G483" s="29">
        <f>'Table001 (Page 1-6)'!K476</f>
        <v>4</v>
      </c>
      <c r="H483" s="30" t="str">
        <f>'Table001 (Page 1-6)'!R476</f>
        <v>D</v>
      </c>
      <c r="I483" s="28" t="str">
        <f>'Table001 (Page 1-6)'!F476</f>
        <v>ARTERIAL</v>
      </c>
      <c r="J483" s="29"/>
      <c r="K483" s="29"/>
      <c r="L483" s="29">
        <f>'Table001 (Page 1-6)'!I476</f>
        <v>38430</v>
      </c>
      <c r="M483" s="29"/>
      <c r="N483" s="29">
        <f>'Table001 (Page 1-6)'!J476</f>
        <v>1901</v>
      </c>
      <c r="O483" s="29">
        <f>'Table001 (Page 1-6)'!L476</f>
        <v>38430</v>
      </c>
      <c r="P483" s="29"/>
      <c r="Q483" s="29">
        <f>'Table001 (Page 1-6)'!M476</f>
        <v>1901</v>
      </c>
      <c r="R483" s="29" t="str">
        <f>'Table001 (Page 1-6)'!S476</f>
        <v>33,300</v>
      </c>
      <c r="S483" s="31" t="str">
        <f>'Table001 (Page 1-6)'!T476</f>
        <v>0.87</v>
      </c>
      <c r="T483" s="29" t="str">
        <f>'Table001 (Page 1-6)'!U476</f>
        <v>D</v>
      </c>
      <c r="U483" s="29"/>
      <c r="V483" s="29"/>
      <c r="W483" s="29"/>
      <c r="X483" s="29"/>
      <c r="Y483" s="29"/>
      <c r="Z483" s="29"/>
      <c r="AA483" s="29"/>
      <c r="AB483" s="29"/>
      <c r="AC483" s="31"/>
      <c r="AD483" s="29"/>
      <c r="AE483" s="29"/>
      <c r="AF483" s="29"/>
      <c r="AG483" s="31"/>
      <c r="AH483" s="29"/>
      <c r="AI483" s="32">
        <f>('Table001 (Page 1-6)'!V476)*100</f>
        <v>1</v>
      </c>
      <c r="AJ483" s="35"/>
      <c r="AK483" s="35"/>
      <c r="AL483" s="35"/>
      <c r="AM483" s="35"/>
    </row>
    <row r="484" spans="2:39" x14ac:dyDescent="0.25">
      <c r="B484" s="37">
        <f>'Table001 (Page 1-6)'!A477</f>
        <v>6750.2</v>
      </c>
      <c r="C484" s="28" t="str">
        <f>'Table001 (Page 1-6)'!B477</f>
        <v>US 441</v>
      </c>
      <c r="D484" s="28" t="str">
        <f>'Table001 (Page 1-6)'!C477</f>
        <v>CR 25A</v>
      </c>
      <c r="E484" s="28" t="str">
        <f>'Table001 (Page 1-6)'!D477</f>
        <v>US 301</v>
      </c>
      <c r="F484" s="29">
        <f>'Table001 (Page 1-6)'!E477</f>
        <v>4</v>
      </c>
      <c r="G484" s="29">
        <f>'Table001 (Page 1-6)'!K477</f>
        <v>4</v>
      </c>
      <c r="H484" s="30" t="str">
        <f>'Table001 (Page 1-6)'!R477</f>
        <v>D</v>
      </c>
      <c r="I484" s="28" t="str">
        <f>'Table001 (Page 1-6)'!F477</f>
        <v>ARTERIAL</v>
      </c>
      <c r="J484" s="29"/>
      <c r="K484" s="29"/>
      <c r="L484" s="29">
        <f>'Table001 (Page 1-6)'!I477</f>
        <v>38430</v>
      </c>
      <c r="M484" s="29"/>
      <c r="N484" s="29">
        <f>'Table001 (Page 1-6)'!J477</f>
        <v>1901</v>
      </c>
      <c r="O484" s="29">
        <f>'Table001 (Page 1-6)'!L477</f>
        <v>38430</v>
      </c>
      <c r="P484" s="29"/>
      <c r="Q484" s="29">
        <f>'Table001 (Page 1-6)'!M477</f>
        <v>1901</v>
      </c>
      <c r="R484" s="29" t="str">
        <f>'Table001 (Page 1-6)'!S477</f>
        <v>18,300</v>
      </c>
      <c r="S484" s="31" t="str">
        <f>'Table001 (Page 1-6)'!T477</f>
        <v>0.48</v>
      </c>
      <c r="T484" s="29" t="str">
        <f>'Table001 (Page 1-6)'!U477</f>
        <v>C</v>
      </c>
      <c r="U484" s="29"/>
      <c r="V484" s="29"/>
      <c r="W484" s="29"/>
      <c r="X484" s="29"/>
      <c r="Y484" s="29"/>
      <c r="Z484" s="29"/>
      <c r="AA484" s="29"/>
      <c r="AB484" s="29"/>
      <c r="AC484" s="31"/>
      <c r="AD484" s="29"/>
      <c r="AE484" s="29"/>
      <c r="AF484" s="29"/>
      <c r="AG484" s="31"/>
      <c r="AH484" s="29"/>
      <c r="AI484" s="32">
        <f>('Table001 (Page 1-6)'!V477)*100</f>
        <v>1</v>
      </c>
      <c r="AJ484" s="35"/>
      <c r="AK484" s="35"/>
      <c r="AL484" s="35"/>
      <c r="AM484" s="35"/>
    </row>
    <row r="485" spans="2:39" x14ac:dyDescent="0.25">
      <c r="B485" s="37">
        <f>'Table001 (Page 1-6)'!A478</f>
        <v>6750.4</v>
      </c>
      <c r="C485" s="28" t="str">
        <f>'Table001 (Page 1-6)'!B478</f>
        <v>US 441</v>
      </c>
      <c r="D485" s="28" t="str">
        <f>'Table001 (Page 1-6)'!C478</f>
        <v>SE 92 PLACE LOOP</v>
      </c>
      <c r="E485" s="28" t="str">
        <f>'Table001 (Page 1-6)'!D478</f>
        <v>CR 25A</v>
      </c>
      <c r="F485" s="29">
        <f>'Table001 (Page 1-6)'!E478</f>
        <v>4</v>
      </c>
      <c r="G485" s="29">
        <f>'Table001 (Page 1-6)'!K478</f>
        <v>4</v>
      </c>
      <c r="H485" s="30" t="str">
        <f>'Table001 (Page 1-6)'!R478</f>
        <v>D</v>
      </c>
      <c r="I485" s="28" t="str">
        <f>'Table001 (Page 1-6)'!F478</f>
        <v>ARTERIAL</v>
      </c>
      <c r="J485" s="29"/>
      <c r="K485" s="29"/>
      <c r="L485" s="29">
        <f>'Table001 (Page 1-6)'!I478</f>
        <v>38430</v>
      </c>
      <c r="M485" s="29"/>
      <c r="N485" s="29">
        <f>'Table001 (Page 1-6)'!J478</f>
        <v>1901</v>
      </c>
      <c r="O485" s="29">
        <f>'Table001 (Page 1-6)'!L478</f>
        <v>38430</v>
      </c>
      <c r="P485" s="29"/>
      <c r="Q485" s="29">
        <f>'Table001 (Page 1-6)'!M478</f>
        <v>1901</v>
      </c>
      <c r="R485" s="29" t="str">
        <f>'Table001 (Page 1-6)'!S478</f>
        <v>18,200</v>
      </c>
      <c r="S485" s="31" t="str">
        <f>'Table001 (Page 1-6)'!T478</f>
        <v>0.47</v>
      </c>
      <c r="T485" s="29" t="str">
        <f>'Table001 (Page 1-6)'!U478</f>
        <v>C</v>
      </c>
      <c r="U485" s="29"/>
      <c r="V485" s="29"/>
      <c r="W485" s="29"/>
      <c r="X485" s="29"/>
      <c r="Y485" s="29"/>
      <c r="Z485" s="29"/>
      <c r="AA485" s="29"/>
      <c r="AB485" s="29"/>
      <c r="AC485" s="31"/>
      <c r="AD485" s="29"/>
      <c r="AE485" s="29"/>
      <c r="AF485" s="29"/>
      <c r="AG485" s="31"/>
      <c r="AH485" s="29"/>
      <c r="AI485" s="32">
        <f>('Table001 (Page 1-6)'!V478)*100</f>
        <v>1</v>
      </c>
      <c r="AJ485" s="35"/>
      <c r="AK485" s="35"/>
      <c r="AL485" s="35"/>
      <c r="AM485" s="35"/>
    </row>
    <row r="486" spans="2:39" x14ac:dyDescent="0.25">
      <c r="B486" s="37">
        <f>'Table001 (Page 1-6)'!A479</f>
        <v>6770</v>
      </c>
      <c r="C486" s="28" t="str">
        <f>'Table001 (Page 1-6)'!B479</f>
        <v>US 441</v>
      </c>
      <c r="D486" s="28" t="str">
        <f>'Table001 (Page 1-6)'!C479</f>
        <v>US 301</v>
      </c>
      <c r="E486" s="28" t="str">
        <f>'Table001 (Page 1-6)'!D479</f>
        <v>CR 484</v>
      </c>
      <c r="F486" s="29">
        <f>'Table001 (Page 1-6)'!E479</f>
        <v>4</v>
      </c>
      <c r="G486" s="29">
        <f>'Table001 (Page 1-6)'!K479</f>
        <v>4</v>
      </c>
      <c r="H486" s="30" t="str">
        <f>'Table001 (Page 1-6)'!R479</f>
        <v>D</v>
      </c>
      <c r="I486" s="28" t="str">
        <f>'Table001 (Page 1-6)'!F479</f>
        <v>ARTERIAL</v>
      </c>
      <c r="J486" s="29"/>
      <c r="K486" s="29"/>
      <c r="L486" s="29">
        <f>'Table001 (Page 1-6)'!I479</f>
        <v>38430</v>
      </c>
      <c r="M486" s="29"/>
      <c r="N486" s="29">
        <f>'Table001 (Page 1-6)'!J479</f>
        <v>1901</v>
      </c>
      <c r="O486" s="29">
        <f>'Table001 (Page 1-6)'!L479</f>
        <v>38430</v>
      </c>
      <c r="P486" s="29"/>
      <c r="Q486" s="29">
        <f>'Table001 (Page 1-6)'!M479</f>
        <v>1901</v>
      </c>
      <c r="R486" s="29" t="str">
        <f>'Table001 (Page 1-6)'!S479</f>
        <v>27,800</v>
      </c>
      <c r="S486" s="31" t="str">
        <f>'Table001 (Page 1-6)'!T479</f>
        <v>0.72</v>
      </c>
      <c r="T486" s="29" t="str">
        <f>'Table001 (Page 1-6)'!U479</f>
        <v>C</v>
      </c>
      <c r="U486" s="29"/>
      <c r="V486" s="29"/>
      <c r="W486" s="29"/>
      <c r="X486" s="29"/>
      <c r="Y486" s="29"/>
      <c r="Z486" s="29"/>
      <c r="AA486" s="29"/>
      <c r="AB486" s="29"/>
      <c r="AC486" s="31"/>
      <c r="AD486" s="29"/>
      <c r="AE486" s="29"/>
      <c r="AF486" s="29"/>
      <c r="AG486" s="31"/>
      <c r="AH486" s="29"/>
      <c r="AI486" s="32">
        <f>('Table001 (Page 1-6)'!V479)*100</f>
        <v>1</v>
      </c>
      <c r="AJ486" s="35"/>
      <c r="AK486" s="35"/>
      <c r="AL486" s="35"/>
      <c r="AM486" s="35"/>
    </row>
    <row r="487" spans="2:39" x14ac:dyDescent="0.25">
      <c r="B487" s="37">
        <f>'Table001 (Page 1-6)'!A480</f>
        <v>6780</v>
      </c>
      <c r="C487" s="28" t="str">
        <f>'Table001 (Page 1-6)'!B480</f>
        <v>US 441</v>
      </c>
      <c r="D487" s="28" t="str">
        <f>'Table001 (Page 1-6)'!C480</f>
        <v>CR 484</v>
      </c>
      <c r="E487" s="28" t="str">
        <f>'Table001 (Page 1-6)'!D480</f>
        <v>SE 110 ST</v>
      </c>
      <c r="F487" s="29">
        <f>'Table001 (Page 1-6)'!E480</f>
        <v>4</v>
      </c>
      <c r="G487" s="29">
        <f>'Table001 (Page 1-6)'!K480</f>
        <v>4</v>
      </c>
      <c r="H487" s="30" t="str">
        <f>'Table001 (Page 1-6)'!R480</f>
        <v>D</v>
      </c>
      <c r="I487" s="28" t="str">
        <f>'Table001 (Page 1-6)'!F480</f>
        <v>ARTERIAL</v>
      </c>
      <c r="J487" s="29"/>
      <c r="K487" s="29"/>
      <c r="L487" s="29">
        <f>'Table001 (Page 1-6)'!I480</f>
        <v>38430</v>
      </c>
      <c r="M487" s="29"/>
      <c r="N487" s="29">
        <f>'Table001 (Page 1-6)'!J480</f>
        <v>1901</v>
      </c>
      <c r="O487" s="29">
        <f>'Table001 (Page 1-6)'!L480</f>
        <v>38430</v>
      </c>
      <c r="P487" s="29"/>
      <c r="Q487" s="29">
        <f>'Table001 (Page 1-6)'!M480</f>
        <v>1901</v>
      </c>
      <c r="R487" s="29" t="str">
        <f>'Table001 (Page 1-6)'!S480</f>
        <v>27,800</v>
      </c>
      <c r="S487" s="31" t="str">
        <f>'Table001 (Page 1-6)'!T480</f>
        <v>0.72</v>
      </c>
      <c r="T487" s="29" t="str">
        <f>'Table001 (Page 1-6)'!U480</f>
        <v>C</v>
      </c>
      <c r="U487" s="29"/>
      <c r="V487" s="29"/>
      <c r="W487" s="29"/>
      <c r="X487" s="29"/>
      <c r="Y487" s="29"/>
      <c r="Z487" s="29"/>
      <c r="AA487" s="29"/>
      <c r="AB487" s="29"/>
      <c r="AC487" s="31"/>
      <c r="AD487" s="29"/>
      <c r="AE487" s="29"/>
      <c r="AF487" s="29"/>
      <c r="AG487" s="31"/>
      <c r="AH487" s="29"/>
      <c r="AI487" s="32">
        <f>('Table001 (Page 1-6)'!V480)*100</f>
        <v>1</v>
      </c>
      <c r="AJ487" s="35"/>
      <c r="AK487" s="35"/>
      <c r="AL487" s="35"/>
      <c r="AM487" s="35"/>
    </row>
    <row r="488" spans="2:39" x14ac:dyDescent="0.25">
      <c r="B488" s="37">
        <f>'Table001 (Page 1-6)'!A481</f>
        <v>6790</v>
      </c>
      <c r="C488" s="28" t="str">
        <f>'Table001 (Page 1-6)'!B481</f>
        <v>US 441</v>
      </c>
      <c r="D488" s="28" t="str">
        <f>'Table001 (Page 1-6)'!C481</f>
        <v>SE 110 ST</v>
      </c>
      <c r="E488" s="28" t="str">
        <f>'Table001 (Page 1-6)'!D481</f>
        <v>SE 92 PL RD</v>
      </c>
      <c r="F488" s="29">
        <f>'Table001 (Page 1-6)'!E481</f>
        <v>4</v>
      </c>
      <c r="G488" s="29">
        <f>'Table001 (Page 1-6)'!K481</f>
        <v>4</v>
      </c>
      <c r="H488" s="30" t="str">
        <f>'Table001 (Page 1-6)'!R481</f>
        <v>D</v>
      </c>
      <c r="I488" s="28" t="str">
        <f>'Table001 (Page 1-6)'!F481</f>
        <v>ARTERIAL</v>
      </c>
      <c r="J488" s="29"/>
      <c r="K488" s="29"/>
      <c r="L488" s="29">
        <f>'Table001 (Page 1-6)'!I481</f>
        <v>38430</v>
      </c>
      <c r="M488" s="29"/>
      <c r="N488" s="29">
        <f>'Table001 (Page 1-6)'!J481</f>
        <v>1901</v>
      </c>
      <c r="O488" s="29">
        <f>'Table001 (Page 1-6)'!L481</f>
        <v>38430</v>
      </c>
      <c r="P488" s="29"/>
      <c r="Q488" s="29">
        <f>'Table001 (Page 1-6)'!M481</f>
        <v>1901</v>
      </c>
      <c r="R488" s="29" t="str">
        <f>'Table001 (Page 1-6)'!S481</f>
        <v>27,800</v>
      </c>
      <c r="S488" s="31" t="str">
        <f>'Table001 (Page 1-6)'!T481</f>
        <v>0.72</v>
      </c>
      <c r="T488" s="29" t="str">
        <f>'Table001 (Page 1-6)'!U481</f>
        <v>C</v>
      </c>
      <c r="U488" s="29"/>
      <c r="V488" s="29"/>
      <c r="W488" s="29"/>
      <c r="X488" s="29"/>
      <c r="Y488" s="29"/>
      <c r="Z488" s="29"/>
      <c r="AA488" s="29"/>
      <c r="AB488" s="29"/>
      <c r="AC488" s="31"/>
      <c r="AD488" s="29"/>
      <c r="AE488" s="29"/>
      <c r="AF488" s="29"/>
      <c r="AG488" s="31"/>
      <c r="AH488" s="29"/>
      <c r="AI488" s="32">
        <f>('Table001 (Page 1-6)'!V481)*100</f>
        <v>1</v>
      </c>
      <c r="AJ488" s="35"/>
      <c r="AK488" s="35"/>
      <c r="AL488" s="35"/>
      <c r="AM488" s="35"/>
    </row>
    <row r="489" spans="2:39" x14ac:dyDescent="0.25">
      <c r="B489" s="37">
        <f>'Table001 (Page 1-6)'!A482</f>
        <v>6840</v>
      </c>
      <c r="C489" s="28" t="str">
        <f>'Table001 (Page 1-6)'!B482</f>
        <v>US 441</v>
      </c>
      <c r="D489" s="28" t="str">
        <f>'Table001 (Page 1-6)'!C482</f>
        <v>SE 92 PL RD</v>
      </c>
      <c r="E489" s="28" t="str">
        <f>'Table001 (Page 1-6)'!D482</f>
        <v>SE 73 ST</v>
      </c>
      <c r="F489" s="29">
        <f>'Table001 (Page 1-6)'!E482</f>
        <v>4</v>
      </c>
      <c r="G489" s="29">
        <f>'Table001 (Page 1-6)'!K482</f>
        <v>4</v>
      </c>
      <c r="H489" s="30" t="str">
        <f>'Table001 (Page 1-6)'!R482</f>
        <v>D</v>
      </c>
      <c r="I489" s="28" t="str">
        <f>'Table001 (Page 1-6)'!F482</f>
        <v>ARTERIAL</v>
      </c>
      <c r="J489" s="29"/>
      <c r="K489" s="29"/>
      <c r="L489" s="29">
        <f>'Table001 (Page 1-6)'!I482</f>
        <v>38430</v>
      </c>
      <c r="M489" s="29"/>
      <c r="N489" s="29">
        <f>'Table001 (Page 1-6)'!J482</f>
        <v>1901</v>
      </c>
      <c r="O489" s="29">
        <f>'Table001 (Page 1-6)'!L482</f>
        <v>38430</v>
      </c>
      <c r="P489" s="29"/>
      <c r="Q489" s="29">
        <f>'Table001 (Page 1-6)'!M482</f>
        <v>1901</v>
      </c>
      <c r="R489" s="29" t="str">
        <f>'Table001 (Page 1-6)'!S482</f>
        <v>27,800</v>
      </c>
      <c r="S489" s="31" t="str">
        <f>'Table001 (Page 1-6)'!T482</f>
        <v>0.72</v>
      </c>
      <c r="T489" s="29" t="str">
        <f>'Table001 (Page 1-6)'!U482</f>
        <v>C</v>
      </c>
      <c r="U489" s="29"/>
      <c r="V489" s="29"/>
      <c r="W489" s="29"/>
      <c r="X489" s="29"/>
      <c r="Y489" s="29"/>
      <c r="Z489" s="29"/>
      <c r="AA489" s="29"/>
      <c r="AB489" s="29"/>
      <c r="AC489" s="31"/>
      <c r="AD489" s="29"/>
      <c r="AE489" s="29"/>
      <c r="AF489" s="29"/>
      <c r="AG489" s="31"/>
      <c r="AH489" s="29"/>
      <c r="AI489" s="32">
        <f>('Table001 (Page 1-6)'!V482)*100</f>
        <v>1.1299999999999999</v>
      </c>
      <c r="AJ489" s="35"/>
      <c r="AK489" s="35"/>
      <c r="AL489" s="35"/>
      <c r="AM489" s="35"/>
    </row>
    <row r="490" spans="2:39" x14ac:dyDescent="0.25">
      <c r="B490" s="37">
        <f>'Table001 (Page 1-6)'!A483</f>
        <v>6880</v>
      </c>
      <c r="C490" s="28" t="str">
        <f>'Table001 (Page 1-6)'!B483</f>
        <v>US 441</v>
      </c>
      <c r="D490" s="28" t="str">
        <f>'Table001 (Page 1-6)'!C483</f>
        <v>SE 73 ST</v>
      </c>
      <c r="E490" s="28" t="str">
        <f>'Table001 (Page 1-6)'!D483</f>
        <v>SE 52 ST</v>
      </c>
      <c r="F490" s="29">
        <f>'Table001 (Page 1-6)'!E483</f>
        <v>4</v>
      </c>
      <c r="G490" s="29">
        <f>'Table001 (Page 1-6)'!K483</f>
        <v>4</v>
      </c>
      <c r="H490" s="30" t="str">
        <f>'Table001 (Page 1-6)'!R483</f>
        <v>D</v>
      </c>
      <c r="I490" s="28" t="str">
        <f>'Table001 (Page 1-6)'!F483</f>
        <v>ARTERIAL</v>
      </c>
      <c r="J490" s="29"/>
      <c r="K490" s="29"/>
      <c r="L490" s="29">
        <f>'Table001 (Page 1-6)'!I483</f>
        <v>38430</v>
      </c>
      <c r="M490" s="29"/>
      <c r="N490" s="29">
        <f>'Table001 (Page 1-6)'!J483</f>
        <v>1901</v>
      </c>
      <c r="O490" s="29">
        <f>'Table001 (Page 1-6)'!L483</f>
        <v>38430</v>
      </c>
      <c r="P490" s="29"/>
      <c r="Q490" s="29">
        <f>'Table001 (Page 1-6)'!M483</f>
        <v>1901</v>
      </c>
      <c r="R490" s="29" t="str">
        <f>'Table001 (Page 1-6)'!S483</f>
        <v>27,800</v>
      </c>
      <c r="S490" s="31" t="str">
        <f>'Table001 (Page 1-6)'!T483</f>
        <v>0.72</v>
      </c>
      <c r="T490" s="29" t="str">
        <f>'Table001 (Page 1-6)'!U483</f>
        <v>C</v>
      </c>
      <c r="U490" s="29"/>
      <c r="V490" s="29"/>
      <c r="W490" s="29"/>
      <c r="X490" s="29"/>
      <c r="Y490" s="29"/>
      <c r="Z490" s="29"/>
      <c r="AA490" s="29"/>
      <c r="AB490" s="29"/>
      <c r="AC490" s="31"/>
      <c r="AD490" s="29"/>
      <c r="AE490" s="29"/>
      <c r="AF490" s="29"/>
      <c r="AG490" s="31"/>
      <c r="AH490" s="29"/>
      <c r="AI490" s="32">
        <f>('Table001 (Page 1-6)'!V483)*100</f>
        <v>1</v>
      </c>
      <c r="AJ490" s="35"/>
      <c r="AK490" s="35"/>
      <c r="AL490" s="35"/>
      <c r="AM490" s="35"/>
    </row>
    <row r="491" spans="2:39" x14ac:dyDescent="0.25">
      <c r="B491" s="37">
        <f>'Table001 (Page 1-6)'!A484</f>
        <v>6890</v>
      </c>
      <c r="C491" s="28" t="str">
        <f>'Table001 (Page 1-6)'!B484</f>
        <v>US 441</v>
      </c>
      <c r="D491" s="28" t="str">
        <f>'Table001 (Page 1-6)'!C484</f>
        <v>SE 52 ST</v>
      </c>
      <c r="E491" s="28" t="str">
        <f>'Table001 (Page 1-6)'!D484</f>
        <v>SE 40 CIR</v>
      </c>
      <c r="F491" s="29">
        <f>'Table001 (Page 1-6)'!E484</f>
        <v>4</v>
      </c>
      <c r="G491" s="29">
        <f>'Table001 (Page 1-6)'!K484</f>
        <v>4</v>
      </c>
      <c r="H491" s="30" t="str">
        <f>'Table001 (Page 1-6)'!R484</f>
        <v>D</v>
      </c>
      <c r="I491" s="28" t="str">
        <f>'Table001 (Page 1-6)'!F484</f>
        <v>ARTERIAL</v>
      </c>
      <c r="J491" s="29"/>
      <c r="K491" s="29"/>
      <c r="L491" s="29">
        <f>'Table001 (Page 1-6)'!I484</f>
        <v>38430</v>
      </c>
      <c r="M491" s="29"/>
      <c r="N491" s="29">
        <f>'Table001 (Page 1-6)'!J484</f>
        <v>1901</v>
      </c>
      <c r="O491" s="29">
        <f>'Table001 (Page 1-6)'!L484</f>
        <v>38430</v>
      </c>
      <c r="P491" s="29"/>
      <c r="Q491" s="29">
        <f>'Table001 (Page 1-6)'!M484</f>
        <v>1901</v>
      </c>
      <c r="R491" s="29" t="str">
        <f>'Table001 (Page 1-6)'!S484</f>
        <v>32,800</v>
      </c>
      <c r="S491" s="31" t="str">
        <f>'Table001 (Page 1-6)'!T484</f>
        <v>0.85</v>
      </c>
      <c r="T491" s="29" t="str">
        <f>'Table001 (Page 1-6)'!U484</f>
        <v>D</v>
      </c>
      <c r="U491" s="29"/>
      <c r="V491" s="29"/>
      <c r="W491" s="29"/>
      <c r="X491" s="29"/>
      <c r="Y491" s="29"/>
      <c r="Z491" s="29"/>
      <c r="AA491" s="29"/>
      <c r="AB491" s="29"/>
      <c r="AC491" s="31"/>
      <c r="AD491" s="29"/>
      <c r="AE491" s="29"/>
      <c r="AF491" s="29"/>
      <c r="AG491" s="31"/>
      <c r="AH491" s="29"/>
      <c r="AI491" s="32">
        <f>('Table001 (Page 1-6)'!V484)*100</f>
        <v>1</v>
      </c>
      <c r="AJ491" s="35"/>
      <c r="AK491" s="35"/>
      <c r="AL491" s="35"/>
      <c r="AM491" s="35"/>
    </row>
    <row r="492" spans="2:39" x14ac:dyDescent="0.25">
      <c r="B492" s="37">
        <f>'Table001 (Page 1-6)'!A485</f>
        <v>6900.1</v>
      </c>
      <c r="C492" s="28" t="str">
        <f>'Table001 (Page 1-6)'!B485</f>
        <v>US 441</v>
      </c>
      <c r="D492" s="28" t="str">
        <f>'Table001 (Page 1-6)'!C485</f>
        <v>SE 40 CIR</v>
      </c>
      <c r="E492" s="28" t="str">
        <f>'Table001 (Page 1-6)'!D485</f>
        <v>CR 475</v>
      </c>
      <c r="F492" s="29">
        <f>'Table001 (Page 1-6)'!E485</f>
        <v>4</v>
      </c>
      <c r="G492" s="29">
        <f>'Table001 (Page 1-6)'!K485</f>
        <v>4</v>
      </c>
      <c r="H492" s="30" t="str">
        <f>'Table001 (Page 1-6)'!R485</f>
        <v>D</v>
      </c>
      <c r="I492" s="28" t="str">
        <f>'Table001 (Page 1-6)'!F485</f>
        <v>ARTERIAL</v>
      </c>
      <c r="J492" s="29"/>
      <c r="K492" s="29"/>
      <c r="L492" s="29">
        <f>'Table001 (Page 1-6)'!I485</f>
        <v>38430</v>
      </c>
      <c r="M492" s="29"/>
      <c r="N492" s="29">
        <f>'Table001 (Page 1-6)'!J485</f>
        <v>1901</v>
      </c>
      <c r="O492" s="29">
        <f>'Table001 (Page 1-6)'!L485</f>
        <v>38430</v>
      </c>
      <c r="P492" s="29"/>
      <c r="Q492" s="29">
        <f>'Table001 (Page 1-6)'!M485</f>
        <v>1901</v>
      </c>
      <c r="R492" s="29" t="str">
        <f>'Table001 (Page 1-6)'!S485</f>
        <v>29,500</v>
      </c>
      <c r="S492" s="31" t="str">
        <f>'Table001 (Page 1-6)'!T485</f>
        <v>0.77</v>
      </c>
      <c r="T492" s="29" t="str">
        <f>'Table001 (Page 1-6)'!U485</f>
        <v>C</v>
      </c>
      <c r="U492" s="29"/>
      <c r="V492" s="29"/>
      <c r="W492" s="29"/>
      <c r="X492" s="29"/>
      <c r="Y492" s="29"/>
      <c r="Z492" s="29"/>
      <c r="AA492" s="29"/>
      <c r="AB492" s="29"/>
      <c r="AC492" s="31"/>
      <c r="AD492" s="29"/>
      <c r="AE492" s="29"/>
      <c r="AF492" s="29"/>
      <c r="AG492" s="31"/>
      <c r="AH492" s="29"/>
      <c r="AI492" s="32">
        <f>('Table001 (Page 1-6)'!V485)*100</f>
        <v>3.5000000000000004</v>
      </c>
      <c r="AJ492" s="35"/>
      <c r="AK492" s="35"/>
      <c r="AL492" s="35"/>
      <c r="AM492" s="35"/>
    </row>
    <row r="493" spans="2:39" x14ac:dyDescent="0.25">
      <c r="B493" s="37">
        <f>'Table001 (Page 1-6)'!A486</f>
        <v>6920</v>
      </c>
      <c r="C493" s="28" t="str">
        <f>'Table001 (Page 1-6)'!B486</f>
        <v>US 441</v>
      </c>
      <c r="D493" s="28" t="str">
        <f>'Table001 (Page 1-6)'!C486</f>
        <v>CR 475</v>
      </c>
      <c r="E493" s="28" t="str">
        <f>'Table001 (Page 1-6)'!D486</f>
        <v>SR 464</v>
      </c>
      <c r="F493" s="29">
        <f>'Table001 (Page 1-6)'!E486</f>
        <v>6</v>
      </c>
      <c r="G493" s="29">
        <f>'Table001 (Page 1-6)'!K486</f>
        <v>6</v>
      </c>
      <c r="H493" s="30" t="str">
        <f>'Table001 (Page 1-6)'!R486</f>
        <v>D</v>
      </c>
      <c r="I493" s="28" t="str">
        <f>'Table001 (Page 1-6)'!F486</f>
        <v>ARTERIAL</v>
      </c>
      <c r="J493" s="29"/>
      <c r="K493" s="29"/>
      <c r="L493" s="29">
        <f>'Table001 (Page 1-6)'!I486</f>
        <v>59640</v>
      </c>
      <c r="M493" s="29"/>
      <c r="N493" s="29">
        <f>'Table001 (Page 1-6)'!J486</f>
        <v>2951</v>
      </c>
      <c r="O493" s="29">
        <f>'Table001 (Page 1-6)'!L486</f>
        <v>59640</v>
      </c>
      <c r="P493" s="29"/>
      <c r="Q493" s="29">
        <f>'Table001 (Page 1-6)'!M486</f>
        <v>2951</v>
      </c>
      <c r="R493" s="29" t="str">
        <f>'Table001 (Page 1-6)'!S486</f>
        <v>30,800</v>
      </c>
      <c r="S493" s="31" t="str">
        <f>'Table001 (Page 1-6)'!T486</f>
        <v>0.52</v>
      </c>
      <c r="T493" s="29" t="str">
        <f>'Table001 (Page 1-6)'!U486</f>
        <v>C</v>
      </c>
      <c r="U493" s="29"/>
      <c r="V493" s="29"/>
      <c r="W493" s="29"/>
      <c r="X493" s="29"/>
      <c r="Y493" s="29"/>
      <c r="Z493" s="29"/>
      <c r="AA493" s="29"/>
      <c r="AB493" s="29"/>
      <c r="AC493" s="31"/>
      <c r="AD493" s="29"/>
      <c r="AE493" s="29"/>
      <c r="AF493" s="29"/>
      <c r="AG493" s="31"/>
      <c r="AH493" s="29"/>
      <c r="AI493" s="32">
        <f>('Table001 (Page 1-6)'!V486)*100</f>
        <v>2.5100000000000002</v>
      </c>
      <c r="AJ493" s="35"/>
      <c r="AK493" s="35"/>
      <c r="AL493" s="35"/>
      <c r="AM493" s="35"/>
    </row>
    <row r="494" spans="2:39" x14ac:dyDescent="0.25">
      <c r="B494" s="37">
        <f>'Table001 (Page 1-6)'!A487</f>
        <v>6930</v>
      </c>
      <c r="C494" s="28" t="str">
        <f>'Table001 (Page 1-6)'!B487</f>
        <v>US 441</v>
      </c>
      <c r="D494" s="28" t="str">
        <f>'Table001 (Page 1-6)'!C487</f>
        <v>SR 464</v>
      </c>
      <c r="E494" s="28" t="str">
        <f>'Table001 (Page 1-6)'!D487</f>
        <v>SW 10 ST</v>
      </c>
      <c r="F494" s="29">
        <f>'Table001 (Page 1-6)'!E487</f>
        <v>6</v>
      </c>
      <c r="G494" s="29">
        <f>'Table001 (Page 1-6)'!K487</f>
        <v>6</v>
      </c>
      <c r="H494" s="30" t="str">
        <f>'Table001 (Page 1-6)'!R487</f>
        <v>D</v>
      </c>
      <c r="I494" s="28" t="str">
        <f>'Table001 (Page 1-6)'!F487</f>
        <v>ARTERIAL</v>
      </c>
      <c r="J494" s="29"/>
      <c r="K494" s="29"/>
      <c r="L494" s="29">
        <f>'Table001 (Page 1-6)'!I487</f>
        <v>59640</v>
      </c>
      <c r="M494" s="29"/>
      <c r="N494" s="29">
        <f>'Table001 (Page 1-6)'!J487</f>
        <v>2951</v>
      </c>
      <c r="O494" s="29">
        <f>'Table001 (Page 1-6)'!L487</f>
        <v>59640</v>
      </c>
      <c r="P494" s="29"/>
      <c r="Q494" s="29">
        <f>'Table001 (Page 1-6)'!M487</f>
        <v>2951</v>
      </c>
      <c r="R494" s="29" t="str">
        <f>'Table001 (Page 1-6)'!S487</f>
        <v>32,500</v>
      </c>
      <c r="S494" s="31" t="str">
        <f>'Table001 (Page 1-6)'!T487</f>
        <v>0.54</v>
      </c>
      <c r="T494" s="29" t="str">
        <f>'Table001 (Page 1-6)'!U487</f>
        <v>C</v>
      </c>
      <c r="U494" s="29"/>
      <c r="V494" s="29"/>
      <c r="W494" s="29"/>
      <c r="X494" s="29"/>
      <c r="Y494" s="29"/>
      <c r="Z494" s="29"/>
      <c r="AA494" s="29"/>
      <c r="AB494" s="29"/>
      <c r="AC494" s="31"/>
      <c r="AD494" s="29"/>
      <c r="AE494" s="29"/>
      <c r="AF494" s="29"/>
      <c r="AG494" s="31"/>
      <c r="AH494" s="29"/>
      <c r="AI494" s="32">
        <f>('Table001 (Page 1-6)'!V487)*100</f>
        <v>1.6400000000000001</v>
      </c>
      <c r="AJ494" s="35"/>
      <c r="AK494" s="35"/>
      <c r="AL494" s="35"/>
      <c r="AM494" s="35"/>
    </row>
    <row r="495" spans="2:39" x14ac:dyDescent="0.25">
      <c r="B495" s="37">
        <f>'Table001 (Page 1-6)'!A488</f>
        <v>6940</v>
      </c>
      <c r="C495" s="28" t="str">
        <f>'Table001 (Page 1-6)'!B488</f>
        <v>US 441</v>
      </c>
      <c r="D495" s="28" t="str">
        <f>'Table001 (Page 1-6)'!C488</f>
        <v>SW 10 ST</v>
      </c>
      <c r="E495" s="28" t="str">
        <f>'Table001 (Page 1-6)'!D488</f>
        <v>SR 40</v>
      </c>
      <c r="F495" s="29">
        <f>'Table001 (Page 1-6)'!E488</f>
        <v>6</v>
      </c>
      <c r="G495" s="29">
        <f>'Table001 (Page 1-6)'!K488</f>
        <v>6</v>
      </c>
      <c r="H495" s="30" t="str">
        <f>'Table001 (Page 1-6)'!R488</f>
        <v>D</v>
      </c>
      <c r="I495" s="28" t="str">
        <f>'Table001 (Page 1-6)'!F488</f>
        <v>ARTERIAL</v>
      </c>
      <c r="J495" s="29"/>
      <c r="K495" s="29"/>
      <c r="L495" s="29">
        <f>'Table001 (Page 1-6)'!I488</f>
        <v>59640</v>
      </c>
      <c r="M495" s="29"/>
      <c r="N495" s="29">
        <f>'Table001 (Page 1-6)'!J488</f>
        <v>2951</v>
      </c>
      <c r="O495" s="29">
        <f>'Table001 (Page 1-6)'!L488</f>
        <v>59640</v>
      </c>
      <c r="P495" s="29"/>
      <c r="Q495" s="29">
        <f>'Table001 (Page 1-6)'!M488</f>
        <v>2951</v>
      </c>
      <c r="R495" s="29" t="str">
        <f>'Table001 (Page 1-6)'!S488</f>
        <v>40,500</v>
      </c>
      <c r="S495" s="31" t="str">
        <f>'Table001 (Page 1-6)'!T488</f>
        <v>0.68</v>
      </c>
      <c r="T495" s="29" t="str">
        <f>'Table001 (Page 1-6)'!U488</f>
        <v>C</v>
      </c>
      <c r="U495" s="29"/>
      <c r="V495" s="29"/>
      <c r="W495" s="29"/>
      <c r="X495" s="29"/>
      <c r="Y495" s="29"/>
      <c r="Z495" s="29"/>
      <c r="AA495" s="29"/>
      <c r="AB495" s="29"/>
      <c r="AC495" s="31"/>
      <c r="AD495" s="29"/>
      <c r="AE495" s="29"/>
      <c r="AF495" s="29"/>
      <c r="AG495" s="31"/>
      <c r="AH495" s="29"/>
      <c r="AI495" s="32">
        <f>('Table001 (Page 1-6)'!V488)*100</f>
        <v>2.4500000000000002</v>
      </c>
      <c r="AJ495" s="35"/>
      <c r="AK495" s="35"/>
      <c r="AL495" s="35"/>
      <c r="AM495" s="35"/>
    </row>
    <row r="496" spans="2:39" x14ac:dyDescent="0.25">
      <c r="B496" s="37">
        <f>'Table001 (Page 1-6)'!A489</f>
        <v>6960</v>
      </c>
      <c r="C496" s="28" t="str">
        <f>'Table001 (Page 1-6)'!B489</f>
        <v>US 441</v>
      </c>
      <c r="D496" s="28" t="str">
        <f>'Table001 (Page 1-6)'!C489</f>
        <v>SR 40</v>
      </c>
      <c r="E496" s="28" t="str">
        <f>'Table001 (Page 1-6)'!D489</f>
        <v>NW 2 ST</v>
      </c>
      <c r="F496" s="29">
        <f>'Table001 (Page 1-6)'!E489</f>
        <v>6</v>
      </c>
      <c r="G496" s="29">
        <f>'Table001 (Page 1-6)'!K489</f>
        <v>6</v>
      </c>
      <c r="H496" s="30" t="str">
        <f>'Table001 (Page 1-6)'!R489</f>
        <v>D</v>
      </c>
      <c r="I496" s="28" t="str">
        <f>'Table001 (Page 1-6)'!F489</f>
        <v>ARTERIAL</v>
      </c>
      <c r="J496" s="29"/>
      <c r="K496" s="29"/>
      <c r="L496" s="29">
        <f>'Table001 (Page 1-6)'!I489</f>
        <v>59640</v>
      </c>
      <c r="M496" s="29"/>
      <c r="N496" s="29">
        <f>'Table001 (Page 1-6)'!J489</f>
        <v>2951</v>
      </c>
      <c r="O496" s="29">
        <f>'Table001 (Page 1-6)'!L489</f>
        <v>59640</v>
      </c>
      <c r="P496" s="29"/>
      <c r="Q496" s="29">
        <f>'Table001 (Page 1-6)'!M489</f>
        <v>2951</v>
      </c>
      <c r="R496" s="29" t="str">
        <f>'Table001 (Page 1-6)'!S489</f>
        <v>29,500</v>
      </c>
      <c r="S496" s="31" t="str">
        <f>'Table001 (Page 1-6)'!T489</f>
        <v>0.49</v>
      </c>
      <c r="T496" s="29" t="str">
        <f>'Table001 (Page 1-6)'!U489</f>
        <v>C</v>
      </c>
      <c r="U496" s="29"/>
      <c r="V496" s="29"/>
      <c r="W496" s="29"/>
      <c r="X496" s="29"/>
      <c r="Y496" s="29"/>
      <c r="Z496" s="29"/>
      <c r="AA496" s="29"/>
      <c r="AB496" s="29"/>
      <c r="AC496" s="31"/>
      <c r="AD496" s="29"/>
      <c r="AE496" s="29"/>
      <c r="AF496" s="29"/>
      <c r="AG496" s="31"/>
      <c r="AH496" s="29"/>
      <c r="AI496" s="32">
        <f>('Table001 (Page 1-6)'!V489)*100</f>
        <v>1.82</v>
      </c>
      <c r="AJ496" s="35"/>
      <c r="AK496" s="35"/>
      <c r="AL496" s="35"/>
      <c r="AM496" s="35"/>
    </row>
    <row r="497" spans="2:39" x14ac:dyDescent="0.25">
      <c r="B497" s="37">
        <f>'Table001 (Page 1-6)'!A490</f>
        <v>6970.1</v>
      </c>
      <c r="C497" s="28" t="str">
        <f>'Table001 (Page 1-6)'!B490</f>
        <v>US 441</v>
      </c>
      <c r="D497" s="28" t="str">
        <f>'Table001 (Page 1-6)'!C490</f>
        <v>NW 2 ST</v>
      </c>
      <c r="E497" s="28" t="str">
        <f>'Table001 (Page 1-6)'!D490</f>
        <v>NW 6TH ST</v>
      </c>
      <c r="F497" s="29">
        <f>'Table001 (Page 1-6)'!E490</f>
        <v>4</v>
      </c>
      <c r="G497" s="29">
        <f>'Table001 (Page 1-6)'!K490</f>
        <v>4</v>
      </c>
      <c r="H497" s="30" t="str">
        <f>'Table001 (Page 1-6)'!R490</f>
        <v>D</v>
      </c>
      <c r="I497" s="28" t="str">
        <f>'Table001 (Page 1-6)'!F490</f>
        <v>ARTERIAL</v>
      </c>
      <c r="J497" s="29"/>
      <c r="K497" s="29"/>
      <c r="L497" s="29">
        <f>'Table001 (Page 1-6)'!I490</f>
        <v>38430</v>
      </c>
      <c r="M497" s="29"/>
      <c r="N497" s="29">
        <f>'Table001 (Page 1-6)'!J490</f>
        <v>1901</v>
      </c>
      <c r="O497" s="29">
        <f>'Table001 (Page 1-6)'!L490</f>
        <v>38430</v>
      </c>
      <c r="P497" s="29"/>
      <c r="Q497" s="29">
        <f>'Table001 (Page 1-6)'!M490</f>
        <v>1901</v>
      </c>
      <c r="R497" s="29" t="str">
        <f>'Table001 (Page 1-6)'!S490</f>
        <v>29,500</v>
      </c>
      <c r="S497" s="31" t="str">
        <f>'Table001 (Page 1-6)'!T490</f>
        <v>0.77</v>
      </c>
      <c r="T497" s="29" t="str">
        <f>'Table001 (Page 1-6)'!U490</f>
        <v>C</v>
      </c>
      <c r="U497" s="29"/>
      <c r="V497" s="29"/>
      <c r="W497" s="29"/>
      <c r="X497" s="29"/>
      <c r="Y497" s="29"/>
      <c r="Z497" s="29"/>
      <c r="AA497" s="29"/>
      <c r="AB497" s="29"/>
      <c r="AC497" s="31"/>
      <c r="AD497" s="29"/>
      <c r="AE497" s="29"/>
      <c r="AF497" s="29"/>
      <c r="AG497" s="31"/>
      <c r="AH497" s="29"/>
      <c r="AI497" s="32">
        <f>('Table001 (Page 1-6)'!V490)*100</f>
        <v>1.82</v>
      </c>
      <c r="AJ497" s="35"/>
      <c r="AK497" s="35"/>
      <c r="AL497" s="35"/>
      <c r="AM497" s="35"/>
    </row>
    <row r="498" spans="2:39" x14ac:dyDescent="0.25">
      <c r="B498" s="37">
        <f>'Table001 (Page 1-6)'!A491</f>
        <v>6970.2</v>
      </c>
      <c r="C498" s="28" t="str">
        <f>'Table001 (Page 1-6)'!B491</f>
        <v>US 441</v>
      </c>
      <c r="D498" s="28" t="str">
        <f>'Table001 (Page 1-6)'!C491</f>
        <v>NW 6TH ST</v>
      </c>
      <c r="E498" s="28" t="str">
        <f>'Table001 (Page 1-6)'!D491</f>
        <v>US 27</v>
      </c>
      <c r="F498" s="29">
        <f>'Table001 (Page 1-6)'!E491</f>
        <v>4</v>
      </c>
      <c r="G498" s="29">
        <f>'Table001 (Page 1-6)'!K491</f>
        <v>4</v>
      </c>
      <c r="H498" s="30" t="str">
        <f>'Table001 (Page 1-6)'!R491</f>
        <v>D</v>
      </c>
      <c r="I498" s="28" t="str">
        <f>'Table001 (Page 1-6)'!F491</f>
        <v>ARTERIAL</v>
      </c>
      <c r="J498" s="29"/>
      <c r="K498" s="29"/>
      <c r="L498" s="29">
        <f>'Table001 (Page 1-6)'!I491</f>
        <v>38430</v>
      </c>
      <c r="M498" s="29"/>
      <c r="N498" s="29">
        <f>'Table001 (Page 1-6)'!J491</f>
        <v>1901</v>
      </c>
      <c r="O498" s="29">
        <f>'Table001 (Page 1-6)'!L491</f>
        <v>38430</v>
      </c>
      <c r="P498" s="29"/>
      <c r="Q498" s="29">
        <f>'Table001 (Page 1-6)'!M491</f>
        <v>1901</v>
      </c>
      <c r="R498" s="29" t="str">
        <f>'Table001 (Page 1-6)'!S491</f>
        <v>29,500</v>
      </c>
      <c r="S498" s="31" t="str">
        <f>'Table001 (Page 1-6)'!T491</f>
        <v>0.77</v>
      </c>
      <c r="T498" s="29" t="str">
        <f>'Table001 (Page 1-6)'!U491</f>
        <v>C</v>
      </c>
      <c r="U498" s="29"/>
      <c r="V498" s="29"/>
      <c r="W498" s="29"/>
      <c r="X498" s="29"/>
      <c r="Y498" s="29"/>
      <c r="Z498" s="29"/>
      <c r="AA498" s="29"/>
      <c r="AB498" s="29"/>
      <c r="AC498" s="31"/>
      <c r="AD498" s="29"/>
      <c r="AE498" s="29"/>
      <c r="AF498" s="29"/>
      <c r="AG498" s="31"/>
      <c r="AH498" s="29"/>
      <c r="AI498" s="32">
        <f>('Table001 (Page 1-6)'!V491)*100</f>
        <v>1.82</v>
      </c>
      <c r="AJ498" s="35"/>
      <c r="AK498" s="35"/>
      <c r="AL498" s="35"/>
      <c r="AM498" s="35"/>
    </row>
    <row r="499" spans="2:39" x14ac:dyDescent="0.25">
      <c r="B499" s="37">
        <f>'Table001 (Page 1-6)'!A492</f>
        <v>6980</v>
      </c>
      <c r="C499" s="28" t="str">
        <f>'Table001 (Page 1-6)'!B492</f>
        <v>US 441</v>
      </c>
      <c r="D499" s="28" t="str">
        <f>'Table001 (Page 1-6)'!C492</f>
        <v>US 27</v>
      </c>
      <c r="E499" s="28" t="str">
        <f>'Table001 (Page 1-6)'!D492</f>
        <v>NW 20 ST</v>
      </c>
      <c r="F499" s="29">
        <f>'Table001 (Page 1-6)'!E492</f>
        <v>4</v>
      </c>
      <c r="G499" s="29">
        <f>'Table001 (Page 1-6)'!K492</f>
        <v>4</v>
      </c>
      <c r="H499" s="30" t="str">
        <f>'Table001 (Page 1-6)'!R492</f>
        <v>D</v>
      </c>
      <c r="I499" s="28" t="str">
        <f>'Table001 (Page 1-6)'!F492</f>
        <v>ARTERIAL</v>
      </c>
      <c r="J499" s="29"/>
      <c r="K499" s="29"/>
      <c r="L499" s="29">
        <f>'Table001 (Page 1-6)'!I492</f>
        <v>38430</v>
      </c>
      <c r="M499" s="29"/>
      <c r="N499" s="29">
        <f>'Table001 (Page 1-6)'!J492</f>
        <v>1901</v>
      </c>
      <c r="O499" s="29">
        <f>'Table001 (Page 1-6)'!L492</f>
        <v>38430</v>
      </c>
      <c r="P499" s="29"/>
      <c r="Q499" s="29">
        <f>'Table001 (Page 1-6)'!M492</f>
        <v>1901</v>
      </c>
      <c r="R499" s="29" t="str">
        <f>'Table001 (Page 1-6)'!S492</f>
        <v>25,800</v>
      </c>
      <c r="S499" s="31" t="str">
        <f>'Table001 (Page 1-6)'!T492</f>
        <v>0.67</v>
      </c>
      <c r="T499" s="29" t="str">
        <f>'Table001 (Page 1-6)'!U492</f>
        <v>C</v>
      </c>
      <c r="U499" s="29"/>
      <c r="V499" s="29"/>
      <c r="W499" s="29"/>
      <c r="X499" s="29"/>
      <c r="Y499" s="29"/>
      <c r="Z499" s="29"/>
      <c r="AA499" s="29"/>
      <c r="AB499" s="29"/>
      <c r="AC499" s="31"/>
      <c r="AD499" s="29"/>
      <c r="AE499" s="29"/>
      <c r="AF499" s="29"/>
      <c r="AG499" s="31"/>
      <c r="AH499" s="29"/>
      <c r="AI499" s="32">
        <f>('Table001 (Page 1-6)'!V492)*100</f>
        <v>1</v>
      </c>
      <c r="AJ499" s="35"/>
      <c r="AK499" s="35"/>
      <c r="AL499" s="35"/>
      <c r="AM499" s="35"/>
    </row>
    <row r="500" spans="2:39" x14ac:dyDescent="0.25">
      <c r="B500" s="37">
        <f>'Table001 (Page 1-6)'!A493</f>
        <v>6990</v>
      </c>
      <c r="C500" s="28" t="str">
        <f>'Table001 (Page 1-6)'!B493</f>
        <v>US 441</v>
      </c>
      <c r="D500" s="28" t="str">
        <f>'Table001 (Page 1-6)'!C493</f>
        <v>NW 20 ST</v>
      </c>
      <c r="E500" s="28" t="str">
        <f>'Table001 (Page 1-6)'!D493</f>
        <v>NW 35 ST</v>
      </c>
      <c r="F500" s="29">
        <f>'Table001 (Page 1-6)'!E493</f>
        <v>4</v>
      </c>
      <c r="G500" s="29">
        <f>'Table001 (Page 1-6)'!K493</f>
        <v>4</v>
      </c>
      <c r="H500" s="30" t="str">
        <f>'Table001 (Page 1-6)'!R493</f>
        <v>D</v>
      </c>
      <c r="I500" s="28" t="str">
        <f>'Table001 (Page 1-6)'!F493</f>
        <v>ARTERIAL</v>
      </c>
      <c r="J500" s="29"/>
      <c r="K500" s="29"/>
      <c r="L500" s="29">
        <f>'Table001 (Page 1-6)'!I493</f>
        <v>38430</v>
      </c>
      <c r="M500" s="29"/>
      <c r="N500" s="29">
        <f>'Table001 (Page 1-6)'!J493</f>
        <v>1901</v>
      </c>
      <c r="O500" s="29">
        <f>'Table001 (Page 1-6)'!L493</f>
        <v>38430</v>
      </c>
      <c r="P500" s="29"/>
      <c r="Q500" s="29">
        <f>'Table001 (Page 1-6)'!M493</f>
        <v>1901</v>
      </c>
      <c r="R500" s="29" t="str">
        <f>'Table001 (Page 1-6)'!S493</f>
        <v>25,800</v>
      </c>
      <c r="S500" s="31" t="str">
        <f>'Table001 (Page 1-6)'!T493</f>
        <v>0.67</v>
      </c>
      <c r="T500" s="29" t="str">
        <f>'Table001 (Page 1-6)'!U493</f>
        <v>C</v>
      </c>
      <c r="U500" s="29"/>
      <c r="V500" s="29"/>
      <c r="W500" s="29"/>
      <c r="X500" s="29"/>
      <c r="Y500" s="29"/>
      <c r="Z500" s="29"/>
      <c r="AA500" s="29"/>
      <c r="AB500" s="29"/>
      <c r="AC500" s="31"/>
      <c r="AD500" s="29"/>
      <c r="AE500" s="29"/>
      <c r="AF500" s="29"/>
      <c r="AG500" s="31"/>
      <c r="AH500" s="29"/>
      <c r="AI500" s="32">
        <f>('Table001 (Page 1-6)'!V493)*100</f>
        <v>1</v>
      </c>
      <c r="AJ500" s="35"/>
      <c r="AK500" s="35"/>
      <c r="AL500" s="35"/>
      <c r="AM500" s="35"/>
    </row>
    <row r="501" spans="2:39" x14ac:dyDescent="0.25">
      <c r="B501" s="37">
        <f>'Table001 (Page 1-6)'!A494</f>
        <v>7010</v>
      </c>
      <c r="C501" s="28" t="str">
        <f>'Table001 (Page 1-6)'!B494</f>
        <v>US 441</v>
      </c>
      <c r="D501" s="28" t="str">
        <f>'Table001 (Page 1-6)'!C494</f>
        <v>NW 35 ST</v>
      </c>
      <c r="E501" s="28" t="str">
        <f>'Table001 (Page 1-6)'!D494</f>
        <v>NW 57 ST</v>
      </c>
      <c r="F501" s="29">
        <f>'Table001 (Page 1-6)'!E494</f>
        <v>4</v>
      </c>
      <c r="G501" s="29">
        <f>'Table001 (Page 1-6)'!K494</f>
        <v>4</v>
      </c>
      <c r="H501" s="30" t="str">
        <f>'Table001 (Page 1-6)'!R494</f>
        <v>D</v>
      </c>
      <c r="I501" s="28" t="str">
        <f>'Table001 (Page 1-6)'!F494</f>
        <v>ARTERIAL</v>
      </c>
      <c r="J501" s="29"/>
      <c r="K501" s="29"/>
      <c r="L501" s="29">
        <f>'Table001 (Page 1-6)'!I494</f>
        <v>38430</v>
      </c>
      <c r="M501" s="29"/>
      <c r="N501" s="29">
        <f>'Table001 (Page 1-6)'!J494</f>
        <v>1901</v>
      </c>
      <c r="O501" s="29">
        <f>'Table001 (Page 1-6)'!L494</f>
        <v>38430</v>
      </c>
      <c r="P501" s="29"/>
      <c r="Q501" s="29">
        <f>'Table001 (Page 1-6)'!M494</f>
        <v>1901</v>
      </c>
      <c r="R501" s="29" t="str">
        <f>'Table001 (Page 1-6)'!S494</f>
        <v>21,200</v>
      </c>
      <c r="S501" s="31" t="str">
        <f>'Table001 (Page 1-6)'!T494</f>
        <v>0.55</v>
      </c>
      <c r="T501" s="29" t="str">
        <f>'Table001 (Page 1-6)'!U494</f>
        <v>C</v>
      </c>
      <c r="U501" s="29"/>
      <c r="V501" s="29"/>
      <c r="W501" s="29"/>
      <c r="X501" s="29"/>
      <c r="Y501" s="29"/>
      <c r="Z501" s="29"/>
      <c r="AA501" s="29"/>
      <c r="AB501" s="29"/>
      <c r="AC501" s="31"/>
      <c r="AD501" s="29"/>
      <c r="AE501" s="29"/>
      <c r="AF501" s="29"/>
      <c r="AG501" s="31"/>
      <c r="AH501" s="29"/>
      <c r="AI501" s="32">
        <f>('Table001 (Page 1-6)'!V494)*100</f>
        <v>1</v>
      </c>
      <c r="AJ501" s="35"/>
      <c r="AK501" s="35"/>
      <c r="AL501" s="35"/>
      <c r="AM501" s="35"/>
    </row>
    <row r="502" spans="2:39" x14ac:dyDescent="0.25">
      <c r="B502" s="37">
        <f>'Table001 (Page 1-6)'!A495</f>
        <v>7020</v>
      </c>
      <c r="C502" s="28" t="str">
        <f>'Table001 (Page 1-6)'!B495</f>
        <v>US 441</v>
      </c>
      <c r="D502" s="28" t="str">
        <f>'Table001 (Page 1-6)'!C495</f>
        <v>NW 57 ST</v>
      </c>
      <c r="E502" s="28" t="str">
        <f>'Table001 (Page 1-6)'!D495</f>
        <v>SR 326</v>
      </c>
      <c r="F502" s="29">
        <f>'Table001 (Page 1-6)'!E495</f>
        <v>4</v>
      </c>
      <c r="G502" s="29">
        <f>'Table001 (Page 1-6)'!K495</f>
        <v>4</v>
      </c>
      <c r="H502" s="30" t="str">
        <f>'Table001 (Page 1-6)'!R495</f>
        <v>D</v>
      </c>
      <c r="I502" s="28" t="str">
        <f>'Table001 (Page 1-6)'!F495</f>
        <v>ARTERIAL</v>
      </c>
      <c r="J502" s="29"/>
      <c r="K502" s="29"/>
      <c r="L502" s="29">
        <f>'Table001 (Page 1-6)'!I495</f>
        <v>38430</v>
      </c>
      <c r="M502" s="29"/>
      <c r="N502" s="29">
        <f>'Table001 (Page 1-6)'!J495</f>
        <v>1901</v>
      </c>
      <c r="O502" s="29">
        <f>'Table001 (Page 1-6)'!L495</f>
        <v>38430</v>
      </c>
      <c r="P502" s="29"/>
      <c r="Q502" s="29">
        <f>'Table001 (Page 1-6)'!M495</f>
        <v>1901</v>
      </c>
      <c r="R502" s="29" t="str">
        <f>'Table001 (Page 1-6)'!S495</f>
        <v>16,700</v>
      </c>
      <c r="S502" s="31" t="str">
        <f>'Table001 (Page 1-6)'!T495</f>
        <v>0.43</v>
      </c>
      <c r="T502" s="29" t="str">
        <f>'Table001 (Page 1-6)'!U495</f>
        <v>C</v>
      </c>
      <c r="U502" s="29"/>
      <c r="V502" s="29"/>
      <c r="W502" s="29"/>
      <c r="X502" s="29"/>
      <c r="Y502" s="29"/>
      <c r="Z502" s="29"/>
      <c r="AA502" s="29"/>
      <c r="AB502" s="29"/>
      <c r="AC502" s="31"/>
      <c r="AD502" s="29"/>
      <c r="AE502" s="29"/>
      <c r="AF502" s="29"/>
      <c r="AG502" s="31"/>
      <c r="AH502" s="29"/>
      <c r="AI502" s="32">
        <f>('Table001 (Page 1-6)'!V495)*100</f>
        <v>1</v>
      </c>
      <c r="AJ502" s="35"/>
      <c r="AK502" s="35"/>
      <c r="AL502" s="35"/>
      <c r="AM502" s="35"/>
    </row>
    <row r="503" spans="2:39" x14ac:dyDescent="0.25">
      <c r="B503" s="37">
        <f>'Table001 (Page 1-6)'!A496</f>
        <v>7030</v>
      </c>
      <c r="C503" s="28" t="str">
        <f>'Table001 (Page 1-6)'!B496</f>
        <v>US 441</v>
      </c>
      <c r="D503" s="28" t="str">
        <f>'Table001 (Page 1-6)'!C496</f>
        <v>SR 326</v>
      </c>
      <c r="E503" s="28" t="str">
        <f>'Table001 (Page 1-6)'!D496</f>
        <v>NW 77 ST</v>
      </c>
      <c r="F503" s="29">
        <f>'Table001 (Page 1-6)'!E496</f>
        <v>4</v>
      </c>
      <c r="G503" s="29">
        <f>'Table001 (Page 1-6)'!K496</f>
        <v>4</v>
      </c>
      <c r="H503" s="30" t="str">
        <f>'Table001 (Page 1-6)'!R496</f>
        <v>C</v>
      </c>
      <c r="I503" s="28" t="str">
        <f>'Table001 (Page 1-6)'!F496</f>
        <v>ARTERIAL</v>
      </c>
      <c r="J503" s="29"/>
      <c r="K503" s="29"/>
      <c r="L503" s="29">
        <f>'Table001 (Page 1-6)'!I496</f>
        <v>45800</v>
      </c>
      <c r="M503" s="29"/>
      <c r="N503" s="29">
        <f>'Table001 (Page 1-6)'!J496</f>
        <v>2390</v>
      </c>
      <c r="O503" s="29">
        <f>'Table001 (Page 1-6)'!L496</f>
        <v>45800</v>
      </c>
      <c r="P503" s="29"/>
      <c r="Q503" s="29">
        <f>'Table001 (Page 1-6)'!M496</f>
        <v>2390</v>
      </c>
      <c r="R503" s="29" t="str">
        <f>'Table001 (Page 1-6)'!S496</f>
        <v>22,600</v>
      </c>
      <c r="S503" s="31" t="str">
        <f>'Table001 (Page 1-6)'!T496</f>
        <v>0.49</v>
      </c>
      <c r="T503" s="29" t="str">
        <f>'Table001 (Page 1-6)'!U496</f>
        <v>B</v>
      </c>
      <c r="U503" s="29"/>
      <c r="V503" s="29"/>
      <c r="W503" s="29"/>
      <c r="X503" s="29"/>
      <c r="Y503" s="29"/>
      <c r="Z503" s="29"/>
      <c r="AA503" s="29"/>
      <c r="AB503" s="29"/>
      <c r="AC503" s="31"/>
      <c r="AD503" s="29"/>
      <c r="AE503" s="29"/>
      <c r="AF503" s="29"/>
      <c r="AG503" s="31"/>
      <c r="AH503" s="29"/>
      <c r="AI503" s="32">
        <f>('Table001 (Page 1-6)'!V496)*100</f>
        <v>2.5499999999999998</v>
      </c>
      <c r="AJ503" s="35"/>
      <c r="AK503" s="35"/>
      <c r="AL503" s="35"/>
      <c r="AM503" s="35"/>
    </row>
    <row r="504" spans="2:39" x14ac:dyDescent="0.25">
      <c r="B504" s="37">
        <f>'Table001 (Page 1-6)'!A497</f>
        <v>7040.1</v>
      </c>
      <c r="C504" s="28" t="str">
        <f>'Table001 (Page 1-6)'!B497</f>
        <v>US 441</v>
      </c>
      <c r="D504" s="28" t="str">
        <f>'Table001 (Page 1-6)'!C497</f>
        <v>NW 77 ST</v>
      </c>
      <c r="E504" s="28" t="str">
        <f>'Table001 (Page 1-6)'!D497</f>
        <v>NW 117 ST</v>
      </c>
      <c r="F504" s="29">
        <f>'Table001 (Page 1-6)'!E497</f>
        <v>4</v>
      </c>
      <c r="G504" s="29">
        <f>'Table001 (Page 1-6)'!K497</f>
        <v>4</v>
      </c>
      <c r="H504" s="30" t="str">
        <f>'Table001 (Page 1-6)'!R497</f>
        <v>C</v>
      </c>
      <c r="I504" s="28" t="str">
        <f>'Table001 (Page 1-6)'!F497</f>
        <v>ARTERIAL</v>
      </c>
      <c r="J504" s="29"/>
      <c r="K504" s="29"/>
      <c r="L504" s="29">
        <f>'Table001 (Page 1-6)'!I497</f>
        <v>45800</v>
      </c>
      <c r="M504" s="29"/>
      <c r="N504" s="29">
        <f>'Table001 (Page 1-6)'!J497</f>
        <v>2390</v>
      </c>
      <c r="O504" s="29">
        <f>'Table001 (Page 1-6)'!L497</f>
        <v>45800</v>
      </c>
      <c r="P504" s="29"/>
      <c r="Q504" s="29">
        <f>'Table001 (Page 1-6)'!M497</f>
        <v>2390</v>
      </c>
      <c r="R504" s="29" t="str">
        <f>'Table001 (Page 1-6)'!S497</f>
        <v>33,900</v>
      </c>
      <c r="S504" s="31" t="str">
        <f>'Table001 (Page 1-6)'!T497</f>
        <v>0.74</v>
      </c>
      <c r="T504" s="29" t="str">
        <f>'Table001 (Page 1-6)'!U497</f>
        <v>C</v>
      </c>
      <c r="U504" s="29"/>
      <c r="V504" s="29"/>
      <c r="W504" s="29"/>
      <c r="X504" s="29"/>
      <c r="Y504" s="29"/>
      <c r="Z504" s="29"/>
      <c r="AA504" s="29"/>
      <c r="AB504" s="29"/>
      <c r="AC504" s="31"/>
      <c r="AD504" s="29"/>
      <c r="AE504" s="29"/>
      <c r="AF504" s="29"/>
      <c r="AG504" s="31"/>
      <c r="AH504" s="29"/>
      <c r="AI504" s="32">
        <f>('Table001 (Page 1-6)'!V497)*100</f>
        <v>1.9800000000000002</v>
      </c>
      <c r="AJ504" s="35"/>
      <c r="AK504" s="35"/>
      <c r="AL504" s="35"/>
      <c r="AM504" s="35"/>
    </row>
    <row r="505" spans="2:39" x14ac:dyDescent="0.25">
      <c r="B505" s="37">
        <f>'Table001 (Page 1-6)'!A498</f>
        <v>7040.2</v>
      </c>
      <c r="C505" s="28" t="str">
        <f>'Table001 (Page 1-6)'!B498</f>
        <v>US 441</v>
      </c>
      <c r="D505" s="28" t="str">
        <f>'Table001 (Page 1-6)'!C498</f>
        <v>NW 117 ST</v>
      </c>
      <c r="E505" s="28" t="str">
        <f>'Table001 (Page 1-6)'!D498</f>
        <v>CR 329</v>
      </c>
      <c r="F505" s="29">
        <f>'Table001 (Page 1-6)'!E498</f>
        <v>4</v>
      </c>
      <c r="G505" s="29">
        <f>'Table001 (Page 1-6)'!K498</f>
        <v>4</v>
      </c>
      <c r="H505" s="30" t="str">
        <f>'Table001 (Page 1-6)'!R498</f>
        <v>C</v>
      </c>
      <c r="I505" s="28" t="str">
        <f>'Table001 (Page 1-6)'!F498</f>
        <v>ARTERIAL</v>
      </c>
      <c r="J505" s="29"/>
      <c r="K505" s="29"/>
      <c r="L505" s="29">
        <f>'Table001 (Page 1-6)'!I498</f>
        <v>45800</v>
      </c>
      <c r="M505" s="29"/>
      <c r="N505" s="29">
        <f>'Table001 (Page 1-6)'!J498</f>
        <v>2390</v>
      </c>
      <c r="O505" s="29">
        <f>'Table001 (Page 1-6)'!L498</f>
        <v>45800</v>
      </c>
      <c r="P505" s="29"/>
      <c r="Q505" s="29">
        <f>'Table001 (Page 1-6)'!M498</f>
        <v>2390</v>
      </c>
      <c r="R505" s="29" t="str">
        <f>'Table001 (Page 1-6)'!S498</f>
        <v>28,700</v>
      </c>
      <c r="S505" s="31" t="str">
        <f>'Table001 (Page 1-6)'!T498</f>
        <v>0.63</v>
      </c>
      <c r="T505" s="29" t="str">
        <f>'Table001 (Page 1-6)'!U498</f>
        <v>B</v>
      </c>
      <c r="U505" s="29"/>
      <c r="V505" s="29"/>
      <c r="W505" s="29"/>
      <c r="X505" s="29"/>
      <c r="Y505" s="29"/>
      <c r="Z505" s="29"/>
      <c r="AA505" s="29"/>
      <c r="AB505" s="29"/>
      <c r="AC505" s="31"/>
      <c r="AD505" s="29"/>
      <c r="AE505" s="29"/>
      <c r="AF505" s="29"/>
      <c r="AG505" s="31"/>
      <c r="AH505" s="29"/>
      <c r="AI505" s="32">
        <f>('Table001 (Page 1-6)'!V498)*100</f>
        <v>0.72</v>
      </c>
      <c r="AJ505" s="35"/>
      <c r="AK505" s="35"/>
      <c r="AL505" s="35"/>
      <c r="AM505" s="35"/>
    </row>
    <row r="506" spans="2:39" x14ac:dyDescent="0.25">
      <c r="B506" s="37">
        <f>'Table001 (Page 1-6)'!A499</f>
        <v>7050.1</v>
      </c>
      <c r="C506" s="28" t="str">
        <f>'Table001 (Page 1-6)'!B499</f>
        <v>US 441</v>
      </c>
      <c r="D506" s="28" t="str">
        <f>'Table001 (Page 1-6)'!C499</f>
        <v>CR 329</v>
      </c>
      <c r="E506" s="28" t="str">
        <f>'Table001 (Page 1-6)'!D499</f>
        <v>US 301</v>
      </c>
      <c r="F506" s="29">
        <f>'Table001 (Page 1-6)'!E499</f>
        <v>4</v>
      </c>
      <c r="G506" s="29">
        <f>'Table001 (Page 1-6)'!K499</f>
        <v>4</v>
      </c>
      <c r="H506" s="30" t="str">
        <f>'Table001 (Page 1-6)'!R499</f>
        <v>C</v>
      </c>
      <c r="I506" s="28" t="str">
        <f>'Table001 (Page 1-6)'!F499</f>
        <v>ARTERIAL</v>
      </c>
      <c r="J506" s="29"/>
      <c r="K506" s="29"/>
      <c r="L506" s="29">
        <f>'Table001 (Page 1-6)'!I499</f>
        <v>45800</v>
      </c>
      <c r="M506" s="29"/>
      <c r="N506" s="29">
        <f>'Table001 (Page 1-6)'!J499</f>
        <v>2390</v>
      </c>
      <c r="O506" s="29">
        <f>'Table001 (Page 1-6)'!L499</f>
        <v>45800</v>
      </c>
      <c r="P506" s="29"/>
      <c r="Q506" s="29">
        <f>'Table001 (Page 1-6)'!M499</f>
        <v>2390</v>
      </c>
      <c r="R506" s="29" t="str">
        <f>'Table001 (Page 1-6)'!S499</f>
        <v>29,900</v>
      </c>
      <c r="S506" s="31" t="str">
        <f>'Table001 (Page 1-6)'!T499</f>
        <v>0.65</v>
      </c>
      <c r="T506" s="29" t="str">
        <f>'Table001 (Page 1-6)'!U499</f>
        <v>B</v>
      </c>
      <c r="U506" s="29"/>
      <c r="V506" s="29"/>
      <c r="W506" s="29"/>
      <c r="X506" s="29"/>
      <c r="Y506" s="29"/>
      <c r="Z506" s="29"/>
      <c r="AA506" s="29"/>
      <c r="AB506" s="29"/>
      <c r="AC506" s="31"/>
      <c r="AD506" s="29"/>
      <c r="AE506" s="29"/>
      <c r="AF506" s="29"/>
      <c r="AG506" s="31"/>
      <c r="AH506" s="29"/>
      <c r="AI506" s="32">
        <f>('Table001 (Page 1-6)'!V499)*100</f>
        <v>5.0299999999999994</v>
      </c>
      <c r="AJ506" s="35"/>
      <c r="AK506" s="35"/>
      <c r="AL506" s="35"/>
      <c r="AM506" s="35"/>
    </row>
    <row r="507" spans="2:39" x14ac:dyDescent="0.25">
      <c r="B507" s="37">
        <f>'Table001 (Page 1-6)'!A500</f>
        <v>7050.2</v>
      </c>
      <c r="C507" s="28" t="str">
        <f>'Table001 (Page 1-6)'!B500</f>
        <v>US 441</v>
      </c>
      <c r="D507" s="28" t="str">
        <f>'Table001 (Page 1-6)'!C500</f>
        <v>US 301</v>
      </c>
      <c r="E507" s="28" t="str">
        <f>'Table001 (Page 1-6)'!D500</f>
        <v>CR 25A (N)</v>
      </c>
      <c r="F507" s="29">
        <f>'Table001 (Page 1-6)'!E500</f>
        <v>4</v>
      </c>
      <c r="G507" s="29">
        <f>'Table001 (Page 1-6)'!K500</f>
        <v>4</v>
      </c>
      <c r="H507" s="30" t="str">
        <f>'Table001 (Page 1-6)'!R500</f>
        <v>C</v>
      </c>
      <c r="I507" s="28" t="str">
        <f>'Table001 (Page 1-6)'!F500</f>
        <v>ARTERIAL</v>
      </c>
      <c r="J507" s="29"/>
      <c r="K507" s="29"/>
      <c r="L507" s="29">
        <f>'Table001 (Page 1-6)'!I500</f>
        <v>45800</v>
      </c>
      <c r="M507" s="29"/>
      <c r="N507" s="29">
        <f>'Table001 (Page 1-6)'!J500</f>
        <v>2390</v>
      </c>
      <c r="O507" s="29">
        <f>'Table001 (Page 1-6)'!L500</f>
        <v>45800</v>
      </c>
      <c r="P507" s="29"/>
      <c r="Q507" s="29">
        <f>'Table001 (Page 1-6)'!M500</f>
        <v>2390</v>
      </c>
      <c r="R507" s="29" t="str">
        <f>'Table001 (Page 1-6)'!S500</f>
        <v>8,500</v>
      </c>
      <c r="S507" s="31" t="str">
        <f>'Table001 (Page 1-6)'!T500</f>
        <v>0.19</v>
      </c>
      <c r="T507" s="29" t="str">
        <f>'Table001 (Page 1-6)'!U500</f>
        <v>B</v>
      </c>
      <c r="U507" s="29"/>
      <c r="V507" s="29"/>
      <c r="W507" s="29"/>
      <c r="X507" s="29"/>
      <c r="Y507" s="29"/>
      <c r="Z507" s="29"/>
      <c r="AA507" s="29"/>
      <c r="AB507" s="29"/>
      <c r="AC507" s="31"/>
      <c r="AD507" s="29"/>
      <c r="AE507" s="29"/>
      <c r="AF507" s="29"/>
      <c r="AG507" s="31"/>
      <c r="AH507" s="29"/>
      <c r="AI507" s="32">
        <f>('Table001 (Page 1-6)'!V500)*100</f>
        <v>1</v>
      </c>
      <c r="AJ507" s="35"/>
      <c r="AK507" s="35"/>
      <c r="AL507" s="35"/>
      <c r="AM507" s="35"/>
    </row>
    <row r="508" spans="2:39" x14ac:dyDescent="0.25">
      <c r="B508" s="37">
        <f>'Table001 (Page 1-6)'!A501</f>
        <v>7060</v>
      </c>
      <c r="C508" s="28" t="str">
        <f>'Table001 (Page 1-6)'!B501</f>
        <v>US 441</v>
      </c>
      <c r="D508" s="28" t="str">
        <f>'Table001 (Page 1-6)'!C501</f>
        <v>CR 25A (N)</v>
      </c>
      <c r="E508" s="28" t="str">
        <f>'Table001 (Page 1-6)'!D501</f>
        <v>CR 318</v>
      </c>
      <c r="F508" s="29">
        <f>'Table001 (Page 1-6)'!E501</f>
        <v>4</v>
      </c>
      <c r="G508" s="29">
        <f>'Table001 (Page 1-6)'!K501</f>
        <v>4</v>
      </c>
      <c r="H508" s="30" t="str">
        <f>'Table001 (Page 1-6)'!R501</f>
        <v>C</v>
      </c>
      <c r="I508" s="28" t="str">
        <f>'Table001 (Page 1-6)'!F501</f>
        <v>ARTERIAL</v>
      </c>
      <c r="J508" s="29"/>
      <c r="K508" s="29"/>
      <c r="L508" s="29">
        <f>'Table001 (Page 1-6)'!I501</f>
        <v>45800</v>
      </c>
      <c r="M508" s="29"/>
      <c r="N508" s="29">
        <f>'Table001 (Page 1-6)'!J501</f>
        <v>2390</v>
      </c>
      <c r="O508" s="29">
        <f>'Table001 (Page 1-6)'!L501</f>
        <v>45800</v>
      </c>
      <c r="P508" s="29"/>
      <c r="Q508" s="29">
        <f>'Table001 (Page 1-6)'!M501</f>
        <v>2390</v>
      </c>
      <c r="R508" s="29" t="str">
        <f>'Table001 (Page 1-6)'!S501</f>
        <v>8,500</v>
      </c>
      <c r="S508" s="31" t="str">
        <f>'Table001 (Page 1-6)'!T501</f>
        <v>0.19</v>
      </c>
      <c r="T508" s="29" t="str">
        <f>'Table001 (Page 1-6)'!U501</f>
        <v>B</v>
      </c>
      <c r="U508" s="29"/>
      <c r="V508" s="29"/>
      <c r="W508" s="29"/>
      <c r="X508" s="29"/>
      <c r="Y508" s="29"/>
      <c r="Z508" s="29"/>
      <c r="AA508" s="29"/>
      <c r="AB508" s="29"/>
      <c r="AC508" s="31"/>
      <c r="AD508" s="29"/>
      <c r="AE508" s="29"/>
      <c r="AF508" s="29"/>
      <c r="AG508" s="31"/>
      <c r="AH508" s="29"/>
      <c r="AI508" s="32">
        <f>('Table001 (Page 1-6)'!V501)*100</f>
        <v>1</v>
      </c>
      <c r="AJ508" s="35"/>
      <c r="AK508" s="35"/>
      <c r="AL508" s="35"/>
      <c r="AM508" s="35"/>
    </row>
    <row r="509" spans="2:39" x14ac:dyDescent="0.25">
      <c r="B509" s="37">
        <f>'Table001 (Page 1-6)'!A502</f>
        <v>7070.1</v>
      </c>
      <c r="C509" s="28" t="str">
        <f>'Table001 (Page 1-6)'!B502</f>
        <v>US 441</v>
      </c>
      <c r="D509" s="28" t="str">
        <f>'Table001 (Page 1-6)'!C502</f>
        <v>CR 318</v>
      </c>
      <c r="E509" s="28" t="str">
        <f>'Table001 (Page 1-6)'!D502</f>
        <v>AVENUE I</v>
      </c>
      <c r="F509" s="29">
        <f>'Table001 (Page 1-6)'!E502</f>
        <v>4</v>
      </c>
      <c r="G509" s="29">
        <f>'Table001 (Page 1-6)'!K502</f>
        <v>4</v>
      </c>
      <c r="H509" s="30" t="str">
        <f>'Table001 (Page 1-6)'!R502</f>
        <v>C</v>
      </c>
      <c r="I509" s="28" t="str">
        <f>'Table001 (Page 1-6)'!F502</f>
        <v>ARTERIAL</v>
      </c>
      <c r="J509" s="29"/>
      <c r="K509" s="29"/>
      <c r="L509" s="29">
        <f>'Table001 (Page 1-6)'!I502</f>
        <v>45800</v>
      </c>
      <c r="M509" s="29"/>
      <c r="N509" s="29">
        <f>'Table001 (Page 1-6)'!J502</f>
        <v>2390</v>
      </c>
      <c r="O509" s="29">
        <f>'Table001 (Page 1-6)'!L502</f>
        <v>45800</v>
      </c>
      <c r="P509" s="29"/>
      <c r="Q509" s="29">
        <f>'Table001 (Page 1-6)'!M502</f>
        <v>2390</v>
      </c>
      <c r="R509" s="29" t="str">
        <f>'Table001 (Page 1-6)'!S502</f>
        <v>8,500</v>
      </c>
      <c r="S509" s="31" t="str">
        <f>'Table001 (Page 1-6)'!T502</f>
        <v>0.19</v>
      </c>
      <c r="T509" s="29" t="str">
        <f>'Table001 (Page 1-6)'!U502</f>
        <v>B</v>
      </c>
      <c r="U509" s="29"/>
      <c r="V509" s="29"/>
      <c r="W509" s="29"/>
      <c r="X509" s="29"/>
      <c r="Y509" s="29"/>
      <c r="Z509" s="29"/>
      <c r="AA509" s="29"/>
      <c r="AB509" s="29"/>
      <c r="AC509" s="31"/>
      <c r="AD509" s="29"/>
      <c r="AE509" s="29"/>
      <c r="AF509" s="29"/>
      <c r="AG509" s="31"/>
      <c r="AH509" s="29"/>
      <c r="AI509" s="32">
        <f>('Table001 (Page 1-6)'!V502)*100</f>
        <v>1</v>
      </c>
      <c r="AJ509" s="35"/>
      <c r="AK509" s="35"/>
      <c r="AL509" s="35"/>
      <c r="AM509" s="35"/>
    </row>
    <row r="510" spans="2:39" x14ac:dyDescent="0.25">
      <c r="B510" s="37">
        <f>'Table001 (Page 1-6)'!A503</f>
        <v>7070.2</v>
      </c>
      <c r="C510" s="28" t="str">
        <f>'Table001 (Page 1-6)'!B503</f>
        <v>US 441</v>
      </c>
      <c r="D510" s="28" t="str">
        <f>'Table001 (Page 1-6)'!C503</f>
        <v>AVENUE I</v>
      </c>
      <c r="E510" s="28" t="str">
        <f>'Table001 (Page 1-6)'!D503</f>
        <v>CR 320</v>
      </c>
      <c r="F510" s="29">
        <f>'Table001 (Page 1-6)'!E503</f>
        <v>4</v>
      </c>
      <c r="G510" s="29">
        <f>'Table001 (Page 1-6)'!K503</f>
        <v>4</v>
      </c>
      <c r="H510" s="30" t="str">
        <f>'Table001 (Page 1-6)'!R503</f>
        <v>C</v>
      </c>
      <c r="I510" s="28" t="str">
        <f>'Table001 (Page 1-6)'!F503</f>
        <v>ARTERIAL</v>
      </c>
      <c r="J510" s="29"/>
      <c r="K510" s="29"/>
      <c r="L510" s="29">
        <f>'Table001 (Page 1-6)'!I503</f>
        <v>16350</v>
      </c>
      <c r="M510" s="29"/>
      <c r="N510" s="29">
        <f>'Table001 (Page 1-6)'!J503</f>
        <v>855</v>
      </c>
      <c r="O510" s="29">
        <f>'Table001 (Page 1-6)'!L503</f>
        <v>16350</v>
      </c>
      <c r="P510" s="29"/>
      <c r="Q510" s="29">
        <f>'Table001 (Page 1-6)'!M503</f>
        <v>855</v>
      </c>
      <c r="R510" s="29" t="str">
        <f>'Table001 (Page 1-6)'!S503</f>
        <v>8,500</v>
      </c>
      <c r="S510" s="31" t="str">
        <f>'Table001 (Page 1-6)'!T503</f>
        <v>0.52</v>
      </c>
      <c r="T510" s="29" t="str">
        <f>'Table001 (Page 1-6)'!U503</f>
        <v>C</v>
      </c>
      <c r="U510" s="29"/>
      <c r="V510" s="29"/>
      <c r="W510" s="29"/>
      <c r="X510" s="29"/>
      <c r="Y510" s="29"/>
      <c r="Z510" s="29"/>
      <c r="AA510" s="29"/>
      <c r="AB510" s="29"/>
      <c r="AC510" s="31"/>
      <c r="AD510" s="29"/>
      <c r="AE510" s="29"/>
      <c r="AF510" s="29"/>
      <c r="AG510" s="31"/>
      <c r="AH510" s="29"/>
      <c r="AI510" s="32">
        <f>('Table001 (Page 1-6)'!V503)*100</f>
        <v>1</v>
      </c>
      <c r="AJ510" s="35"/>
      <c r="AK510" s="35"/>
      <c r="AL510" s="35"/>
      <c r="AM510" s="35"/>
    </row>
    <row r="511" spans="2:39" x14ac:dyDescent="0.25">
      <c r="B511" s="37">
        <f>'Table001 (Page 1-6)'!A504</f>
        <v>7080.1</v>
      </c>
      <c r="C511" s="28" t="str">
        <f>'Table001 (Page 1-6)'!B504</f>
        <v>US 441</v>
      </c>
      <c r="D511" s="28" t="str">
        <f>'Table001 (Page 1-6)'!C504</f>
        <v>CR 320</v>
      </c>
      <c r="E511" s="28" t="str">
        <f>'Table001 (Page 1-6)'!D504</f>
        <v>AVENUE B</v>
      </c>
      <c r="F511" s="29">
        <f>'Table001 (Page 1-6)'!E504</f>
        <v>4</v>
      </c>
      <c r="G511" s="29">
        <f>'Table001 (Page 1-6)'!K504</f>
        <v>4</v>
      </c>
      <c r="H511" s="30" t="str">
        <f>'Table001 (Page 1-6)'!R504</f>
        <v>C</v>
      </c>
      <c r="I511" s="28" t="str">
        <f>'Table001 (Page 1-6)'!F504</f>
        <v>ARTERIAL</v>
      </c>
      <c r="J511" s="29"/>
      <c r="K511" s="29"/>
      <c r="L511" s="29">
        <f>'Table001 (Page 1-6)'!I504</f>
        <v>16350</v>
      </c>
      <c r="M511" s="29"/>
      <c r="N511" s="29">
        <f>'Table001 (Page 1-6)'!J504</f>
        <v>855</v>
      </c>
      <c r="O511" s="29">
        <f>'Table001 (Page 1-6)'!L504</f>
        <v>16350</v>
      </c>
      <c r="P511" s="29"/>
      <c r="Q511" s="29">
        <f>'Table001 (Page 1-6)'!M504</f>
        <v>855</v>
      </c>
      <c r="R511" s="29" t="str">
        <f>'Table001 (Page 1-6)'!S504</f>
        <v>5,500</v>
      </c>
      <c r="S511" s="31" t="str">
        <f>'Table001 (Page 1-6)'!T504</f>
        <v>0.34</v>
      </c>
      <c r="T511" s="29" t="str">
        <f>'Table001 (Page 1-6)'!U504</f>
        <v>C</v>
      </c>
      <c r="U511" s="29"/>
      <c r="V511" s="29"/>
      <c r="W511" s="29"/>
      <c r="X511" s="29"/>
      <c r="Y511" s="29"/>
      <c r="Z511" s="29"/>
      <c r="AA511" s="29"/>
      <c r="AB511" s="29"/>
      <c r="AC511" s="31"/>
      <c r="AD511" s="29"/>
      <c r="AE511" s="29"/>
      <c r="AF511" s="29"/>
      <c r="AG511" s="31"/>
      <c r="AH511" s="29"/>
      <c r="AI511" s="32">
        <f>('Table001 (Page 1-6)'!V504)*100</f>
        <v>1</v>
      </c>
      <c r="AJ511" s="35"/>
      <c r="AK511" s="35"/>
      <c r="AL511" s="35"/>
      <c r="AM511" s="35"/>
    </row>
    <row r="512" spans="2:39" x14ac:dyDescent="0.25">
      <c r="B512" s="37">
        <f>'Table001 (Page 1-6)'!A505</f>
        <v>7080.2</v>
      </c>
      <c r="C512" s="28" t="str">
        <f>'Table001 (Page 1-6)'!B505</f>
        <v>US 441</v>
      </c>
      <c r="D512" s="28" t="str">
        <f>'Table001 (Page 1-6)'!C505</f>
        <v>AVENUE B</v>
      </c>
      <c r="E512" s="28" t="str">
        <f>'Table001 (Page 1-6)'!D505</f>
        <v>COUNTY LINE (N)</v>
      </c>
      <c r="F512" s="29">
        <f>'Table001 (Page 1-6)'!E505</f>
        <v>4</v>
      </c>
      <c r="G512" s="29">
        <f>'Table001 (Page 1-6)'!K505</f>
        <v>4</v>
      </c>
      <c r="H512" s="30" t="str">
        <f>'Table001 (Page 1-6)'!R505</f>
        <v>C</v>
      </c>
      <c r="I512" s="28" t="str">
        <f>'Table001 (Page 1-6)'!F505</f>
        <v>ARTERIAL</v>
      </c>
      <c r="J512" s="29"/>
      <c r="K512" s="29"/>
      <c r="L512" s="29">
        <f>'Table001 (Page 1-6)'!I505</f>
        <v>45800</v>
      </c>
      <c r="M512" s="29"/>
      <c r="N512" s="29">
        <f>'Table001 (Page 1-6)'!J505</f>
        <v>2390</v>
      </c>
      <c r="O512" s="29">
        <f>'Table001 (Page 1-6)'!L505</f>
        <v>45800</v>
      </c>
      <c r="P512" s="29"/>
      <c r="Q512" s="29">
        <f>'Table001 (Page 1-6)'!M505</f>
        <v>2390</v>
      </c>
      <c r="R512" s="29" t="str">
        <f>'Table001 (Page 1-6)'!S505</f>
        <v>5,500</v>
      </c>
      <c r="S512" s="31" t="str">
        <f>'Table001 (Page 1-6)'!T505</f>
        <v>0.12</v>
      </c>
      <c r="T512" s="29" t="str">
        <f>'Table001 (Page 1-6)'!U505</f>
        <v>B</v>
      </c>
      <c r="U512" s="29"/>
      <c r="V512" s="29"/>
      <c r="W512" s="29"/>
      <c r="X512" s="29"/>
      <c r="Y512" s="29"/>
      <c r="Z512" s="29"/>
      <c r="AA512" s="29"/>
      <c r="AB512" s="29"/>
      <c r="AC512" s="31"/>
      <c r="AD512" s="29"/>
      <c r="AE512" s="29"/>
      <c r="AF512" s="29"/>
      <c r="AG512" s="31"/>
      <c r="AH512" s="29"/>
      <c r="AI512" s="32">
        <f>('Table001 (Page 1-6)'!V505)*100</f>
        <v>1</v>
      </c>
      <c r="AJ512" s="35"/>
      <c r="AK512" s="35"/>
      <c r="AL512" s="35"/>
      <c r="AM512" s="35"/>
    </row>
    <row r="513" spans="2:39" x14ac:dyDescent="0.25">
      <c r="B513" s="37">
        <f>'Table001 (Page 1-6)'!A506</f>
        <v>7090</v>
      </c>
      <c r="C513" s="28" t="str">
        <f>'Table001 (Page 1-6)'!B506</f>
        <v>W ANTHONY RD</v>
      </c>
      <c r="D513" s="28" t="str">
        <f>'Table001 (Page 1-6)'!C506</f>
        <v>US 441</v>
      </c>
      <c r="E513" s="28" t="str">
        <f>'Table001 (Page 1-6)'!D506</f>
        <v>NW 35 ST</v>
      </c>
      <c r="F513" s="29">
        <f>'Table001 (Page 1-6)'!E506</f>
        <v>2</v>
      </c>
      <c r="G513" s="29">
        <f>'Table001 (Page 1-6)'!K506</f>
        <v>2</v>
      </c>
      <c r="H513" s="30" t="str">
        <f>'Table001 (Page 1-6)'!R506</f>
        <v>E</v>
      </c>
      <c r="I513" s="28" t="str">
        <f>'Table001 (Page 1-6)'!F506</f>
        <v>COLLECTOR</v>
      </c>
      <c r="J513" s="29"/>
      <c r="K513" s="29"/>
      <c r="L513" s="29">
        <f>'Table001 (Page 1-6)'!I506</f>
        <v>12744</v>
      </c>
      <c r="M513" s="29"/>
      <c r="N513" s="29">
        <f>'Table001 (Page 1-6)'!J506</f>
        <v>634</v>
      </c>
      <c r="O513" s="29">
        <f>'Table001 (Page 1-6)'!L506</f>
        <v>12744</v>
      </c>
      <c r="P513" s="29"/>
      <c r="Q513" s="29">
        <f>'Table001 (Page 1-6)'!M506</f>
        <v>634</v>
      </c>
      <c r="R513" s="29" t="str">
        <f>'Table001 (Page 1-6)'!S506</f>
        <v>1,300</v>
      </c>
      <c r="S513" s="31" t="str">
        <f>'Table001 (Page 1-6)'!T506</f>
        <v>0.1</v>
      </c>
      <c r="T513" s="29" t="str">
        <f>'Table001 (Page 1-6)'!U506</f>
        <v>C</v>
      </c>
      <c r="U513" s="29"/>
      <c r="V513" s="29"/>
      <c r="W513" s="29"/>
      <c r="X513" s="29"/>
      <c r="Y513" s="29"/>
      <c r="Z513" s="29"/>
      <c r="AA513" s="29"/>
      <c r="AB513" s="29"/>
      <c r="AC513" s="31"/>
      <c r="AD513" s="29"/>
      <c r="AE513" s="29"/>
      <c r="AF513" s="29"/>
      <c r="AG513" s="31"/>
      <c r="AH513" s="29"/>
      <c r="AI513" s="32">
        <f>('Table001 (Page 1-6)'!V506)*100</f>
        <v>1</v>
      </c>
      <c r="AJ513" s="35"/>
      <c r="AK513" s="35"/>
      <c r="AL513" s="35"/>
      <c r="AM513" s="35"/>
    </row>
    <row r="514" spans="2:39" x14ac:dyDescent="0.25">
      <c r="B514" s="37">
        <f>'Table001 (Page 1-6)'!A507</f>
        <v>7100</v>
      </c>
      <c r="C514" s="28" t="str">
        <f>'Table001 (Page 1-6)'!B507</f>
        <v>W ANTHONY RD</v>
      </c>
      <c r="D514" s="28" t="str">
        <f>'Table001 (Page 1-6)'!C507</f>
        <v>NW 35 ST</v>
      </c>
      <c r="E514" s="28" t="str">
        <f>'Table001 (Page 1-6)'!D507</f>
        <v>SR 326</v>
      </c>
      <c r="F514" s="29">
        <f>'Table001 (Page 1-6)'!E507</f>
        <v>2</v>
      </c>
      <c r="G514" s="29">
        <f>'Table001 (Page 1-6)'!K507</f>
        <v>2</v>
      </c>
      <c r="H514" s="30" t="str">
        <f>'Table001 (Page 1-6)'!R507</f>
        <v>E</v>
      </c>
      <c r="I514" s="28" t="str">
        <f>'Table001 (Page 1-6)'!F507</f>
        <v>COLLECTOR</v>
      </c>
      <c r="J514" s="29"/>
      <c r="K514" s="29"/>
      <c r="L514" s="29">
        <f>'Table001 (Page 1-6)'!I507</f>
        <v>12744</v>
      </c>
      <c r="M514" s="29"/>
      <c r="N514" s="29">
        <f>'Table001 (Page 1-6)'!J507</f>
        <v>634</v>
      </c>
      <c r="O514" s="29">
        <f>'Table001 (Page 1-6)'!L507</f>
        <v>12744</v>
      </c>
      <c r="P514" s="29"/>
      <c r="Q514" s="29">
        <f>'Table001 (Page 1-6)'!M507</f>
        <v>634</v>
      </c>
      <c r="R514" s="29" t="str">
        <f>'Table001 (Page 1-6)'!S507</f>
        <v>5,800</v>
      </c>
      <c r="S514" s="31" t="str">
        <f>'Table001 (Page 1-6)'!T507</f>
        <v>0.46</v>
      </c>
      <c r="T514" s="29" t="str">
        <f>'Table001 (Page 1-6)'!U507</f>
        <v>C</v>
      </c>
      <c r="U514" s="29"/>
      <c r="V514" s="29"/>
      <c r="W514" s="29"/>
      <c r="X514" s="29"/>
      <c r="Y514" s="29"/>
      <c r="Z514" s="29"/>
      <c r="AA514" s="29"/>
      <c r="AB514" s="29"/>
      <c r="AC514" s="31"/>
      <c r="AD514" s="29"/>
      <c r="AE514" s="29"/>
      <c r="AF514" s="29"/>
      <c r="AG514" s="31"/>
      <c r="AH514" s="29"/>
      <c r="AI514" s="32">
        <f>('Table001 (Page 1-6)'!V507)*100</f>
        <v>1.8499999999999999</v>
      </c>
      <c r="AJ514" s="35"/>
      <c r="AK514" s="35"/>
      <c r="AL514" s="35"/>
      <c r="AM514" s="35"/>
    </row>
    <row r="515" spans="2:39" x14ac:dyDescent="0.25">
      <c r="B515" s="37">
        <f>'Table001 (Page 1-6)'!A508</f>
        <v>7110</v>
      </c>
      <c r="C515" s="28" t="str">
        <f>'Table001 (Page 1-6)'!B508</f>
        <v>W ANTHONY RD</v>
      </c>
      <c r="D515" s="28" t="str">
        <f>'Table001 (Page 1-6)'!C508</f>
        <v>SR 326</v>
      </c>
      <c r="E515" s="28" t="str">
        <f>'Table001 (Page 1-6)'!D508</f>
        <v>NE 95 ST</v>
      </c>
      <c r="F515" s="29">
        <f>'Table001 (Page 1-6)'!E508</f>
        <v>2</v>
      </c>
      <c r="G515" s="29">
        <f>'Table001 (Page 1-6)'!K508</f>
        <v>2</v>
      </c>
      <c r="H515" s="30" t="str">
        <f>'Table001 (Page 1-6)'!R508</f>
        <v>D</v>
      </c>
      <c r="I515" s="28" t="str">
        <f>'Table001 (Page 1-6)'!F508</f>
        <v>COLLECTOR</v>
      </c>
      <c r="J515" s="29"/>
      <c r="K515" s="29"/>
      <c r="L515" s="29">
        <f>'Table001 (Page 1-6)'!I508</f>
        <v>19170</v>
      </c>
      <c r="M515" s="29"/>
      <c r="N515" s="29">
        <f>'Table001 (Page 1-6)'!J508</f>
        <v>999</v>
      </c>
      <c r="O515" s="29">
        <f>'Table001 (Page 1-6)'!L508</f>
        <v>19170</v>
      </c>
      <c r="P515" s="29"/>
      <c r="Q515" s="29">
        <f>'Table001 (Page 1-6)'!M508</f>
        <v>999</v>
      </c>
      <c r="R515" s="29" t="str">
        <f>'Table001 (Page 1-6)'!S508</f>
        <v>5,800</v>
      </c>
      <c r="S515" s="31" t="str">
        <f>'Table001 (Page 1-6)'!T508</f>
        <v>0.3</v>
      </c>
      <c r="T515" s="29" t="str">
        <f>'Table001 (Page 1-6)'!U508</f>
        <v>B</v>
      </c>
      <c r="U515" s="29"/>
      <c r="V515" s="29"/>
      <c r="W515" s="29"/>
      <c r="X515" s="29"/>
      <c r="Y515" s="29"/>
      <c r="Z515" s="29"/>
      <c r="AA515" s="29"/>
      <c r="AB515" s="29"/>
      <c r="AC515" s="31"/>
      <c r="AD515" s="29"/>
      <c r="AE515" s="29"/>
      <c r="AF515" s="29"/>
      <c r="AG515" s="31"/>
      <c r="AH515" s="29"/>
      <c r="AI515" s="32">
        <f>('Table001 (Page 1-6)'!V508)*100</f>
        <v>1</v>
      </c>
      <c r="AJ515" s="35"/>
      <c r="AK515" s="35"/>
      <c r="AL515" s="35"/>
      <c r="AM515" s="35"/>
    </row>
    <row r="516" spans="2:39" x14ac:dyDescent="0.25">
      <c r="B516" s="37">
        <f>'Table001 (Page 1-6)'!A509</f>
        <v>7150</v>
      </c>
      <c r="C516" s="28" t="str">
        <f>'Table001 (Page 1-6)'!B509</f>
        <v>CR 40</v>
      </c>
      <c r="D516" s="28" t="str">
        <f>'Table001 (Page 1-6)'!C509</f>
        <v>CEDAR ST</v>
      </c>
      <c r="E516" s="28" t="str">
        <f>'Table001 (Page 1-6)'!D509</f>
        <v>US 41</v>
      </c>
      <c r="F516" s="29">
        <f>'Table001 (Page 1-6)'!E509</f>
        <v>2</v>
      </c>
      <c r="G516" s="29">
        <f>'Table001 (Page 1-6)'!K509</f>
        <v>2</v>
      </c>
      <c r="H516" s="30" t="str">
        <f>'Table001 (Page 1-6)'!R509</f>
        <v>E</v>
      </c>
      <c r="I516" s="28" t="str">
        <f>'Table001 (Page 1-6)'!F509</f>
        <v>COLLECTOR</v>
      </c>
      <c r="J516" s="29"/>
      <c r="K516" s="29"/>
      <c r="L516" s="29">
        <f>'Table001 (Page 1-6)'!I509</f>
        <v>11232</v>
      </c>
      <c r="M516" s="29"/>
      <c r="N516" s="29">
        <f>'Table001 (Page 1-6)'!J509</f>
        <v>576</v>
      </c>
      <c r="O516" s="29">
        <f>'Table001 (Page 1-6)'!L509</f>
        <v>11232</v>
      </c>
      <c r="P516" s="29"/>
      <c r="Q516" s="29">
        <f>'Table001 (Page 1-6)'!M509</f>
        <v>576</v>
      </c>
      <c r="R516" s="29" t="str">
        <f>'Table001 (Page 1-6)'!S509</f>
        <v>3,700</v>
      </c>
      <c r="S516" s="31" t="str">
        <f>'Table001 (Page 1-6)'!T509</f>
        <v>0.33</v>
      </c>
      <c r="T516" s="29" t="str">
        <f>'Table001 (Page 1-6)'!U509</f>
        <v>C</v>
      </c>
      <c r="U516" s="29"/>
      <c r="V516" s="29"/>
      <c r="W516" s="29"/>
      <c r="X516" s="29"/>
      <c r="Y516" s="29"/>
      <c r="Z516" s="29"/>
      <c r="AA516" s="29"/>
      <c r="AB516" s="29"/>
      <c r="AC516" s="31"/>
      <c r="AD516" s="29"/>
      <c r="AE516" s="29"/>
      <c r="AF516" s="29"/>
      <c r="AG516" s="31"/>
      <c r="AH516" s="29"/>
      <c r="AI516" s="32">
        <f>('Table001 (Page 1-6)'!V509)*100</f>
        <v>1</v>
      </c>
      <c r="AJ516" s="35"/>
      <c r="AK516" s="35"/>
      <c r="AL516" s="35"/>
      <c r="AM516" s="35"/>
    </row>
    <row r="517" spans="2:39" x14ac:dyDescent="0.25">
      <c r="B517" s="37">
        <f>'Table001 (Page 1-6)'!A510</f>
        <v>7160</v>
      </c>
      <c r="C517" s="28" t="str">
        <f>'Table001 (Page 1-6)'!B510</f>
        <v>BASELINE RD EXT</v>
      </c>
      <c r="D517" s="28" t="str">
        <f>'Table001 (Page 1-6)'!C510</f>
        <v>US 441</v>
      </c>
      <c r="E517" s="28" t="str">
        <f>'Table001 (Page 1-6)'!D510</f>
        <v>SR 25</v>
      </c>
      <c r="F517" s="29">
        <f>'Table001 (Page 1-6)'!E510</f>
        <v>2</v>
      </c>
      <c r="G517" s="29">
        <f>'Table001 (Page 1-6)'!K510</f>
        <v>2</v>
      </c>
      <c r="H517" s="30" t="str">
        <f>'Table001 (Page 1-6)'!R510</f>
        <v>E</v>
      </c>
      <c r="I517" s="28" t="str">
        <f>'Table001 (Page 1-6)'!F510</f>
        <v>ARTERIAL</v>
      </c>
      <c r="J517" s="29"/>
      <c r="K517" s="29"/>
      <c r="L517" s="29">
        <f>'Table001 (Page 1-6)'!I510</f>
        <v>11232</v>
      </c>
      <c r="M517" s="29"/>
      <c r="N517" s="29">
        <f>'Table001 (Page 1-6)'!J510</f>
        <v>576</v>
      </c>
      <c r="O517" s="29">
        <f>'Table001 (Page 1-6)'!L510</f>
        <v>11232</v>
      </c>
      <c r="P517" s="29"/>
      <c r="Q517" s="29">
        <f>'Table001 (Page 1-6)'!M510</f>
        <v>576</v>
      </c>
      <c r="R517" s="29" t="str">
        <f>'Table001 (Page 1-6)'!S510</f>
        <v>4,800</v>
      </c>
      <c r="S517" s="31" t="str">
        <f>'Table001 (Page 1-6)'!T510</f>
        <v>0.43</v>
      </c>
      <c r="T517" s="29" t="str">
        <f>'Table001 (Page 1-6)'!U510</f>
        <v>C</v>
      </c>
      <c r="U517" s="29"/>
      <c r="V517" s="29"/>
      <c r="W517" s="29"/>
      <c r="X517" s="29"/>
      <c r="Y517" s="29"/>
      <c r="Z517" s="29"/>
      <c r="AA517" s="29"/>
      <c r="AB517" s="29"/>
      <c r="AC517" s="31"/>
      <c r="AD517" s="29"/>
      <c r="AE517" s="29"/>
      <c r="AF517" s="29"/>
      <c r="AG517" s="31"/>
      <c r="AH517" s="29"/>
      <c r="AI517" s="32">
        <f>('Table001 (Page 1-6)'!V510)*100</f>
        <v>1</v>
      </c>
      <c r="AJ517" s="35"/>
      <c r="AK517" s="35"/>
      <c r="AL517" s="35"/>
      <c r="AM517" s="35"/>
    </row>
    <row r="518" spans="2:39" x14ac:dyDescent="0.25">
      <c r="B518" s="37">
        <f>'Table001 (Page 1-6)'!A511</f>
        <v>7165</v>
      </c>
      <c r="C518" s="28" t="str">
        <f>'Table001 (Page 1-6)'!B511</f>
        <v>SE 132 ST RD</v>
      </c>
      <c r="D518" s="28" t="str">
        <f>'Table001 (Page 1-6)'!C511</f>
        <v>CR 484</v>
      </c>
      <c r="E518" s="28" t="str">
        <f>'Table001 (Page 1-6)'!D511</f>
        <v>US 301</v>
      </c>
      <c r="F518" s="29">
        <f>'Table001 (Page 1-6)'!E511</f>
        <v>4</v>
      </c>
      <c r="G518" s="29">
        <f>'Table001 (Page 1-6)'!K511</f>
        <v>4</v>
      </c>
      <c r="H518" s="30" t="str">
        <f>'Table001 (Page 1-6)'!R511</f>
        <v>E</v>
      </c>
      <c r="I518" s="28" t="str">
        <f>'Table001 (Page 1-6)'!F511</f>
        <v>ARTERIAL</v>
      </c>
      <c r="J518" s="29"/>
      <c r="K518" s="29"/>
      <c r="L518" s="29">
        <f>'Table001 (Page 1-6)'!I511</f>
        <v>35820</v>
      </c>
      <c r="M518" s="29"/>
      <c r="N518" s="29">
        <f>'Table001 (Page 1-6)'!J511</f>
        <v>1800</v>
      </c>
      <c r="O518" s="29">
        <f>'Table001 (Page 1-6)'!L511</f>
        <v>35820</v>
      </c>
      <c r="P518" s="29"/>
      <c r="Q518" s="29">
        <f>'Table001 (Page 1-6)'!M511</f>
        <v>1800</v>
      </c>
      <c r="R518" s="29" t="str">
        <f>'Table001 (Page 1-6)'!S511</f>
        <v>14,200</v>
      </c>
      <c r="S518" s="31" t="str">
        <f>'Table001 (Page 1-6)'!T511</f>
        <v>0.4</v>
      </c>
      <c r="T518" s="29" t="str">
        <f>'Table001 (Page 1-6)'!U511</f>
        <v>C</v>
      </c>
      <c r="U518" s="29"/>
      <c r="V518" s="29"/>
      <c r="W518" s="29"/>
      <c r="X518" s="29"/>
      <c r="Y518" s="29"/>
      <c r="Z518" s="29"/>
      <c r="AA518" s="29"/>
      <c r="AB518" s="29"/>
      <c r="AC518" s="31"/>
      <c r="AD518" s="29"/>
      <c r="AE518" s="29"/>
      <c r="AF518" s="29"/>
      <c r="AG518" s="31"/>
      <c r="AH518" s="29"/>
      <c r="AI518" s="32">
        <f>('Table001 (Page 1-6)'!V511)*100</f>
        <v>3.93</v>
      </c>
      <c r="AJ518" s="35"/>
      <c r="AK518" s="35"/>
      <c r="AL518" s="35"/>
      <c r="AM518" s="35"/>
    </row>
    <row r="519" spans="2:39" x14ac:dyDescent="0.25">
      <c r="B519" s="37">
        <f>'Table001 (Page 1-6)'!A512</f>
        <v>7170</v>
      </c>
      <c r="C519" s="28" t="str">
        <f>'Table001 (Page 1-6)'!B512</f>
        <v>SE 132 ST RD</v>
      </c>
      <c r="D519" s="28" t="str">
        <f>'Table001 (Page 1-6)'!C512</f>
        <v>US 301</v>
      </c>
      <c r="E519" s="28" t="str">
        <f>'Table001 (Page 1-6)'!D512</f>
        <v>US 441</v>
      </c>
      <c r="F519" s="29">
        <f>'Table001 (Page 1-6)'!E512</f>
        <v>4</v>
      </c>
      <c r="G519" s="29">
        <f>'Table001 (Page 1-6)'!K512</f>
        <v>4</v>
      </c>
      <c r="H519" s="30" t="str">
        <f>'Table001 (Page 1-6)'!R512</f>
        <v>E</v>
      </c>
      <c r="I519" s="28" t="str">
        <f>'Table001 (Page 1-6)'!F512</f>
        <v>ARTERIAL</v>
      </c>
      <c r="J519" s="29"/>
      <c r="K519" s="29"/>
      <c r="L519" s="29">
        <f>'Table001 (Page 1-6)'!I512</f>
        <v>35820</v>
      </c>
      <c r="M519" s="29"/>
      <c r="N519" s="29">
        <f>'Table001 (Page 1-6)'!J512</f>
        <v>1800</v>
      </c>
      <c r="O519" s="29">
        <f>'Table001 (Page 1-6)'!L512</f>
        <v>35820</v>
      </c>
      <c r="P519" s="29"/>
      <c r="Q519" s="29">
        <f>'Table001 (Page 1-6)'!M512</f>
        <v>1800</v>
      </c>
      <c r="R519" s="29" t="str">
        <f>'Table001 (Page 1-6)'!S512</f>
        <v>15,100</v>
      </c>
      <c r="S519" s="31" t="str">
        <f>'Table001 (Page 1-6)'!T512</f>
        <v>0.42</v>
      </c>
      <c r="T519" s="29" t="str">
        <f>'Table001 (Page 1-6)'!U512</f>
        <v>C</v>
      </c>
      <c r="U519" s="29"/>
      <c r="V519" s="29"/>
      <c r="W519" s="29"/>
      <c r="X519" s="29"/>
      <c r="Y519" s="29"/>
      <c r="Z519" s="29"/>
      <c r="AA519" s="29"/>
      <c r="AB519" s="29"/>
      <c r="AC519" s="31"/>
      <c r="AD519" s="29"/>
      <c r="AE519" s="29"/>
      <c r="AF519" s="29"/>
      <c r="AG519" s="31"/>
      <c r="AH519" s="29"/>
      <c r="AI519" s="32">
        <f>('Table001 (Page 1-6)'!V512)*100</f>
        <v>7.33</v>
      </c>
      <c r="AJ519" s="35"/>
      <c r="AK519" s="35"/>
      <c r="AL519" s="35"/>
      <c r="AM519" s="35"/>
    </row>
    <row r="520" spans="2:39" x14ac:dyDescent="0.25">
      <c r="B520" s="37">
        <f>'Table001 (Page 1-6)'!A513</f>
        <v>7732.1</v>
      </c>
      <c r="C520" s="28" t="str">
        <f>'Table001 (Page 1-6)'!B513</f>
        <v>EMERALD RD EXT</v>
      </c>
      <c r="D520" s="28" t="str">
        <f>'Table001 (Page 1-6)'!C513</f>
        <v>BELLEVIEW BYPASS</v>
      </c>
      <c r="E520" s="28" t="str">
        <f>'Table001 (Page 1-6)'!D513</f>
        <v>EMERALD RD</v>
      </c>
      <c r="F520" s="29">
        <f>'Table001 (Page 1-6)'!E513</f>
        <v>0</v>
      </c>
      <c r="G520" s="29">
        <f>'Table001 (Page 1-6)'!K513</f>
        <v>0</v>
      </c>
      <c r="H520" s="30" t="str">
        <f>'Table001 (Page 1-6)'!R513</f>
        <v>E</v>
      </c>
      <c r="I520" s="28" t="str">
        <f>'Table001 (Page 1-6)'!F513</f>
        <v/>
      </c>
      <c r="J520" s="29"/>
      <c r="K520" s="29"/>
      <c r="L520" s="29">
        <f>'Table001 (Page 1-6)'!I513</f>
        <v>0</v>
      </c>
      <c r="M520" s="29"/>
      <c r="N520" s="29">
        <f>'Table001 (Page 1-6)'!J513</f>
        <v>0</v>
      </c>
      <c r="O520" s="29">
        <f>'Table001 (Page 1-6)'!L513</f>
        <v>0</v>
      </c>
      <c r="P520" s="29"/>
      <c r="Q520" s="29">
        <f>'Table001 (Page 1-6)'!M513</f>
        <v>0</v>
      </c>
      <c r="R520" s="29" t="str">
        <f>'Table001 (Page 1-6)'!S513</f>
        <v>0</v>
      </c>
      <c r="S520" s="31" t="str">
        <f>'Table001 (Page 1-6)'!T513</f>
        <v>0</v>
      </c>
      <c r="T520" s="29" t="str">
        <f>'Table001 (Page 1-6)'!U513</f>
        <v>0</v>
      </c>
      <c r="U520" s="29"/>
      <c r="V520" s="29"/>
      <c r="W520" s="29"/>
      <c r="X520" s="29"/>
      <c r="Y520" s="29"/>
      <c r="Z520" s="29"/>
      <c r="AA520" s="29"/>
      <c r="AB520" s="29"/>
      <c r="AC520" s="31"/>
      <c r="AD520" s="29"/>
      <c r="AE520" s="29"/>
      <c r="AF520" s="29"/>
      <c r="AG520" s="31"/>
      <c r="AH520" s="29"/>
      <c r="AI520" s="32">
        <f>('Table001 (Page 1-6)'!V513)*100</f>
        <v>1</v>
      </c>
      <c r="AJ520" s="35"/>
      <c r="AK520" s="35"/>
      <c r="AL520" s="35"/>
      <c r="AM520" s="35"/>
    </row>
    <row r="521" spans="2:39" x14ac:dyDescent="0.25">
      <c r="B521" s="37">
        <f>'Table001 (Page 1-6)'!A514</f>
        <v>7732.2</v>
      </c>
      <c r="C521" s="28" t="str">
        <f>'Table001 (Page 1-6)'!B514</f>
        <v>EMERALD RD</v>
      </c>
      <c r="D521" s="28" t="str">
        <f>'Table001 (Page 1-6)'!C514</f>
        <v>EMERALD RD EXT</v>
      </c>
      <c r="E521" s="28" t="str">
        <f>'Table001 (Page 1-6)'!D514</f>
        <v>CR 464</v>
      </c>
      <c r="F521" s="29">
        <f>'Table001 (Page 1-6)'!E514</f>
        <v>2</v>
      </c>
      <c r="G521" s="29">
        <f>'Table001 (Page 1-6)'!K514</f>
        <v>2</v>
      </c>
      <c r="H521" s="30" t="str">
        <f>'Table001 (Page 1-6)'!R514</f>
        <v>E</v>
      </c>
      <c r="I521" s="28" t="str">
        <f>'Table001 (Page 1-6)'!F514</f>
        <v>COLLECTOR</v>
      </c>
      <c r="J521" s="29"/>
      <c r="K521" s="29"/>
      <c r="L521" s="29">
        <f>'Table001 (Page 1-6)'!I514</f>
        <v>29340</v>
      </c>
      <c r="M521" s="29"/>
      <c r="N521" s="29">
        <f>'Table001 (Page 1-6)'!J514</f>
        <v>1449</v>
      </c>
      <c r="O521" s="29">
        <f>'Table001 (Page 1-6)'!L514</f>
        <v>29340</v>
      </c>
      <c r="P521" s="29"/>
      <c r="Q521" s="29">
        <f>'Table001 (Page 1-6)'!M514</f>
        <v>1449</v>
      </c>
      <c r="R521" s="29" t="str">
        <f>'Table001 (Page 1-6)'!S514</f>
        <v>Not Counted</v>
      </c>
      <c r="S521" s="31" t="str">
        <f>'Table001 (Page 1-6)'!T514</f>
        <v>N/A</v>
      </c>
      <c r="T521" s="29" t="str">
        <f>'Table001 (Page 1-6)'!U514</f>
        <v>N/A</v>
      </c>
      <c r="U521" s="29"/>
      <c r="V521" s="29"/>
      <c r="W521" s="29"/>
      <c r="X521" s="29"/>
      <c r="Y521" s="29"/>
      <c r="Z521" s="29"/>
      <c r="AA521" s="29"/>
      <c r="AB521" s="29"/>
      <c r="AC521" s="31"/>
      <c r="AD521" s="29"/>
      <c r="AE521" s="29"/>
      <c r="AF521" s="29"/>
      <c r="AG521" s="31"/>
      <c r="AH521" s="29"/>
      <c r="AI521" s="32">
        <f>('Table001 (Page 1-6)'!V514)*100</f>
        <v>1</v>
      </c>
      <c r="AJ521" s="35"/>
      <c r="AK521" s="35"/>
      <c r="AL521" s="35"/>
      <c r="AM521" s="35"/>
    </row>
    <row r="522" spans="2:39" x14ac:dyDescent="0.25">
      <c r="B522" s="37">
        <f>'Table001 (Page 1-6)'!A515</f>
        <v>7737.1</v>
      </c>
      <c r="C522" s="28" t="str">
        <f>'Table001 (Page 1-6)'!B515</f>
        <v>NW 49 ST</v>
      </c>
      <c r="D522" s="28" t="str">
        <f>'Table001 (Page 1-6)'!C515</f>
        <v>NW 44 AV</v>
      </c>
      <c r="E522" s="28" t="str">
        <f>'Table001 (Page 1-6)'!D515</f>
        <v>NW 35 AV</v>
      </c>
      <c r="F522" s="29">
        <f>'Table001 (Page 1-6)'!E515</f>
        <v>0</v>
      </c>
      <c r="G522" s="29">
        <f>'Table001 (Page 1-6)'!K515</f>
        <v>0</v>
      </c>
      <c r="H522" s="30" t="str">
        <f>'Table001 (Page 1-6)'!R515</f>
        <v>E</v>
      </c>
      <c r="I522" s="28" t="str">
        <f>'Table001 (Page 1-6)'!F515</f>
        <v/>
      </c>
      <c r="J522" s="29"/>
      <c r="K522" s="29"/>
      <c r="L522" s="29">
        <f>'Table001 (Page 1-6)'!I515</f>
        <v>0</v>
      </c>
      <c r="M522" s="29"/>
      <c r="N522" s="29">
        <f>'Table001 (Page 1-6)'!J515</f>
        <v>0</v>
      </c>
      <c r="O522" s="29">
        <f>'Table001 (Page 1-6)'!L515</f>
        <v>0</v>
      </c>
      <c r="P522" s="29"/>
      <c r="Q522" s="29">
        <f>'Table001 (Page 1-6)'!M515</f>
        <v>0</v>
      </c>
      <c r="R522" s="29" t="str">
        <f>'Table001 (Page 1-6)'!S515</f>
        <v>0</v>
      </c>
      <c r="S522" s="31" t="str">
        <f>'Table001 (Page 1-6)'!T515</f>
        <v>0</v>
      </c>
      <c r="T522" s="29" t="str">
        <f>'Table001 (Page 1-6)'!U515</f>
        <v>0</v>
      </c>
      <c r="U522" s="29"/>
      <c r="V522" s="29"/>
      <c r="W522" s="29"/>
      <c r="X522" s="29"/>
      <c r="Y522" s="29"/>
      <c r="Z522" s="29"/>
      <c r="AA522" s="29"/>
      <c r="AB522" s="29"/>
      <c r="AC522" s="31"/>
      <c r="AD522" s="29"/>
      <c r="AE522" s="29"/>
      <c r="AF522" s="29"/>
      <c r="AG522" s="31"/>
      <c r="AH522" s="29"/>
      <c r="AI522" s="32">
        <f>('Table001 (Page 1-6)'!V515)*100</f>
        <v>1</v>
      </c>
      <c r="AJ522" s="35"/>
      <c r="AK522" s="35"/>
      <c r="AL522" s="35"/>
      <c r="AM522" s="35"/>
    </row>
    <row r="523" spans="2:39" x14ac:dyDescent="0.25">
      <c r="B523" s="37">
        <f>'Table001 (Page 1-6)'!A516</f>
        <v>7742</v>
      </c>
      <c r="C523" s="28" t="str">
        <f>'Table001 (Page 1-6)'!B516</f>
        <v>SW 32 AV/SW 34 ST</v>
      </c>
      <c r="D523" s="28" t="str">
        <f>'Table001 (Page 1-6)'!C516</f>
        <v>SR 200</v>
      </c>
      <c r="E523" s="28" t="str">
        <f>'Table001 (Page 1-6)'!D516</f>
        <v>SW 27 AV</v>
      </c>
      <c r="F523" s="29">
        <f>'Table001 (Page 1-6)'!E516</f>
        <v>4</v>
      </c>
      <c r="G523" s="29">
        <f>'Table001 (Page 1-6)'!K516</f>
        <v>4</v>
      </c>
      <c r="H523" s="30" t="str">
        <f>'Table001 (Page 1-6)'!R516</f>
        <v>E</v>
      </c>
      <c r="I523" s="28" t="str">
        <f>'Table001 (Page 1-6)'!F516</f>
        <v>COLLECTOR</v>
      </c>
      <c r="J523" s="29"/>
      <c r="K523" s="29"/>
      <c r="L523" s="29">
        <f>'Table001 (Page 1-6)'!I516</f>
        <v>67770</v>
      </c>
      <c r="M523" s="29"/>
      <c r="N523" s="29">
        <f>'Table001 (Page 1-6)'!J516</f>
        <v>3357</v>
      </c>
      <c r="O523" s="29">
        <f>'Table001 (Page 1-6)'!L516</f>
        <v>67770</v>
      </c>
      <c r="P523" s="29"/>
      <c r="Q523" s="29">
        <f>'Table001 (Page 1-6)'!M516</f>
        <v>3357</v>
      </c>
      <c r="R523" s="29" t="str">
        <f>'Table001 (Page 1-6)'!S516</f>
        <v>23,700</v>
      </c>
      <c r="S523" s="31" t="str">
        <f>'Table001 (Page 1-6)'!T516</f>
        <v>0.35</v>
      </c>
      <c r="T523" s="29" t="str">
        <f>'Table001 (Page 1-6)'!U516</f>
        <v>B</v>
      </c>
      <c r="U523" s="29"/>
      <c r="V523" s="29"/>
      <c r="W523" s="29"/>
      <c r="X523" s="29"/>
      <c r="Y523" s="29"/>
      <c r="Z523" s="29"/>
      <c r="AA523" s="29"/>
      <c r="AB523" s="29"/>
      <c r="AC523" s="31"/>
      <c r="AD523" s="29"/>
      <c r="AE523" s="29"/>
      <c r="AF523" s="29"/>
      <c r="AG523" s="31"/>
      <c r="AH523" s="29"/>
      <c r="AI523" s="32">
        <f>('Table001 (Page 1-6)'!V516)*100</f>
        <v>10</v>
      </c>
      <c r="AJ523" s="35"/>
      <c r="AK523" s="35"/>
      <c r="AL523" s="35"/>
      <c r="AM523" s="35"/>
    </row>
    <row r="524" spans="2:39" x14ac:dyDescent="0.25">
      <c r="B524" s="37">
        <f>'Table001 (Page 1-6)'!A517</f>
        <v>7995</v>
      </c>
      <c r="C524" s="28" t="str">
        <f>'Table001 (Page 1-6)'!B517</f>
        <v>NE 160 AV RD</v>
      </c>
      <c r="D524" s="28" t="str">
        <f>'Table001 (Page 1-6)'!C517</f>
        <v>NE 145 AV</v>
      </c>
      <c r="E524" s="28" t="str">
        <f>'Table001 (Page 1-6)'!D517</f>
        <v>NE 245 ST RD</v>
      </c>
      <c r="F524" s="29">
        <f>'Table001 (Page 1-6)'!E517</f>
        <v>2</v>
      </c>
      <c r="G524" s="29">
        <f>'Table001 (Page 1-6)'!K517</f>
        <v>2</v>
      </c>
      <c r="H524" s="30" t="str">
        <f>'Table001 (Page 1-6)'!R517</f>
        <v>D</v>
      </c>
      <c r="I524" s="28" t="str">
        <f>'Table001 (Page 1-6)'!F517</f>
        <v>COLLECTOR</v>
      </c>
      <c r="J524" s="29"/>
      <c r="K524" s="29"/>
      <c r="L524" s="29">
        <f>'Table001 (Page 1-6)'!I517</f>
        <v>19170</v>
      </c>
      <c r="M524" s="29"/>
      <c r="N524" s="29">
        <f>'Table001 (Page 1-6)'!J517</f>
        <v>999</v>
      </c>
      <c r="O524" s="29">
        <f>'Table001 (Page 1-6)'!L517</f>
        <v>19170</v>
      </c>
      <c r="P524" s="29"/>
      <c r="Q524" s="29">
        <f>'Table001 (Page 1-6)'!M517</f>
        <v>999</v>
      </c>
      <c r="R524" s="29" t="str">
        <f>'Table001 (Page 1-6)'!S517</f>
        <v>Not Counted</v>
      </c>
      <c r="S524" s="31" t="str">
        <f>'Table001 (Page 1-6)'!T517</f>
        <v>N/A</v>
      </c>
      <c r="T524" s="29" t="str">
        <f>'Table001 (Page 1-6)'!U517</f>
        <v>N/A</v>
      </c>
      <c r="U524" s="29"/>
      <c r="V524" s="29"/>
      <c r="W524" s="29"/>
      <c r="X524" s="29"/>
      <c r="Y524" s="29"/>
      <c r="Z524" s="29"/>
      <c r="AA524" s="29"/>
      <c r="AB524" s="29"/>
      <c r="AC524" s="31"/>
      <c r="AD524" s="29"/>
      <c r="AE524" s="29"/>
      <c r="AF524" s="29"/>
      <c r="AG524" s="31"/>
      <c r="AH524" s="29"/>
      <c r="AI524" s="32">
        <f>('Table001 (Page 1-6)'!V517)*100</f>
        <v>1</v>
      </c>
      <c r="AJ524" s="35"/>
      <c r="AK524" s="35"/>
      <c r="AL524" s="35"/>
      <c r="AM524" s="35"/>
    </row>
    <row r="525" spans="2:39" x14ac:dyDescent="0.25">
      <c r="B525" s="37">
        <f>'Table001 (Page 1-6)'!A518</f>
        <v>8000</v>
      </c>
      <c r="C525" s="28" t="str">
        <f>'Table001 (Page 1-6)'!B518</f>
        <v>NW 35 ST</v>
      </c>
      <c r="D525" s="28" t="str">
        <f>'Table001 (Page 1-6)'!C518</f>
        <v>NW 35 AVE</v>
      </c>
      <c r="E525" s="28" t="str">
        <f>'Table001 (Page 1-6)'!D518</f>
        <v>NW 27 AVE</v>
      </c>
      <c r="F525" s="29">
        <f>'Table001 (Page 1-6)'!E518</f>
        <v>4</v>
      </c>
      <c r="G525" s="29">
        <f>'Table001 (Page 1-6)'!K518</f>
        <v>4</v>
      </c>
      <c r="H525" s="30" t="str">
        <f>'Table001 (Page 1-6)'!R518</f>
        <v>E</v>
      </c>
      <c r="I525" s="28" t="str">
        <f>'Table001 (Page 1-6)'!F518</f>
        <v>LOCAL</v>
      </c>
      <c r="J525" s="29"/>
      <c r="K525" s="29"/>
      <c r="L525" s="29">
        <f>'Table001 (Page 1-6)'!I518</f>
        <v>67770</v>
      </c>
      <c r="M525" s="29"/>
      <c r="N525" s="29">
        <f>'Table001 (Page 1-6)'!J518</f>
        <v>3357</v>
      </c>
      <c r="O525" s="29">
        <f>'Table001 (Page 1-6)'!L518</f>
        <v>67770</v>
      </c>
      <c r="P525" s="29"/>
      <c r="Q525" s="29">
        <f>'Table001 (Page 1-6)'!M518</f>
        <v>3357</v>
      </c>
      <c r="R525" s="29" t="str">
        <f>'Table001 (Page 1-6)'!S518</f>
        <v>10,700</v>
      </c>
      <c r="S525" s="31" t="str">
        <f>'Table001 (Page 1-6)'!T518</f>
        <v>0.16</v>
      </c>
      <c r="T525" s="29" t="str">
        <f>'Table001 (Page 1-6)'!U518</f>
        <v>B</v>
      </c>
      <c r="U525" s="29"/>
      <c r="V525" s="29"/>
      <c r="W525" s="29"/>
      <c r="X525" s="29"/>
      <c r="Y525" s="29"/>
      <c r="Z525" s="29"/>
      <c r="AA525" s="29"/>
      <c r="AB525" s="29"/>
      <c r="AC525" s="31"/>
      <c r="AD525" s="29"/>
      <c r="AE525" s="29"/>
      <c r="AF525" s="29"/>
      <c r="AG525" s="31"/>
      <c r="AH525" s="29"/>
      <c r="AI525" s="32">
        <f>('Table001 (Page 1-6)'!V518)*100</f>
        <v>1</v>
      </c>
      <c r="AJ525" s="35"/>
      <c r="AK525" s="35"/>
      <c r="AL525" s="35"/>
      <c r="AM525" s="35"/>
    </row>
    <row r="526" spans="2:39" x14ac:dyDescent="0.25">
      <c r="B526" s="37">
        <f>'Table001 (Page 1-6)'!A519</f>
        <v>8005</v>
      </c>
      <c r="C526" s="28" t="str">
        <f>'Table001 (Page 1-6)'!B519</f>
        <v>NW 35 AV</v>
      </c>
      <c r="D526" s="28" t="str">
        <f>'Table001 (Page 1-6)'!C519</f>
        <v>NW 21 ST</v>
      </c>
      <c r="E526" s="28" t="str">
        <f>'Table001 (Page 1-6)'!D519</f>
        <v>NW 35 ST</v>
      </c>
      <c r="F526" s="29">
        <f>'Table001 (Page 1-6)'!E519</f>
        <v>4</v>
      </c>
      <c r="G526" s="29">
        <f>'Table001 (Page 1-6)'!K519</f>
        <v>4</v>
      </c>
      <c r="H526" s="30" t="str">
        <f>'Table001 (Page 1-6)'!R519</f>
        <v>E</v>
      </c>
      <c r="I526" s="28" t="str">
        <f>'Table001 (Page 1-6)'!F519</f>
        <v>LOCAL</v>
      </c>
      <c r="J526" s="29"/>
      <c r="K526" s="29"/>
      <c r="L526" s="29">
        <f>'Table001 (Page 1-6)'!I519</f>
        <v>67770</v>
      </c>
      <c r="M526" s="29"/>
      <c r="N526" s="29">
        <f>'Table001 (Page 1-6)'!J519</f>
        <v>3357</v>
      </c>
      <c r="O526" s="29">
        <f>'Table001 (Page 1-6)'!L519</f>
        <v>67770</v>
      </c>
      <c r="P526" s="29"/>
      <c r="Q526" s="29">
        <f>'Table001 (Page 1-6)'!M519</f>
        <v>3357</v>
      </c>
      <c r="R526" s="29" t="str">
        <f>'Table001 (Page 1-6)'!S519</f>
        <v>9,800</v>
      </c>
      <c r="S526" s="31" t="str">
        <f>'Table001 (Page 1-6)'!T519</f>
        <v>0.14</v>
      </c>
      <c r="T526" s="29" t="str">
        <f>'Table001 (Page 1-6)'!U519</f>
        <v>B</v>
      </c>
      <c r="U526" s="29"/>
      <c r="V526" s="29"/>
      <c r="W526" s="29"/>
      <c r="X526" s="29"/>
      <c r="Y526" s="29"/>
      <c r="Z526" s="29"/>
      <c r="AA526" s="29"/>
      <c r="AB526" s="29"/>
      <c r="AC526" s="31"/>
      <c r="AD526" s="29"/>
      <c r="AE526" s="29"/>
      <c r="AF526" s="29"/>
      <c r="AG526" s="31"/>
      <c r="AH526" s="29"/>
      <c r="AI526" s="32">
        <f>('Table001 (Page 1-6)'!V519)*100</f>
        <v>1</v>
      </c>
      <c r="AJ526" s="35"/>
      <c r="AK526" s="35"/>
      <c r="AL526" s="35"/>
      <c r="AM526" s="35"/>
    </row>
    <row r="527" spans="2:39" x14ac:dyDescent="0.25">
      <c r="B527" s="37">
        <f>'Table001 (Page 1-6)'!A520</f>
        <v>8010</v>
      </c>
      <c r="C527" s="28" t="str">
        <f>'Table001 (Page 1-6)'!B520</f>
        <v>SW 49 AV</v>
      </c>
      <c r="D527" s="28" t="str">
        <f>'Table001 (Page 1-6)'!C520</f>
        <v>SW 85 ST</v>
      </c>
      <c r="E527" s="28" t="str">
        <f>'Table001 (Page 1-6)'!D520</f>
        <v>SW 66 ST</v>
      </c>
      <c r="F527" s="29">
        <f>'Table001 (Page 1-6)'!E520</f>
        <v>4</v>
      </c>
      <c r="G527" s="29">
        <f>'Table001 (Page 1-6)'!K520</f>
        <v>4</v>
      </c>
      <c r="H527" s="30" t="str">
        <f>'Table001 (Page 1-6)'!R520</f>
        <v>E</v>
      </c>
      <c r="I527" s="28" t="str">
        <f>'Table001 (Page 1-6)'!F520</f>
        <v>COLLECTOR</v>
      </c>
      <c r="J527" s="29"/>
      <c r="K527" s="29"/>
      <c r="L527" s="29">
        <f>'Table001 (Page 1-6)'!I520</f>
        <v>67770</v>
      </c>
      <c r="M527" s="29"/>
      <c r="N527" s="29">
        <f>'Table001 (Page 1-6)'!J520</f>
        <v>3357</v>
      </c>
      <c r="O527" s="29">
        <f>'Table001 (Page 1-6)'!L520</f>
        <v>67770</v>
      </c>
      <c r="P527" s="29"/>
      <c r="Q527" s="29">
        <f>'Table001 (Page 1-6)'!M520</f>
        <v>3357</v>
      </c>
      <c r="R527" s="29" t="str">
        <f>'Table001 (Page 1-6)'!S520</f>
        <v>Not Counted</v>
      </c>
      <c r="S527" s="31" t="str">
        <f>'Table001 (Page 1-6)'!T520</f>
        <v>N/A</v>
      </c>
      <c r="T527" s="29" t="str">
        <f>'Table001 (Page 1-6)'!U520</f>
        <v>N/A</v>
      </c>
      <c r="U527" s="29"/>
      <c r="V527" s="29"/>
      <c r="W527" s="29"/>
      <c r="X527" s="29"/>
      <c r="Y527" s="29"/>
      <c r="Z527" s="29"/>
      <c r="AA527" s="29"/>
      <c r="AB527" s="29"/>
      <c r="AC527" s="31"/>
      <c r="AD527" s="29"/>
      <c r="AE527" s="29"/>
      <c r="AF527" s="29"/>
      <c r="AG527" s="31"/>
      <c r="AH527" s="29"/>
      <c r="AI527" s="32">
        <f>('Table001 (Page 1-6)'!V520)*100</f>
        <v>1</v>
      </c>
      <c r="AJ527" s="35"/>
      <c r="AK527" s="35"/>
      <c r="AL527" s="35"/>
      <c r="AM527" s="35"/>
    </row>
    <row r="528" spans="2:39" x14ac:dyDescent="0.25">
      <c r="B528" s="37">
        <f>'Table001 (Page 1-6)'!A521</f>
        <v>8015</v>
      </c>
      <c r="C528" s="28" t="str">
        <f>'Table001 (Page 1-6)'!B521</f>
        <v>SW 49 AV</v>
      </c>
      <c r="D528" s="28" t="str">
        <f>'Table001 (Page 1-6)'!C521</f>
        <v>SW 66 ST</v>
      </c>
      <c r="E528" s="28" t="str">
        <f>'Table001 (Page 1-6)'!D521</f>
        <v>SW 40 AV</v>
      </c>
      <c r="F528" s="29">
        <f>'Table001 (Page 1-6)'!E521</f>
        <v>4</v>
      </c>
      <c r="G528" s="29">
        <f>'Table001 (Page 1-6)'!K521</f>
        <v>4</v>
      </c>
      <c r="H528" s="30" t="str">
        <f>'Table001 (Page 1-6)'!R521</f>
        <v>E</v>
      </c>
      <c r="I528" s="28" t="str">
        <f>'Table001 (Page 1-6)'!F521</f>
        <v>COLLECTOR</v>
      </c>
      <c r="J528" s="29"/>
      <c r="K528" s="29"/>
      <c r="L528" s="29">
        <f>'Table001 (Page 1-6)'!I521</f>
        <v>67770</v>
      </c>
      <c r="M528" s="29"/>
      <c r="N528" s="29">
        <f>'Table001 (Page 1-6)'!J521</f>
        <v>3357</v>
      </c>
      <c r="O528" s="29">
        <f>'Table001 (Page 1-6)'!L521</f>
        <v>67770</v>
      </c>
      <c r="P528" s="29"/>
      <c r="Q528" s="29">
        <f>'Table001 (Page 1-6)'!M521</f>
        <v>3357</v>
      </c>
      <c r="R528" s="29" t="str">
        <f>'Table001 (Page 1-6)'!S521</f>
        <v>Not Counted</v>
      </c>
      <c r="S528" s="31" t="str">
        <f>'Table001 (Page 1-6)'!T521</f>
        <v>N/A</v>
      </c>
      <c r="T528" s="29" t="str">
        <f>'Table001 (Page 1-6)'!U521</f>
        <v>N/A</v>
      </c>
      <c r="U528" s="29"/>
      <c r="V528" s="29"/>
      <c r="W528" s="29"/>
      <c r="X528" s="29"/>
      <c r="Y528" s="29"/>
      <c r="Z528" s="29"/>
      <c r="AA528" s="29"/>
      <c r="AB528" s="29"/>
      <c r="AC528" s="31"/>
      <c r="AD528" s="29"/>
      <c r="AE528" s="29"/>
      <c r="AF528" s="29"/>
      <c r="AG528" s="31"/>
      <c r="AH528" s="29"/>
      <c r="AI528" s="32">
        <f>('Table001 (Page 1-6)'!V521)*100</f>
        <v>1</v>
      </c>
      <c r="AJ528" s="35"/>
      <c r="AK528" s="35"/>
      <c r="AL528" s="35"/>
      <c r="AM528" s="35"/>
    </row>
    <row r="529" spans="2:39" x14ac:dyDescent="0.25">
      <c r="B529" s="37">
        <f>'Table001 (Page 1-6)'!A522</f>
        <v>8020</v>
      </c>
      <c r="C529" s="28" t="str">
        <f>'Table001 (Page 1-6)'!B522</f>
        <v>SW 40 AV</v>
      </c>
      <c r="D529" s="28" t="str">
        <f>'Table001 (Page 1-6)'!C522</f>
        <v>SW 49 AV</v>
      </c>
      <c r="E529" s="28" t="str">
        <f>'Table001 (Page 1-6)'!D522</f>
        <v>SW 42 ST</v>
      </c>
      <c r="F529" s="29">
        <f>'Table001 (Page 1-6)'!E522</f>
        <v>4</v>
      </c>
      <c r="G529" s="29">
        <f>'Table001 (Page 1-6)'!K522</f>
        <v>4</v>
      </c>
      <c r="H529" s="30" t="str">
        <f>'Table001 (Page 1-6)'!R522</f>
        <v>E</v>
      </c>
      <c r="I529" s="28" t="str">
        <f>'Table001 (Page 1-6)'!F522</f>
        <v>COLLECTOR</v>
      </c>
      <c r="J529" s="29"/>
      <c r="K529" s="29"/>
      <c r="L529" s="29">
        <f>'Table001 (Page 1-6)'!I522</f>
        <v>67770</v>
      </c>
      <c r="M529" s="29"/>
      <c r="N529" s="29">
        <f>'Table001 (Page 1-6)'!J522</f>
        <v>3357</v>
      </c>
      <c r="O529" s="29">
        <f>'Table001 (Page 1-6)'!L522</f>
        <v>67770</v>
      </c>
      <c r="P529" s="29"/>
      <c r="Q529" s="29">
        <f>'Table001 (Page 1-6)'!M522</f>
        <v>3357</v>
      </c>
      <c r="R529" s="29" t="str">
        <f>'Table001 (Page 1-6)'!S522</f>
        <v>Not Counted</v>
      </c>
      <c r="S529" s="31" t="str">
        <f>'Table001 (Page 1-6)'!T522</f>
        <v>N/A</v>
      </c>
      <c r="T529" s="29" t="str">
        <f>'Table001 (Page 1-6)'!U522</f>
        <v>N/A</v>
      </c>
      <c r="U529" s="29"/>
      <c r="V529" s="29"/>
      <c r="W529" s="29"/>
      <c r="X529" s="29"/>
      <c r="Y529" s="29"/>
      <c r="Z529" s="29"/>
      <c r="AA529" s="29"/>
      <c r="AB529" s="29"/>
      <c r="AC529" s="31"/>
      <c r="AD529" s="29"/>
      <c r="AE529" s="29"/>
      <c r="AF529" s="29"/>
      <c r="AG529" s="31"/>
      <c r="AH529" s="29"/>
      <c r="AI529" s="32">
        <f>('Table001 (Page 1-6)'!V522)*100</f>
        <v>1</v>
      </c>
      <c r="AJ529" s="35"/>
      <c r="AK529" s="35"/>
      <c r="AL529" s="35"/>
      <c r="AM529" s="35"/>
    </row>
    <row r="530" spans="2:39" x14ac:dyDescent="0.25">
      <c r="B530" s="37">
        <f>'Table001 (Page 1-6)'!A523</f>
        <v>8030</v>
      </c>
      <c r="C530" s="28" t="str">
        <f>'Table001 (Page 1-6)'!B523</f>
        <v>SW 95 ST</v>
      </c>
      <c r="D530" s="28" t="str">
        <f>'Table001 (Page 1-6)'!C523</f>
        <v>I-75 SB</v>
      </c>
      <c r="E530" s="28" t="str">
        <f>'Table001 (Page 1-6)'!D523</f>
        <v>I-75 NB</v>
      </c>
      <c r="F530" s="29">
        <f>'Table001 (Page 1-6)'!E523</f>
        <v>4</v>
      </c>
      <c r="G530" s="29">
        <f>'Table001 (Page 1-6)'!K523</f>
        <v>4</v>
      </c>
      <c r="H530" s="30" t="str">
        <f>'Table001 (Page 1-6)'!R523</f>
        <v>E</v>
      </c>
      <c r="I530" s="28" t="str">
        <f>'Table001 (Page 1-6)'!F523</f>
        <v>COLLECTOR</v>
      </c>
      <c r="J530" s="29"/>
      <c r="K530" s="29"/>
      <c r="L530" s="29">
        <f>'Table001 (Page 1-6)'!I523</f>
        <v>35820</v>
      </c>
      <c r="M530" s="29"/>
      <c r="N530" s="29">
        <f>'Table001 (Page 1-6)'!J523</f>
        <v>1800</v>
      </c>
      <c r="O530" s="29">
        <f>'Table001 (Page 1-6)'!L523</f>
        <v>35820</v>
      </c>
      <c r="P530" s="29"/>
      <c r="Q530" s="29">
        <f>'Table001 (Page 1-6)'!M523</f>
        <v>1800</v>
      </c>
      <c r="R530" s="29" t="str">
        <f>'Table001 (Page 1-6)'!S523</f>
        <v>Not Counted</v>
      </c>
      <c r="S530" s="31" t="str">
        <f>'Table001 (Page 1-6)'!T523</f>
        <v>N/A</v>
      </c>
      <c r="T530" s="29" t="str">
        <f>'Table001 (Page 1-6)'!U523</f>
        <v>N/A</v>
      </c>
      <c r="U530" s="29"/>
      <c r="V530" s="29"/>
      <c r="W530" s="29"/>
      <c r="X530" s="29"/>
      <c r="Y530" s="29"/>
      <c r="Z530" s="29"/>
      <c r="AA530" s="29"/>
      <c r="AB530" s="29"/>
      <c r="AC530" s="31"/>
      <c r="AD530" s="29"/>
      <c r="AE530" s="29"/>
      <c r="AF530" s="29"/>
      <c r="AG530" s="31"/>
      <c r="AH530" s="29"/>
      <c r="AI530" s="32">
        <f>('Table001 (Page 1-6)'!V523)*100</f>
        <v>1</v>
      </c>
      <c r="AJ530" s="35"/>
      <c r="AK530" s="35"/>
      <c r="AL530" s="35"/>
      <c r="AM530" s="35"/>
    </row>
    <row r="531" spans="2:39" x14ac:dyDescent="0.25">
      <c r="B531" s="37">
        <f>'Table001 (Page 1-6)'!A524</f>
        <v>8035</v>
      </c>
      <c r="C531" s="28" t="str">
        <f>'Table001 (Page 1-6)'!B524</f>
        <v>MARION OAKS MANOR EXT</v>
      </c>
      <c r="D531" s="28" t="str">
        <f>'Table001 (Page 1-6)'!C524</f>
        <v>SW 18 AV RD</v>
      </c>
      <c r="E531" s="28" t="str">
        <f>'Table001 (Page 1-6)'!D524</f>
        <v>I-75</v>
      </c>
      <c r="F531" s="29">
        <f>'Table001 (Page 1-6)'!E524</f>
        <v>0</v>
      </c>
      <c r="G531" s="29">
        <f>'Table001 (Page 1-6)'!K524</f>
        <v>0</v>
      </c>
      <c r="H531" s="30" t="str">
        <f>'Table001 (Page 1-6)'!R524</f>
        <v>D</v>
      </c>
      <c r="I531" s="28" t="str">
        <f>'Table001 (Page 1-6)'!F524</f>
        <v/>
      </c>
      <c r="J531" s="29"/>
      <c r="K531" s="29"/>
      <c r="L531" s="29">
        <f>'Table001 (Page 1-6)'!I524</f>
        <v>0</v>
      </c>
      <c r="M531" s="29"/>
      <c r="N531" s="29">
        <f>'Table001 (Page 1-6)'!J524</f>
        <v>0</v>
      </c>
      <c r="O531" s="29">
        <f>'Table001 (Page 1-6)'!L524</f>
        <v>0</v>
      </c>
      <c r="P531" s="29"/>
      <c r="Q531" s="29">
        <f>'Table001 (Page 1-6)'!M524</f>
        <v>0</v>
      </c>
      <c r="R531" s="29" t="str">
        <f>'Table001 (Page 1-6)'!S524</f>
        <v>0</v>
      </c>
      <c r="S531" s="31" t="str">
        <f>'Table001 (Page 1-6)'!T524</f>
        <v>0</v>
      </c>
      <c r="T531" s="29" t="str">
        <f>'Table001 (Page 1-6)'!U524</f>
        <v>0</v>
      </c>
      <c r="U531" s="29"/>
      <c r="V531" s="29"/>
      <c r="W531" s="29"/>
      <c r="X531" s="29"/>
      <c r="Y531" s="29"/>
      <c r="Z531" s="29"/>
      <c r="AA531" s="29"/>
      <c r="AB531" s="29"/>
      <c r="AC531" s="31"/>
      <c r="AD531" s="29"/>
      <c r="AE531" s="29"/>
      <c r="AF531" s="29"/>
      <c r="AG531" s="31"/>
      <c r="AH531" s="29"/>
      <c r="AI531" s="32">
        <f>('Table001 (Page 1-6)'!V524)*100</f>
        <v>1</v>
      </c>
      <c r="AJ531" s="35"/>
      <c r="AK531" s="35"/>
      <c r="AL531" s="35"/>
      <c r="AM531" s="35"/>
    </row>
    <row r="532" spans="2:39" x14ac:dyDescent="0.25">
      <c r="B532" s="37">
        <f>'Table001 (Page 1-6)'!A525</f>
        <v>8040</v>
      </c>
      <c r="C532" s="28" t="str">
        <f>'Table001 (Page 1-6)'!B525</f>
        <v>MARION OAKS MANOR EXT</v>
      </c>
      <c r="D532" s="28" t="str">
        <f>'Table001 (Page 1-6)'!C525</f>
        <v>I-75</v>
      </c>
      <c r="E532" s="28" t="str">
        <f>'Table001 (Page 1-6)'!D525</f>
        <v>CR 475</v>
      </c>
      <c r="F532" s="29">
        <f>'Table001 (Page 1-6)'!E525</f>
        <v>0</v>
      </c>
      <c r="G532" s="29">
        <f>'Table001 (Page 1-6)'!K525</f>
        <v>0</v>
      </c>
      <c r="H532" s="30" t="str">
        <f>'Table001 (Page 1-6)'!R525</f>
        <v>D</v>
      </c>
      <c r="I532" s="28" t="str">
        <f>'Table001 (Page 1-6)'!F525</f>
        <v/>
      </c>
      <c r="J532" s="29"/>
      <c r="K532" s="29"/>
      <c r="L532" s="29">
        <f>'Table001 (Page 1-6)'!I525</f>
        <v>0</v>
      </c>
      <c r="M532" s="29"/>
      <c r="N532" s="29">
        <f>'Table001 (Page 1-6)'!J525</f>
        <v>0</v>
      </c>
      <c r="O532" s="29">
        <f>'Table001 (Page 1-6)'!L525</f>
        <v>0</v>
      </c>
      <c r="P532" s="29"/>
      <c r="Q532" s="29">
        <f>'Table001 (Page 1-6)'!M525</f>
        <v>0</v>
      </c>
      <c r="R532" s="29" t="str">
        <f>'Table001 (Page 1-6)'!S525</f>
        <v>0</v>
      </c>
      <c r="S532" s="31" t="str">
        <f>'Table001 (Page 1-6)'!T525</f>
        <v>0</v>
      </c>
      <c r="T532" s="29" t="str">
        <f>'Table001 (Page 1-6)'!U525</f>
        <v>0</v>
      </c>
      <c r="U532" s="29"/>
      <c r="V532" s="29"/>
      <c r="W532" s="29"/>
      <c r="X532" s="29"/>
      <c r="Y532" s="29"/>
      <c r="Z532" s="29"/>
      <c r="AA532" s="29"/>
      <c r="AB532" s="29"/>
      <c r="AC532" s="31"/>
      <c r="AD532" s="29"/>
      <c r="AE532" s="29"/>
      <c r="AF532" s="29"/>
      <c r="AG532" s="31"/>
      <c r="AH532" s="29"/>
      <c r="AI532" s="32">
        <f>('Table001 (Page 1-6)'!V525)*100</f>
        <v>1</v>
      </c>
      <c r="AJ532" s="35"/>
      <c r="AK532" s="35"/>
      <c r="AL532" s="35"/>
      <c r="AM532" s="35"/>
    </row>
    <row r="533" spans="2:39" x14ac:dyDescent="0.25">
      <c r="B533" s="37">
        <f>'Table001 (Page 1-6)'!A526</f>
        <v>8060</v>
      </c>
      <c r="C533" s="28" t="str">
        <f>'Table001 (Page 1-6)'!B526</f>
        <v>NW 49 ST</v>
      </c>
      <c r="D533" s="28" t="str">
        <f>'Table001 (Page 1-6)'!C526</f>
        <v>CR 225A</v>
      </c>
      <c r="E533" s="28" t="str">
        <f>'Table001 (Page 1-6)'!D526</f>
        <v>NW 60 AV</v>
      </c>
      <c r="F533" s="29">
        <f>'Table001 (Page 1-6)'!E526</f>
        <v>0</v>
      </c>
      <c r="G533" s="29">
        <f>'Table001 (Page 1-6)'!K526</f>
        <v>2</v>
      </c>
      <c r="H533" s="30" t="str">
        <f>'Table001 (Page 1-6)'!R526</f>
        <v>D</v>
      </c>
      <c r="I533" s="28" t="str">
        <f>'Table001 (Page 1-6)'!F526</f>
        <v/>
      </c>
      <c r="J533" s="29"/>
      <c r="K533" s="29"/>
      <c r="L533" s="29">
        <f>'Table001 (Page 1-6)'!I526</f>
        <v>0</v>
      </c>
      <c r="M533" s="29"/>
      <c r="N533" s="29">
        <f>'Table001 (Page 1-6)'!J526</f>
        <v>0</v>
      </c>
      <c r="O533" s="29">
        <f>'Table001 (Page 1-6)'!L526</f>
        <v>0</v>
      </c>
      <c r="P533" s="29"/>
      <c r="Q533" s="29">
        <f>'Table001 (Page 1-6)'!M526</f>
        <v>0</v>
      </c>
      <c r="R533" s="29" t="str">
        <f>'Table001 (Page 1-6)'!S526</f>
        <v>0</v>
      </c>
      <c r="S533" s="31" t="str">
        <f>'Table001 (Page 1-6)'!T526</f>
        <v>0</v>
      </c>
      <c r="T533" s="29" t="str">
        <f>'Table001 (Page 1-6)'!U526</f>
        <v>0</v>
      </c>
      <c r="U533" s="29"/>
      <c r="V533" s="29"/>
      <c r="W533" s="29"/>
      <c r="X533" s="29"/>
      <c r="Y533" s="29"/>
      <c r="Z533" s="29"/>
      <c r="AA533" s="29"/>
      <c r="AB533" s="29"/>
      <c r="AC533" s="31"/>
      <c r="AD533" s="29"/>
      <c r="AE533" s="29"/>
      <c r="AF533" s="29"/>
      <c r="AG533" s="31"/>
      <c r="AH533" s="29"/>
      <c r="AI533" s="32">
        <f>('Table001 (Page 1-6)'!V526)*100</f>
        <v>1</v>
      </c>
      <c r="AJ533" s="35"/>
      <c r="AK533" s="35"/>
      <c r="AL533" s="35"/>
      <c r="AM533" s="35"/>
    </row>
    <row r="534" spans="2:39" x14ac:dyDescent="0.25">
      <c r="B534" s="37">
        <f>'Table001 (Page 1-6)'!A527</f>
        <v>8065</v>
      </c>
      <c r="C534" s="28" t="str">
        <f>'Table001 (Page 1-6)'!B527</f>
        <v>NW 49 ST</v>
      </c>
      <c r="D534" s="28" t="str">
        <f>'Table001 (Page 1-6)'!C527</f>
        <v>NW 60 AV</v>
      </c>
      <c r="E534" s="28" t="str">
        <f>'Table001 (Page 1-6)'!D527</f>
        <v>NW 44 AV</v>
      </c>
      <c r="F534" s="29">
        <f>'Table001 (Page 1-6)'!E527</f>
        <v>0</v>
      </c>
      <c r="G534" s="29">
        <f>'Table001 (Page 1-6)'!K527</f>
        <v>2</v>
      </c>
      <c r="H534" s="30" t="str">
        <f>'Table001 (Page 1-6)'!R527</f>
        <v>D</v>
      </c>
      <c r="I534" s="28" t="str">
        <f>'Table001 (Page 1-6)'!F527</f>
        <v/>
      </c>
      <c r="J534" s="29"/>
      <c r="K534" s="29"/>
      <c r="L534" s="29">
        <f>'Table001 (Page 1-6)'!I527</f>
        <v>0</v>
      </c>
      <c r="M534" s="29"/>
      <c r="N534" s="29">
        <f>'Table001 (Page 1-6)'!J527</f>
        <v>0</v>
      </c>
      <c r="O534" s="29">
        <f>'Table001 (Page 1-6)'!L527</f>
        <v>0</v>
      </c>
      <c r="P534" s="29"/>
      <c r="Q534" s="29">
        <f>'Table001 (Page 1-6)'!M527</f>
        <v>0</v>
      </c>
      <c r="R534" s="29" t="str">
        <f>'Table001 (Page 1-6)'!S527</f>
        <v>0</v>
      </c>
      <c r="S534" s="31" t="str">
        <f>'Table001 (Page 1-6)'!T527</f>
        <v>0</v>
      </c>
      <c r="T534" s="29" t="str">
        <f>'Table001 (Page 1-6)'!U527</f>
        <v>0</v>
      </c>
      <c r="U534" s="29"/>
      <c r="V534" s="29"/>
      <c r="W534" s="29"/>
      <c r="X534" s="29"/>
      <c r="Y534" s="29"/>
      <c r="Z534" s="29"/>
      <c r="AA534" s="29"/>
      <c r="AB534" s="29"/>
      <c r="AC534" s="31"/>
      <c r="AD534" s="29"/>
      <c r="AE534" s="29"/>
      <c r="AF534" s="29"/>
      <c r="AG534" s="31"/>
      <c r="AH534" s="29"/>
      <c r="AI534" s="32">
        <f>('Table001 (Page 1-6)'!V527)*100</f>
        <v>1</v>
      </c>
      <c r="AJ534" s="35"/>
      <c r="AK534" s="35"/>
      <c r="AL534" s="35"/>
      <c r="AM534" s="35"/>
    </row>
    <row r="535" spans="2:39" x14ac:dyDescent="0.25">
      <c r="B535" s="37">
        <f>'Table001 (Page 1-6)'!A528</f>
        <v>8080</v>
      </c>
      <c r="C535" s="28" t="str">
        <f>'Table001 (Page 1-6)'!B528</f>
        <v>CHESNUT RD</v>
      </c>
      <c r="D535" s="28" t="str">
        <f>'Table001 (Page 1-6)'!C528</f>
        <v>JUNIPER RD</v>
      </c>
      <c r="E535" s="28" t="str">
        <f>'Table001 (Page 1-6)'!D528</f>
        <v>SR 35</v>
      </c>
      <c r="F535" s="29">
        <f>'Table001 (Page 1-6)'!E528</f>
        <v>2</v>
      </c>
      <c r="G535" s="29">
        <f>'Table001 (Page 1-6)'!K528</f>
        <v>2</v>
      </c>
      <c r="H535" s="30" t="str">
        <f>'Table001 (Page 1-6)'!R528</f>
        <v>E</v>
      </c>
      <c r="I535" s="28" t="str">
        <f>'Table001 (Page 1-6)'!F528</f>
        <v>COLLECTOR</v>
      </c>
      <c r="J535" s="29"/>
      <c r="K535" s="29"/>
      <c r="L535" s="29">
        <f>'Table001 (Page 1-6)'!I528</f>
        <v>11232</v>
      </c>
      <c r="M535" s="29"/>
      <c r="N535" s="29">
        <f>'Table001 (Page 1-6)'!J528</f>
        <v>576</v>
      </c>
      <c r="O535" s="29">
        <f>'Table001 (Page 1-6)'!L528</f>
        <v>11232</v>
      </c>
      <c r="P535" s="29"/>
      <c r="Q535" s="29">
        <f>'Table001 (Page 1-6)'!M528</f>
        <v>576</v>
      </c>
      <c r="R535" s="29" t="str">
        <f>'Table001 (Page 1-6)'!S528</f>
        <v>3,100</v>
      </c>
      <c r="S535" s="31" t="str">
        <f>'Table001 (Page 1-6)'!T528</f>
        <v>0.28</v>
      </c>
      <c r="T535" s="29" t="str">
        <f>'Table001 (Page 1-6)'!U528</f>
        <v>C</v>
      </c>
      <c r="U535" s="29"/>
      <c r="V535" s="29"/>
      <c r="W535" s="29"/>
      <c r="X535" s="29"/>
      <c r="Y535" s="29"/>
      <c r="Z535" s="29"/>
      <c r="AA535" s="29"/>
      <c r="AB535" s="29"/>
      <c r="AC535" s="31"/>
      <c r="AD535" s="29"/>
      <c r="AE535" s="29"/>
      <c r="AF535" s="29"/>
      <c r="AG535" s="31"/>
      <c r="AH535" s="29"/>
      <c r="AI535" s="32">
        <f>('Table001 (Page 1-6)'!V528)*100</f>
        <v>1</v>
      </c>
      <c r="AJ535" s="35"/>
      <c r="AK535" s="35"/>
      <c r="AL535" s="35"/>
      <c r="AM535" s="35"/>
    </row>
    <row r="536" spans="2:39" x14ac:dyDescent="0.25">
      <c r="B536" s="37">
        <f>'Table001 (Page 1-6)'!A529</f>
        <v>8090</v>
      </c>
      <c r="C536" s="28" t="str">
        <f>'Table001 (Page 1-6)'!B529</f>
        <v>SE 64 AVE RD</v>
      </c>
      <c r="D536" s="28" t="str">
        <f>'Table001 (Page 1-6)'!C529</f>
        <v>CR 464</v>
      </c>
      <c r="E536" s="28" t="str">
        <f>'Table001 (Page 1-6)'!D529</f>
        <v>PINE RD</v>
      </c>
      <c r="F536" s="29">
        <f>'Table001 (Page 1-6)'!E529</f>
        <v>0</v>
      </c>
      <c r="G536" s="29">
        <f>'Table001 (Page 1-6)'!K529</f>
        <v>0</v>
      </c>
      <c r="H536" s="30" t="str">
        <f>'Table001 (Page 1-6)'!R529</f>
        <v>E</v>
      </c>
      <c r="I536" s="28" t="str">
        <f>'Table001 (Page 1-6)'!F529</f>
        <v/>
      </c>
      <c r="J536" s="29"/>
      <c r="K536" s="29"/>
      <c r="L536" s="29">
        <f>'Table001 (Page 1-6)'!I529</f>
        <v>0</v>
      </c>
      <c r="M536" s="29"/>
      <c r="N536" s="29">
        <f>'Table001 (Page 1-6)'!J529</f>
        <v>0</v>
      </c>
      <c r="O536" s="29">
        <f>'Table001 (Page 1-6)'!L529</f>
        <v>0</v>
      </c>
      <c r="P536" s="29"/>
      <c r="Q536" s="29">
        <f>'Table001 (Page 1-6)'!M529</f>
        <v>0</v>
      </c>
      <c r="R536" s="29" t="str">
        <f>'Table001 (Page 1-6)'!S529</f>
        <v>0</v>
      </c>
      <c r="S536" s="31" t="str">
        <f>'Table001 (Page 1-6)'!T529</f>
        <v>0</v>
      </c>
      <c r="T536" s="29" t="str">
        <f>'Table001 (Page 1-6)'!U529</f>
        <v>0</v>
      </c>
      <c r="U536" s="29"/>
      <c r="V536" s="29"/>
      <c r="W536" s="29"/>
      <c r="X536" s="29"/>
      <c r="Y536" s="29"/>
      <c r="Z536" s="29"/>
      <c r="AA536" s="29"/>
      <c r="AB536" s="29"/>
      <c r="AC536" s="31"/>
      <c r="AD536" s="29"/>
      <c r="AE536" s="29"/>
      <c r="AF536" s="29"/>
      <c r="AG536" s="31"/>
      <c r="AH536" s="29"/>
      <c r="AI536" s="32">
        <f>('Table001 (Page 1-6)'!V529)*100</f>
        <v>1</v>
      </c>
      <c r="AJ536" s="35"/>
      <c r="AK536" s="35"/>
      <c r="AL536" s="35"/>
      <c r="AM536" s="35"/>
    </row>
    <row r="537" spans="2:39" x14ac:dyDescent="0.25">
      <c r="B537" s="37">
        <f>'Table001 (Page 1-6)'!A530</f>
        <v>8100</v>
      </c>
      <c r="C537" s="28" t="str">
        <f>'Table001 (Page 1-6)'!B530</f>
        <v>PINE RD</v>
      </c>
      <c r="D537" s="28" t="str">
        <f>'Table001 (Page 1-6)'!C530</f>
        <v>CR 464</v>
      </c>
      <c r="E537" s="28" t="str">
        <f>'Table001 (Page 1-6)'!D530</f>
        <v>CR 464</v>
      </c>
      <c r="F537" s="29">
        <f>'Table001 (Page 1-6)'!E530</f>
        <v>0</v>
      </c>
      <c r="G537" s="29">
        <f>'Table001 (Page 1-6)'!K530</f>
        <v>0</v>
      </c>
      <c r="H537" s="30" t="str">
        <f>'Table001 (Page 1-6)'!R530</f>
        <v>E</v>
      </c>
      <c r="I537" s="28" t="str">
        <f>'Table001 (Page 1-6)'!F530</f>
        <v/>
      </c>
      <c r="J537" s="29"/>
      <c r="K537" s="29"/>
      <c r="L537" s="29">
        <f>'Table001 (Page 1-6)'!I530</f>
        <v>0</v>
      </c>
      <c r="M537" s="29"/>
      <c r="N537" s="29">
        <f>'Table001 (Page 1-6)'!J530</f>
        <v>0</v>
      </c>
      <c r="O537" s="29">
        <f>'Table001 (Page 1-6)'!L530</f>
        <v>0</v>
      </c>
      <c r="P537" s="29"/>
      <c r="Q537" s="29">
        <f>'Table001 (Page 1-6)'!M530</f>
        <v>0</v>
      </c>
      <c r="R537" s="29" t="str">
        <f>'Table001 (Page 1-6)'!S530</f>
        <v>0</v>
      </c>
      <c r="S537" s="31" t="str">
        <f>'Table001 (Page 1-6)'!T530</f>
        <v>0</v>
      </c>
      <c r="T537" s="29" t="str">
        <f>'Table001 (Page 1-6)'!U530</f>
        <v>0</v>
      </c>
      <c r="U537" s="29"/>
      <c r="V537" s="29"/>
      <c r="W537" s="29"/>
      <c r="X537" s="29"/>
      <c r="Y537" s="29"/>
      <c r="Z537" s="29"/>
      <c r="AA537" s="29"/>
      <c r="AB537" s="29"/>
      <c r="AC537" s="31"/>
      <c r="AD537" s="29"/>
      <c r="AE537" s="29"/>
      <c r="AF537" s="29"/>
      <c r="AG537" s="31"/>
      <c r="AH537" s="29"/>
      <c r="AI537" s="32">
        <f>('Table001 (Page 1-6)'!V530)*100</f>
        <v>1</v>
      </c>
      <c r="AJ537" s="35"/>
      <c r="AK537" s="35"/>
      <c r="AL537" s="35"/>
      <c r="AM537" s="35"/>
    </row>
    <row r="538" spans="2:39" x14ac:dyDescent="0.25">
      <c r="B538" s="37">
        <f>'Table001 (Page 1-6)'!A531</f>
        <v>8110</v>
      </c>
      <c r="C538" s="28" t="str">
        <f>'Table001 (Page 1-6)'!B531</f>
        <v>SILVER RD</v>
      </c>
      <c r="D538" s="28" t="str">
        <f>'Table001 (Page 1-6)'!C531</f>
        <v>MIDWAY RD</v>
      </c>
      <c r="E538" s="28" t="str">
        <f>'Table001 (Page 1-6)'!D531</f>
        <v>OAK RD</v>
      </c>
      <c r="F538" s="29">
        <f>'Table001 (Page 1-6)'!E531</f>
        <v>0</v>
      </c>
      <c r="G538" s="29">
        <f>'Table001 (Page 1-6)'!K531</f>
        <v>0</v>
      </c>
      <c r="H538" s="30" t="str">
        <f>'Table001 (Page 1-6)'!R531</f>
        <v>E</v>
      </c>
      <c r="I538" s="28" t="str">
        <f>'Table001 (Page 1-6)'!F531</f>
        <v/>
      </c>
      <c r="J538" s="29"/>
      <c r="K538" s="29"/>
      <c r="L538" s="29">
        <f>'Table001 (Page 1-6)'!I531</f>
        <v>0</v>
      </c>
      <c r="M538" s="29"/>
      <c r="N538" s="29">
        <f>'Table001 (Page 1-6)'!J531</f>
        <v>0</v>
      </c>
      <c r="O538" s="29">
        <f>'Table001 (Page 1-6)'!L531</f>
        <v>0</v>
      </c>
      <c r="P538" s="29"/>
      <c r="Q538" s="29">
        <f>'Table001 (Page 1-6)'!M531</f>
        <v>0</v>
      </c>
      <c r="R538" s="29" t="str">
        <f>'Table001 (Page 1-6)'!S531</f>
        <v>0</v>
      </c>
      <c r="S538" s="31" t="str">
        <f>'Table001 (Page 1-6)'!T531</f>
        <v>0</v>
      </c>
      <c r="T538" s="29" t="str">
        <f>'Table001 (Page 1-6)'!U531</f>
        <v>0</v>
      </c>
      <c r="U538" s="29"/>
      <c r="V538" s="29"/>
      <c r="W538" s="29"/>
      <c r="X538" s="29"/>
      <c r="Y538" s="29"/>
      <c r="Z538" s="29"/>
      <c r="AA538" s="29"/>
      <c r="AB538" s="29"/>
      <c r="AC538" s="31"/>
      <c r="AD538" s="29"/>
      <c r="AE538" s="29"/>
      <c r="AF538" s="29"/>
      <c r="AG538" s="31"/>
      <c r="AH538" s="29"/>
      <c r="AI538" s="32">
        <f>('Table001 (Page 1-6)'!V531)*100</f>
        <v>1</v>
      </c>
      <c r="AJ538" s="35"/>
      <c r="AK538" s="35"/>
      <c r="AL538" s="35"/>
      <c r="AM538" s="35"/>
    </row>
    <row r="539" spans="2:39" x14ac:dyDescent="0.25">
      <c r="B539" s="37">
        <f>'Table001 (Page 1-6)'!A532</f>
        <v>8120</v>
      </c>
      <c r="C539" s="28" t="str">
        <f>'Table001 (Page 1-6)'!B532</f>
        <v>OAK RD</v>
      </c>
      <c r="D539" s="28" t="str">
        <f>'Table001 (Page 1-6)'!C532</f>
        <v>CR 464</v>
      </c>
      <c r="E539" s="28" t="str">
        <f>'Table001 (Page 1-6)'!D532</f>
        <v>CR 464</v>
      </c>
      <c r="F539" s="29">
        <f>'Table001 (Page 1-6)'!E532</f>
        <v>0</v>
      </c>
      <c r="G539" s="29">
        <f>'Table001 (Page 1-6)'!K532</f>
        <v>0</v>
      </c>
      <c r="H539" s="30" t="str">
        <f>'Table001 (Page 1-6)'!R532</f>
        <v>E</v>
      </c>
      <c r="I539" s="28" t="str">
        <f>'Table001 (Page 1-6)'!F532</f>
        <v/>
      </c>
      <c r="J539" s="29"/>
      <c r="K539" s="29"/>
      <c r="L539" s="29">
        <f>'Table001 (Page 1-6)'!I532</f>
        <v>0</v>
      </c>
      <c r="M539" s="29"/>
      <c r="N539" s="29">
        <f>'Table001 (Page 1-6)'!J532</f>
        <v>0</v>
      </c>
      <c r="O539" s="29">
        <f>'Table001 (Page 1-6)'!L532</f>
        <v>0</v>
      </c>
      <c r="P539" s="29"/>
      <c r="Q539" s="29">
        <f>'Table001 (Page 1-6)'!M532</f>
        <v>0</v>
      </c>
      <c r="R539" s="29" t="str">
        <f>'Table001 (Page 1-6)'!S532</f>
        <v>0</v>
      </c>
      <c r="S539" s="31" t="str">
        <f>'Table001 (Page 1-6)'!T532</f>
        <v>0</v>
      </c>
      <c r="T539" s="29" t="str">
        <f>'Table001 (Page 1-6)'!U532</f>
        <v>0</v>
      </c>
      <c r="U539" s="29"/>
      <c r="V539" s="29"/>
      <c r="W539" s="29"/>
      <c r="X539" s="29"/>
      <c r="Y539" s="29"/>
      <c r="Z539" s="29"/>
      <c r="AA539" s="29"/>
      <c r="AB539" s="29"/>
      <c r="AC539" s="31"/>
      <c r="AD539" s="29"/>
      <c r="AE539" s="29"/>
      <c r="AF539" s="29"/>
      <c r="AG539" s="31"/>
      <c r="AH539" s="29"/>
      <c r="AI539" s="32">
        <f>('Table001 (Page 1-6)'!V532)*100</f>
        <v>1</v>
      </c>
      <c r="AJ539" s="35"/>
      <c r="AK539" s="35"/>
      <c r="AL539" s="35"/>
      <c r="AM539" s="35"/>
    </row>
    <row r="540" spans="2:39" x14ac:dyDescent="0.25">
      <c r="B540" s="37">
        <f>'Table001 (Page 1-6)'!A533</f>
        <v>8130</v>
      </c>
      <c r="C540" s="28" t="str">
        <f>'Table001 (Page 1-6)'!B533</f>
        <v>MARION OAKS MNR</v>
      </c>
      <c r="D540" s="28" t="str">
        <f>'Table001 (Page 1-6)'!C533</f>
        <v>SW 49 AV</v>
      </c>
      <c r="E540" s="28" t="str">
        <f>'Table001 (Page 1-6)'!D533</f>
        <v>MARION OAKS BLVD</v>
      </c>
      <c r="F540" s="29">
        <f>'Table001 (Page 1-6)'!E533</f>
        <v>2</v>
      </c>
      <c r="G540" s="29">
        <f>'Table001 (Page 1-6)'!K533</f>
        <v>2</v>
      </c>
      <c r="H540" s="30" t="str">
        <f>'Table001 (Page 1-6)'!R533</f>
        <v>E</v>
      </c>
      <c r="I540" s="28" t="str">
        <f>'Table001 (Page 1-6)'!F533</f>
        <v>COLLECTOR</v>
      </c>
      <c r="J540" s="29"/>
      <c r="K540" s="29"/>
      <c r="L540" s="29">
        <f>'Table001 (Page 1-6)'!I533</f>
        <v>15930</v>
      </c>
      <c r="M540" s="29"/>
      <c r="N540" s="29">
        <f>'Table001 (Page 1-6)'!J533</f>
        <v>832</v>
      </c>
      <c r="O540" s="29">
        <f>'Table001 (Page 1-6)'!L533</f>
        <v>15930</v>
      </c>
      <c r="P540" s="29"/>
      <c r="Q540" s="29">
        <f>'Table001 (Page 1-6)'!M533</f>
        <v>832</v>
      </c>
      <c r="R540" s="29" t="str">
        <f>'Table001 (Page 1-6)'!S533</f>
        <v>12,400</v>
      </c>
      <c r="S540" s="31" t="str">
        <f>'Table001 (Page 1-6)'!T533</f>
        <v>0.74</v>
      </c>
      <c r="T540" s="29" t="str">
        <f>'Table001 (Page 1-6)'!U533</f>
        <v>C</v>
      </c>
      <c r="U540" s="29"/>
      <c r="V540" s="29"/>
      <c r="W540" s="29"/>
      <c r="X540" s="29"/>
      <c r="Y540" s="29"/>
      <c r="Z540" s="29"/>
      <c r="AA540" s="29"/>
      <c r="AB540" s="29"/>
      <c r="AC540" s="31"/>
      <c r="AD540" s="29"/>
      <c r="AE540" s="29"/>
      <c r="AF540" s="29"/>
      <c r="AG540" s="31"/>
      <c r="AH540" s="29"/>
      <c r="AI540" s="32">
        <f>('Table001 (Page 1-6)'!V533)*100</f>
        <v>1</v>
      </c>
      <c r="AJ540" s="35"/>
      <c r="AK540" s="35"/>
      <c r="AL540" s="35"/>
      <c r="AM540" s="35"/>
    </row>
    <row r="541" spans="2:39" x14ac:dyDescent="0.25">
      <c r="B541" s="37">
        <f>'Table001 (Page 1-6)'!A534</f>
        <v>8140</v>
      </c>
      <c r="C541" s="28" t="str">
        <f>'Table001 (Page 1-6)'!B534</f>
        <v>MARION OAKS BLVD</v>
      </c>
      <c r="D541" s="28" t="str">
        <f>'Table001 (Page 1-6)'!C534</f>
        <v>CR 484</v>
      </c>
      <c r="E541" s="28" t="str">
        <f>'Table001 (Page 1-6)'!D534</f>
        <v>MARION OAKS MNR</v>
      </c>
      <c r="F541" s="29">
        <f>'Table001 (Page 1-6)'!E534</f>
        <v>4</v>
      </c>
      <c r="G541" s="29">
        <f>'Table001 (Page 1-6)'!K534</f>
        <v>4</v>
      </c>
      <c r="H541" s="30" t="str">
        <f>'Table001 (Page 1-6)'!R534</f>
        <v>E</v>
      </c>
      <c r="I541" s="28" t="str">
        <f>'Table001 (Page 1-6)'!F534</f>
        <v>COLLECTOR</v>
      </c>
      <c r="J541" s="29"/>
      <c r="K541" s="29"/>
      <c r="L541" s="29">
        <f>'Table001 (Page 1-6)'!I534</f>
        <v>35820</v>
      </c>
      <c r="M541" s="29"/>
      <c r="N541" s="29">
        <f>'Table001 (Page 1-6)'!J534</f>
        <v>1800</v>
      </c>
      <c r="O541" s="29">
        <f>'Table001 (Page 1-6)'!L534</f>
        <v>35820</v>
      </c>
      <c r="P541" s="29"/>
      <c r="Q541" s="29">
        <f>'Table001 (Page 1-6)'!M534</f>
        <v>1800</v>
      </c>
      <c r="R541" s="29" t="str">
        <f>'Table001 (Page 1-6)'!S534</f>
        <v>12,400</v>
      </c>
      <c r="S541" s="31" t="str">
        <f>'Table001 (Page 1-6)'!T534</f>
        <v>0.35</v>
      </c>
      <c r="T541" s="29" t="str">
        <f>'Table001 (Page 1-6)'!U534</f>
        <v>C</v>
      </c>
      <c r="U541" s="29"/>
      <c r="V541" s="29"/>
      <c r="W541" s="29"/>
      <c r="X541" s="29"/>
      <c r="Y541" s="29"/>
      <c r="Z541" s="29"/>
      <c r="AA541" s="29"/>
      <c r="AB541" s="29"/>
      <c r="AC541" s="31"/>
      <c r="AD541" s="29"/>
      <c r="AE541" s="29"/>
      <c r="AF541" s="29"/>
      <c r="AG541" s="31"/>
      <c r="AH541" s="29"/>
      <c r="AI541" s="32">
        <f>('Table001 (Page 1-6)'!V534)*100</f>
        <v>1</v>
      </c>
      <c r="AJ541" s="35"/>
      <c r="AK541" s="35"/>
      <c r="AL541" s="35"/>
      <c r="AM541" s="35"/>
    </row>
    <row r="542" spans="2:39" x14ac:dyDescent="0.25">
      <c r="B542" s="37">
        <f>'Table001 (Page 1-6)'!A535</f>
        <v>8150</v>
      </c>
      <c r="C542" s="28" t="str">
        <f>'Table001 (Page 1-6)'!B535</f>
        <v>MARION OAKS TRL</v>
      </c>
      <c r="D542" s="28" t="str">
        <f>'Table001 (Page 1-6)'!C535</f>
        <v>CR 484</v>
      </c>
      <c r="E542" s="28" t="str">
        <f>'Table001 (Page 1-6)'!D535</f>
        <v>SW 49 AV</v>
      </c>
      <c r="F542" s="29">
        <f>'Table001 (Page 1-6)'!E535</f>
        <v>2</v>
      </c>
      <c r="G542" s="29">
        <f>'Table001 (Page 1-6)'!K535</f>
        <v>2</v>
      </c>
      <c r="H542" s="30" t="str">
        <f>'Table001 (Page 1-6)'!R535</f>
        <v>E</v>
      </c>
      <c r="I542" s="28" t="str">
        <f>'Table001 (Page 1-6)'!F535</f>
        <v>ARTERIAL</v>
      </c>
      <c r="J542" s="29"/>
      <c r="K542" s="29"/>
      <c r="L542" s="29">
        <f>'Table001 (Page 1-6)'!I535</f>
        <v>15930</v>
      </c>
      <c r="M542" s="29"/>
      <c r="N542" s="29">
        <f>'Table001 (Page 1-6)'!J535</f>
        <v>792</v>
      </c>
      <c r="O542" s="29">
        <f>'Table001 (Page 1-6)'!L535</f>
        <v>15930</v>
      </c>
      <c r="P542" s="29"/>
      <c r="Q542" s="29">
        <f>'Table001 (Page 1-6)'!M535</f>
        <v>792</v>
      </c>
      <c r="R542" s="29" t="str">
        <f>'Table001 (Page 1-6)'!S535</f>
        <v>Not Counted</v>
      </c>
      <c r="S542" s="31" t="str">
        <f>'Table001 (Page 1-6)'!T535</f>
        <v>N/A</v>
      </c>
      <c r="T542" s="29" t="str">
        <f>'Table001 (Page 1-6)'!U535</f>
        <v>N/A</v>
      </c>
      <c r="U542" s="29"/>
      <c r="V542" s="29"/>
      <c r="W542" s="29"/>
      <c r="X542" s="29"/>
      <c r="Y542" s="29"/>
      <c r="Z542" s="29"/>
      <c r="AA542" s="29"/>
      <c r="AB542" s="29"/>
      <c r="AC542" s="31"/>
      <c r="AD542" s="29"/>
      <c r="AE542" s="29"/>
      <c r="AF542" s="29"/>
      <c r="AG542" s="31"/>
      <c r="AH542" s="29"/>
      <c r="AI542" s="32">
        <f>('Table001 (Page 1-6)'!V535)*100</f>
        <v>1</v>
      </c>
      <c r="AJ542" s="35"/>
      <c r="AK542" s="35"/>
      <c r="AL542" s="35"/>
      <c r="AM542" s="35"/>
    </row>
    <row r="543" spans="2:39" x14ac:dyDescent="0.25">
      <c r="B543" s="37">
        <f>'Table001 (Page 1-6)'!A536</f>
        <v>8160</v>
      </c>
      <c r="C543" s="28" t="str">
        <f>'Table001 (Page 1-6)'!B536</f>
        <v>N BAHIA RD</v>
      </c>
      <c r="D543" s="28" t="str">
        <f>'Table001 (Page 1-6)'!C536</f>
        <v>N PINE RD</v>
      </c>
      <c r="E543" s="28" t="str">
        <f>'Table001 (Page 1-6)'!D536</f>
        <v>SE MARICAMP RD</v>
      </c>
      <c r="F543" s="29">
        <f>'Table001 (Page 1-6)'!E536</f>
        <v>0</v>
      </c>
      <c r="G543" s="29">
        <f>'Table001 (Page 1-6)'!K536</f>
        <v>0</v>
      </c>
      <c r="H543" s="30" t="str">
        <f>'Table001 (Page 1-6)'!R536</f>
        <v>E</v>
      </c>
      <c r="I543" s="28" t="str">
        <f>'Table001 (Page 1-6)'!F536</f>
        <v/>
      </c>
      <c r="J543" s="29"/>
      <c r="K543" s="29"/>
      <c r="L543" s="29">
        <f>'Table001 (Page 1-6)'!I536</f>
        <v>0</v>
      </c>
      <c r="M543" s="29"/>
      <c r="N543" s="29">
        <f>'Table001 (Page 1-6)'!J536</f>
        <v>0</v>
      </c>
      <c r="O543" s="29">
        <f>'Table001 (Page 1-6)'!L536</f>
        <v>0</v>
      </c>
      <c r="P543" s="29"/>
      <c r="Q543" s="29">
        <f>'Table001 (Page 1-6)'!M536</f>
        <v>0</v>
      </c>
      <c r="R543" s="29" t="str">
        <f>'Table001 (Page 1-6)'!S536</f>
        <v>0</v>
      </c>
      <c r="S543" s="31" t="str">
        <f>'Table001 (Page 1-6)'!T536</f>
        <v>0</v>
      </c>
      <c r="T543" s="29" t="str">
        <f>'Table001 (Page 1-6)'!U536</f>
        <v>0</v>
      </c>
      <c r="U543" s="29"/>
      <c r="V543" s="29"/>
      <c r="W543" s="29"/>
      <c r="X543" s="29"/>
      <c r="Y543" s="29"/>
      <c r="Z543" s="29"/>
      <c r="AA543" s="29"/>
      <c r="AB543" s="29"/>
      <c r="AC543" s="31"/>
      <c r="AD543" s="29"/>
      <c r="AE543" s="29"/>
      <c r="AF543" s="29"/>
      <c r="AG543" s="31"/>
      <c r="AH543" s="29"/>
      <c r="AI543" s="32">
        <f>('Table001 (Page 1-6)'!V536)*100</f>
        <v>1</v>
      </c>
      <c r="AJ543" s="35"/>
      <c r="AK543" s="35"/>
      <c r="AL543" s="35"/>
      <c r="AM543" s="35"/>
    </row>
    <row r="544" spans="2:39" x14ac:dyDescent="0.25">
      <c r="B544" s="37">
        <f>'Table001 (Page 1-6)'!A537</f>
        <v>8170</v>
      </c>
      <c r="C544" s="28" t="str">
        <f>'Table001 (Page 1-6)'!B537</f>
        <v>SPRING RD</v>
      </c>
      <c r="D544" s="28" t="str">
        <f>'Table001 (Page 1-6)'!C537</f>
        <v>PINE RD</v>
      </c>
      <c r="E544" s="28" t="str">
        <f>'Table001 (Page 1-6)'!D537</f>
        <v>EMERALD RD</v>
      </c>
      <c r="F544" s="29">
        <f>'Table001 (Page 1-6)'!E537</f>
        <v>0</v>
      </c>
      <c r="G544" s="29">
        <f>'Table001 (Page 1-6)'!K537</f>
        <v>0</v>
      </c>
      <c r="H544" s="30" t="str">
        <f>'Table001 (Page 1-6)'!R537</f>
        <v>E</v>
      </c>
      <c r="I544" s="28" t="str">
        <f>'Table001 (Page 1-6)'!F537</f>
        <v/>
      </c>
      <c r="J544" s="29"/>
      <c r="K544" s="29"/>
      <c r="L544" s="29">
        <f>'Table001 (Page 1-6)'!I537</f>
        <v>0</v>
      </c>
      <c r="M544" s="29"/>
      <c r="N544" s="29">
        <f>'Table001 (Page 1-6)'!J537</f>
        <v>0</v>
      </c>
      <c r="O544" s="29">
        <f>'Table001 (Page 1-6)'!L537</f>
        <v>0</v>
      </c>
      <c r="P544" s="29"/>
      <c r="Q544" s="29">
        <f>'Table001 (Page 1-6)'!M537</f>
        <v>0</v>
      </c>
      <c r="R544" s="29" t="str">
        <f>'Table001 (Page 1-6)'!S537</f>
        <v>0</v>
      </c>
      <c r="S544" s="31" t="str">
        <f>'Table001 (Page 1-6)'!T537</f>
        <v>0</v>
      </c>
      <c r="T544" s="29" t="str">
        <f>'Table001 (Page 1-6)'!U537</f>
        <v>0</v>
      </c>
      <c r="U544" s="29"/>
      <c r="V544" s="29"/>
      <c r="W544" s="29"/>
      <c r="X544" s="29"/>
      <c r="Y544" s="29"/>
      <c r="Z544" s="29"/>
      <c r="AA544" s="29"/>
      <c r="AB544" s="29"/>
      <c r="AC544" s="31"/>
      <c r="AD544" s="29"/>
      <c r="AE544" s="29"/>
      <c r="AF544" s="29"/>
      <c r="AG544" s="31"/>
      <c r="AH544" s="29"/>
      <c r="AI544" s="32">
        <f>('Table001 (Page 1-6)'!V537)*100</f>
        <v>1</v>
      </c>
      <c r="AJ544" s="35"/>
      <c r="AK544" s="35"/>
      <c r="AL544" s="35"/>
      <c r="AM544" s="35"/>
    </row>
    <row r="545" spans="2:39" x14ac:dyDescent="0.25">
      <c r="B545" s="37">
        <f>'Table001 (Page 1-6)'!A538</f>
        <v>8180</v>
      </c>
      <c r="C545" s="28" t="str">
        <f>'Table001 (Page 1-6)'!B538</f>
        <v>MARION OAKS TRL</v>
      </c>
      <c r="D545" s="28" t="str">
        <f>'Table001 (Page 1-6)'!C538</f>
        <v>MARION OAKS CRSE</v>
      </c>
      <c r="E545" s="28" t="str">
        <f>'Table001 (Page 1-6)'!D538</f>
        <v>W MARION OAKS TRL</v>
      </c>
      <c r="F545" s="29">
        <f>'Table001 (Page 1-6)'!E538</f>
        <v>2</v>
      </c>
      <c r="G545" s="29">
        <f>'Table001 (Page 1-6)'!K538</f>
        <v>2</v>
      </c>
      <c r="H545" s="30" t="str">
        <f>'Table001 (Page 1-6)'!R538</f>
        <v>E</v>
      </c>
      <c r="I545" s="28" t="str">
        <f>'Table001 (Page 1-6)'!F538</f>
        <v>COLLECTOR</v>
      </c>
      <c r="J545" s="29"/>
      <c r="K545" s="29"/>
      <c r="L545" s="29">
        <f>'Table001 (Page 1-6)'!I538</f>
        <v>15930</v>
      </c>
      <c r="M545" s="29"/>
      <c r="N545" s="29">
        <f>'Table001 (Page 1-6)'!J538</f>
        <v>792</v>
      </c>
      <c r="O545" s="29">
        <f>'Table001 (Page 1-6)'!L538</f>
        <v>15930</v>
      </c>
      <c r="P545" s="29"/>
      <c r="Q545" s="29">
        <f>'Table001 (Page 1-6)'!M538</f>
        <v>792</v>
      </c>
      <c r="R545" s="29" t="str">
        <f>'Table001 (Page 1-6)'!S538</f>
        <v>Not Counted</v>
      </c>
      <c r="S545" s="31" t="str">
        <f>'Table001 (Page 1-6)'!T538</f>
        <v>N/A</v>
      </c>
      <c r="T545" s="29" t="str">
        <f>'Table001 (Page 1-6)'!U538</f>
        <v>N/A</v>
      </c>
      <c r="U545" s="29"/>
      <c r="V545" s="29"/>
      <c r="W545" s="29"/>
      <c r="X545" s="29"/>
      <c r="Y545" s="29"/>
      <c r="Z545" s="29"/>
      <c r="AA545" s="29"/>
      <c r="AB545" s="29"/>
      <c r="AC545" s="31"/>
      <c r="AD545" s="29"/>
      <c r="AE545" s="29"/>
      <c r="AF545" s="29"/>
      <c r="AG545" s="31"/>
      <c r="AH545" s="29"/>
      <c r="AI545" s="32">
        <f>('Table001 (Page 1-6)'!V538)*100</f>
        <v>1</v>
      </c>
      <c r="AJ545" s="35"/>
      <c r="AK545" s="35"/>
      <c r="AL545" s="35"/>
      <c r="AM545" s="35"/>
    </row>
    <row r="546" spans="2:39" x14ac:dyDescent="0.25">
      <c r="B546" s="37">
        <f>'Table001 (Page 1-6)'!A539</f>
        <v>0</v>
      </c>
      <c r="C546" s="28" t="str">
        <f>'Table001 (Page 1-6)'!B539</f>
        <v>JUNIPER RD</v>
      </c>
      <c r="D546" s="28" t="str">
        <f>'Table001 (Page 1-6)'!C539</f>
        <v>SR 35</v>
      </c>
      <c r="E546" s="28" t="str">
        <f>'Table001 (Page 1-6)'!D539</f>
        <v>CHESNUT RD</v>
      </c>
      <c r="F546" s="29">
        <f>'Table001 (Page 1-6)'!E539</f>
        <v>2</v>
      </c>
      <c r="G546" s="29">
        <f>'Table001 (Page 1-6)'!K539</f>
        <v>2</v>
      </c>
      <c r="H546" s="30" t="str">
        <f>'Table001 (Page 1-6)'!R539</f>
        <v>E</v>
      </c>
      <c r="I546" s="28" t="str">
        <f>'Table001 (Page 1-6)'!F539</f>
        <v/>
      </c>
      <c r="J546" s="29"/>
      <c r="K546" s="29"/>
      <c r="L546" s="29">
        <f>'Table001 (Page 1-6)'!I539</f>
        <v>11232</v>
      </c>
      <c r="M546" s="29"/>
      <c r="N546" s="29">
        <f>'Table001 (Page 1-6)'!J539</f>
        <v>0</v>
      </c>
      <c r="O546" s="29">
        <f>'Table001 (Page 1-6)'!L539</f>
        <v>11232</v>
      </c>
      <c r="P546" s="29"/>
      <c r="Q546" s="29">
        <f>'Table001 (Page 1-6)'!M539</f>
        <v>0</v>
      </c>
      <c r="R546" s="29" t="str">
        <f>'Table001 (Page 1-6)'!S539</f>
        <v>0</v>
      </c>
      <c r="S546" s="31" t="str">
        <f>'Table001 (Page 1-6)'!T539</f>
        <v>0</v>
      </c>
      <c r="T546" s="29" t="str">
        <f>'Table001 (Page 1-6)'!U539</f>
        <v>0</v>
      </c>
      <c r="U546" s="29"/>
      <c r="V546" s="29"/>
      <c r="W546" s="29"/>
      <c r="X546" s="29"/>
      <c r="Y546" s="29"/>
      <c r="Z546" s="29"/>
      <c r="AA546" s="29"/>
      <c r="AB546" s="29"/>
      <c r="AC546" s="31"/>
      <c r="AD546" s="29"/>
      <c r="AE546" s="29"/>
      <c r="AF546" s="29"/>
      <c r="AG546" s="31"/>
      <c r="AH546" s="29"/>
      <c r="AI546" s="32">
        <f>('Table001 (Page 1-6)'!V539)*100</f>
        <v>0</v>
      </c>
      <c r="AJ546" s="35"/>
      <c r="AK546" s="35"/>
      <c r="AL546" s="35"/>
      <c r="AM546" s="35"/>
    </row>
    <row r="547" spans="2:39" x14ac:dyDescent="0.25">
      <c r="B547" s="37">
        <f>'Table001 (Page 1-6)'!A540</f>
        <v>0</v>
      </c>
      <c r="C547" s="28" t="str">
        <f>'Table001 (Page 1-6)'!B540</f>
        <v>JUNIPER RD</v>
      </c>
      <c r="D547" s="28" t="str">
        <f>'Table001 (Page 1-6)'!C540</f>
        <v>CHESNUT RD</v>
      </c>
      <c r="E547" s="28" t="str">
        <f>'Table001 (Page 1-6)'!D540</f>
        <v>SR 35</v>
      </c>
      <c r="F547" s="29">
        <f>'Table001 (Page 1-6)'!E540</f>
        <v>2</v>
      </c>
      <c r="G547" s="29">
        <f>'Table001 (Page 1-6)'!K540</f>
        <v>2</v>
      </c>
      <c r="H547" s="30" t="str">
        <f>'Table001 (Page 1-6)'!R540</f>
        <v>E</v>
      </c>
      <c r="I547" s="28" t="str">
        <f>'Table001 (Page 1-6)'!F540</f>
        <v/>
      </c>
      <c r="J547" s="29"/>
      <c r="K547" s="29"/>
      <c r="L547" s="29">
        <f>'Table001 (Page 1-6)'!I540</f>
        <v>11232</v>
      </c>
      <c r="M547" s="29"/>
      <c r="N547" s="29">
        <f>'Table001 (Page 1-6)'!J540</f>
        <v>0</v>
      </c>
      <c r="O547" s="29">
        <f>'Table001 (Page 1-6)'!L540</f>
        <v>11232</v>
      </c>
      <c r="P547" s="29"/>
      <c r="Q547" s="29">
        <f>'Table001 (Page 1-6)'!M540</f>
        <v>0</v>
      </c>
      <c r="R547" s="29" t="str">
        <f>'Table001 (Page 1-6)'!S540</f>
        <v>0</v>
      </c>
      <c r="S547" s="31" t="str">
        <f>'Table001 (Page 1-6)'!T540</f>
        <v>0</v>
      </c>
      <c r="T547" s="29" t="str">
        <f>'Table001 (Page 1-6)'!U540</f>
        <v>0</v>
      </c>
      <c r="U547" s="29"/>
      <c r="V547" s="29"/>
      <c r="W547" s="29"/>
      <c r="X547" s="29"/>
      <c r="Y547" s="29"/>
      <c r="Z547" s="29"/>
      <c r="AA547" s="29"/>
      <c r="AB547" s="29"/>
      <c r="AC547" s="31"/>
      <c r="AD547" s="29"/>
      <c r="AE547" s="29"/>
      <c r="AF547" s="29"/>
      <c r="AG547" s="31"/>
      <c r="AH547" s="29"/>
      <c r="AI547" s="32">
        <f>('Table001 (Page 1-6)'!V540)*100</f>
        <v>0</v>
      </c>
      <c r="AJ547" s="35"/>
      <c r="AK547" s="35"/>
      <c r="AL547" s="35"/>
      <c r="AM547" s="35"/>
    </row>
    <row r="548" spans="2:39" x14ac:dyDescent="0.25">
      <c r="B548" s="37">
        <f>'Table001 (Page 1-6)'!A541</f>
        <v>0</v>
      </c>
      <c r="C548" s="28" t="str">
        <f>'Table001 (Page 1-6)'!B541</f>
        <v>PINE RD</v>
      </c>
      <c r="D548" s="28" t="str">
        <f>'Table001 (Page 1-6)'!C541</f>
        <v>SE 64 AV RD</v>
      </c>
      <c r="E548" s="28" t="str">
        <f>'Table001 (Page 1-6)'!D541</f>
        <v>CR 464</v>
      </c>
      <c r="F548" s="29">
        <f>'Table001 (Page 1-6)'!E541</f>
        <v>0</v>
      </c>
      <c r="G548" s="29">
        <f>'Table001 (Page 1-6)'!K541</f>
        <v>0</v>
      </c>
      <c r="H548" s="30" t="str">
        <f>'Table001 (Page 1-6)'!R541</f>
        <v>E</v>
      </c>
      <c r="I548" s="28" t="str">
        <f>'Table001 (Page 1-6)'!F541</f>
        <v/>
      </c>
      <c r="J548" s="29"/>
      <c r="K548" s="29"/>
      <c r="L548" s="29">
        <f>'Table001 (Page 1-6)'!I541</f>
        <v>0</v>
      </c>
      <c r="M548" s="29"/>
      <c r="N548" s="29">
        <f>'Table001 (Page 1-6)'!J541</f>
        <v>0</v>
      </c>
      <c r="O548" s="29">
        <f>'Table001 (Page 1-6)'!L541</f>
        <v>0</v>
      </c>
      <c r="P548" s="29"/>
      <c r="Q548" s="29">
        <f>'Table001 (Page 1-6)'!M541</f>
        <v>0</v>
      </c>
      <c r="R548" s="29" t="str">
        <f>'Table001 (Page 1-6)'!S541</f>
        <v>0</v>
      </c>
      <c r="S548" s="31" t="str">
        <f>'Table001 (Page 1-6)'!T541</f>
        <v>0</v>
      </c>
      <c r="T548" s="29" t="str">
        <f>'Table001 (Page 1-6)'!U541</f>
        <v>0</v>
      </c>
      <c r="U548" s="29"/>
      <c r="V548" s="29"/>
      <c r="W548" s="29"/>
      <c r="X548" s="29"/>
      <c r="Y548" s="29"/>
      <c r="Z548" s="29"/>
      <c r="AA548" s="29"/>
      <c r="AB548" s="29"/>
      <c r="AC548" s="31"/>
      <c r="AD548" s="29"/>
      <c r="AE548" s="29"/>
      <c r="AF548" s="29"/>
      <c r="AG548" s="31"/>
      <c r="AH548" s="29"/>
      <c r="AI548" s="32">
        <f>('Table001 (Page 1-6)'!V541)*100</f>
        <v>0</v>
      </c>
      <c r="AJ548" s="35"/>
      <c r="AK548" s="35"/>
      <c r="AL548" s="35"/>
      <c r="AM548" s="35"/>
    </row>
    <row r="549" spans="2:39" x14ac:dyDescent="0.25">
      <c r="B549" s="37">
        <f>'Table001 (Page 1-6)'!A542</f>
        <v>0</v>
      </c>
      <c r="C549" s="28" t="str">
        <f>'Table001 (Page 1-6)'!B542</f>
        <v>BAHIA RD</v>
      </c>
      <c r="D549" s="28" t="str">
        <f>'Table001 (Page 1-6)'!C542</f>
        <v>PINE RD</v>
      </c>
      <c r="E549" s="28" t="str">
        <f>'Table001 (Page 1-6)'!D542</f>
        <v>CR 464</v>
      </c>
      <c r="F549" s="29">
        <f>'Table001 (Page 1-6)'!E542</f>
        <v>0</v>
      </c>
      <c r="G549" s="29">
        <f>'Table001 (Page 1-6)'!K542</f>
        <v>0</v>
      </c>
      <c r="H549" s="30" t="str">
        <f>'Table001 (Page 1-6)'!R542</f>
        <v>E</v>
      </c>
      <c r="I549" s="28" t="str">
        <f>'Table001 (Page 1-6)'!F542</f>
        <v/>
      </c>
      <c r="J549" s="29"/>
      <c r="K549" s="29"/>
      <c r="L549" s="29">
        <f>'Table001 (Page 1-6)'!I542</f>
        <v>0</v>
      </c>
      <c r="M549" s="29"/>
      <c r="N549" s="29">
        <f>'Table001 (Page 1-6)'!J542</f>
        <v>0</v>
      </c>
      <c r="O549" s="29">
        <f>'Table001 (Page 1-6)'!L542</f>
        <v>0</v>
      </c>
      <c r="P549" s="29"/>
      <c r="Q549" s="29">
        <f>'Table001 (Page 1-6)'!M542</f>
        <v>0</v>
      </c>
      <c r="R549" s="29" t="str">
        <f>'Table001 (Page 1-6)'!S542</f>
        <v>0</v>
      </c>
      <c r="S549" s="31" t="str">
        <f>'Table001 (Page 1-6)'!T542</f>
        <v>0</v>
      </c>
      <c r="T549" s="29" t="str">
        <f>'Table001 (Page 1-6)'!U542</f>
        <v>0</v>
      </c>
      <c r="U549" s="29"/>
      <c r="V549" s="29"/>
      <c r="W549" s="29"/>
      <c r="X549" s="29"/>
      <c r="Y549" s="29"/>
      <c r="Z549" s="29"/>
      <c r="AA549" s="29"/>
      <c r="AB549" s="29"/>
      <c r="AC549" s="31"/>
      <c r="AD549" s="29"/>
      <c r="AE549" s="29"/>
      <c r="AF549" s="29"/>
      <c r="AG549" s="31"/>
      <c r="AH549" s="29"/>
      <c r="AI549" s="32">
        <f>('Table001 (Page 1-6)'!V542)*100</f>
        <v>0</v>
      </c>
      <c r="AJ549" s="35"/>
      <c r="AK549" s="35"/>
      <c r="AL549" s="35"/>
      <c r="AM549" s="35"/>
    </row>
    <row r="550" spans="2:39" x14ac:dyDescent="0.25">
      <c r="B550" s="37">
        <f>'Table001 (Page 1-6)'!A543</f>
        <v>0</v>
      </c>
      <c r="C550" s="28" t="str">
        <f>'Table001 (Page 1-6)'!B543</f>
        <v>MIDWAY RD</v>
      </c>
      <c r="D550" s="28" t="str">
        <f>'Table001 (Page 1-6)'!C543</f>
        <v>PINE RD</v>
      </c>
      <c r="E550" s="28" t="str">
        <f>'Table001 (Page 1-6)'!D543</f>
        <v>CR 464</v>
      </c>
      <c r="F550" s="29">
        <f>'Table001 (Page 1-6)'!E543</f>
        <v>0</v>
      </c>
      <c r="G550" s="29">
        <f>'Table001 (Page 1-6)'!K543</f>
        <v>0</v>
      </c>
      <c r="H550" s="30" t="str">
        <f>'Table001 (Page 1-6)'!R543</f>
        <v>E</v>
      </c>
      <c r="I550" s="28" t="str">
        <f>'Table001 (Page 1-6)'!F543</f>
        <v/>
      </c>
      <c r="J550" s="29"/>
      <c r="K550" s="29"/>
      <c r="L550" s="29">
        <f>'Table001 (Page 1-6)'!I543</f>
        <v>0</v>
      </c>
      <c r="M550" s="29"/>
      <c r="N550" s="29">
        <f>'Table001 (Page 1-6)'!J543</f>
        <v>0</v>
      </c>
      <c r="O550" s="29">
        <f>'Table001 (Page 1-6)'!L543</f>
        <v>0</v>
      </c>
      <c r="P550" s="29"/>
      <c r="Q550" s="29">
        <f>'Table001 (Page 1-6)'!M543</f>
        <v>0</v>
      </c>
      <c r="R550" s="29" t="str">
        <f>'Table001 (Page 1-6)'!S543</f>
        <v>0</v>
      </c>
      <c r="S550" s="31" t="str">
        <f>'Table001 (Page 1-6)'!T543</f>
        <v>0</v>
      </c>
      <c r="T550" s="29" t="str">
        <f>'Table001 (Page 1-6)'!U543</f>
        <v>0</v>
      </c>
      <c r="U550" s="29"/>
      <c r="V550" s="29"/>
      <c r="W550" s="29"/>
      <c r="X550" s="29"/>
      <c r="Y550" s="29"/>
      <c r="Z550" s="29"/>
      <c r="AA550" s="29"/>
      <c r="AB550" s="29"/>
      <c r="AC550" s="31"/>
      <c r="AD550" s="29"/>
      <c r="AE550" s="29"/>
      <c r="AF550" s="29"/>
      <c r="AG550" s="31"/>
      <c r="AH550" s="29"/>
      <c r="AI550" s="32">
        <f>('Table001 (Page 1-6)'!V543)*100</f>
        <v>0</v>
      </c>
      <c r="AJ550" s="35"/>
      <c r="AK550" s="35"/>
      <c r="AL550" s="35"/>
      <c r="AM550" s="35"/>
    </row>
    <row r="551" spans="2:39" x14ac:dyDescent="0.25">
      <c r="B551" s="37">
        <f>'Table001 (Page 1-6)'!A544</f>
        <v>0</v>
      </c>
      <c r="C551" s="28" t="str">
        <f>'Table001 (Page 1-6)'!B544</f>
        <v>MIDWAY RD</v>
      </c>
      <c r="D551" s="28" t="str">
        <f>'Table001 (Page 1-6)'!C544</f>
        <v>CR 464</v>
      </c>
      <c r="E551" s="28" t="str">
        <f>'Table001 (Page 1-6)'!D544</f>
        <v>SILVER RD</v>
      </c>
      <c r="F551" s="29">
        <f>'Table001 (Page 1-6)'!E544</f>
        <v>0</v>
      </c>
      <c r="G551" s="29">
        <f>'Table001 (Page 1-6)'!K544</f>
        <v>0</v>
      </c>
      <c r="H551" s="30" t="str">
        <f>'Table001 (Page 1-6)'!R544</f>
        <v>E</v>
      </c>
      <c r="I551" s="28" t="str">
        <f>'Table001 (Page 1-6)'!F544</f>
        <v/>
      </c>
      <c r="J551" s="29"/>
      <c r="K551" s="29"/>
      <c r="L551" s="29">
        <f>'Table001 (Page 1-6)'!I544</f>
        <v>0</v>
      </c>
      <c r="M551" s="29"/>
      <c r="N551" s="29">
        <f>'Table001 (Page 1-6)'!J544</f>
        <v>0</v>
      </c>
      <c r="O551" s="29">
        <f>'Table001 (Page 1-6)'!L544</f>
        <v>0</v>
      </c>
      <c r="P551" s="29"/>
      <c r="Q551" s="29">
        <f>'Table001 (Page 1-6)'!M544</f>
        <v>0</v>
      </c>
      <c r="R551" s="29" t="str">
        <f>'Table001 (Page 1-6)'!S544</f>
        <v>0</v>
      </c>
      <c r="S551" s="31" t="str">
        <f>'Table001 (Page 1-6)'!T544</f>
        <v>0</v>
      </c>
      <c r="T551" s="29" t="str">
        <f>'Table001 (Page 1-6)'!U544</f>
        <v>0</v>
      </c>
      <c r="U551" s="29"/>
      <c r="V551" s="29"/>
      <c r="W551" s="29"/>
      <c r="X551" s="29"/>
      <c r="Y551" s="29"/>
      <c r="Z551" s="29"/>
      <c r="AA551" s="29"/>
      <c r="AB551" s="29"/>
      <c r="AC551" s="31"/>
      <c r="AD551" s="29"/>
      <c r="AE551" s="29"/>
      <c r="AF551" s="29"/>
      <c r="AG551" s="31"/>
      <c r="AH551" s="29"/>
      <c r="AI551" s="32">
        <f>('Table001 (Page 1-6)'!V544)*100</f>
        <v>0</v>
      </c>
      <c r="AJ551" s="35"/>
      <c r="AK551" s="35"/>
      <c r="AL551" s="35"/>
      <c r="AM551" s="35"/>
    </row>
    <row r="552" spans="2:39" x14ac:dyDescent="0.25">
      <c r="B552" s="37">
        <f>'Table001 (Page 1-6)'!A545</f>
        <v>0</v>
      </c>
      <c r="C552" s="28" t="str">
        <f>'Table001 (Page 1-6)'!B545</f>
        <v>SW 67 AV RD</v>
      </c>
      <c r="D552" s="28" t="str">
        <f>'Table001 (Page 1-6)'!C545</f>
        <v>CR 484</v>
      </c>
      <c r="E552" s="28" t="str">
        <f>'Table001 (Page 1-6)'!D545</f>
        <v>SW 49 AV</v>
      </c>
      <c r="F552" s="29">
        <f>'Table001 (Page 1-6)'!E545</f>
        <v>2</v>
      </c>
      <c r="G552" s="29">
        <f>'Table001 (Page 1-6)'!K545</f>
        <v>2</v>
      </c>
      <c r="H552" s="30" t="str">
        <f>'Table001 (Page 1-6)'!R545</f>
        <v>E</v>
      </c>
      <c r="I552" s="28" t="str">
        <f>'Table001 (Page 1-6)'!F545</f>
        <v/>
      </c>
      <c r="J552" s="29"/>
      <c r="K552" s="29"/>
      <c r="L552" s="29">
        <f>'Table001 (Page 1-6)'!I545</f>
        <v>15930</v>
      </c>
      <c r="M552" s="29"/>
      <c r="N552" s="29">
        <f>'Table001 (Page 1-6)'!J545</f>
        <v>0</v>
      </c>
      <c r="O552" s="29">
        <f>'Table001 (Page 1-6)'!L545</f>
        <v>15930</v>
      </c>
      <c r="P552" s="29"/>
      <c r="Q552" s="29">
        <f>'Table001 (Page 1-6)'!M545</f>
        <v>0</v>
      </c>
      <c r="R552" s="29" t="str">
        <f>'Table001 (Page 1-6)'!S545</f>
        <v>0</v>
      </c>
      <c r="S552" s="31" t="str">
        <f>'Table001 (Page 1-6)'!T545</f>
        <v>0</v>
      </c>
      <c r="T552" s="29" t="str">
        <f>'Table001 (Page 1-6)'!U545</f>
        <v>0</v>
      </c>
      <c r="U552" s="29"/>
      <c r="V552" s="29"/>
      <c r="W552" s="29"/>
      <c r="X552" s="29"/>
      <c r="Y552" s="29"/>
      <c r="Z552" s="29"/>
      <c r="AA552" s="29"/>
      <c r="AB552" s="29"/>
      <c r="AC552" s="31"/>
      <c r="AD552" s="29"/>
      <c r="AE552" s="29"/>
      <c r="AF552" s="29"/>
      <c r="AG552" s="31"/>
      <c r="AH552" s="29"/>
      <c r="AI552" s="32">
        <f>('Table001 (Page 1-6)'!V545)*100</f>
        <v>0</v>
      </c>
      <c r="AJ552" s="35"/>
      <c r="AK552" s="35"/>
      <c r="AL552" s="35"/>
      <c r="AM552" s="35"/>
    </row>
    <row r="553" spans="2:39" x14ac:dyDescent="0.25">
      <c r="B553" s="37">
        <f>'Table001 (Page 1-6)'!A546</f>
        <v>0</v>
      </c>
      <c r="C553" s="28" t="str">
        <f>'Table001 (Page 1-6)'!B546</f>
        <v>MARION OAKS BLVD</v>
      </c>
      <c r="D553" s="28" t="str">
        <f>'Table001 (Page 1-6)'!C546</f>
        <v>MARION OAKS MNR</v>
      </c>
      <c r="E553" s="28" t="str">
        <f>'Table001 (Page 1-6)'!D546</f>
        <v>SE 67 AVE RD</v>
      </c>
      <c r="F553" s="29">
        <f>'Table001 (Page 1-6)'!E546</f>
        <v>2</v>
      </c>
      <c r="G553" s="29">
        <f>'Table001 (Page 1-6)'!K546</f>
        <v>2</v>
      </c>
      <c r="H553" s="30" t="str">
        <f>'Table001 (Page 1-6)'!R546</f>
        <v>E</v>
      </c>
      <c r="I553" s="28" t="str">
        <f>'Table001 (Page 1-6)'!F546</f>
        <v/>
      </c>
      <c r="J553" s="29"/>
      <c r="K553" s="29"/>
      <c r="L553" s="29">
        <f>'Table001 (Page 1-6)'!I546</f>
        <v>15930</v>
      </c>
      <c r="M553" s="29"/>
      <c r="N553" s="29">
        <f>'Table001 (Page 1-6)'!J546</f>
        <v>0</v>
      </c>
      <c r="O553" s="29">
        <f>'Table001 (Page 1-6)'!L546</f>
        <v>15930</v>
      </c>
      <c r="P553" s="29"/>
      <c r="Q553" s="29">
        <f>'Table001 (Page 1-6)'!M546</f>
        <v>0</v>
      </c>
      <c r="R553" s="29" t="str">
        <f>'Table001 (Page 1-6)'!S546</f>
        <v>0</v>
      </c>
      <c r="S553" s="31" t="str">
        <f>'Table001 (Page 1-6)'!T546</f>
        <v>0</v>
      </c>
      <c r="T553" s="29" t="str">
        <f>'Table001 (Page 1-6)'!U546</f>
        <v>0</v>
      </c>
      <c r="U553" s="29"/>
      <c r="V553" s="29"/>
      <c r="W553" s="29"/>
      <c r="X553" s="29"/>
      <c r="Y553" s="29"/>
      <c r="Z553" s="29"/>
      <c r="AA553" s="29"/>
      <c r="AB553" s="29"/>
      <c r="AC553" s="31"/>
      <c r="AD553" s="29"/>
      <c r="AE553" s="29"/>
      <c r="AF553" s="29"/>
      <c r="AG553" s="31"/>
      <c r="AH553" s="29"/>
      <c r="AI553" s="32">
        <f>('Table001 (Page 1-6)'!V546)*100</f>
        <v>0</v>
      </c>
      <c r="AJ553" s="35"/>
      <c r="AK553" s="35"/>
      <c r="AL553" s="35"/>
      <c r="AM553" s="35"/>
    </row>
    <row r="554" spans="2:39" x14ac:dyDescent="0.25">
      <c r="B554" s="37">
        <f>'Table001 (Page 1-6)'!A547</f>
        <v>0</v>
      </c>
      <c r="C554" s="28" t="str">
        <f>'Table001 (Page 1-6)'!B547</f>
        <v>MARION OAKS LN</v>
      </c>
      <c r="D554" s="28" t="str">
        <f>'Table001 (Page 1-6)'!C547</f>
        <v>MARION OAKS TRL</v>
      </c>
      <c r="E554" s="28" t="str">
        <f>'Table001 (Page 1-6)'!D547</f>
        <v>MARION OAKS BLVD</v>
      </c>
      <c r="F554" s="29">
        <f>'Table001 (Page 1-6)'!E547</f>
        <v>2</v>
      </c>
      <c r="G554" s="29">
        <f>'Table001 (Page 1-6)'!K547</f>
        <v>2</v>
      </c>
      <c r="H554" s="30" t="str">
        <f>'Table001 (Page 1-6)'!R547</f>
        <v>E</v>
      </c>
      <c r="I554" s="28" t="str">
        <f>'Table001 (Page 1-6)'!F547</f>
        <v/>
      </c>
      <c r="J554" s="29"/>
      <c r="K554" s="29"/>
      <c r="L554" s="29">
        <f>'Table001 (Page 1-6)'!I547</f>
        <v>16727</v>
      </c>
      <c r="M554" s="29"/>
      <c r="N554" s="29">
        <f>'Table001 (Page 1-6)'!J547</f>
        <v>0</v>
      </c>
      <c r="O554" s="29">
        <f>'Table001 (Page 1-6)'!L547</f>
        <v>16727</v>
      </c>
      <c r="P554" s="29"/>
      <c r="Q554" s="29">
        <f>'Table001 (Page 1-6)'!M547</f>
        <v>0</v>
      </c>
      <c r="R554" s="29" t="str">
        <f>'Table001 (Page 1-6)'!S547</f>
        <v>0</v>
      </c>
      <c r="S554" s="31" t="str">
        <f>'Table001 (Page 1-6)'!T547</f>
        <v>0</v>
      </c>
      <c r="T554" s="29" t="str">
        <f>'Table001 (Page 1-6)'!U547</f>
        <v>0</v>
      </c>
      <c r="U554" s="29"/>
      <c r="V554" s="29"/>
      <c r="W554" s="29"/>
      <c r="X554" s="29"/>
      <c r="Y554" s="29"/>
      <c r="Z554" s="29"/>
      <c r="AA554" s="29"/>
      <c r="AB554" s="29"/>
      <c r="AC554" s="31"/>
      <c r="AD554" s="29"/>
      <c r="AE554" s="29"/>
      <c r="AF554" s="29"/>
      <c r="AG554" s="31"/>
      <c r="AH554" s="29"/>
      <c r="AI554" s="32">
        <f>('Table001 (Page 1-6)'!V547)*100</f>
        <v>0</v>
      </c>
      <c r="AJ554" s="35"/>
      <c r="AK554" s="35"/>
      <c r="AL554" s="35"/>
      <c r="AM554" s="35"/>
    </row>
    <row r="555" spans="2:39" x14ac:dyDescent="0.25">
      <c r="B555" s="37">
        <f>'Table001 (Page 1-6)'!A548</f>
        <v>0</v>
      </c>
      <c r="C555" s="28" t="str">
        <f>'Table001 (Page 1-6)'!B548</f>
        <v>EMERALD RD</v>
      </c>
      <c r="D555" s="28" t="str">
        <f>'Table001 (Page 1-6)'!C548</f>
        <v/>
      </c>
      <c r="E555" s="28" t="str">
        <f>'Table001 (Page 1-6)'!D548</f>
        <v>SE MARICAMP RD</v>
      </c>
      <c r="F555" s="29">
        <f>'Table001 (Page 1-6)'!E548</f>
        <v>0</v>
      </c>
      <c r="G555" s="29">
        <f>'Table001 (Page 1-6)'!K548</f>
        <v>0</v>
      </c>
      <c r="H555" s="30" t="str">
        <f>'Table001 (Page 1-6)'!R548</f>
        <v>E</v>
      </c>
      <c r="I555" s="28" t="str">
        <f>'Table001 (Page 1-6)'!F548</f>
        <v/>
      </c>
      <c r="J555" s="29"/>
      <c r="K555" s="29"/>
      <c r="L555" s="29">
        <f>'Table001 (Page 1-6)'!I548</f>
        <v>0</v>
      </c>
      <c r="M555" s="29"/>
      <c r="N555" s="29">
        <f>'Table001 (Page 1-6)'!J548</f>
        <v>0</v>
      </c>
      <c r="O555" s="29">
        <f>'Table001 (Page 1-6)'!L548</f>
        <v>0</v>
      </c>
      <c r="P555" s="29"/>
      <c r="Q555" s="29">
        <f>'Table001 (Page 1-6)'!M548</f>
        <v>0</v>
      </c>
      <c r="R555" s="29" t="str">
        <f>'Table001 (Page 1-6)'!S548</f>
        <v>0</v>
      </c>
      <c r="S555" s="31" t="str">
        <f>'Table001 (Page 1-6)'!T548</f>
        <v>0</v>
      </c>
      <c r="T555" s="29" t="str">
        <f>'Table001 (Page 1-6)'!U548</f>
        <v>0</v>
      </c>
      <c r="U555" s="29"/>
      <c r="V555" s="29"/>
      <c r="W555" s="29"/>
      <c r="X555" s="29"/>
      <c r="Y555" s="29"/>
      <c r="Z555" s="29"/>
      <c r="AA555" s="29"/>
      <c r="AB555" s="29"/>
      <c r="AC555" s="31"/>
      <c r="AD555" s="29"/>
      <c r="AE555" s="29"/>
      <c r="AF555" s="29"/>
      <c r="AG555" s="31"/>
      <c r="AH555" s="29"/>
      <c r="AI555" s="32">
        <f>('Table001 (Page 1-6)'!V548)*100</f>
        <v>0</v>
      </c>
      <c r="AJ555" s="35"/>
      <c r="AK555" s="35"/>
      <c r="AL555" s="35"/>
      <c r="AM555" s="35"/>
    </row>
    <row r="556" spans="2:39" x14ac:dyDescent="0.25">
      <c r="B556" s="37">
        <f>'Table001 (Page 1-6)'!A549</f>
        <v>0</v>
      </c>
      <c r="C556" s="28" t="str">
        <f>'Table001 (Page 1-6)'!B549</f>
        <v>MARION OAKS LN</v>
      </c>
      <c r="D556" s="28" t="str">
        <f>'Table001 (Page 1-6)'!C549</f>
        <v>MARION OAKS TRL</v>
      </c>
      <c r="E556" s="28" t="str">
        <f>'Table001 (Page 1-6)'!D549</f>
        <v>MARION OAKS BLVD</v>
      </c>
      <c r="F556" s="29">
        <f>'Table001 (Page 1-6)'!E549</f>
        <v>2</v>
      </c>
      <c r="G556" s="29">
        <f>'Table001 (Page 1-6)'!K549</f>
        <v>2</v>
      </c>
      <c r="H556" s="30" t="str">
        <f>'Table001 (Page 1-6)'!R549</f>
        <v>E</v>
      </c>
      <c r="I556" s="28" t="str">
        <f>'Table001 (Page 1-6)'!F549</f>
        <v/>
      </c>
      <c r="J556" s="29"/>
      <c r="K556" s="29"/>
      <c r="L556" s="29">
        <f>'Table001 (Page 1-6)'!I549</f>
        <v>15930</v>
      </c>
      <c r="M556" s="29"/>
      <c r="N556" s="29">
        <f>'Table001 (Page 1-6)'!J549</f>
        <v>0</v>
      </c>
      <c r="O556" s="29">
        <f>'Table001 (Page 1-6)'!L549</f>
        <v>15930</v>
      </c>
      <c r="P556" s="29"/>
      <c r="Q556" s="29">
        <f>'Table001 (Page 1-6)'!M549</f>
        <v>0</v>
      </c>
      <c r="R556" s="29" t="str">
        <f>'Table001 (Page 1-6)'!S549</f>
        <v>0</v>
      </c>
      <c r="S556" s="31" t="str">
        <f>'Table001 (Page 1-6)'!T549</f>
        <v>0</v>
      </c>
      <c r="T556" s="29" t="str">
        <f>'Table001 (Page 1-6)'!U549</f>
        <v>0</v>
      </c>
      <c r="U556" s="29"/>
      <c r="V556" s="29"/>
      <c r="W556" s="29"/>
      <c r="X556" s="29"/>
      <c r="Y556" s="29"/>
      <c r="Z556" s="29"/>
      <c r="AA556" s="29"/>
      <c r="AB556" s="29"/>
      <c r="AC556" s="31"/>
      <c r="AD556" s="29"/>
      <c r="AE556" s="29"/>
      <c r="AF556" s="29"/>
      <c r="AG556" s="31"/>
      <c r="AH556" s="29"/>
      <c r="AI556" s="32">
        <f>('Table001 (Page 1-6)'!V549)*100</f>
        <v>0</v>
      </c>
      <c r="AJ556" s="35"/>
      <c r="AK556" s="35"/>
      <c r="AL556" s="35"/>
      <c r="AM556" s="35"/>
    </row>
    <row r="557" spans="2:39" x14ac:dyDescent="0.25">
      <c r="B557" s="37">
        <f>'Table001 (Page 1-6)'!A550</f>
        <v>0</v>
      </c>
      <c r="C557" s="28" t="str">
        <f>'Table001 (Page 1-6)'!B550</f>
        <v>SW 49TH AVENUE</v>
      </c>
      <c r="D557" s="28" t="str">
        <f>'Table001 (Page 1-6)'!C550</f>
        <v>MARION OAKS TRL</v>
      </c>
      <c r="E557" s="28" t="str">
        <f>'Table001 (Page 1-6)'!D550</f>
        <v>MARION OAKS MNR</v>
      </c>
      <c r="F557" s="29">
        <f>'Table001 (Page 1-6)'!E550</f>
        <v>2</v>
      </c>
      <c r="G557" s="29">
        <f>'Table001 (Page 1-6)'!K550</f>
        <v>2</v>
      </c>
      <c r="H557" s="30" t="str">
        <f>'Table001 (Page 1-6)'!R550</f>
        <v>E</v>
      </c>
      <c r="I557" s="28" t="str">
        <f>'Table001 (Page 1-6)'!F550</f>
        <v/>
      </c>
      <c r="J557" s="29"/>
      <c r="K557" s="29"/>
      <c r="L557" s="29">
        <f>'Table001 (Page 1-6)'!I550</f>
        <v>15930</v>
      </c>
      <c r="M557" s="29"/>
      <c r="N557" s="29">
        <f>'Table001 (Page 1-6)'!J550</f>
        <v>0</v>
      </c>
      <c r="O557" s="29">
        <f>'Table001 (Page 1-6)'!L550</f>
        <v>15930</v>
      </c>
      <c r="P557" s="29"/>
      <c r="Q557" s="29">
        <f>'Table001 (Page 1-6)'!M550</f>
        <v>0</v>
      </c>
      <c r="R557" s="29" t="str">
        <f>'Table001 (Page 1-6)'!S550</f>
        <v>0</v>
      </c>
      <c r="S557" s="31" t="str">
        <f>'Table001 (Page 1-6)'!T550</f>
        <v>0</v>
      </c>
      <c r="T557" s="29" t="str">
        <f>'Table001 (Page 1-6)'!U550</f>
        <v>0</v>
      </c>
      <c r="U557" s="29"/>
      <c r="V557" s="29"/>
      <c r="W557" s="29"/>
      <c r="X557" s="29"/>
      <c r="Y557" s="29"/>
      <c r="Z557" s="29"/>
      <c r="AA557" s="29"/>
      <c r="AB557" s="29"/>
      <c r="AC557" s="31"/>
      <c r="AD557" s="29"/>
      <c r="AE557" s="29"/>
      <c r="AF557" s="29"/>
      <c r="AG557" s="31"/>
      <c r="AH557" s="29"/>
      <c r="AI557" s="32">
        <f>('Table001 (Page 1-6)'!V550)*100</f>
        <v>0</v>
      </c>
      <c r="AJ557" s="35"/>
      <c r="AK557" s="35"/>
      <c r="AL557" s="35"/>
      <c r="AM557" s="35"/>
    </row>
    <row r="558" spans="2:39" x14ac:dyDescent="0.25">
      <c r="B558" s="37">
        <f>'Table001 (Page 1-6)'!A551</f>
        <v>0</v>
      </c>
      <c r="C558" s="28" t="str">
        <f>'Table001 (Page 1-6)'!B551</f>
        <v>MARION OAKS CRSE</v>
      </c>
      <c r="D558" s="28" t="str">
        <f>'Table001 (Page 1-6)'!C551</f>
        <v>CR 484</v>
      </c>
      <c r="E558" s="28" t="str">
        <f>'Table001 (Page 1-6)'!D551</f>
        <v>MARION OAKS MNR</v>
      </c>
      <c r="F558" s="29">
        <f>'Table001 (Page 1-6)'!E551</f>
        <v>2</v>
      </c>
      <c r="G558" s="29">
        <f>'Table001 (Page 1-6)'!K551</f>
        <v>2</v>
      </c>
      <c r="H558" s="30" t="str">
        <f>'Table001 (Page 1-6)'!R551</f>
        <v>E</v>
      </c>
      <c r="I558" s="28" t="str">
        <f>'Table001 (Page 1-6)'!F551</f>
        <v/>
      </c>
      <c r="J558" s="29"/>
      <c r="K558" s="29"/>
      <c r="L558" s="29">
        <f>'Table001 (Page 1-6)'!I551</f>
        <v>15930</v>
      </c>
      <c r="M558" s="29"/>
      <c r="N558" s="29">
        <f>'Table001 (Page 1-6)'!J551</f>
        <v>0</v>
      </c>
      <c r="O558" s="29">
        <f>'Table001 (Page 1-6)'!L551</f>
        <v>15930</v>
      </c>
      <c r="P558" s="29"/>
      <c r="Q558" s="29">
        <f>'Table001 (Page 1-6)'!M551</f>
        <v>0</v>
      </c>
      <c r="R558" s="29" t="str">
        <f>'Table001 (Page 1-6)'!S551</f>
        <v>0</v>
      </c>
      <c r="S558" s="31" t="str">
        <f>'Table001 (Page 1-6)'!T551</f>
        <v>0</v>
      </c>
      <c r="T558" s="29" t="str">
        <f>'Table001 (Page 1-6)'!U551</f>
        <v>0</v>
      </c>
      <c r="U558" s="29"/>
      <c r="V558" s="29"/>
      <c r="W558" s="29"/>
      <c r="X558" s="29"/>
      <c r="Y558" s="29"/>
      <c r="Z558" s="29"/>
      <c r="AA558" s="29"/>
      <c r="AB558" s="29"/>
      <c r="AC558" s="31"/>
      <c r="AD558" s="29"/>
      <c r="AE558" s="29"/>
      <c r="AF558" s="29"/>
      <c r="AG558" s="31"/>
      <c r="AH558" s="29"/>
      <c r="AI558" s="32">
        <f>('Table001 (Page 1-6)'!V551)*100</f>
        <v>0</v>
      </c>
      <c r="AJ558" s="35"/>
      <c r="AK558" s="35"/>
      <c r="AL558" s="35"/>
      <c r="AM558" s="35"/>
    </row>
    <row r="559" spans="2:39" x14ac:dyDescent="0.25">
      <c r="B559" s="37">
        <f>'Table001 (Page 1-6)'!A552</f>
        <v>0</v>
      </c>
      <c r="C559" s="28" t="str">
        <f>'Table001 (Page 1-6)'!B552</f>
        <v>MARION OAKS MNR</v>
      </c>
      <c r="D559" s="28" t="str">
        <f>'Table001 (Page 1-6)'!C552</f>
        <v>MARION OAKS BLVD</v>
      </c>
      <c r="E559" s="28" t="str">
        <f>'Table001 (Page 1-6)'!D552</f>
        <v>MARION OAKS LN</v>
      </c>
      <c r="F559" s="29">
        <f>'Table001 (Page 1-6)'!E552</f>
        <v>2</v>
      </c>
      <c r="G559" s="29">
        <f>'Table001 (Page 1-6)'!K552</f>
        <v>2</v>
      </c>
      <c r="H559" s="30" t="str">
        <f>'Table001 (Page 1-6)'!R552</f>
        <v>E</v>
      </c>
      <c r="I559" s="28" t="str">
        <f>'Table001 (Page 1-6)'!F552</f>
        <v/>
      </c>
      <c r="J559" s="29"/>
      <c r="K559" s="29"/>
      <c r="L559" s="29">
        <f>'Table001 (Page 1-6)'!I552</f>
        <v>15930</v>
      </c>
      <c r="M559" s="29"/>
      <c r="N559" s="29">
        <f>'Table001 (Page 1-6)'!J552</f>
        <v>0</v>
      </c>
      <c r="O559" s="29">
        <f>'Table001 (Page 1-6)'!L552</f>
        <v>15930</v>
      </c>
      <c r="P559" s="29"/>
      <c r="Q559" s="29">
        <f>'Table001 (Page 1-6)'!M552</f>
        <v>0</v>
      </c>
      <c r="R559" s="29" t="str">
        <f>'Table001 (Page 1-6)'!S552</f>
        <v>0</v>
      </c>
      <c r="S559" s="31" t="str">
        <f>'Table001 (Page 1-6)'!T552</f>
        <v>0</v>
      </c>
      <c r="T559" s="29" t="str">
        <f>'Table001 (Page 1-6)'!U552</f>
        <v>0</v>
      </c>
      <c r="U559" s="29"/>
      <c r="V559" s="29"/>
      <c r="W559" s="29"/>
      <c r="X559" s="29"/>
      <c r="Y559" s="29"/>
      <c r="Z559" s="29"/>
      <c r="AA559" s="29"/>
      <c r="AB559" s="29"/>
      <c r="AC559" s="31"/>
      <c r="AD559" s="29"/>
      <c r="AE559" s="29"/>
      <c r="AF559" s="29"/>
      <c r="AG559" s="31"/>
      <c r="AH559" s="29"/>
      <c r="AI559" s="32">
        <f>('Table001 (Page 1-6)'!V552)*100</f>
        <v>0</v>
      </c>
      <c r="AJ559" s="35"/>
      <c r="AK559" s="35"/>
      <c r="AL559" s="35"/>
      <c r="AM559" s="35"/>
    </row>
    <row r="560" spans="2:39" x14ac:dyDescent="0.25">
      <c r="B560" s="37">
        <f>'Table001 (Page 1-6)'!A553</f>
        <v>3470.2</v>
      </c>
      <c r="C560" s="28" t="str">
        <f>'Table001 (Page 1-6)'!B553</f>
        <v>NW 44TH AVE</v>
      </c>
      <c r="D560" s="28" t="str">
        <f>'Table001 (Page 1-6)'!C553</f>
        <v>US 27</v>
      </c>
      <c r="E560" s="28" t="str">
        <f>'Table001 (Page 1-6)'!D553</f>
        <v>1 MI SOUTH OF US 27</v>
      </c>
      <c r="F560" s="29">
        <f>'Table001 (Page 1-6)'!E553</f>
        <v>4</v>
      </c>
      <c r="G560" s="29">
        <f>'Table001 (Page 1-6)'!K553</f>
        <v>4</v>
      </c>
      <c r="H560" s="30" t="str">
        <f>'Table001 (Page 1-6)'!R553</f>
        <v>E</v>
      </c>
      <c r="I560" s="28" t="str">
        <f>'Table001 (Page 1-6)'!F553</f>
        <v>COLLECTOR</v>
      </c>
      <c r="J560" s="29"/>
      <c r="K560" s="29"/>
      <c r="L560" s="29">
        <f>'Table001 (Page 1-6)'!I553</f>
        <v>67770</v>
      </c>
      <c r="M560" s="29"/>
      <c r="N560" s="29">
        <f>'Table001 (Page 1-6)'!J553</f>
        <v>3357</v>
      </c>
      <c r="O560" s="29">
        <f>'Table001 (Page 1-6)'!L553</f>
        <v>67770</v>
      </c>
      <c r="P560" s="29"/>
      <c r="Q560" s="29">
        <f>'Table001 (Page 1-6)'!M553</f>
        <v>3357</v>
      </c>
      <c r="R560" s="29" t="str">
        <f>'Table001 (Page 1-6)'!S553</f>
        <v>9,900</v>
      </c>
      <c r="S560" s="31" t="str">
        <f>'Table001 (Page 1-6)'!T553</f>
        <v>0.15</v>
      </c>
      <c r="T560" s="29" t="str">
        <f>'Table001 (Page 1-6)'!U553</f>
        <v>B</v>
      </c>
      <c r="U560" s="29"/>
      <c r="V560" s="29"/>
      <c r="W560" s="29"/>
      <c r="X560" s="29"/>
      <c r="Y560" s="29"/>
      <c r="Z560" s="29"/>
      <c r="AA560" s="29"/>
      <c r="AB560" s="29"/>
      <c r="AC560" s="31"/>
      <c r="AD560" s="29"/>
      <c r="AE560" s="29"/>
      <c r="AF560" s="29"/>
      <c r="AG560" s="31"/>
      <c r="AH560" s="29"/>
      <c r="AI560" s="32">
        <f>('Table001 (Page 1-6)'!V553)*100</f>
        <v>1.7399999999999998</v>
      </c>
      <c r="AJ560" s="35"/>
      <c r="AK560" s="35"/>
      <c r="AL560" s="35"/>
      <c r="AM560" s="35"/>
    </row>
    <row r="561" spans="2:39" x14ac:dyDescent="0.25">
      <c r="B561" s="37">
        <f>'Table001 (Page 1-6)'!A554</f>
        <v>8200</v>
      </c>
      <c r="C561" s="28" t="str">
        <f>'Table001 (Page 1-6)'!B554</f>
        <v>BUENA VISTA BLVD</v>
      </c>
      <c r="D561" s="28" t="str">
        <f>'Table001 (Page 1-6)'!C554</f>
        <v>SUMTER CO LINE</v>
      </c>
      <c r="E561" s="28" t="str">
        <f>'Table001 (Page 1-6)'!D554</f>
        <v>CR 42</v>
      </c>
      <c r="F561" s="29">
        <f>'Table001 (Page 1-6)'!E554</f>
        <v>4</v>
      </c>
      <c r="G561" s="29">
        <f>'Table001 (Page 1-6)'!K554</f>
        <v>4</v>
      </c>
      <c r="H561" s="30" t="str">
        <f>'Table001 (Page 1-6)'!R554</f>
        <v>E</v>
      </c>
      <c r="I561" s="28" t="str">
        <f>'Table001 (Page 1-6)'!F554</f>
        <v>COLLECTOR</v>
      </c>
      <c r="J561" s="29"/>
      <c r="K561" s="29"/>
      <c r="L561" s="29">
        <f>'Table001 (Page 1-6)'!I554</f>
        <v>30420</v>
      </c>
      <c r="M561" s="29"/>
      <c r="N561" s="29">
        <f>'Table001 (Page 1-6)'!J554</f>
        <v>792</v>
      </c>
      <c r="O561" s="29">
        <f>'Table001 (Page 1-6)'!L554</f>
        <v>30420</v>
      </c>
      <c r="P561" s="29"/>
      <c r="Q561" s="29">
        <f>'Table001 (Page 1-6)'!M554</f>
        <v>792</v>
      </c>
      <c r="R561" s="29" t="str">
        <f>'Table001 (Page 1-6)'!S554</f>
        <v>12,300</v>
      </c>
      <c r="S561" s="31" t="str">
        <f>'Table001 (Page 1-6)'!T554</f>
        <v>0.77</v>
      </c>
      <c r="T561" s="29" t="str">
        <f>'Table001 (Page 1-6)'!U554</f>
        <v>C</v>
      </c>
      <c r="U561" s="29"/>
      <c r="V561" s="29"/>
      <c r="W561" s="29"/>
      <c r="X561" s="29"/>
      <c r="Y561" s="29"/>
      <c r="Z561" s="29"/>
      <c r="AA561" s="29"/>
      <c r="AB561" s="29"/>
      <c r="AC561" s="31"/>
      <c r="AD561" s="29"/>
      <c r="AE561" s="29"/>
      <c r="AF561" s="29"/>
      <c r="AG561" s="31"/>
      <c r="AH561" s="29"/>
      <c r="AI561" s="32">
        <f>('Table001 (Page 1-6)'!V554)*100</f>
        <v>1</v>
      </c>
      <c r="AJ561" s="35"/>
      <c r="AK561" s="35"/>
      <c r="AL561" s="35"/>
      <c r="AM561" s="35"/>
    </row>
    <row r="562" spans="2:39" x14ac:dyDescent="0.25">
      <c r="B562" s="37">
        <f>'Table001 (Page 1-6)'!A555</f>
        <v>9999</v>
      </c>
      <c r="C562" s="28" t="str">
        <f>'Table001 (Page 1-6)'!B555</f>
        <v>SE 92 LOOP</v>
      </c>
      <c r="D562" s="28" t="str">
        <f>'Table001 (Page 1-6)'!C555</f>
        <v>CR 25</v>
      </c>
      <c r="E562" s="28" t="str">
        <f>'Table001 (Page 1-6)'!D555</f>
        <v>SE 110 ST RD</v>
      </c>
      <c r="F562" s="29">
        <f>'Table001 (Page 1-6)'!E555</f>
        <v>4</v>
      </c>
      <c r="G562" s="29">
        <f>'Table001 (Page 1-6)'!K555</f>
        <v>4</v>
      </c>
      <c r="H562" s="30" t="str">
        <f>'Table001 (Page 1-6)'!R555</f>
        <v>E</v>
      </c>
      <c r="I562" s="28" t="str">
        <f>'Table001 (Page 1-6)'!F555</f>
        <v>COLLECTOR</v>
      </c>
      <c r="J562" s="29"/>
      <c r="K562" s="29"/>
      <c r="L562" s="29">
        <f>'Table001 (Page 1-6)'!I555</f>
        <v>35820</v>
      </c>
      <c r="M562" s="29"/>
      <c r="N562" s="29">
        <f>'Table001 (Page 1-6)'!J555</f>
        <v>792</v>
      </c>
      <c r="O562" s="29">
        <f>'Table001 (Page 1-6)'!L555</f>
        <v>35820</v>
      </c>
      <c r="P562" s="29"/>
      <c r="Q562" s="29">
        <f>'Table001 (Page 1-6)'!M555</f>
        <v>1800</v>
      </c>
      <c r="R562" s="29" t="str">
        <f>'Table001 (Page 1-6)'!S555</f>
        <v>Not Counted</v>
      </c>
      <c r="S562" s="31" t="str">
        <f>'Table001 (Page 1-6)'!T555</f>
        <v>N/A</v>
      </c>
      <c r="T562" s="29" t="str">
        <f>'Table001 (Page 1-6)'!U555</f>
        <v>N/A</v>
      </c>
      <c r="U562" s="29"/>
      <c r="V562" s="29"/>
      <c r="W562" s="29"/>
      <c r="X562" s="29"/>
      <c r="Y562" s="29"/>
      <c r="Z562" s="29"/>
      <c r="AA562" s="29"/>
      <c r="AB562" s="29"/>
      <c r="AC562" s="31"/>
      <c r="AD562" s="29"/>
      <c r="AE562" s="29"/>
      <c r="AF562" s="29"/>
      <c r="AG562" s="31"/>
      <c r="AH562" s="29"/>
      <c r="AI562" s="32">
        <f>('Table001 (Page 1-6)'!V555)*100</f>
        <v>1</v>
      </c>
      <c r="AJ562" s="35"/>
      <c r="AK562" s="35"/>
      <c r="AL562" s="35"/>
      <c r="AM562" s="35"/>
    </row>
    <row r="563" spans="2:39" x14ac:dyDescent="0.25">
      <c r="B563" s="37"/>
      <c r="C563" s="28"/>
      <c r="D563" s="28"/>
      <c r="E563" s="28"/>
      <c r="F563" s="29"/>
      <c r="G563" s="29"/>
      <c r="H563" s="30"/>
      <c r="I563" s="28"/>
      <c r="J563" s="29"/>
      <c r="K563" s="29"/>
      <c r="L563" s="29"/>
      <c r="M563" s="29"/>
      <c r="N563" s="29"/>
      <c r="O563" s="29"/>
      <c r="P563" s="29"/>
      <c r="Q563" s="29"/>
      <c r="R563" s="29"/>
      <c r="S563" s="31"/>
      <c r="T563" s="29"/>
      <c r="U563" s="29"/>
      <c r="V563" s="29"/>
      <c r="W563" s="29"/>
      <c r="X563" s="29"/>
      <c r="Y563" s="29"/>
      <c r="Z563" s="29"/>
      <c r="AA563" s="29"/>
      <c r="AB563" s="29"/>
      <c r="AC563" s="31"/>
      <c r="AD563" s="29"/>
      <c r="AE563" s="29"/>
      <c r="AF563" s="29"/>
      <c r="AG563" s="31"/>
      <c r="AH563" s="29"/>
      <c r="AI563" s="32"/>
      <c r="AJ563" s="35"/>
      <c r="AK563" s="35"/>
      <c r="AL563" s="35"/>
      <c r="AM563" s="35"/>
    </row>
    <row r="564" spans="2:39" x14ac:dyDescent="0.25">
      <c r="B564" s="37"/>
      <c r="C564" s="28"/>
      <c r="D564" s="28"/>
      <c r="E564" s="28"/>
      <c r="F564" s="29"/>
      <c r="G564" s="29"/>
      <c r="H564" s="30"/>
      <c r="I564" s="28"/>
      <c r="J564" s="29"/>
      <c r="K564" s="29"/>
      <c r="L564" s="29"/>
      <c r="M564" s="29"/>
      <c r="N564" s="29"/>
      <c r="O564" s="29"/>
      <c r="P564" s="29"/>
      <c r="Q564" s="29"/>
      <c r="R564" s="29"/>
      <c r="S564" s="31"/>
      <c r="T564" s="29"/>
      <c r="U564" s="29"/>
      <c r="V564" s="29"/>
      <c r="W564" s="29"/>
      <c r="X564" s="29"/>
      <c r="Y564" s="29"/>
      <c r="Z564" s="29"/>
      <c r="AA564" s="29"/>
      <c r="AB564" s="29"/>
      <c r="AC564" s="31"/>
      <c r="AD564" s="29"/>
      <c r="AE564" s="29"/>
      <c r="AF564" s="29"/>
      <c r="AG564" s="31"/>
      <c r="AH564" s="29"/>
      <c r="AI564" s="32"/>
      <c r="AJ564" s="35"/>
      <c r="AK564" s="35"/>
      <c r="AL564" s="35"/>
      <c r="AM564" s="35"/>
    </row>
    <row r="565" spans="2:39" x14ac:dyDescent="0.25">
      <c r="B565" s="37"/>
      <c r="C565" s="28"/>
      <c r="D565" s="28"/>
      <c r="E565" s="28"/>
      <c r="F565" s="29"/>
      <c r="G565" s="29"/>
      <c r="H565" s="30"/>
      <c r="I565" s="28"/>
      <c r="J565" s="29"/>
      <c r="K565" s="29"/>
      <c r="L565" s="29"/>
      <c r="M565" s="29"/>
      <c r="N565" s="29"/>
      <c r="O565" s="29"/>
      <c r="P565" s="29"/>
      <c r="Q565" s="29"/>
      <c r="R565" s="29"/>
      <c r="S565" s="31"/>
      <c r="T565" s="29"/>
      <c r="U565" s="29"/>
      <c r="V565" s="29"/>
      <c r="W565" s="29"/>
      <c r="X565" s="29"/>
      <c r="Y565" s="29"/>
      <c r="Z565" s="29"/>
      <c r="AA565" s="29"/>
      <c r="AB565" s="29"/>
      <c r="AC565" s="31"/>
      <c r="AD565" s="29"/>
      <c r="AE565" s="29"/>
      <c r="AF565" s="29"/>
      <c r="AG565" s="31"/>
      <c r="AH565" s="29"/>
      <c r="AI565" s="32"/>
      <c r="AJ565" s="35"/>
      <c r="AK565" s="35"/>
      <c r="AL565" s="35"/>
      <c r="AM565" s="35"/>
    </row>
    <row r="566" spans="2:39" x14ac:dyDescent="0.25">
      <c r="B566" s="37"/>
      <c r="C566" s="28"/>
      <c r="D566" s="28"/>
      <c r="E566" s="28"/>
      <c r="F566" s="29"/>
      <c r="G566" s="29"/>
      <c r="H566" s="30"/>
      <c r="I566" s="28"/>
      <c r="J566" s="29"/>
      <c r="K566" s="29"/>
      <c r="L566" s="29"/>
      <c r="M566" s="29"/>
      <c r="N566" s="29"/>
      <c r="O566" s="29"/>
      <c r="P566" s="29"/>
      <c r="Q566" s="29"/>
      <c r="R566" s="29"/>
      <c r="S566" s="31"/>
      <c r="T566" s="29"/>
      <c r="U566" s="29"/>
      <c r="V566" s="29"/>
      <c r="W566" s="29"/>
      <c r="X566" s="29"/>
      <c r="Y566" s="29"/>
      <c r="Z566" s="29"/>
      <c r="AA566" s="29"/>
      <c r="AB566" s="29"/>
      <c r="AC566" s="31"/>
      <c r="AD566" s="29"/>
      <c r="AE566" s="29"/>
      <c r="AF566" s="29"/>
      <c r="AG566" s="31"/>
      <c r="AH566" s="29"/>
      <c r="AI566" s="32"/>
      <c r="AJ566" s="35"/>
      <c r="AK566" s="35"/>
      <c r="AL566" s="35"/>
      <c r="AM566" s="35"/>
    </row>
    <row r="567" spans="2:39" x14ac:dyDescent="0.25">
      <c r="B567" s="37"/>
      <c r="C567" s="28"/>
      <c r="D567" s="28"/>
      <c r="E567" s="28"/>
      <c r="F567" s="29"/>
      <c r="G567" s="29"/>
      <c r="H567" s="30"/>
      <c r="I567" s="28"/>
      <c r="J567" s="29"/>
      <c r="K567" s="29"/>
      <c r="L567" s="29"/>
      <c r="M567" s="29"/>
      <c r="N567" s="29"/>
      <c r="O567" s="29"/>
      <c r="P567" s="29"/>
      <c r="Q567" s="29"/>
      <c r="R567" s="29"/>
      <c r="S567" s="31"/>
      <c r="T567" s="29"/>
      <c r="U567" s="29"/>
      <c r="V567" s="29"/>
      <c r="W567" s="29"/>
      <c r="X567" s="29"/>
      <c r="Y567" s="29"/>
      <c r="Z567" s="29"/>
      <c r="AA567" s="29"/>
      <c r="AB567" s="29"/>
      <c r="AC567" s="31"/>
      <c r="AD567" s="29"/>
      <c r="AE567" s="29"/>
      <c r="AF567" s="29"/>
      <c r="AG567" s="31"/>
      <c r="AH567" s="29"/>
      <c r="AI567" s="32"/>
      <c r="AJ567" s="35"/>
      <c r="AK567" s="35"/>
      <c r="AL567" s="35"/>
      <c r="AM567" s="35"/>
    </row>
    <row r="568" spans="2:39" x14ac:dyDescent="0.25">
      <c r="B568" s="37"/>
      <c r="C568" s="28"/>
      <c r="D568" s="28"/>
      <c r="E568" s="28"/>
      <c r="F568" s="29"/>
      <c r="G568" s="29"/>
      <c r="H568" s="30"/>
      <c r="I568" s="28"/>
      <c r="J568" s="29"/>
      <c r="K568" s="29"/>
      <c r="L568" s="29"/>
      <c r="M568" s="29"/>
      <c r="N568" s="29"/>
      <c r="O568" s="29"/>
      <c r="P568" s="29"/>
      <c r="Q568" s="29"/>
      <c r="R568" s="29"/>
      <c r="S568" s="31"/>
      <c r="T568" s="29"/>
      <c r="U568" s="29"/>
      <c r="V568" s="29"/>
      <c r="W568" s="29"/>
      <c r="X568" s="29"/>
      <c r="Y568" s="29"/>
      <c r="Z568" s="29"/>
      <c r="AA568" s="29"/>
      <c r="AB568" s="29"/>
      <c r="AC568" s="31"/>
      <c r="AD568" s="29"/>
      <c r="AE568" s="29"/>
      <c r="AF568" s="29"/>
      <c r="AG568" s="31"/>
      <c r="AH568" s="29"/>
      <c r="AI568" s="32"/>
      <c r="AJ568" s="35"/>
      <c r="AK568" s="35"/>
      <c r="AL568" s="35"/>
      <c r="AM568" s="35"/>
    </row>
    <row r="569" spans="2:39" x14ac:dyDescent="0.25">
      <c r="B569" s="37"/>
      <c r="C569" s="28"/>
      <c r="D569" s="28"/>
      <c r="E569" s="28"/>
      <c r="F569" s="29"/>
      <c r="G569" s="29"/>
      <c r="H569" s="30"/>
      <c r="I569" s="28"/>
      <c r="J569" s="29"/>
      <c r="K569" s="29"/>
      <c r="L569" s="29"/>
      <c r="M569" s="29"/>
      <c r="N569" s="29"/>
      <c r="O569" s="29"/>
      <c r="P569" s="29"/>
      <c r="Q569" s="29"/>
      <c r="R569" s="29"/>
      <c r="S569" s="31"/>
      <c r="T569" s="29"/>
      <c r="U569" s="29"/>
      <c r="V569" s="29"/>
      <c r="W569" s="29"/>
      <c r="X569" s="29"/>
      <c r="Y569" s="29"/>
      <c r="Z569" s="29"/>
      <c r="AA569" s="29"/>
      <c r="AB569" s="29"/>
      <c r="AC569" s="31"/>
      <c r="AD569" s="29"/>
      <c r="AE569" s="29"/>
      <c r="AF569" s="29"/>
      <c r="AG569" s="31"/>
      <c r="AH569" s="29"/>
      <c r="AI569" s="32"/>
      <c r="AJ569" s="35"/>
      <c r="AK569" s="35"/>
      <c r="AL569" s="35"/>
      <c r="AM569" s="35"/>
    </row>
    <row r="570" spans="2:39" x14ac:dyDescent="0.25">
      <c r="B570" s="37"/>
      <c r="C570" s="28"/>
      <c r="D570" s="28"/>
      <c r="E570" s="28"/>
      <c r="F570" s="29"/>
      <c r="G570" s="29"/>
      <c r="H570" s="30"/>
      <c r="I570" s="28"/>
      <c r="J570" s="29"/>
      <c r="K570" s="29"/>
      <c r="L570" s="29"/>
      <c r="M570" s="29"/>
      <c r="N570" s="29"/>
      <c r="O570" s="29"/>
      <c r="P570" s="29"/>
      <c r="Q570" s="29"/>
      <c r="R570" s="29"/>
      <c r="S570" s="31"/>
      <c r="T570" s="29"/>
      <c r="U570" s="29"/>
      <c r="V570" s="29"/>
      <c r="W570" s="29"/>
      <c r="X570" s="29"/>
      <c r="Y570" s="29"/>
      <c r="Z570" s="29"/>
      <c r="AA570" s="29"/>
      <c r="AB570" s="29"/>
      <c r="AC570" s="31"/>
      <c r="AD570" s="29"/>
      <c r="AE570" s="29"/>
      <c r="AF570" s="29"/>
      <c r="AG570" s="31"/>
      <c r="AH570" s="29"/>
      <c r="AI570" s="32"/>
      <c r="AJ570" s="35"/>
      <c r="AK570" s="35"/>
      <c r="AL570" s="35"/>
      <c r="AM570" s="35"/>
    </row>
    <row r="571" spans="2:39" x14ac:dyDescent="0.25">
      <c r="B571" s="37"/>
      <c r="C571" s="28"/>
      <c r="D571" s="28"/>
      <c r="E571" s="28"/>
      <c r="F571" s="29"/>
      <c r="G571" s="29"/>
      <c r="H571" s="30"/>
      <c r="I571" s="28"/>
      <c r="J571" s="29"/>
      <c r="K571" s="29"/>
      <c r="L571" s="29"/>
      <c r="M571" s="29"/>
      <c r="N571" s="29"/>
      <c r="O571" s="29"/>
      <c r="P571" s="29"/>
      <c r="Q571" s="29"/>
      <c r="R571" s="29"/>
      <c r="S571" s="31"/>
      <c r="T571" s="29"/>
      <c r="U571" s="29"/>
      <c r="V571" s="29"/>
      <c r="W571" s="29"/>
      <c r="X571" s="29"/>
      <c r="Y571" s="29"/>
      <c r="Z571" s="29"/>
      <c r="AA571" s="29"/>
      <c r="AB571" s="29"/>
      <c r="AC571" s="31"/>
      <c r="AD571" s="29"/>
      <c r="AE571" s="29"/>
      <c r="AF571" s="29"/>
      <c r="AG571" s="31"/>
      <c r="AH571" s="29"/>
      <c r="AI571" s="32"/>
      <c r="AJ571" s="35"/>
      <c r="AK571" s="35"/>
      <c r="AL571" s="35"/>
      <c r="AM571" s="35"/>
    </row>
    <row r="572" spans="2:39" x14ac:dyDescent="0.25">
      <c r="B572" s="37"/>
      <c r="C572" s="28"/>
      <c r="D572" s="28"/>
      <c r="E572" s="28"/>
      <c r="F572" s="29"/>
      <c r="G572" s="29"/>
      <c r="H572" s="30"/>
      <c r="I572" s="28"/>
      <c r="J572" s="29"/>
      <c r="K572" s="29"/>
      <c r="L572" s="29"/>
      <c r="M572" s="29"/>
      <c r="N572" s="29"/>
      <c r="O572" s="29"/>
      <c r="P572" s="29"/>
      <c r="Q572" s="29"/>
      <c r="R572" s="29"/>
      <c r="S572" s="31"/>
      <c r="T572" s="29"/>
      <c r="U572" s="29"/>
      <c r="V572" s="29"/>
      <c r="W572" s="29"/>
      <c r="X572" s="29"/>
      <c r="Y572" s="29"/>
      <c r="Z572" s="29"/>
      <c r="AA572" s="29"/>
      <c r="AB572" s="29"/>
      <c r="AC572" s="31"/>
      <c r="AD572" s="29"/>
      <c r="AE572" s="29"/>
      <c r="AF572" s="29"/>
      <c r="AG572" s="31"/>
      <c r="AH572" s="29"/>
      <c r="AI572" s="32"/>
      <c r="AJ572" s="35"/>
      <c r="AK572" s="35"/>
      <c r="AL572" s="35"/>
      <c r="AM572" s="35"/>
    </row>
    <row r="573" spans="2:39" x14ac:dyDescent="0.25">
      <c r="B573" s="37"/>
      <c r="C573" s="28"/>
      <c r="D573" s="28"/>
      <c r="E573" s="28"/>
      <c r="F573" s="29"/>
      <c r="G573" s="29"/>
      <c r="H573" s="30"/>
      <c r="I573" s="28"/>
      <c r="J573" s="29"/>
      <c r="K573" s="29"/>
      <c r="L573" s="29"/>
      <c r="M573" s="29"/>
      <c r="N573" s="29"/>
      <c r="O573" s="29"/>
      <c r="P573" s="29"/>
      <c r="Q573" s="29"/>
      <c r="R573" s="29"/>
      <c r="S573" s="31"/>
      <c r="T573" s="29"/>
      <c r="U573" s="29"/>
      <c r="V573" s="29"/>
      <c r="W573" s="29"/>
      <c r="X573" s="29"/>
      <c r="Y573" s="29"/>
      <c r="Z573" s="29"/>
      <c r="AA573" s="29"/>
      <c r="AB573" s="29"/>
      <c r="AC573" s="31"/>
      <c r="AD573" s="29"/>
      <c r="AE573" s="29"/>
      <c r="AF573" s="29"/>
      <c r="AG573" s="31"/>
      <c r="AH573" s="29"/>
      <c r="AI573" s="32"/>
      <c r="AJ573" s="35"/>
      <c r="AK573" s="35"/>
      <c r="AL573" s="35"/>
      <c r="AM573" s="35"/>
    </row>
    <row r="574" spans="2:39" x14ac:dyDescent="0.25">
      <c r="B574" s="37"/>
      <c r="C574" s="28"/>
      <c r="D574" s="28"/>
      <c r="E574" s="28"/>
      <c r="F574" s="29"/>
      <c r="G574" s="29"/>
      <c r="H574" s="30"/>
      <c r="I574" s="28"/>
      <c r="J574" s="29"/>
      <c r="K574" s="29"/>
      <c r="L574" s="29"/>
      <c r="M574" s="29"/>
      <c r="N574" s="29"/>
      <c r="O574" s="29"/>
      <c r="P574" s="29"/>
      <c r="Q574" s="29"/>
      <c r="R574" s="29"/>
      <c r="S574" s="31"/>
      <c r="T574" s="29"/>
      <c r="U574" s="29"/>
      <c r="V574" s="29"/>
      <c r="W574" s="29"/>
      <c r="X574" s="29"/>
      <c r="Y574" s="29"/>
      <c r="Z574" s="29"/>
      <c r="AA574" s="29"/>
      <c r="AB574" s="29"/>
      <c r="AC574" s="31"/>
      <c r="AD574" s="29"/>
      <c r="AE574" s="29"/>
      <c r="AF574" s="29"/>
      <c r="AG574" s="31"/>
      <c r="AH574" s="29"/>
      <c r="AI574" s="32"/>
      <c r="AJ574" s="35"/>
      <c r="AK574" s="35"/>
      <c r="AL574" s="35"/>
      <c r="AM574" s="35"/>
    </row>
    <row r="575" spans="2:39" x14ac:dyDescent="0.25">
      <c r="B575" s="37"/>
      <c r="C575" s="28"/>
      <c r="D575" s="28"/>
      <c r="E575" s="28"/>
      <c r="F575" s="29"/>
      <c r="G575" s="29"/>
      <c r="H575" s="30"/>
      <c r="I575" s="28"/>
      <c r="J575" s="29"/>
      <c r="K575" s="29"/>
      <c r="L575" s="29"/>
      <c r="M575" s="29"/>
      <c r="N575" s="29"/>
      <c r="O575" s="29"/>
      <c r="P575" s="29"/>
      <c r="Q575" s="29"/>
      <c r="R575" s="29"/>
      <c r="S575" s="31"/>
      <c r="T575" s="29"/>
      <c r="U575" s="29"/>
      <c r="V575" s="29"/>
      <c r="W575" s="29"/>
      <c r="X575" s="29"/>
      <c r="Y575" s="29"/>
      <c r="Z575" s="29"/>
      <c r="AA575" s="29"/>
      <c r="AB575" s="29"/>
      <c r="AC575" s="31"/>
      <c r="AD575" s="29"/>
      <c r="AE575" s="29"/>
      <c r="AF575" s="29"/>
      <c r="AG575" s="31"/>
      <c r="AH575" s="29"/>
      <c r="AI575" s="32"/>
      <c r="AJ575" s="35"/>
      <c r="AK575" s="35"/>
      <c r="AL575" s="35"/>
      <c r="AM575" s="35"/>
    </row>
    <row r="576" spans="2:39" x14ac:dyDescent="0.25">
      <c r="B576" s="37"/>
      <c r="C576" s="28"/>
      <c r="D576" s="28"/>
      <c r="E576" s="28"/>
      <c r="F576" s="29"/>
      <c r="G576" s="29"/>
      <c r="H576" s="30"/>
      <c r="I576" s="28"/>
      <c r="J576" s="29"/>
      <c r="K576" s="29"/>
      <c r="L576" s="29"/>
      <c r="M576" s="29"/>
      <c r="N576" s="29"/>
      <c r="O576" s="29"/>
      <c r="P576" s="29"/>
      <c r="Q576" s="29"/>
      <c r="R576" s="29"/>
      <c r="S576" s="31"/>
      <c r="T576" s="29"/>
      <c r="U576" s="29"/>
      <c r="V576" s="29"/>
      <c r="W576" s="29"/>
      <c r="X576" s="29"/>
      <c r="Y576" s="29"/>
      <c r="Z576" s="29"/>
      <c r="AA576" s="29"/>
      <c r="AB576" s="29"/>
      <c r="AC576" s="31"/>
      <c r="AD576" s="29"/>
      <c r="AE576" s="29"/>
      <c r="AF576" s="29"/>
      <c r="AG576" s="31"/>
      <c r="AH576" s="29"/>
      <c r="AI576" s="32"/>
      <c r="AJ576" s="35"/>
      <c r="AK576" s="35"/>
      <c r="AL576" s="35"/>
      <c r="AM576" s="35"/>
    </row>
    <row r="577" spans="2:39" x14ac:dyDescent="0.25">
      <c r="B577" s="37"/>
      <c r="C577" s="28"/>
      <c r="D577" s="28"/>
      <c r="E577" s="28"/>
      <c r="F577" s="29"/>
      <c r="G577" s="29"/>
      <c r="H577" s="30"/>
      <c r="I577" s="28"/>
      <c r="J577" s="29"/>
      <c r="K577" s="29"/>
      <c r="L577" s="29"/>
      <c r="M577" s="29"/>
      <c r="N577" s="29"/>
      <c r="O577" s="29"/>
      <c r="P577" s="29"/>
      <c r="Q577" s="29"/>
      <c r="R577" s="29"/>
      <c r="S577" s="31"/>
      <c r="T577" s="29"/>
      <c r="U577" s="29"/>
      <c r="V577" s="29"/>
      <c r="W577" s="29"/>
      <c r="X577" s="29"/>
      <c r="Y577" s="29"/>
      <c r="Z577" s="29"/>
      <c r="AA577" s="29"/>
      <c r="AB577" s="29"/>
      <c r="AC577" s="31"/>
      <c r="AD577" s="29"/>
      <c r="AE577" s="29"/>
      <c r="AF577" s="29"/>
      <c r="AG577" s="31"/>
      <c r="AH577" s="29"/>
      <c r="AI577" s="32"/>
      <c r="AJ577" s="35"/>
      <c r="AK577" s="35"/>
      <c r="AL577" s="35"/>
      <c r="AM577" s="35"/>
    </row>
    <row r="578" spans="2:39" x14ac:dyDescent="0.25">
      <c r="B578" s="37"/>
      <c r="C578" s="28"/>
      <c r="D578" s="28"/>
      <c r="E578" s="28"/>
      <c r="F578" s="29"/>
      <c r="G578" s="29"/>
      <c r="H578" s="30"/>
      <c r="I578" s="28"/>
      <c r="J578" s="29"/>
      <c r="K578" s="29"/>
      <c r="L578" s="29"/>
      <c r="M578" s="29"/>
      <c r="N578" s="29"/>
      <c r="O578" s="29"/>
      <c r="P578" s="29"/>
      <c r="Q578" s="29"/>
      <c r="R578" s="29"/>
      <c r="S578" s="31"/>
      <c r="T578" s="29"/>
      <c r="U578" s="29"/>
      <c r="V578" s="29"/>
      <c r="W578" s="29"/>
      <c r="X578" s="29"/>
      <c r="Y578" s="29"/>
      <c r="Z578" s="29"/>
      <c r="AA578" s="29"/>
      <c r="AB578" s="29"/>
      <c r="AC578" s="31"/>
      <c r="AD578" s="29"/>
      <c r="AE578" s="29"/>
      <c r="AF578" s="29"/>
      <c r="AG578" s="31"/>
      <c r="AH578" s="29"/>
      <c r="AI578" s="32"/>
      <c r="AJ578" s="35"/>
      <c r="AK578" s="35"/>
      <c r="AL578" s="35"/>
      <c r="AM578" s="35"/>
    </row>
    <row r="579" spans="2:39" x14ac:dyDescent="0.25">
      <c r="B579" s="37"/>
      <c r="C579" s="28"/>
      <c r="D579" s="28"/>
      <c r="E579" s="28"/>
      <c r="F579" s="29"/>
      <c r="G579" s="29"/>
      <c r="H579" s="30"/>
      <c r="I579" s="28"/>
      <c r="J579" s="29"/>
      <c r="K579" s="29"/>
      <c r="L579" s="29"/>
      <c r="M579" s="29"/>
      <c r="N579" s="29"/>
      <c r="O579" s="29"/>
      <c r="P579" s="29"/>
      <c r="Q579" s="29"/>
      <c r="R579" s="29"/>
      <c r="S579" s="31"/>
      <c r="T579" s="29"/>
      <c r="U579" s="29"/>
      <c r="V579" s="29"/>
      <c r="W579" s="29"/>
      <c r="X579" s="29"/>
      <c r="Y579" s="29"/>
      <c r="Z579" s="29"/>
      <c r="AA579" s="29"/>
      <c r="AB579" s="29"/>
      <c r="AC579" s="31"/>
      <c r="AD579" s="29"/>
      <c r="AE579" s="29"/>
      <c r="AF579" s="29"/>
      <c r="AG579" s="31"/>
      <c r="AH579" s="29"/>
      <c r="AI579" s="32"/>
      <c r="AJ579" s="35"/>
      <c r="AK579" s="35"/>
      <c r="AL579" s="35"/>
      <c r="AM579" s="35"/>
    </row>
    <row r="580" spans="2:39" x14ac:dyDescent="0.25">
      <c r="B580" s="37"/>
      <c r="C580" s="28"/>
      <c r="D580" s="28"/>
      <c r="E580" s="28"/>
      <c r="F580" s="29"/>
      <c r="G580" s="29"/>
      <c r="H580" s="30"/>
      <c r="I580" s="28"/>
      <c r="J580" s="29"/>
      <c r="K580" s="29"/>
      <c r="L580" s="29"/>
      <c r="M580" s="29"/>
      <c r="N580" s="29"/>
      <c r="O580" s="29"/>
      <c r="P580" s="29"/>
      <c r="Q580" s="29"/>
      <c r="R580" s="29"/>
      <c r="S580" s="31"/>
      <c r="T580" s="29"/>
      <c r="U580" s="29"/>
      <c r="V580" s="29"/>
      <c r="W580" s="29"/>
      <c r="X580" s="29"/>
      <c r="Y580" s="29"/>
      <c r="Z580" s="29"/>
      <c r="AA580" s="29"/>
      <c r="AB580" s="29"/>
      <c r="AC580" s="31"/>
      <c r="AD580" s="29"/>
      <c r="AE580" s="29"/>
      <c r="AF580" s="29"/>
      <c r="AG580" s="31"/>
      <c r="AH580" s="29"/>
      <c r="AI580" s="32"/>
      <c r="AJ580" s="35"/>
      <c r="AK580" s="35"/>
      <c r="AL580" s="35"/>
      <c r="AM580" s="35"/>
    </row>
    <row r="581" spans="2:39" x14ac:dyDescent="0.25">
      <c r="B581" s="37"/>
      <c r="C581" s="28"/>
      <c r="D581" s="28"/>
      <c r="E581" s="28"/>
      <c r="F581" s="29"/>
      <c r="G581" s="29"/>
      <c r="H581" s="30"/>
      <c r="I581" s="28"/>
      <c r="J581" s="29"/>
      <c r="K581" s="29"/>
      <c r="L581" s="29"/>
      <c r="M581" s="29"/>
      <c r="N581" s="29"/>
      <c r="O581" s="29"/>
      <c r="P581" s="29"/>
      <c r="Q581" s="29"/>
      <c r="R581" s="29"/>
      <c r="S581" s="31"/>
      <c r="T581" s="29"/>
      <c r="U581" s="29"/>
      <c r="V581" s="29"/>
      <c r="W581" s="29"/>
      <c r="X581" s="29"/>
      <c r="Y581" s="29"/>
      <c r="Z581" s="29"/>
      <c r="AA581" s="29"/>
      <c r="AB581" s="29"/>
      <c r="AC581" s="31"/>
      <c r="AD581" s="29"/>
      <c r="AE581" s="29"/>
      <c r="AF581" s="29"/>
      <c r="AG581" s="31"/>
      <c r="AH581" s="29"/>
      <c r="AI581" s="32"/>
      <c r="AJ581" s="35"/>
      <c r="AK581" s="35"/>
      <c r="AL581" s="35"/>
      <c r="AM581" s="35"/>
    </row>
    <row r="582" spans="2:39" x14ac:dyDescent="0.25">
      <c r="B582" s="37"/>
      <c r="C582" s="28"/>
      <c r="D582" s="28"/>
      <c r="E582" s="28"/>
      <c r="F582" s="29"/>
      <c r="G582" s="29"/>
      <c r="H582" s="30"/>
      <c r="I582" s="28"/>
      <c r="J582" s="29"/>
      <c r="K582" s="29"/>
      <c r="L582" s="29"/>
      <c r="M582" s="29"/>
      <c r="N582" s="29"/>
      <c r="O582" s="29"/>
      <c r="P582" s="29"/>
      <c r="Q582" s="29"/>
      <c r="R582" s="29"/>
      <c r="S582" s="31"/>
      <c r="T582" s="29"/>
      <c r="U582" s="29"/>
      <c r="V582" s="29"/>
      <c r="W582" s="29"/>
      <c r="X582" s="29"/>
      <c r="Y582" s="29"/>
      <c r="Z582" s="29"/>
      <c r="AA582" s="29"/>
      <c r="AB582" s="29"/>
      <c r="AC582" s="31"/>
      <c r="AD582" s="29"/>
      <c r="AE582" s="29"/>
      <c r="AF582" s="29"/>
      <c r="AG582" s="31"/>
      <c r="AH582" s="29"/>
      <c r="AI582" s="32"/>
      <c r="AJ582" s="35"/>
      <c r="AK582" s="35"/>
      <c r="AL582" s="35"/>
      <c r="AM582" s="35"/>
    </row>
    <row r="583" spans="2:39" x14ac:dyDescent="0.25">
      <c r="B583" s="37"/>
      <c r="C583" s="28"/>
      <c r="D583" s="28"/>
      <c r="E583" s="28"/>
      <c r="F583" s="29"/>
      <c r="G583" s="29"/>
      <c r="H583" s="30"/>
      <c r="I583" s="28"/>
      <c r="J583" s="29"/>
      <c r="K583" s="29"/>
      <c r="L583" s="29"/>
      <c r="M583" s="29"/>
      <c r="N583" s="29"/>
      <c r="O583" s="29"/>
      <c r="P583" s="29"/>
      <c r="Q583" s="29"/>
      <c r="R583" s="29"/>
      <c r="S583" s="31"/>
      <c r="T583" s="29"/>
      <c r="U583" s="29"/>
      <c r="V583" s="29"/>
      <c r="W583" s="29"/>
      <c r="X583" s="29"/>
      <c r="Y583" s="29"/>
      <c r="Z583" s="29"/>
      <c r="AA583" s="29"/>
      <c r="AB583" s="29"/>
      <c r="AC583" s="31"/>
      <c r="AD583" s="29"/>
      <c r="AE583" s="29"/>
      <c r="AF583" s="29"/>
      <c r="AG583" s="31"/>
      <c r="AH583" s="29"/>
      <c r="AI583" s="32"/>
      <c r="AJ583" s="35"/>
      <c r="AK583" s="35"/>
      <c r="AL583" s="35"/>
      <c r="AM583" s="35"/>
    </row>
    <row r="584" spans="2:39" x14ac:dyDescent="0.25">
      <c r="B584" s="37"/>
      <c r="C584" s="28"/>
      <c r="D584" s="28"/>
      <c r="E584" s="28"/>
      <c r="F584" s="29"/>
      <c r="G584" s="29"/>
      <c r="H584" s="30"/>
      <c r="I584" s="28"/>
      <c r="J584" s="29"/>
      <c r="K584" s="29"/>
      <c r="L584" s="29"/>
      <c r="M584" s="29"/>
      <c r="N584" s="29"/>
      <c r="O584" s="29"/>
      <c r="P584" s="29"/>
      <c r="Q584" s="29"/>
      <c r="R584" s="29"/>
      <c r="S584" s="31"/>
      <c r="T584" s="29"/>
      <c r="U584" s="29"/>
      <c r="V584" s="29"/>
      <c r="W584" s="29"/>
      <c r="X584" s="29"/>
      <c r="Y584" s="29"/>
      <c r="Z584" s="29"/>
      <c r="AA584" s="29"/>
      <c r="AB584" s="29"/>
      <c r="AC584" s="31"/>
      <c r="AD584" s="29"/>
      <c r="AE584" s="29"/>
      <c r="AF584" s="29"/>
      <c r="AG584" s="31"/>
      <c r="AH584" s="29"/>
      <c r="AI584" s="32"/>
      <c r="AJ584" s="35"/>
      <c r="AK584" s="35"/>
      <c r="AL584" s="35"/>
      <c r="AM584" s="35"/>
    </row>
    <row r="585" spans="2:39" x14ac:dyDescent="0.25">
      <c r="B585" s="37"/>
      <c r="C585" s="28"/>
      <c r="D585" s="28"/>
      <c r="E585" s="28"/>
      <c r="F585" s="29"/>
      <c r="G585" s="29"/>
      <c r="H585" s="30"/>
      <c r="I585" s="28"/>
      <c r="J585" s="29"/>
      <c r="K585" s="29"/>
      <c r="L585" s="29"/>
      <c r="M585" s="29"/>
      <c r="N585" s="29"/>
      <c r="O585" s="29"/>
      <c r="P585" s="29"/>
      <c r="Q585" s="29"/>
      <c r="R585" s="29"/>
      <c r="S585" s="31"/>
      <c r="T585" s="29"/>
      <c r="U585" s="29"/>
      <c r="V585" s="29"/>
      <c r="W585" s="29"/>
      <c r="X585" s="29"/>
      <c r="Y585" s="29"/>
      <c r="Z585" s="29"/>
      <c r="AA585" s="29"/>
      <c r="AB585" s="29"/>
      <c r="AC585" s="31"/>
      <c r="AD585" s="29"/>
      <c r="AE585" s="29"/>
      <c r="AF585" s="29"/>
      <c r="AG585" s="31"/>
      <c r="AH585" s="29"/>
      <c r="AI585" s="32"/>
      <c r="AJ585" s="35"/>
      <c r="AK585" s="35"/>
      <c r="AL585" s="35"/>
      <c r="AM585" s="35"/>
    </row>
    <row r="586" spans="2:39" x14ac:dyDescent="0.25">
      <c r="B586" s="37"/>
      <c r="C586" s="28"/>
      <c r="D586" s="28"/>
      <c r="E586" s="28"/>
      <c r="F586" s="29"/>
      <c r="G586" s="29"/>
      <c r="H586" s="30"/>
      <c r="I586" s="28"/>
      <c r="J586" s="29"/>
      <c r="K586" s="29"/>
      <c r="L586" s="29"/>
      <c r="M586" s="29"/>
      <c r="N586" s="29"/>
      <c r="O586" s="29"/>
      <c r="P586" s="29"/>
      <c r="Q586" s="29"/>
      <c r="R586" s="29"/>
      <c r="S586" s="31"/>
      <c r="T586" s="29"/>
      <c r="U586" s="29"/>
      <c r="V586" s="29"/>
      <c r="W586" s="29"/>
      <c r="X586" s="29"/>
      <c r="Y586" s="29"/>
      <c r="Z586" s="29"/>
      <c r="AA586" s="29"/>
      <c r="AB586" s="29"/>
      <c r="AC586" s="31"/>
      <c r="AD586" s="29"/>
      <c r="AE586" s="29"/>
      <c r="AF586" s="29"/>
      <c r="AG586" s="31"/>
      <c r="AH586" s="29"/>
      <c r="AI586" s="32"/>
      <c r="AJ586" s="35"/>
      <c r="AK586" s="35"/>
      <c r="AL586" s="35"/>
      <c r="AM586" s="35"/>
    </row>
    <row r="587" spans="2:39" x14ac:dyDescent="0.25">
      <c r="B587" s="37"/>
      <c r="C587" s="28"/>
      <c r="D587" s="28"/>
      <c r="E587" s="28"/>
      <c r="F587" s="29"/>
      <c r="G587" s="29"/>
      <c r="H587" s="30"/>
      <c r="I587" s="28"/>
      <c r="J587" s="29"/>
      <c r="K587" s="29"/>
      <c r="L587" s="29"/>
      <c r="M587" s="29"/>
      <c r="N587" s="29"/>
      <c r="O587" s="29"/>
      <c r="P587" s="29"/>
      <c r="Q587" s="29"/>
      <c r="R587" s="29"/>
      <c r="S587" s="31"/>
      <c r="T587" s="29"/>
      <c r="U587" s="29"/>
      <c r="V587" s="29"/>
      <c r="W587" s="29"/>
      <c r="X587" s="29"/>
      <c r="Y587" s="29"/>
      <c r="Z587" s="29"/>
      <c r="AA587" s="29"/>
      <c r="AB587" s="29"/>
      <c r="AC587" s="31"/>
      <c r="AD587" s="29"/>
      <c r="AE587" s="29"/>
      <c r="AF587" s="29"/>
      <c r="AG587" s="31"/>
      <c r="AH587" s="29"/>
      <c r="AI587" s="32"/>
      <c r="AJ587" s="35"/>
      <c r="AK587" s="35"/>
      <c r="AL587" s="35"/>
      <c r="AM587" s="35"/>
    </row>
    <row r="588" spans="2:39" x14ac:dyDescent="0.25">
      <c r="B588" s="37"/>
      <c r="C588" s="28"/>
      <c r="D588" s="28"/>
      <c r="E588" s="28"/>
      <c r="F588" s="29"/>
      <c r="G588" s="29"/>
      <c r="H588" s="30"/>
      <c r="I588" s="28"/>
      <c r="J588" s="29"/>
      <c r="K588" s="29"/>
      <c r="L588" s="29"/>
      <c r="M588" s="29"/>
      <c r="N588" s="29"/>
      <c r="O588" s="29"/>
      <c r="P588" s="29"/>
      <c r="Q588" s="29"/>
      <c r="R588" s="29"/>
      <c r="S588" s="31"/>
      <c r="T588" s="29"/>
      <c r="U588" s="29"/>
      <c r="V588" s="29"/>
      <c r="W588" s="29"/>
      <c r="X588" s="29"/>
      <c r="Y588" s="29"/>
      <c r="Z588" s="29"/>
      <c r="AA588" s="29"/>
      <c r="AB588" s="29"/>
      <c r="AC588" s="31"/>
      <c r="AD588" s="29"/>
      <c r="AE588" s="29"/>
      <c r="AF588" s="29"/>
      <c r="AG588" s="31"/>
      <c r="AH588" s="29"/>
      <c r="AI588" s="32"/>
      <c r="AJ588" s="35"/>
      <c r="AK588" s="35"/>
      <c r="AL588" s="35"/>
      <c r="AM588" s="35"/>
    </row>
    <row r="589" spans="2:39" x14ac:dyDescent="0.25">
      <c r="B589" s="37"/>
      <c r="C589" s="28"/>
      <c r="D589" s="28"/>
      <c r="E589" s="28"/>
      <c r="F589" s="29"/>
      <c r="G589" s="29"/>
      <c r="H589" s="30"/>
      <c r="I589" s="28"/>
      <c r="J589" s="29"/>
      <c r="K589" s="29"/>
      <c r="L589" s="29"/>
      <c r="M589" s="29"/>
      <c r="N589" s="29"/>
      <c r="O589" s="29"/>
      <c r="P589" s="29"/>
      <c r="Q589" s="29"/>
      <c r="R589" s="29"/>
      <c r="S589" s="31"/>
      <c r="T589" s="29"/>
      <c r="U589" s="29"/>
      <c r="V589" s="29"/>
      <c r="W589" s="29"/>
      <c r="X589" s="29"/>
      <c r="Y589" s="29"/>
      <c r="Z589" s="29"/>
      <c r="AA589" s="29"/>
      <c r="AB589" s="29"/>
      <c r="AC589" s="31"/>
      <c r="AD589" s="29"/>
      <c r="AE589" s="29"/>
      <c r="AF589" s="29"/>
      <c r="AG589" s="31"/>
      <c r="AH589" s="29"/>
      <c r="AI589" s="32"/>
      <c r="AJ589" s="35"/>
      <c r="AK589" s="35"/>
      <c r="AL589" s="35"/>
      <c r="AM589" s="35"/>
    </row>
    <row r="590" spans="2:39" x14ac:dyDescent="0.25">
      <c r="B590" s="37"/>
      <c r="C590" s="28"/>
      <c r="D590" s="28"/>
      <c r="E590" s="28"/>
      <c r="F590" s="29"/>
      <c r="G590" s="29"/>
      <c r="H590" s="30"/>
      <c r="I590" s="28"/>
      <c r="J590" s="29"/>
      <c r="K590" s="29"/>
      <c r="L590" s="29"/>
      <c r="M590" s="29"/>
      <c r="N590" s="29"/>
      <c r="O590" s="29"/>
      <c r="P590" s="29"/>
      <c r="Q590" s="29"/>
      <c r="R590" s="29"/>
      <c r="S590" s="31"/>
      <c r="T590" s="29"/>
      <c r="U590" s="29"/>
      <c r="V590" s="29"/>
      <c r="W590" s="29"/>
      <c r="X590" s="29"/>
      <c r="Y590" s="29"/>
      <c r="Z590" s="29"/>
      <c r="AA590" s="29"/>
      <c r="AB590" s="29"/>
      <c r="AC590" s="31"/>
      <c r="AD590" s="29"/>
      <c r="AE590" s="29"/>
      <c r="AF590" s="29"/>
      <c r="AG590" s="31"/>
      <c r="AH590" s="29"/>
      <c r="AI590" s="32"/>
      <c r="AJ590" s="35"/>
      <c r="AK590" s="35"/>
      <c r="AL590" s="35"/>
      <c r="AM590" s="35"/>
    </row>
    <row r="591" spans="2:39" x14ac:dyDescent="0.25">
      <c r="B591" s="37"/>
      <c r="C591" s="28"/>
      <c r="D591" s="28"/>
      <c r="E591" s="28"/>
      <c r="F591" s="29"/>
      <c r="G591" s="29"/>
      <c r="H591" s="30"/>
      <c r="I591" s="28"/>
      <c r="J591" s="29"/>
      <c r="K591" s="29"/>
      <c r="L591" s="29"/>
      <c r="M591" s="29"/>
      <c r="N591" s="29"/>
      <c r="O591" s="29"/>
      <c r="P591" s="29"/>
      <c r="Q591" s="29"/>
      <c r="R591" s="29"/>
      <c r="S591" s="31"/>
      <c r="T591" s="29"/>
      <c r="U591" s="29"/>
      <c r="V591" s="29"/>
      <c r="W591" s="29"/>
      <c r="X591" s="29"/>
      <c r="Y591" s="29"/>
      <c r="Z591" s="29"/>
      <c r="AA591" s="29"/>
      <c r="AB591" s="29"/>
      <c r="AC591" s="31"/>
      <c r="AD591" s="29"/>
      <c r="AE591" s="29"/>
      <c r="AF591" s="29"/>
      <c r="AG591" s="31"/>
      <c r="AH591" s="29"/>
      <c r="AI591" s="32"/>
      <c r="AJ591" s="35"/>
      <c r="AK591" s="35"/>
      <c r="AL591" s="35"/>
      <c r="AM591" s="35"/>
    </row>
    <row r="592" spans="2:39" x14ac:dyDescent="0.25">
      <c r="B592" s="37"/>
      <c r="C592" s="28"/>
      <c r="D592" s="28"/>
      <c r="E592" s="28"/>
      <c r="F592" s="29"/>
      <c r="G592" s="29"/>
      <c r="H592" s="30"/>
      <c r="I592" s="28"/>
      <c r="J592" s="29"/>
      <c r="K592" s="29"/>
      <c r="L592" s="29"/>
      <c r="M592" s="29"/>
      <c r="N592" s="29"/>
      <c r="O592" s="29"/>
      <c r="P592" s="29"/>
      <c r="Q592" s="29"/>
      <c r="R592" s="29"/>
      <c r="S592" s="31"/>
      <c r="T592" s="29"/>
      <c r="U592" s="29"/>
      <c r="V592" s="29"/>
      <c r="W592" s="29"/>
      <c r="X592" s="29"/>
      <c r="Y592" s="29"/>
      <c r="Z592" s="29"/>
      <c r="AA592" s="29"/>
      <c r="AB592" s="29"/>
      <c r="AC592" s="31"/>
      <c r="AD592" s="29"/>
      <c r="AE592" s="29"/>
      <c r="AF592" s="29"/>
      <c r="AG592" s="31"/>
      <c r="AH592" s="29"/>
      <c r="AI592" s="32"/>
      <c r="AJ592" s="35"/>
      <c r="AK592" s="35"/>
      <c r="AL592" s="35"/>
      <c r="AM592" s="35"/>
    </row>
    <row r="593" spans="2:39" x14ac:dyDescent="0.25">
      <c r="B593" s="37"/>
      <c r="C593" s="28"/>
      <c r="D593" s="28"/>
      <c r="E593" s="28"/>
      <c r="F593" s="29"/>
      <c r="G593" s="29"/>
      <c r="H593" s="30"/>
      <c r="I593" s="28"/>
      <c r="J593" s="29"/>
      <c r="K593" s="29"/>
      <c r="L593" s="29"/>
      <c r="M593" s="29"/>
      <c r="N593" s="29"/>
      <c r="O593" s="29"/>
      <c r="P593" s="29"/>
      <c r="Q593" s="29"/>
      <c r="R593" s="29"/>
      <c r="S593" s="31"/>
      <c r="T593" s="29"/>
      <c r="U593" s="29"/>
      <c r="V593" s="29"/>
      <c r="W593" s="29"/>
      <c r="X593" s="29"/>
      <c r="Y593" s="29"/>
      <c r="Z593" s="29"/>
      <c r="AA593" s="29"/>
      <c r="AB593" s="29"/>
      <c r="AC593" s="31"/>
      <c r="AD593" s="29"/>
      <c r="AE593" s="29"/>
      <c r="AF593" s="29"/>
      <c r="AG593" s="31"/>
      <c r="AH593" s="29"/>
      <c r="AI593" s="32"/>
      <c r="AJ593" s="35"/>
      <c r="AK593" s="35"/>
      <c r="AL593" s="35"/>
      <c r="AM593" s="35"/>
    </row>
    <row r="594" spans="2:39" x14ac:dyDescent="0.25">
      <c r="B594" s="37"/>
      <c r="C594" s="28"/>
      <c r="D594" s="28"/>
      <c r="E594" s="28"/>
      <c r="F594" s="29"/>
      <c r="G594" s="29"/>
      <c r="H594" s="30"/>
      <c r="I594" s="28"/>
      <c r="J594" s="29"/>
      <c r="K594" s="29"/>
      <c r="L594" s="29"/>
      <c r="M594" s="29"/>
      <c r="N594" s="29"/>
      <c r="O594" s="29"/>
      <c r="P594" s="29"/>
      <c r="Q594" s="29"/>
      <c r="R594" s="29"/>
      <c r="S594" s="31"/>
      <c r="T594" s="29"/>
      <c r="U594" s="29"/>
      <c r="V594" s="29"/>
      <c r="W594" s="29"/>
      <c r="X594" s="29"/>
      <c r="Y594" s="29"/>
      <c r="Z594" s="29"/>
      <c r="AA594" s="29"/>
      <c r="AB594" s="29"/>
      <c r="AC594" s="31"/>
      <c r="AD594" s="29"/>
      <c r="AE594" s="29"/>
      <c r="AF594" s="29"/>
      <c r="AG594" s="31"/>
      <c r="AH594" s="29"/>
      <c r="AI594" s="32"/>
      <c r="AJ594" s="35"/>
      <c r="AK594" s="35"/>
      <c r="AL594" s="35"/>
      <c r="AM594" s="35"/>
    </row>
    <row r="595" spans="2:39" x14ac:dyDescent="0.25">
      <c r="B595" s="37"/>
      <c r="C595" s="28"/>
      <c r="D595" s="28"/>
      <c r="E595" s="28"/>
      <c r="F595" s="29"/>
      <c r="G595" s="29"/>
      <c r="H595" s="30"/>
      <c r="I595" s="28"/>
      <c r="J595" s="29"/>
      <c r="K595" s="29"/>
      <c r="L595" s="29"/>
      <c r="M595" s="29"/>
      <c r="N595" s="29"/>
      <c r="O595" s="29"/>
      <c r="P595" s="29"/>
      <c r="Q595" s="29"/>
      <c r="R595" s="29"/>
      <c r="S595" s="31"/>
      <c r="T595" s="29"/>
      <c r="U595" s="29"/>
      <c r="V595" s="29"/>
      <c r="W595" s="29"/>
      <c r="X595" s="29"/>
      <c r="Y595" s="29"/>
      <c r="Z595" s="29"/>
      <c r="AA595" s="29"/>
      <c r="AB595" s="29"/>
      <c r="AC595" s="31"/>
      <c r="AD595" s="29"/>
      <c r="AE595" s="29"/>
      <c r="AF595" s="29"/>
      <c r="AG595" s="31"/>
      <c r="AH595" s="29"/>
      <c r="AI595" s="32"/>
      <c r="AJ595" s="35"/>
      <c r="AK595" s="35"/>
      <c r="AL595" s="35"/>
      <c r="AM595" s="35"/>
    </row>
    <row r="596" spans="2:39" x14ac:dyDescent="0.25">
      <c r="B596" s="37"/>
      <c r="C596" s="28"/>
      <c r="D596" s="28"/>
      <c r="E596" s="28"/>
      <c r="F596" s="29"/>
      <c r="G596" s="29"/>
      <c r="H596" s="30"/>
      <c r="I596" s="28"/>
      <c r="J596" s="29"/>
      <c r="K596" s="29"/>
      <c r="L596" s="29"/>
      <c r="M596" s="29"/>
      <c r="N596" s="29"/>
      <c r="O596" s="29"/>
      <c r="P596" s="29"/>
      <c r="Q596" s="29"/>
      <c r="R596" s="29"/>
      <c r="S596" s="31"/>
      <c r="T596" s="29"/>
      <c r="U596" s="29"/>
      <c r="V596" s="29"/>
      <c r="W596" s="29"/>
      <c r="X596" s="29"/>
      <c r="Y596" s="29"/>
      <c r="Z596" s="29"/>
      <c r="AA596" s="29"/>
      <c r="AB596" s="29"/>
      <c r="AC596" s="31"/>
      <c r="AD596" s="29"/>
      <c r="AE596" s="29"/>
      <c r="AF596" s="29"/>
      <c r="AG596" s="31"/>
      <c r="AH596" s="29"/>
      <c r="AI596" s="32"/>
      <c r="AJ596" s="35"/>
      <c r="AK596" s="35"/>
      <c r="AL596" s="35"/>
      <c r="AM596" s="35"/>
    </row>
    <row r="597" spans="2:39" x14ac:dyDescent="0.25">
      <c r="B597" s="37"/>
      <c r="C597" s="28"/>
      <c r="D597" s="28"/>
      <c r="E597" s="28"/>
      <c r="F597" s="29"/>
      <c r="G597" s="29"/>
      <c r="H597" s="30"/>
      <c r="I597" s="28"/>
      <c r="J597" s="29"/>
      <c r="K597" s="29"/>
      <c r="L597" s="29"/>
      <c r="M597" s="29"/>
      <c r="N597" s="29"/>
      <c r="O597" s="29"/>
      <c r="P597" s="29"/>
      <c r="Q597" s="29"/>
      <c r="R597" s="29"/>
      <c r="S597" s="31"/>
      <c r="T597" s="29"/>
      <c r="U597" s="29"/>
      <c r="V597" s="29"/>
      <c r="W597" s="29"/>
      <c r="X597" s="29"/>
      <c r="Y597" s="29"/>
      <c r="Z597" s="29"/>
      <c r="AA597" s="29"/>
      <c r="AB597" s="29"/>
      <c r="AC597" s="31"/>
      <c r="AD597" s="29"/>
      <c r="AE597" s="29"/>
      <c r="AF597" s="29"/>
      <c r="AG597" s="31"/>
      <c r="AH597" s="29"/>
      <c r="AI597" s="32"/>
      <c r="AJ597" s="35"/>
      <c r="AK597" s="35"/>
      <c r="AL597" s="35"/>
      <c r="AM597" s="35"/>
    </row>
    <row r="598" spans="2:39" x14ac:dyDescent="0.25">
      <c r="B598" s="37"/>
      <c r="C598" s="28"/>
      <c r="D598" s="28"/>
      <c r="E598" s="28"/>
      <c r="F598" s="29"/>
      <c r="G598" s="29"/>
      <c r="H598" s="30"/>
      <c r="I598" s="28"/>
      <c r="J598" s="29"/>
      <c r="K598" s="29"/>
      <c r="L598" s="29"/>
      <c r="M598" s="29"/>
      <c r="N598" s="29"/>
      <c r="O598" s="29"/>
      <c r="P598" s="29"/>
      <c r="Q598" s="29"/>
      <c r="R598" s="29"/>
      <c r="S598" s="31"/>
      <c r="T598" s="29"/>
      <c r="U598" s="29"/>
      <c r="V598" s="29"/>
      <c r="W598" s="29"/>
      <c r="X598" s="29"/>
      <c r="Y598" s="29"/>
      <c r="Z598" s="29"/>
      <c r="AA598" s="29"/>
      <c r="AB598" s="29"/>
      <c r="AC598" s="31"/>
      <c r="AD598" s="29"/>
      <c r="AE598" s="29"/>
      <c r="AF598" s="29"/>
      <c r="AG598" s="31"/>
      <c r="AH598" s="29"/>
      <c r="AI598" s="32"/>
      <c r="AJ598" s="35"/>
      <c r="AK598" s="35"/>
      <c r="AL598" s="35"/>
      <c r="AM598" s="35"/>
    </row>
    <row r="599" spans="2:39" x14ac:dyDescent="0.25">
      <c r="B599" s="37"/>
      <c r="C599" s="28"/>
      <c r="D599" s="28"/>
      <c r="E599" s="28"/>
      <c r="F599" s="29"/>
      <c r="G599" s="29"/>
      <c r="H599" s="30"/>
      <c r="I599" s="28"/>
      <c r="J599" s="29"/>
      <c r="K599" s="29"/>
      <c r="L599" s="29"/>
      <c r="M599" s="29"/>
      <c r="N599" s="29"/>
      <c r="O599" s="29"/>
      <c r="P599" s="29"/>
      <c r="Q599" s="29"/>
      <c r="R599" s="29"/>
      <c r="S599" s="31"/>
      <c r="T599" s="29"/>
      <c r="U599" s="29"/>
      <c r="V599" s="29"/>
      <c r="W599" s="29"/>
      <c r="X599" s="29"/>
      <c r="Y599" s="29"/>
      <c r="Z599" s="29"/>
      <c r="AA599" s="29"/>
      <c r="AB599" s="29"/>
      <c r="AC599" s="31"/>
      <c r="AD599" s="29"/>
      <c r="AE599" s="29"/>
      <c r="AF599" s="29"/>
      <c r="AG599" s="31"/>
      <c r="AH599" s="29"/>
      <c r="AI599" s="32"/>
      <c r="AJ599" s="35"/>
      <c r="AK599" s="35"/>
      <c r="AL599" s="35"/>
      <c r="AM599" s="35"/>
    </row>
    <row r="600" spans="2:39" x14ac:dyDescent="0.25">
      <c r="B600" s="37"/>
      <c r="C600" s="28"/>
      <c r="D600" s="28"/>
      <c r="E600" s="28"/>
      <c r="F600" s="29"/>
      <c r="G600" s="29"/>
      <c r="H600" s="30"/>
      <c r="I600" s="28"/>
      <c r="J600" s="29"/>
      <c r="K600" s="29"/>
      <c r="L600" s="29"/>
      <c r="M600" s="29"/>
      <c r="N600" s="29"/>
      <c r="O600" s="29"/>
      <c r="P600" s="29"/>
      <c r="Q600" s="29"/>
      <c r="R600" s="29"/>
      <c r="S600" s="31"/>
      <c r="T600" s="29"/>
      <c r="U600" s="29"/>
      <c r="V600" s="29"/>
      <c r="W600" s="29"/>
      <c r="X600" s="29"/>
      <c r="Y600" s="29"/>
      <c r="Z600" s="29"/>
      <c r="AA600" s="29"/>
      <c r="AB600" s="29"/>
      <c r="AC600" s="31"/>
      <c r="AD600" s="29"/>
      <c r="AE600" s="29"/>
      <c r="AF600" s="29"/>
      <c r="AG600" s="31"/>
      <c r="AH600" s="29"/>
      <c r="AI600" s="32"/>
      <c r="AJ600" s="35"/>
      <c r="AK600" s="35"/>
      <c r="AL600" s="35"/>
      <c r="AM600" s="35"/>
    </row>
    <row r="601" spans="2:39" x14ac:dyDescent="0.25">
      <c r="B601" s="37"/>
      <c r="C601" s="28"/>
      <c r="D601" s="28"/>
      <c r="E601" s="28"/>
      <c r="F601" s="29"/>
      <c r="G601" s="29"/>
      <c r="H601" s="30"/>
      <c r="I601" s="28"/>
      <c r="J601" s="29"/>
      <c r="K601" s="29"/>
      <c r="L601" s="29"/>
      <c r="M601" s="29"/>
      <c r="N601" s="29"/>
      <c r="O601" s="29"/>
      <c r="P601" s="29"/>
      <c r="Q601" s="29"/>
      <c r="R601" s="29"/>
      <c r="S601" s="31"/>
      <c r="T601" s="29"/>
      <c r="U601" s="29"/>
      <c r="V601" s="29"/>
      <c r="W601" s="29"/>
      <c r="X601" s="29"/>
      <c r="Y601" s="29"/>
      <c r="Z601" s="29"/>
      <c r="AA601" s="29"/>
      <c r="AB601" s="29"/>
      <c r="AC601" s="31"/>
      <c r="AD601" s="29"/>
      <c r="AE601" s="29"/>
      <c r="AF601" s="29"/>
      <c r="AG601" s="31"/>
      <c r="AH601" s="29"/>
      <c r="AI601" s="32"/>
      <c r="AJ601" s="35"/>
      <c r="AK601" s="35"/>
      <c r="AL601" s="35"/>
      <c r="AM601" s="35"/>
    </row>
    <row r="602" spans="2:39" x14ac:dyDescent="0.25">
      <c r="B602" s="37"/>
      <c r="C602" s="28"/>
      <c r="D602" s="28"/>
      <c r="E602" s="28"/>
      <c r="F602" s="29"/>
      <c r="G602" s="29"/>
      <c r="H602" s="30"/>
      <c r="I602" s="28"/>
      <c r="J602" s="29"/>
      <c r="K602" s="29"/>
      <c r="L602" s="29"/>
      <c r="M602" s="29"/>
      <c r="N602" s="29"/>
      <c r="O602" s="29"/>
      <c r="P602" s="29"/>
      <c r="Q602" s="29"/>
      <c r="R602" s="29"/>
      <c r="S602" s="31"/>
      <c r="T602" s="29"/>
      <c r="U602" s="29"/>
      <c r="V602" s="29"/>
      <c r="W602" s="29"/>
      <c r="X602" s="29"/>
      <c r="Y602" s="29"/>
      <c r="Z602" s="29"/>
      <c r="AA602" s="29"/>
      <c r="AB602" s="29"/>
      <c r="AC602" s="31"/>
      <c r="AD602" s="29"/>
      <c r="AE602" s="29"/>
      <c r="AF602" s="29"/>
      <c r="AG602" s="31"/>
      <c r="AH602" s="29"/>
      <c r="AI602" s="32"/>
      <c r="AJ602" s="35"/>
      <c r="AK602" s="35"/>
      <c r="AL602" s="35"/>
      <c r="AM602" s="35"/>
    </row>
    <row r="603" spans="2:39" x14ac:dyDescent="0.25">
      <c r="B603" s="37"/>
      <c r="C603" s="28"/>
      <c r="D603" s="28"/>
      <c r="E603" s="28"/>
      <c r="F603" s="29"/>
      <c r="G603" s="29"/>
      <c r="H603" s="30"/>
      <c r="I603" s="28"/>
      <c r="J603" s="29"/>
      <c r="K603" s="29"/>
      <c r="L603" s="29"/>
      <c r="M603" s="29"/>
      <c r="N603" s="29"/>
      <c r="O603" s="29"/>
      <c r="P603" s="29"/>
      <c r="Q603" s="29"/>
      <c r="R603" s="29"/>
      <c r="S603" s="31"/>
      <c r="T603" s="29"/>
      <c r="U603" s="29"/>
      <c r="V603" s="29"/>
      <c r="W603" s="29"/>
      <c r="X603" s="29"/>
      <c r="Y603" s="29"/>
      <c r="Z603" s="29"/>
      <c r="AA603" s="29"/>
      <c r="AB603" s="29"/>
      <c r="AC603" s="31"/>
      <c r="AD603" s="29"/>
      <c r="AE603" s="29"/>
      <c r="AF603" s="29"/>
      <c r="AG603" s="31"/>
      <c r="AH603" s="29"/>
      <c r="AI603" s="32"/>
      <c r="AJ603" s="35"/>
      <c r="AK603" s="35"/>
      <c r="AL603" s="35"/>
      <c r="AM603" s="35"/>
    </row>
    <row r="604" spans="2:39" x14ac:dyDescent="0.25">
      <c r="B604" s="37"/>
      <c r="C604" s="28"/>
      <c r="D604" s="28"/>
      <c r="E604" s="28"/>
      <c r="F604" s="29"/>
      <c r="G604" s="29"/>
      <c r="H604" s="30"/>
      <c r="I604" s="28"/>
      <c r="J604" s="29"/>
      <c r="K604" s="29"/>
      <c r="L604" s="29"/>
      <c r="M604" s="29"/>
      <c r="N604" s="29"/>
      <c r="O604" s="29"/>
      <c r="P604" s="29"/>
      <c r="Q604" s="29"/>
      <c r="R604" s="29"/>
      <c r="S604" s="31"/>
      <c r="T604" s="29"/>
      <c r="U604" s="29"/>
      <c r="V604" s="29"/>
      <c r="W604" s="29"/>
      <c r="X604" s="29"/>
      <c r="Y604" s="29"/>
      <c r="Z604" s="29"/>
      <c r="AA604" s="29"/>
      <c r="AB604" s="29"/>
      <c r="AC604" s="31"/>
      <c r="AD604" s="29"/>
      <c r="AE604" s="29"/>
      <c r="AF604" s="29"/>
      <c r="AG604" s="31"/>
      <c r="AH604" s="29"/>
      <c r="AI604" s="32"/>
      <c r="AJ604" s="35"/>
      <c r="AK604" s="35"/>
      <c r="AL604" s="35"/>
      <c r="AM604" s="35"/>
    </row>
    <row r="605" spans="2:39" x14ac:dyDescent="0.25">
      <c r="B605" s="37"/>
      <c r="C605" s="28"/>
      <c r="D605" s="28"/>
      <c r="E605" s="28"/>
      <c r="F605" s="29"/>
      <c r="G605" s="29"/>
      <c r="H605" s="30"/>
      <c r="I605" s="28"/>
      <c r="J605" s="29"/>
      <c r="K605" s="29"/>
      <c r="L605" s="29"/>
      <c r="M605" s="29"/>
      <c r="N605" s="29"/>
      <c r="O605" s="29"/>
      <c r="P605" s="29"/>
      <c r="Q605" s="29"/>
      <c r="R605" s="29"/>
      <c r="S605" s="31"/>
      <c r="T605" s="29"/>
      <c r="U605" s="29"/>
      <c r="V605" s="29"/>
      <c r="W605" s="29"/>
      <c r="X605" s="29"/>
      <c r="Y605" s="29"/>
      <c r="Z605" s="29"/>
      <c r="AA605" s="29"/>
      <c r="AB605" s="29"/>
      <c r="AC605" s="31"/>
      <c r="AD605" s="29"/>
      <c r="AE605" s="29"/>
      <c r="AF605" s="29"/>
      <c r="AG605" s="31"/>
      <c r="AH605" s="29"/>
      <c r="AI605" s="32"/>
      <c r="AJ605" s="35"/>
      <c r="AK605" s="35"/>
      <c r="AL605" s="35"/>
      <c r="AM605" s="35"/>
    </row>
    <row r="606" spans="2:39" x14ac:dyDescent="0.25">
      <c r="B606" s="37"/>
      <c r="C606" s="28"/>
      <c r="D606" s="28"/>
      <c r="E606" s="28"/>
      <c r="F606" s="29"/>
      <c r="G606" s="29"/>
      <c r="H606" s="30"/>
      <c r="I606" s="28"/>
      <c r="J606" s="29"/>
      <c r="K606" s="29"/>
      <c r="L606" s="29"/>
      <c r="M606" s="29"/>
      <c r="N606" s="29"/>
      <c r="O606" s="29"/>
      <c r="P606" s="29"/>
      <c r="Q606" s="29"/>
      <c r="R606" s="29"/>
      <c r="S606" s="31"/>
      <c r="T606" s="29"/>
      <c r="U606" s="29"/>
      <c r="V606" s="29"/>
      <c r="W606" s="29"/>
      <c r="X606" s="29"/>
      <c r="Y606" s="29"/>
      <c r="Z606" s="29"/>
      <c r="AA606" s="29"/>
      <c r="AB606" s="29"/>
      <c r="AC606" s="31"/>
      <c r="AD606" s="29"/>
      <c r="AE606" s="29"/>
      <c r="AF606" s="29"/>
      <c r="AG606" s="31"/>
      <c r="AH606" s="29"/>
      <c r="AI606" s="32"/>
      <c r="AJ606" s="35"/>
      <c r="AK606" s="35"/>
      <c r="AL606" s="35"/>
      <c r="AM606" s="35"/>
    </row>
    <row r="607" spans="2:39" x14ac:dyDescent="0.25">
      <c r="B607" s="37"/>
      <c r="C607" s="28"/>
      <c r="D607" s="28"/>
      <c r="E607" s="28"/>
      <c r="F607" s="29"/>
      <c r="G607" s="29"/>
      <c r="H607" s="30"/>
      <c r="I607" s="28"/>
      <c r="J607" s="29"/>
      <c r="K607" s="29"/>
      <c r="L607" s="29"/>
      <c r="M607" s="29"/>
      <c r="N607" s="29"/>
      <c r="O607" s="29"/>
      <c r="P607" s="29"/>
      <c r="Q607" s="29"/>
      <c r="R607" s="29"/>
      <c r="S607" s="31"/>
      <c r="T607" s="29"/>
      <c r="U607" s="29"/>
      <c r="V607" s="29"/>
      <c r="W607" s="29"/>
      <c r="X607" s="29"/>
      <c r="Y607" s="29"/>
      <c r="Z607" s="29"/>
      <c r="AA607" s="29"/>
      <c r="AB607" s="29"/>
      <c r="AC607" s="31"/>
      <c r="AD607" s="29"/>
      <c r="AE607" s="29"/>
      <c r="AF607" s="29"/>
      <c r="AG607" s="31"/>
      <c r="AH607" s="29"/>
      <c r="AI607" s="32"/>
      <c r="AJ607" s="35"/>
      <c r="AK607" s="35"/>
      <c r="AL607" s="35"/>
      <c r="AM607" s="35"/>
    </row>
    <row r="608" spans="2:39" x14ac:dyDescent="0.25">
      <c r="B608" s="37"/>
      <c r="C608" s="28"/>
      <c r="D608" s="28"/>
      <c r="E608" s="28"/>
      <c r="F608" s="29"/>
      <c r="G608" s="29"/>
      <c r="H608" s="30"/>
      <c r="I608" s="28"/>
      <c r="J608" s="29"/>
      <c r="K608" s="29"/>
      <c r="L608" s="29"/>
      <c r="M608" s="29"/>
      <c r="N608" s="29"/>
      <c r="O608" s="29"/>
      <c r="P608" s="29"/>
      <c r="Q608" s="29"/>
      <c r="R608" s="29"/>
      <c r="S608" s="31"/>
      <c r="T608" s="29"/>
      <c r="U608" s="29"/>
      <c r="V608" s="29"/>
      <c r="W608" s="29"/>
      <c r="X608" s="29"/>
      <c r="Y608" s="29"/>
      <c r="Z608" s="29"/>
      <c r="AA608" s="29"/>
      <c r="AB608" s="29"/>
      <c r="AC608" s="31"/>
      <c r="AD608" s="29"/>
      <c r="AE608" s="29"/>
      <c r="AF608" s="29"/>
      <c r="AG608" s="31"/>
      <c r="AH608" s="29"/>
      <c r="AI608" s="32"/>
      <c r="AJ608" s="35"/>
      <c r="AK608" s="35"/>
      <c r="AL608" s="35"/>
      <c r="AM608" s="35"/>
    </row>
    <row r="609" spans="2:39" x14ac:dyDescent="0.25">
      <c r="B609" s="37"/>
      <c r="C609" s="28"/>
      <c r="D609" s="28"/>
      <c r="E609" s="28"/>
      <c r="F609" s="29"/>
      <c r="G609" s="29"/>
      <c r="H609" s="30"/>
      <c r="I609" s="28"/>
      <c r="J609" s="29"/>
      <c r="K609" s="29"/>
      <c r="L609" s="29"/>
      <c r="M609" s="29"/>
      <c r="N609" s="29"/>
      <c r="O609" s="29"/>
      <c r="P609" s="29"/>
      <c r="Q609" s="29"/>
      <c r="R609" s="29"/>
      <c r="S609" s="31"/>
      <c r="T609" s="29"/>
      <c r="U609" s="29"/>
      <c r="V609" s="29"/>
      <c r="W609" s="29"/>
      <c r="X609" s="29"/>
      <c r="Y609" s="29"/>
      <c r="Z609" s="29"/>
      <c r="AA609" s="29"/>
      <c r="AB609" s="29"/>
      <c r="AC609" s="31"/>
      <c r="AD609" s="29"/>
      <c r="AE609" s="29"/>
      <c r="AF609" s="29"/>
      <c r="AG609" s="31"/>
      <c r="AH609" s="29"/>
      <c r="AI609" s="32"/>
      <c r="AJ609" s="35"/>
      <c r="AK609" s="35"/>
      <c r="AL609" s="35"/>
      <c r="AM609" s="35"/>
    </row>
    <row r="610" spans="2:39" x14ac:dyDescent="0.25">
      <c r="B610" s="37"/>
      <c r="C610" s="28"/>
      <c r="D610" s="28"/>
      <c r="E610" s="28"/>
      <c r="F610" s="29"/>
      <c r="G610" s="29"/>
      <c r="H610" s="30"/>
      <c r="I610" s="28"/>
      <c r="J610" s="29"/>
      <c r="K610" s="29"/>
      <c r="L610" s="29"/>
      <c r="M610" s="29"/>
      <c r="N610" s="29"/>
      <c r="O610" s="29"/>
      <c r="P610" s="29"/>
      <c r="Q610" s="29"/>
      <c r="R610" s="29"/>
      <c r="S610" s="31"/>
      <c r="T610" s="29"/>
      <c r="U610" s="29"/>
      <c r="V610" s="29"/>
      <c r="W610" s="29"/>
      <c r="X610" s="29"/>
      <c r="Y610" s="29"/>
      <c r="Z610" s="29"/>
      <c r="AA610" s="29"/>
      <c r="AB610" s="29"/>
      <c r="AC610" s="31"/>
      <c r="AD610" s="29"/>
      <c r="AE610" s="29"/>
      <c r="AF610" s="29"/>
      <c r="AG610" s="31"/>
      <c r="AH610" s="29"/>
      <c r="AI610" s="32"/>
      <c r="AJ610" s="35"/>
      <c r="AK610" s="35"/>
      <c r="AL610" s="35"/>
      <c r="AM610" s="35"/>
    </row>
    <row r="611" spans="2:39" x14ac:dyDescent="0.25">
      <c r="B611" s="37"/>
      <c r="C611" s="28"/>
      <c r="D611" s="28"/>
      <c r="E611" s="28"/>
      <c r="F611" s="29"/>
      <c r="G611" s="29"/>
      <c r="H611" s="30"/>
      <c r="I611" s="28"/>
      <c r="J611" s="29"/>
      <c r="K611" s="29"/>
      <c r="L611" s="29"/>
      <c r="M611" s="29"/>
      <c r="N611" s="29"/>
      <c r="O611" s="29"/>
      <c r="P611" s="29"/>
      <c r="Q611" s="29"/>
      <c r="R611" s="29"/>
      <c r="S611" s="31"/>
      <c r="T611" s="29"/>
      <c r="U611" s="29"/>
      <c r="V611" s="29"/>
      <c r="W611" s="29"/>
      <c r="X611" s="29"/>
      <c r="Y611" s="29"/>
      <c r="Z611" s="29"/>
      <c r="AA611" s="29"/>
      <c r="AB611" s="29"/>
      <c r="AC611" s="31"/>
      <c r="AD611" s="29"/>
      <c r="AE611" s="29"/>
      <c r="AF611" s="29"/>
      <c r="AG611" s="31"/>
      <c r="AH611" s="29"/>
      <c r="AI611" s="32"/>
      <c r="AJ611" s="35"/>
      <c r="AK611" s="35"/>
      <c r="AL611" s="35"/>
      <c r="AM611" s="35"/>
    </row>
    <row r="612" spans="2:39" x14ac:dyDescent="0.25">
      <c r="B612" s="37"/>
      <c r="C612" s="28"/>
      <c r="D612" s="28"/>
      <c r="E612" s="28"/>
      <c r="F612" s="29"/>
      <c r="G612" s="29"/>
      <c r="H612" s="30"/>
      <c r="I612" s="28"/>
      <c r="J612" s="29"/>
      <c r="K612" s="29"/>
      <c r="L612" s="29"/>
      <c r="M612" s="29"/>
      <c r="N612" s="29"/>
      <c r="O612" s="29"/>
      <c r="P612" s="29"/>
      <c r="Q612" s="29"/>
      <c r="R612" s="29"/>
      <c r="S612" s="31"/>
      <c r="T612" s="29"/>
      <c r="U612" s="29"/>
      <c r="V612" s="29"/>
      <c r="W612" s="29"/>
      <c r="X612" s="29"/>
      <c r="Y612" s="29"/>
      <c r="Z612" s="29"/>
      <c r="AA612" s="29"/>
      <c r="AB612" s="29"/>
      <c r="AC612" s="31"/>
      <c r="AD612" s="29"/>
      <c r="AE612" s="29"/>
      <c r="AF612" s="29"/>
      <c r="AG612" s="31"/>
      <c r="AH612" s="29"/>
      <c r="AI612" s="32"/>
      <c r="AJ612" s="35"/>
      <c r="AK612" s="35"/>
      <c r="AL612" s="35"/>
      <c r="AM612" s="35"/>
    </row>
    <row r="613" spans="2:39" x14ac:dyDescent="0.25">
      <c r="B613" s="37"/>
      <c r="C613" s="28"/>
      <c r="D613" s="28"/>
      <c r="E613" s="28"/>
      <c r="F613" s="29"/>
      <c r="G613" s="29"/>
      <c r="H613" s="30"/>
      <c r="I613" s="28"/>
      <c r="J613" s="29"/>
      <c r="K613" s="29"/>
      <c r="L613" s="29"/>
      <c r="M613" s="29"/>
      <c r="N613" s="29"/>
      <c r="O613" s="29"/>
      <c r="P613" s="29"/>
      <c r="Q613" s="29"/>
      <c r="R613" s="29"/>
      <c r="S613" s="31"/>
      <c r="T613" s="29"/>
      <c r="U613" s="29"/>
      <c r="V613" s="29"/>
      <c r="W613" s="29"/>
      <c r="X613" s="29"/>
      <c r="Y613" s="29"/>
      <c r="Z613" s="29"/>
      <c r="AA613" s="29"/>
      <c r="AB613" s="29"/>
      <c r="AC613" s="31"/>
      <c r="AD613" s="29"/>
      <c r="AE613" s="29"/>
      <c r="AF613" s="29"/>
      <c r="AG613" s="31"/>
      <c r="AH613" s="29"/>
      <c r="AI613" s="32"/>
      <c r="AJ613" s="35"/>
      <c r="AK613" s="35"/>
      <c r="AL613" s="35"/>
      <c r="AM613" s="35"/>
    </row>
    <row r="614" spans="2:39" x14ac:dyDescent="0.25">
      <c r="B614" s="37"/>
      <c r="C614" s="28"/>
      <c r="D614" s="28"/>
      <c r="E614" s="28"/>
      <c r="F614" s="29"/>
      <c r="G614" s="29"/>
      <c r="H614" s="30"/>
      <c r="I614" s="28"/>
      <c r="J614" s="29"/>
      <c r="K614" s="29"/>
      <c r="L614" s="29"/>
      <c r="M614" s="29"/>
      <c r="N614" s="29"/>
      <c r="O614" s="29"/>
      <c r="P614" s="29"/>
      <c r="Q614" s="29"/>
      <c r="R614" s="29"/>
      <c r="S614" s="31"/>
      <c r="T614" s="29"/>
      <c r="U614" s="29"/>
      <c r="V614" s="29"/>
      <c r="W614" s="29"/>
      <c r="X614" s="29"/>
      <c r="Y614" s="29"/>
      <c r="Z614" s="29"/>
      <c r="AA614" s="29"/>
      <c r="AB614" s="29"/>
      <c r="AC614" s="31"/>
      <c r="AD614" s="29"/>
      <c r="AE614" s="29"/>
      <c r="AF614" s="29"/>
      <c r="AG614" s="31"/>
      <c r="AH614" s="29"/>
      <c r="AI614" s="32"/>
      <c r="AJ614" s="35"/>
      <c r="AK614" s="35"/>
      <c r="AL614" s="35"/>
      <c r="AM614" s="35"/>
    </row>
    <row r="615" spans="2:39" x14ac:dyDescent="0.25">
      <c r="B615" s="37"/>
      <c r="C615" s="28"/>
      <c r="D615" s="28"/>
      <c r="E615" s="28"/>
      <c r="F615" s="29"/>
      <c r="G615" s="29"/>
      <c r="H615" s="30"/>
      <c r="I615" s="28"/>
      <c r="J615" s="29"/>
      <c r="K615" s="29"/>
      <c r="L615" s="29"/>
      <c r="M615" s="29"/>
      <c r="N615" s="29"/>
      <c r="O615" s="29"/>
      <c r="P615" s="29"/>
      <c r="Q615" s="29"/>
      <c r="R615" s="29"/>
      <c r="S615" s="31"/>
      <c r="T615" s="29"/>
      <c r="U615" s="29"/>
      <c r="V615" s="29"/>
      <c r="W615" s="29"/>
      <c r="X615" s="29"/>
      <c r="Y615" s="29"/>
      <c r="Z615" s="29"/>
      <c r="AA615" s="29"/>
      <c r="AB615" s="29"/>
      <c r="AC615" s="31"/>
      <c r="AD615" s="29"/>
      <c r="AE615" s="29"/>
      <c r="AF615" s="29"/>
      <c r="AG615" s="31"/>
      <c r="AH615" s="29"/>
      <c r="AI615" s="32"/>
      <c r="AJ615" s="35"/>
      <c r="AK615" s="35"/>
      <c r="AL615" s="35"/>
      <c r="AM615" s="35"/>
    </row>
    <row r="616" spans="2:39" x14ac:dyDescent="0.25">
      <c r="B616" s="37"/>
      <c r="C616" s="28"/>
      <c r="D616" s="28"/>
      <c r="E616" s="28"/>
      <c r="F616" s="29"/>
      <c r="G616" s="29"/>
      <c r="H616" s="30"/>
      <c r="I616" s="28"/>
      <c r="J616" s="29"/>
      <c r="K616" s="29"/>
      <c r="L616" s="29"/>
      <c r="M616" s="29"/>
      <c r="N616" s="29"/>
      <c r="O616" s="29"/>
      <c r="P616" s="29"/>
      <c r="Q616" s="29"/>
      <c r="R616" s="29"/>
      <c r="S616" s="31"/>
      <c r="T616" s="29"/>
      <c r="U616" s="29"/>
      <c r="V616" s="29"/>
      <c r="W616" s="29"/>
      <c r="X616" s="29"/>
      <c r="Y616" s="29"/>
      <c r="Z616" s="29"/>
      <c r="AA616" s="29"/>
      <c r="AB616" s="29"/>
      <c r="AC616" s="31"/>
      <c r="AD616" s="29"/>
      <c r="AE616" s="29"/>
      <c r="AF616" s="29"/>
      <c r="AG616" s="31"/>
      <c r="AH616" s="29"/>
      <c r="AI616" s="32"/>
      <c r="AJ616" s="35"/>
      <c r="AK616" s="35"/>
      <c r="AL616" s="35"/>
      <c r="AM616" s="35"/>
    </row>
    <row r="617" spans="2:39" x14ac:dyDescent="0.25">
      <c r="B617" s="37"/>
      <c r="C617" s="28"/>
      <c r="D617" s="28"/>
      <c r="E617" s="28"/>
      <c r="F617" s="29"/>
      <c r="G617" s="29"/>
      <c r="H617" s="30"/>
      <c r="I617" s="28"/>
      <c r="J617" s="29"/>
      <c r="K617" s="29"/>
      <c r="L617" s="29"/>
      <c r="M617" s="29"/>
      <c r="N617" s="29"/>
      <c r="O617" s="29"/>
      <c r="P617" s="29"/>
      <c r="Q617" s="29"/>
      <c r="R617" s="29"/>
      <c r="S617" s="31"/>
      <c r="T617" s="29"/>
      <c r="U617" s="29"/>
      <c r="V617" s="29"/>
      <c r="W617" s="29"/>
      <c r="X617" s="29"/>
      <c r="Y617" s="29"/>
      <c r="Z617" s="29"/>
      <c r="AA617" s="29"/>
      <c r="AB617" s="29"/>
      <c r="AC617" s="31"/>
      <c r="AD617" s="29"/>
      <c r="AE617" s="29"/>
      <c r="AF617" s="29"/>
      <c r="AG617" s="31"/>
      <c r="AH617" s="29"/>
      <c r="AI617" s="32"/>
      <c r="AJ617" s="35"/>
      <c r="AK617" s="35"/>
      <c r="AL617" s="35"/>
      <c r="AM617" s="35"/>
    </row>
    <row r="618" spans="2:39" x14ac:dyDescent="0.25">
      <c r="B618" s="37"/>
      <c r="C618" s="28"/>
      <c r="D618" s="28"/>
      <c r="E618" s="28"/>
      <c r="F618" s="29"/>
      <c r="G618" s="29"/>
      <c r="H618" s="30"/>
      <c r="I618" s="28"/>
      <c r="J618" s="29"/>
      <c r="K618" s="29"/>
      <c r="L618" s="29"/>
      <c r="M618" s="29"/>
      <c r="N618" s="29"/>
      <c r="O618" s="29"/>
      <c r="P618" s="29"/>
      <c r="Q618" s="29"/>
      <c r="R618" s="29"/>
      <c r="S618" s="31"/>
      <c r="T618" s="29"/>
      <c r="U618" s="29"/>
      <c r="V618" s="29"/>
      <c r="W618" s="29"/>
      <c r="X618" s="29"/>
      <c r="Y618" s="29"/>
      <c r="Z618" s="29"/>
      <c r="AA618" s="29"/>
      <c r="AB618" s="29"/>
      <c r="AC618" s="31"/>
      <c r="AD618" s="29"/>
      <c r="AE618" s="29"/>
      <c r="AF618" s="29"/>
      <c r="AG618" s="31"/>
      <c r="AH618" s="29"/>
      <c r="AI618" s="32"/>
      <c r="AJ618" s="35"/>
      <c r="AK618" s="35"/>
      <c r="AL618" s="35"/>
      <c r="AM618" s="35"/>
    </row>
    <row r="619" spans="2:39" x14ac:dyDescent="0.25">
      <c r="B619" s="37"/>
      <c r="C619" s="28"/>
      <c r="D619" s="28"/>
      <c r="E619" s="28"/>
      <c r="F619" s="29"/>
      <c r="G619" s="29"/>
      <c r="H619" s="30"/>
      <c r="I619" s="28"/>
      <c r="J619" s="29"/>
      <c r="K619" s="29"/>
      <c r="L619" s="29"/>
      <c r="M619" s="29"/>
      <c r="N619" s="29"/>
      <c r="O619" s="29"/>
      <c r="P619" s="29"/>
      <c r="Q619" s="29"/>
      <c r="R619" s="29"/>
      <c r="S619" s="31"/>
      <c r="T619" s="29"/>
      <c r="U619" s="29"/>
      <c r="V619" s="29"/>
      <c r="W619" s="29"/>
      <c r="X619" s="29"/>
      <c r="Y619" s="29"/>
      <c r="Z619" s="29"/>
      <c r="AA619" s="29"/>
      <c r="AB619" s="29"/>
      <c r="AC619" s="31"/>
      <c r="AD619" s="29"/>
      <c r="AE619" s="29"/>
      <c r="AF619" s="29"/>
      <c r="AG619" s="31"/>
      <c r="AH619" s="29"/>
      <c r="AI619" s="32"/>
      <c r="AJ619" s="35"/>
      <c r="AK619" s="35"/>
      <c r="AL619" s="35"/>
      <c r="AM619" s="35"/>
    </row>
    <row r="620" spans="2:39" x14ac:dyDescent="0.25">
      <c r="B620" s="37"/>
      <c r="C620" s="28"/>
      <c r="D620" s="28"/>
      <c r="E620" s="28"/>
      <c r="F620" s="29"/>
      <c r="G620" s="29"/>
      <c r="H620" s="30"/>
      <c r="I620" s="28"/>
      <c r="J620" s="29"/>
      <c r="K620" s="29"/>
      <c r="L620" s="29"/>
      <c r="M620" s="29"/>
      <c r="N620" s="29"/>
      <c r="O620" s="29"/>
      <c r="P620" s="29"/>
      <c r="Q620" s="29"/>
      <c r="R620" s="29"/>
      <c r="S620" s="31"/>
      <c r="T620" s="29"/>
      <c r="U620" s="29"/>
      <c r="V620" s="29"/>
      <c r="W620" s="29"/>
      <c r="X620" s="29"/>
      <c r="Y620" s="29"/>
      <c r="Z620" s="29"/>
      <c r="AA620" s="29"/>
      <c r="AB620" s="29"/>
      <c r="AC620" s="31"/>
      <c r="AD620" s="29"/>
      <c r="AE620" s="29"/>
      <c r="AF620" s="29"/>
      <c r="AG620" s="31"/>
      <c r="AH620" s="29"/>
      <c r="AI620" s="32"/>
      <c r="AJ620" s="35"/>
      <c r="AK620" s="35"/>
      <c r="AL620" s="35"/>
      <c r="AM620" s="35"/>
    </row>
    <row r="621" spans="2:39" x14ac:dyDescent="0.25">
      <c r="B621" s="37"/>
      <c r="C621" s="28"/>
      <c r="D621" s="28"/>
      <c r="E621" s="28"/>
      <c r="F621" s="29"/>
      <c r="G621" s="29"/>
      <c r="H621" s="30"/>
      <c r="I621" s="28"/>
      <c r="J621" s="29"/>
      <c r="K621" s="29"/>
      <c r="L621" s="29"/>
      <c r="M621" s="29"/>
      <c r="N621" s="29"/>
      <c r="O621" s="29"/>
      <c r="P621" s="29"/>
      <c r="Q621" s="29"/>
      <c r="R621" s="29"/>
      <c r="S621" s="31"/>
      <c r="T621" s="29"/>
      <c r="U621" s="29"/>
      <c r="V621" s="29"/>
      <c r="W621" s="29"/>
      <c r="X621" s="29"/>
      <c r="Y621" s="29"/>
      <c r="Z621" s="29"/>
      <c r="AA621" s="29"/>
      <c r="AB621" s="29"/>
      <c r="AC621" s="31"/>
      <c r="AD621" s="29"/>
      <c r="AE621" s="29"/>
      <c r="AF621" s="29"/>
      <c r="AG621" s="31"/>
      <c r="AH621" s="29"/>
      <c r="AI621" s="32"/>
      <c r="AJ621" s="35"/>
      <c r="AK621" s="35"/>
      <c r="AL621" s="35"/>
      <c r="AM621" s="35"/>
    </row>
    <row r="622" spans="2:39" x14ac:dyDescent="0.25">
      <c r="B622" s="37"/>
      <c r="C622" s="28"/>
      <c r="D622" s="28"/>
      <c r="E622" s="28"/>
      <c r="F622" s="29"/>
      <c r="G622" s="29"/>
      <c r="H622" s="30"/>
      <c r="I622" s="28"/>
      <c r="J622" s="29"/>
      <c r="K622" s="29"/>
      <c r="L622" s="29"/>
      <c r="M622" s="29"/>
      <c r="N622" s="29"/>
      <c r="O622" s="29"/>
      <c r="P622" s="29"/>
      <c r="Q622" s="29"/>
      <c r="R622" s="29"/>
      <c r="S622" s="31"/>
      <c r="T622" s="29"/>
      <c r="U622" s="29"/>
      <c r="V622" s="29"/>
      <c r="W622" s="29"/>
      <c r="X622" s="29"/>
      <c r="Y622" s="29"/>
      <c r="Z622" s="29"/>
      <c r="AA622" s="29"/>
      <c r="AB622" s="29"/>
      <c r="AC622" s="31"/>
      <c r="AD622" s="29"/>
      <c r="AE622" s="29"/>
      <c r="AF622" s="29"/>
      <c r="AG622" s="31"/>
      <c r="AH622" s="29"/>
      <c r="AI622" s="32"/>
      <c r="AJ622" s="35"/>
      <c r="AK622" s="35"/>
      <c r="AL622" s="35"/>
      <c r="AM622" s="35"/>
    </row>
    <row r="623" spans="2:39" x14ac:dyDescent="0.25">
      <c r="B623" s="37"/>
      <c r="C623" s="28"/>
      <c r="D623" s="28"/>
      <c r="E623" s="28"/>
      <c r="F623" s="29"/>
      <c r="G623" s="29"/>
      <c r="H623" s="30"/>
      <c r="I623" s="28"/>
      <c r="J623" s="29"/>
      <c r="K623" s="29"/>
      <c r="L623" s="29"/>
      <c r="M623" s="29"/>
      <c r="N623" s="29"/>
      <c r="O623" s="29"/>
      <c r="P623" s="29"/>
      <c r="Q623" s="29"/>
      <c r="R623" s="29"/>
      <c r="S623" s="31"/>
      <c r="T623" s="29"/>
      <c r="U623" s="29"/>
      <c r="V623" s="29"/>
      <c r="W623" s="29"/>
      <c r="X623" s="29"/>
      <c r="Y623" s="29"/>
      <c r="Z623" s="29"/>
      <c r="AA623" s="29"/>
      <c r="AB623" s="29"/>
      <c r="AC623" s="31"/>
      <c r="AD623" s="29"/>
      <c r="AE623" s="29"/>
      <c r="AF623" s="29"/>
      <c r="AG623" s="31"/>
      <c r="AH623" s="29"/>
      <c r="AI623" s="32"/>
      <c r="AJ623" s="35"/>
      <c r="AK623" s="35"/>
      <c r="AL623" s="35"/>
      <c r="AM623" s="35"/>
    </row>
    <row r="624" spans="2:39" x14ac:dyDescent="0.25">
      <c r="B624" s="37"/>
      <c r="C624" s="28"/>
      <c r="D624" s="28"/>
      <c r="E624" s="28"/>
      <c r="F624" s="29"/>
      <c r="G624" s="29"/>
      <c r="H624" s="30"/>
      <c r="I624" s="28"/>
      <c r="J624" s="29"/>
      <c r="K624" s="29"/>
      <c r="L624" s="29"/>
      <c r="M624" s="29"/>
      <c r="N624" s="29"/>
      <c r="O624" s="29"/>
      <c r="P624" s="29"/>
      <c r="Q624" s="29"/>
      <c r="R624" s="29"/>
      <c r="S624" s="31"/>
      <c r="T624" s="29"/>
      <c r="U624" s="29"/>
      <c r="V624" s="29"/>
      <c r="W624" s="29"/>
      <c r="X624" s="29"/>
      <c r="Y624" s="29"/>
      <c r="Z624" s="29"/>
      <c r="AA624" s="29"/>
      <c r="AB624" s="29"/>
      <c r="AC624" s="31"/>
      <c r="AD624" s="29"/>
      <c r="AE624" s="29"/>
      <c r="AF624" s="29"/>
      <c r="AG624" s="31"/>
      <c r="AH624" s="29"/>
      <c r="AI624" s="32"/>
      <c r="AJ624" s="35"/>
      <c r="AK624" s="35"/>
      <c r="AL624" s="35"/>
      <c r="AM624" s="35"/>
    </row>
    <row r="625" spans="2:39" x14ac:dyDescent="0.25">
      <c r="B625" s="37"/>
      <c r="C625" s="28"/>
      <c r="D625" s="28"/>
      <c r="E625" s="28"/>
      <c r="F625" s="29"/>
      <c r="G625" s="29"/>
      <c r="H625" s="30"/>
      <c r="I625" s="28"/>
      <c r="J625" s="29"/>
      <c r="K625" s="29"/>
      <c r="L625" s="29"/>
      <c r="M625" s="29"/>
      <c r="N625" s="29"/>
      <c r="O625" s="29"/>
      <c r="P625" s="29"/>
      <c r="Q625" s="29"/>
      <c r="R625" s="29"/>
      <c r="S625" s="31"/>
      <c r="T625" s="29"/>
      <c r="U625" s="29"/>
      <c r="V625" s="29"/>
      <c r="W625" s="29"/>
      <c r="X625" s="29"/>
      <c r="Y625" s="29"/>
      <c r="Z625" s="29"/>
      <c r="AA625" s="29"/>
      <c r="AB625" s="29"/>
      <c r="AC625" s="31"/>
      <c r="AD625" s="29"/>
      <c r="AE625" s="29"/>
      <c r="AF625" s="29"/>
      <c r="AG625" s="31"/>
      <c r="AH625" s="29"/>
      <c r="AI625" s="32"/>
      <c r="AJ625" s="35"/>
      <c r="AK625" s="35"/>
      <c r="AL625" s="35"/>
      <c r="AM625" s="35"/>
    </row>
    <row r="626" spans="2:39" x14ac:dyDescent="0.25">
      <c r="B626" s="37"/>
      <c r="C626" s="28"/>
      <c r="D626" s="28"/>
      <c r="E626" s="28"/>
      <c r="F626" s="29"/>
      <c r="G626" s="29"/>
      <c r="H626" s="30"/>
      <c r="I626" s="28"/>
      <c r="J626" s="29"/>
      <c r="K626" s="29"/>
      <c r="L626" s="29"/>
      <c r="M626" s="29"/>
      <c r="N626" s="29"/>
      <c r="O626" s="29"/>
      <c r="P626" s="29"/>
      <c r="Q626" s="29"/>
      <c r="R626" s="29"/>
      <c r="S626" s="31"/>
      <c r="T626" s="29"/>
      <c r="U626" s="29"/>
      <c r="V626" s="29"/>
      <c r="W626" s="29"/>
      <c r="X626" s="29"/>
      <c r="Y626" s="29"/>
      <c r="Z626" s="29"/>
      <c r="AA626" s="29"/>
      <c r="AB626" s="29"/>
      <c r="AC626" s="31"/>
      <c r="AD626" s="29"/>
      <c r="AE626" s="29"/>
      <c r="AF626" s="29"/>
      <c r="AG626" s="31"/>
      <c r="AH626" s="29"/>
      <c r="AI626" s="32"/>
      <c r="AJ626" s="35"/>
      <c r="AK626" s="35"/>
      <c r="AL626" s="35"/>
      <c r="AM626" s="35"/>
    </row>
    <row r="627" spans="2:39" x14ac:dyDescent="0.25">
      <c r="B627" s="37"/>
      <c r="C627" s="28"/>
      <c r="D627" s="28"/>
      <c r="E627" s="28"/>
      <c r="F627" s="29"/>
      <c r="G627" s="29"/>
      <c r="H627" s="30"/>
      <c r="I627" s="28"/>
      <c r="J627" s="29"/>
      <c r="K627" s="29"/>
      <c r="L627" s="29"/>
      <c r="M627" s="29"/>
      <c r="N627" s="29"/>
      <c r="O627" s="29"/>
      <c r="P627" s="29"/>
      <c r="Q627" s="29"/>
      <c r="R627" s="29"/>
      <c r="S627" s="31"/>
      <c r="T627" s="29"/>
      <c r="U627" s="29"/>
      <c r="V627" s="29"/>
      <c r="W627" s="29"/>
      <c r="X627" s="29"/>
      <c r="Y627" s="29"/>
      <c r="Z627" s="29"/>
      <c r="AA627" s="29"/>
      <c r="AB627" s="29"/>
      <c r="AC627" s="31"/>
      <c r="AD627" s="29"/>
      <c r="AE627" s="29"/>
      <c r="AF627" s="29"/>
      <c r="AG627" s="31"/>
      <c r="AH627" s="29"/>
      <c r="AI627" s="32"/>
      <c r="AJ627" s="35"/>
      <c r="AK627" s="35"/>
      <c r="AL627" s="35"/>
      <c r="AM627" s="35"/>
    </row>
    <row r="628" spans="2:39" x14ac:dyDescent="0.25">
      <c r="B628" s="37"/>
      <c r="C628" s="28"/>
      <c r="D628" s="28"/>
      <c r="E628" s="28"/>
      <c r="F628" s="29"/>
      <c r="G628" s="29"/>
      <c r="H628" s="30"/>
      <c r="I628" s="28"/>
      <c r="J628" s="29"/>
      <c r="K628" s="29"/>
      <c r="L628" s="29"/>
      <c r="M628" s="29"/>
      <c r="N628" s="29"/>
      <c r="O628" s="29"/>
      <c r="P628" s="29"/>
      <c r="Q628" s="29"/>
      <c r="R628" s="29"/>
      <c r="S628" s="31"/>
      <c r="T628" s="29"/>
      <c r="U628" s="29"/>
      <c r="V628" s="29"/>
      <c r="W628" s="29"/>
      <c r="X628" s="29"/>
      <c r="Y628" s="29"/>
      <c r="Z628" s="29"/>
      <c r="AA628" s="29"/>
      <c r="AB628" s="29"/>
      <c r="AC628" s="31"/>
      <c r="AD628" s="29"/>
      <c r="AE628" s="29"/>
      <c r="AF628" s="29"/>
      <c r="AG628" s="31"/>
      <c r="AH628" s="29"/>
      <c r="AI628" s="32"/>
      <c r="AJ628" s="35"/>
      <c r="AK628" s="35"/>
      <c r="AL628" s="35"/>
      <c r="AM628" s="35"/>
    </row>
    <row r="629" spans="2:39" x14ac:dyDescent="0.25">
      <c r="B629" s="37"/>
      <c r="C629" s="28"/>
      <c r="D629" s="28"/>
      <c r="E629" s="28"/>
      <c r="F629" s="29"/>
      <c r="G629" s="29"/>
      <c r="H629" s="30"/>
      <c r="I629" s="28"/>
      <c r="J629" s="29"/>
      <c r="K629" s="29"/>
      <c r="L629" s="29"/>
      <c r="M629" s="29"/>
      <c r="N629" s="29"/>
      <c r="O629" s="29"/>
      <c r="P629" s="29"/>
      <c r="Q629" s="29"/>
      <c r="R629" s="29"/>
      <c r="S629" s="31"/>
      <c r="T629" s="29"/>
      <c r="U629" s="29"/>
      <c r="V629" s="29"/>
      <c r="W629" s="29"/>
      <c r="X629" s="29"/>
      <c r="Y629" s="29"/>
      <c r="Z629" s="29"/>
      <c r="AA629" s="29"/>
      <c r="AB629" s="29"/>
      <c r="AC629" s="31"/>
      <c r="AD629" s="29"/>
      <c r="AE629" s="29"/>
      <c r="AF629" s="29"/>
      <c r="AG629" s="31"/>
      <c r="AH629" s="29"/>
      <c r="AI629" s="32"/>
      <c r="AJ629" s="35"/>
      <c r="AK629" s="35"/>
      <c r="AL629" s="35"/>
      <c r="AM629" s="35"/>
    </row>
    <row r="630" spans="2:39" x14ac:dyDescent="0.25">
      <c r="B630" s="37"/>
      <c r="C630" s="28"/>
      <c r="D630" s="28"/>
      <c r="E630" s="28"/>
      <c r="F630" s="29"/>
      <c r="G630" s="29"/>
      <c r="H630" s="30"/>
      <c r="I630" s="28"/>
      <c r="J630" s="29"/>
      <c r="K630" s="29"/>
      <c r="L630" s="29"/>
      <c r="M630" s="29"/>
      <c r="N630" s="29"/>
      <c r="O630" s="29"/>
      <c r="P630" s="29"/>
      <c r="Q630" s="29"/>
      <c r="R630" s="29"/>
      <c r="S630" s="31"/>
      <c r="T630" s="29"/>
      <c r="U630" s="29"/>
      <c r="V630" s="29"/>
      <c r="W630" s="29"/>
      <c r="X630" s="29"/>
      <c r="Y630" s="29"/>
      <c r="Z630" s="29"/>
      <c r="AA630" s="29"/>
      <c r="AB630" s="29"/>
      <c r="AC630" s="31"/>
      <c r="AD630" s="29"/>
      <c r="AE630" s="29"/>
      <c r="AF630" s="29"/>
      <c r="AG630" s="31"/>
      <c r="AH630" s="29"/>
      <c r="AI630" s="32"/>
      <c r="AJ630" s="35"/>
      <c r="AK630" s="35"/>
      <c r="AL630" s="35"/>
      <c r="AM630" s="35"/>
    </row>
    <row r="631" spans="2:39" x14ac:dyDescent="0.25">
      <c r="B631" s="37"/>
      <c r="C631" s="28"/>
      <c r="D631" s="28"/>
      <c r="E631" s="28"/>
      <c r="F631" s="29"/>
      <c r="G631" s="29"/>
      <c r="H631" s="30"/>
      <c r="I631" s="28"/>
      <c r="J631" s="29"/>
      <c r="K631" s="29"/>
      <c r="L631" s="29"/>
      <c r="M631" s="29"/>
      <c r="N631" s="29"/>
      <c r="O631" s="29"/>
      <c r="P631" s="29"/>
      <c r="Q631" s="29"/>
      <c r="R631" s="29"/>
      <c r="S631" s="31"/>
      <c r="T631" s="29"/>
      <c r="U631" s="29"/>
      <c r="V631" s="29"/>
      <c r="W631" s="29"/>
      <c r="X631" s="29"/>
      <c r="Y631" s="29"/>
      <c r="Z631" s="29"/>
      <c r="AA631" s="29"/>
      <c r="AB631" s="29"/>
      <c r="AC631" s="31"/>
      <c r="AD631" s="29"/>
      <c r="AE631" s="29"/>
      <c r="AF631" s="29"/>
      <c r="AG631" s="31"/>
      <c r="AH631" s="29"/>
      <c r="AI631" s="32"/>
      <c r="AJ631" s="35"/>
      <c r="AK631" s="35"/>
      <c r="AL631" s="35"/>
      <c r="AM631" s="35"/>
    </row>
    <row r="632" spans="2:39" x14ac:dyDescent="0.25">
      <c r="B632" s="37"/>
      <c r="C632" s="28"/>
      <c r="D632" s="28"/>
      <c r="E632" s="28"/>
      <c r="F632" s="29"/>
      <c r="G632" s="29"/>
      <c r="H632" s="30"/>
      <c r="I632" s="28"/>
      <c r="J632" s="29"/>
      <c r="K632" s="29"/>
      <c r="L632" s="29"/>
      <c r="M632" s="29"/>
      <c r="N632" s="29"/>
      <c r="O632" s="29"/>
      <c r="P632" s="29"/>
      <c r="Q632" s="29"/>
      <c r="R632" s="29"/>
      <c r="S632" s="31"/>
      <c r="T632" s="29"/>
      <c r="U632" s="29"/>
      <c r="V632" s="29"/>
      <c r="W632" s="29"/>
      <c r="X632" s="29"/>
      <c r="Y632" s="29"/>
      <c r="Z632" s="29"/>
      <c r="AA632" s="29"/>
      <c r="AB632" s="29"/>
      <c r="AC632" s="31"/>
      <c r="AD632" s="29"/>
      <c r="AE632" s="29"/>
      <c r="AF632" s="29"/>
      <c r="AG632" s="31"/>
      <c r="AH632" s="29"/>
      <c r="AI632" s="32"/>
      <c r="AJ632" s="35"/>
      <c r="AK632" s="35"/>
      <c r="AL632" s="35"/>
      <c r="AM632" s="35"/>
    </row>
    <row r="633" spans="2:39" x14ac:dyDescent="0.25">
      <c r="B633" s="37"/>
      <c r="C633" s="28"/>
      <c r="D633" s="28"/>
      <c r="E633" s="28"/>
      <c r="F633" s="29"/>
      <c r="G633" s="29"/>
      <c r="H633" s="30"/>
      <c r="I633" s="28"/>
      <c r="J633" s="29"/>
      <c r="K633" s="29"/>
      <c r="L633" s="29"/>
      <c r="M633" s="29"/>
      <c r="N633" s="29"/>
      <c r="O633" s="29"/>
      <c r="P633" s="29"/>
      <c r="Q633" s="29"/>
      <c r="R633" s="29"/>
      <c r="S633" s="31"/>
      <c r="T633" s="29"/>
      <c r="U633" s="29"/>
      <c r="V633" s="29"/>
      <c r="W633" s="29"/>
      <c r="X633" s="29"/>
      <c r="Y633" s="29"/>
      <c r="Z633" s="29"/>
      <c r="AA633" s="29"/>
      <c r="AB633" s="29"/>
      <c r="AC633" s="31"/>
      <c r="AD633" s="29"/>
      <c r="AE633" s="29"/>
      <c r="AF633" s="29"/>
      <c r="AG633" s="31"/>
      <c r="AH633" s="29"/>
      <c r="AI633" s="32"/>
      <c r="AJ633" s="35"/>
      <c r="AK633" s="35"/>
      <c r="AL633" s="35"/>
      <c r="AM633" s="35"/>
    </row>
    <row r="634" spans="2:39" x14ac:dyDescent="0.25">
      <c r="B634" s="37"/>
      <c r="C634" s="28"/>
      <c r="D634" s="28"/>
      <c r="E634" s="28"/>
      <c r="F634" s="29"/>
      <c r="G634" s="29"/>
      <c r="H634" s="30"/>
      <c r="I634" s="28"/>
      <c r="J634" s="29"/>
      <c r="K634" s="29"/>
      <c r="L634" s="29"/>
      <c r="M634" s="29"/>
      <c r="N634" s="29"/>
      <c r="O634" s="29"/>
      <c r="P634" s="29"/>
      <c r="Q634" s="29"/>
      <c r="R634" s="29"/>
      <c r="S634" s="31"/>
      <c r="T634" s="29"/>
      <c r="U634" s="29"/>
      <c r="V634" s="29"/>
      <c r="W634" s="29"/>
      <c r="X634" s="29"/>
      <c r="Y634" s="29"/>
      <c r="Z634" s="29"/>
      <c r="AA634" s="29"/>
      <c r="AB634" s="29"/>
      <c r="AC634" s="31"/>
      <c r="AD634" s="29"/>
      <c r="AE634" s="29"/>
      <c r="AF634" s="29"/>
      <c r="AG634" s="31"/>
      <c r="AH634" s="29"/>
      <c r="AI634" s="32"/>
      <c r="AJ634" s="35"/>
      <c r="AK634" s="35"/>
      <c r="AL634" s="35"/>
      <c r="AM634" s="35"/>
    </row>
    <row r="635" spans="2:39" x14ac:dyDescent="0.25">
      <c r="B635" s="37"/>
      <c r="C635" s="28"/>
      <c r="D635" s="28"/>
      <c r="E635" s="28"/>
      <c r="F635" s="29"/>
      <c r="G635" s="29"/>
      <c r="H635" s="30"/>
      <c r="I635" s="28"/>
      <c r="J635" s="29"/>
      <c r="K635" s="29"/>
      <c r="L635" s="29"/>
      <c r="M635" s="29"/>
      <c r="N635" s="29"/>
      <c r="O635" s="29"/>
      <c r="P635" s="29"/>
      <c r="Q635" s="29"/>
      <c r="R635" s="29"/>
      <c r="S635" s="31"/>
      <c r="T635" s="29"/>
      <c r="U635" s="29"/>
      <c r="V635" s="29"/>
      <c r="W635" s="29"/>
      <c r="X635" s="29"/>
      <c r="Y635" s="29"/>
      <c r="Z635" s="29"/>
      <c r="AA635" s="29"/>
      <c r="AB635" s="29"/>
      <c r="AC635" s="31"/>
      <c r="AD635" s="29"/>
      <c r="AE635" s="29"/>
      <c r="AF635" s="29"/>
      <c r="AG635" s="31"/>
      <c r="AH635" s="29"/>
      <c r="AI635" s="32"/>
      <c r="AJ635" s="35"/>
      <c r="AK635" s="35"/>
      <c r="AL635" s="35"/>
      <c r="AM635" s="35"/>
    </row>
    <row r="636" spans="2:39" x14ac:dyDescent="0.25">
      <c r="B636" s="37"/>
      <c r="C636" s="28"/>
      <c r="D636" s="28"/>
      <c r="E636" s="28"/>
      <c r="F636" s="29"/>
      <c r="G636" s="29"/>
      <c r="H636" s="30"/>
      <c r="I636" s="28"/>
      <c r="J636" s="29"/>
      <c r="K636" s="29"/>
      <c r="L636" s="29"/>
      <c r="M636" s="29"/>
      <c r="N636" s="29"/>
      <c r="O636" s="29"/>
      <c r="P636" s="29"/>
      <c r="Q636" s="29"/>
      <c r="R636" s="29"/>
      <c r="S636" s="31"/>
      <c r="T636" s="29"/>
      <c r="U636" s="29"/>
      <c r="V636" s="29"/>
      <c r="W636" s="29"/>
      <c r="X636" s="29"/>
      <c r="Y636" s="29"/>
      <c r="Z636" s="29"/>
      <c r="AA636" s="29"/>
      <c r="AB636" s="29"/>
      <c r="AC636" s="31"/>
      <c r="AD636" s="29"/>
      <c r="AE636" s="29"/>
      <c r="AF636" s="29"/>
      <c r="AG636" s="31"/>
      <c r="AH636" s="29"/>
      <c r="AI636" s="32"/>
      <c r="AJ636" s="35"/>
      <c r="AK636" s="35"/>
      <c r="AL636" s="35"/>
      <c r="AM636" s="35"/>
    </row>
    <row r="637" spans="2:39" x14ac:dyDescent="0.25">
      <c r="B637" s="37"/>
      <c r="C637" s="28"/>
      <c r="D637" s="28"/>
      <c r="E637" s="28"/>
      <c r="F637" s="29"/>
      <c r="G637" s="29"/>
      <c r="H637" s="30"/>
      <c r="I637" s="28"/>
      <c r="J637" s="29"/>
      <c r="K637" s="29"/>
      <c r="L637" s="29"/>
      <c r="M637" s="29"/>
      <c r="N637" s="29"/>
      <c r="O637" s="29"/>
      <c r="P637" s="29"/>
      <c r="Q637" s="29"/>
      <c r="R637" s="29"/>
      <c r="S637" s="31"/>
      <c r="T637" s="29"/>
      <c r="U637" s="29"/>
      <c r="V637" s="29"/>
      <c r="W637" s="29"/>
      <c r="X637" s="29"/>
      <c r="Y637" s="29"/>
      <c r="Z637" s="29"/>
      <c r="AA637" s="29"/>
      <c r="AB637" s="29"/>
      <c r="AC637" s="31"/>
      <c r="AD637" s="29"/>
      <c r="AE637" s="29"/>
      <c r="AF637" s="29"/>
      <c r="AG637" s="31"/>
      <c r="AH637" s="29"/>
      <c r="AI637" s="32"/>
      <c r="AJ637" s="35"/>
      <c r="AK637" s="35"/>
      <c r="AL637" s="35"/>
      <c r="AM637" s="35"/>
    </row>
    <row r="638" spans="2:39" x14ac:dyDescent="0.25">
      <c r="B638" s="37"/>
      <c r="C638" s="28"/>
      <c r="D638" s="28"/>
      <c r="E638" s="28"/>
      <c r="F638" s="29"/>
      <c r="G638" s="29"/>
      <c r="H638" s="30"/>
      <c r="I638" s="28"/>
      <c r="J638" s="29"/>
      <c r="K638" s="29"/>
      <c r="L638" s="29"/>
      <c r="M638" s="29"/>
      <c r="N638" s="29"/>
      <c r="O638" s="29"/>
      <c r="P638" s="29"/>
      <c r="Q638" s="29"/>
      <c r="R638" s="29"/>
      <c r="S638" s="31"/>
      <c r="T638" s="29"/>
      <c r="U638" s="29"/>
      <c r="V638" s="29"/>
      <c r="W638" s="29"/>
      <c r="X638" s="29"/>
      <c r="Y638" s="29"/>
      <c r="Z638" s="29"/>
      <c r="AA638" s="29"/>
      <c r="AB638" s="29"/>
      <c r="AC638" s="31"/>
      <c r="AD638" s="29"/>
      <c r="AE638" s="29"/>
      <c r="AF638" s="29"/>
      <c r="AG638" s="31"/>
      <c r="AH638" s="29"/>
      <c r="AI638" s="32"/>
      <c r="AJ638" s="35"/>
      <c r="AK638" s="35"/>
      <c r="AL638" s="35"/>
      <c r="AM638" s="35"/>
    </row>
    <row r="639" spans="2:39" x14ac:dyDescent="0.25">
      <c r="B639" s="37"/>
      <c r="C639" s="28"/>
      <c r="D639" s="28"/>
      <c r="E639" s="28"/>
      <c r="F639" s="29"/>
      <c r="G639" s="29"/>
      <c r="H639" s="30"/>
      <c r="I639" s="28"/>
      <c r="J639" s="29"/>
      <c r="K639" s="29"/>
      <c r="L639" s="29"/>
      <c r="M639" s="29"/>
      <c r="N639" s="29"/>
      <c r="O639" s="29"/>
      <c r="P639" s="29"/>
      <c r="Q639" s="29"/>
      <c r="R639" s="29"/>
      <c r="S639" s="31"/>
      <c r="T639" s="29"/>
      <c r="U639" s="29"/>
      <c r="V639" s="29"/>
      <c r="W639" s="29"/>
      <c r="X639" s="29"/>
      <c r="Y639" s="29"/>
      <c r="Z639" s="29"/>
      <c r="AA639" s="29"/>
      <c r="AB639" s="29"/>
      <c r="AC639" s="31"/>
      <c r="AD639" s="29"/>
      <c r="AE639" s="29"/>
      <c r="AF639" s="29"/>
      <c r="AG639" s="31"/>
      <c r="AH639" s="29"/>
      <c r="AI639" s="32"/>
      <c r="AJ639" s="35"/>
      <c r="AK639" s="35"/>
      <c r="AL639" s="35"/>
      <c r="AM639" s="35"/>
    </row>
    <row r="640" spans="2:39" x14ac:dyDescent="0.25">
      <c r="B640" s="37"/>
      <c r="C640" s="28"/>
      <c r="D640" s="28"/>
      <c r="E640" s="28"/>
      <c r="F640" s="29"/>
      <c r="G640" s="29"/>
      <c r="H640" s="30"/>
      <c r="I640" s="28"/>
      <c r="J640" s="29"/>
      <c r="K640" s="29"/>
      <c r="L640" s="29"/>
      <c r="M640" s="29"/>
      <c r="N640" s="29"/>
      <c r="O640" s="29"/>
      <c r="P640" s="29"/>
      <c r="Q640" s="29"/>
      <c r="R640" s="29"/>
      <c r="S640" s="31"/>
      <c r="T640" s="29"/>
      <c r="U640" s="29"/>
      <c r="V640" s="29"/>
      <c r="W640" s="29"/>
      <c r="X640" s="29"/>
      <c r="Y640" s="29"/>
      <c r="Z640" s="29"/>
      <c r="AA640" s="29"/>
      <c r="AB640" s="29"/>
      <c r="AC640" s="31"/>
      <c r="AD640" s="29"/>
      <c r="AE640" s="29"/>
      <c r="AF640" s="29"/>
      <c r="AG640" s="31"/>
      <c r="AH640" s="29"/>
      <c r="AI640" s="32"/>
      <c r="AJ640" s="35"/>
      <c r="AK640" s="35"/>
      <c r="AL640" s="35"/>
      <c r="AM640" s="35"/>
    </row>
    <row r="641" spans="2:39" x14ac:dyDescent="0.25">
      <c r="B641" s="37"/>
      <c r="C641" s="28"/>
      <c r="D641" s="28"/>
      <c r="E641" s="28"/>
      <c r="F641" s="29"/>
      <c r="G641" s="29"/>
      <c r="H641" s="30"/>
      <c r="I641" s="28"/>
      <c r="J641" s="29"/>
      <c r="K641" s="29"/>
      <c r="L641" s="29"/>
      <c r="M641" s="29"/>
      <c r="N641" s="29"/>
      <c r="O641" s="29"/>
      <c r="P641" s="29"/>
      <c r="Q641" s="29"/>
      <c r="R641" s="29"/>
      <c r="S641" s="31"/>
      <c r="T641" s="29"/>
      <c r="U641" s="29"/>
      <c r="V641" s="29"/>
      <c r="W641" s="29"/>
      <c r="X641" s="29"/>
      <c r="Y641" s="29"/>
      <c r="Z641" s="29"/>
      <c r="AA641" s="29"/>
      <c r="AB641" s="29"/>
      <c r="AC641" s="31"/>
      <c r="AD641" s="29"/>
      <c r="AE641" s="29"/>
      <c r="AF641" s="29"/>
      <c r="AG641" s="31"/>
      <c r="AH641" s="29"/>
      <c r="AI641" s="32"/>
      <c r="AJ641" s="35"/>
      <c r="AK641" s="35"/>
      <c r="AL641" s="35"/>
      <c r="AM641" s="35"/>
    </row>
    <row r="642" spans="2:39" x14ac:dyDescent="0.25">
      <c r="B642" s="37"/>
      <c r="C642" s="28"/>
      <c r="D642" s="28"/>
      <c r="E642" s="28"/>
      <c r="F642" s="29"/>
      <c r="G642" s="29"/>
      <c r="H642" s="30"/>
      <c r="I642" s="28"/>
      <c r="J642" s="29"/>
      <c r="K642" s="29"/>
      <c r="L642" s="29"/>
      <c r="M642" s="29"/>
      <c r="N642" s="29"/>
      <c r="O642" s="29"/>
      <c r="P642" s="29"/>
      <c r="Q642" s="29"/>
      <c r="R642" s="29"/>
      <c r="S642" s="31"/>
      <c r="T642" s="29"/>
      <c r="U642" s="29"/>
      <c r="V642" s="29"/>
      <c r="W642" s="29"/>
      <c r="X642" s="29"/>
      <c r="Y642" s="29"/>
      <c r="Z642" s="29"/>
      <c r="AA642" s="29"/>
      <c r="AB642" s="29"/>
      <c r="AC642" s="31"/>
      <c r="AD642" s="29"/>
      <c r="AE642" s="29"/>
      <c r="AF642" s="29"/>
      <c r="AG642" s="31"/>
      <c r="AH642" s="29"/>
      <c r="AI642" s="32"/>
      <c r="AJ642" s="35"/>
      <c r="AK642" s="35"/>
      <c r="AL642" s="35"/>
      <c r="AM642" s="35"/>
    </row>
    <row r="643" spans="2:39" x14ac:dyDescent="0.25">
      <c r="B643" s="37"/>
      <c r="C643" s="28"/>
      <c r="D643" s="28"/>
      <c r="E643" s="28"/>
      <c r="F643" s="29"/>
      <c r="G643" s="29"/>
      <c r="H643" s="30"/>
      <c r="I643" s="28"/>
      <c r="J643" s="29"/>
      <c r="K643" s="29"/>
      <c r="L643" s="29"/>
      <c r="M643" s="29"/>
      <c r="N643" s="29"/>
      <c r="O643" s="29"/>
      <c r="P643" s="29"/>
      <c r="Q643" s="29"/>
      <c r="R643" s="29"/>
      <c r="S643" s="31"/>
      <c r="T643" s="29"/>
      <c r="U643" s="29"/>
      <c r="V643" s="29"/>
      <c r="W643" s="29"/>
      <c r="X643" s="29"/>
      <c r="Y643" s="29"/>
      <c r="Z643" s="29"/>
      <c r="AA643" s="29"/>
      <c r="AB643" s="29"/>
      <c r="AC643" s="31"/>
      <c r="AD643" s="29"/>
      <c r="AE643" s="29"/>
      <c r="AF643" s="29"/>
      <c r="AG643" s="31"/>
      <c r="AH643" s="29"/>
      <c r="AI643" s="32"/>
      <c r="AJ643" s="35"/>
      <c r="AK643" s="35"/>
      <c r="AL643" s="35"/>
      <c r="AM643" s="35"/>
    </row>
    <row r="644" spans="2:39" x14ac:dyDescent="0.25">
      <c r="B644" s="37"/>
      <c r="C644" s="28"/>
      <c r="D644" s="28"/>
      <c r="E644" s="28"/>
      <c r="F644" s="29"/>
      <c r="G644" s="29"/>
      <c r="H644" s="30"/>
      <c r="I644" s="28"/>
      <c r="J644" s="29"/>
      <c r="K644" s="29"/>
      <c r="L644" s="29"/>
      <c r="M644" s="29"/>
      <c r="N644" s="29"/>
      <c r="O644" s="29"/>
      <c r="P644" s="29"/>
      <c r="Q644" s="29"/>
      <c r="R644" s="29"/>
      <c r="S644" s="31"/>
      <c r="T644" s="29"/>
      <c r="U644" s="29"/>
      <c r="V644" s="29"/>
      <c r="W644" s="29"/>
      <c r="X644" s="29"/>
      <c r="Y644" s="29"/>
      <c r="Z644" s="29"/>
      <c r="AA644" s="29"/>
      <c r="AB644" s="29"/>
      <c r="AC644" s="31"/>
      <c r="AD644" s="29"/>
      <c r="AE644" s="29"/>
      <c r="AF644" s="29"/>
      <c r="AG644" s="31"/>
      <c r="AH644" s="29"/>
      <c r="AI644" s="32"/>
      <c r="AJ644" s="35"/>
      <c r="AK644" s="35"/>
      <c r="AL644" s="35"/>
      <c r="AM644" s="35"/>
    </row>
    <row r="645" spans="2:39" x14ac:dyDescent="0.25">
      <c r="B645" s="37"/>
      <c r="C645" s="28"/>
      <c r="D645" s="28"/>
      <c r="E645" s="28"/>
      <c r="F645" s="29"/>
      <c r="G645" s="29"/>
      <c r="H645" s="30"/>
      <c r="I645" s="28"/>
      <c r="J645" s="29"/>
      <c r="K645" s="29"/>
      <c r="L645" s="29"/>
      <c r="M645" s="29"/>
      <c r="N645" s="29"/>
      <c r="O645" s="29"/>
      <c r="P645" s="29"/>
      <c r="Q645" s="29"/>
      <c r="R645" s="29"/>
      <c r="S645" s="31"/>
      <c r="T645" s="29"/>
      <c r="U645" s="29"/>
      <c r="V645" s="29"/>
      <c r="W645" s="29"/>
      <c r="X645" s="29"/>
      <c r="Y645" s="29"/>
      <c r="Z645" s="29"/>
      <c r="AA645" s="29"/>
      <c r="AB645" s="29"/>
      <c r="AC645" s="31"/>
      <c r="AD645" s="29"/>
      <c r="AE645" s="29"/>
      <c r="AF645" s="29"/>
      <c r="AG645" s="31"/>
      <c r="AH645" s="29"/>
      <c r="AI645" s="32"/>
      <c r="AJ645" s="35"/>
      <c r="AK645" s="35"/>
      <c r="AL645" s="35"/>
      <c r="AM645" s="35"/>
    </row>
    <row r="646" spans="2:39" x14ac:dyDescent="0.25">
      <c r="B646" s="37"/>
      <c r="C646" s="28"/>
      <c r="D646" s="28"/>
      <c r="E646" s="28"/>
      <c r="F646" s="29"/>
      <c r="G646" s="29"/>
      <c r="H646" s="30"/>
      <c r="I646" s="28"/>
      <c r="J646" s="29"/>
      <c r="K646" s="29"/>
      <c r="L646" s="29"/>
      <c r="M646" s="29"/>
      <c r="N646" s="29"/>
      <c r="O646" s="29"/>
      <c r="P646" s="29"/>
      <c r="Q646" s="29"/>
      <c r="R646" s="29"/>
      <c r="S646" s="31"/>
      <c r="T646" s="29"/>
      <c r="U646" s="29"/>
      <c r="V646" s="29"/>
      <c r="W646" s="29"/>
      <c r="X646" s="29"/>
      <c r="Y646" s="29"/>
      <c r="Z646" s="29"/>
      <c r="AA646" s="29"/>
      <c r="AB646" s="29"/>
      <c r="AC646" s="31"/>
      <c r="AD646" s="29"/>
      <c r="AE646" s="29"/>
      <c r="AF646" s="29"/>
      <c r="AG646" s="31"/>
      <c r="AH646" s="29"/>
      <c r="AI646" s="32"/>
      <c r="AJ646" s="35"/>
      <c r="AK646" s="35"/>
      <c r="AL646" s="35"/>
      <c r="AM646" s="35"/>
    </row>
    <row r="647" spans="2:39" x14ac:dyDescent="0.25">
      <c r="B647" s="37"/>
      <c r="C647" s="28"/>
      <c r="D647" s="28"/>
      <c r="E647" s="28"/>
      <c r="F647" s="29"/>
      <c r="G647" s="29"/>
      <c r="H647" s="30"/>
      <c r="I647" s="28"/>
      <c r="J647" s="29"/>
      <c r="K647" s="29"/>
      <c r="L647" s="29"/>
      <c r="M647" s="29"/>
      <c r="N647" s="29"/>
      <c r="O647" s="29"/>
      <c r="P647" s="29"/>
      <c r="Q647" s="29"/>
      <c r="R647" s="29"/>
      <c r="S647" s="31"/>
      <c r="T647" s="29"/>
      <c r="U647" s="29"/>
      <c r="V647" s="29"/>
      <c r="W647" s="29"/>
      <c r="X647" s="29"/>
      <c r="Y647" s="29"/>
      <c r="Z647" s="29"/>
      <c r="AA647" s="29"/>
      <c r="AB647" s="29"/>
      <c r="AC647" s="31"/>
      <c r="AD647" s="29"/>
      <c r="AE647" s="29"/>
      <c r="AF647" s="29"/>
      <c r="AG647" s="31"/>
      <c r="AH647" s="29"/>
      <c r="AI647" s="32"/>
      <c r="AJ647" s="35"/>
      <c r="AK647" s="35"/>
      <c r="AL647" s="35"/>
      <c r="AM647" s="35"/>
    </row>
    <row r="648" spans="2:39" x14ac:dyDescent="0.25">
      <c r="B648" s="37"/>
      <c r="C648" s="28"/>
      <c r="D648" s="28"/>
      <c r="E648" s="28"/>
      <c r="F648" s="29"/>
      <c r="G648" s="29"/>
      <c r="H648" s="30"/>
      <c r="I648" s="28"/>
      <c r="J648" s="29"/>
      <c r="K648" s="29"/>
      <c r="L648" s="29"/>
      <c r="M648" s="29"/>
      <c r="N648" s="29"/>
      <c r="O648" s="29"/>
      <c r="P648" s="29"/>
      <c r="Q648" s="29"/>
      <c r="R648" s="29"/>
      <c r="S648" s="31"/>
      <c r="T648" s="29"/>
      <c r="U648" s="29"/>
      <c r="V648" s="29"/>
      <c r="W648" s="29"/>
      <c r="X648" s="29"/>
      <c r="Y648" s="29"/>
      <c r="Z648" s="29"/>
      <c r="AA648" s="29"/>
      <c r="AB648" s="29"/>
      <c r="AC648" s="31"/>
      <c r="AD648" s="29"/>
      <c r="AE648" s="29"/>
      <c r="AF648" s="29"/>
      <c r="AG648" s="31"/>
      <c r="AH648" s="29"/>
      <c r="AI648" s="32"/>
      <c r="AJ648" s="35"/>
      <c r="AK648" s="35"/>
      <c r="AL648" s="35"/>
      <c r="AM648" s="35"/>
    </row>
    <row r="649" spans="2:39" x14ac:dyDescent="0.25">
      <c r="B649" s="37"/>
      <c r="C649" s="28"/>
      <c r="D649" s="28"/>
      <c r="E649" s="28"/>
      <c r="F649" s="29"/>
      <c r="G649" s="29"/>
      <c r="H649" s="30"/>
      <c r="I649" s="28"/>
      <c r="J649" s="29"/>
      <c r="K649" s="29"/>
      <c r="L649" s="29"/>
      <c r="M649" s="29"/>
      <c r="N649" s="29"/>
      <c r="O649" s="29"/>
      <c r="P649" s="29"/>
      <c r="Q649" s="29"/>
      <c r="R649" s="29"/>
      <c r="S649" s="31"/>
      <c r="T649" s="29"/>
      <c r="U649" s="29"/>
      <c r="V649" s="29"/>
      <c r="W649" s="29"/>
      <c r="X649" s="29"/>
      <c r="Y649" s="29"/>
      <c r="Z649" s="29"/>
      <c r="AA649" s="29"/>
      <c r="AB649" s="29"/>
      <c r="AC649" s="31"/>
      <c r="AD649" s="29"/>
      <c r="AE649" s="29"/>
      <c r="AF649" s="29"/>
      <c r="AG649" s="31"/>
      <c r="AH649" s="29"/>
      <c r="AI649" s="32"/>
      <c r="AJ649" s="35"/>
      <c r="AK649" s="35"/>
      <c r="AL649" s="35"/>
      <c r="AM649" s="35"/>
    </row>
    <row r="650" spans="2:39" x14ac:dyDescent="0.25">
      <c r="B650" s="37"/>
      <c r="C650" s="28"/>
      <c r="D650" s="28"/>
      <c r="E650" s="28"/>
      <c r="F650" s="29"/>
      <c r="G650" s="29"/>
      <c r="H650" s="30"/>
      <c r="I650" s="28"/>
      <c r="J650" s="29"/>
      <c r="K650" s="29"/>
      <c r="L650" s="29"/>
      <c r="M650" s="29"/>
      <c r="N650" s="29"/>
      <c r="O650" s="29"/>
      <c r="P650" s="29"/>
      <c r="Q650" s="29"/>
      <c r="R650" s="29"/>
      <c r="S650" s="31"/>
      <c r="T650" s="29"/>
      <c r="U650" s="29"/>
      <c r="V650" s="29"/>
      <c r="W650" s="29"/>
      <c r="X650" s="29"/>
      <c r="Y650" s="29"/>
      <c r="Z650" s="29"/>
      <c r="AA650" s="29"/>
      <c r="AB650" s="29"/>
      <c r="AC650" s="31"/>
      <c r="AD650" s="29"/>
      <c r="AE650" s="29"/>
      <c r="AF650" s="29"/>
      <c r="AG650" s="31"/>
      <c r="AH650" s="29"/>
      <c r="AI650" s="32"/>
      <c r="AJ650" s="35"/>
      <c r="AK650" s="35"/>
      <c r="AL650" s="35"/>
      <c r="AM650" s="35"/>
    </row>
    <row r="651" spans="2:39" x14ac:dyDescent="0.25">
      <c r="B651" s="37"/>
      <c r="C651" s="28"/>
      <c r="D651" s="28"/>
      <c r="E651" s="28"/>
      <c r="F651" s="29"/>
      <c r="G651" s="29"/>
      <c r="H651" s="30"/>
      <c r="I651" s="28"/>
      <c r="J651" s="29"/>
      <c r="K651" s="29"/>
      <c r="L651" s="29"/>
      <c r="M651" s="29"/>
      <c r="N651" s="29"/>
      <c r="O651" s="29"/>
      <c r="P651" s="29"/>
      <c r="Q651" s="29"/>
      <c r="R651" s="29"/>
      <c r="S651" s="31"/>
      <c r="T651" s="29"/>
      <c r="U651" s="29"/>
      <c r="V651" s="29"/>
      <c r="W651" s="29"/>
      <c r="X651" s="29"/>
      <c r="Y651" s="29"/>
      <c r="Z651" s="29"/>
      <c r="AA651" s="29"/>
      <c r="AB651" s="29"/>
      <c r="AC651" s="31"/>
      <c r="AD651" s="29"/>
      <c r="AE651" s="29"/>
      <c r="AF651" s="29"/>
      <c r="AG651" s="31"/>
      <c r="AH651" s="29"/>
      <c r="AI651" s="32"/>
      <c r="AJ651" s="35"/>
      <c r="AK651" s="35"/>
      <c r="AL651" s="35"/>
      <c r="AM651" s="35"/>
    </row>
    <row r="652" spans="2:39" x14ac:dyDescent="0.25">
      <c r="B652" s="37"/>
      <c r="C652" s="28"/>
      <c r="D652" s="28"/>
      <c r="E652" s="28"/>
      <c r="F652" s="29"/>
      <c r="G652" s="29"/>
      <c r="H652" s="30"/>
      <c r="I652" s="28"/>
      <c r="J652" s="29"/>
      <c r="K652" s="29"/>
      <c r="L652" s="29"/>
      <c r="M652" s="29"/>
      <c r="N652" s="29"/>
      <c r="O652" s="29"/>
      <c r="P652" s="29"/>
      <c r="Q652" s="29"/>
      <c r="R652" s="29"/>
      <c r="S652" s="31"/>
      <c r="T652" s="29"/>
      <c r="U652" s="29"/>
      <c r="V652" s="29"/>
      <c r="W652" s="29"/>
      <c r="X652" s="29"/>
      <c r="Y652" s="29"/>
      <c r="Z652" s="29"/>
      <c r="AA652" s="29"/>
      <c r="AB652" s="29"/>
      <c r="AC652" s="31"/>
      <c r="AD652" s="29"/>
      <c r="AE652" s="29"/>
      <c r="AF652" s="29"/>
      <c r="AG652" s="31"/>
      <c r="AH652" s="29"/>
      <c r="AI652" s="32"/>
      <c r="AJ652" s="35"/>
      <c r="AK652" s="35"/>
      <c r="AL652" s="35"/>
      <c r="AM652" s="35"/>
    </row>
    <row r="653" spans="2:39" x14ac:dyDescent="0.25">
      <c r="B653" s="37"/>
      <c r="C653" s="28"/>
      <c r="D653" s="28"/>
      <c r="E653" s="28"/>
      <c r="F653" s="29"/>
      <c r="G653" s="29"/>
      <c r="H653" s="30"/>
      <c r="I653" s="28"/>
      <c r="J653" s="29"/>
      <c r="K653" s="29"/>
      <c r="L653" s="29"/>
      <c r="M653" s="29"/>
      <c r="N653" s="29"/>
      <c r="O653" s="29"/>
      <c r="P653" s="29"/>
      <c r="Q653" s="29"/>
      <c r="R653" s="29"/>
      <c r="S653" s="31"/>
      <c r="T653" s="29"/>
      <c r="U653" s="29"/>
      <c r="V653" s="29"/>
      <c r="W653" s="29"/>
      <c r="X653" s="29"/>
      <c r="Y653" s="29"/>
      <c r="Z653" s="29"/>
      <c r="AA653" s="29"/>
      <c r="AB653" s="29"/>
      <c r="AC653" s="31"/>
      <c r="AD653" s="29"/>
      <c r="AE653" s="29"/>
      <c r="AF653" s="29"/>
      <c r="AG653" s="31"/>
      <c r="AH653" s="29"/>
      <c r="AI653" s="32"/>
      <c r="AJ653" s="35"/>
      <c r="AK653" s="35"/>
      <c r="AL653" s="35"/>
      <c r="AM653" s="35"/>
    </row>
    <row r="654" spans="2:39" x14ac:dyDescent="0.25">
      <c r="B654" s="37"/>
      <c r="C654" s="28"/>
      <c r="D654" s="28"/>
      <c r="E654" s="28"/>
      <c r="F654" s="29"/>
      <c r="G654" s="29"/>
      <c r="H654" s="30"/>
      <c r="I654" s="28"/>
      <c r="J654" s="29"/>
      <c r="K654" s="29"/>
      <c r="L654" s="29"/>
      <c r="M654" s="29"/>
      <c r="N654" s="29"/>
      <c r="O654" s="29"/>
      <c r="P654" s="29"/>
      <c r="Q654" s="29"/>
      <c r="R654" s="29"/>
      <c r="S654" s="31"/>
      <c r="T654" s="29"/>
      <c r="U654" s="29"/>
      <c r="V654" s="29"/>
      <c r="W654" s="29"/>
      <c r="X654" s="29"/>
      <c r="Y654" s="29"/>
      <c r="Z654" s="29"/>
      <c r="AA654" s="29"/>
      <c r="AB654" s="29"/>
      <c r="AC654" s="31"/>
      <c r="AD654" s="29"/>
      <c r="AE654" s="29"/>
      <c r="AF654" s="29"/>
      <c r="AG654" s="31"/>
      <c r="AH654" s="29"/>
      <c r="AI654" s="32"/>
      <c r="AJ654" s="35"/>
      <c r="AK654" s="35"/>
      <c r="AL654" s="35"/>
      <c r="AM654" s="35"/>
    </row>
    <row r="655" spans="2:39" x14ac:dyDescent="0.25">
      <c r="B655" s="37"/>
      <c r="C655" s="28"/>
      <c r="D655" s="28"/>
      <c r="E655" s="28"/>
      <c r="F655" s="29"/>
      <c r="G655" s="29"/>
      <c r="H655" s="30"/>
      <c r="I655" s="28"/>
      <c r="J655" s="29"/>
      <c r="K655" s="29"/>
      <c r="L655" s="29"/>
      <c r="M655" s="29"/>
      <c r="N655" s="29"/>
      <c r="O655" s="29"/>
      <c r="P655" s="29"/>
      <c r="Q655" s="29"/>
      <c r="R655" s="29"/>
      <c r="S655" s="31"/>
      <c r="T655" s="29"/>
      <c r="U655" s="29"/>
      <c r="V655" s="29"/>
      <c r="W655" s="29"/>
      <c r="X655" s="29"/>
      <c r="Y655" s="29"/>
      <c r="Z655" s="29"/>
      <c r="AA655" s="29"/>
      <c r="AB655" s="29"/>
      <c r="AC655" s="31"/>
      <c r="AD655" s="29"/>
      <c r="AE655" s="29"/>
      <c r="AF655" s="29"/>
      <c r="AG655" s="31"/>
      <c r="AH655" s="29"/>
      <c r="AI655" s="32"/>
      <c r="AJ655" s="35"/>
      <c r="AK655" s="35"/>
      <c r="AL655" s="35"/>
      <c r="AM655" s="35"/>
    </row>
    <row r="656" spans="2:39" x14ac:dyDescent="0.25">
      <c r="B656" s="37"/>
      <c r="C656" s="28"/>
      <c r="D656" s="28"/>
      <c r="E656" s="28"/>
      <c r="F656" s="29"/>
      <c r="G656" s="29"/>
      <c r="H656" s="30"/>
      <c r="I656" s="28"/>
      <c r="J656" s="29"/>
      <c r="K656" s="29"/>
      <c r="L656" s="29"/>
      <c r="M656" s="29"/>
      <c r="N656" s="29"/>
      <c r="O656" s="29"/>
      <c r="P656" s="29"/>
      <c r="Q656" s="29"/>
      <c r="R656" s="29"/>
      <c r="S656" s="31"/>
      <c r="T656" s="29"/>
      <c r="U656" s="29"/>
      <c r="V656" s="29"/>
      <c r="W656" s="29"/>
      <c r="X656" s="29"/>
      <c r="Y656" s="29"/>
      <c r="Z656" s="29"/>
      <c r="AA656" s="29"/>
      <c r="AB656" s="29"/>
      <c r="AC656" s="31"/>
      <c r="AD656" s="29"/>
      <c r="AE656" s="29"/>
      <c r="AF656" s="29"/>
      <c r="AG656" s="31"/>
      <c r="AH656" s="29"/>
      <c r="AI656" s="32"/>
      <c r="AJ656" s="35"/>
      <c r="AK656" s="35"/>
      <c r="AL656" s="35"/>
      <c r="AM656" s="35"/>
    </row>
    <row r="657" spans="2:39" x14ac:dyDescent="0.25">
      <c r="B657" s="37"/>
      <c r="C657" s="28"/>
      <c r="D657" s="28"/>
      <c r="E657" s="28"/>
      <c r="F657" s="29"/>
      <c r="G657" s="29"/>
      <c r="H657" s="30"/>
      <c r="I657" s="28"/>
      <c r="J657" s="29"/>
      <c r="K657" s="29"/>
      <c r="L657" s="29"/>
      <c r="M657" s="29"/>
      <c r="N657" s="29"/>
      <c r="O657" s="29"/>
      <c r="P657" s="29"/>
      <c r="Q657" s="29"/>
      <c r="R657" s="29"/>
      <c r="S657" s="31"/>
      <c r="T657" s="29"/>
      <c r="U657" s="29"/>
      <c r="V657" s="29"/>
      <c r="W657" s="29"/>
      <c r="X657" s="29"/>
      <c r="Y657" s="29"/>
      <c r="Z657" s="29"/>
      <c r="AA657" s="29"/>
      <c r="AB657" s="29"/>
      <c r="AC657" s="31"/>
      <c r="AD657" s="29"/>
      <c r="AE657" s="29"/>
      <c r="AF657" s="29"/>
      <c r="AG657" s="31"/>
      <c r="AH657" s="29"/>
      <c r="AI657" s="32"/>
      <c r="AJ657" s="35"/>
      <c r="AK657" s="35"/>
      <c r="AL657" s="35"/>
      <c r="AM657" s="35"/>
    </row>
    <row r="658" spans="2:39" x14ac:dyDescent="0.25">
      <c r="B658" s="37"/>
      <c r="C658" s="28"/>
      <c r="D658" s="28"/>
      <c r="E658" s="28"/>
      <c r="F658" s="29"/>
      <c r="G658" s="29"/>
      <c r="H658" s="30"/>
      <c r="I658" s="28"/>
      <c r="J658" s="29"/>
      <c r="K658" s="29"/>
      <c r="L658" s="29"/>
      <c r="M658" s="29"/>
      <c r="N658" s="29"/>
      <c r="O658" s="29"/>
      <c r="P658" s="29"/>
      <c r="Q658" s="29"/>
      <c r="R658" s="29"/>
      <c r="S658" s="31"/>
      <c r="T658" s="29"/>
      <c r="U658" s="29"/>
      <c r="V658" s="29"/>
      <c r="W658" s="29"/>
      <c r="X658" s="29"/>
      <c r="Y658" s="29"/>
      <c r="Z658" s="29"/>
      <c r="AA658" s="29"/>
      <c r="AB658" s="29"/>
      <c r="AC658" s="31"/>
      <c r="AD658" s="29"/>
      <c r="AE658" s="29"/>
      <c r="AF658" s="29"/>
      <c r="AG658" s="31"/>
      <c r="AH658" s="29"/>
      <c r="AI658" s="32"/>
      <c r="AJ658" s="35"/>
      <c r="AK658" s="35"/>
      <c r="AL658" s="35"/>
      <c r="AM658" s="35"/>
    </row>
    <row r="659" spans="2:39" x14ac:dyDescent="0.25">
      <c r="B659" s="37"/>
      <c r="C659" s="28"/>
      <c r="D659" s="28"/>
      <c r="E659" s="28"/>
      <c r="F659" s="29"/>
      <c r="G659" s="29"/>
      <c r="H659" s="30"/>
      <c r="I659" s="28"/>
      <c r="J659" s="29"/>
      <c r="K659" s="29"/>
      <c r="L659" s="29"/>
      <c r="M659" s="29"/>
      <c r="N659" s="29"/>
      <c r="O659" s="29"/>
      <c r="P659" s="29"/>
      <c r="Q659" s="29"/>
      <c r="R659" s="29"/>
      <c r="S659" s="31"/>
      <c r="T659" s="29"/>
      <c r="U659" s="29"/>
      <c r="V659" s="29"/>
      <c r="W659" s="29"/>
      <c r="X659" s="29"/>
      <c r="Y659" s="29"/>
      <c r="Z659" s="29"/>
      <c r="AA659" s="29"/>
      <c r="AB659" s="29"/>
      <c r="AC659" s="31"/>
      <c r="AD659" s="29"/>
      <c r="AE659" s="29"/>
      <c r="AF659" s="29"/>
      <c r="AG659" s="31"/>
      <c r="AH659" s="29"/>
      <c r="AI659" s="32"/>
      <c r="AJ659" s="35"/>
      <c r="AK659" s="35"/>
      <c r="AL659" s="35"/>
      <c r="AM659" s="35"/>
    </row>
    <row r="660" spans="2:39" x14ac:dyDescent="0.25">
      <c r="B660" s="37"/>
      <c r="C660" s="28"/>
      <c r="D660" s="28"/>
      <c r="E660" s="28"/>
      <c r="F660" s="29"/>
      <c r="G660" s="29"/>
      <c r="H660" s="30"/>
      <c r="I660" s="28"/>
      <c r="J660" s="29"/>
      <c r="K660" s="29"/>
      <c r="L660" s="29"/>
      <c r="M660" s="29"/>
      <c r="N660" s="29"/>
      <c r="O660" s="29"/>
      <c r="P660" s="29"/>
      <c r="Q660" s="29"/>
      <c r="R660" s="29"/>
      <c r="S660" s="31"/>
      <c r="T660" s="29"/>
      <c r="U660" s="29"/>
      <c r="V660" s="29"/>
      <c r="W660" s="29"/>
      <c r="X660" s="29"/>
      <c r="Y660" s="29"/>
      <c r="Z660" s="29"/>
      <c r="AA660" s="29"/>
      <c r="AB660" s="29"/>
      <c r="AC660" s="31"/>
      <c r="AD660" s="29"/>
      <c r="AE660" s="29"/>
      <c r="AF660" s="29"/>
      <c r="AG660" s="31"/>
      <c r="AH660" s="29"/>
      <c r="AI660" s="32"/>
      <c r="AJ660" s="35"/>
      <c r="AK660" s="35"/>
      <c r="AL660" s="35"/>
      <c r="AM660" s="35"/>
    </row>
    <row r="661" spans="2:39" x14ac:dyDescent="0.25">
      <c r="B661" s="37"/>
      <c r="C661" s="28"/>
      <c r="D661" s="28"/>
      <c r="E661" s="28"/>
      <c r="F661" s="29"/>
      <c r="G661" s="29"/>
      <c r="H661" s="30"/>
      <c r="I661" s="28"/>
      <c r="J661" s="29"/>
      <c r="K661" s="29"/>
      <c r="L661" s="29"/>
      <c r="M661" s="29"/>
      <c r="N661" s="29"/>
      <c r="O661" s="29"/>
      <c r="P661" s="29"/>
      <c r="Q661" s="29"/>
      <c r="R661" s="29"/>
      <c r="S661" s="31"/>
      <c r="T661" s="29"/>
      <c r="U661" s="29"/>
      <c r="V661" s="29"/>
      <c r="W661" s="29"/>
      <c r="X661" s="29"/>
      <c r="Y661" s="29"/>
      <c r="Z661" s="29"/>
      <c r="AA661" s="29"/>
      <c r="AB661" s="29"/>
      <c r="AC661" s="31"/>
      <c r="AD661" s="29"/>
      <c r="AE661" s="29"/>
      <c r="AF661" s="29"/>
      <c r="AG661" s="31"/>
      <c r="AH661" s="29"/>
      <c r="AI661" s="32"/>
      <c r="AJ661" s="35"/>
      <c r="AK661" s="35"/>
      <c r="AL661" s="35"/>
      <c r="AM661" s="35"/>
    </row>
    <row r="662" spans="2:39" x14ac:dyDescent="0.25">
      <c r="B662" s="37"/>
      <c r="C662" s="28"/>
      <c r="D662" s="28"/>
      <c r="E662" s="28"/>
      <c r="F662" s="29"/>
      <c r="G662" s="29"/>
      <c r="H662" s="30"/>
      <c r="I662" s="28"/>
      <c r="J662" s="29"/>
      <c r="K662" s="29"/>
      <c r="L662" s="29"/>
      <c r="M662" s="29"/>
      <c r="N662" s="29"/>
      <c r="O662" s="29"/>
      <c r="P662" s="29"/>
      <c r="Q662" s="29"/>
      <c r="R662" s="29"/>
      <c r="S662" s="31"/>
      <c r="T662" s="29"/>
      <c r="U662" s="29"/>
      <c r="V662" s="29"/>
      <c r="W662" s="29"/>
      <c r="X662" s="29"/>
      <c r="Y662" s="29"/>
      <c r="Z662" s="29"/>
      <c r="AA662" s="29"/>
      <c r="AB662" s="29"/>
      <c r="AC662" s="31"/>
      <c r="AD662" s="29"/>
      <c r="AE662" s="29"/>
      <c r="AF662" s="29"/>
      <c r="AG662" s="31"/>
      <c r="AH662" s="29"/>
      <c r="AI662" s="32"/>
      <c r="AJ662" s="35"/>
      <c r="AK662" s="35"/>
      <c r="AL662" s="35"/>
      <c r="AM662" s="35"/>
    </row>
    <row r="663" spans="2:39" x14ac:dyDescent="0.25">
      <c r="B663" s="37"/>
      <c r="C663" s="28"/>
      <c r="D663" s="28"/>
      <c r="E663" s="28"/>
      <c r="F663" s="29"/>
      <c r="G663" s="29"/>
      <c r="H663" s="30"/>
      <c r="I663" s="28"/>
      <c r="J663" s="29"/>
      <c r="K663" s="29"/>
      <c r="L663" s="29"/>
      <c r="M663" s="29"/>
      <c r="N663" s="29"/>
      <c r="O663" s="29"/>
      <c r="P663" s="29"/>
      <c r="Q663" s="29"/>
      <c r="R663" s="29"/>
      <c r="S663" s="31"/>
      <c r="T663" s="29"/>
      <c r="U663" s="29"/>
      <c r="V663" s="29"/>
      <c r="W663" s="29"/>
      <c r="X663" s="29"/>
      <c r="Y663" s="29"/>
      <c r="Z663" s="29"/>
      <c r="AA663" s="29"/>
      <c r="AB663" s="29"/>
      <c r="AC663" s="31"/>
      <c r="AD663" s="29"/>
      <c r="AE663" s="29"/>
      <c r="AF663" s="29"/>
      <c r="AG663" s="31"/>
      <c r="AH663" s="29"/>
      <c r="AI663" s="32"/>
      <c r="AJ663" s="35"/>
      <c r="AK663" s="35"/>
      <c r="AL663" s="35"/>
      <c r="AM663" s="35"/>
    </row>
    <row r="664" spans="2:39" x14ac:dyDescent="0.25">
      <c r="B664" s="37"/>
      <c r="C664" s="28"/>
      <c r="D664" s="28"/>
      <c r="E664" s="28"/>
      <c r="F664" s="29"/>
      <c r="G664" s="29"/>
      <c r="H664" s="30"/>
      <c r="I664" s="28"/>
      <c r="J664" s="29"/>
      <c r="K664" s="29"/>
      <c r="L664" s="29"/>
      <c r="M664" s="29"/>
      <c r="N664" s="29"/>
      <c r="O664" s="29"/>
      <c r="P664" s="29"/>
      <c r="Q664" s="29"/>
      <c r="R664" s="29"/>
      <c r="S664" s="31"/>
      <c r="T664" s="29"/>
      <c r="U664" s="29"/>
      <c r="V664" s="29"/>
      <c r="W664" s="29"/>
      <c r="X664" s="29"/>
      <c r="Y664" s="29"/>
      <c r="Z664" s="29"/>
      <c r="AA664" s="29"/>
      <c r="AB664" s="29"/>
      <c r="AC664" s="31"/>
      <c r="AD664" s="29"/>
      <c r="AE664" s="29"/>
      <c r="AF664" s="29"/>
      <c r="AG664" s="31"/>
      <c r="AH664" s="29"/>
      <c r="AI664" s="32"/>
      <c r="AJ664" s="35"/>
      <c r="AK664" s="35"/>
      <c r="AL664" s="35"/>
      <c r="AM664" s="35"/>
    </row>
    <row r="665" spans="2:39" x14ac:dyDescent="0.25">
      <c r="B665" s="37"/>
      <c r="C665" s="28"/>
      <c r="D665" s="28"/>
      <c r="E665" s="28"/>
      <c r="F665" s="29"/>
      <c r="G665" s="29"/>
      <c r="H665" s="30"/>
      <c r="I665" s="28"/>
      <c r="J665" s="29"/>
      <c r="K665" s="29"/>
      <c r="L665" s="29"/>
      <c r="M665" s="29"/>
      <c r="N665" s="29"/>
      <c r="O665" s="29"/>
      <c r="P665" s="29"/>
      <c r="Q665" s="29"/>
      <c r="R665" s="29"/>
      <c r="S665" s="31"/>
      <c r="T665" s="29"/>
      <c r="U665" s="29"/>
      <c r="V665" s="29"/>
      <c r="W665" s="29"/>
      <c r="X665" s="29"/>
      <c r="Y665" s="29"/>
      <c r="Z665" s="29"/>
      <c r="AA665" s="29"/>
      <c r="AB665" s="29"/>
      <c r="AC665" s="31"/>
      <c r="AD665" s="29"/>
      <c r="AE665" s="29"/>
      <c r="AF665" s="29"/>
      <c r="AG665" s="31"/>
      <c r="AH665" s="29"/>
      <c r="AI665" s="32"/>
      <c r="AJ665" s="35"/>
      <c r="AK665" s="35"/>
      <c r="AL665" s="35"/>
      <c r="AM665" s="35"/>
    </row>
    <row r="666" spans="2:39" x14ac:dyDescent="0.25">
      <c r="B666" s="37"/>
      <c r="C666" s="28"/>
      <c r="D666" s="28"/>
      <c r="E666" s="28"/>
      <c r="F666" s="29"/>
      <c r="G666" s="29"/>
      <c r="H666" s="30"/>
      <c r="I666" s="28"/>
      <c r="J666" s="29"/>
      <c r="K666" s="29"/>
      <c r="L666" s="29"/>
      <c r="M666" s="29"/>
      <c r="N666" s="29"/>
      <c r="O666" s="29"/>
      <c r="P666" s="29"/>
      <c r="Q666" s="29"/>
      <c r="R666" s="29"/>
      <c r="S666" s="31"/>
      <c r="T666" s="29"/>
      <c r="U666" s="29"/>
      <c r="V666" s="29"/>
      <c r="W666" s="29"/>
      <c r="X666" s="29"/>
      <c r="Y666" s="29"/>
      <c r="Z666" s="29"/>
      <c r="AA666" s="29"/>
      <c r="AB666" s="29"/>
      <c r="AC666" s="31"/>
      <c r="AD666" s="29"/>
      <c r="AE666" s="29"/>
      <c r="AF666" s="29"/>
      <c r="AG666" s="31"/>
      <c r="AH666" s="29"/>
      <c r="AI666" s="32"/>
      <c r="AJ666" s="35"/>
      <c r="AK666" s="35"/>
      <c r="AL666" s="35"/>
      <c r="AM666" s="35"/>
    </row>
    <row r="667" spans="2:39" x14ac:dyDescent="0.25">
      <c r="B667" s="37"/>
      <c r="C667" s="28"/>
      <c r="D667" s="28"/>
      <c r="E667" s="28"/>
      <c r="F667" s="29"/>
      <c r="G667" s="29"/>
      <c r="H667" s="30"/>
      <c r="I667" s="28"/>
      <c r="J667" s="29"/>
      <c r="K667" s="29"/>
      <c r="L667" s="29"/>
      <c r="M667" s="29"/>
      <c r="N667" s="29"/>
      <c r="O667" s="29"/>
      <c r="P667" s="29"/>
      <c r="Q667" s="29"/>
      <c r="R667" s="29"/>
      <c r="S667" s="31"/>
      <c r="T667" s="29"/>
      <c r="U667" s="29"/>
      <c r="V667" s="29"/>
      <c r="W667" s="29"/>
      <c r="X667" s="29"/>
      <c r="Y667" s="29"/>
      <c r="Z667" s="29"/>
      <c r="AA667" s="29"/>
      <c r="AB667" s="29"/>
      <c r="AC667" s="31"/>
      <c r="AD667" s="29"/>
      <c r="AE667" s="29"/>
      <c r="AF667" s="29"/>
      <c r="AG667" s="31"/>
      <c r="AH667" s="29"/>
      <c r="AI667" s="32"/>
      <c r="AJ667" s="35"/>
      <c r="AK667" s="35"/>
      <c r="AL667" s="35"/>
      <c r="AM667" s="35"/>
    </row>
    <row r="668" spans="2:39" x14ac:dyDescent="0.25">
      <c r="B668" s="37"/>
      <c r="C668" s="28"/>
      <c r="D668" s="28"/>
      <c r="E668" s="28"/>
      <c r="F668" s="29"/>
      <c r="G668" s="29"/>
      <c r="H668" s="30"/>
      <c r="I668" s="28"/>
      <c r="J668" s="29"/>
      <c r="K668" s="29"/>
      <c r="L668" s="29"/>
      <c r="M668" s="29"/>
      <c r="N668" s="29"/>
      <c r="O668" s="29"/>
      <c r="P668" s="29"/>
      <c r="Q668" s="29"/>
      <c r="R668" s="29"/>
      <c r="S668" s="31"/>
      <c r="T668" s="29"/>
      <c r="U668" s="29"/>
      <c r="V668" s="29"/>
      <c r="W668" s="29"/>
      <c r="X668" s="29"/>
      <c r="Y668" s="29"/>
      <c r="Z668" s="29"/>
      <c r="AA668" s="29"/>
      <c r="AB668" s="29"/>
      <c r="AC668" s="31"/>
      <c r="AD668" s="29"/>
      <c r="AE668" s="29"/>
      <c r="AF668" s="29"/>
      <c r="AG668" s="31"/>
      <c r="AH668" s="29"/>
      <c r="AI668" s="32"/>
      <c r="AJ668" s="35"/>
      <c r="AK668" s="35"/>
      <c r="AL668" s="35"/>
      <c r="AM668" s="35"/>
    </row>
    <row r="669" spans="2:39" x14ac:dyDescent="0.25">
      <c r="B669" s="37"/>
      <c r="C669" s="28"/>
      <c r="D669" s="28"/>
      <c r="E669" s="28"/>
      <c r="F669" s="29"/>
      <c r="G669" s="29"/>
      <c r="H669" s="30"/>
      <c r="I669" s="28"/>
      <c r="J669" s="29"/>
      <c r="K669" s="29"/>
      <c r="L669" s="29"/>
      <c r="M669" s="29"/>
      <c r="N669" s="29"/>
      <c r="O669" s="29"/>
      <c r="P669" s="29"/>
      <c r="Q669" s="29"/>
      <c r="R669" s="29"/>
      <c r="S669" s="31"/>
      <c r="T669" s="29"/>
      <c r="U669" s="29"/>
      <c r="V669" s="29"/>
      <c r="W669" s="29"/>
      <c r="X669" s="29"/>
      <c r="Y669" s="29"/>
      <c r="Z669" s="29"/>
      <c r="AA669" s="29"/>
      <c r="AB669" s="29"/>
      <c r="AC669" s="31"/>
      <c r="AD669" s="29"/>
      <c r="AE669" s="29"/>
      <c r="AF669" s="29"/>
      <c r="AG669" s="31"/>
      <c r="AH669" s="29"/>
      <c r="AI669" s="32"/>
      <c r="AJ669" s="35"/>
      <c r="AK669" s="35"/>
      <c r="AL669" s="35"/>
      <c r="AM669" s="35"/>
    </row>
    <row r="670" spans="2:39" x14ac:dyDescent="0.25">
      <c r="B670" s="37"/>
      <c r="C670" s="28"/>
      <c r="D670" s="28"/>
      <c r="E670" s="28"/>
      <c r="F670" s="29"/>
      <c r="G670" s="29"/>
      <c r="H670" s="30"/>
      <c r="I670" s="28"/>
      <c r="J670" s="29"/>
      <c r="K670" s="29"/>
      <c r="L670" s="29"/>
      <c r="M670" s="29"/>
      <c r="N670" s="29"/>
      <c r="O670" s="29"/>
      <c r="P670" s="29"/>
      <c r="Q670" s="29"/>
      <c r="R670" s="29"/>
      <c r="S670" s="31"/>
      <c r="T670" s="29"/>
      <c r="U670" s="29"/>
      <c r="V670" s="29"/>
      <c r="W670" s="29"/>
      <c r="X670" s="29"/>
      <c r="Y670" s="29"/>
      <c r="Z670" s="29"/>
      <c r="AA670" s="29"/>
      <c r="AB670" s="29"/>
      <c r="AC670" s="31"/>
      <c r="AD670" s="29"/>
      <c r="AE670" s="29"/>
      <c r="AF670" s="29"/>
      <c r="AG670" s="31"/>
      <c r="AH670" s="29"/>
      <c r="AI670" s="32"/>
      <c r="AJ670" s="35"/>
      <c r="AK670" s="35"/>
      <c r="AL670" s="35"/>
      <c r="AM670" s="35"/>
    </row>
    <row r="671" spans="2:39" x14ac:dyDescent="0.25">
      <c r="B671" s="37"/>
      <c r="C671" s="28"/>
      <c r="D671" s="28"/>
      <c r="E671" s="28"/>
      <c r="F671" s="29"/>
      <c r="G671" s="29"/>
      <c r="H671" s="30"/>
      <c r="I671" s="28"/>
      <c r="J671" s="29"/>
      <c r="K671" s="29"/>
      <c r="L671" s="29"/>
      <c r="M671" s="29"/>
      <c r="N671" s="29"/>
      <c r="O671" s="29"/>
      <c r="P671" s="29"/>
      <c r="Q671" s="29"/>
      <c r="R671" s="29"/>
      <c r="S671" s="31"/>
      <c r="T671" s="29"/>
      <c r="U671" s="29"/>
      <c r="V671" s="29"/>
      <c r="W671" s="29"/>
      <c r="X671" s="29"/>
      <c r="Y671" s="29"/>
      <c r="Z671" s="29"/>
      <c r="AA671" s="29"/>
      <c r="AB671" s="29"/>
      <c r="AC671" s="31"/>
      <c r="AD671" s="29"/>
      <c r="AE671" s="29"/>
      <c r="AF671" s="29"/>
      <c r="AG671" s="31"/>
      <c r="AH671" s="29"/>
      <c r="AI671" s="32"/>
      <c r="AJ671" s="35"/>
      <c r="AK671" s="35"/>
      <c r="AL671" s="35"/>
      <c r="AM671" s="35"/>
    </row>
    <row r="672" spans="2:39" x14ac:dyDescent="0.25">
      <c r="B672" s="37"/>
      <c r="C672" s="28"/>
      <c r="D672" s="28"/>
      <c r="E672" s="28"/>
      <c r="F672" s="29"/>
      <c r="G672" s="29"/>
      <c r="H672" s="30"/>
      <c r="I672" s="28"/>
      <c r="J672" s="29"/>
      <c r="K672" s="29"/>
      <c r="L672" s="29"/>
      <c r="M672" s="29"/>
      <c r="N672" s="29"/>
      <c r="O672" s="29"/>
      <c r="P672" s="29"/>
      <c r="Q672" s="29"/>
      <c r="R672" s="29"/>
      <c r="S672" s="31"/>
      <c r="T672" s="29"/>
      <c r="U672" s="29"/>
      <c r="V672" s="29"/>
      <c r="W672" s="29"/>
      <c r="X672" s="29"/>
      <c r="Y672" s="29"/>
      <c r="Z672" s="29"/>
      <c r="AA672" s="29"/>
      <c r="AB672" s="29"/>
      <c r="AC672" s="31"/>
      <c r="AD672" s="29"/>
      <c r="AE672" s="29"/>
      <c r="AF672" s="29"/>
      <c r="AG672" s="31"/>
      <c r="AH672" s="29"/>
      <c r="AI672" s="32"/>
      <c r="AJ672" s="35"/>
      <c r="AK672" s="35"/>
      <c r="AL672" s="35"/>
      <c r="AM672" s="35"/>
    </row>
    <row r="673" spans="2:39" x14ac:dyDescent="0.25">
      <c r="B673" s="37"/>
      <c r="C673" s="28"/>
      <c r="D673" s="28"/>
      <c r="E673" s="28"/>
      <c r="F673" s="29"/>
      <c r="G673" s="29"/>
      <c r="H673" s="30"/>
      <c r="I673" s="28"/>
      <c r="J673" s="29"/>
      <c r="K673" s="29"/>
      <c r="L673" s="29"/>
      <c r="M673" s="29"/>
      <c r="N673" s="29"/>
      <c r="O673" s="29"/>
      <c r="P673" s="29"/>
      <c r="Q673" s="29"/>
      <c r="R673" s="29"/>
      <c r="S673" s="31"/>
      <c r="T673" s="29"/>
      <c r="U673" s="29"/>
      <c r="V673" s="29"/>
      <c r="W673" s="29"/>
      <c r="X673" s="29"/>
      <c r="Y673" s="29"/>
      <c r="Z673" s="29"/>
      <c r="AA673" s="29"/>
      <c r="AB673" s="29"/>
      <c r="AC673" s="31"/>
      <c r="AD673" s="29"/>
      <c r="AE673" s="29"/>
      <c r="AF673" s="29"/>
      <c r="AG673" s="31"/>
      <c r="AH673" s="29"/>
      <c r="AI673" s="32"/>
      <c r="AJ673" s="35"/>
      <c r="AK673" s="35"/>
      <c r="AL673" s="35"/>
      <c r="AM673" s="35"/>
    </row>
    <row r="674" spans="2:39" x14ac:dyDescent="0.25">
      <c r="B674" s="37"/>
      <c r="C674" s="28"/>
      <c r="D674" s="28"/>
      <c r="E674" s="28"/>
      <c r="F674" s="29"/>
      <c r="G674" s="29"/>
      <c r="H674" s="30"/>
      <c r="I674" s="28"/>
      <c r="J674" s="29"/>
      <c r="K674" s="29"/>
      <c r="L674" s="29"/>
      <c r="M674" s="29"/>
      <c r="N674" s="29"/>
      <c r="O674" s="29"/>
      <c r="P674" s="29"/>
      <c r="Q674" s="29"/>
      <c r="R674" s="29"/>
      <c r="S674" s="31"/>
      <c r="T674" s="29"/>
      <c r="U674" s="29"/>
      <c r="V674" s="29"/>
      <c r="W674" s="29"/>
      <c r="X674" s="29"/>
      <c r="Y674" s="29"/>
      <c r="Z674" s="29"/>
      <c r="AA674" s="29"/>
      <c r="AB674" s="29"/>
      <c r="AC674" s="31"/>
      <c r="AD674" s="29"/>
      <c r="AE674" s="29"/>
      <c r="AF674" s="29"/>
      <c r="AG674" s="31"/>
      <c r="AH674" s="29"/>
      <c r="AI674" s="32"/>
      <c r="AJ674" s="35"/>
      <c r="AK674" s="35"/>
      <c r="AL674" s="35"/>
      <c r="AM674" s="35"/>
    </row>
    <row r="675" spans="2:39" x14ac:dyDescent="0.25">
      <c r="B675" s="37"/>
      <c r="C675" s="28"/>
      <c r="D675" s="28"/>
      <c r="E675" s="28"/>
      <c r="F675" s="29"/>
      <c r="G675" s="29"/>
      <c r="H675" s="30"/>
      <c r="I675" s="28"/>
      <c r="J675" s="29"/>
      <c r="K675" s="29"/>
      <c r="L675" s="29"/>
      <c r="M675" s="29"/>
      <c r="N675" s="29"/>
      <c r="O675" s="29"/>
      <c r="P675" s="29"/>
      <c r="Q675" s="29"/>
      <c r="R675" s="29"/>
      <c r="S675" s="31"/>
      <c r="T675" s="29"/>
      <c r="U675" s="29"/>
      <c r="V675" s="29"/>
      <c r="W675" s="29"/>
      <c r="X675" s="29"/>
      <c r="Y675" s="29"/>
      <c r="Z675" s="29"/>
      <c r="AA675" s="29"/>
      <c r="AB675" s="29"/>
      <c r="AC675" s="31"/>
      <c r="AD675" s="29"/>
      <c r="AE675" s="29"/>
      <c r="AF675" s="29"/>
      <c r="AG675" s="31"/>
      <c r="AH675" s="29"/>
      <c r="AI675" s="32"/>
      <c r="AJ675" s="35"/>
      <c r="AK675" s="35"/>
      <c r="AL675" s="35"/>
      <c r="AM675" s="35"/>
    </row>
    <row r="676" spans="2:39" x14ac:dyDescent="0.25">
      <c r="B676" s="37"/>
      <c r="C676" s="28"/>
      <c r="D676" s="28"/>
      <c r="E676" s="28"/>
      <c r="F676" s="29"/>
      <c r="G676" s="29"/>
      <c r="H676" s="30"/>
      <c r="I676" s="28"/>
      <c r="J676" s="29"/>
      <c r="K676" s="29"/>
      <c r="L676" s="29"/>
      <c r="M676" s="29"/>
      <c r="N676" s="29"/>
      <c r="O676" s="29"/>
      <c r="P676" s="29"/>
      <c r="Q676" s="29"/>
      <c r="R676" s="29"/>
      <c r="S676" s="31"/>
      <c r="T676" s="29"/>
      <c r="U676" s="29"/>
      <c r="V676" s="29"/>
      <c r="W676" s="29"/>
      <c r="X676" s="29"/>
      <c r="Y676" s="29"/>
      <c r="Z676" s="29"/>
      <c r="AA676" s="29"/>
      <c r="AB676" s="29"/>
      <c r="AC676" s="31"/>
      <c r="AD676" s="29"/>
      <c r="AE676" s="29"/>
      <c r="AF676" s="29"/>
      <c r="AG676" s="31"/>
      <c r="AH676" s="29"/>
      <c r="AI676" s="32"/>
      <c r="AJ676" s="35"/>
      <c r="AK676" s="35"/>
      <c r="AL676" s="35"/>
      <c r="AM676" s="35"/>
    </row>
    <row r="677" spans="2:39" x14ac:dyDescent="0.25">
      <c r="B677" s="37"/>
      <c r="C677" s="28"/>
      <c r="D677" s="28"/>
      <c r="E677" s="28"/>
      <c r="F677" s="29"/>
      <c r="G677" s="29"/>
      <c r="H677" s="30"/>
      <c r="I677" s="28"/>
      <c r="J677" s="29"/>
      <c r="K677" s="29"/>
      <c r="L677" s="29"/>
      <c r="M677" s="29"/>
      <c r="N677" s="29"/>
      <c r="O677" s="29"/>
      <c r="P677" s="29"/>
      <c r="Q677" s="29"/>
      <c r="R677" s="29"/>
      <c r="S677" s="31"/>
      <c r="T677" s="29"/>
      <c r="U677" s="29"/>
      <c r="V677" s="29"/>
      <c r="W677" s="29"/>
      <c r="X677" s="29"/>
      <c r="Y677" s="29"/>
      <c r="Z677" s="29"/>
      <c r="AA677" s="29"/>
      <c r="AB677" s="29"/>
      <c r="AC677" s="31"/>
      <c r="AD677" s="29"/>
      <c r="AE677" s="29"/>
      <c r="AF677" s="29"/>
      <c r="AG677" s="31"/>
      <c r="AH677" s="29"/>
      <c r="AI677" s="32"/>
      <c r="AJ677" s="35"/>
      <c r="AK677" s="35"/>
      <c r="AL677" s="35"/>
      <c r="AM677" s="35"/>
    </row>
    <row r="678" spans="2:39" x14ac:dyDescent="0.25">
      <c r="B678" s="37"/>
      <c r="C678" s="28"/>
      <c r="D678" s="28"/>
      <c r="E678" s="28"/>
      <c r="F678" s="29"/>
      <c r="G678" s="29"/>
      <c r="H678" s="30"/>
      <c r="I678" s="28"/>
      <c r="J678" s="29"/>
      <c r="K678" s="29"/>
      <c r="L678" s="29"/>
      <c r="M678" s="29"/>
      <c r="N678" s="29"/>
      <c r="O678" s="29"/>
      <c r="P678" s="29"/>
      <c r="Q678" s="29"/>
      <c r="R678" s="29"/>
      <c r="S678" s="31"/>
      <c r="T678" s="29"/>
      <c r="U678" s="29"/>
      <c r="V678" s="29"/>
      <c r="W678" s="29"/>
      <c r="X678" s="29"/>
      <c r="Y678" s="29"/>
      <c r="Z678" s="29"/>
      <c r="AA678" s="29"/>
      <c r="AB678" s="29"/>
      <c r="AC678" s="31"/>
      <c r="AD678" s="29"/>
      <c r="AE678" s="29"/>
      <c r="AF678" s="29"/>
      <c r="AG678" s="31"/>
      <c r="AH678" s="29"/>
      <c r="AI678" s="32"/>
      <c r="AJ678" s="35"/>
      <c r="AK678" s="35"/>
      <c r="AL678" s="35"/>
      <c r="AM678" s="35"/>
    </row>
    <row r="679" spans="2:39" x14ac:dyDescent="0.25">
      <c r="B679" s="37"/>
      <c r="C679" s="28"/>
      <c r="D679" s="28"/>
      <c r="E679" s="28"/>
      <c r="F679" s="29"/>
      <c r="G679" s="29"/>
      <c r="H679" s="30"/>
      <c r="I679" s="28"/>
      <c r="J679" s="29"/>
      <c r="K679" s="29"/>
      <c r="L679" s="29"/>
      <c r="M679" s="29"/>
      <c r="N679" s="29"/>
      <c r="O679" s="29"/>
      <c r="P679" s="29"/>
      <c r="Q679" s="29"/>
      <c r="R679" s="29"/>
      <c r="S679" s="31"/>
      <c r="T679" s="29"/>
      <c r="U679" s="29"/>
      <c r="V679" s="29"/>
      <c r="W679" s="29"/>
      <c r="X679" s="29"/>
      <c r="Y679" s="29"/>
      <c r="Z679" s="29"/>
      <c r="AA679" s="29"/>
      <c r="AB679" s="29"/>
      <c r="AC679" s="31"/>
      <c r="AD679" s="29"/>
      <c r="AE679" s="29"/>
      <c r="AF679" s="29"/>
      <c r="AG679" s="31"/>
      <c r="AH679" s="29"/>
      <c r="AI679" s="32"/>
      <c r="AJ679" s="35"/>
      <c r="AK679" s="35"/>
      <c r="AL679" s="35"/>
      <c r="AM679" s="35"/>
    </row>
    <row r="680" spans="2:39" x14ac:dyDescent="0.25">
      <c r="B680" s="37"/>
      <c r="C680" s="28"/>
      <c r="D680" s="28"/>
      <c r="E680" s="28"/>
      <c r="F680" s="29"/>
      <c r="G680" s="29"/>
      <c r="H680" s="30"/>
      <c r="I680" s="28"/>
      <c r="J680" s="29"/>
      <c r="K680" s="29"/>
      <c r="L680" s="29"/>
      <c r="M680" s="29"/>
      <c r="N680" s="29"/>
      <c r="O680" s="29"/>
      <c r="P680" s="29"/>
      <c r="Q680" s="29"/>
      <c r="R680" s="29"/>
      <c r="S680" s="31"/>
      <c r="T680" s="29"/>
      <c r="U680" s="29"/>
      <c r="V680" s="29"/>
      <c r="W680" s="29"/>
      <c r="X680" s="29"/>
      <c r="Y680" s="29"/>
      <c r="Z680" s="29"/>
      <c r="AA680" s="29"/>
      <c r="AB680" s="29"/>
      <c r="AC680" s="31"/>
      <c r="AD680" s="29"/>
      <c r="AE680" s="29"/>
      <c r="AF680" s="29"/>
      <c r="AG680" s="31"/>
      <c r="AH680" s="29"/>
      <c r="AI680" s="32"/>
      <c r="AJ680" s="35"/>
      <c r="AK680" s="35"/>
      <c r="AL680" s="35"/>
      <c r="AM680" s="35"/>
    </row>
    <row r="681" spans="2:39" x14ac:dyDescent="0.25">
      <c r="B681" s="37"/>
      <c r="C681" s="28"/>
      <c r="D681" s="28"/>
      <c r="E681" s="28"/>
      <c r="F681" s="29"/>
      <c r="G681" s="29"/>
      <c r="H681" s="30"/>
      <c r="I681" s="28"/>
      <c r="J681" s="29"/>
      <c r="K681" s="29"/>
      <c r="L681" s="29"/>
      <c r="M681" s="29"/>
      <c r="N681" s="29"/>
      <c r="O681" s="29"/>
      <c r="P681" s="29"/>
      <c r="Q681" s="29"/>
      <c r="R681" s="29"/>
      <c r="S681" s="31"/>
      <c r="T681" s="29"/>
      <c r="U681" s="29"/>
      <c r="V681" s="29"/>
      <c r="W681" s="29"/>
      <c r="X681" s="29"/>
      <c r="Y681" s="29"/>
      <c r="Z681" s="29"/>
      <c r="AA681" s="29"/>
      <c r="AB681" s="29"/>
      <c r="AC681" s="31"/>
      <c r="AD681" s="29"/>
      <c r="AE681" s="29"/>
      <c r="AF681" s="29"/>
      <c r="AG681" s="31"/>
      <c r="AH681" s="29"/>
      <c r="AI681" s="32"/>
      <c r="AJ681" s="35"/>
      <c r="AK681" s="35"/>
      <c r="AL681" s="35"/>
      <c r="AM681" s="35"/>
    </row>
    <row r="682" spans="2:39" x14ac:dyDescent="0.25">
      <c r="B682" s="37"/>
      <c r="C682" s="28"/>
      <c r="D682" s="28"/>
      <c r="E682" s="28"/>
      <c r="F682" s="29"/>
      <c r="G682" s="29"/>
      <c r="H682" s="30"/>
      <c r="I682" s="28"/>
      <c r="J682" s="29"/>
      <c r="K682" s="29"/>
      <c r="L682" s="29"/>
      <c r="M682" s="29"/>
      <c r="N682" s="29"/>
      <c r="O682" s="29"/>
      <c r="P682" s="29"/>
      <c r="Q682" s="29"/>
      <c r="R682" s="29"/>
      <c r="S682" s="31"/>
      <c r="T682" s="29"/>
      <c r="U682" s="29"/>
      <c r="V682" s="29"/>
      <c r="W682" s="29"/>
      <c r="X682" s="29"/>
      <c r="Y682" s="29"/>
      <c r="Z682" s="29"/>
      <c r="AA682" s="29"/>
      <c r="AB682" s="29"/>
      <c r="AC682" s="31"/>
      <c r="AD682" s="29"/>
      <c r="AE682" s="29"/>
      <c r="AF682" s="29"/>
      <c r="AG682" s="31"/>
      <c r="AH682" s="29"/>
      <c r="AI682" s="32"/>
      <c r="AJ682" s="35"/>
      <c r="AK682" s="35"/>
      <c r="AL682" s="35"/>
      <c r="AM682" s="35"/>
    </row>
    <row r="683" spans="2:39" x14ac:dyDescent="0.25">
      <c r="B683" s="37"/>
      <c r="C683" s="28"/>
      <c r="D683" s="28"/>
      <c r="E683" s="28"/>
      <c r="F683" s="29"/>
      <c r="G683" s="29"/>
      <c r="H683" s="30"/>
      <c r="I683" s="28"/>
      <c r="J683" s="29"/>
      <c r="K683" s="29"/>
      <c r="L683" s="29"/>
      <c r="M683" s="29"/>
      <c r="N683" s="29"/>
      <c r="O683" s="29"/>
      <c r="P683" s="29"/>
      <c r="Q683" s="29"/>
      <c r="R683" s="29"/>
      <c r="S683" s="31"/>
      <c r="T683" s="29"/>
      <c r="U683" s="29"/>
      <c r="V683" s="29"/>
      <c r="W683" s="29"/>
      <c r="X683" s="29"/>
      <c r="Y683" s="29"/>
      <c r="Z683" s="29"/>
      <c r="AA683" s="29"/>
      <c r="AB683" s="29"/>
      <c r="AC683" s="31"/>
      <c r="AD683" s="29"/>
      <c r="AE683" s="29"/>
      <c r="AF683" s="29"/>
      <c r="AG683" s="31"/>
      <c r="AH683" s="29"/>
      <c r="AI683" s="32"/>
      <c r="AJ683" s="35"/>
      <c r="AK683" s="35"/>
      <c r="AL683" s="35"/>
      <c r="AM683" s="35"/>
    </row>
    <row r="684" spans="2:39" x14ac:dyDescent="0.25">
      <c r="B684" s="37"/>
      <c r="C684" s="28"/>
      <c r="D684" s="28"/>
      <c r="E684" s="28"/>
      <c r="F684" s="29"/>
      <c r="G684" s="29"/>
      <c r="H684" s="30"/>
      <c r="I684" s="28"/>
      <c r="J684" s="29"/>
      <c r="K684" s="29"/>
      <c r="L684" s="29"/>
      <c r="M684" s="29"/>
      <c r="N684" s="29"/>
      <c r="O684" s="29"/>
      <c r="P684" s="29"/>
      <c r="Q684" s="29"/>
      <c r="R684" s="29"/>
      <c r="S684" s="31"/>
      <c r="T684" s="29"/>
      <c r="U684" s="29"/>
      <c r="V684" s="29"/>
      <c r="W684" s="29"/>
      <c r="X684" s="29"/>
      <c r="Y684" s="29"/>
      <c r="Z684" s="29"/>
      <c r="AA684" s="29"/>
      <c r="AB684" s="29"/>
      <c r="AC684" s="31"/>
      <c r="AD684" s="29"/>
      <c r="AE684" s="29"/>
      <c r="AF684" s="29"/>
      <c r="AG684" s="31"/>
      <c r="AH684" s="29"/>
      <c r="AI684" s="32"/>
      <c r="AJ684" s="35"/>
      <c r="AK684" s="35"/>
      <c r="AL684" s="35"/>
      <c r="AM684" s="35"/>
    </row>
    <row r="685" spans="2:39" x14ac:dyDescent="0.25">
      <c r="B685" s="37"/>
      <c r="C685" s="28"/>
      <c r="D685" s="28"/>
      <c r="E685" s="28"/>
      <c r="F685" s="29"/>
      <c r="G685" s="29"/>
      <c r="H685" s="30"/>
      <c r="I685" s="28"/>
      <c r="J685" s="29"/>
      <c r="K685" s="29"/>
      <c r="L685" s="29"/>
      <c r="M685" s="29"/>
      <c r="N685" s="29"/>
      <c r="O685" s="29"/>
      <c r="P685" s="29"/>
      <c r="Q685" s="29"/>
      <c r="R685" s="29"/>
      <c r="S685" s="31"/>
      <c r="T685" s="29"/>
      <c r="U685" s="29"/>
      <c r="V685" s="29"/>
      <c r="W685" s="29"/>
      <c r="X685" s="29"/>
      <c r="Y685" s="29"/>
      <c r="Z685" s="29"/>
      <c r="AA685" s="29"/>
      <c r="AB685" s="29"/>
      <c r="AC685" s="31"/>
      <c r="AD685" s="29"/>
      <c r="AE685" s="29"/>
      <c r="AF685" s="29"/>
      <c r="AG685" s="31"/>
      <c r="AH685" s="29"/>
      <c r="AI685" s="32"/>
      <c r="AJ685" s="35"/>
      <c r="AK685" s="35"/>
      <c r="AL685" s="35"/>
      <c r="AM685" s="35"/>
    </row>
    <row r="686" spans="2:39" x14ac:dyDescent="0.25">
      <c r="B686" s="37"/>
      <c r="C686" s="28"/>
      <c r="D686" s="28"/>
      <c r="E686" s="28"/>
      <c r="F686" s="29"/>
      <c r="G686" s="29"/>
      <c r="H686" s="30"/>
      <c r="I686" s="28"/>
      <c r="J686" s="29"/>
      <c r="K686" s="29"/>
      <c r="L686" s="29"/>
      <c r="M686" s="29"/>
      <c r="N686" s="29"/>
      <c r="O686" s="29"/>
      <c r="P686" s="29"/>
      <c r="Q686" s="29"/>
      <c r="R686" s="29"/>
      <c r="S686" s="31"/>
      <c r="T686" s="29"/>
      <c r="U686" s="29"/>
      <c r="V686" s="29"/>
      <c r="W686" s="29"/>
      <c r="X686" s="29"/>
      <c r="Y686" s="29"/>
      <c r="Z686" s="29"/>
      <c r="AA686" s="29"/>
      <c r="AB686" s="29"/>
      <c r="AC686" s="31"/>
      <c r="AD686" s="29"/>
      <c r="AE686" s="29"/>
      <c r="AF686" s="29"/>
      <c r="AG686" s="31"/>
      <c r="AH686" s="29"/>
      <c r="AI686" s="32"/>
      <c r="AJ686" s="35"/>
      <c r="AK686" s="35"/>
      <c r="AL686" s="35"/>
      <c r="AM686" s="35"/>
    </row>
    <row r="687" spans="2:39" x14ac:dyDescent="0.25">
      <c r="B687" s="37"/>
      <c r="C687" s="28"/>
      <c r="D687" s="28"/>
      <c r="E687" s="28"/>
      <c r="F687" s="29"/>
      <c r="G687" s="29"/>
      <c r="H687" s="30"/>
      <c r="I687" s="28"/>
      <c r="J687" s="29"/>
      <c r="K687" s="29"/>
      <c r="L687" s="29"/>
      <c r="M687" s="29"/>
      <c r="N687" s="29"/>
      <c r="O687" s="29"/>
      <c r="P687" s="29"/>
      <c r="Q687" s="29"/>
      <c r="R687" s="29"/>
      <c r="S687" s="31"/>
      <c r="T687" s="29"/>
      <c r="U687" s="29"/>
      <c r="V687" s="29"/>
      <c r="W687" s="29"/>
      <c r="X687" s="29"/>
      <c r="Y687" s="29"/>
      <c r="Z687" s="29"/>
      <c r="AA687" s="29"/>
      <c r="AB687" s="29"/>
      <c r="AC687" s="31"/>
      <c r="AD687" s="29"/>
      <c r="AE687" s="29"/>
      <c r="AF687" s="29"/>
      <c r="AG687" s="31"/>
      <c r="AH687" s="29"/>
      <c r="AI687" s="32"/>
      <c r="AJ687" s="35"/>
      <c r="AK687" s="35"/>
      <c r="AL687" s="35"/>
      <c r="AM687" s="35"/>
    </row>
    <row r="688" spans="2:39" x14ac:dyDescent="0.25">
      <c r="B688" s="37"/>
      <c r="C688" s="28"/>
      <c r="D688" s="28"/>
      <c r="E688" s="28"/>
      <c r="F688" s="29"/>
      <c r="G688" s="29"/>
      <c r="H688" s="30"/>
      <c r="I688" s="28"/>
      <c r="J688" s="29"/>
      <c r="K688" s="29"/>
      <c r="L688" s="29"/>
      <c r="M688" s="29"/>
      <c r="N688" s="29"/>
      <c r="O688" s="29"/>
      <c r="P688" s="29"/>
      <c r="Q688" s="29"/>
      <c r="R688" s="29"/>
      <c r="S688" s="31"/>
      <c r="T688" s="29"/>
      <c r="U688" s="29"/>
      <c r="V688" s="29"/>
      <c r="W688" s="29"/>
      <c r="X688" s="29"/>
      <c r="Y688" s="29"/>
      <c r="Z688" s="29"/>
      <c r="AA688" s="29"/>
      <c r="AB688" s="29"/>
      <c r="AC688" s="31"/>
      <c r="AD688" s="29"/>
      <c r="AE688" s="29"/>
      <c r="AF688" s="29"/>
      <c r="AG688" s="31"/>
      <c r="AH688" s="29"/>
      <c r="AI688" s="32"/>
      <c r="AJ688" s="35"/>
      <c r="AK688" s="35"/>
      <c r="AL688" s="35"/>
      <c r="AM688" s="35"/>
    </row>
    <row r="689" spans="2:39" x14ac:dyDescent="0.25">
      <c r="B689" s="37"/>
      <c r="C689" s="28"/>
      <c r="D689" s="28"/>
      <c r="E689" s="28"/>
      <c r="F689" s="29"/>
      <c r="G689" s="29"/>
      <c r="H689" s="30"/>
      <c r="I689" s="28"/>
      <c r="J689" s="29"/>
      <c r="K689" s="29"/>
      <c r="L689" s="29"/>
      <c r="M689" s="29"/>
      <c r="N689" s="29"/>
      <c r="O689" s="29"/>
      <c r="P689" s="29"/>
      <c r="Q689" s="29"/>
      <c r="R689" s="29"/>
      <c r="S689" s="31"/>
      <c r="T689" s="29"/>
      <c r="U689" s="29"/>
      <c r="V689" s="29"/>
      <c r="W689" s="29"/>
      <c r="X689" s="29"/>
      <c r="Y689" s="29"/>
      <c r="Z689" s="29"/>
      <c r="AA689" s="29"/>
      <c r="AB689" s="29"/>
      <c r="AC689" s="31"/>
      <c r="AD689" s="29"/>
      <c r="AE689" s="29"/>
      <c r="AF689" s="29"/>
      <c r="AG689" s="31"/>
      <c r="AH689" s="29"/>
      <c r="AI689" s="32"/>
      <c r="AJ689" s="35"/>
      <c r="AK689" s="35"/>
      <c r="AL689" s="35"/>
      <c r="AM689" s="35"/>
    </row>
    <row r="690" spans="2:39" x14ac:dyDescent="0.25">
      <c r="B690" s="37"/>
      <c r="C690" s="28"/>
      <c r="D690" s="28"/>
      <c r="E690" s="28"/>
      <c r="F690" s="29"/>
      <c r="G690" s="29"/>
      <c r="H690" s="30"/>
      <c r="I690" s="28"/>
      <c r="J690" s="29"/>
      <c r="K690" s="29"/>
      <c r="L690" s="29"/>
      <c r="M690" s="29"/>
      <c r="N690" s="29"/>
      <c r="O690" s="29"/>
      <c r="P690" s="29"/>
      <c r="Q690" s="29"/>
      <c r="R690" s="29"/>
      <c r="S690" s="31"/>
      <c r="T690" s="29"/>
      <c r="U690" s="29"/>
      <c r="V690" s="29"/>
      <c r="W690" s="29"/>
      <c r="X690" s="29"/>
      <c r="Y690" s="29"/>
      <c r="Z690" s="29"/>
      <c r="AA690" s="29"/>
      <c r="AB690" s="29"/>
      <c r="AC690" s="31"/>
      <c r="AD690" s="29"/>
      <c r="AE690" s="29"/>
      <c r="AF690" s="29"/>
      <c r="AG690" s="31"/>
      <c r="AH690" s="29"/>
      <c r="AI690" s="32"/>
      <c r="AJ690" s="35"/>
      <c r="AK690" s="35"/>
      <c r="AL690" s="35"/>
      <c r="AM690" s="35"/>
    </row>
    <row r="691" spans="2:39" x14ac:dyDescent="0.25">
      <c r="B691" s="37"/>
      <c r="C691" s="28"/>
      <c r="D691" s="28"/>
      <c r="E691" s="28"/>
      <c r="F691" s="29"/>
      <c r="G691" s="29"/>
      <c r="H691" s="30"/>
      <c r="I691" s="28"/>
      <c r="J691" s="29"/>
      <c r="K691" s="29"/>
      <c r="L691" s="29"/>
      <c r="M691" s="29"/>
      <c r="N691" s="29"/>
      <c r="O691" s="29"/>
      <c r="P691" s="29"/>
      <c r="Q691" s="29"/>
      <c r="R691" s="29"/>
      <c r="S691" s="31"/>
      <c r="T691" s="29"/>
      <c r="U691" s="29"/>
      <c r="V691" s="29"/>
      <c r="W691" s="29"/>
      <c r="X691" s="29"/>
      <c r="Y691" s="29"/>
      <c r="Z691" s="29"/>
      <c r="AA691" s="29"/>
      <c r="AB691" s="29"/>
      <c r="AC691" s="31"/>
      <c r="AD691" s="29"/>
      <c r="AE691" s="29"/>
      <c r="AF691" s="29"/>
      <c r="AG691" s="31"/>
      <c r="AH691" s="29"/>
      <c r="AI691" s="32"/>
      <c r="AJ691" s="35"/>
      <c r="AK691" s="35"/>
      <c r="AL691" s="35"/>
      <c r="AM691" s="35"/>
    </row>
    <row r="692" spans="2:39" x14ac:dyDescent="0.25">
      <c r="B692" s="37"/>
      <c r="C692" s="28"/>
      <c r="D692" s="28"/>
      <c r="E692" s="28"/>
      <c r="F692" s="29"/>
      <c r="G692" s="29"/>
      <c r="H692" s="30"/>
      <c r="I692" s="28"/>
      <c r="J692" s="29"/>
      <c r="K692" s="29"/>
      <c r="L692" s="29"/>
      <c r="M692" s="29"/>
      <c r="N692" s="29"/>
      <c r="O692" s="29"/>
      <c r="P692" s="29"/>
      <c r="Q692" s="29"/>
      <c r="R692" s="29"/>
      <c r="S692" s="31"/>
      <c r="T692" s="29"/>
      <c r="U692" s="29"/>
      <c r="V692" s="29"/>
      <c r="W692" s="29"/>
      <c r="X692" s="29"/>
      <c r="Y692" s="29"/>
      <c r="Z692" s="29"/>
      <c r="AA692" s="29"/>
      <c r="AB692" s="29"/>
      <c r="AC692" s="31"/>
      <c r="AD692" s="29"/>
      <c r="AE692" s="29"/>
      <c r="AF692" s="29"/>
      <c r="AG692" s="31"/>
      <c r="AH692" s="29"/>
      <c r="AI692" s="32"/>
      <c r="AJ692" s="35"/>
      <c r="AK692" s="35"/>
      <c r="AL692" s="35"/>
      <c r="AM692" s="35"/>
    </row>
    <row r="693" spans="2:39" x14ac:dyDescent="0.25">
      <c r="B693" s="37"/>
      <c r="C693" s="28"/>
      <c r="D693" s="28"/>
      <c r="E693" s="28"/>
      <c r="F693" s="29"/>
      <c r="G693" s="29"/>
      <c r="H693" s="30"/>
      <c r="I693" s="28"/>
      <c r="J693" s="29"/>
      <c r="K693" s="29"/>
      <c r="L693" s="29"/>
      <c r="M693" s="29"/>
      <c r="N693" s="29"/>
      <c r="O693" s="29"/>
      <c r="P693" s="29"/>
      <c r="Q693" s="29"/>
      <c r="R693" s="29"/>
      <c r="S693" s="31"/>
      <c r="T693" s="29"/>
      <c r="U693" s="29"/>
      <c r="V693" s="29"/>
      <c r="W693" s="29"/>
      <c r="X693" s="29"/>
      <c r="Y693" s="29"/>
      <c r="Z693" s="29"/>
      <c r="AA693" s="29"/>
      <c r="AB693" s="29"/>
      <c r="AC693" s="31"/>
      <c r="AD693" s="29"/>
      <c r="AE693" s="29"/>
      <c r="AF693" s="29"/>
      <c r="AG693" s="31"/>
      <c r="AH693" s="29"/>
      <c r="AI693" s="32"/>
      <c r="AJ693" s="35"/>
      <c r="AK693" s="35"/>
      <c r="AL693" s="35"/>
      <c r="AM693" s="35"/>
    </row>
    <row r="694" spans="2:39" x14ac:dyDescent="0.25">
      <c r="B694" s="37"/>
      <c r="C694" s="28"/>
      <c r="D694" s="28"/>
      <c r="E694" s="28"/>
      <c r="F694" s="29"/>
      <c r="G694" s="29"/>
      <c r="H694" s="30"/>
      <c r="I694" s="28"/>
      <c r="J694" s="29"/>
      <c r="K694" s="29"/>
      <c r="L694" s="29"/>
      <c r="M694" s="29"/>
      <c r="N694" s="29"/>
      <c r="O694" s="29"/>
      <c r="P694" s="29"/>
      <c r="Q694" s="29"/>
      <c r="R694" s="29"/>
      <c r="S694" s="31"/>
      <c r="T694" s="29"/>
      <c r="U694" s="29"/>
      <c r="V694" s="29"/>
      <c r="W694" s="29"/>
      <c r="X694" s="29"/>
      <c r="Y694" s="29"/>
      <c r="Z694" s="29"/>
      <c r="AA694" s="29"/>
      <c r="AB694" s="29"/>
      <c r="AC694" s="31"/>
      <c r="AD694" s="29"/>
      <c r="AE694" s="29"/>
      <c r="AF694" s="29"/>
      <c r="AG694" s="31"/>
      <c r="AH694" s="29"/>
      <c r="AI694" s="32"/>
      <c r="AJ694" s="35"/>
      <c r="AK694" s="35"/>
      <c r="AL694" s="35"/>
      <c r="AM694" s="35"/>
    </row>
    <row r="695" spans="2:39" x14ac:dyDescent="0.25">
      <c r="B695" s="37"/>
      <c r="C695" s="28"/>
      <c r="D695" s="28"/>
      <c r="E695" s="28"/>
      <c r="F695" s="29"/>
      <c r="G695" s="29"/>
      <c r="H695" s="30"/>
      <c r="I695" s="28"/>
      <c r="J695" s="29"/>
      <c r="K695" s="29"/>
      <c r="L695" s="29"/>
      <c r="M695" s="29"/>
      <c r="N695" s="29"/>
      <c r="O695" s="29"/>
      <c r="P695" s="29"/>
      <c r="Q695" s="29"/>
      <c r="R695" s="29"/>
      <c r="S695" s="31"/>
      <c r="T695" s="29"/>
      <c r="U695" s="29"/>
      <c r="V695" s="29"/>
      <c r="W695" s="29"/>
      <c r="X695" s="29"/>
      <c r="Y695" s="29"/>
      <c r="Z695" s="29"/>
      <c r="AA695" s="29"/>
      <c r="AB695" s="29"/>
      <c r="AC695" s="31"/>
      <c r="AD695" s="29"/>
      <c r="AE695" s="29"/>
      <c r="AF695" s="29"/>
      <c r="AG695" s="31"/>
      <c r="AH695" s="29"/>
      <c r="AI695" s="32"/>
      <c r="AJ695" s="35"/>
      <c r="AK695" s="35"/>
      <c r="AL695" s="35"/>
      <c r="AM695" s="35"/>
    </row>
    <row r="696" spans="2:39" x14ac:dyDescent="0.25">
      <c r="B696" s="37"/>
      <c r="C696" s="28"/>
      <c r="D696" s="28"/>
      <c r="E696" s="28"/>
      <c r="F696" s="29"/>
      <c r="G696" s="29"/>
      <c r="H696" s="30"/>
      <c r="I696" s="28"/>
      <c r="J696" s="29"/>
      <c r="K696" s="29"/>
      <c r="L696" s="29"/>
      <c r="M696" s="29"/>
      <c r="N696" s="29"/>
      <c r="O696" s="29"/>
      <c r="P696" s="29"/>
      <c r="Q696" s="29"/>
      <c r="R696" s="29"/>
      <c r="S696" s="31"/>
      <c r="T696" s="29"/>
      <c r="U696" s="29"/>
      <c r="V696" s="29"/>
      <c r="W696" s="29"/>
      <c r="X696" s="29"/>
      <c r="Y696" s="29"/>
      <c r="Z696" s="29"/>
      <c r="AA696" s="29"/>
      <c r="AB696" s="29"/>
      <c r="AC696" s="31"/>
      <c r="AD696" s="29"/>
      <c r="AE696" s="29"/>
      <c r="AF696" s="29"/>
      <c r="AG696" s="31"/>
      <c r="AH696" s="29"/>
      <c r="AI696" s="32"/>
      <c r="AJ696" s="35"/>
      <c r="AK696" s="35"/>
      <c r="AL696" s="35"/>
      <c r="AM696" s="35"/>
    </row>
    <row r="697" spans="2:39" x14ac:dyDescent="0.25">
      <c r="B697" s="37"/>
      <c r="C697" s="28"/>
      <c r="D697" s="28"/>
      <c r="E697" s="28"/>
      <c r="F697" s="29"/>
      <c r="G697" s="29"/>
      <c r="H697" s="30"/>
      <c r="I697" s="28"/>
      <c r="J697" s="29"/>
      <c r="K697" s="29"/>
      <c r="L697" s="29"/>
      <c r="M697" s="29"/>
      <c r="N697" s="29"/>
      <c r="O697" s="29"/>
      <c r="P697" s="29"/>
      <c r="Q697" s="29"/>
      <c r="R697" s="29"/>
      <c r="S697" s="31"/>
      <c r="T697" s="29"/>
      <c r="U697" s="29"/>
      <c r="V697" s="29"/>
      <c r="W697" s="29"/>
      <c r="X697" s="29"/>
      <c r="Y697" s="29"/>
      <c r="Z697" s="29"/>
      <c r="AA697" s="29"/>
      <c r="AB697" s="29"/>
      <c r="AC697" s="31"/>
      <c r="AD697" s="29"/>
      <c r="AE697" s="29"/>
      <c r="AF697" s="29"/>
      <c r="AG697" s="31"/>
      <c r="AH697" s="29"/>
      <c r="AI697" s="32"/>
      <c r="AJ697" s="35"/>
      <c r="AK697" s="35"/>
      <c r="AL697" s="35"/>
      <c r="AM697" s="35"/>
    </row>
    <row r="698" spans="2:39" x14ac:dyDescent="0.25">
      <c r="B698" s="37"/>
      <c r="C698" s="28"/>
      <c r="D698" s="28"/>
      <c r="E698" s="28"/>
      <c r="F698" s="29"/>
      <c r="G698" s="29"/>
      <c r="H698" s="30"/>
      <c r="I698" s="28"/>
      <c r="J698" s="29"/>
      <c r="K698" s="29"/>
      <c r="L698" s="29"/>
      <c r="M698" s="29"/>
      <c r="N698" s="29"/>
      <c r="O698" s="29"/>
      <c r="P698" s="29"/>
      <c r="Q698" s="29"/>
      <c r="R698" s="29"/>
      <c r="S698" s="31"/>
      <c r="T698" s="29"/>
      <c r="U698" s="29"/>
      <c r="V698" s="29"/>
      <c r="W698" s="29"/>
      <c r="X698" s="29"/>
      <c r="Y698" s="29"/>
      <c r="Z698" s="29"/>
      <c r="AA698" s="29"/>
      <c r="AB698" s="29"/>
      <c r="AC698" s="31"/>
      <c r="AD698" s="29"/>
      <c r="AE698" s="29"/>
      <c r="AF698" s="29"/>
      <c r="AG698" s="31"/>
      <c r="AH698" s="29"/>
      <c r="AI698" s="32"/>
      <c r="AJ698" s="35"/>
      <c r="AK698" s="35"/>
      <c r="AL698" s="35"/>
      <c r="AM698" s="35"/>
    </row>
    <row r="699" spans="2:39" x14ac:dyDescent="0.25">
      <c r="B699" s="37"/>
      <c r="C699" s="28"/>
      <c r="D699" s="28"/>
      <c r="E699" s="28"/>
      <c r="F699" s="29"/>
      <c r="G699" s="29"/>
      <c r="H699" s="30"/>
      <c r="I699" s="28"/>
      <c r="J699" s="29"/>
      <c r="K699" s="29"/>
      <c r="L699" s="29"/>
      <c r="M699" s="29"/>
      <c r="N699" s="29"/>
      <c r="O699" s="29"/>
      <c r="P699" s="29"/>
      <c r="Q699" s="29"/>
      <c r="R699" s="29"/>
      <c r="S699" s="31"/>
      <c r="T699" s="29"/>
      <c r="U699" s="29"/>
      <c r="V699" s="29"/>
      <c r="W699" s="29"/>
      <c r="X699" s="29"/>
      <c r="Y699" s="29"/>
      <c r="Z699" s="29"/>
      <c r="AA699" s="29"/>
      <c r="AB699" s="29"/>
      <c r="AC699" s="31"/>
      <c r="AD699" s="29"/>
      <c r="AE699" s="29"/>
      <c r="AF699" s="29"/>
      <c r="AG699" s="31"/>
      <c r="AH699" s="29"/>
      <c r="AI699" s="32"/>
      <c r="AJ699" s="35"/>
      <c r="AK699" s="35"/>
      <c r="AL699" s="35"/>
      <c r="AM699" s="35"/>
    </row>
    <row r="700" spans="2:39" x14ac:dyDescent="0.25">
      <c r="B700" s="37"/>
      <c r="C700" s="28"/>
      <c r="D700" s="28"/>
      <c r="E700" s="28"/>
      <c r="F700" s="29"/>
      <c r="G700" s="29"/>
      <c r="H700" s="30"/>
      <c r="I700" s="28"/>
      <c r="J700" s="29"/>
      <c r="K700" s="29"/>
      <c r="L700" s="29"/>
      <c r="M700" s="29"/>
      <c r="N700" s="29"/>
      <c r="O700" s="29"/>
      <c r="P700" s="29"/>
      <c r="Q700" s="29"/>
      <c r="R700" s="29"/>
      <c r="S700" s="31"/>
      <c r="T700" s="29"/>
      <c r="U700" s="29"/>
      <c r="V700" s="29"/>
      <c r="W700" s="29"/>
      <c r="X700" s="29"/>
      <c r="Y700" s="29"/>
      <c r="Z700" s="29"/>
      <c r="AA700" s="29"/>
      <c r="AB700" s="29"/>
      <c r="AC700" s="31"/>
      <c r="AD700" s="29"/>
      <c r="AE700" s="29"/>
      <c r="AF700" s="29"/>
      <c r="AG700" s="31"/>
      <c r="AH700" s="29"/>
      <c r="AI700" s="32"/>
      <c r="AJ700" s="35"/>
      <c r="AK700" s="35"/>
      <c r="AL700" s="35"/>
      <c r="AM700" s="35"/>
    </row>
    <row r="701" spans="2:39" x14ac:dyDescent="0.25">
      <c r="B701" s="37"/>
      <c r="C701" s="28"/>
      <c r="D701" s="28"/>
      <c r="E701" s="28"/>
      <c r="F701" s="29"/>
      <c r="G701" s="29"/>
      <c r="H701" s="30"/>
      <c r="I701" s="28"/>
      <c r="J701" s="29"/>
      <c r="K701" s="29"/>
      <c r="L701" s="29"/>
      <c r="M701" s="29"/>
      <c r="N701" s="29"/>
      <c r="O701" s="29"/>
      <c r="P701" s="29"/>
      <c r="Q701" s="29"/>
      <c r="R701" s="29"/>
      <c r="S701" s="31"/>
      <c r="T701" s="29"/>
      <c r="U701" s="29"/>
      <c r="V701" s="29"/>
      <c r="W701" s="29"/>
      <c r="X701" s="29"/>
      <c r="Y701" s="29"/>
      <c r="Z701" s="29"/>
      <c r="AA701" s="29"/>
      <c r="AB701" s="29"/>
      <c r="AC701" s="31"/>
      <c r="AD701" s="29"/>
      <c r="AE701" s="29"/>
      <c r="AF701" s="29"/>
      <c r="AG701" s="31"/>
      <c r="AH701" s="29"/>
      <c r="AI701" s="32"/>
      <c r="AJ701" s="35"/>
      <c r="AK701" s="35"/>
      <c r="AL701" s="35"/>
      <c r="AM701" s="35"/>
    </row>
    <row r="702" spans="2:39" x14ac:dyDescent="0.25">
      <c r="B702" s="37"/>
      <c r="C702" s="28"/>
      <c r="D702" s="28"/>
      <c r="E702" s="28"/>
      <c r="F702" s="29"/>
      <c r="G702" s="29"/>
      <c r="H702" s="30"/>
      <c r="I702" s="28"/>
      <c r="J702" s="29"/>
      <c r="K702" s="29"/>
      <c r="L702" s="29"/>
      <c r="M702" s="29"/>
      <c r="N702" s="29"/>
      <c r="O702" s="29"/>
      <c r="P702" s="29"/>
      <c r="Q702" s="29"/>
      <c r="R702" s="29"/>
      <c r="S702" s="31"/>
      <c r="T702" s="29"/>
      <c r="U702" s="29"/>
      <c r="V702" s="29"/>
      <c r="W702" s="29"/>
      <c r="X702" s="29"/>
      <c r="Y702" s="29"/>
      <c r="Z702" s="29"/>
      <c r="AA702" s="29"/>
      <c r="AB702" s="29"/>
      <c r="AC702" s="31"/>
      <c r="AD702" s="29"/>
      <c r="AE702" s="29"/>
      <c r="AF702" s="29"/>
      <c r="AG702" s="31"/>
      <c r="AH702" s="29"/>
      <c r="AI702" s="32"/>
      <c r="AJ702" s="35"/>
      <c r="AK702" s="35"/>
      <c r="AL702" s="35"/>
      <c r="AM702" s="35"/>
    </row>
    <row r="703" spans="2:39" x14ac:dyDescent="0.25">
      <c r="B703" s="37"/>
      <c r="C703" s="28"/>
      <c r="D703" s="28"/>
      <c r="E703" s="28"/>
      <c r="F703" s="29"/>
      <c r="G703" s="29"/>
      <c r="H703" s="30"/>
      <c r="I703" s="28"/>
      <c r="J703" s="29"/>
      <c r="K703" s="29"/>
      <c r="L703" s="29"/>
      <c r="M703" s="29"/>
      <c r="N703" s="29"/>
      <c r="O703" s="29"/>
      <c r="P703" s="29"/>
      <c r="Q703" s="29"/>
      <c r="R703" s="29"/>
      <c r="S703" s="31"/>
      <c r="T703" s="29"/>
      <c r="U703" s="29"/>
      <c r="V703" s="29"/>
      <c r="W703" s="29"/>
      <c r="X703" s="29"/>
      <c r="Y703" s="29"/>
      <c r="Z703" s="29"/>
      <c r="AA703" s="29"/>
      <c r="AB703" s="29"/>
      <c r="AC703" s="31"/>
      <c r="AD703" s="29"/>
      <c r="AE703" s="29"/>
      <c r="AF703" s="29"/>
      <c r="AG703" s="31"/>
      <c r="AH703" s="29"/>
      <c r="AI703" s="32"/>
      <c r="AJ703" s="35"/>
      <c r="AK703" s="35"/>
      <c r="AL703" s="35"/>
      <c r="AM703" s="35"/>
    </row>
    <row r="704" spans="2:39" x14ac:dyDescent="0.25">
      <c r="B704" s="37"/>
      <c r="C704" s="28"/>
      <c r="D704" s="28"/>
      <c r="E704" s="28"/>
      <c r="F704" s="29"/>
      <c r="G704" s="29"/>
      <c r="H704" s="30"/>
      <c r="I704" s="28"/>
      <c r="J704" s="29"/>
      <c r="K704" s="29"/>
      <c r="L704" s="29"/>
      <c r="M704" s="29"/>
      <c r="N704" s="29"/>
      <c r="O704" s="29"/>
      <c r="P704" s="29"/>
      <c r="Q704" s="29"/>
      <c r="R704" s="29"/>
      <c r="S704" s="31"/>
      <c r="T704" s="29"/>
      <c r="U704" s="29"/>
      <c r="V704" s="29"/>
      <c r="W704" s="29"/>
      <c r="X704" s="29"/>
      <c r="Y704" s="29"/>
      <c r="Z704" s="29"/>
      <c r="AA704" s="29"/>
      <c r="AB704" s="29"/>
      <c r="AC704" s="31"/>
      <c r="AD704" s="29"/>
      <c r="AE704" s="29"/>
      <c r="AF704" s="29"/>
      <c r="AG704" s="31"/>
      <c r="AH704" s="29"/>
      <c r="AI704" s="32"/>
      <c r="AJ704" s="35"/>
      <c r="AK704" s="35"/>
      <c r="AL704" s="35"/>
      <c r="AM704" s="35"/>
    </row>
    <row r="705" spans="2:39" x14ac:dyDescent="0.25">
      <c r="B705" s="37"/>
      <c r="C705" s="28"/>
      <c r="D705" s="28"/>
      <c r="E705" s="28"/>
      <c r="F705" s="29"/>
      <c r="G705" s="29"/>
      <c r="H705" s="30"/>
      <c r="I705" s="28"/>
      <c r="J705" s="29"/>
      <c r="K705" s="29"/>
      <c r="L705" s="29"/>
      <c r="M705" s="29"/>
      <c r="N705" s="29"/>
      <c r="O705" s="29"/>
      <c r="P705" s="29"/>
      <c r="Q705" s="29"/>
      <c r="R705" s="29"/>
      <c r="S705" s="31"/>
      <c r="T705" s="29"/>
      <c r="U705" s="29"/>
      <c r="V705" s="29"/>
      <c r="W705" s="29"/>
      <c r="X705" s="29"/>
      <c r="Y705" s="29"/>
      <c r="Z705" s="29"/>
      <c r="AA705" s="29"/>
      <c r="AB705" s="29"/>
      <c r="AC705" s="31"/>
      <c r="AD705" s="29"/>
      <c r="AE705" s="29"/>
      <c r="AF705" s="29"/>
      <c r="AG705" s="31"/>
      <c r="AH705" s="29"/>
      <c r="AI705" s="32"/>
      <c r="AJ705" s="35"/>
      <c r="AK705" s="35"/>
      <c r="AL705" s="35"/>
      <c r="AM705" s="35"/>
    </row>
    <row r="706" spans="2:39" x14ac:dyDescent="0.25">
      <c r="B706" s="37"/>
      <c r="C706" s="28"/>
      <c r="D706" s="28"/>
      <c r="E706" s="28"/>
      <c r="F706" s="29"/>
      <c r="G706" s="29"/>
      <c r="H706" s="30"/>
      <c r="I706" s="28"/>
      <c r="J706" s="29"/>
      <c r="K706" s="29"/>
      <c r="L706" s="29"/>
      <c r="M706" s="29"/>
      <c r="N706" s="29"/>
      <c r="O706" s="29"/>
      <c r="P706" s="29"/>
      <c r="Q706" s="29"/>
      <c r="R706" s="29"/>
      <c r="S706" s="31"/>
      <c r="T706" s="29"/>
      <c r="U706" s="29"/>
      <c r="V706" s="29"/>
      <c r="W706" s="29"/>
      <c r="X706" s="29"/>
      <c r="Y706" s="29"/>
      <c r="Z706" s="29"/>
      <c r="AA706" s="29"/>
      <c r="AB706" s="29"/>
      <c r="AC706" s="31"/>
      <c r="AD706" s="29"/>
      <c r="AE706" s="29"/>
      <c r="AF706" s="29"/>
      <c r="AG706" s="31"/>
      <c r="AH706" s="29"/>
      <c r="AI706" s="32"/>
      <c r="AJ706" s="35"/>
      <c r="AK706" s="35"/>
      <c r="AL706" s="35"/>
      <c r="AM706" s="35"/>
    </row>
    <row r="707" spans="2:39" x14ac:dyDescent="0.25">
      <c r="B707" s="37"/>
      <c r="C707" s="28"/>
      <c r="D707" s="28"/>
      <c r="E707" s="28"/>
      <c r="F707" s="29"/>
      <c r="G707" s="29"/>
      <c r="H707" s="30"/>
      <c r="I707" s="28"/>
      <c r="J707" s="29"/>
      <c r="K707" s="29"/>
      <c r="L707" s="29"/>
      <c r="M707" s="29"/>
      <c r="N707" s="29"/>
      <c r="O707" s="29"/>
      <c r="P707" s="29"/>
      <c r="Q707" s="29"/>
      <c r="R707" s="29"/>
      <c r="S707" s="31"/>
      <c r="T707" s="29"/>
      <c r="U707" s="29"/>
      <c r="V707" s="29"/>
      <c r="W707" s="29"/>
      <c r="X707" s="29"/>
      <c r="Y707" s="29"/>
      <c r="Z707" s="29"/>
      <c r="AA707" s="29"/>
      <c r="AB707" s="29"/>
      <c r="AC707" s="31"/>
      <c r="AD707" s="29"/>
      <c r="AE707" s="29"/>
      <c r="AF707" s="29"/>
      <c r="AG707" s="31"/>
      <c r="AH707" s="29"/>
      <c r="AI707" s="32"/>
      <c r="AJ707" s="35"/>
      <c r="AK707" s="35"/>
      <c r="AL707" s="35"/>
      <c r="AM707" s="35"/>
    </row>
    <row r="708" spans="2:39" x14ac:dyDescent="0.25">
      <c r="B708" s="37"/>
      <c r="C708" s="28"/>
      <c r="D708" s="28"/>
      <c r="E708" s="28"/>
      <c r="F708" s="29"/>
      <c r="G708" s="29"/>
      <c r="H708" s="30"/>
      <c r="I708" s="28"/>
      <c r="J708" s="29"/>
      <c r="K708" s="29"/>
      <c r="L708" s="29"/>
      <c r="M708" s="29"/>
      <c r="N708" s="29"/>
      <c r="O708" s="29"/>
      <c r="P708" s="29"/>
      <c r="Q708" s="29"/>
      <c r="R708" s="29"/>
      <c r="S708" s="31"/>
      <c r="T708" s="29"/>
      <c r="U708" s="29"/>
      <c r="V708" s="29"/>
      <c r="W708" s="29"/>
      <c r="X708" s="29"/>
      <c r="Y708" s="29"/>
      <c r="Z708" s="29"/>
      <c r="AA708" s="29"/>
      <c r="AB708" s="29"/>
      <c r="AC708" s="31"/>
      <c r="AD708" s="29"/>
      <c r="AE708" s="29"/>
      <c r="AF708" s="29"/>
      <c r="AG708" s="31"/>
      <c r="AH708" s="29"/>
      <c r="AI708" s="32"/>
      <c r="AJ708" s="35"/>
      <c r="AK708" s="35"/>
      <c r="AL708" s="35"/>
      <c r="AM708" s="35"/>
    </row>
    <row r="709" spans="2:39" x14ac:dyDescent="0.25">
      <c r="B709" s="37"/>
      <c r="C709" s="28"/>
      <c r="D709" s="28"/>
      <c r="E709" s="28"/>
      <c r="F709" s="29"/>
      <c r="G709" s="29"/>
      <c r="H709" s="30"/>
      <c r="I709" s="28"/>
      <c r="J709" s="29"/>
      <c r="K709" s="29"/>
      <c r="L709" s="29"/>
      <c r="M709" s="29"/>
      <c r="N709" s="29"/>
      <c r="O709" s="29"/>
      <c r="P709" s="29"/>
      <c r="Q709" s="29"/>
      <c r="R709" s="29"/>
      <c r="S709" s="31"/>
      <c r="T709" s="29"/>
      <c r="U709" s="29"/>
      <c r="V709" s="29"/>
      <c r="W709" s="29"/>
      <c r="X709" s="29"/>
      <c r="Y709" s="29"/>
      <c r="Z709" s="29"/>
      <c r="AA709" s="29"/>
      <c r="AB709" s="29"/>
      <c r="AC709" s="31"/>
      <c r="AD709" s="29"/>
      <c r="AE709" s="29"/>
      <c r="AF709" s="29"/>
      <c r="AG709" s="31"/>
      <c r="AH709" s="29"/>
      <c r="AI709" s="32"/>
      <c r="AJ709" s="35"/>
      <c r="AK709" s="35"/>
      <c r="AL709" s="35"/>
      <c r="AM709" s="35"/>
    </row>
    <row r="710" spans="2:39" x14ac:dyDescent="0.25">
      <c r="B710" s="37"/>
      <c r="C710" s="28"/>
      <c r="D710" s="28"/>
      <c r="E710" s="28"/>
      <c r="F710" s="29"/>
      <c r="G710" s="29"/>
      <c r="H710" s="30"/>
      <c r="I710" s="28"/>
      <c r="J710" s="29"/>
      <c r="K710" s="29"/>
      <c r="L710" s="29"/>
      <c r="M710" s="29"/>
      <c r="N710" s="29"/>
      <c r="O710" s="29"/>
      <c r="P710" s="29"/>
      <c r="Q710" s="29"/>
      <c r="R710" s="29"/>
      <c r="S710" s="31"/>
      <c r="T710" s="29"/>
      <c r="U710" s="29"/>
      <c r="V710" s="29"/>
      <c r="W710" s="29"/>
      <c r="X710" s="29"/>
      <c r="Y710" s="29"/>
      <c r="Z710" s="29"/>
      <c r="AA710" s="29"/>
      <c r="AB710" s="29"/>
      <c r="AC710" s="31"/>
      <c r="AD710" s="29"/>
      <c r="AE710" s="29"/>
      <c r="AF710" s="29"/>
      <c r="AG710" s="31"/>
      <c r="AH710" s="29"/>
      <c r="AI710" s="32"/>
      <c r="AJ710" s="35"/>
      <c r="AK710" s="35"/>
      <c r="AL710" s="35"/>
      <c r="AM710" s="35"/>
    </row>
    <row r="711" spans="2:39" x14ac:dyDescent="0.25">
      <c r="B711" s="37"/>
      <c r="C711" s="28"/>
      <c r="D711" s="28"/>
      <c r="E711" s="28"/>
      <c r="F711" s="29"/>
      <c r="G711" s="29"/>
      <c r="H711" s="30"/>
      <c r="I711" s="28"/>
      <c r="J711" s="29"/>
      <c r="K711" s="29"/>
      <c r="L711" s="29"/>
      <c r="M711" s="29"/>
      <c r="N711" s="29"/>
      <c r="O711" s="29"/>
      <c r="P711" s="29"/>
      <c r="Q711" s="29"/>
      <c r="R711" s="29"/>
      <c r="S711" s="31"/>
      <c r="T711" s="29"/>
      <c r="U711" s="29"/>
      <c r="V711" s="29"/>
      <c r="W711" s="29"/>
      <c r="X711" s="29"/>
      <c r="Y711" s="29"/>
      <c r="Z711" s="29"/>
      <c r="AA711" s="29"/>
      <c r="AB711" s="29"/>
      <c r="AC711" s="31"/>
      <c r="AD711" s="29"/>
      <c r="AE711" s="29"/>
      <c r="AF711" s="29"/>
      <c r="AG711" s="31"/>
      <c r="AH711" s="29"/>
      <c r="AI711" s="32"/>
      <c r="AJ711" s="35"/>
      <c r="AK711" s="35"/>
      <c r="AL711" s="35"/>
      <c r="AM711" s="35"/>
    </row>
    <row r="712" spans="2:39" x14ac:dyDescent="0.25">
      <c r="B712" s="37"/>
      <c r="C712" s="28"/>
      <c r="D712" s="28"/>
      <c r="E712" s="28"/>
      <c r="F712" s="29"/>
      <c r="G712" s="29"/>
      <c r="H712" s="30"/>
      <c r="I712" s="28"/>
      <c r="J712" s="29"/>
      <c r="K712" s="29"/>
      <c r="L712" s="29"/>
      <c r="M712" s="29"/>
      <c r="N712" s="29"/>
      <c r="O712" s="29"/>
      <c r="P712" s="29"/>
      <c r="Q712" s="29"/>
      <c r="R712" s="29"/>
      <c r="S712" s="31"/>
      <c r="T712" s="29"/>
      <c r="U712" s="29"/>
      <c r="V712" s="29"/>
      <c r="W712" s="29"/>
      <c r="X712" s="29"/>
      <c r="Y712" s="29"/>
      <c r="Z712" s="29"/>
      <c r="AA712" s="29"/>
      <c r="AB712" s="29"/>
      <c r="AC712" s="31"/>
      <c r="AD712" s="29"/>
      <c r="AE712" s="29"/>
      <c r="AF712" s="29"/>
      <c r="AG712" s="31"/>
      <c r="AH712" s="29"/>
      <c r="AI712" s="32"/>
      <c r="AJ712" s="35"/>
      <c r="AK712" s="35"/>
      <c r="AL712" s="35"/>
      <c r="AM712" s="35"/>
    </row>
    <row r="713" spans="2:39" x14ac:dyDescent="0.25">
      <c r="B713" s="37"/>
      <c r="C713" s="28"/>
      <c r="D713" s="28"/>
      <c r="E713" s="28"/>
      <c r="F713" s="29"/>
      <c r="G713" s="29"/>
      <c r="H713" s="30"/>
      <c r="I713" s="28"/>
      <c r="J713" s="29"/>
      <c r="K713" s="29"/>
      <c r="L713" s="29"/>
      <c r="M713" s="29"/>
      <c r="N713" s="29"/>
      <c r="O713" s="29"/>
      <c r="P713" s="29"/>
      <c r="Q713" s="29"/>
      <c r="R713" s="29"/>
      <c r="S713" s="31"/>
      <c r="T713" s="29"/>
      <c r="U713" s="29"/>
      <c r="V713" s="29"/>
      <c r="W713" s="29"/>
      <c r="X713" s="29"/>
      <c r="Y713" s="29"/>
      <c r="Z713" s="29"/>
      <c r="AA713" s="29"/>
      <c r="AB713" s="29"/>
      <c r="AC713" s="31"/>
      <c r="AD713" s="29"/>
      <c r="AE713" s="29"/>
      <c r="AF713" s="29"/>
      <c r="AG713" s="31"/>
      <c r="AH713" s="29"/>
      <c r="AI713" s="32"/>
      <c r="AJ713" s="35"/>
      <c r="AK713" s="35"/>
      <c r="AL713" s="35"/>
      <c r="AM713" s="35"/>
    </row>
    <row r="714" spans="2:39" x14ac:dyDescent="0.25">
      <c r="B714" s="37"/>
      <c r="C714" s="28"/>
      <c r="D714" s="28"/>
      <c r="E714" s="28"/>
      <c r="F714" s="29"/>
      <c r="G714" s="29"/>
      <c r="H714" s="30"/>
      <c r="I714" s="28"/>
      <c r="J714" s="29"/>
      <c r="K714" s="29"/>
      <c r="L714" s="29"/>
      <c r="M714" s="29"/>
      <c r="N714" s="29"/>
      <c r="O714" s="29"/>
      <c r="P714" s="29"/>
      <c r="Q714" s="29"/>
      <c r="R714" s="29"/>
      <c r="S714" s="31"/>
      <c r="T714" s="29"/>
      <c r="U714" s="29"/>
      <c r="V714" s="29"/>
      <c r="W714" s="29"/>
      <c r="X714" s="29"/>
      <c r="Y714" s="29"/>
      <c r="Z714" s="29"/>
      <c r="AA714" s="29"/>
      <c r="AB714" s="29"/>
      <c r="AC714" s="31"/>
      <c r="AD714" s="29"/>
      <c r="AE714" s="29"/>
      <c r="AF714" s="29"/>
      <c r="AG714" s="31"/>
      <c r="AH714" s="29"/>
      <c r="AI714" s="32"/>
      <c r="AJ714" s="35"/>
      <c r="AK714" s="35"/>
      <c r="AL714" s="35"/>
      <c r="AM714" s="35"/>
    </row>
    <row r="715" spans="2:39" x14ac:dyDescent="0.25">
      <c r="B715" s="37"/>
      <c r="C715" s="28"/>
      <c r="D715" s="28"/>
      <c r="E715" s="28"/>
      <c r="F715" s="29"/>
      <c r="G715" s="29"/>
      <c r="H715" s="30"/>
      <c r="I715" s="28"/>
      <c r="J715" s="29"/>
      <c r="K715" s="29"/>
      <c r="L715" s="29"/>
      <c r="M715" s="29"/>
      <c r="N715" s="29"/>
      <c r="O715" s="29"/>
      <c r="P715" s="29"/>
      <c r="Q715" s="29"/>
      <c r="R715" s="29"/>
      <c r="S715" s="31"/>
      <c r="T715" s="29"/>
      <c r="U715" s="29"/>
      <c r="V715" s="29"/>
      <c r="W715" s="29"/>
      <c r="X715" s="29"/>
      <c r="Y715" s="29"/>
      <c r="Z715" s="29"/>
      <c r="AA715" s="29"/>
      <c r="AB715" s="29"/>
      <c r="AC715" s="31"/>
      <c r="AD715" s="29"/>
      <c r="AE715" s="29"/>
      <c r="AF715" s="29"/>
      <c r="AG715" s="31"/>
      <c r="AH715" s="29"/>
      <c r="AI715" s="32"/>
      <c r="AJ715" s="35"/>
      <c r="AK715" s="35"/>
      <c r="AL715" s="35"/>
      <c r="AM715" s="35"/>
    </row>
    <row r="716" spans="2:39" x14ac:dyDescent="0.25">
      <c r="B716" s="37"/>
      <c r="C716" s="28"/>
      <c r="D716" s="28"/>
      <c r="E716" s="28"/>
      <c r="F716" s="29"/>
      <c r="G716" s="29"/>
      <c r="H716" s="30"/>
      <c r="I716" s="28"/>
      <c r="J716" s="29"/>
      <c r="K716" s="29"/>
      <c r="L716" s="29"/>
      <c r="M716" s="29"/>
      <c r="N716" s="29"/>
      <c r="O716" s="29"/>
      <c r="P716" s="29"/>
      <c r="Q716" s="29"/>
      <c r="R716" s="29"/>
      <c r="S716" s="31"/>
      <c r="T716" s="29"/>
      <c r="U716" s="29"/>
      <c r="V716" s="29"/>
      <c r="W716" s="29"/>
      <c r="X716" s="29"/>
      <c r="Y716" s="29"/>
      <c r="Z716" s="29"/>
      <c r="AA716" s="29"/>
      <c r="AB716" s="29"/>
      <c r="AC716" s="31"/>
      <c r="AD716" s="29"/>
      <c r="AE716" s="29"/>
      <c r="AF716" s="29"/>
      <c r="AG716" s="31"/>
      <c r="AH716" s="29"/>
      <c r="AI716" s="32"/>
      <c r="AJ716" s="35"/>
      <c r="AK716" s="35"/>
      <c r="AL716" s="35"/>
      <c r="AM716" s="35"/>
    </row>
    <row r="717" spans="2:39" x14ac:dyDescent="0.25">
      <c r="B717" s="37"/>
      <c r="C717" s="28"/>
      <c r="D717" s="28"/>
      <c r="E717" s="28"/>
      <c r="F717" s="29"/>
      <c r="G717" s="29"/>
      <c r="H717" s="30"/>
      <c r="I717" s="28"/>
      <c r="J717" s="29"/>
      <c r="K717" s="29"/>
      <c r="L717" s="29"/>
      <c r="M717" s="29"/>
      <c r="N717" s="29"/>
      <c r="O717" s="29"/>
      <c r="P717" s="29"/>
      <c r="Q717" s="29"/>
      <c r="R717" s="29"/>
      <c r="S717" s="31"/>
      <c r="T717" s="29"/>
      <c r="U717" s="29"/>
      <c r="V717" s="29"/>
      <c r="W717" s="29"/>
      <c r="X717" s="29"/>
      <c r="Y717" s="29"/>
      <c r="Z717" s="29"/>
      <c r="AA717" s="29"/>
      <c r="AB717" s="29"/>
      <c r="AC717" s="31"/>
      <c r="AD717" s="29"/>
      <c r="AE717" s="29"/>
      <c r="AF717" s="29"/>
      <c r="AG717" s="31"/>
      <c r="AH717" s="29"/>
      <c r="AI717" s="32"/>
      <c r="AJ717" s="35"/>
      <c r="AK717" s="35"/>
      <c r="AL717" s="35"/>
      <c r="AM717" s="35"/>
    </row>
    <row r="718" spans="2:39" x14ac:dyDescent="0.25">
      <c r="B718" s="37"/>
      <c r="C718" s="28"/>
      <c r="D718" s="28"/>
      <c r="E718" s="28"/>
      <c r="F718" s="29"/>
      <c r="G718" s="29"/>
      <c r="H718" s="30"/>
      <c r="I718" s="28"/>
      <c r="J718" s="29"/>
      <c r="K718" s="29"/>
      <c r="L718" s="29"/>
      <c r="M718" s="29"/>
      <c r="N718" s="29"/>
      <c r="O718" s="29"/>
      <c r="P718" s="29"/>
      <c r="Q718" s="29"/>
      <c r="R718" s="29"/>
      <c r="S718" s="31"/>
      <c r="T718" s="29"/>
      <c r="U718" s="29"/>
      <c r="V718" s="29"/>
      <c r="W718" s="29"/>
      <c r="X718" s="29"/>
      <c r="Y718" s="29"/>
      <c r="Z718" s="29"/>
      <c r="AA718" s="29"/>
      <c r="AB718" s="29"/>
      <c r="AC718" s="31"/>
      <c r="AD718" s="29"/>
      <c r="AE718" s="29"/>
      <c r="AF718" s="29"/>
      <c r="AG718" s="31"/>
      <c r="AH718" s="29"/>
      <c r="AI718" s="32"/>
      <c r="AJ718" s="35"/>
      <c r="AK718" s="35"/>
      <c r="AL718" s="35"/>
      <c r="AM718" s="35"/>
    </row>
    <row r="719" spans="2:39" x14ac:dyDescent="0.25">
      <c r="B719" s="37"/>
      <c r="C719" s="28"/>
      <c r="D719" s="28"/>
      <c r="E719" s="28"/>
      <c r="F719" s="29"/>
      <c r="G719" s="29"/>
      <c r="H719" s="30"/>
      <c r="I719" s="28"/>
      <c r="J719" s="29"/>
      <c r="K719" s="29"/>
      <c r="L719" s="29"/>
      <c r="M719" s="29"/>
      <c r="N719" s="29"/>
      <c r="O719" s="29"/>
      <c r="P719" s="29"/>
      <c r="Q719" s="29"/>
      <c r="R719" s="29"/>
      <c r="S719" s="31"/>
      <c r="T719" s="29"/>
      <c r="U719" s="29"/>
      <c r="V719" s="29"/>
      <c r="W719" s="29"/>
      <c r="X719" s="29"/>
      <c r="Y719" s="29"/>
      <c r="Z719" s="29"/>
      <c r="AA719" s="29"/>
      <c r="AB719" s="29"/>
      <c r="AC719" s="31"/>
      <c r="AD719" s="29"/>
      <c r="AE719" s="29"/>
      <c r="AF719" s="29"/>
      <c r="AG719" s="31"/>
      <c r="AH719" s="29"/>
      <c r="AI719" s="32"/>
      <c r="AJ719" s="35"/>
      <c r="AK719" s="35"/>
      <c r="AL719" s="35"/>
      <c r="AM719" s="35"/>
    </row>
    <row r="720" spans="2:39" x14ac:dyDescent="0.25">
      <c r="B720" s="37"/>
      <c r="C720" s="28"/>
      <c r="D720" s="28"/>
      <c r="E720" s="28"/>
      <c r="F720" s="29"/>
      <c r="G720" s="29"/>
      <c r="H720" s="30"/>
      <c r="I720" s="28"/>
      <c r="J720" s="29"/>
      <c r="K720" s="29"/>
      <c r="L720" s="29"/>
      <c r="M720" s="29"/>
      <c r="N720" s="29"/>
      <c r="O720" s="29"/>
      <c r="P720" s="29"/>
      <c r="Q720" s="29"/>
      <c r="R720" s="29"/>
      <c r="S720" s="31"/>
      <c r="T720" s="29"/>
      <c r="U720" s="29"/>
      <c r="V720" s="29"/>
      <c r="W720" s="29"/>
      <c r="X720" s="29"/>
      <c r="Y720" s="29"/>
      <c r="Z720" s="29"/>
      <c r="AA720" s="29"/>
      <c r="AB720" s="29"/>
      <c r="AC720" s="31"/>
      <c r="AD720" s="29"/>
      <c r="AE720" s="29"/>
      <c r="AF720" s="29"/>
      <c r="AG720" s="31"/>
      <c r="AH720" s="29"/>
      <c r="AI720" s="32"/>
      <c r="AJ720" s="35"/>
      <c r="AK720" s="35"/>
      <c r="AL720" s="35"/>
      <c r="AM720" s="35"/>
    </row>
    <row r="721" spans="2:39" x14ac:dyDescent="0.25">
      <c r="B721" s="37"/>
      <c r="C721" s="28"/>
      <c r="D721" s="28"/>
      <c r="E721" s="28"/>
      <c r="F721" s="29"/>
      <c r="G721" s="29"/>
      <c r="H721" s="30"/>
      <c r="I721" s="28"/>
      <c r="J721" s="29"/>
      <c r="K721" s="29"/>
      <c r="L721" s="29"/>
      <c r="M721" s="29"/>
      <c r="N721" s="29"/>
      <c r="O721" s="29"/>
      <c r="P721" s="29"/>
      <c r="Q721" s="29"/>
      <c r="R721" s="29"/>
      <c r="S721" s="31"/>
      <c r="T721" s="29"/>
      <c r="U721" s="29"/>
      <c r="V721" s="29"/>
      <c r="W721" s="29"/>
      <c r="X721" s="29"/>
      <c r="Y721" s="29"/>
      <c r="Z721" s="29"/>
      <c r="AA721" s="29"/>
      <c r="AB721" s="29"/>
      <c r="AC721" s="31"/>
      <c r="AD721" s="29"/>
      <c r="AE721" s="29"/>
      <c r="AF721" s="29"/>
      <c r="AG721" s="31"/>
      <c r="AH721" s="29"/>
      <c r="AI721" s="32"/>
      <c r="AJ721" s="35"/>
      <c r="AK721" s="35"/>
      <c r="AL721" s="35"/>
      <c r="AM721" s="35"/>
    </row>
    <row r="722" spans="2:39" x14ac:dyDescent="0.25">
      <c r="B722" s="37"/>
      <c r="C722" s="28"/>
      <c r="D722" s="28"/>
      <c r="E722" s="28"/>
      <c r="F722" s="29"/>
      <c r="G722" s="29"/>
      <c r="H722" s="30"/>
      <c r="I722" s="28"/>
      <c r="J722" s="29"/>
      <c r="K722" s="29"/>
      <c r="L722" s="29"/>
      <c r="M722" s="29"/>
      <c r="N722" s="29"/>
      <c r="O722" s="29"/>
      <c r="P722" s="29"/>
      <c r="Q722" s="29"/>
      <c r="R722" s="29"/>
      <c r="S722" s="31"/>
      <c r="T722" s="29"/>
      <c r="U722" s="29"/>
      <c r="V722" s="29"/>
      <c r="W722" s="29"/>
      <c r="X722" s="29"/>
      <c r="Y722" s="29"/>
      <c r="Z722" s="29"/>
      <c r="AA722" s="29"/>
      <c r="AB722" s="29"/>
      <c r="AC722" s="31"/>
      <c r="AD722" s="29"/>
      <c r="AE722" s="29"/>
      <c r="AF722" s="29"/>
      <c r="AG722" s="31"/>
      <c r="AH722" s="29"/>
      <c r="AI722" s="32"/>
      <c r="AJ722" s="35"/>
      <c r="AK722" s="35"/>
      <c r="AL722" s="35"/>
      <c r="AM722" s="35"/>
    </row>
    <row r="723" spans="2:39" x14ac:dyDescent="0.25">
      <c r="B723" s="37"/>
      <c r="C723" s="28"/>
      <c r="D723" s="28"/>
      <c r="E723" s="28"/>
      <c r="F723" s="29"/>
      <c r="G723" s="29"/>
      <c r="H723" s="30"/>
      <c r="I723" s="28"/>
      <c r="J723" s="29"/>
      <c r="K723" s="29"/>
      <c r="L723" s="29"/>
      <c r="M723" s="29"/>
      <c r="N723" s="29"/>
      <c r="O723" s="29"/>
      <c r="P723" s="29"/>
      <c r="Q723" s="29"/>
      <c r="R723" s="29"/>
      <c r="S723" s="31"/>
      <c r="T723" s="29"/>
      <c r="U723" s="29"/>
      <c r="V723" s="29"/>
      <c r="W723" s="29"/>
      <c r="X723" s="29"/>
      <c r="Y723" s="29"/>
      <c r="Z723" s="29"/>
      <c r="AA723" s="29"/>
      <c r="AB723" s="29"/>
      <c r="AC723" s="31"/>
      <c r="AD723" s="29"/>
      <c r="AE723" s="29"/>
      <c r="AF723" s="29"/>
      <c r="AG723" s="31"/>
      <c r="AH723" s="29"/>
      <c r="AI723" s="32"/>
      <c r="AJ723" s="35"/>
      <c r="AK723" s="35"/>
      <c r="AL723" s="35"/>
      <c r="AM723" s="35"/>
    </row>
    <row r="724" spans="2:39" x14ac:dyDescent="0.25">
      <c r="B724" s="37"/>
      <c r="C724" s="28"/>
      <c r="D724" s="28"/>
      <c r="E724" s="28"/>
      <c r="F724" s="29"/>
      <c r="G724" s="29"/>
      <c r="H724" s="30"/>
      <c r="I724" s="28"/>
      <c r="J724" s="29"/>
      <c r="K724" s="29"/>
      <c r="L724" s="29"/>
      <c r="M724" s="29"/>
      <c r="N724" s="29"/>
      <c r="O724" s="29"/>
      <c r="P724" s="29"/>
      <c r="Q724" s="29"/>
      <c r="R724" s="29"/>
      <c r="S724" s="31"/>
      <c r="T724" s="29"/>
      <c r="U724" s="29"/>
      <c r="V724" s="29"/>
      <c r="W724" s="29"/>
      <c r="X724" s="29"/>
      <c r="Y724" s="29"/>
      <c r="Z724" s="29"/>
      <c r="AA724" s="29"/>
      <c r="AB724" s="29"/>
      <c r="AC724" s="31"/>
      <c r="AD724" s="29"/>
      <c r="AE724" s="29"/>
      <c r="AF724" s="29"/>
      <c r="AG724" s="31"/>
      <c r="AH724" s="29"/>
      <c r="AI724" s="32"/>
      <c r="AJ724" s="35"/>
      <c r="AK724" s="35"/>
      <c r="AL724" s="35"/>
      <c r="AM724" s="35"/>
    </row>
    <row r="725" spans="2:39" x14ac:dyDescent="0.25">
      <c r="B725" s="37"/>
      <c r="C725" s="28"/>
      <c r="D725" s="28"/>
      <c r="E725" s="28"/>
      <c r="F725" s="29"/>
      <c r="G725" s="29"/>
      <c r="H725" s="30"/>
      <c r="I725" s="28"/>
      <c r="J725" s="29"/>
      <c r="K725" s="29"/>
      <c r="L725" s="29"/>
      <c r="M725" s="29"/>
      <c r="N725" s="29"/>
      <c r="O725" s="29"/>
      <c r="P725" s="29"/>
      <c r="Q725" s="29"/>
      <c r="R725" s="29"/>
      <c r="S725" s="31"/>
      <c r="T725" s="29"/>
      <c r="U725" s="29"/>
      <c r="V725" s="29"/>
      <c r="W725" s="29"/>
      <c r="X725" s="29"/>
      <c r="Y725" s="29"/>
      <c r="Z725" s="29"/>
      <c r="AA725" s="29"/>
      <c r="AB725" s="29"/>
      <c r="AC725" s="31"/>
      <c r="AD725" s="29"/>
      <c r="AE725" s="29"/>
      <c r="AF725" s="29"/>
      <c r="AG725" s="31"/>
      <c r="AH725" s="29"/>
      <c r="AI725" s="32"/>
      <c r="AJ725" s="35"/>
      <c r="AK725" s="35"/>
      <c r="AL725" s="35"/>
      <c r="AM725" s="35"/>
    </row>
    <row r="726" spans="2:39" x14ac:dyDescent="0.25">
      <c r="B726" s="37"/>
      <c r="C726" s="28"/>
      <c r="D726" s="28"/>
      <c r="E726" s="28"/>
      <c r="F726" s="29"/>
      <c r="G726" s="29"/>
      <c r="H726" s="30"/>
      <c r="I726" s="28"/>
      <c r="J726" s="29"/>
      <c r="K726" s="29"/>
      <c r="L726" s="29"/>
      <c r="M726" s="29"/>
      <c r="N726" s="29"/>
      <c r="O726" s="29"/>
      <c r="P726" s="29"/>
      <c r="Q726" s="29"/>
      <c r="R726" s="29"/>
      <c r="S726" s="31"/>
      <c r="T726" s="29"/>
      <c r="U726" s="29"/>
      <c r="V726" s="29"/>
      <c r="W726" s="29"/>
      <c r="X726" s="29"/>
      <c r="Y726" s="29"/>
      <c r="Z726" s="29"/>
      <c r="AA726" s="29"/>
      <c r="AB726" s="29"/>
      <c r="AC726" s="31"/>
      <c r="AD726" s="29"/>
      <c r="AE726" s="29"/>
      <c r="AF726" s="29"/>
      <c r="AG726" s="31"/>
      <c r="AH726" s="29"/>
      <c r="AI726" s="32"/>
      <c r="AJ726" s="35"/>
      <c r="AK726" s="35"/>
      <c r="AL726" s="35"/>
      <c r="AM726" s="35"/>
    </row>
    <row r="727" spans="2:39" x14ac:dyDescent="0.25">
      <c r="B727" s="37"/>
      <c r="C727" s="28"/>
      <c r="D727" s="28"/>
      <c r="E727" s="28"/>
      <c r="F727" s="29"/>
      <c r="G727" s="29"/>
      <c r="H727" s="30"/>
      <c r="I727" s="28"/>
      <c r="J727" s="29"/>
      <c r="K727" s="29"/>
      <c r="L727" s="29"/>
      <c r="M727" s="29"/>
      <c r="N727" s="29"/>
      <c r="O727" s="29"/>
      <c r="P727" s="29"/>
      <c r="Q727" s="29"/>
      <c r="R727" s="29"/>
      <c r="S727" s="31"/>
      <c r="T727" s="29"/>
      <c r="U727" s="29"/>
      <c r="V727" s="29"/>
      <c r="W727" s="29"/>
      <c r="X727" s="29"/>
      <c r="Y727" s="29"/>
      <c r="Z727" s="29"/>
      <c r="AA727" s="29"/>
      <c r="AB727" s="29"/>
      <c r="AC727" s="31"/>
      <c r="AD727" s="29"/>
      <c r="AE727" s="29"/>
      <c r="AF727" s="29"/>
      <c r="AG727" s="31"/>
      <c r="AH727" s="29"/>
      <c r="AI727" s="32"/>
      <c r="AJ727" s="35"/>
      <c r="AK727" s="35"/>
      <c r="AL727" s="35"/>
      <c r="AM727" s="35"/>
    </row>
    <row r="728" spans="2:39" x14ac:dyDescent="0.25">
      <c r="B728" s="37"/>
      <c r="C728" s="28"/>
      <c r="D728" s="28"/>
      <c r="E728" s="28"/>
      <c r="F728" s="29"/>
      <c r="G728" s="29"/>
      <c r="H728" s="30"/>
      <c r="I728" s="28"/>
      <c r="J728" s="29"/>
      <c r="K728" s="29"/>
      <c r="L728" s="29"/>
      <c r="M728" s="29"/>
      <c r="N728" s="29"/>
      <c r="O728" s="29"/>
      <c r="P728" s="29"/>
      <c r="Q728" s="29"/>
      <c r="R728" s="29"/>
      <c r="S728" s="31"/>
      <c r="T728" s="29"/>
      <c r="U728" s="29"/>
      <c r="V728" s="29"/>
      <c r="W728" s="29"/>
      <c r="X728" s="29"/>
      <c r="Y728" s="29"/>
      <c r="Z728" s="29"/>
      <c r="AA728" s="29"/>
      <c r="AB728" s="29"/>
      <c r="AC728" s="31"/>
      <c r="AD728" s="29"/>
      <c r="AE728" s="29"/>
      <c r="AF728" s="29"/>
      <c r="AG728" s="31"/>
      <c r="AH728" s="29"/>
      <c r="AI728" s="32"/>
      <c r="AJ728" s="35"/>
      <c r="AK728" s="35"/>
      <c r="AL728" s="35"/>
      <c r="AM728" s="35"/>
    </row>
    <row r="729" spans="2:39" x14ac:dyDescent="0.25">
      <c r="B729" s="37"/>
      <c r="C729" s="28"/>
      <c r="D729" s="28"/>
      <c r="E729" s="28"/>
      <c r="F729" s="29"/>
      <c r="G729" s="29"/>
      <c r="H729" s="30"/>
      <c r="I729" s="28"/>
      <c r="J729" s="29"/>
      <c r="K729" s="29"/>
      <c r="L729" s="29"/>
      <c r="M729" s="29"/>
      <c r="N729" s="29"/>
      <c r="O729" s="29"/>
      <c r="P729" s="29"/>
      <c r="Q729" s="29"/>
      <c r="R729" s="29"/>
      <c r="S729" s="31"/>
      <c r="T729" s="29"/>
      <c r="U729" s="29"/>
      <c r="V729" s="29"/>
      <c r="W729" s="29"/>
      <c r="X729" s="29"/>
      <c r="Y729" s="29"/>
      <c r="Z729" s="29"/>
      <c r="AA729" s="29"/>
      <c r="AB729" s="29"/>
      <c r="AC729" s="31"/>
      <c r="AD729" s="29"/>
      <c r="AE729" s="29"/>
      <c r="AF729" s="29"/>
      <c r="AG729" s="31"/>
      <c r="AH729" s="29"/>
      <c r="AI729" s="32"/>
      <c r="AJ729" s="35"/>
      <c r="AK729" s="35"/>
      <c r="AL729" s="35"/>
      <c r="AM729" s="35"/>
    </row>
    <row r="730" spans="2:39" x14ac:dyDescent="0.25">
      <c r="B730" s="37"/>
      <c r="C730" s="28"/>
      <c r="D730" s="28"/>
      <c r="E730" s="28"/>
      <c r="F730" s="29"/>
      <c r="G730" s="29"/>
      <c r="H730" s="30"/>
      <c r="I730" s="28"/>
      <c r="J730" s="29"/>
      <c r="K730" s="29"/>
      <c r="L730" s="29"/>
      <c r="M730" s="29"/>
      <c r="N730" s="29"/>
      <c r="O730" s="29"/>
      <c r="P730" s="29"/>
      <c r="Q730" s="29"/>
      <c r="R730" s="29"/>
      <c r="S730" s="31"/>
      <c r="T730" s="29"/>
      <c r="U730" s="29"/>
      <c r="V730" s="29"/>
      <c r="W730" s="29"/>
      <c r="X730" s="29"/>
      <c r="Y730" s="29"/>
      <c r="Z730" s="29"/>
      <c r="AA730" s="29"/>
      <c r="AB730" s="29"/>
      <c r="AC730" s="31"/>
      <c r="AD730" s="29"/>
      <c r="AE730" s="29"/>
      <c r="AF730" s="29"/>
      <c r="AG730" s="31"/>
      <c r="AH730" s="29"/>
      <c r="AI730" s="32"/>
      <c r="AJ730" s="35"/>
      <c r="AK730" s="35"/>
      <c r="AL730" s="35"/>
      <c r="AM730" s="35"/>
    </row>
    <row r="731" spans="2:39" x14ac:dyDescent="0.25">
      <c r="B731" s="37"/>
      <c r="C731" s="28"/>
      <c r="D731" s="28"/>
      <c r="E731" s="28"/>
      <c r="F731" s="29"/>
      <c r="G731" s="29"/>
      <c r="H731" s="30"/>
      <c r="I731" s="28"/>
      <c r="J731" s="29"/>
      <c r="K731" s="29"/>
      <c r="L731" s="29"/>
      <c r="M731" s="29"/>
      <c r="N731" s="29"/>
      <c r="O731" s="29"/>
      <c r="P731" s="29"/>
      <c r="Q731" s="29"/>
      <c r="R731" s="29"/>
      <c r="S731" s="31"/>
      <c r="T731" s="29"/>
      <c r="U731" s="29"/>
      <c r="V731" s="29"/>
      <c r="W731" s="29"/>
      <c r="X731" s="29"/>
      <c r="Y731" s="29"/>
      <c r="Z731" s="29"/>
      <c r="AA731" s="29"/>
      <c r="AB731" s="29"/>
      <c r="AC731" s="31"/>
      <c r="AD731" s="29"/>
      <c r="AE731" s="29"/>
      <c r="AF731" s="29"/>
      <c r="AG731" s="31"/>
      <c r="AH731" s="29"/>
      <c r="AI731" s="32"/>
      <c r="AJ731" s="35"/>
      <c r="AK731" s="35"/>
      <c r="AL731" s="35"/>
      <c r="AM731" s="35"/>
    </row>
    <row r="732" spans="2:39" x14ac:dyDescent="0.25">
      <c r="B732" s="37"/>
      <c r="C732" s="28"/>
      <c r="D732" s="28"/>
      <c r="E732" s="28"/>
      <c r="F732" s="29"/>
      <c r="G732" s="29"/>
      <c r="H732" s="30"/>
      <c r="I732" s="28"/>
      <c r="J732" s="29"/>
      <c r="K732" s="29"/>
      <c r="L732" s="29"/>
      <c r="M732" s="29"/>
      <c r="N732" s="29"/>
      <c r="O732" s="29"/>
      <c r="P732" s="29"/>
      <c r="Q732" s="29"/>
      <c r="R732" s="29"/>
      <c r="S732" s="31"/>
      <c r="T732" s="29"/>
      <c r="U732" s="29"/>
      <c r="V732" s="29"/>
      <c r="W732" s="29"/>
      <c r="X732" s="29"/>
      <c r="Y732" s="29"/>
      <c r="Z732" s="29"/>
      <c r="AA732" s="29"/>
      <c r="AB732" s="29"/>
      <c r="AC732" s="31"/>
      <c r="AD732" s="29"/>
      <c r="AE732" s="29"/>
      <c r="AF732" s="29"/>
      <c r="AG732" s="31"/>
      <c r="AH732" s="29"/>
      <c r="AI732" s="32"/>
      <c r="AJ732" s="35"/>
      <c r="AK732" s="35"/>
      <c r="AL732" s="35"/>
      <c r="AM732" s="35"/>
    </row>
    <row r="733" spans="2:39" x14ac:dyDescent="0.25">
      <c r="B733" s="37"/>
      <c r="C733" s="28"/>
      <c r="D733" s="28"/>
      <c r="E733" s="28"/>
      <c r="F733" s="29"/>
      <c r="G733" s="29"/>
      <c r="H733" s="30"/>
      <c r="I733" s="28"/>
      <c r="J733" s="29"/>
      <c r="K733" s="29"/>
      <c r="L733" s="29"/>
      <c r="M733" s="29"/>
      <c r="N733" s="29"/>
      <c r="O733" s="29"/>
      <c r="P733" s="29"/>
      <c r="Q733" s="29"/>
      <c r="R733" s="29"/>
      <c r="S733" s="31"/>
      <c r="T733" s="29"/>
      <c r="U733" s="29"/>
      <c r="V733" s="29"/>
      <c r="W733" s="29"/>
      <c r="X733" s="29"/>
      <c r="Y733" s="29"/>
      <c r="Z733" s="29"/>
      <c r="AA733" s="29"/>
      <c r="AB733" s="29"/>
      <c r="AC733" s="31"/>
      <c r="AD733" s="29"/>
      <c r="AE733" s="29"/>
      <c r="AF733" s="29"/>
      <c r="AG733" s="31"/>
      <c r="AH733" s="29"/>
      <c r="AI733" s="32"/>
      <c r="AJ733" s="35"/>
      <c r="AK733" s="35"/>
      <c r="AL733" s="35"/>
      <c r="AM733" s="35"/>
    </row>
    <row r="734" spans="2:39" x14ac:dyDescent="0.25">
      <c r="B734" s="37"/>
      <c r="C734" s="28"/>
      <c r="D734" s="28"/>
      <c r="E734" s="28"/>
      <c r="F734" s="29"/>
      <c r="G734" s="29"/>
      <c r="H734" s="30"/>
      <c r="I734" s="28"/>
      <c r="J734" s="29"/>
      <c r="K734" s="29"/>
      <c r="L734" s="29"/>
      <c r="M734" s="29"/>
      <c r="N734" s="29"/>
      <c r="O734" s="29"/>
      <c r="P734" s="29"/>
      <c r="Q734" s="29"/>
      <c r="R734" s="29"/>
      <c r="S734" s="31"/>
      <c r="T734" s="29"/>
      <c r="U734" s="29"/>
      <c r="V734" s="29"/>
      <c r="W734" s="29"/>
      <c r="X734" s="29"/>
      <c r="Y734" s="29"/>
      <c r="Z734" s="29"/>
      <c r="AA734" s="29"/>
      <c r="AB734" s="29"/>
      <c r="AC734" s="31"/>
      <c r="AD734" s="29"/>
      <c r="AE734" s="29"/>
      <c r="AF734" s="29"/>
      <c r="AG734" s="31"/>
      <c r="AH734" s="29"/>
      <c r="AI734" s="32"/>
      <c r="AJ734" s="35"/>
      <c r="AK734" s="35"/>
      <c r="AL734" s="35"/>
      <c r="AM734" s="35"/>
    </row>
    <row r="735" spans="2:39" x14ac:dyDescent="0.25">
      <c r="B735" s="37"/>
      <c r="C735" s="28"/>
      <c r="D735" s="28"/>
      <c r="E735" s="28"/>
      <c r="F735" s="29"/>
      <c r="G735" s="29"/>
      <c r="H735" s="30"/>
      <c r="I735" s="28"/>
      <c r="J735" s="29"/>
      <c r="K735" s="29"/>
      <c r="L735" s="29"/>
      <c r="M735" s="29"/>
      <c r="N735" s="29"/>
      <c r="O735" s="29"/>
      <c r="P735" s="29"/>
      <c r="Q735" s="29"/>
      <c r="R735" s="29"/>
      <c r="S735" s="31"/>
      <c r="T735" s="29"/>
      <c r="U735" s="29"/>
      <c r="V735" s="29"/>
      <c r="W735" s="29"/>
      <c r="X735" s="29"/>
      <c r="Y735" s="29"/>
      <c r="Z735" s="29"/>
      <c r="AA735" s="29"/>
      <c r="AB735" s="29"/>
      <c r="AC735" s="31"/>
      <c r="AD735" s="29"/>
      <c r="AE735" s="29"/>
      <c r="AF735" s="29"/>
      <c r="AG735" s="31"/>
      <c r="AH735" s="29"/>
      <c r="AI735" s="32"/>
      <c r="AJ735" s="35"/>
      <c r="AK735" s="35"/>
      <c r="AL735" s="35"/>
      <c r="AM735" s="35"/>
    </row>
    <row r="736" spans="2:39" x14ac:dyDescent="0.25">
      <c r="B736" s="37"/>
      <c r="C736" s="28"/>
      <c r="D736" s="28"/>
      <c r="E736" s="28"/>
      <c r="F736" s="29"/>
      <c r="G736" s="29"/>
      <c r="H736" s="30"/>
      <c r="I736" s="28"/>
      <c r="J736" s="29"/>
      <c r="K736" s="29"/>
      <c r="L736" s="29"/>
      <c r="M736" s="29"/>
      <c r="N736" s="29"/>
      <c r="O736" s="29"/>
      <c r="P736" s="29"/>
      <c r="Q736" s="29"/>
      <c r="R736" s="29"/>
      <c r="S736" s="31"/>
      <c r="T736" s="29"/>
      <c r="U736" s="29"/>
      <c r="V736" s="29"/>
      <c r="W736" s="29"/>
      <c r="X736" s="29"/>
      <c r="Y736" s="29"/>
      <c r="Z736" s="29"/>
      <c r="AA736" s="29"/>
      <c r="AB736" s="29"/>
      <c r="AC736" s="31"/>
      <c r="AD736" s="29"/>
      <c r="AE736" s="29"/>
      <c r="AF736" s="29"/>
      <c r="AG736" s="31"/>
      <c r="AH736" s="29"/>
      <c r="AI736" s="32"/>
      <c r="AJ736" s="35"/>
      <c r="AK736" s="35"/>
      <c r="AL736" s="35"/>
      <c r="AM736" s="35"/>
    </row>
    <row r="737" spans="2:39" x14ac:dyDescent="0.25">
      <c r="B737" s="37"/>
      <c r="C737" s="28"/>
      <c r="D737" s="28"/>
      <c r="E737" s="28"/>
      <c r="F737" s="29"/>
      <c r="G737" s="29"/>
      <c r="H737" s="30"/>
      <c r="I737" s="28"/>
      <c r="J737" s="29"/>
      <c r="K737" s="29"/>
      <c r="L737" s="29"/>
      <c r="M737" s="29"/>
      <c r="N737" s="29"/>
      <c r="O737" s="29"/>
      <c r="P737" s="29"/>
      <c r="Q737" s="29"/>
      <c r="R737" s="29"/>
      <c r="S737" s="31"/>
      <c r="T737" s="29"/>
      <c r="U737" s="29"/>
      <c r="V737" s="29"/>
      <c r="W737" s="29"/>
      <c r="X737" s="29"/>
      <c r="Y737" s="29"/>
      <c r="Z737" s="29"/>
      <c r="AA737" s="29"/>
      <c r="AB737" s="29"/>
      <c r="AC737" s="31"/>
      <c r="AD737" s="29"/>
      <c r="AE737" s="29"/>
      <c r="AF737" s="29"/>
      <c r="AG737" s="31"/>
      <c r="AH737" s="29"/>
      <c r="AI737" s="32"/>
      <c r="AJ737" s="35"/>
      <c r="AK737" s="35"/>
      <c r="AL737" s="35"/>
      <c r="AM737" s="35"/>
    </row>
    <row r="738" spans="2:39" x14ac:dyDescent="0.25">
      <c r="B738" s="37"/>
      <c r="C738" s="28"/>
      <c r="D738" s="28"/>
      <c r="E738" s="28"/>
      <c r="F738" s="29"/>
      <c r="G738" s="29"/>
      <c r="H738" s="30"/>
      <c r="I738" s="28"/>
      <c r="J738" s="29"/>
      <c r="K738" s="29"/>
      <c r="L738" s="29"/>
      <c r="M738" s="29"/>
      <c r="N738" s="29"/>
      <c r="O738" s="29"/>
      <c r="P738" s="29"/>
      <c r="Q738" s="29"/>
      <c r="R738" s="29"/>
      <c r="S738" s="31"/>
      <c r="T738" s="29"/>
      <c r="U738" s="29"/>
      <c r="V738" s="29"/>
      <c r="W738" s="29"/>
      <c r="X738" s="29"/>
      <c r="Y738" s="29"/>
      <c r="Z738" s="29"/>
      <c r="AA738" s="29"/>
      <c r="AB738" s="29"/>
      <c r="AC738" s="31"/>
      <c r="AD738" s="29"/>
      <c r="AE738" s="29"/>
      <c r="AF738" s="29"/>
      <c r="AG738" s="31"/>
      <c r="AH738" s="29"/>
      <c r="AI738" s="32"/>
      <c r="AJ738" s="35"/>
      <c r="AK738" s="35"/>
      <c r="AL738" s="35"/>
      <c r="AM738" s="35"/>
    </row>
    <row r="739" spans="2:39" x14ac:dyDescent="0.25">
      <c r="B739" s="37"/>
      <c r="C739" s="28"/>
      <c r="D739" s="28"/>
      <c r="E739" s="28"/>
      <c r="F739" s="29"/>
      <c r="G739" s="29"/>
      <c r="H739" s="30"/>
      <c r="I739" s="28"/>
      <c r="J739" s="29"/>
      <c r="K739" s="29"/>
      <c r="L739" s="29"/>
      <c r="M739" s="29"/>
      <c r="N739" s="29"/>
      <c r="O739" s="29"/>
      <c r="P739" s="29"/>
      <c r="Q739" s="29"/>
      <c r="R739" s="29"/>
      <c r="S739" s="31"/>
      <c r="T739" s="29"/>
      <c r="U739" s="29"/>
      <c r="V739" s="29"/>
      <c r="W739" s="29"/>
      <c r="X739" s="29"/>
      <c r="Y739" s="29"/>
      <c r="Z739" s="29"/>
      <c r="AA739" s="29"/>
      <c r="AB739" s="29"/>
      <c r="AC739" s="31"/>
      <c r="AD739" s="29"/>
      <c r="AE739" s="29"/>
      <c r="AF739" s="29"/>
      <c r="AG739" s="31"/>
      <c r="AH739" s="29"/>
      <c r="AI739" s="32"/>
      <c r="AJ739" s="35"/>
      <c r="AK739" s="35"/>
      <c r="AL739" s="35"/>
      <c r="AM739" s="35"/>
    </row>
    <row r="740" spans="2:39" x14ac:dyDescent="0.25">
      <c r="B740" s="37"/>
      <c r="C740" s="28"/>
      <c r="D740" s="28"/>
      <c r="E740" s="28"/>
      <c r="F740" s="29"/>
      <c r="G740" s="29"/>
      <c r="H740" s="30"/>
      <c r="I740" s="28"/>
      <c r="J740" s="29"/>
      <c r="K740" s="29"/>
      <c r="L740" s="29"/>
      <c r="M740" s="29"/>
      <c r="N740" s="29"/>
      <c r="O740" s="29"/>
      <c r="P740" s="29"/>
      <c r="Q740" s="29"/>
      <c r="R740" s="29"/>
      <c r="S740" s="31"/>
      <c r="T740" s="29"/>
      <c r="U740" s="29"/>
      <c r="V740" s="29"/>
      <c r="W740" s="29"/>
      <c r="X740" s="29"/>
      <c r="Y740" s="29"/>
      <c r="Z740" s="29"/>
      <c r="AA740" s="29"/>
      <c r="AB740" s="29"/>
      <c r="AC740" s="31"/>
      <c r="AD740" s="29"/>
      <c r="AE740" s="29"/>
      <c r="AF740" s="29"/>
      <c r="AG740" s="31"/>
      <c r="AH740" s="29"/>
      <c r="AI740" s="32"/>
      <c r="AJ740" s="35"/>
      <c r="AK740" s="35"/>
      <c r="AL740" s="35"/>
      <c r="AM740" s="35"/>
    </row>
    <row r="741" spans="2:39" x14ac:dyDescent="0.25">
      <c r="B741" s="37"/>
      <c r="C741" s="28"/>
      <c r="D741" s="28"/>
      <c r="E741" s="28"/>
      <c r="F741" s="29"/>
      <c r="G741" s="29"/>
      <c r="H741" s="30"/>
      <c r="I741" s="28"/>
      <c r="J741" s="29"/>
      <c r="K741" s="29"/>
      <c r="L741" s="29"/>
      <c r="M741" s="29"/>
      <c r="N741" s="29"/>
      <c r="O741" s="29"/>
      <c r="P741" s="29"/>
      <c r="Q741" s="29"/>
      <c r="R741" s="29"/>
      <c r="S741" s="31"/>
      <c r="T741" s="29"/>
      <c r="U741" s="29"/>
      <c r="V741" s="29"/>
      <c r="W741" s="29"/>
      <c r="X741" s="29"/>
      <c r="Y741" s="29"/>
      <c r="Z741" s="29"/>
      <c r="AA741" s="29"/>
      <c r="AB741" s="29"/>
      <c r="AC741" s="31"/>
      <c r="AD741" s="29"/>
      <c r="AE741" s="29"/>
      <c r="AF741" s="29"/>
      <c r="AG741" s="31"/>
      <c r="AH741" s="29"/>
      <c r="AI741" s="32"/>
      <c r="AJ741" s="35"/>
      <c r="AK741" s="35"/>
      <c r="AL741" s="35"/>
      <c r="AM741" s="35"/>
    </row>
    <row r="742" spans="2:39" x14ac:dyDescent="0.25">
      <c r="B742" s="37"/>
      <c r="C742" s="28"/>
      <c r="D742" s="28"/>
      <c r="E742" s="28"/>
      <c r="F742" s="29"/>
      <c r="G742" s="29"/>
      <c r="H742" s="30"/>
      <c r="I742" s="28"/>
      <c r="J742" s="29"/>
      <c r="K742" s="29"/>
      <c r="L742" s="29"/>
      <c r="M742" s="29"/>
      <c r="N742" s="29"/>
      <c r="O742" s="29"/>
      <c r="P742" s="29"/>
      <c r="Q742" s="29"/>
      <c r="R742" s="29"/>
      <c r="S742" s="31"/>
      <c r="T742" s="29"/>
      <c r="U742" s="29"/>
      <c r="V742" s="29"/>
      <c r="W742" s="29"/>
      <c r="X742" s="29"/>
      <c r="Y742" s="29"/>
      <c r="Z742" s="29"/>
      <c r="AA742" s="29"/>
      <c r="AB742" s="29"/>
      <c r="AC742" s="31"/>
      <c r="AD742" s="29"/>
      <c r="AE742" s="29"/>
      <c r="AF742" s="29"/>
      <c r="AG742" s="31"/>
      <c r="AH742" s="29"/>
      <c r="AI742" s="32"/>
      <c r="AJ742" s="35"/>
      <c r="AK742" s="35"/>
      <c r="AL742" s="35"/>
      <c r="AM742" s="35"/>
    </row>
    <row r="743" spans="2:39" x14ac:dyDescent="0.25">
      <c r="B743" s="37"/>
      <c r="C743" s="28"/>
      <c r="D743" s="28"/>
      <c r="E743" s="28"/>
      <c r="F743" s="29"/>
      <c r="G743" s="29"/>
      <c r="H743" s="30"/>
      <c r="I743" s="28"/>
      <c r="J743" s="29"/>
      <c r="K743" s="29"/>
      <c r="L743" s="29"/>
      <c r="M743" s="29"/>
      <c r="N743" s="29"/>
      <c r="O743" s="29"/>
      <c r="P743" s="29"/>
      <c r="Q743" s="29"/>
      <c r="R743" s="29"/>
      <c r="S743" s="31"/>
      <c r="T743" s="29"/>
      <c r="U743" s="29"/>
      <c r="V743" s="29"/>
      <c r="W743" s="29"/>
      <c r="X743" s="29"/>
      <c r="Y743" s="29"/>
      <c r="Z743" s="29"/>
      <c r="AA743" s="29"/>
      <c r="AB743" s="29"/>
      <c r="AC743" s="31"/>
      <c r="AD743" s="29"/>
      <c r="AE743" s="29"/>
      <c r="AF743" s="29"/>
      <c r="AG743" s="31"/>
      <c r="AH743" s="29"/>
      <c r="AI743" s="32"/>
      <c r="AJ743" s="35"/>
      <c r="AK743" s="35"/>
      <c r="AL743" s="35"/>
      <c r="AM743" s="35"/>
    </row>
    <row r="744" spans="2:39" x14ac:dyDescent="0.25">
      <c r="B744" s="37"/>
      <c r="C744" s="28"/>
      <c r="D744" s="28"/>
      <c r="E744" s="28"/>
      <c r="F744" s="29"/>
      <c r="G744" s="29"/>
      <c r="H744" s="30"/>
      <c r="I744" s="28"/>
      <c r="J744" s="29"/>
      <c r="K744" s="29"/>
      <c r="L744" s="29"/>
      <c r="M744" s="29"/>
      <c r="N744" s="29"/>
      <c r="O744" s="29"/>
      <c r="P744" s="29"/>
      <c r="Q744" s="29"/>
      <c r="R744" s="29"/>
      <c r="S744" s="31"/>
      <c r="T744" s="29"/>
      <c r="U744" s="29"/>
      <c r="V744" s="29"/>
      <c r="W744" s="29"/>
      <c r="X744" s="29"/>
      <c r="Y744" s="29"/>
      <c r="Z744" s="29"/>
      <c r="AA744" s="29"/>
      <c r="AB744" s="29"/>
      <c r="AC744" s="31"/>
      <c r="AD744" s="29"/>
      <c r="AE744" s="29"/>
      <c r="AF744" s="29"/>
      <c r="AG744" s="31"/>
      <c r="AH744" s="29"/>
      <c r="AI744" s="32"/>
      <c r="AJ744" s="35"/>
      <c r="AK744" s="35"/>
      <c r="AL744" s="35"/>
      <c r="AM744" s="35"/>
    </row>
    <row r="745" spans="2:39" x14ac:dyDescent="0.25">
      <c r="B745" s="37"/>
      <c r="C745" s="28"/>
      <c r="D745" s="28"/>
      <c r="E745" s="28"/>
      <c r="F745" s="29"/>
      <c r="G745" s="29"/>
      <c r="H745" s="30"/>
      <c r="I745" s="28"/>
      <c r="J745" s="29"/>
      <c r="K745" s="29"/>
      <c r="L745" s="29"/>
      <c r="M745" s="29"/>
      <c r="N745" s="29"/>
      <c r="O745" s="29"/>
      <c r="P745" s="29"/>
      <c r="Q745" s="29"/>
      <c r="R745" s="29"/>
      <c r="S745" s="31"/>
      <c r="T745" s="29"/>
      <c r="U745" s="29"/>
      <c r="V745" s="29"/>
      <c r="W745" s="29"/>
      <c r="X745" s="29"/>
      <c r="Y745" s="29"/>
      <c r="Z745" s="29"/>
      <c r="AA745" s="29"/>
      <c r="AB745" s="29"/>
      <c r="AC745" s="31"/>
      <c r="AD745" s="29"/>
      <c r="AE745" s="29"/>
      <c r="AF745" s="29"/>
      <c r="AG745" s="31"/>
      <c r="AH745" s="29"/>
      <c r="AI745" s="32"/>
      <c r="AJ745" s="35"/>
      <c r="AK745" s="35"/>
      <c r="AL745" s="35"/>
      <c r="AM745" s="35"/>
    </row>
    <row r="746" spans="2:39" x14ac:dyDescent="0.25">
      <c r="B746" s="37"/>
      <c r="C746" s="28"/>
      <c r="D746" s="28"/>
      <c r="E746" s="28"/>
      <c r="F746" s="29"/>
      <c r="G746" s="29"/>
      <c r="H746" s="30"/>
      <c r="I746" s="28"/>
      <c r="J746" s="29"/>
      <c r="K746" s="29"/>
      <c r="L746" s="29"/>
      <c r="M746" s="29"/>
      <c r="N746" s="29"/>
      <c r="O746" s="29"/>
      <c r="P746" s="29"/>
      <c r="Q746" s="29"/>
      <c r="R746" s="29"/>
      <c r="S746" s="31"/>
      <c r="T746" s="29"/>
      <c r="U746" s="29"/>
      <c r="V746" s="29"/>
      <c r="W746" s="29"/>
      <c r="X746" s="29"/>
      <c r="Y746" s="29"/>
      <c r="Z746" s="29"/>
      <c r="AA746" s="29"/>
      <c r="AB746" s="29"/>
      <c r="AC746" s="31"/>
      <c r="AD746" s="29"/>
      <c r="AE746" s="29"/>
      <c r="AF746" s="29"/>
      <c r="AG746" s="31"/>
      <c r="AH746" s="29"/>
      <c r="AI746" s="32"/>
      <c r="AJ746" s="35"/>
      <c r="AK746" s="35"/>
      <c r="AL746" s="35"/>
      <c r="AM746" s="35"/>
    </row>
    <row r="747" spans="2:39" x14ac:dyDescent="0.25">
      <c r="B747" s="37"/>
      <c r="C747" s="28"/>
      <c r="D747" s="28"/>
      <c r="E747" s="28"/>
      <c r="F747" s="29"/>
      <c r="G747" s="29"/>
      <c r="H747" s="30"/>
      <c r="I747" s="28"/>
      <c r="J747" s="29"/>
      <c r="K747" s="29"/>
      <c r="L747" s="29"/>
      <c r="M747" s="29"/>
      <c r="N747" s="29"/>
      <c r="O747" s="29"/>
      <c r="P747" s="29"/>
      <c r="Q747" s="29"/>
      <c r="R747" s="29"/>
      <c r="S747" s="31"/>
      <c r="T747" s="29"/>
      <c r="U747" s="29"/>
      <c r="V747" s="29"/>
      <c r="W747" s="29"/>
      <c r="X747" s="29"/>
      <c r="Y747" s="29"/>
      <c r="Z747" s="29"/>
      <c r="AA747" s="29"/>
      <c r="AB747" s="29"/>
      <c r="AC747" s="31"/>
      <c r="AD747" s="29"/>
      <c r="AE747" s="29"/>
      <c r="AF747" s="29"/>
      <c r="AG747" s="31"/>
      <c r="AH747" s="29"/>
      <c r="AI747" s="32"/>
      <c r="AJ747" s="35"/>
      <c r="AK747" s="35"/>
      <c r="AL747" s="35"/>
      <c r="AM747" s="35"/>
    </row>
    <row r="748" spans="2:39" x14ac:dyDescent="0.25">
      <c r="B748" s="37"/>
      <c r="C748" s="28"/>
      <c r="D748" s="28"/>
      <c r="E748" s="28"/>
      <c r="F748" s="29"/>
      <c r="G748" s="29"/>
      <c r="H748" s="30"/>
      <c r="I748" s="28"/>
      <c r="J748" s="29"/>
      <c r="K748" s="29"/>
      <c r="L748" s="29"/>
      <c r="M748" s="29"/>
      <c r="N748" s="29"/>
      <c r="O748" s="29"/>
      <c r="P748" s="29"/>
      <c r="Q748" s="29"/>
      <c r="R748" s="29"/>
      <c r="S748" s="31"/>
      <c r="T748" s="29"/>
      <c r="U748" s="29"/>
      <c r="V748" s="29"/>
      <c r="W748" s="29"/>
      <c r="X748" s="29"/>
      <c r="Y748" s="29"/>
      <c r="Z748" s="29"/>
      <c r="AA748" s="29"/>
      <c r="AB748" s="29"/>
      <c r="AC748" s="31"/>
      <c r="AD748" s="29"/>
      <c r="AE748" s="29"/>
      <c r="AF748" s="29"/>
      <c r="AG748" s="31"/>
      <c r="AH748" s="29"/>
      <c r="AI748" s="32"/>
      <c r="AJ748" s="35"/>
      <c r="AK748" s="35"/>
      <c r="AL748" s="35"/>
      <c r="AM748" s="35"/>
    </row>
    <row r="749" spans="2:39" x14ac:dyDescent="0.25">
      <c r="B749" s="37"/>
      <c r="C749" s="28"/>
      <c r="D749" s="28"/>
      <c r="E749" s="28"/>
      <c r="F749" s="29"/>
      <c r="G749" s="29"/>
      <c r="H749" s="30"/>
      <c r="I749" s="28"/>
      <c r="J749" s="29"/>
      <c r="K749" s="29"/>
      <c r="L749" s="29"/>
      <c r="M749" s="29"/>
      <c r="N749" s="29"/>
      <c r="O749" s="29"/>
      <c r="P749" s="29"/>
      <c r="Q749" s="29"/>
      <c r="R749" s="29"/>
      <c r="S749" s="31"/>
      <c r="T749" s="29"/>
      <c r="U749" s="29"/>
      <c r="V749" s="29"/>
      <c r="W749" s="29"/>
      <c r="X749" s="29"/>
      <c r="Y749" s="29"/>
      <c r="Z749" s="29"/>
      <c r="AA749" s="29"/>
      <c r="AB749" s="29"/>
      <c r="AC749" s="31"/>
      <c r="AD749" s="29"/>
      <c r="AE749" s="29"/>
      <c r="AF749" s="29"/>
      <c r="AG749" s="31"/>
      <c r="AH749" s="29"/>
      <c r="AI749" s="32"/>
      <c r="AJ749" s="35"/>
      <c r="AK749" s="35"/>
      <c r="AL749" s="35"/>
      <c r="AM749" s="35"/>
    </row>
    <row r="750" spans="2:39" x14ac:dyDescent="0.25">
      <c r="B750" s="37"/>
      <c r="C750" s="28"/>
      <c r="D750" s="28"/>
      <c r="E750" s="28"/>
      <c r="F750" s="29"/>
      <c r="G750" s="29"/>
      <c r="H750" s="30"/>
      <c r="I750" s="28"/>
      <c r="J750" s="29"/>
      <c r="K750" s="29"/>
      <c r="L750" s="29"/>
      <c r="M750" s="29"/>
      <c r="N750" s="29"/>
      <c r="O750" s="29"/>
      <c r="P750" s="29"/>
      <c r="Q750" s="29"/>
      <c r="R750" s="29"/>
      <c r="S750" s="31"/>
      <c r="T750" s="29"/>
      <c r="U750" s="29"/>
      <c r="V750" s="29"/>
      <c r="W750" s="29"/>
      <c r="X750" s="29"/>
      <c r="Y750" s="29"/>
      <c r="Z750" s="29"/>
      <c r="AA750" s="29"/>
      <c r="AB750" s="29"/>
      <c r="AC750" s="31"/>
      <c r="AD750" s="29"/>
      <c r="AE750" s="29"/>
      <c r="AF750" s="29"/>
      <c r="AG750" s="31"/>
      <c r="AH750" s="29"/>
      <c r="AI750" s="32"/>
      <c r="AJ750" s="35"/>
      <c r="AK750" s="35"/>
      <c r="AL750" s="35"/>
      <c r="AM750" s="35"/>
    </row>
    <row r="751" spans="2:39" x14ac:dyDescent="0.25">
      <c r="B751" s="37"/>
      <c r="C751" s="28"/>
      <c r="D751" s="28"/>
      <c r="E751" s="28"/>
      <c r="F751" s="29"/>
      <c r="G751" s="29"/>
      <c r="H751" s="30"/>
      <c r="I751" s="28"/>
      <c r="J751" s="29"/>
      <c r="K751" s="29"/>
      <c r="L751" s="29"/>
      <c r="M751" s="29"/>
      <c r="N751" s="29"/>
      <c r="O751" s="29"/>
      <c r="P751" s="29"/>
      <c r="Q751" s="29"/>
      <c r="R751" s="29"/>
      <c r="S751" s="31"/>
      <c r="T751" s="29"/>
      <c r="U751" s="29"/>
      <c r="V751" s="29"/>
      <c r="W751" s="29"/>
      <c r="X751" s="29"/>
      <c r="Y751" s="29"/>
      <c r="Z751" s="29"/>
      <c r="AA751" s="29"/>
      <c r="AB751" s="29"/>
      <c r="AC751" s="31"/>
      <c r="AD751" s="29"/>
      <c r="AE751" s="29"/>
      <c r="AF751" s="29"/>
      <c r="AG751" s="31"/>
      <c r="AH751" s="29"/>
      <c r="AI751" s="32"/>
      <c r="AJ751" s="35"/>
      <c r="AK751" s="35"/>
      <c r="AL751" s="35"/>
      <c r="AM751" s="35"/>
    </row>
    <row r="752" spans="2:39" x14ac:dyDescent="0.25">
      <c r="B752" s="37"/>
      <c r="C752" s="28"/>
      <c r="D752" s="28"/>
      <c r="E752" s="28"/>
      <c r="F752" s="29"/>
      <c r="G752" s="29"/>
      <c r="H752" s="30"/>
      <c r="I752" s="28"/>
      <c r="J752" s="29"/>
      <c r="K752" s="29"/>
      <c r="L752" s="29"/>
      <c r="M752" s="29"/>
      <c r="N752" s="29"/>
      <c r="O752" s="29"/>
      <c r="P752" s="29"/>
      <c r="Q752" s="29"/>
      <c r="R752" s="29"/>
      <c r="S752" s="31"/>
      <c r="T752" s="29"/>
      <c r="U752" s="29"/>
      <c r="V752" s="29"/>
      <c r="W752" s="29"/>
      <c r="X752" s="29"/>
      <c r="Y752" s="29"/>
      <c r="Z752" s="29"/>
      <c r="AA752" s="29"/>
      <c r="AB752" s="29"/>
      <c r="AC752" s="31"/>
      <c r="AD752" s="29"/>
      <c r="AE752" s="29"/>
      <c r="AF752" s="29"/>
      <c r="AG752" s="31"/>
      <c r="AH752" s="29"/>
      <c r="AI752" s="32"/>
      <c r="AJ752" s="35"/>
      <c r="AK752" s="35"/>
      <c r="AL752" s="35"/>
      <c r="AM752" s="35"/>
    </row>
    <row r="753" spans="2:39" x14ac:dyDescent="0.25">
      <c r="B753" s="37"/>
      <c r="C753" s="28"/>
      <c r="D753" s="28"/>
      <c r="E753" s="28"/>
      <c r="F753" s="29"/>
      <c r="G753" s="29"/>
      <c r="H753" s="30"/>
      <c r="I753" s="28"/>
      <c r="J753" s="29"/>
      <c r="K753" s="29"/>
      <c r="L753" s="29"/>
      <c r="M753" s="29"/>
      <c r="N753" s="29"/>
      <c r="O753" s="29"/>
      <c r="P753" s="29"/>
      <c r="Q753" s="29"/>
      <c r="R753" s="29"/>
      <c r="S753" s="31"/>
      <c r="T753" s="29"/>
      <c r="U753" s="29"/>
      <c r="V753" s="29"/>
      <c r="W753" s="29"/>
      <c r="X753" s="29"/>
      <c r="Y753" s="29"/>
      <c r="Z753" s="29"/>
      <c r="AA753" s="29"/>
      <c r="AB753" s="29"/>
      <c r="AC753" s="31"/>
      <c r="AD753" s="29"/>
      <c r="AE753" s="29"/>
      <c r="AF753" s="29"/>
      <c r="AG753" s="31"/>
      <c r="AH753" s="29"/>
      <c r="AI753" s="32"/>
      <c r="AJ753" s="35"/>
      <c r="AK753" s="35"/>
      <c r="AL753" s="35"/>
      <c r="AM753" s="35"/>
    </row>
    <row r="754" spans="2:39" x14ac:dyDescent="0.25">
      <c r="B754" s="37"/>
      <c r="C754" s="28"/>
      <c r="D754" s="28"/>
      <c r="E754" s="28"/>
      <c r="F754" s="29"/>
      <c r="G754" s="29"/>
      <c r="H754" s="30"/>
      <c r="I754" s="28"/>
      <c r="J754" s="29"/>
      <c r="K754" s="29"/>
      <c r="L754" s="29"/>
      <c r="M754" s="29"/>
      <c r="N754" s="29"/>
      <c r="O754" s="29"/>
      <c r="P754" s="29"/>
      <c r="Q754" s="29"/>
      <c r="R754" s="29"/>
      <c r="S754" s="31"/>
      <c r="T754" s="29"/>
      <c r="U754" s="29"/>
      <c r="V754" s="29"/>
      <c r="W754" s="29"/>
      <c r="X754" s="29"/>
      <c r="Y754" s="29"/>
      <c r="Z754" s="29"/>
      <c r="AA754" s="29"/>
      <c r="AB754" s="29"/>
      <c r="AC754" s="31"/>
      <c r="AD754" s="29"/>
      <c r="AE754" s="29"/>
      <c r="AF754" s="29"/>
      <c r="AG754" s="31"/>
      <c r="AH754" s="29"/>
      <c r="AI754" s="32"/>
      <c r="AJ754" s="35"/>
      <c r="AK754" s="35"/>
      <c r="AL754" s="35"/>
      <c r="AM754" s="35"/>
    </row>
    <row r="755" spans="2:39" x14ac:dyDescent="0.25">
      <c r="B755" s="37"/>
      <c r="C755" s="28"/>
      <c r="D755" s="28"/>
      <c r="E755" s="28"/>
      <c r="F755" s="29"/>
      <c r="G755" s="29"/>
      <c r="H755" s="30"/>
      <c r="I755" s="28"/>
      <c r="J755" s="29"/>
      <c r="K755" s="29"/>
      <c r="L755" s="29"/>
      <c r="M755" s="29"/>
      <c r="N755" s="29"/>
      <c r="O755" s="29"/>
      <c r="P755" s="29"/>
      <c r="Q755" s="29"/>
      <c r="R755" s="29"/>
      <c r="S755" s="31"/>
      <c r="T755" s="29"/>
      <c r="U755" s="29"/>
      <c r="V755" s="29"/>
      <c r="W755" s="29"/>
      <c r="X755" s="29"/>
      <c r="Y755" s="29"/>
      <c r="Z755" s="29"/>
      <c r="AA755" s="29"/>
      <c r="AB755" s="29"/>
      <c r="AC755" s="31"/>
      <c r="AD755" s="29"/>
      <c r="AE755" s="29"/>
      <c r="AF755" s="29"/>
      <c r="AG755" s="31"/>
      <c r="AH755" s="29"/>
      <c r="AI755" s="32"/>
      <c r="AJ755" s="35"/>
      <c r="AK755" s="35"/>
      <c r="AL755" s="35"/>
      <c r="AM755" s="35"/>
    </row>
    <row r="756" spans="2:39" x14ac:dyDescent="0.25">
      <c r="B756" s="37"/>
      <c r="C756" s="28"/>
      <c r="D756" s="28"/>
      <c r="E756" s="28"/>
      <c r="F756" s="29"/>
      <c r="G756" s="29"/>
      <c r="H756" s="30"/>
      <c r="I756" s="28"/>
      <c r="J756" s="29"/>
      <c r="K756" s="29"/>
      <c r="L756" s="29"/>
      <c r="M756" s="29"/>
      <c r="N756" s="29"/>
      <c r="O756" s="29"/>
      <c r="P756" s="29"/>
      <c r="Q756" s="29"/>
      <c r="R756" s="29"/>
      <c r="S756" s="31"/>
      <c r="T756" s="29"/>
      <c r="U756" s="29"/>
      <c r="V756" s="29"/>
      <c r="W756" s="29"/>
      <c r="X756" s="29"/>
      <c r="Y756" s="29"/>
      <c r="Z756" s="29"/>
      <c r="AA756" s="29"/>
      <c r="AB756" s="29"/>
      <c r="AC756" s="31"/>
      <c r="AD756" s="29"/>
      <c r="AE756" s="29"/>
      <c r="AF756" s="29"/>
      <c r="AG756" s="31"/>
      <c r="AH756" s="29"/>
      <c r="AI756" s="32"/>
      <c r="AJ756" s="35"/>
      <c r="AK756" s="35"/>
      <c r="AL756" s="35"/>
      <c r="AM756" s="35"/>
    </row>
    <row r="757" spans="2:39" x14ac:dyDescent="0.25">
      <c r="B757" s="37"/>
      <c r="C757" s="28"/>
      <c r="D757" s="28"/>
      <c r="E757" s="28"/>
      <c r="F757" s="29"/>
      <c r="G757" s="29"/>
      <c r="H757" s="30"/>
      <c r="I757" s="28"/>
      <c r="J757" s="29"/>
      <c r="K757" s="29"/>
      <c r="L757" s="29"/>
      <c r="M757" s="29"/>
      <c r="N757" s="29"/>
      <c r="O757" s="29"/>
      <c r="P757" s="29"/>
      <c r="Q757" s="29"/>
      <c r="R757" s="29"/>
      <c r="S757" s="31"/>
      <c r="T757" s="29"/>
      <c r="U757" s="29"/>
      <c r="V757" s="29"/>
      <c r="W757" s="29"/>
      <c r="X757" s="29"/>
      <c r="Y757" s="29"/>
      <c r="Z757" s="29"/>
      <c r="AA757" s="29"/>
      <c r="AB757" s="29"/>
      <c r="AC757" s="31"/>
      <c r="AD757" s="29"/>
      <c r="AE757" s="29"/>
      <c r="AF757" s="29"/>
      <c r="AG757" s="31"/>
      <c r="AH757" s="29"/>
      <c r="AI757" s="32"/>
      <c r="AJ757" s="35"/>
      <c r="AK757" s="35"/>
      <c r="AL757" s="35"/>
      <c r="AM757" s="35"/>
    </row>
    <row r="758" spans="2:39" x14ac:dyDescent="0.25">
      <c r="B758" s="37"/>
      <c r="C758" s="28"/>
      <c r="D758" s="28"/>
      <c r="E758" s="28"/>
      <c r="F758" s="29"/>
      <c r="G758" s="29"/>
      <c r="H758" s="30"/>
      <c r="I758" s="28"/>
      <c r="J758" s="29"/>
      <c r="K758" s="29"/>
      <c r="L758" s="29"/>
      <c r="M758" s="29"/>
      <c r="N758" s="29"/>
      <c r="O758" s="29"/>
      <c r="P758" s="29"/>
      <c r="Q758" s="29"/>
      <c r="R758" s="29"/>
      <c r="S758" s="31"/>
      <c r="T758" s="29"/>
      <c r="U758" s="29"/>
      <c r="V758" s="29"/>
      <c r="W758" s="29"/>
      <c r="X758" s="29"/>
      <c r="Y758" s="29"/>
      <c r="Z758" s="29"/>
      <c r="AA758" s="29"/>
      <c r="AB758" s="29"/>
      <c r="AC758" s="31"/>
      <c r="AD758" s="29"/>
      <c r="AE758" s="29"/>
      <c r="AF758" s="29"/>
      <c r="AG758" s="31"/>
      <c r="AH758" s="29"/>
      <c r="AI758" s="32"/>
      <c r="AJ758" s="35"/>
      <c r="AK758" s="35"/>
      <c r="AL758" s="35"/>
      <c r="AM758" s="35"/>
    </row>
    <row r="759" spans="2:39" x14ac:dyDescent="0.25">
      <c r="B759" s="37"/>
      <c r="C759" s="28"/>
      <c r="D759" s="28"/>
      <c r="E759" s="28"/>
      <c r="F759" s="29"/>
      <c r="G759" s="29"/>
      <c r="H759" s="30"/>
      <c r="I759" s="28"/>
      <c r="J759" s="29"/>
      <c r="K759" s="29"/>
      <c r="L759" s="29"/>
      <c r="M759" s="29"/>
      <c r="N759" s="29"/>
      <c r="O759" s="29"/>
      <c r="P759" s="29"/>
      <c r="Q759" s="29"/>
      <c r="R759" s="29"/>
      <c r="S759" s="31"/>
      <c r="T759" s="29"/>
      <c r="U759" s="29"/>
      <c r="V759" s="29"/>
      <c r="W759" s="29"/>
      <c r="X759" s="29"/>
      <c r="Y759" s="29"/>
      <c r="Z759" s="29"/>
      <c r="AA759" s="29"/>
      <c r="AB759" s="29"/>
      <c r="AC759" s="31"/>
      <c r="AD759" s="29"/>
      <c r="AE759" s="29"/>
      <c r="AF759" s="29"/>
      <c r="AG759" s="31"/>
      <c r="AH759" s="29"/>
      <c r="AI759" s="32"/>
      <c r="AJ759" s="35"/>
      <c r="AK759" s="35"/>
      <c r="AL759" s="35"/>
      <c r="AM759" s="35"/>
    </row>
    <row r="760" spans="2:39" x14ac:dyDescent="0.25">
      <c r="B760" s="37"/>
      <c r="C760" s="28"/>
      <c r="D760" s="28"/>
      <c r="E760" s="28"/>
      <c r="F760" s="29"/>
      <c r="G760" s="29"/>
      <c r="H760" s="30"/>
      <c r="I760" s="28"/>
      <c r="J760" s="29"/>
      <c r="K760" s="29"/>
      <c r="L760" s="29"/>
      <c r="M760" s="29"/>
      <c r="N760" s="29"/>
      <c r="O760" s="29"/>
      <c r="P760" s="29"/>
      <c r="Q760" s="29"/>
      <c r="R760" s="29"/>
      <c r="S760" s="31"/>
      <c r="T760" s="29"/>
      <c r="U760" s="29"/>
      <c r="V760" s="29"/>
      <c r="W760" s="29"/>
      <c r="X760" s="29"/>
      <c r="Y760" s="29"/>
      <c r="Z760" s="29"/>
      <c r="AA760" s="29"/>
      <c r="AB760" s="29"/>
      <c r="AC760" s="31"/>
      <c r="AD760" s="29"/>
      <c r="AE760" s="29"/>
      <c r="AF760" s="29"/>
      <c r="AG760" s="31"/>
      <c r="AH760" s="29"/>
      <c r="AI760" s="32"/>
      <c r="AJ760" s="35"/>
      <c r="AK760" s="35"/>
      <c r="AL760" s="35"/>
      <c r="AM760" s="35"/>
    </row>
    <row r="761" spans="2:39" x14ac:dyDescent="0.25">
      <c r="B761" s="37"/>
      <c r="C761" s="28"/>
      <c r="D761" s="28"/>
      <c r="E761" s="28"/>
      <c r="F761" s="29"/>
      <c r="G761" s="29"/>
      <c r="H761" s="30"/>
      <c r="I761" s="28"/>
      <c r="J761" s="29"/>
      <c r="K761" s="29"/>
      <c r="L761" s="29"/>
      <c r="M761" s="29"/>
      <c r="N761" s="29"/>
      <c r="O761" s="29"/>
      <c r="P761" s="29"/>
      <c r="Q761" s="29"/>
      <c r="R761" s="29"/>
      <c r="S761" s="31"/>
      <c r="T761" s="29"/>
      <c r="U761" s="29"/>
      <c r="V761" s="29"/>
      <c r="W761" s="29"/>
      <c r="X761" s="29"/>
      <c r="Y761" s="29"/>
      <c r="Z761" s="29"/>
      <c r="AA761" s="29"/>
      <c r="AB761" s="29"/>
      <c r="AC761" s="31"/>
      <c r="AD761" s="29"/>
      <c r="AE761" s="29"/>
      <c r="AF761" s="29"/>
      <c r="AG761" s="31"/>
      <c r="AH761" s="29"/>
      <c r="AI761" s="32"/>
      <c r="AJ761" s="35"/>
      <c r="AK761" s="35"/>
      <c r="AL761" s="35"/>
      <c r="AM761" s="35"/>
    </row>
    <row r="762" spans="2:39" x14ac:dyDescent="0.25">
      <c r="B762" s="37"/>
      <c r="C762" s="28"/>
      <c r="D762" s="28"/>
      <c r="E762" s="28"/>
      <c r="F762" s="29"/>
      <c r="G762" s="29"/>
      <c r="H762" s="30"/>
      <c r="I762" s="28"/>
      <c r="J762" s="29"/>
      <c r="K762" s="29"/>
      <c r="L762" s="29"/>
      <c r="M762" s="29"/>
      <c r="N762" s="29"/>
      <c r="O762" s="29"/>
      <c r="P762" s="29"/>
      <c r="Q762" s="29"/>
      <c r="R762" s="29"/>
      <c r="S762" s="31"/>
      <c r="T762" s="29"/>
      <c r="U762" s="29"/>
      <c r="V762" s="29"/>
      <c r="W762" s="29"/>
      <c r="X762" s="29"/>
      <c r="Y762" s="29"/>
      <c r="Z762" s="29"/>
      <c r="AA762" s="29"/>
      <c r="AB762" s="29"/>
      <c r="AC762" s="31"/>
      <c r="AD762" s="29"/>
      <c r="AE762" s="29"/>
      <c r="AF762" s="29"/>
      <c r="AG762" s="31"/>
      <c r="AH762" s="29"/>
      <c r="AI762" s="32"/>
      <c r="AJ762" s="35"/>
      <c r="AK762" s="35"/>
      <c r="AL762" s="35"/>
      <c r="AM762" s="35"/>
    </row>
    <row r="763" spans="2:39" x14ac:dyDescent="0.25">
      <c r="B763" s="37"/>
      <c r="C763" s="28"/>
      <c r="D763" s="28"/>
      <c r="E763" s="28"/>
      <c r="F763" s="29"/>
      <c r="G763" s="29"/>
      <c r="H763" s="30"/>
      <c r="I763" s="28"/>
      <c r="J763" s="29"/>
      <c r="K763" s="29"/>
      <c r="L763" s="29"/>
      <c r="M763" s="29"/>
      <c r="N763" s="29"/>
      <c r="O763" s="29"/>
      <c r="P763" s="29"/>
      <c r="Q763" s="29"/>
      <c r="R763" s="29"/>
      <c r="S763" s="31"/>
      <c r="T763" s="29"/>
      <c r="U763" s="29"/>
      <c r="V763" s="29"/>
      <c r="W763" s="29"/>
      <c r="X763" s="29"/>
      <c r="Y763" s="29"/>
      <c r="Z763" s="29"/>
      <c r="AA763" s="29"/>
      <c r="AB763" s="29"/>
      <c r="AC763" s="31"/>
      <c r="AD763" s="29"/>
      <c r="AE763" s="29"/>
      <c r="AF763" s="29"/>
      <c r="AG763" s="31"/>
      <c r="AH763" s="29"/>
      <c r="AI763" s="32"/>
      <c r="AJ763" s="35"/>
      <c r="AK763" s="35"/>
      <c r="AL763" s="35"/>
      <c r="AM763" s="35"/>
    </row>
    <row r="764" spans="2:39" x14ac:dyDescent="0.25">
      <c r="B764" s="37"/>
      <c r="C764" s="28"/>
      <c r="D764" s="28"/>
      <c r="E764" s="28"/>
      <c r="F764" s="29"/>
      <c r="G764" s="29"/>
      <c r="H764" s="30"/>
      <c r="I764" s="28"/>
      <c r="J764" s="29"/>
      <c r="K764" s="29"/>
      <c r="L764" s="29"/>
      <c r="M764" s="29"/>
      <c r="N764" s="29"/>
      <c r="O764" s="29"/>
      <c r="P764" s="29"/>
      <c r="Q764" s="29"/>
      <c r="R764" s="29"/>
      <c r="S764" s="31"/>
      <c r="T764" s="29"/>
      <c r="U764" s="29"/>
      <c r="V764" s="29"/>
      <c r="W764" s="29"/>
      <c r="X764" s="29"/>
      <c r="Y764" s="29"/>
      <c r="Z764" s="29"/>
      <c r="AA764" s="29"/>
      <c r="AB764" s="29"/>
      <c r="AC764" s="31"/>
      <c r="AD764" s="29"/>
      <c r="AE764" s="29"/>
      <c r="AF764" s="29"/>
      <c r="AG764" s="31"/>
      <c r="AH764" s="29"/>
      <c r="AI764" s="32"/>
      <c r="AJ764" s="35"/>
      <c r="AK764" s="35"/>
      <c r="AL764" s="35"/>
      <c r="AM764" s="35"/>
    </row>
    <row r="765" spans="2:39" x14ac:dyDescent="0.25">
      <c r="B765" s="37"/>
      <c r="C765" s="28"/>
      <c r="D765" s="28"/>
      <c r="E765" s="28"/>
      <c r="F765" s="29"/>
      <c r="G765" s="29"/>
      <c r="H765" s="30"/>
      <c r="I765" s="28"/>
      <c r="J765" s="29"/>
      <c r="K765" s="29"/>
      <c r="L765" s="29"/>
      <c r="M765" s="29"/>
      <c r="N765" s="29"/>
      <c r="O765" s="29"/>
      <c r="P765" s="29"/>
      <c r="Q765" s="29"/>
      <c r="R765" s="29"/>
      <c r="S765" s="31"/>
      <c r="T765" s="29"/>
      <c r="U765" s="29"/>
      <c r="V765" s="29"/>
      <c r="W765" s="29"/>
      <c r="X765" s="29"/>
      <c r="Y765" s="29"/>
      <c r="Z765" s="29"/>
      <c r="AA765" s="29"/>
      <c r="AB765" s="29"/>
      <c r="AC765" s="31"/>
      <c r="AD765" s="29"/>
      <c r="AE765" s="29"/>
      <c r="AF765" s="29"/>
      <c r="AG765" s="31"/>
      <c r="AH765" s="29"/>
      <c r="AI765" s="32"/>
      <c r="AJ765" s="35"/>
      <c r="AK765" s="35"/>
      <c r="AL765" s="35"/>
      <c r="AM765" s="35"/>
    </row>
    <row r="766" spans="2:39" x14ac:dyDescent="0.25">
      <c r="B766" s="37"/>
      <c r="C766" s="28"/>
      <c r="D766" s="28"/>
      <c r="E766" s="28"/>
      <c r="F766" s="29"/>
      <c r="G766" s="29"/>
      <c r="H766" s="30"/>
      <c r="I766" s="28"/>
      <c r="J766" s="29"/>
      <c r="K766" s="29"/>
      <c r="L766" s="29"/>
      <c r="M766" s="29"/>
      <c r="N766" s="29"/>
      <c r="O766" s="29"/>
      <c r="P766" s="29"/>
      <c r="Q766" s="29"/>
      <c r="R766" s="29"/>
      <c r="S766" s="31"/>
      <c r="T766" s="29"/>
      <c r="U766" s="29"/>
      <c r="V766" s="29"/>
      <c r="W766" s="29"/>
      <c r="X766" s="29"/>
      <c r="Y766" s="29"/>
      <c r="Z766" s="29"/>
      <c r="AA766" s="29"/>
      <c r="AB766" s="29"/>
      <c r="AC766" s="31"/>
      <c r="AD766" s="29"/>
      <c r="AE766" s="29"/>
      <c r="AF766" s="29"/>
      <c r="AG766" s="31"/>
      <c r="AH766" s="29"/>
      <c r="AI766" s="32"/>
      <c r="AJ766" s="35"/>
      <c r="AK766" s="35"/>
      <c r="AL766" s="35"/>
      <c r="AM766" s="35"/>
    </row>
    <row r="767" spans="2:39" x14ac:dyDescent="0.25">
      <c r="B767" s="37"/>
      <c r="C767" s="28"/>
      <c r="D767" s="28"/>
      <c r="E767" s="28"/>
      <c r="F767" s="29"/>
      <c r="G767" s="29"/>
      <c r="H767" s="30"/>
      <c r="I767" s="28"/>
      <c r="J767" s="29"/>
      <c r="K767" s="29"/>
      <c r="L767" s="29"/>
      <c r="M767" s="29"/>
      <c r="N767" s="29"/>
      <c r="O767" s="29"/>
      <c r="P767" s="29"/>
      <c r="Q767" s="29"/>
      <c r="R767" s="29"/>
      <c r="S767" s="31"/>
      <c r="T767" s="29"/>
      <c r="U767" s="29"/>
      <c r="V767" s="29"/>
      <c r="W767" s="29"/>
      <c r="X767" s="29"/>
      <c r="Y767" s="29"/>
      <c r="Z767" s="29"/>
      <c r="AA767" s="29"/>
      <c r="AB767" s="29"/>
      <c r="AC767" s="31"/>
      <c r="AD767" s="29"/>
      <c r="AE767" s="29"/>
      <c r="AF767" s="29"/>
      <c r="AG767" s="31"/>
      <c r="AH767" s="29"/>
      <c r="AI767" s="32"/>
      <c r="AJ767" s="35"/>
      <c r="AK767" s="35"/>
      <c r="AL767" s="35"/>
      <c r="AM767" s="35"/>
    </row>
    <row r="768" spans="2:39" x14ac:dyDescent="0.25">
      <c r="B768" s="37"/>
      <c r="C768" s="28"/>
      <c r="D768" s="28"/>
      <c r="E768" s="28"/>
      <c r="F768" s="29"/>
      <c r="G768" s="29"/>
      <c r="H768" s="30"/>
      <c r="I768" s="28"/>
      <c r="J768" s="29"/>
      <c r="K768" s="29"/>
      <c r="L768" s="29"/>
      <c r="M768" s="29"/>
      <c r="N768" s="29"/>
      <c r="O768" s="29"/>
      <c r="P768" s="29"/>
      <c r="Q768" s="29"/>
      <c r="R768" s="29"/>
      <c r="S768" s="31"/>
      <c r="T768" s="29"/>
      <c r="U768" s="29"/>
      <c r="V768" s="29"/>
      <c r="W768" s="29"/>
      <c r="X768" s="29"/>
      <c r="Y768" s="29"/>
      <c r="Z768" s="29"/>
      <c r="AA768" s="29"/>
      <c r="AB768" s="29"/>
      <c r="AC768" s="31"/>
      <c r="AD768" s="29"/>
      <c r="AE768" s="29"/>
      <c r="AF768" s="29"/>
      <c r="AG768" s="31"/>
      <c r="AH768" s="29"/>
      <c r="AI768" s="32"/>
      <c r="AJ768" s="35"/>
      <c r="AK768" s="35"/>
      <c r="AL768" s="35"/>
      <c r="AM768" s="35"/>
    </row>
    <row r="769" spans="2:39" x14ac:dyDescent="0.25">
      <c r="B769" s="37"/>
      <c r="C769" s="28"/>
      <c r="D769" s="28"/>
      <c r="E769" s="28"/>
      <c r="F769" s="29"/>
      <c r="G769" s="29"/>
      <c r="H769" s="30"/>
      <c r="I769" s="28"/>
      <c r="J769" s="29"/>
      <c r="K769" s="29"/>
      <c r="L769" s="29"/>
      <c r="M769" s="29"/>
      <c r="N769" s="29"/>
      <c r="O769" s="29"/>
      <c r="P769" s="29"/>
      <c r="Q769" s="29"/>
      <c r="R769" s="29"/>
      <c r="S769" s="31"/>
      <c r="T769" s="29"/>
      <c r="U769" s="29"/>
      <c r="V769" s="29"/>
      <c r="W769" s="29"/>
      <c r="X769" s="29"/>
      <c r="Y769" s="29"/>
      <c r="Z769" s="29"/>
      <c r="AA769" s="29"/>
      <c r="AB769" s="29"/>
      <c r="AC769" s="31"/>
      <c r="AD769" s="29"/>
      <c r="AE769" s="29"/>
      <c r="AF769" s="29"/>
      <c r="AG769" s="31"/>
      <c r="AH769" s="29"/>
      <c r="AI769" s="32"/>
      <c r="AJ769" s="35"/>
      <c r="AK769" s="35"/>
      <c r="AL769" s="35"/>
      <c r="AM769" s="35"/>
    </row>
    <row r="770" spans="2:39" x14ac:dyDescent="0.25">
      <c r="B770" s="37"/>
      <c r="C770" s="28"/>
      <c r="D770" s="28"/>
      <c r="E770" s="28"/>
      <c r="F770" s="29"/>
      <c r="G770" s="29"/>
      <c r="H770" s="30"/>
      <c r="I770" s="28"/>
      <c r="J770" s="29"/>
      <c r="K770" s="29"/>
      <c r="L770" s="29"/>
      <c r="M770" s="29"/>
      <c r="N770" s="29"/>
      <c r="O770" s="29"/>
      <c r="P770" s="29"/>
      <c r="Q770" s="29"/>
      <c r="R770" s="29"/>
      <c r="S770" s="31"/>
      <c r="T770" s="29"/>
      <c r="U770" s="29"/>
      <c r="V770" s="29"/>
      <c r="W770" s="29"/>
      <c r="X770" s="29"/>
      <c r="Y770" s="29"/>
      <c r="Z770" s="29"/>
      <c r="AA770" s="29"/>
      <c r="AB770" s="29"/>
      <c r="AC770" s="31"/>
      <c r="AD770" s="29"/>
      <c r="AE770" s="29"/>
      <c r="AF770" s="29"/>
      <c r="AG770" s="31"/>
      <c r="AH770" s="29"/>
      <c r="AI770" s="32"/>
      <c r="AJ770" s="35"/>
      <c r="AK770" s="35"/>
      <c r="AL770" s="35"/>
      <c r="AM770" s="35"/>
    </row>
    <row r="771" spans="2:39" x14ac:dyDescent="0.25">
      <c r="B771" s="37"/>
      <c r="C771" s="28"/>
      <c r="D771" s="28"/>
      <c r="E771" s="28"/>
      <c r="F771" s="29"/>
      <c r="G771" s="29"/>
      <c r="H771" s="30"/>
      <c r="I771" s="28"/>
      <c r="J771" s="29"/>
      <c r="K771" s="29"/>
      <c r="L771" s="29"/>
      <c r="M771" s="29"/>
      <c r="N771" s="29"/>
      <c r="O771" s="29"/>
      <c r="P771" s="29"/>
      <c r="Q771" s="29"/>
      <c r="R771" s="29"/>
      <c r="S771" s="31"/>
      <c r="T771" s="29"/>
      <c r="U771" s="29"/>
      <c r="V771" s="29"/>
      <c r="W771" s="29"/>
      <c r="X771" s="29"/>
      <c r="Y771" s="29"/>
      <c r="Z771" s="29"/>
      <c r="AA771" s="29"/>
      <c r="AB771" s="29"/>
      <c r="AC771" s="31"/>
      <c r="AD771" s="29"/>
      <c r="AE771" s="29"/>
      <c r="AF771" s="29"/>
      <c r="AG771" s="31"/>
      <c r="AH771" s="29"/>
      <c r="AI771" s="32"/>
      <c r="AJ771" s="35"/>
      <c r="AK771" s="35"/>
      <c r="AL771" s="35"/>
      <c r="AM771" s="35"/>
    </row>
    <row r="772" spans="2:39" x14ac:dyDescent="0.25">
      <c r="B772" s="37"/>
      <c r="C772" s="28"/>
      <c r="D772" s="28"/>
      <c r="E772" s="28"/>
      <c r="F772" s="29"/>
      <c r="G772" s="29"/>
      <c r="H772" s="30"/>
      <c r="I772" s="28"/>
      <c r="J772" s="29"/>
      <c r="K772" s="29"/>
      <c r="L772" s="29"/>
      <c r="M772" s="29"/>
      <c r="N772" s="29"/>
      <c r="O772" s="29"/>
      <c r="P772" s="29"/>
      <c r="Q772" s="29"/>
      <c r="R772" s="29"/>
      <c r="S772" s="31"/>
      <c r="T772" s="29"/>
      <c r="U772" s="29"/>
      <c r="V772" s="29"/>
      <c r="W772" s="29"/>
      <c r="X772" s="29"/>
      <c r="Y772" s="29"/>
      <c r="Z772" s="29"/>
      <c r="AA772" s="29"/>
      <c r="AB772" s="29"/>
      <c r="AC772" s="31"/>
      <c r="AD772" s="29"/>
      <c r="AE772" s="29"/>
      <c r="AF772" s="29"/>
      <c r="AG772" s="31"/>
      <c r="AH772" s="29"/>
      <c r="AI772" s="32"/>
      <c r="AJ772" s="35"/>
      <c r="AK772" s="35"/>
      <c r="AL772" s="35"/>
      <c r="AM772" s="35"/>
    </row>
    <row r="773" spans="2:39" x14ac:dyDescent="0.25">
      <c r="B773" s="37"/>
      <c r="C773" s="28"/>
      <c r="D773" s="28"/>
      <c r="E773" s="28"/>
      <c r="F773" s="29"/>
      <c r="G773" s="29"/>
      <c r="H773" s="30"/>
      <c r="I773" s="28"/>
      <c r="J773" s="29"/>
      <c r="K773" s="29"/>
      <c r="L773" s="29"/>
      <c r="M773" s="29"/>
      <c r="N773" s="29"/>
      <c r="O773" s="29"/>
      <c r="P773" s="29"/>
      <c r="Q773" s="29"/>
      <c r="R773" s="29"/>
      <c r="S773" s="31"/>
      <c r="T773" s="29"/>
      <c r="U773" s="29"/>
      <c r="V773" s="29"/>
      <c r="W773" s="29"/>
      <c r="X773" s="29"/>
      <c r="Y773" s="29"/>
      <c r="Z773" s="29"/>
      <c r="AA773" s="29"/>
      <c r="AB773" s="29"/>
      <c r="AC773" s="31"/>
      <c r="AD773" s="29"/>
      <c r="AE773" s="29"/>
      <c r="AF773" s="29"/>
      <c r="AG773" s="31"/>
      <c r="AH773" s="29"/>
      <c r="AI773" s="32"/>
      <c r="AJ773" s="35"/>
      <c r="AK773" s="35"/>
      <c r="AL773" s="35"/>
      <c r="AM773" s="35"/>
    </row>
    <row r="774" spans="2:39" x14ac:dyDescent="0.25">
      <c r="B774" s="37"/>
      <c r="C774" s="28"/>
      <c r="D774" s="28"/>
      <c r="E774" s="28"/>
      <c r="F774" s="29"/>
      <c r="G774" s="29"/>
      <c r="H774" s="30"/>
      <c r="I774" s="28"/>
      <c r="J774" s="29"/>
      <c r="K774" s="29"/>
      <c r="L774" s="29"/>
      <c r="M774" s="29"/>
      <c r="N774" s="29"/>
      <c r="O774" s="29"/>
      <c r="P774" s="29"/>
      <c r="Q774" s="29"/>
      <c r="R774" s="29"/>
      <c r="S774" s="31"/>
      <c r="T774" s="29"/>
      <c r="U774" s="29"/>
      <c r="V774" s="29"/>
      <c r="W774" s="29"/>
      <c r="X774" s="29"/>
      <c r="Y774" s="29"/>
      <c r="Z774" s="29"/>
      <c r="AA774" s="29"/>
      <c r="AB774" s="29"/>
      <c r="AC774" s="31"/>
      <c r="AD774" s="29"/>
      <c r="AE774" s="29"/>
      <c r="AF774" s="29"/>
      <c r="AG774" s="31"/>
      <c r="AH774" s="29"/>
      <c r="AI774" s="32"/>
      <c r="AJ774" s="35"/>
      <c r="AK774" s="35"/>
      <c r="AL774" s="35"/>
      <c r="AM774" s="35"/>
    </row>
    <row r="775" spans="2:39" x14ac:dyDescent="0.25">
      <c r="B775" s="37"/>
      <c r="C775" s="28"/>
      <c r="D775" s="28"/>
      <c r="E775" s="28"/>
      <c r="F775" s="29"/>
      <c r="G775" s="29"/>
      <c r="H775" s="30"/>
      <c r="I775" s="28"/>
      <c r="J775" s="29"/>
      <c r="K775" s="29"/>
      <c r="L775" s="29"/>
      <c r="M775" s="29"/>
      <c r="N775" s="29"/>
      <c r="O775" s="29"/>
      <c r="P775" s="29"/>
      <c r="Q775" s="29"/>
      <c r="R775" s="29"/>
      <c r="S775" s="31"/>
      <c r="T775" s="29"/>
      <c r="U775" s="29"/>
      <c r="V775" s="29"/>
      <c r="W775" s="29"/>
      <c r="X775" s="29"/>
      <c r="Y775" s="29"/>
      <c r="Z775" s="29"/>
      <c r="AA775" s="29"/>
      <c r="AB775" s="29"/>
      <c r="AC775" s="31"/>
      <c r="AD775" s="29"/>
      <c r="AE775" s="29"/>
      <c r="AF775" s="29"/>
      <c r="AG775" s="31"/>
      <c r="AH775" s="29"/>
      <c r="AI775" s="32"/>
      <c r="AJ775" s="35"/>
      <c r="AK775" s="35"/>
      <c r="AL775" s="35"/>
      <c r="AM775" s="35"/>
    </row>
    <row r="776" spans="2:39" x14ac:dyDescent="0.25">
      <c r="B776" s="37"/>
      <c r="C776" s="28"/>
      <c r="D776" s="28"/>
      <c r="E776" s="28"/>
      <c r="F776" s="29"/>
      <c r="G776" s="29"/>
      <c r="H776" s="30"/>
      <c r="I776" s="28"/>
      <c r="J776" s="29"/>
      <c r="K776" s="29"/>
      <c r="L776" s="29"/>
      <c r="M776" s="29"/>
      <c r="N776" s="29"/>
      <c r="O776" s="29"/>
      <c r="P776" s="29"/>
      <c r="Q776" s="29"/>
      <c r="R776" s="29"/>
      <c r="S776" s="31"/>
      <c r="T776" s="29"/>
      <c r="U776" s="29"/>
      <c r="V776" s="29"/>
      <c r="W776" s="29"/>
      <c r="X776" s="29"/>
      <c r="Y776" s="29"/>
      <c r="Z776" s="29"/>
      <c r="AA776" s="29"/>
      <c r="AB776" s="29"/>
      <c r="AC776" s="31"/>
      <c r="AD776" s="29"/>
      <c r="AE776" s="29"/>
      <c r="AF776" s="29"/>
      <c r="AG776" s="31"/>
      <c r="AH776" s="29"/>
      <c r="AI776" s="32"/>
      <c r="AJ776" s="35"/>
      <c r="AK776" s="35"/>
      <c r="AL776" s="35"/>
      <c r="AM776" s="35"/>
    </row>
    <row r="777" spans="2:39" x14ac:dyDescent="0.25">
      <c r="B777" s="37"/>
      <c r="C777" s="28"/>
      <c r="D777" s="28"/>
      <c r="E777" s="28"/>
      <c r="F777" s="29"/>
      <c r="G777" s="29"/>
      <c r="H777" s="30"/>
      <c r="I777" s="28"/>
      <c r="J777" s="29"/>
      <c r="K777" s="29"/>
      <c r="L777" s="29"/>
      <c r="M777" s="29"/>
      <c r="N777" s="29"/>
      <c r="O777" s="29"/>
      <c r="P777" s="29"/>
      <c r="Q777" s="29"/>
      <c r="R777" s="29"/>
      <c r="S777" s="31"/>
      <c r="T777" s="29"/>
      <c r="U777" s="29"/>
      <c r="V777" s="29"/>
      <c r="W777" s="29"/>
      <c r="X777" s="29"/>
      <c r="Y777" s="29"/>
      <c r="Z777" s="29"/>
      <c r="AA777" s="29"/>
      <c r="AB777" s="29"/>
      <c r="AC777" s="31"/>
      <c r="AD777" s="29"/>
      <c r="AE777" s="29"/>
      <c r="AF777" s="29"/>
      <c r="AG777" s="31"/>
      <c r="AH777" s="29"/>
      <c r="AI777" s="32"/>
      <c r="AJ777" s="35"/>
      <c r="AK777" s="35"/>
      <c r="AL777" s="35"/>
      <c r="AM777" s="35"/>
    </row>
    <row r="778" spans="2:39" x14ac:dyDescent="0.25">
      <c r="B778" s="37"/>
      <c r="C778" s="28"/>
      <c r="D778" s="28"/>
      <c r="E778" s="28"/>
      <c r="F778" s="29"/>
      <c r="G778" s="29"/>
      <c r="H778" s="30"/>
      <c r="I778" s="28"/>
      <c r="J778" s="29"/>
      <c r="K778" s="29"/>
      <c r="L778" s="29"/>
      <c r="M778" s="29"/>
      <c r="N778" s="29"/>
      <c r="O778" s="29"/>
      <c r="P778" s="29"/>
      <c r="Q778" s="29"/>
      <c r="R778" s="29"/>
      <c r="S778" s="31"/>
      <c r="T778" s="29"/>
      <c r="U778" s="29"/>
      <c r="V778" s="29"/>
      <c r="W778" s="29"/>
      <c r="X778" s="29"/>
      <c r="Y778" s="29"/>
      <c r="Z778" s="29"/>
      <c r="AA778" s="29"/>
      <c r="AB778" s="29"/>
      <c r="AC778" s="31"/>
      <c r="AD778" s="29"/>
      <c r="AE778" s="29"/>
      <c r="AF778" s="29"/>
      <c r="AG778" s="31"/>
      <c r="AH778" s="29"/>
      <c r="AI778" s="32"/>
      <c r="AJ778" s="35"/>
      <c r="AK778" s="35"/>
      <c r="AL778" s="35"/>
      <c r="AM778" s="35"/>
    </row>
    <row r="779" spans="2:39" x14ac:dyDescent="0.25">
      <c r="B779" s="37"/>
      <c r="C779" s="28"/>
      <c r="D779" s="28"/>
      <c r="E779" s="28"/>
      <c r="F779" s="29"/>
      <c r="G779" s="29"/>
      <c r="H779" s="30"/>
      <c r="I779" s="28"/>
      <c r="J779" s="29"/>
      <c r="K779" s="29"/>
      <c r="L779" s="29"/>
      <c r="M779" s="29"/>
      <c r="N779" s="29"/>
      <c r="O779" s="29"/>
      <c r="P779" s="29"/>
      <c r="Q779" s="29"/>
      <c r="R779" s="29"/>
      <c r="S779" s="31"/>
      <c r="T779" s="29"/>
      <c r="U779" s="29"/>
      <c r="V779" s="29"/>
      <c r="W779" s="29"/>
      <c r="X779" s="29"/>
      <c r="Y779" s="29"/>
      <c r="Z779" s="29"/>
      <c r="AA779" s="29"/>
      <c r="AB779" s="29"/>
      <c r="AC779" s="31"/>
      <c r="AD779" s="29"/>
      <c r="AE779" s="29"/>
      <c r="AF779" s="29"/>
      <c r="AG779" s="31"/>
      <c r="AH779" s="29"/>
      <c r="AI779" s="32"/>
      <c r="AJ779" s="35"/>
      <c r="AK779" s="35"/>
      <c r="AL779" s="35"/>
      <c r="AM779" s="35"/>
    </row>
    <row r="780" spans="2:39" x14ac:dyDescent="0.25">
      <c r="B780" s="37"/>
      <c r="C780" s="28"/>
      <c r="D780" s="28"/>
      <c r="E780" s="28"/>
      <c r="F780" s="29"/>
      <c r="G780" s="29"/>
      <c r="H780" s="30"/>
      <c r="I780" s="28"/>
      <c r="J780" s="29"/>
      <c r="K780" s="29"/>
      <c r="L780" s="29"/>
      <c r="M780" s="29"/>
      <c r="N780" s="29"/>
      <c r="O780" s="29"/>
      <c r="P780" s="29"/>
      <c r="Q780" s="29"/>
      <c r="R780" s="29"/>
      <c r="S780" s="31"/>
      <c r="T780" s="29"/>
      <c r="U780" s="29"/>
      <c r="V780" s="29"/>
      <c r="W780" s="29"/>
      <c r="X780" s="29"/>
      <c r="Y780" s="29"/>
      <c r="Z780" s="29"/>
      <c r="AA780" s="29"/>
      <c r="AB780" s="29"/>
      <c r="AC780" s="31"/>
      <c r="AD780" s="29"/>
      <c r="AE780" s="29"/>
      <c r="AF780" s="29"/>
      <c r="AG780" s="31"/>
      <c r="AH780" s="29"/>
      <c r="AI780" s="32"/>
      <c r="AJ780" s="35"/>
      <c r="AK780" s="35"/>
      <c r="AL780" s="35"/>
      <c r="AM780" s="35"/>
    </row>
    <row r="781" spans="2:39" x14ac:dyDescent="0.25">
      <c r="B781" s="37"/>
      <c r="C781" s="28"/>
      <c r="D781" s="28"/>
      <c r="E781" s="28"/>
      <c r="F781" s="29"/>
      <c r="G781" s="29"/>
      <c r="H781" s="30"/>
      <c r="I781" s="28"/>
      <c r="J781" s="29"/>
      <c r="K781" s="29"/>
      <c r="L781" s="29"/>
      <c r="M781" s="29"/>
      <c r="N781" s="29"/>
      <c r="O781" s="29"/>
      <c r="P781" s="29"/>
      <c r="Q781" s="29"/>
      <c r="R781" s="29"/>
      <c r="S781" s="31"/>
      <c r="T781" s="29"/>
      <c r="U781" s="29"/>
      <c r="V781" s="29"/>
      <c r="W781" s="29"/>
      <c r="X781" s="29"/>
      <c r="Y781" s="29"/>
      <c r="Z781" s="29"/>
      <c r="AA781" s="29"/>
      <c r="AB781" s="29"/>
      <c r="AC781" s="31"/>
      <c r="AD781" s="29"/>
      <c r="AE781" s="29"/>
      <c r="AF781" s="29"/>
      <c r="AG781" s="31"/>
      <c r="AH781" s="29"/>
      <c r="AI781" s="32"/>
      <c r="AJ781" s="35"/>
      <c r="AK781" s="35"/>
      <c r="AL781" s="35"/>
      <c r="AM781" s="35"/>
    </row>
    <row r="782" spans="2:39" x14ac:dyDescent="0.25">
      <c r="B782" s="37"/>
      <c r="C782" s="28"/>
      <c r="D782" s="28"/>
      <c r="E782" s="28"/>
      <c r="F782" s="29"/>
      <c r="G782" s="29"/>
      <c r="H782" s="30"/>
      <c r="I782" s="28"/>
      <c r="J782" s="29"/>
      <c r="K782" s="29"/>
      <c r="L782" s="29"/>
      <c r="M782" s="29"/>
      <c r="N782" s="29"/>
      <c r="O782" s="29"/>
      <c r="P782" s="29"/>
      <c r="Q782" s="29"/>
      <c r="R782" s="29"/>
      <c r="S782" s="31"/>
      <c r="T782" s="29"/>
      <c r="U782" s="29"/>
      <c r="V782" s="29"/>
      <c r="W782" s="29"/>
      <c r="X782" s="29"/>
      <c r="Y782" s="29"/>
      <c r="Z782" s="29"/>
      <c r="AA782" s="29"/>
      <c r="AB782" s="29"/>
      <c r="AC782" s="31"/>
      <c r="AD782" s="29"/>
      <c r="AE782" s="29"/>
      <c r="AF782" s="29"/>
      <c r="AG782" s="31"/>
      <c r="AH782" s="29"/>
      <c r="AI782" s="32"/>
      <c r="AJ782" s="35"/>
      <c r="AK782" s="35"/>
      <c r="AL782" s="35"/>
      <c r="AM782" s="35"/>
    </row>
    <row r="783" spans="2:39" x14ac:dyDescent="0.25">
      <c r="B783" s="37"/>
      <c r="C783" s="28"/>
      <c r="D783" s="28"/>
      <c r="E783" s="28"/>
      <c r="F783" s="29"/>
      <c r="G783" s="29"/>
      <c r="H783" s="30"/>
      <c r="I783" s="28"/>
      <c r="J783" s="29"/>
      <c r="K783" s="29"/>
      <c r="L783" s="29"/>
      <c r="M783" s="29"/>
      <c r="N783" s="29"/>
      <c r="O783" s="29"/>
      <c r="P783" s="29"/>
      <c r="Q783" s="29"/>
      <c r="R783" s="29"/>
      <c r="S783" s="31"/>
      <c r="T783" s="29"/>
      <c r="U783" s="29"/>
      <c r="V783" s="29"/>
      <c r="W783" s="29"/>
      <c r="X783" s="29"/>
      <c r="Y783" s="29"/>
      <c r="Z783" s="29"/>
      <c r="AA783" s="29"/>
      <c r="AB783" s="29"/>
      <c r="AC783" s="31"/>
      <c r="AD783" s="29"/>
      <c r="AE783" s="29"/>
      <c r="AF783" s="29"/>
      <c r="AG783" s="31"/>
      <c r="AH783" s="29"/>
      <c r="AI783" s="32"/>
      <c r="AJ783" s="35"/>
      <c r="AK783" s="35"/>
      <c r="AL783" s="35"/>
      <c r="AM783" s="35"/>
    </row>
    <row r="784" spans="2:39" x14ac:dyDescent="0.25">
      <c r="B784" s="37"/>
      <c r="C784" s="28"/>
      <c r="D784" s="28"/>
      <c r="E784" s="28"/>
      <c r="F784" s="29"/>
      <c r="G784" s="29"/>
      <c r="H784" s="30"/>
      <c r="I784" s="28"/>
      <c r="J784" s="29"/>
      <c r="K784" s="29"/>
      <c r="L784" s="29"/>
      <c r="M784" s="29"/>
      <c r="N784" s="29"/>
      <c r="O784" s="29"/>
      <c r="P784" s="29"/>
      <c r="Q784" s="29"/>
      <c r="R784" s="29"/>
      <c r="S784" s="31"/>
      <c r="T784" s="29"/>
      <c r="U784" s="29"/>
      <c r="V784" s="29"/>
      <c r="W784" s="29"/>
      <c r="X784" s="29"/>
      <c r="Y784" s="29"/>
      <c r="Z784" s="29"/>
      <c r="AA784" s="29"/>
      <c r="AB784" s="29"/>
      <c r="AC784" s="31"/>
      <c r="AD784" s="29"/>
      <c r="AE784" s="29"/>
      <c r="AF784" s="29"/>
      <c r="AG784" s="31"/>
      <c r="AH784" s="29"/>
      <c r="AI784" s="32"/>
      <c r="AJ784" s="35"/>
      <c r="AK784" s="35"/>
      <c r="AL784" s="35"/>
      <c r="AM784" s="35"/>
    </row>
    <row r="785" spans="2:39" x14ac:dyDescent="0.25">
      <c r="B785" s="37"/>
      <c r="C785" s="28"/>
      <c r="D785" s="28"/>
      <c r="E785" s="28"/>
      <c r="F785" s="29"/>
      <c r="G785" s="29"/>
      <c r="H785" s="30"/>
      <c r="I785" s="28"/>
      <c r="J785" s="29"/>
      <c r="K785" s="29"/>
      <c r="L785" s="29"/>
      <c r="M785" s="29"/>
      <c r="N785" s="29"/>
      <c r="O785" s="29"/>
      <c r="P785" s="29"/>
      <c r="Q785" s="29"/>
      <c r="R785" s="29"/>
      <c r="S785" s="31"/>
      <c r="T785" s="29"/>
      <c r="U785" s="29"/>
      <c r="V785" s="29"/>
      <c r="W785" s="29"/>
      <c r="X785" s="29"/>
      <c r="Y785" s="29"/>
      <c r="Z785" s="29"/>
      <c r="AA785" s="29"/>
      <c r="AB785" s="29"/>
      <c r="AC785" s="31"/>
      <c r="AD785" s="29"/>
      <c r="AE785" s="29"/>
      <c r="AF785" s="29"/>
      <c r="AG785" s="31"/>
      <c r="AH785" s="29"/>
      <c r="AI785" s="32"/>
      <c r="AJ785" s="35"/>
      <c r="AK785" s="35"/>
      <c r="AL785" s="35"/>
      <c r="AM785" s="35"/>
    </row>
    <row r="786" spans="2:39" x14ac:dyDescent="0.25">
      <c r="B786" s="37"/>
      <c r="C786" s="28"/>
      <c r="D786" s="28"/>
      <c r="E786" s="28"/>
      <c r="F786" s="29"/>
      <c r="G786" s="29"/>
      <c r="H786" s="30"/>
      <c r="I786" s="28"/>
      <c r="J786" s="29"/>
      <c r="K786" s="29"/>
      <c r="L786" s="29"/>
      <c r="M786" s="29"/>
      <c r="N786" s="29"/>
      <c r="O786" s="29"/>
      <c r="P786" s="29"/>
      <c r="Q786" s="29"/>
      <c r="R786" s="29"/>
      <c r="S786" s="31"/>
      <c r="T786" s="29"/>
      <c r="U786" s="29"/>
      <c r="V786" s="29"/>
      <c r="W786" s="29"/>
      <c r="X786" s="29"/>
      <c r="Y786" s="29"/>
      <c r="Z786" s="29"/>
      <c r="AA786" s="29"/>
      <c r="AB786" s="29"/>
      <c r="AC786" s="31"/>
      <c r="AD786" s="29"/>
      <c r="AE786" s="29"/>
      <c r="AF786" s="29"/>
      <c r="AG786" s="31"/>
      <c r="AH786" s="29"/>
      <c r="AI786" s="32"/>
      <c r="AJ786" s="35"/>
      <c r="AK786" s="35"/>
      <c r="AL786" s="35"/>
      <c r="AM786" s="35"/>
    </row>
    <row r="787" spans="2:39" x14ac:dyDescent="0.25">
      <c r="B787" s="37"/>
      <c r="C787" s="28"/>
      <c r="D787" s="28"/>
      <c r="E787" s="28"/>
      <c r="F787" s="29"/>
      <c r="G787" s="29"/>
      <c r="H787" s="30"/>
      <c r="I787" s="28"/>
      <c r="J787" s="29"/>
      <c r="K787" s="29"/>
      <c r="L787" s="29"/>
      <c r="M787" s="29"/>
      <c r="N787" s="29"/>
      <c r="O787" s="29"/>
      <c r="P787" s="29"/>
      <c r="Q787" s="29"/>
      <c r="R787" s="29"/>
      <c r="S787" s="31"/>
      <c r="T787" s="29"/>
      <c r="U787" s="29"/>
      <c r="V787" s="29"/>
      <c r="W787" s="29"/>
      <c r="X787" s="29"/>
      <c r="Y787" s="29"/>
      <c r="Z787" s="29"/>
      <c r="AA787" s="29"/>
      <c r="AB787" s="29"/>
      <c r="AC787" s="31"/>
      <c r="AD787" s="29"/>
      <c r="AE787" s="29"/>
      <c r="AF787" s="29"/>
      <c r="AG787" s="31"/>
      <c r="AH787" s="29"/>
      <c r="AI787" s="32"/>
      <c r="AJ787" s="35"/>
      <c r="AK787" s="35"/>
      <c r="AL787" s="35"/>
      <c r="AM787" s="35"/>
    </row>
    <row r="788" spans="2:39" x14ac:dyDescent="0.25">
      <c r="B788" s="37"/>
      <c r="C788" s="28"/>
      <c r="D788" s="28"/>
      <c r="E788" s="28"/>
      <c r="F788" s="29"/>
      <c r="G788" s="29"/>
      <c r="H788" s="30"/>
      <c r="I788" s="28"/>
      <c r="J788" s="29"/>
      <c r="K788" s="29"/>
      <c r="L788" s="29"/>
      <c r="M788" s="29"/>
      <c r="N788" s="29"/>
      <c r="O788" s="29"/>
      <c r="P788" s="29"/>
      <c r="Q788" s="29"/>
      <c r="R788" s="29"/>
      <c r="S788" s="31"/>
      <c r="T788" s="29"/>
      <c r="U788" s="29"/>
      <c r="V788" s="29"/>
      <c r="W788" s="29"/>
      <c r="X788" s="29"/>
      <c r="Y788" s="29"/>
      <c r="Z788" s="29"/>
      <c r="AA788" s="29"/>
      <c r="AB788" s="29"/>
      <c r="AC788" s="31"/>
      <c r="AD788" s="29"/>
      <c r="AE788" s="29"/>
      <c r="AF788" s="29"/>
      <c r="AG788" s="31"/>
      <c r="AH788" s="29"/>
      <c r="AI788" s="32"/>
      <c r="AJ788" s="35"/>
      <c r="AK788" s="35"/>
      <c r="AL788" s="35"/>
      <c r="AM788" s="35"/>
    </row>
    <row r="789" spans="2:39" x14ac:dyDescent="0.25">
      <c r="B789" s="37"/>
      <c r="C789" s="28"/>
      <c r="D789" s="28"/>
      <c r="E789" s="28"/>
      <c r="F789" s="29"/>
      <c r="G789" s="29"/>
      <c r="H789" s="30"/>
      <c r="I789" s="28"/>
      <c r="J789" s="29"/>
      <c r="K789" s="29"/>
      <c r="L789" s="29"/>
      <c r="M789" s="29"/>
      <c r="N789" s="29"/>
      <c r="O789" s="29"/>
      <c r="P789" s="29"/>
      <c r="Q789" s="29"/>
      <c r="R789" s="29"/>
      <c r="S789" s="31"/>
      <c r="T789" s="29"/>
      <c r="U789" s="29"/>
      <c r="V789" s="29"/>
      <c r="W789" s="29"/>
      <c r="X789" s="29"/>
      <c r="Y789" s="29"/>
      <c r="Z789" s="29"/>
      <c r="AA789" s="29"/>
      <c r="AB789" s="29"/>
      <c r="AC789" s="31"/>
      <c r="AD789" s="29"/>
      <c r="AE789" s="29"/>
      <c r="AF789" s="29"/>
      <c r="AG789" s="31"/>
      <c r="AH789" s="29"/>
      <c r="AI789" s="32"/>
      <c r="AJ789" s="35"/>
      <c r="AK789" s="35"/>
      <c r="AL789" s="35"/>
      <c r="AM789" s="35"/>
    </row>
    <row r="790" spans="2:39" x14ac:dyDescent="0.25">
      <c r="B790" s="37"/>
      <c r="C790" s="28"/>
      <c r="D790" s="28"/>
      <c r="E790" s="28"/>
      <c r="F790" s="29"/>
      <c r="G790" s="29"/>
      <c r="H790" s="30"/>
      <c r="I790" s="28"/>
      <c r="J790" s="29"/>
      <c r="K790" s="29"/>
      <c r="L790" s="29"/>
      <c r="M790" s="29"/>
      <c r="N790" s="29"/>
      <c r="O790" s="29"/>
      <c r="P790" s="29"/>
      <c r="Q790" s="29"/>
      <c r="R790" s="29"/>
      <c r="S790" s="31"/>
      <c r="T790" s="29"/>
      <c r="U790" s="29"/>
      <c r="V790" s="29"/>
      <c r="W790" s="29"/>
      <c r="X790" s="29"/>
      <c r="Y790" s="29"/>
      <c r="Z790" s="29"/>
      <c r="AA790" s="29"/>
      <c r="AB790" s="29"/>
      <c r="AC790" s="31"/>
      <c r="AD790" s="29"/>
      <c r="AE790" s="29"/>
      <c r="AF790" s="29"/>
      <c r="AG790" s="31"/>
      <c r="AH790" s="29"/>
      <c r="AI790" s="32"/>
      <c r="AJ790" s="35"/>
      <c r="AK790" s="35"/>
      <c r="AL790" s="35"/>
      <c r="AM790" s="35"/>
    </row>
    <row r="791" spans="2:39" x14ac:dyDescent="0.25">
      <c r="B791" s="37"/>
      <c r="C791" s="28"/>
      <c r="D791" s="28"/>
      <c r="E791" s="28"/>
      <c r="F791" s="29"/>
      <c r="G791" s="29"/>
      <c r="H791" s="30"/>
      <c r="I791" s="28"/>
      <c r="J791" s="29"/>
      <c r="K791" s="29"/>
      <c r="L791" s="29"/>
      <c r="M791" s="29"/>
      <c r="N791" s="29"/>
      <c r="O791" s="29"/>
      <c r="P791" s="29"/>
      <c r="Q791" s="29"/>
      <c r="R791" s="29"/>
      <c r="S791" s="31"/>
      <c r="T791" s="29"/>
      <c r="U791" s="29"/>
      <c r="V791" s="29"/>
      <c r="W791" s="29"/>
      <c r="X791" s="29"/>
      <c r="Y791" s="29"/>
      <c r="Z791" s="29"/>
      <c r="AA791" s="29"/>
      <c r="AB791" s="29"/>
      <c r="AC791" s="31"/>
      <c r="AD791" s="29"/>
      <c r="AE791" s="29"/>
      <c r="AF791" s="29"/>
      <c r="AG791" s="31"/>
      <c r="AH791" s="29"/>
      <c r="AI791" s="32"/>
      <c r="AJ791" s="35"/>
      <c r="AK791" s="35"/>
      <c r="AL791" s="35"/>
      <c r="AM791" s="35"/>
    </row>
    <row r="792" spans="2:39" x14ac:dyDescent="0.25">
      <c r="B792" s="37"/>
      <c r="C792" s="28"/>
      <c r="D792" s="28"/>
      <c r="E792" s="28"/>
      <c r="F792" s="29"/>
      <c r="G792" s="29"/>
      <c r="H792" s="30"/>
      <c r="I792" s="28"/>
      <c r="J792" s="29"/>
      <c r="K792" s="29"/>
      <c r="L792" s="29"/>
      <c r="M792" s="29"/>
      <c r="N792" s="29"/>
      <c r="O792" s="29"/>
      <c r="P792" s="29"/>
      <c r="Q792" s="29"/>
      <c r="R792" s="29"/>
      <c r="S792" s="31"/>
      <c r="T792" s="29"/>
      <c r="U792" s="29"/>
      <c r="V792" s="29"/>
      <c r="W792" s="29"/>
      <c r="X792" s="29"/>
      <c r="Y792" s="29"/>
      <c r="Z792" s="29"/>
      <c r="AA792" s="29"/>
      <c r="AB792" s="29"/>
      <c r="AC792" s="31"/>
      <c r="AD792" s="29"/>
      <c r="AE792" s="29"/>
      <c r="AF792" s="29"/>
      <c r="AG792" s="31"/>
      <c r="AH792" s="29"/>
      <c r="AI792" s="32"/>
      <c r="AJ792" s="35"/>
      <c r="AK792" s="35"/>
      <c r="AL792" s="35"/>
      <c r="AM792" s="35"/>
    </row>
    <row r="793" spans="2:39" x14ac:dyDescent="0.25">
      <c r="B793" s="37"/>
      <c r="C793" s="28"/>
      <c r="D793" s="28"/>
      <c r="E793" s="28"/>
      <c r="F793" s="29"/>
      <c r="G793" s="29"/>
      <c r="H793" s="30"/>
      <c r="I793" s="28"/>
      <c r="J793" s="29"/>
      <c r="K793" s="29"/>
      <c r="L793" s="29"/>
      <c r="M793" s="29"/>
      <c r="N793" s="29"/>
      <c r="O793" s="29"/>
      <c r="P793" s="29"/>
      <c r="Q793" s="29"/>
      <c r="R793" s="29"/>
      <c r="S793" s="31"/>
      <c r="T793" s="29"/>
      <c r="U793" s="29"/>
      <c r="V793" s="29"/>
      <c r="W793" s="29"/>
      <c r="X793" s="29"/>
      <c r="Y793" s="29"/>
      <c r="Z793" s="29"/>
      <c r="AA793" s="29"/>
      <c r="AB793" s="29"/>
      <c r="AC793" s="31"/>
      <c r="AD793" s="29"/>
      <c r="AE793" s="29"/>
      <c r="AF793" s="29"/>
      <c r="AG793" s="31"/>
      <c r="AH793" s="29"/>
      <c r="AI793" s="32"/>
      <c r="AJ793" s="35"/>
      <c r="AK793" s="35"/>
      <c r="AL793" s="35"/>
      <c r="AM793" s="35"/>
    </row>
    <row r="794" spans="2:39" x14ac:dyDescent="0.25">
      <c r="B794" s="37"/>
      <c r="C794" s="28"/>
      <c r="D794" s="28"/>
      <c r="E794" s="28"/>
      <c r="F794" s="29"/>
      <c r="G794" s="29"/>
      <c r="H794" s="30"/>
      <c r="I794" s="28"/>
      <c r="J794" s="29"/>
      <c r="K794" s="29"/>
      <c r="L794" s="29"/>
      <c r="M794" s="29"/>
      <c r="N794" s="29"/>
      <c r="O794" s="29"/>
      <c r="P794" s="29"/>
      <c r="Q794" s="29"/>
      <c r="R794" s="29"/>
      <c r="S794" s="31"/>
      <c r="T794" s="29"/>
      <c r="U794" s="29"/>
      <c r="V794" s="29"/>
      <c r="W794" s="29"/>
      <c r="X794" s="29"/>
      <c r="Y794" s="29"/>
      <c r="Z794" s="29"/>
      <c r="AA794" s="29"/>
      <c r="AB794" s="29"/>
      <c r="AC794" s="31"/>
      <c r="AD794" s="29"/>
      <c r="AE794" s="29"/>
      <c r="AF794" s="29"/>
      <c r="AG794" s="31"/>
      <c r="AH794" s="29"/>
      <c r="AI794" s="32"/>
      <c r="AJ794" s="35"/>
      <c r="AK794" s="35"/>
      <c r="AL794" s="35"/>
      <c r="AM794" s="35"/>
    </row>
    <row r="795" spans="2:39" x14ac:dyDescent="0.25">
      <c r="B795" s="37"/>
      <c r="C795" s="28"/>
      <c r="D795" s="28"/>
      <c r="E795" s="28"/>
      <c r="F795" s="29"/>
      <c r="G795" s="29"/>
      <c r="H795" s="30"/>
      <c r="I795" s="28"/>
      <c r="J795" s="29"/>
      <c r="K795" s="29"/>
      <c r="L795" s="29"/>
      <c r="M795" s="29"/>
      <c r="N795" s="29"/>
      <c r="O795" s="29"/>
      <c r="P795" s="29"/>
      <c r="Q795" s="29"/>
      <c r="R795" s="29"/>
      <c r="S795" s="31"/>
      <c r="T795" s="29"/>
      <c r="U795" s="29"/>
      <c r="V795" s="29"/>
      <c r="W795" s="29"/>
      <c r="X795" s="29"/>
      <c r="Y795" s="29"/>
      <c r="Z795" s="29"/>
      <c r="AA795" s="29"/>
      <c r="AB795" s="29"/>
      <c r="AC795" s="31"/>
      <c r="AD795" s="29"/>
      <c r="AE795" s="29"/>
      <c r="AF795" s="29"/>
      <c r="AG795" s="31"/>
      <c r="AH795" s="29"/>
      <c r="AI795" s="32"/>
      <c r="AJ795" s="35"/>
      <c r="AK795" s="35"/>
      <c r="AL795" s="35"/>
      <c r="AM795" s="35"/>
    </row>
    <row r="796" spans="2:39" x14ac:dyDescent="0.25">
      <c r="B796" s="37"/>
      <c r="C796" s="28"/>
      <c r="D796" s="28"/>
      <c r="E796" s="28"/>
      <c r="F796" s="29"/>
      <c r="G796" s="29"/>
      <c r="H796" s="30"/>
      <c r="I796" s="28"/>
      <c r="J796" s="29"/>
      <c r="K796" s="29"/>
      <c r="L796" s="29"/>
      <c r="M796" s="29"/>
      <c r="N796" s="29"/>
      <c r="O796" s="29"/>
      <c r="P796" s="29"/>
      <c r="Q796" s="29"/>
      <c r="R796" s="29"/>
      <c r="S796" s="31"/>
      <c r="T796" s="29"/>
      <c r="U796" s="29"/>
      <c r="V796" s="29"/>
      <c r="W796" s="29"/>
      <c r="X796" s="29"/>
      <c r="Y796" s="29"/>
      <c r="Z796" s="29"/>
      <c r="AA796" s="29"/>
      <c r="AB796" s="29"/>
      <c r="AC796" s="31"/>
      <c r="AD796" s="29"/>
      <c r="AE796" s="29"/>
      <c r="AF796" s="29"/>
      <c r="AG796" s="31"/>
      <c r="AH796" s="29"/>
      <c r="AI796" s="32"/>
      <c r="AJ796" s="35"/>
      <c r="AK796" s="35"/>
      <c r="AL796" s="35"/>
      <c r="AM796" s="35"/>
    </row>
    <row r="797" spans="2:39" x14ac:dyDescent="0.25">
      <c r="B797" s="37"/>
      <c r="C797" s="28"/>
      <c r="D797" s="28"/>
      <c r="E797" s="28"/>
      <c r="F797" s="29"/>
      <c r="G797" s="29"/>
      <c r="H797" s="30"/>
      <c r="I797" s="28"/>
      <c r="J797" s="29"/>
      <c r="K797" s="29"/>
      <c r="L797" s="29"/>
      <c r="M797" s="29"/>
      <c r="N797" s="29"/>
      <c r="O797" s="29"/>
      <c r="P797" s="29"/>
      <c r="Q797" s="29"/>
      <c r="R797" s="29"/>
      <c r="S797" s="31"/>
      <c r="T797" s="29"/>
      <c r="U797" s="29"/>
      <c r="V797" s="29"/>
      <c r="W797" s="29"/>
      <c r="X797" s="29"/>
      <c r="Y797" s="29"/>
      <c r="Z797" s="29"/>
      <c r="AA797" s="29"/>
      <c r="AB797" s="29"/>
      <c r="AC797" s="31"/>
      <c r="AD797" s="29"/>
      <c r="AE797" s="29"/>
      <c r="AF797" s="29"/>
      <c r="AG797" s="31"/>
      <c r="AH797" s="29"/>
      <c r="AI797" s="32"/>
      <c r="AJ797" s="35"/>
      <c r="AK797" s="35"/>
      <c r="AL797" s="35"/>
      <c r="AM797" s="35"/>
    </row>
    <row r="798" spans="2:39" x14ac:dyDescent="0.25">
      <c r="B798" s="37"/>
      <c r="C798" s="28"/>
      <c r="D798" s="28"/>
      <c r="E798" s="28"/>
      <c r="F798" s="29"/>
      <c r="G798" s="29"/>
      <c r="H798" s="30"/>
      <c r="I798" s="28"/>
      <c r="J798" s="29"/>
      <c r="K798" s="29"/>
      <c r="L798" s="29"/>
      <c r="M798" s="29"/>
      <c r="N798" s="29"/>
      <c r="O798" s="29"/>
      <c r="P798" s="29"/>
      <c r="Q798" s="29"/>
      <c r="R798" s="29"/>
      <c r="S798" s="31"/>
      <c r="T798" s="29"/>
      <c r="U798" s="29"/>
      <c r="V798" s="29"/>
      <c r="W798" s="29"/>
      <c r="X798" s="29"/>
      <c r="Y798" s="29"/>
      <c r="Z798" s="29"/>
      <c r="AA798" s="29"/>
      <c r="AB798" s="29"/>
      <c r="AC798" s="31"/>
      <c r="AD798" s="29"/>
      <c r="AE798" s="29"/>
      <c r="AF798" s="29"/>
      <c r="AG798" s="31"/>
      <c r="AH798" s="29"/>
      <c r="AI798" s="32"/>
      <c r="AJ798" s="35"/>
      <c r="AK798" s="35"/>
      <c r="AL798" s="35"/>
      <c r="AM798" s="35"/>
    </row>
    <row r="799" spans="2:39" x14ac:dyDescent="0.25">
      <c r="B799" s="37"/>
      <c r="C799" s="28"/>
      <c r="D799" s="28"/>
      <c r="E799" s="28"/>
      <c r="F799" s="29"/>
      <c r="G799" s="29"/>
      <c r="H799" s="30"/>
      <c r="I799" s="28"/>
      <c r="J799" s="29"/>
      <c r="K799" s="29"/>
      <c r="L799" s="29"/>
      <c r="M799" s="29"/>
      <c r="N799" s="29"/>
      <c r="O799" s="29"/>
      <c r="P799" s="29"/>
      <c r="Q799" s="29"/>
      <c r="R799" s="29"/>
      <c r="S799" s="31"/>
      <c r="T799" s="29"/>
      <c r="U799" s="29"/>
      <c r="V799" s="29"/>
      <c r="W799" s="29"/>
      <c r="X799" s="29"/>
      <c r="Y799" s="29"/>
      <c r="Z799" s="29"/>
      <c r="AA799" s="29"/>
      <c r="AB799" s="29"/>
      <c r="AC799" s="31"/>
      <c r="AD799" s="29"/>
      <c r="AE799" s="29"/>
      <c r="AF799" s="29"/>
      <c r="AG799" s="31"/>
      <c r="AH799" s="29"/>
      <c r="AI799" s="32"/>
      <c r="AJ799" s="35"/>
      <c r="AK799" s="35"/>
      <c r="AL799" s="35"/>
      <c r="AM799" s="35"/>
    </row>
    <row r="800" spans="2:39" x14ac:dyDescent="0.25">
      <c r="B800" s="37"/>
      <c r="C800" s="28"/>
      <c r="D800" s="28"/>
      <c r="E800" s="28"/>
      <c r="F800" s="29"/>
      <c r="G800" s="29"/>
      <c r="H800" s="30"/>
      <c r="I800" s="28"/>
      <c r="J800" s="29"/>
      <c r="K800" s="29"/>
      <c r="L800" s="29"/>
      <c r="M800" s="29"/>
      <c r="N800" s="29"/>
      <c r="O800" s="29"/>
      <c r="P800" s="29"/>
      <c r="Q800" s="29"/>
      <c r="R800" s="29"/>
      <c r="S800" s="31"/>
      <c r="T800" s="29"/>
      <c r="U800" s="29"/>
      <c r="V800" s="29"/>
      <c r="W800" s="29"/>
      <c r="X800" s="29"/>
      <c r="Y800" s="29"/>
      <c r="Z800" s="29"/>
      <c r="AA800" s="29"/>
      <c r="AB800" s="29"/>
      <c r="AC800" s="31"/>
      <c r="AD800" s="29"/>
      <c r="AE800" s="29"/>
      <c r="AF800" s="29"/>
      <c r="AG800" s="31"/>
      <c r="AH800" s="29"/>
      <c r="AI800" s="32"/>
      <c r="AJ800" s="35"/>
      <c r="AK800" s="35"/>
      <c r="AL800" s="35"/>
      <c r="AM800" s="35"/>
    </row>
    <row r="801" spans="2:39" x14ac:dyDescent="0.25">
      <c r="B801" s="37"/>
      <c r="C801" s="28"/>
      <c r="D801" s="28"/>
      <c r="E801" s="28"/>
      <c r="F801" s="29"/>
      <c r="G801" s="29"/>
      <c r="H801" s="30"/>
      <c r="I801" s="28"/>
      <c r="J801" s="29"/>
      <c r="K801" s="29"/>
      <c r="L801" s="29"/>
      <c r="M801" s="29"/>
      <c r="N801" s="29"/>
      <c r="O801" s="29"/>
      <c r="P801" s="29"/>
      <c r="Q801" s="29"/>
      <c r="R801" s="29"/>
      <c r="S801" s="31"/>
      <c r="T801" s="29"/>
      <c r="U801" s="29"/>
      <c r="V801" s="29"/>
      <c r="W801" s="29"/>
      <c r="X801" s="29"/>
      <c r="Y801" s="29"/>
      <c r="Z801" s="29"/>
      <c r="AA801" s="29"/>
      <c r="AB801" s="29"/>
      <c r="AC801" s="31"/>
      <c r="AD801" s="29"/>
      <c r="AE801" s="29"/>
      <c r="AF801" s="29"/>
      <c r="AG801" s="31"/>
      <c r="AH801" s="29"/>
      <c r="AI801" s="32"/>
      <c r="AJ801" s="35"/>
      <c r="AK801" s="35"/>
      <c r="AL801" s="35"/>
      <c r="AM801" s="35"/>
    </row>
  </sheetData>
  <sheetProtection algorithmName="SHA-512" hashValue="IBxO3ZIRV7JH7NmHTlZp1D4HG8Fe+rxtVTmRw3kUC0njUt2R+hpazkMAwAnIUc2GPQFjevlx7mFuKBcjZIShyA==" saltValue="V99qJ5XN64cbHPWgw1nMMw==" spinCount="100000" sheet="1" objects="1" scenarios="1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0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C4" zoomScale="175" zoomScaleNormal="175" workbookViewId="0">
      <selection activeCell="C1" sqref="C1"/>
    </sheetView>
  </sheetViews>
  <sheetFormatPr defaultRowHeight="14.4" x14ac:dyDescent="0.3"/>
  <sheetData/>
  <sheetProtection algorithmName="SHA-512" hashValue="OPG6tGkEnVGEPlO/1TcQueDHsGC3BqZvJHXhM2u/Y7o0W87OmSbsNlvaB0EnpjPRSMCcNEIMy6pDsys41Ujjbw==" saltValue="GUsn7oi6kLpUokWHTN4N7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51D7D-16B6-473F-A04A-851977FCA9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Table001 (Page 1-6)</vt:lpstr>
      <vt:lpstr>Input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Hasan</dc:creator>
  <cp:lastModifiedBy>Daniel Wofford</cp:lastModifiedBy>
  <dcterms:created xsi:type="dcterms:W3CDTF">2015-06-05T18:17:20Z</dcterms:created>
  <dcterms:modified xsi:type="dcterms:W3CDTF">2025-10-20T20:07:11Z</dcterms:modified>
</cp:coreProperties>
</file>