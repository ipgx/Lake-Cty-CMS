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9207DE5A-2B63-4846-BDC3-A2087FE2BEC9}" xr6:coauthVersionLast="47" xr6:coauthVersionMax="47" xr10:uidLastSave="{00000000-0000-0000-0000-000000000000}"/>
  <workbookProtection workbookAlgorithmName="SHA-512" workbookHashValue="154t90f36lntQg9yEHPrORrosLImJhw/3nBwMXRRqqYyLFLG4ZGZM8qxyxKblpQk3fEqPIjgNyUHsQc5p9EEXQ==" workbookSaltValue="5UPT+WIQ7VMK9FH0oaF9WQ==" workbookSpinCount="100000" lockStructure="1"/>
  <bookViews>
    <workbookView xWindow="-108" yWindow="-108" windowWidth="23256" windowHeight="12456" activeTab="1" xr2:uid="{00000000-000D-0000-FFFF-FFFF00000000}"/>
  </bookViews>
  <sheets>
    <sheet name="Sheet1" sheetId="1" r:id="rId1"/>
    <sheet name="Input" sheetId="2" r:id="rId2"/>
  </sheets>
  <definedNames>
    <definedName name="_xlnm._FilterDatabase" localSheetId="0" hidden="1">Sheet1!$A$2:$AM$2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8" i="2" l="1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9" i="2"/>
  <c r="B10" i="2"/>
  <c r="C10" i="2"/>
  <c r="D10" i="2"/>
  <c r="E10" i="2"/>
  <c r="F10" i="2"/>
  <c r="L10" i="2"/>
  <c r="R10" i="2"/>
  <c r="S10" i="2"/>
  <c r="T10" i="2"/>
  <c r="U10" i="2"/>
  <c r="X10" i="2"/>
  <c r="AK10" i="2"/>
  <c r="AL10" i="2"/>
  <c r="AM10" i="2"/>
  <c r="B11" i="2"/>
  <c r="C11" i="2"/>
  <c r="D11" i="2"/>
  <c r="E11" i="2"/>
  <c r="F11" i="2"/>
  <c r="L11" i="2"/>
  <c r="R11" i="2"/>
  <c r="S11" i="2"/>
  <c r="T11" i="2"/>
  <c r="U11" i="2"/>
  <c r="X11" i="2"/>
  <c r="AK11" i="2"/>
  <c r="AL11" i="2"/>
  <c r="AM11" i="2"/>
  <c r="B12" i="2"/>
  <c r="C12" i="2"/>
  <c r="D12" i="2"/>
  <c r="E12" i="2"/>
  <c r="F12" i="2"/>
  <c r="L12" i="2"/>
  <c r="R12" i="2"/>
  <c r="S12" i="2"/>
  <c r="T12" i="2"/>
  <c r="U12" i="2"/>
  <c r="X12" i="2"/>
  <c r="AK12" i="2"/>
  <c r="AL12" i="2"/>
  <c r="AM12" i="2"/>
  <c r="B13" i="2"/>
  <c r="C13" i="2"/>
  <c r="D13" i="2"/>
  <c r="E13" i="2"/>
  <c r="F13" i="2"/>
  <c r="L13" i="2"/>
  <c r="R13" i="2"/>
  <c r="S13" i="2"/>
  <c r="T13" i="2"/>
  <c r="U13" i="2"/>
  <c r="X13" i="2"/>
  <c r="AK13" i="2"/>
  <c r="AL13" i="2"/>
  <c r="AM13" i="2"/>
  <c r="B14" i="2"/>
  <c r="C14" i="2"/>
  <c r="D14" i="2"/>
  <c r="E14" i="2"/>
  <c r="F14" i="2"/>
  <c r="L14" i="2"/>
  <c r="R14" i="2"/>
  <c r="S14" i="2"/>
  <c r="T14" i="2"/>
  <c r="U14" i="2"/>
  <c r="X14" i="2"/>
  <c r="AK14" i="2"/>
  <c r="AL14" i="2"/>
  <c r="AM14" i="2"/>
  <c r="B15" i="2"/>
  <c r="C15" i="2"/>
  <c r="D15" i="2"/>
  <c r="E15" i="2"/>
  <c r="F15" i="2"/>
  <c r="L15" i="2"/>
  <c r="R15" i="2"/>
  <c r="S15" i="2"/>
  <c r="T15" i="2"/>
  <c r="U15" i="2"/>
  <c r="X15" i="2"/>
  <c r="AK15" i="2"/>
  <c r="AL15" i="2"/>
  <c r="AM15" i="2"/>
  <c r="B16" i="2"/>
  <c r="C16" i="2"/>
  <c r="D16" i="2"/>
  <c r="E16" i="2"/>
  <c r="F16" i="2"/>
  <c r="L16" i="2"/>
  <c r="R16" i="2"/>
  <c r="S16" i="2"/>
  <c r="T16" i="2"/>
  <c r="U16" i="2"/>
  <c r="X16" i="2"/>
  <c r="AK16" i="2"/>
  <c r="AL16" i="2"/>
  <c r="AM16" i="2"/>
  <c r="B17" i="2"/>
  <c r="C17" i="2"/>
  <c r="D17" i="2"/>
  <c r="E17" i="2"/>
  <c r="F17" i="2"/>
  <c r="L17" i="2"/>
  <c r="R17" i="2"/>
  <c r="S17" i="2"/>
  <c r="T17" i="2"/>
  <c r="U17" i="2"/>
  <c r="X17" i="2"/>
  <c r="AK17" i="2"/>
  <c r="AL17" i="2"/>
  <c r="AM17" i="2"/>
  <c r="B18" i="2"/>
  <c r="C18" i="2"/>
  <c r="D18" i="2"/>
  <c r="E18" i="2"/>
  <c r="F18" i="2"/>
  <c r="L18" i="2"/>
  <c r="R18" i="2"/>
  <c r="S18" i="2"/>
  <c r="T18" i="2"/>
  <c r="U18" i="2"/>
  <c r="X18" i="2"/>
  <c r="AK18" i="2"/>
  <c r="AL18" i="2"/>
  <c r="AM18" i="2"/>
  <c r="B19" i="2"/>
  <c r="C19" i="2"/>
  <c r="D19" i="2"/>
  <c r="E19" i="2"/>
  <c r="F19" i="2"/>
  <c r="L19" i="2"/>
  <c r="R19" i="2"/>
  <c r="S19" i="2"/>
  <c r="T19" i="2"/>
  <c r="U19" i="2"/>
  <c r="X19" i="2"/>
  <c r="AK19" i="2"/>
  <c r="AL19" i="2"/>
  <c r="AM19" i="2"/>
  <c r="B20" i="2"/>
  <c r="C20" i="2"/>
  <c r="D20" i="2"/>
  <c r="E20" i="2"/>
  <c r="F20" i="2"/>
  <c r="L20" i="2"/>
  <c r="R20" i="2"/>
  <c r="S20" i="2"/>
  <c r="T20" i="2"/>
  <c r="U20" i="2"/>
  <c r="X20" i="2"/>
  <c r="AK20" i="2"/>
  <c r="AL20" i="2"/>
  <c r="AM20" i="2"/>
  <c r="B21" i="2"/>
  <c r="C21" i="2"/>
  <c r="D21" i="2"/>
  <c r="E21" i="2"/>
  <c r="F21" i="2"/>
  <c r="L21" i="2"/>
  <c r="R21" i="2"/>
  <c r="S21" i="2"/>
  <c r="T21" i="2"/>
  <c r="U21" i="2"/>
  <c r="X21" i="2"/>
  <c r="AK21" i="2"/>
  <c r="AL21" i="2"/>
  <c r="AM21" i="2"/>
  <c r="B22" i="2"/>
  <c r="C22" i="2"/>
  <c r="D22" i="2"/>
  <c r="E22" i="2"/>
  <c r="F22" i="2"/>
  <c r="L22" i="2"/>
  <c r="R22" i="2"/>
  <c r="S22" i="2"/>
  <c r="T22" i="2"/>
  <c r="U22" i="2"/>
  <c r="X22" i="2"/>
  <c r="AK22" i="2"/>
  <c r="AL22" i="2"/>
  <c r="AM22" i="2"/>
  <c r="B23" i="2"/>
  <c r="C23" i="2"/>
  <c r="D23" i="2"/>
  <c r="E23" i="2"/>
  <c r="F23" i="2"/>
  <c r="L23" i="2"/>
  <c r="R23" i="2"/>
  <c r="S23" i="2"/>
  <c r="T23" i="2"/>
  <c r="U23" i="2"/>
  <c r="X23" i="2"/>
  <c r="AK23" i="2"/>
  <c r="AL23" i="2"/>
  <c r="AM23" i="2"/>
  <c r="B24" i="2"/>
  <c r="C24" i="2"/>
  <c r="D24" i="2"/>
  <c r="E24" i="2"/>
  <c r="F24" i="2"/>
  <c r="L24" i="2"/>
  <c r="R24" i="2"/>
  <c r="S24" i="2"/>
  <c r="T24" i="2"/>
  <c r="U24" i="2"/>
  <c r="X24" i="2"/>
  <c r="AK24" i="2"/>
  <c r="AL24" i="2"/>
  <c r="AM24" i="2"/>
  <c r="B25" i="2"/>
  <c r="C25" i="2"/>
  <c r="D25" i="2"/>
  <c r="E25" i="2"/>
  <c r="F25" i="2"/>
  <c r="L25" i="2"/>
  <c r="R25" i="2"/>
  <c r="S25" i="2"/>
  <c r="T25" i="2"/>
  <c r="U25" i="2"/>
  <c r="X25" i="2"/>
  <c r="AK25" i="2"/>
  <c r="AL25" i="2"/>
  <c r="AM25" i="2"/>
  <c r="B26" i="2"/>
  <c r="C26" i="2"/>
  <c r="D26" i="2"/>
  <c r="E26" i="2"/>
  <c r="F26" i="2"/>
  <c r="L26" i="2"/>
  <c r="R26" i="2"/>
  <c r="S26" i="2"/>
  <c r="T26" i="2"/>
  <c r="U26" i="2"/>
  <c r="X26" i="2"/>
  <c r="AK26" i="2"/>
  <c r="AL26" i="2"/>
  <c r="AM26" i="2"/>
  <c r="B27" i="2"/>
  <c r="C27" i="2"/>
  <c r="D27" i="2"/>
  <c r="E27" i="2"/>
  <c r="F27" i="2"/>
  <c r="L27" i="2"/>
  <c r="R27" i="2"/>
  <c r="S27" i="2"/>
  <c r="T27" i="2"/>
  <c r="U27" i="2"/>
  <c r="X27" i="2"/>
  <c r="AK27" i="2"/>
  <c r="AL27" i="2"/>
  <c r="AM27" i="2"/>
  <c r="B28" i="2"/>
  <c r="C28" i="2"/>
  <c r="D28" i="2"/>
  <c r="E28" i="2"/>
  <c r="F28" i="2"/>
  <c r="L28" i="2"/>
  <c r="R28" i="2"/>
  <c r="S28" i="2"/>
  <c r="T28" i="2"/>
  <c r="U28" i="2"/>
  <c r="X28" i="2"/>
  <c r="AK28" i="2"/>
  <c r="AL28" i="2"/>
  <c r="AM28" i="2"/>
  <c r="B29" i="2"/>
  <c r="C29" i="2"/>
  <c r="D29" i="2"/>
  <c r="E29" i="2"/>
  <c r="F29" i="2"/>
  <c r="L29" i="2"/>
  <c r="R29" i="2"/>
  <c r="S29" i="2"/>
  <c r="T29" i="2"/>
  <c r="U29" i="2"/>
  <c r="X29" i="2"/>
  <c r="AK29" i="2"/>
  <c r="AL29" i="2"/>
  <c r="AM29" i="2"/>
  <c r="B30" i="2"/>
  <c r="C30" i="2"/>
  <c r="D30" i="2"/>
  <c r="E30" i="2"/>
  <c r="F30" i="2"/>
  <c r="L30" i="2"/>
  <c r="R30" i="2"/>
  <c r="S30" i="2"/>
  <c r="T30" i="2"/>
  <c r="U30" i="2"/>
  <c r="X30" i="2"/>
  <c r="AK30" i="2"/>
  <c r="AL30" i="2"/>
  <c r="AM30" i="2"/>
  <c r="B31" i="2"/>
  <c r="C31" i="2"/>
  <c r="D31" i="2"/>
  <c r="E31" i="2"/>
  <c r="F31" i="2"/>
  <c r="L31" i="2"/>
  <c r="R31" i="2"/>
  <c r="S31" i="2"/>
  <c r="T31" i="2"/>
  <c r="U31" i="2"/>
  <c r="X31" i="2"/>
  <c r="AK31" i="2"/>
  <c r="AL31" i="2"/>
  <c r="AM31" i="2"/>
  <c r="B32" i="2"/>
  <c r="C32" i="2"/>
  <c r="D32" i="2"/>
  <c r="E32" i="2"/>
  <c r="F32" i="2"/>
  <c r="L32" i="2"/>
  <c r="R32" i="2"/>
  <c r="S32" i="2"/>
  <c r="T32" i="2"/>
  <c r="U32" i="2"/>
  <c r="X32" i="2"/>
  <c r="AK32" i="2"/>
  <c r="AL32" i="2"/>
  <c r="AM32" i="2"/>
  <c r="B33" i="2"/>
  <c r="C33" i="2"/>
  <c r="D33" i="2"/>
  <c r="E33" i="2"/>
  <c r="F33" i="2"/>
  <c r="L33" i="2"/>
  <c r="R33" i="2"/>
  <c r="S33" i="2"/>
  <c r="T33" i="2"/>
  <c r="U33" i="2"/>
  <c r="X33" i="2"/>
  <c r="AK33" i="2"/>
  <c r="AL33" i="2"/>
  <c r="AM33" i="2"/>
  <c r="B34" i="2"/>
  <c r="C34" i="2"/>
  <c r="D34" i="2"/>
  <c r="E34" i="2"/>
  <c r="F34" i="2"/>
  <c r="L34" i="2"/>
  <c r="R34" i="2"/>
  <c r="S34" i="2"/>
  <c r="T34" i="2"/>
  <c r="U34" i="2"/>
  <c r="X34" i="2"/>
  <c r="AK34" i="2"/>
  <c r="AL34" i="2"/>
  <c r="AM34" i="2"/>
  <c r="B35" i="2"/>
  <c r="C35" i="2"/>
  <c r="D35" i="2"/>
  <c r="E35" i="2"/>
  <c r="F35" i="2"/>
  <c r="L35" i="2"/>
  <c r="R35" i="2"/>
  <c r="S35" i="2"/>
  <c r="T35" i="2"/>
  <c r="U35" i="2"/>
  <c r="X35" i="2"/>
  <c r="AK35" i="2"/>
  <c r="AL35" i="2"/>
  <c r="AM35" i="2"/>
  <c r="B36" i="2"/>
  <c r="C36" i="2"/>
  <c r="D36" i="2"/>
  <c r="E36" i="2"/>
  <c r="F36" i="2"/>
  <c r="L36" i="2"/>
  <c r="R36" i="2"/>
  <c r="S36" i="2"/>
  <c r="T36" i="2"/>
  <c r="U36" i="2"/>
  <c r="X36" i="2"/>
  <c r="AK36" i="2"/>
  <c r="AL36" i="2"/>
  <c r="AM36" i="2"/>
  <c r="B37" i="2"/>
  <c r="C37" i="2"/>
  <c r="D37" i="2"/>
  <c r="E37" i="2"/>
  <c r="F37" i="2"/>
  <c r="L37" i="2"/>
  <c r="R37" i="2"/>
  <c r="S37" i="2"/>
  <c r="T37" i="2"/>
  <c r="U37" i="2"/>
  <c r="X37" i="2"/>
  <c r="AK37" i="2"/>
  <c r="AL37" i="2"/>
  <c r="AM37" i="2"/>
  <c r="B38" i="2"/>
  <c r="C38" i="2"/>
  <c r="D38" i="2"/>
  <c r="E38" i="2"/>
  <c r="F38" i="2"/>
  <c r="L38" i="2"/>
  <c r="R38" i="2"/>
  <c r="S38" i="2"/>
  <c r="T38" i="2"/>
  <c r="U38" i="2"/>
  <c r="X38" i="2"/>
  <c r="AK38" i="2"/>
  <c r="AL38" i="2"/>
  <c r="AM38" i="2"/>
  <c r="B39" i="2"/>
  <c r="C39" i="2"/>
  <c r="D39" i="2"/>
  <c r="E39" i="2"/>
  <c r="F39" i="2"/>
  <c r="L39" i="2"/>
  <c r="R39" i="2"/>
  <c r="S39" i="2"/>
  <c r="T39" i="2"/>
  <c r="U39" i="2"/>
  <c r="X39" i="2"/>
  <c r="AK39" i="2"/>
  <c r="AL39" i="2"/>
  <c r="AM39" i="2"/>
  <c r="B40" i="2"/>
  <c r="C40" i="2"/>
  <c r="D40" i="2"/>
  <c r="E40" i="2"/>
  <c r="F40" i="2"/>
  <c r="L40" i="2"/>
  <c r="R40" i="2"/>
  <c r="S40" i="2"/>
  <c r="T40" i="2"/>
  <c r="U40" i="2"/>
  <c r="X40" i="2"/>
  <c r="AK40" i="2"/>
  <c r="AL40" i="2"/>
  <c r="AM40" i="2"/>
  <c r="B41" i="2"/>
  <c r="C41" i="2"/>
  <c r="D41" i="2"/>
  <c r="E41" i="2"/>
  <c r="F41" i="2"/>
  <c r="L41" i="2"/>
  <c r="R41" i="2"/>
  <c r="S41" i="2"/>
  <c r="T41" i="2"/>
  <c r="U41" i="2"/>
  <c r="X41" i="2"/>
  <c r="AK41" i="2"/>
  <c r="AL41" i="2"/>
  <c r="AM41" i="2"/>
  <c r="B42" i="2"/>
  <c r="C42" i="2"/>
  <c r="D42" i="2"/>
  <c r="E42" i="2"/>
  <c r="F42" i="2"/>
  <c r="L42" i="2"/>
  <c r="R42" i="2"/>
  <c r="S42" i="2"/>
  <c r="T42" i="2"/>
  <c r="U42" i="2"/>
  <c r="X42" i="2"/>
  <c r="AK42" i="2"/>
  <c r="AL42" i="2"/>
  <c r="AM42" i="2"/>
  <c r="B43" i="2"/>
  <c r="C43" i="2"/>
  <c r="D43" i="2"/>
  <c r="E43" i="2"/>
  <c r="F43" i="2"/>
  <c r="L43" i="2"/>
  <c r="R43" i="2"/>
  <c r="S43" i="2"/>
  <c r="T43" i="2"/>
  <c r="U43" i="2"/>
  <c r="X43" i="2"/>
  <c r="AK43" i="2"/>
  <c r="AL43" i="2"/>
  <c r="AM43" i="2"/>
  <c r="B44" i="2"/>
  <c r="C44" i="2"/>
  <c r="D44" i="2"/>
  <c r="E44" i="2"/>
  <c r="F44" i="2"/>
  <c r="L44" i="2"/>
  <c r="R44" i="2"/>
  <c r="S44" i="2"/>
  <c r="T44" i="2"/>
  <c r="U44" i="2"/>
  <c r="X44" i="2"/>
  <c r="AK44" i="2"/>
  <c r="AL44" i="2"/>
  <c r="AM44" i="2"/>
  <c r="B45" i="2"/>
  <c r="C45" i="2"/>
  <c r="D45" i="2"/>
  <c r="E45" i="2"/>
  <c r="F45" i="2"/>
  <c r="L45" i="2"/>
  <c r="R45" i="2"/>
  <c r="S45" i="2"/>
  <c r="T45" i="2"/>
  <c r="U45" i="2"/>
  <c r="X45" i="2"/>
  <c r="AK45" i="2"/>
  <c r="AL45" i="2"/>
  <c r="AM45" i="2"/>
  <c r="B46" i="2"/>
  <c r="C46" i="2"/>
  <c r="D46" i="2"/>
  <c r="E46" i="2"/>
  <c r="F46" i="2"/>
  <c r="L46" i="2"/>
  <c r="R46" i="2"/>
  <c r="S46" i="2"/>
  <c r="T46" i="2"/>
  <c r="U46" i="2"/>
  <c r="X46" i="2"/>
  <c r="AK46" i="2"/>
  <c r="AL46" i="2"/>
  <c r="AM46" i="2"/>
  <c r="B47" i="2"/>
  <c r="C47" i="2"/>
  <c r="D47" i="2"/>
  <c r="E47" i="2"/>
  <c r="F47" i="2"/>
  <c r="L47" i="2"/>
  <c r="R47" i="2"/>
  <c r="S47" i="2"/>
  <c r="T47" i="2"/>
  <c r="U47" i="2"/>
  <c r="X47" i="2"/>
  <c r="AK47" i="2"/>
  <c r="AL47" i="2"/>
  <c r="AM47" i="2"/>
  <c r="B48" i="2"/>
  <c r="C48" i="2"/>
  <c r="D48" i="2"/>
  <c r="E48" i="2"/>
  <c r="F48" i="2"/>
  <c r="L48" i="2"/>
  <c r="R48" i="2"/>
  <c r="S48" i="2"/>
  <c r="T48" i="2"/>
  <c r="U48" i="2"/>
  <c r="X48" i="2"/>
  <c r="AK48" i="2"/>
  <c r="AL48" i="2"/>
  <c r="AM48" i="2"/>
  <c r="B49" i="2"/>
  <c r="C49" i="2"/>
  <c r="D49" i="2"/>
  <c r="E49" i="2"/>
  <c r="F49" i="2"/>
  <c r="L49" i="2"/>
  <c r="R49" i="2"/>
  <c r="S49" i="2"/>
  <c r="T49" i="2"/>
  <c r="U49" i="2"/>
  <c r="X49" i="2"/>
  <c r="AK49" i="2"/>
  <c r="AL49" i="2"/>
  <c r="AM49" i="2"/>
  <c r="B50" i="2"/>
  <c r="C50" i="2"/>
  <c r="D50" i="2"/>
  <c r="E50" i="2"/>
  <c r="F50" i="2"/>
  <c r="L50" i="2"/>
  <c r="R50" i="2"/>
  <c r="S50" i="2"/>
  <c r="T50" i="2"/>
  <c r="U50" i="2"/>
  <c r="X50" i="2"/>
  <c r="AK50" i="2"/>
  <c r="AL50" i="2"/>
  <c r="AM50" i="2"/>
  <c r="B51" i="2"/>
  <c r="C51" i="2"/>
  <c r="D51" i="2"/>
  <c r="E51" i="2"/>
  <c r="F51" i="2"/>
  <c r="L51" i="2"/>
  <c r="R51" i="2"/>
  <c r="S51" i="2"/>
  <c r="T51" i="2"/>
  <c r="U51" i="2"/>
  <c r="X51" i="2"/>
  <c r="AK51" i="2"/>
  <c r="AL51" i="2"/>
  <c r="AM51" i="2"/>
  <c r="B52" i="2"/>
  <c r="C52" i="2"/>
  <c r="D52" i="2"/>
  <c r="E52" i="2"/>
  <c r="F52" i="2"/>
  <c r="L52" i="2"/>
  <c r="R52" i="2"/>
  <c r="S52" i="2"/>
  <c r="T52" i="2"/>
  <c r="U52" i="2"/>
  <c r="X52" i="2"/>
  <c r="AK52" i="2"/>
  <c r="AL52" i="2"/>
  <c r="AM52" i="2"/>
  <c r="B53" i="2"/>
  <c r="C53" i="2"/>
  <c r="D53" i="2"/>
  <c r="E53" i="2"/>
  <c r="F53" i="2"/>
  <c r="L53" i="2"/>
  <c r="R53" i="2"/>
  <c r="S53" i="2"/>
  <c r="T53" i="2"/>
  <c r="U53" i="2"/>
  <c r="X53" i="2"/>
  <c r="AK53" i="2"/>
  <c r="AL53" i="2"/>
  <c r="AM53" i="2"/>
  <c r="B54" i="2"/>
  <c r="C54" i="2"/>
  <c r="D54" i="2"/>
  <c r="E54" i="2"/>
  <c r="F54" i="2"/>
  <c r="L54" i="2"/>
  <c r="R54" i="2"/>
  <c r="S54" i="2"/>
  <c r="T54" i="2"/>
  <c r="U54" i="2"/>
  <c r="X54" i="2"/>
  <c r="AK54" i="2"/>
  <c r="AL54" i="2"/>
  <c r="AM54" i="2"/>
  <c r="B55" i="2"/>
  <c r="C55" i="2"/>
  <c r="D55" i="2"/>
  <c r="E55" i="2"/>
  <c r="F55" i="2"/>
  <c r="L55" i="2"/>
  <c r="R55" i="2"/>
  <c r="S55" i="2"/>
  <c r="T55" i="2"/>
  <c r="U55" i="2"/>
  <c r="X55" i="2"/>
  <c r="AK55" i="2"/>
  <c r="AL55" i="2"/>
  <c r="AM55" i="2"/>
  <c r="B56" i="2"/>
  <c r="C56" i="2"/>
  <c r="D56" i="2"/>
  <c r="E56" i="2"/>
  <c r="F56" i="2"/>
  <c r="L56" i="2"/>
  <c r="R56" i="2"/>
  <c r="S56" i="2"/>
  <c r="T56" i="2"/>
  <c r="U56" i="2"/>
  <c r="X56" i="2"/>
  <c r="AK56" i="2"/>
  <c r="AL56" i="2"/>
  <c r="AM56" i="2"/>
  <c r="B57" i="2"/>
  <c r="C57" i="2"/>
  <c r="D57" i="2"/>
  <c r="E57" i="2"/>
  <c r="F57" i="2"/>
  <c r="L57" i="2"/>
  <c r="R57" i="2"/>
  <c r="S57" i="2"/>
  <c r="T57" i="2"/>
  <c r="U57" i="2"/>
  <c r="X57" i="2"/>
  <c r="AK57" i="2"/>
  <c r="AL57" i="2"/>
  <c r="AM57" i="2"/>
  <c r="B58" i="2"/>
  <c r="C58" i="2"/>
  <c r="D58" i="2"/>
  <c r="E58" i="2"/>
  <c r="F58" i="2"/>
  <c r="L58" i="2"/>
  <c r="R58" i="2"/>
  <c r="S58" i="2"/>
  <c r="T58" i="2"/>
  <c r="U58" i="2"/>
  <c r="X58" i="2"/>
  <c r="AK58" i="2"/>
  <c r="AL58" i="2"/>
  <c r="AM58" i="2"/>
  <c r="B59" i="2"/>
  <c r="C59" i="2"/>
  <c r="D59" i="2"/>
  <c r="E59" i="2"/>
  <c r="F59" i="2"/>
  <c r="L59" i="2"/>
  <c r="R59" i="2"/>
  <c r="S59" i="2"/>
  <c r="T59" i="2"/>
  <c r="U59" i="2"/>
  <c r="X59" i="2"/>
  <c r="AK59" i="2"/>
  <c r="AL59" i="2"/>
  <c r="AM59" i="2"/>
  <c r="B60" i="2"/>
  <c r="C60" i="2"/>
  <c r="D60" i="2"/>
  <c r="E60" i="2"/>
  <c r="F60" i="2"/>
  <c r="L60" i="2"/>
  <c r="R60" i="2"/>
  <c r="S60" i="2"/>
  <c r="T60" i="2"/>
  <c r="U60" i="2"/>
  <c r="X60" i="2"/>
  <c r="AK60" i="2"/>
  <c r="AL60" i="2"/>
  <c r="AM60" i="2"/>
  <c r="B61" i="2"/>
  <c r="C61" i="2"/>
  <c r="D61" i="2"/>
  <c r="E61" i="2"/>
  <c r="F61" i="2"/>
  <c r="L61" i="2"/>
  <c r="R61" i="2"/>
  <c r="S61" i="2"/>
  <c r="T61" i="2"/>
  <c r="U61" i="2"/>
  <c r="X61" i="2"/>
  <c r="AK61" i="2"/>
  <c r="AL61" i="2"/>
  <c r="AM61" i="2"/>
  <c r="B62" i="2"/>
  <c r="C62" i="2"/>
  <c r="D62" i="2"/>
  <c r="E62" i="2"/>
  <c r="F62" i="2"/>
  <c r="L62" i="2"/>
  <c r="R62" i="2"/>
  <c r="S62" i="2"/>
  <c r="T62" i="2"/>
  <c r="U62" i="2"/>
  <c r="X62" i="2"/>
  <c r="AK62" i="2"/>
  <c r="AL62" i="2"/>
  <c r="AM62" i="2"/>
  <c r="B63" i="2"/>
  <c r="C63" i="2"/>
  <c r="D63" i="2"/>
  <c r="E63" i="2"/>
  <c r="F63" i="2"/>
  <c r="L63" i="2"/>
  <c r="R63" i="2"/>
  <c r="S63" i="2"/>
  <c r="T63" i="2"/>
  <c r="U63" i="2"/>
  <c r="X63" i="2"/>
  <c r="AK63" i="2"/>
  <c r="AL63" i="2"/>
  <c r="AM63" i="2"/>
  <c r="B64" i="2"/>
  <c r="C64" i="2"/>
  <c r="D64" i="2"/>
  <c r="E64" i="2"/>
  <c r="F64" i="2"/>
  <c r="L64" i="2"/>
  <c r="R64" i="2"/>
  <c r="S64" i="2"/>
  <c r="T64" i="2"/>
  <c r="U64" i="2"/>
  <c r="X64" i="2"/>
  <c r="AK64" i="2"/>
  <c r="AL64" i="2"/>
  <c r="AM64" i="2"/>
  <c r="B65" i="2"/>
  <c r="C65" i="2"/>
  <c r="D65" i="2"/>
  <c r="E65" i="2"/>
  <c r="F65" i="2"/>
  <c r="L65" i="2"/>
  <c r="R65" i="2"/>
  <c r="S65" i="2"/>
  <c r="T65" i="2"/>
  <c r="U65" i="2"/>
  <c r="X65" i="2"/>
  <c r="AK65" i="2"/>
  <c r="AL65" i="2"/>
  <c r="AM65" i="2"/>
  <c r="B66" i="2"/>
  <c r="C66" i="2"/>
  <c r="D66" i="2"/>
  <c r="E66" i="2"/>
  <c r="F66" i="2"/>
  <c r="L66" i="2"/>
  <c r="R66" i="2"/>
  <c r="S66" i="2"/>
  <c r="T66" i="2"/>
  <c r="U66" i="2"/>
  <c r="X66" i="2"/>
  <c r="AK66" i="2"/>
  <c r="AL66" i="2"/>
  <c r="AM66" i="2"/>
  <c r="B67" i="2"/>
  <c r="C67" i="2"/>
  <c r="D67" i="2"/>
  <c r="E67" i="2"/>
  <c r="F67" i="2"/>
  <c r="L67" i="2"/>
  <c r="R67" i="2"/>
  <c r="S67" i="2"/>
  <c r="T67" i="2"/>
  <c r="U67" i="2"/>
  <c r="X67" i="2"/>
  <c r="AK67" i="2"/>
  <c r="AL67" i="2"/>
  <c r="AM67" i="2"/>
  <c r="B68" i="2"/>
  <c r="C68" i="2"/>
  <c r="D68" i="2"/>
  <c r="E68" i="2"/>
  <c r="F68" i="2"/>
  <c r="L68" i="2"/>
  <c r="R68" i="2"/>
  <c r="S68" i="2"/>
  <c r="T68" i="2"/>
  <c r="U68" i="2"/>
  <c r="X68" i="2"/>
  <c r="AK68" i="2"/>
  <c r="AL68" i="2"/>
  <c r="AM68" i="2"/>
  <c r="B69" i="2"/>
  <c r="C69" i="2"/>
  <c r="D69" i="2"/>
  <c r="E69" i="2"/>
  <c r="F69" i="2"/>
  <c r="L69" i="2"/>
  <c r="R69" i="2"/>
  <c r="S69" i="2"/>
  <c r="T69" i="2"/>
  <c r="U69" i="2"/>
  <c r="X69" i="2"/>
  <c r="AK69" i="2"/>
  <c r="AL69" i="2"/>
  <c r="AM69" i="2"/>
  <c r="B70" i="2"/>
  <c r="C70" i="2"/>
  <c r="D70" i="2"/>
  <c r="E70" i="2"/>
  <c r="F70" i="2"/>
  <c r="L70" i="2"/>
  <c r="R70" i="2"/>
  <c r="S70" i="2"/>
  <c r="T70" i="2"/>
  <c r="U70" i="2"/>
  <c r="X70" i="2"/>
  <c r="AK70" i="2"/>
  <c r="AL70" i="2"/>
  <c r="AM70" i="2"/>
  <c r="B71" i="2"/>
  <c r="C71" i="2"/>
  <c r="D71" i="2"/>
  <c r="E71" i="2"/>
  <c r="F71" i="2"/>
  <c r="L71" i="2"/>
  <c r="R71" i="2"/>
  <c r="S71" i="2"/>
  <c r="T71" i="2"/>
  <c r="U71" i="2"/>
  <c r="X71" i="2"/>
  <c r="AK71" i="2"/>
  <c r="AL71" i="2"/>
  <c r="AM71" i="2"/>
  <c r="B72" i="2"/>
  <c r="C72" i="2"/>
  <c r="D72" i="2"/>
  <c r="E72" i="2"/>
  <c r="F72" i="2"/>
  <c r="L72" i="2"/>
  <c r="R72" i="2"/>
  <c r="S72" i="2"/>
  <c r="T72" i="2"/>
  <c r="U72" i="2"/>
  <c r="X72" i="2"/>
  <c r="AK72" i="2"/>
  <c r="AL72" i="2"/>
  <c r="AM72" i="2"/>
  <c r="B73" i="2"/>
  <c r="C73" i="2"/>
  <c r="D73" i="2"/>
  <c r="E73" i="2"/>
  <c r="F73" i="2"/>
  <c r="L73" i="2"/>
  <c r="R73" i="2"/>
  <c r="S73" i="2"/>
  <c r="T73" i="2"/>
  <c r="U73" i="2"/>
  <c r="X73" i="2"/>
  <c r="AK73" i="2"/>
  <c r="AL73" i="2"/>
  <c r="AM73" i="2"/>
  <c r="B74" i="2"/>
  <c r="C74" i="2"/>
  <c r="D74" i="2"/>
  <c r="E74" i="2"/>
  <c r="F74" i="2"/>
  <c r="L74" i="2"/>
  <c r="R74" i="2"/>
  <c r="S74" i="2"/>
  <c r="T74" i="2"/>
  <c r="U74" i="2"/>
  <c r="X74" i="2"/>
  <c r="AK74" i="2"/>
  <c r="AL74" i="2"/>
  <c r="AM74" i="2"/>
  <c r="B75" i="2"/>
  <c r="C75" i="2"/>
  <c r="D75" i="2"/>
  <c r="E75" i="2"/>
  <c r="F75" i="2"/>
  <c r="L75" i="2"/>
  <c r="R75" i="2"/>
  <c r="S75" i="2"/>
  <c r="T75" i="2"/>
  <c r="U75" i="2"/>
  <c r="X75" i="2"/>
  <c r="AK75" i="2"/>
  <c r="AL75" i="2"/>
  <c r="AM75" i="2"/>
  <c r="B76" i="2"/>
  <c r="C76" i="2"/>
  <c r="D76" i="2"/>
  <c r="E76" i="2"/>
  <c r="F76" i="2"/>
  <c r="L76" i="2"/>
  <c r="R76" i="2"/>
  <c r="S76" i="2"/>
  <c r="T76" i="2"/>
  <c r="U76" i="2"/>
  <c r="X76" i="2"/>
  <c r="AK76" i="2"/>
  <c r="AL76" i="2"/>
  <c r="AM76" i="2"/>
  <c r="B77" i="2"/>
  <c r="C77" i="2"/>
  <c r="D77" i="2"/>
  <c r="E77" i="2"/>
  <c r="F77" i="2"/>
  <c r="L77" i="2"/>
  <c r="R77" i="2"/>
  <c r="S77" i="2"/>
  <c r="T77" i="2"/>
  <c r="U77" i="2"/>
  <c r="X77" i="2"/>
  <c r="AK77" i="2"/>
  <c r="AL77" i="2"/>
  <c r="AM77" i="2"/>
  <c r="B78" i="2"/>
  <c r="C78" i="2"/>
  <c r="D78" i="2"/>
  <c r="E78" i="2"/>
  <c r="F78" i="2"/>
  <c r="L78" i="2"/>
  <c r="R78" i="2"/>
  <c r="S78" i="2"/>
  <c r="T78" i="2"/>
  <c r="U78" i="2"/>
  <c r="X78" i="2"/>
  <c r="AK78" i="2"/>
  <c r="AL78" i="2"/>
  <c r="AM78" i="2"/>
  <c r="B79" i="2"/>
  <c r="C79" i="2"/>
  <c r="D79" i="2"/>
  <c r="E79" i="2"/>
  <c r="F79" i="2"/>
  <c r="L79" i="2"/>
  <c r="R79" i="2"/>
  <c r="S79" i="2"/>
  <c r="T79" i="2"/>
  <c r="U79" i="2"/>
  <c r="X79" i="2"/>
  <c r="AK79" i="2"/>
  <c r="AL79" i="2"/>
  <c r="AM79" i="2"/>
  <c r="B80" i="2"/>
  <c r="C80" i="2"/>
  <c r="D80" i="2"/>
  <c r="E80" i="2"/>
  <c r="F80" i="2"/>
  <c r="L80" i="2"/>
  <c r="R80" i="2"/>
  <c r="S80" i="2"/>
  <c r="T80" i="2"/>
  <c r="U80" i="2"/>
  <c r="X80" i="2"/>
  <c r="AK80" i="2"/>
  <c r="AL80" i="2"/>
  <c r="AM80" i="2"/>
  <c r="B81" i="2"/>
  <c r="C81" i="2"/>
  <c r="D81" i="2"/>
  <c r="E81" i="2"/>
  <c r="F81" i="2"/>
  <c r="L81" i="2"/>
  <c r="R81" i="2"/>
  <c r="S81" i="2"/>
  <c r="T81" i="2"/>
  <c r="U81" i="2"/>
  <c r="X81" i="2"/>
  <c r="AK81" i="2"/>
  <c r="AL81" i="2"/>
  <c r="AM81" i="2"/>
  <c r="B82" i="2"/>
  <c r="C82" i="2"/>
  <c r="D82" i="2"/>
  <c r="E82" i="2"/>
  <c r="F82" i="2"/>
  <c r="L82" i="2"/>
  <c r="R82" i="2"/>
  <c r="S82" i="2"/>
  <c r="T82" i="2"/>
  <c r="U82" i="2"/>
  <c r="X82" i="2"/>
  <c r="AK82" i="2"/>
  <c r="AL82" i="2"/>
  <c r="AM82" i="2"/>
  <c r="B83" i="2"/>
  <c r="C83" i="2"/>
  <c r="D83" i="2"/>
  <c r="E83" i="2"/>
  <c r="F83" i="2"/>
  <c r="L83" i="2"/>
  <c r="R83" i="2"/>
  <c r="S83" i="2"/>
  <c r="T83" i="2"/>
  <c r="U83" i="2"/>
  <c r="X83" i="2"/>
  <c r="AK83" i="2"/>
  <c r="AL83" i="2"/>
  <c r="AM83" i="2"/>
  <c r="B84" i="2"/>
  <c r="C84" i="2"/>
  <c r="D84" i="2"/>
  <c r="E84" i="2"/>
  <c r="F84" i="2"/>
  <c r="L84" i="2"/>
  <c r="R84" i="2"/>
  <c r="S84" i="2"/>
  <c r="T84" i="2"/>
  <c r="U84" i="2"/>
  <c r="X84" i="2"/>
  <c r="AK84" i="2"/>
  <c r="AL84" i="2"/>
  <c r="AM84" i="2"/>
  <c r="B85" i="2"/>
  <c r="C85" i="2"/>
  <c r="D85" i="2"/>
  <c r="E85" i="2"/>
  <c r="F85" i="2"/>
  <c r="L85" i="2"/>
  <c r="R85" i="2"/>
  <c r="S85" i="2"/>
  <c r="T85" i="2"/>
  <c r="U85" i="2"/>
  <c r="X85" i="2"/>
  <c r="AK85" i="2"/>
  <c r="AL85" i="2"/>
  <c r="AM85" i="2"/>
  <c r="B86" i="2"/>
  <c r="C86" i="2"/>
  <c r="D86" i="2"/>
  <c r="E86" i="2"/>
  <c r="F86" i="2"/>
  <c r="L86" i="2"/>
  <c r="R86" i="2"/>
  <c r="S86" i="2"/>
  <c r="T86" i="2"/>
  <c r="U86" i="2"/>
  <c r="X86" i="2"/>
  <c r="AK86" i="2"/>
  <c r="AL86" i="2"/>
  <c r="AM86" i="2"/>
  <c r="B87" i="2"/>
  <c r="C87" i="2"/>
  <c r="D87" i="2"/>
  <c r="E87" i="2"/>
  <c r="F87" i="2"/>
  <c r="L87" i="2"/>
  <c r="R87" i="2"/>
  <c r="S87" i="2"/>
  <c r="T87" i="2"/>
  <c r="U87" i="2"/>
  <c r="X87" i="2"/>
  <c r="AK87" i="2"/>
  <c r="AL87" i="2"/>
  <c r="AM87" i="2"/>
  <c r="B88" i="2"/>
  <c r="C88" i="2"/>
  <c r="D88" i="2"/>
  <c r="E88" i="2"/>
  <c r="F88" i="2"/>
  <c r="L88" i="2"/>
  <c r="R88" i="2"/>
  <c r="S88" i="2"/>
  <c r="T88" i="2"/>
  <c r="U88" i="2"/>
  <c r="X88" i="2"/>
  <c r="AK88" i="2"/>
  <c r="AL88" i="2"/>
  <c r="AM88" i="2"/>
  <c r="B89" i="2"/>
  <c r="C89" i="2"/>
  <c r="D89" i="2"/>
  <c r="E89" i="2"/>
  <c r="F89" i="2"/>
  <c r="L89" i="2"/>
  <c r="R89" i="2"/>
  <c r="S89" i="2"/>
  <c r="T89" i="2"/>
  <c r="U89" i="2"/>
  <c r="X89" i="2"/>
  <c r="AK89" i="2"/>
  <c r="AL89" i="2"/>
  <c r="AM89" i="2"/>
  <c r="B90" i="2"/>
  <c r="C90" i="2"/>
  <c r="D90" i="2"/>
  <c r="E90" i="2"/>
  <c r="F90" i="2"/>
  <c r="L90" i="2"/>
  <c r="R90" i="2"/>
  <c r="S90" i="2"/>
  <c r="T90" i="2"/>
  <c r="U90" i="2"/>
  <c r="X90" i="2"/>
  <c r="AK90" i="2"/>
  <c r="AL90" i="2"/>
  <c r="AM90" i="2"/>
  <c r="B91" i="2"/>
  <c r="C91" i="2"/>
  <c r="D91" i="2"/>
  <c r="E91" i="2"/>
  <c r="F91" i="2"/>
  <c r="L91" i="2"/>
  <c r="R91" i="2"/>
  <c r="S91" i="2"/>
  <c r="T91" i="2"/>
  <c r="U91" i="2"/>
  <c r="X91" i="2"/>
  <c r="AK91" i="2"/>
  <c r="AL91" i="2"/>
  <c r="AM91" i="2"/>
  <c r="B92" i="2"/>
  <c r="C92" i="2"/>
  <c r="D92" i="2"/>
  <c r="E92" i="2"/>
  <c r="F92" i="2"/>
  <c r="L92" i="2"/>
  <c r="R92" i="2"/>
  <c r="S92" i="2"/>
  <c r="T92" i="2"/>
  <c r="U92" i="2"/>
  <c r="X92" i="2"/>
  <c r="AK92" i="2"/>
  <c r="AL92" i="2"/>
  <c r="AM92" i="2"/>
  <c r="B93" i="2"/>
  <c r="C93" i="2"/>
  <c r="D93" i="2"/>
  <c r="E93" i="2"/>
  <c r="F93" i="2"/>
  <c r="L93" i="2"/>
  <c r="R93" i="2"/>
  <c r="S93" i="2"/>
  <c r="T93" i="2"/>
  <c r="U93" i="2"/>
  <c r="X93" i="2"/>
  <c r="AK93" i="2"/>
  <c r="AL93" i="2"/>
  <c r="AM93" i="2"/>
  <c r="B94" i="2"/>
  <c r="C94" i="2"/>
  <c r="D94" i="2"/>
  <c r="E94" i="2"/>
  <c r="F94" i="2"/>
  <c r="L94" i="2"/>
  <c r="R94" i="2"/>
  <c r="S94" i="2"/>
  <c r="T94" i="2"/>
  <c r="U94" i="2"/>
  <c r="X94" i="2"/>
  <c r="AK94" i="2"/>
  <c r="AL94" i="2"/>
  <c r="AM94" i="2"/>
  <c r="B95" i="2"/>
  <c r="C95" i="2"/>
  <c r="D95" i="2"/>
  <c r="E95" i="2"/>
  <c r="F95" i="2"/>
  <c r="L95" i="2"/>
  <c r="R95" i="2"/>
  <c r="S95" i="2"/>
  <c r="T95" i="2"/>
  <c r="U95" i="2"/>
  <c r="X95" i="2"/>
  <c r="AK95" i="2"/>
  <c r="AL95" i="2"/>
  <c r="AM95" i="2"/>
  <c r="B96" i="2"/>
  <c r="C96" i="2"/>
  <c r="D96" i="2"/>
  <c r="E96" i="2"/>
  <c r="F96" i="2"/>
  <c r="L96" i="2"/>
  <c r="R96" i="2"/>
  <c r="S96" i="2"/>
  <c r="T96" i="2"/>
  <c r="U96" i="2"/>
  <c r="X96" i="2"/>
  <c r="AK96" i="2"/>
  <c r="AL96" i="2"/>
  <c r="AM96" i="2"/>
  <c r="B97" i="2"/>
  <c r="C97" i="2"/>
  <c r="D97" i="2"/>
  <c r="E97" i="2"/>
  <c r="F97" i="2"/>
  <c r="L97" i="2"/>
  <c r="R97" i="2"/>
  <c r="S97" i="2"/>
  <c r="T97" i="2"/>
  <c r="U97" i="2"/>
  <c r="X97" i="2"/>
  <c r="AK97" i="2"/>
  <c r="AL97" i="2"/>
  <c r="AM97" i="2"/>
  <c r="B98" i="2"/>
  <c r="C98" i="2"/>
  <c r="D98" i="2"/>
  <c r="E98" i="2"/>
  <c r="F98" i="2"/>
  <c r="L98" i="2"/>
  <c r="R98" i="2"/>
  <c r="S98" i="2"/>
  <c r="T98" i="2"/>
  <c r="U98" i="2"/>
  <c r="X98" i="2"/>
  <c r="AK98" i="2"/>
  <c r="AL98" i="2"/>
  <c r="AM98" i="2"/>
  <c r="B99" i="2"/>
  <c r="C99" i="2"/>
  <c r="D99" i="2"/>
  <c r="E99" i="2"/>
  <c r="F99" i="2"/>
  <c r="L99" i="2"/>
  <c r="R99" i="2"/>
  <c r="S99" i="2"/>
  <c r="T99" i="2"/>
  <c r="U99" i="2"/>
  <c r="X99" i="2"/>
  <c r="AK99" i="2"/>
  <c r="AL99" i="2"/>
  <c r="AM99" i="2"/>
  <c r="B100" i="2"/>
  <c r="C100" i="2"/>
  <c r="D100" i="2"/>
  <c r="E100" i="2"/>
  <c r="F100" i="2"/>
  <c r="L100" i="2"/>
  <c r="R100" i="2"/>
  <c r="S100" i="2"/>
  <c r="T100" i="2"/>
  <c r="U100" i="2"/>
  <c r="X100" i="2"/>
  <c r="AK100" i="2"/>
  <c r="AL100" i="2"/>
  <c r="AM100" i="2"/>
  <c r="B101" i="2"/>
  <c r="C101" i="2"/>
  <c r="D101" i="2"/>
  <c r="E101" i="2"/>
  <c r="F101" i="2"/>
  <c r="L101" i="2"/>
  <c r="R101" i="2"/>
  <c r="S101" i="2"/>
  <c r="T101" i="2"/>
  <c r="U101" i="2"/>
  <c r="X101" i="2"/>
  <c r="AK101" i="2"/>
  <c r="AL101" i="2"/>
  <c r="AM101" i="2"/>
  <c r="B102" i="2"/>
  <c r="C102" i="2"/>
  <c r="D102" i="2"/>
  <c r="E102" i="2"/>
  <c r="F102" i="2"/>
  <c r="L102" i="2"/>
  <c r="R102" i="2"/>
  <c r="S102" i="2"/>
  <c r="T102" i="2"/>
  <c r="U102" i="2"/>
  <c r="X102" i="2"/>
  <c r="AK102" i="2"/>
  <c r="AL102" i="2"/>
  <c r="AM102" i="2"/>
  <c r="B103" i="2"/>
  <c r="C103" i="2"/>
  <c r="D103" i="2"/>
  <c r="E103" i="2"/>
  <c r="F103" i="2"/>
  <c r="L103" i="2"/>
  <c r="R103" i="2"/>
  <c r="S103" i="2"/>
  <c r="T103" i="2"/>
  <c r="U103" i="2"/>
  <c r="X103" i="2"/>
  <c r="AK103" i="2"/>
  <c r="AL103" i="2"/>
  <c r="AM103" i="2"/>
  <c r="B104" i="2"/>
  <c r="C104" i="2"/>
  <c r="D104" i="2"/>
  <c r="E104" i="2"/>
  <c r="F104" i="2"/>
  <c r="L104" i="2"/>
  <c r="R104" i="2"/>
  <c r="S104" i="2"/>
  <c r="T104" i="2"/>
  <c r="U104" i="2"/>
  <c r="X104" i="2"/>
  <c r="AK104" i="2"/>
  <c r="AL104" i="2"/>
  <c r="AM104" i="2"/>
  <c r="B105" i="2"/>
  <c r="C105" i="2"/>
  <c r="D105" i="2"/>
  <c r="E105" i="2"/>
  <c r="F105" i="2"/>
  <c r="L105" i="2"/>
  <c r="R105" i="2"/>
  <c r="S105" i="2"/>
  <c r="T105" i="2"/>
  <c r="U105" i="2"/>
  <c r="X105" i="2"/>
  <c r="AK105" i="2"/>
  <c r="AL105" i="2"/>
  <c r="AM105" i="2"/>
  <c r="B106" i="2"/>
  <c r="C106" i="2"/>
  <c r="D106" i="2"/>
  <c r="E106" i="2"/>
  <c r="F106" i="2"/>
  <c r="L106" i="2"/>
  <c r="R106" i="2"/>
  <c r="S106" i="2"/>
  <c r="T106" i="2"/>
  <c r="U106" i="2"/>
  <c r="X106" i="2"/>
  <c r="AK106" i="2"/>
  <c r="AL106" i="2"/>
  <c r="AM106" i="2"/>
  <c r="B107" i="2"/>
  <c r="C107" i="2"/>
  <c r="D107" i="2"/>
  <c r="E107" i="2"/>
  <c r="F107" i="2"/>
  <c r="L107" i="2"/>
  <c r="R107" i="2"/>
  <c r="S107" i="2"/>
  <c r="T107" i="2"/>
  <c r="U107" i="2"/>
  <c r="X107" i="2"/>
  <c r="AK107" i="2"/>
  <c r="AL107" i="2"/>
  <c r="AM107" i="2"/>
  <c r="B108" i="2"/>
  <c r="C108" i="2"/>
  <c r="D108" i="2"/>
  <c r="E108" i="2"/>
  <c r="F108" i="2"/>
  <c r="L108" i="2"/>
  <c r="R108" i="2"/>
  <c r="S108" i="2"/>
  <c r="T108" i="2"/>
  <c r="U108" i="2"/>
  <c r="X108" i="2"/>
  <c r="AK108" i="2"/>
  <c r="AL108" i="2"/>
  <c r="AM108" i="2"/>
  <c r="B109" i="2"/>
  <c r="C109" i="2"/>
  <c r="D109" i="2"/>
  <c r="E109" i="2"/>
  <c r="F109" i="2"/>
  <c r="L109" i="2"/>
  <c r="R109" i="2"/>
  <c r="S109" i="2"/>
  <c r="T109" i="2"/>
  <c r="U109" i="2"/>
  <c r="X109" i="2"/>
  <c r="AK109" i="2"/>
  <c r="AL109" i="2"/>
  <c r="AM109" i="2"/>
  <c r="B110" i="2"/>
  <c r="C110" i="2"/>
  <c r="D110" i="2"/>
  <c r="E110" i="2"/>
  <c r="F110" i="2"/>
  <c r="L110" i="2"/>
  <c r="R110" i="2"/>
  <c r="S110" i="2"/>
  <c r="T110" i="2"/>
  <c r="U110" i="2"/>
  <c r="X110" i="2"/>
  <c r="AK110" i="2"/>
  <c r="AL110" i="2"/>
  <c r="AM110" i="2"/>
  <c r="B111" i="2"/>
  <c r="C111" i="2"/>
  <c r="D111" i="2"/>
  <c r="E111" i="2"/>
  <c r="F111" i="2"/>
  <c r="L111" i="2"/>
  <c r="R111" i="2"/>
  <c r="S111" i="2"/>
  <c r="T111" i="2"/>
  <c r="U111" i="2"/>
  <c r="X111" i="2"/>
  <c r="AK111" i="2"/>
  <c r="AL111" i="2"/>
  <c r="AM111" i="2"/>
  <c r="B112" i="2"/>
  <c r="C112" i="2"/>
  <c r="D112" i="2"/>
  <c r="E112" i="2"/>
  <c r="F112" i="2"/>
  <c r="L112" i="2"/>
  <c r="R112" i="2"/>
  <c r="S112" i="2"/>
  <c r="T112" i="2"/>
  <c r="U112" i="2"/>
  <c r="X112" i="2"/>
  <c r="AK112" i="2"/>
  <c r="AL112" i="2"/>
  <c r="AM112" i="2"/>
  <c r="B113" i="2"/>
  <c r="C113" i="2"/>
  <c r="D113" i="2"/>
  <c r="E113" i="2"/>
  <c r="F113" i="2"/>
  <c r="L113" i="2"/>
  <c r="R113" i="2"/>
  <c r="S113" i="2"/>
  <c r="T113" i="2"/>
  <c r="U113" i="2"/>
  <c r="X113" i="2"/>
  <c r="AK113" i="2"/>
  <c r="AL113" i="2"/>
  <c r="AM113" i="2"/>
  <c r="B114" i="2"/>
  <c r="C114" i="2"/>
  <c r="D114" i="2"/>
  <c r="E114" i="2"/>
  <c r="F114" i="2"/>
  <c r="L114" i="2"/>
  <c r="R114" i="2"/>
  <c r="S114" i="2"/>
  <c r="T114" i="2"/>
  <c r="U114" i="2"/>
  <c r="X114" i="2"/>
  <c r="AK114" i="2"/>
  <c r="AL114" i="2"/>
  <c r="AM114" i="2"/>
  <c r="B115" i="2"/>
  <c r="C115" i="2"/>
  <c r="D115" i="2"/>
  <c r="E115" i="2"/>
  <c r="F115" i="2"/>
  <c r="L115" i="2"/>
  <c r="R115" i="2"/>
  <c r="S115" i="2"/>
  <c r="T115" i="2"/>
  <c r="U115" i="2"/>
  <c r="X115" i="2"/>
  <c r="AK115" i="2"/>
  <c r="AL115" i="2"/>
  <c r="AM115" i="2"/>
  <c r="B116" i="2"/>
  <c r="C116" i="2"/>
  <c r="D116" i="2"/>
  <c r="E116" i="2"/>
  <c r="F116" i="2"/>
  <c r="L116" i="2"/>
  <c r="R116" i="2"/>
  <c r="S116" i="2"/>
  <c r="T116" i="2"/>
  <c r="U116" i="2"/>
  <c r="X116" i="2"/>
  <c r="AK116" i="2"/>
  <c r="AL116" i="2"/>
  <c r="AM116" i="2"/>
  <c r="B117" i="2"/>
  <c r="C117" i="2"/>
  <c r="D117" i="2"/>
  <c r="E117" i="2"/>
  <c r="F117" i="2"/>
  <c r="L117" i="2"/>
  <c r="R117" i="2"/>
  <c r="S117" i="2"/>
  <c r="T117" i="2"/>
  <c r="U117" i="2"/>
  <c r="X117" i="2"/>
  <c r="AK117" i="2"/>
  <c r="AL117" i="2"/>
  <c r="AM117" i="2"/>
  <c r="B118" i="2"/>
  <c r="C118" i="2"/>
  <c r="D118" i="2"/>
  <c r="E118" i="2"/>
  <c r="F118" i="2"/>
  <c r="L118" i="2"/>
  <c r="R118" i="2"/>
  <c r="S118" i="2"/>
  <c r="T118" i="2"/>
  <c r="U118" i="2"/>
  <c r="X118" i="2"/>
  <c r="AK118" i="2"/>
  <c r="AL118" i="2"/>
  <c r="AM118" i="2"/>
  <c r="B119" i="2"/>
  <c r="C119" i="2"/>
  <c r="D119" i="2"/>
  <c r="E119" i="2"/>
  <c r="F119" i="2"/>
  <c r="L119" i="2"/>
  <c r="R119" i="2"/>
  <c r="S119" i="2"/>
  <c r="T119" i="2"/>
  <c r="U119" i="2"/>
  <c r="X119" i="2"/>
  <c r="AK119" i="2"/>
  <c r="AL119" i="2"/>
  <c r="AM119" i="2"/>
  <c r="B120" i="2"/>
  <c r="C120" i="2"/>
  <c r="D120" i="2"/>
  <c r="E120" i="2"/>
  <c r="F120" i="2"/>
  <c r="L120" i="2"/>
  <c r="R120" i="2"/>
  <c r="S120" i="2"/>
  <c r="T120" i="2"/>
  <c r="U120" i="2"/>
  <c r="X120" i="2"/>
  <c r="AK120" i="2"/>
  <c r="AL120" i="2"/>
  <c r="AM120" i="2"/>
  <c r="B121" i="2"/>
  <c r="C121" i="2"/>
  <c r="D121" i="2"/>
  <c r="E121" i="2"/>
  <c r="F121" i="2"/>
  <c r="L121" i="2"/>
  <c r="R121" i="2"/>
  <c r="S121" i="2"/>
  <c r="T121" i="2"/>
  <c r="U121" i="2"/>
  <c r="X121" i="2"/>
  <c r="AK121" i="2"/>
  <c r="AL121" i="2"/>
  <c r="AM121" i="2"/>
  <c r="B122" i="2"/>
  <c r="C122" i="2"/>
  <c r="D122" i="2"/>
  <c r="E122" i="2"/>
  <c r="F122" i="2"/>
  <c r="L122" i="2"/>
  <c r="R122" i="2"/>
  <c r="S122" i="2"/>
  <c r="T122" i="2"/>
  <c r="U122" i="2"/>
  <c r="X122" i="2"/>
  <c r="AK122" i="2"/>
  <c r="AL122" i="2"/>
  <c r="AM122" i="2"/>
  <c r="B123" i="2"/>
  <c r="C123" i="2"/>
  <c r="D123" i="2"/>
  <c r="E123" i="2"/>
  <c r="F123" i="2"/>
  <c r="L123" i="2"/>
  <c r="R123" i="2"/>
  <c r="S123" i="2"/>
  <c r="T123" i="2"/>
  <c r="U123" i="2"/>
  <c r="X123" i="2"/>
  <c r="AK123" i="2"/>
  <c r="AL123" i="2"/>
  <c r="AM123" i="2"/>
  <c r="B124" i="2"/>
  <c r="C124" i="2"/>
  <c r="D124" i="2"/>
  <c r="E124" i="2"/>
  <c r="F124" i="2"/>
  <c r="L124" i="2"/>
  <c r="R124" i="2"/>
  <c r="S124" i="2"/>
  <c r="T124" i="2"/>
  <c r="U124" i="2"/>
  <c r="X124" i="2"/>
  <c r="AK124" i="2"/>
  <c r="AL124" i="2"/>
  <c r="AM124" i="2"/>
  <c r="B125" i="2"/>
  <c r="C125" i="2"/>
  <c r="D125" i="2"/>
  <c r="E125" i="2"/>
  <c r="F125" i="2"/>
  <c r="L125" i="2"/>
  <c r="R125" i="2"/>
  <c r="S125" i="2"/>
  <c r="T125" i="2"/>
  <c r="U125" i="2"/>
  <c r="X125" i="2"/>
  <c r="AK125" i="2"/>
  <c r="AL125" i="2"/>
  <c r="AM125" i="2"/>
  <c r="B126" i="2"/>
  <c r="C126" i="2"/>
  <c r="D126" i="2"/>
  <c r="E126" i="2"/>
  <c r="F126" i="2"/>
  <c r="L126" i="2"/>
  <c r="R126" i="2"/>
  <c r="S126" i="2"/>
  <c r="T126" i="2"/>
  <c r="U126" i="2"/>
  <c r="X126" i="2"/>
  <c r="AK126" i="2"/>
  <c r="AL126" i="2"/>
  <c r="AM126" i="2"/>
  <c r="B127" i="2"/>
  <c r="C127" i="2"/>
  <c r="D127" i="2"/>
  <c r="E127" i="2"/>
  <c r="F127" i="2"/>
  <c r="L127" i="2"/>
  <c r="R127" i="2"/>
  <c r="S127" i="2"/>
  <c r="T127" i="2"/>
  <c r="U127" i="2"/>
  <c r="X127" i="2"/>
  <c r="AK127" i="2"/>
  <c r="AL127" i="2"/>
  <c r="AM127" i="2"/>
  <c r="B128" i="2"/>
  <c r="C128" i="2"/>
  <c r="D128" i="2"/>
  <c r="E128" i="2"/>
  <c r="F128" i="2"/>
  <c r="L128" i="2"/>
  <c r="R128" i="2"/>
  <c r="S128" i="2"/>
  <c r="T128" i="2"/>
  <c r="U128" i="2"/>
  <c r="X128" i="2"/>
  <c r="AK128" i="2"/>
  <c r="AL128" i="2"/>
  <c r="AM128" i="2"/>
  <c r="B129" i="2"/>
  <c r="C129" i="2"/>
  <c r="D129" i="2"/>
  <c r="E129" i="2"/>
  <c r="F129" i="2"/>
  <c r="L129" i="2"/>
  <c r="R129" i="2"/>
  <c r="S129" i="2"/>
  <c r="T129" i="2"/>
  <c r="U129" i="2"/>
  <c r="X129" i="2"/>
  <c r="AK129" i="2"/>
  <c r="AL129" i="2"/>
  <c r="AM129" i="2"/>
  <c r="B130" i="2"/>
  <c r="C130" i="2"/>
  <c r="D130" i="2"/>
  <c r="E130" i="2"/>
  <c r="F130" i="2"/>
  <c r="L130" i="2"/>
  <c r="R130" i="2"/>
  <c r="S130" i="2"/>
  <c r="T130" i="2"/>
  <c r="U130" i="2"/>
  <c r="X130" i="2"/>
  <c r="AK130" i="2"/>
  <c r="AL130" i="2"/>
  <c r="AM130" i="2"/>
  <c r="B131" i="2"/>
  <c r="C131" i="2"/>
  <c r="D131" i="2"/>
  <c r="E131" i="2"/>
  <c r="F131" i="2"/>
  <c r="L131" i="2"/>
  <c r="R131" i="2"/>
  <c r="S131" i="2"/>
  <c r="T131" i="2"/>
  <c r="U131" i="2"/>
  <c r="X131" i="2"/>
  <c r="AK131" i="2"/>
  <c r="AL131" i="2"/>
  <c r="AM131" i="2"/>
  <c r="B132" i="2"/>
  <c r="C132" i="2"/>
  <c r="D132" i="2"/>
  <c r="E132" i="2"/>
  <c r="F132" i="2"/>
  <c r="L132" i="2"/>
  <c r="R132" i="2"/>
  <c r="S132" i="2"/>
  <c r="T132" i="2"/>
  <c r="U132" i="2"/>
  <c r="X132" i="2"/>
  <c r="AK132" i="2"/>
  <c r="AL132" i="2"/>
  <c r="AM132" i="2"/>
  <c r="B133" i="2"/>
  <c r="C133" i="2"/>
  <c r="D133" i="2"/>
  <c r="E133" i="2"/>
  <c r="F133" i="2"/>
  <c r="L133" i="2"/>
  <c r="R133" i="2"/>
  <c r="S133" i="2"/>
  <c r="T133" i="2"/>
  <c r="U133" i="2"/>
  <c r="X133" i="2"/>
  <c r="AK133" i="2"/>
  <c r="AL133" i="2"/>
  <c r="AM133" i="2"/>
  <c r="B134" i="2"/>
  <c r="C134" i="2"/>
  <c r="D134" i="2"/>
  <c r="E134" i="2"/>
  <c r="F134" i="2"/>
  <c r="L134" i="2"/>
  <c r="R134" i="2"/>
  <c r="S134" i="2"/>
  <c r="T134" i="2"/>
  <c r="U134" i="2"/>
  <c r="X134" i="2"/>
  <c r="AK134" i="2"/>
  <c r="AL134" i="2"/>
  <c r="AM134" i="2"/>
  <c r="B135" i="2"/>
  <c r="C135" i="2"/>
  <c r="D135" i="2"/>
  <c r="E135" i="2"/>
  <c r="F135" i="2"/>
  <c r="L135" i="2"/>
  <c r="R135" i="2"/>
  <c r="S135" i="2"/>
  <c r="T135" i="2"/>
  <c r="U135" i="2"/>
  <c r="X135" i="2"/>
  <c r="AK135" i="2"/>
  <c r="AL135" i="2"/>
  <c r="AM135" i="2"/>
  <c r="B136" i="2"/>
  <c r="C136" i="2"/>
  <c r="D136" i="2"/>
  <c r="E136" i="2"/>
  <c r="F136" i="2"/>
  <c r="L136" i="2"/>
  <c r="R136" i="2"/>
  <c r="S136" i="2"/>
  <c r="T136" i="2"/>
  <c r="U136" i="2"/>
  <c r="X136" i="2"/>
  <c r="AK136" i="2"/>
  <c r="AL136" i="2"/>
  <c r="AM136" i="2"/>
  <c r="B137" i="2"/>
  <c r="C137" i="2"/>
  <c r="D137" i="2"/>
  <c r="E137" i="2"/>
  <c r="F137" i="2"/>
  <c r="L137" i="2"/>
  <c r="R137" i="2"/>
  <c r="S137" i="2"/>
  <c r="T137" i="2"/>
  <c r="U137" i="2"/>
  <c r="X137" i="2"/>
  <c r="AK137" i="2"/>
  <c r="AL137" i="2"/>
  <c r="AM137" i="2"/>
  <c r="B138" i="2"/>
  <c r="C138" i="2"/>
  <c r="D138" i="2"/>
  <c r="E138" i="2"/>
  <c r="F138" i="2"/>
  <c r="L138" i="2"/>
  <c r="R138" i="2"/>
  <c r="S138" i="2"/>
  <c r="T138" i="2"/>
  <c r="U138" i="2"/>
  <c r="X138" i="2"/>
  <c r="AK138" i="2"/>
  <c r="AL138" i="2"/>
  <c r="AM138" i="2"/>
  <c r="B139" i="2"/>
  <c r="C139" i="2"/>
  <c r="D139" i="2"/>
  <c r="E139" i="2"/>
  <c r="F139" i="2"/>
  <c r="L139" i="2"/>
  <c r="R139" i="2"/>
  <c r="S139" i="2"/>
  <c r="T139" i="2"/>
  <c r="U139" i="2"/>
  <c r="X139" i="2"/>
  <c r="AK139" i="2"/>
  <c r="AL139" i="2"/>
  <c r="AM139" i="2"/>
  <c r="B140" i="2"/>
  <c r="C140" i="2"/>
  <c r="D140" i="2"/>
  <c r="E140" i="2"/>
  <c r="F140" i="2"/>
  <c r="L140" i="2"/>
  <c r="R140" i="2"/>
  <c r="S140" i="2"/>
  <c r="T140" i="2"/>
  <c r="U140" i="2"/>
  <c r="X140" i="2"/>
  <c r="AK140" i="2"/>
  <c r="AL140" i="2"/>
  <c r="AM140" i="2"/>
  <c r="B141" i="2"/>
  <c r="C141" i="2"/>
  <c r="D141" i="2"/>
  <c r="E141" i="2"/>
  <c r="F141" i="2"/>
  <c r="L141" i="2"/>
  <c r="R141" i="2"/>
  <c r="S141" i="2"/>
  <c r="T141" i="2"/>
  <c r="U141" i="2"/>
  <c r="X141" i="2"/>
  <c r="AK141" i="2"/>
  <c r="AL141" i="2"/>
  <c r="AM141" i="2"/>
  <c r="B142" i="2"/>
  <c r="C142" i="2"/>
  <c r="D142" i="2"/>
  <c r="E142" i="2"/>
  <c r="F142" i="2"/>
  <c r="L142" i="2"/>
  <c r="R142" i="2"/>
  <c r="S142" i="2"/>
  <c r="T142" i="2"/>
  <c r="U142" i="2"/>
  <c r="X142" i="2"/>
  <c r="AK142" i="2"/>
  <c r="AL142" i="2"/>
  <c r="AM142" i="2"/>
  <c r="B143" i="2"/>
  <c r="C143" i="2"/>
  <c r="D143" i="2"/>
  <c r="E143" i="2"/>
  <c r="F143" i="2"/>
  <c r="L143" i="2"/>
  <c r="R143" i="2"/>
  <c r="S143" i="2"/>
  <c r="T143" i="2"/>
  <c r="U143" i="2"/>
  <c r="X143" i="2"/>
  <c r="AK143" i="2"/>
  <c r="AL143" i="2"/>
  <c r="AM143" i="2"/>
  <c r="B144" i="2"/>
  <c r="C144" i="2"/>
  <c r="D144" i="2"/>
  <c r="E144" i="2"/>
  <c r="F144" i="2"/>
  <c r="L144" i="2"/>
  <c r="R144" i="2"/>
  <c r="S144" i="2"/>
  <c r="T144" i="2"/>
  <c r="U144" i="2"/>
  <c r="X144" i="2"/>
  <c r="AK144" i="2"/>
  <c r="AL144" i="2"/>
  <c r="AM144" i="2"/>
  <c r="B145" i="2"/>
  <c r="C145" i="2"/>
  <c r="D145" i="2"/>
  <c r="E145" i="2"/>
  <c r="F145" i="2"/>
  <c r="L145" i="2"/>
  <c r="R145" i="2"/>
  <c r="S145" i="2"/>
  <c r="T145" i="2"/>
  <c r="U145" i="2"/>
  <c r="X145" i="2"/>
  <c r="AK145" i="2"/>
  <c r="AL145" i="2"/>
  <c r="AM145" i="2"/>
  <c r="B146" i="2"/>
  <c r="C146" i="2"/>
  <c r="D146" i="2"/>
  <c r="E146" i="2"/>
  <c r="F146" i="2"/>
  <c r="L146" i="2"/>
  <c r="R146" i="2"/>
  <c r="S146" i="2"/>
  <c r="T146" i="2"/>
  <c r="U146" i="2"/>
  <c r="X146" i="2"/>
  <c r="AK146" i="2"/>
  <c r="AL146" i="2"/>
  <c r="AM146" i="2"/>
  <c r="B147" i="2"/>
  <c r="C147" i="2"/>
  <c r="D147" i="2"/>
  <c r="E147" i="2"/>
  <c r="F147" i="2"/>
  <c r="L147" i="2"/>
  <c r="R147" i="2"/>
  <c r="S147" i="2"/>
  <c r="T147" i="2"/>
  <c r="U147" i="2"/>
  <c r="X147" i="2"/>
  <c r="AK147" i="2"/>
  <c r="AL147" i="2"/>
  <c r="AM147" i="2"/>
  <c r="B148" i="2"/>
  <c r="C148" i="2"/>
  <c r="D148" i="2"/>
  <c r="E148" i="2"/>
  <c r="F148" i="2"/>
  <c r="L148" i="2"/>
  <c r="R148" i="2"/>
  <c r="S148" i="2"/>
  <c r="T148" i="2"/>
  <c r="U148" i="2"/>
  <c r="X148" i="2"/>
  <c r="AK148" i="2"/>
  <c r="AL148" i="2"/>
  <c r="AM148" i="2"/>
  <c r="B149" i="2"/>
  <c r="C149" i="2"/>
  <c r="D149" i="2"/>
  <c r="E149" i="2"/>
  <c r="F149" i="2"/>
  <c r="L149" i="2"/>
  <c r="R149" i="2"/>
  <c r="S149" i="2"/>
  <c r="T149" i="2"/>
  <c r="U149" i="2"/>
  <c r="X149" i="2"/>
  <c r="AK149" i="2"/>
  <c r="AL149" i="2"/>
  <c r="AM149" i="2"/>
  <c r="B150" i="2"/>
  <c r="C150" i="2"/>
  <c r="D150" i="2"/>
  <c r="E150" i="2"/>
  <c r="F150" i="2"/>
  <c r="L150" i="2"/>
  <c r="R150" i="2"/>
  <c r="S150" i="2"/>
  <c r="T150" i="2"/>
  <c r="U150" i="2"/>
  <c r="X150" i="2"/>
  <c r="AK150" i="2"/>
  <c r="AL150" i="2"/>
  <c r="AM150" i="2"/>
  <c r="B151" i="2"/>
  <c r="C151" i="2"/>
  <c r="D151" i="2"/>
  <c r="E151" i="2"/>
  <c r="F151" i="2"/>
  <c r="L151" i="2"/>
  <c r="R151" i="2"/>
  <c r="S151" i="2"/>
  <c r="T151" i="2"/>
  <c r="U151" i="2"/>
  <c r="X151" i="2"/>
  <c r="AK151" i="2"/>
  <c r="AL151" i="2"/>
  <c r="AM151" i="2"/>
  <c r="B152" i="2"/>
  <c r="C152" i="2"/>
  <c r="D152" i="2"/>
  <c r="E152" i="2"/>
  <c r="F152" i="2"/>
  <c r="L152" i="2"/>
  <c r="R152" i="2"/>
  <c r="S152" i="2"/>
  <c r="T152" i="2"/>
  <c r="U152" i="2"/>
  <c r="X152" i="2"/>
  <c r="AK152" i="2"/>
  <c r="AL152" i="2"/>
  <c r="AM152" i="2"/>
  <c r="B153" i="2"/>
  <c r="C153" i="2"/>
  <c r="D153" i="2"/>
  <c r="E153" i="2"/>
  <c r="F153" i="2"/>
  <c r="L153" i="2"/>
  <c r="R153" i="2"/>
  <c r="S153" i="2"/>
  <c r="T153" i="2"/>
  <c r="U153" i="2"/>
  <c r="X153" i="2"/>
  <c r="AK153" i="2"/>
  <c r="AL153" i="2"/>
  <c r="AM153" i="2"/>
  <c r="B154" i="2"/>
  <c r="C154" i="2"/>
  <c r="D154" i="2"/>
  <c r="E154" i="2"/>
  <c r="F154" i="2"/>
  <c r="L154" i="2"/>
  <c r="R154" i="2"/>
  <c r="S154" i="2"/>
  <c r="T154" i="2"/>
  <c r="U154" i="2"/>
  <c r="X154" i="2"/>
  <c r="AK154" i="2"/>
  <c r="AL154" i="2"/>
  <c r="AM154" i="2"/>
  <c r="B155" i="2"/>
  <c r="C155" i="2"/>
  <c r="D155" i="2"/>
  <c r="E155" i="2"/>
  <c r="F155" i="2"/>
  <c r="L155" i="2"/>
  <c r="R155" i="2"/>
  <c r="S155" i="2"/>
  <c r="T155" i="2"/>
  <c r="U155" i="2"/>
  <c r="X155" i="2"/>
  <c r="AK155" i="2"/>
  <c r="AL155" i="2"/>
  <c r="AM155" i="2"/>
  <c r="B156" i="2"/>
  <c r="C156" i="2"/>
  <c r="D156" i="2"/>
  <c r="E156" i="2"/>
  <c r="F156" i="2"/>
  <c r="L156" i="2"/>
  <c r="R156" i="2"/>
  <c r="S156" i="2"/>
  <c r="T156" i="2"/>
  <c r="U156" i="2"/>
  <c r="X156" i="2"/>
  <c r="AK156" i="2"/>
  <c r="AL156" i="2"/>
  <c r="AM156" i="2"/>
  <c r="B157" i="2"/>
  <c r="C157" i="2"/>
  <c r="D157" i="2"/>
  <c r="E157" i="2"/>
  <c r="F157" i="2"/>
  <c r="L157" i="2"/>
  <c r="R157" i="2"/>
  <c r="S157" i="2"/>
  <c r="T157" i="2"/>
  <c r="U157" i="2"/>
  <c r="X157" i="2"/>
  <c r="AK157" i="2"/>
  <c r="AL157" i="2"/>
  <c r="AM157" i="2"/>
  <c r="B158" i="2"/>
  <c r="C158" i="2"/>
  <c r="D158" i="2"/>
  <c r="E158" i="2"/>
  <c r="F158" i="2"/>
  <c r="L158" i="2"/>
  <c r="R158" i="2"/>
  <c r="S158" i="2"/>
  <c r="T158" i="2"/>
  <c r="U158" i="2"/>
  <c r="X158" i="2"/>
  <c r="AK158" i="2"/>
  <c r="AL158" i="2"/>
  <c r="AM158" i="2"/>
  <c r="B159" i="2"/>
  <c r="C159" i="2"/>
  <c r="D159" i="2"/>
  <c r="E159" i="2"/>
  <c r="F159" i="2"/>
  <c r="L159" i="2"/>
  <c r="R159" i="2"/>
  <c r="S159" i="2"/>
  <c r="T159" i="2"/>
  <c r="U159" i="2"/>
  <c r="X159" i="2"/>
  <c r="AK159" i="2"/>
  <c r="AL159" i="2"/>
  <c r="AM159" i="2"/>
  <c r="B160" i="2"/>
  <c r="C160" i="2"/>
  <c r="D160" i="2"/>
  <c r="E160" i="2"/>
  <c r="F160" i="2"/>
  <c r="L160" i="2"/>
  <c r="R160" i="2"/>
  <c r="S160" i="2"/>
  <c r="T160" i="2"/>
  <c r="U160" i="2"/>
  <c r="X160" i="2"/>
  <c r="AK160" i="2"/>
  <c r="AL160" i="2"/>
  <c r="AM160" i="2"/>
  <c r="B161" i="2"/>
  <c r="C161" i="2"/>
  <c r="D161" i="2"/>
  <c r="E161" i="2"/>
  <c r="F161" i="2"/>
  <c r="L161" i="2"/>
  <c r="R161" i="2"/>
  <c r="S161" i="2"/>
  <c r="T161" i="2"/>
  <c r="U161" i="2"/>
  <c r="X161" i="2"/>
  <c r="AK161" i="2"/>
  <c r="AL161" i="2"/>
  <c r="AM161" i="2"/>
  <c r="B162" i="2"/>
  <c r="C162" i="2"/>
  <c r="D162" i="2"/>
  <c r="E162" i="2"/>
  <c r="F162" i="2"/>
  <c r="L162" i="2"/>
  <c r="R162" i="2"/>
  <c r="S162" i="2"/>
  <c r="T162" i="2"/>
  <c r="U162" i="2"/>
  <c r="X162" i="2"/>
  <c r="AK162" i="2"/>
  <c r="AL162" i="2"/>
  <c r="AM162" i="2"/>
  <c r="B163" i="2"/>
  <c r="C163" i="2"/>
  <c r="D163" i="2"/>
  <c r="E163" i="2"/>
  <c r="F163" i="2"/>
  <c r="L163" i="2"/>
  <c r="R163" i="2"/>
  <c r="S163" i="2"/>
  <c r="T163" i="2"/>
  <c r="U163" i="2"/>
  <c r="X163" i="2"/>
  <c r="AK163" i="2"/>
  <c r="AL163" i="2"/>
  <c r="AM163" i="2"/>
  <c r="B164" i="2"/>
  <c r="C164" i="2"/>
  <c r="D164" i="2"/>
  <c r="E164" i="2"/>
  <c r="F164" i="2"/>
  <c r="L164" i="2"/>
  <c r="R164" i="2"/>
  <c r="S164" i="2"/>
  <c r="T164" i="2"/>
  <c r="U164" i="2"/>
  <c r="X164" i="2"/>
  <c r="AK164" i="2"/>
  <c r="AL164" i="2"/>
  <c r="AM164" i="2"/>
  <c r="B165" i="2"/>
  <c r="C165" i="2"/>
  <c r="D165" i="2"/>
  <c r="E165" i="2"/>
  <c r="F165" i="2"/>
  <c r="L165" i="2"/>
  <c r="R165" i="2"/>
  <c r="S165" i="2"/>
  <c r="T165" i="2"/>
  <c r="U165" i="2"/>
  <c r="X165" i="2"/>
  <c r="AK165" i="2"/>
  <c r="AL165" i="2"/>
  <c r="AM165" i="2"/>
  <c r="B166" i="2"/>
  <c r="C166" i="2"/>
  <c r="D166" i="2"/>
  <c r="E166" i="2"/>
  <c r="F166" i="2"/>
  <c r="L166" i="2"/>
  <c r="R166" i="2"/>
  <c r="S166" i="2"/>
  <c r="T166" i="2"/>
  <c r="U166" i="2"/>
  <c r="X166" i="2"/>
  <c r="AK166" i="2"/>
  <c r="AL166" i="2"/>
  <c r="AM166" i="2"/>
  <c r="B167" i="2"/>
  <c r="C167" i="2"/>
  <c r="D167" i="2"/>
  <c r="E167" i="2"/>
  <c r="F167" i="2"/>
  <c r="L167" i="2"/>
  <c r="R167" i="2"/>
  <c r="S167" i="2"/>
  <c r="T167" i="2"/>
  <c r="U167" i="2"/>
  <c r="X167" i="2"/>
  <c r="AK167" i="2"/>
  <c r="AL167" i="2"/>
  <c r="AM167" i="2"/>
  <c r="B168" i="2"/>
  <c r="C168" i="2"/>
  <c r="D168" i="2"/>
  <c r="E168" i="2"/>
  <c r="F168" i="2"/>
  <c r="L168" i="2"/>
  <c r="R168" i="2"/>
  <c r="S168" i="2"/>
  <c r="T168" i="2"/>
  <c r="U168" i="2"/>
  <c r="X168" i="2"/>
  <c r="AK168" i="2"/>
  <c r="AL168" i="2"/>
  <c r="AM168" i="2"/>
  <c r="B169" i="2"/>
  <c r="C169" i="2"/>
  <c r="D169" i="2"/>
  <c r="E169" i="2"/>
  <c r="F169" i="2"/>
  <c r="L169" i="2"/>
  <c r="R169" i="2"/>
  <c r="S169" i="2"/>
  <c r="T169" i="2"/>
  <c r="U169" i="2"/>
  <c r="X169" i="2"/>
  <c r="AK169" i="2"/>
  <c r="AL169" i="2"/>
  <c r="AM169" i="2"/>
  <c r="B170" i="2"/>
  <c r="C170" i="2"/>
  <c r="D170" i="2"/>
  <c r="E170" i="2"/>
  <c r="F170" i="2"/>
  <c r="L170" i="2"/>
  <c r="R170" i="2"/>
  <c r="S170" i="2"/>
  <c r="T170" i="2"/>
  <c r="U170" i="2"/>
  <c r="X170" i="2"/>
  <c r="AK170" i="2"/>
  <c r="AL170" i="2"/>
  <c r="AM170" i="2"/>
  <c r="B171" i="2"/>
  <c r="C171" i="2"/>
  <c r="D171" i="2"/>
  <c r="E171" i="2"/>
  <c r="F171" i="2"/>
  <c r="L171" i="2"/>
  <c r="R171" i="2"/>
  <c r="S171" i="2"/>
  <c r="T171" i="2"/>
  <c r="U171" i="2"/>
  <c r="X171" i="2"/>
  <c r="AK171" i="2"/>
  <c r="AL171" i="2"/>
  <c r="AM171" i="2"/>
  <c r="B172" i="2"/>
  <c r="C172" i="2"/>
  <c r="D172" i="2"/>
  <c r="E172" i="2"/>
  <c r="F172" i="2"/>
  <c r="L172" i="2"/>
  <c r="R172" i="2"/>
  <c r="S172" i="2"/>
  <c r="T172" i="2"/>
  <c r="U172" i="2"/>
  <c r="X172" i="2"/>
  <c r="AK172" i="2"/>
  <c r="AL172" i="2"/>
  <c r="AM172" i="2"/>
  <c r="B173" i="2"/>
  <c r="C173" i="2"/>
  <c r="D173" i="2"/>
  <c r="E173" i="2"/>
  <c r="F173" i="2"/>
  <c r="L173" i="2"/>
  <c r="R173" i="2"/>
  <c r="S173" i="2"/>
  <c r="T173" i="2"/>
  <c r="U173" i="2"/>
  <c r="X173" i="2"/>
  <c r="AK173" i="2"/>
  <c r="AL173" i="2"/>
  <c r="AM173" i="2"/>
  <c r="B174" i="2"/>
  <c r="C174" i="2"/>
  <c r="D174" i="2"/>
  <c r="E174" i="2"/>
  <c r="F174" i="2"/>
  <c r="L174" i="2"/>
  <c r="R174" i="2"/>
  <c r="S174" i="2"/>
  <c r="T174" i="2"/>
  <c r="U174" i="2"/>
  <c r="X174" i="2"/>
  <c r="AK174" i="2"/>
  <c r="AL174" i="2"/>
  <c r="AM174" i="2"/>
  <c r="B175" i="2"/>
  <c r="C175" i="2"/>
  <c r="D175" i="2"/>
  <c r="E175" i="2"/>
  <c r="F175" i="2"/>
  <c r="L175" i="2"/>
  <c r="R175" i="2"/>
  <c r="S175" i="2"/>
  <c r="T175" i="2"/>
  <c r="U175" i="2"/>
  <c r="X175" i="2"/>
  <c r="AK175" i="2"/>
  <c r="AL175" i="2"/>
  <c r="AM175" i="2"/>
  <c r="B176" i="2"/>
  <c r="C176" i="2"/>
  <c r="D176" i="2"/>
  <c r="E176" i="2"/>
  <c r="F176" i="2"/>
  <c r="L176" i="2"/>
  <c r="R176" i="2"/>
  <c r="S176" i="2"/>
  <c r="T176" i="2"/>
  <c r="U176" i="2"/>
  <c r="X176" i="2"/>
  <c r="AK176" i="2"/>
  <c r="AL176" i="2"/>
  <c r="AM176" i="2"/>
  <c r="B177" i="2"/>
  <c r="C177" i="2"/>
  <c r="D177" i="2"/>
  <c r="E177" i="2"/>
  <c r="F177" i="2"/>
  <c r="L177" i="2"/>
  <c r="R177" i="2"/>
  <c r="S177" i="2"/>
  <c r="T177" i="2"/>
  <c r="U177" i="2"/>
  <c r="X177" i="2"/>
  <c r="AK177" i="2"/>
  <c r="AL177" i="2"/>
  <c r="AM177" i="2"/>
  <c r="B178" i="2"/>
  <c r="C178" i="2"/>
  <c r="D178" i="2"/>
  <c r="E178" i="2"/>
  <c r="F178" i="2"/>
  <c r="L178" i="2"/>
  <c r="R178" i="2"/>
  <c r="S178" i="2"/>
  <c r="T178" i="2"/>
  <c r="U178" i="2"/>
  <c r="X178" i="2"/>
  <c r="AK178" i="2"/>
  <c r="AL178" i="2"/>
  <c r="AM178" i="2"/>
  <c r="B179" i="2"/>
  <c r="C179" i="2"/>
  <c r="D179" i="2"/>
  <c r="E179" i="2"/>
  <c r="F179" i="2"/>
  <c r="L179" i="2"/>
  <c r="R179" i="2"/>
  <c r="S179" i="2"/>
  <c r="T179" i="2"/>
  <c r="U179" i="2"/>
  <c r="X179" i="2"/>
  <c r="AK179" i="2"/>
  <c r="AL179" i="2"/>
  <c r="AM179" i="2"/>
  <c r="B180" i="2"/>
  <c r="C180" i="2"/>
  <c r="D180" i="2"/>
  <c r="E180" i="2"/>
  <c r="F180" i="2"/>
  <c r="L180" i="2"/>
  <c r="R180" i="2"/>
  <c r="S180" i="2"/>
  <c r="T180" i="2"/>
  <c r="U180" i="2"/>
  <c r="X180" i="2"/>
  <c r="AK180" i="2"/>
  <c r="AL180" i="2"/>
  <c r="AM180" i="2"/>
  <c r="B181" i="2"/>
  <c r="C181" i="2"/>
  <c r="D181" i="2"/>
  <c r="E181" i="2"/>
  <c r="F181" i="2"/>
  <c r="L181" i="2"/>
  <c r="R181" i="2"/>
  <c r="S181" i="2"/>
  <c r="T181" i="2"/>
  <c r="U181" i="2"/>
  <c r="X181" i="2"/>
  <c r="AK181" i="2"/>
  <c r="AL181" i="2"/>
  <c r="AM181" i="2"/>
  <c r="B182" i="2"/>
  <c r="C182" i="2"/>
  <c r="D182" i="2"/>
  <c r="E182" i="2"/>
  <c r="F182" i="2"/>
  <c r="L182" i="2"/>
  <c r="R182" i="2"/>
  <c r="S182" i="2"/>
  <c r="T182" i="2"/>
  <c r="U182" i="2"/>
  <c r="X182" i="2"/>
  <c r="AK182" i="2"/>
  <c r="AL182" i="2"/>
  <c r="AM182" i="2"/>
  <c r="B183" i="2"/>
  <c r="C183" i="2"/>
  <c r="D183" i="2"/>
  <c r="E183" i="2"/>
  <c r="F183" i="2"/>
  <c r="L183" i="2"/>
  <c r="R183" i="2"/>
  <c r="S183" i="2"/>
  <c r="T183" i="2"/>
  <c r="U183" i="2"/>
  <c r="X183" i="2"/>
  <c r="AK183" i="2"/>
  <c r="AL183" i="2"/>
  <c r="AM183" i="2"/>
  <c r="B184" i="2"/>
  <c r="C184" i="2"/>
  <c r="D184" i="2"/>
  <c r="E184" i="2"/>
  <c r="F184" i="2"/>
  <c r="L184" i="2"/>
  <c r="R184" i="2"/>
  <c r="S184" i="2"/>
  <c r="T184" i="2"/>
  <c r="U184" i="2"/>
  <c r="X184" i="2"/>
  <c r="AK184" i="2"/>
  <c r="AL184" i="2"/>
  <c r="AM184" i="2"/>
  <c r="B185" i="2"/>
  <c r="C185" i="2"/>
  <c r="D185" i="2"/>
  <c r="E185" i="2"/>
  <c r="F185" i="2"/>
  <c r="L185" i="2"/>
  <c r="R185" i="2"/>
  <c r="S185" i="2"/>
  <c r="T185" i="2"/>
  <c r="U185" i="2"/>
  <c r="X185" i="2"/>
  <c r="AK185" i="2"/>
  <c r="AL185" i="2"/>
  <c r="AM185" i="2"/>
  <c r="B186" i="2"/>
  <c r="C186" i="2"/>
  <c r="D186" i="2"/>
  <c r="E186" i="2"/>
  <c r="F186" i="2"/>
  <c r="L186" i="2"/>
  <c r="R186" i="2"/>
  <c r="S186" i="2"/>
  <c r="T186" i="2"/>
  <c r="U186" i="2"/>
  <c r="X186" i="2"/>
  <c r="AK186" i="2"/>
  <c r="AL186" i="2"/>
  <c r="AM186" i="2"/>
  <c r="B187" i="2"/>
  <c r="C187" i="2"/>
  <c r="D187" i="2"/>
  <c r="E187" i="2"/>
  <c r="F187" i="2"/>
  <c r="L187" i="2"/>
  <c r="R187" i="2"/>
  <c r="S187" i="2"/>
  <c r="T187" i="2"/>
  <c r="U187" i="2"/>
  <c r="X187" i="2"/>
  <c r="AK187" i="2"/>
  <c r="AL187" i="2"/>
  <c r="AM187" i="2"/>
  <c r="B188" i="2"/>
  <c r="C188" i="2"/>
  <c r="D188" i="2"/>
  <c r="E188" i="2"/>
  <c r="F188" i="2"/>
  <c r="L188" i="2"/>
  <c r="R188" i="2"/>
  <c r="S188" i="2"/>
  <c r="T188" i="2"/>
  <c r="U188" i="2"/>
  <c r="X188" i="2"/>
  <c r="AK188" i="2"/>
  <c r="AL188" i="2"/>
  <c r="AM188" i="2"/>
  <c r="B189" i="2"/>
  <c r="C189" i="2"/>
  <c r="D189" i="2"/>
  <c r="E189" i="2"/>
  <c r="F189" i="2"/>
  <c r="L189" i="2"/>
  <c r="R189" i="2"/>
  <c r="S189" i="2"/>
  <c r="T189" i="2"/>
  <c r="U189" i="2"/>
  <c r="X189" i="2"/>
  <c r="AK189" i="2"/>
  <c r="AL189" i="2"/>
  <c r="AM189" i="2"/>
  <c r="B190" i="2"/>
  <c r="C190" i="2"/>
  <c r="D190" i="2"/>
  <c r="E190" i="2"/>
  <c r="F190" i="2"/>
  <c r="L190" i="2"/>
  <c r="R190" i="2"/>
  <c r="S190" i="2"/>
  <c r="T190" i="2"/>
  <c r="U190" i="2"/>
  <c r="X190" i="2"/>
  <c r="AK190" i="2"/>
  <c r="AL190" i="2"/>
  <c r="AM190" i="2"/>
  <c r="B191" i="2"/>
  <c r="C191" i="2"/>
  <c r="D191" i="2"/>
  <c r="E191" i="2"/>
  <c r="F191" i="2"/>
  <c r="L191" i="2"/>
  <c r="R191" i="2"/>
  <c r="S191" i="2"/>
  <c r="T191" i="2"/>
  <c r="U191" i="2"/>
  <c r="X191" i="2"/>
  <c r="AK191" i="2"/>
  <c r="AL191" i="2"/>
  <c r="AM191" i="2"/>
  <c r="B192" i="2"/>
  <c r="C192" i="2"/>
  <c r="D192" i="2"/>
  <c r="E192" i="2"/>
  <c r="F192" i="2"/>
  <c r="L192" i="2"/>
  <c r="R192" i="2"/>
  <c r="S192" i="2"/>
  <c r="T192" i="2"/>
  <c r="U192" i="2"/>
  <c r="X192" i="2"/>
  <c r="AK192" i="2"/>
  <c r="AL192" i="2"/>
  <c r="AM192" i="2"/>
  <c r="B193" i="2"/>
  <c r="C193" i="2"/>
  <c r="D193" i="2"/>
  <c r="E193" i="2"/>
  <c r="F193" i="2"/>
  <c r="L193" i="2"/>
  <c r="R193" i="2"/>
  <c r="S193" i="2"/>
  <c r="T193" i="2"/>
  <c r="U193" i="2"/>
  <c r="X193" i="2"/>
  <c r="AK193" i="2"/>
  <c r="AL193" i="2"/>
  <c r="AM193" i="2"/>
  <c r="B194" i="2"/>
  <c r="C194" i="2"/>
  <c r="D194" i="2"/>
  <c r="E194" i="2"/>
  <c r="F194" i="2"/>
  <c r="L194" i="2"/>
  <c r="R194" i="2"/>
  <c r="S194" i="2"/>
  <c r="T194" i="2"/>
  <c r="U194" i="2"/>
  <c r="X194" i="2"/>
  <c r="AK194" i="2"/>
  <c r="AL194" i="2"/>
  <c r="AM194" i="2"/>
  <c r="B195" i="2"/>
  <c r="C195" i="2"/>
  <c r="D195" i="2"/>
  <c r="E195" i="2"/>
  <c r="F195" i="2"/>
  <c r="L195" i="2"/>
  <c r="R195" i="2"/>
  <c r="S195" i="2"/>
  <c r="T195" i="2"/>
  <c r="U195" i="2"/>
  <c r="X195" i="2"/>
  <c r="AK195" i="2"/>
  <c r="AL195" i="2"/>
  <c r="AM195" i="2"/>
  <c r="B196" i="2"/>
  <c r="C196" i="2"/>
  <c r="D196" i="2"/>
  <c r="E196" i="2"/>
  <c r="F196" i="2"/>
  <c r="L196" i="2"/>
  <c r="R196" i="2"/>
  <c r="S196" i="2"/>
  <c r="T196" i="2"/>
  <c r="U196" i="2"/>
  <c r="X196" i="2"/>
  <c r="AK196" i="2"/>
  <c r="AL196" i="2"/>
  <c r="AM196" i="2"/>
  <c r="B197" i="2"/>
  <c r="C197" i="2"/>
  <c r="D197" i="2"/>
  <c r="E197" i="2"/>
  <c r="F197" i="2"/>
  <c r="L197" i="2"/>
  <c r="R197" i="2"/>
  <c r="S197" i="2"/>
  <c r="T197" i="2"/>
  <c r="U197" i="2"/>
  <c r="X197" i="2"/>
  <c r="AK197" i="2"/>
  <c r="AL197" i="2"/>
  <c r="AM197" i="2"/>
  <c r="B198" i="2"/>
  <c r="C198" i="2"/>
  <c r="D198" i="2"/>
  <c r="E198" i="2"/>
  <c r="F198" i="2"/>
  <c r="L198" i="2"/>
  <c r="R198" i="2"/>
  <c r="S198" i="2"/>
  <c r="T198" i="2"/>
  <c r="U198" i="2"/>
  <c r="X198" i="2"/>
  <c r="AK198" i="2"/>
  <c r="AL198" i="2"/>
  <c r="AM198" i="2"/>
  <c r="B199" i="2"/>
  <c r="C199" i="2"/>
  <c r="D199" i="2"/>
  <c r="E199" i="2"/>
  <c r="F199" i="2"/>
  <c r="L199" i="2"/>
  <c r="R199" i="2"/>
  <c r="S199" i="2"/>
  <c r="T199" i="2"/>
  <c r="U199" i="2"/>
  <c r="X199" i="2"/>
  <c r="AK199" i="2"/>
  <c r="AL199" i="2"/>
  <c r="AM199" i="2"/>
  <c r="B200" i="2"/>
  <c r="C200" i="2"/>
  <c r="D200" i="2"/>
  <c r="E200" i="2"/>
  <c r="F200" i="2"/>
  <c r="L200" i="2"/>
  <c r="R200" i="2"/>
  <c r="S200" i="2"/>
  <c r="T200" i="2"/>
  <c r="U200" i="2"/>
  <c r="X200" i="2"/>
  <c r="AK200" i="2"/>
  <c r="AL200" i="2"/>
  <c r="AM200" i="2"/>
  <c r="B201" i="2"/>
  <c r="C201" i="2"/>
  <c r="D201" i="2"/>
  <c r="E201" i="2"/>
  <c r="F201" i="2"/>
  <c r="L201" i="2"/>
  <c r="R201" i="2"/>
  <c r="S201" i="2"/>
  <c r="T201" i="2"/>
  <c r="U201" i="2"/>
  <c r="X201" i="2"/>
  <c r="AK201" i="2"/>
  <c r="AL201" i="2"/>
  <c r="AM201" i="2"/>
  <c r="B202" i="2"/>
  <c r="C202" i="2"/>
  <c r="D202" i="2"/>
  <c r="E202" i="2"/>
  <c r="F202" i="2"/>
  <c r="L202" i="2"/>
  <c r="R202" i="2"/>
  <c r="S202" i="2"/>
  <c r="T202" i="2"/>
  <c r="U202" i="2"/>
  <c r="X202" i="2"/>
  <c r="AK202" i="2"/>
  <c r="AL202" i="2"/>
  <c r="AM202" i="2"/>
  <c r="B203" i="2"/>
  <c r="C203" i="2"/>
  <c r="D203" i="2"/>
  <c r="E203" i="2"/>
  <c r="F203" i="2"/>
  <c r="L203" i="2"/>
  <c r="R203" i="2"/>
  <c r="S203" i="2"/>
  <c r="T203" i="2"/>
  <c r="U203" i="2"/>
  <c r="X203" i="2"/>
  <c r="AK203" i="2"/>
  <c r="AL203" i="2"/>
  <c r="AM203" i="2"/>
  <c r="B204" i="2"/>
  <c r="C204" i="2"/>
  <c r="D204" i="2"/>
  <c r="E204" i="2"/>
  <c r="F204" i="2"/>
  <c r="L204" i="2"/>
  <c r="R204" i="2"/>
  <c r="S204" i="2"/>
  <c r="T204" i="2"/>
  <c r="U204" i="2"/>
  <c r="X204" i="2"/>
  <c r="AK204" i="2"/>
  <c r="AL204" i="2"/>
  <c r="AM204" i="2"/>
  <c r="B205" i="2"/>
  <c r="C205" i="2"/>
  <c r="D205" i="2"/>
  <c r="E205" i="2"/>
  <c r="F205" i="2"/>
  <c r="L205" i="2"/>
  <c r="R205" i="2"/>
  <c r="S205" i="2"/>
  <c r="T205" i="2"/>
  <c r="U205" i="2"/>
  <c r="X205" i="2"/>
  <c r="AK205" i="2"/>
  <c r="AL205" i="2"/>
  <c r="AM205" i="2"/>
  <c r="B206" i="2"/>
  <c r="C206" i="2"/>
  <c r="D206" i="2"/>
  <c r="E206" i="2"/>
  <c r="F206" i="2"/>
  <c r="L206" i="2"/>
  <c r="R206" i="2"/>
  <c r="S206" i="2"/>
  <c r="T206" i="2"/>
  <c r="U206" i="2"/>
  <c r="X206" i="2"/>
  <c r="AK206" i="2"/>
  <c r="AL206" i="2"/>
  <c r="AM206" i="2"/>
  <c r="B207" i="2"/>
  <c r="C207" i="2"/>
  <c r="D207" i="2"/>
  <c r="E207" i="2"/>
  <c r="F207" i="2"/>
  <c r="L207" i="2"/>
  <c r="R207" i="2"/>
  <c r="S207" i="2"/>
  <c r="T207" i="2"/>
  <c r="U207" i="2"/>
  <c r="X207" i="2"/>
  <c r="AK207" i="2"/>
  <c r="AL207" i="2"/>
  <c r="AM207" i="2"/>
  <c r="B208" i="2"/>
  <c r="C208" i="2"/>
  <c r="D208" i="2"/>
  <c r="E208" i="2"/>
  <c r="F208" i="2"/>
  <c r="L208" i="2"/>
  <c r="R208" i="2"/>
  <c r="S208" i="2"/>
  <c r="T208" i="2"/>
  <c r="U208" i="2"/>
  <c r="X208" i="2"/>
  <c r="AK208" i="2"/>
  <c r="AL208" i="2"/>
  <c r="AM208" i="2"/>
  <c r="B209" i="2"/>
  <c r="C209" i="2"/>
  <c r="D209" i="2"/>
  <c r="E209" i="2"/>
  <c r="F209" i="2"/>
  <c r="L209" i="2"/>
  <c r="R209" i="2"/>
  <c r="S209" i="2"/>
  <c r="T209" i="2"/>
  <c r="U209" i="2"/>
  <c r="X209" i="2"/>
  <c r="AK209" i="2"/>
  <c r="AL209" i="2"/>
  <c r="AM209" i="2"/>
  <c r="B210" i="2"/>
  <c r="C210" i="2"/>
  <c r="D210" i="2"/>
  <c r="E210" i="2"/>
  <c r="F210" i="2"/>
  <c r="L210" i="2"/>
  <c r="R210" i="2"/>
  <c r="S210" i="2"/>
  <c r="T210" i="2"/>
  <c r="U210" i="2"/>
  <c r="X210" i="2"/>
  <c r="AK210" i="2"/>
  <c r="AL210" i="2"/>
  <c r="AM210" i="2"/>
  <c r="B211" i="2"/>
  <c r="C211" i="2"/>
  <c r="D211" i="2"/>
  <c r="E211" i="2"/>
  <c r="F211" i="2"/>
  <c r="L211" i="2"/>
  <c r="R211" i="2"/>
  <c r="S211" i="2"/>
  <c r="T211" i="2"/>
  <c r="U211" i="2"/>
  <c r="X211" i="2"/>
  <c r="AK211" i="2"/>
  <c r="AL211" i="2"/>
  <c r="AM211" i="2"/>
  <c r="B212" i="2"/>
  <c r="C212" i="2"/>
  <c r="D212" i="2"/>
  <c r="E212" i="2"/>
  <c r="F212" i="2"/>
  <c r="L212" i="2"/>
  <c r="R212" i="2"/>
  <c r="S212" i="2"/>
  <c r="T212" i="2"/>
  <c r="U212" i="2"/>
  <c r="X212" i="2"/>
  <c r="AK212" i="2"/>
  <c r="AL212" i="2"/>
  <c r="AM212" i="2"/>
  <c r="B213" i="2"/>
  <c r="C213" i="2"/>
  <c r="D213" i="2"/>
  <c r="E213" i="2"/>
  <c r="F213" i="2"/>
  <c r="L213" i="2"/>
  <c r="R213" i="2"/>
  <c r="S213" i="2"/>
  <c r="T213" i="2"/>
  <c r="U213" i="2"/>
  <c r="X213" i="2"/>
  <c r="AK213" i="2"/>
  <c r="AL213" i="2"/>
  <c r="AM213" i="2"/>
  <c r="B214" i="2"/>
  <c r="C214" i="2"/>
  <c r="D214" i="2"/>
  <c r="E214" i="2"/>
  <c r="F214" i="2"/>
  <c r="L214" i="2"/>
  <c r="R214" i="2"/>
  <c r="S214" i="2"/>
  <c r="T214" i="2"/>
  <c r="U214" i="2"/>
  <c r="X214" i="2"/>
  <c r="AK214" i="2"/>
  <c r="AL214" i="2"/>
  <c r="AM214" i="2"/>
  <c r="B215" i="2"/>
  <c r="C215" i="2"/>
  <c r="D215" i="2"/>
  <c r="E215" i="2"/>
  <c r="F215" i="2"/>
  <c r="L215" i="2"/>
  <c r="R215" i="2"/>
  <c r="S215" i="2"/>
  <c r="T215" i="2"/>
  <c r="U215" i="2"/>
  <c r="X215" i="2"/>
  <c r="AK215" i="2"/>
  <c r="AL215" i="2"/>
  <c r="AM215" i="2"/>
  <c r="B216" i="2"/>
  <c r="C216" i="2"/>
  <c r="D216" i="2"/>
  <c r="E216" i="2"/>
  <c r="F216" i="2"/>
  <c r="L216" i="2"/>
  <c r="R216" i="2"/>
  <c r="S216" i="2"/>
  <c r="T216" i="2"/>
  <c r="U216" i="2"/>
  <c r="X216" i="2"/>
  <c r="AK216" i="2"/>
  <c r="AL216" i="2"/>
  <c r="AM216" i="2"/>
  <c r="B217" i="2"/>
  <c r="C217" i="2"/>
  <c r="D217" i="2"/>
  <c r="E217" i="2"/>
  <c r="F217" i="2"/>
  <c r="L217" i="2"/>
  <c r="R217" i="2"/>
  <c r="S217" i="2"/>
  <c r="T217" i="2"/>
  <c r="U217" i="2"/>
  <c r="X217" i="2"/>
  <c r="AK217" i="2"/>
  <c r="AL217" i="2"/>
  <c r="AM217" i="2"/>
  <c r="B218" i="2"/>
  <c r="C218" i="2"/>
  <c r="D218" i="2"/>
  <c r="E218" i="2"/>
  <c r="F218" i="2"/>
  <c r="L218" i="2"/>
  <c r="R218" i="2"/>
  <c r="S218" i="2"/>
  <c r="T218" i="2"/>
  <c r="U218" i="2"/>
  <c r="X218" i="2"/>
  <c r="AK218" i="2"/>
  <c r="AL218" i="2"/>
  <c r="AM218" i="2"/>
  <c r="B219" i="2"/>
  <c r="C219" i="2"/>
  <c r="D219" i="2"/>
  <c r="E219" i="2"/>
  <c r="F219" i="2"/>
  <c r="L219" i="2"/>
  <c r="R219" i="2"/>
  <c r="S219" i="2"/>
  <c r="T219" i="2"/>
  <c r="U219" i="2"/>
  <c r="X219" i="2"/>
  <c r="AK219" i="2"/>
  <c r="AL219" i="2"/>
  <c r="AM219" i="2"/>
  <c r="B220" i="2"/>
  <c r="C220" i="2"/>
  <c r="D220" i="2"/>
  <c r="E220" i="2"/>
  <c r="F220" i="2"/>
  <c r="L220" i="2"/>
  <c r="R220" i="2"/>
  <c r="S220" i="2"/>
  <c r="T220" i="2"/>
  <c r="U220" i="2"/>
  <c r="X220" i="2"/>
  <c r="AK220" i="2"/>
  <c r="AL220" i="2"/>
  <c r="AM220" i="2"/>
  <c r="B221" i="2"/>
  <c r="C221" i="2"/>
  <c r="D221" i="2"/>
  <c r="E221" i="2"/>
  <c r="F221" i="2"/>
  <c r="L221" i="2"/>
  <c r="R221" i="2"/>
  <c r="S221" i="2"/>
  <c r="T221" i="2"/>
  <c r="U221" i="2"/>
  <c r="X221" i="2"/>
  <c r="AK221" i="2"/>
  <c r="AL221" i="2"/>
  <c r="AM221" i="2"/>
  <c r="B222" i="2"/>
  <c r="C222" i="2"/>
  <c r="D222" i="2"/>
  <c r="E222" i="2"/>
  <c r="F222" i="2"/>
  <c r="L222" i="2"/>
  <c r="R222" i="2"/>
  <c r="S222" i="2"/>
  <c r="T222" i="2"/>
  <c r="U222" i="2"/>
  <c r="X222" i="2"/>
  <c r="AK222" i="2"/>
  <c r="AL222" i="2"/>
  <c r="AM222" i="2"/>
  <c r="B223" i="2"/>
  <c r="C223" i="2"/>
  <c r="D223" i="2"/>
  <c r="E223" i="2"/>
  <c r="F223" i="2"/>
  <c r="L223" i="2"/>
  <c r="R223" i="2"/>
  <c r="S223" i="2"/>
  <c r="T223" i="2"/>
  <c r="U223" i="2"/>
  <c r="X223" i="2"/>
  <c r="AK223" i="2"/>
  <c r="AL223" i="2"/>
  <c r="AM223" i="2"/>
  <c r="B224" i="2"/>
  <c r="C224" i="2"/>
  <c r="D224" i="2"/>
  <c r="E224" i="2"/>
  <c r="F224" i="2"/>
  <c r="L224" i="2"/>
  <c r="R224" i="2"/>
  <c r="S224" i="2"/>
  <c r="T224" i="2"/>
  <c r="U224" i="2"/>
  <c r="X224" i="2"/>
  <c r="AK224" i="2"/>
  <c r="AL224" i="2"/>
  <c r="AM224" i="2"/>
  <c r="B225" i="2"/>
  <c r="C225" i="2"/>
  <c r="D225" i="2"/>
  <c r="E225" i="2"/>
  <c r="F225" i="2"/>
  <c r="L225" i="2"/>
  <c r="R225" i="2"/>
  <c r="S225" i="2"/>
  <c r="T225" i="2"/>
  <c r="U225" i="2"/>
  <c r="X225" i="2"/>
  <c r="AK225" i="2"/>
  <c r="AL225" i="2"/>
  <c r="AM225" i="2"/>
  <c r="B226" i="2"/>
  <c r="C226" i="2"/>
  <c r="D226" i="2"/>
  <c r="E226" i="2"/>
  <c r="F226" i="2"/>
  <c r="L226" i="2"/>
  <c r="R226" i="2"/>
  <c r="S226" i="2"/>
  <c r="T226" i="2"/>
  <c r="U226" i="2"/>
  <c r="X226" i="2"/>
  <c r="AK226" i="2"/>
  <c r="AL226" i="2"/>
  <c r="AM226" i="2"/>
  <c r="B227" i="2"/>
  <c r="C227" i="2"/>
  <c r="D227" i="2"/>
  <c r="E227" i="2"/>
  <c r="F227" i="2"/>
  <c r="L227" i="2"/>
  <c r="R227" i="2"/>
  <c r="S227" i="2"/>
  <c r="T227" i="2"/>
  <c r="U227" i="2"/>
  <c r="X227" i="2"/>
  <c r="AK227" i="2"/>
  <c r="AL227" i="2"/>
  <c r="AM227" i="2"/>
  <c r="B228" i="2"/>
  <c r="C228" i="2"/>
  <c r="D228" i="2"/>
  <c r="E228" i="2"/>
  <c r="F228" i="2"/>
  <c r="L228" i="2"/>
  <c r="R228" i="2"/>
  <c r="S228" i="2"/>
  <c r="T228" i="2"/>
  <c r="U228" i="2"/>
  <c r="X228" i="2"/>
  <c r="AK228" i="2"/>
  <c r="AL228" i="2"/>
  <c r="AM228" i="2"/>
  <c r="B229" i="2"/>
  <c r="C229" i="2"/>
  <c r="D229" i="2"/>
  <c r="E229" i="2"/>
  <c r="F229" i="2"/>
  <c r="L229" i="2"/>
  <c r="R229" i="2"/>
  <c r="S229" i="2"/>
  <c r="T229" i="2"/>
  <c r="U229" i="2"/>
  <c r="X229" i="2"/>
  <c r="AK229" i="2"/>
  <c r="AL229" i="2"/>
  <c r="AM229" i="2"/>
  <c r="B230" i="2"/>
  <c r="C230" i="2"/>
  <c r="D230" i="2"/>
  <c r="E230" i="2"/>
  <c r="F230" i="2"/>
  <c r="L230" i="2"/>
  <c r="R230" i="2"/>
  <c r="S230" i="2"/>
  <c r="T230" i="2"/>
  <c r="U230" i="2"/>
  <c r="X230" i="2"/>
  <c r="AK230" i="2"/>
  <c r="AL230" i="2"/>
  <c r="AM230" i="2"/>
  <c r="B231" i="2"/>
  <c r="C231" i="2"/>
  <c r="D231" i="2"/>
  <c r="E231" i="2"/>
  <c r="F231" i="2"/>
  <c r="L231" i="2"/>
  <c r="R231" i="2"/>
  <c r="S231" i="2"/>
  <c r="T231" i="2"/>
  <c r="U231" i="2"/>
  <c r="X231" i="2"/>
  <c r="AK231" i="2"/>
  <c r="AL231" i="2"/>
  <c r="AM231" i="2"/>
  <c r="B232" i="2"/>
  <c r="C232" i="2"/>
  <c r="D232" i="2"/>
  <c r="E232" i="2"/>
  <c r="F232" i="2"/>
  <c r="L232" i="2"/>
  <c r="R232" i="2"/>
  <c r="S232" i="2"/>
  <c r="T232" i="2"/>
  <c r="U232" i="2"/>
  <c r="X232" i="2"/>
  <c r="AK232" i="2"/>
  <c r="AL232" i="2"/>
  <c r="AM232" i="2"/>
  <c r="B233" i="2"/>
  <c r="C233" i="2"/>
  <c r="D233" i="2"/>
  <c r="E233" i="2"/>
  <c r="F233" i="2"/>
  <c r="L233" i="2"/>
  <c r="R233" i="2"/>
  <c r="S233" i="2"/>
  <c r="T233" i="2"/>
  <c r="U233" i="2"/>
  <c r="X233" i="2"/>
  <c r="AK233" i="2"/>
  <c r="AL233" i="2"/>
  <c r="AM233" i="2"/>
  <c r="B234" i="2"/>
  <c r="C234" i="2"/>
  <c r="D234" i="2"/>
  <c r="E234" i="2"/>
  <c r="F234" i="2"/>
  <c r="L234" i="2"/>
  <c r="R234" i="2"/>
  <c r="S234" i="2"/>
  <c r="T234" i="2"/>
  <c r="U234" i="2"/>
  <c r="X234" i="2"/>
  <c r="AK234" i="2"/>
  <c r="AL234" i="2"/>
  <c r="AM234" i="2"/>
  <c r="B235" i="2"/>
  <c r="C235" i="2"/>
  <c r="D235" i="2"/>
  <c r="E235" i="2"/>
  <c r="F235" i="2"/>
  <c r="L235" i="2"/>
  <c r="R235" i="2"/>
  <c r="S235" i="2"/>
  <c r="T235" i="2"/>
  <c r="U235" i="2"/>
  <c r="X235" i="2"/>
  <c r="AK235" i="2"/>
  <c r="AL235" i="2"/>
  <c r="AM235" i="2"/>
  <c r="B236" i="2"/>
  <c r="C236" i="2"/>
  <c r="D236" i="2"/>
  <c r="E236" i="2"/>
  <c r="F236" i="2"/>
  <c r="L236" i="2"/>
  <c r="R236" i="2"/>
  <c r="S236" i="2"/>
  <c r="T236" i="2"/>
  <c r="U236" i="2"/>
  <c r="X236" i="2"/>
  <c r="AK236" i="2"/>
  <c r="AL236" i="2"/>
  <c r="AM236" i="2"/>
  <c r="B237" i="2"/>
  <c r="C237" i="2"/>
  <c r="D237" i="2"/>
  <c r="E237" i="2"/>
  <c r="F237" i="2"/>
  <c r="L237" i="2"/>
  <c r="R237" i="2"/>
  <c r="S237" i="2"/>
  <c r="T237" i="2"/>
  <c r="U237" i="2"/>
  <c r="X237" i="2"/>
  <c r="AK237" i="2"/>
  <c r="AL237" i="2"/>
  <c r="AM237" i="2"/>
  <c r="B238" i="2"/>
  <c r="C238" i="2"/>
  <c r="D238" i="2"/>
  <c r="E238" i="2"/>
  <c r="F238" i="2"/>
  <c r="L238" i="2"/>
  <c r="R238" i="2"/>
  <c r="S238" i="2"/>
  <c r="T238" i="2"/>
  <c r="U238" i="2"/>
  <c r="X238" i="2"/>
  <c r="AK238" i="2"/>
  <c r="AL238" i="2"/>
  <c r="AM238" i="2"/>
  <c r="B239" i="2"/>
  <c r="C239" i="2"/>
  <c r="D239" i="2"/>
  <c r="E239" i="2"/>
  <c r="F239" i="2"/>
  <c r="L239" i="2"/>
  <c r="R239" i="2"/>
  <c r="S239" i="2"/>
  <c r="T239" i="2"/>
  <c r="U239" i="2"/>
  <c r="X239" i="2"/>
  <c r="AK239" i="2"/>
  <c r="AL239" i="2"/>
  <c r="AM239" i="2"/>
  <c r="B240" i="2"/>
  <c r="C240" i="2"/>
  <c r="D240" i="2"/>
  <c r="E240" i="2"/>
  <c r="F240" i="2"/>
  <c r="L240" i="2"/>
  <c r="R240" i="2"/>
  <c r="S240" i="2"/>
  <c r="T240" i="2"/>
  <c r="U240" i="2"/>
  <c r="X240" i="2"/>
  <c r="AK240" i="2"/>
  <c r="AL240" i="2"/>
  <c r="AM240" i="2"/>
  <c r="B241" i="2"/>
  <c r="C241" i="2"/>
  <c r="D241" i="2"/>
  <c r="E241" i="2"/>
  <c r="F241" i="2"/>
  <c r="L241" i="2"/>
  <c r="R241" i="2"/>
  <c r="S241" i="2"/>
  <c r="T241" i="2"/>
  <c r="U241" i="2"/>
  <c r="X241" i="2"/>
  <c r="AK241" i="2"/>
  <c r="AL241" i="2"/>
  <c r="AM241" i="2"/>
  <c r="B242" i="2"/>
  <c r="C242" i="2"/>
  <c r="D242" i="2"/>
  <c r="E242" i="2"/>
  <c r="F242" i="2"/>
  <c r="L242" i="2"/>
  <c r="R242" i="2"/>
  <c r="S242" i="2"/>
  <c r="T242" i="2"/>
  <c r="U242" i="2"/>
  <c r="X242" i="2"/>
  <c r="AK242" i="2"/>
  <c r="AL242" i="2"/>
  <c r="AM242" i="2"/>
  <c r="B243" i="2"/>
  <c r="C243" i="2"/>
  <c r="D243" i="2"/>
  <c r="E243" i="2"/>
  <c r="F243" i="2"/>
  <c r="L243" i="2"/>
  <c r="R243" i="2"/>
  <c r="S243" i="2"/>
  <c r="T243" i="2"/>
  <c r="U243" i="2"/>
  <c r="X243" i="2"/>
  <c r="AK243" i="2"/>
  <c r="AL243" i="2"/>
  <c r="AM243" i="2"/>
  <c r="B244" i="2"/>
  <c r="C244" i="2"/>
  <c r="D244" i="2"/>
  <c r="E244" i="2"/>
  <c r="F244" i="2"/>
  <c r="L244" i="2"/>
  <c r="R244" i="2"/>
  <c r="S244" i="2"/>
  <c r="T244" i="2"/>
  <c r="U244" i="2"/>
  <c r="X244" i="2"/>
  <c r="AK244" i="2"/>
  <c r="AL244" i="2"/>
  <c r="AM244" i="2"/>
  <c r="B245" i="2"/>
  <c r="C245" i="2"/>
  <c r="D245" i="2"/>
  <c r="E245" i="2"/>
  <c r="F245" i="2"/>
  <c r="L245" i="2"/>
  <c r="R245" i="2"/>
  <c r="S245" i="2"/>
  <c r="T245" i="2"/>
  <c r="U245" i="2"/>
  <c r="X245" i="2"/>
  <c r="AK245" i="2"/>
  <c r="AL245" i="2"/>
  <c r="AM245" i="2"/>
  <c r="B246" i="2"/>
  <c r="C246" i="2"/>
  <c r="D246" i="2"/>
  <c r="E246" i="2"/>
  <c r="F246" i="2"/>
  <c r="L246" i="2"/>
  <c r="R246" i="2"/>
  <c r="S246" i="2"/>
  <c r="T246" i="2"/>
  <c r="U246" i="2"/>
  <c r="X246" i="2"/>
  <c r="AK246" i="2"/>
  <c r="AL246" i="2"/>
  <c r="AM246" i="2"/>
  <c r="B247" i="2"/>
  <c r="C247" i="2"/>
  <c r="D247" i="2"/>
  <c r="E247" i="2"/>
  <c r="F247" i="2"/>
  <c r="L247" i="2"/>
  <c r="R247" i="2"/>
  <c r="S247" i="2"/>
  <c r="T247" i="2"/>
  <c r="U247" i="2"/>
  <c r="X247" i="2"/>
  <c r="AK247" i="2"/>
  <c r="AL247" i="2"/>
  <c r="AM247" i="2"/>
  <c r="B248" i="2"/>
  <c r="C248" i="2"/>
  <c r="D248" i="2"/>
  <c r="E248" i="2"/>
  <c r="F248" i="2"/>
  <c r="L248" i="2"/>
  <c r="R248" i="2"/>
  <c r="S248" i="2"/>
  <c r="T248" i="2"/>
  <c r="U248" i="2"/>
  <c r="X248" i="2"/>
  <c r="AK248" i="2"/>
  <c r="AL248" i="2"/>
  <c r="AM248" i="2"/>
  <c r="B249" i="2"/>
  <c r="C249" i="2"/>
  <c r="D249" i="2"/>
  <c r="E249" i="2"/>
  <c r="F249" i="2"/>
  <c r="L249" i="2"/>
  <c r="R249" i="2"/>
  <c r="S249" i="2"/>
  <c r="T249" i="2"/>
  <c r="U249" i="2"/>
  <c r="X249" i="2"/>
  <c r="AK249" i="2"/>
  <c r="AL249" i="2"/>
  <c r="AM249" i="2"/>
  <c r="B250" i="2"/>
  <c r="C250" i="2"/>
  <c r="D250" i="2"/>
  <c r="E250" i="2"/>
  <c r="F250" i="2"/>
  <c r="L250" i="2"/>
  <c r="R250" i="2"/>
  <c r="S250" i="2"/>
  <c r="T250" i="2"/>
  <c r="U250" i="2"/>
  <c r="X250" i="2"/>
  <c r="AK250" i="2"/>
  <c r="AL250" i="2"/>
  <c r="AM250" i="2"/>
  <c r="B251" i="2"/>
  <c r="C251" i="2"/>
  <c r="D251" i="2"/>
  <c r="E251" i="2"/>
  <c r="F251" i="2"/>
  <c r="L251" i="2"/>
  <c r="R251" i="2"/>
  <c r="S251" i="2"/>
  <c r="T251" i="2"/>
  <c r="U251" i="2"/>
  <c r="X251" i="2"/>
  <c r="AK251" i="2"/>
  <c r="AL251" i="2"/>
  <c r="AM251" i="2"/>
  <c r="B252" i="2"/>
  <c r="C252" i="2"/>
  <c r="D252" i="2"/>
  <c r="E252" i="2"/>
  <c r="F252" i="2"/>
  <c r="L252" i="2"/>
  <c r="R252" i="2"/>
  <c r="S252" i="2"/>
  <c r="T252" i="2"/>
  <c r="U252" i="2"/>
  <c r="X252" i="2"/>
  <c r="AK252" i="2"/>
  <c r="AL252" i="2"/>
  <c r="AM252" i="2"/>
  <c r="B253" i="2"/>
  <c r="C253" i="2"/>
  <c r="D253" i="2"/>
  <c r="E253" i="2"/>
  <c r="F253" i="2"/>
  <c r="L253" i="2"/>
  <c r="R253" i="2"/>
  <c r="S253" i="2"/>
  <c r="T253" i="2"/>
  <c r="U253" i="2"/>
  <c r="X253" i="2"/>
  <c r="AK253" i="2"/>
  <c r="AL253" i="2"/>
  <c r="AM253" i="2"/>
  <c r="B254" i="2"/>
  <c r="C254" i="2"/>
  <c r="D254" i="2"/>
  <c r="E254" i="2"/>
  <c r="F254" i="2"/>
  <c r="L254" i="2"/>
  <c r="R254" i="2"/>
  <c r="S254" i="2"/>
  <c r="T254" i="2"/>
  <c r="U254" i="2"/>
  <c r="X254" i="2"/>
  <c r="AK254" i="2"/>
  <c r="AL254" i="2"/>
  <c r="AM254" i="2"/>
  <c r="B255" i="2"/>
  <c r="C255" i="2"/>
  <c r="D255" i="2"/>
  <c r="E255" i="2"/>
  <c r="F255" i="2"/>
  <c r="L255" i="2"/>
  <c r="R255" i="2"/>
  <c r="S255" i="2"/>
  <c r="T255" i="2"/>
  <c r="U255" i="2"/>
  <c r="X255" i="2"/>
  <c r="AK255" i="2"/>
  <c r="AL255" i="2"/>
  <c r="AM255" i="2"/>
  <c r="B256" i="2"/>
  <c r="C256" i="2"/>
  <c r="D256" i="2"/>
  <c r="E256" i="2"/>
  <c r="F256" i="2"/>
  <c r="L256" i="2"/>
  <c r="R256" i="2"/>
  <c r="S256" i="2"/>
  <c r="T256" i="2"/>
  <c r="U256" i="2"/>
  <c r="X256" i="2"/>
  <c r="AK256" i="2"/>
  <c r="AL256" i="2"/>
  <c r="AM256" i="2"/>
  <c r="B257" i="2"/>
  <c r="C257" i="2"/>
  <c r="D257" i="2"/>
  <c r="E257" i="2"/>
  <c r="F257" i="2"/>
  <c r="L257" i="2"/>
  <c r="R257" i="2"/>
  <c r="S257" i="2"/>
  <c r="T257" i="2"/>
  <c r="U257" i="2"/>
  <c r="X257" i="2"/>
  <c r="AK257" i="2"/>
  <c r="AL257" i="2"/>
  <c r="AM257" i="2"/>
  <c r="B258" i="2"/>
  <c r="C258" i="2"/>
  <c r="D258" i="2"/>
  <c r="E258" i="2"/>
  <c r="F258" i="2"/>
  <c r="L258" i="2"/>
  <c r="R258" i="2"/>
  <c r="S258" i="2"/>
  <c r="T258" i="2"/>
  <c r="U258" i="2"/>
  <c r="X258" i="2"/>
  <c r="AK258" i="2"/>
  <c r="AL258" i="2"/>
  <c r="AM258" i="2"/>
  <c r="B259" i="2"/>
  <c r="C259" i="2"/>
  <c r="D259" i="2"/>
  <c r="E259" i="2"/>
  <c r="F259" i="2"/>
  <c r="L259" i="2"/>
  <c r="R259" i="2"/>
  <c r="S259" i="2"/>
  <c r="T259" i="2"/>
  <c r="U259" i="2"/>
  <c r="X259" i="2"/>
  <c r="AK259" i="2"/>
  <c r="AL259" i="2"/>
  <c r="AM259" i="2"/>
  <c r="B260" i="2"/>
  <c r="C260" i="2"/>
  <c r="D260" i="2"/>
  <c r="E260" i="2"/>
  <c r="F260" i="2"/>
  <c r="L260" i="2"/>
  <c r="R260" i="2"/>
  <c r="S260" i="2"/>
  <c r="T260" i="2"/>
  <c r="U260" i="2"/>
  <c r="X260" i="2"/>
  <c r="AK260" i="2"/>
  <c r="AL260" i="2"/>
  <c r="AM260" i="2"/>
  <c r="B261" i="2"/>
  <c r="C261" i="2"/>
  <c r="D261" i="2"/>
  <c r="E261" i="2"/>
  <c r="F261" i="2"/>
  <c r="L261" i="2"/>
  <c r="R261" i="2"/>
  <c r="S261" i="2"/>
  <c r="T261" i="2"/>
  <c r="U261" i="2"/>
  <c r="X261" i="2"/>
  <c r="AK261" i="2"/>
  <c r="AL261" i="2"/>
  <c r="AM261" i="2"/>
  <c r="B262" i="2"/>
  <c r="C262" i="2"/>
  <c r="D262" i="2"/>
  <c r="E262" i="2"/>
  <c r="F262" i="2"/>
  <c r="L262" i="2"/>
  <c r="R262" i="2"/>
  <c r="S262" i="2"/>
  <c r="T262" i="2"/>
  <c r="U262" i="2"/>
  <c r="X262" i="2"/>
  <c r="AK262" i="2"/>
  <c r="AL262" i="2"/>
  <c r="AM262" i="2"/>
  <c r="B263" i="2"/>
  <c r="C263" i="2"/>
  <c r="D263" i="2"/>
  <c r="E263" i="2"/>
  <c r="F263" i="2"/>
  <c r="L263" i="2"/>
  <c r="R263" i="2"/>
  <c r="S263" i="2"/>
  <c r="T263" i="2"/>
  <c r="U263" i="2"/>
  <c r="X263" i="2"/>
  <c r="AK263" i="2"/>
  <c r="AL263" i="2"/>
  <c r="AM263" i="2"/>
  <c r="B264" i="2"/>
  <c r="C264" i="2"/>
  <c r="D264" i="2"/>
  <c r="E264" i="2"/>
  <c r="F264" i="2"/>
  <c r="L264" i="2"/>
  <c r="R264" i="2"/>
  <c r="S264" i="2"/>
  <c r="T264" i="2"/>
  <c r="U264" i="2"/>
  <c r="X264" i="2"/>
  <c r="AK264" i="2"/>
  <c r="AL264" i="2"/>
  <c r="AM264" i="2"/>
  <c r="B265" i="2"/>
  <c r="C265" i="2"/>
  <c r="D265" i="2"/>
  <c r="E265" i="2"/>
  <c r="F265" i="2"/>
  <c r="L265" i="2"/>
  <c r="R265" i="2"/>
  <c r="S265" i="2"/>
  <c r="T265" i="2"/>
  <c r="U265" i="2"/>
  <c r="X265" i="2"/>
  <c r="AK265" i="2"/>
  <c r="AL265" i="2"/>
  <c r="AM265" i="2"/>
  <c r="B266" i="2"/>
  <c r="C266" i="2"/>
  <c r="D266" i="2"/>
  <c r="E266" i="2"/>
  <c r="F266" i="2"/>
  <c r="L266" i="2"/>
  <c r="R266" i="2"/>
  <c r="S266" i="2"/>
  <c r="T266" i="2"/>
  <c r="U266" i="2"/>
  <c r="X266" i="2"/>
  <c r="AK266" i="2"/>
  <c r="AL266" i="2"/>
  <c r="AM266" i="2"/>
  <c r="B267" i="2"/>
  <c r="C267" i="2"/>
  <c r="D267" i="2"/>
  <c r="E267" i="2"/>
  <c r="F267" i="2"/>
  <c r="L267" i="2"/>
  <c r="R267" i="2"/>
  <c r="S267" i="2"/>
  <c r="T267" i="2"/>
  <c r="U267" i="2"/>
  <c r="X267" i="2"/>
  <c r="AK267" i="2"/>
  <c r="AL267" i="2"/>
  <c r="AM267" i="2"/>
  <c r="B268" i="2"/>
  <c r="C268" i="2"/>
  <c r="D268" i="2"/>
  <c r="E268" i="2"/>
  <c r="F268" i="2"/>
  <c r="L268" i="2"/>
  <c r="R268" i="2"/>
  <c r="S268" i="2"/>
  <c r="T268" i="2"/>
  <c r="U268" i="2"/>
  <c r="X268" i="2"/>
  <c r="AK268" i="2"/>
  <c r="AL268" i="2"/>
  <c r="AM268" i="2"/>
  <c r="B269" i="2"/>
  <c r="C269" i="2"/>
  <c r="D269" i="2"/>
  <c r="E269" i="2"/>
  <c r="F269" i="2"/>
  <c r="L269" i="2"/>
  <c r="R269" i="2"/>
  <c r="S269" i="2"/>
  <c r="T269" i="2"/>
  <c r="U269" i="2"/>
  <c r="X269" i="2"/>
  <c r="AK269" i="2"/>
  <c r="AL269" i="2"/>
  <c r="AM269" i="2"/>
  <c r="B270" i="2"/>
  <c r="C270" i="2"/>
  <c r="D270" i="2"/>
  <c r="E270" i="2"/>
  <c r="F270" i="2"/>
  <c r="L270" i="2"/>
  <c r="R270" i="2"/>
  <c r="S270" i="2"/>
  <c r="T270" i="2"/>
  <c r="U270" i="2"/>
  <c r="X270" i="2"/>
  <c r="AK270" i="2"/>
  <c r="AL270" i="2"/>
  <c r="AM270" i="2"/>
  <c r="B271" i="2"/>
  <c r="C271" i="2"/>
  <c r="D271" i="2"/>
  <c r="E271" i="2"/>
  <c r="F271" i="2"/>
  <c r="L271" i="2"/>
  <c r="R271" i="2"/>
  <c r="S271" i="2"/>
  <c r="T271" i="2"/>
  <c r="U271" i="2"/>
  <c r="X271" i="2"/>
  <c r="AK271" i="2"/>
  <c r="AL271" i="2"/>
  <c r="AM271" i="2"/>
  <c r="B272" i="2"/>
  <c r="C272" i="2"/>
  <c r="D272" i="2"/>
  <c r="E272" i="2"/>
  <c r="F272" i="2"/>
  <c r="L272" i="2"/>
  <c r="R272" i="2"/>
  <c r="S272" i="2"/>
  <c r="T272" i="2"/>
  <c r="U272" i="2"/>
  <c r="X272" i="2"/>
  <c r="AK272" i="2"/>
  <c r="AL272" i="2"/>
  <c r="AM272" i="2"/>
  <c r="B273" i="2"/>
  <c r="C273" i="2"/>
  <c r="D273" i="2"/>
  <c r="E273" i="2"/>
  <c r="F273" i="2"/>
  <c r="L273" i="2"/>
  <c r="R273" i="2"/>
  <c r="S273" i="2"/>
  <c r="T273" i="2"/>
  <c r="U273" i="2"/>
  <c r="X273" i="2"/>
  <c r="AK273" i="2"/>
  <c r="AL273" i="2"/>
  <c r="AM273" i="2"/>
  <c r="B274" i="2"/>
  <c r="C274" i="2"/>
  <c r="D274" i="2"/>
  <c r="E274" i="2"/>
  <c r="F274" i="2"/>
  <c r="L274" i="2"/>
  <c r="R274" i="2"/>
  <c r="S274" i="2"/>
  <c r="T274" i="2"/>
  <c r="U274" i="2"/>
  <c r="X274" i="2"/>
  <c r="AK274" i="2"/>
  <c r="AL274" i="2"/>
  <c r="AM274" i="2"/>
  <c r="B275" i="2"/>
  <c r="C275" i="2"/>
  <c r="D275" i="2"/>
  <c r="E275" i="2"/>
  <c r="F275" i="2"/>
  <c r="L275" i="2"/>
  <c r="R275" i="2"/>
  <c r="S275" i="2"/>
  <c r="T275" i="2"/>
  <c r="U275" i="2"/>
  <c r="X275" i="2"/>
  <c r="AK275" i="2"/>
  <c r="AL275" i="2"/>
  <c r="AM275" i="2"/>
  <c r="B276" i="2"/>
  <c r="C276" i="2"/>
  <c r="D276" i="2"/>
  <c r="E276" i="2"/>
  <c r="F276" i="2"/>
  <c r="L276" i="2"/>
  <c r="R276" i="2"/>
  <c r="S276" i="2"/>
  <c r="T276" i="2"/>
  <c r="U276" i="2"/>
  <c r="X276" i="2"/>
  <c r="AK276" i="2"/>
  <c r="AL276" i="2"/>
  <c r="AM276" i="2"/>
  <c r="B277" i="2"/>
  <c r="C277" i="2"/>
  <c r="D277" i="2"/>
  <c r="E277" i="2"/>
  <c r="F277" i="2"/>
  <c r="L277" i="2"/>
  <c r="R277" i="2"/>
  <c r="S277" i="2"/>
  <c r="T277" i="2"/>
  <c r="U277" i="2"/>
  <c r="X277" i="2"/>
  <c r="AK277" i="2"/>
  <c r="AL277" i="2"/>
  <c r="AM277" i="2"/>
  <c r="B278" i="2"/>
  <c r="C278" i="2"/>
  <c r="D278" i="2"/>
  <c r="E278" i="2"/>
  <c r="F278" i="2"/>
  <c r="L278" i="2"/>
  <c r="R278" i="2"/>
  <c r="S278" i="2"/>
  <c r="T278" i="2"/>
  <c r="U278" i="2"/>
  <c r="X278" i="2"/>
  <c r="AK278" i="2"/>
  <c r="AL278" i="2"/>
  <c r="AM278" i="2"/>
  <c r="B279" i="2"/>
  <c r="C279" i="2"/>
  <c r="D279" i="2"/>
  <c r="E279" i="2"/>
  <c r="F279" i="2"/>
  <c r="L279" i="2"/>
  <c r="R279" i="2"/>
  <c r="S279" i="2"/>
  <c r="T279" i="2"/>
  <c r="U279" i="2"/>
  <c r="X279" i="2"/>
  <c r="AK279" i="2"/>
  <c r="AL279" i="2"/>
  <c r="AM279" i="2"/>
  <c r="B280" i="2"/>
  <c r="C280" i="2"/>
  <c r="D280" i="2"/>
  <c r="E280" i="2"/>
  <c r="F280" i="2"/>
  <c r="L280" i="2"/>
  <c r="R280" i="2"/>
  <c r="S280" i="2"/>
  <c r="T280" i="2"/>
  <c r="U280" i="2"/>
  <c r="X280" i="2"/>
  <c r="AK280" i="2"/>
  <c r="AL280" i="2"/>
  <c r="AM280" i="2"/>
  <c r="B281" i="2"/>
  <c r="C281" i="2"/>
  <c r="D281" i="2"/>
  <c r="E281" i="2"/>
  <c r="F281" i="2"/>
  <c r="L281" i="2"/>
  <c r="R281" i="2"/>
  <c r="S281" i="2"/>
  <c r="T281" i="2"/>
  <c r="U281" i="2"/>
  <c r="X281" i="2"/>
  <c r="AK281" i="2"/>
  <c r="AL281" i="2"/>
  <c r="AM281" i="2"/>
  <c r="B282" i="2"/>
  <c r="C282" i="2"/>
  <c r="D282" i="2"/>
  <c r="E282" i="2"/>
  <c r="F282" i="2"/>
  <c r="L282" i="2"/>
  <c r="R282" i="2"/>
  <c r="S282" i="2"/>
  <c r="T282" i="2"/>
  <c r="U282" i="2"/>
  <c r="X282" i="2"/>
  <c r="AK282" i="2"/>
  <c r="AL282" i="2"/>
  <c r="AM282" i="2"/>
  <c r="B283" i="2"/>
  <c r="C283" i="2"/>
  <c r="D283" i="2"/>
  <c r="E283" i="2"/>
  <c r="F283" i="2"/>
  <c r="L283" i="2"/>
  <c r="R283" i="2"/>
  <c r="S283" i="2"/>
  <c r="T283" i="2"/>
  <c r="U283" i="2"/>
  <c r="X283" i="2"/>
  <c r="AK283" i="2"/>
  <c r="AL283" i="2"/>
  <c r="AM283" i="2"/>
  <c r="B284" i="2"/>
  <c r="C284" i="2"/>
  <c r="D284" i="2"/>
  <c r="E284" i="2"/>
  <c r="F284" i="2"/>
  <c r="L284" i="2"/>
  <c r="R284" i="2"/>
  <c r="S284" i="2"/>
  <c r="T284" i="2"/>
  <c r="U284" i="2"/>
  <c r="X284" i="2"/>
  <c r="AK284" i="2"/>
  <c r="AL284" i="2"/>
  <c r="AM284" i="2"/>
  <c r="B285" i="2"/>
  <c r="C285" i="2"/>
  <c r="D285" i="2"/>
  <c r="E285" i="2"/>
  <c r="F285" i="2"/>
  <c r="L285" i="2"/>
  <c r="R285" i="2"/>
  <c r="S285" i="2"/>
  <c r="T285" i="2"/>
  <c r="U285" i="2"/>
  <c r="X285" i="2"/>
  <c r="AK285" i="2"/>
  <c r="AL285" i="2"/>
  <c r="AM285" i="2"/>
  <c r="B286" i="2"/>
  <c r="C286" i="2"/>
  <c r="D286" i="2"/>
  <c r="E286" i="2"/>
  <c r="F286" i="2"/>
  <c r="L286" i="2"/>
  <c r="R286" i="2"/>
  <c r="S286" i="2"/>
  <c r="T286" i="2"/>
  <c r="U286" i="2"/>
  <c r="X286" i="2"/>
  <c r="AK286" i="2"/>
  <c r="AL286" i="2"/>
  <c r="AM286" i="2"/>
  <c r="B287" i="2"/>
  <c r="C287" i="2"/>
  <c r="D287" i="2"/>
  <c r="E287" i="2"/>
  <c r="F287" i="2"/>
  <c r="L287" i="2"/>
  <c r="R287" i="2"/>
  <c r="S287" i="2"/>
  <c r="T287" i="2"/>
  <c r="U287" i="2"/>
  <c r="X287" i="2"/>
  <c r="AK287" i="2"/>
  <c r="AL287" i="2"/>
  <c r="AM287" i="2"/>
  <c r="B288" i="2"/>
  <c r="C288" i="2"/>
  <c r="D288" i="2"/>
  <c r="E288" i="2"/>
  <c r="F288" i="2"/>
  <c r="L288" i="2"/>
  <c r="R288" i="2"/>
  <c r="S288" i="2"/>
  <c r="T288" i="2"/>
  <c r="U288" i="2"/>
  <c r="X288" i="2"/>
  <c r="AK288" i="2"/>
  <c r="AL288" i="2"/>
  <c r="AM288" i="2"/>
  <c r="B289" i="2"/>
  <c r="C289" i="2"/>
  <c r="D289" i="2"/>
  <c r="E289" i="2"/>
  <c r="F289" i="2"/>
  <c r="L289" i="2"/>
  <c r="R289" i="2"/>
  <c r="S289" i="2"/>
  <c r="T289" i="2"/>
  <c r="U289" i="2"/>
  <c r="X289" i="2"/>
  <c r="AK289" i="2"/>
  <c r="AL289" i="2"/>
  <c r="AM289" i="2"/>
  <c r="B290" i="2"/>
  <c r="C290" i="2"/>
  <c r="D290" i="2"/>
  <c r="E290" i="2"/>
  <c r="F290" i="2"/>
  <c r="L290" i="2"/>
  <c r="R290" i="2"/>
  <c r="S290" i="2"/>
  <c r="T290" i="2"/>
  <c r="U290" i="2"/>
  <c r="X290" i="2"/>
  <c r="AK290" i="2"/>
  <c r="AL290" i="2"/>
  <c r="AM290" i="2"/>
  <c r="B291" i="2"/>
  <c r="C291" i="2"/>
  <c r="D291" i="2"/>
  <c r="E291" i="2"/>
  <c r="F291" i="2"/>
  <c r="L291" i="2"/>
  <c r="R291" i="2"/>
  <c r="S291" i="2"/>
  <c r="T291" i="2"/>
  <c r="U291" i="2"/>
  <c r="X291" i="2"/>
  <c r="AK291" i="2"/>
  <c r="AL291" i="2"/>
  <c r="AM291" i="2"/>
  <c r="B292" i="2"/>
  <c r="C292" i="2"/>
  <c r="D292" i="2"/>
  <c r="E292" i="2"/>
  <c r="F292" i="2"/>
  <c r="L292" i="2"/>
  <c r="R292" i="2"/>
  <c r="S292" i="2"/>
  <c r="T292" i="2"/>
  <c r="U292" i="2"/>
  <c r="X292" i="2"/>
  <c r="AK292" i="2"/>
  <c r="AL292" i="2"/>
  <c r="AM292" i="2"/>
  <c r="B293" i="2"/>
  <c r="C293" i="2"/>
  <c r="D293" i="2"/>
  <c r="E293" i="2"/>
  <c r="F293" i="2"/>
  <c r="L293" i="2"/>
  <c r="R293" i="2"/>
  <c r="S293" i="2"/>
  <c r="T293" i="2"/>
  <c r="U293" i="2"/>
  <c r="X293" i="2"/>
  <c r="AK293" i="2"/>
  <c r="AL293" i="2"/>
  <c r="AM293" i="2"/>
  <c r="B294" i="2"/>
  <c r="C294" i="2"/>
  <c r="D294" i="2"/>
  <c r="E294" i="2"/>
  <c r="F294" i="2"/>
  <c r="L294" i="2"/>
  <c r="R294" i="2"/>
  <c r="S294" i="2"/>
  <c r="T294" i="2"/>
  <c r="U294" i="2"/>
  <c r="X294" i="2"/>
  <c r="AK294" i="2"/>
  <c r="AL294" i="2"/>
  <c r="AM294" i="2"/>
  <c r="B295" i="2"/>
  <c r="C295" i="2"/>
  <c r="D295" i="2"/>
  <c r="E295" i="2"/>
  <c r="F295" i="2"/>
  <c r="L295" i="2"/>
  <c r="R295" i="2"/>
  <c r="S295" i="2"/>
  <c r="T295" i="2"/>
  <c r="U295" i="2"/>
  <c r="X295" i="2"/>
  <c r="AK295" i="2"/>
  <c r="AL295" i="2"/>
  <c r="AM295" i="2"/>
  <c r="B296" i="2"/>
  <c r="C296" i="2"/>
  <c r="D296" i="2"/>
  <c r="E296" i="2"/>
  <c r="F296" i="2"/>
  <c r="L296" i="2"/>
  <c r="R296" i="2"/>
  <c r="S296" i="2"/>
  <c r="T296" i="2"/>
  <c r="U296" i="2"/>
  <c r="X296" i="2"/>
  <c r="AK296" i="2"/>
  <c r="AL296" i="2"/>
  <c r="AM296" i="2"/>
  <c r="B297" i="2"/>
  <c r="C297" i="2"/>
  <c r="D297" i="2"/>
  <c r="E297" i="2"/>
  <c r="F297" i="2"/>
  <c r="L297" i="2"/>
  <c r="R297" i="2"/>
  <c r="S297" i="2"/>
  <c r="T297" i="2"/>
  <c r="U297" i="2"/>
  <c r="X297" i="2"/>
  <c r="AK297" i="2"/>
  <c r="AL297" i="2"/>
  <c r="AM297" i="2"/>
  <c r="B298" i="2"/>
  <c r="C298" i="2"/>
  <c r="D298" i="2"/>
  <c r="E298" i="2"/>
  <c r="F298" i="2"/>
  <c r="L298" i="2"/>
  <c r="R298" i="2"/>
  <c r="S298" i="2"/>
  <c r="T298" i="2"/>
  <c r="U298" i="2"/>
  <c r="X298" i="2"/>
  <c r="AK298" i="2"/>
  <c r="AL298" i="2"/>
  <c r="AM298" i="2"/>
  <c r="B299" i="2"/>
  <c r="C299" i="2"/>
  <c r="D299" i="2"/>
  <c r="E299" i="2"/>
  <c r="F299" i="2"/>
  <c r="L299" i="2"/>
  <c r="R299" i="2"/>
  <c r="S299" i="2"/>
  <c r="T299" i="2"/>
  <c r="U299" i="2"/>
  <c r="X299" i="2"/>
  <c r="AK299" i="2"/>
  <c r="AL299" i="2"/>
  <c r="AM299" i="2"/>
  <c r="B300" i="2"/>
  <c r="C300" i="2"/>
  <c r="D300" i="2"/>
  <c r="E300" i="2"/>
  <c r="F300" i="2"/>
  <c r="L300" i="2"/>
  <c r="R300" i="2"/>
  <c r="S300" i="2"/>
  <c r="T300" i="2"/>
  <c r="U300" i="2"/>
  <c r="X300" i="2"/>
  <c r="AK300" i="2"/>
  <c r="AL300" i="2"/>
  <c r="AM300" i="2"/>
  <c r="B301" i="2"/>
  <c r="C301" i="2"/>
  <c r="D301" i="2"/>
  <c r="E301" i="2"/>
  <c r="F301" i="2"/>
  <c r="L301" i="2"/>
  <c r="R301" i="2"/>
  <c r="S301" i="2"/>
  <c r="T301" i="2"/>
  <c r="U301" i="2"/>
  <c r="X301" i="2"/>
  <c r="AK301" i="2"/>
  <c r="AL301" i="2"/>
  <c r="AM301" i="2"/>
  <c r="B302" i="2"/>
  <c r="C302" i="2"/>
  <c r="D302" i="2"/>
  <c r="E302" i="2"/>
  <c r="F302" i="2"/>
  <c r="L302" i="2"/>
  <c r="R302" i="2"/>
  <c r="S302" i="2"/>
  <c r="T302" i="2"/>
  <c r="U302" i="2"/>
  <c r="X302" i="2"/>
  <c r="AK302" i="2"/>
  <c r="AL302" i="2"/>
  <c r="AM302" i="2"/>
  <c r="B303" i="2"/>
  <c r="C303" i="2"/>
  <c r="D303" i="2"/>
  <c r="E303" i="2"/>
  <c r="F303" i="2"/>
  <c r="L303" i="2"/>
  <c r="R303" i="2"/>
  <c r="S303" i="2"/>
  <c r="T303" i="2"/>
  <c r="U303" i="2"/>
  <c r="X303" i="2"/>
  <c r="AK303" i="2"/>
  <c r="AL303" i="2"/>
  <c r="AM303" i="2"/>
  <c r="B304" i="2"/>
  <c r="C304" i="2"/>
  <c r="D304" i="2"/>
  <c r="E304" i="2"/>
  <c r="F304" i="2"/>
  <c r="L304" i="2"/>
  <c r="R304" i="2"/>
  <c r="S304" i="2"/>
  <c r="T304" i="2"/>
  <c r="U304" i="2"/>
  <c r="X304" i="2"/>
  <c r="AK304" i="2"/>
  <c r="AL304" i="2"/>
  <c r="AM304" i="2"/>
  <c r="B305" i="2"/>
  <c r="C305" i="2"/>
  <c r="D305" i="2"/>
  <c r="E305" i="2"/>
  <c r="F305" i="2"/>
  <c r="L305" i="2"/>
  <c r="R305" i="2"/>
  <c r="S305" i="2"/>
  <c r="T305" i="2"/>
  <c r="U305" i="2"/>
  <c r="X305" i="2"/>
  <c r="AK305" i="2"/>
  <c r="AL305" i="2"/>
  <c r="AM305" i="2"/>
  <c r="B306" i="2"/>
  <c r="C306" i="2"/>
  <c r="D306" i="2"/>
  <c r="E306" i="2"/>
  <c r="F306" i="2"/>
  <c r="L306" i="2"/>
  <c r="R306" i="2"/>
  <c r="S306" i="2"/>
  <c r="T306" i="2"/>
  <c r="U306" i="2"/>
  <c r="X306" i="2"/>
  <c r="AK306" i="2"/>
  <c r="AL306" i="2"/>
  <c r="AM306" i="2"/>
  <c r="B307" i="2"/>
  <c r="C307" i="2"/>
  <c r="D307" i="2"/>
  <c r="E307" i="2"/>
  <c r="F307" i="2"/>
  <c r="L307" i="2"/>
  <c r="R307" i="2"/>
  <c r="S307" i="2"/>
  <c r="T307" i="2"/>
  <c r="U307" i="2"/>
  <c r="X307" i="2"/>
  <c r="AK307" i="2"/>
  <c r="AL307" i="2"/>
  <c r="AM307" i="2"/>
  <c r="B308" i="2"/>
  <c r="C308" i="2"/>
  <c r="D308" i="2"/>
  <c r="E308" i="2"/>
  <c r="F308" i="2"/>
  <c r="L308" i="2"/>
  <c r="R308" i="2"/>
  <c r="S308" i="2"/>
  <c r="T308" i="2"/>
  <c r="U308" i="2"/>
  <c r="X308" i="2"/>
  <c r="AK308" i="2"/>
  <c r="AL308" i="2"/>
  <c r="AM308" i="2"/>
  <c r="B309" i="2"/>
  <c r="C309" i="2"/>
  <c r="D309" i="2"/>
  <c r="E309" i="2"/>
  <c r="F309" i="2"/>
  <c r="L309" i="2"/>
  <c r="R309" i="2"/>
  <c r="S309" i="2"/>
  <c r="T309" i="2"/>
  <c r="U309" i="2"/>
  <c r="X309" i="2"/>
  <c r="AK309" i="2"/>
  <c r="AL309" i="2"/>
  <c r="AM309" i="2"/>
  <c r="B310" i="2"/>
  <c r="C310" i="2"/>
  <c r="D310" i="2"/>
  <c r="E310" i="2"/>
  <c r="F310" i="2"/>
  <c r="L310" i="2"/>
  <c r="R310" i="2"/>
  <c r="S310" i="2"/>
  <c r="T310" i="2"/>
  <c r="U310" i="2"/>
  <c r="X310" i="2"/>
  <c r="AK310" i="2"/>
  <c r="AL310" i="2"/>
  <c r="AM310" i="2"/>
  <c r="B311" i="2"/>
  <c r="C311" i="2"/>
  <c r="D311" i="2"/>
  <c r="E311" i="2"/>
  <c r="F311" i="2"/>
  <c r="L311" i="2"/>
  <c r="R311" i="2"/>
  <c r="S311" i="2"/>
  <c r="T311" i="2"/>
  <c r="U311" i="2"/>
  <c r="X311" i="2"/>
  <c r="AK311" i="2"/>
  <c r="AL311" i="2"/>
  <c r="AM311" i="2"/>
  <c r="B312" i="2"/>
  <c r="C312" i="2"/>
  <c r="D312" i="2"/>
  <c r="E312" i="2"/>
  <c r="F312" i="2"/>
  <c r="L312" i="2"/>
  <c r="R312" i="2"/>
  <c r="S312" i="2"/>
  <c r="T312" i="2"/>
  <c r="U312" i="2"/>
  <c r="X312" i="2"/>
  <c r="AK312" i="2"/>
  <c r="AL312" i="2"/>
  <c r="AM312" i="2"/>
  <c r="B313" i="2"/>
  <c r="C313" i="2"/>
  <c r="D313" i="2"/>
  <c r="E313" i="2"/>
  <c r="F313" i="2"/>
  <c r="L313" i="2"/>
  <c r="R313" i="2"/>
  <c r="S313" i="2"/>
  <c r="T313" i="2"/>
  <c r="U313" i="2"/>
  <c r="X313" i="2"/>
  <c r="AK313" i="2"/>
  <c r="AL313" i="2"/>
  <c r="AM313" i="2"/>
  <c r="B314" i="2"/>
  <c r="C314" i="2"/>
  <c r="D314" i="2"/>
  <c r="E314" i="2"/>
  <c r="F314" i="2"/>
  <c r="L314" i="2"/>
  <c r="R314" i="2"/>
  <c r="S314" i="2"/>
  <c r="T314" i="2"/>
  <c r="U314" i="2"/>
  <c r="X314" i="2"/>
  <c r="AK314" i="2"/>
  <c r="AL314" i="2"/>
  <c r="AM314" i="2"/>
  <c r="B315" i="2"/>
  <c r="C315" i="2"/>
  <c r="D315" i="2"/>
  <c r="E315" i="2"/>
  <c r="F315" i="2"/>
  <c r="L315" i="2"/>
  <c r="R315" i="2"/>
  <c r="S315" i="2"/>
  <c r="T315" i="2"/>
  <c r="U315" i="2"/>
  <c r="X315" i="2"/>
  <c r="AK315" i="2"/>
  <c r="AL315" i="2"/>
  <c r="AM315" i="2"/>
  <c r="B316" i="2"/>
  <c r="C316" i="2"/>
  <c r="D316" i="2"/>
  <c r="E316" i="2"/>
  <c r="F316" i="2"/>
  <c r="L316" i="2"/>
  <c r="R316" i="2"/>
  <c r="S316" i="2"/>
  <c r="T316" i="2"/>
  <c r="U316" i="2"/>
  <c r="X316" i="2"/>
  <c r="AK316" i="2"/>
  <c r="AL316" i="2"/>
  <c r="AM316" i="2"/>
  <c r="B317" i="2"/>
  <c r="C317" i="2"/>
  <c r="D317" i="2"/>
  <c r="E317" i="2"/>
  <c r="F317" i="2"/>
  <c r="L317" i="2"/>
  <c r="R317" i="2"/>
  <c r="S317" i="2"/>
  <c r="T317" i="2"/>
  <c r="U317" i="2"/>
  <c r="X317" i="2"/>
  <c r="AK317" i="2"/>
  <c r="AL317" i="2"/>
  <c r="AM317" i="2"/>
  <c r="B318" i="2"/>
  <c r="C318" i="2"/>
  <c r="D318" i="2"/>
  <c r="E318" i="2"/>
  <c r="F318" i="2"/>
  <c r="L318" i="2"/>
  <c r="R318" i="2"/>
  <c r="S318" i="2"/>
  <c r="T318" i="2"/>
  <c r="U318" i="2"/>
  <c r="X318" i="2"/>
  <c r="AK318" i="2"/>
  <c r="AL318" i="2"/>
  <c r="AM318" i="2"/>
  <c r="B319" i="2"/>
  <c r="C319" i="2"/>
  <c r="D319" i="2"/>
  <c r="E319" i="2"/>
  <c r="F319" i="2"/>
  <c r="L319" i="2"/>
  <c r="R319" i="2"/>
  <c r="S319" i="2"/>
  <c r="T319" i="2"/>
  <c r="U319" i="2"/>
  <c r="X319" i="2"/>
  <c r="AK319" i="2"/>
  <c r="AL319" i="2"/>
  <c r="AM319" i="2"/>
  <c r="B320" i="2"/>
  <c r="C320" i="2"/>
  <c r="D320" i="2"/>
  <c r="E320" i="2"/>
  <c r="F320" i="2"/>
  <c r="L320" i="2"/>
  <c r="R320" i="2"/>
  <c r="S320" i="2"/>
  <c r="T320" i="2"/>
  <c r="U320" i="2"/>
  <c r="X320" i="2"/>
  <c r="AK320" i="2"/>
  <c r="AL320" i="2"/>
  <c r="AM320" i="2"/>
  <c r="B321" i="2"/>
  <c r="C321" i="2"/>
  <c r="D321" i="2"/>
  <c r="E321" i="2"/>
  <c r="F321" i="2"/>
  <c r="L321" i="2"/>
  <c r="R321" i="2"/>
  <c r="S321" i="2"/>
  <c r="T321" i="2"/>
  <c r="U321" i="2"/>
  <c r="X321" i="2"/>
  <c r="AK321" i="2"/>
  <c r="AL321" i="2"/>
  <c r="AM321" i="2"/>
  <c r="B322" i="2"/>
  <c r="C322" i="2"/>
  <c r="D322" i="2"/>
  <c r="E322" i="2"/>
  <c r="F322" i="2"/>
  <c r="L322" i="2"/>
  <c r="R322" i="2"/>
  <c r="S322" i="2"/>
  <c r="T322" i="2"/>
  <c r="U322" i="2"/>
  <c r="X322" i="2"/>
  <c r="AK322" i="2"/>
  <c r="AL322" i="2"/>
  <c r="AM322" i="2"/>
  <c r="B323" i="2"/>
  <c r="C323" i="2"/>
  <c r="D323" i="2"/>
  <c r="E323" i="2"/>
  <c r="F323" i="2"/>
  <c r="L323" i="2"/>
  <c r="R323" i="2"/>
  <c r="S323" i="2"/>
  <c r="T323" i="2"/>
  <c r="U323" i="2"/>
  <c r="X323" i="2"/>
  <c r="AK323" i="2"/>
  <c r="AL323" i="2"/>
  <c r="AM323" i="2"/>
  <c r="B324" i="2"/>
  <c r="C324" i="2"/>
  <c r="D324" i="2"/>
  <c r="E324" i="2"/>
  <c r="F324" i="2"/>
  <c r="L324" i="2"/>
  <c r="R324" i="2"/>
  <c r="S324" i="2"/>
  <c r="T324" i="2"/>
  <c r="U324" i="2"/>
  <c r="X324" i="2"/>
  <c r="AK324" i="2"/>
  <c r="AL324" i="2"/>
  <c r="AM324" i="2"/>
  <c r="B325" i="2"/>
  <c r="C325" i="2"/>
  <c r="D325" i="2"/>
  <c r="E325" i="2"/>
  <c r="F325" i="2"/>
  <c r="L325" i="2"/>
  <c r="R325" i="2"/>
  <c r="S325" i="2"/>
  <c r="T325" i="2"/>
  <c r="U325" i="2"/>
  <c r="X325" i="2"/>
  <c r="AK325" i="2"/>
  <c r="AL325" i="2"/>
  <c r="AM325" i="2"/>
  <c r="B326" i="2"/>
  <c r="C326" i="2"/>
  <c r="D326" i="2"/>
  <c r="E326" i="2"/>
  <c r="F326" i="2"/>
  <c r="L326" i="2"/>
  <c r="R326" i="2"/>
  <c r="S326" i="2"/>
  <c r="T326" i="2"/>
  <c r="U326" i="2"/>
  <c r="X326" i="2"/>
  <c r="AK326" i="2"/>
  <c r="AL326" i="2"/>
  <c r="AM326" i="2"/>
  <c r="B327" i="2"/>
  <c r="C327" i="2"/>
  <c r="D327" i="2"/>
  <c r="E327" i="2"/>
  <c r="F327" i="2"/>
  <c r="L327" i="2"/>
  <c r="R327" i="2"/>
  <c r="S327" i="2"/>
  <c r="T327" i="2"/>
  <c r="U327" i="2"/>
  <c r="X327" i="2"/>
  <c r="AK327" i="2"/>
  <c r="AL327" i="2"/>
  <c r="AM327" i="2"/>
  <c r="B328" i="2"/>
  <c r="C328" i="2"/>
  <c r="D328" i="2"/>
  <c r="E328" i="2"/>
  <c r="F328" i="2"/>
  <c r="L328" i="2"/>
  <c r="R328" i="2"/>
  <c r="S328" i="2"/>
  <c r="T328" i="2"/>
  <c r="U328" i="2"/>
  <c r="X328" i="2"/>
  <c r="AK328" i="2"/>
  <c r="AL328" i="2"/>
  <c r="AM328" i="2"/>
  <c r="B329" i="2"/>
  <c r="C329" i="2"/>
  <c r="D329" i="2"/>
  <c r="E329" i="2"/>
  <c r="F329" i="2"/>
  <c r="L329" i="2"/>
  <c r="R329" i="2"/>
  <c r="S329" i="2"/>
  <c r="T329" i="2"/>
  <c r="U329" i="2"/>
  <c r="X329" i="2"/>
  <c r="AK329" i="2"/>
  <c r="AL329" i="2"/>
  <c r="AM329" i="2"/>
  <c r="B330" i="2"/>
  <c r="C330" i="2"/>
  <c r="D330" i="2"/>
  <c r="E330" i="2"/>
  <c r="F330" i="2"/>
  <c r="L330" i="2"/>
  <c r="R330" i="2"/>
  <c r="S330" i="2"/>
  <c r="T330" i="2"/>
  <c r="U330" i="2"/>
  <c r="X330" i="2"/>
  <c r="AK330" i="2"/>
  <c r="AL330" i="2"/>
  <c r="AM330" i="2"/>
  <c r="B331" i="2"/>
  <c r="C331" i="2"/>
  <c r="D331" i="2"/>
  <c r="E331" i="2"/>
  <c r="F331" i="2"/>
  <c r="L331" i="2"/>
  <c r="R331" i="2"/>
  <c r="S331" i="2"/>
  <c r="T331" i="2"/>
  <c r="U331" i="2"/>
  <c r="X331" i="2"/>
  <c r="AK331" i="2"/>
  <c r="AL331" i="2"/>
  <c r="AM331" i="2"/>
  <c r="B332" i="2"/>
  <c r="C332" i="2"/>
  <c r="D332" i="2"/>
  <c r="E332" i="2"/>
  <c r="F332" i="2"/>
  <c r="L332" i="2"/>
  <c r="R332" i="2"/>
  <c r="S332" i="2"/>
  <c r="T332" i="2"/>
  <c r="U332" i="2"/>
  <c r="X332" i="2"/>
  <c r="AK332" i="2"/>
  <c r="AL332" i="2"/>
  <c r="AM332" i="2"/>
  <c r="B333" i="2"/>
  <c r="C333" i="2"/>
  <c r="D333" i="2"/>
  <c r="E333" i="2"/>
  <c r="F333" i="2"/>
  <c r="L333" i="2"/>
  <c r="R333" i="2"/>
  <c r="S333" i="2"/>
  <c r="T333" i="2"/>
  <c r="U333" i="2"/>
  <c r="X333" i="2"/>
  <c r="AK333" i="2"/>
  <c r="AL333" i="2"/>
  <c r="AM333" i="2"/>
  <c r="B334" i="2"/>
  <c r="C334" i="2"/>
  <c r="D334" i="2"/>
  <c r="E334" i="2"/>
  <c r="F334" i="2"/>
  <c r="L334" i="2"/>
  <c r="R334" i="2"/>
  <c r="S334" i="2"/>
  <c r="T334" i="2"/>
  <c r="U334" i="2"/>
  <c r="X334" i="2"/>
  <c r="AK334" i="2"/>
  <c r="AL334" i="2"/>
  <c r="AM334" i="2"/>
  <c r="B335" i="2"/>
  <c r="C335" i="2"/>
  <c r="D335" i="2"/>
  <c r="E335" i="2"/>
  <c r="F335" i="2"/>
  <c r="L335" i="2"/>
  <c r="R335" i="2"/>
  <c r="S335" i="2"/>
  <c r="T335" i="2"/>
  <c r="U335" i="2"/>
  <c r="X335" i="2"/>
  <c r="AK335" i="2"/>
  <c r="AL335" i="2"/>
  <c r="AM335" i="2"/>
  <c r="B336" i="2"/>
  <c r="C336" i="2"/>
  <c r="D336" i="2"/>
  <c r="E336" i="2"/>
  <c r="F336" i="2"/>
  <c r="L336" i="2"/>
  <c r="R336" i="2"/>
  <c r="S336" i="2"/>
  <c r="T336" i="2"/>
  <c r="U336" i="2"/>
  <c r="X336" i="2"/>
  <c r="AK336" i="2"/>
  <c r="AL336" i="2"/>
  <c r="AM336" i="2"/>
  <c r="B337" i="2"/>
  <c r="C337" i="2"/>
  <c r="D337" i="2"/>
  <c r="E337" i="2"/>
  <c r="F337" i="2"/>
  <c r="L337" i="2"/>
  <c r="R337" i="2"/>
  <c r="S337" i="2"/>
  <c r="T337" i="2"/>
  <c r="U337" i="2"/>
  <c r="X337" i="2"/>
  <c r="AK337" i="2"/>
  <c r="AL337" i="2"/>
  <c r="AM337" i="2"/>
  <c r="B338" i="2"/>
  <c r="C338" i="2"/>
  <c r="D338" i="2"/>
  <c r="E338" i="2"/>
  <c r="F338" i="2"/>
  <c r="L338" i="2"/>
  <c r="R338" i="2"/>
  <c r="S338" i="2"/>
  <c r="T338" i="2"/>
  <c r="U338" i="2"/>
  <c r="X338" i="2"/>
  <c r="AK338" i="2"/>
  <c r="AL338" i="2"/>
  <c r="AM338" i="2"/>
  <c r="B339" i="2"/>
  <c r="C339" i="2"/>
  <c r="D339" i="2"/>
  <c r="E339" i="2"/>
  <c r="F339" i="2"/>
  <c r="L339" i="2"/>
  <c r="R339" i="2"/>
  <c r="S339" i="2"/>
  <c r="T339" i="2"/>
  <c r="U339" i="2"/>
  <c r="X339" i="2"/>
  <c r="AK339" i="2"/>
  <c r="AL339" i="2"/>
  <c r="AM339" i="2"/>
  <c r="B340" i="2"/>
  <c r="C340" i="2"/>
  <c r="D340" i="2"/>
  <c r="E340" i="2"/>
  <c r="F340" i="2"/>
  <c r="L340" i="2"/>
  <c r="R340" i="2"/>
  <c r="S340" i="2"/>
  <c r="T340" i="2"/>
  <c r="U340" i="2"/>
  <c r="X340" i="2"/>
  <c r="AK340" i="2"/>
  <c r="AL340" i="2"/>
  <c r="AM340" i="2"/>
  <c r="B341" i="2"/>
  <c r="C341" i="2"/>
  <c r="D341" i="2"/>
  <c r="E341" i="2"/>
  <c r="F341" i="2"/>
  <c r="L341" i="2"/>
  <c r="R341" i="2"/>
  <c r="S341" i="2"/>
  <c r="T341" i="2"/>
  <c r="U341" i="2"/>
  <c r="X341" i="2"/>
  <c r="AK341" i="2"/>
  <c r="AL341" i="2"/>
  <c r="AM341" i="2"/>
  <c r="B342" i="2"/>
  <c r="C342" i="2"/>
  <c r="D342" i="2"/>
  <c r="E342" i="2"/>
  <c r="F342" i="2"/>
  <c r="L342" i="2"/>
  <c r="R342" i="2"/>
  <c r="S342" i="2"/>
  <c r="T342" i="2"/>
  <c r="U342" i="2"/>
  <c r="X342" i="2"/>
  <c r="AK342" i="2"/>
  <c r="AL342" i="2"/>
  <c r="AM342" i="2"/>
  <c r="B343" i="2"/>
  <c r="C343" i="2"/>
  <c r="D343" i="2"/>
  <c r="E343" i="2"/>
  <c r="F343" i="2"/>
  <c r="L343" i="2"/>
  <c r="R343" i="2"/>
  <c r="S343" i="2"/>
  <c r="T343" i="2"/>
  <c r="U343" i="2"/>
  <c r="X343" i="2"/>
  <c r="AK343" i="2"/>
  <c r="AL343" i="2"/>
  <c r="AM343" i="2"/>
  <c r="B344" i="2"/>
  <c r="C344" i="2"/>
  <c r="D344" i="2"/>
  <c r="E344" i="2"/>
  <c r="F344" i="2"/>
  <c r="L344" i="2"/>
  <c r="R344" i="2"/>
  <c r="S344" i="2"/>
  <c r="T344" i="2"/>
  <c r="U344" i="2"/>
  <c r="X344" i="2"/>
  <c r="AK344" i="2"/>
  <c r="AL344" i="2"/>
  <c r="AM344" i="2"/>
  <c r="B345" i="2"/>
  <c r="C345" i="2"/>
  <c r="D345" i="2"/>
  <c r="E345" i="2"/>
  <c r="F345" i="2"/>
  <c r="L345" i="2"/>
  <c r="R345" i="2"/>
  <c r="S345" i="2"/>
  <c r="T345" i="2"/>
  <c r="U345" i="2"/>
  <c r="X345" i="2"/>
  <c r="AK345" i="2"/>
  <c r="AL345" i="2"/>
  <c r="AM345" i="2"/>
  <c r="B346" i="2"/>
  <c r="C346" i="2"/>
  <c r="D346" i="2"/>
  <c r="E346" i="2"/>
  <c r="F346" i="2"/>
  <c r="L346" i="2"/>
  <c r="R346" i="2"/>
  <c r="S346" i="2"/>
  <c r="T346" i="2"/>
  <c r="U346" i="2"/>
  <c r="X346" i="2"/>
  <c r="AK346" i="2"/>
  <c r="AL346" i="2"/>
  <c r="AM346" i="2"/>
  <c r="B347" i="2"/>
  <c r="C347" i="2"/>
  <c r="D347" i="2"/>
  <c r="E347" i="2"/>
  <c r="F347" i="2"/>
  <c r="L347" i="2"/>
  <c r="R347" i="2"/>
  <c r="S347" i="2"/>
  <c r="T347" i="2"/>
  <c r="U347" i="2"/>
  <c r="X347" i="2"/>
  <c r="AK347" i="2"/>
  <c r="AL347" i="2"/>
  <c r="AM347" i="2"/>
  <c r="B348" i="2"/>
  <c r="C348" i="2"/>
  <c r="D348" i="2"/>
  <c r="E348" i="2"/>
  <c r="F348" i="2"/>
  <c r="L348" i="2"/>
  <c r="R348" i="2"/>
  <c r="S348" i="2"/>
  <c r="T348" i="2"/>
  <c r="U348" i="2"/>
  <c r="X348" i="2"/>
  <c r="AK348" i="2"/>
  <c r="AL348" i="2"/>
  <c r="AM348" i="2"/>
  <c r="B349" i="2"/>
  <c r="C349" i="2"/>
  <c r="D349" i="2"/>
  <c r="E349" i="2"/>
  <c r="F349" i="2"/>
  <c r="L349" i="2"/>
  <c r="R349" i="2"/>
  <c r="S349" i="2"/>
  <c r="T349" i="2"/>
  <c r="U349" i="2"/>
  <c r="X349" i="2"/>
  <c r="AK349" i="2"/>
  <c r="AL349" i="2"/>
  <c r="AM349" i="2"/>
  <c r="B350" i="2"/>
  <c r="C350" i="2"/>
  <c r="D350" i="2"/>
  <c r="E350" i="2"/>
  <c r="F350" i="2"/>
  <c r="L350" i="2"/>
  <c r="R350" i="2"/>
  <c r="S350" i="2"/>
  <c r="T350" i="2"/>
  <c r="U350" i="2"/>
  <c r="X350" i="2"/>
  <c r="AK350" i="2"/>
  <c r="AL350" i="2"/>
  <c r="AM350" i="2"/>
  <c r="B351" i="2"/>
  <c r="C351" i="2"/>
  <c r="D351" i="2"/>
  <c r="E351" i="2"/>
  <c r="F351" i="2"/>
  <c r="L351" i="2"/>
  <c r="R351" i="2"/>
  <c r="S351" i="2"/>
  <c r="T351" i="2"/>
  <c r="U351" i="2"/>
  <c r="X351" i="2"/>
  <c r="AK351" i="2"/>
  <c r="AL351" i="2"/>
  <c r="AM351" i="2"/>
  <c r="B352" i="2"/>
  <c r="C352" i="2"/>
  <c r="D352" i="2"/>
  <c r="E352" i="2"/>
  <c r="F352" i="2"/>
  <c r="L352" i="2"/>
  <c r="R352" i="2"/>
  <c r="S352" i="2"/>
  <c r="T352" i="2"/>
  <c r="U352" i="2"/>
  <c r="X352" i="2"/>
  <c r="AK352" i="2"/>
  <c r="AL352" i="2"/>
  <c r="AM352" i="2"/>
  <c r="B353" i="2"/>
  <c r="C353" i="2"/>
  <c r="D353" i="2"/>
  <c r="E353" i="2"/>
  <c r="F353" i="2"/>
  <c r="L353" i="2"/>
  <c r="R353" i="2"/>
  <c r="S353" i="2"/>
  <c r="T353" i="2"/>
  <c r="U353" i="2"/>
  <c r="X353" i="2"/>
  <c r="AK353" i="2"/>
  <c r="AL353" i="2"/>
  <c r="AM353" i="2"/>
  <c r="B354" i="2"/>
  <c r="C354" i="2"/>
  <c r="D354" i="2"/>
  <c r="E354" i="2"/>
  <c r="F354" i="2"/>
  <c r="L354" i="2"/>
  <c r="R354" i="2"/>
  <c r="S354" i="2"/>
  <c r="T354" i="2"/>
  <c r="U354" i="2"/>
  <c r="X354" i="2"/>
  <c r="AK354" i="2"/>
  <c r="AL354" i="2"/>
  <c r="AM354" i="2"/>
  <c r="B355" i="2"/>
  <c r="C355" i="2"/>
  <c r="D355" i="2"/>
  <c r="E355" i="2"/>
  <c r="F355" i="2"/>
  <c r="L355" i="2"/>
  <c r="R355" i="2"/>
  <c r="S355" i="2"/>
  <c r="T355" i="2"/>
  <c r="U355" i="2"/>
  <c r="X355" i="2"/>
  <c r="AK355" i="2"/>
  <c r="AL355" i="2"/>
  <c r="AM355" i="2"/>
  <c r="B356" i="2"/>
  <c r="C356" i="2"/>
  <c r="D356" i="2"/>
  <c r="E356" i="2"/>
  <c r="F356" i="2"/>
  <c r="L356" i="2"/>
  <c r="R356" i="2"/>
  <c r="S356" i="2"/>
  <c r="T356" i="2"/>
  <c r="U356" i="2"/>
  <c r="X356" i="2"/>
  <c r="AK356" i="2"/>
  <c r="AL356" i="2"/>
  <c r="AM356" i="2"/>
  <c r="B357" i="2"/>
  <c r="C357" i="2"/>
  <c r="D357" i="2"/>
  <c r="E357" i="2"/>
  <c r="F357" i="2"/>
  <c r="L357" i="2"/>
  <c r="R357" i="2"/>
  <c r="S357" i="2"/>
  <c r="T357" i="2"/>
  <c r="U357" i="2"/>
  <c r="X357" i="2"/>
  <c r="AK357" i="2"/>
  <c r="AL357" i="2"/>
  <c r="AM357" i="2"/>
  <c r="B358" i="2"/>
  <c r="C358" i="2"/>
  <c r="D358" i="2"/>
  <c r="E358" i="2"/>
  <c r="F358" i="2"/>
  <c r="L358" i="2"/>
  <c r="R358" i="2"/>
  <c r="S358" i="2"/>
  <c r="T358" i="2"/>
  <c r="U358" i="2"/>
  <c r="X358" i="2"/>
  <c r="AK358" i="2"/>
  <c r="AL358" i="2"/>
  <c r="AM358" i="2"/>
  <c r="B359" i="2"/>
  <c r="C359" i="2"/>
  <c r="D359" i="2"/>
  <c r="E359" i="2"/>
  <c r="F359" i="2"/>
  <c r="L359" i="2"/>
  <c r="R359" i="2"/>
  <c r="S359" i="2"/>
  <c r="T359" i="2"/>
  <c r="U359" i="2"/>
  <c r="X359" i="2"/>
  <c r="AK359" i="2"/>
  <c r="AL359" i="2"/>
  <c r="AM359" i="2"/>
  <c r="B360" i="2"/>
  <c r="C360" i="2"/>
  <c r="D360" i="2"/>
  <c r="E360" i="2"/>
  <c r="F360" i="2"/>
  <c r="L360" i="2"/>
  <c r="R360" i="2"/>
  <c r="S360" i="2"/>
  <c r="T360" i="2"/>
  <c r="U360" i="2"/>
  <c r="X360" i="2"/>
  <c r="AK360" i="2"/>
  <c r="AL360" i="2"/>
  <c r="AM360" i="2"/>
  <c r="B361" i="2"/>
  <c r="C361" i="2"/>
  <c r="D361" i="2"/>
  <c r="E361" i="2"/>
  <c r="F361" i="2"/>
  <c r="L361" i="2"/>
  <c r="R361" i="2"/>
  <c r="S361" i="2"/>
  <c r="T361" i="2"/>
  <c r="U361" i="2"/>
  <c r="X361" i="2"/>
  <c r="AK361" i="2"/>
  <c r="AL361" i="2"/>
  <c r="AM361" i="2"/>
  <c r="B362" i="2"/>
  <c r="C362" i="2"/>
  <c r="D362" i="2"/>
  <c r="E362" i="2"/>
  <c r="F362" i="2"/>
  <c r="L362" i="2"/>
  <c r="R362" i="2"/>
  <c r="S362" i="2"/>
  <c r="T362" i="2"/>
  <c r="U362" i="2"/>
  <c r="X362" i="2"/>
  <c r="AK362" i="2"/>
  <c r="AL362" i="2"/>
  <c r="AM362" i="2"/>
  <c r="B363" i="2"/>
  <c r="C363" i="2"/>
  <c r="D363" i="2"/>
  <c r="E363" i="2"/>
  <c r="F363" i="2"/>
  <c r="L363" i="2"/>
  <c r="R363" i="2"/>
  <c r="S363" i="2"/>
  <c r="T363" i="2"/>
  <c r="U363" i="2"/>
  <c r="X363" i="2"/>
  <c r="AK363" i="2"/>
  <c r="AL363" i="2"/>
  <c r="AM363" i="2"/>
  <c r="B364" i="2"/>
  <c r="C364" i="2"/>
  <c r="D364" i="2"/>
  <c r="E364" i="2"/>
  <c r="F364" i="2"/>
  <c r="L364" i="2"/>
  <c r="R364" i="2"/>
  <c r="S364" i="2"/>
  <c r="T364" i="2"/>
  <c r="U364" i="2"/>
  <c r="X364" i="2"/>
  <c r="AK364" i="2"/>
  <c r="AL364" i="2"/>
  <c r="AM364" i="2"/>
  <c r="B365" i="2"/>
  <c r="C365" i="2"/>
  <c r="D365" i="2"/>
  <c r="E365" i="2"/>
  <c r="F365" i="2"/>
  <c r="L365" i="2"/>
  <c r="R365" i="2"/>
  <c r="S365" i="2"/>
  <c r="T365" i="2"/>
  <c r="U365" i="2"/>
  <c r="X365" i="2"/>
  <c r="AK365" i="2"/>
  <c r="AL365" i="2"/>
  <c r="AM365" i="2"/>
  <c r="B366" i="2"/>
  <c r="C366" i="2"/>
  <c r="D366" i="2"/>
  <c r="E366" i="2"/>
  <c r="F366" i="2"/>
  <c r="L366" i="2"/>
  <c r="R366" i="2"/>
  <c r="S366" i="2"/>
  <c r="T366" i="2"/>
  <c r="U366" i="2"/>
  <c r="X366" i="2"/>
  <c r="AK366" i="2"/>
  <c r="AL366" i="2"/>
  <c r="AM366" i="2"/>
  <c r="B367" i="2"/>
  <c r="C367" i="2"/>
  <c r="D367" i="2"/>
  <c r="E367" i="2"/>
  <c r="F367" i="2"/>
  <c r="L367" i="2"/>
  <c r="R367" i="2"/>
  <c r="S367" i="2"/>
  <c r="T367" i="2"/>
  <c r="U367" i="2"/>
  <c r="X367" i="2"/>
  <c r="AK367" i="2"/>
  <c r="AL367" i="2"/>
  <c r="AM367" i="2"/>
  <c r="B368" i="2"/>
  <c r="C368" i="2"/>
  <c r="D368" i="2"/>
  <c r="E368" i="2"/>
  <c r="F368" i="2"/>
  <c r="L368" i="2"/>
  <c r="R368" i="2"/>
  <c r="S368" i="2"/>
  <c r="T368" i="2"/>
  <c r="U368" i="2"/>
  <c r="X368" i="2"/>
  <c r="AK368" i="2"/>
  <c r="AL368" i="2"/>
  <c r="AM368" i="2"/>
  <c r="B369" i="2"/>
  <c r="C369" i="2"/>
  <c r="D369" i="2"/>
  <c r="E369" i="2"/>
  <c r="F369" i="2"/>
  <c r="L369" i="2"/>
  <c r="R369" i="2"/>
  <c r="S369" i="2"/>
  <c r="T369" i="2"/>
  <c r="U369" i="2"/>
  <c r="X369" i="2"/>
  <c r="AK369" i="2"/>
  <c r="AL369" i="2"/>
  <c r="AM369" i="2"/>
  <c r="B370" i="2"/>
  <c r="C370" i="2"/>
  <c r="D370" i="2"/>
  <c r="E370" i="2"/>
  <c r="F370" i="2"/>
  <c r="L370" i="2"/>
  <c r="R370" i="2"/>
  <c r="S370" i="2"/>
  <c r="T370" i="2"/>
  <c r="U370" i="2"/>
  <c r="X370" i="2"/>
  <c r="AK370" i="2"/>
  <c r="AL370" i="2"/>
  <c r="AM370" i="2"/>
  <c r="B371" i="2"/>
  <c r="C371" i="2"/>
  <c r="D371" i="2"/>
  <c r="E371" i="2"/>
  <c r="F371" i="2"/>
  <c r="L371" i="2"/>
  <c r="R371" i="2"/>
  <c r="S371" i="2"/>
  <c r="T371" i="2"/>
  <c r="U371" i="2"/>
  <c r="X371" i="2"/>
  <c r="AK371" i="2"/>
  <c r="AL371" i="2"/>
  <c r="AM371" i="2"/>
  <c r="B372" i="2"/>
  <c r="C372" i="2"/>
  <c r="D372" i="2"/>
  <c r="E372" i="2"/>
  <c r="F372" i="2"/>
  <c r="L372" i="2"/>
  <c r="R372" i="2"/>
  <c r="S372" i="2"/>
  <c r="T372" i="2"/>
  <c r="U372" i="2"/>
  <c r="X372" i="2"/>
  <c r="AK372" i="2"/>
  <c r="AL372" i="2"/>
  <c r="AM372" i="2"/>
  <c r="B373" i="2"/>
  <c r="C373" i="2"/>
  <c r="D373" i="2"/>
  <c r="E373" i="2"/>
  <c r="F373" i="2"/>
  <c r="L373" i="2"/>
  <c r="R373" i="2"/>
  <c r="S373" i="2"/>
  <c r="T373" i="2"/>
  <c r="U373" i="2"/>
  <c r="X373" i="2"/>
  <c r="AK373" i="2"/>
  <c r="AL373" i="2"/>
  <c r="AM373" i="2"/>
  <c r="B374" i="2"/>
  <c r="C374" i="2"/>
  <c r="D374" i="2"/>
  <c r="E374" i="2"/>
  <c r="F374" i="2"/>
  <c r="L374" i="2"/>
  <c r="R374" i="2"/>
  <c r="S374" i="2"/>
  <c r="T374" i="2"/>
  <c r="U374" i="2"/>
  <c r="X374" i="2"/>
  <c r="AK374" i="2"/>
  <c r="AL374" i="2"/>
  <c r="AM374" i="2"/>
  <c r="B375" i="2"/>
  <c r="C375" i="2"/>
  <c r="D375" i="2"/>
  <c r="E375" i="2"/>
  <c r="F375" i="2"/>
  <c r="L375" i="2"/>
  <c r="R375" i="2"/>
  <c r="S375" i="2"/>
  <c r="T375" i="2"/>
  <c r="U375" i="2"/>
  <c r="X375" i="2"/>
  <c r="AK375" i="2"/>
  <c r="AL375" i="2"/>
  <c r="AM375" i="2"/>
  <c r="B376" i="2"/>
  <c r="C376" i="2"/>
  <c r="D376" i="2"/>
  <c r="E376" i="2"/>
  <c r="F376" i="2"/>
  <c r="L376" i="2"/>
  <c r="R376" i="2"/>
  <c r="S376" i="2"/>
  <c r="T376" i="2"/>
  <c r="U376" i="2"/>
  <c r="X376" i="2"/>
  <c r="AK376" i="2"/>
  <c r="AL376" i="2"/>
  <c r="AM376" i="2"/>
  <c r="B377" i="2"/>
  <c r="C377" i="2"/>
  <c r="D377" i="2"/>
  <c r="E377" i="2"/>
  <c r="F377" i="2"/>
  <c r="L377" i="2"/>
  <c r="R377" i="2"/>
  <c r="S377" i="2"/>
  <c r="T377" i="2"/>
  <c r="U377" i="2"/>
  <c r="X377" i="2"/>
  <c r="AK377" i="2"/>
  <c r="AL377" i="2"/>
  <c r="AM377" i="2"/>
  <c r="B378" i="2"/>
  <c r="C378" i="2"/>
  <c r="D378" i="2"/>
  <c r="E378" i="2"/>
  <c r="F378" i="2"/>
  <c r="L378" i="2"/>
  <c r="R378" i="2"/>
  <c r="S378" i="2"/>
  <c r="T378" i="2"/>
  <c r="U378" i="2"/>
  <c r="X378" i="2"/>
  <c r="AK378" i="2"/>
  <c r="AL378" i="2"/>
  <c r="AM378" i="2"/>
  <c r="B379" i="2"/>
  <c r="C379" i="2"/>
  <c r="D379" i="2"/>
  <c r="E379" i="2"/>
  <c r="F379" i="2"/>
  <c r="L379" i="2"/>
  <c r="R379" i="2"/>
  <c r="S379" i="2"/>
  <c r="T379" i="2"/>
  <c r="U379" i="2"/>
  <c r="X379" i="2"/>
  <c r="AK379" i="2"/>
  <c r="AL379" i="2"/>
  <c r="AM379" i="2"/>
  <c r="B380" i="2"/>
  <c r="C380" i="2"/>
  <c r="D380" i="2"/>
  <c r="E380" i="2"/>
  <c r="F380" i="2"/>
  <c r="L380" i="2"/>
  <c r="R380" i="2"/>
  <c r="S380" i="2"/>
  <c r="T380" i="2"/>
  <c r="U380" i="2"/>
  <c r="X380" i="2"/>
  <c r="AK380" i="2"/>
  <c r="AL380" i="2"/>
  <c r="AM380" i="2"/>
  <c r="B381" i="2"/>
  <c r="C381" i="2"/>
  <c r="D381" i="2"/>
  <c r="E381" i="2"/>
  <c r="F381" i="2"/>
  <c r="L381" i="2"/>
  <c r="R381" i="2"/>
  <c r="S381" i="2"/>
  <c r="T381" i="2"/>
  <c r="U381" i="2"/>
  <c r="X381" i="2"/>
  <c r="AK381" i="2"/>
  <c r="AL381" i="2"/>
  <c r="AM381" i="2"/>
  <c r="B382" i="2"/>
  <c r="C382" i="2"/>
  <c r="D382" i="2"/>
  <c r="E382" i="2"/>
  <c r="F382" i="2"/>
  <c r="L382" i="2"/>
  <c r="R382" i="2"/>
  <c r="S382" i="2"/>
  <c r="T382" i="2"/>
  <c r="U382" i="2"/>
  <c r="X382" i="2"/>
  <c r="AK382" i="2"/>
  <c r="AL382" i="2"/>
  <c r="AM382" i="2"/>
  <c r="B383" i="2"/>
  <c r="C383" i="2"/>
  <c r="D383" i="2"/>
  <c r="E383" i="2"/>
  <c r="F383" i="2"/>
  <c r="L383" i="2"/>
  <c r="R383" i="2"/>
  <c r="S383" i="2"/>
  <c r="T383" i="2"/>
  <c r="U383" i="2"/>
  <c r="X383" i="2"/>
  <c r="AK383" i="2"/>
  <c r="AL383" i="2"/>
  <c r="AM383" i="2"/>
  <c r="B384" i="2"/>
  <c r="C384" i="2"/>
  <c r="D384" i="2"/>
  <c r="E384" i="2"/>
  <c r="F384" i="2"/>
  <c r="L384" i="2"/>
  <c r="R384" i="2"/>
  <c r="S384" i="2"/>
  <c r="T384" i="2"/>
  <c r="U384" i="2"/>
  <c r="X384" i="2"/>
  <c r="AK384" i="2"/>
  <c r="AL384" i="2"/>
  <c r="AM384" i="2"/>
  <c r="B385" i="2"/>
  <c r="C385" i="2"/>
  <c r="D385" i="2"/>
  <c r="E385" i="2"/>
  <c r="F385" i="2"/>
  <c r="L385" i="2"/>
  <c r="R385" i="2"/>
  <c r="S385" i="2"/>
  <c r="T385" i="2"/>
  <c r="U385" i="2"/>
  <c r="X385" i="2"/>
  <c r="AK385" i="2"/>
  <c r="AL385" i="2"/>
  <c r="AM385" i="2"/>
  <c r="B386" i="2"/>
  <c r="C386" i="2"/>
  <c r="D386" i="2"/>
  <c r="E386" i="2"/>
  <c r="F386" i="2"/>
  <c r="L386" i="2"/>
  <c r="R386" i="2"/>
  <c r="S386" i="2"/>
  <c r="T386" i="2"/>
  <c r="U386" i="2"/>
  <c r="X386" i="2"/>
  <c r="AK386" i="2"/>
  <c r="AL386" i="2"/>
  <c r="AM386" i="2"/>
  <c r="B387" i="2"/>
  <c r="C387" i="2"/>
  <c r="D387" i="2"/>
  <c r="E387" i="2"/>
  <c r="F387" i="2"/>
  <c r="L387" i="2"/>
  <c r="R387" i="2"/>
  <c r="S387" i="2"/>
  <c r="T387" i="2"/>
  <c r="U387" i="2"/>
  <c r="X387" i="2"/>
  <c r="AK387" i="2"/>
  <c r="AL387" i="2"/>
  <c r="AM387" i="2"/>
  <c r="B388" i="2"/>
  <c r="C388" i="2"/>
  <c r="D388" i="2"/>
  <c r="E388" i="2"/>
  <c r="F388" i="2"/>
  <c r="L388" i="2"/>
  <c r="R388" i="2"/>
  <c r="S388" i="2"/>
  <c r="T388" i="2"/>
  <c r="U388" i="2"/>
  <c r="X388" i="2"/>
  <c r="AK388" i="2"/>
  <c r="AL388" i="2"/>
  <c r="AM388" i="2"/>
  <c r="B389" i="2"/>
  <c r="C389" i="2"/>
  <c r="D389" i="2"/>
  <c r="E389" i="2"/>
  <c r="F389" i="2"/>
  <c r="L389" i="2"/>
  <c r="R389" i="2"/>
  <c r="S389" i="2"/>
  <c r="T389" i="2"/>
  <c r="U389" i="2"/>
  <c r="X389" i="2"/>
  <c r="AK389" i="2"/>
  <c r="AL389" i="2"/>
  <c r="AM389" i="2"/>
  <c r="B390" i="2"/>
  <c r="C390" i="2"/>
  <c r="D390" i="2"/>
  <c r="E390" i="2"/>
  <c r="F390" i="2"/>
  <c r="L390" i="2"/>
  <c r="R390" i="2"/>
  <c r="S390" i="2"/>
  <c r="T390" i="2"/>
  <c r="U390" i="2"/>
  <c r="X390" i="2"/>
  <c r="AK390" i="2"/>
  <c r="AL390" i="2"/>
  <c r="AM390" i="2"/>
  <c r="B391" i="2"/>
  <c r="C391" i="2"/>
  <c r="D391" i="2"/>
  <c r="E391" i="2"/>
  <c r="F391" i="2"/>
  <c r="L391" i="2"/>
  <c r="R391" i="2"/>
  <c r="S391" i="2"/>
  <c r="T391" i="2"/>
  <c r="U391" i="2"/>
  <c r="X391" i="2"/>
  <c r="AK391" i="2"/>
  <c r="AL391" i="2"/>
  <c r="AM391" i="2"/>
  <c r="B392" i="2"/>
  <c r="C392" i="2"/>
  <c r="D392" i="2"/>
  <c r="E392" i="2"/>
  <c r="F392" i="2"/>
  <c r="L392" i="2"/>
  <c r="R392" i="2"/>
  <c r="S392" i="2"/>
  <c r="T392" i="2"/>
  <c r="U392" i="2"/>
  <c r="X392" i="2"/>
  <c r="AK392" i="2"/>
  <c r="AL392" i="2"/>
  <c r="AM392" i="2"/>
  <c r="B393" i="2"/>
  <c r="C393" i="2"/>
  <c r="D393" i="2"/>
  <c r="E393" i="2"/>
  <c r="F393" i="2"/>
  <c r="L393" i="2"/>
  <c r="R393" i="2"/>
  <c r="S393" i="2"/>
  <c r="T393" i="2"/>
  <c r="U393" i="2"/>
  <c r="X393" i="2"/>
  <c r="AK393" i="2"/>
  <c r="AL393" i="2"/>
  <c r="AM393" i="2"/>
  <c r="B394" i="2"/>
  <c r="C394" i="2"/>
  <c r="D394" i="2"/>
  <c r="E394" i="2"/>
  <c r="F394" i="2"/>
  <c r="L394" i="2"/>
  <c r="R394" i="2"/>
  <c r="S394" i="2"/>
  <c r="T394" i="2"/>
  <c r="U394" i="2"/>
  <c r="X394" i="2"/>
  <c r="AK394" i="2"/>
  <c r="AL394" i="2"/>
  <c r="AM394" i="2"/>
  <c r="B395" i="2"/>
  <c r="C395" i="2"/>
  <c r="D395" i="2"/>
  <c r="E395" i="2"/>
  <c r="F395" i="2"/>
  <c r="L395" i="2"/>
  <c r="R395" i="2"/>
  <c r="S395" i="2"/>
  <c r="T395" i="2"/>
  <c r="U395" i="2"/>
  <c r="X395" i="2"/>
  <c r="AK395" i="2"/>
  <c r="AL395" i="2"/>
  <c r="AM395" i="2"/>
  <c r="B396" i="2"/>
  <c r="C396" i="2"/>
  <c r="D396" i="2"/>
  <c r="E396" i="2"/>
  <c r="F396" i="2"/>
  <c r="L396" i="2"/>
  <c r="R396" i="2"/>
  <c r="S396" i="2"/>
  <c r="T396" i="2"/>
  <c r="U396" i="2"/>
  <c r="X396" i="2"/>
  <c r="AK396" i="2"/>
  <c r="AL396" i="2"/>
  <c r="AM396" i="2"/>
  <c r="B397" i="2"/>
  <c r="C397" i="2"/>
  <c r="D397" i="2"/>
  <c r="E397" i="2"/>
  <c r="F397" i="2"/>
  <c r="L397" i="2"/>
  <c r="R397" i="2"/>
  <c r="S397" i="2"/>
  <c r="T397" i="2"/>
  <c r="U397" i="2"/>
  <c r="X397" i="2"/>
  <c r="AK397" i="2"/>
  <c r="AL397" i="2"/>
  <c r="AM397" i="2"/>
  <c r="B398" i="2"/>
  <c r="C398" i="2"/>
  <c r="D398" i="2"/>
  <c r="E398" i="2"/>
  <c r="F398" i="2"/>
  <c r="L398" i="2"/>
  <c r="R398" i="2"/>
  <c r="S398" i="2"/>
  <c r="T398" i="2"/>
  <c r="U398" i="2"/>
  <c r="X398" i="2"/>
  <c r="AK398" i="2"/>
  <c r="AL398" i="2"/>
  <c r="AM398" i="2"/>
  <c r="B399" i="2"/>
  <c r="C399" i="2"/>
  <c r="D399" i="2"/>
  <c r="E399" i="2"/>
  <c r="F399" i="2"/>
  <c r="L399" i="2"/>
  <c r="R399" i="2"/>
  <c r="S399" i="2"/>
  <c r="T399" i="2"/>
  <c r="U399" i="2"/>
  <c r="X399" i="2"/>
  <c r="AK399" i="2"/>
  <c r="AL399" i="2"/>
  <c r="AM399" i="2"/>
  <c r="B400" i="2"/>
  <c r="C400" i="2"/>
  <c r="D400" i="2"/>
  <c r="E400" i="2"/>
  <c r="F400" i="2"/>
  <c r="L400" i="2"/>
  <c r="R400" i="2"/>
  <c r="S400" i="2"/>
  <c r="T400" i="2"/>
  <c r="U400" i="2"/>
  <c r="X400" i="2"/>
  <c r="AK400" i="2"/>
  <c r="AL400" i="2"/>
  <c r="AM400" i="2"/>
  <c r="B401" i="2"/>
  <c r="C401" i="2"/>
  <c r="D401" i="2"/>
  <c r="E401" i="2"/>
  <c r="F401" i="2"/>
  <c r="L401" i="2"/>
  <c r="R401" i="2"/>
  <c r="S401" i="2"/>
  <c r="T401" i="2"/>
  <c r="U401" i="2"/>
  <c r="X401" i="2"/>
  <c r="AK401" i="2"/>
  <c r="AL401" i="2"/>
  <c r="AM401" i="2"/>
  <c r="B402" i="2"/>
  <c r="C402" i="2"/>
  <c r="D402" i="2"/>
  <c r="E402" i="2"/>
  <c r="F402" i="2"/>
  <c r="L402" i="2"/>
  <c r="R402" i="2"/>
  <c r="S402" i="2"/>
  <c r="T402" i="2"/>
  <c r="U402" i="2"/>
  <c r="X402" i="2"/>
  <c r="AK402" i="2"/>
  <c r="AL402" i="2"/>
  <c r="AM402" i="2"/>
  <c r="B403" i="2"/>
  <c r="C403" i="2"/>
  <c r="D403" i="2"/>
  <c r="E403" i="2"/>
  <c r="F403" i="2"/>
  <c r="L403" i="2"/>
  <c r="R403" i="2"/>
  <c r="S403" i="2"/>
  <c r="T403" i="2"/>
  <c r="U403" i="2"/>
  <c r="X403" i="2"/>
  <c r="AK403" i="2"/>
  <c r="AL403" i="2"/>
  <c r="AM403" i="2"/>
  <c r="B404" i="2"/>
  <c r="C404" i="2"/>
  <c r="D404" i="2"/>
  <c r="E404" i="2"/>
  <c r="F404" i="2"/>
  <c r="L404" i="2"/>
  <c r="R404" i="2"/>
  <c r="S404" i="2"/>
  <c r="T404" i="2"/>
  <c r="U404" i="2"/>
  <c r="X404" i="2"/>
  <c r="AK404" i="2"/>
  <c r="AL404" i="2"/>
  <c r="AM404" i="2"/>
  <c r="B405" i="2"/>
  <c r="C405" i="2"/>
  <c r="D405" i="2"/>
  <c r="E405" i="2"/>
  <c r="F405" i="2"/>
  <c r="L405" i="2"/>
  <c r="R405" i="2"/>
  <c r="S405" i="2"/>
  <c r="T405" i="2"/>
  <c r="U405" i="2"/>
  <c r="X405" i="2"/>
  <c r="AK405" i="2"/>
  <c r="AL405" i="2"/>
  <c r="AM405" i="2"/>
  <c r="B406" i="2"/>
  <c r="C406" i="2"/>
  <c r="D406" i="2"/>
  <c r="E406" i="2"/>
  <c r="F406" i="2"/>
  <c r="L406" i="2"/>
  <c r="R406" i="2"/>
  <c r="S406" i="2"/>
  <c r="T406" i="2"/>
  <c r="U406" i="2"/>
  <c r="X406" i="2"/>
  <c r="AK406" i="2"/>
  <c r="AL406" i="2"/>
  <c r="AM406" i="2"/>
  <c r="B407" i="2"/>
  <c r="C407" i="2"/>
  <c r="D407" i="2"/>
  <c r="E407" i="2"/>
  <c r="F407" i="2"/>
  <c r="L407" i="2"/>
  <c r="R407" i="2"/>
  <c r="S407" i="2"/>
  <c r="T407" i="2"/>
  <c r="U407" i="2"/>
  <c r="X407" i="2"/>
  <c r="AK407" i="2"/>
  <c r="AL407" i="2"/>
  <c r="AM407" i="2"/>
  <c r="B408" i="2"/>
  <c r="C408" i="2"/>
  <c r="D408" i="2"/>
  <c r="E408" i="2"/>
  <c r="F408" i="2"/>
  <c r="L408" i="2"/>
  <c r="R408" i="2"/>
  <c r="S408" i="2"/>
  <c r="T408" i="2"/>
  <c r="U408" i="2"/>
  <c r="X408" i="2"/>
  <c r="AK408" i="2"/>
  <c r="AL408" i="2"/>
  <c r="AM408" i="2"/>
  <c r="B409" i="2"/>
  <c r="C409" i="2"/>
  <c r="D409" i="2"/>
  <c r="E409" i="2"/>
  <c r="F409" i="2"/>
  <c r="L409" i="2"/>
  <c r="R409" i="2"/>
  <c r="S409" i="2"/>
  <c r="T409" i="2"/>
  <c r="U409" i="2"/>
  <c r="X409" i="2"/>
  <c r="AK409" i="2"/>
  <c r="AL409" i="2"/>
  <c r="AM409" i="2"/>
  <c r="B410" i="2"/>
  <c r="C410" i="2"/>
  <c r="D410" i="2"/>
  <c r="E410" i="2"/>
  <c r="F410" i="2"/>
  <c r="L410" i="2"/>
  <c r="R410" i="2"/>
  <c r="S410" i="2"/>
  <c r="T410" i="2"/>
  <c r="U410" i="2"/>
  <c r="X410" i="2"/>
  <c r="AK410" i="2"/>
  <c r="AL410" i="2"/>
  <c r="AM410" i="2"/>
  <c r="B411" i="2"/>
  <c r="C411" i="2"/>
  <c r="D411" i="2"/>
  <c r="E411" i="2"/>
  <c r="F411" i="2"/>
  <c r="L411" i="2"/>
  <c r="R411" i="2"/>
  <c r="S411" i="2"/>
  <c r="T411" i="2"/>
  <c r="U411" i="2"/>
  <c r="X411" i="2"/>
  <c r="AK411" i="2"/>
  <c r="AL411" i="2"/>
  <c r="AM411" i="2"/>
  <c r="B412" i="2"/>
  <c r="C412" i="2"/>
  <c r="D412" i="2"/>
  <c r="E412" i="2"/>
  <c r="F412" i="2"/>
  <c r="L412" i="2"/>
  <c r="R412" i="2"/>
  <c r="S412" i="2"/>
  <c r="T412" i="2"/>
  <c r="U412" i="2"/>
  <c r="X412" i="2"/>
  <c r="AK412" i="2"/>
  <c r="AL412" i="2"/>
  <c r="AM412" i="2"/>
  <c r="B413" i="2"/>
  <c r="C413" i="2"/>
  <c r="D413" i="2"/>
  <c r="E413" i="2"/>
  <c r="F413" i="2"/>
  <c r="L413" i="2"/>
  <c r="R413" i="2"/>
  <c r="S413" i="2"/>
  <c r="T413" i="2"/>
  <c r="U413" i="2"/>
  <c r="X413" i="2"/>
  <c r="AK413" i="2"/>
  <c r="AL413" i="2"/>
  <c r="AM413" i="2"/>
  <c r="B414" i="2"/>
  <c r="C414" i="2"/>
  <c r="D414" i="2"/>
  <c r="E414" i="2"/>
  <c r="F414" i="2"/>
  <c r="L414" i="2"/>
  <c r="R414" i="2"/>
  <c r="S414" i="2"/>
  <c r="T414" i="2"/>
  <c r="U414" i="2"/>
  <c r="X414" i="2"/>
  <c r="AK414" i="2"/>
  <c r="AL414" i="2"/>
  <c r="AM414" i="2"/>
  <c r="B415" i="2"/>
  <c r="C415" i="2"/>
  <c r="D415" i="2"/>
  <c r="E415" i="2"/>
  <c r="F415" i="2"/>
  <c r="L415" i="2"/>
  <c r="R415" i="2"/>
  <c r="S415" i="2"/>
  <c r="T415" i="2"/>
  <c r="U415" i="2"/>
  <c r="X415" i="2"/>
  <c r="AK415" i="2"/>
  <c r="AL415" i="2"/>
  <c r="AM415" i="2"/>
  <c r="B416" i="2"/>
  <c r="C416" i="2"/>
  <c r="D416" i="2"/>
  <c r="E416" i="2"/>
  <c r="F416" i="2"/>
  <c r="L416" i="2"/>
  <c r="R416" i="2"/>
  <c r="S416" i="2"/>
  <c r="T416" i="2"/>
  <c r="U416" i="2"/>
  <c r="X416" i="2"/>
  <c r="AK416" i="2"/>
  <c r="AL416" i="2"/>
  <c r="AM416" i="2"/>
  <c r="B417" i="2"/>
  <c r="C417" i="2"/>
  <c r="D417" i="2"/>
  <c r="E417" i="2"/>
  <c r="F417" i="2"/>
  <c r="L417" i="2"/>
  <c r="R417" i="2"/>
  <c r="S417" i="2"/>
  <c r="T417" i="2"/>
  <c r="U417" i="2"/>
  <c r="X417" i="2"/>
  <c r="AK417" i="2"/>
  <c r="AL417" i="2"/>
  <c r="AM417" i="2"/>
  <c r="B418" i="2"/>
  <c r="C418" i="2"/>
  <c r="D418" i="2"/>
  <c r="E418" i="2"/>
  <c r="F418" i="2"/>
  <c r="L418" i="2"/>
  <c r="R418" i="2"/>
  <c r="S418" i="2"/>
  <c r="T418" i="2"/>
  <c r="U418" i="2"/>
  <c r="X418" i="2"/>
  <c r="AK418" i="2"/>
  <c r="AL418" i="2"/>
  <c r="AM418" i="2"/>
  <c r="B419" i="2"/>
  <c r="C419" i="2"/>
  <c r="D419" i="2"/>
  <c r="E419" i="2"/>
  <c r="F419" i="2"/>
  <c r="L419" i="2"/>
  <c r="R419" i="2"/>
  <c r="S419" i="2"/>
  <c r="T419" i="2"/>
  <c r="U419" i="2"/>
  <c r="X419" i="2"/>
  <c r="AK419" i="2"/>
  <c r="AL419" i="2"/>
  <c r="AM419" i="2"/>
  <c r="B420" i="2"/>
  <c r="C420" i="2"/>
  <c r="D420" i="2"/>
  <c r="E420" i="2"/>
  <c r="F420" i="2"/>
  <c r="L420" i="2"/>
  <c r="R420" i="2"/>
  <c r="S420" i="2"/>
  <c r="T420" i="2"/>
  <c r="U420" i="2"/>
  <c r="X420" i="2"/>
  <c r="AK420" i="2"/>
  <c r="AL420" i="2"/>
  <c r="AM420" i="2"/>
  <c r="B421" i="2"/>
  <c r="C421" i="2"/>
  <c r="D421" i="2"/>
  <c r="E421" i="2"/>
  <c r="F421" i="2"/>
  <c r="L421" i="2"/>
  <c r="R421" i="2"/>
  <c r="S421" i="2"/>
  <c r="T421" i="2"/>
  <c r="U421" i="2"/>
  <c r="X421" i="2"/>
  <c r="AK421" i="2"/>
  <c r="AL421" i="2"/>
  <c r="AM421" i="2"/>
  <c r="B422" i="2"/>
  <c r="C422" i="2"/>
  <c r="D422" i="2"/>
  <c r="E422" i="2"/>
  <c r="F422" i="2"/>
  <c r="L422" i="2"/>
  <c r="R422" i="2"/>
  <c r="S422" i="2"/>
  <c r="T422" i="2"/>
  <c r="U422" i="2"/>
  <c r="X422" i="2"/>
  <c r="AK422" i="2"/>
  <c r="AL422" i="2"/>
  <c r="AM422" i="2"/>
  <c r="B423" i="2"/>
  <c r="C423" i="2"/>
  <c r="D423" i="2"/>
  <c r="E423" i="2"/>
  <c r="F423" i="2"/>
  <c r="L423" i="2"/>
  <c r="R423" i="2"/>
  <c r="S423" i="2"/>
  <c r="T423" i="2"/>
  <c r="U423" i="2"/>
  <c r="X423" i="2"/>
  <c r="AK423" i="2"/>
  <c r="AL423" i="2"/>
  <c r="AM423" i="2"/>
  <c r="B424" i="2"/>
  <c r="C424" i="2"/>
  <c r="D424" i="2"/>
  <c r="E424" i="2"/>
  <c r="F424" i="2"/>
  <c r="L424" i="2"/>
  <c r="R424" i="2"/>
  <c r="S424" i="2"/>
  <c r="T424" i="2"/>
  <c r="U424" i="2"/>
  <c r="X424" i="2"/>
  <c r="AK424" i="2"/>
  <c r="AL424" i="2"/>
  <c r="AM424" i="2"/>
  <c r="B425" i="2"/>
  <c r="C425" i="2"/>
  <c r="D425" i="2"/>
  <c r="E425" i="2"/>
  <c r="F425" i="2"/>
  <c r="L425" i="2"/>
  <c r="R425" i="2"/>
  <c r="S425" i="2"/>
  <c r="T425" i="2"/>
  <c r="U425" i="2"/>
  <c r="X425" i="2"/>
  <c r="AK425" i="2"/>
  <c r="AL425" i="2"/>
  <c r="AM425" i="2"/>
  <c r="B426" i="2"/>
  <c r="C426" i="2"/>
  <c r="D426" i="2"/>
  <c r="E426" i="2"/>
  <c r="F426" i="2"/>
  <c r="L426" i="2"/>
  <c r="R426" i="2"/>
  <c r="S426" i="2"/>
  <c r="T426" i="2"/>
  <c r="U426" i="2"/>
  <c r="X426" i="2"/>
  <c r="AK426" i="2"/>
  <c r="AL426" i="2"/>
  <c r="AM426" i="2"/>
  <c r="B427" i="2"/>
  <c r="C427" i="2"/>
  <c r="D427" i="2"/>
  <c r="E427" i="2"/>
  <c r="F427" i="2"/>
  <c r="L427" i="2"/>
  <c r="R427" i="2"/>
  <c r="S427" i="2"/>
  <c r="T427" i="2"/>
  <c r="U427" i="2"/>
  <c r="X427" i="2"/>
  <c r="AK427" i="2"/>
  <c r="AL427" i="2"/>
  <c r="AM427" i="2"/>
  <c r="B428" i="2"/>
  <c r="C428" i="2"/>
  <c r="D428" i="2"/>
  <c r="E428" i="2"/>
  <c r="F428" i="2"/>
  <c r="L428" i="2"/>
  <c r="R428" i="2"/>
  <c r="S428" i="2"/>
  <c r="T428" i="2"/>
  <c r="U428" i="2"/>
  <c r="X428" i="2"/>
  <c r="AK428" i="2"/>
  <c r="AL428" i="2"/>
  <c r="AM428" i="2"/>
  <c r="B429" i="2"/>
  <c r="C429" i="2"/>
  <c r="D429" i="2"/>
  <c r="E429" i="2"/>
  <c r="F429" i="2"/>
  <c r="L429" i="2"/>
  <c r="R429" i="2"/>
  <c r="S429" i="2"/>
  <c r="T429" i="2"/>
  <c r="U429" i="2"/>
  <c r="X429" i="2"/>
  <c r="AK429" i="2"/>
  <c r="AL429" i="2"/>
  <c r="AM429" i="2"/>
  <c r="B430" i="2"/>
  <c r="C430" i="2"/>
  <c r="D430" i="2"/>
  <c r="E430" i="2"/>
  <c r="F430" i="2"/>
  <c r="L430" i="2"/>
  <c r="R430" i="2"/>
  <c r="S430" i="2"/>
  <c r="T430" i="2"/>
  <c r="U430" i="2"/>
  <c r="X430" i="2"/>
  <c r="AK430" i="2"/>
  <c r="AL430" i="2"/>
  <c r="AM430" i="2"/>
  <c r="B431" i="2"/>
  <c r="C431" i="2"/>
  <c r="D431" i="2"/>
  <c r="E431" i="2"/>
  <c r="F431" i="2"/>
  <c r="L431" i="2"/>
  <c r="R431" i="2"/>
  <c r="S431" i="2"/>
  <c r="T431" i="2"/>
  <c r="U431" i="2"/>
  <c r="X431" i="2"/>
  <c r="AK431" i="2"/>
  <c r="AL431" i="2"/>
  <c r="AM431" i="2"/>
  <c r="B432" i="2"/>
  <c r="C432" i="2"/>
  <c r="D432" i="2"/>
  <c r="E432" i="2"/>
  <c r="F432" i="2"/>
  <c r="L432" i="2"/>
  <c r="R432" i="2"/>
  <c r="S432" i="2"/>
  <c r="T432" i="2"/>
  <c r="U432" i="2"/>
  <c r="X432" i="2"/>
  <c r="AK432" i="2"/>
  <c r="AL432" i="2"/>
  <c r="AM432" i="2"/>
  <c r="B433" i="2"/>
  <c r="C433" i="2"/>
  <c r="D433" i="2"/>
  <c r="E433" i="2"/>
  <c r="F433" i="2"/>
  <c r="L433" i="2"/>
  <c r="R433" i="2"/>
  <c r="S433" i="2"/>
  <c r="T433" i="2"/>
  <c r="U433" i="2"/>
  <c r="X433" i="2"/>
  <c r="AK433" i="2"/>
  <c r="AL433" i="2"/>
  <c r="AM433" i="2"/>
  <c r="B434" i="2"/>
  <c r="C434" i="2"/>
  <c r="D434" i="2"/>
  <c r="E434" i="2"/>
  <c r="F434" i="2"/>
  <c r="L434" i="2"/>
  <c r="R434" i="2"/>
  <c r="S434" i="2"/>
  <c r="T434" i="2"/>
  <c r="U434" i="2"/>
  <c r="X434" i="2"/>
  <c r="AK434" i="2"/>
  <c r="AL434" i="2"/>
  <c r="AM434" i="2"/>
  <c r="B435" i="2"/>
  <c r="C435" i="2"/>
  <c r="D435" i="2"/>
  <c r="E435" i="2"/>
  <c r="F435" i="2"/>
  <c r="L435" i="2"/>
  <c r="R435" i="2"/>
  <c r="S435" i="2"/>
  <c r="T435" i="2"/>
  <c r="U435" i="2"/>
  <c r="X435" i="2"/>
  <c r="AK435" i="2"/>
  <c r="AL435" i="2"/>
  <c r="AM435" i="2"/>
  <c r="B436" i="2"/>
  <c r="C436" i="2"/>
  <c r="D436" i="2"/>
  <c r="E436" i="2"/>
  <c r="F436" i="2"/>
  <c r="L436" i="2"/>
  <c r="R436" i="2"/>
  <c r="S436" i="2"/>
  <c r="T436" i="2"/>
  <c r="U436" i="2"/>
  <c r="X436" i="2"/>
  <c r="AK436" i="2"/>
  <c r="AL436" i="2"/>
  <c r="AM436" i="2"/>
  <c r="B437" i="2"/>
  <c r="C437" i="2"/>
  <c r="D437" i="2"/>
  <c r="E437" i="2"/>
  <c r="F437" i="2"/>
  <c r="L437" i="2"/>
  <c r="R437" i="2"/>
  <c r="S437" i="2"/>
  <c r="T437" i="2"/>
  <c r="U437" i="2"/>
  <c r="X437" i="2"/>
  <c r="AK437" i="2"/>
  <c r="AL437" i="2"/>
  <c r="AM437" i="2"/>
  <c r="B438" i="2"/>
  <c r="C438" i="2"/>
  <c r="D438" i="2"/>
  <c r="E438" i="2"/>
  <c r="F438" i="2"/>
  <c r="L438" i="2"/>
  <c r="R438" i="2"/>
  <c r="S438" i="2"/>
  <c r="T438" i="2"/>
  <c r="U438" i="2"/>
  <c r="X438" i="2"/>
  <c r="AK438" i="2"/>
  <c r="AL438" i="2"/>
  <c r="AM438" i="2"/>
  <c r="B439" i="2"/>
  <c r="C439" i="2"/>
  <c r="D439" i="2"/>
  <c r="E439" i="2"/>
  <c r="F439" i="2"/>
  <c r="L439" i="2"/>
  <c r="R439" i="2"/>
  <c r="S439" i="2"/>
  <c r="T439" i="2"/>
  <c r="U439" i="2"/>
  <c r="X439" i="2"/>
  <c r="AK439" i="2"/>
  <c r="AL439" i="2"/>
  <c r="AM439" i="2"/>
  <c r="B440" i="2"/>
  <c r="C440" i="2"/>
  <c r="D440" i="2"/>
  <c r="E440" i="2"/>
  <c r="F440" i="2"/>
  <c r="L440" i="2"/>
  <c r="R440" i="2"/>
  <c r="S440" i="2"/>
  <c r="T440" i="2"/>
  <c r="U440" i="2"/>
  <c r="X440" i="2"/>
  <c r="AK440" i="2"/>
  <c r="AL440" i="2"/>
  <c r="AM440" i="2"/>
  <c r="B441" i="2"/>
  <c r="C441" i="2"/>
  <c r="D441" i="2"/>
  <c r="E441" i="2"/>
  <c r="F441" i="2"/>
  <c r="L441" i="2"/>
  <c r="R441" i="2"/>
  <c r="S441" i="2"/>
  <c r="T441" i="2"/>
  <c r="U441" i="2"/>
  <c r="X441" i="2"/>
  <c r="AK441" i="2"/>
  <c r="AL441" i="2"/>
  <c r="AM441" i="2"/>
  <c r="B442" i="2"/>
  <c r="C442" i="2"/>
  <c r="D442" i="2"/>
  <c r="E442" i="2"/>
  <c r="F442" i="2"/>
  <c r="L442" i="2"/>
  <c r="R442" i="2"/>
  <c r="S442" i="2"/>
  <c r="T442" i="2"/>
  <c r="U442" i="2"/>
  <c r="X442" i="2"/>
  <c r="AK442" i="2"/>
  <c r="AL442" i="2"/>
  <c r="AM442" i="2"/>
  <c r="B443" i="2"/>
  <c r="C443" i="2"/>
  <c r="D443" i="2"/>
  <c r="E443" i="2"/>
  <c r="F443" i="2"/>
  <c r="L443" i="2"/>
  <c r="R443" i="2"/>
  <c r="S443" i="2"/>
  <c r="T443" i="2"/>
  <c r="U443" i="2"/>
  <c r="X443" i="2"/>
  <c r="AK443" i="2"/>
  <c r="AL443" i="2"/>
  <c r="AM443" i="2"/>
  <c r="B444" i="2"/>
  <c r="C444" i="2"/>
  <c r="D444" i="2"/>
  <c r="E444" i="2"/>
  <c r="F444" i="2"/>
  <c r="L444" i="2"/>
  <c r="R444" i="2"/>
  <c r="S444" i="2"/>
  <c r="T444" i="2"/>
  <c r="U444" i="2"/>
  <c r="X444" i="2"/>
  <c r="AK444" i="2"/>
  <c r="AL444" i="2"/>
  <c r="AM444" i="2"/>
  <c r="B445" i="2"/>
  <c r="C445" i="2"/>
  <c r="D445" i="2"/>
  <c r="E445" i="2"/>
  <c r="F445" i="2"/>
  <c r="L445" i="2"/>
  <c r="R445" i="2"/>
  <c r="S445" i="2"/>
  <c r="T445" i="2"/>
  <c r="U445" i="2"/>
  <c r="X445" i="2"/>
  <c r="AK445" i="2"/>
  <c r="AL445" i="2"/>
  <c r="AM445" i="2"/>
  <c r="B446" i="2"/>
  <c r="C446" i="2"/>
  <c r="D446" i="2"/>
  <c r="E446" i="2"/>
  <c r="F446" i="2"/>
  <c r="L446" i="2"/>
  <c r="R446" i="2"/>
  <c r="S446" i="2"/>
  <c r="T446" i="2"/>
  <c r="U446" i="2"/>
  <c r="X446" i="2"/>
  <c r="AK446" i="2"/>
  <c r="AL446" i="2"/>
  <c r="AM446" i="2"/>
  <c r="B447" i="2"/>
  <c r="C447" i="2"/>
  <c r="D447" i="2"/>
  <c r="E447" i="2"/>
  <c r="F447" i="2"/>
  <c r="L447" i="2"/>
  <c r="R447" i="2"/>
  <c r="S447" i="2"/>
  <c r="T447" i="2"/>
  <c r="U447" i="2"/>
  <c r="X447" i="2"/>
  <c r="AK447" i="2"/>
  <c r="AL447" i="2"/>
  <c r="AM447" i="2"/>
  <c r="B448" i="2"/>
  <c r="C448" i="2"/>
  <c r="D448" i="2"/>
  <c r="E448" i="2"/>
  <c r="F448" i="2"/>
  <c r="L448" i="2"/>
  <c r="R448" i="2"/>
  <c r="S448" i="2"/>
  <c r="T448" i="2"/>
  <c r="U448" i="2"/>
  <c r="X448" i="2"/>
  <c r="AK448" i="2"/>
  <c r="AL448" i="2"/>
  <c r="AM448" i="2"/>
  <c r="B449" i="2"/>
  <c r="C449" i="2"/>
  <c r="D449" i="2"/>
  <c r="E449" i="2"/>
  <c r="F449" i="2"/>
  <c r="L449" i="2"/>
  <c r="R449" i="2"/>
  <c r="S449" i="2"/>
  <c r="T449" i="2"/>
  <c r="U449" i="2"/>
  <c r="X449" i="2"/>
  <c r="AK449" i="2"/>
  <c r="AL449" i="2"/>
  <c r="AM449" i="2"/>
  <c r="B450" i="2"/>
  <c r="C450" i="2"/>
  <c r="D450" i="2"/>
  <c r="E450" i="2"/>
  <c r="F450" i="2"/>
  <c r="L450" i="2"/>
  <c r="R450" i="2"/>
  <c r="S450" i="2"/>
  <c r="T450" i="2"/>
  <c r="U450" i="2"/>
  <c r="X450" i="2"/>
  <c r="AK450" i="2"/>
  <c r="AL450" i="2"/>
  <c r="AM450" i="2"/>
  <c r="B451" i="2"/>
  <c r="C451" i="2"/>
  <c r="D451" i="2"/>
  <c r="E451" i="2"/>
  <c r="F451" i="2"/>
  <c r="L451" i="2"/>
  <c r="R451" i="2"/>
  <c r="S451" i="2"/>
  <c r="T451" i="2"/>
  <c r="U451" i="2"/>
  <c r="X451" i="2"/>
  <c r="AK451" i="2"/>
  <c r="AL451" i="2"/>
  <c r="AM451" i="2"/>
  <c r="B452" i="2"/>
  <c r="C452" i="2"/>
  <c r="D452" i="2"/>
  <c r="E452" i="2"/>
  <c r="F452" i="2"/>
  <c r="L452" i="2"/>
  <c r="R452" i="2"/>
  <c r="S452" i="2"/>
  <c r="T452" i="2"/>
  <c r="U452" i="2"/>
  <c r="X452" i="2"/>
  <c r="AK452" i="2"/>
  <c r="AL452" i="2"/>
  <c r="AM452" i="2"/>
  <c r="B453" i="2"/>
  <c r="C453" i="2"/>
  <c r="D453" i="2"/>
  <c r="E453" i="2"/>
  <c r="F453" i="2"/>
  <c r="L453" i="2"/>
  <c r="R453" i="2"/>
  <c r="S453" i="2"/>
  <c r="T453" i="2"/>
  <c r="U453" i="2"/>
  <c r="X453" i="2"/>
  <c r="AK453" i="2"/>
  <c r="AL453" i="2"/>
  <c r="AM453" i="2"/>
  <c r="B454" i="2"/>
  <c r="C454" i="2"/>
  <c r="D454" i="2"/>
  <c r="E454" i="2"/>
  <c r="F454" i="2"/>
  <c r="L454" i="2"/>
  <c r="R454" i="2"/>
  <c r="S454" i="2"/>
  <c r="T454" i="2"/>
  <c r="U454" i="2"/>
  <c r="X454" i="2"/>
  <c r="AK454" i="2"/>
  <c r="AL454" i="2"/>
  <c r="AM454" i="2"/>
  <c r="B455" i="2"/>
  <c r="C455" i="2"/>
  <c r="D455" i="2"/>
  <c r="E455" i="2"/>
  <c r="F455" i="2"/>
  <c r="L455" i="2"/>
  <c r="R455" i="2"/>
  <c r="S455" i="2"/>
  <c r="T455" i="2"/>
  <c r="U455" i="2"/>
  <c r="X455" i="2"/>
  <c r="AK455" i="2"/>
  <c r="AL455" i="2"/>
  <c r="AM455" i="2"/>
  <c r="B456" i="2"/>
  <c r="C456" i="2"/>
  <c r="D456" i="2"/>
  <c r="E456" i="2"/>
  <c r="F456" i="2"/>
  <c r="L456" i="2"/>
  <c r="R456" i="2"/>
  <c r="S456" i="2"/>
  <c r="T456" i="2"/>
  <c r="U456" i="2"/>
  <c r="X456" i="2"/>
  <c r="AK456" i="2"/>
  <c r="AL456" i="2"/>
  <c r="AM456" i="2"/>
  <c r="B457" i="2"/>
  <c r="C457" i="2"/>
  <c r="D457" i="2"/>
  <c r="E457" i="2"/>
  <c r="F457" i="2"/>
  <c r="L457" i="2"/>
  <c r="R457" i="2"/>
  <c r="S457" i="2"/>
  <c r="T457" i="2"/>
  <c r="U457" i="2"/>
  <c r="X457" i="2"/>
  <c r="AK457" i="2"/>
  <c r="AL457" i="2"/>
  <c r="AM457" i="2"/>
  <c r="B458" i="2"/>
  <c r="C458" i="2"/>
  <c r="D458" i="2"/>
  <c r="E458" i="2"/>
  <c r="F458" i="2"/>
  <c r="L458" i="2"/>
  <c r="R458" i="2"/>
  <c r="S458" i="2"/>
  <c r="T458" i="2"/>
  <c r="U458" i="2"/>
  <c r="X458" i="2"/>
  <c r="AK458" i="2"/>
  <c r="AL458" i="2"/>
  <c r="AM458" i="2"/>
  <c r="B459" i="2"/>
  <c r="C459" i="2"/>
  <c r="D459" i="2"/>
  <c r="E459" i="2"/>
  <c r="F459" i="2"/>
  <c r="L459" i="2"/>
  <c r="R459" i="2"/>
  <c r="S459" i="2"/>
  <c r="T459" i="2"/>
  <c r="U459" i="2"/>
  <c r="X459" i="2"/>
  <c r="AK459" i="2"/>
  <c r="AL459" i="2"/>
  <c r="AM459" i="2"/>
  <c r="B460" i="2"/>
  <c r="C460" i="2"/>
  <c r="D460" i="2"/>
  <c r="E460" i="2"/>
  <c r="F460" i="2"/>
  <c r="L460" i="2"/>
  <c r="R460" i="2"/>
  <c r="S460" i="2"/>
  <c r="T460" i="2"/>
  <c r="U460" i="2"/>
  <c r="X460" i="2"/>
  <c r="AK460" i="2"/>
  <c r="AL460" i="2"/>
  <c r="AM460" i="2"/>
  <c r="B461" i="2"/>
  <c r="C461" i="2"/>
  <c r="D461" i="2"/>
  <c r="E461" i="2"/>
  <c r="F461" i="2"/>
  <c r="L461" i="2"/>
  <c r="R461" i="2"/>
  <c r="S461" i="2"/>
  <c r="T461" i="2"/>
  <c r="U461" i="2"/>
  <c r="X461" i="2"/>
  <c r="AK461" i="2"/>
  <c r="AL461" i="2"/>
  <c r="AM461" i="2"/>
  <c r="B462" i="2"/>
  <c r="C462" i="2"/>
  <c r="D462" i="2"/>
  <c r="E462" i="2"/>
  <c r="F462" i="2"/>
  <c r="L462" i="2"/>
  <c r="R462" i="2"/>
  <c r="S462" i="2"/>
  <c r="T462" i="2"/>
  <c r="U462" i="2"/>
  <c r="X462" i="2"/>
  <c r="AK462" i="2"/>
  <c r="AL462" i="2"/>
  <c r="AM462" i="2"/>
  <c r="B463" i="2"/>
  <c r="C463" i="2"/>
  <c r="D463" i="2"/>
  <c r="E463" i="2"/>
  <c r="F463" i="2"/>
  <c r="L463" i="2"/>
  <c r="R463" i="2"/>
  <c r="S463" i="2"/>
  <c r="T463" i="2"/>
  <c r="U463" i="2"/>
  <c r="X463" i="2"/>
  <c r="AK463" i="2"/>
  <c r="AL463" i="2"/>
  <c r="AM463" i="2"/>
  <c r="B464" i="2"/>
  <c r="C464" i="2"/>
  <c r="D464" i="2"/>
  <c r="E464" i="2"/>
  <c r="F464" i="2"/>
  <c r="L464" i="2"/>
  <c r="R464" i="2"/>
  <c r="S464" i="2"/>
  <c r="T464" i="2"/>
  <c r="U464" i="2"/>
  <c r="X464" i="2"/>
  <c r="AK464" i="2"/>
  <c r="AL464" i="2"/>
  <c r="AM464" i="2"/>
  <c r="B465" i="2"/>
  <c r="C465" i="2"/>
  <c r="D465" i="2"/>
  <c r="E465" i="2"/>
  <c r="F465" i="2"/>
  <c r="L465" i="2"/>
  <c r="R465" i="2"/>
  <c r="S465" i="2"/>
  <c r="T465" i="2"/>
  <c r="U465" i="2"/>
  <c r="X465" i="2"/>
  <c r="AK465" i="2"/>
  <c r="AL465" i="2"/>
  <c r="AM465" i="2"/>
  <c r="B466" i="2"/>
  <c r="C466" i="2"/>
  <c r="D466" i="2"/>
  <c r="E466" i="2"/>
  <c r="F466" i="2"/>
  <c r="L466" i="2"/>
  <c r="R466" i="2"/>
  <c r="S466" i="2"/>
  <c r="T466" i="2"/>
  <c r="U466" i="2"/>
  <c r="X466" i="2"/>
  <c r="AK466" i="2"/>
  <c r="AL466" i="2"/>
  <c r="AM466" i="2"/>
  <c r="B467" i="2"/>
  <c r="C467" i="2"/>
  <c r="D467" i="2"/>
  <c r="E467" i="2"/>
  <c r="F467" i="2"/>
  <c r="L467" i="2"/>
  <c r="R467" i="2"/>
  <c r="S467" i="2"/>
  <c r="T467" i="2"/>
  <c r="U467" i="2"/>
  <c r="X467" i="2"/>
  <c r="AK467" i="2"/>
  <c r="AL467" i="2"/>
  <c r="AM467" i="2"/>
  <c r="B468" i="2"/>
  <c r="C468" i="2"/>
  <c r="D468" i="2"/>
  <c r="E468" i="2"/>
  <c r="F468" i="2"/>
  <c r="L468" i="2"/>
  <c r="R468" i="2"/>
  <c r="S468" i="2"/>
  <c r="T468" i="2"/>
  <c r="U468" i="2"/>
  <c r="X468" i="2"/>
  <c r="AK468" i="2"/>
  <c r="AL468" i="2"/>
  <c r="AM468" i="2"/>
  <c r="B469" i="2"/>
  <c r="C469" i="2"/>
  <c r="D469" i="2"/>
  <c r="E469" i="2"/>
  <c r="F469" i="2"/>
  <c r="L469" i="2"/>
  <c r="R469" i="2"/>
  <c r="S469" i="2"/>
  <c r="T469" i="2"/>
  <c r="U469" i="2"/>
  <c r="X469" i="2"/>
  <c r="AK469" i="2"/>
  <c r="AL469" i="2"/>
  <c r="AM469" i="2"/>
  <c r="B470" i="2"/>
  <c r="C470" i="2"/>
  <c r="D470" i="2"/>
  <c r="E470" i="2"/>
  <c r="F470" i="2"/>
  <c r="L470" i="2"/>
  <c r="R470" i="2"/>
  <c r="S470" i="2"/>
  <c r="T470" i="2"/>
  <c r="U470" i="2"/>
  <c r="X470" i="2"/>
  <c r="AK470" i="2"/>
  <c r="AL470" i="2"/>
  <c r="AM470" i="2"/>
  <c r="B471" i="2"/>
  <c r="C471" i="2"/>
  <c r="D471" i="2"/>
  <c r="E471" i="2"/>
  <c r="F471" i="2"/>
  <c r="L471" i="2"/>
  <c r="R471" i="2"/>
  <c r="S471" i="2"/>
  <c r="T471" i="2"/>
  <c r="U471" i="2"/>
  <c r="X471" i="2"/>
  <c r="AK471" i="2"/>
  <c r="AL471" i="2"/>
  <c r="AM471" i="2"/>
  <c r="B472" i="2"/>
  <c r="C472" i="2"/>
  <c r="D472" i="2"/>
  <c r="E472" i="2"/>
  <c r="F472" i="2"/>
  <c r="L472" i="2"/>
  <c r="R472" i="2"/>
  <c r="S472" i="2"/>
  <c r="T472" i="2"/>
  <c r="U472" i="2"/>
  <c r="X472" i="2"/>
  <c r="AK472" i="2"/>
  <c r="AL472" i="2"/>
  <c r="AM472" i="2"/>
  <c r="B473" i="2"/>
  <c r="C473" i="2"/>
  <c r="D473" i="2"/>
  <c r="E473" i="2"/>
  <c r="F473" i="2"/>
  <c r="L473" i="2"/>
  <c r="R473" i="2"/>
  <c r="S473" i="2"/>
  <c r="T473" i="2"/>
  <c r="U473" i="2"/>
  <c r="X473" i="2"/>
  <c r="AK473" i="2"/>
  <c r="AL473" i="2"/>
  <c r="AM473" i="2"/>
  <c r="B474" i="2"/>
  <c r="C474" i="2"/>
  <c r="D474" i="2"/>
  <c r="E474" i="2"/>
  <c r="F474" i="2"/>
  <c r="L474" i="2"/>
  <c r="R474" i="2"/>
  <c r="S474" i="2"/>
  <c r="T474" i="2"/>
  <c r="U474" i="2"/>
  <c r="X474" i="2"/>
  <c r="AK474" i="2"/>
  <c r="AL474" i="2"/>
  <c r="AM474" i="2"/>
  <c r="B475" i="2"/>
  <c r="C475" i="2"/>
  <c r="D475" i="2"/>
  <c r="E475" i="2"/>
  <c r="F475" i="2"/>
  <c r="L475" i="2"/>
  <c r="R475" i="2"/>
  <c r="S475" i="2"/>
  <c r="T475" i="2"/>
  <c r="U475" i="2"/>
  <c r="X475" i="2"/>
  <c r="AK475" i="2"/>
  <c r="AL475" i="2"/>
  <c r="AM475" i="2"/>
  <c r="B476" i="2"/>
  <c r="C476" i="2"/>
  <c r="D476" i="2"/>
  <c r="E476" i="2"/>
  <c r="F476" i="2"/>
  <c r="L476" i="2"/>
  <c r="R476" i="2"/>
  <c r="S476" i="2"/>
  <c r="T476" i="2"/>
  <c r="U476" i="2"/>
  <c r="X476" i="2"/>
  <c r="AK476" i="2"/>
  <c r="AL476" i="2"/>
  <c r="AM476" i="2"/>
  <c r="B477" i="2"/>
  <c r="C477" i="2"/>
  <c r="D477" i="2"/>
  <c r="E477" i="2"/>
  <c r="F477" i="2"/>
  <c r="L477" i="2"/>
  <c r="R477" i="2"/>
  <c r="S477" i="2"/>
  <c r="T477" i="2"/>
  <c r="U477" i="2"/>
  <c r="X477" i="2"/>
  <c r="AK477" i="2"/>
  <c r="AL477" i="2"/>
  <c r="AM477" i="2"/>
  <c r="B478" i="2"/>
  <c r="C478" i="2"/>
  <c r="D478" i="2"/>
  <c r="E478" i="2"/>
  <c r="F478" i="2"/>
  <c r="L478" i="2"/>
  <c r="R478" i="2"/>
  <c r="S478" i="2"/>
  <c r="T478" i="2"/>
  <c r="U478" i="2"/>
  <c r="X478" i="2"/>
  <c r="AK478" i="2"/>
  <c r="AL478" i="2"/>
  <c r="AM478" i="2"/>
  <c r="B479" i="2"/>
  <c r="C479" i="2"/>
  <c r="D479" i="2"/>
  <c r="E479" i="2"/>
  <c r="F479" i="2"/>
  <c r="L479" i="2"/>
  <c r="R479" i="2"/>
  <c r="S479" i="2"/>
  <c r="T479" i="2"/>
  <c r="U479" i="2"/>
  <c r="X479" i="2"/>
  <c r="AK479" i="2"/>
  <c r="AL479" i="2"/>
  <c r="AM479" i="2"/>
  <c r="B480" i="2"/>
  <c r="C480" i="2"/>
  <c r="D480" i="2"/>
  <c r="E480" i="2"/>
  <c r="F480" i="2"/>
  <c r="L480" i="2"/>
  <c r="R480" i="2"/>
  <c r="S480" i="2"/>
  <c r="T480" i="2"/>
  <c r="U480" i="2"/>
  <c r="X480" i="2"/>
  <c r="AK480" i="2"/>
  <c r="AL480" i="2"/>
  <c r="AM480" i="2"/>
  <c r="B481" i="2"/>
  <c r="C481" i="2"/>
  <c r="D481" i="2"/>
  <c r="E481" i="2"/>
  <c r="F481" i="2"/>
  <c r="L481" i="2"/>
  <c r="R481" i="2"/>
  <c r="S481" i="2"/>
  <c r="T481" i="2"/>
  <c r="U481" i="2"/>
  <c r="X481" i="2"/>
  <c r="AK481" i="2"/>
  <c r="AL481" i="2"/>
  <c r="AM481" i="2"/>
  <c r="B482" i="2"/>
  <c r="C482" i="2"/>
  <c r="D482" i="2"/>
  <c r="E482" i="2"/>
  <c r="F482" i="2"/>
  <c r="L482" i="2"/>
  <c r="R482" i="2"/>
  <c r="S482" i="2"/>
  <c r="T482" i="2"/>
  <c r="U482" i="2"/>
  <c r="X482" i="2"/>
  <c r="AK482" i="2"/>
  <c r="AL482" i="2"/>
  <c r="AM482" i="2"/>
  <c r="B483" i="2"/>
  <c r="C483" i="2"/>
  <c r="D483" i="2"/>
  <c r="E483" i="2"/>
  <c r="F483" i="2"/>
  <c r="L483" i="2"/>
  <c r="R483" i="2"/>
  <c r="S483" i="2"/>
  <c r="T483" i="2"/>
  <c r="U483" i="2"/>
  <c r="X483" i="2"/>
  <c r="AK483" i="2"/>
  <c r="AL483" i="2"/>
  <c r="AM483" i="2"/>
  <c r="B484" i="2"/>
  <c r="C484" i="2"/>
  <c r="D484" i="2"/>
  <c r="E484" i="2"/>
  <c r="F484" i="2"/>
  <c r="L484" i="2"/>
  <c r="R484" i="2"/>
  <c r="S484" i="2"/>
  <c r="T484" i="2"/>
  <c r="U484" i="2"/>
  <c r="X484" i="2"/>
  <c r="AK484" i="2"/>
  <c r="AL484" i="2"/>
  <c r="AM484" i="2"/>
  <c r="B485" i="2"/>
  <c r="C485" i="2"/>
  <c r="D485" i="2"/>
  <c r="E485" i="2"/>
  <c r="F485" i="2"/>
  <c r="L485" i="2"/>
  <c r="R485" i="2"/>
  <c r="S485" i="2"/>
  <c r="T485" i="2"/>
  <c r="U485" i="2"/>
  <c r="X485" i="2"/>
  <c r="AK485" i="2"/>
  <c r="AL485" i="2"/>
  <c r="AM485" i="2"/>
  <c r="B486" i="2"/>
  <c r="C486" i="2"/>
  <c r="D486" i="2"/>
  <c r="E486" i="2"/>
  <c r="F486" i="2"/>
  <c r="L486" i="2"/>
  <c r="R486" i="2"/>
  <c r="S486" i="2"/>
  <c r="T486" i="2"/>
  <c r="U486" i="2"/>
  <c r="X486" i="2"/>
  <c r="AK486" i="2"/>
  <c r="AL486" i="2"/>
  <c r="AM486" i="2"/>
  <c r="B487" i="2"/>
  <c r="C487" i="2"/>
  <c r="D487" i="2"/>
  <c r="E487" i="2"/>
  <c r="F487" i="2"/>
  <c r="L487" i="2"/>
  <c r="R487" i="2"/>
  <c r="S487" i="2"/>
  <c r="T487" i="2"/>
  <c r="U487" i="2"/>
  <c r="X487" i="2"/>
  <c r="AK487" i="2"/>
  <c r="AL487" i="2"/>
  <c r="AM487" i="2"/>
  <c r="B488" i="2"/>
  <c r="C488" i="2"/>
  <c r="D488" i="2"/>
  <c r="E488" i="2"/>
  <c r="F488" i="2"/>
  <c r="L488" i="2"/>
  <c r="R488" i="2"/>
  <c r="S488" i="2"/>
  <c r="T488" i="2"/>
  <c r="U488" i="2"/>
  <c r="X488" i="2"/>
  <c r="AK488" i="2"/>
  <c r="AL488" i="2"/>
  <c r="AM488" i="2"/>
  <c r="B489" i="2"/>
  <c r="C489" i="2"/>
  <c r="D489" i="2"/>
  <c r="E489" i="2"/>
  <c r="F489" i="2"/>
  <c r="L489" i="2"/>
  <c r="R489" i="2"/>
  <c r="S489" i="2"/>
  <c r="T489" i="2"/>
  <c r="U489" i="2"/>
  <c r="X489" i="2"/>
  <c r="AK489" i="2"/>
  <c r="AL489" i="2"/>
  <c r="AM489" i="2"/>
  <c r="B490" i="2"/>
  <c r="C490" i="2"/>
  <c r="D490" i="2"/>
  <c r="E490" i="2"/>
  <c r="F490" i="2"/>
  <c r="L490" i="2"/>
  <c r="R490" i="2"/>
  <c r="S490" i="2"/>
  <c r="T490" i="2"/>
  <c r="U490" i="2"/>
  <c r="X490" i="2"/>
  <c r="AK490" i="2"/>
  <c r="AL490" i="2"/>
  <c r="AM490" i="2"/>
  <c r="B491" i="2"/>
  <c r="C491" i="2"/>
  <c r="D491" i="2"/>
  <c r="E491" i="2"/>
  <c r="F491" i="2"/>
  <c r="L491" i="2"/>
  <c r="R491" i="2"/>
  <c r="S491" i="2"/>
  <c r="T491" i="2"/>
  <c r="U491" i="2"/>
  <c r="X491" i="2"/>
  <c r="AK491" i="2"/>
  <c r="AL491" i="2"/>
  <c r="AM491" i="2"/>
  <c r="B492" i="2"/>
  <c r="C492" i="2"/>
  <c r="D492" i="2"/>
  <c r="E492" i="2"/>
  <c r="F492" i="2"/>
  <c r="L492" i="2"/>
  <c r="R492" i="2"/>
  <c r="S492" i="2"/>
  <c r="T492" i="2"/>
  <c r="U492" i="2"/>
  <c r="X492" i="2"/>
  <c r="AK492" i="2"/>
  <c r="AL492" i="2"/>
  <c r="AM492" i="2"/>
  <c r="B493" i="2"/>
  <c r="C493" i="2"/>
  <c r="D493" i="2"/>
  <c r="E493" i="2"/>
  <c r="F493" i="2"/>
  <c r="L493" i="2"/>
  <c r="R493" i="2"/>
  <c r="S493" i="2"/>
  <c r="T493" i="2"/>
  <c r="U493" i="2"/>
  <c r="X493" i="2"/>
  <c r="AK493" i="2"/>
  <c r="AL493" i="2"/>
  <c r="AM493" i="2"/>
  <c r="B494" i="2"/>
  <c r="C494" i="2"/>
  <c r="D494" i="2"/>
  <c r="E494" i="2"/>
  <c r="F494" i="2"/>
  <c r="L494" i="2"/>
  <c r="R494" i="2"/>
  <c r="S494" i="2"/>
  <c r="T494" i="2"/>
  <c r="U494" i="2"/>
  <c r="X494" i="2"/>
  <c r="AK494" i="2"/>
  <c r="AL494" i="2"/>
  <c r="AM494" i="2"/>
  <c r="B495" i="2"/>
  <c r="C495" i="2"/>
  <c r="D495" i="2"/>
  <c r="E495" i="2"/>
  <c r="F495" i="2"/>
  <c r="L495" i="2"/>
  <c r="R495" i="2"/>
  <c r="S495" i="2"/>
  <c r="T495" i="2"/>
  <c r="U495" i="2"/>
  <c r="X495" i="2"/>
  <c r="AK495" i="2"/>
  <c r="AL495" i="2"/>
  <c r="AM495" i="2"/>
  <c r="B496" i="2"/>
  <c r="C496" i="2"/>
  <c r="D496" i="2"/>
  <c r="E496" i="2"/>
  <c r="F496" i="2"/>
  <c r="L496" i="2"/>
  <c r="R496" i="2"/>
  <c r="S496" i="2"/>
  <c r="T496" i="2"/>
  <c r="U496" i="2"/>
  <c r="X496" i="2"/>
  <c r="AK496" i="2"/>
  <c r="AL496" i="2"/>
  <c r="AM496" i="2"/>
  <c r="B497" i="2"/>
  <c r="C497" i="2"/>
  <c r="D497" i="2"/>
  <c r="E497" i="2"/>
  <c r="F497" i="2"/>
  <c r="L497" i="2"/>
  <c r="R497" i="2"/>
  <c r="S497" i="2"/>
  <c r="T497" i="2"/>
  <c r="U497" i="2"/>
  <c r="X497" i="2"/>
  <c r="AK497" i="2"/>
  <c r="AL497" i="2"/>
  <c r="AM497" i="2"/>
  <c r="B498" i="2"/>
  <c r="C498" i="2"/>
  <c r="D498" i="2"/>
  <c r="E498" i="2"/>
  <c r="F498" i="2"/>
  <c r="L498" i="2"/>
  <c r="R498" i="2"/>
  <c r="S498" i="2"/>
  <c r="T498" i="2"/>
  <c r="U498" i="2"/>
  <c r="X498" i="2"/>
  <c r="AK498" i="2"/>
  <c r="AL498" i="2"/>
  <c r="AM498" i="2"/>
  <c r="B499" i="2"/>
  <c r="C499" i="2"/>
  <c r="D499" i="2"/>
  <c r="E499" i="2"/>
  <c r="F499" i="2"/>
  <c r="L499" i="2"/>
  <c r="R499" i="2"/>
  <c r="S499" i="2"/>
  <c r="T499" i="2"/>
  <c r="U499" i="2"/>
  <c r="X499" i="2"/>
  <c r="AK499" i="2"/>
  <c r="AL499" i="2"/>
  <c r="AM499" i="2"/>
  <c r="B500" i="2"/>
  <c r="C500" i="2"/>
  <c r="D500" i="2"/>
  <c r="E500" i="2"/>
  <c r="F500" i="2"/>
  <c r="L500" i="2"/>
  <c r="R500" i="2"/>
  <c r="S500" i="2"/>
  <c r="T500" i="2"/>
  <c r="U500" i="2"/>
  <c r="X500" i="2"/>
  <c r="AK500" i="2"/>
  <c r="AL500" i="2"/>
  <c r="AM500" i="2"/>
  <c r="B501" i="2"/>
  <c r="C501" i="2"/>
  <c r="D501" i="2"/>
  <c r="E501" i="2"/>
  <c r="F501" i="2"/>
  <c r="L501" i="2"/>
  <c r="R501" i="2"/>
  <c r="S501" i="2"/>
  <c r="T501" i="2"/>
  <c r="U501" i="2"/>
  <c r="X501" i="2"/>
  <c r="AK501" i="2"/>
  <c r="AL501" i="2"/>
  <c r="AM501" i="2"/>
  <c r="B502" i="2"/>
  <c r="C502" i="2"/>
  <c r="D502" i="2"/>
  <c r="E502" i="2"/>
  <c r="F502" i="2"/>
  <c r="L502" i="2"/>
  <c r="R502" i="2"/>
  <c r="S502" i="2"/>
  <c r="T502" i="2"/>
  <c r="U502" i="2"/>
  <c r="X502" i="2"/>
  <c r="AK502" i="2"/>
  <c r="AL502" i="2"/>
  <c r="AM502" i="2"/>
  <c r="B503" i="2"/>
  <c r="C503" i="2"/>
  <c r="D503" i="2"/>
  <c r="E503" i="2"/>
  <c r="F503" i="2"/>
  <c r="L503" i="2"/>
  <c r="R503" i="2"/>
  <c r="S503" i="2"/>
  <c r="T503" i="2"/>
  <c r="U503" i="2"/>
  <c r="X503" i="2"/>
  <c r="AK503" i="2"/>
  <c r="AL503" i="2"/>
  <c r="AM503" i="2"/>
  <c r="B504" i="2"/>
  <c r="C504" i="2"/>
  <c r="D504" i="2"/>
  <c r="E504" i="2"/>
  <c r="F504" i="2"/>
  <c r="L504" i="2"/>
  <c r="R504" i="2"/>
  <c r="S504" i="2"/>
  <c r="T504" i="2"/>
  <c r="U504" i="2"/>
  <c r="X504" i="2"/>
  <c r="AK504" i="2"/>
  <c r="AL504" i="2"/>
  <c r="AM504" i="2"/>
  <c r="B505" i="2"/>
  <c r="C505" i="2"/>
  <c r="D505" i="2"/>
  <c r="E505" i="2"/>
  <c r="F505" i="2"/>
  <c r="L505" i="2"/>
  <c r="R505" i="2"/>
  <c r="S505" i="2"/>
  <c r="T505" i="2"/>
  <c r="U505" i="2"/>
  <c r="X505" i="2"/>
  <c r="AK505" i="2"/>
  <c r="AL505" i="2"/>
  <c r="AM505" i="2"/>
  <c r="B506" i="2"/>
  <c r="C506" i="2"/>
  <c r="D506" i="2"/>
  <c r="E506" i="2"/>
  <c r="F506" i="2"/>
  <c r="L506" i="2"/>
  <c r="R506" i="2"/>
  <c r="S506" i="2"/>
  <c r="T506" i="2"/>
  <c r="U506" i="2"/>
  <c r="X506" i="2"/>
  <c r="AK506" i="2"/>
  <c r="AL506" i="2"/>
  <c r="AM506" i="2"/>
  <c r="B507" i="2"/>
  <c r="C507" i="2"/>
  <c r="D507" i="2"/>
  <c r="E507" i="2"/>
  <c r="F507" i="2"/>
  <c r="L507" i="2"/>
  <c r="R507" i="2"/>
  <c r="S507" i="2"/>
  <c r="T507" i="2"/>
  <c r="U507" i="2"/>
  <c r="X507" i="2"/>
  <c r="AK507" i="2"/>
  <c r="AL507" i="2"/>
  <c r="AM507" i="2"/>
  <c r="B508" i="2"/>
  <c r="C508" i="2"/>
  <c r="D508" i="2"/>
  <c r="E508" i="2"/>
  <c r="F508" i="2"/>
  <c r="L508" i="2"/>
  <c r="R508" i="2"/>
  <c r="S508" i="2"/>
  <c r="T508" i="2"/>
  <c r="U508" i="2"/>
  <c r="X508" i="2"/>
  <c r="AK508" i="2"/>
  <c r="AL508" i="2"/>
  <c r="AM508" i="2"/>
  <c r="B509" i="2"/>
  <c r="C509" i="2"/>
  <c r="D509" i="2"/>
  <c r="E509" i="2"/>
  <c r="F509" i="2"/>
  <c r="L509" i="2"/>
  <c r="R509" i="2"/>
  <c r="S509" i="2"/>
  <c r="T509" i="2"/>
  <c r="U509" i="2"/>
  <c r="X509" i="2"/>
  <c r="AK509" i="2"/>
  <c r="AL509" i="2"/>
  <c r="AM509" i="2"/>
  <c r="B510" i="2"/>
  <c r="C510" i="2"/>
  <c r="D510" i="2"/>
  <c r="E510" i="2"/>
  <c r="F510" i="2"/>
  <c r="L510" i="2"/>
  <c r="R510" i="2"/>
  <c r="S510" i="2"/>
  <c r="T510" i="2"/>
  <c r="U510" i="2"/>
  <c r="X510" i="2"/>
  <c r="AK510" i="2"/>
  <c r="AL510" i="2"/>
  <c r="AM510" i="2"/>
  <c r="B511" i="2"/>
  <c r="C511" i="2"/>
  <c r="D511" i="2"/>
  <c r="E511" i="2"/>
  <c r="F511" i="2"/>
  <c r="L511" i="2"/>
  <c r="R511" i="2"/>
  <c r="S511" i="2"/>
  <c r="T511" i="2"/>
  <c r="U511" i="2"/>
  <c r="X511" i="2"/>
  <c r="AK511" i="2"/>
  <c r="AL511" i="2"/>
  <c r="AM511" i="2"/>
  <c r="B512" i="2"/>
  <c r="C512" i="2"/>
  <c r="D512" i="2"/>
  <c r="E512" i="2"/>
  <c r="F512" i="2"/>
  <c r="L512" i="2"/>
  <c r="R512" i="2"/>
  <c r="S512" i="2"/>
  <c r="T512" i="2"/>
  <c r="U512" i="2"/>
  <c r="X512" i="2"/>
  <c r="AK512" i="2"/>
  <c r="AL512" i="2"/>
  <c r="AM512" i="2"/>
  <c r="B513" i="2"/>
  <c r="C513" i="2"/>
  <c r="D513" i="2"/>
  <c r="E513" i="2"/>
  <c r="F513" i="2"/>
  <c r="L513" i="2"/>
  <c r="R513" i="2"/>
  <c r="S513" i="2"/>
  <c r="T513" i="2"/>
  <c r="U513" i="2"/>
  <c r="X513" i="2"/>
  <c r="AK513" i="2"/>
  <c r="AL513" i="2"/>
  <c r="AM513" i="2"/>
  <c r="B514" i="2"/>
  <c r="C514" i="2"/>
  <c r="D514" i="2"/>
  <c r="E514" i="2"/>
  <c r="F514" i="2"/>
  <c r="L514" i="2"/>
  <c r="R514" i="2"/>
  <c r="S514" i="2"/>
  <c r="T514" i="2"/>
  <c r="U514" i="2"/>
  <c r="X514" i="2"/>
  <c r="AK514" i="2"/>
  <c r="AL514" i="2"/>
  <c r="AM514" i="2"/>
  <c r="B515" i="2"/>
  <c r="C515" i="2"/>
  <c r="D515" i="2"/>
  <c r="E515" i="2"/>
  <c r="F515" i="2"/>
  <c r="L515" i="2"/>
  <c r="R515" i="2"/>
  <c r="S515" i="2"/>
  <c r="T515" i="2"/>
  <c r="U515" i="2"/>
  <c r="X515" i="2"/>
  <c r="AK515" i="2"/>
  <c r="AL515" i="2"/>
  <c r="AM515" i="2"/>
  <c r="B516" i="2"/>
  <c r="C516" i="2"/>
  <c r="D516" i="2"/>
  <c r="E516" i="2"/>
  <c r="F516" i="2"/>
  <c r="L516" i="2"/>
  <c r="R516" i="2"/>
  <c r="S516" i="2"/>
  <c r="T516" i="2"/>
  <c r="U516" i="2"/>
  <c r="X516" i="2"/>
  <c r="AK516" i="2"/>
  <c r="AL516" i="2"/>
  <c r="AM516" i="2"/>
  <c r="B517" i="2"/>
  <c r="C517" i="2"/>
  <c r="D517" i="2"/>
  <c r="E517" i="2"/>
  <c r="F517" i="2"/>
  <c r="L517" i="2"/>
  <c r="R517" i="2"/>
  <c r="S517" i="2"/>
  <c r="T517" i="2"/>
  <c r="U517" i="2"/>
  <c r="X517" i="2"/>
  <c r="AK517" i="2"/>
  <c r="AL517" i="2"/>
  <c r="AM517" i="2"/>
  <c r="B518" i="2"/>
  <c r="C518" i="2"/>
  <c r="D518" i="2"/>
  <c r="E518" i="2"/>
  <c r="F518" i="2"/>
  <c r="L518" i="2"/>
  <c r="R518" i="2"/>
  <c r="S518" i="2"/>
  <c r="T518" i="2"/>
  <c r="U518" i="2"/>
  <c r="X518" i="2"/>
  <c r="AK518" i="2"/>
  <c r="AL518" i="2"/>
  <c r="AM518" i="2"/>
  <c r="B519" i="2"/>
  <c r="C519" i="2"/>
  <c r="D519" i="2"/>
  <c r="E519" i="2"/>
  <c r="F519" i="2"/>
  <c r="L519" i="2"/>
  <c r="R519" i="2"/>
  <c r="S519" i="2"/>
  <c r="T519" i="2"/>
  <c r="U519" i="2"/>
  <c r="X519" i="2"/>
  <c r="AK519" i="2"/>
  <c r="AL519" i="2"/>
  <c r="AM519" i="2"/>
  <c r="B520" i="2"/>
  <c r="C520" i="2"/>
  <c r="D520" i="2"/>
  <c r="E520" i="2"/>
  <c r="F520" i="2"/>
  <c r="L520" i="2"/>
  <c r="R520" i="2"/>
  <c r="S520" i="2"/>
  <c r="T520" i="2"/>
  <c r="U520" i="2"/>
  <c r="X520" i="2"/>
  <c r="AK520" i="2"/>
  <c r="AL520" i="2"/>
  <c r="AM520" i="2"/>
  <c r="B521" i="2"/>
  <c r="C521" i="2"/>
  <c r="D521" i="2"/>
  <c r="E521" i="2"/>
  <c r="F521" i="2"/>
  <c r="L521" i="2"/>
  <c r="R521" i="2"/>
  <c r="S521" i="2"/>
  <c r="T521" i="2"/>
  <c r="U521" i="2"/>
  <c r="X521" i="2"/>
  <c r="AK521" i="2"/>
  <c r="AL521" i="2"/>
  <c r="AM521" i="2"/>
  <c r="B522" i="2"/>
  <c r="C522" i="2"/>
  <c r="D522" i="2"/>
  <c r="E522" i="2"/>
  <c r="F522" i="2"/>
  <c r="L522" i="2"/>
  <c r="R522" i="2"/>
  <c r="S522" i="2"/>
  <c r="T522" i="2"/>
  <c r="U522" i="2"/>
  <c r="X522" i="2"/>
  <c r="AK522" i="2"/>
  <c r="AL522" i="2"/>
  <c r="AM522" i="2"/>
  <c r="B523" i="2"/>
  <c r="C523" i="2"/>
  <c r="D523" i="2"/>
  <c r="E523" i="2"/>
  <c r="F523" i="2"/>
  <c r="L523" i="2"/>
  <c r="R523" i="2"/>
  <c r="S523" i="2"/>
  <c r="T523" i="2"/>
  <c r="U523" i="2"/>
  <c r="X523" i="2"/>
  <c r="AK523" i="2"/>
  <c r="AL523" i="2"/>
  <c r="AM523" i="2"/>
  <c r="B524" i="2"/>
  <c r="C524" i="2"/>
  <c r="D524" i="2"/>
  <c r="E524" i="2"/>
  <c r="F524" i="2"/>
  <c r="L524" i="2"/>
  <c r="R524" i="2"/>
  <c r="S524" i="2"/>
  <c r="T524" i="2"/>
  <c r="U524" i="2"/>
  <c r="X524" i="2"/>
  <c r="AK524" i="2"/>
  <c r="AL524" i="2"/>
  <c r="AM524" i="2"/>
  <c r="B525" i="2"/>
  <c r="C525" i="2"/>
  <c r="D525" i="2"/>
  <c r="E525" i="2"/>
  <c r="F525" i="2"/>
  <c r="L525" i="2"/>
  <c r="R525" i="2"/>
  <c r="S525" i="2"/>
  <c r="T525" i="2"/>
  <c r="U525" i="2"/>
  <c r="X525" i="2"/>
  <c r="AK525" i="2"/>
  <c r="AL525" i="2"/>
  <c r="AM525" i="2"/>
  <c r="B526" i="2"/>
  <c r="C526" i="2"/>
  <c r="D526" i="2"/>
  <c r="E526" i="2"/>
  <c r="F526" i="2"/>
  <c r="L526" i="2"/>
  <c r="R526" i="2"/>
  <c r="S526" i="2"/>
  <c r="T526" i="2"/>
  <c r="U526" i="2"/>
  <c r="X526" i="2"/>
  <c r="AK526" i="2"/>
  <c r="AL526" i="2"/>
  <c r="AM526" i="2"/>
  <c r="B527" i="2"/>
  <c r="C527" i="2"/>
  <c r="D527" i="2"/>
  <c r="E527" i="2"/>
  <c r="F527" i="2"/>
  <c r="L527" i="2"/>
  <c r="R527" i="2"/>
  <c r="S527" i="2"/>
  <c r="T527" i="2"/>
  <c r="U527" i="2"/>
  <c r="X527" i="2"/>
  <c r="AK527" i="2"/>
  <c r="AL527" i="2"/>
  <c r="AM527" i="2"/>
  <c r="B528" i="2"/>
  <c r="C528" i="2"/>
  <c r="D528" i="2"/>
  <c r="E528" i="2"/>
  <c r="F528" i="2"/>
  <c r="L528" i="2"/>
  <c r="R528" i="2"/>
  <c r="S528" i="2"/>
  <c r="T528" i="2"/>
  <c r="U528" i="2"/>
  <c r="X528" i="2"/>
  <c r="AK528" i="2"/>
  <c r="AL528" i="2"/>
  <c r="AM528" i="2"/>
  <c r="B529" i="2"/>
  <c r="C529" i="2"/>
  <c r="D529" i="2"/>
  <c r="E529" i="2"/>
  <c r="F529" i="2"/>
  <c r="L529" i="2"/>
  <c r="R529" i="2"/>
  <c r="S529" i="2"/>
  <c r="T529" i="2"/>
  <c r="U529" i="2"/>
  <c r="X529" i="2"/>
  <c r="AK529" i="2"/>
  <c r="AL529" i="2"/>
  <c r="AM529" i="2"/>
  <c r="B530" i="2"/>
  <c r="C530" i="2"/>
  <c r="D530" i="2"/>
  <c r="E530" i="2"/>
  <c r="F530" i="2"/>
  <c r="L530" i="2"/>
  <c r="R530" i="2"/>
  <c r="S530" i="2"/>
  <c r="T530" i="2"/>
  <c r="U530" i="2"/>
  <c r="X530" i="2"/>
  <c r="AK530" i="2"/>
  <c r="AL530" i="2"/>
  <c r="AM530" i="2"/>
  <c r="B531" i="2"/>
  <c r="C531" i="2"/>
  <c r="D531" i="2"/>
  <c r="E531" i="2"/>
  <c r="F531" i="2"/>
  <c r="L531" i="2"/>
  <c r="R531" i="2"/>
  <c r="S531" i="2"/>
  <c r="T531" i="2"/>
  <c r="U531" i="2"/>
  <c r="X531" i="2"/>
  <c r="AK531" i="2"/>
  <c r="AL531" i="2"/>
  <c r="AM531" i="2"/>
  <c r="B532" i="2"/>
  <c r="C532" i="2"/>
  <c r="D532" i="2"/>
  <c r="E532" i="2"/>
  <c r="F532" i="2"/>
  <c r="L532" i="2"/>
  <c r="R532" i="2"/>
  <c r="S532" i="2"/>
  <c r="T532" i="2"/>
  <c r="U532" i="2"/>
  <c r="X532" i="2"/>
  <c r="AK532" i="2"/>
  <c r="AL532" i="2"/>
  <c r="AM532" i="2"/>
  <c r="B533" i="2"/>
  <c r="C533" i="2"/>
  <c r="D533" i="2"/>
  <c r="E533" i="2"/>
  <c r="F533" i="2"/>
  <c r="L533" i="2"/>
  <c r="R533" i="2"/>
  <c r="S533" i="2"/>
  <c r="T533" i="2"/>
  <c r="U533" i="2"/>
  <c r="X533" i="2"/>
  <c r="AK533" i="2"/>
  <c r="AL533" i="2"/>
  <c r="AM533" i="2"/>
  <c r="B534" i="2"/>
  <c r="C534" i="2"/>
  <c r="D534" i="2"/>
  <c r="E534" i="2"/>
  <c r="F534" i="2"/>
  <c r="L534" i="2"/>
  <c r="R534" i="2"/>
  <c r="S534" i="2"/>
  <c r="T534" i="2"/>
  <c r="U534" i="2"/>
  <c r="X534" i="2"/>
  <c r="AK534" i="2"/>
  <c r="AL534" i="2"/>
  <c r="AM534" i="2"/>
  <c r="B535" i="2"/>
  <c r="C535" i="2"/>
  <c r="D535" i="2"/>
  <c r="E535" i="2"/>
  <c r="F535" i="2"/>
  <c r="L535" i="2"/>
  <c r="R535" i="2"/>
  <c r="S535" i="2"/>
  <c r="T535" i="2"/>
  <c r="U535" i="2"/>
  <c r="X535" i="2"/>
  <c r="AK535" i="2"/>
  <c r="AL535" i="2"/>
  <c r="AM535" i="2"/>
  <c r="B536" i="2"/>
  <c r="C536" i="2"/>
  <c r="D536" i="2"/>
  <c r="E536" i="2"/>
  <c r="F536" i="2"/>
  <c r="L536" i="2"/>
  <c r="R536" i="2"/>
  <c r="S536" i="2"/>
  <c r="T536" i="2"/>
  <c r="U536" i="2"/>
  <c r="X536" i="2"/>
  <c r="AK536" i="2"/>
  <c r="AL536" i="2"/>
  <c r="AM536" i="2"/>
  <c r="B537" i="2"/>
  <c r="C537" i="2"/>
  <c r="D537" i="2"/>
  <c r="E537" i="2"/>
  <c r="F537" i="2"/>
  <c r="L537" i="2"/>
  <c r="R537" i="2"/>
  <c r="S537" i="2"/>
  <c r="T537" i="2"/>
  <c r="U537" i="2"/>
  <c r="X537" i="2"/>
  <c r="AK537" i="2"/>
  <c r="AL537" i="2"/>
  <c r="AM537" i="2"/>
  <c r="B538" i="2"/>
  <c r="C538" i="2"/>
  <c r="D538" i="2"/>
  <c r="E538" i="2"/>
  <c r="F538" i="2"/>
  <c r="L538" i="2"/>
  <c r="R538" i="2"/>
  <c r="S538" i="2"/>
  <c r="T538" i="2"/>
  <c r="U538" i="2"/>
  <c r="X538" i="2"/>
  <c r="AK538" i="2"/>
  <c r="AL538" i="2"/>
  <c r="AM538" i="2"/>
  <c r="B539" i="2"/>
  <c r="C539" i="2"/>
  <c r="D539" i="2"/>
  <c r="E539" i="2"/>
  <c r="F539" i="2"/>
  <c r="L539" i="2"/>
  <c r="R539" i="2"/>
  <c r="S539" i="2"/>
  <c r="T539" i="2"/>
  <c r="U539" i="2"/>
  <c r="X539" i="2"/>
  <c r="AK539" i="2"/>
  <c r="AL539" i="2"/>
  <c r="AM539" i="2"/>
  <c r="B540" i="2"/>
  <c r="C540" i="2"/>
  <c r="D540" i="2"/>
  <c r="E540" i="2"/>
  <c r="F540" i="2"/>
  <c r="L540" i="2"/>
  <c r="R540" i="2"/>
  <c r="S540" i="2"/>
  <c r="T540" i="2"/>
  <c r="U540" i="2"/>
  <c r="X540" i="2"/>
  <c r="AK540" i="2"/>
  <c r="AL540" i="2"/>
  <c r="AM540" i="2"/>
  <c r="B541" i="2"/>
  <c r="C541" i="2"/>
  <c r="D541" i="2"/>
  <c r="E541" i="2"/>
  <c r="F541" i="2"/>
  <c r="L541" i="2"/>
  <c r="R541" i="2"/>
  <c r="S541" i="2"/>
  <c r="T541" i="2"/>
  <c r="U541" i="2"/>
  <c r="X541" i="2"/>
  <c r="AK541" i="2"/>
  <c r="AL541" i="2"/>
  <c r="AM541" i="2"/>
  <c r="B542" i="2"/>
  <c r="C542" i="2"/>
  <c r="D542" i="2"/>
  <c r="E542" i="2"/>
  <c r="F542" i="2"/>
  <c r="L542" i="2"/>
  <c r="R542" i="2"/>
  <c r="S542" i="2"/>
  <c r="T542" i="2"/>
  <c r="U542" i="2"/>
  <c r="X542" i="2"/>
  <c r="AK542" i="2"/>
  <c r="AL542" i="2"/>
  <c r="AM542" i="2"/>
  <c r="B543" i="2"/>
  <c r="C543" i="2"/>
  <c r="D543" i="2"/>
  <c r="E543" i="2"/>
  <c r="F543" i="2"/>
  <c r="L543" i="2"/>
  <c r="R543" i="2"/>
  <c r="S543" i="2"/>
  <c r="T543" i="2"/>
  <c r="U543" i="2"/>
  <c r="X543" i="2"/>
  <c r="AK543" i="2"/>
  <c r="AL543" i="2"/>
  <c r="AM543" i="2"/>
  <c r="B544" i="2"/>
  <c r="C544" i="2"/>
  <c r="D544" i="2"/>
  <c r="E544" i="2"/>
  <c r="F544" i="2"/>
  <c r="L544" i="2"/>
  <c r="R544" i="2"/>
  <c r="S544" i="2"/>
  <c r="T544" i="2"/>
  <c r="U544" i="2"/>
  <c r="X544" i="2"/>
  <c r="AK544" i="2"/>
  <c r="AL544" i="2"/>
  <c r="AM544" i="2"/>
  <c r="B545" i="2"/>
  <c r="C545" i="2"/>
  <c r="D545" i="2"/>
  <c r="E545" i="2"/>
  <c r="F545" i="2"/>
  <c r="L545" i="2"/>
  <c r="R545" i="2"/>
  <c r="S545" i="2"/>
  <c r="T545" i="2"/>
  <c r="U545" i="2"/>
  <c r="X545" i="2"/>
  <c r="AK545" i="2"/>
  <c r="AL545" i="2"/>
  <c r="AM545" i="2"/>
  <c r="B546" i="2"/>
  <c r="C546" i="2"/>
  <c r="D546" i="2"/>
  <c r="E546" i="2"/>
  <c r="F546" i="2"/>
  <c r="L546" i="2"/>
  <c r="R546" i="2"/>
  <c r="S546" i="2"/>
  <c r="T546" i="2"/>
  <c r="U546" i="2"/>
  <c r="X546" i="2"/>
  <c r="AK546" i="2"/>
  <c r="AL546" i="2"/>
  <c r="AM546" i="2"/>
  <c r="B547" i="2"/>
  <c r="C547" i="2"/>
  <c r="D547" i="2"/>
  <c r="E547" i="2"/>
  <c r="F547" i="2"/>
  <c r="L547" i="2"/>
  <c r="R547" i="2"/>
  <c r="S547" i="2"/>
  <c r="T547" i="2"/>
  <c r="U547" i="2"/>
  <c r="X547" i="2"/>
  <c r="AK547" i="2"/>
  <c r="AL547" i="2"/>
  <c r="AM547" i="2"/>
  <c r="B548" i="2"/>
  <c r="C548" i="2"/>
  <c r="D548" i="2"/>
  <c r="E548" i="2"/>
  <c r="F548" i="2"/>
  <c r="L548" i="2"/>
  <c r="R548" i="2"/>
  <c r="S548" i="2"/>
  <c r="T548" i="2"/>
  <c r="U548" i="2"/>
  <c r="X548" i="2"/>
  <c r="AK548" i="2"/>
  <c r="AL548" i="2"/>
  <c r="AM548" i="2"/>
  <c r="B549" i="2"/>
  <c r="C549" i="2"/>
  <c r="D549" i="2"/>
  <c r="E549" i="2"/>
  <c r="F549" i="2"/>
  <c r="L549" i="2"/>
  <c r="R549" i="2"/>
  <c r="S549" i="2"/>
  <c r="T549" i="2"/>
  <c r="U549" i="2"/>
  <c r="X549" i="2"/>
  <c r="AK549" i="2"/>
  <c r="AL549" i="2"/>
  <c r="AM549" i="2"/>
  <c r="B550" i="2"/>
  <c r="C550" i="2"/>
  <c r="D550" i="2"/>
  <c r="E550" i="2"/>
  <c r="F550" i="2"/>
  <c r="L550" i="2"/>
  <c r="R550" i="2"/>
  <c r="S550" i="2"/>
  <c r="T550" i="2"/>
  <c r="U550" i="2"/>
  <c r="X550" i="2"/>
  <c r="AK550" i="2"/>
  <c r="AL550" i="2"/>
  <c r="AM550" i="2"/>
  <c r="B551" i="2"/>
  <c r="C551" i="2"/>
  <c r="D551" i="2"/>
  <c r="E551" i="2"/>
  <c r="F551" i="2"/>
  <c r="L551" i="2"/>
  <c r="R551" i="2"/>
  <c r="S551" i="2"/>
  <c r="T551" i="2"/>
  <c r="U551" i="2"/>
  <c r="X551" i="2"/>
  <c r="AK551" i="2"/>
  <c r="AL551" i="2"/>
  <c r="AM551" i="2"/>
  <c r="B552" i="2"/>
  <c r="C552" i="2"/>
  <c r="D552" i="2"/>
  <c r="E552" i="2"/>
  <c r="F552" i="2"/>
  <c r="L552" i="2"/>
  <c r="R552" i="2"/>
  <c r="S552" i="2"/>
  <c r="T552" i="2"/>
  <c r="U552" i="2"/>
  <c r="X552" i="2"/>
  <c r="AK552" i="2"/>
  <c r="AL552" i="2"/>
  <c r="AM552" i="2"/>
  <c r="B553" i="2"/>
  <c r="C553" i="2"/>
  <c r="D553" i="2"/>
  <c r="E553" i="2"/>
  <c r="F553" i="2"/>
  <c r="L553" i="2"/>
  <c r="R553" i="2"/>
  <c r="S553" i="2"/>
  <c r="T553" i="2"/>
  <c r="U553" i="2"/>
  <c r="X553" i="2"/>
  <c r="AK553" i="2"/>
  <c r="AL553" i="2"/>
  <c r="AM553" i="2"/>
  <c r="B554" i="2"/>
  <c r="C554" i="2"/>
  <c r="D554" i="2"/>
  <c r="E554" i="2"/>
  <c r="F554" i="2"/>
  <c r="L554" i="2"/>
  <c r="R554" i="2"/>
  <c r="S554" i="2"/>
  <c r="T554" i="2"/>
  <c r="U554" i="2"/>
  <c r="X554" i="2"/>
  <c r="AK554" i="2"/>
  <c r="AL554" i="2"/>
  <c r="AM554" i="2"/>
  <c r="B555" i="2"/>
  <c r="C555" i="2"/>
  <c r="D555" i="2"/>
  <c r="E555" i="2"/>
  <c r="F555" i="2"/>
  <c r="L555" i="2"/>
  <c r="R555" i="2"/>
  <c r="S555" i="2"/>
  <c r="T555" i="2"/>
  <c r="U555" i="2"/>
  <c r="X555" i="2"/>
  <c r="AK555" i="2"/>
  <c r="AL555" i="2"/>
  <c r="AM555" i="2"/>
  <c r="B556" i="2"/>
  <c r="C556" i="2"/>
  <c r="D556" i="2"/>
  <c r="E556" i="2"/>
  <c r="F556" i="2"/>
  <c r="L556" i="2"/>
  <c r="R556" i="2"/>
  <c r="S556" i="2"/>
  <c r="T556" i="2"/>
  <c r="U556" i="2"/>
  <c r="X556" i="2"/>
  <c r="AK556" i="2"/>
  <c r="AL556" i="2"/>
  <c r="AM556" i="2"/>
  <c r="B557" i="2"/>
  <c r="C557" i="2"/>
  <c r="D557" i="2"/>
  <c r="E557" i="2"/>
  <c r="F557" i="2"/>
  <c r="L557" i="2"/>
  <c r="R557" i="2"/>
  <c r="S557" i="2"/>
  <c r="T557" i="2"/>
  <c r="U557" i="2"/>
  <c r="X557" i="2"/>
  <c r="AK557" i="2"/>
  <c r="AL557" i="2"/>
  <c r="AM557" i="2"/>
  <c r="B558" i="2"/>
  <c r="C558" i="2"/>
  <c r="D558" i="2"/>
  <c r="E558" i="2"/>
  <c r="F558" i="2"/>
  <c r="L558" i="2"/>
  <c r="R558" i="2"/>
  <c r="S558" i="2"/>
  <c r="T558" i="2"/>
  <c r="U558" i="2"/>
  <c r="X558" i="2"/>
  <c r="AK558" i="2"/>
  <c r="AL558" i="2"/>
  <c r="AM558" i="2"/>
  <c r="B559" i="2"/>
  <c r="C559" i="2"/>
  <c r="D559" i="2"/>
  <c r="E559" i="2"/>
  <c r="F559" i="2"/>
  <c r="L559" i="2"/>
  <c r="R559" i="2"/>
  <c r="S559" i="2"/>
  <c r="T559" i="2"/>
  <c r="U559" i="2"/>
  <c r="X559" i="2"/>
  <c r="AK559" i="2"/>
  <c r="AL559" i="2"/>
  <c r="AM559" i="2"/>
  <c r="B560" i="2"/>
  <c r="C560" i="2"/>
  <c r="D560" i="2"/>
  <c r="E560" i="2"/>
  <c r="F560" i="2"/>
  <c r="L560" i="2"/>
  <c r="R560" i="2"/>
  <c r="S560" i="2"/>
  <c r="T560" i="2"/>
  <c r="U560" i="2"/>
  <c r="X560" i="2"/>
  <c r="AK560" i="2"/>
  <c r="AL560" i="2"/>
  <c r="AM560" i="2"/>
  <c r="B561" i="2"/>
  <c r="C561" i="2"/>
  <c r="D561" i="2"/>
  <c r="E561" i="2"/>
  <c r="F561" i="2"/>
  <c r="L561" i="2"/>
  <c r="R561" i="2"/>
  <c r="S561" i="2"/>
  <c r="T561" i="2"/>
  <c r="U561" i="2"/>
  <c r="X561" i="2"/>
  <c r="AK561" i="2"/>
  <c r="AL561" i="2"/>
  <c r="AM561" i="2"/>
  <c r="B562" i="2"/>
  <c r="C562" i="2"/>
  <c r="D562" i="2"/>
  <c r="E562" i="2"/>
  <c r="F562" i="2"/>
  <c r="L562" i="2"/>
  <c r="R562" i="2"/>
  <c r="S562" i="2"/>
  <c r="T562" i="2"/>
  <c r="U562" i="2"/>
  <c r="X562" i="2"/>
  <c r="AK562" i="2"/>
  <c r="AL562" i="2"/>
  <c r="AM562" i="2"/>
  <c r="B563" i="2"/>
  <c r="C563" i="2"/>
  <c r="D563" i="2"/>
  <c r="E563" i="2"/>
  <c r="F563" i="2"/>
  <c r="L563" i="2"/>
  <c r="R563" i="2"/>
  <c r="S563" i="2"/>
  <c r="T563" i="2"/>
  <c r="U563" i="2"/>
  <c r="X563" i="2"/>
  <c r="AK563" i="2"/>
  <c r="AL563" i="2"/>
  <c r="AM563" i="2"/>
  <c r="B564" i="2"/>
  <c r="C564" i="2"/>
  <c r="D564" i="2"/>
  <c r="E564" i="2"/>
  <c r="F564" i="2"/>
  <c r="L564" i="2"/>
  <c r="R564" i="2"/>
  <c r="S564" i="2"/>
  <c r="T564" i="2"/>
  <c r="U564" i="2"/>
  <c r="X564" i="2"/>
  <c r="AK564" i="2"/>
  <c r="AL564" i="2"/>
  <c r="AM564" i="2"/>
  <c r="B565" i="2"/>
  <c r="C565" i="2"/>
  <c r="D565" i="2"/>
  <c r="E565" i="2"/>
  <c r="F565" i="2"/>
  <c r="L565" i="2"/>
  <c r="R565" i="2"/>
  <c r="S565" i="2"/>
  <c r="T565" i="2"/>
  <c r="U565" i="2"/>
  <c r="X565" i="2"/>
  <c r="AK565" i="2"/>
  <c r="AL565" i="2"/>
  <c r="AM565" i="2"/>
  <c r="B566" i="2"/>
  <c r="C566" i="2"/>
  <c r="D566" i="2"/>
  <c r="E566" i="2"/>
  <c r="F566" i="2"/>
  <c r="L566" i="2"/>
  <c r="R566" i="2"/>
  <c r="S566" i="2"/>
  <c r="T566" i="2"/>
  <c r="U566" i="2"/>
  <c r="X566" i="2"/>
  <c r="AK566" i="2"/>
  <c r="AL566" i="2"/>
  <c r="AM566" i="2"/>
  <c r="B567" i="2"/>
  <c r="C567" i="2"/>
  <c r="D567" i="2"/>
  <c r="E567" i="2"/>
  <c r="F567" i="2"/>
  <c r="L567" i="2"/>
  <c r="R567" i="2"/>
  <c r="S567" i="2"/>
  <c r="T567" i="2"/>
  <c r="U567" i="2"/>
  <c r="X567" i="2"/>
  <c r="AK567" i="2"/>
  <c r="AL567" i="2"/>
  <c r="AM567" i="2"/>
  <c r="B568" i="2"/>
  <c r="C568" i="2"/>
  <c r="D568" i="2"/>
  <c r="E568" i="2"/>
  <c r="F568" i="2"/>
  <c r="L568" i="2"/>
  <c r="R568" i="2"/>
  <c r="S568" i="2"/>
  <c r="T568" i="2"/>
  <c r="U568" i="2"/>
  <c r="X568" i="2"/>
  <c r="AK568" i="2"/>
  <c r="AL568" i="2"/>
  <c r="AM568" i="2"/>
  <c r="B569" i="2"/>
  <c r="C569" i="2"/>
  <c r="D569" i="2"/>
  <c r="E569" i="2"/>
  <c r="F569" i="2"/>
  <c r="L569" i="2"/>
  <c r="R569" i="2"/>
  <c r="S569" i="2"/>
  <c r="T569" i="2"/>
  <c r="U569" i="2"/>
  <c r="X569" i="2"/>
  <c r="AK569" i="2"/>
  <c r="AL569" i="2"/>
  <c r="AM569" i="2"/>
  <c r="B570" i="2"/>
  <c r="C570" i="2"/>
  <c r="D570" i="2"/>
  <c r="E570" i="2"/>
  <c r="F570" i="2"/>
  <c r="L570" i="2"/>
  <c r="R570" i="2"/>
  <c r="S570" i="2"/>
  <c r="T570" i="2"/>
  <c r="U570" i="2"/>
  <c r="X570" i="2"/>
  <c r="AK570" i="2"/>
  <c r="AL570" i="2"/>
  <c r="AM570" i="2"/>
  <c r="B571" i="2"/>
  <c r="C571" i="2"/>
  <c r="D571" i="2"/>
  <c r="E571" i="2"/>
  <c r="F571" i="2"/>
  <c r="L571" i="2"/>
  <c r="R571" i="2"/>
  <c r="S571" i="2"/>
  <c r="T571" i="2"/>
  <c r="U571" i="2"/>
  <c r="X571" i="2"/>
  <c r="AK571" i="2"/>
  <c r="AL571" i="2"/>
  <c r="AM571" i="2"/>
  <c r="B572" i="2"/>
  <c r="C572" i="2"/>
  <c r="D572" i="2"/>
  <c r="E572" i="2"/>
  <c r="F572" i="2"/>
  <c r="L572" i="2"/>
  <c r="R572" i="2"/>
  <c r="S572" i="2"/>
  <c r="T572" i="2"/>
  <c r="U572" i="2"/>
  <c r="X572" i="2"/>
  <c r="AK572" i="2"/>
  <c r="AL572" i="2"/>
  <c r="AM572" i="2"/>
  <c r="B573" i="2"/>
  <c r="C573" i="2"/>
  <c r="D573" i="2"/>
  <c r="E573" i="2"/>
  <c r="F573" i="2"/>
  <c r="L573" i="2"/>
  <c r="R573" i="2"/>
  <c r="S573" i="2"/>
  <c r="T573" i="2"/>
  <c r="U573" i="2"/>
  <c r="X573" i="2"/>
  <c r="AK573" i="2"/>
  <c r="AL573" i="2"/>
  <c r="AM573" i="2"/>
  <c r="B574" i="2"/>
  <c r="C574" i="2"/>
  <c r="D574" i="2"/>
  <c r="E574" i="2"/>
  <c r="F574" i="2"/>
  <c r="L574" i="2"/>
  <c r="R574" i="2"/>
  <c r="S574" i="2"/>
  <c r="T574" i="2"/>
  <c r="U574" i="2"/>
  <c r="X574" i="2"/>
  <c r="AK574" i="2"/>
  <c r="AL574" i="2"/>
  <c r="AM574" i="2"/>
  <c r="B575" i="2"/>
  <c r="C575" i="2"/>
  <c r="D575" i="2"/>
  <c r="E575" i="2"/>
  <c r="F575" i="2"/>
  <c r="L575" i="2"/>
  <c r="R575" i="2"/>
  <c r="S575" i="2"/>
  <c r="T575" i="2"/>
  <c r="U575" i="2"/>
  <c r="X575" i="2"/>
  <c r="AK575" i="2"/>
  <c r="AL575" i="2"/>
  <c r="AM575" i="2"/>
  <c r="B576" i="2"/>
  <c r="C576" i="2"/>
  <c r="D576" i="2"/>
  <c r="E576" i="2"/>
  <c r="F576" i="2"/>
  <c r="L576" i="2"/>
  <c r="R576" i="2"/>
  <c r="S576" i="2"/>
  <c r="T576" i="2"/>
  <c r="U576" i="2"/>
  <c r="X576" i="2"/>
  <c r="AK576" i="2"/>
  <c r="AL576" i="2"/>
  <c r="AM576" i="2"/>
  <c r="B577" i="2"/>
  <c r="C577" i="2"/>
  <c r="D577" i="2"/>
  <c r="E577" i="2"/>
  <c r="F577" i="2"/>
  <c r="L577" i="2"/>
  <c r="R577" i="2"/>
  <c r="S577" i="2"/>
  <c r="T577" i="2"/>
  <c r="U577" i="2"/>
  <c r="X577" i="2"/>
  <c r="AK577" i="2"/>
  <c r="AL577" i="2"/>
  <c r="AM577" i="2"/>
  <c r="B578" i="2"/>
  <c r="C578" i="2"/>
  <c r="D578" i="2"/>
  <c r="E578" i="2"/>
  <c r="F578" i="2"/>
  <c r="L578" i="2"/>
  <c r="R578" i="2"/>
  <c r="S578" i="2"/>
  <c r="T578" i="2"/>
  <c r="U578" i="2"/>
  <c r="X578" i="2"/>
  <c r="AK578" i="2"/>
  <c r="AL578" i="2"/>
  <c r="AM578" i="2"/>
  <c r="B579" i="2"/>
  <c r="C579" i="2"/>
  <c r="D579" i="2"/>
  <c r="E579" i="2"/>
  <c r="F579" i="2"/>
  <c r="L579" i="2"/>
  <c r="R579" i="2"/>
  <c r="S579" i="2"/>
  <c r="T579" i="2"/>
  <c r="U579" i="2"/>
  <c r="X579" i="2"/>
  <c r="AK579" i="2"/>
  <c r="AL579" i="2"/>
  <c r="AM579" i="2"/>
  <c r="B580" i="2"/>
  <c r="C580" i="2"/>
  <c r="D580" i="2"/>
  <c r="E580" i="2"/>
  <c r="F580" i="2"/>
  <c r="L580" i="2"/>
  <c r="R580" i="2"/>
  <c r="S580" i="2"/>
  <c r="T580" i="2"/>
  <c r="U580" i="2"/>
  <c r="X580" i="2"/>
  <c r="AK580" i="2"/>
  <c r="AL580" i="2"/>
  <c r="AM580" i="2"/>
  <c r="B581" i="2"/>
  <c r="C581" i="2"/>
  <c r="D581" i="2"/>
  <c r="E581" i="2"/>
  <c r="F581" i="2"/>
  <c r="L581" i="2"/>
  <c r="R581" i="2"/>
  <c r="S581" i="2"/>
  <c r="T581" i="2"/>
  <c r="U581" i="2"/>
  <c r="X581" i="2"/>
  <c r="AK581" i="2"/>
  <c r="AL581" i="2"/>
  <c r="AM581" i="2"/>
  <c r="B582" i="2"/>
  <c r="C582" i="2"/>
  <c r="D582" i="2"/>
  <c r="E582" i="2"/>
  <c r="F582" i="2"/>
  <c r="L582" i="2"/>
  <c r="R582" i="2"/>
  <c r="S582" i="2"/>
  <c r="T582" i="2"/>
  <c r="U582" i="2"/>
  <c r="X582" i="2"/>
  <c r="AK582" i="2"/>
  <c r="AL582" i="2"/>
  <c r="AM582" i="2"/>
  <c r="B583" i="2"/>
  <c r="C583" i="2"/>
  <c r="D583" i="2"/>
  <c r="E583" i="2"/>
  <c r="F583" i="2"/>
  <c r="L583" i="2"/>
  <c r="R583" i="2"/>
  <c r="S583" i="2"/>
  <c r="T583" i="2"/>
  <c r="U583" i="2"/>
  <c r="X583" i="2"/>
  <c r="AK583" i="2"/>
  <c r="AL583" i="2"/>
  <c r="AM583" i="2"/>
  <c r="B584" i="2"/>
  <c r="C584" i="2"/>
  <c r="D584" i="2"/>
  <c r="E584" i="2"/>
  <c r="F584" i="2"/>
  <c r="L584" i="2"/>
  <c r="R584" i="2"/>
  <c r="S584" i="2"/>
  <c r="T584" i="2"/>
  <c r="U584" i="2"/>
  <c r="X584" i="2"/>
  <c r="AK584" i="2"/>
  <c r="AL584" i="2"/>
  <c r="AM584" i="2"/>
  <c r="B585" i="2"/>
  <c r="C585" i="2"/>
  <c r="D585" i="2"/>
  <c r="E585" i="2"/>
  <c r="F585" i="2"/>
  <c r="L585" i="2"/>
  <c r="R585" i="2"/>
  <c r="S585" i="2"/>
  <c r="T585" i="2"/>
  <c r="U585" i="2"/>
  <c r="X585" i="2"/>
  <c r="AK585" i="2"/>
  <c r="AL585" i="2"/>
  <c r="AM585" i="2"/>
  <c r="B586" i="2"/>
  <c r="C586" i="2"/>
  <c r="D586" i="2"/>
  <c r="E586" i="2"/>
  <c r="F586" i="2"/>
  <c r="L586" i="2"/>
  <c r="R586" i="2"/>
  <c r="S586" i="2"/>
  <c r="T586" i="2"/>
  <c r="U586" i="2"/>
  <c r="X586" i="2"/>
  <c r="AK586" i="2"/>
  <c r="AL586" i="2"/>
  <c r="AM586" i="2"/>
  <c r="B587" i="2"/>
  <c r="C587" i="2"/>
  <c r="D587" i="2"/>
  <c r="E587" i="2"/>
  <c r="F587" i="2"/>
  <c r="L587" i="2"/>
  <c r="R587" i="2"/>
  <c r="S587" i="2"/>
  <c r="T587" i="2"/>
  <c r="U587" i="2"/>
  <c r="X587" i="2"/>
  <c r="AK587" i="2"/>
  <c r="AL587" i="2"/>
  <c r="AM587" i="2"/>
  <c r="B588" i="2"/>
  <c r="C588" i="2"/>
  <c r="D588" i="2"/>
  <c r="E588" i="2"/>
  <c r="F588" i="2"/>
  <c r="L588" i="2"/>
  <c r="R588" i="2"/>
  <c r="S588" i="2"/>
  <c r="T588" i="2"/>
  <c r="U588" i="2"/>
  <c r="X588" i="2"/>
  <c r="AK588" i="2"/>
  <c r="AL588" i="2"/>
  <c r="AM588" i="2"/>
  <c r="B589" i="2"/>
  <c r="C589" i="2"/>
  <c r="D589" i="2"/>
  <c r="E589" i="2"/>
  <c r="F589" i="2"/>
  <c r="L589" i="2"/>
  <c r="R589" i="2"/>
  <c r="S589" i="2"/>
  <c r="T589" i="2"/>
  <c r="U589" i="2"/>
  <c r="X589" i="2"/>
  <c r="AK589" i="2"/>
  <c r="AL589" i="2"/>
  <c r="AM589" i="2"/>
  <c r="B590" i="2"/>
  <c r="C590" i="2"/>
  <c r="D590" i="2"/>
  <c r="E590" i="2"/>
  <c r="F590" i="2"/>
  <c r="L590" i="2"/>
  <c r="R590" i="2"/>
  <c r="S590" i="2"/>
  <c r="T590" i="2"/>
  <c r="U590" i="2"/>
  <c r="X590" i="2"/>
  <c r="AK590" i="2"/>
  <c r="AL590" i="2"/>
  <c r="AM590" i="2"/>
  <c r="B591" i="2"/>
  <c r="C591" i="2"/>
  <c r="D591" i="2"/>
  <c r="E591" i="2"/>
  <c r="F591" i="2"/>
  <c r="L591" i="2"/>
  <c r="R591" i="2"/>
  <c r="S591" i="2"/>
  <c r="T591" i="2"/>
  <c r="U591" i="2"/>
  <c r="X591" i="2"/>
  <c r="AK591" i="2"/>
  <c r="AL591" i="2"/>
  <c r="AM591" i="2"/>
  <c r="B592" i="2"/>
  <c r="C592" i="2"/>
  <c r="D592" i="2"/>
  <c r="E592" i="2"/>
  <c r="F592" i="2"/>
  <c r="L592" i="2"/>
  <c r="R592" i="2"/>
  <c r="S592" i="2"/>
  <c r="T592" i="2"/>
  <c r="U592" i="2"/>
  <c r="X592" i="2"/>
  <c r="AK592" i="2"/>
  <c r="AL592" i="2"/>
  <c r="AM592" i="2"/>
  <c r="B593" i="2"/>
  <c r="C593" i="2"/>
  <c r="D593" i="2"/>
  <c r="E593" i="2"/>
  <c r="F593" i="2"/>
  <c r="L593" i="2"/>
  <c r="R593" i="2"/>
  <c r="S593" i="2"/>
  <c r="T593" i="2"/>
  <c r="U593" i="2"/>
  <c r="X593" i="2"/>
  <c r="AK593" i="2"/>
  <c r="AL593" i="2"/>
  <c r="AM593" i="2"/>
  <c r="B594" i="2"/>
  <c r="C594" i="2"/>
  <c r="D594" i="2"/>
  <c r="E594" i="2"/>
  <c r="F594" i="2"/>
  <c r="L594" i="2"/>
  <c r="R594" i="2"/>
  <c r="S594" i="2"/>
  <c r="T594" i="2"/>
  <c r="U594" i="2"/>
  <c r="X594" i="2"/>
  <c r="AK594" i="2"/>
  <c r="AL594" i="2"/>
  <c r="AM594" i="2"/>
  <c r="B595" i="2"/>
  <c r="C595" i="2"/>
  <c r="D595" i="2"/>
  <c r="E595" i="2"/>
  <c r="F595" i="2"/>
  <c r="L595" i="2"/>
  <c r="R595" i="2"/>
  <c r="S595" i="2"/>
  <c r="T595" i="2"/>
  <c r="U595" i="2"/>
  <c r="X595" i="2"/>
  <c r="AK595" i="2"/>
  <c r="AL595" i="2"/>
  <c r="AM595" i="2"/>
  <c r="B596" i="2"/>
  <c r="C596" i="2"/>
  <c r="D596" i="2"/>
  <c r="E596" i="2"/>
  <c r="F596" i="2"/>
  <c r="L596" i="2"/>
  <c r="R596" i="2"/>
  <c r="S596" i="2"/>
  <c r="T596" i="2"/>
  <c r="U596" i="2"/>
  <c r="X596" i="2"/>
  <c r="AK596" i="2"/>
  <c r="AL596" i="2"/>
  <c r="AM596" i="2"/>
  <c r="B597" i="2"/>
  <c r="C597" i="2"/>
  <c r="D597" i="2"/>
  <c r="E597" i="2"/>
  <c r="F597" i="2"/>
  <c r="L597" i="2"/>
  <c r="R597" i="2"/>
  <c r="S597" i="2"/>
  <c r="T597" i="2"/>
  <c r="U597" i="2"/>
  <c r="X597" i="2"/>
  <c r="AK597" i="2"/>
  <c r="AL597" i="2"/>
  <c r="AM597" i="2"/>
  <c r="B598" i="2"/>
  <c r="C598" i="2"/>
  <c r="D598" i="2"/>
  <c r="E598" i="2"/>
  <c r="F598" i="2"/>
  <c r="L598" i="2"/>
  <c r="R598" i="2"/>
  <c r="S598" i="2"/>
  <c r="T598" i="2"/>
  <c r="U598" i="2"/>
  <c r="X598" i="2"/>
  <c r="AK598" i="2"/>
  <c r="AL598" i="2"/>
  <c r="AM598" i="2"/>
  <c r="B599" i="2"/>
  <c r="C599" i="2"/>
  <c r="D599" i="2"/>
  <c r="E599" i="2"/>
  <c r="F599" i="2"/>
  <c r="L599" i="2"/>
  <c r="R599" i="2"/>
  <c r="S599" i="2"/>
  <c r="T599" i="2"/>
  <c r="U599" i="2"/>
  <c r="X599" i="2"/>
  <c r="AK599" i="2"/>
  <c r="AL599" i="2"/>
  <c r="AM599" i="2"/>
  <c r="B600" i="2"/>
  <c r="C600" i="2"/>
  <c r="D600" i="2"/>
  <c r="E600" i="2"/>
  <c r="F600" i="2"/>
  <c r="L600" i="2"/>
  <c r="R600" i="2"/>
  <c r="S600" i="2"/>
  <c r="T600" i="2"/>
  <c r="U600" i="2"/>
  <c r="X600" i="2"/>
  <c r="AK600" i="2"/>
  <c r="AL600" i="2"/>
  <c r="AM600" i="2"/>
  <c r="B601" i="2"/>
  <c r="C601" i="2"/>
  <c r="D601" i="2"/>
  <c r="E601" i="2"/>
  <c r="F601" i="2"/>
  <c r="L601" i="2"/>
  <c r="R601" i="2"/>
  <c r="S601" i="2"/>
  <c r="T601" i="2"/>
  <c r="U601" i="2"/>
  <c r="X601" i="2"/>
  <c r="AK601" i="2"/>
  <c r="AL601" i="2"/>
  <c r="AM601" i="2"/>
  <c r="B602" i="2"/>
  <c r="C602" i="2"/>
  <c r="D602" i="2"/>
  <c r="E602" i="2"/>
  <c r="F602" i="2"/>
  <c r="L602" i="2"/>
  <c r="R602" i="2"/>
  <c r="S602" i="2"/>
  <c r="T602" i="2"/>
  <c r="U602" i="2"/>
  <c r="X602" i="2"/>
  <c r="AK602" i="2"/>
  <c r="AL602" i="2"/>
  <c r="AM602" i="2"/>
  <c r="B603" i="2"/>
  <c r="C603" i="2"/>
  <c r="D603" i="2"/>
  <c r="E603" i="2"/>
  <c r="F603" i="2"/>
  <c r="L603" i="2"/>
  <c r="R603" i="2"/>
  <c r="S603" i="2"/>
  <c r="T603" i="2"/>
  <c r="U603" i="2"/>
  <c r="X603" i="2"/>
  <c r="AK603" i="2"/>
  <c r="AL603" i="2"/>
  <c r="AM603" i="2"/>
  <c r="B604" i="2"/>
  <c r="C604" i="2"/>
  <c r="D604" i="2"/>
  <c r="E604" i="2"/>
  <c r="F604" i="2"/>
  <c r="L604" i="2"/>
  <c r="R604" i="2"/>
  <c r="S604" i="2"/>
  <c r="T604" i="2"/>
  <c r="U604" i="2"/>
  <c r="X604" i="2"/>
  <c r="AK604" i="2"/>
  <c r="AL604" i="2"/>
  <c r="AM604" i="2"/>
  <c r="B605" i="2"/>
  <c r="C605" i="2"/>
  <c r="D605" i="2"/>
  <c r="E605" i="2"/>
  <c r="F605" i="2"/>
  <c r="L605" i="2"/>
  <c r="R605" i="2"/>
  <c r="S605" i="2"/>
  <c r="T605" i="2"/>
  <c r="U605" i="2"/>
  <c r="X605" i="2"/>
  <c r="AK605" i="2"/>
  <c r="AL605" i="2"/>
  <c r="AM605" i="2"/>
  <c r="B606" i="2"/>
  <c r="C606" i="2"/>
  <c r="D606" i="2"/>
  <c r="E606" i="2"/>
  <c r="F606" i="2"/>
  <c r="L606" i="2"/>
  <c r="R606" i="2"/>
  <c r="S606" i="2"/>
  <c r="T606" i="2"/>
  <c r="U606" i="2"/>
  <c r="X606" i="2"/>
  <c r="AK606" i="2"/>
  <c r="AL606" i="2"/>
  <c r="AM606" i="2"/>
  <c r="B607" i="2"/>
  <c r="C607" i="2"/>
  <c r="D607" i="2"/>
  <c r="E607" i="2"/>
  <c r="F607" i="2"/>
  <c r="L607" i="2"/>
  <c r="R607" i="2"/>
  <c r="S607" i="2"/>
  <c r="T607" i="2"/>
  <c r="U607" i="2"/>
  <c r="X607" i="2"/>
  <c r="AK607" i="2"/>
  <c r="AL607" i="2"/>
  <c r="AM607" i="2"/>
  <c r="B608" i="2"/>
  <c r="C608" i="2"/>
  <c r="D608" i="2"/>
  <c r="E608" i="2"/>
  <c r="F608" i="2"/>
  <c r="L608" i="2"/>
  <c r="R608" i="2"/>
  <c r="S608" i="2"/>
  <c r="T608" i="2"/>
  <c r="U608" i="2"/>
  <c r="X608" i="2"/>
  <c r="AK608" i="2"/>
  <c r="AL608" i="2"/>
  <c r="AM608" i="2"/>
  <c r="B609" i="2"/>
  <c r="C609" i="2"/>
  <c r="D609" i="2"/>
  <c r="E609" i="2"/>
  <c r="F609" i="2"/>
  <c r="L609" i="2"/>
  <c r="R609" i="2"/>
  <c r="S609" i="2"/>
  <c r="T609" i="2"/>
  <c r="U609" i="2"/>
  <c r="X609" i="2"/>
  <c r="AK609" i="2"/>
  <c r="AL609" i="2"/>
  <c r="AM609" i="2"/>
  <c r="B610" i="2"/>
  <c r="C610" i="2"/>
  <c r="D610" i="2"/>
  <c r="E610" i="2"/>
  <c r="F610" i="2"/>
  <c r="L610" i="2"/>
  <c r="R610" i="2"/>
  <c r="S610" i="2"/>
  <c r="T610" i="2"/>
  <c r="U610" i="2"/>
  <c r="X610" i="2"/>
  <c r="AK610" i="2"/>
  <c r="AL610" i="2"/>
  <c r="AM610" i="2"/>
  <c r="B611" i="2"/>
  <c r="C611" i="2"/>
  <c r="D611" i="2"/>
  <c r="E611" i="2"/>
  <c r="F611" i="2"/>
  <c r="L611" i="2"/>
  <c r="R611" i="2"/>
  <c r="S611" i="2"/>
  <c r="T611" i="2"/>
  <c r="U611" i="2"/>
  <c r="X611" i="2"/>
  <c r="AK611" i="2"/>
  <c r="AL611" i="2"/>
  <c r="AM611" i="2"/>
  <c r="B612" i="2"/>
  <c r="C612" i="2"/>
  <c r="D612" i="2"/>
  <c r="E612" i="2"/>
  <c r="F612" i="2"/>
  <c r="L612" i="2"/>
  <c r="R612" i="2"/>
  <c r="S612" i="2"/>
  <c r="T612" i="2"/>
  <c r="U612" i="2"/>
  <c r="X612" i="2"/>
  <c r="AK612" i="2"/>
  <c r="AL612" i="2"/>
  <c r="AM612" i="2"/>
  <c r="B613" i="2"/>
  <c r="C613" i="2"/>
  <c r="D613" i="2"/>
  <c r="E613" i="2"/>
  <c r="F613" i="2"/>
  <c r="L613" i="2"/>
  <c r="R613" i="2"/>
  <c r="S613" i="2"/>
  <c r="T613" i="2"/>
  <c r="U613" i="2"/>
  <c r="X613" i="2"/>
  <c r="AK613" i="2"/>
  <c r="AL613" i="2"/>
  <c r="AM613" i="2"/>
  <c r="B614" i="2"/>
  <c r="C614" i="2"/>
  <c r="D614" i="2"/>
  <c r="E614" i="2"/>
  <c r="F614" i="2"/>
  <c r="L614" i="2"/>
  <c r="R614" i="2"/>
  <c r="S614" i="2"/>
  <c r="T614" i="2"/>
  <c r="U614" i="2"/>
  <c r="X614" i="2"/>
  <c r="AK614" i="2"/>
  <c r="AL614" i="2"/>
  <c r="AM614" i="2"/>
  <c r="B615" i="2"/>
  <c r="C615" i="2"/>
  <c r="D615" i="2"/>
  <c r="E615" i="2"/>
  <c r="F615" i="2"/>
  <c r="L615" i="2"/>
  <c r="R615" i="2"/>
  <c r="S615" i="2"/>
  <c r="T615" i="2"/>
  <c r="U615" i="2"/>
  <c r="X615" i="2"/>
  <c r="AK615" i="2"/>
  <c r="AL615" i="2"/>
  <c r="AM615" i="2"/>
  <c r="B616" i="2"/>
  <c r="C616" i="2"/>
  <c r="D616" i="2"/>
  <c r="E616" i="2"/>
  <c r="F616" i="2"/>
  <c r="L616" i="2"/>
  <c r="R616" i="2"/>
  <c r="S616" i="2"/>
  <c r="T616" i="2"/>
  <c r="U616" i="2"/>
  <c r="X616" i="2"/>
  <c r="AK616" i="2"/>
  <c r="AL616" i="2"/>
  <c r="AM616" i="2"/>
  <c r="B617" i="2"/>
  <c r="C617" i="2"/>
  <c r="D617" i="2"/>
  <c r="E617" i="2"/>
  <c r="F617" i="2"/>
  <c r="L617" i="2"/>
  <c r="R617" i="2"/>
  <c r="S617" i="2"/>
  <c r="T617" i="2"/>
  <c r="U617" i="2"/>
  <c r="X617" i="2"/>
  <c r="AK617" i="2"/>
  <c r="AL617" i="2"/>
  <c r="AM617" i="2"/>
  <c r="B618" i="2"/>
  <c r="C618" i="2"/>
  <c r="D618" i="2"/>
  <c r="E618" i="2"/>
  <c r="F618" i="2"/>
  <c r="L618" i="2"/>
  <c r="R618" i="2"/>
  <c r="S618" i="2"/>
  <c r="T618" i="2"/>
  <c r="U618" i="2"/>
  <c r="X618" i="2"/>
  <c r="AK618" i="2"/>
  <c r="AL618" i="2"/>
  <c r="AM618" i="2"/>
  <c r="B619" i="2"/>
  <c r="C619" i="2"/>
  <c r="D619" i="2"/>
  <c r="E619" i="2"/>
  <c r="F619" i="2"/>
  <c r="L619" i="2"/>
  <c r="R619" i="2"/>
  <c r="S619" i="2"/>
  <c r="T619" i="2"/>
  <c r="U619" i="2"/>
  <c r="X619" i="2"/>
  <c r="AK619" i="2"/>
  <c r="AL619" i="2"/>
  <c r="AM619" i="2"/>
  <c r="B620" i="2"/>
  <c r="C620" i="2"/>
  <c r="D620" i="2"/>
  <c r="E620" i="2"/>
  <c r="F620" i="2"/>
  <c r="L620" i="2"/>
  <c r="R620" i="2"/>
  <c r="S620" i="2"/>
  <c r="T620" i="2"/>
  <c r="U620" i="2"/>
  <c r="X620" i="2"/>
  <c r="AK620" i="2"/>
  <c r="AL620" i="2"/>
  <c r="AM620" i="2"/>
  <c r="B621" i="2"/>
  <c r="C621" i="2"/>
  <c r="D621" i="2"/>
  <c r="E621" i="2"/>
  <c r="F621" i="2"/>
  <c r="L621" i="2"/>
  <c r="R621" i="2"/>
  <c r="S621" i="2"/>
  <c r="T621" i="2"/>
  <c r="U621" i="2"/>
  <c r="X621" i="2"/>
  <c r="AK621" i="2"/>
  <c r="AL621" i="2"/>
  <c r="AM621" i="2"/>
  <c r="B622" i="2"/>
  <c r="C622" i="2"/>
  <c r="D622" i="2"/>
  <c r="E622" i="2"/>
  <c r="F622" i="2"/>
  <c r="L622" i="2"/>
  <c r="R622" i="2"/>
  <c r="S622" i="2"/>
  <c r="T622" i="2"/>
  <c r="U622" i="2"/>
  <c r="X622" i="2"/>
  <c r="AK622" i="2"/>
  <c r="AL622" i="2"/>
  <c r="AM622" i="2"/>
  <c r="B623" i="2"/>
  <c r="C623" i="2"/>
  <c r="D623" i="2"/>
  <c r="E623" i="2"/>
  <c r="F623" i="2"/>
  <c r="L623" i="2"/>
  <c r="R623" i="2"/>
  <c r="S623" i="2"/>
  <c r="T623" i="2"/>
  <c r="U623" i="2"/>
  <c r="X623" i="2"/>
  <c r="AK623" i="2"/>
  <c r="AL623" i="2"/>
  <c r="AM623" i="2"/>
  <c r="B624" i="2"/>
  <c r="C624" i="2"/>
  <c r="D624" i="2"/>
  <c r="E624" i="2"/>
  <c r="F624" i="2"/>
  <c r="L624" i="2"/>
  <c r="R624" i="2"/>
  <c r="S624" i="2"/>
  <c r="T624" i="2"/>
  <c r="U624" i="2"/>
  <c r="X624" i="2"/>
  <c r="AK624" i="2"/>
  <c r="AL624" i="2"/>
  <c r="AM624" i="2"/>
  <c r="B625" i="2"/>
  <c r="C625" i="2"/>
  <c r="D625" i="2"/>
  <c r="E625" i="2"/>
  <c r="F625" i="2"/>
  <c r="L625" i="2"/>
  <c r="R625" i="2"/>
  <c r="S625" i="2"/>
  <c r="T625" i="2"/>
  <c r="U625" i="2"/>
  <c r="X625" i="2"/>
  <c r="AK625" i="2"/>
  <c r="AL625" i="2"/>
  <c r="AM625" i="2"/>
  <c r="B626" i="2"/>
  <c r="C626" i="2"/>
  <c r="D626" i="2"/>
  <c r="E626" i="2"/>
  <c r="F626" i="2"/>
  <c r="L626" i="2"/>
  <c r="R626" i="2"/>
  <c r="S626" i="2"/>
  <c r="T626" i="2"/>
  <c r="U626" i="2"/>
  <c r="X626" i="2"/>
  <c r="AK626" i="2"/>
  <c r="AL626" i="2"/>
  <c r="AM626" i="2"/>
  <c r="B627" i="2"/>
  <c r="C627" i="2"/>
  <c r="D627" i="2"/>
  <c r="E627" i="2"/>
  <c r="F627" i="2"/>
  <c r="L627" i="2"/>
  <c r="R627" i="2"/>
  <c r="S627" i="2"/>
  <c r="T627" i="2"/>
  <c r="U627" i="2"/>
  <c r="X627" i="2"/>
  <c r="AK627" i="2"/>
  <c r="AL627" i="2"/>
  <c r="AM627" i="2"/>
  <c r="B628" i="2"/>
  <c r="C628" i="2"/>
  <c r="D628" i="2"/>
  <c r="E628" i="2"/>
  <c r="F628" i="2"/>
  <c r="L628" i="2"/>
  <c r="R628" i="2"/>
  <c r="S628" i="2"/>
  <c r="T628" i="2"/>
  <c r="U628" i="2"/>
  <c r="X628" i="2"/>
  <c r="AK628" i="2"/>
  <c r="AL628" i="2"/>
  <c r="AM628" i="2"/>
  <c r="B629" i="2"/>
  <c r="C629" i="2"/>
  <c r="D629" i="2"/>
  <c r="E629" i="2"/>
  <c r="F629" i="2"/>
  <c r="L629" i="2"/>
  <c r="R629" i="2"/>
  <c r="S629" i="2"/>
  <c r="T629" i="2"/>
  <c r="U629" i="2"/>
  <c r="X629" i="2"/>
  <c r="AK629" i="2"/>
  <c r="AL629" i="2"/>
  <c r="AM629" i="2"/>
  <c r="B630" i="2"/>
  <c r="C630" i="2"/>
  <c r="D630" i="2"/>
  <c r="E630" i="2"/>
  <c r="F630" i="2"/>
  <c r="L630" i="2"/>
  <c r="R630" i="2"/>
  <c r="S630" i="2"/>
  <c r="T630" i="2"/>
  <c r="U630" i="2"/>
  <c r="X630" i="2"/>
  <c r="AK630" i="2"/>
  <c r="AL630" i="2"/>
  <c r="AM630" i="2"/>
  <c r="B631" i="2"/>
  <c r="C631" i="2"/>
  <c r="D631" i="2"/>
  <c r="E631" i="2"/>
  <c r="F631" i="2"/>
  <c r="L631" i="2"/>
  <c r="R631" i="2"/>
  <c r="S631" i="2"/>
  <c r="T631" i="2"/>
  <c r="U631" i="2"/>
  <c r="X631" i="2"/>
  <c r="AK631" i="2"/>
  <c r="AL631" i="2"/>
  <c r="AM631" i="2"/>
  <c r="B632" i="2"/>
  <c r="C632" i="2"/>
  <c r="D632" i="2"/>
  <c r="E632" i="2"/>
  <c r="F632" i="2"/>
  <c r="L632" i="2"/>
  <c r="R632" i="2"/>
  <c r="S632" i="2"/>
  <c r="T632" i="2"/>
  <c r="U632" i="2"/>
  <c r="X632" i="2"/>
  <c r="AK632" i="2"/>
  <c r="AL632" i="2"/>
  <c r="AM632" i="2"/>
  <c r="B633" i="2"/>
  <c r="C633" i="2"/>
  <c r="D633" i="2"/>
  <c r="E633" i="2"/>
  <c r="F633" i="2"/>
  <c r="L633" i="2"/>
  <c r="R633" i="2"/>
  <c r="S633" i="2"/>
  <c r="T633" i="2"/>
  <c r="U633" i="2"/>
  <c r="X633" i="2"/>
  <c r="AK633" i="2"/>
  <c r="AL633" i="2"/>
  <c r="AM633" i="2"/>
  <c r="B634" i="2"/>
  <c r="C634" i="2"/>
  <c r="D634" i="2"/>
  <c r="E634" i="2"/>
  <c r="F634" i="2"/>
  <c r="L634" i="2"/>
  <c r="R634" i="2"/>
  <c r="S634" i="2"/>
  <c r="T634" i="2"/>
  <c r="U634" i="2"/>
  <c r="X634" i="2"/>
  <c r="AK634" i="2"/>
  <c r="AL634" i="2"/>
  <c r="AM634" i="2"/>
  <c r="B635" i="2"/>
  <c r="C635" i="2"/>
  <c r="D635" i="2"/>
  <c r="E635" i="2"/>
  <c r="F635" i="2"/>
  <c r="L635" i="2"/>
  <c r="R635" i="2"/>
  <c r="S635" i="2"/>
  <c r="T635" i="2"/>
  <c r="U635" i="2"/>
  <c r="X635" i="2"/>
  <c r="AK635" i="2"/>
  <c r="AL635" i="2"/>
  <c r="AM635" i="2"/>
  <c r="B636" i="2"/>
  <c r="C636" i="2"/>
  <c r="D636" i="2"/>
  <c r="E636" i="2"/>
  <c r="F636" i="2"/>
  <c r="L636" i="2"/>
  <c r="R636" i="2"/>
  <c r="S636" i="2"/>
  <c r="T636" i="2"/>
  <c r="U636" i="2"/>
  <c r="X636" i="2"/>
  <c r="AK636" i="2"/>
  <c r="AL636" i="2"/>
  <c r="AM636" i="2"/>
  <c r="B637" i="2"/>
  <c r="C637" i="2"/>
  <c r="D637" i="2"/>
  <c r="E637" i="2"/>
  <c r="F637" i="2"/>
  <c r="L637" i="2"/>
  <c r="R637" i="2"/>
  <c r="S637" i="2"/>
  <c r="T637" i="2"/>
  <c r="U637" i="2"/>
  <c r="X637" i="2"/>
  <c r="AK637" i="2"/>
  <c r="AL637" i="2"/>
  <c r="AM637" i="2"/>
  <c r="B638" i="2"/>
  <c r="C638" i="2"/>
  <c r="D638" i="2"/>
  <c r="E638" i="2"/>
  <c r="F638" i="2"/>
  <c r="L638" i="2"/>
  <c r="R638" i="2"/>
  <c r="S638" i="2"/>
  <c r="T638" i="2"/>
  <c r="U638" i="2"/>
  <c r="X638" i="2"/>
  <c r="AK638" i="2"/>
  <c r="AL638" i="2"/>
  <c r="AM638" i="2"/>
  <c r="T9" i="2"/>
  <c r="AM9" i="2"/>
  <c r="AK9" i="2"/>
  <c r="AL9" i="2"/>
  <c r="X9" i="2"/>
  <c r="U9" i="2"/>
  <c r="S9" i="2"/>
  <c r="L9" i="2"/>
  <c r="R9" i="2"/>
  <c r="F9" i="2"/>
  <c r="B9" i="2"/>
  <c r="E9" i="2"/>
  <c r="D9" i="2"/>
  <c r="C9" i="2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1" i="1"/>
  <c r="AL610" i="1"/>
  <c r="AL609" i="1"/>
  <c r="AL608" i="1"/>
  <c r="AL607" i="1"/>
  <c r="AL606" i="1"/>
  <c r="AL605" i="1"/>
  <c r="AL604" i="1"/>
  <c r="AL603" i="1"/>
  <c r="AL602" i="1"/>
  <c r="AL601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5" i="1"/>
  <c r="AL554" i="1"/>
  <c r="AL552" i="1"/>
  <c r="AL551" i="1"/>
  <c r="AL550" i="1"/>
  <c r="AL549" i="1"/>
  <c r="AL548" i="1"/>
  <c r="AL547" i="1"/>
  <c r="AL546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5" i="1"/>
  <c r="AL522" i="1"/>
  <c r="AL521" i="1"/>
  <c r="AL520" i="1"/>
  <c r="AL519" i="1"/>
  <c r="AL518" i="1"/>
  <c r="AL517" i="1"/>
  <c r="AL516" i="1"/>
  <c r="AL515" i="1"/>
  <c r="AL514" i="1"/>
  <c r="AL513" i="1"/>
  <c r="AL510" i="1"/>
  <c r="AL509" i="1"/>
  <c r="AL508" i="1"/>
  <c r="AL507" i="1"/>
  <c r="AL506" i="1"/>
  <c r="AL505" i="1"/>
  <c r="AL504" i="1"/>
  <c r="AL502" i="1"/>
  <c r="AL501" i="1"/>
  <c r="AL500" i="1"/>
  <c r="AL499" i="1"/>
  <c r="AL498" i="1"/>
  <c r="AL497" i="1"/>
  <c r="AL496" i="1"/>
  <c r="AL495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76" i="1"/>
  <c r="AL475" i="1"/>
  <c r="AL474" i="1"/>
  <c r="AL473" i="1"/>
  <c r="AL472" i="1"/>
  <c r="AL470" i="1"/>
  <c r="AL469" i="1"/>
  <c r="AL468" i="1"/>
  <c r="AL467" i="1"/>
  <c r="AL466" i="1"/>
  <c r="AL465" i="1"/>
  <c r="AL464" i="1"/>
  <c r="AL463" i="1"/>
  <c r="AL462" i="1"/>
  <c r="AL461" i="1"/>
  <c r="AL460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6" i="1"/>
  <c r="AL433" i="1"/>
  <c r="AL432" i="1"/>
  <c r="AL430" i="1"/>
  <c r="AL429" i="1"/>
  <c r="AL428" i="1"/>
  <c r="AL427" i="1"/>
  <c r="AL426" i="1"/>
  <c r="AL425" i="1"/>
  <c r="AL424" i="1"/>
  <c r="AL423" i="1"/>
  <c r="AL422" i="1"/>
  <c r="AL421" i="1"/>
  <c r="AL420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2" i="1"/>
  <c r="AL401" i="1"/>
  <c r="AL400" i="1"/>
  <c r="AL398" i="1"/>
  <c r="AL397" i="1"/>
  <c r="AL395" i="1"/>
  <c r="AL394" i="1"/>
  <c r="AL393" i="1"/>
  <c r="AL392" i="1"/>
  <c r="AL391" i="1"/>
  <c r="AL390" i="1"/>
  <c r="AL389" i="1"/>
  <c r="AL387" i="1"/>
  <c r="AL386" i="1"/>
  <c r="AL384" i="1"/>
  <c r="AL383" i="1"/>
  <c r="AL382" i="1"/>
  <c r="AL381" i="1"/>
  <c r="AL380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0" i="1"/>
  <c r="AL359" i="1"/>
  <c r="AL358" i="1"/>
  <c r="AL357" i="1"/>
  <c r="AL356" i="1"/>
  <c r="AL355" i="1"/>
  <c r="AL354" i="1"/>
  <c r="AL353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89" i="1"/>
  <c r="AL288" i="1"/>
  <c r="AL287" i="1"/>
  <c r="AL286" i="1"/>
  <c r="AL285" i="1"/>
  <c r="AL284" i="1"/>
  <c r="AL283" i="1"/>
  <c r="AL282" i="1"/>
  <c r="AL281" i="1"/>
  <c r="AL278" i="1"/>
  <c r="AL277" i="1"/>
  <c r="AL276" i="1"/>
  <c r="AL275" i="1"/>
  <c r="AL274" i="1"/>
  <c r="AL273" i="1"/>
  <c r="AL272" i="1"/>
  <c r="AL271" i="1"/>
  <c r="AL270" i="1"/>
  <c r="AL269" i="1"/>
  <c r="AL268" i="1"/>
  <c r="AL266" i="1"/>
  <c r="AL265" i="1"/>
  <c r="AL264" i="1"/>
  <c r="AL261" i="1"/>
  <c r="AL260" i="1"/>
  <c r="AL258" i="1"/>
  <c r="AL257" i="1"/>
  <c r="AL256" i="1"/>
  <c r="AL255" i="1"/>
  <c r="AL254" i="1"/>
  <c r="AL253" i="1"/>
  <c r="AL252" i="1"/>
  <c r="AL251" i="1"/>
  <c r="AL248" i="1"/>
  <c r="AL247" i="1"/>
  <c r="AL246" i="1"/>
  <c r="AL245" i="1"/>
  <c r="AL244" i="1"/>
  <c r="AL243" i="1"/>
  <c r="AL242" i="1"/>
  <c r="AL241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195" i="1"/>
  <c r="AL194" i="1"/>
  <c r="AC194" i="1"/>
  <c r="AL193" i="1"/>
  <c r="X193" i="1"/>
  <c r="AL192" i="1"/>
  <c r="AL191" i="1"/>
  <c r="AL190" i="1"/>
  <c r="AL189" i="1"/>
  <c r="AL188" i="1"/>
  <c r="AC188" i="1"/>
  <c r="AL187" i="1"/>
  <c r="X187" i="1"/>
  <c r="W187" i="1"/>
  <c r="AL186" i="1"/>
  <c r="AL185" i="1"/>
  <c r="AL184" i="1"/>
  <c r="AL183" i="1"/>
  <c r="AL182" i="1"/>
  <c r="AL181" i="1"/>
  <c r="AC181" i="1"/>
  <c r="X181" i="1"/>
  <c r="W181" i="1"/>
  <c r="AL180" i="1"/>
  <c r="AC180" i="1"/>
  <c r="X180" i="1"/>
  <c r="W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C158" i="1"/>
  <c r="X158" i="1"/>
  <c r="W158" i="1"/>
  <c r="AL157" i="1"/>
  <c r="AL156" i="1"/>
  <c r="AL155" i="1"/>
  <c r="AL154" i="1"/>
  <c r="AL153" i="1"/>
  <c r="AL152" i="1"/>
  <c r="AL151" i="1"/>
  <c r="AL150" i="1"/>
  <c r="AD149" i="1"/>
  <c r="AL149" i="1" s="1"/>
  <c r="AC149" i="1"/>
  <c r="AL148" i="1"/>
  <c r="AL147" i="1"/>
  <c r="AL146" i="1"/>
  <c r="AL145" i="1"/>
  <c r="AL144" i="1"/>
  <c r="AL143" i="1"/>
  <c r="AL142" i="1"/>
  <c r="AC142" i="1"/>
  <c r="X142" i="1"/>
  <c r="W142" i="1"/>
  <c r="AL141" i="1"/>
  <c r="AL140" i="1"/>
  <c r="AL139" i="1"/>
  <c r="AL138" i="1"/>
  <c r="AL137" i="1"/>
  <c r="AL136" i="1"/>
  <c r="AD135" i="1"/>
  <c r="AL135" i="1" s="1"/>
  <c r="AC135" i="1"/>
  <c r="X135" i="1"/>
  <c r="W135" i="1"/>
  <c r="AL134" i="1"/>
  <c r="AL133" i="1"/>
  <c r="AD132" i="1"/>
  <c r="AL132" i="1" s="1"/>
  <c r="AC132" i="1"/>
  <c r="X132" i="1"/>
  <c r="W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C110" i="1"/>
  <c r="AL109" i="1"/>
  <c r="X109" i="1"/>
  <c r="W109" i="1"/>
  <c r="AL108" i="1"/>
  <c r="AL107" i="1"/>
  <c r="AL106" i="1"/>
  <c r="AD105" i="1"/>
  <c r="AL105" i="1" s="1"/>
  <c r="AC105" i="1"/>
  <c r="AL104" i="1"/>
  <c r="X104" i="1"/>
  <c r="W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C82" i="1"/>
  <c r="X82" i="1"/>
  <c r="W82" i="1"/>
  <c r="V82" i="1"/>
  <c r="AL81" i="1"/>
  <c r="AL80" i="1"/>
  <c r="AC80" i="1"/>
  <c r="X80" i="1"/>
  <c r="W80" i="1"/>
  <c r="AL79" i="1"/>
  <c r="AL78" i="1"/>
  <c r="AL77" i="1"/>
  <c r="AL76" i="1"/>
  <c r="AL75" i="1"/>
  <c r="AL74" i="1"/>
  <c r="AD73" i="1"/>
  <c r="AL73" i="1" s="1"/>
  <c r="AC73" i="1"/>
  <c r="AL72" i="1"/>
  <c r="X72" i="1"/>
  <c r="W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D50" i="1"/>
  <c r="AL50" i="1" s="1"/>
  <c r="AC50" i="1"/>
  <c r="AL49" i="1"/>
  <c r="X49" i="1"/>
  <c r="W49" i="1"/>
  <c r="AL48" i="1"/>
  <c r="AL47" i="1"/>
  <c r="AL46" i="1"/>
  <c r="AL45" i="1"/>
  <c r="AL44" i="1"/>
  <c r="AL43" i="1"/>
  <c r="AC43" i="1"/>
  <c r="AL42" i="1"/>
  <c r="X42" i="1"/>
  <c r="W42" i="1"/>
  <c r="AL41" i="1"/>
  <c r="AD41" i="1"/>
  <c r="AC41" i="1"/>
  <c r="AL40" i="1"/>
  <c r="AL39" i="1"/>
  <c r="AL38" i="1"/>
  <c r="AL37" i="1"/>
  <c r="AL36" i="1"/>
  <c r="AC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C23" i="1"/>
  <c r="AL22" i="1"/>
  <c r="X22" i="1"/>
  <c r="W22" i="1"/>
  <c r="AL21" i="1"/>
  <c r="AC21" i="1"/>
  <c r="AL20" i="1"/>
  <c r="AC20" i="1"/>
  <c r="X20" i="1"/>
  <c r="W20" i="1"/>
  <c r="AL19" i="1"/>
  <c r="X19" i="1"/>
  <c r="W19" i="1"/>
  <c r="AL18" i="1"/>
  <c r="AL17" i="1"/>
  <c r="AL16" i="1"/>
  <c r="AL15" i="1"/>
  <c r="AC15" i="1"/>
  <c r="AL14" i="1"/>
  <c r="AC14" i="1"/>
  <c r="X14" i="1"/>
  <c r="W14" i="1"/>
  <c r="AL13" i="1"/>
  <c r="AL12" i="1"/>
  <c r="AL11" i="1"/>
  <c r="AL10" i="1"/>
  <c r="AL9" i="1"/>
  <c r="AL8" i="1"/>
  <c r="AL7" i="1"/>
  <c r="AL6" i="1"/>
  <c r="AL5" i="1"/>
  <c r="AL4" i="1"/>
  <c r="AL3" i="1"/>
</calcChain>
</file>

<file path=xl/sharedStrings.xml><?xml version="1.0" encoding="utf-8"?>
<sst xmlns="http://schemas.openxmlformats.org/spreadsheetml/2006/main" count="11376" uniqueCount="1564">
  <si>
    <t>Road Name</t>
  </si>
  <si>
    <t>Count Station Location</t>
  </si>
  <si>
    <t>Limits (From - To)</t>
  </si>
  <si>
    <t>Count Station Number</t>
  </si>
  <si>
    <t>Roadway Maintaining Agency</t>
  </si>
  <si>
    <t xml:space="preserve">2021 Roadway on County's Thoroughfare </t>
  </si>
  <si>
    <t>Distance (in miles)</t>
  </si>
  <si>
    <t>Posted Speed</t>
  </si>
  <si>
    <t>2021 QLOS Facility Type</t>
  </si>
  <si>
    <t>2010 Federal Functional Classification</t>
  </si>
  <si>
    <t>2011 AADT</t>
  </si>
  <si>
    <t>2012 AADT</t>
  </si>
  <si>
    <t>2013 AADT</t>
  </si>
  <si>
    <t>2014 AADT</t>
  </si>
  <si>
    <t>2015 AADT</t>
  </si>
  <si>
    <t>2016 AADT</t>
  </si>
  <si>
    <t>2017 AADT</t>
  </si>
  <si>
    <t>2018 AADT</t>
  </si>
  <si>
    <t>2019 AADT</t>
  </si>
  <si>
    <t>2020 AADT</t>
  </si>
  <si>
    <t>2021 AADT</t>
  </si>
  <si>
    <t>VC 2021 Allowable LOS</t>
  </si>
  <si>
    <t>DAILY 2021 LOS Capacity</t>
  </si>
  <si>
    <t>DAILY 2021 V/C Ratio</t>
  </si>
  <si>
    <t>DAILY 2021 LOS</t>
  </si>
  <si>
    <t xml:space="preserve">2021 AM Peak </t>
  </si>
  <si>
    <t>2021 PM Peak</t>
  </si>
  <si>
    <t>PEAK 2Way 2021 LOS Capacity</t>
  </si>
  <si>
    <t>2021 DAILY VMT</t>
  </si>
  <si>
    <t>2021 No. of Lanes</t>
  </si>
  <si>
    <t>SS_NUM</t>
  </si>
  <si>
    <t>TECMP_ID</t>
  </si>
  <si>
    <t>Rd_Name</t>
  </si>
  <si>
    <t>Stat_Loc</t>
  </si>
  <si>
    <t>Limits</t>
  </si>
  <si>
    <t>Cnt_Sta</t>
  </si>
  <si>
    <t>MainRes</t>
  </si>
  <si>
    <t>Tfare21</t>
  </si>
  <si>
    <t>Distance</t>
  </si>
  <si>
    <t>SPD2013</t>
  </si>
  <si>
    <t>Direction</t>
  </si>
  <si>
    <t>F_Type_08</t>
  </si>
  <si>
    <t>F_Type_09</t>
  </si>
  <si>
    <t>F_Type_10</t>
  </si>
  <si>
    <t>F_Type_11</t>
  </si>
  <si>
    <t>F_Type_14</t>
  </si>
  <si>
    <t>F_Type_21</t>
  </si>
  <si>
    <t>Fun_Class_2000</t>
  </si>
  <si>
    <t>Fun_Class_2010</t>
  </si>
  <si>
    <t>AADT_11</t>
  </si>
  <si>
    <t>AADT_12</t>
  </si>
  <si>
    <t>AADT_13</t>
  </si>
  <si>
    <t>AADT_14</t>
  </si>
  <si>
    <t>AADT_15</t>
  </si>
  <si>
    <t>AADT_16</t>
  </si>
  <si>
    <t>AADT_17</t>
  </si>
  <si>
    <t>AADT_18</t>
  </si>
  <si>
    <t>AADT_19</t>
  </si>
  <si>
    <t>AADT_20</t>
  </si>
  <si>
    <t>AADT_21</t>
  </si>
  <si>
    <t>VCA_LOS_21</t>
  </si>
  <si>
    <t>Cap_21</t>
  </si>
  <si>
    <t>VCRatio_21</t>
  </si>
  <si>
    <t>LOS_21</t>
  </si>
  <si>
    <t>AMPKHR_21</t>
  </si>
  <si>
    <t>PMPKHR_21</t>
  </si>
  <si>
    <t>2W_Cap_21</t>
  </si>
  <si>
    <t>VMT_20</t>
  </si>
  <si>
    <t>Lanes_20</t>
  </si>
  <si>
    <t>I-4</t>
  </si>
  <si>
    <t>S. of Volusia/Seminole Co. Line</t>
  </si>
  <si>
    <t>Seminole Co. to Dirksen Dr.</t>
  </si>
  <si>
    <t>FDOT</t>
  </si>
  <si>
    <t>Yes</t>
  </si>
  <si>
    <t>65</t>
  </si>
  <si>
    <t>E+W</t>
  </si>
  <si>
    <t>UA_FWISG1_6L</t>
  </si>
  <si>
    <t>UA_FWIS_6L</t>
  </si>
  <si>
    <t>Rural Principal Arterial - Interstate</t>
  </si>
  <si>
    <t>Principal Arterial - Interstate - Urban</t>
  </si>
  <si>
    <t>D</t>
  </si>
  <si>
    <t>-</t>
  </si>
  <si>
    <t>0.40 miles E. of Enterprise Rd.</t>
  </si>
  <si>
    <t>Dirksen Dr. to Saxon Blvd.</t>
  </si>
  <si>
    <t>70</t>
  </si>
  <si>
    <t>Urban Principal Arterial - Interstate</t>
  </si>
  <si>
    <t>1.72 miles W. of SR 472</t>
  </si>
  <si>
    <t>Saxon Blvd. to SR 472</t>
  </si>
  <si>
    <t>0.40 miles NE. of SR 472</t>
  </si>
  <si>
    <t>SR 472 to Orange Camp Rd.</t>
  </si>
  <si>
    <t>1.18 miles SW. of SR 44</t>
  </si>
  <si>
    <t>Orange Camp Rd. to SR 44</t>
  </si>
  <si>
    <t>0.452 miles NE. of SR 44</t>
  </si>
  <si>
    <t>SR 44 to US 92 Connector</t>
  </si>
  <si>
    <t>UA_FWISG1_4L</t>
  </si>
  <si>
    <t>UA_FWIS_4L</t>
  </si>
  <si>
    <t>Principal Arterial - Interstate - Rural</t>
  </si>
  <si>
    <t>C</t>
  </si>
  <si>
    <t>2.273 miles W. of I-95</t>
  </si>
  <si>
    <t>US 92 Connector to I-95</t>
  </si>
  <si>
    <t>I-95</t>
  </si>
  <si>
    <t>0.70 miles N. of CR 5A in Brevard</t>
  </si>
  <si>
    <t>Brevard Co. to SR 442/Indian River Blvd.</t>
  </si>
  <si>
    <t>0436-B</t>
  </si>
  <si>
    <t>N+S</t>
  </si>
  <si>
    <t>RUA_FW_4L</t>
  </si>
  <si>
    <t>RUA_FW_6L</t>
  </si>
  <si>
    <t>Principal Arterial - Interstate - Urban/Rural</t>
  </si>
  <si>
    <t>0.41 miles S. of SR 44</t>
  </si>
  <si>
    <t>SR 442/Indian River Blvd. to SR 44</t>
  </si>
  <si>
    <t>Rural &amp; Urban Principal Arterial - Interstate</t>
  </si>
  <si>
    <t>2.7 miles N. of SR 44</t>
  </si>
  <si>
    <t>SR 44 to SR 421/Dunlawton Ave.</t>
  </si>
  <si>
    <t>0.512 miles S. of SR 400</t>
  </si>
  <si>
    <t>SR 421/Dunlawton Ave. to I-4/SR 400/Beville Rd.</t>
  </si>
  <si>
    <t>0.806 miles N. of SR 400</t>
  </si>
  <si>
    <t>I-4/SR 400/Beville Rd. to US 92/ISB</t>
  </si>
  <si>
    <t>UA_FWISG2_6L</t>
  </si>
  <si>
    <t>UA_FWIS_6L + AUX</t>
  </si>
  <si>
    <t>3.565 miles S. of SR 40</t>
  </si>
  <si>
    <t>US 92/ISB to LPGA Blvd.</t>
  </si>
  <si>
    <t>1.716 miles S. of SR 40</t>
  </si>
  <si>
    <t>LPGA Blvd. to SR 40/Granada Blvd</t>
  </si>
  <si>
    <t>0.74 miles S. of US 1</t>
  </si>
  <si>
    <t>SR 40/Granada Blvd to US 1</t>
  </si>
  <si>
    <t>0.662 miles N. of US 1</t>
  </si>
  <si>
    <t>US 1 to Flagler Co. Line/Old Dixie</t>
  </si>
  <si>
    <t>US 1</t>
  </si>
  <si>
    <t>3.80 miles N. of Brevard County Line</t>
  </si>
  <si>
    <t>Brevard Co. to Kennedy Pkwy.</t>
  </si>
  <si>
    <t>55</t>
  </si>
  <si>
    <t>RUA_UFH_2W_4L_D_WL</t>
  </si>
  <si>
    <t>Rural Principal Arterial - Other</t>
  </si>
  <si>
    <t>Principal Arterial - Other - Rural</t>
  </si>
  <si>
    <t>Kennedy Pkwy. to Putnam Grove Rd.</t>
  </si>
  <si>
    <t>TA_S2WAC1_2W_4L_D_WL</t>
  </si>
  <si>
    <t>RDA_UFH_2W_4L_D_WL</t>
  </si>
  <si>
    <t>Putnam Grove Rd. to Halifax Ave.</t>
  </si>
  <si>
    <t>0.25 miles N. of Rio Grande Rd.</t>
  </si>
  <si>
    <t>Halifax Ave. to H.H. Birch Rd.</t>
  </si>
  <si>
    <t>45</t>
  </si>
  <si>
    <t>H.H. Birch Rd. to Volco Rd.</t>
  </si>
  <si>
    <t>UA_S2WAC1_2W_4L_D_WL</t>
  </si>
  <si>
    <t>UA_SSAC1_2W_4L_D_WL</t>
  </si>
  <si>
    <t>Urban Principal Arterial - Other</t>
  </si>
  <si>
    <t>Principal Arterial - Other - Urban</t>
  </si>
  <si>
    <t>0.30 miles S. of SR 442/Indian River Blvd.</t>
  </si>
  <si>
    <t>Volco Rd. to SR 442/Indian River Blvd.</t>
  </si>
  <si>
    <t>0.08 miles N. of SR 442/Indian River Blvd.</t>
  </si>
  <si>
    <t>SR 442/Indian River Blvd. to Park Ave.</t>
  </si>
  <si>
    <t>0.195 miles S. of Park Ave.</t>
  </si>
  <si>
    <t>Park Ave. to 10th Ave.</t>
  </si>
  <si>
    <t>0.049 miles S. of Canal St. (Bus 44)</t>
  </si>
  <si>
    <t>10th Ave. to Canal St./Bus. SR 44</t>
  </si>
  <si>
    <t>35</t>
  </si>
  <si>
    <t>UA_SSAC2_2W_4L_D_WL</t>
  </si>
  <si>
    <t>0.032 miles N. of Canal St. (Bus 44)</t>
  </si>
  <si>
    <t>Canal St./Bus. SR 44 to Turnbull Bay Rd.</t>
  </si>
  <si>
    <t>40</t>
  </si>
  <si>
    <t>0.177 miles S. of Industrial Park</t>
  </si>
  <si>
    <t>Turnbull Bay Rd. to Art Center Ave.</t>
  </si>
  <si>
    <t>0.65 miles S. of SR 5A/Nova Rd.</t>
  </si>
  <si>
    <t>Art Center Ave. to SR 5A/Nova Rd.</t>
  </si>
  <si>
    <t>UA_UFH_2W_4L_D_WL</t>
  </si>
  <si>
    <t>0.80 miles S. of SR A1A (Dunlawton Ave.)</t>
  </si>
  <si>
    <t>SR 5A/Nova Rd. to Commonwealth</t>
  </si>
  <si>
    <t>0.13 miles S. of SR A1A (Dunlawton Ave.)</t>
  </si>
  <si>
    <t>Commonweath to SR 421/Dunlawton Ave.</t>
  </si>
  <si>
    <t>0.62 miles N. of SR A1A (Dunlawton Ave.)</t>
  </si>
  <si>
    <t>SR 421/Dunlawton Ave. to Reed Canal Rd.</t>
  </si>
  <si>
    <t>UA_S2WAC2_2W_4L_D_WL</t>
  </si>
  <si>
    <t>0.77 miles S. of SR 400/Beville Rd.</t>
  </si>
  <si>
    <t>Reed Canal Rd. to Big Tree Rd.</t>
  </si>
  <si>
    <t>0.708 miles S. of SR 400/Beville Rd.</t>
  </si>
  <si>
    <t>Big Tree Rd. to Bellewood Ave.</t>
  </si>
  <si>
    <t>0.066 miles S. of SR 400/Beville Rd.</t>
  </si>
  <si>
    <t>Bellewood Ave. to SR 400/Beville Rd</t>
  </si>
  <si>
    <t>0.102 miles N. of SR 400/Beville Rd.</t>
  </si>
  <si>
    <t>SR 400/Beville Rd to Bellevue Ave.</t>
  </si>
  <si>
    <t>0.89 miles S. of US 92</t>
  </si>
  <si>
    <t>Bellevue Ave. to Orange Ave.</t>
  </si>
  <si>
    <t>0.096 miles S. of US 92</t>
  </si>
  <si>
    <t>Orange Ave.  to US 92/ISB</t>
  </si>
  <si>
    <t>0.051 miles N. of US 92</t>
  </si>
  <si>
    <t>US 92/ISB to Fairview/Main St.</t>
  </si>
  <si>
    <t>0.33 miles S. of SR 430/Mason Ave.</t>
  </si>
  <si>
    <t>Fairview/Main St. to SR 430/Mason Ave.</t>
  </si>
  <si>
    <t>0.245 miles N. of SR 430/Mason Ave.</t>
  </si>
  <si>
    <t>SR 430/Mason Ave. to LPGA Blvd.</t>
  </si>
  <si>
    <t>2.01 miles N. of SR 430/Mason Ave.</t>
  </si>
  <si>
    <t>LPGA Blvd. to Hand Ave.</t>
  </si>
  <si>
    <t>0.07 miles S. of SR 40</t>
  </si>
  <si>
    <t>Hand Ave. to SR 40/Granada Blvd.</t>
  </si>
  <si>
    <t>0.78 miles S. of SR 5A/Nova Rd.</t>
  </si>
  <si>
    <t>SR 40/Granada Blvd. to SR 5A/Nova Rd.</t>
  </si>
  <si>
    <t>0.134 miles NW of SR 5A/Nova Rd.</t>
  </si>
  <si>
    <t>SR 5A/Nova Rd. to Airport Rd.</t>
  </si>
  <si>
    <t>0.68 miles SE of I-95</t>
  </si>
  <si>
    <t>Airport Rd. to I-95</t>
  </si>
  <si>
    <t>0.019 miles S. of Flagler County Line</t>
  </si>
  <si>
    <t>I-95. to Flagler Co Line</t>
  </si>
  <si>
    <t>US 17/92</t>
  </si>
  <si>
    <t>0.34 miles N. of CR 15 in Seminole Co.</t>
  </si>
  <si>
    <t>Seminole Co. to Barwick Rd.</t>
  </si>
  <si>
    <t>0040-S</t>
  </si>
  <si>
    <t>50</t>
  </si>
  <si>
    <t>Barwick Rd to Ft. Florida Rd.</t>
  </si>
  <si>
    <t>Ft. Florida Rd. to Dirksen Dr.</t>
  </si>
  <si>
    <t>0.195 miles N. of Dirksen Dr.</t>
  </si>
  <si>
    <t>Dirksen Dr. to Valencia Rd.</t>
  </si>
  <si>
    <t>Valencia Rd to Highbanks Rd.</t>
  </si>
  <si>
    <t>2.67 miles S. of Graves Ave.</t>
  </si>
  <si>
    <t>Highbanks Rd. to DeBary Plantation Blvd</t>
  </si>
  <si>
    <t>DeBary Plantation Blvd to Saxon Blvd.</t>
  </si>
  <si>
    <t>Saxon Blvd. to Enterprise Rd.</t>
  </si>
  <si>
    <t>0.73 miles S. of Graves Ave.</t>
  </si>
  <si>
    <t>Enterprise Rd. to Rhode Island Ave.</t>
  </si>
  <si>
    <t>0.05 miles S. of Graves Ave.</t>
  </si>
  <si>
    <t>Rhode Island Ave. to Graves Ave.</t>
  </si>
  <si>
    <t>0.09 miles N. of Graves Ave.</t>
  </si>
  <si>
    <t>Graves Ave. to New York Ave.</t>
  </si>
  <si>
    <t>0.092 miles S. of New York Ave.</t>
  </si>
  <si>
    <t>New York Ave to SR 472</t>
  </si>
  <si>
    <t>0.102 miles N. of Golf Club Dr.</t>
  </si>
  <si>
    <t>SR 472 to SR 15A/Taylor Rd.</t>
  </si>
  <si>
    <t>UA_S2WAC1_2W_6L_D_WL</t>
  </si>
  <si>
    <t>UA_SSAC1_2W_6L_D_WL</t>
  </si>
  <si>
    <t>0.20 miles N. of SR 15A</t>
  </si>
  <si>
    <t>SR 15A/Taylor Rd. to Beresford Ave.</t>
  </si>
  <si>
    <t>E</t>
  </si>
  <si>
    <t>0.19 miles N. of Beresford Ave.</t>
  </si>
  <si>
    <t>Beresford Ave. to Euclid Ave.</t>
  </si>
  <si>
    <t>UA_S2WAC1_2W_2L_U_WL</t>
  </si>
  <si>
    <t>UA_S2WAC2_2W_2L_D_WL</t>
  </si>
  <si>
    <t>UA_SSAC2_2W_2L_D_WL</t>
  </si>
  <si>
    <t>0.22 miles S. of SR 44</t>
  </si>
  <si>
    <t>Euclid Ave. to SR 44/New York Ave.</t>
  </si>
  <si>
    <t>30</t>
  </si>
  <si>
    <t>UA_SSAC2_2W_2L_U_WL</t>
  </si>
  <si>
    <t>0.41 miles N. of SR 44</t>
  </si>
  <si>
    <t>SR 44/New York Ave. to Plymouth Ave.</t>
  </si>
  <si>
    <t>UA_S2WAC3_2W_2L_U_WL</t>
  </si>
  <si>
    <t>DeLand</t>
  </si>
  <si>
    <t>0.65 miles S. of US 92</t>
  </si>
  <si>
    <t>Plymouth Ave.  to US 92/ISB</t>
  </si>
  <si>
    <t>US 17</t>
  </si>
  <si>
    <t>0.479 miles N. of US 92</t>
  </si>
  <si>
    <t>US 92 to Mercers Fernery Rd.</t>
  </si>
  <si>
    <t>0.15 miles S. of SR 11</t>
  </si>
  <si>
    <t>Mercers Fernery Rd. to Glenwood Rd.</t>
  </si>
  <si>
    <t>0.12 miles NW of SR 11</t>
  </si>
  <si>
    <t>Glenwood Rd. to SR 15A/CR 15A</t>
  </si>
  <si>
    <t>0.20 miles NW of SR 15A</t>
  </si>
  <si>
    <t>SR 15A/CR 15A to Reynolds Rd</t>
  </si>
  <si>
    <t>3.232 miles NW of SR 15A</t>
  </si>
  <si>
    <t>Reynolds Rd to Spring Garden Ranch Rd.</t>
  </si>
  <si>
    <t>UA_UFH_2W_2L_U_WL</t>
  </si>
  <si>
    <t>0.10 miles S. of SR 40</t>
  </si>
  <si>
    <t>Spring Garden Ranch Rd. to Lake Winona Rd.</t>
  </si>
  <si>
    <t>TA_UFH_2W_2L_U_WL</t>
  </si>
  <si>
    <t>Lake Winona Rd. to SR 40</t>
  </si>
  <si>
    <t>RUA_UFH_2W_2L_U_WL</t>
  </si>
  <si>
    <t>4.83 miles N. of SR 40</t>
  </si>
  <si>
    <t>SR 40 to Washington Ave.</t>
  </si>
  <si>
    <t>RDA_UFH_2W_2L_U_WL</t>
  </si>
  <si>
    <t>0.17 miles S. of CR 3</t>
  </si>
  <si>
    <t>Washington Ave.  to CR 305/Lk George Rd</t>
  </si>
  <si>
    <t>0.074 miles S. of McBride Rd.</t>
  </si>
  <si>
    <t>CR 305/Lk George Rd to Putnam County</t>
  </si>
  <si>
    <t>60</t>
  </si>
  <si>
    <t>US 92</t>
  </si>
  <si>
    <t>0.20 miles E. of  US 17</t>
  </si>
  <si>
    <t>US 17 to Jacobs Rd.</t>
  </si>
  <si>
    <t>Jacobs Rd. to Kepler Rd.</t>
  </si>
  <si>
    <t>0.25 miles E. of Clark's Bay Rd.</t>
  </si>
  <si>
    <t>Kepler Rd. to Old Daytona Rd.</t>
  </si>
  <si>
    <t>Old Daytona Rd. to Red John Dr.</t>
  </si>
  <si>
    <t>Principal Arterial - Other - Urban/Rural</t>
  </si>
  <si>
    <t>0.78 miles W. of I-4 Connector</t>
  </si>
  <si>
    <t>Red John Dr. to I-4 EB Ramp</t>
  </si>
  <si>
    <t>Rural &amp; Urban Principal Arterial - Other</t>
  </si>
  <si>
    <t>I-4 EB Ramp to LPGA Blvd.</t>
  </si>
  <si>
    <t>0.129 miles E. of LPGA Blvd.</t>
  </si>
  <si>
    <t>LPGA Blvd. to I-95</t>
  </si>
  <si>
    <t>0.29 miles E. of  I-95</t>
  </si>
  <si>
    <t>I-95 to Williamson Blvd.</t>
  </si>
  <si>
    <t>UA_S2WAC1_2W_8L_D_WL</t>
  </si>
  <si>
    <t>UA_S2WAC2_2W_8L_D_WL</t>
  </si>
  <si>
    <t>UA_SSAC1_2W_8L_D_WL</t>
  </si>
  <si>
    <t>0.79 miles E. of  I-95</t>
  </si>
  <si>
    <t>Williamson Blvd. to Bill France Blvd.</t>
  </si>
  <si>
    <t>0.70 miles W. of SR 483/Clyde Morris Blvd.</t>
  </si>
  <si>
    <t>Bill France Blvd. to SR 483/Clyde Morris Blvd.</t>
  </si>
  <si>
    <t>0.49 miles E. of SR 483/Clyde Morris Blvd.</t>
  </si>
  <si>
    <t>SR 483/Clyde Morris Blvd. to SR 5A/Nova Rd.</t>
  </si>
  <si>
    <t>UA_S2WAC2_2W_6L_D_WL</t>
  </si>
  <si>
    <t>0.48 miles W. of US 1</t>
  </si>
  <si>
    <t>SR 5A/Nova Rd. to Martin Luther King Blvd.</t>
  </si>
  <si>
    <t>0.30 miles W. of  US 1</t>
  </si>
  <si>
    <t>Martin Luther King Blvd. to US 1</t>
  </si>
  <si>
    <t>0.05 miles E. of  US 1</t>
  </si>
  <si>
    <t>US 1 to Beach St.</t>
  </si>
  <si>
    <t>0.50 miles W. of SR A1A</t>
  </si>
  <si>
    <t>Beach St. to SR 441/Peninsula Dr.</t>
  </si>
  <si>
    <t>0.02 miles W. of SR A1A</t>
  </si>
  <si>
    <t>SR 441/Peninsula Dr. to SR A1A/Atlantic</t>
  </si>
  <si>
    <t>SR A1A - Dunlawton Ave.</t>
  </si>
  <si>
    <t>0.13 miles E. of US 1</t>
  </si>
  <si>
    <t>US 1 to SR A1A/Atlantic Ave.</t>
  </si>
  <si>
    <t>SR A1A - Atlantic Ave. South</t>
  </si>
  <si>
    <t>1.32 miles E. and N. of US 1</t>
  </si>
  <si>
    <t>SRA1A/Dunlawton Ave. to Van Ave.</t>
  </si>
  <si>
    <t>2.33 miles E. and N. of US 1</t>
  </si>
  <si>
    <t>Van Ave. to Florida Shores</t>
  </si>
  <si>
    <t>1.21 miles S. of US 92</t>
  </si>
  <si>
    <t>Florida Shores to Silver Beach Ave.</t>
  </si>
  <si>
    <t>0.04 miles S. of US 92</t>
  </si>
  <si>
    <t>Silver Beach Ave. to US 92/ISB</t>
  </si>
  <si>
    <t>SR A1A - Atlantic Ave. North</t>
  </si>
  <si>
    <t>0.47 miles N. of US 92</t>
  </si>
  <si>
    <t>US 92/ISB to SR 430/Oakridge Blvd.</t>
  </si>
  <si>
    <t>0.034 miles S. of SR 430/Seabreeze Blvd.</t>
  </si>
  <si>
    <t>SR430/Oakridge Blvd. to SR 430/Seabreeze Blvd.</t>
  </si>
  <si>
    <t>1.80 miles N. of SR 430</t>
  </si>
  <si>
    <t>SR430/Seabreeze Blvd. to Harvard Dr.</t>
  </si>
  <si>
    <t>0.08 miles S. of SR 40</t>
  </si>
  <si>
    <t>Harvard Dr. to SR 40/Granada Blvd.</t>
  </si>
  <si>
    <t>SR A1A - Ocean Shore Blvd.</t>
  </si>
  <si>
    <t>0.11 miles N. of SR 40</t>
  </si>
  <si>
    <t>SR 40/Granada Blvd. to Neptune Ave</t>
  </si>
  <si>
    <t>1.93 miles N. of SR 40</t>
  </si>
  <si>
    <t>Neptune Ave to Ormond Mall</t>
  </si>
  <si>
    <t>3.79 miles N. of SR 40</t>
  </si>
  <si>
    <t>Ormond Mall to High Bridge Rd</t>
  </si>
  <si>
    <t xml:space="preserve">High Bridge Rd toFlagler Co Line </t>
  </si>
  <si>
    <t>SR 5A - Nova Rd.</t>
  </si>
  <si>
    <t>0.12 miles W. of US 1</t>
  </si>
  <si>
    <t>US 1. to Spruce Creek Rd</t>
  </si>
  <si>
    <t>0.358 miles S. of SR 421/Dunlawton Ave.</t>
  </si>
  <si>
    <t>Spruce Creek Rd. to SR 421/Dunlawton Ave.</t>
  </si>
  <si>
    <t>0.222 miles N. of SR 421/Dunlawton Ave.</t>
  </si>
  <si>
    <t>SR 421/Dunlawton Ave. to Madeline Ave</t>
  </si>
  <si>
    <t>0.602 miles N. of Reed Canal Rd.</t>
  </si>
  <si>
    <t>Madeline Ave. to Big Tree</t>
  </si>
  <si>
    <t>UA_S2WAC1_2W_5L_D_WL</t>
  </si>
  <si>
    <t>UA_SSAC1_2W_5L_D_WL</t>
  </si>
  <si>
    <t>Big Tree to SR 400/Beville Rd.</t>
  </si>
  <si>
    <t>0.412 miles N. of SR 400/Beville Rd.</t>
  </si>
  <si>
    <t>SR 400/Beville Rd. to Bellevue Ave.</t>
  </si>
  <si>
    <t>0.166 miles S. of US 92</t>
  </si>
  <si>
    <t xml:space="preserve">Bellevue Ave. to US 92/ISB </t>
  </si>
  <si>
    <t>0.32 miles N. of US 92</t>
  </si>
  <si>
    <t>US 92/ISB to SR 430/Mason Ave.</t>
  </si>
  <si>
    <t>1.424 miles N. of SR 430/Mason Ave.</t>
  </si>
  <si>
    <t>SR 430/Mason Blvd to LPGA Blvd.</t>
  </si>
  <si>
    <t>1.205 miles S. of SR 40</t>
  </si>
  <si>
    <t>0.183 miles S. of SR 40</t>
  </si>
  <si>
    <t>Hand Ave. to SR 40/Granada Ave</t>
  </si>
  <si>
    <t>0.078 miles N. of SR 40</t>
  </si>
  <si>
    <t>SR 40/Granada Ave to Wilmette Ave.</t>
  </si>
  <si>
    <t>0.087 miles W. of US 1</t>
  </si>
  <si>
    <t>Wilmette Ave. to US 1</t>
  </si>
  <si>
    <t>SR 11</t>
  </si>
  <si>
    <t>0.632 miles N. of US 17</t>
  </si>
  <si>
    <t>US 17 to CR 15A</t>
  </si>
  <si>
    <t>0.142 miles S. of SR 40</t>
  </si>
  <si>
    <t>CR 15A to SR 40</t>
  </si>
  <si>
    <t>RUA_UFH_2W_2L_U_0L</t>
  </si>
  <si>
    <t>0.10 miles S. of CR 304</t>
  </si>
  <si>
    <t>SR 40 to Flagler Co. Line</t>
  </si>
  <si>
    <t>0009-F</t>
  </si>
  <si>
    <t>SR 15A</t>
  </si>
  <si>
    <t>0.63 miles W. of US 17</t>
  </si>
  <si>
    <t>US 17/92/Taylor to New Hampshire Ave.</t>
  </si>
  <si>
    <t>Urban Minor Arterial</t>
  </si>
  <si>
    <t>New Hampshire Ave. to Beresford Ave.</t>
  </si>
  <si>
    <t>0.08 miles S. of SR 44</t>
  </si>
  <si>
    <t>Beresford Ave. to SR 44/New York Ave.</t>
  </si>
  <si>
    <t>0.048 miles N. of SR 44</t>
  </si>
  <si>
    <t>0.332 miles N. of Plymouth Ave.</t>
  </si>
  <si>
    <t>Plymouth Ave. to CR 92</t>
  </si>
  <si>
    <t>1.517 miles S. of US 17</t>
  </si>
  <si>
    <t>CR 92 to Glenwood Rd.</t>
  </si>
  <si>
    <t>0.216 miles S. of US 17</t>
  </si>
  <si>
    <t>Glenwood Rd. to US 17</t>
  </si>
  <si>
    <t>SR 40</t>
  </si>
  <si>
    <t>0.046 miles E. of Alice Dr.</t>
  </si>
  <si>
    <t>Lake County to Emporia Rd.</t>
  </si>
  <si>
    <t>0.055 miles E. of CR 3</t>
  </si>
  <si>
    <t>Emporia Rd. to US 17</t>
  </si>
  <si>
    <t>0.65 miles E. of US 17</t>
  </si>
  <si>
    <t>US 17 to SR 11</t>
  </si>
  <si>
    <t>SR 11 to Pinto Lane</t>
  </si>
  <si>
    <t>1.971 miles W. of I-95</t>
  </si>
  <si>
    <t>Pinto Lane to Rima Ridge Rd (urban boundary)</t>
  </si>
  <si>
    <t>0.22 miles W. of I-95</t>
  </si>
  <si>
    <t>Rima Ridge Rd to Tymber Creek Rd.</t>
  </si>
  <si>
    <t>Tymber Creek Rd. to I-95</t>
  </si>
  <si>
    <t>1.29 miles W. of SR 5A/Nova Rd.</t>
  </si>
  <si>
    <t>I-95 to Clyde Morris Blvd.</t>
  </si>
  <si>
    <t>0.19 miles W. of SR 5A/Nova Rd.</t>
  </si>
  <si>
    <t>Clyde Morris Blvd. to SR 5A/Nova Rd.</t>
  </si>
  <si>
    <t>0.45 miles E. of SR 5A/Nova Rd.</t>
  </si>
  <si>
    <t>SR5A/Nova Rd. to US 1</t>
  </si>
  <si>
    <t>0.55 miles W. of SR A1A</t>
  </si>
  <si>
    <t>US 1 to Halifax Ave.</t>
  </si>
  <si>
    <t>0.08 miles W. of SR A1A</t>
  </si>
  <si>
    <t>Halifax Ave. to SR A1A</t>
  </si>
  <si>
    <t>UA_S2WAC2_2W_4L_U_WL</t>
  </si>
  <si>
    <t>SR 44</t>
  </si>
  <si>
    <t>0.064 miles E. of Lake Co.</t>
  </si>
  <si>
    <t>Lake Co. to Shell Rd.</t>
  </si>
  <si>
    <t>Shell Rd. to Grand Ave.</t>
  </si>
  <si>
    <t>0133 miles E. of Grand Ave.</t>
  </si>
  <si>
    <t>Grand Ave. to Old New York/Hazen Rd.</t>
  </si>
  <si>
    <t>0.114 miles E. of Old New York</t>
  </si>
  <si>
    <t>Old New York/Hazen Rd. to SR 15A/Spring Garden Ave.</t>
  </si>
  <si>
    <t>0.015 miles E. of SR 15A</t>
  </si>
  <si>
    <t>SR 15A/Spring Garden Ave. to Stone St.</t>
  </si>
  <si>
    <t>UA_S2WAC2_2W_2L_U_WL</t>
  </si>
  <si>
    <t>UA_SSAC1_2W_2L_U_WL</t>
  </si>
  <si>
    <t>0.599 miles E. of SR 15A</t>
  </si>
  <si>
    <t>Stone St. to Clara Ave.</t>
  </si>
  <si>
    <t>35-40</t>
  </si>
  <si>
    <t>0.031 miles W. of US 17/92</t>
  </si>
  <si>
    <t>Clara Ave. to Amelia Ave.</t>
  </si>
  <si>
    <t>25-35</t>
  </si>
  <si>
    <t>1.31 miles E. of US 17/92</t>
  </si>
  <si>
    <t>Amelia Ave. to Hill Ave.</t>
  </si>
  <si>
    <t>35/40/45</t>
  </si>
  <si>
    <t>1.5 miles E. of US 17/92</t>
  </si>
  <si>
    <t>Hill Ave. to Blue Lake Ave.</t>
  </si>
  <si>
    <t>0.18 miles W. of Kepler Rd.</t>
  </si>
  <si>
    <t>Blue Lake Ave. to Kepler Rd.</t>
  </si>
  <si>
    <t>0.122 miles W. of Summit Ave.</t>
  </si>
  <si>
    <t>Kepler Rd. to Summit Ave.</t>
  </si>
  <si>
    <t>45-50</t>
  </si>
  <si>
    <t>0.154 miles E. of Summit Ave.</t>
  </si>
  <si>
    <t>Summit Ave. to I-4</t>
  </si>
  <si>
    <t>0.63 miles E. of I-4</t>
  </si>
  <si>
    <t>I-4 to Prevatt Ave.</t>
  </si>
  <si>
    <t>TA_UFH_2W_4L_D_WL</t>
  </si>
  <si>
    <t>Prevatt Ave. to Pioneer Tr.</t>
  </si>
  <si>
    <t>0.25 miles W. of SR 415</t>
  </si>
  <si>
    <t>Pioneer Tr. to SR 415/CR 415</t>
  </si>
  <si>
    <t>0.25 miles E. of SR 415</t>
  </si>
  <si>
    <t>SR 415/CR 415 to Samsula Dr.</t>
  </si>
  <si>
    <t>1.39 miles E. of SR 415</t>
  </si>
  <si>
    <t>Samsula Dr. to Airport Rd</t>
  </si>
  <si>
    <t>0.30 miles W. of Canal Street (Bus 44)</t>
  </si>
  <si>
    <t>I-95 to Mission Dr</t>
  </si>
  <si>
    <t>0.25 miles W. of US 1</t>
  </si>
  <si>
    <t>Mission Dr. to Live Oak</t>
  </si>
  <si>
    <t>SR 44/SR A1A/S Causeway</t>
  </si>
  <si>
    <t>0.73 miles E. of US 1</t>
  </si>
  <si>
    <t>Live Oak to Peninsula Ave.</t>
  </si>
  <si>
    <t>1.54 miles E. of US 1 Overpass</t>
  </si>
  <si>
    <t>Peninsula Ave. to Saxon Dr.</t>
  </si>
  <si>
    <t>SR 44/SR A1A/3rd Ave/Atlantic</t>
  </si>
  <si>
    <t>2.08 miles SE. of US 1 Overpass</t>
  </si>
  <si>
    <t>Saxon Dr. to 6th Ave</t>
  </si>
  <si>
    <t>UA_S2WAC1_2W_4L_U_WL</t>
  </si>
  <si>
    <t xml:space="preserve">SR 44 (Business) - Canal St. </t>
  </si>
  <si>
    <t>0.083 miles E. of SR 44</t>
  </si>
  <si>
    <t>SR 44/Lytle St to Pioneer Trail</t>
  </si>
  <si>
    <t>Minor Arterial - Urban</t>
  </si>
  <si>
    <t>0.3 miles W. of US 1</t>
  </si>
  <si>
    <t>Pioneer Tr. to US 1</t>
  </si>
  <si>
    <t>SR 46</t>
  </si>
  <si>
    <t>2.00 miles W. of I-95</t>
  </si>
  <si>
    <t>Seminole Co. to Brevard Co.</t>
  </si>
  <si>
    <t>0416-B</t>
  </si>
  <si>
    <t>Rural Minor Arterial</t>
  </si>
  <si>
    <t xml:space="preserve"> </t>
  </si>
  <si>
    <t>SR 400 - Beville Rd.</t>
  </si>
  <si>
    <t>0.40 miles W. of SR 483/Clyde Morris Blvd.</t>
  </si>
  <si>
    <t>Williamson Blvd. to SR 483/Clyde Morris Blvd.</t>
  </si>
  <si>
    <t>0.27 miles E. of SR 483/Clyde Morris Blvd.</t>
  </si>
  <si>
    <t>0.06 miles W. of US 1</t>
  </si>
  <si>
    <t>SR 5A/Nova Rd. to US 1</t>
  </si>
  <si>
    <t>SR 415</t>
  </si>
  <si>
    <t>0.48 miles NE of Seminole Co.</t>
  </si>
  <si>
    <t>Seminole Co. to Enterprise-Osteen Rd.</t>
  </si>
  <si>
    <t>Minor Arterial - Urban/Rural</t>
  </si>
  <si>
    <t>0.284 miles N. of Doyle Rd.</t>
  </si>
  <si>
    <t>Enterprise-Osteen Rd. to Howland Blvd.</t>
  </si>
  <si>
    <t>0.127 miles N. of Howland Blvd.</t>
  </si>
  <si>
    <t>Howland Blvd. to Acorn Lake Rd</t>
  </si>
  <si>
    <t>0.20 miles S. of SR 44</t>
  </si>
  <si>
    <t>Acorn Lake Rd to SR 44</t>
  </si>
  <si>
    <t>Minor Arterial - Rural</t>
  </si>
  <si>
    <t>SR 421 - Dunlawton Ave.</t>
  </si>
  <si>
    <t>0.348 miles E. of  I-95</t>
  </si>
  <si>
    <t>Williamson to Clyde Morris Blvd.</t>
  </si>
  <si>
    <t>0.376 miles W. of SR 5A/Nova Rd.</t>
  </si>
  <si>
    <t>0.275 miles E. of SR 5A/Nova Rd.</t>
  </si>
  <si>
    <t>SR5A/Nova Rd. to Spruce Creek Rd.</t>
  </si>
  <si>
    <t>0.36 miles W. of US 1</t>
  </si>
  <si>
    <t>Spruce Creek Rd. to US 1</t>
  </si>
  <si>
    <t>SR 430 - Mason Ave.</t>
  </si>
  <si>
    <t>0.077 miles W. of N. Beach St.</t>
  </si>
  <si>
    <t>UA_S2WAC1_2W_4L_U_0L</t>
  </si>
  <si>
    <t>UA_S2WAC2_2W_4L_U_0L</t>
  </si>
  <si>
    <t>UA_SSAC2_2W_4L_U_0L</t>
  </si>
  <si>
    <t>SR 430 - Oakridge Blvd. - EB</t>
  </si>
  <si>
    <t>0.008 miles E. N. Beach St.</t>
  </si>
  <si>
    <t>Beach St. to Peninsula Dr</t>
  </si>
  <si>
    <t>5196E</t>
  </si>
  <si>
    <t>UA_S2WAC1_1W_2L_D_WL</t>
  </si>
  <si>
    <t>UA_SSAC1_1W_2L_D_WL</t>
  </si>
  <si>
    <t>0.043 miles W. of SR A1A</t>
  </si>
  <si>
    <t>Peninsula Dr to SR A1A/Atlantic</t>
  </si>
  <si>
    <t>SR 430 - Seabreeze Bridge - WB</t>
  </si>
  <si>
    <t>5196W</t>
  </si>
  <si>
    <t>0.018 miles W. of SR A1A</t>
  </si>
  <si>
    <t>UA_SSAC2_1W_2L_D_WL</t>
  </si>
  <si>
    <t>SR 441 - Peninsula Dr.</t>
  </si>
  <si>
    <t>2.324 miles NW. of SR A1A</t>
  </si>
  <si>
    <t>SR A1A/Dunlawton to Florida Shores</t>
  </si>
  <si>
    <t>0.73 miles S. of US 92</t>
  </si>
  <si>
    <t>SR 442 - Indian River Blvd.</t>
  </si>
  <si>
    <t>0.26 miles E. of  I-95</t>
  </si>
  <si>
    <t>I-95 to Air Park Rd.</t>
  </si>
  <si>
    <t>0.042 miles W. of US 1</t>
  </si>
  <si>
    <t>Air Park Rd. to US 1</t>
  </si>
  <si>
    <t>SR 472</t>
  </si>
  <si>
    <t>0.542 miles SE of US 17/92</t>
  </si>
  <si>
    <t>US 17/92 to CR 4101/MLK Blvd</t>
  </si>
  <si>
    <t>0.315 miles E. of MLK Blvd.</t>
  </si>
  <si>
    <t>CR 4101/MLK Blvd to I-4 (end of state road)</t>
  </si>
  <si>
    <t>SR 483 - Clyde Morris Blvd.</t>
  </si>
  <si>
    <t>0.88 miles N. of  I-4</t>
  </si>
  <si>
    <t>SR 400/Beville Rd. to Aviation Ctr Pkwy/Bellevue</t>
  </si>
  <si>
    <t>UA_SSAC1_2W_4L_U_WL</t>
  </si>
  <si>
    <t>Aviation Ctr Pkwy/Bellevue to US 92/ISB</t>
  </si>
  <si>
    <t>0.255 miles S. of SR 430/Mason Ave.</t>
  </si>
  <si>
    <t>6th St.</t>
  </si>
  <si>
    <t>W. of Nova Rd.</t>
  </si>
  <si>
    <t>Derbyshire Rd. to SR 5A/Nova Rd</t>
  </si>
  <si>
    <t>County</t>
  </si>
  <si>
    <t>UA_NSOSRS_2W_2L_U_0L</t>
  </si>
  <si>
    <t>UA_OCCRAC1_2W_2L_U_0L</t>
  </si>
  <si>
    <t>UA_NSSRC2_2W_2L_U_0L</t>
  </si>
  <si>
    <t>Urban Collector</t>
  </si>
  <si>
    <t xml:space="preserve">Minor Collector - Urban </t>
  </si>
  <si>
    <t>13th St.</t>
  </si>
  <si>
    <t>Adelle Ave.</t>
  </si>
  <si>
    <t>S. of New Hampshire Ave.</t>
  </si>
  <si>
    <t>SR 15A to New Hampshire Ave</t>
  </si>
  <si>
    <t>Local</t>
  </si>
  <si>
    <t>S. of Beresford Ave.</t>
  </si>
  <si>
    <t>New Hampshire Ave to Beresford Ave</t>
  </si>
  <si>
    <t>Air Park Rd.</t>
  </si>
  <si>
    <t>N. of SR 442</t>
  </si>
  <si>
    <t>Ragis Rd. to SR 442</t>
  </si>
  <si>
    <t>UA_UFH_2W_2L_U_0L</t>
  </si>
  <si>
    <t>n/c</t>
  </si>
  <si>
    <t>S. of Park Ave.</t>
  </si>
  <si>
    <t>Park Ave. to Ragis Rd</t>
  </si>
  <si>
    <t>Airport Rd. (OB)</t>
  </si>
  <si>
    <t>E. of Tymber Creek Rd.</t>
  </si>
  <si>
    <t>Tymber Creek Rd. to Pineland Tr.</t>
  </si>
  <si>
    <t xml:space="preserve">Major Collector - Urban </t>
  </si>
  <si>
    <t>S. of Sunshine Blvd.</t>
  </si>
  <si>
    <t>Pineland Tr. to Sunshine Blvd.</t>
  </si>
  <si>
    <t>W. of US1</t>
  </si>
  <si>
    <t>Sunshine Blvd. to US 1</t>
  </si>
  <si>
    <t>Airport Rd. (PO)</t>
  </si>
  <si>
    <t>N. of Pioneer Tr.</t>
  </si>
  <si>
    <t>Williamson Blvd to Pioneer Tr.</t>
  </si>
  <si>
    <t>UA_NSMCRS_2W_2L_U_WL</t>
  </si>
  <si>
    <t>Airport Rd. (NSB)</t>
  </si>
  <si>
    <t>Pioneer Tr. to Luna Bella Ln</t>
  </si>
  <si>
    <t>UA_UFH_2W_2L_D_WL</t>
  </si>
  <si>
    <t>Luna Bella Ln to SR 44</t>
  </si>
  <si>
    <t>Amelia Ave.</t>
  </si>
  <si>
    <t>S. of Ohio Ave.</t>
  </si>
  <si>
    <t xml:space="preserve">SR 44 to Ohio Ave. </t>
  </si>
  <si>
    <t>UA_NSOSRS_2W_4L_U_WL</t>
  </si>
  <si>
    <t>UA_MCCRAC2_2W_4L_U_0L</t>
  </si>
  <si>
    <t>UA_NSSRC2_2W_4L_U_0L</t>
  </si>
  <si>
    <t>S. of Minnesota Ave.</t>
  </si>
  <si>
    <t>Ohio Ave. to Minnesota Ave.</t>
  </si>
  <si>
    <t>UA_NSOSRS_2W_2L_U_WL</t>
  </si>
  <si>
    <t>UA_MCCRAC1_2W_2L_U_0L</t>
  </si>
  <si>
    <t>N. of Minnesota Ave.</t>
  </si>
  <si>
    <t>Minnesota Ave. to Plymouth Ave.</t>
  </si>
  <si>
    <t>UA_MCCRAC1_2W_2L_U_WL</t>
  </si>
  <si>
    <t>UA_NSSRC2_2W_2L_U_WL</t>
  </si>
  <si>
    <t>S. of US 92</t>
  </si>
  <si>
    <t>Plymouth Ave. to US 92</t>
  </si>
  <si>
    <t>Ariel Rd.</t>
  </si>
  <si>
    <t>W. of US 1</t>
  </si>
  <si>
    <t>Beacon Light Rd. to US 1</t>
  </si>
  <si>
    <t>TA_NSOSRS_2W_2L_U_0L</t>
  </si>
  <si>
    <t>TA_OCCRAC1_2W_2L_U_0L</t>
  </si>
  <si>
    <t>Rural Local</t>
  </si>
  <si>
    <t>Arredondo Grant Rd.</t>
  </si>
  <si>
    <t>E. of Spring Garden Ranch Rd.</t>
  </si>
  <si>
    <t>Spring Garden Ranch Rd. to James St.</t>
  </si>
  <si>
    <t>Rural Major Collector &amp; Urban Collector</t>
  </si>
  <si>
    <t xml:space="preserve">Major Collector - Urban/Rural </t>
  </si>
  <si>
    <t>W. of SR 11</t>
  </si>
  <si>
    <t>James St. to SR 11</t>
  </si>
  <si>
    <t>Rural Collector</t>
  </si>
  <si>
    <t>Major Collector - Rural</t>
  </si>
  <si>
    <t>Atlantic Ave. (PI)</t>
  </si>
  <si>
    <t>N. of Beach St.</t>
  </si>
  <si>
    <t>Beach St. to Major St</t>
  </si>
  <si>
    <t>Atlantic Ave. (DBS)</t>
  </si>
  <si>
    <t>S. of Marcelle Ave.</t>
  </si>
  <si>
    <t>Major St to Marcelle Ave.</t>
  </si>
  <si>
    <t>S. of Phillis Ave.</t>
  </si>
  <si>
    <t xml:space="preserve">Marcelle Ave. to Phillis Ave. </t>
  </si>
  <si>
    <t>UA_NSOSRS_2W_2L_D_WL</t>
  </si>
  <si>
    <t>UA_MCCRAC1_2W_2L_D_WL</t>
  </si>
  <si>
    <t>UA_NSSRC2_2W_2L_D_WL</t>
  </si>
  <si>
    <t>S. of Dunlawton/SR A1A</t>
  </si>
  <si>
    <t>Phillis Ave. to SR A1A/Dunlawton Ave</t>
  </si>
  <si>
    <t>UA_NSOSRS_2W_4L_D_WL</t>
  </si>
  <si>
    <t>UA_MCCRAC1_2W_4L_D_WL</t>
  </si>
  <si>
    <t>UA_NSSRC2_2W_4L_D_WL</t>
  </si>
  <si>
    <t>Atlantic Ave/Turtle Mound Rd.</t>
  </si>
  <si>
    <t>N. of Kingfish Ave.</t>
  </si>
  <si>
    <t>Canaveral Nat'l Park to Turtle Mound Rd.</t>
  </si>
  <si>
    <t>UA_NSMCRS_2W_2L_U_0L</t>
  </si>
  <si>
    <t>UA_NSSRC1_2W_2L_U_0L</t>
  </si>
  <si>
    <t>S. of Saxon Dr.</t>
  </si>
  <si>
    <t xml:space="preserve">Turtle Mound Rd. to Saxon Dr. </t>
  </si>
  <si>
    <t>UA_NSSRC1_2W_2L_U_WL</t>
  </si>
  <si>
    <t>S. of Hiles Blvd.</t>
  </si>
  <si>
    <t>Saxon Dr to Hiles Blvd.</t>
  </si>
  <si>
    <t>S. of 27th Ave.</t>
  </si>
  <si>
    <t>Hiles Blvd. to 27th Ave.</t>
  </si>
  <si>
    <t>S. of 6th Ave.</t>
  </si>
  <si>
    <t>27th Ave. to 6th Ave.</t>
  </si>
  <si>
    <t>UA_NSMCRS_2W_4L_D_WL</t>
  </si>
  <si>
    <t>UA_NSSRC1_2W_4L_D_WL</t>
  </si>
  <si>
    <t>Beach/Riverside/Beach (OB)</t>
  </si>
  <si>
    <t>S. of SR 40</t>
  </si>
  <si>
    <t>Division Ave. to SR 40</t>
  </si>
  <si>
    <t>N. of Hernandez Ave.</t>
  </si>
  <si>
    <t>SR 40 to Wilmette Ave.</t>
  </si>
  <si>
    <t>S. of Domicilio Ave.</t>
  </si>
  <si>
    <t>Wilmette Ave. to Inglesa Ave.</t>
  </si>
  <si>
    <t>N. of Oak Forest Dr.</t>
  </si>
  <si>
    <t>Inglesa Ave to Pine Tree Dr.</t>
  </si>
  <si>
    <t>Beacon Light Rd.</t>
  </si>
  <si>
    <t>N. of Halifax Ave.</t>
  </si>
  <si>
    <t>Halifax Ave. to Ariel Rd.</t>
  </si>
  <si>
    <t xml:space="preserve">Minor Collector - Rural </t>
  </si>
  <si>
    <t>S. of Volco Rd.</t>
  </si>
  <si>
    <t>Ariel Rd. to Volco Rd.</t>
  </si>
  <si>
    <t>TA_MCCRAC1_2W_2L_U_0L</t>
  </si>
  <si>
    <t>Bellevue Ave. Extension</t>
  </si>
  <si>
    <t>W. of Williamson Blvd.</t>
  </si>
  <si>
    <t>CR 415/Tomoka Farms Rd  to Williamson Blvd.</t>
  </si>
  <si>
    <t>W. of Clyde Morris Blvd.</t>
  </si>
  <si>
    <t>Williamson Blvd to SR 483/Clyde Morris Blvd.</t>
  </si>
  <si>
    <t>Beresford Ave.</t>
  </si>
  <si>
    <t>E. of Ridgewood Ave.</t>
  </si>
  <si>
    <r>
      <t xml:space="preserve">Beresford Rd. to </t>
    </r>
    <r>
      <rPr>
        <sz val="10"/>
        <rFont val="Arial"/>
        <family val="2"/>
      </rPr>
      <t>Fatio Rd</t>
    </r>
  </si>
  <si>
    <t>W. of Spring Garden Ave.</t>
  </si>
  <si>
    <t>Fatio Rd. to SR 15A</t>
  </si>
  <si>
    <t>W. of US 17/92</t>
  </si>
  <si>
    <t>SR 15A to US 17/92</t>
  </si>
  <si>
    <t>E. of US 17/92</t>
  </si>
  <si>
    <r>
      <t xml:space="preserve">US 17/92 to </t>
    </r>
    <r>
      <rPr>
        <sz val="10"/>
        <rFont val="Arial"/>
        <family val="2"/>
      </rPr>
      <t>Amelia Ave</t>
    </r>
  </si>
  <si>
    <t>E. of Amelia Ave.</t>
  </si>
  <si>
    <r>
      <t xml:space="preserve">Amelia Ave. to </t>
    </r>
    <r>
      <rPr>
        <sz val="10"/>
        <rFont val="Arial"/>
        <family val="2"/>
      </rPr>
      <t>Hill Ave.</t>
    </r>
  </si>
  <si>
    <t>UA_NSSRC1_2W_2L_D_WL</t>
  </si>
  <si>
    <t>E. of Hill Ave.</t>
  </si>
  <si>
    <r>
      <t xml:space="preserve">Hill Ave. to </t>
    </r>
    <r>
      <rPr>
        <sz val="10"/>
        <rFont val="Arial"/>
        <family val="2"/>
      </rPr>
      <t>Blue Lake Ave.</t>
    </r>
  </si>
  <si>
    <t>E. of Blue Lake Ave.</t>
  </si>
  <si>
    <t>Blue Lake Ave. to MLK (Kepler Rd.)</t>
  </si>
  <si>
    <t>Future Rd-171</t>
  </si>
  <si>
    <t>Future - Major Collector - Urban</t>
  </si>
  <si>
    <t>W. of Summit Ave.</t>
  </si>
  <si>
    <r>
      <t xml:space="preserve">MLK (Kepler Rd.) to </t>
    </r>
    <r>
      <rPr>
        <sz val="10"/>
        <rFont val="Arial"/>
        <family val="2"/>
      </rPr>
      <t>SR 44</t>
    </r>
  </si>
  <si>
    <t>Future Rd-172</t>
  </si>
  <si>
    <t>Beresford Rd.</t>
  </si>
  <si>
    <t>W. of SR 15A</t>
  </si>
  <si>
    <t>SR 15A to Spring Garden Ave.</t>
  </si>
  <si>
    <t>Spring Garden Ave. to Fatio Rd.</t>
  </si>
  <si>
    <t>N. of 90 Degree Curve</t>
  </si>
  <si>
    <t>Fatio Rd.. to Beresford Ave</t>
  </si>
  <si>
    <t>Rural Minor Collector</t>
  </si>
  <si>
    <t>S. of Old New York Ave.</t>
  </si>
  <si>
    <t>Beresford Ave. to Old New York Ave.</t>
  </si>
  <si>
    <t>Big Tree Rd.</t>
  </si>
  <si>
    <r>
      <t xml:space="preserve">Clyde Morris Blvd. to </t>
    </r>
    <r>
      <rPr>
        <sz val="10"/>
        <rFont val="Arial"/>
        <family val="2"/>
      </rPr>
      <t>Nova Rd.</t>
    </r>
  </si>
  <si>
    <t>E. of Nova Rd.</t>
  </si>
  <si>
    <r>
      <t xml:space="preserve">Nova Rd. to </t>
    </r>
    <r>
      <rPr>
        <sz val="10"/>
        <rFont val="Arial"/>
        <family val="2"/>
      </rPr>
      <t>Magnolia Ave.</t>
    </r>
  </si>
  <si>
    <t>E. of Magnolia Ave.</t>
  </si>
  <si>
    <t>Magnolia Ave. to Kenilworth Ave.</t>
  </si>
  <si>
    <t>Kenilworth Ave. to US 1</t>
  </si>
  <si>
    <t>Blackburn Rd.</t>
  </si>
  <si>
    <t>S. of CR 3</t>
  </si>
  <si>
    <t>CR 3 to Emporia Rd</t>
  </si>
  <si>
    <t>Minor Collector - Rural</t>
  </si>
  <si>
    <t>Blackwelder Rd.</t>
  </si>
  <si>
    <t>Lake Winona Rd. to SR 11</t>
  </si>
  <si>
    <t>Blue Lake Ave.</t>
  </si>
  <si>
    <t>S. of Taylor Rd.</t>
  </si>
  <si>
    <t>SR 472 to Orange Camp Rd</t>
  </si>
  <si>
    <t>Future Rd-230</t>
  </si>
  <si>
    <t>Orange Camp Rd. to Taylor Rd.</t>
  </si>
  <si>
    <t>N. of Taylor Rd.</t>
  </si>
  <si>
    <t>Taylor Rd. to Beresford Ave.</t>
  </si>
  <si>
    <t>N. of Beresford Ave.</t>
  </si>
  <si>
    <t>Beresford Ave. to Voorhis Ave.</t>
  </si>
  <si>
    <t>S. of SR 44</t>
  </si>
  <si>
    <t>Voorhis Ave. to SR 44</t>
  </si>
  <si>
    <t>N. of SR 44</t>
  </si>
  <si>
    <t>SR 44 to Minnesota Ave.</t>
  </si>
  <si>
    <t>Blue Springs Av (West)</t>
  </si>
  <si>
    <t>W. of Sparkman Drive</t>
  </si>
  <si>
    <t>Sparkman Dr to Lawton Dr</t>
  </si>
  <si>
    <t>Brownlee Rd.</t>
  </si>
  <si>
    <t>N. of Raulerson Rd.</t>
  </si>
  <si>
    <t>Raulerson Rd. #1 to Raulerson Rd.</t>
  </si>
  <si>
    <t>Cardinal Blvd.</t>
  </si>
  <si>
    <t>S of Demotte Ave.</t>
  </si>
  <si>
    <t>SR 421/Dunlawton Ave. to Demotte Ave</t>
  </si>
  <si>
    <t>Demotte Ave. to Marcelle Ave</t>
  </si>
  <si>
    <t>S Of Marcelle Ave.</t>
  </si>
  <si>
    <r>
      <t xml:space="preserve">Marcelle Ave </t>
    </r>
    <r>
      <rPr>
        <sz val="10"/>
        <rFont val="Arial"/>
        <family val="2"/>
      </rPr>
      <t>to Major St.</t>
    </r>
  </si>
  <si>
    <t>Carter Rd.</t>
  </si>
  <si>
    <t>E. of SR 11</t>
  </si>
  <si>
    <r>
      <t xml:space="preserve">SR 11 to </t>
    </r>
    <r>
      <rPr>
        <sz val="10"/>
        <rFont val="Arial"/>
        <family val="2"/>
      </rPr>
      <t>Marsh Rd.</t>
    </r>
  </si>
  <si>
    <t>Cassadaga Rd.</t>
  </si>
  <si>
    <t>E. of West Volusia Bltwy./Dr MLK Jr.</t>
  </si>
  <si>
    <t>W. Volusia Bltwy. to Macy Ave.</t>
  </si>
  <si>
    <t>Clara Ave.</t>
  </si>
  <si>
    <t>SR 15A to New Hampshire Ave.</t>
  </si>
  <si>
    <t>Clifton Rd.</t>
  </si>
  <si>
    <t>Clyde Morris Blvd.</t>
  </si>
  <si>
    <t>Taylor Rd. to SR 421/Dunlawton Ave</t>
  </si>
  <si>
    <t>N. of Dunlawton Ave./SR 421</t>
  </si>
  <si>
    <t>SR 421/Dunlawton Ave. to Willow Run Blvd.</t>
  </si>
  <si>
    <t>UA_NSMCRS_2W_4L_U_WL</t>
  </si>
  <si>
    <t>S. of Herbert St.</t>
  </si>
  <si>
    <t>Willow Run Blvd. to Madeline Ave.</t>
  </si>
  <si>
    <t>S. of Big Tree Rd.</t>
  </si>
  <si>
    <t>Madeline Ave. to Big Tree Rd.</t>
  </si>
  <si>
    <t>S. of Beville Rd.</t>
  </si>
  <si>
    <t>Big Tree Rd. to SR 400/Beville Rd.</t>
  </si>
  <si>
    <t>UA_NSSRC1_2W_4L_U_WL</t>
  </si>
  <si>
    <t>N. of Mason Ave.</t>
  </si>
  <si>
    <t>SR 430/Mason Ave. to Bill France Blvd.</t>
  </si>
  <si>
    <t>S. of LPGA Blvd.</t>
  </si>
  <si>
    <t>Bill France Blvd. to LPGA Blvd.</t>
  </si>
  <si>
    <t>N. of LPGA Blvd.</t>
  </si>
  <si>
    <t>Hand Ave to SR 40/Granada Blvd.</t>
  </si>
  <si>
    <t>UA_MCCRAC2_2W_4L_D_WL</t>
  </si>
  <si>
    <t>Commonwealth Blvd.</t>
  </si>
  <si>
    <t>E. of Spruce Creek Rd.</t>
  </si>
  <si>
    <t>Spruce Creek Rd. to Orange Ave.</t>
  </si>
  <si>
    <t>Urban Local</t>
  </si>
  <si>
    <t>Orange Ave. to US 1</t>
  </si>
  <si>
    <t>CR 3</t>
  </si>
  <si>
    <t>N. of Lake Winona Rd.</t>
  </si>
  <si>
    <t>Ponce DeLeon Blvd. to Lake Winona Rd.</t>
  </si>
  <si>
    <t>TA_NSMCRS_2W_2L_U_0L</t>
  </si>
  <si>
    <t>RDA_UFH_2W_2L_U_0L</t>
  </si>
  <si>
    <t>N. of Emporia Rd.</t>
  </si>
  <si>
    <t>SR 40 to Emporia Rd</t>
  </si>
  <si>
    <t>N. of North Rd.</t>
  </si>
  <si>
    <t>Emporia Rd to Washington Ave.</t>
  </si>
  <si>
    <t>N. of Washington Ave.</t>
  </si>
  <si>
    <t>Washington Ave. to 'US 17</t>
  </si>
  <si>
    <t>CR 15A</t>
  </si>
  <si>
    <t>N. of US 17</t>
  </si>
  <si>
    <t>US 17 to Airport Rd.</t>
  </si>
  <si>
    <t>Airport Rd. to SR 11</t>
  </si>
  <si>
    <t>CR 92 (Intn'l Spdwy Blvd.)</t>
  </si>
  <si>
    <t>E. of SR 15A</t>
  </si>
  <si>
    <t>SR 15A to Stone St.</t>
  </si>
  <si>
    <t>W. of  US 17/92</t>
  </si>
  <si>
    <r>
      <t>Stone St. to</t>
    </r>
    <r>
      <rPr>
        <sz val="10"/>
        <rFont val="Arial"/>
        <family val="2"/>
      </rPr>
      <t xml:space="preserve"> US 17/92</t>
    </r>
  </si>
  <si>
    <t>CR 305 (Bunnell Rd.)</t>
  </si>
  <si>
    <t>E. of US 17</t>
  </si>
  <si>
    <t>US 17 to Cowart Rd.</t>
  </si>
  <si>
    <t>W. of McGlon Rd.</t>
  </si>
  <si>
    <t>Cowart Rd. to Flagler Co.</t>
  </si>
  <si>
    <t>Cow Creek Rd.</t>
  </si>
  <si>
    <t>S. of SR 442/Indian River Blvd.</t>
  </si>
  <si>
    <t>SR 442 to Volco Rd.</t>
  </si>
  <si>
    <t>Cowart Rd.</t>
  </si>
  <si>
    <t>S. of Bunnell Rd./CR 305</t>
  </si>
  <si>
    <t>Bunnell Rd to Little Brown Church Rd.</t>
  </si>
  <si>
    <t>Daugharty Rd. (S. End)</t>
  </si>
  <si>
    <t>N. of SR 11</t>
  </si>
  <si>
    <r>
      <t>Marsh Rd. to</t>
    </r>
    <r>
      <rPr>
        <sz val="10"/>
        <rFont val="Arial"/>
        <family val="2"/>
      </rPr>
      <t xml:space="preserve"> SR 11</t>
    </r>
  </si>
  <si>
    <t>Daugharty Rd.</t>
  </si>
  <si>
    <t>N. of Marsh Rd.</t>
  </si>
  <si>
    <t>Demotte Ave.</t>
  </si>
  <si>
    <t>W. of Cardinal Blvd.</t>
  </si>
  <si>
    <t>Peninsula Dr. to Cardinal Blvd</t>
  </si>
  <si>
    <t>25</t>
  </si>
  <si>
    <t>Derbyshire Rd.</t>
  </si>
  <si>
    <t>LPGA Blvd. to Flomich St.</t>
  </si>
  <si>
    <t>Dirksen/DeBary/Doyle</t>
  </si>
  <si>
    <t>US 17/92 to Sunrise Blvd.</t>
  </si>
  <si>
    <t>W. of WB I-4 Ramps</t>
  </si>
  <si>
    <t>Sunrise Blvd to WB I-4 Ramps</t>
  </si>
  <si>
    <t>E. of WB I-4 Ramps</t>
  </si>
  <si>
    <t>WB I-4 Ramps to EB I-4 Ramps</t>
  </si>
  <si>
    <t>UA_MCCRAC3_2W_4L_D_WL</t>
  </si>
  <si>
    <t>E. of EB I-4 Ramps</t>
  </si>
  <si>
    <t>I-4 to Deltona Blvd.</t>
  </si>
  <si>
    <t>E. of Deltona Blvd.</t>
  </si>
  <si>
    <t>Deltona Blvd. to Enterprise St.</t>
  </si>
  <si>
    <t>W. of Main St.</t>
  </si>
  <si>
    <t>Enterprise St. to Main St.</t>
  </si>
  <si>
    <t>UA_MCCRAC2_2W_2L_U_WL</t>
  </si>
  <si>
    <t>W. of Providence Blvd.</t>
  </si>
  <si>
    <t>Main St. to Providence Blvd.</t>
  </si>
  <si>
    <t>E. of Providence Blvd.</t>
  </si>
  <si>
    <t>Providence Blvd. to Garfield Rd.</t>
  </si>
  <si>
    <t>W. of Saxon Blvd.</t>
  </si>
  <si>
    <t>Garfield Rd. to Saxon Blvd.</t>
  </si>
  <si>
    <t>E. of Saxon Blvd.</t>
  </si>
  <si>
    <t>Saxon Blvd. to Courtland Blvd.</t>
  </si>
  <si>
    <t>E. of Courtland Blvd.</t>
  </si>
  <si>
    <t>Courtland Blvd. to SR 415</t>
  </si>
  <si>
    <t>Dunn/George Engram/Fairview/Main</t>
  </si>
  <si>
    <t>LPGA Blvd to Tomoka Farms Rd</t>
  </si>
  <si>
    <t>Future Road</t>
  </si>
  <si>
    <t xml:space="preserve">future-Major Collector - Urban </t>
  </si>
  <si>
    <t>Tomoka Farms Rd. to Williamson Blvd.</t>
  </si>
  <si>
    <t>Bill France Blvd. to Clyde Morris Blvd.</t>
  </si>
  <si>
    <t>E. of US 1</t>
  </si>
  <si>
    <t>US 1 to Beach St</t>
  </si>
  <si>
    <t>W. of Halifax Ave.</t>
  </si>
  <si>
    <t>Beach St. to Peninsula Dr.</t>
  </si>
  <si>
    <t>Emporia Rd.</t>
  </si>
  <si>
    <t>N. of SR 40</t>
  </si>
  <si>
    <t>SR 40 to Peterson/Blackburn</t>
  </si>
  <si>
    <t>W. of US 17</t>
  </si>
  <si>
    <r>
      <t xml:space="preserve">Peterson/Blackburn to </t>
    </r>
    <r>
      <rPr>
        <sz val="10"/>
        <rFont val="Arial"/>
        <family val="2"/>
      </rPr>
      <t>US 17</t>
    </r>
  </si>
  <si>
    <t>Enterprise Ave. (NSB)</t>
  </si>
  <si>
    <t>E. of Pioneer Trail</t>
  </si>
  <si>
    <t>Pioneer Tr. to Halleck St.</t>
  </si>
  <si>
    <t>Enterprise Rd.</t>
  </si>
  <si>
    <t>S. of Deltona Blvd.</t>
  </si>
  <si>
    <t xml:space="preserve">DeBary Ave. to Deltona Blvd. </t>
  </si>
  <si>
    <t>S. of Highbanks Rd.</t>
  </si>
  <si>
    <t>Deltona Blvd. to Highbanks Rd.</t>
  </si>
  <si>
    <t>S. of Saxon Blvd.</t>
  </si>
  <si>
    <t>Highbanks Rd. to Saxon Blvd.</t>
  </si>
  <si>
    <t>N. of Saxon Blvd.</t>
  </si>
  <si>
    <t>Saxon Blvd. to Harley Strickland Blvd.</t>
  </si>
  <si>
    <t>S. of Grand Plaza Dr.</t>
  </si>
  <si>
    <t>Harley Strickland Blvd. to US 17/92</t>
  </si>
  <si>
    <t>Enterprise-Osteen Rd.</t>
  </si>
  <si>
    <t>W. of Stone Island Rd.</t>
  </si>
  <si>
    <t>Providence to Garfield Rd</t>
  </si>
  <si>
    <t>Minor Collector - Urban</t>
  </si>
  <si>
    <t>E. of Stone Island Rd.</t>
  </si>
  <si>
    <t>Garfield Rd to Reed Ellis Rd.</t>
  </si>
  <si>
    <t>W. of Courtland Blvd.</t>
  </si>
  <si>
    <t>Reed Ellis Rd. to SR 415</t>
  </si>
  <si>
    <t>Euclid Ave.</t>
  </si>
  <si>
    <t>Grand to Fatio Rd.</t>
  </si>
  <si>
    <t>W. of Woodward Ave.</t>
  </si>
  <si>
    <t>Fatio Rd. to Woodward Ave.</t>
  </si>
  <si>
    <t>Woodward Ave. to SR 15A</t>
  </si>
  <si>
    <t>SR 15A to Adelle Ave.</t>
  </si>
  <si>
    <t>Adelle Ave. to US 17/92</t>
  </si>
  <si>
    <t>Flomich St.</t>
  </si>
  <si>
    <t>Derbyshire Rd. to SR 5A/Nova Rd.</t>
  </si>
  <si>
    <t>Major Collector - Urban</t>
  </si>
  <si>
    <t>French Ave.</t>
  </si>
  <si>
    <t>W. of Blue Springs Park Entrance</t>
  </si>
  <si>
    <t>Beginning of road to Blue Springs Park</t>
  </si>
  <si>
    <t>E. of Blue Springs Park Entrance</t>
  </si>
  <si>
    <t>Blue Springs Park to Lawton Ave./Hamilton</t>
  </si>
  <si>
    <t>Garfield Ave.</t>
  </si>
  <si>
    <t>SR 44 to Plymouth Ave.</t>
  </si>
  <si>
    <t>N. of Plymouth Ave.</t>
  </si>
  <si>
    <t>Garfield Rd.</t>
  </si>
  <si>
    <t>S. of Doyle Rd.</t>
  </si>
  <si>
    <t>Doyle Rd. to Enterprise-Osteen Rd</t>
  </si>
  <si>
    <t>Glencoe Rd.</t>
  </si>
  <si>
    <t>Taylor Rd. to Paige Ave.</t>
  </si>
  <si>
    <t>Paige Ave. to SR 44</t>
  </si>
  <si>
    <t>SR 44 to Pioneer Tr.</t>
  </si>
  <si>
    <t>Glenwood Rd.</t>
  </si>
  <si>
    <t>Grand Ave. to SR 15A</t>
  </si>
  <si>
    <t>SR 15A to US 17</t>
  </si>
  <si>
    <t xml:space="preserve">Grand Av/CR 4053 </t>
  </si>
  <si>
    <t>Old New York Ave. to SR 44</t>
  </si>
  <si>
    <t>S. of Plymouth Ave.</t>
  </si>
  <si>
    <t>Plymouth Ave. to Glenwood Rd.</t>
  </si>
  <si>
    <t>Rural Major Collector</t>
  </si>
  <si>
    <t>N. of Glenwood Rd.</t>
  </si>
  <si>
    <t>Glenwood Rd. to Lemon St.</t>
  </si>
  <si>
    <t>N. of Lemon Ave.</t>
  </si>
  <si>
    <t>Lemon St. to Retta St.</t>
  </si>
  <si>
    <t>Graves Av/CR 4145</t>
  </si>
  <si>
    <t>W. of Kentucky Ave.</t>
  </si>
  <si>
    <t>Veteran's Memorial Pkwy. to Kentucky Ave.</t>
  </si>
  <si>
    <t>UA_MCCRAC2_2W_2L_D_WL</t>
  </si>
  <si>
    <t>E. of Kentucky Ave.</t>
  </si>
  <si>
    <t>Kentucky Ave. to Normandy Blvd.</t>
  </si>
  <si>
    <t>900a</t>
  </si>
  <si>
    <t>Normandy Blvd. to Howland Blvd.</t>
  </si>
  <si>
    <t>900b</t>
  </si>
  <si>
    <t>Greens Dairy Rd.</t>
  </si>
  <si>
    <t>Halleck St. (NSB)</t>
  </si>
  <si>
    <t>S. of Wayne Ave.</t>
  </si>
  <si>
    <t>Wayne Ave. to Enterprise Ave.</t>
  </si>
  <si>
    <t>Hand Ave.</t>
  </si>
  <si>
    <t>E. of Williamson Blvd.</t>
  </si>
  <si>
    <t>Williamson Blvd. to Clyde Morris Blvd.</t>
  </si>
  <si>
    <t>E. of Clyde Morris Blvd.</t>
  </si>
  <si>
    <t>Clyde Morris Blvd. to Shangri La Dr.</t>
  </si>
  <si>
    <t>W. of SR 5A/Nova Rd.</t>
  </si>
  <si>
    <t>Shangri La Dr. to SR 5A/Nova Rd.</t>
  </si>
  <si>
    <t>Hazen Rd.</t>
  </si>
  <si>
    <t>Plymouth Ave. to Mercers Fernery Rd.</t>
  </si>
  <si>
    <t>Highbridge Rd.</t>
  </si>
  <si>
    <t>W. of John Anderson Dr.</t>
  </si>
  <si>
    <t>Walter Boardman Ln. to John Anderson Dr.</t>
  </si>
  <si>
    <t>E. of John Anderson Dr.</t>
  </si>
  <si>
    <t>John Anderson Dr. to SR A1A</t>
  </si>
  <si>
    <t>Hill Ave.</t>
  </si>
  <si>
    <t>S. of Voorhis Ave.</t>
  </si>
  <si>
    <t>N. of Voorhis Ave.</t>
  </si>
  <si>
    <t>Hill Ave./Jacobs Rd.</t>
  </si>
  <si>
    <t>Hontoon Rd.</t>
  </si>
  <si>
    <t>S. of St. Johns Rd.</t>
  </si>
  <si>
    <t>end of road to Botts Landing Rd.</t>
  </si>
  <si>
    <t>Botts Landing Rd. to Old New York Ave.</t>
  </si>
  <si>
    <t>Howland Blvd.</t>
  </si>
  <si>
    <t>W. of Wolf Pack Run</t>
  </si>
  <si>
    <t>I-4/SR 472 to Wolf Pack Run</t>
  </si>
  <si>
    <t>W. of Catalina Blvd.</t>
  </si>
  <si>
    <t>Wolf Pack Run to Catalina Blvd.</t>
  </si>
  <si>
    <t>Catalina Blvd. to Providence Blvd.</t>
  </si>
  <si>
    <t>Providence Blvd. to Elkcam Blvd.</t>
  </si>
  <si>
    <t>E. of Elkcam Blvd.</t>
  </si>
  <si>
    <t>Elkcam Blvd. to Lake Helen-Osteen Rd.</t>
  </si>
  <si>
    <t>45/40</t>
  </si>
  <si>
    <t>E. of Lake Helen-Osteen Rd.</t>
  </si>
  <si>
    <t>Lake Helen-Osteen Rd. to Newmark Dr.</t>
  </si>
  <si>
    <t>E. of Newmark Dr.</t>
  </si>
  <si>
    <t>Newmark Dr. to Courtland Blvd.</t>
  </si>
  <si>
    <t>Courtland Blvd. to  Ft Smith Blvd.</t>
  </si>
  <si>
    <t>S. of Fort Smith Blvd.</t>
  </si>
  <si>
    <t>Ft Smith Blvd. to SR 415</t>
  </si>
  <si>
    <t>I-4 Frontage Rd.</t>
  </si>
  <si>
    <t>Summit Ave. to Orange Camp Rd.</t>
  </si>
  <si>
    <t>Future Road-2 lanes</t>
  </si>
  <si>
    <t>Orange Campe Rd. to Cassadaga Rd.</t>
  </si>
  <si>
    <t>Future Road-4 lanes</t>
  </si>
  <si>
    <t>Cassadaga Rd. to SR 472</t>
  </si>
  <si>
    <t>Indian Lake Rd.</t>
  </si>
  <si>
    <t>N. of Old DeLand Rd.</t>
  </si>
  <si>
    <t>Tiger Bay Rd. to US 92</t>
  </si>
  <si>
    <t>John Anderson Dr.</t>
  </si>
  <si>
    <t>N. of Halifax Dr.</t>
  </si>
  <si>
    <t>Halifax Dr to Lynnhurst</t>
  </si>
  <si>
    <t>N. of Palm Dr.</t>
  </si>
  <si>
    <t>Lynnhurst to Highbridge Rd.</t>
  </si>
  <si>
    <t>John Anderson Hwy.</t>
  </si>
  <si>
    <t>N. of Highbridge Rd.</t>
  </si>
  <si>
    <t>Walter Boardman Lane to Flagler Co.</t>
  </si>
  <si>
    <t>45 NB / 30 SB</t>
  </si>
  <si>
    <t>Josephine St./10th St.</t>
  </si>
  <si>
    <t>E. of Old Mission Rd.</t>
  </si>
  <si>
    <t>Old Mission Rd. to Tatum Blvd.</t>
  </si>
  <si>
    <t>Josephine St./10th St. (NSB)</t>
  </si>
  <si>
    <t>E. of Myrtle Rd.</t>
  </si>
  <si>
    <t>Tatum Blvd. to US 1</t>
  </si>
  <si>
    <t xml:space="preserve">Kathy Dr. (N. Penin.) </t>
  </si>
  <si>
    <t>W. of SR A1A</t>
  </si>
  <si>
    <t>Kennedy Pkwy (Old SR 3)</t>
  </si>
  <si>
    <t>S. of US 1</t>
  </si>
  <si>
    <t>US 1 to Park Entrance</t>
  </si>
  <si>
    <t> 798158</t>
  </si>
  <si>
    <t>Federal</t>
  </si>
  <si>
    <t>Kicklighter Rd.</t>
  </si>
  <si>
    <t>W. of Lake Helen-Osteen Rd.</t>
  </si>
  <si>
    <t>Macy Ave. to Lake Helen-Osteen/Prevatt</t>
  </si>
  <si>
    <t>Lake George Rd.</t>
  </si>
  <si>
    <t>Bream Dr. to US 17</t>
  </si>
  <si>
    <t>Lake Helen-Osteen Rd.</t>
  </si>
  <si>
    <t>N. of Howland Blvd.</t>
  </si>
  <si>
    <t>Howland Blvd. to Elkcam Blvd.</t>
  </si>
  <si>
    <t>N. of Elkcam Blvd.</t>
  </si>
  <si>
    <t>Elkcam Blvd. to Haulover Blvd.</t>
  </si>
  <si>
    <t>S. of Catalina Blvd.</t>
  </si>
  <si>
    <t>Haulover Blvd. to Catalina Blvd.</t>
  </si>
  <si>
    <t>N. of Catalina Blvd.</t>
  </si>
  <si>
    <t>Catalina Blvd. to Captain Dr</t>
  </si>
  <si>
    <t>S. of Kicklighter Rd.</t>
  </si>
  <si>
    <t>Captain Dr. to Kicklighter Rd.</t>
  </si>
  <si>
    <t>Prevatt Ave.</t>
  </si>
  <si>
    <t>N. of Ohio Ave.</t>
  </si>
  <si>
    <t>Kicklighter Rd to Lake Pearl Dr.</t>
  </si>
  <si>
    <t>Lake Pearl Dr. to SR 44</t>
  </si>
  <si>
    <t>TA_NSOSRS_2W_2L_U_WL</t>
  </si>
  <si>
    <t>TA_MCCRAC1_2W_2L_U_WL</t>
  </si>
  <si>
    <t>Lake Winona Rd.</t>
  </si>
  <si>
    <t>N. of CR 3</t>
  </si>
  <si>
    <t>CR 3 to US 17</t>
  </si>
  <si>
    <t>US 17 to Blackwelder Rd.</t>
  </si>
  <si>
    <t>N. of Blackwelder Rd.</t>
  </si>
  <si>
    <t>Blackwelder Rd. to SR 40</t>
  </si>
  <si>
    <t>Children's Way/Lakeshore Dr.</t>
  </si>
  <si>
    <t>E. of Main St.</t>
  </si>
  <si>
    <t>Lakeshore Dr.</t>
  </si>
  <si>
    <t>Providence Blvd. to Garfield Rd</t>
  </si>
  <si>
    <t>Lakeview Dr. (LH)</t>
  </si>
  <si>
    <t>Ohio Ave. to Main St.</t>
  </si>
  <si>
    <t>S. of New York Ave.</t>
  </si>
  <si>
    <t>Main St. to New York Ave.</t>
  </si>
  <si>
    <t>Lemon Bluff Rd.</t>
  </si>
  <si>
    <t>E. of Duren Ave.</t>
  </si>
  <si>
    <t>SR 415 to  end of road</t>
  </si>
  <si>
    <t>Little Brown Church Rd.</t>
  </si>
  <si>
    <t>LPGA Blvd. (DB)</t>
  </si>
  <si>
    <t>Tomoka Farms Rd. to US 92</t>
  </si>
  <si>
    <t>Future Rd</t>
  </si>
  <si>
    <t>RDA_NSSRS_2W_2L_U_WL</t>
  </si>
  <si>
    <t>Future-Minor Arterial - Urban</t>
  </si>
  <si>
    <t>N. of US 92</t>
  </si>
  <si>
    <t>US 92 to International Golf Dr</t>
  </si>
  <si>
    <t>W. of Champions Dr.</t>
  </si>
  <si>
    <t>International Golf Dr  to Tymber Creek Rd.</t>
  </si>
  <si>
    <t>Tymber Creek Rd  to Tomoka Farms Rd.</t>
  </si>
  <si>
    <t>Tomoka Farms Rd to I-95</t>
  </si>
  <si>
    <t>1133a</t>
  </si>
  <si>
    <t>I-95 to Technology/Outlet</t>
  </si>
  <si>
    <r>
      <t>1133b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-</t>
    </r>
    <r>
      <rPr>
        <b/>
        <sz val="10"/>
        <color indexed="10"/>
        <rFont val="Arial"/>
        <family val="2"/>
      </rPr>
      <t>NEW</t>
    </r>
  </si>
  <si>
    <t>UA_NSSRC1_2W_6L_D_WL</t>
  </si>
  <si>
    <t>Technology/Outlet to Williamson Blvd.</t>
  </si>
  <si>
    <r>
      <t>1133c</t>
    </r>
    <r>
      <rPr>
        <sz val="10"/>
        <rFont val="Arial"/>
        <family val="2"/>
      </rPr>
      <t xml:space="preserve"> -</t>
    </r>
    <r>
      <rPr>
        <b/>
        <sz val="10"/>
        <color indexed="10"/>
        <rFont val="Arial"/>
        <family val="2"/>
      </rPr>
      <t>NEW</t>
    </r>
  </si>
  <si>
    <t>W. of Jimmy Ann Dr.</t>
  </si>
  <si>
    <t>Clyde Morris Blvd. to Jimmy Ann Dr.</t>
  </si>
  <si>
    <t>E. of Jimmy Ann Dr.</t>
  </si>
  <si>
    <t>Jimmy Ann Dr. to  Derbyshire Rd.</t>
  </si>
  <si>
    <t>LPGA Blvd. (CO)</t>
  </si>
  <si>
    <t>E. of Derbyshire Rd.</t>
  </si>
  <si>
    <t>Derbyshire Rd. to SR5A/Nova Rd.</t>
  </si>
  <si>
    <t>LPGA Blvd. (HH)</t>
  </si>
  <si>
    <t>Macy Ave.</t>
  </si>
  <si>
    <t>S. of Ohio St.</t>
  </si>
  <si>
    <t>Ohio St. to Cassadaga Rd.</t>
  </si>
  <si>
    <t>Madeline Ave. (PO)</t>
  </si>
  <si>
    <t>Williamson Blvd. to Clyde Morris Blvd</t>
  </si>
  <si>
    <t>PO1304</t>
  </si>
  <si>
    <t>Main St. (Enterprise)</t>
  </si>
  <si>
    <t>N. of DeBary Ave.</t>
  </si>
  <si>
    <t>Jacob Brock Ave to DeBary Ave.</t>
  </si>
  <si>
    <t>S. of DeBary Ave.</t>
  </si>
  <si>
    <t>DeBary Ave. to Lakeshore Dr.</t>
  </si>
  <si>
    <t>Main St. (Lake Helen)</t>
  </si>
  <si>
    <t>I-4 to Lakeview Dr.</t>
  </si>
  <si>
    <t>Marsh Rd.</t>
  </si>
  <si>
    <t>US 92 to Carter Rd.</t>
  </si>
  <si>
    <t>S. of Daugharty Rd.</t>
  </si>
  <si>
    <t>Carter Rd. to Daugharty Rd.</t>
  </si>
  <si>
    <t>RDA_NSSRS_2W_2L_U_0L</t>
  </si>
  <si>
    <t>Mason Ave.</t>
  </si>
  <si>
    <t>Williamson Blvd. to Fentress Blvd.</t>
  </si>
  <si>
    <t>W. of Bill France Blvd.</t>
  </si>
  <si>
    <t>Fentress Blvd. to Bill France Blvd.</t>
  </si>
  <si>
    <t>Bill France Blvd. to Jimmy Ann Dr.</t>
  </si>
  <si>
    <t>Jimmy Ann Dr. to SR 483/Clyde Morris Blvd</t>
  </si>
  <si>
    <t>Maytown Rd.</t>
  </si>
  <si>
    <t>W. of Dixon Lake Rd.</t>
  </si>
  <si>
    <t>SR 415/New Smyrna Blvd. to Pell Rd.</t>
  </si>
  <si>
    <t>Yes - Future</t>
  </si>
  <si>
    <t>E. of Pell Rd.</t>
  </si>
  <si>
    <t>Pell Rd. to Beacon Light Rd.</t>
  </si>
  <si>
    <t>Maytown Rd./Halifax Ave. (OH)</t>
  </si>
  <si>
    <t>McBride Rd.</t>
  </si>
  <si>
    <t>N. of Lake George Rd.</t>
  </si>
  <si>
    <t>US 17 to Lake George Rd.</t>
  </si>
  <si>
    <t>McGregor Rd.</t>
  </si>
  <si>
    <t>Westside Con./Fatio to Spring Garden Ave.</t>
  </si>
  <si>
    <t>Spring Garden Ave. to  US17/92</t>
  </si>
  <si>
    <t>Mercers Fernery Rd.</t>
  </si>
  <si>
    <t>Glenwood Rd. to SR 15A</t>
  </si>
  <si>
    <t>Midway Ave.</t>
  </si>
  <si>
    <t>E Of Williamson Blvd.</t>
  </si>
  <si>
    <t>Williamson Blvd. to US 92</t>
  </si>
  <si>
    <t>Minnesota Ave. (Orange City)</t>
  </si>
  <si>
    <t>Sparkman Ave. to US 17/92</t>
  </si>
  <si>
    <t>US 17/92 to Leavitt Ave.</t>
  </si>
  <si>
    <t>W. of SR 472</t>
  </si>
  <si>
    <t>Leavitt Ave. to SR 472</t>
  </si>
  <si>
    <t>Minnesota Ave. (DeLand)</t>
  </si>
  <si>
    <t>W. of Hill Ave.</t>
  </si>
  <si>
    <t>Amelia Ave. to Hill Ave</t>
  </si>
  <si>
    <t>W. of Kepler Rd.</t>
  </si>
  <si>
    <t>New Hampshire Ave.</t>
  </si>
  <si>
    <t>SR 15A to Adelle Ave</t>
  </si>
  <si>
    <t>W. of Clara Ave.</t>
  </si>
  <si>
    <t>Adelle Ave to Clara Ave.</t>
  </si>
  <si>
    <t>Clara Ave. to US 17/92</t>
  </si>
  <si>
    <t>New York Ave. (Orange City)</t>
  </si>
  <si>
    <t>W. of Sparkman Ave.</t>
  </si>
  <si>
    <r>
      <t xml:space="preserve">Westside Pkwy/Hamilton Ave. to </t>
    </r>
    <r>
      <rPr>
        <sz val="10"/>
        <rFont val="Arial"/>
        <family val="2"/>
      </rPr>
      <t>Sparkman Ave</t>
    </r>
  </si>
  <si>
    <t>W. of Carpenter Ave.</t>
  </si>
  <si>
    <r>
      <t xml:space="preserve">Sparkman Ave. to </t>
    </r>
    <r>
      <rPr>
        <sz val="10"/>
        <rFont val="Arial"/>
        <family val="2"/>
      </rPr>
      <t>Carpenter Ave</t>
    </r>
  </si>
  <si>
    <t>Carpenter Ave. to US 17/92</t>
  </si>
  <si>
    <t>New York Ave. (Lake Helen)</t>
  </si>
  <si>
    <t>E. of Summit Ave.</t>
  </si>
  <si>
    <t>Summit Ave. to Lakeview Dr.</t>
  </si>
  <si>
    <t>Ohio Ave. (LH)</t>
  </si>
  <si>
    <t>E. of Macy Ave.</t>
  </si>
  <si>
    <t>Macy Ave. to Lakeview Dr.</t>
  </si>
  <si>
    <t>Old Dixie Hwy.</t>
  </si>
  <si>
    <t>S. of Pine Tree Dr.</t>
  </si>
  <si>
    <t>Ingelsia to  Pine Tree Dr.</t>
  </si>
  <si>
    <t>Rural Major Collector &amp; Urban Minor Arterial</t>
  </si>
  <si>
    <t>S. of Walter Boardman Ln.</t>
  </si>
  <si>
    <t>Pine Tree Dr. to Walter Boardman Ln.</t>
  </si>
  <si>
    <t>W. of Walter Boardman Ln.</t>
  </si>
  <si>
    <t>Walter Boardman Ln. to Old Kings Rd.</t>
  </si>
  <si>
    <t>E. of NB I-95 Ramps</t>
  </si>
  <si>
    <t>Old Kings Rd. to I-95</t>
  </si>
  <si>
    <t>Old Kings Rd.</t>
  </si>
  <si>
    <t>N. of Old Dixie Hwy.</t>
  </si>
  <si>
    <t>Old Dixie Hwy. to Flagler Co.</t>
  </si>
  <si>
    <t>Old Mission Rd.</t>
  </si>
  <si>
    <t>E. of Mission Dr./Old Mission Rd.</t>
  </si>
  <si>
    <t>SR 44/Mission Dr. to Old Mission Rd</t>
  </si>
  <si>
    <t>Old New York Ave.</t>
  </si>
  <si>
    <t>W. of Hontoon Rd.</t>
  </si>
  <si>
    <t>SR 44 to Hontoon Rd.</t>
  </si>
  <si>
    <t>E. of Hontoon Rd.</t>
  </si>
  <si>
    <t>Hontoon Rd. to Lakeview Dr.</t>
  </si>
  <si>
    <t>W. of Grand Ave.</t>
  </si>
  <si>
    <t>Lakeview Dr. to Grand Ave.</t>
  </si>
  <si>
    <t>Grand Ave. to SR 44</t>
  </si>
  <si>
    <t>Orange/Silver Beach  Ave.</t>
  </si>
  <si>
    <t>W. of Beach St.</t>
  </si>
  <si>
    <t>E. of Beach St.</t>
  </si>
  <si>
    <t>Beach St. to City Island Pkwy.</t>
  </si>
  <si>
    <t>W. of Peninsula Dr.</t>
  </si>
  <si>
    <t>City Island Pkwy. to Peninsula Dr.</t>
  </si>
  <si>
    <t>E. of Peninsula Dr.</t>
  </si>
  <si>
    <t>Peninsula Dr. to SR A1A</t>
  </si>
  <si>
    <t>Orange Camp Rd.</t>
  </si>
  <si>
    <t>US 17/92 to Princeton</t>
  </si>
  <si>
    <t>W. of Blue Lake Ave.</t>
  </si>
  <si>
    <t>Princeton. to Blue Lake Ave.</t>
  </si>
  <si>
    <t>W. of West Volusia Beltway</t>
  </si>
  <si>
    <t>Blue Lake Ave. to W Volusia Bltwy. (Dr MLK Jr)</t>
  </si>
  <si>
    <t>E. of West Volusia Beltway</t>
  </si>
  <si>
    <t>W Volusia Bltwy. (Dr MLK Jr) to I-4</t>
  </si>
  <si>
    <t>Palm Dr.</t>
  </si>
  <si>
    <t>Park Ave.</t>
  </si>
  <si>
    <t>Old Mission Rd. to Air Park Rd.</t>
  </si>
  <si>
    <t>TA_NSOSRS_2W_2L_D_WL</t>
  </si>
  <si>
    <t>Peninsula Dr. - South (PI)</t>
  </si>
  <si>
    <t>Inlet Harbor Rd to Major St.</t>
  </si>
  <si>
    <t>Peninsula Dr. - South</t>
  </si>
  <si>
    <t>Major St. to Marcelle Ave.</t>
  </si>
  <si>
    <t>S. of Dunlawton Ave.</t>
  </si>
  <si>
    <t>Marcelle Ave to SR 421/Dunlawton Ave.</t>
  </si>
  <si>
    <t>Peterson Rd.</t>
  </si>
  <si>
    <t>W. of Emporia/Blackburn Rd.</t>
  </si>
  <si>
    <t>Riley Pridgeon Rd. to Emporia/Blackburn Rd.</t>
  </si>
  <si>
    <t>Pineland Tr.</t>
  </si>
  <si>
    <t>S. of Broadway Ave.</t>
  </si>
  <si>
    <t>Harmony Ave. to US 1</t>
  </si>
  <si>
    <t>Pine Tree Dr.</t>
  </si>
  <si>
    <t>US 1 to Addison Dr</t>
  </si>
  <si>
    <t>E. of Village Dr.</t>
  </si>
  <si>
    <t>Addison Dr. to Old Dixie Hwy</t>
  </si>
  <si>
    <t>Pioneer Tr.</t>
  </si>
  <si>
    <t>W. of Tomoka Farms Rd.</t>
  </si>
  <si>
    <t>SR 44 to Tomoka Farms Rd.</t>
  </si>
  <si>
    <t>E. of Samsula Rd.</t>
  </si>
  <si>
    <t>Tomoka Farms Rd. Airport Rd.</t>
  </si>
  <si>
    <t>W. of Turnbull Bay Rd.</t>
  </si>
  <si>
    <t>Airport Rd. to Turnbull Bay Rd.</t>
  </si>
  <si>
    <t>W. of Sugar Mill Dr.</t>
  </si>
  <si>
    <t>Turnbull Bay Rd. to Sugar Mill Dr</t>
  </si>
  <si>
    <t>W. of Williams Rd.</t>
  </si>
  <si>
    <t>Sugar Mill Dr. to Williams Rd.</t>
  </si>
  <si>
    <t>W. of Enterprise Ave.</t>
  </si>
  <si>
    <t>Williams Rd. to Enterprise Ave</t>
  </si>
  <si>
    <t>S. of Enterprise Ave.</t>
  </si>
  <si>
    <t>Enterprise Ave. to Jungle Rd</t>
  </si>
  <si>
    <t>N. of SR 44/Canal St.</t>
  </si>
  <si>
    <t>Jungle Rd to Canal St.</t>
  </si>
  <si>
    <t>Wallace Rd.</t>
  </si>
  <si>
    <t>Canal St to SR 44</t>
  </si>
  <si>
    <t>Mission Dr.</t>
  </si>
  <si>
    <t>SR 44 to Old Mission Rd.</t>
  </si>
  <si>
    <t>Old Mission Rd./Mission Rd.</t>
  </si>
  <si>
    <t>N. of Josephine St.</t>
  </si>
  <si>
    <t>Old Mission Rd. to Josephine St.</t>
  </si>
  <si>
    <t>N. of Eslinger Rd.</t>
  </si>
  <si>
    <t>Josephine St. to Park Ave</t>
  </si>
  <si>
    <t>Park Ave. to SR 442</t>
  </si>
  <si>
    <t xml:space="preserve">Plaza Dr. (N. Penin.) </t>
  </si>
  <si>
    <t>John Anderson Dr.  to SR A1A</t>
  </si>
  <si>
    <t>Plymouth Ave.</t>
  </si>
  <si>
    <t>E. of Grand Ave.</t>
  </si>
  <si>
    <t>Grand Ave. to Hazen Rd.</t>
  </si>
  <si>
    <t>Hazen Rd. to SR 15A</t>
  </si>
  <si>
    <t>W. of Stone St.</t>
  </si>
  <si>
    <t>Stone St. to Clara Ave</t>
  </si>
  <si>
    <t>Clara Ave. to  US 17/92</t>
  </si>
  <si>
    <t>US 17/92 to Amelia Ave</t>
  </si>
  <si>
    <t>Amelia Ave. to Garfield Ave.</t>
  </si>
  <si>
    <t>E. of Garfield Ave.</t>
  </si>
  <si>
    <t>Garfield Ave. to Blue Lake Rd./Jacobs Dairy Rd</t>
  </si>
  <si>
    <t>Ponce DeLeon Blvd.</t>
  </si>
  <si>
    <t>Providence Blvd.</t>
  </si>
  <si>
    <t>N. of Doyle Rd.</t>
  </si>
  <si>
    <t>Doyle Rd. to Anderson Dr.</t>
  </si>
  <si>
    <t>S. of Normandy Blvd.</t>
  </si>
  <si>
    <t>Anderson Dr. to Normandy Blvd.</t>
  </si>
  <si>
    <t>N. of Normandy Blvd.</t>
  </si>
  <si>
    <t>Normandy Blvd to Saxon Blvd.</t>
  </si>
  <si>
    <t>S. of Tivoli Dr.</t>
  </si>
  <si>
    <t>Saxon Blvd. to Tivoli Dr.</t>
  </si>
  <si>
    <t>Tivoli Dr. to Ft Smith Blvd.</t>
  </si>
  <si>
    <t>S. of Elkcam Blvd.</t>
  </si>
  <si>
    <t xml:space="preserve">Ft Smith Blvd. to Elkcam Blvd. </t>
  </si>
  <si>
    <t>Elkcam Blvd. to Howland Blvd.</t>
  </si>
  <si>
    <t>Raulerson Rd. # 1</t>
  </si>
  <si>
    <t>US 17 to Brownlee Rd.</t>
  </si>
  <si>
    <t>Raulerson Rd.</t>
  </si>
  <si>
    <t>US 17 to Bunnell Rd./CR 305</t>
  </si>
  <si>
    <t>Reed Canal Rd.</t>
  </si>
  <si>
    <t>Clyde Morris Blvd. to SR5A/Nova Rd.</t>
  </si>
  <si>
    <t>SR5A/Nova Rd. to Sauls St.</t>
  </si>
  <si>
    <t>E. of Sauls St.</t>
  </si>
  <si>
    <t>Sauls St. to US 1</t>
  </si>
  <si>
    <t>Reed Ellis Rd.</t>
  </si>
  <si>
    <t>SE of Enterprise-Osteen Rd.</t>
  </si>
  <si>
    <t>Enterprise-Osteen Rd. to SR 415</t>
  </si>
  <si>
    <t>Retta St.</t>
  </si>
  <si>
    <t>Grand Ave. to US 17</t>
  </si>
  <si>
    <t>Reynolds Rd.</t>
  </si>
  <si>
    <t>Urban  &amp; Rural Local</t>
  </si>
  <si>
    <t>Minor Collector - Urban/Rural</t>
  </si>
  <si>
    <t>Rhode Island Ave.</t>
  </si>
  <si>
    <t>Westside Connector to Sparkman Ave</t>
  </si>
  <si>
    <t>Sparkman Ave to Carpenter Ave</t>
  </si>
  <si>
    <t>Carpenter Ave to US 17/92</t>
  </si>
  <si>
    <t>Veteran's Memorial Pkwy. to Normandy Blvd</t>
  </si>
  <si>
    <t xml:space="preserve">future Minor Collector - Urban </t>
  </si>
  <si>
    <t>Riley Pridgeon Rd.</t>
  </si>
  <si>
    <t>Peterson Rd. to SR 40</t>
  </si>
  <si>
    <t>River Dr.</t>
  </si>
  <si>
    <t>Urban  Local</t>
  </si>
  <si>
    <t>Samsula Dr.</t>
  </si>
  <si>
    <t>S. of Pioneer Tr.</t>
  </si>
  <si>
    <t>Pioneer Tr. to SR 44</t>
  </si>
  <si>
    <t>Sandra Dr.</t>
  </si>
  <si>
    <t>Saxon Blvd.</t>
  </si>
  <si>
    <t>Rail Station to Westside Connector</t>
  </si>
  <si>
    <t>Westside Connector to US 17/92</t>
  </si>
  <si>
    <t>W. of Enterprise Rd.</t>
  </si>
  <si>
    <t>US 17/92 to Enterprise Rd</t>
  </si>
  <si>
    <t>W. of Veterans Memorial Pkwy/Broward Av</t>
  </si>
  <si>
    <t>Enterprise Rd. to Veterans Memorial Pkwy.</t>
  </si>
  <si>
    <t>UA_MCCRAC2_2W_5L_D_WL</t>
  </si>
  <si>
    <t>E. of Veterans Memorial Pkwy/Broward Av</t>
  </si>
  <si>
    <t>VMP to FDOT Park &amp; Ride</t>
  </si>
  <si>
    <t>W. of I-4 Southbound Ramp</t>
  </si>
  <si>
    <t>FDOT Park &amp; Ride to I-4</t>
  </si>
  <si>
    <t>W. of Finland Dr.</t>
  </si>
  <si>
    <t>I-4 to Finland Dr.</t>
  </si>
  <si>
    <t>UA_NSSRC1_2W_5L_D_WL</t>
  </si>
  <si>
    <t>W. of Normandy Blvd. (N. End)</t>
  </si>
  <si>
    <t>Finland Dr. to Normandy Blvd.</t>
  </si>
  <si>
    <t>E. of Normandy Blvd. (N. End)</t>
  </si>
  <si>
    <t>Normandy Blvd. to Tivoli Dr.</t>
  </si>
  <si>
    <t>SE of Tivoli Dr.</t>
  </si>
  <si>
    <t>Tivoli Dr. to Providence Blvd.</t>
  </si>
  <si>
    <t>S. of Providence Blvd.</t>
  </si>
  <si>
    <t>Providence Blvd. to Normandy Blvd.</t>
  </si>
  <si>
    <t>Normandy Blvd. to Doyle Rd.</t>
  </si>
  <si>
    <t>Saxon Dr. (NSB)</t>
  </si>
  <si>
    <t>CR A1A to Hiles Blvd.</t>
  </si>
  <si>
    <t>S. of 3rd Ave./SR A1A</t>
  </si>
  <si>
    <t>27th Ave.  to 3rd Ave/SR A1A</t>
  </si>
  <si>
    <t>Sparkman Ave.</t>
  </si>
  <si>
    <t>S. of Blue Springs Ave.</t>
  </si>
  <si>
    <t>Rhode Island Ave. to Blue Springs Ave.</t>
  </si>
  <si>
    <t>N. of Blue Springs Ave.</t>
  </si>
  <si>
    <t>Blue Springs Ave. to French Ave.</t>
  </si>
  <si>
    <t>N. of French Ave.</t>
  </si>
  <si>
    <t>French Ave. to New York Ave. W.</t>
  </si>
  <si>
    <t>New York Ave. W. to Minnesota Ave.</t>
  </si>
  <si>
    <t>Spring Garden Ave.</t>
  </si>
  <si>
    <t>S. of Beresford Rd. West</t>
  </si>
  <si>
    <t>McGregor Rd. to Beresford Rd. West</t>
  </si>
  <si>
    <t>Beresford Rd. West to Beresford Ave.</t>
  </si>
  <si>
    <t>Spring Garden Ranch Rd.</t>
  </si>
  <si>
    <t xml:space="preserve">US 17 to Aragon Ave </t>
  </si>
  <si>
    <t>W. of Reynolds Rd.</t>
  </si>
  <si>
    <t>Aragon Ave to Arrendondo Grant/East Ave</t>
  </si>
  <si>
    <t>Major Collector - Urban/Rural</t>
  </si>
  <si>
    <t>Spruce Creek Rd.</t>
  </si>
  <si>
    <t>S. of Nova Rd.</t>
  </si>
  <si>
    <t>Taylor Rd. to SR5A/Nova Rd.</t>
  </si>
  <si>
    <t>N. of Nova Rd.</t>
  </si>
  <si>
    <t>SR5A/Nova Rd. to Commonwealth Blvd.</t>
  </si>
  <si>
    <t>Stone St.</t>
  </si>
  <si>
    <t>Plymouth Ave to CR 92/ISB</t>
  </si>
  <si>
    <t>S. of Mercers Fernery Rd.</t>
  </si>
  <si>
    <t>CR 92/ISB  to Mercers Fernery Rd</t>
  </si>
  <si>
    <t>Sugar Mill Dr.</t>
  </si>
  <si>
    <t>Summit Ave.</t>
  </si>
  <si>
    <t>SR 44 to Main St.</t>
  </si>
  <si>
    <t>Surfside Dr.</t>
  </si>
  <si>
    <t>Taylor Rd. (CO)</t>
  </si>
  <si>
    <t>E. of Tomoka Farms Rd.</t>
  </si>
  <si>
    <t>Tomoka Farms Rd. to Spruce Creek Blvd.</t>
  </si>
  <si>
    <t>Principal Arterial - Other -Urban</t>
  </si>
  <si>
    <t>E. of Spruce Creek Blvd.</t>
  </si>
  <si>
    <t>Spruce Creek Blvd. to Crane Lake Blvd.</t>
  </si>
  <si>
    <t>W. of Summer Tree Rd.</t>
  </si>
  <si>
    <t>Crane Lake Blvd. to Summertree Rd.</t>
  </si>
  <si>
    <t>E. of Summer Tree Rd.</t>
  </si>
  <si>
    <t>Summertree Rd. to Williamson Blvd.</t>
  </si>
  <si>
    <t>W. of SB I-95 Ramps</t>
  </si>
  <si>
    <t>Williamson Blvd. to I-95 (at Dunlawton Ave.)</t>
  </si>
  <si>
    <t>UA_MCCRAC3_2W_5L_D_WL</t>
  </si>
  <si>
    <t>Taylor Rd. (PO)</t>
  </si>
  <si>
    <t>SR 421/Dunlawton Ave. to Clyde Morris Blvd.</t>
  </si>
  <si>
    <t>Clyde Morris Blvd. to  Hensel Rd</t>
  </si>
  <si>
    <t>E. of Hensel Rd.</t>
  </si>
  <si>
    <t>Hensel Rd. Spruce Creek Rd.</t>
  </si>
  <si>
    <t>Taylor Rd. (DL)</t>
  </si>
  <si>
    <t>E. of Aquarius Ave.</t>
  </si>
  <si>
    <t>US 17/92 to Stratford Dr.</t>
  </si>
  <si>
    <t>Stratford Dr. to Blue Lake Ave.</t>
  </si>
  <si>
    <t>Blue Lake Ave. to Martin Luther King Bltwy.</t>
  </si>
  <si>
    <t>Taylor Rd. (NSB)</t>
  </si>
  <si>
    <t>W. of Mission Rd.</t>
  </si>
  <si>
    <t>Glencoe Rd. to Mission Rd</t>
  </si>
  <si>
    <t>Tomoka Farms Rd.</t>
  </si>
  <si>
    <t>SR 44 to Pioneer Tr</t>
  </si>
  <si>
    <t>Pioneer Tr to Taylor Rd.</t>
  </si>
  <si>
    <t xml:space="preserve"> Taylor Rd. to Townwest Blvd</t>
  </si>
  <si>
    <t>Townwest Blvd to Shunz Rd.</t>
  </si>
  <si>
    <t>Shunz Rd. to US 92/ISB</t>
  </si>
  <si>
    <t>US 92/ISB to Dunn Ave.</t>
  </si>
  <si>
    <t>Dunn Ave. to LPGA Blvd.</t>
  </si>
  <si>
    <t>Turnbull Bay Rd.</t>
  </si>
  <si>
    <t>N. of Williams Rd.</t>
  </si>
  <si>
    <t>Pioneer Tr. to Williams Rd.</t>
  </si>
  <si>
    <t>N. of Industrial Park Ave.</t>
  </si>
  <si>
    <t>Williams Rd. to Industrial Park Ave.</t>
  </si>
  <si>
    <t>Industrial Park Ave. to US 1</t>
  </si>
  <si>
    <t>Tymber Creek Rd.</t>
  </si>
  <si>
    <t>LPGA Blvd to Terminus</t>
  </si>
  <si>
    <t>NEW</t>
  </si>
  <si>
    <t xml:space="preserve">Yes </t>
  </si>
  <si>
    <t xml:space="preserve">Terminus to Riverbend Rd/Future Connection </t>
  </si>
  <si>
    <t>future 'Major Collector - Urban</t>
  </si>
  <si>
    <t>Riverbend Rd. to SR 40</t>
  </si>
  <si>
    <t xml:space="preserve">Local - future Major Collector - Urban </t>
  </si>
  <si>
    <t>SR 40 to Tymber Run</t>
  </si>
  <si>
    <t>S. of Airport Rd.</t>
  </si>
  <si>
    <t>Tymber Run to Airport Rd.</t>
  </si>
  <si>
    <t>N. of Airport Rd.</t>
  </si>
  <si>
    <t>Airport Rd to Broadway Ave./US 1</t>
  </si>
  <si>
    <t>Van Ave. (DBS)</t>
  </si>
  <si>
    <t>Volco Rd.</t>
  </si>
  <si>
    <t>Cow Creek Rd. to Beacon Light Rd.</t>
  </si>
  <si>
    <t>N. of Beacon Light Rd.</t>
  </si>
  <si>
    <t>Beacon Light Rd. to 35th St.</t>
  </si>
  <si>
    <t>Rural &amp; Urban  Local</t>
  </si>
  <si>
    <t>35th St. to US 1</t>
  </si>
  <si>
    <t>Voorhis Ave.</t>
  </si>
  <si>
    <t>W. of Amelia Ave.</t>
  </si>
  <si>
    <t>US 17/92 to Amelia Ave.</t>
  </si>
  <si>
    <t>W. of SR 44</t>
  </si>
  <si>
    <t>Blue Lake Ave. to SR 44</t>
  </si>
  <si>
    <t>Walter Boardman Ln.</t>
  </si>
  <si>
    <t>W. of Highbridge Rd.</t>
  </si>
  <si>
    <t>Old Dixie Hwy. to Highbridge Rd.</t>
  </si>
  <si>
    <t>TA_UFH_2W_2L_U_0L</t>
  </si>
  <si>
    <t>Wayne Ave. (NSB)</t>
  </si>
  <si>
    <t>E. of Halleck St</t>
  </si>
  <si>
    <t>Halleck St. to US 1</t>
  </si>
  <si>
    <t>Westside Parkway (new)</t>
  </si>
  <si>
    <t>DeBary Plantation Blvd. to Rhode Island Ave.</t>
  </si>
  <si>
    <t>Future Road-1974-</t>
  </si>
  <si>
    <t>Westside Parkway (Lawton Ave.)</t>
  </si>
  <si>
    <t>Rhode Island Ave. to French Ave.</t>
  </si>
  <si>
    <t>Future Road-1975-</t>
  </si>
  <si>
    <t>Westside Parkway (Hamilton Ave.)</t>
  </si>
  <si>
    <t>French Ave. to Hamilton Ave. (north end)</t>
  </si>
  <si>
    <t xml:space="preserve">Hamilton/Fatio. to McGregor Rd </t>
  </si>
  <si>
    <t>Future Road-1977-</t>
  </si>
  <si>
    <t>Westside Parkway (Fatio Rd.)</t>
  </si>
  <si>
    <t>N. of McGregor Rd.</t>
  </si>
  <si>
    <t>McGregor Rd. to Beresford Ave.</t>
  </si>
  <si>
    <t>Westside Parkway (new/Fatio)</t>
  </si>
  <si>
    <t>S. of Euclid Ave.</t>
  </si>
  <si>
    <t>Beresford Ave. to ex. termini south of SR 44</t>
  </si>
  <si>
    <t>W. Volusia Bltwy (Veteran's Memorial Pkwy)</t>
  </si>
  <si>
    <t>S. of Rhode Island Ave.</t>
  </si>
  <si>
    <t>Harley Strickland Blvd. to Rhode Island Ave.</t>
  </si>
  <si>
    <t>N. of Rhode Island Ave.</t>
  </si>
  <si>
    <t>W. Volusia Bltwy (Veteran's Memorial Pkwy Extension/Kentucky)</t>
  </si>
  <si>
    <t>N. of Graves Ave.</t>
  </si>
  <si>
    <t>Graves Ave to SR 472</t>
  </si>
  <si>
    <t>W. Volusia Bltwy (Dr MLK Jr)</t>
  </si>
  <si>
    <t>N. of SR 472</t>
  </si>
  <si>
    <t>SR 472 to Cassadaga Rd.</t>
  </si>
  <si>
    <t>S. of Orange Camp Rd.</t>
  </si>
  <si>
    <t>Cassadaga Rd. to Orange Camp Rd.</t>
  </si>
  <si>
    <t>N. of Orange Camp Rd.</t>
  </si>
  <si>
    <t>Taylor Rd. to Beresford Ave. Ext.</t>
  </si>
  <si>
    <t>W. Volusia Bltwy (Kepler Rd)</t>
  </si>
  <si>
    <t>Beresford Ave. Ext. to SR 44</t>
  </si>
  <si>
    <t>Minnesota Ave. to US 92/ISB</t>
  </si>
  <si>
    <t>Kepler Rd</t>
  </si>
  <si>
    <t>US 92/ISB to Northern terminus</t>
  </si>
  <si>
    <t>Williams Rd.</t>
  </si>
  <si>
    <t>Pioneer Tr. to Mooneyham Dr.</t>
  </si>
  <si>
    <t>S. of Turnbull Bay Rd.</t>
  </si>
  <si>
    <t>Mooneyham Dr. to Turnbull Bay Rd.</t>
  </si>
  <si>
    <t>Williamson Blvd.</t>
  </si>
  <si>
    <t>N. of Roscoe Turner Tr.</t>
  </si>
  <si>
    <t>Pioneer Trail to Oakwater Ln</t>
  </si>
  <si>
    <t>1987- NEW</t>
  </si>
  <si>
    <t>Oakwater Ln to Airport Rd</t>
  </si>
  <si>
    <t>Airport Rd to Spruce Creek Bridge</t>
  </si>
  <si>
    <t>Spruce Creek Bridge. to Taylor Rd</t>
  </si>
  <si>
    <t>Taylor Rd. to Townwest Blvd</t>
  </si>
  <si>
    <t>S. of Willow Run Blvd.</t>
  </si>
  <si>
    <t xml:space="preserve">Townwest Blvd to Willow Run Blvd. </t>
  </si>
  <si>
    <t>N. of Willow Run Blvd.</t>
  </si>
  <si>
    <t>Madeline Ave. to Willow Run Blvd.</t>
  </si>
  <si>
    <t>Madeline Ave. to SR400/Beville Rd.</t>
  </si>
  <si>
    <t>N. of Beville Rd.</t>
  </si>
  <si>
    <t>SR400/Beville Rd. to Bellevue Ave. Ext.</t>
  </si>
  <si>
    <t>N. of Bellevue Ave. Ext.</t>
  </si>
  <si>
    <t>Bellevue Ave. Ext. to Midway Ave.</t>
  </si>
  <si>
    <t>Midway Ave. to US 92/ISB</t>
  </si>
  <si>
    <t>S. of Mason Ave.</t>
  </si>
  <si>
    <t>Dunn Ave. to Mason Ave.</t>
  </si>
  <si>
    <t>Mason Ave. to LPGA Blvd.</t>
  </si>
  <si>
    <t>Hand Ave. to SR 40</t>
  </si>
  <si>
    <t>Woodward Ave.</t>
  </si>
  <si>
    <t>Euclid Ave. to SR 44</t>
  </si>
  <si>
    <t>Area Types</t>
  </si>
  <si>
    <t>Florida DOT</t>
  </si>
  <si>
    <t>UA</t>
  </si>
  <si>
    <t>= Urbanized Areas</t>
  </si>
  <si>
    <t>RDA</t>
  </si>
  <si>
    <t>= Rural Developed Areas</t>
  </si>
  <si>
    <t>Interstate Rds</t>
  </si>
  <si>
    <t>RUA</t>
  </si>
  <si>
    <t>= Rural Undeveloped Areas</t>
  </si>
  <si>
    <t>Non-Interstate Rds</t>
  </si>
  <si>
    <t>All State Rds  =</t>
  </si>
  <si>
    <t xml:space="preserve">TFare Rds  = </t>
  </si>
  <si>
    <t>Facility Types - Urban/Transitioning</t>
  </si>
  <si>
    <t>FWIS</t>
  </si>
  <si>
    <t>= Freeways - Interchange Spacing Group 1 (spacing &gt;= 2 miles apart)</t>
  </si>
  <si>
    <t>FW</t>
  </si>
  <si>
    <t>= Freeways - Transitioning &amp; Rural</t>
  </si>
  <si>
    <t>Total</t>
  </si>
  <si>
    <t>UFH</t>
  </si>
  <si>
    <t>= Uninterrupted Flow Highways</t>
  </si>
  <si>
    <t>SSAC1</t>
  </si>
  <si>
    <t xml:space="preserve">= State Signalized Arterial Class 1 </t>
  </si>
  <si>
    <t>VC Arterial</t>
  </si>
  <si>
    <t>SSAAC2</t>
  </si>
  <si>
    <t xml:space="preserve">= State Signalized Arterial Class 2 </t>
  </si>
  <si>
    <t>VC Collector</t>
  </si>
  <si>
    <t>Local-Future Rds</t>
  </si>
  <si>
    <t>NSSRC1</t>
  </si>
  <si>
    <t>= Non-State Signalized Road Class 1</t>
  </si>
  <si>
    <t>NSSRC2</t>
  </si>
  <si>
    <t>= Non-State Signalized Road Class 2</t>
  </si>
  <si>
    <t>Facility Types - Rural Developed</t>
  </si>
  <si>
    <t>IFH</t>
  </si>
  <si>
    <t>= Interrupted Flow Highways</t>
  </si>
  <si>
    <t>1-Year Change in Daily VMT</t>
  </si>
  <si>
    <t>Facility Types - Rural Undeveloped</t>
  </si>
  <si>
    <t>1-Yr SIS % Chg =</t>
  </si>
  <si>
    <t>1-Yr non-SIS % Chg =</t>
  </si>
  <si>
    <t>1 Yr All SR % Chg =</t>
  </si>
  <si>
    <t>ISIS</t>
  </si>
  <si>
    <t>= Isolated Signalized Intersections</t>
  </si>
  <si>
    <t>1-Yr Tfare % Chg =</t>
  </si>
  <si>
    <t>One-Way/Two-Way</t>
  </si>
  <si>
    <t>1W</t>
  </si>
  <si>
    <t>= One-way Directional Volumes</t>
  </si>
  <si>
    <t>1-Yr All Significant Roads % Chg =</t>
  </si>
  <si>
    <t>2W</t>
  </si>
  <si>
    <t>= Two-way Directional Volumes</t>
  </si>
  <si>
    <t>3-Year Change in Daily VMT</t>
  </si>
  <si>
    <t>Number of Lanes</t>
  </si>
  <si>
    <t>2L, 4L, 5L, etc.</t>
  </si>
  <si>
    <t>= Number of Roadway Lanes</t>
  </si>
  <si>
    <t>3-Yr SIS % Chg =</t>
  </si>
  <si>
    <t>3-Yr non-SIS % Chg =</t>
  </si>
  <si>
    <t>Divided/Undivided</t>
  </si>
  <si>
    <t>3-Yr All SR % Chg =</t>
  </si>
  <si>
    <t>= Divided</t>
  </si>
  <si>
    <t>U</t>
  </si>
  <si>
    <t>= Undivided</t>
  </si>
  <si>
    <t>3-Yr Tfare % Chg =</t>
  </si>
  <si>
    <t>3-Yr All Significant Roads % Chg =</t>
  </si>
  <si>
    <t>Left Turn Bays</t>
  </si>
  <si>
    <t>WL</t>
  </si>
  <si>
    <t>= Left Turn Bays</t>
  </si>
  <si>
    <t>0L</t>
  </si>
  <si>
    <t>= No Left Turn Bays</t>
  </si>
  <si>
    <t>Historical Trend - Vehicle Miles Traveled</t>
  </si>
  <si>
    <t>SIS</t>
  </si>
  <si>
    <t>non-SIS</t>
  </si>
  <si>
    <t xml:space="preserve">VC TFare </t>
  </si>
  <si>
    <t>B</t>
  </si>
  <si>
    <t>F</t>
  </si>
  <si>
    <t>A</t>
  </si>
  <si>
    <t>Exiting</t>
  </si>
  <si>
    <t>Improved</t>
  </si>
  <si>
    <t>Existing Conditions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</si>
  <si>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</si>
  <si>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</si>
  <si>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</si>
  <si>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</si>
  <si>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</si>
  <si>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</si>
  <si>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</si>
  <si>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</si>
  <si>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</si>
  <si>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</si>
  <si>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</si>
  <si>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</si>
  <si>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</si>
  <si>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</si>
  <si>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</si>
  <si>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</si>
  <si>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</si>
  <si>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</si>
  <si>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</si>
  <si>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</si>
  <si>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</si>
  <si>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</si>
  <si>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</si>
  <si>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</si>
  <si>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</si>
  <si>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</si>
  <si>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</si>
  <si>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</si>
  <si>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Functional</t>
  </si>
  <si>
    <t>Classification</t>
  </si>
  <si>
    <t>Facility</t>
  </si>
  <si>
    <t>Type</t>
  </si>
  <si>
    <t>Context</t>
  </si>
  <si>
    <t>Existing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</si>
</sst>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62"/>
      <name val="Arial"/>
      <family val="2"/>
    </font>
    <font>
      <sz val="10"/>
      <color theme="4" tint="-0.499984740745262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99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41"/>
        <bgColor indexed="9"/>
      </patternFill>
    </fill>
    <fill>
      <patternFill patternType="solid">
        <fgColor rgb="FFCCFFCC"/>
        <bgColor indexed="9"/>
      </patternFill>
    </fill>
    <fill>
      <patternFill patternType="lightDown">
        <fgColor indexed="8"/>
        <bgColor indexed="22"/>
      </patternFill>
    </fill>
    <fill>
      <patternFill patternType="lightDown">
        <fgColor indexed="8"/>
        <bgColor indexed="61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6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66FFFF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9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1" fontId="2" fillId="0" borderId="9" xfId="0" applyNumberFormat="1" applyFont="1" applyBorder="1"/>
    <xf numFmtId="1" fontId="1" fillId="0" borderId="10" xfId="0" quotePrefix="1" applyNumberFormat="1" applyFont="1" applyBorder="1" applyAlignment="1">
      <alignment horizontal="left"/>
    </xf>
    <xf numFmtId="1" fontId="1" fillId="0" borderId="11" xfId="0" quotePrefix="1" applyNumberFormat="1" applyFont="1" applyBorder="1" applyAlignment="1">
      <alignment horizontal="left"/>
    </xf>
    <xf numFmtId="1" fontId="1" fillId="0" borderId="12" xfId="0" quotePrefix="1" applyNumberFormat="1" applyFont="1" applyBorder="1" applyAlignment="1">
      <alignment horizontal="left"/>
    </xf>
    <xf numFmtId="1" fontId="1" fillId="0" borderId="10" xfId="0" applyNumberFormat="1" applyFont="1" applyBorder="1" applyAlignment="1">
      <alignment horizontal="center"/>
    </xf>
    <xf numFmtId="1" fontId="1" fillId="0" borderId="10" xfId="0" quotePrefix="1" applyNumberFormat="1" applyFont="1" applyBorder="1" applyAlignment="1">
      <alignment horizontal="center"/>
    </xf>
    <xf numFmtId="1" fontId="1" fillId="0" borderId="13" xfId="0" quotePrefix="1" applyNumberFormat="1" applyFont="1" applyBorder="1" applyAlignment="1">
      <alignment horizontal="left"/>
    </xf>
    <xf numFmtId="3" fontId="1" fillId="0" borderId="13" xfId="0" quotePrefix="1" applyNumberFormat="1" applyFont="1" applyBorder="1" applyAlignment="1">
      <alignment horizontal="left"/>
    </xf>
    <xf numFmtId="1" fontId="1" fillId="0" borderId="10" xfId="0" quotePrefix="1" applyNumberFormat="1" applyFont="1" applyBorder="1" applyAlignment="1">
      <alignment horizontal="right"/>
    </xf>
    <xf numFmtId="2" fontId="1" fillId="0" borderId="10" xfId="0" quotePrefix="1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left"/>
    </xf>
    <xf numFmtId="1" fontId="1" fillId="0" borderId="14" xfId="0" applyNumberFormat="1" applyFont="1" applyBorder="1" applyAlignment="1">
      <alignment horizontal="left"/>
    </xf>
    <xf numFmtId="1" fontId="0" fillId="0" borderId="15" xfId="0" applyNumberFormat="1" applyBorder="1"/>
    <xf numFmtId="0" fontId="3" fillId="7" borderId="16" xfId="0" quotePrefix="1" applyFont="1" applyFill="1" applyBorder="1" applyAlignment="1">
      <alignment horizontal="left"/>
    </xf>
    <xf numFmtId="0" fontId="3" fillId="7" borderId="15" xfId="0" quotePrefix="1" applyFont="1" applyFill="1" applyBorder="1" applyAlignment="1">
      <alignment horizontal="left"/>
    </xf>
    <xf numFmtId="0" fontId="3" fillId="8" borderId="15" xfId="0" applyFont="1" applyFill="1" applyBorder="1" applyAlignment="1">
      <alignment horizontal="center"/>
    </xf>
    <xf numFmtId="2" fontId="3" fillId="7" borderId="15" xfId="0" applyNumberFormat="1" applyFont="1" applyFill="1" applyBorder="1"/>
    <xf numFmtId="0" fontId="3" fillId="8" borderId="15" xfId="0" quotePrefix="1" applyFont="1" applyFill="1" applyBorder="1" applyAlignment="1">
      <alignment horizontal="center"/>
    </xf>
    <xf numFmtId="0" fontId="3" fillId="7" borderId="15" xfId="0" quotePrefix="1" applyFont="1" applyFill="1" applyBorder="1" applyAlignment="1">
      <alignment horizontal="center"/>
    </xf>
    <xf numFmtId="3" fontId="4" fillId="9" borderId="17" xfId="0" applyNumberFormat="1" applyFont="1" applyFill="1" applyBorder="1" applyAlignment="1">
      <alignment horizontal="right"/>
    </xf>
    <xf numFmtId="3" fontId="4" fillId="9" borderId="18" xfId="0" applyNumberFormat="1" applyFont="1" applyFill="1" applyBorder="1"/>
    <xf numFmtId="3" fontId="3" fillId="10" borderId="18" xfId="0" applyNumberFormat="1" applyFont="1" applyFill="1" applyBorder="1"/>
    <xf numFmtId="3" fontId="3" fillId="11" borderId="18" xfId="0" applyNumberFormat="1" applyFont="1" applyFill="1" applyBorder="1"/>
    <xf numFmtId="0" fontId="3" fillId="10" borderId="15" xfId="0" applyFont="1" applyFill="1" applyBorder="1" applyAlignment="1">
      <alignment horizontal="center"/>
    </xf>
    <xf numFmtId="37" fontId="3" fillId="11" borderId="17" xfId="0" applyNumberFormat="1" applyFont="1" applyFill="1" applyBorder="1"/>
    <xf numFmtId="2" fontId="3" fillId="11" borderId="17" xfId="0" applyNumberFormat="1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3" fontId="3" fillId="11" borderId="15" xfId="0" applyNumberFormat="1" applyFont="1" applyFill="1" applyBorder="1" applyAlignment="1">
      <alignment horizontal="center"/>
    </xf>
    <xf numFmtId="1" fontId="3" fillId="7" borderId="15" xfId="0" applyNumberFormat="1" applyFont="1" applyFill="1" applyBorder="1" applyAlignment="1">
      <alignment horizontal="center"/>
    </xf>
    <xf numFmtId="0" fontId="3" fillId="0" borderId="16" xfId="0" quotePrefix="1" applyFont="1" applyBorder="1" applyAlignment="1">
      <alignment horizontal="left"/>
    </xf>
    <xf numFmtId="0" fontId="3" fillId="0" borderId="15" xfId="0" quotePrefix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2" fontId="3" fillId="0" borderId="15" xfId="0" applyNumberFormat="1" applyFont="1" applyBorder="1" applyAlignment="1">
      <alignment horizontal="right"/>
    </xf>
    <xf numFmtId="0" fontId="3" fillId="3" borderId="15" xfId="0" quotePrefix="1" applyFont="1" applyFill="1" applyBorder="1" applyAlignment="1">
      <alignment horizontal="left"/>
    </xf>
    <xf numFmtId="0" fontId="3" fillId="0" borderId="15" xfId="0" quotePrefix="1" applyFont="1" applyBorder="1" applyAlignment="1">
      <alignment horizontal="center"/>
    </xf>
    <xf numFmtId="0" fontId="3" fillId="4" borderId="15" xfId="0" quotePrefix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/>
    <xf numFmtId="3" fontId="3" fillId="12" borderId="18" xfId="0" applyNumberFormat="1" applyFont="1" applyFill="1" applyBorder="1"/>
    <xf numFmtId="3" fontId="3" fillId="0" borderId="15" xfId="0" applyNumberFormat="1" applyFont="1" applyBorder="1" applyAlignment="1">
      <alignment horizontal="center"/>
    </xf>
    <xf numFmtId="3" fontId="4" fillId="9" borderId="15" xfId="0" applyNumberFormat="1" applyFont="1" applyFill="1" applyBorder="1" applyAlignment="1">
      <alignment horizontal="right"/>
    </xf>
    <xf numFmtId="0" fontId="3" fillId="10" borderId="17" xfId="0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7" borderId="15" xfId="0" applyFont="1" applyFill="1" applyBorder="1"/>
    <xf numFmtId="0" fontId="3" fillId="7" borderId="15" xfId="0" applyFont="1" applyFill="1" applyBorder="1" applyAlignment="1">
      <alignment horizontal="center"/>
    </xf>
    <xf numFmtId="3" fontId="3" fillId="7" borderId="17" xfId="0" applyNumberFormat="1" applyFont="1" applyFill="1" applyBorder="1" applyAlignment="1">
      <alignment horizontal="right"/>
    </xf>
    <xf numFmtId="3" fontId="5" fillId="7" borderId="17" xfId="0" applyNumberFormat="1" applyFont="1" applyFill="1" applyBorder="1" applyAlignment="1">
      <alignment horizontal="right"/>
    </xf>
    <xf numFmtId="3" fontId="3" fillId="7" borderId="18" xfId="0" applyNumberFormat="1" applyFont="1" applyFill="1" applyBorder="1"/>
    <xf numFmtId="3" fontId="3" fillId="11" borderId="19" xfId="0" applyNumberFormat="1" applyFont="1" applyFill="1" applyBorder="1"/>
    <xf numFmtId="0" fontId="3" fillId="0" borderId="15" xfId="0" applyFont="1" applyBorder="1"/>
    <xf numFmtId="0" fontId="3" fillId="2" borderId="15" xfId="0" applyFont="1" applyFill="1" applyBorder="1" applyAlignment="1">
      <alignment horizontal="center"/>
    </xf>
    <xf numFmtId="2" fontId="3" fillId="0" borderId="15" xfId="0" applyNumberFormat="1" applyFont="1" applyBorder="1"/>
    <xf numFmtId="0" fontId="3" fillId="2" borderId="15" xfId="0" quotePrefix="1" applyFont="1" applyFill="1" applyBorder="1" applyAlignment="1">
      <alignment horizontal="center"/>
    </xf>
    <xf numFmtId="3" fontId="5" fillId="4" borderId="17" xfId="0" applyNumberFormat="1" applyFont="1" applyFill="1" applyBorder="1" applyAlignment="1">
      <alignment horizontal="right"/>
    </xf>
    <xf numFmtId="3" fontId="3" fillId="5" borderId="18" xfId="0" applyNumberFormat="1" applyFont="1" applyFill="1" applyBorder="1"/>
    <xf numFmtId="3" fontId="3" fillId="5" borderId="20" xfId="0" applyNumberFormat="1" applyFont="1" applyFill="1" applyBorder="1"/>
    <xf numFmtId="0" fontId="3" fillId="0" borderId="17" xfId="0" applyFont="1" applyBorder="1" applyAlignment="1">
      <alignment horizontal="center"/>
    </xf>
    <xf numFmtId="37" fontId="3" fillId="5" borderId="17" xfId="0" applyNumberFormat="1" applyFont="1" applyFill="1" applyBorder="1"/>
    <xf numFmtId="2" fontId="3" fillId="5" borderId="17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37" fontId="3" fillId="7" borderId="17" xfId="0" applyNumberFormat="1" applyFont="1" applyFill="1" applyBorder="1"/>
    <xf numFmtId="2" fontId="3" fillId="13" borderId="17" xfId="0" applyNumberFormat="1" applyFont="1" applyFill="1" applyBorder="1" applyAlignment="1">
      <alignment horizontal="center"/>
    </xf>
    <xf numFmtId="0" fontId="3" fillId="13" borderId="15" xfId="0" applyFont="1" applyFill="1" applyBorder="1" applyAlignment="1">
      <alignment horizontal="center"/>
    </xf>
    <xf numFmtId="3" fontId="3" fillId="13" borderId="15" xfId="0" applyNumberFormat="1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3" fontId="3" fillId="5" borderId="15" xfId="0" applyNumberFormat="1" applyFont="1" applyFill="1" applyBorder="1" applyAlignment="1">
      <alignment horizontal="center"/>
    </xf>
    <xf numFmtId="1" fontId="0" fillId="0" borderId="21" xfId="0" applyNumberFormat="1" applyBorder="1"/>
    <xf numFmtId="0" fontId="3" fillId="8" borderId="22" xfId="0" quotePrefix="1" applyFont="1" applyFill="1" applyBorder="1" applyAlignment="1">
      <alignment horizontal="left"/>
    </xf>
    <xf numFmtId="0" fontId="3" fillId="8" borderId="21" xfId="0" quotePrefix="1" applyFont="1" applyFill="1" applyBorder="1" applyAlignment="1">
      <alignment horizontal="left"/>
    </xf>
    <xf numFmtId="0" fontId="3" fillId="7" borderId="21" xfId="0" quotePrefix="1" applyFont="1" applyFill="1" applyBorder="1" applyAlignment="1">
      <alignment horizontal="left"/>
    </xf>
    <xf numFmtId="0" fontId="3" fillId="8" borderId="21" xfId="0" applyFont="1" applyFill="1" applyBorder="1" applyAlignment="1">
      <alignment horizontal="center"/>
    </xf>
    <xf numFmtId="2" fontId="3" fillId="7" borderId="21" xfId="0" applyNumberFormat="1" applyFont="1" applyFill="1" applyBorder="1"/>
    <xf numFmtId="0" fontId="3" fillId="8" borderId="21" xfId="0" quotePrefix="1" applyFont="1" applyFill="1" applyBorder="1" applyAlignment="1">
      <alignment horizontal="center"/>
    </xf>
    <xf numFmtId="0" fontId="3" fillId="7" borderId="21" xfId="0" quotePrefix="1" applyFont="1" applyFill="1" applyBorder="1" applyAlignment="1">
      <alignment horizontal="center"/>
    </xf>
    <xf numFmtId="3" fontId="3" fillId="7" borderId="24" xfId="0" applyNumberFormat="1" applyFont="1" applyFill="1" applyBorder="1"/>
    <xf numFmtId="0" fontId="3" fillId="7" borderId="21" xfId="0" applyFont="1" applyFill="1" applyBorder="1" applyAlignment="1">
      <alignment horizontal="center"/>
    </xf>
    <xf numFmtId="37" fontId="3" fillId="7" borderId="23" xfId="0" applyNumberFormat="1" applyFont="1" applyFill="1" applyBorder="1"/>
    <xf numFmtId="2" fontId="3" fillId="7" borderId="23" xfId="0" applyNumberFormat="1" applyFont="1" applyFill="1" applyBorder="1" applyAlignment="1">
      <alignment horizontal="center"/>
    </xf>
    <xf numFmtId="0" fontId="3" fillId="13" borderId="21" xfId="0" applyFont="1" applyFill="1" applyBorder="1" applyAlignment="1">
      <alignment horizontal="center"/>
    </xf>
    <xf numFmtId="3" fontId="3" fillId="13" borderId="21" xfId="0" applyNumberFormat="1" applyFont="1" applyFill="1" applyBorder="1" applyAlignment="1">
      <alignment horizontal="center"/>
    </xf>
    <xf numFmtId="1" fontId="3" fillId="7" borderId="21" xfId="0" applyNumberFormat="1" applyFont="1" applyFill="1" applyBorder="1" applyAlignment="1">
      <alignment horizontal="center"/>
    </xf>
    <xf numFmtId="1" fontId="0" fillId="0" borderId="17" xfId="0" applyNumberFormat="1" applyBorder="1"/>
    <xf numFmtId="0" fontId="3" fillId="7" borderId="25" xfId="0" quotePrefix="1" applyFont="1" applyFill="1" applyBorder="1" applyAlignment="1">
      <alignment horizontal="left"/>
    </xf>
    <xf numFmtId="0" fontId="3" fillId="7" borderId="17" xfId="0" quotePrefix="1" applyFont="1" applyFill="1" applyBorder="1" applyAlignment="1">
      <alignment horizontal="left"/>
    </xf>
    <xf numFmtId="0" fontId="3" fillId="7" borderId="17" xfId="0" applyFont="1" applyFill="1" applyBorder="1" applyAlignment="1">
      <alignment horizontal="center"/>
    </xf>
    <xf numFmtId="2" fontId="3" fillId="7" borderId="17" xfId="0" applyNumberFormat="1" applyFont="1" applyFill="1" applyBorder="1"/>
    <xf numFmtId="0" fontId="3" fillId="7" borderId="17" xfId="0" quotePrefix="1" applyFont="1" applyFill="1" applyBorder="1" applyAlignment="1">
      <alignment horizontal="center"/>
    </xf>
    <xf numFmtId="3" fontId="3" fillId="7" borderId="26" xfId="0" applyNumberFormat="1" applyFont="1" applyFill="1" applyBorder="1"/>
    <xf numFmtId="3" fontId="3" fillId="7" borderId="27" xfId="0" applyNumberFormat="1" applyFont="1" applyFill="1" applyBorder="1"/>
    <xf numFmtId="3" fontId="3" fillId="13" borderId="17" xfId="0" applyNumberFormat="1" applyFont="1" applyFill="1" applyBorder="1" applyAlignment="1">
      <alignment horizontal="center"/>
    </xf>
    <xf numFmtId="1" fontId="3" fillId="7" borderId="17" xfId="0" applyNumberFormat="1" applyFont="1" applyFill="1" applyBorder="1" applyAlignment="1">
      <alignment horizontal="center"/>
    </xf>
    <xf numFmtId="0" fontId="3" fillId="2" borderId="16" xfId="0" quotePrefix="1" applyFont="1" applyFill="1" applyBorder="1" applyAlignment="1">
      <alignment horizontal="left"/>
    </xf>
    <xf numFmtId="0" fontId="3" fillId="2" borderId="15" xfId="0" quotePrefix="1" applyFont="1" applyFill="1" applyBorder="1" applyAlignment="1">
      <alignment horizontal="left"/>
    </xf>
    <xf numFmtId="3" fontId="3" fillId="5" borderId="15" xfId="0" applyNumberFormat="1" applyFont="1" applyFill="1" applyBorder="1"/>
    <xf numFmtId="0" fontId="3" fillId="8" borderId="16" xfId="0" quotePrefix="1" applyFont="1" applyFill="1" applyBorder="1" applyAlignment="1">
      <alignment horizontal="left"/>
    </xf>
    <xf numFmtId="0" fontId="3" fillId="8" borderId="15" xfId="0" quotePrefix="1" applyFont="1" applyFill="1" applyBorder="1" applyAlignment="1">
      <alignment horizontal="left"/>
    </xf>
    <xf numFmtId="3" fontId="3" fillId="7" borderId="15" xfId="0" applyNumberFormat="1" applyFont="1" applyFill="1" applyBorder="1" applyAlignment="1">
      <alignment horizontal="center"/>
    </xf>
    <xf numFmtId="3" fontId="3" fillId="7" borderId="15" xfId="0" applyNumberFormat="1" applyFont="1" applyFill="1" applyBorder="1" applyAlignment="1">
      <alignment horizontal="right"/>
    </xf>
    <xf numFmtId="3" fontId="3" fillId="13" borderId="15" xfId="0" applyNumberFormat="1" applyFont="1" applyFill="1" applyBorder="1"/>
    <xf numFmtId="1" fontId="3" fillId="8" borderId="15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/>
    </xf>
    <xf numFmtId="3" fontId="3" fillId="7" borderId="15" xfId="0" applyNumberFormat="1" applyFont="1" applyFill="1" applyBorder="1"/>
    <xf numFmtId="3" fontId="3" fillId="7" borderId="23" xfId="0" applyNumberFormat="1" applyFont="1" applyFill="1" applyBorder="1" applyAlignment="1">
      <alignment horizontal="right"/>
    </xf>
    <xf numFmtId="3" fontId="5" fillId="7" borderId="23" xfId="0" applyNumberFormat="1" applyFont="1" applyFill="1" applyBorder="1" applyAlignment="1">
      <alignment horizontal="right"/>
    </xf>
    <xf numFmtId="3" fontId="3" fillId="13" borderId="21" xfId="0" applyNumberFormat="1" applyFont="1" applyFill="1" applyBorder="1"/>
    <xf numFmtId="1" fontId="3" fillId="8" borderId="21" xfId="0" applyNumberFormat="1" applyFont="1" applyFill="1" applyBorder="1" applyAlignment="1">
      <alignment horizontal="center"/>
    </xf>
    <xf numFmtId="0" fontId="0" fillId="0" borderId="15" xfId="0" quotePrefix="1" applyBorder="1" applyAlignment="1">
      <alignment horizontal="left"/>
    </xf>
    <xf numFmtId="3" fontId="3" fillId="0" borderId="15" xfId="0" applyNumberFormat="1" applyFont="1" applyBorder="1"/>
    <xf numFmtId="3" fontId="3" fillId="5" borderId="27" xfId="0" applyNumberFormat="1" applyFont="1" applyFill="1" applyBorder="1"/>
    <xf numFmtId="0" fontId="3" fillId="2" borderId="17" xfId="0" applyFont="1" applyFill="1" applyBorder="1" applyAlignment="1">
      <alignment horizontal="center"/>
    </xf>
    <xf numFmtId="3" fontId="3" fillId="5" borderId="17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left"/>
    </xf>
    <xf numFmtId="0" fontId="0" fillId="7" borderId="15" xfId="0" quotePrefix="1" applyFill="1" applyBorder="1" applyAlignment="1">
      <alignment horizontal="left"/>
    </xf>
    <xf numFmtId="0" fontId="3" fillId="4" borderId="15" xfId="0" quotePrefix="1" applyFont="1" applyFill="1" applyBorder="1" applyAlignment="1">
      <alignment horizontal="left"/>
    </xf>
    <xf numFmtId="3" fontId="6" fillId="13" borderId="15" xfId="0" applyNumberFormat="1" applyFont="1" applyFill="1" applyBorder="1"/>
    <xf numFmtId="3" fontId="6" fillId="5" borderId="15" xfId="0" applyNumberFormat="1" applyFont="1" applyFill="1" applyBorder="1"/>
    <xf numFmtId="37" fontId="3" fillId="13" borderId="17" xfId="0" applyNumberFormat="1" applyFont="1" applyFill="1" applyBorder="1"/>
    <xf numFmtId="0" fontId="3" fillId="0" borderId="15" xfId="0" applyFont="1" applyBorder="1" applyAlignment="1">
      <alignment horizontal="left"/>
    </xf>
    <xf numFmtId="0" fontId="3" fillId="14" borderId="15" xfId="0" applyFont="1" applyFill="1" applyBorder="1" applyAlignment="1">
      <alignment horizontal="center"/>
    </xf>
    <xf numFmtId="3" fontId="3" fillId="4" borderId="15" xfId="0" applyNumberFormat="1" applyFont="1" applyFill="1" applyBorder="1" applyAlignment="1">
      <alignment horizontal="center"/>
    </xf>
    <xf numFmtId="3" fontId="3" fillId="10" borderId="15" xfId="0" applyNumberFormat="1" applyFont="1" applyFill="1" applyBorder="1"/>
    <xf numFmtId="3" fontId="3" fillId="11" borderId="15" xfId="0" applyNumberFormat="1" applyFont="1" applyFill="1" applyBorder="1"/>
    <xf numFmtId="0" fontId="3" fillId="15" borderId="15" xfId="0" applyFont="1" applyFill="1" applyBorder="1" applyAlignment="1">
      <alignment horizontal="center"/>
    </xf>
    <xf numFmtId="0" fontId="0" fillId="7" borderId="21" xfId="0" quotePrefix="1" applyFill="1" applyBorder="1" applyAlignment="1">
      <alignment horizontal="left"/>
    </xf>
    <xf numFmtId="3" fontId="3" fillId="7" borderId="21" xfId="0" applyNumberFormat="1" applyFont="1" applyFill="1" applyBorder="1"/>
    <xf numFmtId="2" fontId="3" fillId="13" borderId="21" xfId="0" applyNumberFormat="1" applyFont="1" applyFill="1" applyBorder="1" applyAlignment="1">
      <alignment horizontal="center"/>
    </xf>
    <xf numFmtId="0" fontId="3" fillId="7" borderId="25" xfId="0" applyFont="1" applyFill="1" applyBorder="1"/>
    <xf numFmtId="2" fontId="3" fillId="7" borderId="17" xfId="0" applyNumberFormat="1" applyFont="1" applyFill="1" applyBorder="1" applyAlignment="1">
      <alignment horizontal="right"/>
    </xf>
    <xf numFmtId="0" fontId="0" fillId="0" borderId="17" xfId="0" quotePrefix="1" applyBorder="1" applyAlignment="1">
      <alignment horizontal="left"/>
    </xf>
    <xf numFmtId="3" fontId="3" fillId="7" borderId="17" xfId="0" applyNumberFormat="1" applyFont="1" applyFill="1" applyBorder="1"/>
    <xf numFmtId="0" fontId="3" fillId="0" borderId="16" xfId="0" applyFont="1" applyBorder="1"/>
    <xf numFmtId="0" fontId="3" fillId="7" borderId="16" xfId="0" applyFont="1" applyFill="1" applyBorder="1"/>
    <xf numFmtId="2" fontId="3" fillId="7" borderId="15" xfId="0" applyNumberFormat="1" applyFont="1" applyFill="1" applyBorder="1" applyAlignment="1">
      <alignment horizontal="right"/>
    </xf>
    <xf numFmtId="0" fontId="3" fillId="8" borderId="16" xfId="0" applyFont="1" applyFill="1" applyBorder="1"/>
    <xf numFmtId="3" fontId="3" fillId="10" borderId="17" xfId="0" applyNumberFormat="1" applyFont="1" applyFill="1" applyBorder="1" applyAlignment="1">
      <alignment horizontal="right"/>
    </xf>
    <xf numFmtId="0" fontId="3" fillId="2" borderId="16" xfId="0" applyFont="1" applyFill="1" applyBorder="1"/>
    <xf numFmtId="0" fontId="3" fillId="2" borderId="15" xfId="0" applyFont="1" applyFill="1" applyBorder="1"/>
    <xf numFmtId="3" fontId="4" fillId="9" borderId="15" xfId="0" applyNumberFormat="1" applyFont="1" applyFill="1" applyBorder="1"/>
    <xf numFmtId="0" fontId="3" fillId="0" borderId="22" xfId="0" applyFont="1" applyBorder="1"/>
    <xf numFmtId="0" fontId="3" fillId="2" borderId="21" xfId="0" quotePrefix="1" applyFont="1" applyFill="1" applyBorder="1" applyAlignment="1">
      <alignment horizontal="left"/>
    </xf>
    <xf numFmtId="0" fontId="3" fillId="0" borderId="21" xfId="0" applyFont="1" applyBorder="1"/>
    <xf numFmtId="0" fontId="3" fillId="2" borderId="21" xfId="0" applyFont="1" applyFill="1" applyBorder="1" applyAlignment="1">
      <alignment horizontal="center"/>
    </xf>
    <xf numFmtId="2" fontId="3" fillId="0" borderId="21" xfId="0" applyNumberFormat="1" applyFont="1" applyBorder="1"/>
    <xf numFmtId="0" fontId="0" fillId="0" borderId="21" xfId="0" quotePrefix="1" applyBorder="1" applyAlignment="1">
      <alignment horizontal="left"/>
    </xf>
    <xf numFmtId="0" fontId="3" fillId="0" borderId="21" xfId="0" quotePrefix="1" applyFont="1" applyBorder="1" applyAlignment="1">
      <alignment horizontal="left"/>
    </xf>
    <xf numFmtId="0" fontId="3" fillId="2" borderId="21" xfId="0" quotePrefix="1" applyFont="1" applyFill="1" applyBorder="1" applyAlignment="1">
      <alignment horizontal="center"/>
    </xf>
    <xf numFmtId="3" fontId="3" fillId="0" borderId="21" xfId="0" applyNumberFormat="1" applyFont="1" applyBorder="1"/>
    <xf numFmtId="3" fontId="3" fillId="5" borderId="21" xfId="0" applyNumberFormat="1" applyFont="1" applyFill="1" applyBorder="1"/>
    <xf numFmtId="0" fontId="3" fillId="5" borderId="21" xfId="0" applyFont="1" applyFill="1" applyBorder="1" applyAlignment="1">
      <alignment horizontal="center"/>
    </xf>
    <xf numFmtId="37" fontId="3" fillId="5" borderId="23" xfId="0" applyNumberFormat="1" applyFont="1" applyFill="1" applyBorder="1"/>
    <xf numFmtId="2" fontId="3" fillId="5" borderId="21" xfId="0" applyNumberFormat="1" applyFont="1" applyFill="1" applyBorder="1" applyAlignment="1">
      <alignment horizontal="center"/>
    </xf>
    <xf numFmtId="3" fontId="3" fillId="5" borderId="21" xfId="0" applyNumberFormat="1" applyFont="1" applyFill="1" applyBorder="1" applyAlignment="1">
      <alignment horizontal="center"/>
    </xf>
    <xf numFmtId="1" fontId="3" fillId="2" borderId="21" xfId="0" applyNumberFormat="1" applyFont="1" applyFill="1" applyBorder="1" applyAlignment="1">
      <alignment horizontal="center"/>
    </xf>
    <xf numFmtId="0" fontId="3" fillId="0" borderId="25" xfId="0" applyFont="1" applyBorder="1"/>
    <xf numFmtId="0" fontId="3" fillId="2" borderId="17" xfId="0" quotePrefix="1" applyFont="1" applyFill="1" applyBorder="1" applyAlignment="1">
      <alignment horizontal="left"/>
    </xf>
    <xf numFmtId="0" fontId="3" fillId="0" borderId="17" xfId="0" quotePrefix="1" applyFont="1" applyBorder="1" applyAlignment="1">
      <alignment horizontal="left"/>
    </xf>
    <xf numFmtId="2" fontId="3" fillId="0" borderId="17" xfId="0" applyNumberFormat="1" applyFont="1" applyBorder="1"/>
    <xf numFmtId="0" fontId="3" fillId="2" borderId="17" xfId="0" quotePrefix="1" applyFont="1" applyFill="1" applyBorder="1" applyAlignment="1">
      <alignment horizontal="center"/>
    </xf>
    <xf numFmtId="3" fontId="3" fillId="0" borderId="17" xfId="0" applyNumberFormat="1" applyFont="1" applyBorder="1"/>
    <xf numFmtId="3" fontId="3" fillId="5" borderId="17" xfId="0" applyNumberFormat="1" applyFont="1" applyFill="1" applyBorder="1"/>
    <xf numFmtId="1" fontId="3" fillId="2" borderId="17" xfId="0" applyNumberFormat="1" applyFont="1" applyFill="1" applyBorder="1" applyAlignment="1">
      <alignment horizontal="center"/>
    </xf>
    <xf numFmtId="0" fontId="3" fillId="8" borderId="15" xfId="0" applyFont="1" applyFill="1" applyBorder="1"/>
    <xf numFmtId="0" fontId="3" fillId="8" borderId="22" xfId="0" applyFont="1" applyFill="1" applyBorder="1"/>
    <xf numFmtId="0" fontId="3" fillId="7" borderId="21" xfId="0" applyFont="1" applyFill="1" applyBorder="1"/>
    <xf numFmtId="37" fontId="3" fillId="13" borderId="23" xfId="0" applyNumberFormat="1" applyFont="1" applyFill="1" applyBorder="1"/>
    <xf numFmtId="0" fontId="3" fillId="2" borderId="25" xfId="0" applyFont="1" applyFill="1" applyBorder="1"/>
    <xf numFmtId="0" fontId="0" fillId="0" borderId="17" xfId="0" applyBorder="1"/>
    <xf numFmtId="0" fontId="3" fillId="0" borderId="17" xfId="0" applyFont="1" applyBorder="1"/>
    <xf numFmtId="0" fontId="3" fillId="14" borderId="17" xfId="0" applyFont="1" applyFill="1" applyBorder="1" applyAlignment="1">
      <alignment horizontal="center"/>
    </xf>
    <xf numFmtId="0" fontId="0" fillId="7" borderId="15" xfId="0" applyFill="1" applyBorder="1"/>
    <xf numFmtId="3" fontId="3" fillId="4" borderId="17" xfId="0" applyNumberFormat="1" applyFont="1" applyFill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5" borderId="15" xfId="0" applyNumberFormat="1" applyFont="1" applyFill="1" applyBorder="1" applyAlignment="1">
      <alignment horizontal="right"/>
    </xf>
    <xf numFmtId="0" fontId="0" fillId="7" borderId="21" xfId="0" applyFill="1" applyBorder="1"/>
    <xf numFmtId="0" fontId="3" fillId="0" borderId="25" xfId="0" quotePrefix="1" applyFont="1" applyBorder="1" applyAlignment="1">
      <alignment horizontal="left"/>
    </xf>
    <xf numFmtId="0" fontId="3" fillId="8" borderId="25" xfId="0" applyFont="1" applyFill="1" applyBorder="1"/>
    <xf numFmtId="0" fontId="3" fillId="8" borderId="17" xfId="0" quotePrefix="1" applyFont="1" applyFill="1" applyBorder="1" applyAlignment="1">
      <alignment horizontal="left"/>
    </xf>
    <xf numFmtId="0" fontId="3" fillId="8" borderId="17" xfId="0" quotePrefix="1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1" fontId="3" fillId="8" borderId="17" xfId="0" applyNumberFormat="1" applyFont="1" applyFill="1" applyBorder="1" applyAlignment="1">
      <alignment horizontal="center"/>
    </xf>
    <xf numFmtId="1" fontId="0" fillId="0" borderId="23" xfId="0" applyNumberFormat="1" applyBorder="1"/>
    <xf numFmtId="0" fontId="3" fillId="2" borderId="28" xfId="0" applyFont="1" applyFill="1" applyBorder="1"/>
    <xf numFmtId="0" fontId="3" fillId="2" borderId="23" xfId="0" quotePrefix="1" applyFont="1" applyFill="1" applyBorder="1" applyAlignment="1">
      <alignment horizontal="left"/>
    </xf>
    <xf numFmtId="0" fontId="3" fillId="0" borderId="23" xfId="0" quotePrefix="1" applyFont="1" applyBorder="1" applyAlignment="1">
      <alignment horizontal="left"/>
    </xf>
    <xf numFmtId="0" fontId="3" fillId="2" borderId="23" xfId="0" quotePrefix="1" applyFont="1" applyFill="1" applyBorder="1" applyAlignment="1">
      <alignment horizontal="center"/>
    </xf>
    <xf numFmtId="2" fontId="3" fillId="0" borderId="23" xfId="0" applyNumberFormat="1" applyFont="1" applyBorder="1"/>
    <xf numFmtId="0" fontId="3" fillId="2" borderId="23" xfId="0" applyFont="1" applyFill="1" applyBorder="1" applyAlignment="1">
      <alignment horizontal="center"/>
    </xf>
    <xf numFmtId="0" fontId="0" fillId="0" borderId="23" xfId="0" quotePrefix="1" applyBorder="1" applyAlignment="1">
      <alignment horizontal="left"/>
    </xf>
    <xf numFmtId="0" fontId="3" fillId="5" borderId="23" xfId="0" applyFont="1" applyFill="1" applyBorder="1" applyAlignment="1">
      <alignment horizontal="center"/>
    </xf>
    <xf numFmtId="1" fontId="3" fillId="2" borderId="23" xfId="0" applyNumberFormat="1" applyFont="1" applyFill="1" applyBorder="1" applyAlignment="1">
      <alignment horizontal="center"/>
    </xf>
    <xf numFmtId="0" fontId="3" fillId="2" borderId="25" xfId="0" quotePrefix="1" applyFont="1" applyFill="1" applyBorder="1" applyAlignment="1">
      <alignment horizontal="left"/>
    </xf>
    <xf numFmtId="3" fontId="3" fillId="13" borderId="15" xfId="0" applyNumberFormat="1" applyFont="1" applyFill="1" applyBorder="1" applyAlignment="1">
      <alignment horizontal="right"/>
    </xf>
    <xf numFmtId="0" fontId="3" fillId="2" borderId="22" xfId="0" quotePrefix="1" applyFont="1" applyFill="1" applyBorder="1" applyAlignment="1">
      <alignment horizontal="left"/>
    </xf>
    <xf numFmtId="0" fontId="3" fillId="0" borderId="21" xfId="0" applyFont="1" applyBorder="1" applyAlignment="1">
      <alignment horizontal="center"/>
    </xf>
    <xf numFmtId="2" fontId="3" fillId="16" borderId="21" xfId="0" applyNumberFormat="1" applyFont="1" applyFill="1" applyBorder="1"/>
    <xf numFmtId="0" fontId="3" fillId="0" borderId="21" xfId="0" quotePrefix="1" applyFont="1" applyBorder="1" applyAlignment="1">
      <alignment horizontal="center"/>
    </xf>
    <xf numFmtId="0" fontId="3" fillId="5" borderId="21" xfId="0" quotePrefix="1" applyFont="1" applyFill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3" fillId="0" borderId="17" xfId="0" quotePrefix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2" borderId="22" xfId="0" applyFont="1" applyFill="1" applyBorder="1"/>
    <xf numFmtId="37" fontId="3" fillId="13" borderId="17" xfId="0" quotePrefix="1" applyNumberFormat="1" applyFont="1" applyFill="1" applyBorder="1"/>
    <xf numFmtId="3" fontId="3" fillId="12" borderId="15" xfId="0" applyNumberFormat="1" applyFont="1" applyFill="1" applyBorder="1"/>
    <xf numFmtId="3" fontId="7" fillId="17" borderId="15" xfId="0" applyNumberFormat="1" applyFont="1" applyFill="1" applyBorder="1"/>
    <xf numFmtId="0" fontId="4" fillId="18" borderId="15" xfId="0" applyFont="1" applyFill="1" applyBorder="1" applyAlignment="1">
      <alignment horizontal="center"/>
    </xf>
    <xf numFmtId="37" fontId="7" fillId="17" borderId="17" xfId="0" applyNumberFormat="1" applyFont="1" applyFill="1" applyBorder="1"/>
    <xf numFmtId="2" fontId="7" fillId="17" borderId="17" xfId="0" applyNumberFormat="1" applyFont="1" applyFill="1" applyBorder="1" applyAlignment="1">
      <alignment horizontal="center"/>
    </xf>
    <xf numFmtId="0" fontId="7" fillId="17" borderId="15" xfId="0" applyFont="1" applyFill="1" applyBorder="1" applyAlignment="1">
      <alignment horizontal="center"/>
    </xf>
    <xf numFmtId="3" fontId="7" fillId="17" borderId="15" xfId="0" applyNumberFormat="1" applyFont="1" applyFill="1" applyBorder="1" applyAlignment="1">
      <alignment horizontal="right"/>
    </xf>
    <xf numFmtId="0" fontId="3" fillId="2" borderId="21" xfId="0" applyFont="1" applyFill="1" applyBorder="1"/>
    <xf numFmtId="3" fontId="3" fillId="4" borderId="23" xfId="0" applyNumberFormat="1" applyFont="1" applyFill="1" applyBorder="1" applyAlignment="1">
      <alignment horizontal="right"/>
    </xf>
    <xf numFmtId="0" fontId="3" fillId="14" borderId="21" xfId="0" applyFont="1" applyFill="1" applyBorder="1" applyAlignment="1">
      <alignment horizontal="center"/>
    </xf>
    <xf numFmtId="3" fontId="3" fillId="13" borderId="27" xfId="0" applyNumberFormat="1" applyFont="1" applyFill="1" applyBorder="1" applyAlignment="1">
      <alignment horizontal="center"/>
    </xf>
    <xf numFmtId="2" fontId="3" fillId="8" borderId="15" xfId="0" applyNumberFormat="1" applyFont="1" applyFill="1" applyBorder="1"/>
    <xf numFmtId="2" fontId="3" fillId="2" borderId="15" xfId="0" applyNumberFormat="1" applyFont="1" applyFill="1" applyBorder="1"/>
    <xf numFmtId="3" fontId="3" fillId="16" borderId="15" xfId="0" applyNumberFormat="1" applyFont="1" applyFill="1" applyBorder="1"/>
    <xf numFmtId="0" fontId="3" fillId="19" borderId="15" xfId="0" quotePrefix="1" applyFont="1" applyFill="1" applyBorder="1" applyAlignment="1">
      <alignment horizontal="left"/>
    </xf>
    <xf numFmtId="0" fontId="3" fillId="7" borderId="22" xfId="0" applyFont="1" applyFill="1" applyBorder="1"/>
    <xf numFmtId="2" fontId="3" fillId="8" borderId="21" xfId="0" applyNumberFormat="1" applyFont="1" applyFill="1" applyBorder="1"/>
    <xf numFmtId="3" fontId="3" fillId="13" borderId="21" xfId="0" applyNumberFormat="1" applyFont="1" applyFill="1" applyBorder="1" applyAlignment="1">
      <alignment horizontal="right"/>
    </xf>
    <xf numFmtId="0" fontId="0" fillId="0" borderId="25" xfId="0" quotePrefix="1" applyBorder="1" applyAlignment="1">
      <alignment horizontal="left"/>
    </xf>
    <xf numFmtId="2" fontId="3" fillId="2" borderId="17" xfId="0" applyNumberFormat="1" applyFont="1" applyFill="1" applyBorder="1"/>
    <xf numFmtId="3" fontId="3" fillId="5" borderId="27" xfId="0" applyNumberFormat="1" applyFont="1" applyFill="1" applyBorder="1" applyAlignment="1">
      <alignment horizontal="right"/>
    </xf>
    <xf numFmtId="0" fontId="0" fillId="7" borderId="22" xfId="0" quotePrefix="1" applyFill="1" applyBorder="1" applyAlignment="1">
      <alignment horizontal="left"/>
    </xf>
    <xf numFmtId="0" fontId="3" fillId="20" borderId="21" xfId="0" applyFont="1" applyFill="1" applyBorder="1" applyAlignment="1">
      <alignment horizontal="center"/>
    </xf>
    <xf numFmtId="0" fontId="3" fillId="0" borderId="28" xfId="0" applyFont="1" applyBorder="1"/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23" xfId="0" quotePrefix="1" applyFont="1" applyBorder="1" applyAlignment="1">
      <alignment horizontal="center"/>
    </xf>
    <xf numFmtId="3" fontId="3" fillId="0" borderId="23" xfId="0" applyNumberFormat="1" applyFont="1" applyBorder="1" applyAlignment="1">
      <alignment horizontal="right"/>
    </xf>
    <xf numFmtId="3" fontId="3" fillId="12" borderId="31" xfId="0" applyNumberFormat="1" applyFont="1" applyFill="1" applyBorder="1"/>
    <xf numFmtId="3" fontId="3" fillId="5" borderId="31" xfId="0" applyNumberFormat="1" applyFont="1" applyFill="1" applyBorder="1"/>
    <xf numFmtId="3" fontId="3" fillId="5" borderId="27" xfId="0" applyNumberFormat="1" applyFont="1" applyFill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0" fontId="3" fillId="3" borderId="17" xfId="0" quotePrefix="1" applyFont="1" applyFill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0" fillId="0" borderId="21" xfId="0" applyBorder="1"/>
    <xf numFmtId="2" fontId="3" fillId="0" borderId="17" xfId="0" applyNumberFormat="1" applyFont="1" applyBorder="1" applyAlignment="1">
      <alignment horizontal="right"/>
    </xf>
    <xf numFmtId="0" fontId="3" fillId="4" borderId="17" xfId="0" quotePrefix="1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21" borderId="15" xfId="0" applyFont="1" applyFill="1" applyBorder="1"/>
    <xf numFmtId="0" fontId="3" fillId="22" borderId="16" xfId="0" applyFont="1" applyFill="1" applyBorder="1"/>
    <xf numFmtId="0" fontId="3" fillId="22" borderId="15" xfId="0" applyFont="1" applyFill="1" applyBorder="1"/>
    <xf numFmtId="0" fontId="3" fillId="22" borderId="15" xfId="0" applyFont="1" applyFill="1" applyBorder="1" applyAlignment="1">
      <alignment horizontal="center"/>
    </xf>
    <xf numFmtId="3" fontId="3" fillId="22" borderId="15" xfId="0" applyNumberFormat="1" applyFont="1" applyFill="1" applyBorder="1"/>
    <xf numFmtId="0" fontId="3" fillId="22" borderId="17" xfId="0" applyFont="1" applyFill="1" applyBorder="1"/>
    <xf numFmtId="1" fontId="0" fillId="7" borderId="15" xfId="0" applyNumberFormat="1" applyFill="1" applyBorder="1"/>
    <xf numFmtId="0" fontId="3" fillId="7" borderId="32" xfId="0" quotePrefix="1" applyFont="1" applyFill="1" applyBorder="1" applyAlignment="1">
      <alignment horizontal="left"/>
    </xf>
    <xf numFmtId="0" fontId="3" fillId="7" borderId="33" xfId="0" applyFont="1" applyFill="1" applyBorder="1"/>
    <xf numFmtId="164" fontId="3" fillId="8" borderId="21" xfId="0" applyNumberFormat="1" applyFont="1" applyFill="1" applyBorder="1" applyAlignment="1">
      <alignment horizontal="center"/>
    </xf>
    <xf numFmtId="0" fontId="3" fillId="0" borderId="32" xfId="0" quotePrefix="1" applyFont="1" applyBorder="1" applyAlignment="1">
      <alignment horizontal="left"/>
    </xf>
    <xf numFmtId="0" fontId="3" fillId="0" borderId="33" xfId="0" applyFont="1" applyBorder="1"/>
    <xf numFmtId="0" fontId="3" fillId="0" borderId="35" xfId="0" applyFont="1" applyBorder="1" applyAlignment="1">
      <alignment horizontal="center"/>
    </xf>
    <xf numFmtId="2" fontId="3" fillId="0" borderId="35" xfId="0" applyNumberFormat="1" applyFont="1" applyBorder="1"/>
    <xf numFmtId="164" fontId="3" fillId="2" borderId="35" xfId="0" applyNumberFormat="1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14" borderId="23" xfId="0" applyFont="1" applyFill="1" applyBorder="1" applyAlignment="1">
      <alignment horizontal="center"/>
    </xf>
    <xf numFmtId="3" fontId="3" fillId="5" borderId="23" xfId="0" applyNumberFormat="1" applyFont="1" applyFill="1" applyBorder="1" applyAlignment="1">
      <alignment horizontal="right"/>
    </xf>
    <xf numFmtId="2" fontId="3" fillId="5" borderId="23" xfId="0" applyNumberFormat="1" applyFont="1" applyFill="1" applyBorder="1" applyAlignment="1">
      <alignment horizontal="center"/>
    </xf>
    <xf numFmtId="3" fontId="3" fillId="5" borderId="23" xfId="0" applyNumberFormat="1" applyFont="1" applyFill="1" applyBorder="1"/>
    <xf numFmtId="3" fontId="3" fillId="5" borderId="35" xfId="0" applyNumberFormat="1" applyFont="1" applyFill="1" applyBorder="1"/>
    <xf numFmtId="1" fontId="3" fillId="0" borderId="35" xfId="0" applyNumberFormat="1" applyFont="1" applyBorder="1" applyAlignment="1">
      <alignment horizontal="center"/>
    </xf>
    <xf numFmtId="164" fontId="3" fillId="8" borderId="17" xfId="0" applyNumberFormat="1" applyFont="1" applyFill="1" applyBorder="1" applyAlignment="1">
      <alignment horizontal="center"/>
    </xf>
    <xf numFmtId="0" fontId="8" fillId="8" borderId="23" xfId="0" applyFont="1" applyFill="1" applyBorder="1" applyAlignment="1">
      <alignment horizontal="center"/>
    </xf>
    <xf numFmtId="3" fontId="3" fillId="13" borderId="27" xfId="0" applyNumberFormat="1" applyFont="1" applyFill="1" applyBorder="1" applyAlignment="1">
      <alignment horizontal="right"/>
    </xf>
    <xf numFmtId="0" fontId="3" fillId="13" borderId="17" xfId="0" applyFont="1" applyFill="1" applyBorder="1" applyAlignment="1">
      <alignment horizontal="center"/>
    </xf>
    <xf numFmtId="3" fontId="3" fillId="13" borderId="17" xfId="0" applyNumberFormat="1" applyFont="1" applyFill="1" applyBorder="1"/>
    <xf numFmtId="0" fontId="0" fillId="7" borderId="17" xfId="0" applyFill="1" applyBorder="1"/>
    <xf numFmtId="0" fontId="3" fillId="0" borderId="32" xfId="0" applyFont="1" applyBorder="1"/>
    <xf numFmtId="164" fontId="3" fillId="2" borderId="21" xfId="0" applyNumberFormat="1" applyFont="1" applyFill="1" applyBorder="1" applyAlignment="1">
      <alignment horizontal="center"/>
    </xf>
    <xf numFmtId="164" fontId="3" fillId="8" borderId="39" xfId="0" quotePrefix="1" applyNumberFormat="1" applyFont="1" applyFill="1" applyBorder="1" applyAlignment="1">
      <alignment horizontal="left"/>
    </xf>
    <xf numFmtId="164" fontId="0" fillId="7" borderId="17" xfId="0" applyNumberFormat="1" applyFill="1" applyBorder="1"/>
    <xf numFmtId="3" fontId="3" fillId="13" borderId="17" xfId="0" quotePrefix="1" applyNumberFormat="1" applyFont="1" applyFill="1" applyBorder="1" applyAlignment="1">
      <alignment horizontal="right"/>
    </xf>
    <xf numFmtId="164" fontId="3" fillId="0" borderId="28" xfId="0" quotePrefix="1" applyNumberFormat="1" applyFont="1" applyBorder="1" applyAlignment="1">
      <alignment horizontal="left"/>
    </xf>
    <xf numFmtId="164" fontId="0" fillId="0" borderId="21" xfId="0" applyNumberFormat="1" applyBorder="1"/>
    <xf numFmtId="0" fontId="3" fillId="4" borderId="21" xfId="0" applyFont="1" applyFill="1" applyBorder="1" applyAlignment="1">
      <alignment horizontal="center"/>
    </xf>
    <xf numFmtId="3" fontId="3" fillId="5" borderId="21" xfId="0" quotePrefix="1" applyNumberFormat="1" applyFont="1" applyFill="1" applyBorder="1" applyAlignment="1">
      <alignment horizontal="right"/>
    </xf>
    <xf numFmtId="1" fontId="0" fillId="7" borderId="17" xfId="0" applyNumberFormat="1" applyFill="1" applyBorder="1"/>
    <xf numFmtId="164" fontId="3" fillId="25" borderId="16" xfId="0" quotePrefix="1" applyNumberFormat="1" applyFont="1" applyFill="1" applyBorder="1" applyAlignment="1">
      <alignment horizontal="left"/>
    </xf>
    <xf numFmtId="164" fontId="0" fillId="0" borderId="15" xfId="0" applyNumberFormat="1" applyBorder="1"/>
    <xf numFmtId="164" fontId="3" fillId="0" borderId="15" xfId="0" applyNumberFormat="1" applyFont="1" applyBorder="1" applyAlignment="1">
      <alignment horizontal="center"/>
    </xf>
    <xf numFmtId="2" fontId="3" fillId="5" borderId="15" xfId="0" applyNumberFormat="1" applyFont="1" applyFill="1" applyBorder="1" applyAlignment="1">
      <alignment horizontal="center"/>
    </xf>
    <xf numFmtId="3" fontId="3" fillId="5" borderId="15" xfId="0" quotePrefix="1" applyNumberFormat="1" applyFont="1" applyFill="1" applyBorder="1" applyAlignment="1">
      <alignment horizontal="right"/>
    </xf>
    <xf numFmtId="1" fontId="0" fillId="7" borderId="21" xfId="0" applyNumberFormat="1" applyFill="1" applyBorder="1"/>
    <xf numFmtId="164" fontId="0" fillId="7" borderId="21" xfId="0" applyNumberFormat="1" applyFill="1" applyBorder="1"/>
    <xf numFmtId="0" fontId="3" fillId="13" borderId="23" xfId="0" applyFont="1" applyFill="1" applyBorder="1" applyAlignment="1">
      <alignment horizontal="center"/>
    </xf>
    <xf numFmtId="3" fontId="3" fillId="13" borderId="21" xfId="0" quotePrefix="1" applyNumberFormat="1" applyFont="1" applyFill="1" applyBorder="1" applyAlignment="1">
      <alignment horizontal="right"/>
    </xf>
    <xf numFmtId="0" fontId="3" fillId="10" borderId="25" xfId="0" quotePrefix="1" applyFont="1" applyFill="1" applyBorder="1" applyAlignment="1">
      <alignment horizontal="left"/>
    </xf>
    <xf numFmtId="0" fontId="9" fillId="26" borderId="15" xfId="0" quotePrefix="1" applyFont="1" applyFill="1" applyBorder="1" applyAlignment="1">
      <alignment horizontal="left"/>
    </xf>
    <xf numFmtId="0" fontId="3" fillId="4" borderId="17" xfId="0" applyFont="1" applyFill="1" applyBorder="1" applyAlignment="1">
      <alignment horizontal="center"/>
    </xf>
    <xf numFmtId="3" fontId="3" fillId="5" borderId="17" xfId="0" quotePrefix="1" applyNumberFormat="1" applyFont="1" applyFill="1" applyBorder="1" applyAlignment="1">
      <alignment horizontal="right"/>
    </xf>
    <xf numFmtId="0" fontId="3" fillId="10" borderId="22" xfId="0" quotePrefix="1" applyFont="1" applyFill="1" applyBorder="1" applyAlignment="1">
      <alignment horizontal="left"/>
    </xf>
    <xf numFmtId="0" fontId="9" fillId="27" borderId="15" xfId="0" quotePrefix="1" applyFont="1" applyFill="1" applyBorder="1" applyAlignment="1">
      <alignment horizontal="left"/>
    </xf>
    <xf numFmtId="2" fontId="3" fillId="13" borderId="15" xfId="0" applyNumberFormat="1" applyFont="1" applyFill="1" applyBorder="1" applyAlignment="1">
      <alignment horizontal="center"/>
    </xf>
    <xf numFmtId="3" fontId="3" fillId="13" borderId="15" xfId="0" quotePrefix="1" applyNumberFormat="1" applyFont="1" applyFill="1" applyBorder="1" applyAlignment="1">
      <alignment horizontal="right"/>
    </xf>
    <xf numFmtId="2" fontId="3" fillId="19" borderId="21" xfId="0" applyNumberFormat="1" applyFont="1" applyFill="1" applyBorder="1"/>
    <xf numFmtId="164" fontId="3" fillId="25" borderId="25" xfId="0" quotePrefix="1" applyNumberFormat="1" applyFont="1" applyFill="1" applyBorder="1" applyAlignment="1">
      <alignment horizontal="left"/>
    </xf>
    <xf numFmtId="0" fontId="3" fillId="7" borderId="17" xfId="0" applyFont="1" applyFill="1" applyBorder="1"/>
    <xf numFmtId="0" fontId="9" fillId="28" borderId="15" xfId="0" quotePrefix="1" applyFont="1" applyFill="1" applyBorder="1" applyAlignment="1">
      <alignment horizontal="left"/>
    </xf>
    <xf numFmtId="164" fontId="3" fillId="2" borderId="15" xfId="0" applyNumberFormat="1" applyFont="1" applyFill="1" applyBorder="1" applyAlignment="1">
      <alignment horizontal="center"/>
    </xf>
    <xf numFmtId="3" fontId="3" fillId="5" borderId="38" xfId="0" applyNumberFormat="1" applyFont="1" applyFill="1" applyBorder="1" applyAlignment="1">
      <alignment horizontal="right"/>
    </xf>
    <xf numFmtId="164" fontId="3" fillId="0" borderId="15" xfId="0" applyNumberFormat="1" applyFont="1" applyBorder="1"/>
    <xf numFmtId="164" fontId="3" fillId="8" borderId="15" xfId="0" applyNumberFormat="1" applyFont="1" applyFill="1" applyBorder="1" applyAlignment="1">
      <alignment horizontal="center"/>
    </xf>
    <xf numFmtId="164" fontId="3" fillId="10" borderId="22" xfId="0" quotePrefix="1" applyNumberFormat="1" applyFont="1" applyFill="1" applyBorder="1" applyAlignment="1">
      <alignment horizontal="left"/>
    </xf>
    <xf numFmtId="3" fontId="3" fillId="5" borderId="21" xfId="0" applyNumberFormat="1" applyFont="1" applyFill="1" applyBorder="1" applyAlignment="1">
      <alignment horizontal="right"/>
    </xf>
    <xf numFmtId="1" fontId="0" fillId="7" borderId="23" xfId="0" applyNumberFormat="1" applyFill="1" applyBorder="1"/>
    <xf numFmtId="0" fontId="3" fillId="7" borderId="28" xfId="0" applyFont="1" applyFill="1" applyBorder="1"/>
    <xf numFmtId="0" fontId="3" fillId="7" borderId="23" xfId="0" applyFont="1" applyFill="1" applyBorder="1"/>
    <xf numFmtId="0" fontId="3" fillId="7" borderId="23" xfId="0" applyFont="1" applyFill="1" applyBorder="1" applyAlignment="1">
      <alignment horizontal="center"/>
    </xf>
    <xf numFmtId="2" fontId="3" fillId="7" borderId="23" xfId="0" applyNumberFormat="1" applyFont="1" applyFill="1" applyBorder="1"/>
    <xf numFmtId="164" fontId="3" fillId="8" borderId="23" xfId="0" applyNumberFormat="1" applyFont="1" applyFill="1" applyBorder="1" applyAlignment="1">
      <alignment horizontal="center"/>
    </xf>
    <xf numFmtId="2" fontId="3" fillId="13" borderId="23" xfId="0" applyNumberFormat="1" applyFont="1" applyFill="1" applyBorder="1" applyAlignment="1">
      <alignment horizontal="center"/>
    </xf>
    <xf numFmtId="3" fontId="3" fillId="13" borderId="23" xfId="0" applyNumberFormat="1" applyFont="1" applyFill="1" applyBorder="1"/>
    <xf numFmtId="0" fontId="3" fillId="13" borderId="23" xfId="0" quotePrefix="1" applyFont="1" applyFill="1" applyBorder="1" applyAlignment="1">
      <alignment horizontal="right"/>
    </xf>
    <xf numFmtId="0" fontId="0" fillId="7" borderId="23" xfId="0" applyFill="1" applyBorder="1"/>
    <xf numFmtId="1" fontId="3" fillId="8" borderId="23" xfId="0" applyNumberFormat="1" applyFont="1" applyFill="1" applyBorder="1" applyAlignment="1">
      <alignment horizontal="center"/>
    </xf>
    <xf numFmtId="164" fontId="0" fillId="0" borderId="17" xfId="0" applyNumberFormat="1" applyBorder="1"/>
    <xf numFmtId="0" fontId="3" fillId="2" borderId="17" xfId="0" applyFont="1" applyFill="1" applyBorder="1"/>
    <xf numFmtId="164" fontId="3" fillId="2" borderId="17" xfId="0" applyNumberFormat="1" applyFont="1" applyFill="1" applyBorder="1" applyAlignment="1">
      <alignment horizontal="center"/>
    </xf>
    <xf numFmtId="37" fontId="3" fillId="0" borderId="27" xfId="0" applyNumberFormat="1" applyFont="1" applyBorder="1"/>
    <xf numFmtId="2" fontId="3" fillId="0" borderId="27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3" fontId="3" fillId="0" borderId="27" xfId="0" applyNumberFormat="1" applyFont="1" applyBorder="1"/>
    <xf numFmtId="0" fontId="3" fillId="0" borderId="27" xfId="0" quotePrefix="1" applyFont="1" applyBorder="1" applyAlignment="1">
      <alignment horizontal="right"/>
    </xf>
    <xf numFmtId="164" fontId="3" fillId="25" borderId="22" xfId="0" quotePrefix="1" applyNumberFormat="1" applyFont="1" applyFill="1" applyBorder="1" applyAlignment="1">
      <alignment horizontal="left"/>
    </xf>
    <xf numFmtId="0" fontId="3" fillId="8" borderId="21" xfId="0" applyFont="1" applyFill="1" applyBorder="1"/>
    <xf numFmtId="164" fontId="3" fillId="10" borderId="25" xfId="0" quotePrefix="1" applyNumberFormat="1" applyFont="1" applyFill="1" applyBorder="1" applyAlignment="1">
      <alignment horizontal="left"/>
    </xf>
    <xf numFmtId="164" fontId="3" fillId="0" borderId="17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right"/>
    </xf>
    <xf numFmtId="164" fontId="0" fillId="7" borderId="15" xfId="0" applyNumberFormat="1" applyFill="1" applyBorder="1"/>
    <xf numFmtId="164" fontId="3" fillId="10" borderId="16" xfId="0" quotePrefix="1" applyNumberFormat="1" applyFont="1" applyFill="1" applyBorder="1" applyAlignment="1">
      <alignment horizontal="left"/>
    </xf>
    <xf numFmtId="0" fontId="0" fillId="0" borderId="15" xfId="0" applyBorder="1"/>
    <xf numFmtId="2" fontId="3" fillId="0" borderId="17" xfId="0" applyNumberFormat="1" applyFont="1" applyBorder="1" applyAlignment="1">
      <alignment horizontal="center"/>
    </xf>
    <xf numFmtId="3" fontId="3" fillId="0" borderId="17" xfId="0" quotePrefix="1" applyNumberFormat="1" applyFont="1" applyBorder="1" applyAlignment="1">
      <alignment horizontal="right"/>
    </xf>
    <xf numFmtId="164" fontId="3" fillId="10" borderId="25" xfId="0" applyNumberFormat="1" applyFont="1" applyFill="1" applyBorder="1"/>
    <xf numFmtId="3" fontId="3" fillId="0" borderId="38" xfId="0" applyNumberFormat="1" applyFont="1" applyBorder="1" applyAlignment="1">
      <alignment horizontal="right"/>
    </xf>
    <xf numFmtId="164" fontId="3" fillId="25" borderId="16" xfId="0" applyNumberFormat="1" applyFont="1" applyFill="1" applyBorder="1"/>
    <xf numFmtId="164" fontId="3" fillId="10" borderId="16" xfId="0" applyNumberFormat="1" applyFont="1" applyFill="1" applyBorder="1"/>
    <xf numFmtId="2" fontId="3" fillId="0" borderId="15" xfId="0" applyNumberFormat="1" applyFont="1" applyBorder="1" applyAlignment="1">
      <alignment horizontal="center"/>
    </xf>
    <xf numFmtId="3" fontId="3" fillId="0" borderId="15" xfId="0" quotePrefix="1" applyNumberFormat="1" applyFont="1" applyBorder="1" applyAlignment="1">
      <alignment horizontal="right"/>
    </xf>
    <xf numFmtId="164" fontId="3" fillId="10" borderId="22" xfId="0" applyNumberFormat="1" applyFont="1" applyFill="1" applyBorder="1"/>
    <xf numFmtId="164" fontId="3" fillId="0" borderId="21" xfId="0" applyNumberFormat="1" applyFont="1" applyBorder="1" applyAlignment="1">
      <alignment horizontal="center"/>
    </xf>
    <xf numFmtId="0" fontId="9" fillId="32" borderId="21" xfId="0" quotePrefix="1" applyFont="1" applyFill="1" applyBorder="1" applyAlignment="1">
      <alignment horizontal="left"/>
    </xf>
    <xf numFmtId="3" fontId="3" fillId="0" borderId="21" xfId="0" applyNumberFormat="1" applyFont="1" applyBorder="1" applyAlignment="1">
      <alignment horizontal="right"/>
    </xf>
    <xf numFmtId="2" fontId="3" fillId="0" borderId="21" xfId="0" applyNumberFormat="1" applyFont="1" applyBorder="1" applyAlignment="1">
      <alignment horizontal="center"/>
    </xf>
    <xf numFmtId="3" fontId="3" fillId="0" borderId="21" xfId="0" quotePrefix="1" applyNumberFormat="1" applyFont="1" applyBorder="1" applyAlignment="1">
      <alignment horizontal="right"/>
    </xf>
    <xf numFmtId="164" fontId="3" fillId="25" borderId="22" xfId="0" applyNumberFormat="1" applyFont="1" applyFill="1" applyBorder="1"/>
    <xf numFmtId="0" fontId="3" fillId="7" borderId="21" xfId="0" applyFont="1" applyFill="1" applyBorder="1" applyAlignment="1">
      <alignment horizontal="left"/>
    </xf>
    <xf numFmtId="3" fontId="3" fillId="13" borderId="23" xfId="0" applyNumberFormat="1" applyFont="1" applyFill="1" applyBorder="1" applyAlignment="1">
      <alignment horizontal="right"/>
    </xf>
    <xf numFmtId="3" fontId="3" fillId="13" borderId="23" xfId="0" quotePrefix="1" applyNumberFormat="1" applyFont="1" applyFill="1" applyBorder="1" applyAlignment="1">
      <alignment horizontal="right"/>
    </xf>
    <xf numFmtId="164" fontId="3" fillId="2" borderId="15" xfId="0" applyNumberFormat="1" applyFont="1" applyFill="1" applyBorder="1"/>
    <xf numFmtId="164" fontId="3" fillId="0" borderId="15" xfId="0" quotePrefix="1" applyNumberFormat="1" applyFont="1" applyBorder="1" applyAlignment="1">
      <alignment horizontal="left"/>
    </xf>
    <xf numFmtId="1" fontId="8" fillId="10" borderId="15" xfId="0" applyNumberFormat="1" applyFont="1" applyFill="1" applyBorder="1" applyAlignment="1">
      <alignment horizontal="left"/>
    </xf>
    <xf numFmtId="0" fontId="8" fillId="0" borderId="15" xfId="0" applyFont="1" applyBorder="1" applyAlignment="1">
      <alignment horizontal="center"/>
    </xf>
    <xf numFmtId="1" fontId="8" fillId="10" borderId="21" xfId="0" applyNumberFormat="1" applyFont="1" applyFill="1" applyBorder="1" applyAlignment="1">
      <alignment horizontal="left"/>
    </xf>
    <xf numFmtId="0" fontId="8" fillId="13" borderId="21" xfId="0" applyFont="1" applyFill="1" applyBorder="1" applyAlignment="1">
      <alignment horizontal="center"/>
    </xf>
    <xf numFmtId="3" fontId="3" fillId="7" borderId="21" xfId="0" applyNumberFormat="1" applyFont="1" applyFill="1" applyBorder="1" applyAlignment="1">
      <alignment horizontal="center"/>
    </xf>
    <xf numFmtId="164" fontId="3" fillId="0" borderId="25" xfId="0" quotePrefix="1" applyNumberFormat="1" applyFont="1" applyBorder="1" applyAlignment="1">
      <alignment horizontal="left"/>
    </xf>
    <xf numFmtId="164" fontId="3" fillId="7" borderId="16" xfId="0" quotePrefix="1" applyNumberFormat="1" applyFont="1" applyFill="1" applyBorder="1" applyAlignment="1">
      <alignment horizontal="left"/>
    </xf>
    <xf numFmtId="164" fontId="3" fillId="0" borderId="16" xfId="0" quotePrefix="1" applyNumberFormat="1" applyFont="1" applyBorder="1" applyAlignment="1">
      <alignment horizontal="left"/>
    </xf>
    <xf numFmtId="0" fontId="3" fillId="25" borderId="25" xfId="0" quotePrefix="1" applyFont="1" applyFill="1" applyBorder="1" applyAlignment="1">
      <alignment horizontal="left"/>
    </xf>
    <xf numFmtId="0" fontId="3" fillId="25" borderId="16" xfId="0" quotePrefix="1" applyFont="1" applyFill="1" applyBorder="1" applyAlignment="1">
      <alignment horizontal="left"/>
    </xf>
    <xf numFmtId="0" fontId="3" fillId="25" borderId="22" xfId="0" quotePrefix="1" applyFont="1" applyFill="1" applyBorder="1" applyAlignment="1">
      <alignment horizontal="left"/>
    </xf>
    <xf numFmtId="164" fontId="3" fillId="2" borderId="28" xfId="0" quotePrefix="1" applyNumberFormat="1" applyFont="1" applyFill="1" applyBorder="1" applyAlignment="1">
      <alignment horizontal="left"/>
    </xf>
    <xf numFmtId="164" fontId="0" fillId="0" borderId="23" xfId="0" quotePrefix="1" applyNumberFormat="1" applyBorder="1" applyAlignment="1">
      <alignment horizontal="left"/>
    </xf>
    <xf numFmtId="164" fontId="3" fillId="2" borderId="23" xfId="0" applyNumberFormat="1" applyFont="1" applyFill="1" applyBorder="1" applyAlignment="1">
      <alignment horizontal="center"/>
    </xf>
    <xf numFmtId="0" fontId="0" fillId="0" borderId="23" xfId="0" applyBorder="1"/>
    <xf numFmtId="164" fontId="3" fillId="8" borderId="28" xfId="0" quotePrefix="1" applyNumberFormat="1" applyFont="1" applyFill="1" applyBorder="1" applyAlignment="1">
      <alignment horizontal="left"/>
    </xf>
    <xf numFmtId="164" fontId="0" fillId="7" borderId="23" xfId="0" applyNumberFormat="1" applyFill="1" applyBorder="1"/>
    <xf numFmtId="0" fontId="3" fillId="8" borderId="23" xfId="0" applyFont="1" applyFill="1" applyBorder="1" applyAlignment="1">
      <alignment horizontal="center"/>
    </xf>
    <xf numFmtId="164" fontId="3" fillId="0" borderId="17" xfId="0" applyNumberFormat="1" applyFont="1" applyBorder="1"/>
    <xf numFmtId="0" fontId="3" fillId="10" borderId="16" xfId="0" quotePrefix="1" applyFont="1" applyFill="1" applyBorder="1" applyAlignment="1">
      <alignment horizontal="left"/>
    </xf>
    <xf numFmtId="0" fontId="10" fillId="33" borderId="23" xfId="0" applyFont="1" applyFill="1" applyBorder="1"/>
    <xf numFmtId="0" fontId="3" fillId="4" borderId="23" xfId="0" applyFont="1" applyFill="1" applyBorder="1" applyAlignment="1">
      <alignment horizontal="center"/>
    </xf>
    <xf numFmtId="0" fontId="3" fillId="7" borderId="23" xfId="0" quotePrefix="1" applyFont="1" applyFill="1" applyBorder="1" applyAlignment="1">
      <alignment horizontal="left"/>
    </xf>
    <xf numFmtId="0" fontId="3" fillId="21" borderId="17" xfId="0" applyFont="1" applyFill="1" applyBorder="1"/>
    <xf numFmtId="0" fontId="3" fillId="0" borderId="26" xfId="0" applyFont="1" applyBorder="1"/>
    <xf numFmtId="0" fontId="0" fillId="7" borderId="16" xfId="0" quotePrefix="1" applyFill="1" applyBorder="1" applyAlignment="1">
      <alignment horizontal="left"/>
    </xf>
    <xf numFmtId="0" fontId="0" fillId="0" borderId="22" xfId="0" quotePrefix="1" applyBorder="1" applyAlignment="1">
      <alignment horizontal="left"/>
    </xf>
    <xf numFmtId="0" fontId="3" fillId="8" borderId="28" xfId="0" quotePrefix="1" applyFont="1" applyFill="1" applyBorder="1" applyAlignment="1">
      <alignment horizontal="left"/>
    </xf>
    <xf numFmtId="164" fontId="3" fillId="25" borderId="28" xfId="0" quotePrefix="1" applyNumberFormat="1" applyFont="1" applyFill="1" applyBorder="1" applyAlignment="1">
      <alignment horizontal="left"/>
    </xf>
    <xf numFmtId="164" fontId="0" fillId="0" borderId="23" xfId="0" applyNumberFormat="1" applyBorder="1"/>
    <xf numFmtId="0" fontId="3" fillId="3" borderId="23" xfId="0" quotePrefix="1" applyFont="1" applyFill="1" applyBorder="1" applyAlignment="1">
      <alignment horizontal="left"/>
    </xf>
    <xf numFmtId="0" fontId="3" fillId="7" borderId="46" xfId="0" quotePrefix="1" applyFont="1" applyFill="1" applyBorder="1" applyAlignment="1">
      <alignment horizontal="left"/>
    </xf>
    <xf numFmtId="0" fontId="3" fillId="7" borderId="47" xfId="0" quotePrefix="1" applyFont="1" applyFill="1" applyBorder="1" applyAlignment="1">
      <alignment horizontal="left"/>
    </xf>
    <xf numFmtId="0" fontId="3" fillId="0" borderId="28" xfId="0" quotePrefix="1" applyFont="1" applyBorder="1" applyAlignment="1">
      <alignment horizontal="left"/>
    </xf>
    <xf numFmtId="164" fontId="3" fillId="25" borderId="25" xfId="0" applyNumberFormat="1" applyFont="1" applyFill="1" applyBorder="1"/>
    <xf numFmtId="3" fontId="3" fillId="5" borderId="17" xfId="0" applyNumberFormat="1" applyFont="1" applyFill="1" applyBorder="1" applyAlignment="1">
      <alignment horizontal="right"/>
    </xf>
    <xf numFmtId="0" fontId="9" fillId="32" borderId="15" xfId="0" quotePrefix="1" applyFont="1" applyFill="1" applyBorder="1" applyAlignment="1">
      <alignment horizontal="left"/>
    </xf>
    <xf numFmtId="0" fontId="3" fillId="20" borderId="15" xfId="0" applyFont="1" applyFill="1" applyBorder="1" applyAlignment="1">
      <alignment horizontal="center"/>
    </xf>
    <xf numFmtId="0" fontId="9" fillId="34" borderId="15" xfId="0" quotePrefix="1" applyFont="1" applyFill="1" applyBorder="1" applyAlignment="1">
      <alignment horizontal="left"/>
    </xf>
    <xf numFmtId="0" fontId="9" fillId="35" borderId="21" xfId="0" quotePrefix="1" applyFont="1" applyFill="1" applyBorder="1" applyAlignment="1">
      <alignment horizontal="left"/>
    </xf>
    <xf numFmtId="0" fontId="3" fillId="20" borderId="17" xfId="0" applyFont="1" applyFill="1" applyBorder="1" applyAlignment="1">
      <alignment horizontal="center"/>
    </xf>
    <xf numFmtId="164" fontId="3" fillId="7" borderId="17" xfId="0" applyNumberFormat="1" applyFont="1" applyFill="1" applyBorder="1" applyAlignment="1">
      <alignment horizontal="center"/>
    </xf>
    <xf numFmtId="37" fontId="3" fillId="5" borderId="17" xfId="0" applyNumberFormat="1" applyFont="1" applyFill="1" applyBorder="1" applyAlignment="1">
      <alignment horizontal="right"/>
    </xf>
    <xf numFmtId="0" fontId="3" fillId="25" borderId="25" xfId="0" applyFont="1" applyFill="1" applyBorder="1"/>
    <xf numFmtId="0" fontId="3" fillId="25" borderId="22" xfId="0" applyFont="1" applyFill="1" applyBorder="1"/>
    <xf numFmtId="0" fontId="3" fillId="13" borderId="21" xfId="0" quotePrefix="1" applyFont="1" applyFill="1" applyBorder="1" applyAlignment="1">
      <alignment horizontal="right"/>
    </xf>
    <xf numFmtId="0" fontId="3" fillId="25" borderId="28" xfId="0" quotePrefix="1" applyFont="1" applyFill="1" applyBorder="1" applyAlignment="1">
      <alignment horizontal="left"/>
    </xf>
    <xf numFmtId="3" fontId="3" fillId="0" borderId="23" xfId="0" applyNumberFormat="1" applyFont="1" applyBorder="1"/>
    <xf numFmtId="164" fontId="3" fillId="8" borderId="52" xfId="0" quotePrefix="1" applyNumberFormat="1" applyFont="1" applyFill="1" applyBorder="1" applyAlignment="1">
      <alignment horizontal="left"/>
    </xf>
    <xf numFmtId="164" fontId="0" fillId="7" borderId="53" xfId="0" applyNumberFormat="1" applyFill="1" applyBorder="1"/>
    <xf numFmtId="0" fontId="3" fillId="7" borderId="53" xfId="0" applyFont="1" applyFill="1" applyBorder="1"/>
    <xf numFmtId="0" fontId="3" fillId="7" borderId="35" xfId="0" applyFont="1" applyFill="1" applyBorder="1" applyAlignment="1">
      <alignment horizontal="center"/>
    </xf>
    <xf numFmtId="2" fontId="3" fillId="7" borderId="35" xfId="0" applyNumberFormat="1" applyFont="1" applyFill="1" applyBorder="1"/>
    <xf numFmtId="164" fontId="3" fillId="8" borderId="35" xfId="0" applyNumberFormat="1" applyFont="1" applyFill="1" applyBorder="1" applyAlignment="1">
      <alignment horizontal="center"/>
    </xf>
    <xf numFmtId="0" fontId="3" fillId="8" borderId="35" xfId="0" applyFont="1" applyFill="1" applyBorder="1" applyAlignment="1">
      <alignment horizontal="center"/>
    </xf>
    <xf numFmtId="3" fontId="3" fillId="7" borderId="35" xfId="0" applyNumberFormat="1" applyFont="1" applyFill="1" applyBorder="1" applyAlignment="1">
      <alignment horizontal="right"/>
    </xf>
    <xf numFmtId="3" fontId="3" fillId="7" borderId="35" xfId="0" applyNumberFormat="1" applyFont="1" applyFill="1" applyBorder="1"/>
    <xf numFmtId="37" fontId="3" fillId="13" borderId="35" xfId="0" applyNumberFormat="1" applyFont="1" applyFill="1" applyBorder="1"/>
    <xf numFmtId="2" fontId="3" fillId="13" borderId="35" xfId="0" applyNumberFormat="1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3" fontId="3" fillId="13" borderId="35" xfId="0" applyNumberFormat="1" applyFont="1" applyFill="1" applyBorder="1"/>
    <xf numFmtId="0" fontId="3" fillId="13" borderId="35" xfId="0" quotePrefix="1" applyFont="1" applyFill="1" applyBorder="1" applyAlignment="1">
      <alignment horizontal="right"/>
    </xf>
    <xf numFmtId="1" fontId="3" fillId="8" borderId="35" xfId="0" applyNumberFormat="1" applyFont="1" applyFill="1" applyBorder="1" applyAlignment="1">
      <alignment horizontal="center"/>
    </xf>
    <xf numFmtId="164" fontId="3" fillId="10" borderId="39" xfId="0" quotePrefix="1" applyNumberFormat="1" applyFont="1" applyFill="1" applyBorder="1" applyAlignment="1">
      <alignment horizontal="left"/>
    </xf>
    <xf numFmtId="164" fontId="0" fillId="0" borderId="54" xfId="0" applyNumberFormat="1" applyBorder="1"/>
    <xf numFmtId="0" fontId="3" fillId="0" borderId="54" xfId="0" applyFont="1" applyBorder="1"/>
    <xf numFmtId="3" fontId="3" fillId="0" borderId="35" xfId="0" applyNumberFormat="1" applyFont="1" applyBorder="1" applyAlignment="1">
      <alignment horizontal="right"/>
    </xf>
    <xf numFmtId="3" fontId="3" fillId="0" borderId="35" xfId="0" applyNumberFormat="1" applyFont="1" applyBorder="1"/>
    <xf numFmtId="0" fontId="3" fillId="5" borderId="35" xfId="0" applyFont="1" applyFill="1" applyBorder="1" applyAlignment="1">
      <alignment horizontal="center"/>
    </xf>
    <xf numFmtId="37" fontId="3" fillId="5" borderId="35" xfId="0" applyNumberFormat="1" applyFont="1" applyFill="1" applyBorder="1"/>
    <xf numFmtId="2" fontId="3" fillId="5" borderId="35" xfId="0" applyNumberFormat="1" applyFont="1" applyFill="1" applyBorder="1" applyAlignment="1">
      <alignment horizontal="center"/>
    </xf>
    <xf numFmtId="164" fontId="3" fillId="8" borderId="55" xfId="0" quotePrefix="1" applyNumberFormat="1" applyFont="1" applyFill="1" applyBorder="1" applyAlignment="1">
      <alignment horizontal="left"/>
    </xf>
    <xf numFmtId="164" fontId="0" fillId="7" borderId="42" xfId="0" applyNumberFormat="1" applyFill="1" applyBorder="1"/>
    <xf numFmtId="0" fontId="3" fillId="7" borderId="42" xfId="0" applyFont="1" applyFill="1" applyBorder="1"/>
    <xf numFmtId="3" fontId="3" fillId="7" borderId="23" xfId="0" applyNumberFormat="1" applyFont="1" applyFill="1" applyBorder="1"/>
    <xf numFmtId="0" fontId="3" fillId="0" borderId="23" xfId="0" applyFont="1" applyBorder="1" applyAlignment="1">
      <alignment horizontal="left"/>
    </xf>
    <xf numFmtId="164" fontId="3" fillId="8" borderId="56" xfId="0" quotePrefix="1" applyNumberFormat="1" applyFont="1" applyFill="1" applyBorder="1" applyAlignment="1">
      <alignment horizontal="left"/>
    </xf>
    <xf numFmtId="164" fontId="0" fillId="7" borderId="41" xfId="0" applyNumberFormat="1" applyFill="1" applyBorder="1"/>
    <xf numFmtId="0" fontId="3" fillId="7" borderId="41" xfId="0" quotePrefix="1" applyFont="1" applyFill="1" applyBorder="1" applyAlignment="1">
      <alignment horizontal="left"/>
    </xf>
    <xf numFmtId="2" fontId="3" fillId="13" borderId="27" xfId="0" applyNumberFormat="1" applyFont="1" applyFill="1" applyBorder="1" applyAlignment="1">
      <alignment horizontal="center"/>
    </xf>
    <xf numFmtId="164" fontId="3" fillId="10" borderId="55" xfId="0" quotePrefix="1" applyNumberFormat="1" applyFont="1" applyFill="1" applyBorder="1" applyAlignment="1">
      <alignment horizontal="left"/>
    </xf>
    <xf numFmtId="164" fontId="0" fillId="0" borderId="42" xfId="0" applyNumberFormat="1" applyBorder="1"/>
    <xf numFmtId="0" fontId="3" fillId="0" borderId="42" xfId="0" applyFont="1" applyBorder="1"/>
    <xf numFmtId="0" fontId="3" fillId="3" borderId="21" xfId="0" quotePrefix="1" applyFont="1" applyFill="1" applyBorder="1" applyAlignment="1">
      <alignment horizontal="left"/>
    </xf>
    <xf numFmtId="3" fontId="3" fillId="13" borderId="38" xfId="0" applyNumberFormat="1" applyFont="1" applyFill="1" applyBorder="1" applyAlignment="1">
      <alignment horizontal="right"/>
    </xf>
    <xf numFmtId="3" fontId="4" fillId="0" borderId="15" xfId="0" applyNumberFormat="1" applyFont="1" applyBorder="1"/>
    <xf numFmtId="0" fontId="4" fillId="5" borderId="15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1" fontId="0" fillId="7" borderId="38" xfId="0" applyNumberFormat="1" applyFill="1" applyBorder="1"/>
    <xf numFmtId="164" fontId="0" fillId="7" borderId="38" xfId="0" applyNumberFormat="1" applyFill="1" applyBorder="1"/>
    <xf numFmtId="1" fontId="8" fillId="10" borderId="17" xfId="0" applyNumberFormat="1" applyFont="1" applyFill="1" applyBorder="1" applyAlignment="1">
      <alignment horizontal="center"/>
    </xf>
    <xf numFmtId="2" fontId="3" fillId="6" borderId="38" xfId="0" applyNumberFormat="1" applyFont="1" applyFill="1" applyBorder="1"/>
    <xf numFmtId="164" fontId="3" fillId="8" borderId="38" xfId="0" applyNumberFormat="1" applyFont="1" applyFill="1" applyBorder="1" applyAlignment="1">
      <alignment horizontal="center"/>
    </xf>
    <xf numFmtId="0" fontId="3" fillId="7" borderId="38" xfId="0" quotePrefix="1" applyFont="1" applyFill="1" applyBorder="1" applyAlignment="1">
      <alignment horizontal="left"/>
    </xf>
    <xf numFmtId="0" fontId="3" fillId="8" borderId="38" xfId="0" quotePrefix="1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3" fontId="3" fillId="5" borderId="27" xfId="0" quotePrefix="1" applyNumberFormat="1" applyFont="1" applyFill="1" applyBorder="1" applyAlignment="1">
      <alignment horizontal="right"/>
    </xf>
    <xf numFmtId="1" fontId="3" fillId="8" borderId="38" xfId="0" applyNumberFormat="1" applyFont="1" applyFill="1" applyBorder="1" applyAlignment="1">
      <alignment horizontal="center"/>
    </xf>
    <xf numFmtId="164" fontId="3" fillId="2" borderId="17" xfId="0" applyNumberFormat="1" applyFont="1" applyFill="1" applyBorder="1"/>
    <xf numFmtId="0" fontId="3" fillId="5" borderId="17" xfId="0" quotePrefix="1" applyFont="1" applyFill="1" applyBorder="1" applyAlignment="1">
      <alignment horizontal="right"/>
    </xf>
    <xf numFmtId="37" fontId="3" fillId="13" borderId="21" xfId="0" applyNumberFormat="1" applyFont="1" applyFill="1" applyBorder="1"/>
    <xf numFmtId="164" fontId="3" fillId="0" borderId="28" xfId="0" applyNumberFormat="1" applyFont="1" applyBorder="1"/>
    <xf numFmtId="0" fontId="3" fillId="6" borderId="15" xfId="0" quotePrefix="1" applyFont="1" applyFill="1" applyBorder="1" applyAlignment="1">
      <alignment horizontal="center"/>
    </xf>
    <xf numFmtId="3" fontId="3" fillId="13" borderId="17" xfId="0" applyNumberFormat="1" applyFont="1" applyFill="1" applyBorder="1" applyAlignment="1">
      <alignment horizontal="right"/>
    </xf>
    <xf numFmtId="164" fontId="3" fillId="7" borderId="15" xfId="0" applyNumberFormat="1" applyFont="1" applyFill="1" applyBorder="1" applyAlignment="1">
      <alignment horizontal="center"/>
    </xf>
    <xf numFmtId="0" fontId="3" fillId="7" borderId="22" xfId="0" quotePrefix="1" applyFont="1" applyFill="1" applyBorder="1" applyAlignment="1">
      <alignment horizontal="left"/>
    </xf>
    <xf numFmtId="164" fontId="3" fillId="10" borderId="28" xfId="0" quotePrefix="1" applyNumberFormat="1" applyFont="1" applyFill="1" applyBorder="1" applyAlignment="1">
      <alignment horizontal="left"/>
    </xf>
    <xf numFmtId="3" fontId="3" fillId="5" borderId="35" xfId="0" applyNumberFormat="1" applyFont="1" applyFill="1" applyBorder="1" applyAlignment="1">
      <alignment horizontal="right"/>
    </xf>
    <xf numFmtId="164" fontId="3" fillId="2" borderId="25" xfId="0" quotePrefix="1" applyNumberFormat="1" applyFont="1" applyFill="1" applyBorder="1" applyAlignment="1">
      <alignment horizontal="left"/>
    </xf>
    <xf numFmtId="164" fontId="3" fillId="8" borderId="22" xfId="0" quotePrefix="1" applyNumberFormat="1" applyFont="1" applyFill="1" applyBorder="1" applyAlignment="1">
      <alignment horizontal="left"/>
    </xf>
    <xf numFmtId="0" fontId="8" fillId="8" borderId="27" xfId="0" applyFont="1" applyFill="1" applyBorder="1" applyAlignment="1">
      <alignment horizontal="center"/>
    </xf>
    <xf numFmtId="3" fontId="3" fillId="5" borderId="35" xfId="0" quotePrefix="1" applyNumberFormat="1" applyFont="1" applyFill="1" applyBorder="1" applyAlignment="1">
      <alignment horizontal="right"/>
    </xf>
    <xf numFmtId="0" fontId="3" fillId="7" borderId="56" xfId="0" quotePrefix="1" applyFont="1" applyFill="1" applyBorder="1" applyAlignment="1">
      <alignment horizontal="left"/>
    </xf>
    <xf numFmtId="0" fontId="3" fillId="7" borderId="17" xfId="0" applyFont="1" applyFill="1" applyBorder="1" applyAlignment="1">
      <alignment horizontal="left"/>
    </xf>
    <xf numFmtId="0" fontId="0" fillId="10" borderId="17" xfId="0" applyFill="1" applyBorder="1"/>
    <xf numFmtId="164" fontId="0" fillId="0" borderId="17" xfId="0" quotePrefix="1" applyNumberFormat="1" applyBorder="1" applyAlignment="1">
      <alignment horizontal="left"/>
    </xf>
    <xf numFmtId="0" fontId="0" fillId="10" borderId="15" xfId="0" applyFill="1" applyBorder="1"/>
    <xf numFmtId="0" fontId="0" fillId="10" borderId="21" xfId="0" applyFill="1" applyBorder="1"/>
    <xf numFmtId="164" fontId="0" fillId="0" borderId="15" xfId="0" quotePrefix="1" applyNumberFormat="1" applyBorder="1" applyAlignment="1">
      <alignment horizontal="left"/>
    </xf>
    <xf numFmtId="3" fontId="3" fillId="12" borderId="17" xfId="0" applyNumberFormat="1" applyFont="1" applyFill="1" applyBorder="1" applyAlignment="1">
      <alignment horizontal="right"/>
    </xf>
    <xf numFmtId="3" fontId="4" fillId="9" borderId="29" xfId="0" applyNumberFormat="1" applyFont="1" applyFill="1" applyBorder="1"/>
    <xf numFmtId="0" fontId="3" fillId="15" borderId="17" xfId="0" applyFont="1" applyFill="1" applyBorder="1" applyAlignment="1">
      <alignment horizontal="center"/>
    </xf>
    <xf numFmtId="3" fontId="3" fillId="11" borderId="17" xfId="0" applyNumberFormat="1" applyFont="1" applyFill="1" applyBorder="1" applyAlignment="1">
      <alignment horizontal="right"/>
    </xf>
    <xf numFmtId="0" fontId="3" fillId="11" borderId="17" xfId="0" applyFont="1" applyFill="1" applyBorder="1" applyAlignment="1">
      <alignment horizontal="center"/>
    </xf>
    <xf numFmtId="3" fontId="3" fillId="11" borderId="17" xfId="0" applyNumberFormat="1" applyFont="1" applyFill="1" applyBorder="1"/>
    <xf numFmtId="3" fontId="3" fillId="11" borderId="17" xfId="0" quotePrefix="1" applyNumberFormat="1" applyFont="1" applyFill="1" applyBorder="1" applyAlignment="1">
      <alignment horizontal="right"/>
    </xf>
    <xf numFmtId="1" fontId="0" fillId="13" borderId="15" xfId="0" applyNumberFormat="1" applyFill="1" applyBorder="1"/>
    <xf numFmtId="2" fontId="3" fillId="6" borderId="15" xfId="0" applyNumberFormat="1" applyFont="1" applyFill="1" applyBorder="1"/>
    <xf numFmtId="3" fontId="3" fillId="11" borderId="15" xfId="0" applyNumberFormat="1" applyFont="1" applyFill="1" applyBorder="1" applyAlignment="1">
      <alignment horizontal="right"/>
    </xf>
    <xf numFmtId="2" fontId="3" fillId="11" borderId="15" xfId="0" applyNumberFormat="1" applyFont="1" applyFill="1" applyBorder="1" applyAlignment="1">
      <alignment horizontal="center"/>
    </xf>
    <xf numFmtId="3" fontId="3" fillId="11" borderId="15" xfId="0" quotePrefix="1" applyNumberFormat="1" applyFont="1" applyFill="1" applyBorder="1" applyAlignment="1">
      <alignment horizontal="right"/>
    </xf>
    <xf numFmtId="0" fontId="0" fillId="10" borderId="23" xfId="0" applyFill="1" applyBorder="1"/>
    <xf numFmtId="164" fontId="3" fillId="0" borderId="23" xfId="0" quotePrefix="1" applyNumberFormat="1" applyFont="1" applyBorder="1" applyAlignment="1">
      <alignment horizontal="left"/>
    </xf>
    <xf numFmtId="0" fontId="3" fillId="5" borderId="23" xfId="0" applyFont="1" applyFill="1" applyBorder="1"/>
    <xf numFmtId="2" fontId="3" fillId="6" borderId="23" xfId="0" applyNumberFormat="1" applyFont="1" applyFill="1" applyBorder="1"/>
    <xf numFmtId="0" fontId="9" fillId="35" borderId="23" xfId="0" quotePrefix="1" applyFont="1" applyFill="1" applyBorder="1" applyAlignment="1">
      <alignment horizontal="left"/>
    </xf>
    <xf numFmtId="0" fontId="3" fillId="8" borderId="23" xfId="0" quotePrefix="1" applyFont="1" applyFill="1" applyBorder="1" applyAlignment="1">
      <alignment horizontal="center"/>
    </xf>
    <xf numFmtId="0" fontId="3" fillId="14" borderId="23" xfId="0" quotePrefix="1" applyFont="1" applyFill="1" applyBorder="1" applyAlignment="1">
      <alignment horizontal="center"/>
    </xf>
    <xf numFmtId="1" fontId="3" fillId="38" borderId="23" xfId="0" applyNumberFormat="1" applyFont="1" applyFill="1" applyBorder="1" applyAlignment="1">
      <alignment horizontal="center"/>
    </xf>
    <xf numFmtId="3" fontId="3" fillId="5" borderId="30" xfId="0" applyNumberFormat="1" applyFont="1" applyFill="1" applyBorder="1"/>
    <xf numFmtId="3" fontId="3" fillId="5" borderId="40" xfId="0" applyNumberFormat="1" applyFont="1" applyFill="1" applyBorder="1"/>
    <xf numFmtId="3" fontId="4" fillId="9" borderId="58" xfId="0" applyNumberFormat="1" applyFont="1" applyFill="1" applyBorder="1"/>
    <xf numFmtId="3" fontId="3" fillId="5" borderId="34" xfId="0" applyNumberFormat="1" applyFont="1" applyFill="1" applyBorder="1"/>
    <xf numFmtId="3" fontId="3" fillId="11" borderId="23" xfId="0" applyNumberFormat="1" applyFont="1" applyFill="1" applyBorder="1"/>
    <xf numFmtId="0" fontId="3" fillId="0" borderId="22" xfId="0" quotePrefix="1" applyFont="1" applyBorder="1" applyAlignment="1">
      <alignment horizontal="left"/>
    </xf>
    <xf numFmtId="164" fontId="3" fillId="7" borderId="17" xfId="0" quotePrefix="1" applyNumberFormat="1" applyFont="1" applyFill="1" applyBorder="1" applyAlignment="1">
      <alignment horizontal="left"/>
    </xf>
    <xf numFmtId="164" fontId="3" fillId="0" borderId="21" xfId="0" applyNumberFormat="1" applyFont="1" applyBorder="1"/>
    <xf numFmtId="164" fontId="3" fillId="7" borderId="25" xfId="0" quotePrefix="1" applyNumberFormat="1" applyFont="1" applyFill="1" applyBorder="1" applyAlignment="1">
      <alignment horizontal="left"/>
    </xf>
    <xf numFmtId="164" fontId="3" fillId="7" borderId="17" xfId="0" applyNumberFormat="1" applyFont="1" applyFill="1" applyBorder="1"/>
    <xf numFmtId="3" fontId="3" fillId="5" borderId="29" xfId="0" applyNumberFormat="1" applyFont="1" applyFill="1" applyBorder="1"/>
    <xf numFmtId="164" fontId="3" fillId="7" borderId="15" xfId="0" applyNumberFormat="1" applyFont="1" applyFill="1" applyBorder="1"/>
    <xf numFmtId="164" fontId="3" fillId="2" borderId="21" xfId="0" applyNumberFormat="1" applyFont="1" applyFill="1" applyBorder="1"/>
    <xf numFmtId="0" fontId="3" fillId="4" borderId="21" xfId="0" quotePrefix="1" applyFont="1" applyFill="1" applyBorder="1" applyAlignment="1">
      <alignment horizontal="center"/>
    </xf>
    <xf numFmtId="3" fontId="4" fillId="0" borderId="17" xfId="0" applyNumberFormat="1" applyFont="1" applyBorder="1" applyAlignment="1">
      <alignment horizontal="right"/>
    </xf>
    <xf numFmtId="3" fontId="4" fillId="0" borderId="18" xfId="0" applyNumberFormat="1" applyFont="1" applyBorder="1"/>
    <xf numFmtId="3" fontId="4" fillId="0" borderId="58" xfId="0" applyNumberFormat="1" applyFont="1" applyBorder="1"/>
    <xf numFmtId="164" fontId="0" fillId="7" borderId="21" xfId="0" quotePrefix="1" applyNumberFormat="1" applyFill="1" applyBorder="1" applyAlignment="1">
      <alignment horizontal="left"/>
    </xf>
    <xf numFmtId="0" fontId="3" fillId="2" borderId="27" xfId="0" applyFont="1" applyFill="1" applyBorder="1" applyAlignment="1">
      <alignment horizontal="center"/>
    </xf>
    <xf numFmtId="164" fontId="3" fillId="8" borderId="16" xfId="0" quotePrefix="1" applyNumberFormat="1" applyFont="1" applyFill="1" applyBorder="1" applyAlignment="1">
      <alignment horizontal="left"/>
    </xf>
    <xf numFmtId="164" fontId="3" fillId="2" borderId="22" xfId="0" quotePrefix="1" applyNumberFormat="1" applyFont="1" applyFill="1" applyBorder="1" applyAlignment="1">
      <alignment horizontal="left"/>
    </xf>
    <xf numFmtId="164" fontId="3" fillId="0" borderId="23" xfId="0" applyNumberFormat="1" applyFont="1" applyBorder="1" applyAlignment="1">
      <alignment horizontal="center"/>
    </xf>
    <xf numFmtId="0" fontId="8" fillId="14" borderId="23" xfId="0" applyFont="1" applyFill="1" applyBorder="1" applyAlignment="1">
      <alignment horizontal="center"/>
    </xf>
    <xf numFmtId="3" fontId="3" fillId="5" borderId="36" xfId="0" applyNumberFormat="1" applyFont="1" applyFill="1" applyBorder="1"/>
    <xf numFmtId="164" fontId="3" fillId="25" borderId="32" xfId="0" quotePrefix="1" applyNumberFormat="1" applyFont="1" applyFill="1" applyBorder="1" applyAlignment="1">
      <alignment horizontal="left"/>
    </xf>
    <xf numFmtId="164" fontId="0" fillId="0" borderId="33" xfId="0" applyNumberFormat="1" applyBorder="1"/>
    <xf numFmtId="0" fontId="3" fillId="0" borderId="33" xfId="0" quotePrefix="1" applyFont="1" applyBorder="1" applyAlignment="1">
      <alignment horizontal="left"/>
    </xf>
    <xf numFmtId="164" fontId="3" fillId="25" borderId="62" xfId="0" quotePrefix="1" applyNumberFormat="1" applyFont="1" applyFill="1" applyBorder="1" applyAlignment="1">
      <alignment horizontal="left"/>
    </xf>
    <xf numFmtId="164" fontId="0" fillId="7" borderId="63" xfId="0" applyNumberFormat="1" applyFill="1" applyBorder="1"/>
    <xf numFmtId="0" fontId="3" fillId="7" borderId="63" xfId="0" quotePrefix="1" applyFont="1" applyFill="1" applyBorder="1" applyAlignment="1">
      <alignment horizontal="left"/>
    </xf>
    <xf numFmtId="0" fontId="3" fillId="7" borderId="23" xfId="0" quotePrefix="1" applyFont="1" applyFill="1" applyBorder="1" applyAlignment="1">
      <alignment horizontal="center"/>
    </xf>
    <xf numFmtId="0" fontId="3" fillId="4" borderId="17" xfId="0" quotePrefix="1" applyFont="1" applyFill="1" applyBorder="1" applyAlignment="1">
      <alignment horizontal="center"/>
    </xf>
    <xf numFmtId="3" fontId="3" fillId="7" borderId="23" xfId="0" applyNumberFormat="1" applyFont="1" applyFill="1" applyBorder="1" applyAlignment="1">
      <alignment horizontal="center"/>
    </xf>
    <xf numFmtId="3" fontId="3" fillId="7" borderId="42" xfId="0" applyNumberFormat="1" applyFont="1" applyFill="1" applyBorder="1" applyAlignment="1">
      <alignment horizontal="center"/>
    </xf>
    <xf numFmtId="3" fontId="3" fillId="13" borderId="64" xfId="0" applyNumberFormat="1" applyFont="1" applyFill="1" applyBorder="1" applyAlignment="1">
      <alignment horizontal="right"/>
    </xf>
    <xf numFmtId="3" fontId="3" fillId="13" borderId="35" xfId="0" applyNumberFormat="1" applyFont="1" applyFill="1" applyBorder="1" applyAlignment="1">
      <alignment horizontal="right"/>
    </xf>
    <xf numFmtId="0" fontId="3" fillId="20" borderId="35" xfId="0" applyFont="1" applyFill="1" applyBorder="1" applyAlignment="1">
      <alignment horizontal="center"/>
    </xf>
    <xf numFmtId="0" fontId="3" fillId="14" borderId="35" xfId="0" applyFont="1" applyFill="1" applyBorder="1" applyAlignment="1">
      <alignment horizontal="center"/>
    </xf>
    <xf numFmtId="164" fontId="3" fillId="25" borderId="65" xfId="0" quotePrefix="1" applyNumberFormat="1" applyFont="1" applyFill="1" applyBorder="1" applyAlignment="1">
      <alignment horizontal="left"/>
    </xf>
    <xf numFmtId="0" fontId="0" fillId="0" borderId="66" xfId="0" applyBorder="1"/>
    <xf numFmtId="0" fontId="3" fillId="0" borderId="66" xfId="0" applyFont="1" applyBorder="1"/>
    <xf numFmtId="164" fontId="0" fillId="0" borderId="21" xfId="0" quotePrefix="1" applyNumberFormat="1" applyBorder="1" applyAlignment="1">
      <alignment horizontal="left"/>
    </xf>
    <xf numFmtId="164" fontId="0" fillId="7" borderId="17" xfId="0" quotePrefix="1" applyNumberFormat="1" applyFill="1" applyBorder="1" applyAlignment="1">
      <alignment horizontal="left"/>
    </xf>
    <xf numFmtId="0" fontId="3" fillId="8" borderId="27" xfId="0" applyFont="1" applyFill="1" applyBorder="1" applyAlignment="1">
      <alignment horizontal="center"/>
    </xf>
    <xf numFmtId="37" fontId="3" fillId="13" borderId="27" xfId="0" applyNumberFormat="1" applyFont="1" applyFill="1" applyBorder="1"/>
    <xf numFmtId="0" fontId="3" fillId="13" borderId="27" xfId="0" applyFont="1" applyFill="1" applyBorder="1" applyAlignment="1">
      <alignment horizontal="center"/>
    </xf>
    <xf numFmtId="3" fontId="3" fillId="13" borderId="27" xfId="0" applyNumberFormat="1" applyFont="1" applyFill="1" applyBorder="1"/>
    <xf numFmtId="0" fontId="3" fillId="13" borderId="27" xfId="0" quotePrefix="1" applyFont="1" applyFill="1" applyBorder="1" applyAlignment="1">
      <alignment horizontal="right"/>
    </xf>
    <xf numFmtId="0" fontId="3" fillId="39" borderId="21" xfId="0" quotePrefix="1" applyFont="1" applyFill="1" applyBorder="1" applyAlignment="1">
      <alignment horizontal="center"/>
    </xf>
    <xf numFmtId="164" fontId="3" fillId="7" borderId="22" xfId="0" quotePrefix="1" applyNumberFormat="1" applyFont="1" applyFill="1" applyBorder="1" applyAlignment="1">
      <alignment horizontal="left"/>
    </xf>
    <xf numFmtId="0" fontId="3" fillId="5" borderId="23" xfId="0" quotePrefix="1" applyFont="1" applyFill="1" applyBorder="1" applyAlignment="1">
      <alignment horizontal="right"/>
    </xf>
    <xf numFmtId="3" fontId="3" fillId="13" borderId="36" xfId="0" applyNumberFormat="1" applyFont="1" applyFill="1" applyBorder="1"/>
    <xf numFmtId="0" fontId="8" fillId="8" borderId="15" xfId="0" quotePrefix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41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37" fontId="3" fillId="13" borderId="15" xfId="0" applyNumberFormat="1" applyFont="1" applyFill="1" applyBorder="1"/>
    <xf numFmtId="37" fontId="3" fillId="5" borderId="15" xfId="0" applyNumberFormat="1" applyFont="1" applyFill="1" applyBorder="1"/>
    <xf numFmtId="0" fontId="3" fillId="3" borderId="15" xfId="0" applyFont="1" applyFill="1" applyBorder="1"/>
    <xf numFmtId="1" fontId="10" fillId="7" borderId="15" xfId="0" applyNumberFormat="1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/>
    </xf>
    <xf numFmtId="1" fontId="10" fillId="0" borderId="15" xfId="0" applyNumberFormat="1" applyFont="1" applyBorder="1" applyAlignment="1">
      <alignment horizontal="center"/>
    </xf>
    <xf numFmtId="3" fontId="4" fillId="7" borderId="17" xfId="0" applyNumberFormat="1" applyFont="1" applyFill="1" applyBorder="1" applyAlignment="1">
      <alignment horizontal="right"/>
    </xf>
    <xf numFmtId="3" fontId="4" fillId="7" borderId="18" xfId="0" applyNumberFormat="1" applyFont="1" applyFill="1" applyBorder="1"/>
    <xf numFmtId="3" fontId="4" fillId="7" borderId="15" xfId="0" applyNumberFormat="1" applyFont="1" applyFill="1" applyBorder="1"/>
    <xf numFmtId="0" fontId="3" fillId="4" borderId="23" xfId="0" quotePrefix="1" applyFont="1" applyFill="1" applyBorder="1" applyAlignment="1">
      <alignment horizontal="center"/>
    </xf>
    <xf numFmtId="164" fontId="3" fillId="25" borderId="69" xfId="0" quotePrefix="1" applyNumberFormat="1" applyFont="1" applyFill="1" applyBorder="1" applyAlignment="1">
      <alignment horizontal="left"/>
    </xf>
    <xf numFmtId="164" fontId="3" fillId="2" borderId="23" xfId="0" applyNumberFormat="1" applyFont="1" applyFill="1" applyBorder="1"/>
    <xf numFmtId="3" fontId="11" fillId="0" borderId="23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center"/>
    </xf>
    <xf numFmtId="3" fontId="3" fillId="0" borderId="42" xfId="0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3" fontId="3" fillId="5" borderId="23" xfId="0" applyNumberFormat="1" applyFont="1" applyFill="1" applyBorder="1" applyAlignment="1">
      <alignment horizontal="center"/>
    </xf>
    <xf numFmtId="3" fontId="4" fillId="9" borderId="31" xfId="0" applyNumberFormat="1" applyFont="1" applyFill="1" applyBorder="1"/>
    <xf numFmtId="3" fontId="3" fillId="7" borderId="31" xfId="0" applyNumberFormat="1" applyFont="1" applyFill="1" applyBorder="1"/>
    <xf numFmtId="0" fontId="9" fillId="27" borderId="17" xfId="0" quotePrefix="1" applyFont="1" applyFill="1" applyBorder="1" applyAlignment="1">
      <alignment horizontal="left"/>
    </xf>
    <xf numFmtId="164" fontId="3" fillId="2" borderId="25" xfId="0" applyNumberFormat="1" applyFont="1" applyFill="1" applyBorder="1" applyAlignment="1">
      <alignment horizontal="left"/>
    </xf>
    <xf numFmtId="0" fontId="12" fillId="2" borderId="17" xfId="0" applyFont="1" applyFill="1" applyBorder="1" applyAlignment="1">
      <alignment horizontal="center"/>
    </xf>
    <xf numFmtId="164" fontId="3" fillId="8" borderId="16" xfId="0" applyNumberFormat="1" applyFont="1" applyFill="1" applyBorder="1" applyAlignment="1">
      <alignment horizontal="left"/>
    </xf>
    <xf numFmtId="0" fontId="12" fillId="8" borderId="17" xfId="0" applyFont="1" applyFill="1" applyBorder="1" applyAlignment="1">
      <alignment horizontal="center"/>
    </xf>
    <xf numFmtId="0" fontId="3" fillId="13" borderId="15" xfId="0" quotePrefix="1" applyFont="1" applyFill="1" applyBorder="1" applyAlignment="1">
      <alignment horizontal="right"/>
    </xf>
    <xf numFmtId="37" fontId="3" fillId="5" borderId="21" xfId="0" applyNumberFormat="1" applyFont="1" applyFill="1" applyBorder="1"/>
    <xf numFmtId="0" fontId="3" fillId="7" borderId="28" xfId="0" quotePrefix="1" applyFont="1" applyFill="1" applyBorder="1" applyAlignment="1">
      <alignment horizontal="left"/>
    </xf>
    <xf numFmtId="0" fontId="8" fillId="8" borderId="17" xfId="0" applyFont="1" applyFill="1" applyBorder="1" applyAlignment="1">
      <alignment horizontal="center"/>
    </xf>
    <xf numFmtId="0" fontId="0" fillId="0" borderId="28" xfId="0" quotePrefix="1" applyBorder="1" applyAlignment="1">
      <alignment horizontal="left"/>
    </xf>
    <xf numFmtId="3" fontId="3" fillId="5" borderId="23" xfId="0" quotePrefix="1" applyNumberFormat="1" applyFont="1" applyFill="1" applyBorder="1" applyAlignment="1">
      <alignment horizontal="right"/>
    </xf>
    <xf numFmtId="3" fontId="3" fillId="13" borderId="35" xfId="0" quotePrefix="1" applyNumberFormat="1" applyFont="1" applyFill="1" applyBorder="1" applyAlignment="1">
      <alignment horizontal="right"/>
    </xf>
    <xf numFmtId="164" fontId="3" fillId="0" borderId="70" xfId="0" applyNumberFormat="1" applyFont="1" applyBorder="1" applyAlignment="1">
      <alignment horizontal="left"/>
    </xf>
    <xf numFmtId="2" fontId="3" fillId="5" borderId="15" xfId="0" applyNumberFormat="1" applyFont="1" applyFill="1" applyBorder="1"/>
    <xf numFmtId="0" fontId="3" fillId="14" borderId="15" xfId="0" quotePrefix="1" applyFont="1" applyFill="1" applyBorder="1" applyAlignment="1">
      <alignment horizontal="center"/>
    </xf>
    <xf numFmtId="164" fontId="3" fillId="8" borderId="17" xfId="0" applyNumberFormat="1" applyFont="1" applyFill="1" applyBorder="1"/>
    <xf numFmtId="1" fontId="3" fillId="4" borderId="15" xfId="0" applyNumberFormat="1" applyFont="1" applyFill="1" applyBorder="1" applyAlignment="1">
      <alignment horizontal="center"/>
    </xf>
    <xf numFmtId="2" fontId="3" fillId="5" borderId="21" xfId="0" applyNumberFormat="1" applyFont="1" applyFill="1" applyBorder="1"/>
    <xf numFmtId="3" fontId="3" fillId="5" borderId="42" xfId="0" applyNumberFormat="1" applyFont="1" applyFill="1" applyBorder="1" applyAlignment="1">
      <alignment horizontal="center"/>
    </xf>
    <xf numFmtId="3" fontId="3" fillId="5" borderId="35" xfId="0" applyNumberFormat="1" applyFont="1" applyFill="1" applyBorder="1" applyAlignment="1">
      <alignment horizontal="center"/>
    </xf>
    <xf numFmtId="1" fontId="3" fillId="0" borderId="15" xfId="0" applyNumberFormat="1" applyFont="1" applyBorder="1"/>
    <xf numFmtId="1" fontId="3" fillId="7" borderId="17" xfId="0" applyNumberFormat="1" applyFont="1" applyFill="1" applyBorder="1"/>
    <xf numFmtId="1" fontId="3" fillId="7" borderId="40" xfId="0" applyNumberFormat="1" applyFont="1" applyFill="1" applyBorder="1" applyAlignment="1">
      <alignment horizontal="center"/>
    </xf>
    <xf numFmtId="3" fontId="3" fillId="7" borderId="41" xfId="0" applyNumberFormat="1" applyFont="1" applyFill="1" applyBorder="1" applyAlignment="1">
      <alignment horizontal="center"/>
    </xf>
    <xf numFmtId="3" fontId="3" fillId="7" borderId="48" xfId="0" applyNumberFormat="1" applyFont="1" applyFill="1" applyBorder="1"/>
    <xf numFmtId="1" fontId="3" fillId="7" borderId="15" xfId="0" applyNumberFormat="1" applyFont="1" applyFill="1" applyBorder="1"/>
    <xf numFmtId="1" fontId="3" fillId="7" borderId="29" xfId="0" applyNumberFormat="1" applyFont="1" applyFill="1" applyBorder="1" applyAlignment="1">
      <alignment horizontal="center"/>
    </xf>
    <xf numFmtId="3" fontId="3" fillId="7" borderId="51" xfId="0" applyNumberFormat="1" applyFont="1" applyFill="1" applyBorder="1"/>
    <xf numFmtId="1" fontId="3" fillId="7" borderId="23" xfId="0" applyNumberFormat="1" applyFont="1" applyFill="1" applyBorder="1"/>
    <xf numFmtId="164" fontId="3" fillId="10" borderId="28" xfId="0" applyNumberFormat="1" applyFont="1" applyFill="1" applyBorder="1"/>
    <xf numFmtId="164" fontId="3" fillId="7" borderId="23" xfId="0" applyNumberFormat="1" applyFont="1" applyFill="1" applyBorder="1"/>
    <xf numFmtId="1" fontId="3" fillId="7" borderId="23" xfId="0" applyNumberFormat="1" applyFont="1" applyFill="1" applyBorder="1" applyAlignment="1">
      <alignment horizontal="center"/>
    </xf>
    <xf numFmtId="164" fontId="3" fillId="7" borderId="23" xfId="0" applyNumberFormat="1" applyFont="1" applyFill="1" applyBorder="1" applyAlignment="1">
      <alignment horizontal="center"/>
    </xf>
    <xf numFmtId="3" fontId="3" fillId="7" borderId="30" xfId="0" applyNumberFormat="1" applyFont="1" applyFill="1" applyBorder="1"/>
    <xf numFmtId="0" fontId="3" fillId="25" borderId="16" xfId="0" applyFont="1" applyFill="1" applyBorder="1"/>
    <xf numFmtId="0" fontId="9" fillId="35" borderId="15" xfId="0" quotePrefix="1" applyFont="1" applyFill="1" applyBorder="1" applyAlignment="1">
      <alignment horizontal="left"/>
    </xf>
    <xf numFmtId="0" fontId="3" fillId="25" borderId="15" xfId="0" applyFont="1" applyFill="1" applyBorder="1" applyAlignment="1">
      <alignment horizontal="center"/>
    </xf>
    <xf numFmtId="1" fontId="3" fillId="7" borderId="21" xfId="0" applyNumberFormat="1" applyFont="1" applyFill="1" applyBorder="1"/>
    <xf numFmtId="3" fontId="3" fillId="7" borderId="49" xfId="0" applyNumberFormat="1" applyFont="1" applyFill="1" applyBorder="1"/>
    <xf numFmtId="0" fontId="3" fillId="5" borderId="35" xfId="0" quotePrefix="1" applyFont="1" applyFill="1" applyBorder="1" applyAlignment="1">
      <alignment horizontal="right"/>
    </xf>
    <xf numFmtId="164" fontId="3" fillId="8" borderId="15" xfId="0" applyNumberFormat="1" applyFont="1" applyFill="1" applyBorder="1"/>
    <xf numFmtId="3" fontId="3" fillId="7" borderId="66" xfId="0" applyNumberFormat="1" applyFont="1" applyFill="1" applyBorder="1"/>
    <xf numFmtId="3" fontId="3" fillId="7" borderId="67" xfId="0" applyNumberFormat="1" applyFont="1" applyFill="1" applyBorder="1"/>
    <xf numFmtId="164" fontId="3" fillId="8" borderId="21" xfId="0" applyNumberFormat="1" applyFont="1" applyFill="1" applyBorder="1"/>
    <xf numFmtId="0" fontId="8" fillId="14" borderId="17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9" fillId="41" borderId="15" xfId="0" quotePrefix="1" applyFont="1" applyFill="1" applyBorder="1" applyAlignment="1">
      <alignment horizontal="left"/>
    </xf>
    <xf numFmtId="0" fontId="3" fillId="10" borderId="16" xfId="0" applyFont="1" applyFill="1" applyBorder="1"/>
    <xf numFmtId="1" fontId="1" fillId="33" borderId="15" xfId="0" applyNumberFormat="1" applyFont="1" applyFill="1" applyBorder="1"/>
    <xf numFmtId="0" fontId="0" fillId="0" borderId="15" xfId="0" applyBorder="1" applyAlignment="1">
      <alignment horizontal="left"/>
    </xf>
    <xf numFmtId="3" fontId="4" fillId="9" borderId="51" xfId="0" applyNumberFormat="1" applyFont="1" applyFill="1" applyBorder="1"/>
    <xf numFmtId="1" fontId="3" fillId="40" borderId="15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right"/>
    </xf>
    <xf numFmtId="0" fontId="3" fillId="13" borderId="21" xfId="0" applyFont="1" applyFill="1" applyBorder="1" applyAlignment="1">
      <alignment horizontal="right"/>
    </xf>
    <xf numFmtId="164" fontId="3" fillId="0" borderId="22" xfId="0" quotePrefix="1" applyNumberFormat="1" applyFont="1" applyBorder="1" applyAlignment="1">
      <alignment horizontal="left"/>
    </xf>
    <xf numFmtId="0" fontId="3" fillId="5" borderId="21" xfId="0" quotePrefix="1" applyFont="1" applyFill="1" applyBorder="1" applyAlignment="1">
      <alignment horizontal="right"/>
    </xf>
    <xf numFmtId="0" fontId="3" fillId="0" borderId="56" xfId="0" quotePrefix="1" applyFont="1" applyBorder="1" applyAlignment="1">
      <alignment horizontal="left"/>
    </xf>
    <xf numFmtId="0" fontId="0" fillId="0" borderId="41" xfId="0" applyBorder="1"/>
    <xf numFmtId="0" fontId="3" fillId="0" borderId="41" xfId="0" quotePrefix="1" applyFont="1" applyBorder="1" applyAlignment="1">
      <alignment horizontal="left"/>
    </xf>
    <xf numFmtId="0" fontId="3" fillId="0" borderId="55" xfId="0" quotePrefix="1" applyFont="1" applyBorder="1" applyAlignment="1">
      <alignment horizontal="left"/>
    </xf>
    <xf numFmtId="0" fontId="0" fillId="7" borderId="42" xfId="0" applyFill="1" applyBorder="1"/>
    <xf numFmtId="0" fontId="3" fillId="24" borderId="15" xfId="0" quotePrefix="1" applyFont="1" applyFill="1" applyBorder="1" applyAlignment="1">
      <alignment horizontal="left"/>
    </xf>
    <xf numFmtId="0" fontId="3" fillId="24" borderId="21" xfId="0" quotePrefix="1" applyFont="1" applyFill="1" applyBorder="1" applyAlignment="1">
      <alignment horizontal="left"/>
    </xf>
    <xf numFmtId="1" fontId="0" fillId="0" borderId="38" xfId="0" applyNumberFormat="1" applyBorder="1"/>
    <xf numFmtId="164" fontId="0" fillId="0" borderId="38" xfId="0" applyNumberFormat="1" applyBorder="1"/>
    <xf numFmtId="0" fontId="12" fillId="5" borderId="17" xfId="0" applyFont="1" applyFill="1" applyBorder="1"/>
    <xf numFmtId="1" fontId="10" fillId="16" borderId="27" xfId="0" applyNumberFormat="1" applyFont="1" applyFill="1" applyBorder="1" applyAlignment="1">
      <alignment horizontal="center"/>
    </xf>
    <xf numFmtId="0" fontId="12" fillId="14" borderId="17" xfId="0" applyFont="1" applyFill="1" applyBorder="1" applyAlignment="1">
      <alignment horizontal="center"/>
    </xf>
    <xf numFmtId="2" fontId="3" fillId="6" borderId="27" xfId="0" applyNumberFormat="1" applyFont="1" applyFill="1" applyBorder="1"/>
    <xf numFmtId="164" fontId="3" fillId="2" borderId="38" xfId="0" applyNumberFormat="1" applyFont="1" applyFill="1" applyBorder="1" applyAlignment="1">
      <alignment horizontal="center"/>
    </xf>
    <xf numFmtId="0" fontId="3" fillId="3" borderId="38" xfId="0" quotePrefix="1" applyFont="1" applyFill="1" applyBorder="1" applyAlignment="1">
      <alignment horizontal="left"/>
    </xf>
    <xf numFmtId="0" fontId="3" fillId="0" borderId="38" xfId="0" quotePrefix="1" applyFont="1" applyBorder="1" applyAlignment="1">
      <alignment horizontal="left"/>
    </xf>
    <xf numFmtId="0" fontId="3" fillId="0" borderId="38" xfId="0" applyFont="1" applyBorder="1" applyAlignment="1">
      <alignment horizontal="center"/>
    </xf>
    <xf numFmtId="0" fontId="3" fillId="5" borderId="15" xfId="0" quotePrefix="1" applyFont="1" applyFill="1" applyBorder="1" applyAlignment="1">
      <alignment horizontal="center"/>
    </xf>
    <xf numFmtId="3" fontId="13" fillId="5" borderId="17" xfId="0" applyNumberFormat="1" applyFont="1" applyFill="1" applyBorder="1" applyAlignment="1">
      <alignment horizontal="right"/>
    </xf>
    <xf numFmtId="3" fontId="13" fillId="5" borderId="26" xfId="0" applyNumberFormat="1" applyFont="1" applyFill="1" applyBorder="1"/>
    <xf numFmtId="0" fontId="3" fillId="14" borderId="27" xfId="0" applyFont="1" applyFill="1" applyBorder="1" applyAlignment="1">
      <alignment horizontal="center"/>
    </xf>
    <xf numFmtId="1" fontId="0" fillId="13" borderId="38" xfId="0" applyNumberFormat="1" applyFill="1" applyBorder="1"/>
    <xf numFmtId="0" fontId="12" fillId="7" borderId="17" xfId="0" applyFont="1" applyFill="1" applyBorder="1"/>
    <xf numFmtId="1" fontId="8" fillId="10" borderId="15" xfId="0" applyNumberFormat="1" applyFont="1" applyFill="1" applyBorder="1" applyAlignment="1">
      <alignment horizontal="center"/>
    </xf>
    <xf numFmtId="1" fontId="3" fillId="13" borderId="15" xfId="0" applyNumberFormat="1" applyFont="1" applyFill="1" applyBorder="1" applyAlignment="1">
      <alignment horizontal="center"/>
    </xf>
    <xf numFmtId="0" fontId="12" fillId="20" borderId="17" xfId="0" applyFont="1" applyFill="1" applyBorder="1" applyAlignment="1">
      <alignment horizontal="center"/>
    </xf>
    <xf numFmtId="0" fontId="8" fillId="6" borderId="15" xfId="0" quotePrefix="1" applyFont="1" applyFill="1" applyBorder="1" applyAlignment="1">
      <alignment horizontal="center"/>
    </xf>
    <xf numFmtId="3" fontId="13" fillId="7" borderId="17" xfId="0" applyNumberFormat="1" applyFont="1" applyFill="1" applyBorder="1" applyAlignment="1">
      <alignment horizontal="right"/>
    </xf>
    <xf numFmtId="3" fontId="13" fillId="7" borderId="26" xfId="0" applyNumberFormat="1" applyFont="1" applyFill="1" applyBorder="1"/>
    <xf numFmtId="0" fontId="3" fillId="5" borderId="17" xfId="0" applyFont="1" applyFill="1" applyBorder="1"/>
    <xf numFmtId="2" fontId="3" fillId="5" borderId="17" xfId="0" applyNumberFormat="1" applyFont="1" applyFill="1" applyBorder="1"/>
    <xf numFmtId="0" fontId="3" fillId="13" borderId="15" xfId="0" quotePrefix="1" applyFont="1" applyFill="1" applyBorder="1" applyAlignment="1">
      <alignment horizontal="left"/>
    </xf>
    <xf numFmtId="2" fontId="3" fillId="13" borderId="15" xfId="0" applyNumberFormat="1" applyFont="1" applyFill="1" applyBorder="1"/>
    <xf numFmtId="0" fontId="3" fillId="13" borderId="15" xfId="0" quotePrefix="1" applyFont="1" applyFill="1" applyBorder="1" applyAlignment="1">
      <alignment horizontal="center"/>
    </xf>
    <xf numFmtId="0" fontId="3" fillId="5" borderId="15" xfId="0" quotePrefix="1" applyFont="1" applyFill="1" applyBorder="1" applyAlignment="1">
      <alignment horizontal="left"/>
    </xf>
    <xf numFmtId="1" fontId="0" fillId="13" borderId="21" xfId="0" applyNumberFormat="1" applyFill="1" applyBorder="1"/>
    <xf numFmtId="0" fontId="3" fillId="13" borderId="21" xfId="0" quotePrefix="1" applyFont="1" applyFill="1" applyBorder="1" applyAlignment="1">
      <alignment horizontal="left"/>
    </xf>
    <xf numFmtId="2" fontId="3" fillId="13" borderId="21" xfId="0" applyNumberFormat="1" applyFont="1" applyFill="1" applyBorder="1"/>
    <xf numFmtId="0" fontId="8" fillId="20" borderId="23" xfId="0" applyFont="1" applyFill="1" applyBorder="1" applyAlignment="1">
      <alignment horizontal="center"/>
    </xf>
    <xf numFmtId="1" fontId="0" fillId="5" borderId="23" xfId="0" applyNumberFormat="1" applyFill="1" applyBorder="1"/>
    <xf numFmtId="0" fontId="3" fillId="5" borderId="28" xfId="0" quotePrefix="1" applyFont="1" applyFill="1" applyBorder="1" applyAlignment="1">
      <alignment horizontal="left"/>
    </xf>
    <xf numFmtId="0" fontId="3" fillId="5" borderId="23" xfId="0" quotePrefix="1" applyFont="1" applyFill="1" applyBorder="1" applyAlignment="1">
      <alignment horizontal="left"/>
    </xf>
    <xf numFmtId="2" fontId="3" fillId="5" borderId="23" xfId="0" applyNumberFormat="1" applyFont="1" applyFill="1" applyBorder="1"/>
    <xf numFmtId="1" fontId="8" fillId="10" borderId="17" xfId="0" applyNumberFormat="1" applyFont="1" applyFill="1" applyBorder="1" applyAlignment="1">
      <alignment horizontal="left"/>
    </xf>
    <xf numFmtId="1" fontId="3" fillId="0" borderId="17" xfId="0" applyNumberFormat="1" applyFont="1" applyBorder="1"/>
    <xf numFmtId="164" fontId="3" fillId="10" borderId="56" xfId="0" quotePrefix="1" applyNumberFormat="1" applyFont="1" applyFill="1" applyBorder="1" applyAlignment="1">
      <alignment horizontal="left"/>
    </xf>
    <xf numFmtId="3" fontId="3" fillId="0" borderId="48" xfId="0" applyNumberFormat="1" applyFont="1" applyBorder="1"/>
    <xf numFmtId="3" fontId="4" fillId="7" borderId="51" xfId="0" applyNumberFormat="1" applyFont="1" applyFill="1" applyBorder="1"/>
    <xf numFmtId="3" fontId="7" fillId="17" borderId="29" xfId="0" applyNumberFormat="1" applyFont="1" applyFill="1" applyBorder="1"/>
    <xf numFmtId="2" fontId="7" fillId="17" borderId="15" xfId="0" applyNumberFormat="1" applyFont="1" applyFill="1" applyBorder="1" applyAlignment="1">
      <alignment horizontal="center"/>
    </xf>
    <xf numFmtId="3" fontId="7" fillId="17" borderId="15" xfId="0" quotePrefix="1" applyNumberFormat="1" applyFont="1" applyFill="1" applyBorder="1" applyAlignment="1">
      <alignment horizontal="right"/>
    </xf>
    <xf numFmtId="3" fontId="3" fillId="0" borderId="51" xfId="0" applyNumberFormat="1" applyFont="1" applyBorder="1"/>
    <xf numFmtId="164" fontId="3" fillId="7" borderId="15" xfId="0" quotePrefix="1" applyNumberFormat="1" applyFont="1" applyFill="1" applyBorder="1" applyAlignment="1">
      <alignment horizontal="left"/>
    </xf>
    <xf numFmtId="0" fontId="8" fillId="8" borderId="21" xfId="0" applyFont="1" applyFill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64" fontId="3" fillId="42" borderId="16" xfId="0" applyNumberFormat="1" applyFont="1" applyFill="1" applyBorder="1"/>
    <xf numFmtId="1" fontId="0" fillId="0" borderId="41" xfId="0" applyNumberFormat="1" applyBorder="1"/>
    <xf numFmtId="0" fontId="3" fillId="0" borderId="41" xfId="0" applyFont="1" applyBorder="1"/>
    <xf numFmtId="0" fontId="3" fillId="0" borderId="41" xfId="0" applyFont="1" applyBorder="1" applyAlignment="1">
      <alignment horizontal="center"/>
    </xf>
    <xf numFmtId="2" fontId="3" fillId="0" borderId="41" xfId="0" applyNumberFormat="1" applyFont="1" applyBorder="1"/>
    <xf numFmtId="0" fontId="3" fillId="5" borderId="41" xfId="0" applyFont="1" applyFill="1" applyBorder="1" applyAlignment="1">
      <alignment horizontal="center"/>
    </xf>
    <xf numFmtId="1" fontId="3" fillId="0" borderId="41" xfId="0" applyNumberFormat="1" applyFont="1" applyBorder="1" applyAlignment="1">
      <alignment horizontal="center"/>
    </xf>
    <xf numFmtId="0" fontId="3" fillId="7" borderId="55" xfId="0" quotePrefix="1" applyFont="1" applyFill="1" applyBorder="1" applyAlignment="1">
      <alignment horizontal="left"/>
    </xf>
    <xf numFmtId="0" fontId="3" fillId="7" borderId="42" xfId="0" quotePrefix="1" applyFont="1" applyFill="1" applyBorder="1" applyAlignment="1">
      <alignment horizontal="left"/>
    </xf>
    <xf numFmtId="3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quotePrefix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3" fillId="0" borderId="57" xfId="0" applyFont="1" applyBorder="1" applyAlignment="1">
      <alignment horizontal="right"/>
    </xf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9" fontId="3" fillId="0" borderId="0" xfId="0" applyNumberFormat="1" applyFont="1"/>
    <xf numFmtId="10" fontId="2" fillId="0" borderId="0" xfId="0" applyNumberFormat="1" applyFont="1"/>
    <xf numFmtId="10" fontId="14" fillId="0" borderId="0" xfId="0" applyNumberFormat="1" applyFont="1"/>
    <xf numFmtId="3" fontId="1" fillId="0" borderId="0" xfId="0" applyNumberFormat="1" applyFont="1" applyAlignment="1">
      <alignment horizontal="right"/>
    </xf>
    <xf numFmtId="10" fontId="3" fillId="0" borderId="0" xfId="0" applyNumberFormat="1" applyFont="1"/>
    <xf numFmtId="10" fontId="1" fillId="0" borderId="0" xfId="0" applyNumberFormat="1" applyFont="1"/>
    <xf numFmtId="1" fontId="3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3" fillId="0" borderId="0" xfId="0" applyNumberFormat="1" applyFont="1"/>
    <xf numFmtId="0" fontId="15" fillId="5" borderId="1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13" borderId="15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3" borderId="2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5" borderId="27" xfId="0" applyFont="1" applyFill="1" applyBorder="1" applyAlignment="1">
      <alignment horizontal="center"/>
    </xf>
    <xf numFmtId="0" fontId="15" fillId="13" borderId="17" xfId="0" applyFont="1" applyFill="1" applyBorder="1" applyAlignment="1">
      <alignment horizontal="center"/>
    </xf>
    <xf numFmtId="0" fontId="15" fillId="5" borderId="23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3" fontId="15" fillId="5" borderId="15" xfId="0" applyNumberFormat="1" applyFont="1" applyFill="1" applyBorder="1" applyAlignment="1">
      <alignment horizontal="center"/>
    </xf>
    <xf numFmtId="3" fontId="15" fillId="13" borderId="23" xfId="0" applyNumberFormat="1" applyFont="1" applyFill="1" applyBorder="1" applyAlignment="1">
      <alignment horizontal="center"/>
    </xf>
    <xf numFmtId="0" fontId="15" fillId="13" borderId="23" xfId="0" applyFont="1" applyFill="1" applyBorder="1" applyAlignment="1">
      <alignment horizontal="center"/>
    </xf>
    <xf numFmtId="0" fontId="15" fillId="0" borderId="0" xfId="0" applyFont="1"/>
    <xf numFmtId="3" fontId="15" fillId="11" borderId="15" xfId="0" applyNumberFormat="1" applyFont="1" applyFill="1" applyBorder="1"/>
    <xf numFmtId="3" fontId="15" fillId="11" borderId="15" xfId="0" applyNumberFormat="1" applyFont="1" applyFill="1" applyBorder="1" applyAlignment="1">
      <alignment horizontal="right"/>
    </xf>
    <xf numFmtId="3" fontId="15" fillId="5" borderId="15" xfId="0" applyNumberFormat="1" applyFont="1" applyFill="1" applyBorder="1"/>
    <xf numFmtId="3" fontId="15" fillId="13" borderId="15" xfId="0" applyNumberFormat="1" applyFont="1" applyFill="1" applyBorder="1"/>
    <xf numFmtId="3" fontId="15" fillId="13" borderId="21" xfId="0" applyNumberFormat="1" applyFont="1" applyFill="1" applyBorder="1"/>
    <xf numFmtId="3" fontId="15" fillId="13" borderId="17" xfId="0" applyNumberFormat="1" applyFont="1" applyFill="1" applyBorder="1"/>
    <xf numFmtId="3" fontId="15" fillId="5" borderId="21" xfId="0" applyNumberFormat="1" applyFont="1" applyFill="1" applyBorder="1"/>
    <xf numFmtId="3" fontId="15" fillId="5" borderId="17" xfId="0" applyNumberFormat="1" applyFont="1" applyFill="1" applyBorder="1" applyAlignment="1">
      <alignment horizontal="center"/>
    </xf>
    <xf numFmtId="3" fontId="15" fillId="5" borderId="17" xfId="0" applyNumberFormat="1" applyFont="1" applyFill="1" applyBorder="1"/>
    <xf numFmtId="3" fontId="15" fillId="5" borderId="23" xfId="0" applyNumberFormat="1" applyFont="1" applyFill="1" applyBorder="1"/>
    <xf numFmtId="3" fontId="15" fillId="5" borderId="17" xfId="0" applyNumberFormat="1" applyFont="1" applyFill="1" applyBorder="1" applyAlignment="1">
      <alignment horizontal="right"/>
    </xf>
    <xf numFmtId="3" fontId="15" fillId="13" borderId="17" xfId="0" applyNumberFormat="1" applyFont="1" applyFill="1" applyBorder="1" applyAlignment="1">
      <alignment horizontal="center"/>
    </xf>
    <xf numFmtId="3" fontId="15" fillId="13" borderId="23" xfId="0" applyNumberFormat="1" applyFont="1" applyFill="1" applyBorder="1"/>
    <xf numFmtId="3" fontId="15" fillId="0" borderId="17" xfId="0" applyNumberFormat="1" applyFont="1" applyBorder="1"/>
    <xf numFmtId="3" fontId="15" fillId="0" borderId="15" xfId="0" applyNumberFormat="1" applyFont="1" applyBorder="1"/>
    <xf numFmtId="3" fontId="15" fillId="0" borderId="21" xfId="0" applyNumberFormat="1" applyFont="1" applyBorder="1"/>
    <xf numFmtId="3" fontId="15" fillId="0" borderId="15" xfId="0" applyNumberFormat="1" applyFont="1" applyBorder="1" applyAlignment="1">
      <alignment horizontal="right"/>
    </xf>
    <xf numFmtId="3" fontId="15" fillId="13" borderId="15" xfId="0" applyNumberFormat="1" applyFont="1" applyFill="1" applyBorder="1" applyAlignment="1">
      <alignment horizontal="right"/>
    </xf>
    <xf numFmtId="3" fontId="15" fillId="13" borderId="15" xfId="0" quotePrefix="1" applyNumberFormat="1" applyFont="1" applyFill="1" applyBorder="1" applyAlignment="1">
      <alignment horizontal="right"/>
    </xf>
    <xf numFmtId="3" fontId="15" fillId="5" borderId="15" xfId="0" applyNumberFormat="1" applyFont="1" applyFill="1" applyBorder="1" applyAlignment="1">
      <alignment horizontal="right"/>
    </xf>
    <xf numFmtId="3" fontId="15" fillId="5" borderId="15" xfId="0" quotePrefix="1" applyNumberFormat="1" applyFont="1" applyFill="1" applyBorder="1" applyAlignment="1">
      <alignment horizontal="right"/>
    </xf>
    <xf numFmtId="3" fontId="15" fillId="13" borderId="21" xfId="0" applyNumberFormat="1" applyFont="1" applyFill="1" applyBorder="1" applyAlignment="1">
      <alignment horizontal="center"/>
    </xf>
    <xf numFmtId="3" fontId="15" fillId="13" borderId="23" xfId="0" applyNumberFormat="1" applyFont="1" applyFill="1" applyBorder="1" applyAlignment="1">
      <alignment horizontal="right"/>
    </xf>
    <xf numFmtId="3" fontId="15" fillId="13" borderId="23" xfId="0" quotePrefix="1" applyNumberFormat="1" applyFont="1" applyFill="1" applyBorder="1" applyAlignment="1">
      <alignment horizontal="right"/>
    </xf>
    <xf numFmtId="3" fontId="15" fillId="5" borderId="27" xfId="0" applyNumberFormat="1" applyFont="1" applyFill="1" applyBorder="1" applyAlignment="1">
      <alignment horizontal="right"/>
    </xf>
    <xf numFmtId="3" fontId="15" fillId="5" borderId="38" xfId="0" applyNumberFormat="1" applyFont="1" applyFill="1" applyBorder="1" applyAlignment="1">
      <alignment horizontal="right"/>
    </xf>
    <xf numFmtId="3" fontId="15" fillId="13" borderId="21" xfId="0" applyNumberFormat="1" applyFont="1" applyFill="1" applyBorder="1" applyAlignment="1">
      <alignment horizontal="right"/>
    </xf>
    <xf numFmtId="3" fontId="15" fillId="13" borderId="21" xfId="0" quotePrefix="1" applyNumberFormat="1" applyFont="1" applyFill="1" applyBorder="1" applyAlignment="1">
      <alignment horizontal="right"/>
    </xf>
    <xf numFmtId="0" fontId="15" fillId="5" borderId="23" xfId="0" quotePrefix="1" applyFont="1" applyFill="1" applyBorder="1" applyAlignment="1">
      <alignment horizontal="right"/>
    </xf>
    <xf numFmtId="0" fontId="15" fillId="13" borderId="23" xfId="0" quotePrefix="1" applyFont="1" applyFill="1" applyBorder="1" applyAlignment="1">
      <alignment horizontal="right"/>
    </xf>
    <xf numFmtId="3" fontId="15" fillId="5" borderId="23" xfId="0" applyNumberFormat="1" applyFont="1" applyFill="1" applyBorder="1" applyAlignment="1">
      <alignment horizontal="right"/>
    </xf>
    <xf numFmtId="3" fontId="15" fillId="13" borderId="27" xfId="0" applyNumberFormat="1" applyFont="1" applyFill="1" applyBorder="1" applyAlignment="1">
      <alignment horizontal="right"/>
    </xf>
    <xf numFmtId="3" fontId="15" fillId="5" borderId="17" xfId="0" quotePrefix="1" applyNumberFormat="1" applyFont="1" applyFill="1" applyBorder="1" applyAlignment="1">
      <alignment horizontal="right"/>
    </xf>
    <xf numFmtId="0" fontId="15" fillId="5" borderId="17" xfId="0" quotePrefix="1" applyFont="1" applyFill="1" applyBorder="1" applyAlignment="1">
      <alignment horizontal="right"/>
    </xf>
    <xf numFmtId="3" fontId="15" fillId="13" borderId="35" xfId="0" applyNumberFormat="1" applyFont="1" applyFill="1" applyBorder="1"/>
    <xf numFmtId="3" fontId="15" fillId="5" borderId="35" xfId="0" applyNumberFormat="1" applyFont="1" applyFill="1" applyBorder="1"/>
    <xf numFmtId="0" fontId="15" fillId="5" borderId="35" xfId="0" quotePrefix="1" applyFont="1" applyFill="1" applyBorder="1" applyAlignment="1">
      <alignment horizontal="right"/>
    </xf>
    <xf numFmtId="3" fontId="15" fillId="11" borderId="17" xfId="0" applyNumberFormat="1" applyFont="1" applyFill="1" applyBorder="1"/>
    <xf numFmtId="2" fontId="15" fillId="0" borderId="17" xfId="0" applyNumberFormat="1" applyFont="1" applyBorder="1" applyAlignment="1">
      <alignment horizontal="center"/>
    </xf>
    <xf numFmtId="2" fontId="15" fillId="13" borderId="15" xfId="0" applyNumberFormat="1" applyFont="1" applyFill="1" applyBorder="1" applyAlignment="1">
      <alignment horizontal="center"/>
    </xf>
    <xf numFmtId="2" fontId="15" fillId="0" borderId="21" xfId="0" applyNumberFormat="1" applyFont="1" applyBorder="1" applyAlignment="1">
      <alignment horizontal="center"/>
    </xf>
    <xf numFmtId="2" fontId="15" fillId="13" borderId="21" xfId="0" applyNumberFormat="1" applyFont="1" applyFill="1" applyBorder="1" applyAlignment="1">
      <alignment horizontal="center"/>
    </xf>
    <xf numFmtId="2" fontId="15" fillId="13" borderId="35" xfId="0" applyNumberFormat="1" applyFont="1" applyFill="1" applyBorder="1" applyAlignment="1">
      <alignment horizontal="center"/>
    </xf>
    <xf numFmtId="0" fontId="15" fillId="13" borderId="35" xfId="0" quotePrefix="1" applyFont="1" applyFill="1" applyBorder="1" applyAlignment="1">
      <alignment horizontal="right"/>
    </xf>
    <xf numFmtId="3" fontId="15" fillId="13" borderId="27" xfId="0" applyNumberFormat="1" applyFont="1" applyFill="1" applyBorder="1"/>
    <xf numFmtId="3" fontId="15" fillId="5" borderId="21" xfId="0" applyNumberFormat="1" applyFont="1" applyFill="1" applyBorder="1" applyAlignment="1">
      <alignment horizontal="center"/>
    </xf>
    <xf numFmtId="3" fontId="15" fillId="13" borderId="15" xfId="0" applyNumberFormat="1" applyFont="1" applyFill="1" applyBorder="1" applyAlignment="1">
      <alignment horizontal="center"/>
    </xf>
    <xf numFmtId="3" fontId="15" fillId="0" borderId="17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71" xfId="0" applyFont="1" applyBorder="1"/>
    <xf numFmtId="165" fontId="15" fillId="0" borderId="0" xfId="0" applyNumberFormat="1" applyFont="1"/>
    <xf numFmtId="0" fontId="15" fillId="0" borderId="0" xfId="0" applyFont="1" applyAlignment="1">
      <alignment horizontal="left"/>
    </xf>
    <xf numFmtId="3" fontId="15" fillId="0" borderId="0" xfId="0" applyNumberFormat="1" applyFont="1"/>
    <xf numFmtId="1" fontId="15" fillId="7" borderId="15" xfId="0" applyNumberFormat="1" applyFont="1" applyFill="1" applyBorder="1" applyAlignment="1">
      <alignment horizontal="center"/>
    </xf>
    <xf numFmtId="1" fontId="15" fillId="0" borderId="15" xfId="0" applyNumberFormat="1" applyFont="1" applyBorder="1" applyAlignment="1">
      <alignment horizontal="center"/>
    </xf>
    <xf numFmtId="1" fontId="15" fillId="7" borderId="21" xfId="0" applyNumberFormat="1" applyFont="1" applyFill="1" applyBorder="1" applyAlignment="1">
      <alignment horizontal="center"/>
    </xf>
    <xf numFmtId="1" fontId="15" fillId="7" borderId="17" xfId="0" applyNumberFormat="1" applyFont="1" applyFill="1" applyBorder="1" applyAlignment="1">
      <alignment horizontal="center"/>
    </xf>
    <xf numFmtId="1" fontId="15" fillId="0" borderId="21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1" fontId="15" fillId="0" borderId="23" xfId="0" applyNumberFormat="1" applyFont="1" applyBorder="1" applyAlignment="1">
      <alignment horizontal="center"/>
    </xf>
    <xf numFmtId="1" fontId="15" fillId="0" borderId="35" xfId="0" applyNumberFormat="1" applyFont="1" applyBorder="1" applyAlignment="1">
      <alignment horizontal="center"/>
    </xf>
    <xf numFmtId="1" fontId="15" fillId="7" borderId="23" xfId="0" applyNumberFormat="1" applyFont="1" applyFill="1" applyBorder="1" applyAlignment="1">
      <alignment horizontal="center"/>
    </xf>
    <xf numFmtId="1" fontId="15" fillId="7" borderId="35" xfId="0" applyNumberFormat="1" applyFont="1" applyFill="1" applyBorder="1" applyAlignment="1">
      <alignment horizontal="center"/>
    </xf>
    <xf numFmtId="1" fontId="15" fillId="5" borderId="15" xfId="0" applyNumberFormat="1" applyFont="1" applyFill="1" applyBorder="1" applyAlignment="1">
      <alignment horizontal="center"/>
    </xf>
    <xf numFmtId="1" fontId="15" fillId="3" borderId="23" xfId="0" applyNumberFormat="1" applyFont="1" applyFill="1" applyBorder="1" applyAlignment="1">
      <alignment horizontal="center"/>
    </xf>
    <xf numFmtId="1" fontId="15" fillId="3" borderId="15" xfId="0" applyNumberFormat="1" applyFont="1" applyFill="1" applyBorder="1" applyAlignment="1">
      <alignment horizontal="center"/>
    </xf>
    <xf numFmtId="1" fontId="15" fillId="5" borderId="21" xfId="0" applyNumberFormat="1" applyFont="1" applyFill="1" applyBorder="1" applyAlignment="1">
      <alignment horizontal="center"/>
    </xf>
    <xf numFmtId="1" fontId="15" fillId="5" borderId="27" xfId="0" applyNumberFormat="1" applyFont="1" applyFill="1" applyBorder="1" applyAlignment="1">
      <alignment horizontal="center"/>
    </xf>
    <xf numFmtId="1" fontId="15" fillId="13" borderId="15" xfId="0" applyNumberFormat="1" applyFont="1" applyFill="1" applyBorder="1" applyAlignment="1">
      <alignment horizontal="center"/>
    </xf>
    <xf numFmtId="1" fontId="15" fillId="13" borderId="21" xfId="0" applyNumberFormat="1" applyFont="1" applyFill="1" applyBorder="1" applyAlignment="1">
      <alignment horizontal="center"/>
    </xf>
    <xf numFmtId="1" fontId="15" fillId="5" borderId="23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3" fontId="15" fillId="10" borderId="15" xfId="0" applyNumberFormat="1" applyFont="1" applyFill="1" applyBorder="1"/>
    <xf numFmtId="3" fontId="15" fillId="7" borderId="18" xfId="0" applyNumberFormat="1" applyFont="1" applyFill="1" applyBorder="1"/>
    <xf numFmtId="3" fontId="15" fillId="10" borderId="18" xfId="0" applyNumberFormat="1" applyFont="1" applyFill="1" applyBorder="1"/>
    <xf numFmtId="3" fontId="15" fillId="0" borderId="18" xfId="0" applyNumberFormat="1" applyFont="1" applyBorder="1"/>
    <xf numFmtId="3" fontId="15" fillId="4" borderId="18" xfId="0" applyNumberFormat="1" applyFont="1" applyFill="1" applyBorder="1"/>
    <xf numFmtId="3" fontId="15" fillId="10" borderId="17" xfId="0" applyNumberFormat="1" applyFont="1" applyFill="1" applyBorder="1" applyAlignment="1">
      <alignment horizontal="right"/>
    </xf>
    <xf numFmtId="3" fontId="15" fillId="0" borderId="17" xfId="0" applyNumberFormat="1" applyFont="1" applyBorder="1" applyAlignment="1">
      <alignment horizontal="right"/>
    </xf>
    <xf numFmtId="3" fontId="15" fillId="4" borderId="17" xfId="0" applyNumberFormat="1" applyFont="1" applyFill="1" applyBorder="1" applyAlignment="1">
      <alignment horizontal="right"/>
    </xf>
    <xf numFmtId="3" fontId="15" fillId="7" borderId="23" xfId="0" applyNumberFormat="1" applyFont="1" applyFill="1" applyBorder="1" applyAlignment="1">
      <alignment horizontal="right"/>
    </xf>
    <xf numFmtId="3" fontId="15" fillId="7" borderId="24" xfId="0" applyNumberFormat="1" applyFont="1" applyFill="1" applyBorder="1"/>
    <xf numFmtId="3" fontId="15" fillId="10" borderId="21" xfId="0" applyNumberFormat="1" applyFont="1" applyFill="1" applyBorder="1"/>
    <xf numFmtId="0" fontId="15" fillId="7" borderId="17" xfId="0" quotePrefix="1" applyFont="1" applyFill="1" applyBorder="1" applyAlignment="1">
      <alignment horizontal="left"/>
    </xf>
    <xf numFmtId="3" fontId="15" fillId="7" borderId="26" xfId="0" applyNumberFormat="1" applyFont="1" applyFill="1" applyBorder="1"/>
    <xf numFmtId="3" fontId="15" fillId="10" borderId="17" xfId="0" applyNumberFormat="1" applyFont="1" applyFill="1" applyBorder="1"/>
    <xf numFmtId="3" fontId="15" fillId="7" borderId="17" xfId="0" applyNumberFormat="1" applyFont="1" applyFill="1" applyBorder="1" applyAlignment="1">
      <alignment horizontal="right"/>
    </xf>
    <xf numFmtId="3" fontId="15" fillId="7" borderId="15" xfId="0" applyNumberFormat="1" applyFont="1" applyFill="1" applyBorder="1" applyAlignment="1">
      <alignment horizontal="right"/>
    </xf>
    <xf numFmtId="0" fontId="15" fillId="0" borderId="15" xfId="0" quotePrefix="1" applyFont="1" applyBorder="1" applyAlignment="1">
      <alignment horizontal="left"/>
    </xf>
    <xf numFmtId="3" fontId="15" fillId="0" borderId="26" xfId="0" applyNumberFormat="1" applyFont="1" applyBorder="1"/>
    <xf numFmtId="0" fontId="15" fillId="7" borderId="15" xfId="0" quotePrefix="1" applyFont="1" applyFill="1" applyBorder="1" applyAlignment="1">
      <alignment horizontal="left"/>
    </xf>
    <xf numFmtId="3" fontId="15" fillId="7" borderId="15" xfId="0" applyNumberFormat="1" applyFont="1" applyFill="1" applyBorder="1"/>
    <xf numFmtId="0" fontId="15" fillId="3" borderId="15" xfId="0" quotePrefix="1" applyFont="1" applyFill="1" applyBorder="1" applyAlignment="1">
      <alignment horizontal="left"/>
    </xf>
    <xf numFmtId="3" fontId="15" fillId="12" borderId="17" xfId="0" applyNumberFormat="1" applyFont="1" applyFill="1" applyBorder="1" applyAlignment="1">
      <alignment horizontal="right"/>
    </xf>
    <xf numFmtId="0" fontId="15" fillId="7" borderId="21" xfId="0" quotePrefix="1" applyFont="1" applyFill="1" applyBorder="1" applyAlignment="1">
      <alignment horizontal="left"/>
    </xf>
    <xf numFmtId="3" fontId="15" fillId="7" borderId="21" xfId="0" applyNumberFormat="1" applyFont="1" applyFill="1" applyBorder="1"/>
    <xf numFmtId="0" fontId="15" fillId="0" borderId="17" xfId="0" quotePrefix="1" applyFont="1" applyBorder="1" applyAlignment="1">
      <alignment horizontal="left"/>
    </xf>
    <xf numFmtId="3" fontId="15" fillId="7" borderId="17" xfId="0" applyNumberFormat="1" applyFont="1" applyFill="1" applyBorder="1"/>
    <xf numFmtId="0" fontId="15" fillId="0" borderId="21" xfId="0" quotePrefix="1" applyFont="1" applyBorder="1" applyAlignment="1">
      <alignment horizontal="left"/>
    </xf>
    <xf numFmtId="3" fontId="15" fillId="0" borderId="23" xfId="0" applyNumberFormat="1" applyFont="1" applyBorder="1" applyAlignment="1">
      <alignment horizontal="right"/>
    </xf>
    <xf numFmtId="3" fontId="15" fillId="0" borderId="24" xfId="0" applyNumberFormat="1" applyFont="1" applyBorder="1"/>
    <xf numFmtId="0" fontId="15" fillId="3" borderId="17" xfId="0" quotePrefix="1" applyFont="1" applyFill="1" applyBorder="1" applyAlignment="1">
      <alignment horizontal="left"/>
    </xf>
    <xf numFmtId="3" fontId="15" fillId="0" borderId="15" xfId="0" applyNumberFormat="1" applyFont="1" applyBorder="1" applyAlignment="1">
      <alignment horizontal="center"/>
    </xf>
    <xf numFmtId="0" fontId="15" fillId="3" borderId="21" xfId="0" quotePrefix="1" applyFont="1" applyFill="1" applyBorder="1" applyAlignment="1">
      <alignment horizontal="left"/>
    </xf>
    <xf numFmtId="0" fontId="15" fillId="0" borderId="23" xfId="0" quotePrefix="1" applyFont="1" applyBorder="1" applyAlignment="1">
      <alignment horizontal="left"/>
    </xf>
    <xf numFmtId="3" fontId="15" fillId="4" borderId="23" xfId="0" applyNumberFormat="1" applyFont="1" applyFill="1" applyBorder="1" applyAlignment="1">
      <alignment horizontal="right"/>
    </xf>
    <xf numFmtId="3" fontId="15" fillId="12" borderId="15" xfId="0" applyNumberFormat="1" applyFont="1" applyFill="1" applyBorder="1"/>
    <xf numFmtId="1" fontId="15" fillId="7" borderId="29" xfId="0" applyNumberFormat="1" applyFont="1" applyFill="1" applyBorder="1" applyAlignment="1">
      <alignment horizontal="center"/>
    </xf>
    <xf numFmtId="1" fontId="15" fillId="0" borderId="29" xfId="0" applyNumberFormat="1" applyFont="1" applyBorder="1" applyAlignment="1">
      <alignment horizontal="center"/>
    </xf>
    <xf numFmtId="1" fontId="15" fillId="4" borderId="15" xfId="0" applyNumberFormat="1" applyFont="1" applyFill="1" applyBorder="1" applyAlignment="1">
      <alignment horizontal="center"/>
    </xf>
    <xf numFmtId="3" fontId="15" fillId="0" borderId="30" xfId="0" applyNumberFormat="1" applyFont="1" applyBorder="1"/>
    <xf numFmtId="3" fontId="15" fillId="0" borderId="31" xfId="0" applyNumberFormat="1" applyFont="1" applyBorder="1"/>
    <xf numFmtId="0" fontId="15" fillId="23" borderId="21" xfId="0" quotePrefix="1" applyFont="1" applyFill="1" applyBorder="1" applyAlignment="1">
      <alignment horizontal="left"/>
    </xf>
    <xf numFmtId="3" fontId="15" fillId="7" borderId="31" xfId="0" applyNumberFormat="1" applyFont="1" applyFill="1" applyBorder="1"/>
    <xf numFmtId="3" fontId="15" fillId="7" borderId="34" xfId="0" applyNumberFormat="1" applyFont="1" applyFill="1" applyBorder="1"/>
    <xf numFmtId="0" fontId="15" fillId="7" borderId="21" xfId="0" applyFont="1" applyFill="1" applyBorder="1"/>
    <xf numFmtId="0" fontId="15" fillId="0" borderId="35" xfId="0" quotePrefix="1" applyFont="1" applyBorder="1" applyAlignment="1">
      <alignment horizontal="left"/>
    </xf>
    <xf numFmtId="0" fontId="15" fillId="3" borderId="35" xfId="0" quotePrefix="1" applyFont="1" applyFill="1" applyBorder="1" applyAlignment="1">
      <alignment horizontal="left"/>
    </xf>
    <xf numFmtId="3" fontId="15" fillId="0" borderId="35" xfId="0" applyNumberFormat="1" applyFont="1" applyBorder="1" applyAlignment="1">
      <alignment horizontal="right"/>
    </xf>
    <xf numFmtId="3" fontId="15" fillId="0" borderId="36" xfId="0" applyNumberFormat="1" applyFont="1" applyBorder="1"/>
    <xf numFmtId="3" fontId="15" fillId="0" borderId="37" xfId="0" applyNumberFormat="1" applyFont="1" applyBorder="1"/>
    <xf numFmtId="3" fontId="15" fillId="5" borderId="30" xfId="0" applyNumberFormat="1" applyFont="1" applyFill="1" applyBorder="1"/>
    <xf numFmtId="0" fontId="15" fillId="0" borderId="35" xfId="0" applyFont="1" applyBorder="1"/>
    <xf numFmtId="3" fontId="15" fillId="7" borderId="17" xfId="0" applyNumberFormat="1" applyFont="1" applyFill="1" applyBorder="1" applyAlignment="1">
      <alignment horizontal="center"/>
    </xf>
    <xf numFmtId="3" fontId="15" fillId="7" borderId="0" xfId="0" applyNumberFormat="1" applyFont="1" applyFill="1"/>
    <xf numFmtId="3" fontId="15" fillId="7" borderId="38" xfId="0" applyNumberFormat="1" applyFont="1" applyFill="1" applyBorder="1"/>
    <xf numFmtId="3" fontId="15" fillId="7" borderId="27" xfId="0" applyNumberFormat="1" applyFont="1" applyFill="1" applyBorder="1"/>
    <xf numFmtId="0" fontId="15" fillId="7" borderId="17" xfId="0" applyFont="1" applyFill="1" applyBorder="1"/>
    <xf numFmtId="3" fontId="15" fillId="0" borderId="23" xfId="0" applyNumberFormat="1" applyFont="1" applyBorder="1" applyAlignment="1">
      <alignment horizontal="center"/>
    </xf>
    <xf numFmtId="0" fontId="15" fillId="0" borderId="21" xfId="0" applyFont="1" applyBorder="1"/>
    <xf numFmtId="0" fontId="15" fillId="24" borderId="27" xfId="0" quotePrefix="1" applyFont="1" applyFill="1" applyBorder="1" applyAlignment="1">
      <alignment horizontal="left"/>
    </xf>
    <xf numFmtId="3" fontId="15" fillId="7" borderId="40" xfId="0" applyNumberFormat="1" applyFont="1" applyFill="1" applyBorder="1"/>
    <xf numFmtId="0" fontId="15" fillId="24" borderId="21" xfId="0" quotePrefix="1" applyFont="1" applyFill="1" applyBorder="1" applyAlignment="1">
      <alignment horizontal="left"/>
    </xf>
    <xf numFmtId="3" fontId="15" fillId="5" borderId="34" xfId="0" applyNumberFormat="1" applyFont="1" applyFill="1" applyBorder="1"/>
    <xf numFmtId="3" fontId="15" fillId="10" borderId="23" xfId="0" applyNumberFormat="1" applyFont="1" applyFill="1" applyBorder="1"/>
    <xf numFmtId="0" fontId="15" fillId="24" borderId="17" xfId="0" quotePrefix="1" applyFont="1" applyFill="1" applyBorder="1" applyAlignment="1">
      <alignment horizontal="left"/>
    </xf>
    <xf numFmtId="0" fontId="15" fillId="24" borderId="15" xfId="0" quotePrefix="1" applyFont="1" applyFill="1" applyBorder="1" applyAlignment="1">
      <alignment horizontal="left"/>
    </xf>
    <xf numFmtId="3" fontId="15" fillId="5" borderId="29" xfId="0" applyNumberFormat="1" applyFont="1" applyFill="1" applyBorder="1"/>
    <xf numFmtId="3" fontId="15" fillId="4" borderId="26" xfId="0" applyNumberFormat="1" applyFont="1" applyFill="1" applyBorder="1"/>
    <xf numFmtId="3" fontId="15" fillId="0" borderId="27" xfId="0" applyNumberFormat="1" applyFont="1" applyBorder="1"/>
    <xf numFmtId="3" fontId="15" fillId="5" borderId="40" xfId="0" applyNumberFormat="1" applyFont="1" applyFill="1" applyBorder="1"/>
    <xf numFmtId="3" fontId="15" fillId="7" borderId="29" xfId="0" applyNumberFormat="1" applyFont="1" applyFill="1" applyBorder="1"/>
    <xf numFmtId="3" fontId="15" fillId="7" borderId="41" xfId="0" applyNumberFormat="1" applyFont="1" applyFill="1" applyBorder="1"/>
    <xf numFmtId="0" fontId="15" fillId="29" borderId="15" xfId="0" quotePrefix="1" applyFont="1" applyFill="1" applyBorder="1" applyAlignment="1">
      <alignment horizontal="left"/>
    </xf>
    <xf numFmtId="0" fontId="15" fillId="7" borderId="23" xfId="0" quotePrefix="1" applyFont="1" applyFill="1" applyBorder="1" applyAlignment="1">
      <alignment horizontal="left"/>
    </xf>
    <xf numFmtId="0" fontId="15" fillId="30" borderId="23" xfId="0" quotePrefix="1" applyFont="1" applyFill="1" applyBorder="1" applyAlignment="1">
      <alignment horizontal="left"/>
    </xf>
    <xf numFmtId="3" fontId="15" fillId="7" borderId="30" xfId="0" applyNumberFormat="1" applyFont="1" applyFill="1" applyBorder="1"/>
    <xf numFmtId="0" fontId="15" fillId="7" borderId="23" xfId="0" applyFont="1" applyFill="1" applyBorder="1"/>
    <xf numFmtId="0" fontId="15" fillId="30" borderId="17" xfId="0" quotePrefix="1" applyFont="1" applyFill="1" applyBorder="1" applyAlignment="1">
      <alignment horizontal="left"/>
    </xf>
    <xf numFmtId="3" fontId="15" fillId="0" borderId="41" xfId="0" applyNumberFormat="1" applyFont="1" applyBorder="1" applyAlignment="1">
      <alignment horizontal="center"/>
    </xf>
    <xf numFmtId="3" fontId="15" fillId="0" borderId="40" xfId="0" applyNumberFormat="1" applyFont="1" applyBorder="1"/>
    <xf numFmtId="0" fontId="15" fillId="30" borderId="21" xfId="0" quotePrefix="1" applyFont="1" applyFill="1" applyBorder="1" applyAlignment="1">
      <alignment horizontal="left"/>
    </xf>
    <xf numFmtId="3" fontId="15" fillId="7" borderId="42" xfId="0" applyNumberFormat="1" applyFont="1" applyFill="1" applyBorder="1" applyAlignment="1">
      <alignment horizontal="center"/>
    </xf>
    <xf numFmtId="0" fontId="15" fillId="23" borderId="43" xfId="0" quotePrefix="1" applyFont="1" applyFill="1" applyBorder="1" applyAlignment="1">
      <alignment horizontal="left"/>
    </xf>
    <xf numFmtId="3" fontId="15" fillId="0" borderId="38" xfId="0" applyNumberFormat="1" applyFont="1" applyBorder="1"/>
    <xf numFmtId="3" fontId="15" fillId="10" borderId="27" xfId="0" applyNumberFormat="1" applyFont="1" applyFill="1" applyBorder="1"/>
    <xf numFmtId="0" fontId="15" fillId="23" borderId="23" xfId="0" quotePrefix="1" applyFont="1" applyFill="1" applyBorder="1" applyAlignment="1">
      <alignment horizontal="left"/>
    </xf>
    <xf numFmtId="0" fontId="15" fillId="31" borderId="15" xfId="0" quotePrefix="1" applyFont="1" applyFill="1" applyBorder="1" applyAlignment="1">
      <alignment horizontal="left"/>
    </xf>
    <xf numFmtId="3" fontId="15" fillId="0" borderId="29" xfId="0" applyNumberFormat="1" applyFont="1" applyBorder="1"/>
    <xf numFmtId="3" fontId="15" fillId="0" borderId="34" xfId="0" applyNumberFormat="1" applyFont="1" applyBorder="1"/>
    <xf numFmtId="0" fontId="15" fillId="23" borderId="38" xfId="0" quotePrefix="1" applyFont="1" applyFill="1" applyBorder="1" applyAlignment="1">
      <alignment horizontal="left"/>
    </xf>
    <xf numFmtId="3" fontId="15" fillId="0" borderId="41" xfId="0" applyNumberFormat="1" applyFont="1" applyBorder="1"/>
    <xf numFmtId="0" fontId="15" fillId="33" borderId="21" xfId="0" quotePrefix="1" applyFont="1" applyFill="1" applyBorder="1" applyAlignment="1">
      <alignment horizontal="left"/>
    </xf>
    <xf numFmtId="0" fontId="15" fillId="33" borderId="15" xfId="0" quotePrefix="1" applyFont="1" applyFill="1" applyBorder="1" applyAlignment="1">
      <alignment horizontal="left"/>
    </xf>
    <xf numFmtId="3" fontId="15" fillId="7" borderId="15" xfId="0" applyNumberFormat="1" applyFont="1" applyFill="1" applyBorder="1" applyAlignment="1">
      <alignment horizontal="center"/>
    </xf>
    <xf numFmtId="3" fontId="15" fillId="7" borderId="44" xfId="0" applyNumberFormat="1" applyFont="1" applyFill="1" applyBorder="1"/>
    <xf numFmtId="3" fontId="15" fillId="0" borderId="45" xfId="0" applyNumberFormat="1" applyFont="1" applyBorder="1" applyAlignment="1">
      <alignment horizontal="center"/>
    </xf>
    <xf numFmtId="0" fontId="15" fillId="5" borderId="15" xfId="0" applyFont="1" applyFill="1" applyBorder="1"/>
    <xf numFmtId="3" fontId="15" fillId="7" borderId="21" xfId="0" applyNumberFormat="1" applyFont="1" applyFill="1" applyBorder="1" applyAlignment="1">
      <alignment horizontal="center"/>
    </xf>
    <xf numFmtId="0" fontId="15" fillId="13" borderId="21" xfId="0" applyFont="1" applyFill="1" applyBorder="1"/>
    <xf numFmtId="0" fontId="15" fillId="3" borderId="23" xfId="0" quotePrefix="1" applyFont="1" applyFill="1" applyBorder="1" applyAlignment="1">
      <alignment horizontal="left"/>
    </xf>
    <xf numFmtId="0" fontId="15" fillId="0" borderId="31" xfId="0" applyFont="1" applyBorder="1"/>
    <xf numFmtId="0" fontId="15" fillId="0" borderId="23" xfId="0" applyFont="1" applyBorder="1"/>
    <xf numFmtId="0" fontId="15" fillId="7" borderId="31" xfId="0" applyFont="1" applyFill="1" applyBorder="1"/>
    <xf numFmtId="3" fontId="15" fillId="7" borderId="23" xfId="0" applyNumberFormat="1" applyFont="1" applyFill="1" applyBorder="1" applyAlignment="1">
      <alignment horizontal="center"/>
    </xf>
    <xf numFmtId="0" fontId="15" fillId="23" borderId="35" xfId="0" quotePrefix="1" applyFont="1" applyFill="1" applyBorder="1" applyAlignment="1">
      <alignment horizontal="left"/>
    </xf>
    <xf numFmtId="1" fontId="15" fillId="7" borderId="47" xfId="0" applyNumberFormat="1" applyFont="1" applyFill="1" applyBorder="1" applyAlignment="1">
      <alignment horizontal="center"/>
    </xf>
    <xf numFmtId="3" fontId="15" fillId="7" borderId="41" xfId="0" applyNumberFormat="1" applyFont="1" applyFill="1" applyBorder="1" applyAlignment="1">
      <alignment horizontal="center"/>
    </xf>
    <xf numFmtId="3" fontId="15" fillId="7" borderId="48" xfId="0" applyNumberFormat="1" applyFont="1" applyFill="1" applyBorder="1"/>
    <xf numFmtId="3" fontId="15" fillId="0" borderId="42" xfId="0" applyNumberFormat="1" applyFont="1" applyBorder="1" applyAlignment="1">
      <alignment horizontal="center"/>
    </xf>
    <xf numFmtId="3" fontId="15" fillId="0" borderId="49" xfId="0" applyNumberFormat="1" applyFont="1" applyBorder="1"/>
    <xf numFmtId="3" fontId="15" fillId="7" borderId="50" xfId="0" applyNumberFormat="1" applyFont="1" applyFill="1" applyBorder="1"/>
    <xf numFmtId="3" fontId="15" fillId="0" borderId="48" xfId="0" applyNumberFormat="1" applyFont="1" applyBorder="1"/>
    <xf numFmtId="3" fontId="15" fillId="7" borderId="51" xfId="0" applyNumberFormat="1" applyFont="1" applyFill="1" applyBorder="1"/>
    <xf numFmtId="3" fontId="15" fillId="0" borderId="51" xfId="0" applyNumberFormat="1" applyFont="1" applyBorder="1"/>
    <xf numFmtId="3" fontId="15" fillId="0" borderId="23" xfId="0" applyNumberFormat="1" applyFont="1" applyBorder="1"/>
    <xf numFmtId="0" fontId="15" fillId="36" borderId="15" xfId="0" quotePrefix="1" applyFont="1" applyFill="1" applyBorder="1" applyAlignment="1">
      <alignment horizontal="left"/>
    </xf>
    <xf numFmtId="3" fontId="15" fillId="7" borderId="45" xfId="0" applyNumberFormat="1" applyFont="1" applyFill="1" applyBorder="1" applyAlignment="1">
      <alignment horizontal="center"/>
    </xf>
    <xf numFmtId="3" fontId="15" fillId="7" borderId="49" xfId="0" applyNumberFormat="1" applyFont="1" applyFill="1" applyBorder="1"/>
    <xf numFmtId="1" fontId="15" fillId="7" borderId="53" xfId="0" applyNumberFormat="1" applyFont="1" applyFill="1" applyBorder="1" applyAlignment="1">
      <alignment horizontal="center"/>
    </xf>
    <xf numFmtId="0" fontId="15" fillId="7" borderId="35" xfId="0" quotePrefix="1" applyFont="1" applyFill="1" applyBorder="1" applyAlignment="1">
      <alignment horizontal="left"/>
    </xf>
    <xf numFmtId="3" fontId="15" fillId="7" borderId="36" xfId="0" applyNumberFormat="1" applyFont="1" applyFill="1" applyBorder="1"/>
    <xf numFmtId="3" fontId="15" fillId="7" borderId="37" xfId="0" applyNumberFormat="1" applyFont="1" applyFill="1" applyBorder="1"/>
    <xf numFmtId="3" fontId="15" fillId="7" borderId="35" xfId="0" applyNumberFormat="1" applyFont="1" applyFill="1" applyBorder="1"/>
    <xf numFmtId="0" fontId="15" fillId="7" borderId="35" xfId="0" applyFont="1" applyFill="1" applyBorder="1"/>
    <xf numFmtId="1" fontId="15" fillId="0" borderId="54" xfId="0" applyNumberFormat="1" applyFont="1" applyBorder="1" applyAlignment="1">
      <alignment horizontal="center"/>
    </xf>
    <xf numFmtId="3" fontId="15" fillId="0" borderId="35" xfId="0" applyNumberFormat="1" applyFont="1" applyBorder="1" applyAlignment="1">
      <alignment horizontal="center"/>
    </xf>
    <xf numFmtId="3" fontId="15" fillId="0" borderId="35" xfId="0" applyNumberFormat="1" applyFont="1" applyBorder="1"/>
    <xf numFmtId="3" fontId="15" fillId="5" borderId="36" xfId="0" applyNumberFormat="1" applyFont="1" applyFill="1" applyBorder="1"/>
    <xf numFmtId="1" fontId="15" fillId="7" borderId="42" xfId="0" applyNumberFormat="1" applyFont="1" applyFill="1" applyBorder="1" applyAlignment="1">
      <alignment horizontal="center"/>
    </xf>
    <xf numFmtId="3" fontId="15" fillId="7" borderId="23" xfId="0" applyNumberFormat="1" applyFont="1" applyFill="1" applyBorder="1"/>
    <xf numFmtId="3" fontId="15" fillId="4" borderId="31" xfId="0" applyNumberFormat="1" applyFont="1" applyFill="1" applyBorder="1"/>
    <xf numFmtId="3" fontId="15" fillId="10" borderId="35" xfId="0" applyNumberFormat="1" applyFont="1" applyFill="1" applyBorder="1"/>
    <xf numFmtId="1" fontId="15" fillId="7" borderId="41" xfId="0" applyNumberFormat="1" applyFont="1" applyFill="1" applyBorder="1" applyAlignment="1">
      <alignment horizontal="center"/>
    </xf>
    <xf numFmtId="0" fontId="15" fillId="23" borderId="17" xfId="0" quotePrefix="1" applyFont="1" applyFill="1" applyBorder="1" applyAlignment="1">
      <alignment horizontal="left"/>
    </xf>
    <xf numFmtId="3" fontId="15" fillId="7" borderId="57" xfId="0" applyNumberFormat="1" applyFont="1" applyFill="1" applyBorder="1"/>
    <xf numFmtId="1" fontId="15" fillId="0" borderId="42" xfId="0" applyNumberFormat="1" applyFont="1" applyBorder="1" applyAlignment="1">
      <alignment horizontal="center"/>
    </xf>
    <xf numFmtId="3" fontId="15" fillId="4" borderId="21" xfId="0" applyNumberFormat="1" applyFont="1" applyFill="1" applyBorder="1"/>
    <xf numFmtId="0" fontId="15" fillId="37" borderId="21" xfId="0" quotePrefix="1" applyFont="1" applyFill="1" applyBorder="1" applyAlignment="1">
      <alignment horizontal="left"/>
    </xf>
    <xf numFmtId="3" fontId="15" fillId="0" borderId="58" xfId="0" applyNumberFormat="1" applyFont="1" applyBorder="1"/>
    <xf numFmtId="3" fontId="15" fillId="7" borderId="58" xfId="0" applyNumberFormat="1" applyFont="1" applyFill="1" applyBorder="1"/>
    <xf numFmtId="3" fontId="15" fillId="7" borderId="59" xfId="0" applyNumberFormat="1" applyFont="1" applyFill="1" applyBorder="1"/>
    <xf numFmtId="0" fontId="15" fillId="7" borderId="38" xfId="0" quotePrefix="1" applyFont="1" applyFill="1" applyBorder="1" applyAlignment="1">
      <alignment horizontal="left"/>
    </xf>
    <xf numFmtId="3" fontId="15" fillId="0" borderId="40" xfId="0" applyNumberFormat="1" applyFont="1" applyBorder="1" applyAlignment="1">
      <alignment horizontal="right"/>
    </xf>
    <xf numFmtId="3" fontId="15" fillId="10" borderId="38" xfId="0" applyNumberFormat="1" applyFont="1" applyFill="1" applyBorder="1"/>
    <xf numFmtId="3" fontId="15" fillId="13" borderId="48" xfId="0" applyNumberFormat="1" applyFont="1" applyFill="1" applyBorder="1"/>
    <xf numFmtId="3" fontId="15" fillId="13" borderId="57" xfId="0" applyNumberFormat="1" applyFont="1" applyFill="1" applyBorder="1"/>
    <xf numFmtId="3" fontId="15" fillId="13" borderId="29" xfId="0" applyNumberFormat="1" applyFont="1" applyFill="1" applyBorder="1"/>
    <xf numFmtId="3" fontId="15" fillId="5" borderId="51" xfId="0" applyNumberFormat="1" applyFont="1" applyFill="1" applyBorder="1"/>
    <xf numFmtId="3" fontId="15" fillId="5" borderId="58" xfId="0" applyNumberFormat="1" applyFont="1" applyFill="1" applyBorder="1"/>
    <xf numFmtId="3" fontId="15" fillId="13" borderId="51" xfId="0" applyNumberFormat="1" applyFont="1" applyFill="1" applyBorder="1"/>
    <xf numFmtId="3" fontId="15" fillId="13" borderId="58" xfId="0" applyNumberFormat="1" applyFont="1" applyFill="1" applyBorder="1"/>
    <xf numFmtId="0" fontId="15" fillId="29" borderId="21" xfId="0" quotePrefix="1" applyFont="1" applyFill="1" applyBorder="1" applyAlignment="1">
      <alignment horizontal="left"/>
    </xf>
    <xf numFmtId="3" fontId="15" fillId="13" borderId="49" xfId="0" applyNumberFormat="1" applyFont="1" applyFill="1" applyBorder="1"/>
    <xf numFmtId="3" fontId="15" fillId="13" borderId="59" xfId="0" applyNumberFormat="1" applyFont="1" applyFill="1" applyBorder="1"/>
    <xf numFmtId="3" fontId="15" fillId="13" borderId="34" xfId="0" applyNumberFormat="1" applyFont="1" applyFill="1" applyBorder="1"/>
    <xf numFmtId="3" fontId="15" fillId="0" borderId="57" xfId="0" applyNumberFormat="1" applyFont="1" applyBorder="1"/>
    <xf numFmtId="3" fontId="15" fillId="13" borderId="24" xfId="0" applyNumberFormat="1" applyFont="1" applyFill="1" applyBorder="1"/>
    <xf numFmtId="0" fontId="15" fillId="23" borderId="15" xfId="0" quotePrefix="1" applyFont="1" applyFill="1" applyBorder="1" applyAlignment="1">
      <alignment horizontal="left"/>
    </xf>
    <xf numFmtId="3" fontId="15" fillId="0" borderId="59" xfId="0" applyNumberFormat="1" applyFont="1" applyBorder="1"/>
    <xf numFmtId="0" fontId="15" fillId="0" borderId="17" xfId="0" applyFont="1" applyBorder="1"/>
    <xf numFmtId="3" fontId="15" fillId="13" borderId="40" xfId="0" applyNumberFormat="1" applyFont="1" applyFill="1" applyBorder="1"/>
    <xf numFmtId="3" fontId="15" fillId="10" borderId="58" xfId="0" applyNumberFormat="1" applyFont="1" applyFill="1" applyBorder="1"/>
    <xf numFmtId="3" fontId="15" fillId="11" borderId="40" xfId="0" applyNumberFormat="1" applyFont="1" applyFill="1" applyBorder="1"/>
    <xf numFmtId="3" fontId="15" fillId="7" borderId="60" xfId="0" applyNumberFormat="1" applyFont="1" applyFill="1" applyBorder="1"/>
    <xf numFmtId="3" fontId="15" fillId="10" borderId="29" xfId="0" applyNumberFormat="1" applyFont="1" applyFill="1" applyBorder="1"/>
    <xf numFmtId="3" fontId="15" fillId="11" borderId="29" xfId="0" applyNumberFormat="1" applyFont="1" applyFill="1" applyBorder="1"/>
    <xf numFmtId="3" fontId="15" fillId="5" borderId="31" xfId="0" applyNumberFormat="1" applyFont="1" applyFill="1" applyBorder="1"/>
    <xf numFmtId="3" fontId="15" fillId="11" borderId="23" xfId="0" applyNumberFormat="1" applyFont="1" applyFill="1" applyBorder="1"/>
    <xf numFmtId="3" fontId="15" fillId="0" borderId="61" xfId="0" applyNumberFormat="1" applyFont="1" applyBorder="1"/>
    <xf numFmtId="0" fontId="15" fillId="33" borderId="23" xfId="0" quotePrefix="1" applyFont="1" applyFill="1" applyBorder="1" applyAlignment="1">
      <alignment horizontal="left"/>
    </xf>
    <xf numFmtId="3" fontId="15" fillId="7" borderId="61" xfId="0" applyNumberFormat="1" applyFont="1" applyFill="1" applyBorder="1"/>
    <xf numFmtId="3" fontId="15" fillId="13" borderId="61" xfId="0" applyNumberFormat="1" applyFont="1" applyFill="1" applyBorder="1"/>
    <xf numFmtId="2" fontId="15" fillId="0" borderId="27" xfId="0" applyNumberFormat="1" applyFont="1" applyBorder="1" applyAlignment="1">
      <alignment horizontal="right"/>
    </xf>
    <xf numFmtId="2" fontId="15" fillId="0" borderId="40" xfId="0" applyNumberFormat="1" applyFont="1" applyBorder="1" applyAlignment="1">
      <alignment horizontal="right"/>
    </xf>
    <xf numFmtId="2" fontId="15" fillId="13" borderId="15" xfId="0" applyNumberFormat="1" applyFont="1" applyFill="1" applyBorder="1" applyAlignment="1">
      <alignment horizontal="right"/>
    </xf>
    <xf numFmtId="2" fontId="15" fillId="13" borderId="29" xfId="0" applyNumberFormat="1" applyFont="1" applyFill="1" applyBorder="1" applyAlignment="1">
      <alignment horizontal="right"/>
    </xf>
    <xf numFmtId="0" fontId="15" fillId="13" borderId="15" xfId="0" applyFont="1" applyFill="1" applyBorder="1"/>
    <xf numFmtId="2" fontId="15" fillId="0" borderId="21" xfId="0" applyNumberFormat="1" applyFont="1" applyBorder="1" applyAlignment="1">
      <alignment horizontal="right"/>
    </xf>
    <xf numFmtId="2" fontId="15" fillId="0" borderId="34" xfId="0" applyNumberFormat="1" applyFont="1" applyBorder="1" applyAlignment="1">
      <alignment horizontal="right"/>
    </xf>
    <xf numFmtId="3" fontId="15" fillId="4" borderId="17" xfId="0" applyNumberFormat="1" applyFont="1" applyFill="1" applyBorder="1"/>
    <xf numFmtId="3" fontId="15" fillId="10" borderId="17" xfId="0" applyNumberFormat="1" applyFont="1" applyFill="1" applyBorder="1" applyAlignment="1">
      <alignment horizontal="center"/>
    </xf>
    <xf numFmtId="0" fontId="6" fillId="13" borderId="35" xfId="0" applyFont="1" applyFill="1" applyBorder="1" applyAlignment="1">
      <alignment horizontal="center"/>
    </xf>
    <xf numFmtId="3" fontId="15" fillId="13" borderId="36" xfId="0" applyNumberFormat="1" applyFont="1" applyFill="1" applyBorder="1"/>
    <xf numFmtId="3" fontId="15" fillId="4" borderId="15" xfId="0" applyNumberFormat="1" applyFont="1" applyFill="1" applyBorder="1"/>
    <xf numFmtId="1" fontId="15" fillId="0" borderId="66" xfId="0" applyNumberFormat="1" applyFont="1" applyBorder="1" applyAlignment="1">
      <alignment horizontal="center"/>
    </xf>
    <xf numFmtId="3" fontId="15" fillId="7" borderId="67" xfId="0" applyNumberFormat="1" applyFont="1" applyFill="1" applyBorder="1"/>
    <xf numFmtId="3" fontId="15" fillId="7" borderId="27" xfId="0" applyNumberFormat="1" applyFont="1" applyFill="1" applyBorder="1" applyAlignment="1">
      <alignment horizontal="center"/>
    </xf>
    <xf numFmtId="3" fontId="15" fillId="7" borderId="68" xfId="0" applyNumberFormat="1" applyFont="1" applyFill="1" applyBorder="1"/>
    <xf numFmtId="3" fontId="15" fillId="7" borderId="19" xfId="0" applyNumberFormat="1" applyFont="1" applyFill="1" applyBorder="1"/>
    <xf numFmtId="3" fontId="15" fillId="3" borderId="58" xfId="0" applyNumberFormat="1" applyFont="1" applyFill="1" applyBorder="1"/>
    <xf numFmtId="1" fontId="15" fillId="33" borderId="23" xfId="0" applyNumberFormat="1" applyFont="1" applyFill="1" applyBorder="1" applyAlignment="1">
      <alignment horizontal="center"/>
    </xf>
    <xf numFmtId="3" fontId="15" fillId="0" borderId="21" xfId="0" applyNumberFormat="1" applyFont="1" applyBorder="1" applyAlignment="1">
      <alignment horizontal="center"/>
    </xf>
    <xf numFmtId="3" fontId="15" fillId="4" borderId="0" xfId="0" applyNumberFormat="1" applyFont="1" applyFill="1"/>
    <xf numFmtId="0" fontId="15" fillId="40" borderId="15" xfId="0" quotePrefix="1" applyFont="1" applyFill="1" applyBorder="1" applyAlignment="1">
      <alignment horizontal="left"/>
    </xf>
    <xf numFmtId="3" fontId="15" fillId="7" borderId="66" xfId="0" applyNumberFormat="1" applyFont="1" applyFill="1" applyBorder="1"/>
    <xf numFmtId="1" fontId="15" fillId="5" borderId="29" xfId="0" applyNumberFormat="1" applyFont="1" applyFill="1" applyBorder="1" applyAlignment="1">
      <alignment horizontal="center"/>
    </xf>
    <xf numFmtId="3" fontId="15" fillId="5" borderId="18" xfId="0" applyNumberFormat="1" applyFont="1" applyFill="1" applyBorder="1"/>
    <xf numFmtId="3" fontId="15" fillId="5" borderId="45" xfId="0" applyNumberFormat="1" applyFont="1" applyFill="1" applyBorder="1" applyAlignment="1">
      <alignment horizontal="center"/>
    </xf>
    <xf numFmtId="1" fontId="15" fillId="7" borderId="34" xfId="0" applyNumberFormat="1" applyFont="1" applyFill="1" applyBorder="1" applyAlignment="1">
      <alignment horizontal="center"/>
    </xf>
    <xf numFmtId="1" fontId="15" fillId="0" borderId="40" xfId="0" applyNumberFormat="1" applyFont="1" applyBorder="1" applyAlignment="1">
      <alignment horizontal="center"/>
    </xf>
    <xf numFmtId="3" fontId="15" fillId="10" borderId="48" xfId="0" applyNumberFormat="1" applyFont="1" applyFill="1" applyBorder="1"/>
    <xf numFmtId="1" fontId="15" fillId="0" borderId="30" xfId="0" applyNumberFormat="1" applyFont="1" applyBorder="1" applyAlignment="1">
      <alignment horizontal="center"/>
    </xf>
    <xf numFmtId="1" fontId="15" fillId="7" borderId="40" xfId="0" applyNumberFormat="1" applyFont="1" applyFill="1" applyBorder="1" applyAlignment="1">
      <alignment horizontal="center"/>
    </xf>
    <xf numFmtId="1" fontId="15" fillId="0" borderId="34" xfId="0" applyNumberFormat="1" applyFont="1" applyBorder="1" applyAlignment="1">
      <alignment horizontal="center"/>
    </xf>
    <xf numFmtId="3" fontId="15" fillId="0" borderId="66" xfId="0" applyNumberFormat="1" applyFont="1" applyBorder="1"/>
    <xf numFmtId="1" fontId="15" fillId="7" borderId="30" xfId="0" applyNumberFormat="1" applyFont="1" applyFill="1" applyBorder="1" applyAlignment="1">
      <alignment horizontal="center"/>
    </xf>
    <xf numFmtId="1" fontId="15" fillId="5" borderId="34" xfId="0" applyNumberFormat="1" applyFont="1" applyFill="1" applyBorder="1" applyAlignment="1">
      <alignment horizontal="center"/>
    </xf>
    <xf numFmtId="3" fontId="15" fillId="5" borderId="24" xfId="0" applyNumberFormat="1" applyFont="1" applyFill="1" applyBorder="1"/>
    <xf numFmtId="3" fontId="15" fillId="5" borderId="42" xfId="0" applyNumberFormat="1" applyFont="1" applyFill="1" applyBorder="1" applyAlignment="1">
      <alignment horizontal="center"/>
    </xf>
    <xf numFmtId="3" fontId="15" fillId="0" borderId="19" xfId="0" applyNumberFormat="1" applyFont="1" applyBorder="1"/>
    <xf numFmtId="3" fontId="15" fillId="10" borderId="71" xfId="0" applyNumberFormat="1" applyFont="1" applyFill="1" applyBorder="1"/>
    <xf numFmtId="3" fontId="15" fillId="10" borderId="51" xfId="0" applyNumberFormat="1" applyFont="1" applyFill="1" applyBorder="1"/>
    <xf numFmtId="3" fontId="15" fillId="7" borderId="18" xfId="0" applyNumberFormat="1" applyFont="1" applyFill="1" applyBorder="1" applyAlignment="1">
      <alignment horizontal="center"/>
    </xf>
    <xf numFmtId="3" fontId="15" fillId="10" borderId="23" xfId="0" applyNumberFormat="1" applyFont="1" applyFill="1" applyBorder="1" applyAlignment="1">
      <alignment horizontal="center"/>
    </xf>
    <xf numFmtId="0" fontId="15" fillId="13" borderId="35" xfId="0" applyFont="1" applyFill="1" applyBorder="1" applyAlignment="1">
      <alignment horizontal="center"/>
    </xf>
    <xf numFmtId="3" fontId="15" fillId="3" borderId="51" xfId="0" applyNumberFormat="1" applyFont="1" applyFill="1" applyBorder="1"/>
    <xf numFmtId="3" fontId="15" fillId="0" borderId="71" xfId="0" applyNumberFormat="1" applyFont="1" applyBorder="1"/>
    <xf numFmtId="1" fontId="15" fillId="0" borderId="41" xfId="0" applyNumberFormat="1" applyFont="1" applyBorder="1" applyAlignment="1">
      <alignment horizontal="center"/>
    </xf>
    <xf numFmtId="0" fontId="15" fillId="0" borderId="38" xfId="0" quotePrefix="1" applyFont="1" applyBorder="1" applyAlignment="1">
      <alignment horizontal="left"/>
    </xf>
    <xf numFmtId="3" fontId="15" fillId="0" borderId="72" xfId="0" applyNumberFormat="1" applyFont="1" applyBorder="1"/>
    <xf numFmtId="3" fontId="15" fillId="5" borderId="26" xfId="0" applyNumberFormat="1" applyFont="1" applyFill="1" applyBorder="1"/>
    <xf numFmtId="3" fontId="15" fillId="5" borderId="48" xfId="0" applyNumberFormat="1" applyFont="1" applyFill="1" applyBorder="1"/>
    <xf numFmtId="3" fontId="15" fillId="13" borderId="17" xfId="0" applyNumberFormat="1" applyFont="1" applyFill="1" applyBorder="1" applyAlignment="1">
      <alignment horizontal="right"/>
    </xf>
    <xf numFmtId="3" fontId="15" fillId="13" borderId="18" xfId="0" applyNumberFormat="1" applyFont="1" applyFill="1" applyBorder="1"/>
    <xf numFmtId="3" fontId="15" fillId="5" borderId="23" xfId="0" applyNumberFormat="1" applyFont="1" applyFill="1" applyBorder="1" applyAlignment="1">
      <alignment horizontal="center"/>
    </xf>
    <xf numFmtId="0" fontId="15" fillId="5" borderId="35" xfId="0" applyFont="1" applyFill="1" applyBorder="1"/>
    <xf numFmtId="3" fontId="15" fillId="10" borderId="30" xfId="0" applyNumberFormat="1" applyFont="1" applyFill="1" applyBorder="1"/>
    <xf numFmtId="2" fontId="15" fillId="7" borderId="21" xfId="0" applyNumberFormat="1" applyFont="1" applyFill="1" applyBorder="1" applyAlignment="1">
      <alignment horizontal="center"/>
    </xf>
    <xf numFmtId="0" fontId="15" fillId="7" borderId="21" xfId="0" applyFont="1" applyFill="1" applyBorder="1" applyAlignment="1">
      <alignment horizontal="center"/>
    </xf>
    <xf numFmtId="0" fontId="15" fillId="5" borderId="17" xfId="0" applyFont="1" applyFill="1" applyBorder="1"/>
    <xf numFmtId="0" fontId="15" fillId="7" borderId="15" xfId="0" applyFont="1" applyFill="1" applyBorder="1"/>
    <xf numFmtId="0" fontId="15" fillId="0" borderId="41" xfId="0" quotePrefix="1" applyFont="1" applyBorder="1" applyAlignment="1">
      <alignment horizontal="left"/>
    </xf>
    <xf numFmtId="0" fontId="15" fillId="0" borderId="0" xfId="0" applyFont="1" applyAlignment="1">
      <alignment horizontal="right"/>
    </xf>
    <xf numFmtId="4" fontId="15" fillId="0" borderId="0" xfId="0" applyNumberFormat="1" applyFont="1"/>
    <xf numFmtId="2" fontId="15" fillId="0" borderId="0" xfId="0" applyNumberFormat="1" applyFont="1"/>
    <xf numFmtId="9" fontId="15" fillId="0" borderId="0" xfId="0" applyNumberFormat="1" applyFont="1"/>
    <xf numFmtId="10" fontId="15" fillId="0" borderId="0" xfId="0" applyNumberFormat="1" applyFont="1"/>
    <xf numFmtId="1" fontId="15" fillId="0" borderId="0" xfId="0" applyNumberFormat="1" applyFont="1"/>
    <xf numFmtId="0" fontId="16" fillId="43" borderId="57" xfId="0" applyFont="1" applyFill="1" applyBorder="1"/>
    <xf numFmtId="0" fontId="16" fillId="43" borderId="0" xfId="0" applyFont="1" applyFill="1"/>
    <xf numFmtId="0" fontId="16" fillId="43" borderId="0" xfId="0" applyFont="1" applyFill="1" applyAlignment="1">
      <alignment horizontal="center"/>
    </xf>
    <xf numFmtId="0" fontId="17" fillId="44" borderId="44" xfId="0" applyFont="1" applyFill="1" applyBorder="1" applyAlignment="1">
      <alignment horizontal="center"/>
    </xf>
    <xf numFmtId="0" fontId="17" fillId="44" borderId="73" xfId="0" applyFont="1" applyFill="1" applyBorder="1"/>
    <xf numFmtId="0" fontId="17" fillId="44" borderId="74" xfId="0" applyFont="1" applyFill="1" applyBorder="1"/>
    <xf numFmtId="0" fontId="17" fillId="44" borderId="51" xfId="0" applyFont="1" applyFill="1" applyBorder="1" applyAlignment="1">
      <alignment horizontal="center"/>
    </xf>
    <xf numFmtId="0" fontId="17" fillId="44" borderId="58" xfId="0" applyFont="1" applyFill="1" applyBorder="1" applyAlignment="1">
      <alignment horizontal="center"/>
    </xf>
    <xf numFmtId="0" fontId="17" fillId="44" borderId="29" xfId="0" applyFont="1" applyFill="1" applyBorder="1" applyAlignment="1">
      <alignment horizontal="center"/>
    </xf>
    <xf numFmtId="0" fontId="17" fillId="44" borderId="38" xfId="0" applyFont="1" applyFill="1" applyBorder="1" applyAlignment="1">
      <alignment horizontal="center"/>
    </xf>
    <xf numFmtId="0" fontId="17" fillId="44" borderId="57" xfId="0" applyFont="1" applyFill="1" applyBorder="1"/>
    <xf numFmtId="0" fontId="17" fillId="44" borderId="40" xfId="0" applyFont="1" applyFill="1" applyBorder="1"/>
    <xf numFmtId="0" fontId="17" fillId="45" borderId="38" xfId="0" applyFont="1" applyFill="1" applyBorder="1" applyAlignment="1">
      <alignment horizontal="center"/>
    </xf>
    <xf numFmtId="0" fontId="17" fillId="46" borderId="38" xfId="0" applyFont="1" applyFill="1" applyBorder="1" applyAlignment="1">
      <alignment horizontal="center"/>
    </xf>
    <xf numFmtId="0" fontId="17" fillId="47" borderId="38" xfId="0" applyFont="1" applyFill="1" applyBorder="1" applyAlignment="1">
      <alignment horizontal="center"/>
    </xf>
    <xf numFmtId="0" fontId="17" fillId="44" borderId="67" xfId="0" applyFont="1" applyFill="1" applyBorder="1" applyAlignment="1">
      <alignment horizontal="center"/>
    </xf>
    <xf numFmtId="0" fontId="17" fillId="44" borderId="44" xfId="0" applyFont="1" applyFill="1" applyBorder="1"/>
    <xf numFmtId="0" fontId="17" fillId="47" borderId="44" xfId="0" applyFont="1" applyFill="1" applyBorder="1" applyAlignment="1">
      <alignment horizontal="center"/>
    </xf>
    <xf numFmtId="0" fontId="17" fillId="47" borderId="71" xfId="0" applyFont="1" applyFill="1" applyBorder="1" applyAlignment="1">
      <alignment horizontal="center"/>
    </xf>
    <xf numFmtId="1" fontId="19" fillId="0" borderId="15" xfId="0" applyNumberFormat="1" applyFont="1" applyBorder="1"/>
    <xf numFmtId="0" fontId="20" fillId="0" borderId="0" xfId="0" quotePrefix="1" applyFont="1" applyAlignment="1" applyProtection="1">
      <alignment horizontal="right"/>
      <protection locked="0"/>
    </xf>
    <xf numFmtId="0" fontId="19" fillId="0" borderId="0" xfId="0" applyFont="1"/>
    <xf numFmtId="0" fontId="19" fillId="48" borderId="75" xfId="0" applyFont="1" applyFill="1" applyBorder="1" applyProtection="1">
      <protection locked="0"/>
    </xf>
    <xf numFmtId="0" fontId="18" fillId="0" borderId="15" xfId="0" applyFont="1" applyBorder="1" applyAlignment="1">
      <alignment horizontal="centerContinuous"/>
    </xf>
    <xf numFmtId="0" fontId="18" fillId="0" borderId="44" xfId="0" applyFont="1" applyBorder="1" applyAlignment="1">
      <alignment horizontal="center" wrapText="1"/>
    </xf>
    <xf numFmtId="2" fontId="19" fillId="0" borderId="15" xfId="0" applyNumberFormat="1" applyFont="1" applyBorder="1"/>
    <xf numFmtId="0" fontId="19" fillId="0" borderId="15" xfId="0" applyFont="1" applyBorder="1"/>
    <xf numFmtId="1" fontId="19" fillId="0" borderId="15" xfId="0" applyNumberFormat="1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17" fillId="45" borderId="51" xfId="0" applyFont="1" applyFill="1" applyBorder="1" applyAlignment="1">
      <alignment horizontal="center"/>
    </xf>
    <xf numFmtId="0" fontId="17" fillId="45" borderId="58" xfId="0" applyFont="1" applyFill="1" applyBorder="1" applyAlignment="1">
      <alignment horizontal="center"/>
    </xf>
    <xf numFmtId="0" fontId="17" fillId="45" borderId="29" xfId="0" applyFont="1" applyFill="1" applyBorder="1" applyAlignment="1">
      <alignment horizontal="center"/>
    </xf>
    <xf numFmtId="0" fontId="17" fillId="46" borderId="51" xfId="0" applyFont="1" applyFill="1" applyBorder="1" applyAlignment="1">
      <alignment horizontal="center"/>
    </xf>
    <xf numFmtId="0" fontId="17" fillId="46" borderId="58" xfId="0" applyFont="1" applyFill="1" applyBorder="1" applyAlignment="1">
      <alignment horizontal="center"/>
    </xf>
    <xf numFmtId="0" fontId="17" fillId="46" borderId="29" xfId="0" applyFont="1" applyFill="1" applyBorder="1" applyAlignment="1">
      <alignment horizontal="center"/>
    </xf>
    <xf numFmtId="0" fontId="17" fillId="47" borderId="51" xfId="0" applyFont="1" applyFill="1" applyBorder="1" applyAlignment="1">
      <alignment horizontal="center"/>
    </xf>
    <xf numFmtId="0" fontId="17" fillId="47" borderId="58" xfId="0" applyFont="1" applyFill="1" applyBorder="1" applyAlignment="1">
      <alignment horizontal="center"/>
    </xf>
    <xf numFmtId="0" fontId="17" fillId="47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1"/>
  <sheetViews>
    <sheetView topLeftCell="C1" zoomScale="85" zoomScaleNormal="85" workbookViewId="0">
      <pane xSplit="14" ySplit="2" topLeftCell="AD3" activePane="bottomRight" state="frozen"/>
      <selection activeCell="C1" sqref="C1"/>
      <selection pane="topRight" activeCell="Q1" sqref="Q1"/>
      <selection pane="bottomLeft" activeCell="C3" sqref="C3"/>
      <selection pane="bottomRight" activeCell="AM3" sqref="AM3"/>
    </sheetView>
  </sheetViews>
  <sheetFormatPr defaultRowHeight="14.4" x14ac:dyDescent="0.3"/>
  <cols>
    <col min="1" max="1" width="9.88671875" hidden="1" customWidth="1"/>
    <col min="2" max="2" width="12.88671875" hidden="1" customWidth="1"/>
    <col min="3" max="3" width="21.109375" customWidth="1"/>
    <col min="4" max="4" width="22.44140625" hidden="1" customWidth="1"/>
    <col min="5" max="5" width="30.109375" customWidth="1"/>
    <col min="6" max="6" width="10.6640625" style="745" customWidth="1"/>
    <col min="7" max="7" width="14" style="794" hidden="1" customWidth="1"/>
    <col min="8" max="8" width="14.44140625" style="745" hidden="1" customWidth="1"/>
    <col min="9" max="9" width="11" style="745" hidden="1" customWidth="1"/>
    <col min="10" max="10" width="8.88671875" style="794" hidden="1" customWidth="1"/>
    <col min="11" max="11" width="11.109375" style="745" hidden="1" customWidth="1"/>
    <col min="12" max="12" width="27.6640625" style="745" customWidth="1"/>
    <col min="13" max="15" width="28.88671875" style="745" hidden="1" customWidth="1"/>
    <col min="16" max="16" width="28.5546875" style="745" hidden="1" customWidth="1"/>
    <col min="17" max="17" width="26.44140625" style="745" customWidth="1"/>
    <col min="18" max="18" width="39.44140625" style="745" customWidth="1"/>
    <col min="19" max="19" width="36.88671875" style="745" customWidth="1"/>
    <col min="20" max="20" width="10.88671875" style="745" hidden="1" customWidth="1"/>
    <col min="21" max="23" width="11.109375" style="745" hidden="1" customWidth="1"/>
    <col min="24" max="27" width="10.5546875" style="798" hidden="1" customWidth="1"/>
    <col min="28" max="28" width="10.44140625" style="708" hidden="1" customWidth="1"/>
    <col min="29" max="29" width="10.88671875" style="708" hidden="1" customWidth="1"/>
    <col min="30" max="30" width="11" style="708" customWidth="1"/>
    <col min="31" max="31" width="14.33203125" style="745" customWidth="1"/>
    <col min="32" max="32" width="14.44140625" style="745" customWidth="1"/>
    <col min="33" max="33" width="13.44140625" style="794" bestFit="1" customWidth="1"/>
    <col min="34" max="34" width="9.109375" style="745" customWidth="1"/>
    <col min="35" max="36" width="13.109375" style="745" customWidth="1"/>
    <col min="37" max="37" width="17" style="745" customWidth="1"/>
    <col min="38" max="38" width="13.109375" style="745" hidden="1" customWidth="1"/>
    <col min="39" max="39" width="10.88671875" style="745" bestFit="1" customWidth="1"/>
  </cols>
  <sheetData>
    <row r="1" spans="1:39" ht="55.5" customHeight="1" thickBot="1" x14ac:dyDescent="0.35">
      <c r="A1" s="1"/>
      <c r="B1" s="2"/>
      <c r="C1" s="3" t="s">
        <v>0</v>
      </c>
      <c r="D1" s="4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 t="s">
        <v>6</v>
      </c>
      <c r="J1" s="9" t="s">
        <v>7</v>
      </c>
      <c r="K1" s="817"/>
      <c r="L1" s="818"/>
      <c r="M1" s="818"/>
      <c r="N1" s="818"/>
      <c r="O1" s="818"/>
      <c r="P1" s="818"/>
      <c r="Q1" s="10" t="s">
        <v>8</v>
      </c>
      <c r="R1" s="817"/>
      <c r="S1" s="5" t="s">
        <v>9</v>
      </c>
      <c r="T1" s="11" t="s">
        <v>10</v>
      </c>
      <c r="U1" s="11" t="s">
        <v>11</v>
      </c>
      <c r="V1" s="11" t="s">
        <v>12</v>
      </c>
      <c r="W1" s="11" t="s">
        <v>13</v>
      </c>
      <c r="X1" s="11" t="s">
        <v>14</v>
      </c>
      <c r="Y1" s="12" t="s">
        <v>15</v>
      </c>
      <c r="Z1" s="12" t="s">
        <v>16</v>
      </c>
      <c r="AA1" s="13" t="s">
        <v>17</v>
      </c>
      <c r="AB1" s="12" t="s">
        <v>18</v>
      </c>
      <c r="AC1" s="14" t="s">
        <v>19</v>
      </c>
      <c r="AD1" s="15" t="s">
        <v>20</v>
      </c>
      <c r="AE1" s="15" t="s">
        <v>21</v>
      </c>
      <c r="AF1" s="16" t="s">
        <v>22</v>
      </c>
      <c r="AG1" s="16" t="s">
        <v>23</v>
      </c>
      <c r="AH1" s="16" t="s">
        <v>24</v>
      </c>
      <c r="AI1" s="17" t="s">
        <v>25</v>
      </c>
      <c r="AJ1" s="17" t="s">
        <v>26</v>
      </c>
      <c r="AK1" s="18" t="s">
        <v>27</v>
      </c>
      <c r="AL1" s="19" t="s">
        <v>28</v>
      </c>
      <c r="AM1" s="20" t="s">
        <v>29</v>
      </c>
    </row>
    <row r="2" spans="1:39" ht="15" thickBot="1" x14ac:dyDescent="0.35">
      <c r="A2" s="21" t="s">
        <v>30</v>
      </c>
      <c r="B2" s="22" t="s">
        <v>31</v>
      </c>
      <c r="C2" s="23" t="s">
        <v>32</v>
      </c>
      <c r="D2" s="22" t="s">
        <v>33</v>
      </c>
      <c r="E2" s="24" t="s">
        <v>34</v>
      </c>
      <c r="F2" s="25" t="s">
        <v>35</v>
      </c>
      <c r="G2" s="26" t="s">
        <v>36</v>
      </c>
      <c r="H2" s="26" t="s">
        <v>37</v>
      </c>
      <c r="I2" s="26" t="s">
        <v>38</v>
      </c>
      <c r="J2" s="25" t="s">
        <v>39</v>
      </c>
      <c r="K2" s="22" t="s">
        <v>40</v>
      </c>
      <c r="L2" s="22" t="s">
        <v>41</v>
      </c>
      <c r="M2" s="22" t="s">
        <v>42</v>
      </c>
      <c r="N2" s="22" t="s">
        <v>43</v>
      </c>
      <c r="O2" s="22" t="s">
        <v>44</v>
      </c>
      <c r="P2" s="22" t="s">
        <v>45</v>
      </c>
      <c r="Q2" s="22" t="s">
        <v>46</v>
      </c>
      <c r="R2" s="27" t="s">
        <v>47</v>
      </c>
      <c r="S2" s="27" t="s">
        <v>48</v>
      </c>
      <c r="T2" s="27" t="s">
        <v>49</v>
      </c>
      <c r="U2" s="27" t="s">
        <v>50</v>
      </c>
      <c r="V2" s="27" t="s">
        <v>51</v>
      </c>
      <c r="W2" s="27" t="s">
        <v>52</v>
      </c>
      <c r="X2" s="28" t="s">
        <v>53</v>
      </c>
      <c r="Y2" s="28" t="s">
        <v>54</v>
      </c>
      <c r="Z2" s="28" t="s">
        <v>55</v>
      </c>
      <c r="AA2" s="28" t="s">
        <v>56</v>
      </c>
      <c r="AB2" s="28" t="s">
        <v>57</v>
      </c>
      <c r="AC2" s="28" t="s">
        <v>58</v>
      </c>
      <c r="AD2" s="28" t="s">
        <v>59</v>
      </c>
      <c r="AE2" s="29" t="s">
        <v>60</v>
      </c>
      <c r="AF2" s="22" t="s">
        <v>61</v>
      </c>
      <c r="AG2" s="30" t="s">
        <v>62</v>
      </c>
      <c r="AH2" s="22" t="s">
        <v>63</v>
      </c>
      <c r="AI2" s="31" t="s">
        <v>64</v>
      </c>
      <c r="AJ2" s="31" t="s">
        <v>65</v>
      </c>
      <c r="AK2" s="22" t="s">
        <v>66</v>
      </c>
      <c r="AL2" s="32" t="s">
        <v>67</v>
      </c>
      <c r="AM2" s="22" t="s">
        <v>68</v>
      </c>
    </row>
    <row r="3" spans="1:39" x14ac:dyDescent="0.3">
      <c r="A3" s="33">
        <v>2</v>
      </c>
      <c r="B3" s="33">
        <v>138</v>
      </c>
      <c r="C3" s="34" t="s">
        <v>69</v>
      </c>
      <c r="D3" s="35" t="s">
        <v>70</v>
      </c>
      <c r="E3" s="35" t="s">
        <v>71</v>
      </c>
      <c r="F3" s="799">
        <v>484</v>
      </c>
      <c r="G3" s="799" t="s">
        <v>72</v>
      </c>
      <c r="H3" s="36" t="s">
        <v>73</v>
      </c>
      <c r="I3" s="37">
        <v>3.58</v>
      </c>
      <c r="J3" s="799" t="s">
        <v>74</v>
      </c>
      <c r="K3" s="36" t="s">
        <v>75</v>
      </c>
      <c r="L3" s="35" t="s">
        <v>76</v>
      </c>
      <c r="M3" s="35" t="s">
        <v>77</v>
      </c>
      <c r="N3" s="35" t="s">
        <v>77</v>
      </c>
      <c r="O3" s="35" t="s">
        <v>77</v>
      </c>
      <c r="P3" s="35" t="s">
        <v>77</v>
      </c>
      <c r="Q3" s="35" t="s">
        <v>77</v>
      </c>
      <c r="R3" s="38" t="s">
        <v>78</v>
      </c>
      <c r="S3" s="39" t="s">
        <v>79</v>
      </c>
      <c r="T3" s="40">
        <v>102500</v>
      </c>
      <c r="U3" s="40">
        <v>106500</v>
      </c>
      <c r="V3" s="40">
        <v>108000</v>
      </c>
      <c r="W3" s="41">
        <v>110000</v>
      </c>
      <c r="X3" s="41">
        <v>113000</v>
      </c>
      <c r="Y3" s="41">
        <v>110000</v>
      </c>
      <c r="Z3" s="41">
        <v>112000</v>
      </c>
      <c r="AA3" s="41">
        <v>114000</v>
      </c>
      <c r="AB3" s="42">
        <v>111000</v>
      </c>
      <c r="AC3" s="43">
        <v>104000</v>
      </c>
      <c r="AD3" s="43">
        <v>105000</v>
      </c>
      <c r="AE3" s="44" t="s">
        <v>80</v>
      </c>
      <c r="AF3" s="45">
        <v>113600</v>
      </c>
      <c r="AG3" s="46">
        <v>0.92429577464788737</v>
      </c>
      <c r="AH3" s="47" t="s">
        <v>80</v>
      </c>
      <c r="AI3" s="48" t="s">
        <v>81</v>
      </c>
      <c r="AJ3" s="48" t="s">
        <v>81</v>
      </c>
      <c r="AK3" s="746">
        <v>10510</v>
      </c>
      <c r="AL3" s="819">
        <f t="shared" ref="AL3:AL66" si="0">IF(AD3&gt;0,AD3*$I3,"-")</f>
        <v>375900</v>
      </c>
      <c r="AM3" s="49">
        <v>6</v>
      </c>
    </row>
    <row r="4" spans="1:39" x14ac:dyDescent="0.3">
      <c r="A4" s="33">
        <v>3</v>
      </c>
      <c r="B4" s="33">
        <v>139</v>
      </c>
      <c r="C4" s="50" t="s">
        <v>69</v>
      </c>
      <c r="D4" s="51" t="s">
        <v>82</v>
      </c>
      <c r="E4" s="51" t="s">
        <v>83</v>
      </c>
      <c r="F4" s="811">
        <v>484</v>
      </c>
      <c r="G4" s="800" t="s">
        <v>72</v>
      </c>
      <c r="H4" s="52" t="s">
        <v>73</v>
      </c>
      <c r="I4" s="53">
        <v>2.79</v>
      </c>
      <c r="J4" s="800" t="s">
        <v>84</v>
      </c>
      <c r="K4" s="52" t="s">
        <v>75</v>
      </c>
      <c r="L4" s="51" t="s">
        <v>76</v>
      </c>
      <c r="M4" s="54" t="s">
        <v>77</v>
      </c>
      <c r="N4" s="51" t="s">
        <v>77</v>
      </c>
      <c r="O4" s="51" t="s">
        <v>77</v>
      </c>
      <c r="P4" s="51" t="s">
        <v>77</v>
      </c>
      <c r="Q4" s="51" t="s">
        <v>77</v>
      </c>
      <c r="R4" s="55" t="s">
        <v>85</v>
      </c>
      <c r="S4" s="56" t="s">
        <v>79</v>
      </c>
      <c r="T4" s="57">
        <v>93600</v>
      </c>
      <c r="U4" s="57">
        <v>93900</v>
      </c>
      <c r="V4" s="57">
        <v>96400</v>
      </c>
      <c r="W4" s="58">
        <v>99800</v>
      </c>
      <c r="X4" s="59">
        <v>106510</v>
      </c>
      <c r="Y4" s="59">
        <v>108000</v>
      </c>
      <c r="Z4" s="60" t="s">
        <v>81</v>
      </c>
      <c r="AA4" s="61">
        <v>112700</v>
      </c>
      <c r="AB4" s="42">
        <v>111000</v>
      </c>
      <c r="AC4" s="43">
        <v>104000</v>
      </c>
      <c r="AD4" s="43">
        <v>105000</v>
      </c>
      <c r="AE4" s="62" t="s">
        <v>80</v>
      </c>
      <c r="AF4" s="45">
        <v>113600</v>
      </c>
      <c r="AG4" s="46">
        <v>0.92429577464788737</v>
      </c>
      <c r="AH4" s="47" t="s">
        <v>80</v>
      </c>
      <c r="AI4" s="48" t="s">
        <v>81</v>
      </c>
      <c r="AJ4" s="48" t="s">
        <v>81</v>
      </c>
      <c r="AK4" s="747">
        <v>10510</v>
      </c>
      <c r="AL4" s="819">
        <f t="shared" si="0"/>
        <v>292950</v>
      </c>
      <c r="AM4" s="63">
        <v>6</v>
      </c>
    </row>
    <row r="5" spans="1:39" x14ac:dyDescent="0.3">
      <c r="A5" s="33">
        <v>4</v>
      </c>
      <c r="B5" s="33">
        <v>140</v>
      </c>
      <c r="C5" s="34" t="s">
        <v>69</v>
      </c>
      <c r="D5" s="35" t="s">
        <v>86</v>
      </c>
      <c r="E5" s="64" t="s">
        <v>87</v>
      </c>
      <c r="F5" s="799">
        <v>1003</v>
      </c>
      <c r="G5" s="799" t="s">
        <v>72</v>
      </c>
      <c r="H5" s="65" t="s">
        <v>73</v>
      </c>
      <c r="I5" s="37">
        <v>3.15</v>
      </c>
      <c r="J5" s="799" t="s">
        <v>84</v>
      </c>
      <c r="K5" s="65" t="s">
        <v>75</v>
      </c>
      <c r="L5" s="35" t="s">
        <v>76</v>
      </c>
      <c r="M5" s="35" t="s">
        <v>77</v>
      </c>
      <c r="N5" s="35" t="s">
        <v>77</v>
      </c>
      <c r="O5" s="35" t="s">
        <v>77</v>
      </c>
      <c r="P5" s="35" t="s">
        <v>77</v>
      </c>
      <c r="Q5" s="35" t="s">
        <v>77</v>
      </c>
      <c r="R5" s="39" t="s">
        <v>85</v>
      </c>
      <c r="S5" s="39" t="s">
        <v>79</v>
      </c>
      <c r="T5" s="66">
        <v>79500</v>
      </c>
      <c r="U5" s="66">
        <v>88000</v>
      </c>
      <c r="V5" s="67">
        <v>88500</v>
      </c>
      <c r="W5" s="820">
        <v>89500</v>
      </c>
      <c r="X5" s="821">
        <v>92500</v>
      </c>
      <c r="Y5" s="820">
        <v>90000</v>
      </c>
      <c r="Z5" s="820">
        <v>92000</v>
      </c>
      <c r="AA5" s="820">
        <v>94000</v>
      </c>
      <c r="AB5" s="68">
        <v>99000</v>
      </c>
      <c r="AC5" s="68">
        <v>93000</v>
      </c>
      <c r="AD5" s="69">
        <v>103000</v>
      </c>
      <c r="AE5" s="47" t="s">
        <v>80</v>
      </c>
      <c r="AF5" s="45">
        <v>113600</v>
      </c>
      <c r="AG5" s="46">
        <v>0.90669014084507038</v>
      </c>
      <c r="AH5" s="47" t="s">
        <v>80</v>
      </c>
      <c r="AI5" s="746">
        <v>7570</v>
      </c>
      <c r="AJ5" s="746">
        <v>7505</v>
      </c>
      <c r="AK5" s="746">
        <v>10510</v>
      </c>
      <c r="AL5" s="746">
        <f t="shared" si="0"/>
        <v>324450</v>
      </c>
      <c r="AM5" s="49">
        <v>6</v>
      </c>
    </row>
    <row r="6" spans="1:39" x14ac:dyDescent="0.3">
      <c r="A6" s="33">
        <v>5</v>
      </c>
      <c r="B6" s="33">
        <v>141</v>
      </c>
      <c r="C6" s="50" t="s">
        <v>69</v>
      </c>
      <c r="D6" s="51" t="s">
        <v>88</v>
      </c>
      <c r="E6" s="70" t="s">
        <v>89</v>
      </c>
      <c r="F6" s="800">
        <v>485</v>
      </c>
      <c r="G6" s="800" t="s">
        <v>72</v>
      </c>
      <c r="H6" s="71" t="s">
        <v>73</v>
      </c>
      <c r="I6" s="72">
        <v>2.12</v>
      </c>
      <c r="J6" s="800" t="s">
        <v>84</v>
      </c>
      <c r="K6" s="71" t="s">
        <v>75</v>
      </c>
      <c r="L6" s="51" t="s">
        <v>76</v>
      </c>
      <c r="M6" s="54" t="s">
        <v>77</v>
      </c>
      <c r="N6" s="51" t="s">
        <v>77</v>
      </c>
      <c r="O6" s="51" t="s">
        <v>77</v>
      </c>
      <c r="P6" s="51" t="s">
        <v>77</v>
      </c>
      <c r="Q6" s="51" t="s">
        <v>77</v>
      </c>
      <c r="R6" s="73" t="s">
        <v>85</v>
      </c>
      <c r="S6" s="56" t="s">
        <v>79</v>
      </c>
      <c r="T6" s="57">
        <v>70500</v>
      </c>
      <c r="U6" s="57">
        <v>77500</v>
      </c>
      <c r="V6" s="74">
        <v>77000</v>
      </c>
      <c r="W6" s="822">
        <v>78000</v>
      </c>
      <c r="X6" s="823">
        <v>80500</v>
      </c>
      <c r="Y6" s="823">
        <v>71000</v>
      </c>
      <c r="Z6" s="822">
        <v>72500</v>
      </c>
      <c r="AA6" s="822">
        <v>74000</v>
      </c>
      <c r="AB6" s="58">
        <v>82000</v>
      </c>
      <c r="AC6" s="75">
        <v>77000</v>
      </c>
      <c r="AD6" s="76">
        <v>92500</v>
      </c>
      <c r="AE6" s="77" t="s">
        <v>80</v>
      </c>
      <c r="AF6" s="78">
        <v>113600</v>
      </c>
      <c r="AG6" s="79">
        <v>0.81426056338028174</v>
      </c>
      <c r="AH6" s="80" t="s">
        <v>97</v>
      </c>
      <c r="AI6" s="748">
        <v>5830</v>
      </c>
      <c r="AJ6" s="748">
        <v>6640</v>
      </c>
      <c r="AK6" s="748">
        <v>10510</v>
      </c>
      <c r="AL6" s="819">
        <f t="shared" si="0"/>
        <v>196100</v>
      </c>
      <c r="AM6" s="63">
        <v>6</v>
      </c>
    </row>
    <row r="7" spans="1:39" x14ac:dyDescent="0.3">
      <c r="A7" s="33">
        <v>6</v>
      </c>
      <c r="B7" s="33">
        <v>142</v>
      </c>
      <c r="C7" s="34" t="s">
        <v>69</v>
      </c>
      <c r="D7" s="35" t="s">
        <v>90</v>
      </c>
      <c r="E7" s="64" t="s">
        <v>91</v>
      </c>
      <c r="F7" s="799">
        <v>497</v>
      </c>
      <c r="G7" s="799" t="s">
        <v>72</v>
      </c>
      <c r="H7" s="36" t="s">
        <v>73</v>
      </c>
      <c r="I7" s="37">
        <v>2.56</v>
      </c>
      <c r="J7" s="799" t="s">
        <v>84</v>
      </c>
      <c r="K7" s="36" t="s">
        <v>75</v>
      </c>
      <c r="L7" s="35" t="s">
        <v>76</v>
      </c>
      <c r="M7" s="35" t="s">
        <v>77</v>
      </c>
      <c r="N7" s="35" t="s">
        <v>77</v>
      </c>
      <c r="O7" s="35" t="s">
        <v>77</v>
      </c>
      <c r="P7" s="35" t="s">
        <v>77</v>
      </c>
      <c r="Q7" s="35" t="s">
        <v>77</v>
      </c>
      <c r="R7" s="38" t="s">
        <v>85</v>
      </c>
      <c r="S7" s="39" t="s">
        <v>79</v>
      </c>
      <c r="T7" s="66">
        <v>62000</v>
      </c>
      <c r="U7" s="66">
        <v>55500</v>
      </c>
      <c r="V7" s="67">
        <v>60500</v>
      </c>
      <c r="W7" s="820">
        <v>65500</v>
      </c>
      <c r="X7" s="820">
        <v>71500</v>
      </c>
      <c r="Y7" s="820">
        <v>74500</v>
      </c>
      <c r="Z7" s="820">
        <v>77000</v>
      </c>
      <c r="AA7" s="820">
        <v>79000</v>
      </c>
      <c r="AB7" s="68">
        <v>80000</v>
      </c>
      <c r="AC7" s="68">
        <v>78000</v>
      </c>
      <c r="AD7" s="68">
        <v>78000</v>
      </c>
      <c r="AE7" s="65" t="s">
        <v>80</v>
      </c>
      <c r="AF7" s="81">
        <v>113600</v>
      </c>
      <c r="AG7" s="82">
        <v>0.68661971830985913</v>
      </c>
      <c r="AH7" s="83" t="s">
        <v>97</v>
      </c>
      <c r="AI7" s="84" t="s">
        <v>81</v>
      </c>
      <c r="AJ7" s="84" t="s">
        <v>81</v>
      </c>
      <c r="AK7" s="749">
        <v>10510</v>
      </c>
      <c r="AL7" s="819">
        <f t="shared" si="0"/>
        <v>199680</v>
      </c>
      <c r="AM7" s="49">
        <v>6</v>
      </c>
    </row>
    <row r="8" spans="1:39" x14ac:dyDescent="0.3">
      <c r="A8" s="33">
        <v>7</v>
      </c>
      <c r="B8" s="33">
        <v>143</v>
      </c>
      <c r="C8" s="50" t="s">
        <v>69</v>
      </c>
      <c r="D8" s="51" t="s">
        <v>92</v>
      </c>
      <c r="E8" s="51" t="s">
        <v>93</v>
      </c>
      <c r="F8" s="800">
        <v>486</v>
      </c>
      <c r="G8" s="800" t="s">
        <v>72</v>
      </c>
      <c r="H8" s="52" t="s">
        <v>73</v>
      </c>
      <c r="I8" s="72">
        <v>10.31</v>
      </c>
      <c r="J8" s="800" t="s">
        <v>84</v>
      </c>
      <c r="K8" s="52" t="s">
        <v>75</v>
      </c>
      <c r="L8" s="51" t="s">
        <v>94</v>
      </c>
      <c r="M8" s="54" t="s">
        <v>95</v>
      </c>
      <c r="N8" s="51" t="s">
        <v>95</v>
      </c>
      <c r="O8" s="51" t="s">
        <v>95</v>
      </c>
      <c r="P8" s="51" t="s">
        <v>95</v>
      </c>
      <c r="Q8" s="51" t="s">
        <v>77</v>
      </c>
      <c r="R8" s="55" t="s">
        <v>85</v>
      </c>
      <c r="S8" s="85" t="s">
        <v>96</v>
      </c>
      <c r="T8" s="824">
        <v>54000</v>
      </c>
      <c r="U8" s="825">
        <v>55000</v>
      </c>
      <c r="V8" s="826">
        <v>55000</v>
      </c>
      <c r="W8" s="821">
        <v>56000</v>
      </c>
      <c r="X8" s="821">
        <v>57000</v>
      </c>
      <c r="Y8" s="823">
        <v>58000</v>
      </c>
      <c r="Z8" s="822">
        <v>65500</v>
      </c>
      <c r="AA8" s="822">
        <v>65500</v>
      </c>
      <c r="AB8" s="58">
        <v>66500</v>
      </c>
      <c r="AC8" s="75">
        <v>59500</v>
      </c>
      <c r="AD8" s="76">
        <v>59500</v>
      </c>
      <c r="AE8" s="85" t="s">
        <v>97</v>
      </c>
      <c r="AF8" s="78">
        <v>93900</v>
      </c>
      <c r="AG8" s="79">
        <v>0.63365282215122476</v>
      </c>
      <c r="AH8" s="86" t="s">
        <v>1524</v>
      </c>
      <c r="AI8" s="87" t="s">
        <v>81</v>
      </c>
      <c r="AJ8" s="87" t="s">
        <v>81</v>
      </c>
      <c r="AK8" s="748">
        <v>8450</v>
      </c>
      <c r="AL8" s="819">
        <f t="shared" si="0"/>
        <v>613445</v>
      </c>
      <c r="AM8" s="63">
        <v>6</v>
      </c>
    </row>
    <row r="9" spans="1:39" ht="15" thickBot="1" x14ac:dyDescent="0.35">
      <c r="A9" s="88">
        <v>8</v>
      </c>
      <c r="B9" s="88">
        <v>144</v>
      </c>
      <c r="C9" s="89" t="s">
        <v>69</v>
      </c>
      <c r="D9" s="90" t="s">
        <v>98</v>
      </c>
      <c r="E9" s="91" t="s">
        <v>99</v>
      </c>
      <c r="F9" s="801">
        <v>491</v>
      </c>
      <c r="G9" s="801" t="s">
        <v>72</v>
      </c>
      <c r="H9" s="92" t="s">
        <v>73</v>
      </c>
      <c r="I9" s="93">
        <v>3.52</v>
      </c>
      <c r="J9" s="801" t="s">
        <v>84</v>
      </c>
      <c r="K9" s="92" t="s">
        <v>75</v>
      </c>
      <c r="L9" s="90" t="s">
        <v>94</v>
      </c>
      <c r="M9" s="91" t="s">
        <v>95</v>
      </c>
      <c r="N9" s="91" t="s">
        <v>95</v>
      </c>
      <c r="O9" s="91" t="s">
        <v>95</v>
      </c>
      <c r="P9" s="91" t="s">
        <v>95</v>
      </c>
      <c r="Q9" s="91" t="s">
        <v>77</v>
      </c>
      <c r="R9" s="94" t="s">
        <v>85</v>
      </c>
      <c r="S9" s="95" t="s">
        <v>79</v>
      </c>
      <c r="T9" s="827">
        <v>43000</v>
      </c>
      <c r="U9" s="827">
        <v>40000</v>
      </c>
      <c r="V9" s="827">
        <v>40000</v>
      </c>
      <c r="W9" s="828">
        <v>41000</v>
      </c>
      <c r="X9" s="828">
        <v>41500</v>
      </c>
      <c r="Y9" s="828">
        <v>42000</v>
      </c>
      <c r="Z9" s="828">
        <v>46000</v>
      </c>
      <c r="AA9" s="828">
        <v>47000</v>
      </c>
      <c r="AB9" s="96">
        <v>48000</v>
      </c>
      <c r="AC9" s="96">
        <v>51000</v>
      </c>
      <c r="AD9" s="96">
        <v>51000</v>
      </c>
      <c r="AE9" s="97" t="s">
        <v>80</v>
      </c>
      <c r="AF9" s="98">
        <v>113600</v>
      </c>
      <c r="AG9" s="99">
        <v>0.448943661971831</v>
      </c>
      <c r="AH9" s="100" t="s">
        <v>1524</v>
      </c>
      <c r="AI9" s="101" t="s">
        <v>81</v>
      </c>
      <c r="AJ9" s="101" t="s">
        <v>81</v>
      </c>
      <c r="AK9" s="750">
        <v>10510</v>
      </c>
      <c r="AL9" s="829">
        <f t="shared" si="0"/>
        <v>179520</v>
      </c>
      <c r="AM9" s="102">
        <v>6</v>
      </c>
    </row>
    <row r="10" spans="1:39" x14ac:dyDescent="0.3">
      <c r="A10" s="103">
        <v>19</v>
      </c>
      <c r="B10" s="103">
        <v>69</v>
      </c>
      <c r="C10" s="104" t="s">
        <v>100</v>
      </c>
      <c r="D10" s="105" t="s">
        <v>101</v>
      </c>
      <c r="E10" s="105" t="s">
        <v>102</v>
      </c>
      <c r="F10" s="802" t="s">
        <v>103</v>
      </c>
      <c r="G10" s="802" t="s">
        <v>72</v>
      </c>
      <c r="H10" s="106" t="s">
        <v>73</v>
      </c>
      <c r="I10" s="107">
        <v>11.45</v>
      </c>
      <c r="J10" s="802" t="s">
        <v>84</v>
      </c>
      <c r="K10" s="106" t="s">
        <v>104</v>
      </c>
      <c r="L10" s="830" t="s">
        <v>105</v>
      </c>
      <c r="M10" s="830" t="s">
        <v>105</v>
      </c>
      <c r="N10" s="830" t="s">
        <v>105</v>
      </c>
      <c r="O10" s="830" t="s">
        <v>105</v>
      </c>
      <c r="P10" s="830" t="s">
        <v>105</v>
      </c>
      <c r="Q10" s="105" t="s">
        <v>106</v>
      </c>
      <c r="R10" s="108" t="s">
        <v>78</v>
      </c>
      <c r="S10" s="108" t="s">
        <v>107</v>
      </c>
      <c r="T10" s="66">
        <v>30500</v>
      </c>
      <c r="U10" s="66">
        <v>30000</v>
      </c>
      <c r="V10" s="66">
        <v>26500</v>
      </c>
      <c r="W10" s="831">
        <v>27500</v>
      </c>
      <c r="X10" s="831">
        <v>36000</v>
      </c>
      <c r="Y10" s="831">
        <v>29000</v>
      </c>
      <c r="Z10" s="831">
        <v>29000</v>
      </c>
      <c r="AA10" s="831">
        <v>30500</v>
      </c>
      <c r="AB10" s="109">
        <v>33000</v>
      </c>
      <c r="AC10" s="109">
        <v>32000</v>
      </c>
      <c r="AD10" s="110">
        <v>32000</v>
      </c>
      <c r="AE10" s="106" t="s">
        <v>97</v>
      </c>
      <c r="AF10" s="81">
        <v>69000</v>
      </c>
      <c r="AG10" s="82">
        <v>0.46376811594202899</v>
      </c>
      <c r="AH10" s="106" t="s">
        <v>1524</v>
      </c>
      <c r="AI10" s="111" t="s">
        <v>81</v>
      </c>
      <c r="AJ10" s="111" t="s">
        <v>81</v>
      </c>
      <c r="AK10" s="751">
        <v>7250</v>
      </c>
      <c r="AL10" s="832">
        <f t="shared" si="0"/>
        <v>366400</v>
      </c>
      <c r="AM10" s="112">
        <v>6</v>
      </c>
    </row>
    <row r="11" spans="1:39" x14ac:dyDescent="0.3">
      <c r="A11" s="33">
        <v>18</v>
      </c>
      <c r="B11" s="33">
        <v>68</v>
      </c>
      <c r="C11" s="113" t="s">
        <v>100</v>
      </c>
      <c r="D11" s="114" t="s">
        <v>108</v>
      </c>
      <c r="E11" s="51" t="s">
        <v>109</v>
      </c>
      <c r="F11" s="800">
        <v>503</v>
      </c>
      <c r="G11" s="800" t="s">
        <v>72</v>
      </c>
      <c r="H11" s="71" t="s">
        <v>73</v>
      </c>
      <c r="I11" s="72">
        <v>4.84</v>
      </c>
      <c r="J11" s="800" t="s">
        <v>84</v>
      </c>
      <c r="K11" s="71" t="s">
        <v>104</v>
      </c>
      <c r="L11" s="114" t="s">
        <v>94</v>
      </c>
      <c r="M11" s="54" t="s">
        <v>95</v>
      </c>
      <c r="N11" s="51" t="s">
        <v>95</v>
      </c>
      <c r="O11" s="51" t="s">
        <v>95</v>
      </c>
      <c r="P11" s="51" t="s">
        <v>95</v>
      </c>
      <c r="Q11" s="51" t="s">
        <v>77</v>
      </c>
      <c r="R11" s="73" t="s">
        <v>110</v>
      </c>
      <c r="S11" s="56" t="s">
        <v>79</v>
      </c>
      <c r="T11" s="825">
        <v>31000</v>
      </c>
      <c r="U11" s="825">
        <v>31000</v>
      </c>
      <c r="V11" s="826">
        <v>32500</v>
      </c>
      <c r="W11" s="822">
        <v>35000</v>
      </c>
      <c r="X11" s="823">
        <v>36000</v>
      </c>
      <c r="Y11" s="823">
        <v>46500</v>
      </c>
      <c r="Z11" s="822">
        <v>41500</v>
      </c>
      <c r="AA11" s="822">
        <v>42500</v>
      </c>
      <c r="AB11" s="58">
        <v>47000</v>
      </c>
      <c r="AC11" s="75">
        <v>46000</v>
      </c>
      <c r="AD11" s="115">
        <v>46000</v>
      </c>
      <c r="AE11" s="86" t="s">
        <v>80</v>
      </c>
      <c r="AF11" s="78">
        <v>113600</v>
      </c>
      <c r="AG11" s="79">
        <v>0.40492957746478875</v>
      </c>
      <c r="AH11" s="80" t="s">
        <v>1524</v>
      </c>
      <c r="AI11" s="87" t="s">
        <v>81</v>
      </c>
      <c r="AJ11" s="87" t="s">
        <v>81</v>
      </c>
      <c r="AK11" s="748">
        <v>10510</v>
      </c>
      <c r="AL11" s="819">
        <f t="shared" si="0"/>
        <v>222640</v>
      </c>
      <c r="AM11" s="63">
        <v>6</v>
      </c>
    </row>
    <row r="12" spans="1:39" x14ac:dyDescent="0.3">
      <c r="A12" s="33">
        <v>17</v>
      </c>
      <c r="B12" s="33">
        <v>67</v>
      </c>
      <c r="C12" s="116" t="s">
        <v>100</v>
      </c>
      <c r="D12" s="117" t="s">
        <v>111</v>
      </c>
      <c r="E12" s="35" t="s">
        <v>112</v>
      </c>
      <c r="F12" s="799">
        <v>133</v>
      </c>
      <c r="G12" s="799" t="s">
        <v>72</v>
      </c>
      <c r="H12" s="36" t="s">
        <v>73</v>
      </c>
      <c r="I12" s="37">
        <v>6.99</v>
      </c>
      <c r="J12" s="799" t="s">
        <v>84</v>
      </c>
      <c r="K12" s="36" t="s">
        <v>104</v>
      </c>
      <c r="L12" s="117" t="s">
        <v>94</v>
      </c>
      <c r="M12" s="35" t="s">
        <v>95</v>
      </c>
      <c r="N12" s="35" t="s">
        <v>95</v>
      </c>
      <c r="O12" s="35" t="s">
        <v>95</v>
      </c>
      <c r="P12" s="35" t="s">
        <v>95</v>
      </c>
      <c r="Q12" s="54" t="s">
        <v>77</v>
      </c>
      <c r="R12" s="38" t="s">
        <v>85</v>
      </c>
      <c r="S12" s="39" t="s">
        <v>79</v>
      </c>
      <c r="T12" s="833">
        <v>36600</v>
      </c>
      <c r="U12" s="833">
        <v>36900</v>
      </c>
      <c r="V12" s="833">
        <v>36600</v>
      </c>
      <c r="W12" s="820">
        <v>37700</v>
      </c>
      <c r="X12" s="820">
        <v>37000</v>
      </c>
      <c r="Y12" s="820">
        <v>40700</v>
      </c>
      <c r="Z12" s="118" t="s">
        <v>81</v>
      </c>
      <c r="AA12" s="118" t="s">
        <v>81</v>
      </c>
      <c r="AB12" s="119">
        <v>24000</v>
      </c>
      <c r="AC12" s="119">
        <v>43000</v>
      </c>
      <c r="AD12" s="120">
        <v>50700</v>
      </c>
      <c r="AE12" s="65" t="s">
        <v>80</v>
      </c>
      <c r="AF12" s="81">
        <v>113600</v>
      </c>
      <c r="AG12" s="82">
        <v>0.44630281690140844</v>
      </c>
      <c r="AH12" s="83" t="s">
        <v>1524</v>
      </c>
      <c r="AI12" s="84" t="s">
        <v>81</v>
      </c>
      <c r="AJ12" s="84" t="s">
        <v>81</v>
      </c>
      <c r="AK12" s="749">
        <v>10510</v>
      </c>
      <c r="AL12" s="819">
        <f t="shared" si="0"/>
        <v>354393</v>
      </c>
      <c r="AM12" s="121">
        <v>6</v>
      </c>
    </row>
    <row r="13" spans="1:39" x14ac:dyDescent="0.3">
      <c r="A13" s="33">
        <v>16</v>
      </c>
      <c r="B13" s="33">
        <v>66</v>
      </c>
      <c r="C13" s="113" t="s">
        <v>100</v>
      </c>
      <c r="D13" s="114" t="s">
        <v>113</v>
      </c>
      <c r="E13" s="51" t="s">
        <v>114</v>
      </c>
      <c r="F13" s="811">
        <v>494</v>
      </c>
      <c r="G13" s="800" t="s">
        <v>72</v>
      </c>
      <c r="H13" s="71" t="s">
        <v>73</v>
      </c>
      <c r="I13" s="72">
        <v>4.57</v>
      </c>
      <c r="J13" s="800" t="s">
        <v>84</v>
      </c>
      <c r="K13" s="71" t="s">
        <v>104</v>
      </c>
      <c r="L13" s="114" t="s">
        <v>94</v>
      </c>
      <c r="M13" s="54" t="s">
        <v>95</v>
      </c>
      <c r="N13" s="51" t="s">
        <v>95</v>
      </c>
      <c r="O13" s="51" t="s">
        <v>95</v>
      </c>
      <c r="P13" s="51" t="s">
        <v>95</v>
      </c>
      <c r="Q13" s="54" t="s">
        <v>77</v>
      </c>
      <c r="R13" s="73" t="s">
        <v>85</v>
      </c>
      <c r="S13" s="56" t="s">
        <v>79</v>
      </c>
      <c r="T13" s="825">
        <v>44500</v>
      </c>
      <c r="U13" s="825">
        <v>42500</v>
      </c>
      <c r="V13" s="826">
        <v>45000</v>
      </c>
      <c r="W13" s="822">
        <v>46500</v>
      </c>
      <c r="X13" s="823">
        <v>47500</v>
      </c>
      <c r="Y13" s="823">
        <v>49500</v>
      </c>
      <c r="Z13" s="822">
        <v>51500</v>
      </c>
      <c r="AA13" s="60" t="s">
        <v>81</v>
      </c>
      <c r="AB13" s="58">
        <v>68000</v>
      </c>
      <c r="AC13" s="75">
        <v>74500</v>
      </c>
      <c r="AD13" s="115">
        <v>81500</v>
      </c>
      <c r="AE13" s="86" t="s">
        <v>80</v>
      </c>
      <c r="AF13" s="78">
        <v>113600</v>
      </c>
      <c r="AG13" s="79">
        <v>0.71742957746478875</v>
      </c>
      <c r="AH13" s="80" t="s">
        <v>97</v>
      </c>
      <c r="AI13" s="87" t="s">
        <v>81</v>
      </c>
      <c r="AJ13" s="87" t="s">
        <v>81</v>
      </c>
      <c r="AK13" s="748">
        <v>10510</v>
      </c>
      <c r="AL13" s="819">
        <f t="shared" si="0"/>
        <v>372455</v>
      </c>
      <c r="AM13" s="63">
        <v>6</v>
      </c>
    </row>
    <row r="14" spans="1:39" x14ac:dyDescent="0.3">
      <c r="A14" s="33">
        <v>15</v>
      </c>
      <c r="B14" s="33">
        <v>65</v>
      </c>
      <c r="C14" s="116" t="s">
        <v>100</v>
      </c>
      <c r="D14" s="117" t="s">
        <v>115</v>
      </c>
      <c r="E14" s="35" t="s">
        <v>116</v>
      </c>
      <c r="F14" s="811">
        <v>494</v>
      </c>
      <c r="G14" s="799" t="s">
        <v>72</v>
      </c>
      <c r="H14" s="36" t="s">
        <v>73</v>
      </c>
      <c r="I14" s="37">
        <v>1.26</v>
      </c>
      <c r="J14" s="799" t="s">
        <v>74</v>
      </c>
      <c r="K14" s="36" t="s">
        <v>104</v>
      </c>
      <c r="L14" s="117" t="s">
        <v>117</v>
      </c>
      <c r="M14" s="35" t="s">
        <v>118</v>
      </c>
      <c r="N14" s="35" t="s">
        <v>118</v>
      </c>
      <c r="O14" s="35" t="s">
        <v>118</v>
      </c>
      <c r="P14" s="35" t="s">
        <v>118</v>
      </c>
      <c r="Q14" s="35" t="s">
        <v>118</v>
      </c>
      <c r="R14" s="38" t="s">
        <v>85</v>
      </c>
      <c r="S14" s="39" t="s">
        <v>79</v>
      </c>
      <c r="T14" s="834">
        <v>74500</v>
      </c>
      <c r="U14" s="834">
        <v>71500</v>
      </c>
      <c r="V14" s="66">
        <v>71500</v>
      </c>
      <c r="W14" s="820">
        <f>W15</f>
        <v>75500</v>
      </c>
      <c r="X14" s="820">
        <f>X15</f>
        <v>77000</v>
      </c>
      <c r="Y14" s="820">
        <v>66500</v>
      </c>
      <c r="Z14" s="820">
        <v>62500</v>
      </c>
      <c r="AA14" s="820">
        <v>66500</v>
      </c>
      <c r="AB14" s="68">
        <v>68000</v>
      </c>
      <c r="AC14" s="68">
        <f>AC13</f>
        <v>74500</v>
      </c>
      <c r="AD14" s="120">
        <v>81500</v>
      </c>
      <c r="AE14" s="65" t="s">
        <v>80</v>
      </c>
      <c r="AF14" s="81">
        <v>113600</v>
      </c>
      <c r="AG14" s="82">
        <v>0.71742957746478875</v>
      </c>
      <c r="AH14" s="83" t="s">
        <v>97</v>
      </c>
      <c r="AI14" s="84" t="s">
        <v>81</v>
      </c>
      <c r="AJ14" s="84" t="s">
        <v>81</v>
      </c>
      <c r="AK14" s="749">
        <v>10510</v>
      </c>
      <c r="AL14" s="819">
        <f t="shared" si="0"/>
        <v>102690</v>
      </c>
      <c r="AM14" s="121">
        <v>6</v>
      </c>
    </row>
    <row r="15" spans="1:39" x14ac:dyDescent="0.3">
      <c r="A15" s="33">
        <v>14</v>
      </c>
      <c r="B15" s="33">
        <v>64</v>
      </c>
      <c r="C15" s="113" t="s">
        <v>100</v>
      </c>
      <c r="D15" s="114" t="s">
        <v>119</v>
      </c>
      <c r="E15" s="70" t="s">
        <v>120</v>
      </c>
      <c r="F15" s="800">
        <v>494</v>
      </c>
      <c r="G15" s="800" t="s">
        <v>72</v>
      </c>
      <c r="H15" s="71" t="s">
        <v>73</v>
      </c>
      <c r="I15" s="72">
        <v>3.56</v>
      </c>
      <c r="J15" s="800" t="s">
        <v>74</v>
      </c>
      <c r="K15" s="71" t="s">
        <v>104</v>
      </c>
      <c r="L15" s="114" t="s">
        <v>117</v>
      </c>
      <c r="M15" s="54" t="s">
        <v>77</v>
      </c>
      <c r="N15" s="51" t="s">
        <v>77</v>
      </c>
      <c r="O15" s="51" t="s">
        <v>77</v>
      </c>
      <c r="P15" s="51" t="s">
        <v>77</v>
      </c>
      <c r="Q15" s="51" t="s">
        <v>77</v>
      </c>
      <c r="R15" s="73" t="s">
        <v>85</v>
      </c>
      <c r="S15" s="56" t="s">
        <v>79</v>
      </c>
      <c r="T15" s="57">
        <v>74500</v>
      </c>
      <c r="U15" s="57">
        <v>71500</v>
      </c>
      <c r="V15" s="74">
        <v>71500</v>
      </c>
      <c r="W15" s="822">
        <v>75500</v>
      </c>
      <c r="X15" s="823">
        <v>77000</v>
      </c>
      <c r="Y15" s="823">
        <v>66500</v>
      </c>
      <c r="Z15" s="822">
        <v>62500</v>
      </c>
      <c r="AA15" s="822">
        <v>66500</v>
      </c>
      <c r="AB15" s="58">
        <v>68000</v>
      </c>
      <c r="AC15" s="75">
        <f>AC13</f>
        <v>74500</v>
      </c>
      <c r="AD15" s="115">
        <v>81500</v>
      </c>
      <c r="AE15" s="86" t="s">
        <v>80</v>
      </c>
      <c r="AF15" s="78">
        <v>113600</v>
      </c>
      <c r="AG15" s="79">
        <v>0.71742957746478875</v>
      </c>
      <c r="AH15" s="80" t="s">
        <v>97</v>
      </c>
      <c r="AI15" s="87" t="s">
        <v>81</v>
      </c>
      <c r="AJ15" s="87" t="s">
        <v>81</v>
      </c>
      <c r="AK15" s="748">
        <v>10510</v>
      </c>
      <c r="AL15" s="819">
        <f t="shared" si="0"/>
        <v>290140</v>
      </c>
      <c r="AM15" s="122">
        <v>6</v>
      </c>
    </row>
    <row r="16" spans="1:39" x14ac:dyDescent="0.3">
      <c r="A16" s="33">
        <v>13</v>
      </c>
      <c r="B16" s="33">
        <v>63</v>
      </c>
      <c r="C16" s="34" t="s">
        <v>100</v>
      </c>
      <c r="D16" s="35" t="s">
        <v>121</v>
      </c>
      <c r="E16" s="64" t="s">
        <v>122</v>
      </c>
      <c r="F16" s="799">
        <v>534</v>
      </c>
      <c r="G16" s="799" t="s">
        <v>72</v>
      </c>
      <c r="H16" s="65" t="s">
        <v>73</v>
      </c>
      <c r="I16" s="37">
        <v>2.64</v>
      </c>
      <c r="J16" s="799" t="s">
        <v>84</v>
      </c>
      <c r="K16" s="65" t="s">
        <v>104</v>
      </c>
      <c r="L16" s="51" t="s">
        <v>117</v>
      </c>
      <c r="M16" s="54" t="s">
        <v>118</v>
      </c>
      <c r="N16" s="35" t="s">
        <v>118</v>
      </c>
      <c r="O16" s="35" t="s">
        <v>118</v>
      </c>
      <c r="P16" s="35" t="s">
        <v>118</v>
      </c>
      <c r="Q16" s="35" t="s">
        <v>118</v>
      </c>
      <c r="R16" s="39" t="s">
        <v>85</v>
      </c>
      <c r="S16" s="39" t="s">
        <v>79</v>
      </c>
      <c r="T16" s="833">
        <v>76000</v>
      </c>
      <c r="U16" s="833">
        <v>69500</v>
      </c>
      <c r="V16" s="66">
        <v>70000</v>
      </c>
      <c r="W16" s="820">
        <v>74000</v>
      </c>
      <c r="X16" s="820">
        <v>77000</v>
      </c>
      <c r="Y16" s="820">
        <v>85000</v>
      </c>
      <c r="Z16" s="820">
        <v>87000</v>
      </c>
      <c r="AA16" s="820">
        <v>78500</v>
      </c>
      <c r="AB16" s="68">
        <v>85500</v>
      </c>
      <c r="AC16" s="68">
        <v>83000</v>
      </c>
      <c r="AD16" s="123">
        <v>83000</v>
      </c>
      <c r="AE16" s="65" t="s">
        <v>80</v>
      </c>
      <c r="AF16" s="81">
        <v>133600</v>
      </c>
      <c r="AG16" s="82">
        <v>0.62125748502994016</v>
      </c>
      <c r="AH16" s="83" t="s">
        <v>97</v>
      </c>
      <c r="AI16" s="84" t="s">
        <v>81</v>
      </c>
      <c r="AJ16" s="84" t="s">
        <v>81</v>
      </c>
      <c r="AK16" s="749">
        <v>12310</v>
      </c>
      <c r="AL16" s="819">
        <f t="shared" si="0"/>
        <v>219120</v>
      </c>
      <c r="AM16" s="49">
        <v>6</v>
      </c>
    </row>
    <row r="17" spans="1:39" x14ac:dyDescent="0.3">
      <c r="A17" s="33">
        <v>12</v>
      </c>
      <c r="B17" s="33">
        <v>62</v>
      </c>
      <c r="C17" s="113" t="s">
        <v>100</v>
      </c>
      <c r="D17" s="114" t="s">
        <v>123</v>
      </c>
      <c r="E17" s="51" t="s">
        <v>124</v>
      </c>
      <c r="F17" s="800">
        <v>495</v>
      </c>
      <c r="G17" s="800" t="s">
        <v>72</v>
      </c>
      <c r="H17" s="71" t="s">
        <v>73</v>
      </c>
      <c r="I17" s="72">
        <v>5.55</v>
      </c>
      <c r="J17" s="800" t="s">
        <v>84</v>
      </c>
      <c r="K17" s="71" t="s">
        <v>104</v>
      </c>
      <c r="L17" s="114" t="s">
        <v>117</v>
      </c>
      <c r="M17" s="54" t="s">
        <v>77</v>
      </c>
      <c r="N17" s="51" t="s">
        <v>77</v>
      </c>
      <c r="O17" s="51" t="s">
        <v>77</v>
      </c>
      <c r="P17" s="51" t="s">
        <v>77</v>
      </c>
      <c r="Q17" s="51" t="s">
        <v>77</v>
      </c>
      <c r="R17" s="73" t="s">
        <v>110</v>
      </c>
      <c r="S17" s="56" t="s">
        <v>79</v>
      </c>
      <c r="T17" s="57">
        <v>62500</v>
      </c>
      <c r="U17" s="57">
        <v>66500</v>
      </c>
      <c r="V17" s="74">
        <v>63500</v>
      </c>
      <c r="W17" s="822">
        <v>64500</v>
      </c>
      <c r="X17" s="823">
        <v>66000</v>
      </c>
      <c r="Y17" s="823">
        <v>50500</v>
      </c>
      <c r="Z17" s="822">
        <v>47500</v>
      </c>
      <c r="AA17" s="822">
        <v>50500</v>
      </c>
      <c r="AB17" s="58">
        <v>53000</v>
      </c>
      <c r="AC17" s="75">
        <v>58000</v>
      </c>
      <c r="AD17" s="115">
        <v>63500</v>
      </c>
      <c r="AE17" s="86" t="s">
        <v>80</v>
      </c>
      <c r="AF17" s="78">
        <v>113600</v>
      </c>
      <c r="AG17" s="79">
        <v>0.55897887323943662</v>
      </c>
      <c r="AH17" s="80" t="s">
        <v>1524</v>
      </c>
      <c r="AI17" s="87" t="s">
        <v>81</v>
      </c>
      <c r="AJ17" s="87" t="s">
        <v>81</v>
      </c>
      <c r="AK17" s="748">
        <v>10510</v>
      </c>
      <c r="AL17" s="819">
        <f t="shared" si="0"/>
        <v>352425</v>
      </c>
      <c r="AM17" s="122">
        <v>6</v>
      </c>
    </row>
    <row r="18" spans="1:39" ht="15" thickBot="1" x14ac:dyDescent="0.35">
      <c r="A18" s="88">
        <v>11</v>
      </c>
      <c r="B18" s="88">
        <v>61</v>
      </c>
      <c r="C18" s="89" t="s">
        <v>100</v>
      </c>
      <c r="D18" s="90" t="s">
        <v>125</v>
      </c>
      <c r="E18" s="91" t="s">
        <v>126</v>
      </c>
      <c r="F18" s="801">
        <v>496</v>
      </c>
      <c r="G18" s="801" t="s">
        <v>72</v>
      </c>
      <c r="H18" s="92" t="s">
        <v>73</v>
      </c>
      <c r="I18" s="93">
        <v>5</v>
      </c>
      <c r="J18" s="801" t="s">
        <v>84</v>
      </c>
      <c r="K18" s="92" t="s">
        <v>104</v>
      </c>
      <c r="L18" s="90" t="s">
        <v>117</v>
      </c>
      <c r="M18" s="91" t="s">
        <v>77</v>
      </c>
      <c r="N18" s="91" t="s">
        <v>77</v>
      </c>
      <c r="O18" s="91" t="s">
        <v>77</v>
      </c>
      <c r="P18" s="91" t="s">
        <v>77</v>
      </c>
      <c r="Q18" s="91" t="s">
        <v>77</v>
      </c>
      <c r="R18" s="94" t="s">
        <v>110</v>
      </c>
      <c r="S18" s="95" t="s">
        <v>79</v>
      </c>
      <c r="T18" s="124">
        <v>60500</v>
      </c>
      <c r="U18" s="124">
        <v>64500</v>
      </c>
      <c r="V18" s="125">
        <v>69500</v>
      </c>
      <c r="W18" s="828">
        <v>70500</v>
      </c>
      <c r="X18" s="828">
        <v>72500</v>
      </c>
      <c r="Y18" s="828">
        <v>66000</v>
      </c>
      <c r="Z18" s="828">
        <v>62000</v>
      </c>
      <c r="AA18" s="828">
        <v>65500</v>
      </c>
      <c r="AB18" s="96">
        <v>67000</v>
      </c>
      <c r="AC18" s="96">
        <v>73500</v>
      </c>
      <c r="AD18" s="126">
        <v>80500</v>
      </c>
      <c r="AE18" s="97" t="s">
        <v>80</v>
      </c>
      <c r="AF18" s="98">
        <v>113600</v>
      </c>
      <c r="AG18" s="99">
        <v>0.70862676056338025</v>
      </c>
      <c r="AH18" s="100" t="s">
        <v>97</v>
      </c>
      <c r="AI18" s="101" t="s">
        <v>81</v>
      </c>
      <c r="AJ18" s="101" t="s">
        <v>81</v>
      </c>
      <c r="AK18" s="750">
        <v>10510</v>
      </c>
      <c r="AL18" s="829">
        <f t="shared" si="0"/>
        <v>402500</v>
      </c>
      <c r="AM18" s="127">
        <v>6</v>
      </c>
    </row>
    <row r="19" spans="1:39" x14ac:dyDescent="0.3">
      <c r="A19" s="33">
        <v>50</v>
      </c>
      <c r="B19" s="33">
        <v>3018</v>
      </c>
      <c r="C19" s="50" t="s">
        <v>127</v>
      </c>
      <c r="D19" s="51" t="s">
        <v>128</v>
      </c>
      <c r="E19" s="51" t="s">
        <v>129</v>
      </c>
      <c r="F19" s="800">
        <v>531</v>
      </c>
      <c r="G19" s="800" t="s">
        <v>72</v>
      </c>
      <c r="H19" s="71" t="s">
        <v>73</v>
      </c>
      <c r="I19" s="72">
        <v>3.97</v>
      </c>
      <c r="J19" s="800" t="s">
        <v>130</v>
      </c>
      <c r="K19" s="71" t="s">
        <v>104</v>
      </c>
      <c r="L19" s="835" t="s">
        <v>131</v>
      </c>
      <c r="M19" s="835" t="s">
        <v>131</v>
      </c>
      <c r="N19" s="835" t="s">
        <v>131</v>
      </c>
      <c r="O19" s="835" t="s">
        <v>131</v>
      </c>
      <c r="P19" s="835" t="s">
        <v>131</v>
      </c>
      <c r="Q19" s="835" t="s">
        <v>131</v>
      </c>
      <c r="R19" s="73" t="s">
        <v>132</v>
      </c>
      <c r="S19" s="73" t="s">
        <v>133</v>
      </c>
      <c r="T19" s="825">
        <v>3400</v>
      </c>
      <c r="U19" s="825">
        <v>3100</v>
      </c>
      <c r="V19" s="825">
        <v>3100</v>
      </c>
      <c r="W19" s="836">
        <f>W21</f>
        <v>3200</v>
      </c>
      <c r="X19" s="760">
        <f>X21</f>
        <v>3400</v>
      </c>
      <c r="Y19" s="760">
        <v>3600</v>
      </c>
      <c r="Z19" s="760">
        <v>3400</v>
      </c>
      <c r="AA19" s="760">
        <v>3400</v>
      </c>
      <c r="AB19" s="129">
        <v>4200</v>
      </c>
      <c r="AC19" s="115">
        <v>4000</v>
      </c>
      <c r="AD19" s="130">
        <v>4000</v>
      </c>
      <c r="AE19" s="131" t="s">
        <v>97</v>
      </c>
      <c r="AF19" s="78">
        <v>31200</v>
      </c>
      <c r="AG19" s="79">
        <v>0.12820512820512819</v>
      </c>
      <c r="AH19" s="731" t="s">
        <v>1524</v>
      </c>
      <c r="AI19" s="132" t="s">
        <v>81</v>
      </c>
      <c r="AJ19" s="132" t="s">
        <v>81</v>
      </c>
      <c r="AK19" s="748">
        <v>4270</v>
      </c>
      <c r="AL19" s="832">
        <f t="shared" si="0"/>
        <v>15880</v>
      </c>
      <c r="AM19" s="122">
        <v>4</v>
      </c>
    </row>
    <row r="20" spans="1:39" x14ac:dyDescent="0.3">
      <c r="A20" s="33">
        <v>49</v>
      </c>
      <c r="B20" s="33">
        <v>3017</v>
      </c>
      <c r="C20" s="116" t="s">
        <v>127</v>
      </c>
      <c r="D20" s="117" t="s">
        <v>128</v>
      </c>
      <c r="E20" s="133" t="s">
        <v>134</v>
      </c>
      <c r="F20" s="799">
        <v>531</v>
      </c>
      <c r="G20" s="799" t="s">
        <v>72</v>
      </c>
      <c r="H20" s="36" t="s">
        <v>73</v>
      </c>
      <c r="I20" s="37">
        <v>1.63</v>
      </c>
      <c r="J20" s="799" t="s">
        <v>74</v>
      </c>
      <c r="K20" s="36" t="s">
        <v>104</v>
      </c>
      <c r="L20" s="835" t="s">
        <v>135</v>
      </c>
      <c r="M20" s="837" t="s">
        <v>135</v>
      </c>
      <c r="N20" s="837" t="s">
        <v>135</v>
      </c>
      <c r="O20" s="837" t="s">
        <v>135</v>
      </c>
      <c r="P20" s="54" t="s">
        <v>136</v>
      </c>
      <c r="Q20" s="35" t="s">
        <v>136</v>
      </c>
      <c r="R20" s="38" t="s">
        <v>132</v>
      </c>
      <c r="S20" s="39" t="s">
        <v>133</v>
      </c>
      <c r="T20" s="833">
        <v>3400</v>
      </c>
      <c r="U20" s="833">
        <v>3100</v>
      </c>
      <c r="V20" s="833">
        <v>3100</v>
      </c>
      <c r="W20" s="820">
        <f>W21</f>
        <v>3200</v>
      </c>
      <c r="X20" s="838">
        <f>X21</f>
        <v>3400</v>
      </c>
      <c r="Y20" s="838">
        <v>3600</v>
      </c>
      <c r="Z20" s="838">
        <v>3400</v>
      </c>
      <c r="AA20" s="838">
        <v>3400</v>
      </c>
      <c r="AB20" s="123">
        <v>4200</v>
      </c>
      <c r="AC20" s="123">
        <f>AC19</f>
        <v>4000</v>
      </c>
      <c r="AD20" s="123">
        <v>4000</v>
      </c>
      <c r="AE20" s="36" t="s">
        <v>97</v>
      </c>
      <c r="AF20" s="81">
        <v>42300</v>
      </c>
      <c r="AG20" s="82">
        <v>9.4562647754137114E-2</v>
      </c>
      <c r="AH20" s="732" t="s">
        <v>1524</v>
      </c>
      <c r="AI20" s="84" t="s">
        <v>81</v>
      </c>
      <c r="AJ20" s="84" t="s">
        <v>81</v>
      </c>
      <c r="AK20" s="749">
        <v>4020</v>
      </c>
      <c r="AL20" s="832">
        <f t="shared" si="0"/>
        <v>6520</v>
      </c>
      <c r="AM20" s="121">
        <v>4</v>
      </c>
    </row>
    <row r="21" spans="1:39" x14ac:dyDescent="0.3">
      <c r="A21" s="33">
        <v>49</v>
      </c>
      <c r="B21" s="33">
        <v>3017</v>
      </c>
      <c r="C21" s="113" t="s">
        <v>127</v>
      </c>
      <c r="D21" s="114" t="s">
        <v>128</v>
      </c>
      <c r="E21" s="51" t="s">
        <v>137</v>
      </c>
      <c r="F21" s="800">
        <v>531</v>
      </c>
      <c r="G21" s="800" t="s">
        <v>72</v>
      </c>
      <c r="H21" s="71" t="s">
        <v>73</v>
      </c>
      <c r="I21" s="72">
        <v>0.56999999999999995</v>
      </c>
      <c r="J21" s="800" t="s">
        <v>74</v>
      </c>
      <c r="K21" s="71" t="s">
        <v>104</v>
      </c>
      <c r="L21" s="835" t="s">
        <v>135</v>
      </c>
      <c r="M21" s="835" t="s">
        <v>135</v>
      </c>
      <c r="N21" s="835" t="s">
        <v>135</v>
      </c>
      <c r="O21" s="835" t="s">
        <v>135</v>
      </c>
      <c r="P21" s="54" t="s">
        <v>136</v>
      </c>
      <c r="Q21" s="135" t="s">
        <v>136</v>
      </c>
      <c r="R21" s="73" t="s">
        <v>132</v>
      </c>
      <c r="S21" s="73" t="s">
        <v>133</v>
      </c>
      <c r="T21" s="825">
        <v>3400</v>
      </c>
      <c r="U21" s="825">
        <v>3100</v>
      </c>
      <c r="V21" s="825">
        <v>3100</v>
      </c>
      <c r="W21" s="822">
        <v>3200</v>
      </c>
      <c r="X21" s="760">
        <v>3400</v>
      </c>
      <c r="Y21" s="760">
        <v>3600</v>
      </c>
      <c r="Z21" s="760">
        <v>3400</v>
      </c>
      <c r="AA21" s="760">
        <v>3400</v>
      </c>
      <c r="AB21" s="129">
        <v>4200</v>
      </c>
      <c r="AC21" s="115">
        <f>AC19</f>
        <v>4000</v>
      </c>
      <c r="AD21" s="115">
        <v>4000</v>
      </c>
      <c r="AE21" s="80" t="s">
        <v>97</v>
      </c>
      <c r="AF21" s="78">
        <v>42300</v>
      </c>
      <c r="AG21" s="79">
        <v>9.4562647754137114E-2</v>
      </c>
      <c r="AH21" s="733" t="s">
        <v>1524</v>
      </c>
      <c r="AI21" s="87" t="s">
        <v>81</v>
      </c>
      <c r="AJ21" s="87" t="s">
        <v>81</v>
      </c>
      <c r="AK21" s="748">
        <v>4020</v>
      </c>
      <c r="AL21" s="832">
        <f t="shared" si="0"/>
        <v>2280</v>
      </c>
      <c r="AM21" s="122">
        <v>4</v>
      </c>
    </row>
    <row r="22" spans="1:39" x14ac:dyDescent="0.3">
      <c r="A22" s="33">
        <v>48</v>
      </c>
      <c r="B22" s="33">
        <v>3023</v>
      </c>
      <c r="C22" s="34" t="s">
        <v>127</v>
      </c>
      <c r="D22" s="35" t="s">
        <v>138</v>
      </c>
      <c r="E22" s="35" t="s">
        <v>139</v>
      </c>
      <c r="F22" s="799">
        <v>9929</v>
      </c>
      <c r="G22" s="799" t="s">
        <v>72</v>
      </c>
      <c r="H22" s="65" t="s">
        <v>73</v>
      </c>
      <c r="I22" s="37">
        <v>2.0499999999999998</v>
      </c>
      <c r="J22" s="799" t="s">
        <v>140</v>
      </c>
      <c r="K22" s="65" t="s">
        <v>104</v>
      </c>
      <c r="L22" s="835" t="s">
        <v>135</v>
      </c>
      <c r="M22" s="837" t="s">
        <v>135</v>
      </c>
      <c r="N22" s="837" t="s">
        <v>135</v>
      </c>
      <c r="O22" s="837" t="s">
        <v>135</v>
      </c>
      <c r="P22" s="54" t="s">
        <v>136</v>
      </c>
      <c r="Q22" s="35" t="s">
        <v>136</v>
      </c>
      <c r="R22" s="39" t="s">
        <v>132</v>
      </c>
      <c r="S22" s="39" t="s">
        <v>133</v>
      </c>
      <c r="T22" s="833">
        <v>11000</v>
      </c>
      <c r="U22" s="833">
        <v>11100</v>
      </c>
      <c r="V22" s="833">
        <v>11100</v>
      </c>
      <c r="W22" s="820">
        <f>W23</f>
        <v>11400</v>
      </c>
      <c r="X22" s="838">
        <f>X23</f>
        <v>12400</v>
      </c>
      <c r="Y22" s="838">
        <v>13300</v>
      </c>
      <c r="Z22" s="838">
        <v>13600</v>
      </c>
      <c r="AA22" s="838">
        <v>14100</v>
      </c>
      <c r="AB22" s="123">
        <v>14300</v>
      </c>
      <c r="AC22" s="123">
        <v>13400</v>
      </c>
      <c r="AD22" s="136">
        <v>14600</v>
      </c>
      <c r="AE22" s="36" t="s">
        <v>97</v>
      </c>
      <c r="AF22" s="81">
        <v>42300</v>
      </c>
      <c r="AG22" s="82">
        <v>0.34515366430260047</v>
      </c>
      <c r="AH22" s="732" t="s">
        <v>1524</v>
      </c>
      <c r="AI22" s="84" t="s">
        <v>81</v>
      </c>
      <c r="AJ22" s="84" t="s">
        <v>81</v>
      </c>
      <c r="AK22" s="749">
        <v>4020</v>
      </c>
      <c r="AL22" s="832">
        <f t="shared" si="0"/>
        <v>29929.999999999996</v>
      </c>
      <c r="AM22" s="49">
        <v>4</v>
      </c>
    </row>
    <row r="23" spans="1:39" x14ac:dyDescent="0.3">
      <c r="A23" s="33">
        <v>47</v>
      </c>
      <c r="B23" s="33">
        <v>3022</v>
      </c>
      <c r="C23" s="50" t="s">
        <v>127</v>
      </c>
      <c r="D23" s="51" t="s">
        <v>138</v>
      </c>
      <c r="E23" s="51" t="s">
        <v>141</v>
      </c>
      <c r="F23" s="800">
        <v>9929</v>
      </c>
      <c r="G23" s="800" t="s">
        <v>72</v>
      </c>
      <c r="H23" s="52" t="s">
        <v>73</v>
      </c>
      <c r="I23" s="72">
        <v>3.7</v>
      </c>
      <c r="J23" s="800" t="s">
        <v>140</v>
      </c>
      <c r="K23" s="52" t="s">
        <v>104</v>
      </c>
      <c r="L23" s="835" t="s">
        <v>142</v>
      </c>
      <c r="M23" s="835" t="s">
        <v>142</v>
      </c>
      <c r="N23" s="835" t="s">
        <v>142</v>
      </c>
      <c r="O23" s="835" t="s">
        <v>142</v>
      </c>
      <c r="P23" s="51" t="s">
        <v>143</v>
      </c>
      <c r="Q23" s="51" t="s">
        <v>143</v>
      </c>
      <c r="R23" s="55" t="s">
        <v>144</v>
      </c>
      <c r="S23" s="73" t="s">
        <v>145</v>
      </c>
      <c r="T23" s="825">
        <v>11000</v>
      </c>
      <c r="U23" s="825">
        <v>11100</v>
      </c>
      <c r="V23" s="825">
        <v>11100</v>
      </c>
      <c r="W23" s="822">
        <v>11400</v>
      </c>
      <c r="X23" s="760">
        <v>12400</v>
      </c>
      <c r="Y23" s="760">
        <v>13300</v>
      </c>
      <c r="Z23" s="760">
        <v>13600</v>
      </c>
      <c r="AA23" s="760">
        <v>14100</v>
      </c>
      <c r="AB23" s="129">
        <v>14300</v>
      </c>
      <c r="AC23" s="115">
        <f>AC22</f>
        <v>13400</v>
      </c>
      <c r="AD23" s="137">
        <v>14600</v>
      </c>
      <c r="AE23" s="80" t="s">
        <v>80</v>
      </c>
      <c r="AF23" s="78">
        <v>39800</v>
      </c>
      <c r="AG23" s="79">
        <v>0.36683417085427134</v>
      </c>
      <c r="AH23" s="733" t="s">
        <v>97</v>
      </c>
      <c r="AI23" s="87" t="s">
        <v>81</v>
      </c>
      <c r="AJ23" s="87" t="s">
        <v>81</v>
      </c>
      <c r="AK23" s="748">
        <v>3580</v>
      </c>
      <c r="AL23" s="832">
        <f t="shared" si="0"/>
        <v>54020</v>
      </c>
      <c r="AM23" s="63">
        <v>4</v>
      </c>
    </row>
    <row r="24" spans="1:39" x14ac:dyDescent="0.3">
      <c r="A24" s="33">
        <v>46</v>
      </c>
      <c r="B24" s="33">
        <v>3021</v>
      </c>
      <c r="C24" s="34" t="s">
        <v>127</v>
      </c>
      <c r="D24" s="64" t="s">
        <v>146</v>
      </c>
      <c r="E24" s="35" t="s">
        <v>147</v>
      </c>
      <c r="F24" s="799">
        <v>27</v>
      </c>
      <c r="G24" s="799" t="s">
        <v>72</v>
      </c>
      <c r="H24" s="65" t="s">
        <v>73</v>
      </c>
      <c r="I24" s="37">
        <v>2.2599999999999998</v>
      </c>
      <c r="J24" s="799" t="s">
        <v>140</v>
      </c>
      <c r="K24" s="65" t="s">
        <v>104</v>
      </c>
      <c r="L24" s="835" t="s">
        <v>142</v>
      </c>
      <c r="M24" s="837" t="s">
        <v>142</v>
      </c>
      <c r="N24" s="837" t="s">
        <v>142</v>
      </c>
      <c r="O24" s="837" t="s">
        <v>142</v>
      </c>
      <c r="P24" s="35" t="s">
        <v>143</v>
      </c>
      <c r="Q24" s="35" t="s">
        <v>143</v>
      </c>
      <c r="R24" s="39" t="s">
        <v>144</v>
      </c>
      <c r="S24" s="38" t="s">
        <v>145</v>
      </c>
      <c r="T24" s="833">
        <v>18900</v>
      </c>
      <c r="U24" s="833">
        <v>19000</v>
      </c>
      <c r="V24" s="833">
        <v>18800</v>
      </c>
      <c r="W24" s="820">
        <v>18200</v>
      </c>
      <c r="X24" s="838">
        <v>20400</v>
      </c>
      <c r="Y24" s="838">
        <v>21500</v>
      </c>
      <c r="Z24" s="838">
        <v>21500</v>
      </c>
      <c r="AA24" s="838">
        <v>22500</v>
      </c>
      <c r="AB24" s="123">
        <v>23500</v>
      </c>
      <c r="AC24" s="123">
        <v>22500</v>
      </c>
      <c r="AD24" s="123">
        <v>22500</v>
      </c>
      <c r="AE24" s="65" t="s">
        <v>80</v>
      </c>
      <c r="AF24" s="138">
        <v>39800</v>
      </c>
      <c r="AG24" s="82">
        <v>0.5653266331658291</v>
      </c>
      <c r="AH24" s="734" t="s">
        <v>97</v>
      </c>
      <c r="AI24" s="84" t="s">
        <v>81</v>
      </c>
      <c r="AJ24" s="84" t="s">
        <v>81</v>
      </c>
      <c r="AK24" s="749">
        <v>3580</v>
      </c>
      <c r="AL24" s="832">
        <f t="shared" si="0"/>
        <v>50849.999999999993</v>
      </c>
      <c r="AM24" s="49">
        <v>4</v>
      </c>
    </row>
    <row r="25" spans="1:39" x14ac:dyDescent="0.3">
      <c r="A25" s="33">
        <v>45</v>
      </c>
      <c r="B25" s="33">
        <v>41</v>
      </c>
      <c r="C25" s="113" t="s">
        <v>127</v>
      </c>
      <c r="D25" s="114" t="s">
        <v>148</v>
      </c>
      <c r="E25" s="139" t="s">
        <v>149</v>
      </c>
      <c r="F25" s="800">
        <v>5170</v>
      </c>
      <c r="G25" s="800" t="s">
        <v>72</v>
      </c>
      <c r="H25" s="71" t="s">
        <v>73</v>
      </c>
      <c r="I25" s="72">
        <v>1.49</v>
      </c>
      <c r="J25" s="800" t="s">
        <v>140</v>
      </c>
      <c r="K25" s="71" t="s">
        <v>104</v>
      </c>
      <c r="L25" s="835" t="s">
        <v>142</v>
      </c>
      <c r="M25" s="835" t="s">
        <v>142</v>
      </c>
      <c r="N25" s="835" t="s">
        <v>142</v>
      </c>
      <c r="O25" s="835" t="s">
        <v>142</v>
      </c>
      <c r="P25" s="51" t="s">
        <v>143</v>
      </c>
      <c r="Q25" s="51" t="s">
        <v>143</v>
      </c>
      <c r="R25" s="73" t="s">
        <v>144</v>
      </c>
      <c r="S25" s="73" t="s">
        <v>145</v>
      </c>
      <c r="T25" s="825">
        <v>26500</v>
      </c>
      <c r="U25" s="825">
        <v>25500</v>
      </c>
      <c r="V25" s="825">
        <v>25000</v>
      </c>
      <c r="W25" s="822">
        <v>24500</v>
      </c>
      <c r="X25" s="760">
        <v>25500</v>
      </c>
      <c r="Y25" s="760">
        <v>27500</v>
      </c>
      <c r="Z25" s="760">
        <v>28500</v>
      </c>
      <c r="AA25" s="760">
        <v>29500</v>
      </c>
      <c r="AB25" s="129">
        <v>25500</v>
      </c>
      <c r="AC25" s="115">
        <v>24500</v>
      </c>
      <c r="AD25" s="137">
        <v>27500</v>
      </c>
      <c r="AE25" s="140" t="s">
        <v>80</v>
      </c>
      <c r="AF25" s="78">
        <v>39800</v>
      </c>
      <c r="AG25" s="79">
        <v>0.69095477386934678</v>
      </c>
      <c r="AH25" s="733" t="s">
        <v>97</v>
      </c>
      <c r="AI25" s="748">
        <v>1920</v>
      </c>
      <c r="AJ25" s="748">
        <v>2200</v>
      </c>
      <c r="AK25" s="748">
        <v>3580</v>
      </c>
      <c r="AL25" s="832">
        <f t="shared" si="0"/>
        <v>40975</v>
      </c>
      <c r="AM25" s="122">
        <v>4</v>
      </c>
    </row>
    <row r="26" spans="1:39" x14ac:dyDescent="0.3">
      <c r="A26" s="33">
        <v>44</v>
      </c>
      <c r="B26" s="33">
        <v>40</v>
      </c>
      <c r="C26" s="116" t="s">
        <v>127</v>
      </c>
      <c r="D26" s="117" t="s">
        <v>150</v>
      </c>
      <c r="E26" s="64" t="s">
        <v>151</v>
      </c>
      <c r="F26" s="799">
        <v>5168</v>
      </c>
      <c r="G26" s="799" t="s">
        <v>72</v>
      </c>
      <c r="H26" s="36" t="s">
        <v>73</v>
      </c>
      <c r="I26" s="37">
        <v>1</v>
      </c>
      <c r="J26" s="799" t="s">
        <v>140</v>
      </c>
      <c r="K26" s="36" t="s">
        <v>104</v>
      </c>
      <c r="L26" s="835" t="s">
        <v>142</v>
      </c>
      <c r="M26" s="837" t="s">
        <v>142</v>
      </c>
      <c r="N26" s="837" t="s">
        <v>142</v>
      </c>
      <c r="O26" s="837" t="s">
        <v>142</v>
      </c>
      <c r="P26" s="35" t="s">
        <v>143</v>
      </c>
      <c r="Q26" s="35" t="s">
        <v>143</v>
      </c>
      <c r="R26" s="38" t="s">
        <v>144</v>
      </c>
      <c r="S26" s="38" t="s">
        <v>145</v>
      </c>
      <c r="T26" s="833">
        <v>27000</v>
      </c>
      <c r="U26" s="833">
        <v>25500</v>
      </c>
      <c r="V26" s="833">
        <v>25000</v>
      </c>
      <c r="W26" s="820">
        <v>25000</v>
      </c>
      <c r="X26" s="838">
        <v>26000</v>
      </c>
      <c r="Y26" s="838">
        <v>26000</v>
      </c>
      <c r="Z26" s="838">
        <v>26000</v>
      </c>
      <c r="AA26" s="838">
        <v>27000</v>
      </c>
      <c r="AB26" s="123">
        <v>26000</v>
      </c>
      <c r="AC26" s="123">
        <v>25000</v>
      </c>
      <c r="AD26" s="123">
        <v>25000</v>
      </c>
      <c r="AE26" s="36" t="s">
        <v>80</v>
      </c>
      <c r="AF26" s="138">
        <v>39800</v>
      </c>
      <c r="AG26" s="82">
        <v>0.62814070351758799</v>
      </c>
      <c r="AH26" s="734" t="s">
        <v>97</v>
      </c>
      <c r="AI26" s="84" t="s">
        <v>81</v>
      </c>
      <c r="AJ26" s="84" t="s">
        <v>81</v>
      </c>
      <c r="AK26" s="749">
        <v>3580</v>
      </c>
      <c r="AL26" s="832">
        <f t="shared" si="0"/>
        <v>25000</v>
      </c>
      <c r="AM26" s="121">
        <v>4</v>
      </c>
    </row>
    <row r="27" spans="1:39" x14ac:dyDescent="0.3">
      <c r="A27" s="33">
        <v>43</v>
      </c>
      <c r="B27" s="33">
        <v>39</v>
      </c>
      <c r="C27" s="113" t="s">
        <v>127</v>
      </c>
      <c r="D27" s="114" t="s">
        <v>152</v>
      </c>
      <c r="E27" s="70" t="s">
        <v>153</v>
      </c>
      <c r="F27" s="800">
        <v>5154</v>
      </c>
      <c r="G27" s="800" t="s">
        <v>72</v>
      </c>
      <c r="H27" s="71" t="s">
        <v>73</v>
      </c>
      <c r="I27" s="72">
        <v>1.52</v>
      </c>
      <c r="J27" s="800" t="s">
        <v>154</v>
      </c>
      <c r="K27" s="71" t="s">
        <v>104</v>
      </c>
      <c r="L27" s="835" t="s">
        <v>142</v>
      </c>
      <c r="M27" s="835" t="s">
        <v>142</v>
      </c>
      <c r="N27" s="835" t="s">
        <v>142</v>
      </c>
      <c r="O27" s="835" t="s">
        <v>142</v>
      </c>
      <c r="P27" s="51" t="s">
        <v>155</v>
      </c>
      <c r="Q27" s="51" t="s">
        <v>155</v>
      </c>
      <c r="R27" s="73" t="s">
        <v>144</v>
      </c>
      <c r="S27" s="73" t="s">
        <v>145</v>
      </c>
      <c r="T27" s="825">
        <v>22000</v>
      </c>
      <c r="U27" s="825">
        <v>21500</v>
      </c>
      <c r="V27" s="826">
        <v>18600</v>
      </c>
      <c r="W27" s="822">
        <v>18700</v>
      </c>
      <c r="X27" s="760">
        <v>19500</v>
      </c>
      <c r="Y27" s="760">
        <v>24000</v>
      </c>
      <c r="Z27" s="760">
        <v>22500</v>
      </c>
      <c r="AA27" s="760">
        <v>22000</v>
      </c>
      <c r="AB27" s="129">
        <v>22000</v>
      </c>
      <c r="AC27" s="115">
        <v>22000</v>
      </c>
      <c r="AD27" s="115">
        <v>22000</v>
      </c>
      <c r="AE27" s="140" t="s">
        <v>80</v>
      </c>
      <c r="AF27" s="78">
        <v>32400</v>
      </c>
      <c r="AG27" s="79">
        <v>0.67901234567901236</v>
      </c>
      <c r="AH27" s="733" t="s">
        <v>80</v>
      </c>
      <c r="AI27" s="87" t="s">
        <v>81</v>
      </c>
      <c r="AJ27" s="87" t="s">
        <v>81</v>
      </c>
      <c r="AK27" s="748">
        <v>2920</v>
      </c>
      <c r="AL27" s="832">
        <f t="shared" si="0"/>
        <v>33440</v>
      </c>
      <c r="AM27" s="122">
        <v>4</v>
      </c>
    </row>
    <row r="28" spans="1:39" x14ac:dyDescent="0.3">
      <c r="A28" s="33">
        <v>42</v>
      </c>
      <c r="B28" s="33">
        <v>38</v>
      </c>
      <c r="C28" s="116" t="s">
        <v>127</v>
      </c>
      <c r="D28" s="117" t="s">
        <v>156</v>
      </c>
      <c r="E28" s="64" t="s">
        <v>157</v>
      </c>
      <c r="F28" s="799">
        <v>5155</v>
      </c>
      <c r="G28" s="799" t="s">
        <v>72</v>
      </c>
      <c r="H28" s="36" t="s">
        <v>73</v>
      </c>
      <c r="I28" s="37">
        <v>1.34</v>
      </c>
      <c r="J28" s="799" t="s">
        <v>158</v>
      </c>
      <c r="K28" s="36" t="s">
        <v>104</v>
      </c>
      <c r="L28" s="837" t="s">
        <v>142</v>
      </c>
      <c r="M28" s="837" t="s">
        <v>142</v>
      </c>
      <c r="N28" s="837" t="s">
        <v>142</v>
      </c>
      <c r="O28" s="837" t="s">
        <v>142</v>
      </c>
      <c r="P28" s="35" t="s">
        <v>143</v>
      </c>
      <c r="Q28" s="35" t="s">
        <v>143</v>
      </c>
      <c r="R28" s="38" t="s">
        <v>144</v>
      </c>
      <c r="S28" s="38" t="s">
        <v>145</v>
      </c>
      <c r="T28" s="833">
        <v>22500</v>
      </c>
      <c r="U28" s="833">
        <v>24500</v>
      </c>
      <c r="V28" s="833">
        <v>22000</v>
      </c>
      <c r="W28" s="820">
        <v>23000</v>
      </c>
      <c r="X28" s="838">
        <v>24000</v>
      </c>
      <c r="Y28" s="838">
        <v>26500</v>
      </c>
      <c r="Z28" s="838">
        <v>24500</v>
      </c>
      <c r="AA28" s="838">
        <v>25500</v>
      </c>
      <c r="AB28" s="123">
        <v>26500</v>
      </c>
      <c r="AC28" s="123">
        <v>24000</v>
      </c>
      <c r="AD28" s="123">
        <v>24000</v>
      </c>
      <c r="AE28" s="36" t="s">
        <v>80</v>
      </c>
      <c r="AF28" s="138">
        <v>39800</v>
      </c>
      <c r="AG28" s="82">
        <v>0.60301507537688437</v>
      </c>
      <c r="AH28" s="734" t="s">
        <v>97</v>
      </c>
      <c r="AI28" s="84" t="s">
        <v>81</v>
      </c>
      <c r="AJ28" s="84" t="s">
        <v>81</v>
      </c>
      <c r="AK28" s="749">
        <v>3580</v>
      </c>
      <c r="AL28" s="832">
        <f t="shared" si="0"/>
        <v>32160.000000000004</v>
      </c>
      <c r="AM28" s="121">
        <v>4</v>
      </c>
    </row>
    <row r="29" spans="1:39" x14ac:dyDescent="0.3">
      <c r="A29" s="33">
        <v>41</v>
      </c>
      <c r="B29" s="33">
        <v>37</v>
      </c>
      <c r="C29" s="113" t="s">
        <v>127</v>
      </c>
      <c r="D29" s="114" t="s">
        <v>159</v>
      </c>
      <c r="E29" s="51" t="s">
        <v>160</v>
      </c>
      <c r="F29" s="800">
        <v>5159</v>
      </c>
      <c r="G29" s="800" t="s">
        <v>72</v>
      </c>
      <c r="H29" s="71" t="s">
        <v>73</v>
      </c>
      <c r="I29" s="72">
        <v>2.2400000000000002</v>
      </c>
      <c r="J29" s="800" t="s">
        <v>130</v>
      </c>
      <c r="K29" s="71" t="s">
        <v>104</v>
      </c>
      <c r="L29" s="835" t="s">
        <v>142</v>
      </c>
      <c r="M29" s="835" t="s">
        <v>142</v>
      </c>
      <c r="N29" s="835" t="s">
        <v>142</v>
      </c>
      <c r="O29" s="835" t="s">
        <v>142</v>
      </c>
      <c r="P29" s="51" t="s">
        <v>143</v>
      </c>
      <c r="Q29" s="51" t="s">
        <v>143</v>
      </c>
      <c r="R29" s="73" t="s">
        <v>144</v>
      </c>
      <c r="S29" s="73" t="s">
        <v>145</v>
      </c>
      <c r="T29" s="825">
        <v>23500</v>
      </c>
      <c r="U29" s="825">
        <v>22500</v>
      </c>
      <c r="V29" s="825">
        <v>23500</v>
      </c>
      <c r="W29" s="822">
        <v>24500</v>
      </c>
      <c r="X29" s="760">
        <v>25500</v>
      </c>
      <c r="Y29" s="760">
        <v>26500</v>
      </c>
      <c r="Z29" s="760">
        <v>27500</v>
      </c>
      <c r="AA29" s="760">
        <v>26000</v>
      </c>
      <c r="AB29" s="129">
        <v>26000</v>
      </c>
      <c r="AC29" s="115">
        <v>25000</v>
      </c>
      <c r="AD29" s="115">
        <v>25000</v>
      </c>
      <c r="AE29" s="140" t="s">
        <v>80</v>
      </c>
      <c r="AF29" s="78">
        <v>39800</v>
      </c>
      <c r="AG29" s="79">
        <v>0.62814070351758799</v>
      </c>
      <c r="AH29" s="733" t="s">
        <v>97</v>
      </c>
      <c r="AI29" s="87" t="s">
        <v>81</v>
      </c>
      <c r="AJ29" s="87" t="s">
        <v>81</v>
      </c>
      <c r="AK29" s="748">
        <v>3580</v>
      </c>
      <c r="AL29" s="832">
        <f t="shared" si="0"/>
        <v>56000.000000000007</v>
      </c>
      <c r="AM29" s="122">
        <v>4</v>
      </c>
    </row>
    <row r="30" spans="1:39" x14ac:dyDescent="0.3">
      <c r="A30" s="33">
        <v>40</v>
      </c>
      <c r="B30" s="33">
        <v>36</v>
      </c>
      <c r="C30" s="34" t="s">
        <v>127</v>
      </c>
      <c r="D30" s="64" t="s">
        <v>161</v>
      </c>
      <c r="E30" s="35" t="s">
        <v>162</v>
      </c>
      <c r="F30" s="799">
        <v>13</v>
      </c>
      <c r="G30" s="799" t="s">
        <v>72</v>
      </c>
      <c r="H30" s="36" t="s">
        <v>73</v>
      </c>
      <c r="I30" s="37">
        <v>3.19</v>
      </c>
      <c r="J30" s="799" t="s">
        <v>140</v>
      </c>
      <c r="K30" s="36" t="s">
        <v>104</v>
      </c>
      <c r="L30" s="837" t="s">
        <v>163</v>
      </c>
      <c r="M30" s="837" t="s">
        <v>163</v>
      </c>
      <c r="N30" s="837" t="s">
        <v>163</v>
      </c>
      <c r="O30" s="837" t="s">
        <v>163</v>
      </c>
      <c r="P30" s="837" t="s">
        <v>163</v>
      </c>
      <c r="Q30" s="837" t="s">
        <v>163</v>
      </c>
      <c r="R30" s="38" t="s">
        <v>144</v>
      </c>
      <c r="S30" s="38" t="s">
        <v>145</v>
      </c>
      <c r="T30" s="833">
        <v>19400</v>
      </c>
      <c r="U30" s="833">
        <v>19600</v>
      </c>
      <c r="V30" s="833">
        <v>20500</v>
      </c>
      <c r="W30" s="820">
        <v>21500</v>
      </c>
      <c r="X30" s="838">
        <v>21500</v>
      </c>
      <c r="Y30" s="838">
        <v>25000</v>
      </c>
      <c r="Z30" s="838">
        <v>26000</v>
      </c>
      <c r="AA30" s="838">
        <v>25500</v>
      </c>
      <c r="AB30" s="123">
        <v>24500</v>
      </c>
      <c r="AC30" s="123">
        <v>23500</v>
      </c>
      <c r="AD30" s="123">
        <v>23500</v>
      </c>
      <c r="AE30" s="36" t="s">
        <v>80</v>
      </c>
      <c r="AF30" s="138">
        <v>66200</v>
      </c>
      <c r="AG30" s="82">
        <v>0.35498489425981872</v>
      </c>
      <c r="AH30" s="734" t="s">
        <v>1524</v>
      </c>
      <c r="AI30" s="84" t="s">
        <v>81</v>
      </c>
      <c r="AJ30" s="84" t="s">
        <v>81</v>
      </c>
      <c r="AK30" s="749">
        <v>5960</v>
      </c>
      <c r="AL30" s="832">
        <f t="shared" si="0"/>
        <v>74965</v>
      </c>
      <c r="AM30" s="121">
        <v>4</v>
      </c>
    </row>
    <row r="31" spans="1:39" x14ac:dyDescent="0.3">
      <c r="A31" s="33">
        <v>39</v>
      </c>
      <c r="B31" s="33">
        <v>35</v>
      </c>
      <c r="C31" s="50" t="s">
        <v>127</v>
      </c>
      <c r="D31" s="114" t="s">
        <v>164</v>
      </c>
      <c r="E31" s="70" t="s">
        <v>165</v>
      </c>
      <c r="F31" s="800">
        <v>152</v>
      </c>
      <c r="G31" s="800" t="s">
        <v>72</v>
      </c>
      <c r="H31" s="71" t="s">
        <v>73</v>
      </c>
      <c r="I31" s="72">
        <v>1.23</v>
      </c>
      <c r="J31" s="800" t="s">
        <v>140</v>
      </c>
      <c r="K31" s="71" t="s">
        <v>104</v>
      </c>
      <c r="L31" s="835" t="s">
        <v>142</v>
      </c>
      <c r="M31" s="835" t="s">
        <v>142</v>
      </c>
      <c r="N31" s="835" t="s">
        <v>142</v>
      </c>
      <c r="O31" s="835" t="s">
        <v>142</v>
      </c>
      <c r="P31" s="51" t="s">
        <v>143</v>
      </c>
      <c r="Q31" s="51" t="s">
        <v>143</v>
      </c>
      <c r="R31" s="73" t="s">
        <v>144</v>
      </c>
      <c r="S31" s="73" t="s">
        <v>145</v>
      </c>
      <c r="T31" s="825">
        <v>14100</v>
      </c>
      <c r="U31" s="825">
        <v>13800</v>
      </c>
      <c r="V31" s="825">
        <v>13900</v>
      </c>
      <c r="W31" s="822">
        <v>13200</v>
      </c>
      <c r="X31" s="760">
        <v>13800</v>
      </c>
      <c r="Y31" s="760">
        <v>15400</v>
      </c>
      <c r="Z31" s="760">
        <v>15700</v>
      </c>
      <c r="AA31" s="760">
        <v>15700</v>
      </c>
      <c r="AB31" s="129">
        <v>15900</v>
      </c>
      <c r="AC31" s="115">
        <v>15500</v>
      </c>
      <c r="AD31" s="115">
        <v>15700</v>
      </c>
      <c r="AE31" s="140" t="s">
        <v>80</v>
      </c>
      <c r="AF31" s="78">
        <v>39800</v>
      </c>
      <c r="AG31" s="79">
        <v>0.39447236180904521</v>
      </c>
      <c r="AH31" s="733" t="s">
        <v>97</v>
      </c>
      <c r="AI31" s="748">
        <v>1170</v>
      </c>
      <c r="AJ31" s="748">
        <v>1350</v>
      </c>
      <c r="AK31" s="748">
        <v>3580</v>
      </c>
      <c r="AL31" s="832">
        <f t="shared" si="0"/>
        <v>19311</v>
      </c>
      <c r="AM31" s="122">
        <v>4</v>
      </c>
    </row>
    <row r="32" spans="1:39" x14ac:dyDescent="0.3">
      <c r="A32" s="33">
        <v>38</v>
      </c>
      <c r="B32" s="33">
        <v>34</v>
      </c>
      <c r="C32" s="34" t="s">
        <v>127</v>
      </c>
      <c r="D32" s="117" t="s">
        <v>166</v>
      </c>
      <c r="E32" s="35" t="s">
        <v>167</v>
      </c>
      <c r="F32" s="799">
        <v>5057</v>
      </c>
      <c r="G32" s="799" t="s">
        <v>72</v>
      </c>
      <c r="H32" s="36" t="s">
        <v>73</v>
      </c>
      <c r="I32" s="37">
        <v>1.37</v>
      </c>
      <c r="J32" s="799" t="s">
        <v>158</v>
      </c>
      <c r="K32" s="36" t="s">
        <v>104</v>
      </c>
      <c r="L32" s="837" t="s">
        <v>142</v>
      </c>
      <c r="M32" s="837" t="s">
        <v>142</v>
      </c>
      <c r="N32" s="837" t="s">
        <v>142</v>
      </c>
      <c r="O32" s="837" t="s">
        <v>142</v>
      </c>
      <c r="P32" s="35" t="s">
        <v>143</v>
      </c>
      <c r="Q32" s="35" t="s">
        <v>143</v>
      </c>
      <c r="R32" s="38" t="s">
        <v>144</v>
      </c>
      <c r="S32" s="38" t="s">
        <v>145</v>
      </c>
      <c r="T32" s="833">
        <v>20500</v>
      </c>
      <c r="U32" s="833">
        <v>19600</v>
      </c>
      <c r="V32" s="833">
        <v>20300</v>
      </c>
      <c r="W32" s="820">
        <v>20500</v>
      </c>
      <c r="X32" s="838">
        <v>21500</v>
      </c>
      <c r="Y32" s="838">
        <v>20500</v>
      </c>
      <c r="Z32" s="838">
        <v>20400</v>
      </c>
      <c r="AA32" s="838">
        <v>21000</v>
      </c>
      <c r="AB32" s="123">
        <v>21000</v>
      </c>
      <c r="AC32" s="123">
        <v>20200</v>
      </c>
      <c r="AD32" s="120">
        <v>17600</v>
      </c>
      <c r="AE32" s="65" t="s">
        <v>80</v>
      </c>
      <c r="AF32" s="138">
        <v>39800</v>
      </c>
      <c r="AG32" s="82">
        <v>0.44221105527638194</v>
      </c>
      <c r="AH32" s="734" t="s">
        <v>97</v>
      </c>
      <c r="AI32" s="749">
        <v>1340</v>
      </c>
      <c r="AJ32" s="749">
        <v>1440</v>
      </c>
      <c r="AK32" s="749">
        <v>3580</v>
      </c>
      <c r="AL32" s="832">
        <f t="shared" si="0"/>
        <v>24112.000000000004</v>
      </c>
      <c r="AM32" s="121">
        <v>4</v>
      </c>
    </row>
    <row r="33" spans="1:39" x14ac:dyDescent="0.3">
      <c r="A33" s="33">
        <v>37</v>
      </c>
      <c r="B33" s="33">
        <v>32</v>
      </c>
      <c r="C33" s="113" t="s">
        <v>127</v>
      </c>
      <c r="D33" s="114" t="s">
        <v>168</v>
      </c>
      <c r="E33" s="51" t="s">
        <v>169</v>
      </c>
      <c r="F33" s="800">
        <v>213</v>
      </c>
      <c r="G33" s="800" t="s">
        <v>72</v>
      </c>
      <c r="H33" s="71" t="s">
        <v>73</v>
      </c>
      <c r="I33" s="72">
        <v>1.18</v>
      </c>
      <c r="J33" s="800" t="s">
        <v>158</v>
      </c>
      <c r="K33" s="71" t="s">
        <v>104</v>
      </c>
      <c r="L33" s="835" t="s">
        <v>142</v>
      </c>
      <c r="M33" s="839" t="s">
        <v>170</v>
      </c>
      <c r="N33" s="835" t="s">
        <v>170</v>
      </c>
      <c r="O33" s="835" t="s">
        <v>170</v>
      </c>
      <c r="P33" s="51" t="s">
        <v>143</v>
      </c>
      <c r="Q33" s="51" t="s">
        <v>143</v>
      </c>
      <c r="R33" s="73" t="s">
        <v>144</v>
      </c>
      <c r="S33" s="73" t="s">
        <v>145</v>
      </c>
      <c r="T33" s="825">
        <v>24500</v>
      </c>
      <c r="U33" s="825">
        <v>24500</v>
      </c>
      <c r="V33" s="825">
        <v>24500</v>
      </c>
      <c r="W33" s="822">
        <v>26500</v>
      </c>
      <c r="X33" s="760">
        <v>25000</v>
      </c>
      <c r="Y33" s="760">
        <v>28500</v>
      </c>
      <c r="Z33" s="760">
        <v>25500</v>
      </c>
      <c r="AA33" s="760">
        <v>26500</v>
      </c>
      <c r="AB33" s="129">
        <v>25000</v>
      </c>
      <c r="AC33" s="115">
        <v>24000</v>
      </c>
      <c r="AD33" s="115">
        <v>24000</v>
      </c>
      <c r="AE33" s="80" t="s">
        <v>80</v>
      </c>
      <c r="AF33" s="78">
        <v>39800</v>
      </c>
      <c r="AG33" s="79">
        <v>0.60301507537688437</v>
      </c>
      <c r="AH33" s="733" t="s">
        <v>97</v>
      </c>
      <c r="AI33" s="87" t="s">
        <v>81</v>
      </c>
      <c r="AJ33" s="87" t="s">
        <v>81</v>
      </c>
      <c r="AK33" s="748">
        <v>3580</v>
      </c>
      <c r="AL33" s="832">
        <f t="shared" si="0"/>
        <v>28320</v>
      </c>
      <c r="AM33" s="122">
        <v>4</v>
      </c>
    </row>
    <row r="34" spans="1:39" x14ac:dyDescent="0.3">
      <c r="A34" s="33">
        <v>36</v>
      </c>
      <c r="B34" s="33">
        <v>31</v>
      </c>
      <c r="C34" s="116" t="s">
        <v>127</v>
      </c>
      <c r="D34" s="117" t="s">
        <v>171</v>
      </c>
      <c r="E34" s="64" t="s">
        <v>172</v>
      </c>
      <c r="F34" s="799">
        <v>5061</v>
      </c>
      <c r="G34" s="799" t="s">
        <v>72</v>
      </c>
      <c r="H34" s="36" t="s">
        <v>73</v>
      </c>
      <c r="I34" s="37">
        <v>1.17</v>
      </c>
      <c r="J34" s="799" t="s">
        <v>140</v>
      </c>
      <c r="K34" s="36" t="s">
        <v>104</v>
      </c>
      <c r="L34" s="837" t="s">
        <v>142</v>
      </c>
      <c r="M34" s="837" t="s">
        <v>170</v>
      </c>
      <c r="N34" s="837" t="s">
        <v>170</v>
      </c>
      <c r="O34" s="837" t="s">
        <v>170</v>
      </c>
      <c r="P34" s="35" t="s">
        <v>143</v>
      </c>
      <c r="Q34" s="35" t="s">
        <v>143</v>
      </c>
      <c r="R34" s="38" t="s">
        <v>144</v>
      </c>
      <c r="S34" s="38" t="s">
        <v>145</v>
      </c>
      <c r="T34" s="833">
        <v>27500</v>
      </c>
      <c r="U34" s="833">
        <v>25000</v>
      </c>
      <c r="V34" s="833">
        <v>26500</v>
      </c>
      <c r="W34" s="820">
        <v>27500</v>
      </c>
      <c r="X34" s="838">
        <v>28500</v>
      </c>
      <c r="Y34" s="838">
        <v>27000</v>
      </c>
      <c r="Z34" s="838">
        <v>28000</v>
      </c>
      <c r="AA34" s="838">
        <v>27500</v>
      </c>
      <c r="AB34" s="123">
        <v>27500</v>
      </c>
      <c r="AC34" s="123">
        <v>23000</v>
      </c>
      <c r="AD34" s="123">
        <v>23000</v>
      </c>
      <c r="AE34" s="36" t="s">
        <v>80</v>
      </c>
      <c r="AF34" s="138">
        <v>39800</v>
      </c>
      <c r="AG34" s="82">
        <v>0.57788944723618085</v>
      </c>
      <c r="AH34" s="734" t="s">
        <v>97</v>
      </c>
      <c r="AI34" s="84" t="s">
        <v>81</v>
      </c>
      <c r="AJ34" s="84" t="s">
        <v>81</v>
      </c>
      <c r="AK34" s="749">
        <v>3580</v>
      </c>
      <c r="AL34" s="832">
        <f t="shared" si="0"/>
        <v>26910</v>
      </c>
      <c r="AM34" s="121">
        <v>4</v>
      </c>
    </row>
    <row r="35" spans="1:39" x14ac:dyDescent="0.3">
      <c r="A35" s="33">
        <v>35</v>
      </c>
      <c r="B35" s="33">
        <v>30</v>
      </c>
      <c r="C35" s="113" t="s">
        <v>127</v>
      </c>
      <c r="D35" s="114" t="s">
        <v>173</v>
      </c>
      <c r="E35" s="70" t="s">
        <v>174</v>
      </c>
      <c r="F35" s="800">
        <v>5063</v>
      </c>
      <c r="G35" s="800" t="s">
        <v>72</v>
      </c>
      <c r="H35" s="71" t="s">
        <v>73</v>
      </c>
      <c r="I35" s="72">
        <v>0.45</v>
      </c>
      <c r="J35" s="800" t="s">
        <v>158</v>
      </c>
      <c r="K35" s="71" t="s">
        <v>104</v>
      </c>
      <c r="L35" s="835" t="s">
        <v>142</v>
      </c>
      <c r="M35" s="839" t="s">
        <v>170</v>
      </c>
      <c r="N35" s="835" t="s">
        <v>170</v>
      </c>
      <c r="O35" s="835" t="s">
        <v>170</v>
      </c>
      <c r="P35" s="51" t="s">
        <v>143</v>
      </c>
      <c r="Q35" s="51" t="s">
        <v>143</v>
      </c>
      <c r="R35" s="73" t="s">
        <v>144</v>
      </c>
      <c r="S35" s="73" t="s">
        <v>145</v>
      </c>
      <c r="T35" s="825">
        <v>26500</v>
      </c>
      <c r="U35" s="825">
        <v>24500</v>
      </c>
      <c r="V35" s="825">
        <v>27000</v>
      </c>
      <c r="W35" s="822">
        <v>29000</v>
      </c>
      <c r="X35" s="760">
        <v>30000</v>
      </c>
      <c r="Y35" s="141" t="s">
        <v>81</v>
      </c>
      <c r="Z35" s="60" t="s">
        <v>81</v>
      </c>
      <c r="AA35" s="60" t="s">
        <v>81</v>
      </c>
      <c r="AB35" s="129">
        <v>24500</v>
      </c>
      <c r="AC35" s="115">
        <v>23500</v>
      </c>
      <c r="AD35" s="115">
        <v>23500</v>
      </c>
      <c r="AE35" s="140" t="s">
        <v>80</v>
      </c>
      <c r="AF35" s="78">
        <v>39800</v>
      </c>
      <c r="AG35" s="79">
        <v>0.59045226130653261</v>
      </c>
      <c r="AH35" s="733" t="s">
        <v>97</v>
      </c>
      <c r="AI35" s="87" t="s">
        <v>81</v>
      </c>
      <c r="AJ35" s="87" t="s">
        <v>81</v>
      </c>
      <c r="AK35" s="748">
        <v>3580</v>
      </c>
      <c r="AL35" s="832">
        <f t="shared" si="0"/>
        <v>10575</v>
      </c>
      <c r="AM35" s="122">
        <v>4</v>
      </c>
    </row>
    <row r="36" spans="1:39" x14ac:dyDescent="0.3">
      <c r="A36" s="33">
        <v>34</v>
      </c>
      <c r="B36" s="33">
        <v>29</v>
      </c>
      <c r="C36" s="116" t="s">
        <v>127</v>
      </c>
      <c r="D36" s="117" t="s">
        <v>175</v>
      </c>
      <c r="E36" s="35" t="s">
        <v>176</v>
      </c>
      <c r="F36" s="799">
        <v>5063</v>
      </c>
      <c r="G36" s="799" t="s">
        <v>72</v>
      </c>
      <c r="H36" s="36" t="s">
        <v>73</v>
      </c>
      <c r="I36" s="37">
        <v>0.27</v>
      </c>
      <c r="J36" s="799" t="s">
        <v>158</v>
      </c>
      <c r="K36" s="36" t="s">
        <v>104</v>
      </c>
      <c r="L36" s="837" t="s">
        <v>142</v>
      </c>
      <c r="M36" s="837" t="s">
        <v>170</v>
      </c>
      <c r="N36" s="837" t="s">
        <v>170</v>
      </c>
      <c r="O36" s="837" t="s">
        <v>170</v>
      </c>
      <c r="P36" s="35" t="s">
        <v>143</v>
      </c>
      <c r="Q36" s="35" t="s">
        <v>143</v>
      </c>
      <c r="R36" s="38" t="s">
        <v>144</v>
      </c>
      <c r="S36" s="38" t="s">
        <v>145</v>
      </c>
      <c r="T36" s="833">
        <v>28000</v>
      </c>
      <c r="U36" s="833">
        <v>27500</v>
      </c>
      <c r="V36" s="833">
        <v>26000</v>
      </c>
      <c r="W36" s="820">
        <v>29000</v>
      </c>
      <c r="X36" s="838">
        <v>30000</v>
      </c>
      <c r="Y36" s="838">
        <v>26500</v>
      </c>
      <c r="Z36" s="838">
        <v>26000</v>
      </c>
      <c r="AA36" s="838">
        <v>27000</v>
      </c>
      <c r="AB36" s="123">
        <v>24500</v>
      </c>
      <c r="AC36" s="123">
        <f>AC35</f>
        <v>23500</v>
      </c>
      <c r="AD36" s="123">
        <v>23500</v>
      </c>
      <c r="AE36" s="36" t="s">
        <v>80</v>
      </c>
      <c r="AF36" s="138">
        <v>39800</v>
      </c>
      <c r="AG36" s="82">
        <v>0.59045226130653261</v>
      </c>
      <c r="AH36" s="734" t="s">
        <v>97</v>
      </c>
      <c r="AI36" s="84" t="s">
        <v>81</v>
      </c>
      <c r="AJ36" s="84" t="s">
        <v>81</v>
      </c>
      <c r="AK36" s="749">
        <v>3580</v>
      </c>
      <c r="AL36" s="832">
        <f t="shared" si="0"/>
        <v>6345</v>
      </c>
      <c r="AM36" s="121">
        <v>4</v>
      </c>
    </row>
    <row r="37" spans="1:39" x14ac:dyDescent="0.3">
      <c r="A37" s="33">
        <v>33</v>
      </c>
      <c r="B37" s="33">
        <v>28</v>
      </c>
      <c r="C37" s="113" t="s">
        <v>127</v>
      </c>
      <c r="D37" s="114" t="s">
        <v>177</v>
      </c>
      <c r="E37" s="70" t="s">
        <v>178</v>
      </c>
      <c r="F37" s="800">
        <v>452</v>
      </c>
      <c r="G37" s="800" t="s">
        <v>72</v>
      </c>
      <c r="H37" s="71" t="s">
        <v>73</v>
      </c>
      <c r="I37" s="72">
        <v>1.05</v>
      </c>
      <c r="J37" s="800" t="s">
        <v>158</v>
      </c>
      <c r="K37" s="71" t="s">
        <v>104</v>
      </c>
      <c r="L37" s="835" t="s">
        <v>142</v>
      </c>
      <c r="M37" s="835" t="s">
        <v>142</v>
      </c>
      <c r="N37" s="835" t="s">
        <v>142</v>
      </c>
      <c r="O37" s="835" t="s">
        <v>142</v>
      </c>
      <c r="P37" s="51" t="s">
        <v>143</v>
      </c>
      <c r="Q37" s="51" t="s">
        <v>143</v>
      </c>
      <c r="R37" s="73" t="s">
        <v>144</v>
      </c>
      <c r="S37" s="73" t="s">
        <v>145</v>
      </c>
      <c r="T37" s="825">
        <v>32500</v>
      </c>
      <c r="U37" s="825">
        <v>30000</v>
      </c>
      <c r="V37" s="825">
        <v>29500</v>
      </c>
      <c r="W37" s="822">
        <v>33000</v>
      </c>
      <c r="X37" s="760">
        <v>32000</v>
      </c>
      <c r="Y37" s="760">
        <v>34000</v>
      </c>
      <c r="Z37" s="760">
        <v>30500</v>
      </c>
      <c r="AA37" s="760">
        <v>33000</v>
      </c>
      <c r="AB37" s="129">
        <v>33000</v>
      </c>
      <c r="AC37" s="115">
        <v>32000</v>
      </c>
      <c r="AD37" s="115">
        <v>29000</v>
      </c>
      <c r="AE37" s="140" t="s">
        <v>80</v>
      </c>
      <c r="AF37" s="78">
        <v>39800</v>
      </c>
      <c r="AG37" s="79">
        <v>0.72864321608040206</v>
      </c>
      <c r="AH37" s="733" t="s">
        <v>97</v>
      </c>
      <c r="AI37" s="748">
        <v>2040</v>
      </c>
      <c r="AJ37" s="748">
        <v>2350</v>
      </c>
      <c r="AK37" s="748">
        <v>3580</v>
      </c>
      <c r="AL37" s="832">
        <f t="shared" si="0"/>
        <v>30450</v>
      </c>
      <c r="AM37" s="122">
        <v>4</v>
      </c>
    </row>
    <row r="38" spans="1:39" x14ac:dyDescent="0.3">
      <c r="A38" s="33">
        <v>32</v>
      </c>
      <c r="B38" s="33">
        <v>27</v>
      </c>
      <c r="C38" s="116" t="s">
        <v>127</v>
      </c>
      <c r="D38" s="117" t="s">
        <v>179</v>
      </c>
      <c r="E38" s="64" t="s">
        <v>180</v>
      </c>
      <c r="F38" s="799">
        <v>5066</v>
      </c>
      <c r="G38" s="799" t="s">
        <v>72</v>
      </c>
      <c r="H38" s="36" t="s">
        <v>73</v>
      </c>
      <c r="I38" s="37">
        <v>0.72</v>
      </c>
      <c r="J38" s="799" t="s">
        <v>158</v>
      </c>
      <c r="K38" s="36" t="s">
        <v>104</v>
      </c>
      <c r="L38" s="835" t="s">
        <v>142</v>
      </c>
      <c r="M38" s="837" t="s">
        <v>142</v>
      </c>
      <c r="N38" s="837" t="s">
        <v>142</v>
      </c>
      <c r="O38" s="837" t="s">
        <v>142</v>
      </c>
      <c r="P38" s="35" t="s">
        <v>143</v>
      </c>
      <c r="Q38" s="35" t="s">
        <v>143</v>
      </c>
      <c r="R38" s="38" t="s">
        <v>144</v>
      </c>
      <c r="S38" s="38" t="s">
        <v>145</v>
      </c>
      <c r="T38" s="833">
        <v>28000</v>
      </c>
      <c r="U38" s="833">
        <v>29500</v>
      </c>
      <c r="V38" s="833">
        <v>28000</v>
      </c>
      <c r="W38" s="820">
        <v>29500</v>
      </c>
      <c r="X38" s="838">
        <v>30500</v>
      </c>
      <c r="Y38" s="838">
        <v>28500</v>
      </c>
      <c r="Z38" s="838">
        <v>29000</v>
      </c>
      <c r="AA38" s="838">
        <v>30000</v>
      </c>
      <c r="AB38" s="123">
        <v>30500</v>
      </c>
      <c r="AC38" s="123">
        <v>29500</v>
      </c>
      <c r="AD38" s="123">
        <v>29500</v>
      </c>
      <c r="AE38" s="36" t="s">
        <v>80</v>
      </c>
      <c r="AF38" s="138">
        <v>39800</v>
      </c>
      <c r="AG38" s="82">
        <v>0.74120603015075381</v>
      </c>
      <c r="AH38" s="734" t="s">
        <v>97</v>
      </c>
      <c r="AI38" s="84" t="s">
        <v>81</v>
      </c>
      <c r="AJ38" s="84" t="s">
        <v>81</v>
      </c>
      <c r="AK38" s="749">
        <v>3580</v>
      </c>
      <c r="AL38" s="832">
        <f t="shared" si="0"/>
        <v>21240</v>
      </c>
      <c r="AM38" s="121">
        <v>4</v>
      </c>
    </row>
    <row r="39" spans="1:39" x14ac:dyDescent="0.3">
      <c r="A39" s="33">
        <v>31</v>
      </c>
      <c r="B39" s="33">
        <v>26</v>
      </c>
      <c r="C39" s="113" t="s">
        <v>127</v>
      </c>
      <c r="D39" s="114" t="s">
        <v>181</v>
      </c>
      <c r="E39" s="70" t="s">
        <v>182</v>
      </c>
      <c r="F39" s="800">
        <v>5070</v>
      </c>
      <c r="G39" s="800" t="s">
        <v>72</v>
      </c>
      <c r="H39" s="71" t="s">
        <v>73</v>
      </c>
      <c r="I39" s="72">
        <v>0.3</v>
      </c>
      <c r="J39" s="800" t="s">
        <v>154</v>
      </c>
      <c r="K39" s="71" t="s">
        <v>104</v>
      </c>
      <c r="L39" s="835" t="s">
        <v>142</v>
      </c>
      <c r="M39" s="839" t="s">
        <v>170</v>
      </c>
      <c r="N39" s="835" t="s">
        <v>170</v>
      </c>
      <c r="O39" s="835" t="s">
        <v>170</v>
      </c>
      <c r="P39" s="51" t="s">
        <v>155</v>
      </c>
      <c r="Q39" s="51" t="s">
        <v>155</v>
      </c>
      <c r="R39" s="73" t="s">
        <v>144</v>
      </c>
      <c r="S39" s="73" t="s">
        <v>145</v>
      </c>
      <c r="T39" s="826">
        <v>28000</v>
      </c>
      <c r="U39" s="825">
        <v>26000</v>
      </c>
      <c r="V39" s="840">
        <v>29000</v>
      </c>
      <c r="W39" s="822">
        <v>26500</v>
      </c>
      <c r="X39" s="760">
        <v>27500</v>
      </c>
      <c r="Y39" s="760">
        <v>31000</v>
      </c>
      <c r="Z39" s="760">
        <v>28500</v>
      </c>
      <c r="AA39" s="819">
        <v>29500</v>
      </c>
      <c r="AB39" s="142">
        <v>31000</v>
      </c>
      <c r="AC39" s="143">
        <v>30000</v>
      </c>
      <c r="AD39" s="143">
        <v>30000</v>
      </c>
      <c r="AE39" s="144" t="s">
        <v>80</v>
      </c>
      <c r="AF39" s="45">
        <v>32400</v>
      </c>
      <c r="AG39" s="46">
        <v>0.92592592592592593</v>
      </c>
      <c r="AH39" s="735" t="s">
        <v>80</v>
      </c>
      <c r="AI39" s="48" t="s">
        <v>81</v>
      </c>
      <c r="AJ39" s="48" t="s">
        <v>81</v>
      </c>
      <c r="AK39" s="748">
        <v>2920</v>
      </c>
      <c r="AL39" s="832">
        <f t="shared" si="0"/>
        <v>9000</v>
      </c>
      <c r="AM39" s="122">
        <v>4</v>
      </c>
    </row>
    <row r="40" spans="1:39" x14ac:dyDescent="0.3">
      <c r="A40" s="33">
        <v>30</v>
      </c>
      <c r="B40" s="33">
        <v>25</v>
      </c>
      <c r="C40" s="116" t="s">
        <v>127</v>
      </c>
      <c r="D40" s="117" t="s">
        <v>183</v>
      </c>
      <c r="E40" s="35" t="s">
        <v>184</v>
      </c>
      <c r="F40" s="799">
        <v>5074</v>
      </c>
      <c r="G40" s="799" t="s">
        <v>72</v>
      </c>
      <c r="H40" s="36" t="s">
        <v>73</v>
      </c>
      <c r="I40" s="37">
        <v>0.66</v>
      </c>
      <c r="J40" s="799" t="s">
        <v>154</v>
      </c>
      <c r="K40" s="36" t="s">
        <v>104</v>
      </c>
      <c r="L40" s="837" t="s">
        <v>142</v>
      </c>
      <c r="M40" s="837" t="s">
        <v>142</v>
      </c>
      <c r="N40" s="837" t="s">
        <v>142</v>
      </c>
      <c r="O40" s="837" t="s">
        <v>142</v>
      </c>
      <c r="P40" s="35" t="s">
        <v>155</v>
      </c>
      <c r="Q40" s="35" t="s">
        <v>155</v>
      </c>
      <c r="R40" s="38" t="s">
        <v>144</v>
      </c>
      <c r="S40" s="38" t="s">
        <v>145</v>
      </c>
      <c r="T40" s="833">
        <v>24000</v>
      </c>
      <c r="U40" s="833">
        <v>23500</v>
      </c>
      <c r="V40" s="833">
        <v>26000</v>
      </c>
      <c r="W40" s="821">
        <v>30500</v>
      </c>
      <c r="X40" s="819">
        <v>31500</v>
      </c>
      <c r="Y40" s="118" t="s">
        <v>81</v>
      </c>
      <c r="Z40" s="118" t="s">
        <v>81</v>
      </c>
      <c r="AA40" s="118" t="s">
        <v>81</v>
      </c>
      <c r="AB40" s="123">
        <v>28000</v>
      </c>
      <c r="AC40" s="123">
        <v>27000</v>
      </c>
      <c r="AD40" s="123">
        <v>27000</v>
      </c>
      <c r="AE40" s="36" t="s">
        <v>80</v>
      </c>
      <c r="AF40" s="138">
        <v>32400</v>
      </c>
      <c r="AG40" s="82">
        <v>0.83333333333333337</v>
      </c>
      <c r="AH40" s="734" t="s">
        <v>80</v>
      </c>
      <c r="AI40" s="84" t="s">
        <v>81</v>
      </c>
      <c r="AJ40" s="84" t="s">
        <v>81</v>
      </c>
      <c r="AK40" s="749">
        <v>2920</v>
      </c>
      <c r="AL40" s="832">
        <f t="shared" si="0"/>
        <v>17820</v>
      </c>
      <c r="AM40" s="121">
        <v>4</v>
      </c>
    </row>
    <row r="41" spans="1:39" x14ac:dyDescent="0.3">
      <c r="A41" s="33">
        <v>29</v>
      </c>
      <c r="B41" s="33">
        <v>24</v>
      </c>
      <c r="C41" s="113" t="s">
        <v>127</v>
      </c>
      <c r="D41" s="114" t="s">
        <v>185</v>
      </c>
      <c r="E41" s="51" t="s">
        <v>186</v>
      </c>
      <c r="F41" s="800">
        <v>5074</v>
      </c>
      <c r="G41" s="800" t="s">
        <v>72</v>
      </c>
      <c r="H41" s="71" t="s">
        <v>73</v>
      </c>
      <c r="I41" s="72">
        <v>0.54</v>
      </c>
      <c r="J41" s="800" t="s">
        <v>154</v>
      </c>
      <c r="K41" s="71" t="s">
        <v>104</v>
      </c>
      <c r="L41" s="835" t="s">
        <v>142</v>
      </c>
      <c r="M41" s="835" t="s">
        <v>142</v>
      </c>
      <c r="N41" s="835" t="s">
        <v>142</v>
      </c>
      <c r="O41" s="835" t="s">
        <v>142</v>
      </c>
      <c r="P41" s="51" t="s">
        <v>155</v>
      </c>
      <c r="Q41" s="51" t="s">
        <v>155</v>
      </c>
      <c r="R41" s="73" t="s">
        <v>144</v>
      </c>
      <c r="S41" s="73" t="s">
        <v>145</v>
      </c>
      <c r="T41" s="825">
        <v>27000</v>
      </c>
      <c r="U41" s="825">
        <v>27000</v>
      </c>
      <c r="V41" s="826">
        <v>27500</v>
      </c>
      <c r="W41" s="822">
        <v>27000</v>
      </c>
      <c r="X41" s="760">
        <v>28000</v>
      </c>
      <c r="Y41" s="760">
        <v>27000</v>
      </c>
      <c r="Z41" s="760">
        <v>27000</v>
      </c>
      <c r="AA41" s="760">
        <v>26000</v>
      </c>
      <c r="AB41" s="129">
        <v>28000</v>
      </c>
      <c r="AC41" s="115">
        <f>AC40</f>
        <v>27000</v>
      </c>
      <c r="AD41" s="115">
        <f>AD40</f>
        <v>27000</v>
      </c>
      <c r="AE41" s="140" t="s">
        <v>80</v>
      </c>
      <c r="AF41" s="78">
        <v>32400</v>
      </c>
      <c r="AG41" s="79">
        <v>0.83333333333333337</v>
      </c>
      <c r="AH41" s="733" t="s">
        <v>80</v>
      </c>
      <c r="AI41" s="87" t="s">
        <v>81</v>
      </c>
      <c r="AJ41" s="87" t="s">
        <v>81</v>
      </c>
      <c r="AK41" s="748">
        <v>2920</v>
      </c>
      <c r="AL41" s="832">
        <f t="shared" si="0"/>
        <v>14580.000000000002</v>
      </c>
      <c r="AM41" s="122">
        <v>4</v>
      </c>
    </row>
    <row r="42" spans="1:39" x14ac:dyDescent="0.3">
      <c r="A42" s="33">
        <v>28</v>
      </c>
      <c r="B42" s="33">
        <v>23</v>
      </c>
      <c r="C42" s="116" t="s">
        <v>127</v>
      </c>
      <c r="D42" s="117" t="s">
        <v>187</v>
      </c>
      <c r="E42" s="133" t="s">
        <v>188</v>
      </c>
      <c r="F42" s="799">
        <v>1018</v>
      </c>
      <c r="G42" s="799" t="s">
        <v>72</v>
      </c>
      <c r="H42" s="36" t="s">
        <v>73</v>
      </c>
      <c r="I42" s="37">
        <v>1.47</v>
      </c>
      <c r="J42" s="799" t="s">
        <v>154</v>
      </c>
      <c r="K42" s="36" t="s">
        <v>104</v>
      </c>
      <c r="L42" s="837" t="s">
        <v>142</v>
      </c>
      <c r="M42" s="837" t="s">
        <v>170</v>
      </c>
      <c r="N42" s="837" t="s">
        <v>170</v>
      </c>
      <c r="O42" s="837" t="s">
        <v>170</v>
      </c>
      <c r="P42" s="35" t="s">
        <v>155</v>
      </c>
      <c r="Q42" s="35" t="s">
        <v>155</v>
      </c>
      <c r="R42" s="38" t="s">
        <v>144</v>
      </c>
      <c r="S42" s="38" t="s">
        <v>145</v>
      </c>
      <c r="T42" s="833">
        <v>26000</v>
      </c>
      <c r="U42" s="833">
        <v>21500</v>
      </c>
      <c r="V42" s="833">
        <v>24000</v>
      </c>
      <c r="W42" s="820">
        <f>W43</f>
        <v>24500</v>
      </c>
      <c r="X42" s="838">
        <f>+X43</f>
        <v>23500</v>
      </c>
      <c r="Y42" s="838">
        <v>24500</v>
      </c>
      <c r="Z42" s="838">
        <v>24000</v>
      </c>
      <c r="AA42" s="838">
        <v>25500</v>
      </c>
      <c r="AB42" s="123">
        <v>25500</v>
      </c>
      <c r="AC42" s="123">
        <v>24000</v>
      </c>
      <c r="AD42" s="123">
        <v>24000</v>
      </c>
      <c r="AE42" s="36" t="s">
        <v>80</v>
      </c>
      <c r="AF42" s="138">
        <v>32400</v>
      </c>
      <c r="AG42" s="82">
        <v>0.7407407407407407</v>
      </c>
      <c r="AH42" s="734" t="s">
        <v>80</v>
      </c>
      <c r="AI42" s="84" t="s">
        <v>81</v>
      </c>
      <c r="AJ42" s="84" t="s">
        <v>81</v>
      </c>
      <c r="AK42" s="749">
        <v>2920</v>
      </c>
      <c r="AL42" s="832">
        <f t="shared" si="0"/>
        <v>35280</v>
      </c>
      <c r="AM42" s="121">
        <v>4</v>
      </c>
    </row>
    <row r="43" spans="1:39" x14ac:dyDescent="0.3">
      <c r="A43" s="33">
        <v>27</v>
      </c>
      <c r="B43" s="33">
        <v>21</v>
      </c>
      <c r="C43" s="113" t="s">
        <v>127</v>
      </c>
      <c r="D43" s="114" t="s">
        <v>189</v>
      </c>
      <c r="E43" s="51" t="s">
        <v>190</v>
      </c>
      <c r="F43" s="800">
        <v>1018</v>
      </c>
      <c r="G43" s="800" t="s">
        <v>72</v>
      </c>
      <c r="H43" s="71" t="s">
        <v>73</v>
      </c>
      <c r="I43" s="72">
        <v>2</v>
      </c>
      <c r="J43" s="800" t="s">
        <v>158</v>
      </c>
      <c r="K43" s="71" t="s">
        <v>104</v>
      </c>
      <c r="L43" s="835" t="s">
        <v>142</v>
      </c>
      <c r="M43" s="839" t="s">
        <v>170</v>
      </c>
      <c r="N43" s="835" t="s">
        <v>170</v>
      </c>
      <c r="O43" s="835" t="s">
        <v>170</v>
      </c>
      <c r="P43" s="51" t="s">
        <v>143</v>
      </c>
      <c r="Q43" s="51" t="s">
        <v>143</v>
      </c>
      <c r="R43" s="73" t="s">
        <v>144</v>
      </c>
      <c r="S43" s="73" t="s">
        <v>145</v>
      </c>
      <c r="T43" s="825">
        <v>26000</v>
      </c>
      <c r="U43" s="825">
        <v>21500</v>
      </c>
      <c r="V43" s="825">
        <v>24000</v>
      </c>
      <c r="W43" s="822">
        <v>24500</v>
      </c>
      <c r="X43" s="760">
        <v>23500</v>
      </c>
      <c r="Y43" s="760">
        <v>24500</v>
      </c>
      <c r="Z43" s="760">
        <v>24000</v>
      </c>
      <c r="AA43" s="760">
        <v>25500</v>
      </c>
      <c r="AB43" s="129">
        <v>25500</v>
      </c>
      <c r="AC43" s="115">
        <f>AC42</f>
        <v>24000</v>
      </c>
      <c r="AD43" s="115">
        <v>24000</v>
      </c>
      <c r="AE43" s="140" t="s">
        <v>80</v>
      </c>
      <c r="AF43" s="78">
        <v>39800</v>
      </c>
      <c r="AG43" s="79">
        <v>0.60301507537688437</v>
      </c>
      <c r="AH43" s="733" t="s">
        <v>97</v>
      </c>
      <c r="AI43" s="87" t="s">
        <v>81</v>
      </c>
      <c r="AJ43" s="87" t="s">
        <v>81</v>
      </c>
      <c r="AK43" s="748">
        <v>3580</v>
      </c>
      <c r="AL43" s="832">
        <f t="shared" si="0"/>
        <v>48000</v>
      </c>
      <c r="AM43" s="122">
        <v>4</v>
      </c>
    </row>
    <row r="44" spans="1:39" x14ac:dyDescent="0.3">
      <c r="A44" s="33">
        <v>26</v>
      </c>
      <c r="B44" s="33">
        <v>20</v>
      </c>
      <c r="C44" s="116" t="s">
        <v>127</v>
      </c>
      <c r="D44" s="117" t="s">
        <v>191</v>
      </c>
      <c r="E44" s="64" t="s">
        <v>192</v>
      </c>
      <c r="F44" s="799">
        <v>5142</v>
      </c>
      <c r="G44" s="799" t="s">
        <v>72</v>
      </c>
      <c r="H44" s="36" t="s">
        <v>73</v>
      </c>
      <c r="I44" s="37">
        <v>0.84</v>
      </c>
      <c r="J44" s="799" t="s">
        <v>158</v>
      </c>
      <c r="K44" s="36" t="s">
        <v>104</v>
      </c>
      <c r="L44" s="837" t="s">
        <v>142</v>
      </c>
      <c r="M44" s="837" t="s">
        <v>170</v>
      </c>
      <c r="N44" s="837" t="s">
        <v>170</v>
      </c>
      <c r="O44" s="837" t="s">
        <v>170</v>
      </c>
      <c r="P44" s="35" t="s">
        <v>143</v>
      </c>
      <c r="Q44" s="35" t="s">
        <v>143</v>
      </c>
      <c r="R44" s="38" t="s">
        <v>144</v>
      </c>
      <c r="S44" s="38" t="s">
        <v>145</v>
      </c>
      <c r="T44" s="833">
        <v>21500</v>
      </c>
      <c r="U44" s="833">
        <v>19000</v>
      </c>
      <c r="V44" s="833">
        <v>20300</v>
      </c>
      <c r="W44" s="820">
        <v>20800</v>
      </c>
      <c r="X44" s="838">
        <v>21500</v>
      </c>
      <c r="Y44" s="838">
        <v>22000</v>
      </c>
      <c r="Z44" s="838">
        <v>23000</v>
      </c>
      <c r="AA44" s="838">
        <v>23500</v>
      </c>
      <c r="AB44" s="123">
        <v>24000</v>
      </c>
      <c r="AC44" s="123">
        <v>23000</v>
      </c>
      <c r="AD44" s="123">
        <v>23000</v>
      </c>
      <c r="AE44" s="36" t="s">
        <v>80</v>
      </c>
      <c r="AF44" s="138">
        <v>39800</v>
      </c>
      <c r="AG44" s="82">
        <v>0.57788944723618085</v>
      </c>
      <c r="AH44" s="734" t="s">
        <v>97</v>
      </c>
      <c r="AI44" s="84" t="s">
        <v>81</v>
      </c>
      <c r="AJ44" s="84" t="s">
        <v>81</v>
      </c>
      <c r="AK44" s="749">
        <v>3580</v>
      </c>
      <c r="AL44" s="832">
        <f t="shared" si="0"/>
        <v>19320</v>
      </c>
      <c r="AM44" s="121">
        <v>4</v>
      </c>
    </row>
    <row r="45" spans="1:39" x14ac:dyDescent="0.3">
      <c r="A45" s="33">
        <v>25</v>
      </c>
      <c r="B45" s="33">
        <v>19</v>
      </c>
      <c r="C45" s="113" t="s">
        <v>127</v>
      </c>
      <c r="D45" s="114" t="s">
        <v>193</v>
      </c>
      <c r="E45" s="70" t="s">
        <v>194</v>
      </c>
      <c r="F45" s="800">
        <v>1019</v>
      </c>
      <c r="G45" s="800" t="s">
        <v>72</v>
      </c>
      <c r="H45" s="71" t="s">
        <v>73</v>
      </c>
      <c r="I45" s="72">
        <v>1.83</v>
      </c>
      <c r="J45" s="800" t="s">
        <v>130</v>
      </c>
      <c r="K45" s="71" t="s">
        <v>104</v>
      </c>
      <c r="L45" s="835" t="s">
        <v>142</v>
      </c>
      <c r="M45" s="835" t="s">
        <v>142</v>
      </c>
      <c r="N45" s="835" t="s">
        <v>142</v>
      </c>
      <c r="O45" s="835" t="s">
        <v>142</v>
      </c>
      <c r="P45" s="51" t="s">
        <v>143</v>
      </c>
      <c r="Q45" s="51" t="s">
        <v>143</v>
      </c>
      <c r="R45" s="73" t="s">
        <v>144</v>
      </c>
      <c r="S45" s="73" t="s">
        <v>145</v>
      </c>
      <c r="T45" s="825">
        <v>16300</v>
      </c>
      <c r="U45" s="825">
        <v>16400</v>
      </c>
      <c r="V45" s="825">
        <v>16600</v>
      </c>
      <c r="W45" s="822">
        <v>17500</v>
      </c>
      <c r="X45" s="760">
        <v>18100</v>
      </c>
      <c r="Y45" s="760">
        <v>19300</v>
      </c>
      <c r="Z45" s="760">
        <v>20000</v>
      </c>
      <c r="AA45" s="760">
        <v>19100</v>
      </c>
      <c r="AB45" s="129">
        <v>19300</v>
      </c>
      <c r="AC45" s="115">
        <v>19500</v>
      </c>
      <c r="AD45" s="115">
        <v>19500</v>
      </c>
      <c r="AE45" s="140" t="s">
        <v>80</v>
      </c>
      <c r="AF45" s="78">
        <v>39800</v>
      </c>
      <c r="AG45" s="79">
        <v>0.4899497487437186</v>
      </c>
      <c r="AH45" s="733" t="s">
        <v>97</v>
      </c>
      <c r="AI45" s="87" t="s">
        <v>81</v>
      </c>
      <c r="AJ45" s="87" t="s">
        <v>81</v>
      </c>
      <c r="AK45" s="748">
        <v>3580</v>
      </c>
      <c r="AL45" s="832">
        <f t="shared" si="0"/>
        <v>35685</v>
      </c>
      <c r="AM45" s="122">
        <v>4</v>
      </c>
    </row>
    <row r="46" spans="1:39" x14ac:dyDescent="0.3">
      <c r="A46" s="33">
        <v>24</v>
      </c>
      <c r="B46" s="33">
        <v>18</v>
      </c>
      <c r="C46" s="116" t="s">
        <v>127</v>
      </c>
      <c r="D46" s="117" t="s">
        <v>195</v>
      </c>
      <c r="E46" s="64" t="s">
        <v>196</v>
      </c>
      <c r="F46" s="799">
        <v>100</v>
      </c>
      <c r="G46" s="799" t="s">
        <v>72</v>
      </c>
      <c r="H46" s="36" t="s">
        <v>73</v>
      </c>
      <c r="I46" s="37">
        <v>1.1299999999999999</v>
      </c>
      <c r="J46" s="799" t="s">
        <v>130</v>
      </c>
      <c r="K46" s="36" t="s">
        <v>104</v>
      </c>
      <c r="L46" s="837" t="s">
        <v>142</v>
      </c>
      <c r="M46" s="837" t="s">
        <v>142</v>
      </c>
      <c r="N46" s="837" t="s">
        <v>142</v>
      </c>
      <c r="O46" s="837" t="s">
        <v>142</v>
      </c>
      <c r="P46" s="35" t="s">
        <v>143</v>
      </c>
      <c r="Q46" s="35" t="s">
        <v>143</v>
      </c>
      <c r="R46" s="38" t="s">
        <v>144</v>
      </c>
      <c r="S46" s="38" t="s">
        <v>145</v>
      </c>
      <c r="T46" s="833">
        <v>26000</v>
      </c>
      <c r="U46" s="833">
        <v>22500</v>
      </c>
      <c r="V46" s="833">
        <v>25500</v>
      </c>
      <c r="W46" s="820">
        <v>26500</v>
      </c>
      <c r="X46" s="838">
        <v>26000</v>
      </c>
      <c r="Y46" s="838">
        <v>28500</v>
      </c>
      <c r="Z46" s="838">
        <v>29500</v>
      </c>
      <c r="AA46" s="838">
        <v>30500</v>
      </c>
      <c r="AB46" s="123">
        <v>32000</v>
      </c>
      <c r="AC46" s="123">
        <v>31000</v>
      </c>
      <c r="AD46" s="123">
        <v>31000</v>
      </c>
      <c r="AE46" s="36" t="s">
        <v>80</v>
      </c>
      <c r="AF46" s="138">
        <v>39800</v>
      </c>
      <c r="AG46" s="82">
        <v>0.77889447236180909</v>
      </c>
      <c r="AH46" s="734" t="s">
        <v>97</v>
      </c>
      <c r="AI46" s="84" t="s">
        <v>81</v>
      </c>
      <c r="AJ46" s="84" t="s">
        <v>81</v>
      </c>
      <c r="AK46" s="749">
        <v>3580</v>
      </c>
      <c r="AL46" s="832">
        <f t="shared" si="0"/>
        <v>35030</v>
      </c>
      <c r="AM46" s="121">
        <v>4</v>
      </c>
    </row>
    <row r="47" spans="1:39" x14ac:dyDescent="0.3">
      <c r="A47" s="33">
        <v>23</v>
      </c>
      <c r="B47" s="33">
        <v>17</v>
      </c>
      <c r="C47" s="113" t="s">
        <v>127</v>
      </c>
      <c r="D47" s="114" t="s">
        <v>197</v>
      </c>
      <c r="E47" s="70" t="s">
        <v>198</v>
      </c>
      <c r="F47" s="800">
        <v>351</v>
      </c>
      <c r="G47" s="800" t="s">
        <v>72</v>
      </c>
      <c r="H47" s="71" t="s">
        <v>73</v>
      </c>
      <c r="I47" s="72">
        <v>2.81</v>
      </c>
      <c r="J47" s="800" t="s">
        <v>140</v>
      </c>
      <c r="K47" s="71" t="s">
        <v>104</v>
      </c>
      <c r="L47" s="835" t="s">
        <v>142</v>
      </c>
      <c r="M47" s="835" t="s">
        <v>142</v>
      </c>
      <c r="N47" s="835" t="s">
        <v>142</v>
      </c>
      <c r="O47" s="835" t="s">
        <v>142</v>
      </c>
      <c r="P47" s="51" t="s">
        <v>143</v>
      </c>
      <c r="Q47" s="51" t="s">
        <v>143</v>
      </c>
      <c r="R47" s="73" t="s">
        <v>144</v>
      </c>
      <c r="S47" s="73" t="s">
        <v>145</v>
      </c>
      <c r="T47" s="825">
        <v>20500</v>
      </c>
      <c r="U47" s="825">
        <v>19400</v>
      </c>
      <c r="V47" s="825">
        <v>20200</v>
      </c>
      <c r="W47" s="822">
        <v>21000</v>
      </c>
      <c r="X47" s="760">
        <v>22500</v>
      </c>
      <c r="Y47" s="760">
        <v>23000</v>
      </c>
      <c r="Z47" s="760">
        <v>24500</v>
      </c>
      <c r="AA47" s="760">
        <v>23500</v>
      </c>
      <c r="AB47" s="129">
        <v>23500</v>
      </c>
      <c r="AC47" s="115">
        <v>22500</v>
      </c>
      <c r="AD47" s="115">
        <v>24500</v>
      </c>
      <c r="AE47" s="140" t="s">
        <v>80</v>
      </c>
      <c r="AF47" s="78">
        <v>39800</v>
      </c>
      <c r="AG47" s="79">
        <v>0.61557788944723613</v>
      </c>
      <c r="AH47" s="733" t="s">
        <v>97</v>
      </c>
      <c r="AI47" s="748">
        <v>2040</v>
      </c>
      <c r="AJ47" s="748">
        <v>2330</v>
      </c>
      <c r="AK47" s="748">
        <v>3580</v>
      </c>
      <c r="AL47" s="832">
        <f t="shared" si="0"/>
        <v>68845</v>
      </c>
      <c r="AM47" s="122">
        <v>4</v>
      </c>
    </row>
    <row r="48" spans="1:39" ht="15" thickBot="1" x14ac:dyDescent="0.35">
      <c r="A48" s="88">
        <v>22</v>
      </c>
      <c r="B48" s="88">
        <v>16</v>
      </c>
      <c r="C48" s="89" t="s">
        <v>127</v>
      </c>
      <c r="D48" s="90" t="s">
        <v>199</v>
      </c>
      <c r="E48" s="91" t="s">
        <v>200</v>
      </c>
      <c r="F48" s="801">
        <v>536</v>
      </c>
      <c r="G48" s="801" t="s">
        <v>72</v>
      </c>
      <c r="H48" s="92" t="s">
        <v>73</v>
      </c>
      <c r="I48" s="93">
        <v>1.53</v>
      </c>
      <c r="J48" s="801">
        <v>60</v>
      </c>
      <c r="K48" s="92" t="s">
        <v>104</v>
      </c>
      <c r="L48" s="841" t="s">
        <v>163</v>
      </c>
      <c r="M48" s="841" t="s">
        <v>163</v>
      </c>
      <c r="N48" s="841" t="s">
        <v>163</v>
      </c>
      <c r="O48" s="841" t="s">
        <v>163</v>
      </c>
      <c r="P48" s="841" t="s">
        <v>163</v>
      </c>
      <c r="Q48" s="841" t="s">
        <v>163</v>
      </c>
      <c r="R48" s="94" t="s">
        <v>144</v>
      </c>
      <c r="S48" s="94" t="s">
        <v>145</v>
      </c>
      <c r="T48" s="827">
        <v>15100</v>
      </c>
      <c r="U48" s="827">
        <v>13400</v>
      </c>
      <c r="V48" s="827">
        <v>14300</v>
      </c>
      <c r="W48" s="828">
        <v>14200</v>
      </c>
      <c r="X48" s="842">
        <v>14800</v>
      </c>
      <c r="Y48" s="842">
        <v>16000</v>
      </c>
      <c r="Z48" s="842">
        <v>16800</v>
      </c>
      <c r="AA48" s="842">
        <v>17200</v>
      </c>
      <c r="AB48" s="146">
        <v>18200</v>
      </c>
      <c r="AC48" s="146">
        <v>17600</v>
      </c>
      <c r="AD48" s="146">
        <v>17600</v>
      </c>
      <c r="AE48" s="92" t="s">
        <v>80</v>
      </c>
      <c r="AF48" s="98">
        <v>66200</v>
      </c>
      <c r="AG48" s="147">
        <v>0.26586102719033233</v>
      </c>
      <c r="AH48" s="736" t="s">
        <v>1524</v>
      </c>
      <c r="AI48" s="101" t="s">
        <v>81</v>
      </c>
      <c r="AJ48" s="101" t="s">
        <v>81</v>
      </c>
      <c r="AK48" s="752">
        <v>5960</v>
      </c>
      <c r="AL48" s="829">
        <f t="shared" si="0"/>
        <v>26928</v>
      </c>
      <c r="AM48" s="127">
        <v>4</v>
      </c>
    </row>
    <row r="49" spans="1:39" x14ac:dyDescent="0.3">
      <c r="A49" s="103">
        <v>79</v>
      </c>
      <c r="B49" s="103">
        <v>3027</v>
      </c>
      <c r="C49" s="148" t="s">
        <v>201</v>
      </c>
      <c r="D49" s="105" t="s">
        <v>202</v>
      </c>
      <c r="E49" s="105" t="s">
        <v>203</v>
      </c>
      <c r="F49" s="802" t="s">
        <v>204</v>
      </c>
      <c r="G49" s="802" t="s">
        <v>72</v>
      </c>
      <c r="H49" s="106" t="s">
        <v>73</v>
      </c>
      <c r="I49" s="149">
        <v>0.52</v>
      </c>
      <c r="J49" s="802" t="s">
        <v>205</v>
      </c>
      <c r="K49" s="106" t="s">
        <v>104</v>
      </c>
      <c r="L49" s="843" t="s">
        <v>135</v>
      </c>
      <c r="M49" s="830" t="s">
        <v>135</v>
      </c>
      <c r="N49" s="830" t="s">
        <v>135</v>
      </c>
      <c r="O49" s="830" t="s">
        <v>135</v>
      </c>
      <c r="P49" s="105" t="s">
        <v>143</v>
      </c>
      <c r="Q49" s="105" t="s">
        <v>143</v>
      </c>
      <c r="R49" s="108" t="s">
        <v>132</v>
      </c>
      <c r="S49" s="108" t="s">
        <v>145</v>
      </c>
      <c r="T49" s="833">
        <v>19800</v>
      </c>
      <c r="U49" s="833">
        <v>19300</v>
      </c>
      <c r="V49" s="833">
        <v>22000</v>
      </c>
      <c r="W49" s="831">
        <f>W50</f>
        <v>22500</v>
      </c>
      <c r="X49" s="844">
        <f>X50</f>
        <v>26500</v>
      </c>
      <c r="Y49" s="844">
        <v>27500</v>
      </c>
      <c r="Z49" s="844">
        <v>29500</v>
      </c>
      <c r="AA49" s="844">
        <v>31000</v>
      </c>
      <c r="AB49" s="151">
        <v>33000</v>
      </c>
      <c r="AC49" s="151">
        <v>32000</v>
      </c>
      <c r="AD49" s="151">
        <v>32000</v>
      </c>
      <c r="AE49" s="106" t="s">
        <v>80</v>
      </c>
      <c r="AF49" s="138">
        <v>39800</v>
      </c>
      <c r="AG49" s="82">
        <v>0.8040201005025126</v>
      </c>
      <c r="AH49" s="734" t="s">
        <v>97</v>
      </c>
      <c r="AI49" s="111" t="s">
        <v>81</v>
      </c>
      <c r="AJ49" s="111" t="s">
        <v>81</v>
      </c>
      <c r="AK49" s="751">
        <v>3580</v>
      </c>
      <c r="AL49" s="832">
        <f t="shared" si="0"/>
        <v>16640</v>
      </c>
      <c r="AM49" s="112">
        <v>4</v>
      </c>
    </row>
    <row r="50" spans="1:39" x14ac:dyDescent="0.3">
      <c r="A50" s="33">
        <v>78</v>
      </c>
      <c r="B50" s="33">
        <v>3026</v>
      </c>
      <c r="C50" s="152" t="s">
        <v>201</v>
      </c>
      <c r="D50" s="51" t="s">
        <v>202</v>
      </c>
      <c r="E50" s="51" t="s">
        <v>206</v>
      </c>
      <c r="F50" s="800" t="s">
        <v>204</v>
      </c>
      <c r="G50" s="800" t="s">
        <v>72</v>
      </c>
      <c r="H50" s="52" t="s">
        <v>73</v>
      </c>
      <c r="I50" s="53">
        <v>0.76</v>
      </c>
      <c r="J50" s="800" t="s">
        <v>205</v>
      </c>
      <c r="K50" s="52" t="s">
        <v>104</v>
      </c>
      <c r="L50" s="835" t="s">
        <v>142</v>
      </c>
      <c r="M50" s="835" t="s">
        <v>142</v>
      </c>
      <c r="N50" s="835" t="s">
        <v>142</v>
      </c>
      <c r="O50" s="835" t="s">
        <v>142</v>
      </c>
      <c r="P50" s="51" t="s">
        <v>143</v>
      </c>
      <c r="Q50" s="51" t="s">
        <v>143</v>
      </c>
      <c r="R50" s="55" t="s">
        <v>144</v>
      </c>
      <c r="S50" s="73" t="s">
        <v>145</v>
      </c>
      <c r="T50" s="825">
        <v>19800</v>
      </c>
      <c r="U50" s="825">
        <v>19300</v>
      </c>
      <c r="V50" s="825">
        <v>22000</v>
      </c>
      <c r="W50" s="822">
        <v>22500</v>
      </c>
      <c r="X50" s="760">
        <v>26500</v>
      </c>
      <c r="Y50" s="760">
        <v>27500</v>
      </c>
      <c r="Z50" s="760">
        <v>29500</v>
      </c>
      <c r="AA50" s="760">
        <v>31000</v>
      </c>
      <c r="AB50" s="129">
        <v>33000</v>
      </c>
      <c r="AC50" s="115">
        <f>AC49</f>
        <v>32000</v>
      </c>
      <c r="AD50" s="115">
        <f>AD49</f>
        <v>32000</v>
      </c>
      <c r="AE50" s="80" t="s">
        <v>80</v>
      </c>
      <c r="AF50" s="78">
        <v>39800</v>
      </c>
      <c r="AG50" s="79">
        <v>0.8040201005025126</v>
      </c>
      <c r="AH50" s="733" t="s">
        <v>97</v>
      </c>
      <c r="AI50" s="87" t="s">
        <v>81</v>
      </c>
      <c r="AJ50" s="87" t="s">
        <v>81</v>
      </c>
      <c r="AK50" s="748">
        <v>3580</v>
      </c>
      <c r="AL50" s="832">
        <f t="shared" si="0"/>
        <v>24320</v>
      </c>
      <c r="AM50" s="63">
        <v>4</v>
      </c>
    </row>
    <row r="51" spans="1:39" x14ac:dyDescent="0.3">
      <c r="A51" s="33">
        <v>78</v>
      </c>
      <c r="B51" s="33">
        <v>3026</v>
      </c>
      <c r="C51" s="153" t="s">
        <v>201</v>
      </c>
      <c r="D51" s="35" t="s">
        <v>202</v>
      </c>
      <c r="E51" s="35" t="s">
        <v>207</v>
      </c>
      <c r="F51" s="799">
        <v>101</v>
      </c>
      <c r="G51" s="799" t="s">
        <v>72</v>
      </c>
      <c r="H51" s="65" t="s">
        <v>73</v>
      </c>
      <c r="I51" s="154">
        <v>0.72</v>
      </c>
      <c r="J51" s="799" t="s">
        <v>205</v>
      </c>
      <c r="K51" s="65" t="s">
        <v>104</v>
      </c>
      <c r="L51" s="835" t="s">
        <v>142</v>
      </c>
      <c r="M51" s="837" t="s">
        <v>142</v>
      </c>
      <c r="N51" s="837" t="s">
        <v>142</v>
      </c>
      <c r="O51" s="837" t="s">
        <v>142</v>
      </c>
      <c r="P51" s="35" t="s">
        <v>143</v>
      </c>
      <c r="Q51" s="35" t="s">
        <v>143</v>
      </c>
      <c r="R51" s="39" t="s">
        <v>144</v>
      </c>
      <c r="S51" s="38" t="s">
        <v>145</v>
      </c>
      <c r="T51" s="833">
        <v>19800</v>
      </c>
      <c r="U51" s="833">
        <v>19300</v>
      </c>
      <c r="V51" s="833">
        <v>23000</v>
      </c>
      <c r="W51" s="820">
        <v>24000</v>
      </c>
      <c r="X51" s="838">
        <v>23000</v>
      </c>
      <c r="Y51" s="838">
        <v>28500</v>
      </c>
      <c r="Z51" s="838">
        <v>28000</v>
      </c>
      <c r="AA51" s="838">
        <v>30000</v>
      </c>
      <c r="AB51" s="123">
        <v>30000</v>
      </c>
      <c r="AC51" s="123">
        <v>29000</v>
      </c>
      <c r="AD51" s="120">
        <v>31500</v>
      </c>
      <c r="AE51" s="65" t="s">
        <v>80</v>
      </c>
      <c r="AF51" s="138">
        <v>39800</v>
      </c>
      <c r="AG51" s="82">
        <v>0.79145728643216084</v>
      </c>
      <c r="AH51" s="734" t="s">
        <v>97</v>
      </c>
      <c r="AI51" s="749">
        <v>2280</v>
      </c>
      <c r="AJ51" s="749">
        <v>2920</v>
      </c>
      <c r="AK51" s="749">
        <v>3580</v>
      </c>
      <c r="AL51" s="832">
        <f t="shared" si="0"/>
        <v>22680</v>
      </c>
      <c r="AM51" s="49">
        <v>4</v>
      </c>
    </row>
    <row r="52" spans="1:39" x14ac:dyDescent="0.3">
      <c r="A52" s="33">
        <v>77</v>
      </c>
      <c r="B52" s="33">
        <v>95</v>
      </c>
      <c r="C52" s="152" t="s">
        <v>201</v>
      </c>
      <c r="D52" s="114" t="s">
        <v>208</v>
      </c>
      <c r="E52" s="70" t="s">
        <v>209</v>
      </c>
      <c r="F52" s="800">
        <v>479.1</v>
      </c>
      <c r="G52" s="800" t="s">
        <v>72</v>
      </c>
      <c r="H52" s="71" t="s">
        <v>73</v>
      </c>
      <c r="I52" s="72">
        <v>1.05</v>
      </c>
      <c r="J52" s="800" t="s">
        <v>205</v>
      </c>
      <c r="K52" s="71" t="s">
        <v>104</v>
      </c>
      <c r="L52" s="835" t="s">
        <v>142</v>
      </c>
      <c r="M52" s="835" t="s">
        <v>142</v>
      </c>
      <c r="N52" s="835" t="s">
        <v>142</v>
      </c>
      <c r="O52" s="835" t="s">
        <v>142</v>
      </c>
      <c r="P52" s="51" t="s">
        <v>143</v>
      </c>
      <c r="Q52" s="51" t="s">
        <v>143</v>
      </c>
      <c r="R52" s="73" t="s">
        <v>144</v>
      </c>
      <c r="S52" s="73" t="s">
        <v>145</v>
      </c>
      <c r="T52" s="825">
        <v>21000</v>
      </c>
      <c r="U52" s="825">
        <v>21500</v>
      </c>
      <c r="V52" s="825">
        <v>21500</v>
      </c>
      <c r="W52" s="822">
        <v>21000</v>
      </c>
      <c r="X52" s="760">
        <v>22500</v>
      </c>
      <c r="Y52" s="760">
        <v>22000</v>
      </c>
      <c r="Z52" s="760">
        <v>24000</v>
      </c>
      <c r="AA52" s="760">
        <v>25000</v>
      </c>
      <c r="AB52" s="129">
        <v>24500</v>
      </c>
      <c r="AC52" s="115">
        <v>23500</v>
      </c>
      <c r="AD52" s="115">
        <v>23500</v>
      </c>
      <c r="AE52" s="80" t="s">
        <v>80</v>
      </c>
      <c r="AF52" s="78">
        <v>39800</v>
      </c>
      <c r="AG52" s="79">
        <v>0.59045226130653261</v>
      </c>
      <c r="AH52" s="733" t="s">
        <v>97</v>
      </c>
      <c r="AI52" s="87" t="s">
        <v>81</v>
      </c>
      <c r="AJ52" s="87" t="s">
        <v>81</v>
      </c>
      <c r="AK52" s="748">
        <v>3580</v>
      </c>
      <c r="AL52" s="832">
        <f t="shared" si="0"/>
        <v>24675</v>
      </c>
      <c r="AM52" s="122">
        <v>4</v>
      </c>
    </row>
    <row r="53" spans="1:39" x14ac:dyDescent="0.3">
      <c r="A53" s="33">
        <v>76</v>
      </c>
      <c r="B53" s="33">
        <v>94</v>
      </c>
      <c r="C53" s="153" t="s">
        <v>201</v>
      </c>
      <c r="D53" s="117" t="s">
        <v>208</v>
      </c>
      <c r="E53" s="64" t="s">
        <v>210</v>
      </c>
      <c r="F53" s="799">
        <v>7</v>
      </c>
      <c r="G53" s="799" t="s">
        <v>72</v>
      </c>
      <c r="H53" s="36" t="s">
        <v>73</v>
      </c>
      <c r="I53" s="37">
        <v>0.74</v>
      </c>
      <c r="J53" s="799" t="s">
        <v>158</v>
      </c>
      <c r="K53" s="36" t="s">
        <v>104</v>
      </c>
      <c r="L53" s="835" t="s">
        <v>142</v>
      </c>
      <c r="M53" s="837" t="s">
        <v>142</v>
      </c>
      <c r="N53" s="837" t="s">
        <v>142</v>
      </c>
      <c r="O53" s="837" t="s">
        <v>142</v>
      </c>
      <c r="P53" s="35" t="s">
        <v>143</v>
      </c>
      <c r="Q53" s="35" t="s">
        <v>143</v>
      </c>
      <c r="R53" s="38" t="s">
        <v>144</v>
      </c>
      <c r="S53" s="38" t="s">
        <v>145</v>
      </c>
      <c r="T53" s="833">
        <v>21000</v>
      </c>
      <c r="U53" s="833">
        <v>21500</v>
      </c>
      <c r="V53" s="833">
        <v>21500</v>
      </c>
      <c r="W53" s="820">
        <v>21500</v>
      </c>
      <c r="X53" s="838">
        <v>24000</v>
      </c>
      <c r="Y53" s="838">
        <v>24500</v>
      </c>
      <c r="Z53" s="838">
        <v>25500</v>
      </c>
      <c r="AA53" s="838">
        <v>25500</v>
      </c>
      <c r="AB53" s="123">
        <v>25500</v>
      </c>
      <c r="AC53" s="123">
        <v>24500</v>
      </c>
      <c r="AD53" s="123">
        <v>25500</v>
      </c>
      <c r="AE53" s="65" t="s">
        <v>80</v>
      </c>
      <c r="AF53" s="138">
        <v>39800</v>
      </c>
      <c r="AG53" s="82">
        <v>0.64070351758793975</v>
      </c>
      <c r="AH53" s="734" t="s">
        <v>97</v>
      </c>
      <c r="AI53" s="749">
        <v>1790</v>
      </c>
      <c r="AJ53" s="749">
        <v>2410</v>
      </c>
      <c r="AK53" s="749">
        <v>3580</v>
      </c>
      <c r="AL53" s="832">
        <f t="shared" si="0"/>
        <v>18870</v>
      </c>
      <c r="AM53" s="121">
        <v>4</v>
      </c>
    </row>
    <row r="54" spans="1:39" x14ac:dyDescent="0.3">
      <c r="A54" s="33">
        <v>75</v>
      </c>
      <c r="B54" s="33">
        <v>93</v>
      </c>
      <c r="C54" s="152" t="s">
        <v>201</v>
      </c>
      <c r="D54" s="114" t="s">
        <v>211</v>
      </c>
      <c r="E54" s="70" t="s">
        <v>212</v>
      </c>
      <c r="F54" s="800">
        <v>8</v>
      </c>
      <c r="G54" s="800" t="s">
        <v>72</v>
      </c>
      <c r="H54" s="71" t="s">
        <v>73</v>
      </c>
      <c r="I54" s="72">
        <v>0.92</v>
      </c>
      <c r="J54" s="800" t="s">
        <v>140</v>
      </c>
      <c r="K54" s="71" t="s">
        <v>104</v>
      </c>
      <c r="L54" s="835" t="s">
        <v>142</v>
      </c>
      <c r="M54" s="835" t="s">
        <v>142</v>
      </c>
      <c r="N54" s="835" t="s">
        <v>142</v>
      </c>
      <c r="O54" s="835" t="s">
        <v>142</v>
      </c>
      <c r="P54" s="51" t="s">
        <v>143</v>
      </c>
      <c r="Q54" s="51" t="s">
        <v>143</v>
      </c>
      <c r="R54" s="73" t="s">
        <v>144</v>
      </c>
      <c r="S54" s="73" t="s">
        <v>145</v>
      </c>
      <c r="T54" s="825">
        <v>27500</v>
      </c>
      <c r="U54" s="825">
        <v>26000</v>
      </c>
      <c r="V54" s="825">
        <v>22000</v>
      </c>
      <c r="W54" s="822">
        <v>23000</v>
      </c>
      <c r="X54" s="760">
        <v>24500</v>
      </c>
      <c r="Y54" s="760">
        <v>25500</v>
      </c>
      <c r="Z54" s="760">
        <v>25000</v>
      </c>
      <c r="AA54" s="760">
        <v>25000</v>
      </c>
      <c r="AB54" s="129">
        <v>25000</v>
      </c>
      <c r="AC54" s="115">
        <v>24000</v>
      </c>
      <c r="AD54" s="115">
        <v>24000</v>
      </c>
      <c r="AE54" s="80" t="s">
        <v>80</v>
      </c>
      <c r="AF54" s="78">
        <v>39800</v>
      </c>
      <c r="AG54" s="79">
        <v>0.60301507537688437</v>
      </c>
      <c r="AH54" s="733" t="s">
        <v>97</v>
      </c>
      <c r="AI54" s="87" t="s">
        <v>81</v>
      </c>
      <c r="AJ54" s="87" t="s">
        <v>81</v>
      </c>
      <c r="AK54" s="748">
        <v>3580</v>
      </c>
      <c r="AL54" s="832">
        <f t="shared" si="0"/>
        <v>22080</v>
      </c>
      <c r="AM54" s="122">
        <v>4</v>
      </c>
    </row>
    <row r="55" spans="1:39" x14ac:dyDescent="0.3">
      <c r="A55" s="33">
        <v>75</v>
      </c>
      <c r="B55" s="33">
        <v>93</v>
      </c>
      <c r="C55" s="153" t="s">
        <v>201</v>
      </c>
      <c r="D55" s="117" t="s">
        <v>211</v>
      </c>
      <c r="E55" s="64" t="s">
        <v>213</v>
      </c>
      <c r="F55" s="799">
        <v>509</v>
      </c>
      <c r="G55" s="799" t="s">
        <v>72</v>
      </c>
      <c r="H55" s="36" t="s">
        <v>73</v>
      </c>
      <c r="I55" s="37">
        <v>0.61</v>
      </c>
      <c r="J55" s="799" t="s">
        <v>140</v>
      </c>
      <c r="K55" s="36" t="s">
        <v>104</v>
      </c>
      <c r="L55" s="835" t="s">
        <v>142</v>
      </c>
      <c r="M55" s="837" t="s">
        <v>142</v>
      </c>
      <c r="N55" s="837" t="s">
        <v>142</v>
      </c>
      <c r="O55" s="837" t="s">
        <v>142</v>
      </c>
      <c r="P55" s="35" t="s">
        <v>143</v>
      </c>
      <c r="Q55" s="35" t="s">
        <v>143</v>
      </c>
      <c r="R55" s="38" t="s">
        <v>144</v>
      </c>
      <c r="S55" s="38" t="s">
        <v>145</v>
      </c>
      <c r="T55" s="833">
        <v>27500</v>
      </c>
      <c r="U55" s="833">
        <v>26000</v>
      </c>
      <c r="V55" s="833">
        <v>26000</v>
      </c>
      <c r="W55" s="820">
        <v>25500</v>
      </c>
      <c r="X55" s="838">
        <v>27500</v>
      </c>
      <c r="Y55" s="838">
        <v>30500</v>
      </c>
      <c r="Z55" s="838">
        <v>29500</v>
      </c>
      <c r="AA55" s="838">
        <v>32000</v>
      </c>
      <c r="AB55" s="123">
        <v>31500</v>
      </c>
      <c r="AC55" s="123">
        <v>30500</v>
      </c>
      <c r="AD55" s="123">
        <v>30500</v>
      </c>
      <c r="AE55" s="65" t="s">
        <v>80</v>
      </c>
      <c r="AF55" s="138">
        <v>39800</v>
      </c>
      <c r="AG55" s="82">
        <v>0.76633165829145733</v>
      </c>
      <c r="AH55" s="734" t="s">
        <v>97</v>
      </c>
      <c r="AI55" s="84" t="s">
        <v>81</v>
      </c>
      <c r="AJ55" s="84" t="s">
        <v>81</v>
      </c>
      <c r="AK55" s="749">
        <v>3580</v>
      </c>
      <c r="AL55" s="832">
        <f t="shared" si="0"/>
        <v>18605</v>
      </c>
      <c r="AM55" s="121">
        <v>4</v>
      </c>
    </row>
    <row r="56" spans="1:39" x14ac:dyDescent="0.3">
      <c r="A56" s="33">
        <v>75</v>
      </c>
      <c r="B56" s="33">
        <v>93</v>
      </c>
      <c r="C56" s="152" t="s">
        <v>201</v>
      </c>
      <c r="D56" s="114" t="s">
        <v>211</v>
      </c>
      <c r="E56" s="70" t="s">
        <v>214</v>
      </c>
      <c r="F56" s="800">
        <v>539</v>
      </c>
      <c r="G56" s="800" t="s">
        <v>72</v>
      </c>
      <c r="H56" s="71" t="s">
        <v>73</v>
      </c>
      <c r="I56" s="72">
        <v>0.8</v>
      </c>
      <c r="J56" s="800" t="s">
        <v>140</v>
      </c>
      <c r="K56" s="71" t="s">
        <v>104</v>
      </c>
      <c r="L56" s="835" t="s">
        <v>142</v>
      </c>
      <c r="M56" s="835" t="s">
        <v>142</v>
      </c>
      <c r="N56" s="835" t="s">
        <v>142</v>
      </c>
      <c r="O56" s="835" t="s">
        <v>142</v>
      </c>
      <c r="P56" s="51" t="s">
        <v>143</v>
      </c>
      <c r="Q56" s="51" t="s">
        <v>143</v>
      </c>
      <c r="R56" s="73" t="s">
        <v>144</v>
      </c>
      <c r="S56" s="73" t="s">
        <v>145</v>
      </c>
      <c r="T56" s="825">
        <v>27500</v>
      </c>
      <c r="U56" s="825">
        <v>26000</v>
      </c>
      <c r="V56" s="825">
        <v>17600</v>
      </c>
      <c r="W56" s="822">
        <v>18600</v>
      </c>
      <c r="X56" s="760">
        <v>19400</v>
      </c>
      <c r="Y56" s="760">
        <v>21000</v>
      </c>
      <c r="Z56" s="760">
        <v>22000</v>
      </c>
      <c r="AA56" s="760">
        <v>23000</v>
      </c>
      <c r="AB56" s="129">
        <v>24000</v>
      </c>
      <c r="AC56" s="115">
        <v>23000</v>
      </c>
      <c r="AD56" s="115">
        <v>23000</v>
      </c>
      <c r="AE56" s="80" t="s">
        <v>80</v>
      </c>
      <c r="AF56" s="78">
        <v>39800</v>
      </c>
      <c r="AG56" s="79">
        <v>0.57788944723618085</v>
      </c>
      <c r="AH56" s="733" t="s">
        <v>97</v>
      </c>
      <c r="AI56" s="87" t="s">
        <v>81</v>
      </c>
      <c r="AJ56" s="87" t="s">
        <v>81</v>
      </c>
      <c r="AK56" s="748">
        <v>3580</v>
      </c>
      <c r="AL56" s="832">
        <f t="shared" si="0"/>
        <v>18400</v>
      </c>
      <c r="AM56" s="122">
        <v>4</v>
      </c>
    </row>
    <row r="57" spans="1:39" x14ac:dyDescent="0.3">
      <c r="A57" s="33">
        <v>74</v>
      </c>
      <c r="B57" s="33">
        <v>92</v>
      </c>
      <c r="C57" s="155" t="s">
        <v>201</v>
      </c>
      <c r="D57" s="117" t="s">
        <v>215</v>
      </c>
      <c r="E57" s="64" t="s">
        <v>216</v>
      </c>
      <c r="F57" s="799">
        <v>444</v>
      </c>
      <c r="G57" s="799" t="s">
        <v>72</v>
      </c>
      <c r="H57" s="36" t="s">
        <v>73</v>
      </c>
      <c r="I57" s="37">
        <v>0.75</v>
      </c>
      <c r="J57" s="799" t="s">
        <v>140</v>
      </c>
      <c r="K57" s="36" t="s">
        <v>104</v>
      </c>
      <c r="L57" s="835" t="s">
        <v>142</v>
      </c>
      <c r="M57" s="839" t="s">
        <v>170</v>
      </c>
      <c r="N57" s="837" t="s">
        <v>170</v>
      </c>
      <c r="O57" s="837" t="s">
        <v>170</v>
      </c>
      <c r="P57" s="35" t="s">
        <v>143</v>
      </c>
      <c r="Q57" s="35" t="s">
        <v>143</v>
      </c>
      <c r="R57" s="38" t="s">
        <v>144</v>
      </c>
      <c r="S57" s="38" t="s">
        <v>145</v>
      </c>
      <c r="T57" s="156">
        <v>32500</v>
      </c>
      <c r="U57" s="66">
        <v>29500</v>
      </c>
      <c r="V57" s="833">
        <v>30500</v>
      </c>
      <c r="W57" s="820">
        <v>29000</v>
      </c>
      <c r="X57" s="838">
        <v>32000</v>
      </c>
      <c r="Y57" s="838">
        <v>31500</v>
      </c>
      <c r="Z57" s="838">
        <v>31000</v>
      </c>
      <c r="AA57" s="838">
        <v>33000</v>
      </c>
      <c r="AB57" s="123">
        <v>32000</v>
      </c>
      <c r="AC57" s="123">
        <v>31000</v>
      </c>
      <c r="AD57" s="123">
        <v>31000</v>
      </c>
      <c r="AE57" s="65" t="s">
        <v>80</v>
      </c>
      <c r="AF57" s="138">
        <v>39800</v>
      </c>
      <c r="AG57" s="82">
        <v>0.77889447236180909</v>
      </c>
      <c r="AH57" s="734" t="s">
        <v>97</v>
      </c>
      <c r="AI57" s="84" t="s">
        <v>81</v>
      </c>
      <c r="AJ57" s="84" t="s">
        <v>81</v>
      </c>
      <c r="AK57" s="749">
        <v>3580</v>
      </c>
      <c r="AL57" s="832">
        <f t="shared" si="0"/>
        <v>23250</v>
      </c>
      <c r="AM57" s="121">
        <v>4</v>
      </c>
    </row>
    <row r="58" spans="1:39" x14ac:dyDescent="0.3">
      <c r="A58" s="33">
        <v>73</v>
      </c>
      <c r="B58" s="33">
        <v>91</v>
      </c>
      <c r="C58" s="157" t="s">
        <v>201</v>
      </c>
      <c r="D58" s="114" t="s">
        <v>217</v>
      </c>
      <c r="E58" s="70" t="s">
        <v>218</v>
      </c>
      <c r="F58" s="809">
        <v>444</v>
      </c>
      <c r="G58" s="800" t="s">
        <v>72</v>
      </c>
      <c r="H58" s="71" t="s">
        <v>73</v>
      </c>
      <c r="I58" s="72">
        <v>1.01</v>
      </c>
      <c r="J58" s="800" t="s">
        <v>158</v>
      </c>
      <c r="K58" s="71" t="s">
        <v>104</v>
      </c>
      <c r="L58" s="835" t="s">
        <v>142</v>
      </c>
      <c r="M58" s="839" t="s">
        <v>170</v>
      </c>
      <c r="N58" s="835" t="s">
        <v>170</v>
      </c>
      <c r="O58" s="835" t="s">
        <v>170</v>
      </c>
      <c r="P58" s="51" t="s">
        <v>143</v>
      </c>
      <c r="Q58" s="51" t="s">
        <v>143</v>
      </c>
      <c r="R58" s="73" t="s">
        <v>144</v>
      </c>
      <c r="S58" s="73" t="s">
        <v>145</v>
      </c>
      <c r="T58" s="57">
        <v>29000</v>
      </c>
      <c r="U58" s="57">
        <v>26500</v>
      </c>
      <c r="V58" s="825">
        <v>29000</v>
      </c>
      <c r="W58" s="822">
        <v>27500</v>
      </c>
      <c r="X58" s="760">
        <v>28500</v>
      </c>
      <c r="Y58" s="760">
        <v>31000</v>
      </c>
      <c r="Z58" s="760">
        <v>32000</v>
      </c>
      <c r="AA58" s="760">
        <v>32000</v>
      </c>
      <c r="AB58" s="129">
        <v>32000</v>
      </c>
      <c r="AC58" s="115">
        <v>31000</v>
      </c>
      <c r="AD58" s="115">
        <v>31000</v>
      </c>
      <c r="AE58" s="80" t="s">
        <v>80</v>
      </c>
      <c r="AF58" s="78">
        <v>39800</v>
      </c>
      <c r="AG58" s="79">
        <v>0.77889447236180909</v>
      </c>
      <c r="AH58" s="733" t="s">
        <v>97</v>
      </c>
      <c r="AI58" s="87" t="s">
        <v>81</v>
      </c>
      <c r="AJ58" s="87" t="s">
        <v>81</v>
      </c>
      <c r="AK58" s="748">
        <v>3580</v>
      </c>
      <c r="AL58" s="832">
        <f t="shared" si="0"/>
        <v>31310</v>
      </c>
      <c r="AM58" s="122">
        <v>4</v>
      </c>
    </row>
    <row r="59" spans="1:39" x14ac:dyDescent="0.3">
      <c r="A59" s="33">
        <v>72</v>
      </c>
      <c r="B59" s="33">
        <v>90</v>
      </c>
      <c r="C59" s="155" t="s">
        <v>201</v>
      </c>
      <c r="D59" s="117" t="s">
        <v>219</v>
      </c>
      <c r="E59" s="64" t="s">
        <v>220</v>
      </c>
      <c r="F59" s="814">
        <v>445</v>
      </c>
      <c r="G59" s="799" t="s">
        <v>72</v>
      </c>
      <c r="H59" s="36" t="s">
        <v>73</v>
      </c>
      <c r="I59" s="37">
        <v>1</v>
      </c>
      <c r="J59" s="799" t="s">
        <v>140</v>
      </c>
      <c r="K59" s="36" t="s">
        <v>104</v>
      </c>
      <c r="L59" s="835" t="s">
        <v>142</v>
      </c>
      <c r="M59" s="839" t="s">
        <v>170</v>
      </c>
      <c r="N59" s="837" t="s">
        <v>170</v>
      </c>
      <c r="O59" s="837" t="s">
        <v>170</v>
      </c>
      <c r="P59" s="35" t="s">
        <v>143</v>
      </c>
      <c r="Q59" s="35" t="s">
        <v>143</v>
      </c>
      <c r="R59" s="38" t="s">
        <v>144</v>
      </c>
      <c r="S59" s="38" t="s">
        <v>145</v>
      </c>
      <c r="T59" s="66">
        <v>29000</v>
      </c>
      <c r="U59" s="66">
        <v>27500</v>
      </c>
      <c r="V59" s="833">
        <v>26500</v>
      </c>
      <c r="W59" s="820">
        <v>27500</v>
      </c>
      <c r="X59" s="838">
        <v>28500</v>
      </c>
      <c r="Y59" s="838">
        <v>29500</v>
      </c>
      <c r="Z59" s="838">
        <v>29500</v>
      </c>
      <c r="AA59" s="838">
        <v>30500</v>
      </c>
      <c r="AB59" s="123">
        <v>31000</v>
      </c>
      <c r="AC59" s="123">
        <v>30000</v>
      </c>
      <c r="AD59" s="120">
        <v>33500</v>
      </c>
      <c r="AE59" s="65" t="s">
        <v>80</v>
      </c>
      <c r="AF59" s="138">
        <v>39800</v>
      </c>
      <c r="AG59" s="82">
        <v>0.84170854271356788</v>
      </c>
      <c r="AH59" s="734" t="s">
        <v>97</v>
      </c>
      <c r="AI59" s="84" t="s">
        <v>81</v>
      </c>
      <c r="AJ59" s="84" t="s">
        <v>81</v>
      </c>
      <c r="AK59" s="749">
        <v>3580</v>
      </c>
      <c r="AL59" s="832">
        <f t="shared" si="0"/>
        <v>33500</v>
      </c>
      <c r="AM59" s="121">
        <v>4</v>
      </c>
    </row>
    <row r="60" spans="1:39" x14ac:dyDescent="0.3">
      <c r="A60" s="33">
        <v>71</v>
      </c>
      <c r="B60" s="33">
        <v>89</v>
      </c>
      <c r="C60" s="157" t="s">
        <v>201</v>
      </c>
      <c r="D60" s="114" t="s">
        <v>221</v>
      </c>
      <c r="E60" s="70" t="s">
        <v>222</v>
      </c>
      <c r="F60" s="800">
        <v>445</v>
      </c>
      <c r="G60" s="800" t="s">
        <v>72</v>
      </c>
      <c r="H60" s="71" t="s">
        <v>73</v>
      </c>
      <c r="I60" s="72">
        <v>0.75</v>
      </c>
      <c r="J60" s="800" t="s">
        <v>130</v>
      </c>
      <c r="K60" s="71" t="s">
        <v>104</v>
      </c>
      <c r="L60" s="835" t="s">
        <v>142</v>
      </c>
      <c r="M60" s="839" t="s">
        <v>170</v>
      </c>
      <c r="N60" s="835" t="s">
        <v>170</v>
      </c>
      <c r="O60" s="835" t="s">
        <v>170</v>
      </c>
      <c r="P60" s="51" t="s">
        <v>143</v>
      </c>
      <c r="Q60" s="51" t="s">
        <v>143</v>
      </c>
      <c r="R60" s="73" t="s">
        <v>144</v>
      </c>
      <c r="S60" s="73" t="s">
        <v>145</v>
      </c>
      <c r="T60" s="57">
        <v>27000</v>
      </c>
      <c r="U60" s="57">
        <v>26000</v>
      </c>
      <c r="V60" s="825">
        <v>27000</v>
      </c>
      <c r="W60" s="822">
        <v>25000</v>
      </c>
      <c r="X60" s="760">
        <v>28000</v>
      </c>
      <c r="Y60" s="760">
        <v>29000</v>
      </c>
      <c r="Z60" s="760">
        <v>30000</v>
      </c>
      <c r="AA60" s="760">
        <v>30000</v>
      </c>
      <c r="AB60" s="129">
        <v>30000</v>
      </c>
      <c r="AC60" s="115">
        <v>29000</v>
      </c>
      <c r="AD60" s="115">
        <v>33500</v>
      </c>
      <c r="AE60" s="80" t="s">
        <v>80</v>
      </c>
      <c r="AF60" s="78">
        <v>39800</v>
      </c>
      <c r="AG60" s="79">
        <v>0.84170854271356788</v>
      </c>
      <c r="AH60" s="733" t="s">
        <v>97</v>
      </c>
      <c r="AI60" s="87" t="s">
        <v>81</v>
      </c>
      <c r="AJ60" s="87" t="s">
        <v>81</v>
      </c>
      <c r="AK60" s="748">
        <v>3580</v>
      </c>
      <c r="AL60" s="832">
        <f t="shared" si="0"/>
        <v>25125</v>
      </c>
      <c r="AM60" s="122">
        <v>4</v>
      </c>
    </row>
    <row r="61" spans="1:39" x14ac:dyDescent="0.3">
      <c r="A61" s="33">
        <v>70</v>
      </c>
      <c r="B61" s="33">
        <v>88</v>
      </c>
      <c r="C61" s="153" t="s">
        <v>201</v>
      </c>
      <c r="D61" s="117" t="s">
        <v>223</v>
      </c>
      <c r="E61" s="35" t="s">
        <v>224</v>
      </c>
      <c r="F61" s="799">
        <v>1004</v>
      </c>
      <c r="G61" s="799" t="s">
        <v>72</v>
      </c>
      <c r="H61" s="36" t="s">
        <v>73</v>
      </c>
      <c r="I61" s="37">
        <v>1.75</v>
      </c>
      <c r="J61" s="799" t="s">
        <v>140</v>
      </c>
      <c r="K61" s="36" t="s">
        <v>104</v>
      </c>
      <c r="L61" s="839" t="s">
        <v>225</v>
      </c>
      <c r="M61" s="837" t="s">
        <v>225</v>
      </c>
      <c r="N61" s="837" t="s">
        <v>225</v>
      </c>
      <c r="O61" s="837" t="s">
        <v>225</v>
      </c>
      <c r="P61" s="35" t="s">
        <v>226</v>
      </c>
      <c r="Q61" s="35" t="s">
        <v>226</v>
      </c>
      <c r="R61" s="38" t="s">
        <v>144</v>
      </c>
      <c r="S61" s="38" t="s">
        <v>145</v>
      </c>
      <c r="T61" s="833">
        <v>44000</v>
      </c>
      <c r="U61" s="833">
        <v>41000</v>
      </c>
      <c r="V61" s="833">
        <v>45000</v>
      </c>
      <c r="W61" s="820">
        <v>42000</v>
      </c>
      <c r="X61" s="838">
        <v>44000</v>
      </c>
      <c r="Y61" s="838">
        <v>47000</v>
      </c>
      <c r="Z61" s="838">
        <v>47500</v>
      </c>
      <c r="AA61" s="819">
        <v>55500</v>
      </c>
      <c r="AB61" s="142">
        <v>54500</v>
      </c>
      <c r="AC61" s="123">
        <v>52500</v>
      </c>
      <c r="AD61" s="123">
        <v>52500</v>
      </c>
      <c r="AE61" s="83" t="s">
        <v>80</v>
      </c>
      <c r="AF61" s="138">
        <v>59900</v>
      </c>
      <c r="AG61" s="82">
        <v>0.87646076794657768</v>
      </c>
      <c r="AH61" s="734" t="s">
        <v>97</v>
      </c>
      <c r="AI61" s="84" t="s">
        <v>81</v>
      </c>
      <c r="AJ61" s="84" t="s">
        <v>81</v>
      </c>
      <c r="AK61" s="749">
        <v>5390</v>
      </c>
      <c r="AL61" s="832">
        <f t="shared" si="0"/>
        <v>91875</v>
      </c>
      <c r="AM61" s="121">
        <v>6</v>
      </c>
    </row>
    <row r="62" spans="1:39" x14ac:dyDescent="0.3">
      <c r="A62" s="33">
        <v>69</v>
      </c>
      <c r="B62" s="33">
        <v>87</v>
      </c>
      <c r="C62" s="157" t="s">
        <v>201</v>
      </c>
      <c r="D62" s="114" t="s">
        <v>227</v>
      </c>
      <c r="E62" s="51" t="s">
        <v>228</v>
      </c>
      <c r="F62" s="800">
        <v>1006</v>
      </c>
      <c r="G62" s="800" t="s">
        <v>72</v>
      </c>
      <c r="H62" s="71" t="s">
        <v>73</v>
      </c>
      <c r="I62" s="72">
        <v>1.02</v>
      </c>
      <c r="J62" s="800" t="s">
        <v>158</v>
      </c>
      <c r="K62" s="71" t="s">
        <v>104</v>
      </c>
      <c r="L62" s="835" t="s">
        <v>142</v>
      </c>
      <c r="M62" s="835" t="s">
        <v>142</v>
      </c>
      <c r="N62" s="835" t="s">
        <v>142</v>
      </c>
      <c r="O62" s="835" t="s">
        <v>142</v>
      </c>
      <c r="P62" s="51" t="s">
        <v>143</v>
      </c>
      <c r="Q62" s="51" t="s">
        <v>143</v>
      </c>
      <c r="R62" s="73" t="s">
        <v>144</v>
      </c>
      <c r="S62" s="73" t="s">
        <v>145</v>
      </c>
      <c r="T62" s="825">
        <v>27500</v>
      </c>
      <c r="U62" s="825">
        <v>27000</v>
      </c>
      <c r="V62" s="825">
        <v>27000</v>
      </c>
      <c r="W62" s="822">
        <v>27500</v>
      </c>
      <c r="X62" s="760">
        <v>23500</v>
      </c>
      <c r="Y62" s="760">
        <v>33500</v>
      </c>
      <c r="Z62" s="760">
        <v>30000</v>
      </c>
      <c r="AA62" s="760">
        <v>31000</v>
      </c>
      <c r="AB62" s="129">
        <v>32000</v>
      </c>
      <c r="AC62" s="115">
        <v>31000</v>
      </c>
      <c r="AD62" s="115">
        <v>32000</v>
      </c>
      <c r="AE62" s="80" t="s">
        <v>229</v>
      </c>
      <c r="AF62" s="78">
        <v>42190</v>
      </c>
      <c r="AG62" s="79">
        <v>0.7584735719364778</v>
      </c>
      <c r="AH62" s="733" t="s">
        <v>97</v>
      </c>
      <c r="AI62" s="748">
        <v>1850</v>
      </c>
      <c r="AJ62" s="748">
        <v>2660</v>
      </c>
      <c r="AK62" s="748">
        <v>3790</v>
      </c>
      <c r="AL62" s="832">
        <f t="shared" si="0"/>
        <v>32640</v>
      </c>
      <c r="AM62" s="122">
        <v>4</v>
      </c>
    </row>
    <row r="63" spans="1:39" x14ac:dyDescent="0.3">
      <c r="A63" s="33">
        <v>68</v>
      </c>
      <c r="B63" s="33">
        <v>86</v>
      </c>
      <c r="C63" s="155" t="s">
        <v>201</v>
      </c>
      <c r="D63" s="117" t="s">
        <v>230</v>
      </c>
      <c r="E63" s="64" t="s">
        <v>231</v>
      </c>
      <c r="F63" s="799">
        <v>5173</v>
      </c>
      <c r="G63" s="799" t="s">
        <v>72</v>
      </c>
      <c r="H63" s="36" t="s">
        <v>73</v>
      </c>
      <c r="I63" s="37">
        <v>0.49</v>
      </c>
      <c r="J63" s="799" t="s">
        <v>154</v>
      </c>
      <c r="K63" s="36" t="s">
        <v>104</v>
      </c>
      <c r="L63" s="837" t="s">
        <v>232</v>
      </c>
      <c r="M63" s="837" t="s">
        <v>233</v>
      </c>
      <c r="N63" s="837" t="s">
        <v>233</v>
      </c>
      <c r="O63" s="837" t="s">
        <v>233</v>
      </c>
      <c r="P63" s="35" t="s">
        <v>234</v>
      </c>
      <c r="Q63" s="35" t="s">
        <v>234</v>
      </c>
      <c r="R63" s="38" t="s">
        <v>144</v>
      </c>
      <c r="S63" s="38" t="s">
        <v>145</v>
      </c>
      <c r="T63" s="40">
        <v>18000</v>
      </c>
      <c r="U63" s="156">
        <v>16800</v>
      </c>
      <c r="V63" s="824">
        <v>16600</v>
      </c>
      <c r="W63" s="821">
        <v>16400</v>
      </c>
      <c r="X63" s="819">
        <v>17000</v>
      </c>
      <c r="Y63" s="819">
        <v>16300</v>
      </c>
      <c r="Z63" s="143">
        <v>18500</v>
      </c>
      <c r="AA63" s="143">
        <v>19300</v>
      </c>
      <c r="AB63" s="143">
        <v>19400</v>
      </c>
      <c r="AC63" s="143">
        <v>18700</v>
      </c>
      <c r="AD63" s="143">
        <v>17900</v>
      </c>
      <c r="AE63" s="47" t="s">
        <v>229</v>
      </c>
      <c r="AF63" s="45">
        <v>16380</v>
      </c>
      <c r="AG63" s="46">
        <v>1.0927960927960927</v>
      </c>
      <c r="AH63" s="47" t="s">
        <v>1525</v>
      </c>
      <c r="AI63" s="143">
        <v>1120</v>
      </c>
      <c r="AJ63" s="143">
        <v>1510</v>
      </c>
      <c r="AK63" s="143">
        <v>1480</v>
      </c>
      <c r="AL63" s="832">
        <f t="shared" si="0"/>
        <v>8771</v>
      </c>
      <c r="AM63" s="121">
        <v>2</v>
      </c>
    </row>
    <row r="64" spans="1:39" x14ac:dyDescent="0.3">
      <c r="A64" s="33">
        <v>67</v>
      </c>
      <c r="B64" s="33">
        <v>85</v>
      </c>
      <c r="C64" s="157" t="s">
        <v>201</v>
      </c>
      <c r="D64" s="158" t="s">
        <v>235</v>
      </c>
      <c r="E64" s="51" t="s">
        <v>236</v>
      </c>
      <c r="F64" s="800">
        <v>5004</v>
      </c>
      <c r="G64" s="800" t="s">
        <v>72</v>
      </c>
      <c r="H64" s="71" t="s">
        <v>73</v>
      </c>
      <c r="I64" s="72">
        <v>0.49</v>
      </c>
      <c r="J64" s="800" t="s">
        <v>237</v>
      </c>
      <c r="K64" s="71" t="s">
        <v>104</v>
      </c>
      <c r="L64" s="835" t="s">
        <v>232</v>
      </c>
      <c r="M64" s="839" t="s">
        <v>233</v>
      </c>
      <c r="N64" s="835" t="s">
        <v>233</v>
      </c>
      <c r="O64" s="835" t="s">
        <v>233</v>
      </c>
      <c r="P64" s="51" t="s">
        <v>238</v>
      </c>
      <c r="Q64" s="51" t="s">
        <v>238</v>
      </c>
      <c r="R64" s="73" t="s">
        <v>144</v>
      </c>
      <c r="S64" s="73" t="s">
        <v>145</v>
      </c>
      <c r="T64" s="824">
        <v>16600</v>
      </c>
      <c r="U64" s="156">
        <v>15100</v>
      </c>
      <c r="V64" s="824">
        <v>16300</v>
      </c>
      <c r="W64" s="821">
        <v>14800</v>
      </c>
      <c r="X64" s="819">
        <v>15400</v>
      </c>
      <c r="Y64" s="819">
        <v>17200</v>
      </c>
      <c r="Z64" s="159">
        <v>17800</v>
      </c>
      <c r="AA64" s="129">
        <v>13000</v>
      </c>
      <c r="AB64" s="129">
        <v>13200</v>
      </c>
      <c r="AC64" s="115">
        <v>12800</v>
      </c>
      <c r="AD64" s="115">
        <v>12800</v>
      </c>
      <c r="AE64" s="80" t="s">
        <v>229</v>
      </c>
      <c r="AF64" s="78">
        <v>15600</v>
      </c>
      <c r="AG64" s="79">
        <v>0.82051282051282048</v>
      </c>
      <c r="AH64" s="80" t="s">
        <v>80</v>
      </c>
      <c r="AI64" s="87" t="s">
        <v>81</v>
      </c>
      <c r="AJ64" s="87" t="s">
        <v>81</v>
      </c>
      <c r="AK64" s="748">
        <v>1410</v>
      </c>
      <c r="AL64" s="832">
        <f t="shared" si="0"/>
        <v>6272</v>
      </c>
      <c r="AM64" s="122">
        <v>2</v>
      </c>
    </row>
    <row r="65" spans="1:39" x14ac:dyDescent="0.3">
      <c r="A65" s="33">
        <v>66</v>
      </c>
      <c r="B65" s="33">
        <v>83</v>
      </c>
      <c r="C65" s="155" t="s">
        <v>201</v>
      </c>
      <c r="D65" s="117" t="s">
        <v>239</v>
      </c>
      <c r="E65" s="35" t="s">
        <v>240</v>
      </c>
      <c r="F65" s="799">
        <v>5008</v>
      </c>
      <c r="G65" s="799" t="s">
        <v>72</v>
      </c>
      <c r="H65" s="36" t="s">
        <v>73</v>
      </c>
      <c r="I65" s="37">
        <v>1.01</v>
      </c>
      <c r="J65" s="799" t="s">
        <v>237</v>
      </c>
      <c r="K65" s="36" t="s">
        <v>104</v>
      </c>
      <c r="L65" s="835" t="s">
        <v>232</v>
      </c>
      <c r="M65" s="839" t="s">
        <v>241</v>
      </c>
      <c r="N65" s="837" t="s">
        <v>241</v>
      </c>
      <c r="O65" s="837" t="s">
        <v>241</v>
      </c>
      <c r="P65" s="35" t="s">
        <v>238</v>
      </c>
      <c r="Q65" s="35" t="s">
        <v>238</v>
      </c>
      <c r="R65" s="38" t="s">
        <v>144</v>
      </c>
      <c r="S65" s="38" t="s">
        <v>145</v>
      </c>
      <c r="T65" s="40">
        <v>16400</v>
      </c>
      <c r="U65" s="156">
        <v>16000</v>
      </c>
      <c r="V65" s="824">
        <v>16300</v>
      </c>
      <c r="W65" s="821">
        <v>15500</v>
      </c>
      <c r="X65" s="838">
        <v>16100</v>
      </c>
      <c r="Y65" s="819">
        <v>18200</v>
      </c>
      <c r="Z65" s="838">
        <v>16200</v>
      </c>
      <c r="AA65" s="819">
        <v>19100</v>
      </c>
      <c r="AB65" s="142">
        <v>19300</v>
      </c>
      <c r="AC65" s="143">
        <v>18700</v>
      </c>
      <c r="AD65" s="143">
        <v>19100</v>
      </c>
      <c r="AE65" s="47" t="s">
        <v>242</v>
      </c>
      <c r="AF65" s="45">
        <v>19150</v>
      </c>
      <c r="AG65" s="46">
        <v>0.99738903394255873</v>
      </c>
      <c r="AH65" s="47" t="s">
        <v>242</v>
      </c>
      <c r="AI65" s="48" t="s">
        <v>81</v>
      </c>
      <c r="AJ65" s="48" t="s">
        <v>81</v>
      </c>
      <c r="AK65" s="746">
        <v>1410</v>
      </c>
      <c r="AL65" s="832">
        <f t="shared" si="0"/>
        <v>19291</v>
      </c>
      <c r="AM65" s="121">
        <v>2</v>
      </c>
    </row>
    <row r="66" spans="1:39" ht="15" thickBot="1" x14ac:dyDescent="0.35">
      <c r="A66" s="88">
        <v>65</v>
      </c>
      <c r="B66" s="88">
        <v>82</v>
      </c>
      <c r="C66" s="160" t="s">
        <v>201</v>
      </c>
      <c r="D66" s="161" t="s">
        <v>243</v>
      </c>
      <c r="E66" s="162" t="s">
        <v>244</v>
      </c>
      <c r="F66" s="803">
        <v>66</v>
      </c>
      <c r="G66" s="803" t="s">
        <v>72</v>
      </c>
      <c r="H66" s="163" t="s">
        <v>73</v>
      </c>
      <c r="I66" s="164">
        <v>0.83</v>
      </c>
      <c r="J66" s="803" t="s">
        <v>140</v>
      </c>
      <c r="K66" s="163" t="s">
        <v>104</v>
      </c>
      <c r="L66" s="845" t="s">
        <v>142</v>
      </c>
      <c r="M66" s="845" t="s">
        <v>142</v>
      </c>
      <c r="N66" s="845" t="s">
        <v>142</v>
      </c>
      <c r="O66" s="845" t="s">
        <v>142</v>
      </c>
      <c r="P66" s="166" t="s">
        <v>143</v>
      </c>
      <c r="Q66" s="166" t="s">
        <v>143</v>
      </c>
      <c r="R66" s="167" t="s">
        <v>144</v>
      </c>
      <c r="S66" s="167" t="s">
        <v>145</v>
      </c>
      <c r="T66" s="846">
        <v>21500</v>
      </c>
      <c r="U66" s="846">
        <v>22500</v>
      </c>
      <c r="V66" s="846">
        <v>20500</v>
      </c>
      <c r="W66" s="847">
        <v>21000</v>
      </c>
      <c r="X66" s="761">
        <v>22000</v>
      </c>
      <c r="Y66" s="761">
        <v>23000</v>
      </c>
      <c r="Z66" s="761">
        <v>21500</v>
      </c>
      <c r="AA66" s="761">
        <v>22500</v>
      </c>
      <c r="AB66" s="168">
        <v>23000</v>
      </c>
      <c r="AC66" s="169">
        <v>22000</v>
      </c>
      <c r="AD66" s="169">
        <v>22000</v>
      </c>
      <c r="AE66" s="170" t="s">
        <v>229</v>
      </c>
      <c r="AF66" s="171">
        <v>42190</v>
      </c>
      <c r="AG66" s="172">
        <v>0.52145058070632855</v>
      </c>
      <c r="AH66" s="737" t="s">
        <v>97</v>
      </c>
      <c r="AI66" s="173" t="s">
        <v>81</v>
      </c>
      <c r="AJ66" s="173" t="s">
        <v>81</v>
      </c>
      <c r="AK66" s="752">
        <v>3790</v>
      </c>
      <c r="AL66" s="829">
        <f t="shared" si="0"/>
        <v>18260</v>
      </c>
      <c r="AM66" s="174">
        <v>4</v>
      </c>
    </row>
    <row r="67" spans="1:39" x14ac:dyDescent="0.3">
      <c r="A67" s="103">
        <v>63</v>
      </c>
      <c r="B67" s="103">
        <v>81</v>
      </c>
      <c r="C67" s="175" t="s">
        <v>245</v>
      </c>
      <c r="D67" s="176" t="s">
        <v>246</v>
      </c>
      <c r="E67" s="177" t="s">
        <v>247</v>
      </c>
      <c r="F67" s="804">
        <v>1000</v>
      </c>
      <c r="G67" s="804" t="s">
        <v>72</v>
      </c>
      <c r="H67" s="131" t="s">
        <v>73</v>
      </c>
      <c r="I67" s="178">
        <v>0.68</v>
      </c>
      <c r="J67" s="804" t="s">
        <v>140</v>
      </c>
      <c r="K67" s="131" t="s">
        <v>104</v>
      </c>
      <c r="L67" s="843" t="s">
        <v>142</v>
      </c>
      <c r="M67" s="848" t="s">
        <v>170</v>
      </c>
      <c r="N67" s="843" t="s">
        <v>170</v>
      </c>
      <c r="O67" s="843" t="s">
        <v>170</v>
      </c>
      <c r="P67" s="177" t="s">
        <v>143</v>
      </c>
      <c r="Q67" s="177" t="s">
        <v>143</v>
      </c>
      <c r="R67" s="179" t="s">
        <v>144</v>
      </c>
      <c r="S67" s="179" t="s">
        <v>145</v>
      </c>
      <c r="T67" s="824">
        <v>30000</v>
      </c>
      <c r="U67" s="825">
        <v>27500</v>
      </c>
      <c r="V67" s="825">
        <v>29000</v>
      </c>
      <c r="W67" s="836">
        <v>29000</v>
      </c>
      <c r="X67" s="759">
        <v>30000</v>
      </c>
      <c r="Y67" s="759">
        <v>33500</v>
      </c>
      <c r="Z67" s="759">
        <v>29000</v>
      </c>
      <c r="AA67" s="759">
        <v>37500</v>
      </c>
      <c r="AB67" s="180">
        <v>33000</v>
      </c>
      <c r="AC67" s="181">
        <v>32000</v>
      </c>
      <c r="AD67" s="181">
        <v>32000</v>
      </c>
      <c r="AE67" s="86" t="s">
        <v>229</v>
      </c>
      <c r="AF67" s="78">
        <v>42190</v>
      </c>
      <c r="AG67" s="79">
        <v>0.7584735719364778</v>
      </c>
      <c r="AH67" s="738" t="s">
        <v>97</v>
      </c>
      <c r="AI67" s="753" t="s">
        <v>81</v>
      </c>
      <c r="AJ67" s="753" t="s">
        <v>81</v>
      </c>
      <c r="AK67" s="754">
        <v>3790</v>
      </c>
      <c r="AL67" s="832">
        <f t="shared" ref="AL67:AL130" si="1">IF(AD67&gt;0,AD67*$I67,"-")</f>
        <v>21760</v>
      </c>
      <c r="AM67" s="182">
        <v>4</v>
      </c>
    </row>
    <row r="68" spans="1:39" x14ac:dyDescent="0.3">
      <c r="A68" s="33">
        <v>62</v>
      </c>
      <c r="B68" s="33">
        <v>80</v>
      </c>
      <c r="C68" s="153" t="s">
        <v>245</v>
      </c>
      <c r="D68" s="117" t="s">
        <v>248</v>
      </c>
      <c r="E68" s="35" t="s">
        <v>249</v>
      </c>
      <c r="F68" s="799">
        <v>69</v>
      </c>
      <c r="G68" s="799" t="s">
        <v>72</v>
      </c>
      <c r="H68" s="36" t="s">
        <v>73</v>
      </c>
      <c r="I68" s="37">
        <v>0.51</v>
      </c>
      <c r="J68" s="799" t="s">
        <v>130</v>
      </c>
      <c r="K68" s="36" t="s">
        <v>104</v>
      </c>
      <c r="L68" s="835" t="s">
        <v>142</v>
      </c>
      <c r="M68" s="839" t="s">
        <v>170</v>
      </c>
      <c r="N68" s="835" t="s">
        <v>170</v>
      </c>
      <c r="O68" s="837" t="s">
        <v>170</v>
      </c>
      <c r="P68" s="35" t="s">
        <v>143</v>
      </c>
      <c r="Q68" s="35" t="s">
        <v>143</v>
      </c>
      <c r="R68" s="38" t="s">
        <v>144</v>
      </c>
      <c r="S68" s="38" t="s">
        <v>145</v>
      </c>
      <c r="T68" s="833">
        <v>21000</v>
      </c>
      <c r="U68" s="833">
        <v>20500</v>
      </c>
      <c r="V68" s="833">
        <v>20500</v>
      </c>
      <c r="W68" s="820">
        <v>19500</v>
      </c>
      <c r="X68" s="838">
        <v>21000</v>
      </c>
      <c r="Y68" s="838">
        <v>24500</v>
      </c>
      <c r="Z68" s="838">
        <v>25500</v>
      </c>
      <c r="AA68" s="838">
        <v>26000</v>
      </c>
      <c r="AB68" s="123">
        <v>26000</v>
      </c>
      <c r="AC68" s="123">
        <v>25000</v>
      </c>
      <c r="AD68" s="120">
        <v>22000</v>
      </c>
      <c r="AE68" s="65" t="s">
        <v>80</v>
      </c>
      <c r="AF68" s="138">
        <v>39800</v>
      </c>
      <c r="AG68" s="82">
        <v>0.55276381909547734</v>
      </c>
      <c r="AH68" s="739" t="s">
        <v>97</v>
      </c>
      <c r="AI68" s="749">
        <v>1170</v>
      </c>
      <c r="AJ68" s="749">
        <v>1890</v>
      </c>
      <c r="AK68" s="749">
        <v>3580</v>
      </c>
      <c r="AL68" s="832">
        <f t="shared" si="1"/>
        <v>11220</v>
      </c>
      <c r="AM68" s="121">
        <v>4</v>
      </c>
    </row>
    <row r="69" spans="1:39" x14ac:dyDescent="0.3">
      <c r="A69" s="33">
        <v>61</v>
      </c>
      <c r="B69" s="33">
        <v>79</v>
      </c>
      <c r="C69" s="152" t="s">
        <v>245</v>
      </c>
      <c r="D69" s="114" t="s">
        <v>250</v>
      </c>
      <c r="E69" s="70" t="s">
        <v>251</v>
      </c>
      <c r="F69" s="800">
        <v>236</v>
      </c>
      <c r="G69" s="800" t="s">
        <v>72</v>
      </c>
      <c r="H69" s="71" t="s">
        <v>73</v>
      </c>
      <c r="I69" s="72">
        <v>1.64</v>
      </c>
      <c r="J69" s="800" t="s">
        <v>130</v>
      </c>
      <c r="K69" s="71" t="s">
        <v>104</v>
      </c>
      <c r="L69" s="835" t="s">
        <v>142</v>
      </c>
      <c r="M69" s="835" t="s">
        <v>142</v>
      </c>
      <c r="N69" s="835" t="s">
        <v>142</v>
      </c>
      <c r="O69" s="835" t="s">
        <v>142</v>
      </c>
      <c r="P69" s="51" t="s">
        <v>143</v>
      </c>
      <c r="Q69" s="51" t="s">
        <v>143</v>
      </c>
      <c r="R69" s="73" t="s">
        <v>144</v>
      </c>
      <c r="S69" s="73" t="s">
        <v>145</v>
      </c>
      <c r="T69" s="825">
        <v>14500</v>
      </c>
      <c r="U69" s="825">
        <v>13700</v>
      </c>
      <c r="V69" s="825">
        <v>13500</v>
      </c>
      <c r="W69" s="822">
        <v>13500</v>
      </c>
      <c r="X69" s="760">
        <v>14800</v>
      </c>
      <c r="Y69" s="760">
        <v>14800</v>
      </c>
      <c r="Z69" s="760">
        <v>17300</v>
      </c>
      <c r="AA69" s="760">
        <v>15200</v>
      </c>
      <c r="AB69" s="129">
        <v>15000</v>
      </c>
      <c r="AC69" s="115">
        <v>14600</v>
      </c>
      <c r="AD69" s="115">
        <v>14600</v>
      </c>
      <c r="AE69" s="80" t="s">
        <v>80</v>
      </c>
      <c r="AF69" s="78">
        <v>39800</v>
      </c>
      <c r="AG69" s="79">
        <v>0.36683417085427134</v>
      </c>
      <c r="AH69" s="733" t="s">
        <v>97</v>
      </c>
      <c r="AI69" s="87" t="s">
        <v>81</v>
      </c>
      <c r="AJ69" s="87" t="s">
        <v>81</v>
      </c>
      <c r="AK69" s="748">
        <v>3580</v>
      </c>
      <c r="AL69" s="832">
        <f t="shared" si="1"/>
        <v>23944</v>
      </c>
      <c r="AM69" s="122">
        <v>4</v>
      </c>
    </row>
    <row r="70" spans="1:39" x14ac:dyDescent="0.3">
      <c r="A70" s="33">
        <v>60</v>
      </c>
      <c r="B70" s="33">
        <v>78</v>
      </c>
      <c r="C70" s="155" t="s">
        <v>245</v>
      </c>
      <c r="D70" s="183" t="s">
        <v>252</v>
      </c>
      <c r="E70" s="64" t="s">
        <v>253</v>
      </c>
      <c r="F70" s="799">
        <v>476</v>
      </c>
      <c r="G70" s="799" t="s">
        <v>72</v>
      </c>
      <c r="H70" s="36" t="s">
        <v>73</v>
      </c>
      <c r="I70" s="37">
        <v>2.76</v>
      </c>
      <c r="J70" s="799" t="s">
        <v>140</v>
      </c>
      <c r="K70" s="36" t="s">
        <v>104</v>
      </c>
      <c r="L70" s="835" t="s">
        <v>163</v>
      </c>
      <c r="M70" s="837" t="s">
        <v>163</v>
      </c>
      <c r="N70" s="837" t="s">
        <v>163</v>
      </c>
      <c r="O70" s="837" t="s">
        <v>163</v>
      </c>
      <c r="P70" s="837" t="s">
        <v>163</v>
      </c>
      <c r="Q70" s="837" t="s">
        <v>163</v>
      </c>
      <c r="R70" s="38" t="s">
        <v>144</v>
      </c>
      <c r="S70" s="38" t="s">
        <v>145</v>
      </c>
      <c r="T70" s="833">
        <v>16400</v>
      </c>
      <c r="U70" s="833">
        <v>16000</v>
      </c>
      <c r="V70" s="833">
        <v>15800</v>
      </c>
      <c r="W70" s="820">
        <v>16200</v>
      </c>
      <c r="X70" s="838">
        <v>17200</v>
      </c>
      <c r="Y70" s="838">
        <v>17200</v>
      </c>
      <c r="Z70" s="838">
        <v>18500</v>
      </c>
      <c r="AA70" s="838">
        <v>18100</v>
      </c>
      <c r="AB70" s="123">
        <v>18300</v>
      </c>
      <c r="AC70" s="123">
        <v>17700</v>
      </c>
      <c r="AD70" s="120">
        <v>19600</v>
      </c>
      <c r="AE70" s="65" t="s">
        <v>80</v>
      </c>
      <c r="AF70" s="81">
        <v>66200</v>
      </c>
      <c r="AG70" s="82">
        <v>0.29607250755287007</v>
      </c>
      <c r="AH70" s="734" t="s">
        <v>1524</v>
      </c>
      <c r="AI70" s="749">
        <v>1320</v>
      </c>
      <c r="AJ70" s="749">
        <v>1680</v>
      </c>
      <c r="AK70" s="749">
        <v>5960</v>
      </c>
      <c r="AL70" s="832">
        <f t="shared" si="1"/>
        <v>54095.999999999993</v>
      </c>
      <c r="AM70" s="121">
        <v>4</v>
      </c>
    </row>
    <row r="71" spans="1:39" x14ac:dyDescent="0.3">
      <c r="A71" s="33">
        <v>59</v>
      </c>
      <c r="B71" s="33">
        <v>77</v>
      </c>
      <c r="C71" s="157" t="s">
        <v>245</v>
      </c>
      <c r="D71" s="114" t="s">
        <v>254</v>
      </c>
      <c r="E71" s="70" t="s">
        <v>255</v>
      </c>
      <c r="F71" s="800">
        <v>519</v>
      </c>
      <c r="G71" s="800" t="s">
        <v>72</v>
      </c>
      <c r="H71" s="52" t="s">
        <v>73</v>
      </c>
      <c r="I71" s="72">
        <v>1.0900000000000001</v>
      </c>
      <c r="J71" s="800" t="s">
        <v>130</v>
      </c>
      <c r="K71" s="71" t="s">
        <v>104</v>
      </c>
      <c r="L71" s="835" t="s">
        <v>256</v>
      </c>
      <c r="M71" s="835" t="s">
        <v>256</v>
      </c>
      <c r="N71" s="835" t="s">
        <v>256</v>
      </c>
      <c r="O71" s="835" t="s">
        <v>256</v>
      </c>
      <c r="P71" s="835" t="s">
        <v>256</v>
      </c>
      <c r="Q71" s="835" t="s">
        <v>256</v>
      </c>
      <c r="R71" s="73" t="s">
        <v>144</v>
      </c>
      <c r="S71" s="73" t="s">
        <v>145</v>
      </c>
      <c r="T71" s="825">
        <v>10100</v>
      </c>
      <c r="U71" s="825">
        <v>10200</v>
      </c>
      <c r="V71" s="826">
        <v>10100</v>
      </c>
      <c r="W71" s="822">
        <v>10000</v>
      </c>
      <c r="X71" s="760">
        <v>10400</v>
      </c>
      <c r="Y71" s="760">
        <v>11400</v>
      </c>
      <c r="Z71" s="760">
        <v>11600</v>
      </c>
      <c r="AA71" s="760">
        <v>12000</v>
      </c>
      <c r="AB71" s="129">
        <v>11600</v>
      </c>
      <c r="AC71" s="115">
        <v>11200</v>
      </c>
      <c r="AD71" s="115">
        <v>11200</v>
      </c>
      <c r="AE71" s="80" t="s">
        <v>80</v>
      </c>
      <c r="AF71" s="78">
        <v>24200</v>
      </c>
      <c r="AG71" s="79">
        <v>0.46280991735537191</v>
      </c>
      <c r="AH71" s="733" t="s">
        <v>1524</v>
      </c>
      <c r="AI71" s="87" t="s">
        <v>81</v>
      </c>
      <c r="AJ71" s="87" t="s">
        <v>81</v>
      </c>
      <c r="AK71" s="748">
        <v>2180</v>
      </c>
      <c r="AL71" s="832">
        <f t="shared" si="1"/>
        <v>12208</v>
      </c>
      <c r="AM71" s="122">
        <v>2</v>
      </c>
    </row>
    <row r="72" spans="1:39" x14ac:dyDescent="0.3">
      <c r="A72" s="33">
        <v>58</v>
      </c>
      <c r="B72" s="33">
        <v>3025</v>
      </c>
      <c r="C72" s="153" t="s">
        <v>245</v>
      </c>
      <c r="D72" s="64" t="s">
        <v>257</v>
      </c>
      <c r="E72" s="35" t="s">
        <v>258</v>
      </c>
      <c r="F72" s="799">
        <v>104</v>
      </c>
      <c r="G72" s="799" t="s">
        <v>72</v>
      </c>
      <c r="H72" s="65" t="s">
        <v>73</v>
      </c>
      <c r="I72" s="37">
        <v>0.56000000000000005</v>
      </c>
      <c r="J72" s="799" t="s">
        <v>140</v>
      </c>
      <c r="K72" s="36" t="s">
        <v>104</v>
      </c>
      <c r="L72" s="835" t="s">
        <v>259</v>
      </c>
      <c r="M72" s="837" t="s">
        <v>259</v>
      </c>
      <c r="N72" s="837" t="s">
        <v>259</v>
      </c>
      <c r="O72" s="837" t="s">
        <v>259</v>
      </c>
      <c r="P72" s="839" t="s">
        <v>256</v>
      </c>
      <c r="Q72" s="837" t="s">
        <v>256</v>
      </c>
      <c r="R72" s="38" t="s">
        <v>132</v>
      </c>
      <c r="S72" s="39" t="s">
        <v>145</v>
      </c>
      <c r="T72" s="833">
        <v>7500</v>
      </c>
      <c r="U72" s="833">
        <v>7400</v>
      </c>
      <c r="V72" s="833">
        <v>7300</v>
      </c>
      <c r="W72" s="820">
        <f>W73</f>
        <v>7400</v>
      </c>
      <c r="X72" s="838">
        <f>X73</f>
        <v>8100</v>
      </c>
      <c r="Y72" s="838">
        <v>8400</v>
      </c>
      <c r="Z72" s="838">
        <v>8600</v>
      </c>
      <c r="AA72" s="838">
        <v>9000</v>
      </c>
      <c r="AB72" s="123">
        <v>9600</v>
      </c>
      <c r="AC72" s="123">
        <v>9400</v>
      </c>
      <c r="AD72" s="123">
        <v>9400</v>
      </c>
      <c r="AE72" s="65" t="s">
        <v>80</v>
      </c>
      <c r="AF72" s="138">
        <v>24200</v>
      </c>
      <c r="AG72" s="82">
        <v>0.38842975206611569</v>
      </c>
      <c r="AH72" s="734" t="s">
        <v>1524</v>
      </c>
      <c r="AI72" s="84" t="s">
        <v>81</v>
      </c>
      <c r="AJ72" s="84" t="s">
        <v>81</v>
      </c>
      <c r="AK72" s="749">
        <v>2180</v>
      </c>
      <c r="AL72" s="832">
        <f t="shared" si="1"/>
        <v>5264.0000000000009</v>
      </c>
      <c r="AM72" s="121">
        <v>2</v>
      </c>
    </row>
    <row r="73" spans="1:39" x14ac:dyDescent="0.3">
      <c r="A73" s="33">
        <v>57</v>
      </c>
      <c r="B73" s="33">
        <v>3024</v>
      </c>
      <c r="C73" s="152" t="s">
        <v>245</v>
      </c>
      <c r="D73" s="70" t="s">
        <v>257</v>
      </c>
      <c r="E73" s="51" t="s">
        <v>260</v>
      </c>
      <c r="F73" s="800">
        <v>104</v>
      </c>
      <c r="G73" s="800" t="s">
        <v>72</v>
      </c>
      <c r="H73" s="52" t="s">
        <v>73</v>
      </c>
      <c r="I73" s="72">
        <v>4.93</v>
      </c>
      <c r="J73" s="800" t="s">
        <v>140</v>
      </c>
      <c r="K73" s="71" t="s">
        <v>104</v>
      </c>
      <c r="L73" s="835" t="s">
        <v>261</v>
      </c>
      <c r="M73" s="835" t="s">
        <v>261</v>
      </c>
      <c r="N73" s="835" t="s">
        <v>261</v>
      </c>
      <c r="O73" s="835" t="s">
        <v>261</v>
      </c>
      <c r="P73" s="835" t="s">
        <v>261</v>
      </c>
      <c r="Q73" s="835" t="s">
        <v>261</v>
      </c>
      <c r="R73" s="73" t="s">
        <v>132</v>
      </c>
      <c r="S73" s="73" t="s">
        <v>133</v>
      </c>
      <c r="T73" s="824">
        <v>7500</v>
      </c>
      <c r="U73" s="825">
        <v>7400</v>
      </c>
      <c r="V73" s="826">
        <v>7300</v>
      </c>
      <c r="W73" s="822">
        <v>7400</v>
      </c>
      <c r="X73" s="819">
        <v>8100</v>
      </c>
      <c r="Y73" s="819">
        <v>8400</v>
      </c>
      <c r="Z73" s="819">
        <v>8600</v>
      </c>
      <c r="AA73" s="819">
        <v>9000</v>
      </c>
      <c r="AB73" s="159">
        <v>9600</v>
      </c>
      <c r="AC73" s="115">
        <f>AC72</f>
        <v>9400</v>
      </c>
      <c r="AD73" s="115">
        <f>AD72</f>
        <v>9400</v>
      </c>
      <c r="AE73" s="80" t="s">
        <v>80</v>
      </c>
      <c r="AF73" s="78">
        <v>18000</v>
      </c>
      <c r="AG73" s="79">
        <v>0.52222222222222225</v>
      </c>
      <c r="AH73" s="733" t="s">
        <v>1524</v>
      </c>
      <c r="AI73" s="87" t="s">
        <v>81</v>
      </c>
      <c r="AJ73" s="87" t="s">
        <v>81</v>
      </c>
      <c r="AK73" s="748">
        <v>1620</v>
      </c>
      <c r="AL73" s="832">
        <f t="shared" si="1"/>
        <v>46342</v>
      </c>
      <c r="AM73" s="122">
        <v>2</v>
      </c>
    </row>
    <row r="74" spans="1:39" x14ac:dyDescent="0.3">
      <c r="A74" s="33">
        <v>56</v>
      </c>
      <c r="B74" s="33">
        <v>75</v>
      </c>
      <c r="C74" s="155" t="s">
        <v>245</v>
      </c>
      <c r="D74" s="117" t="s">
        <v>262</v>
      </c>
      <c r="E74" s="64" t="s">
        <v>263</v>
      </c>
      <c r="F74" s="799">
        <v>448</v>
      </c>
      <c r="G74" s="799" t="s">
        <v>72</v>
      </c>
      <c r="H74" s="36" t="s">
        <v>73</v>
      </c>
      <c r="I74" s="37">
        <v>5.0199999999999996</v>
      </c>
      <c r="J74" s="799" t="s">
        <v>140</v>
      </c>
      <c r="K74" s="36" t="s">
        <v>104</v>
      </c>
      <c r="L74" s="835" t="s">
        <v>264</v>
      </c>
      <c r="M74" s="837" t="s">
        <v>264</v>
      </c>
      <c r="N74" s="837" t="s">
        <v>264</v>
      </c>
      <c r="O74" s="837" t="s">
        <v>264</v>
      </c>
      <c r="P74" s="837" t="s">
        <v>264</v>
      </c>
      <c r="Q74" s="837" t="s">
        <v>264</v>
      </c>
      <c r="R74" s="38" t="s">
        <v>132</v>
      </c>
      <c r="S74" s="39" t="s">
        <v>133</v>
      </c>
      <c r="T74" s="833">
        <v>6300</v>
      </c>
      <c r="U74" s="833">
        <v>5700</v>
      </c>
      <c r="V74" s="833">
        <v>6200</v>
      </c>
      <c r="W74" s="820">
        <v>5500</v>
      </c>
      <c r="X74" s="838">
        <v>6100</v>
      </c>
      <c r="Y74" s="838">
        <v>6200</v>
      </c>
      <c r="Z74" s="838">
        <v>6600</v>
      </c>
      <c r="AA74" s="838">
        <v>7400</v>
      </c>
      <c r="AB74" s="123">
        <v>7600</v>
      </c>
      <c r="AC74" s="123">
        <v>7400</v>
      </c>
      <c r="AD74" s="120">
        <v>7900</v>
      </c>
      <c r="AE74" s="36" t="s">
        <v>97</v>
      </c>
      <c r="AF74" s="138">
        <v>15700</v>
      </c>
      <c r="AG74" s="82">
        <v>0.50318471337579618</v>
      </c>
      <c r="AH74" s="734" t="s">
        <v>1524</v>
      </c>
      <c r="AI74" s="749">
        <v>760</v>
      </c>
      <c r="AJ74" s="749">
        <v>770</v>
      </c>
      <c r="AK74" s="749">
        <v>1490</v>
      </c>
      <c r="AL74" s="832">
        <f t="shared" si="1"/>
        <v>39658</v>
      </c>
      <c r="AM74" s="121">
        <v>2</v>
      </c>
    </row>
    <row r="75" spans="1:39" x14ac:dyDescent="0.3">
      <c r="A75" s="33">
        <v>55</v>
      </c>
      <c r="B75" s="33">
        <v>74</v>
      </c>
      <c r="C75" s="157" t="s">
        <v>245</v>
      </c>
      <c r="D75" s="114" t="s">
        <v>265</v>
      </c>
      <c r="E75" s="70" t="s">
        <v>266</v>
      </c>
      <c r="F75" s="800">
        <v>46</v>
      </c>
      <c r="G75" s="800" t="s">
        <v>72</v>
      </c>
      <c r="H75" s="71" t="s">
        <v>73</v>
      </c>
      <c r="I75" s="72">
        <v>5.28</v>
      </c>
      <c r="J75" s="800" t="s">
        <v>130</v>
      </c>
      <c r="K75" s="71" t="s">
        <v>104</v>
      </c>
      <c r="L75" s="835" t="s">
        <v>264</v>
      </c>
      <c r="M75" s="835" t="s">
        <v>264</v>
      </c>
      <c r="N75" s="835" t="s">
        <v>264</v>
      </c>
      <c r="O75" s="835" t="s">
        <v>264</v>
      </c>
      <c r="P75" s="835" t="s">
        <v>264</v>
      </c>
      <c r="Q75" s="835" t="s">
        <v>264</v>
      </c>
      <c r="R75" s="73" t="s">
        <v>132</v>
      </c>
      <c r="S75" s="73" t="s">
        <v>133</v>
      </c>
      <c r="T75" s="825">
        <v>4600</v>
      </c>
      <c r="U75" s="825">
        <v>4300</v>
      </c>
      <c r="V75" s="825">
        <v>4500</v>
      </c>
      <c r="W75" s="822">
        <v>4400</v>
      </c>
      <c r="X75" s="760">
        <v>4900</v>
      </c>
      <c r="Y75" s="760">
        <v>5000</v>
      </c>
      <c r="Z75" s="760">
        <v>5400</v>
      </c>
      <c r="AA75" s="760">
        <v>5300</v>
      </c>
      <c r="AB75" s="129">
        <v>6100</v>
      </c>
      <c r="AC75" s="115">
        <v>5900</v>
      </c>
      <c r="AD75" s="115">
        <v>5900</v>
      </c>
      <c r="AE75" s="140" t="s">
        <v>97</v>
      </c>
      <c r="AF75" s="78">
        <v>15700</v>
      </c>
      <c r="AG75" s="79">
        <v>0.37579617834394907</v>
      </c>
      <c r="AH75" s="733" t="s">
        <v>1524</v>
      </c>
      <c r="AI75" s="87" t="s">
        <v>81</v>
      </c>
      <c r="AJ75" s="87" t="s">
        <v>81</v>
      </c>
      <c r="AK75" s="748">
        <v>1490</v>
      </c>
      <c r="AL75" s="832">
        <f t="shared" si="1"/>
        <v>31152</v>
      </c>
      <c r="AM75" s="122">
        <v>2</v>
      </c>
    </row>
    <row r="76" spans="1:39" ht="15" thickBot="1" x14ac:dyDescent="0.35">
      <c r="A76" s="88">
        <v>54</v>
      </c>
      <c r="B76" s="88">
        <v>73</v>
      </c>
      <c r="C76" s="184" t="s">
        <v>245</v>
      </c>
      <c r="D76" s="161" t="s">
        <v>267</v>
      </c>
      <c r="E76" s="185" t="s">
        <v>268</v>
      </c>
      <c r="F76" s="801">
        <v>280</v>
      </c>
      <c r="G76" s="801" t="s">
        <v>72</v>
      </c>
      <c r="H76" s="92" t="s">
        <v>73</v>
      </c>
      <c r="I76" s="93">
        <v>3.41</v>
      </c>
      <c r="J76" s="801" t="s">
        <v>269</v>
      </c>
      <c r="K76" s="92" t="s">
        <v>104</v>
      </c>
      <c r="L76" s="845" t="s">
        <v>261</v>
      </c>
      <c r="M76" s="841" t="s">
        <v>261</v>
      </c>
      <c r="N76" s="841" t="s">
        <v>261</v>
      </c>
      <c r="O76" s="841" t="s">
        <v>261</v>
      </c>
      <c r="P76" s="841" t="s">
        <v>261</v>
      </c>
      <c r="Q76" s="841" t="s">
        <v>261</v>
      </c>
      <c r="R76" s="94" t="s">
        <v>132</v>
      </c>
      <c r="S76" s="95" t="s">
        <v>133</v>
      </c>
      <c r="T76" s="827">
        <v>4400</v>
      </c>
      <c r="U76" s="827">
        <v>4400</v>
      </c>
      <c r="V76" s="827">
        <v>4400</v>
      </c>
      <c r="W76" s="828">
        <v>4200</v>
      </c>
      <c r="X76" s="842">
        <v>4800</v>
      </c>
      <c r="Y76" s="842">
        <v>5200</v>
      </c>
      <c r="Z76" s="842">
        <v>5400</v>
      </c>
      <c r="AA76" s="842">
        <v>5900</v>
      </c>
      <c r="AB76" s="146">
        <v>5900</v>
      </c>
      <c r="AC76" s="146">
        <v>5700</v>
      </c>
      <c r="AD76" s="126">
        <v>6000</v>
      </c>
      <c r="AE76" s="92" t="s">
        <v>97</v>
      </c>
      <c r="AF76" s="186">
        <v>18000</v>
      </c>
      <c r="AG76" s="147">
        <v>0.33333333333333331</v>
      </c>
      <c r="AH76" s="736" t="s">
        <v>1524</v>
      </c>
      <c r="AI76" s="750">
        <v>510</v>
      </c>
      <c r="AJ76" s="750">
        <v>510</v>
      </c>
      <c r="AK76" s="750">
        <v>1620</v>
      </c>
      <c r="AL76" s="829">
        <f t="shared" si="1"/>
        <v>20460</v>
      </c>
      <c r="AM76" s="127">
        <v>2</v>
      </c>
    </row>
    <row r="77" spans="1:39" x14ac:dyDescent="0.3">
      <c r="A77" s="103">
        <v>81</v>
      </c>
      <c r="B77" s="103">
        <v>183</v>
      </c>
      <c r="C77" s="187" t="s">
        <v>270</v>
      </c>
      <c r="D77" s="188" t="s">
        <v>271</v>
      </c>
      <c r="E77" s="189" t="s">
        <v>272</v>
      </c>
      <c r="F77" s="804">
        <v>1001</v>
      </c>
      <c r="G77" s="804" t="s">
        <v>72</v>
      </c>
      <c r="H77" s="131" t="s">
        <v>73</v>
      </c>
      <c r="I77" s="178">
        <v>1.41</v>
      </c>
      <c r="J77" s="804" t="s">
        <v>140</v>
      </c>
      <c r="K77" s="131" t="s">
        <v>75</v>
      </c>
      <c r="L77" s="843" t="s">
        <v>142</v>
      </c>
      <c r="M77" s="843" t="s">
        <v>142</v>
      </c>
      <c r="N77" s="843" t="s">
        <v>142</v>
      </c>
      <c r="O77" s="843" t="s">
        <v>142</v>
      </c>
      <c r="P77" s="177" t="s">
        <v>143</v>
      </c>
      <c r="Q77" s="177" t="s">
        <v>143</v>
      </c>
      <c r="R77" s="179" t="s">
        <v>144</v>
      </c>
      <c r="S77" s="179" t="s">
        <v>145</v>
      </c>
      <c r="T77" s="825">
        <v>25000</v>
      </c>
      <c r="U77" s="825">
        <v>24500</v>
      </c>
      <c r="V77" s="825">
        <v>25500</v>
      </c>
      <c r="W77" s="836">
        <v>24500</v>
      </c>
      <c r="X77" s="759">
        <v>25500</v>
      </c>
      <c r="Y77" s="759">
        <v>28000</v>
      </c>
      <c r="Z77" s="759">
        <v>28500</v>
      </c>
      <c r="AA77" s="759">
        <v>28500</v>
      </c>
      <c r="AB77" s="180">
        <v>24500</v>
      </c>
      <c r="AC77" s="181">
        <v>26500</v>
      </c>
      <c r="AD77" s="181">
        <v>26500</v>
      </c>
      <c r="AE77" s="190" t="s">
        <v>80</v>
      </c>
      <c r="AF77" s="78">
        <v>39800</v>
      </c>
      <c r="AG77" s="79">
        <v>0.66582914572864327</v>
      </c>
      <c r="AH77" s="731" t="s">
        <v>97</v>
      </c>
      <c r="AI77" s="753" t="s">
        <v>81</v>
      </c>
      <c r="AJ77" s="753" t="s">
        <v>81</v>
      </c>
      <c r="AK77" s="754">
        <v>3580</v>
      </c>
      <c r="AL77" s="832">
        <f t="shared" si="1"/>
        <v>37365</v>
      </c>
      <c r="AM77" s="182">
        <v>4</v>
      </c>
    </row>
    <row r="78" spans="1:39" x14ac:dyDescent="0.3">
      <c r="A78" s="33">
        <v>81</v>
      </c>
      <c r="B78" s="33">
        <v>183</v>
      </c>
      <c r="C78" s="155" t="s">
        <v>270</v>
      </c>
      <c r="D78" s="191" t="s">
        <v>271</v>
      </c>
      <c r="E78" s="64" t="s">
        <v>273</v>
      </c>
      <c r="F78" s="799">
        <v>5</v>
      </c>
      <c r="G78" s="799" t="s">
        <v>72</v>
      </c>
      <c r="H78" s="36" t="s">
        <v>73</v>
      </c>
      <c r="I78" s="37">
        <v>1.23</v>
      </c>
      <c r="J78" s="799" t="s">
        <v>140</v>
      </c>
      <c r="K78" s="36" t="s">
        <v>75</v>
      </c>
      <c r="L78" s="835" t="s">
        <v>142</v>
      </c>
      <c r="M78" s="837" t="s">
        <v>142</v>
      </c>
      <c r="N78" s="837" t="s">
        <v>142</v>
      </c>
      <c r="O78" s="837" t="s">
        <v>142</v>
      </c>
      <c r="P78" s="35" t="s">
        <v>143</v>
      </c>
      <c r="Q78" s="35" t="s">
        <v>143</v>
      </c>
      <c r="R78" s="38" t="s">
        <v>144</v>
      </c>
      <c r="S78" s="38" t="s">
        <v>145</v>
      </c>
      <c r="T78" s="833">
        <v>25000</v>
      </c>
      <c r="U78" s="833">
        <v>22500</v>
      </c>
      <c r="V78" s="833">
        <v>22500</v>
      </c>
      <c r="W78" s="820">
        <v>22500</v>
      </c>
      <c r="X78" s="838">
        <v>26000</v>
      </c>
      <c r="Y78" s="838">
        <v>26000</v>
      </c>
      <c r="Z78" s="838">
        <v>25000</v>
      </c>
      <c r="AA78" s="838">
        <v>25000</v>
      </c>
      <c r="AB78" s="123">
        <v>25000</v>
      </c>
      <c r="AC78" s="123">
        <v>24000</v>
      </c>
      <c r="AD78" s="123">
        <v>24000</v>
      </c>
      <c r="AE78" s="36" t="s">
        <v>80</v>
      </c>
      <c r="AF78" s="138">
        <v>39800</v>
      </c>
      <c r="AG78" s="82">
        <v>0.60301507537688437</v>
      </c>
      <c r="AH78" s="734" t="s">
        <v>97</v>
      </c>
      <c r="AI78" s="749">
        <v>1580</v>
      </c>
      <c r="AJ78" s="749">
        <v>1880</v>
      </c>
      <c r="AK78" s="749">
        <v>3580</v>
      </c>
      <c r="AL78" s="832">
        <f t="shared" si="1"/>
        <v>29520</v>
      </c>
      <c r="AM78" s="121">
        <v>4</v>
      </c>
    </row>
    <row r="79" spans="1:39" x14ac:dyDescent="0.3">
      <c r="A79" s="33">
        <v>82</v>
      </c>
      <c r="B79" s="33">
        <v>3028</v>
      </c>
      <c r="C79" s="152" t="s">
        <v>270</v>
      </c>
      <c r="D79" s="128" t="s">
        <v>274</v>
      </c>
      <c r="E79" s="51" t="s">
        <v>275</v>
      </c>
      <c r="F79" s="800">
        <v>9925</v>
      </c>
      <c r="G79" s="800" t="s">
        <v>72</v>
      </c>
      <c r="H79" s="52" t="s">
        <v>73</v>
      </c>
      <c r="I79" s="53">
        <v>1.32</v>
      </c>
      <c r="J79" s="800" t="s">
        <v>74</v>
      </c>
      <c r="K79" s="52" t="s">
        <v>75</v>
      </c>
      <c r="L79" s="835" t="s">
        <v>142</v>
      </c>
      <c r="M79" s="835" t="s">
        <v>142</v>
      </c>
      <c r="N79" s="835" t="s">
        <v>142</v>
      </c>
      <c r="O79" s="835" t="s">
        <v>142</v>
      </c>
      <c r="P79" s="51" t="s">
        <v>143</v>
      </c>
      <c r="Q79" s="51" t="s">
        <v>143</v>
      </c>
      <c r="R79" s="55" t="s">
        <v>144</v>
      </c>
      <c r="S79" s="73" t="s">
        <v>145</v>
      </c>
      <c r="T79" s="825">
        <v>13400</v>
      </c>
      <c r="U79" s="825">
        <v>13000</v>
      </c>
      <c r="V79" s="825">
        <v>13000</v>
      </c>
      <c r="W79" s="822">
        <v>14100</v>
      </c>
      <c r="X79" s="760">
        <v>15100</v>
      </c>
      <c r="Y79" s="760">
        <v>16400</v>
      </c>
      <c r="Z79" s="760">
        <v>16200</v>
      </c>
      <c r="AA79" s="760">
        <v>16200</v>
      </c>
      <c r="AB79" s="129">
        <v>16200</v>
      </c>
      <c r="AC79" s="115">
        <v>14200</v>
      </c>
      <c r="AD79" s="115">
        <v>15600</v>
      </c>
      <c r="AE79" s="80" t="s">
        <v>80</v>
      </c>
      <c r="AF79" s="78">
        <v>39800</v>
      </c>
      <c r="AG79" s="79">
        <v>0.39195979899497485</v>
      </c>
      <c r="AH79" s="733" t="s">
        <v>97</v>
      </c>
      <c r="AI79" s="87" t="s">
        <v>81</v>
      </c>
      <c r="AJ79" s="87" t="s">
        <v>81</v>
      </c>
      <c r="AK79" s="748">
        <v>3580</v>
      </c>
      <c r="AL79" s="832">
        <f t="shared" si="1"/>
        <v>20592</v>
      </c>
      <c r="AM79" s="63">
        <v>4</v>
      </c>
    </row>
    <row r="80" spans="1:39" x14ac:dyDescent="0.3">
      <c r="A80" s="33">
        <v>83</v>
      </c>
      <c r="B80" s="33">
        <v>3029</v>
      </c>
      <c r="C80" s="153" t="s">
        <v>270</v>
      </c>
      <c r="D80" s="134" t="s">
        <v>274</v>
      </c>
      <c r="E80" s="35" t="s">
        <v>276</v>
      </c>
      <c r="F80" s="799">
        <v>9925</v>
      </c>
      <c r="G80" s="799" t="s">
        <v>72</v>
      </c>
      <c r="H80" s="65" t="s">
        <v>73</v>
      </c>
      <c r="I80" s="154">
        <v>7.2</v>
      </c>
      <c r="J80" s="799" t="s">
        <v>130</v>
      </c>
      <c r="K80" s="65" t="s">
        <v>75</v>
      </c>
      <c r="L80" s="835" t="s">
        <v>136</v>
      </c>
      <c r="M80" s="837" t="s">
        <v>136</v>
      </c>
      <c r="N80" s="837" t="s">
        <v>136</v>
      </c>
      <c r="O80" s="837" t="s">
        <v>136</v>
      </c>
      <c r="P80" s="837" t="s">
        <v>136</v>
      </c>
      <c r="Q80" s="837" t="s">
        <v>131</v>
      </c>
      <c r="R80" s="39" t="s">
        <v>132</v>
      </c>
      <c r="S80" s="38" t="s">
        <v>277</v>
      </c>
      <c r="T80" s="833">
        <v>13400</v>
      </c>
      <c r="U80" s="833">
        <v>13000</v>
      </c>
      <c r="V80" s="833">
        <v>13000</v>
      </c>
      <c r="W80" s="820">
        <f>W79</f>
        <v>14100</v>
      </c>
      <c r="X80" s="838">
        <f>X79</f>
        <v>15100</v>
      </c>
      <c r="Y80" s="838">
        <v>16400</v>
      </c>
      <c r="Z80" s="838">
        <v>16200</v>
      </c>
      <c r="AA80" s="838">
        <v>16200</v>
      </c>
      <c r="AB80" s="123">
        <v>16200</v>
      </c>
      <c r="AC80" s="123">
        <f>AC79</f>
        <v>14200</v>
      </c>
      <c r="AD80" s="120">
        <v>15600</v>
      </c>
      <c r="AE80" s="65" t="s">
        <v>97</v>
      </c>
      <c r="AF80" s="81">
        <v>44900</v>
      </c>
      <c r="AG80" s="82">
        <v>0.34743875278396436</v>
      </c>
      <c r="AH80" s="734" t="s">
        <v>1524</v>
      </c>
      <c r="AI80" s="84" t="s">
        <v>81</v>
      </c>
      <c r="AJ80" s="84" t="s">
        <v>81</v>
      </c>
      <c r="AK80" s="749">
        <v>4270</v>
      </c>
      <c r="AL80" s="832">
        <f t="shared" si="1"/>
        <v>112320</v>
      </c>
      <c r="AM80" s="49">
        <v>4</v>
      </c>
    </row>
    <row r="81" spans="1:39" x14ac:dyDescent="0.3">
      <c r="A81" s="33">
        <v>84</v>
      </c>
      <c r="B81" s="33">
        <v>3030</v>
      </c>
      <c r="C81" s="152" t="s">
        <v>270</v>
      </c>
      <c r="D81" s="128" t="s">
        <v>278</v>
      </c>
      <c r="E81" s="51" t="s">
        <v>279</v>
      </c>
      <c r="F81" s="800">
        <v>478.2</v>
      </c>
      <c r="G81" s="800" t="s">
        <v>72</v>
      </c>
      <c r="H81" s="52" t="s">
        <v>73</v>
      </c>
      <c r="I81" s="72">
        <v>2.2599999999999998</v>
      </c>
      <c r="J81" s="800" t="s">
        <v>130</v>
      </c>
      <c r="K81" s="52" t="s">
        <v>75</v>
      </c>
      <c r="L81" s="835" t="s">
        <v>135</v>
      </c>
      <c r="M81" s="835" t="s">
        <v>135</v>
      </c>
      <c r="N81" s="835" t="s">
        <v>135</v>
      </c>
      <c r="O81" s="835" t="s">
        <v>135</v>
      </c>
      <c r="P81" s="54" t="s">
        <v>143</v>
      </c>
      <c r="Q81" s="135" t="s">
        <v>143</v>
      </c>
      <c r="R81" s="55" t="s">
        <v>280</v>
      </c>
      <c r="S81" s="56" t="s">
        <v>145</v>
      </c>
      <c r="T81" s="825">
        <v>20000</v>
      </c>
      <c r="U81" s="825">
        <v>19800</v>
      </c>
      <c r="V81" s="825">
        <v>19800</v>
      </c>
      <c r="W81" s="822">
        <v>16400</v>
      </c>
      <c r="X81" s="760">
        <v>17600</v>
      </c>
      <c r="Y81" s="760">
        <v>18600</v>
      </c>
      <c r="Z81" s="760">
        <v>19100</v>
      </c>
      <c r="AA81" s="760">
        <v>18400</v>
      </c>
      <c r="AB81" s="129">
        <v>19500</v>
      </c>
      <c r="AC81" s="115">
        <v>18900</v>
      </c>
      <c r="AD81" s="115">
        <v>18900</v>
      </c>
      <c r="AE81" s="80" t="s">
        <v>80</v>
      </c>
      <c r="AF81" s="78">
        <v>39800</v>
      </c>
      <c r="AG81" s="79">
        <v>0.47487437185929648</v>
      </c>
      <c r="AH81" s="733" t="s">
        <v>97</v>
      </c>
      <c r="AI81" s="87" t="s">
        <v>81</v>
      </c>
      <c r="AJ81" s="87" t="s">
        <v>81</v>
      </c>
      <c r="AK81" s="748">
        <v>3580</v>
      </c>
      <c r="AL81" s="832">
        <f t="shared" si="1"/>
        <v>42713.999999999993</v>
      </c>
      <c r="AM81" s="63">
        <v>4</v>
      </c>
    </row>
    <row r="82" spans="1:39" x14ac:dyDescent="0.3">
      <c r="A82" s="33">
        <v>85</v>
      </c>
      <c r="B82" s="33">
        <v>186</v>
      </c>
      <c r="C82" s="155" t="s">
        <v>270</v>
      </c>
      <c r="D82" s="134" t="s">
        <v>278</v>
      </c>
      <c r="E82" s="64" t="s">
        <v>281</v>
      </c>
      <c r="F82" s="799">
        <v>478.1</v>
      </c>
      <c r="G82" s="799" t="s">
        <v>72</v>
      </c>
      <c r="H82" s="36" t="s">
        <v>73</v>
      </c>
      <c r="I82" s="37">
        <v>0.57999999999999996</v>
      </c>
      <c r="J82" s="799" t="s">
        <v>130</v>
      </c>
      <c r="K82" s="36" t="s">
        <v>75</v>
      </c>
      <c r="L82" s="835" t="s">
        <v>142</v>
      </c>
      <c r="M82" s="837" t="s">
        <v>142</v>
      </c>
      <c r="N82" s="837" t="s">
        <v>142</v>
      </c>
      <c r="O82" s="837" t="s">
        <v>142</v>
      </c>
      <c r="P82" s="35" t="s">
        <v>143</v>
      </c>
      <c r="Q82" s="35" t="s">
        <v>143</v>
      </c>
      <c r="R82" s="38" t="s">
        <v>144</v>
      </c>
      <c r="S82" s="38" t="s">
        <v>145</v>
      </c>
      <c r="T82" s="833">
        <v>20000</v>
      </c>
      <c r="U82" s="833">
        <v>19800</v>
      </c>
      <c r="V82" s="833">
        <f>19800+5400</f>
        <v>25200</v>
      </c>
      <c r="W82" s="820">
        <f>W81</f>
        <v>16400</v>
      </c>
      <c r="X82" s="838">
        <f>X81</f>
        <v>17600</v>
      </c>
      <c r="Y82" s="838">
        <v>18600</v>
      </c>
      <c r="Z82" s="838">
        <v>19100</v>
      </c>
      <c r="AA82" s="838">
        <v>18400</v>
      </c>
      <c r="AB82" s="123">
        <v>19500</v>
      </c>
      <c r="AC82" s="123">
        <f>AC81</f>
        <v>18900</v>
      </c>
      <c r="AD82" s="123">
        <v>18900</v>
      </c>
      <c r="AE82" s="36" t="s">
        <v>80</v>
      </c>
      <c r="AF82" s="138">
        <v>39800</v>
      </c>
      <c r="AG82" s="82">
        <v>0.47487437185929648</v>
      </c>
      <c r="AH82" s="734" t="s">
        <v>97</v>
      </c>
      <c r="AI82" s="84" t="s">
        <v>81</v>
      </c>
      <c r="AJ82" s="84" t="s">
        <v>81</v>
      </c>
      <c r="AK82" s="749">
        <v>3580</v>
      </c>
      <c r="AL82" s="832">
        <f t="shared" si="1"/>
        <v>10962</v>
      </c>
      <c r="AM82" s="121">
        <v>4</v>
      </c>
    </row>
    <row r="83" spans="1:39" x14ac:dyDescent="0.3">
      <c r="A83" s="33">
        <v>86</v>
      </c>
      <c r="B83" s="33">
        <v>187</v>
      </c>
      <c r="C83" s="157" t="s">
        <v>270</v>
      </c>
      <c r="D83" s="128" t="s">
        <v>282</v>
      </c>
      <c r="E83" s="51" t="s">
        <v>283</v>
      </c>
      <c r="F83" s="800">
        <v>532</v>
      </c>
      <c r="G83" s="800" t="s">
        <v>72</v>
      </c>
      <c r="H83" s="71" t="s">
        <v>73</v>
      </c>
      <c r="I83" s="72">
        <v>2.0299999999999998</v>
      </c>
      <c r="J83" s="800" t="s">
        <v>130</v>
      </c>
      <c r="K83" s="71" t="s">
        <v>75</v>
      </c>
      <c r="L83" s="835" t="s">
        <v>142</v>
      </c>
      <c r="M83" s="835" t="s">
        <v>142</v>
      </c>
      <c r="N83" s="835" t="s">
        <v>142</v>
      </c>
      <c r="O83" s="835" t="s">
        <v>142</v>
      </c>
      <c r="P83" s="51" t="s">
        <v>143</v>
      </c>
      <c r="Q83" s="51" t="s">
        <v>143</v>
      </c>
      <c r="R83" s="73" t="s">
        <v>144</v>
      </c>
      <c r="S83" s="73" t="s">
        <v>145</v>
      </c>
      <c r="T83" s="825">
        <v>27000</v>
      </c>
      <c r="U83" s="825">
        <v>24500</v>
      </c>
      <c r="V83" s="825">
        <v>25000</v>
      </c>
      <c r="W83" s="822">
        <v>26500</v>
      </c>
      <c r="X83" s="760">
        <v>27000</v>
      </c>
      <c r="Y83" s="760">
        <v>32000</v>
      </c>
      <c r="Z83" s="760">
        <v>30000</v>
      </c>
      <c r="AA83" s="760">
        <v>29500</v>
      </c>
      <c r="AB83" s="129">
        <v>31000</v>
      </c>
      <c r="AC83" s="115">
        <v>30000</v>
      </c>
      <c r="AD83" s="115">
        <v>30000</v>
      </c>
      <c r="AE83" s="140" t="s">
        <v>80</v>
      </c>
      <c r="AF83" s="78">
        <v>39800</v>
      </c>
      <c r="AG83" s="79">
        <v>0.75376884422110557</v>
      </c>
      <c r="AH83" s="733" t="s">
        <v>97</v>
      </c>
      <c r="AI83" s="87" t="s">
        <v>81</v>
      </c>
      <c r="AJ83" s="87" t="s">
        <v>81</v>
      </c>
      <c r="AK83" s="748">
        <v>3580</v>
      </c>
      <c r="AL83" s="832">
        <f t="shared" si="1"/>
        <v>60899.999999999993</v>
      </c>
      <c r="AM83" s="122">
        <v>4</v>
      </c>
    </row>
    <row r="84" spans="1:39" x14ac:dyDescent="0.3">
      <c r="A84" s="33">
        <v>87</v>
      </c>
      <c r="B84" s="33">
        <v>188</v>
      </c>
      <c r="C84" s="155" t="s">
        <v>270</v>
      </c>
      <c r="D84" s="134" t="s">
        <v>284</v>
      </c>
      <c r="E84" s="35" t="s">
        <v>285</v>
      </c>
      <c r="F84" s="799">
        <v>508</v>
      </c>
      <c r="G84" s="799" t="s">
        <v>72</v>
      </c>
      <c r="H84" s="36" t="s">
        <v>73</v>
      </c>
      <c r="I84" s="37">
        <v>0.71</v>
      </c>
      <c r="J84" s="799" t="s">
        <v>205</v>
      </c>
      <c r="K84" s="36" t="s">
        <v>75</v>
      </c>
      <c r="L84" s="835" t="s">
        <v>286</v>
      </c>
      <c r="M84" s="839" t="s">
        <v>287</v>
      </c>
      <c r="N84" s="837" t="s">
        <v>287</v>
      </c>
      <c r="O84" s="837" t="s">
        <v>287</v>
      </c>
      <c r="P84" s="35" t="s">
        <v>288</v>
      </c>
      <c r="Q84" s="35" t="s">
        <v>288</v>
      </c>
      <c r="R84" s="38" t="s">
        <v>144</v>
      </c>
      <c r="S84" s="38" t="s">
        <v>145</v>
      </c>
      <c r="T84" s="833">
        <v>40500</v>
      </c>
      <c r="U84" s="66">
        <v>40500</v>
      </c>
      <c r="V84" s="66">
        <v>37500</v>
      </c>
      <c r="W84" s="820">
        <v>43000</v>
      </c>
      <c r="X84" s="838">
        <v>45000</v>
      </c>
      <c r="Y84" s="838">
        <v>39000</v>
      </c>
      <c r="Z84" s="838">
        <v>39000</v>
      </c>
      <c r="AA84" s="838">
        <v>46500</v>
      </c>
      <c r="AB84" s="123">
        <v>47500</v>
      </c>
      <c r="AC84" s="123">
        <v>46500</v>
      </c>
      <c r="AD84" s="120">
        <v>39500</v>
      </c>
      <c r="AE84" s="65" t="s">
        <v>97</v>
      </c>
      <c r="AF84" s="81">
        <v>78800</v>
      </c>
      <c r="AG84" s="82">
        <v>0.50126903553299496</v>
      </c>
      <c r="AH84" s="83" t="s">
        <v>97</v>
      </c>
      <c r="AI84" s="749">
        <v>3180</v>
      </c>
      <c r="AJ84" s="749">
        <v>3290</v>
      </c>
      <c r="AK84" s="749">
        <v>7090</v>
      </c>
      <c r="AL84" s="832">
        <f t="shared" si="1"/>
        <v>28045</v>
      </c>
      <c r="AM84" s="121">
        <v>8</v>
      </c>
    </row>
    <row r="85" spans="1:39" x14ac:dyDescent="0.3">
      <c r="A85" s="33">
        <v>88</v>
      </c>
      <c r="B85" s="33">
        <v>189</v>
      </c>
      <c r="C85" s="157" t="s">
        <v>270</v>
      </c>
      <c r="D85" s="128" t="s">
        <v>289</v>
      </c>
      <c r="E85" s="70" t="s">
        <v>290</v>
      </c>
      <c r="F85" s="800">
        <v>5172</v>
      </c>
      <c r="G85" s="800" t="s">
        <v>72</v>
      </c>
      <c r="H85" s="71" t="s">
        <v>73</v>
      </c>
      <c r="I85" s="72">
        <v>1.1299999999999999</v>
      </c>
      <c r="J85" s="800" t="s">
        <v>205</v>
      </c>
      <c r="K85" s="71" t="s">
        <v>75</v>
      </c>
      <c r="L85" s="835" t="s">
        <v>286</v>
      </c>
      <c r="M85" s="839" t="s">
        <v>287</v>
      </c>
      <c r="N85" s="835" t="s">
        <v>287</v>
      </c>
      <c r="O85" s="835" t="s">
        <v>287</v>
      </c>
      <c r="P85" s="51" t="s">
        <v>288</v>
      </c>
      <c r="Q85" s="51" t="s">
        <v>288</v>
      </c>
      <c r="R85" s="73" t="s">
        <v>144</v>
      </c>
      <c r="S85" s="73" t="s">
        <v>145</v>
      </c>
      <c r="T85" s="825">
        <v>43000</v>
      </c>
      <c r="U85" s="192">
        <v>41500</v>
      </c>
      <c r="V85" s="192">
        <v>42000</v>
      </c>
      <c r="W85" s="822">
        <v>43500</v>
      </c>
      <c r="X85" s="760">
        <v>41000</v>
      </c>
      <c r="Y85" s="760">
        <v>50500</v>
      </c>
      <c r="Z85" s="760">
        <v>40500</v>
      </c>
      <c r="AA85" s="760">
        <v>41500</v>
      </c>
      <c r="AB85" s="129">
        <v>46000</v>
      </c>
      <c r="AC85" s="115">
        <v>45000</v>
      </c>
      <c r="AD85" s="115">
        <v>45000</v>
      </c>
      <c r="AE85" s="80" t="s">
        <v>97</v>
      </c>
      <c r="AF85" s="78">
        <v>78800</v>
      </c>
      <c r="AG85" s="79">
        <v>0.57106598984771573</v>
      </c>
      <c r="AH85" s="80" t="s">
        <v>97</v>
      </c>
      <c r="AI85" s="87" t="s">
        <v>81</v>
      </c>
      <c r="AJ85" s="87" t="s">
        <v>81</v>
      </c>
      <c r="AK85" s="748">
        <v>7090</v>
      </c>
      <c r="AL85" s="832">
        <f t="shared" si="1"/>
        <v>50849.999999999993</v>
      </c>
      <c r="AM85" s="122">
        <v>8</v>
      </c>
    </row>
    <row r="86" spans="1:39" x14ac:dyDescent="0.3">
      <c r="A86" s="33">
        <v>89</v>
      </c>
      <c r="B86" s="33">
        <v>190</v>
      </c>
      <c r="C86" s="155" t="s">
        <v>270</v>
      </c>
      <c r="D86" s="134" t="s">
        <v>291</v>
      </c>
      <c r="E86" s="35" t="s">
        <v>292</v>
      </c>
      <c r="F86" s="799">
        <v>5094</v>
      </c>
      <c r="G86" s="799" t="s">
        <v>72</v>
      </c>
      <c r="H86" s="36" t="s">
        <v>73</v>
      </c>
      <c r="I86" s="37">
        <v>0.86</v>
      </c>
      <c r="J86" s="799" t="s">
        <v>205</v>
      </c>
      <c r="K86" s="36" t="s">
        <v>75</v>
      </c>
      <c r="L86" s="837" t="s">
        <v>286</v>
      </c>
      <c r="M86" s="837" t="s">
        <v>287</v>
      </c>
      <c r="N86" s="837" t="s">
        <v>287</v>
      </c>
      <c r="O86" s="837" t="s">
        <v>287</v>
      </c>
      <c r="P86" s="35" t="s">
        <v>288</v>
      </c>
      <c r="Q86" s="35" t="s">
        <v>288</v>
      </c>
      <c r="R86" s="38" t="s">
        <v>144</v>
      </c>
      <c r="S86" s="38" t="s">
        <v>145</v>
      </c>
      <c r="T86" s="833">
        <v>39500</v>
      </c>
      <c r="U86" s="66">
        <v>35500</v>
      </c>
      <c r="V86" s="66">
        <v>36000</v>
      </c>
      <c r="W86" s="820">
        <v>35500</v>
      </c>
      <c r="X86" s="838">
        <v>36500</v>
      </c>
      <c r="Y86" s="838">
        <v>37500</v>
      </c>
      <c r="Z86" s="838">
        <v>38500</v>
      </c>
      <c r="AA86" s="838">
        <v>38000</v>
      </c>
      <c r="AB86" s="123">
        <v>39000</v>
      </c>
      <c r="AC86" s="123">
        <v>38000</v>
      </c>
      <c r="AD86" s="120">
        <v>39500</v>
      </c>
      <c r="AE86" s="83" t="s">
        <v>80</v>
      </c>
      <c r="AF86" s="81">
        <v>78800</v>
      </c>
      <c r="AG86" s="82">
        <v>0.50126903553299496</v>
      </c>
      <c r="AH86" s="83" t="s">
        <v>97</v>
      </c>
      <c r="AI86" s="749">
        <v>2620</v>
      </c>
      <c r="AJ86" s="749">
        <v>3270</v>
      </c>
      <c r="AK86" s="749">
        <v>7210</v>
      </c>
      <c r="AL86" s="832">
        <f t="shared" si="1"/>
        <v>33970</v>
      </c>
      <c r="AM86" s="121">
        <v>8</v>
      </c>
    </row>
    <row r="87" spans="1:39" x14ac:dyDescent="0.3">
      <c r="A87" s="33">
        <v>90</v>
      </c>
      <c r="B87" s="33">
        <v>192</v>
      </c>
      <c r="C87" s="157" t="s">
        <v>270</v>
      </c>
      <c r="D87" s="128" t="s">
        <v>293</v>
      </c>
      <c r="E87" s="51" t="s">
        <v>294</v>
      </c>
      <c r="F87" s="800">
        <v>5096</v>
      </c>
      <c r="G87" s="800" t="s">
        <v>72</v>
      </c>
      <c r="H87" s="71" t="s">
        <v>73</v>
      </c>
      <c r="I87" s="72">
        <v>0.93</v>
      </c>
      <c r="J87" s="800" t="s">
        <v>140</v>
      </c>
      <c r="K87" s="71" t="s">
        <v>75</v>
      </c>
      <c r="L87" s="835" t="s">
        <v>225</v>
      </c>
      <c r="M87" s="839" t="s">
        <v>295</v>
      </c>
      <c r="N87" s="835" t="s">
        <v>295</v>
      </c>
      <c r="O87" s="835" t="s">
        <v>295</v>
      </c>
      <c r="P87" s="51" t="s">
        <v>226</v>
      </c>
      <c r="Q87" s="51" t="s">
        <v>226</v>
      </c>
      <c r="R87" s="73" t="s">
        <v>144</v>
      </c>
      <c r="S87" s="73" t="s">
        <v>145</v>
      </c>
      <c r="T87" s="57">
        <v>43000</v>
      </c>
      <c r="U87" s="192">
        <v>39000</v>
      </c>
      <c r="V87" s="192">
        <v>36000</v>
      </c>
      <c r="W87" s="822">
        <v>36500</v>
      </c>
      <c r="X87" s="760">
        <v>37500</v>
      </c>
      <c r="Y87" s="760">
        <v>44500</v>
      </c>
      <c r="Z87" s="760">
        <v>41500</v>
      </c>
      <c r="AA87" s="760">
        <v>40000</v>
      </c>
      <c r="AB87" s="129">
        <v>41000</v>
      </c>
      <c r="AC87" s="115">
        <v>40000</v>
      </c>
      <c r="AD87" s="115">
        <v>36000</v>
      </c>
      <c r="AE87" s="80" t="s">
        <v>80</v>
      </c>
      <c r="AF87" s="78">
        <v>59900</v>
      </c>
      <c r="AG87" s="79">
        <v>0.60100166944908184</v>
      </c>
      <c r="AH87" s="733" t="s">
        <v>97</v>
      </c>
      <c r="AI87" s="748">
        <v>2570</v>
      </c>
      <c r="AJ87" s="748">
        <v>2800</v>
      </c>
      <c r="AK87" s="748">
        <v>5390</v>
      </c>
      <c r="AL87" s="832">
        <f t="shared" si="1"/>
        <v>33480</v>
      </c>
      <c r="AM87" s="122">
        <v>6</v>
      </c>
    </row>
    <row r="88" spans="1:39" x14ac:dyDescent="0.3">
      <c r="A88" s="33">
        <v>91</v>
      </c>
      <c r="B88" s="33">
        <v>193</v>
      </c>
      <c r="C88" s="155" t="s">
        <v>270</v>
      </c>
      <c r="D88" s="134" t="s">
        <v>296</v>
      </c>
      <c r="E88" s="64" t="s">
        <v>297</v>
      </c>
      <c r="F88" s="799">
        <v>5099</v>
      </c>
      <c r="G88" s="799" t="s">
        <v>72</v>
      </c>
      <c r="H88" s="36" t="s">
        <v>73</v>
      </c>
      <c r="I88" s="37">
        <v>0.78</v>
      </c>
      <c r="J88" s="799" t="s">
        <v>158</v>
      </c>
      <c r="K88" s="36" t="s">
        <v>75</v>
      </c>
      <c r="L88" s="837" t="s">
        <v>142</v>
      </c>
      <c r="M88" s="837" t="s">
        <v>170</v>
      </c>
      <c r="N88" s="837" t="s">
        <v>170</v>
      </c>
      <c r="O88" s="837" t="s">
        <v>170</v>
      </c>
      <c r="P88" s="35" t="s">
        <v>143</v>
      </c>
      <c r="Q88" s="35" t="s">
        <v>143</v>
      </c>
      <c r="R88" s="38" t="s">
        <v>144</v>
      </c>
      <c r="S88" s="38" t="s">
        <v>145</v>
      </c>
      <c r="T88" s="66">
        <v>25500</v>
      </c>
      <c r="U88" s="66">
        <v>27500</v>
      </c>
      <c r="V88" s="833">
        <v>26000</v>
      </c>
      <c r="W88" s="820">
        <v>28500</v>
      </c>
      <c r="X88" s="838">
        <v>29500</v>
      </c>
      <c r="Y88" s="838">
        <v>28000</v>
      </c>
      <c r="Z88" s="838">
        <v>27500</v>
      </c>
      <c r="AA88" s="838">
        <v>28500</v>
      </c>
      <c r="AB88" s="123">
        <v>29000</v>
      </c>
      <c r="AC88" s="123">
        <v>28000</v>
      </c>
      <c r="AD88" s="123">
        <v>28000</v>
      </c>
      <c r="AE88" s="65" t="s">
        <v>80</v>
      </c>
      <c r="AF88" s="138">
        <v>39800</v>
      </c>
      <c r="AG88" s="82">
        <v>0.70351758793969854</v>
      </c>
      <c r="AH88" s="734" t="s">
        <v>97</v>
      </c>
      <c r="AI88" s="84" t="s">
        <v>81</v>
      </c>
      <c r="AJ88" s="84" t="s">
        <v>81</v>
      </c>
      <c r="AK88" s="749">
        <v>3580</v>
      </c>
      <c r="AL88" s="832">
        <f t="shared" si="1"/>
        <v>21840</v>
      </c>
      <c r="AM88" s="121">
        <v>4</v>
      </c>
    </row>
    <row r="89" spans="1:39" x14ac:dyDescent="0.3">
      <c r="A89" s="33">
        <v>92</v>
      </c>
      <c r="B89" s="33">
        <v>194</v>
      </c>
      <c r="C89" s="157" t="s">
        <v>270</v>
      </c>
      <c r="D89" s="128" t="s">
        <v>298</v>
      </c>
      <c r="E89" s="70" t="s">
        <v>299</v>
      </c>
      <c r="F89" s="800">
        <v>5104</v>
      </c>
      <c r="G89" s="800" t="s">
        <v>72</v>
      </c>
      <c r="H89" s="71" t="s">
        <v>73</v>
      </c>
      <c r="I89" s="72">
        <v>0.38</v>
      </c>
      <c r="J89" s="800" t="s">
        <v>158</v>
      </c>
      <c r="K89" s="71" t="s">
        <v>75</v>
      </c>
      <c r="L89" s="835" t="s">
        <v>142</v>
      </c>
      <c r="M89" s="839" t="s">
        <v>170</v>
      </c>
      <c r="N89" s="835" t="s">
        <v>170</v>
      </c>
      <c r="O89" s="835" t="s">
        <v>170</v>
      </c>
      <c r="P89" s="51" t="s">
        <v>143</v>
      </c>
      <c r="Q89" s="51" t="s">
        <v>143</v>
      </c>
      <c r="R89" s="73" t="s">
        <v>144</v>
      </c>
      <c r="S89" s="73" t="s">
        <v>145</v>
      </c>
      <c r="T89" s="57">
        <v>25500</v>
      </c>
      <c r="U89" s="192">
        <v>26000</v>
      </c>
      <c r="V89" s="192">
        <v>22000</v>
      </c>
      <c r="W89" s="822">
        <v>24500</v>
      </c>
      <c r="X89" s="760">
        <v>25500</v>
      </c>
      <c r="Y89" s="760">
        <v>26000</v>
      </c>
      <c r="Z89" s="760">
        <v>27000</v>
      </c>
      <c r="AA89" s="849" t="s">
        <v>81</v>
      </c>
      <c r="AB89" s="193">
        <v>23500</v>
      </c>
      <c r="AC89" s="194">
        <v>22500</v>
      </c>
      <c r="AD89" s="194">
        <v>22500</v>
      </c>
      <c r="AE89" s="80" t="s">
        <v>80</v>
      </c>
      <c r="AF89" s="78">
        <v>39800</v>
      </c>
      <c r="AG89" s="79">
        <v>0.5653266331658291</v>
      </c>
      <c r="AH89" s="733" t="s">
        <v>97</v>
      </c>
      <c r="AI89" s="748">
        <v>1410</v>
      </c>
      <c r="AJ89" s="748">
        <v>1620</v>
      </c>
      <c r="AK89" s="748">
        <v>3580</v>
      </c>
      <c r="AL89" s="832">
        <f t="shared" si="1"/>
        <v>8550</v>
      </c>
      <c r="AM89" s="122">
        <v>4</v>
      </c>
    </row>
    <row r="90" spans="1:39" x14ac:dyDescent="0.3">
      <c r="A90" s="33">
        <v>93</v>
      </c>
      <c r="B90" s="33">
        <v>195</v>
      </c>
      <c r="C90" s="155" t="s">
        <v>270</v>
      </c>
      <c r="D90" s="134" t="s">
        <v>300</v>
      </c>
      <c r="E90" s="64" t="s">
        <v>301</v>
      </c>
      <c r="F90" s="799">
        <v>5105</v>
      </c>
      <c r="G90" s="799" t="s">
        <v>72</v>
      </c>
      <c r="H90" s="36" t="s">
        <v>73</v>
      </c>
      <c r="I90" s="37">
        <v>0.23</v>
      </c>
      <c r="J90" s="799" t="s">
        <v>237</v>
      </c>
      <c r="K90" s="36" t="s">
        <v>75</v>
      </c>
      <c r="L90" s="835" t="s">
        <v>142</v>
      </c>
      <c r="M90" s="839" t="s">
        <v>170</v>
      </c>
      <c r="N90" s="837" t="s">
        <v>170</v>
      </c>
      <c r="O90" s="837" t="s">
        <v>170</v>
      </c>
      <c r="P90" s="35" t="s">
        <v>155</v>
      </c>
      <c r="Q90" s="35" t="s">
        <v>155</v>
      </c>
      <c r="R90" s="38" t="s">
        <v>144</v>
      </c>
      <c r="S90" s="38" t="s">
        <v>145</v>
      </c>
      <c r="T90" s="833">
        <v>17500</v>
      </c>
      <c r="U90" s="833">
        <v>17300</v>
      </c>
      <c r="V90" s="833">
        <v>15200</v>
      </c>
      <c r="W90" s="820">
        <v>18100</v>
      </c>
      <c r="X90" s="838">
        <v>18800</v>
      </c>
      <c r="Y90" s="838">
        <v>23500</v>
      </c>
      <c r="Z90" s="838">
        <v>22500</v>
      </c>
      <c r="AA90" s="838">
        <v>23000</v>
      </c>
      <c r="AB90" s="123">
        <v>23000</v>
      </c>
      <c r="AC90" s="123">
        <v>15000</v>
      </c>
      <c r="AD90" s="123">
        <v>15000</v>
      </c>
      <c r="AE90" s="36" t="s">
        <v>80</v>
      </c>
      <c r="AF90" s="138">
        <v>32400</v>
      </c>
      <c r="AG90" s="82">
        <v>0.46296296296296297</v>
      </c>
      <c r="AH90" s="734" t="s">
        <v>80</v>
      </c>
      <c r="AI90" s="84" t="s">
        <v>81</v>
      </c>
      <c r="AJ90" s="84" t="s">
        <v>81</v>
      </c>
      <c r="AK90" s="749">
        <v>2920</v>
      </c>
      <c r="AL90" s="832">
        <f t="shared" si="1"/>
        <v>3450</v>
      </c>
      <c r="AM90" s="121">
        <v>4</v>
      </c>
    </row>
    <row r="91" spans="1:39" x14ac:dyDescent="0.3">
      <c r="A91" s="33">
        <v>94</v>
      </c>
      <c r="B91" s="33">
        <v>197</v>
      </c>
      <c r="C91" s="152" t="s">
        <v>270</v>
      </c>
      <c r="D91" s="128" t="s">
        <v>302</v>
      </c>
      <c r="E91" s="51" t="s">
        <v>303</v>
      </c>
      <c r="F91" s="800">
        <v>337</v>
      </c>
      <c r="G91" s="800" t="s">
        <v>72</v>
      </c>
      <c r="H91" s="71" t="s">
        <v>73</v>
      </c>
      <c r="I91" s="72">
        <v>0.88</v>
      </c>
      <c r="J91" s="800" t="s">
        <v>158</v>
      </c>
      <c r="K91" s="71" t="s">
        <v>75</v>
      </c>
      <c r="L91" s="835" t="s">
        <v>142</v>
      </c>
      <c r="M91" s="839" t="s">
        <v>170</v>
      </c>
      <c r="N91" s="835" t="s">
        <v>170</v>
      </c>
      <c r="O91" s="835" t="s">
        <v>170</v>
      </c>
      <c r="P91" s="51" t="s">
        <v>143</v>
      </c>
      <c r="Q91" s="51" t="s">
        <v>143</v>
      </c>
      <c r="R91" s="73" t="s">
        <v>144</v>
      </c>
      <c r="S91" s="73" t="s">
        <v>145</v>
      </c>
      <c r="T91" s="825">
        <v>13500</v>
      </c>
      <c r="U91" s="825">
        <v>18100</v>
      </c>
      <c r="V91" s="825">
        <v>13200</v>
      </c>
      <c r="W91" s="822">
        <v>14300</v>
      </c>
      <c r="X91" s="760">
        <v>16100</v>
      </c>
      <c r="Y91" s="760">
        <v>22300</v>
      </c>
      <c r="Z91" s="760">
        <v>27000</v>
      </c>
      <c r="AA91" s="760">
        <v>25000</v>
      </c>
      <c r="AB91" s="129">
        <v>23000</v>
      </c>
      <c r="AC91" s="115">
        <v>22000</v>
      </c>
      <c r="AD91" s="115">
        <v>22000</v>
      </c>
      <c r="AE91" s="140" t="s">
        <v>80</v>
      </c>
      <c r="AF91" s="78">
        <v>39800</v>
      </c>
      <c r="AG91" s="79">
        <v>0.55276381909547734</v>
      </c>
      <c r="AH91" s="733" t="s">
        <v>97</v>
      </c>
      <c r="AI91" s="87" t="s">
        <v>81</v>
      </c>
      <c r="AJ91" s="87" t="s">
        <v>81</v>
      </c>
      <c r="AK91" s="748">
        <v>3580</v>
      </c>
      <c r="AL91" s="832">
        <f t="shared" si="1"/>
        <v>19360</v>
      </c>
      <c r="AM91" s="122">
        <v>4</v>
      </c>
    </row>
    <row r="92" spans="1:39" ht="15" thickBot="1" x14ac:dyDescent="0.35">
      <c r="A92" s="88">
        <v>95</v>
      </c>
      <c r="B92" s="88">
        <v>198</v>
      </c>
      <c r="C92" s="184" t="s">
        <v>270</v>
      </c>
      <c r="D92" s="195" t="s">
        <v>304</v>
      </c>
      <c r="E92" s="91" t="s">
        <v>305</v>
      </c>
      <c r="F92" s="801">
        <v>5109</v>
      </c>
      <c r="G92" s="801" t="s">
        <v>72</v>
      </c>
      <c r="H92" s="92" t="s">
        <v>73</v>
      </c>
      <c r="I92" s="93">
        <v>0.3</v>
      </c>
      <c r="J92" s="801" t="s">
        <v>237</v>
      </c>
      <c r="K92" s="92" t="s">
        <v>75</v>
      </c>
      <c r="L92" s="845" t="s">
        <v>142</v>
      </c>
      <c r="M92" s="850" t="s">
        <v>170</v>
      </c>
      <c r="N92" s="841" t="s">
        <v>170</v>
      </c>
      <c r="O92" s="841" t="s">
        <v>170</v>
      </c>
      <c r="P92" s="91" t="s">
        <v>155</v>
      </c>
      <c r="Q92" s="91" t="s">
        <v>155</v>
      </c>
      <c r="R92" s="94" t="s">
        <v>144</v>
      </c>
      <c r="S92" s="94" t="s">
        <v>145</v>
      </c>
      <c r="T92" s="827">
        <v>8900</v>
      </c>
      <c r="U92" s="827">
        <v>9900</v>
      </c>
      <c r="V92" s="827">
        <v>8200</v>
      </c>
      <c r="W92" s="828">
        <v>7900</v>
      </c>
      <c r="X92" s="842">
        <v>8200</v>
      </c>
      <c r="Y92" s="842">
        <v>11700</v>
      </c>
      <c r="Z92" s="842">
        <v>12400</v>
      </c>
      <c r="AA92" s="842">
        <v>14300</v>
      </c>
      <c r="AB92" s="146">
        <v>14500</v>
      </c>
      <c r="AC92" s="146">
        <v>14100</v>
      </c>
      <c r="AD92" s="126">
        <v>9200</v>
      </c>
      <c r="AE92" s="92" t="s">
        <v>80</v>
      </c>
      <c r="AF92" s="186">
        <v>32400</v>
      </c>
      <c r="AG92" s="147">
        <v>0.2839506172839506</v>
      </c>
      <c r="AH92" s="736" t="s">
        <v>97</v>
      </c>
      <c r="AI92" s="750">
        <v>480</v>
      </c>
      <c r="AJ92" s="750">
        <v>740</v>
      </c>
      <c r="AK92" s="750">
        <v>2920</v>
      </c>
      <c r="AL92" s="829">
        <f t="shared" si="1"/>
        <v>2760</v>
      </c>
      <c r="AM92" s="127">
        <v>4</v>
      </c>
    </row>
    <row r="93" spans="1:39" x14ac:dyDescent="0.3">
      <c r="A93" s="103">
        <v>112</v>
      </c>
      <c r="B93" s="103">
        <v>12</v>
      </c>
      <c r="C93" s="196" t="s">
        <v>306</v>
      </c>
      <c r="D93" s="176" t="s">
        <v>307</v>
      </c>
      <c r="E93" s="177" t="s">
        <v>308</v>
      </c>
      <c r="F93" s="804">
        <v>427</v>
      </c>
      <c r="G93" s="804" t="s">
        <v>72</v>
      </c>
      <c r="H93" s="131" t="s">
        <v>73</v>
      </c>
      <c r="I93" s="178">
        <v>1.25</v>
      </c>
      <c r="J93" s="804" t="s">
        <v>154</v>
      </c>
      <c r="K93" s="131" t="s">
        <v>75</v>
      </c>
      <c r="L93" s="843" t="s">
        <v>142</v>
      </c>
      <c r="M93" s="843" t="s">
        <v>142</v>
      </c>
      <c r="N93" s="843" t="s">
        <v>142</v>
      </c>
      <c r="O93" s="843" t="s">
        <v>142</v>
      </c>
      <c r="P93" s="177" t="s">
        <v>155</v>
      </c>
      <c r="Q93" s="177" t="s">
        <v>155</v>
      </c>
      <c r="R93" s="179" t="s">
        <v>144</v>
      </c>
      <c r="S93" s="179" t="s">
        <v>145</v>
      </c>
      <c r="T93" s="825">
        <v>27000</v>
      </c>
      <c r="U93" s="825">
        <v>26000</v>
      </c>
      <c r="V93" s="825">
        <v>26000</v>
      </c>
      <c r="W93" s="836">
        <v>28000</v>
      </c>
      <c r="X93" s="759">
        <v>30000</v>
      </c>
      <c r="Y93" s="759">
        <v>30500</v>
      </c>
      <c r="Z93" s="759">
        <v>22500</v>
      </c>
      <c r="AA93" s="759">
        <v>23500</v>
      </c>
      <c r="AB93" s="180">
        <v>25500</v>
      </c>
      <c r="AC93" s="181">
        <v>24500</v>
      </c>
      <c r="AD93" s="181">
        <v>24500</v>
      </c>
      <c r="AE93" s="86" t="s">
        <v>80</v>
      </c>
      <c r="AF93" s="78">
        <v>32400</v>
      </c>
      <c r="AG93" s="79">
        <v>0.75617283950617287</v>
      </c>
      <c r="AH93" s="731" t="s">
        <v>80</v>
      </c>
      <c r="AI93" s="753" t="s">
        <v>81</v>
      </c>
      <c r="AJ93" s="753" t="s">
        <v>81</v>
      </c>
      <c r="AK93" s="754">
        <v>2920</v>
      </c>
      <c r="AL93" s="832">
        <f t="shared" si="1"/>
        <v>30625</v>
      </c>
      <c r="AM93" s="182">
        <v>4</v>
      </c>
    </row>
    <row r="94" spans="1:39" x14ac:dyDescent="0.3">
      <c r="A94" s="33">
        <v>111</v>
      </c>
      <c r="B94" s="33">
        <v>11</v>
      </c>
      <c r="C94" s="116" t="s">
        <v>309</v>
      </c>
      <c r="D94" s="117" t="s">
        <v>310</v>
      </c>
      <c r="E94" s="64" t="s">
        <v>311</v>
      </c>
      <c r="F94" s="799">
        <v>477</v>
      </c>
      <c r="G94" s="799" t="s">
        <v>72</v>
      </c>
      <c r="H94" s="36" t="s">
        <v>73</v>
      </c>
      <c r="I94" s="37">
        <v>1.05</v>
      </c>
      <c r="J94" s="799" t="s">
        <v>154</v>
      </c>
      <c r="K94" s="36" t="s">
        <v>104</v>
      </c>
      <c r="L94" s="837" t="s">
        <v>142</v>
      </c>
      <c r="M94" s="837" t="s">
        <v>142</v>
      </c>
      <c r="N94" s="837" t="s">
        <v>142</v>
      </c>
      <c r="O94" s="837" t="s">
        <v>142</v>
      </c>
      <c r="P94" s="35" t="s">
        <v>155</v>
      </c>
      <c r="Q94" s="35" t="s">
        <v>155</v>
      </c>
      <c r="R94" s="38" t="s">
        <v>144</v>
      </c>
      <c r="S94" s="38" t="s">
        <v>145</v>
      </c>
      <c r="T94" s="833">
        <v>13700</v>
      </c>
      <c r="U94" s="833">
        <v>11200</v>
      </c>
      <c r="V94" s="833">
        <v>12500</v>
      </c>
      <c r="W94" s="820">
        <v>11800</v>
      </c>
      <c r="X94" s="838">
        <v>12200</v>
      </c>
      <c r="Y94" s="838">
        <v>13600</v>
      </c>
      <c r="Z94" s="838">
        <v>12600</v>
      </c>
      <c r="AA94" s="838">
        <v>14800</v>
      </c>
      <c r="AB94" s="123">
        <v>15000</v>
      </c>
      <c r="AC94" s="123">
        <v>14600</v>
      </c>
      <c r="AD94" s="120">
        <v>14200</v>
      </c>
      <c r="AE94" s="36" t="s">
        <v>80</v>
      </c>
      <c r="AF94" s="138">
        <v>32400</v>
      </c>
      <c r="AG94" s="82">
        <v>0.43827160493827161</v>
      </c>
      <c r="AH94" s="734" t="s">
        <v>80</v>
      </c>
      <c r="AI94" s="84" t="s">
        <v>81</v>
      </c>
      <c r="AJ94" s="84" t="s">
        <v>81</v>
      </c>
      <c r="AK94" s="749">
        <v>2920</v>
      </c>
      <c r="AL94" s="832">
        <f t="shared" si="1"/>
        <v>14910</v>
      </c>
      <c r="AM94" s="121">
        <v>4</v>
      </c>
    </row>
    <row r="95" spans="1:39" x14ac:dyDescent="0.3">
      <c r="A95" s="33">
        <v>110</v>
      </c>
      <c r="B95" s="33">
        <v>10</v>
      </c>
      <c r="C95" s="113" t="s">
        <v>309</v>
      </c>
      <c r="D95" s="114" t="s">
        <v>312</v>
      </c>
      <c r="E95" s="70" t="s">
        <v>313</v>
      </c>
      <c r="F95" s="800">
        <v>5179</v>
      </c>
      <c r="G95" s="800" t="s">
        <v>72</v>
      </c>
      <c r="H95" s="71" t="s">
        <v>73</v>
      </c>
      <c r="I95" s="72">
        <v>1.29</v>
      </c>
      <c r="J95" s="800" t="s">
        <v>154</v>
      </c>
      <c r="K95" s="71" t="s">
        <v>104</v>
      </c>
      <c r="L95" s="835" t="s">
        <v>142</v>
      </c>
      <c r="M95" s="835" t="s">
        <v>142</v>
      </c>
      <c r="N95" s="835" t="s">
        <v>142</v>
      </c>
      <c r="O95" s="835" t="s">
        <v>142</v>
      </c>
      <c r="P95" s="51" t="s">
        <v>155</v>
      </c>
      <c r="Q95" s="51" t="s">
        <v>155</v>
      </c>
      <c r="R95" s="73" t="s">
        <v>144</v>
      </c>
      <c r="S95" s="73" t="s">
        <v>145</v>
      </c>
      <c r="T95" s="825">
        <v>13800</v>
      </c>
      <c r="U95" s="825">
        <v>11400</v>
      </c>
      <c r="V95" s="825">
        <v>12800</v>
      </c>
      <c r="W95" s="822">
        <v>13200</v>
      </c>
      <c r="X95" s="760">
        <v>13700</v>
      </c>
      <c r="Y95" s="760">
        <v>13900</v>
      </c>
      <c r="Z95" s="760">
        <v>12800</v>
      </c>
      <c r="AA95" s="760">
        <v>15200</v>
      </c>
      <c r="AB95" s="129">
        <v>15400</v>
      </c>
      <c r="AC95" s="115">
        <v>15000</v>
      </c>
      <c r="AD95" s="115">
        <v>13200</v>
      </c>
      <c r="AE95" s="80" t="s">
        <v>80</v>
      </c>
      <c r="AF95" s="78">
        <v>32400</v>
      </c>
      <c r="AG95" s="79">
        <v>0.40740740740740738</v>
      </c>
      <c r="AH95" s="733" t="s">
        <v>80</v>
      </c>
      <c r="AI95" s="748">
        <v>840</v>
      </c>
      <c r="AJ95" s="748">
        <v>1120</v>
      </c>
      <c r="AK95" s="748">
        <v>2920</v>
      </c>
      <c r="AL95" s="832">
        <f t="shared" si="1"/>
        <v>17028</v>
      </c>
      <c r="AM95" s="122">
        <v>4</v>
      </c>
    </row>
    <row r="96" spans="1:39" x14ac:dyDescent="0.3">
      <c r="A96" s="33">
        <v>109</v>
      </c>
      <c r="B96" s="33">
        <v>9</v>
      </c>
      <c r="C96" s="116" t="s">
        <v>309</v>
      </c>
      <c r="D96" s="117" t="s">
        <v>314</v>
      </c>
      <c r="E96" s="64" t="s">
        <v>315</v>
      </c>
      <c r="F96" s="799">
        <v>436</v>
      </c>
      <c r="G96" s="799" t="s">
        <v>72</v>
      </c>
      <c r="H96" s="36" t="s">
        <v>73</v>
      </c>
      <c r="I96" s="37">
        <v>2.34</v>
      </c>
      <c r="J96" s="799" t="s">
        <v>154</v>
      </c>
      <c r="K96" s="36" t="s">
        <v>104</v>
      </c>
      <c r="L96" s="837" t="s">
        <v>142</v>
      </c>
      <c r="M96" s="837" t="s">
        <v>142</v>
      </c>
      <c r="N96" s="837" t="s">
        <v>142</v>
      </c>
      <c r="O96" s="837" t="s">
        <v>142</v>
      </c>
      <c r="P96" s="35" t="s">
        <v>155</v>
      </c>
      <c r="Q96" s="35" t="s">
        <v>155</v>
      </c>
      <c r="R96" s="38" t="s">
        <v>144</v>
      </c>
      <c r="S96" s="38" t="s">
        <v>145</v>
      </c>
      <c r="T96" s="833">
        <v>10700</v>
      </c>
      <c r="U96" s="833">
        <v>10400</v>
      </c>
      <c r="V96" s="833">
        <v>12500</v>
      </c>
      <c r="W96" s="820">
        <v>11900</v>
      </c>
      <c r="X96" s="838">
        <v>12700</v>
      </c>
      <c r="Y96" s="838">
        <v>12000</v>
      </c>
      <c r="Z96" s="838">
        <v>13500</v>
      </c>
      <c r="AA96" s="838">
        <v>12600</v>
      </c>
      <c r="AB96" s="123">
        <v>13500</v>
      </c>
      <c r="AC96" s="123">
        <v>13100</v>
      </c>
      <c r="AD96" s="123">
        <v>13100</v>
      </c>
      <c r="AE96" s="36" t="s">
        <v>80</v>
      </c>
      <c r="AF96" s="138">
        <v>32400</v>
      </c>
      <c r="AG96" s="82">
        <v>0.40432098765432101</v>
      </c>
      <c r="AH96" s="734" t="s">
        <v>97</v>
      </c>
      <c r="AI96" s="84" t="s">
        <v>81</v>
      </c>
      <c r="AJ96" s="84" t="s">
        <v>81</v>
      </c>
      <c r="AK96" s="749">
        <v>2920</v>
      </c>
      <c r="AL96" s="832">
        <f t="shared" si="1"/>
        <v>30653.999999999996</v>
      </c>
      <c r="AM96" s="121">
        <v>4</v>
      </c>
    </row>
    <row r="97" spans="1:39" x14ac:dyDescent="0.3">
      <c r="A97" s="33">
        <v>108</v>
      </c>
      <c r="B97" s="33">
        <v>8</v>
      </c>
      <c r="C97" s="113" t="s">
        <v>309</v>
      </c>
      <c r="D97" s="114" t="s">
        <v>316</v>
      </c>
      <c r="E97" s="70" t="s">
        <v>317</v>
      </c>
      <c r="F97" s="800">
        <v>5112</v>
      </c>
      <c r="G97" s="800" t="s">
        <v>72</v>
      </c>
      <c r="H97" s="71" t="s">
        <v>73</v>
      </c>
      <c r="I97" s="72">
        <v>0.69</v>
      </c>
      <c r="J97" s="800" t="s">
        <v>154</v>
      </c>
      <c r="K97" s="71" t="s">
        <v>104</v>
      </c>
      <c r="L97" s="835" t="s">
        <v>142</v>
      </c>
      <c r="M97" s="835" t="s">
        <v>142</v>
      </c>
      <c r="N97" s="835" t="s">
        <v>142</v>
      </c>
      <c r="O97" s="835" t="s">
        <v>142</v>
      </c>
      <c r="P97" s="51" t="s">
        <v>155</v>
      </c>
      <c r="Q97" s="51" t="s">
        <v>155</v>
      </c>
      <c r="R97" s="73" t="s">
        <v>144</v>
      </c>
      <c r="S97" s="73" t="s">
        <v>145</v>
      </c>
      <c r="T97" s="825">
        <v>11200</v>
      </c>
      <c r="U97" s="825">
        <v>12000</v>
      </c>
      <c r="V97" s="825">
        <v>12700</v>
      </c>
      <c r="W97" s="822">
        <v>11900</v>
      </c>
      <c r="X97" s="760">
        <v>12300</v>
      </c>
      <c r="Y97" s="760">
        <v>14200</v>
      </c>
      <c r="Z97" s="760">
        <v>13500</v>
      </c>
      <c r="AA97" s="760">
        <v>15400</v>
      </c>
      <c r="AB97" s="129">
        <v>14200</v>
      </c>
      <c r="AC97" s="115">
        <v>13800</v>
      </c>
      <c r="AD97" s="115">
        <v>13800</v>
      </c>
      <c r="AE97" s="80" t="s">
        <v>80</v>
      </c>
      <c r="AF97" s="78">
        <v>32400</v>
      </c>
      <c r="AG97" s="79">
        <v>0.42592592592592593</v>
      </c>
      <c r="AH97" s="733" t="s">
        <v>97</v>
      </c>
      <c r="AI97" s="87" t="s">
        <v>81</v>
      </c>
      <c r="AJ97" s="87" t="s">
        <v>81</v>
      </c>
      <c r="AK97" s="748">
        <v>2920</v>
      </c>
      <c r="AL97" s="832">
        <f t="shared" si="1"/>
        <v>9522</v>
      </c>
      <c r="AM97" s="122">
        <v>4</v>
      </c>
    </row>
    <row r="98" spans="1:39" x14ac:dyDescent="0.3">
      <c r="A98" s="33">
        <v>107</v>
      </c>
      <c r="B98" s="33">
        <v>7</v>
      </c>
      <c r="C98" s="116" t="s">
        <v>318</v>
      </c>
      <c r="D98" s="117" t="s">
        <v>319</v>
      </c>
      <c r="E98" s="35" t="s">
        <v>320</v>
      </c>
      <c r="F98" s="799">
        <v>5115</v>
      </c>
      <c r="G98" s="799" t="s">
        <v>72</v>
      </c>
      <c r="H98" s="36" t="s">
        <v>73</v>
      </c>
      <c r="I98" s="37">
        <v>0.9</v>
      </c>
      <c r="J98" s="799" t="s">
        <v>154</v>
      </c>
      <c r="K98" s="36" t="s">
        <v>104</v>
      </c>
      <c r="L98" s="837" t="s">
        <v>142</v>
      </c>
      <c r="M98" s="837" t="s">
        <v>142</v>
      </c>
      <c r="N98" s="837" t="s">
        <v>142</v>
      </c>
      <c r="O98" s="837" t="s">
        <v>142</v>
      </c>
      <c r="P98" s="35" t="s">
        <v>155</v>
      </c>
      <c r="Q98" s="35" t="s">
        <v>155</v>
      </c>
      <c r="R98" s="38" t="s">
        <v>144</v>
      </c>
      <c r="S98" s="38" t="s">
        <v>145</v>
      </c>
      <c r="T98" s="833">
        <v>15200</v>
      </c>
      <c r="U98" s="833">
        <v>16500</v>
      </c>
      <c r="V98" s="833">
        <v>17300</v>
      </c>
      <c r="W98" s="820">
        <v>15300</v>
      </c>
      <c r="X98" s="838">
        <v>16400</v>
      </c>
      <c r="Y98" s="838">
        <v>15800</v>
      </c>
      <c r="Z98" s="838">
        <v>16600</v>
      </c>
      <c r="AA98" s="838">
        <v>18300</v>
      </c>
      <c r="AB98" s="123">
        <v>18500</v>
      </c>
      <c r="AC98" s="123">
        <v>17900</v>
      </c>
      <c r="AD98" s="120">
        <v>19300</v>
      </c>
      <c r="AE98" s="36" t="s">
        <v>80</v>
      </c>
      <c r="AF98" s="138">
        <v>32400</v>
      </c>
      <c r="AG98" s="82">
        <v>0.59567901234567899</v>
      </c>
      <c r="AH98" s="734" t="s">
        <v>80</v>
      </c>
      <c r="AI98" s="84" t="s">
        <v>81</v>
      </c>
      <c r="AJ98" s="84" t="s">
        <v>81</v>
      </c>
      <c r="AK98" s="749">
        <v>2920</v>
      </c>
      <c r="AL98" s="832">
        <f t="shared" si="1"/>
        <v>17370</v>
      </c>
      <c r="AM98" s="121">
        <v>4</v>
      </c>
    </row>
    <row r="99" spans="1:39" x14ac:dyDescent="0.3">
      <c r="A99" s="33">
        <v>106</v>
      </c>
      <c r="B99" s="33">
        <v>6</v>
      </c>
      <c r="C99" s="113" t="s">
        <v>318</v>
      </c>
      <c r="D99" s="114" t="s">
        <v>321</v>
      </c>
      <c r="E99" s="51" t="s">
        <v>322</v>
      </c>
      <c r="F99" s="800">
        <v>5117</v>
      </c>
      <c r="G99" s="800" t="s">
        <v>72</v>
      </c>
      <c r="H99" s="71" t="s">
        <v>73</v>
      </c>
      <c r="I99" s="72">
        <v>0.12</v>
      </c>
      <c r="J99" s="800" t="s">
        <v>154</v>
      </c>
      <c r="K99" s="71" t="s">
        <v>104</v>
      </c>
      <c r="L99" s="835" t="s">
        <v>142</v>
      </c>
      <c r="M99" s="835" t="s">
        <v>142</v>
      </c>
      <c r="N99" s="835" t="s">
        <v>142</v>
      </c>
      <c r="O99" s="835" t="s">
        <v>142</v>
      </c>
      <c r="P99" s="51" t="s">
        <v>155</v>
      </c>
      <c r="Q99" s="51" t="s">
        <v>155</v>
      </c>
      <c r="R99" s="73" t="s">
        <v>144</v>
      </c>
      <c r="S99" s="73" t="s">
        <v>145</v>
      </c>
      <c r="T99" s="825">
        <v>20800</v>
      </c>
      <c r="U99" s="825">
        <v>17100</v>
      </c>
      <c r="V99" s="825">
        <v>15200</v>
      </c>
      <c r="W99" s="822">
        <v>16300</v>
      </c>
      <c r="X99" s="760">
        <v>16800</v>
      </c>
      <c r="Y99" s="760">
        <v>20000</v>
      </c>
      <c r="Z99" s="760">
        <v>20800</v>
      </c>
      <c r="AA99" s="760">
        <v>17300</v>
      </c>
      <c r="AB99" s="129">
        <v>17500</v>
      </c>
      <c r="AC99" s="115">
        <v>16900</v>
      </c>
      <c r="AD99" s="115">
        <v>15200</v>
      </c>
      <c r="AE99" s="80" t="s">
        <v>80</v>
      </c>
      <c r="AF99" s="78">
        <v>32400</v>
      </c>
      <c r="AG99" s="79">
        <v>0.46913580246913578</v>
      </c>
      <c r="AH99" s="733" t="s">
        <v>80</v>
      </c>
      <c r="AI99" s="748">
        <v>880</v>
      </c>
      <c r="AJ99" s="748">
        <v>1190</v>
      </c>
      <c r="AK99" s="748">
        <v>2920</v>
      </c>
      <c r="AL99" s="832">
        <f t="shared" si="1"/>
        <v>1824</v>
      </c>
      <c r="AM99" s="122">
        <v>4</v>
      </c>
    </row>
    <row r="100" spans="1:39" x14ac:dyDescent="0.3">
      <c r="A100" s="33">
        <v>105</v>
      </c>
      <c r="B100" s="33">
        <v>5</v>
      </c>
      <c r="C100" s="116" t="s">
        <v>318</v>
      </c>
      <c r="D100" s="117" t="s">
        <v>323</v>
      </c>
      <c r="E100" s="64" t="s">
        <v>324</v>
      </c>
      <c r="F100" s="799">
        <v>5121</v>
      </c>
      <c r="G100" s="799" t="s">
        <v>72</v>
      </c>
      <c r="H100" s="36" t="s">
        <v>73</v>
      </c>
      <c r="I100" s="37">
        <v>2.5299999999999998</v>
      </c>
      <c r="J100" s="799" t="s">
        <v>154</v>
      </c>
      <c r="K100" s="36" t="s">
        <v>104</v>
      </c>
      <c r="L100" s="837" t="s">
        <v>142</v>
      </c>
      <c r="M100" s="837" t="s">
        <v>142</v>
      </c>
      <c r="N100" s="837" t="s">
        <v>142</v>
      </c>
      <c r="O100" s="837" t="s">
        <v>142</v>
      </c>
      <c r="P100" s="35" t="s">
        <v>155</v>
      </c>
      <c r="Q100" s="35" t="s">
        <v>155</v>
      </c>
      <c r="R100" s="38" t="s">
        <v>144</v>
      </c>
      <c r="S100" s="38" t="s">
        <v>145</v>
      </c>
      <c r="T100" s="833">
        <v>17100</v>
      </c>
      <c r="U100" s="833">
        <v>16400</v>
      </c>
      <c r="V100" s="833">
        <v>17800</v>
      </c>
      <c r="W100" s="820">
        <v>18200</v>
      </c>
      <c r="X100" s="838">
        <v>18900</v>
      </c>
      <c r="Y100" s="838">
        <v>18000</v>
      </c>
      <c r="Z100" s="838">
        <v>17800</v>
      </c>
      <c r="AA100" s="838">
        <v>20300</v>
      </c>
      <c r="AB100" s="123">
        <v>18700</v>
      </c>
      <c r="AC100" s="123">
        <v>18100</v>
      </c>
      <c r="AD100" s="123">
        <v>18100</v>
      </c>
      <c r="AE100" s="36" t="s">
        <v>80</v>
      </c>
      <c r="AF100" s="138">
        <v>32400</v>
      </c>
      <c r="AG100" s="82">
        <v>0.55864197530864201</v>
      </c>
      <c r="AH100" s="734" t="s">
        <v>80</v>
      </c>
      <c r="AI100" s="84" t="s">
        <v>81</v>
      </c>
      <c r="AJ100" s="84" t="s">
        <v>81</v>
      </c>
      <c r="AK100" s="749">
        <v>2920</v>
      </c>
      <c r="AL100" s="832">
        <f t="shared" si="1"/>
        <v>45793</v>
      </c>
      <c r="AM100" s="121">
        <v>4</v>
      </c>
    </row>
    <row r="101" spans="1:39" x14ac:dyDescent="0.3">
      <c r="A101" s="33">
        <v>104</v>
      </c>
      <c r="B101" s="33">
        <v>4</v>
      </c>
      <c r="C101" s="113" t="s">
        <v>318</v>
      </c>
      <c r="D101" s="114" t="s">
        <v>325</v>
      </c>
      <c r="E101" s="70" t="s">
        <v>326</v>
      </c>
      <c r="F101" s="809">
        <v>5121</v>
      </c>
      <c r="G101" s="800" t="s">
        <v>72</v>
      </c>
      <c r="H101" s="71" t="s">
        <v>73</v>
      </c>
      <c r="I101" s="72">
        <v>1.7</v>
      </c>
      <c r="J101" s="800" t="s">
        <v>154</v>
      </c>
      <c r="K101" s="71" t="s">
        <v>104</v>
      </c>
      <c r="L101" s="835" t="s">
        <v>142</v>
      </c>
      <c r="M101" s="835" t="s">
        <v>142</v>
      </c>
      <c r="N101" s="835" t="s">
        <v>142</v>
      </c>
      <c r="O101" s="835" t="s">
        <v>142</v>
      </c>
      <c r="P101" s="51" t="s">
        <v>155</v>
      </c>
      <c r="Q101" s="51" t="s">
        <v>155</v>
      </c>
      <c r="R101" s="73" t="s">
        <v>144</v>
      </c>
      <c r="S101" s="73" t="s">
        <v>145</v>
      </c>
      <c r="T101" s="825">
        <v>16600</v>
      </c>
      <c r="U101" s="825">
        <v>17600</v>
      </c>
      <c r="V101" s="825">
        <v>16400</v>
      </c>
      <c r="W101" s="822">
        <v>15600</v>
      </c>
      <c r="X101" s="760">
        <v>16200</v>
      </c>
      <c r="Y101" s="760">
        <v>17200</v>
      </c>
      <c r="Z101" s="760">
        <v>17800</v>
      </c>
      <c r="AA101" s="760">
        <v>19400</v>
      </c>
      <c r="AB101" s="129">
        <v>19500</v>
      </c>
      <c r="AC101" s="115">
        <v>18900</v>
      </c>
      <c r="AD101" s="115">
        <v>18100</v>
      </c>
      <c r="AE101" s="80" t="s">
        <v>80</v>
      </c>
      <c r="AF101" s="78">
        <v>32400</v>
      </c>
      <c r="AG101" s="79">
        <v>0.55864197530864201</v>
      </c>
      <c r="AH101" s="733" t="s">
        <v>80</v>
      </c>
      <c r="AI101" s="87" t="s">
        <v>81</v>
      </c>
      <c r="AJ101" s="87" t="s">
        <v>81</v>
      </c>
      <c r="AK101" s="748">
        <v>2920</v>
      </c>
      <c r="AL101" s="832">
        <f t="shared" si="1"/>
        <v>30770</v>
      </c>
      <c r="AM101" s="122">
        <v>4</v>
      </c>
    </row>
    <row r="102" spans="1:39" x14ac:dyDescent="0.3">
      <c r="A102" s="33">
        <v>103</v>
      </c>
      <c r="B102" s="33">
        <v>3</v>
      </c>
      <c r="C102" s="155" t="s">
        <v>327</v>
      </c>
      <c r="D102" s="117" t="s">
        <v>328</v>
      </c>
      <c r="E102" s="35" t="s">
        <v>329</v>
      </c>
      <c r="F102" s="799">
        <v>5125</v>
      </c>
      <c r="G102" s="799" t="s">
        <v>72</v>
      </c>
      <c r="H102" s="36" t="s">
        <v>73</v>
      </c>
      <c r="I102" s="37">
        <v>0.7</v>
      </c>
      <c r="J102" s="799" t="s">
        <v>154</v>
      </c>
      <c r="K102" s="36" t="s">
        <v>104</v>
      </c>
      <c r="L102" s="837" t="s">
        <v>256</v>
      </c>
      <c r="M102" s="837" t="s">
        <v>256</v>
      </c>
      <c r="N102" s="837" t="s">
        <v>256</v>
      </c>
      <c r="O102" s="837" t="s">
        <v>256</v>
      </c>
      <c r="P102" s="837" t="s">
        <v>256</v>
      </c>
      <c r="Q102" s="837" t="s">
        <v>256</v>
      </c>
      <c r="R102" s="38" t="s">
        <v>144</v>
      </c>
      <c r="S102" s="38" t="s">
        <v>145</v>
      </c>
      <c r="T102" s="833">
        <v>15600</v>
      </c>
      <c r="U102" s="833">
        <v>12300</v>
      </c>
      <c r="V102" s="833">
        <v>14000</v>
      </c>
      <c r="W102" s="820">
        <v>16600</v>
      </c>
      <c r="X102" s="838">
        <v>17200</v>
      </c>
      <c r="Y102" s="838">
        <v>16200</v>
      </c>
      <c r="Z102" s="838">
        <v>17000</v>
      </c>
      <c r="AA102" s="838">
        <v>17400</v>
      </c>
      <c r="AB102" s="123">
        <v>15900</v>
      </c>
      <c r="AC102" s="123">
        <v>15500</v>
      </c>
      <c r="AD102" s="123">
        <v>15500</v>
      </c>
      <c r="AE102" s="36" t="s">
        <v>80</v>
      </c>
      <c r="AF102" s="138">
        <v>24200</v>
      </c>
      <c r="AG102" s="82">
        <v>0.64049586776859502</v>
      </c>
      <c r="AH102" s="734" t="s">
        <v>97</v>
      </c>
      <c r="AI102" s="84" t="s">
        <v>81</v>
      </c>
      <c r="AJ102" s="84" t="s">
        <v>81</v>
      </c>
      <c r="AK102" s="749">
        <v>2180</v>
      </c>
      <c r="AL102" s="832">
        <f t="shared" si="1"/>
        <v>10850</v>
      </c>
      <c r="AM102" s="121">
        <v>2</v>
      </c>
    </row>
    <row r="103" spans="1:39" x14ac:dyDescent="0.3">
      <c r="A103" s="33">
        <v>102</v>
      </c>
      <c r="B103" s="33">
        <v>2</v>
      </c>
      <c r="C103" s="157" t="s">
        <v>327</v>
      </c>
      <c r="D103" s="114" t="s">
        <v>330</v>
      </c>
      <c r="E103" s="70" t="s">
        <v>331</v>
      </c>
      <c r="F103" s="809">
        <v>5125</v>
      </c>
      <c r="G103" s="800" t="s">
        <v>72</v>
      </c>
      <c r="H103" s="71" t="s">
        <v>73</v>
      </c>
      <c r="I103" s="72">
        <v>1.69</v>
      </c>
      <c r="J103" s="800" t="s">
        <v>158</v>
      </c>
      <c r="K103" s="71" t="s">
        <v>104</v>
      </c>
      <c r="L103" s="835" t="s">
        <v>256</v>
      </c>
      <c r="M103" s="835" t="s">
        <v>256</v>
      </c>
      <c r="N103" s="835" t="s">
        <v>256</v>
      </c>
      <c r="O103" s="835" t="s">
        <v>256</v>
      </c>
      <c r="P103" s="835" t="s">
        <v>256</v>
      </c>
      <c r="Q103" s="835" t="s">
        <v>256</v>
      </c>
      <c r="R103" s="73" t="s">
        <v>144</v>
      </c>
      <c r="S103" s="73" t="s">
        <v>145</v>
      </c>
      <c r="T103" s="825">
        <v>18500</v>
      </c>
      <c r="U103" s="825">
        <v>15100</v>
      </c>
      <c r="V103" s="826">
        <v>15400</v>
      </c>
      <c r="W103" s="822">
        <v>15700</v>
      </c>
      <c r="X103" s="760">
        <v>16000</v>
      </c>
      <c r="Y103" s="760">
        <v>15800</v>
      </c>
      <c r="Z103" s="760">
        <v>16400</v>
      </c>
      <c r="AA103" s="760">
        <v>15000</v>
      </c>
      <c r="AB103" s="129">
        <v>15200</v>
      </c>
      <c r="AC103" s="115">
        <v>14700</v>
      </c>
      <c r="AD103" s="115">
        <v>15500</v>
      </c>
      <c r="AE103" s="80" t="s">
        <v>80</v>
      </c>
      <c r="AF103" s="78">
        <v>24200</v>
      </c>
      <c r="AG103" s="79">
        <v>0.64049586776859502</v>
      </c>
      <c r="AH103" s="733" t="s">
        <v>97</v>
      </c>
      <c r="AI103" s="87" t="s">
        <v>81</v>
      </c>
      <c r="AJ103" s="87" t="s">
        <v>81</v>
      </c>
      <c r="AK103" s="748">
        <v>2180</v>
      </c>
      <c r="AL103" s="832">
        <f t="shared" si="1"/>
        <v>26195</v>
      </c>
      <c r="AM103" s="122">
        <v>2</v>
      </c>
    </row>
    <row r="104" spans="1:39" x14ac:dyDescent="0.3">
      <c r="A104" s="33">
        <v>101</v>
      </c>
      <c r="B104" s="103">
        <v>1</v>
      </c>
      <c r="C104" s="197" t="s">
        <v>327</v>
      </c>
      <c r="D104" s="198" t="s">
        <v>332</v>
      </c>
      <c r="E104" s="105" t="s">
        <v>333</v>
      </c>
      <c r="F104" s="802">
        <v>368</v>
      </c>
      <c r="G104" s="799" t="s">
        <v>72</v>
      </c>
      <c r="H104" s="199" t="s">
        <v>73</v>
      </c>
      <c r="I104" s="107">
        <v>6.42</v>
      </c>
      <c r="J104" s="799" t="s">
        <v>130</v>
      </c>
      <c r="K104" s="200" t="s">
        <v>104</v>
      </c>
      <c r="L104" s="830" t="s">
        <v>256</v>
      </c>
      <c r="M104" s="830" t="s">
        <v>256</v>
      </c>
      <c r="N104" s="830" t="s">
        <v>256</v>
      </c>
      <c r="O104" s="830" t="s">
        <v>256</v>
      </c>
      <c r="P104" s="830" t="s">
        <v>256</v>
      </c>
      <c r="Q104" s="830" t="s">
        <v>256</v>
      </c>
      <c r="R104" s="38" t="s">
        <v>144</v>
      </c>
      <c r="S104" s="38" t="s">
        <v>145</v>
      </c>
      <c r="T104" s="833">
        <v>15500</v>
      </c>
      <c r="U104" s="833">
        <v>15300</v>
      </c>
      <c r="V104" s="833">
        <v>15800</v>
      </c>
      <c r="W104" s="820">
        <f>W105</f>
        <v>15500</v>
      </c>
      <c r="X104" s="838">
        <f>X105</f>
        <v>16100</v>
      </c>
      <c r="Y104" s="838">
        <v>15500</v>
      </c>
      <c r="Z104" s="838">
        <v>16200</v>
      </c>
      <c r="AA104" s="838">
        <v>16600</v>
      </c>
      <c r="AB104" s="123">
        <v>16700</v>
      </c>
      <c r="AC104" s="123">
        <v>16300</v>
      </c>
      <c r="AD104" s="123">
        <v>16300</v>
      </c>
      <c r="AE104" s="200" t="s">
        <v>80</v>
      </c>
      <c r="AF104" s="138">
        <v>24200</v>
      </c>
      <c r="AG104" s="82">
        <v>0.67355371900826444</v>
      </c>
      <c r="AH104" s="734" t="s">
        <v>97</v>
      </c>
      <c r="AI104" s="84" t="s">
        <v>81</v>
      </c>
      <c r="AJ104" s="84" t="s">
        <v>81</v>
      </c>
      <c r="AK104" s="751">
        <v>2180</v>
      </c>
      <c r="AL104" s="832">
        <f t="shared" si="1"/>
        <v>104646</v>
      </c>
      <c r="AM104" s="201">
        <v>2</v>
      </c>
    </row>
    <row r="105" spans="1:39" ht="15" thickBot="1" x14ac:dyDescent="0.35">
      <c r="A105" s="88">
        <v>101</v>
      </c>
      <c r="B105" s="202">
        <v>1</v>
      </c>
      <c r="C105" s="203" t="s">
        <v>327</v>
      </c>
      <c r="D105" s="204" t="s">
        <v>332</v>
      </c>
      <c r="E105" s="205" t="s">
        <v>334</v>
      </c>
      <c r="F105" s="805">
        <v>368</v>
      </c>
      <c r="G105" s="803" t="s">
        <v>72</v>
      </c>
      <c r="H105" s="206" t="s">
        <v>73</v>
      </c>
      <c r="I105" s="207">
        <v>1.26</v>
      </c>
      <c r="J105" s="803" t="s">
        <v>130</v>
      </c>
      <c r="K105" s="208" t="s">
        <v>104</v>
      </c>
      <c r="L105" s="851" t="s">
        <v>256</v>
      </c>
      <c r="M105" s="851" t="s">
        <v>256</v>
      </c>
      <c r="N105" s="851" t="s">
        <v>256</v>
      </c>
      <c r="O105" s="851" t="s">
        <v>256</v>
      </c>
      <c r="P105" s="851" t="s">
        <v>256</v>
      </c>
      <c r="Q105" s="851" t="s">
        <v>256</v>
      </c>
      <c r="R105" s="167" t="s">
        <v>144</v>
      </c>
      <c r="S105" s="167" t="s">
        <v>145</v>
      </c>
      <c r="T105" s="846">
        <v>15500</v>
      </c>
      <c r="U105" s="846">
        <v>15300</v>
      </c>
      <c r="V105" s="852">
        <v>15800</v>
      </c>
      <c r="W105" s="847">
        <v>15500</v>
      </c>
      <c r="X105" s="761">
        <v>16100</v>
      </c>
      <c r="Y105" s="761">
        <v>15500</v>
      </c>
      <c r="Z105" s="761">
        <v>16200</v>
      </c>
      <c r="AA105" s="761">
        <v>16600</v>
      </c>
      <c r="AB105" s="168">
        <v>16700</v>
      </c>
      <c r="AC105" s="169">
        <f>AC104</f>
        <v>16300</v>
      </c>
      <c r="AD105" s="169">
        <f>AD104</f>
        <v>16300</v>
      </c>
      <c r="AE105" s="210" t="s">
        <v>80</v>
      </c>
      <c r="AF105" s="171">
        <v>24200</v>
      </c>
      <c r="AG105" s="172">
        <v>0.67355371900826444</v>
      </c>
      <c r="AH105" s="737" t="s">
        <v>97</v>
      </c>
      <c r="AI105" s="173" t="s">
        <v>81</v>
      </c>
      <c r="AJ105" s="173" t="s">
        <v>81</v>
      </c>
      <c r="AK105" s="755">
        <v>2180</v>
      </c>
      <c r="AL105" s="829">
        <f t="shared" si="1"/>
        <v>20538</v>
      </c>
      <c r="AM105" s="211">
        <v>2</v>
      </c>
    </row>
    <row r="106" spans="1:39" x14ac:dyDescent="0.3">
      <c r="A106" s="103">
        <v>132</v>
      </c>
      <c r="B106" s="103">
        <v>60</v>
      </c>
      <c r="C106" s="212" t="s">
        <v>335</v>
      </c>
      <c r="D106" s="176" t="s">
        <v>336</v>
      </c>
      <c r="E106" s="189" t="s">
        <v>337</v>
      </c>
      <c r="F106" s="804">
        <v>458</v>
      </c>
      <c r="G106" s="804" t="s">
        <v>72</v>
      </c>
      <c r="H106" s="131" t="s">
        <v>73</v>
      </c>
      <c r="I106" s="178">
        <v>1.44</v>
      </c>
      <c r="J106" s="804" t="s">
        <v>140</v>
      </c>
      <c r="K106" s="131" t="s">
        <v>104</v>
      </c>
      <c r="L106" s="843" t="s">
        <v>142</v>
      </c>
      <c r="M106" s="843" t="s">
        <v>142</v>
      </c>
      <c r="N106" s="843" t="s">
        <v>142</v>
      </c>
      <c r="O106" s="843" t="s">
        <v>142</v>
      </c>
      <c r="P106" s="105" t="s">
        <v>143</v>
      </c>
      <c r="Q106" s="105" t="s">
        <v>143</v>
      </c>
      <c r="R106" s="179" t="s">
        <v>144</v>
      </c>
      <c r="S106" s="179" t="s">
        <v>145</v>
      </c>
      <c r="T106" s="825">
        <v>16800</v>
      </c>
      <c r="U106" s="825">
        <v>16300</v>
      </c>
      <c r="V106" s="825">
        <v>16800</v>
      </c>
      <c r="W106" s="836">
        <v>17900</v>
      </c>
      <c r="X106" s="759">
        <v>17200</v>
      </c>
      <c r="Y106" s="759">
        <v>17800</v>
      </c>
      <c r="Z106" s="759">
        <v>19100</v>
      </c>
      <c r="AA106" s="759">
        <v>18800</v>
      </c>
      <c r="AB106" s="180">
        <v>21500</v>
      </c>
      <c r="AC106" s="181">
        <v>20500</v>
      </c>
      <c r="AD106" s="181">
        <v>18200</v>
      </c>
      <c r="AE106" s="190" t="s">
        <v>80</v>
      </c>
      <c r="AF106" s="78">
        <v>39800</v>
      </c>
      <c r="AG106" s="79">
        <v>0.457286432160804</v>
      </c>
      <c r="AH106" s="731" t="s">
        <v>97</v>
      </c>
      <c r="AI106" s="756">
        <v>1120</v>
      </c>
      <c r="AJ106" s="756">
        <v>1450</v>
      </c>
      <c r="AK106" s="754">
        <v>3580</v>
      </c>
      <c r="AL106" s="832">
        <f t="shared" si="1"/>
        <v>26208</v>
      </c>
      <c r="AM106" s="182">
        <v>4</v>
      </c>
    </row>
    <row r="107" spans="1:39" x14ac:dyDescent="0.3">
      <c r="A107" s="33">
        <v>131</v>
      </c>
      <c r="B107" s="33">
        <v>59</v>
      </c>
      <c r="C107" s="116" t="s">
        <v>335</v>
      </c>
      <c r="D107" s="117" t="s">
        <v>338</v>
      </c>
      <c r="E107" s="35" t="s">
        <v>339</v>
      </c>
      <c r="F107" s="799">
        <v>1016</v>
      </c>
      <c r="G107" s="799" t="s">
        <v>72</v>
      </c>
      <c r="H107" s="36" t="s">
        <v>73</v>
      </c>
      <c r="I107" s="37">
        <v>1.08</v>
      </c>
      <c r="J107" s="799" t="s">
        <v>140</v>
      </c>
      <c r="K107" s="36" t="s">
        <v>104</v>
      </c>
      <c r="L107" s="837" t="s">
        <v>142</v>
      </c>
      <c r="M107" s="837" t="s">
        <v>142</v>
      </c>
      <c r="N107" s="837" t="s">
        <v>142</v>
      </c>
      <c r="O107" s="837" t="s">
        <v>142</v>
      </c>
      <c r="P107" s="35" t="s">
        <v>143</v>
      </c>
      <c r="Q107" s="35" t="s">
        <v>143</v>
      </c>
      <c r="R107" s="38" t="s">
        <v>144</v>
      </c>
      <c r="S107" s="38" t="s">
        <v>145</v>
      </c>
      <c r="T107" s="833">
        <v>23500</v>
      </c>
      <c r="U107" s="833">
        <v>25000</v>
      </c>
      <c r="V107" s="833">
        <v>24500</v>
      </c>
      <c r="W107" s="820">
        <v>26000</v>
      </c>
      <c r="X107" s="838">
        <v>27000</v>
      </c>
      <c r="Y107" s="838">
        <v>26000</v>
      </c>
      <c r="Z107" s="838">
        <v>29500</v>
      </c>
      <c r="AA107" s="838">
        <v>25000</v>
      </c>
      <c r="AB107" s="123">
        <v>28000</v>
      </c>
      <c r="AC107" s="123">
        <v>27000</v>
      </c>
      <c r="AD107" s="123">
        <v>27000</v>
      </c>
      <c r="AE107" s="36" t="s">
        <v>80</v>
      </c>
      <c r="AF107" s="138">
        <v>39800</v>
      </c>
      <c r="AG107" s="82">
        <v>0.67839195979899503</v>
      </c>
      <c r="AH107" s="734" t="s">
        <v>97</v>
      </c>
      <c r="AI107" s="84" t="s">
        <v>81</v>
      </c>
      <c r="AJ107" s="84" t="s">
        <v>81</v>
      </c>
      <c r="AK107" s="749">
        <v>3580</v>
      </c>
      <c r="AL107" s="832">
        <f t="shared" si="1"/>
        <v>29160.000000000004</v>
      </c>
      <c r="AM107" s="121">
        <v>4</v>
      </c>
    </row>
    <row r="108" spans="1:39" x14ac:dyDescent="0.3">
      <c r="A108" s="33">
        <v>130</v>
      </c>
      <c r="B108" s="33">
        <v>58</v>
      </c>
      <c r="C108" s="113" t="s">
        <v>335</v>
      </c>
      <c r="D108" s="114" t="s">
        <v>340</v>
      </c>
      <c r="E108" s="70" t="s">
        <v>341</v>
      </c>
      <c r="F108" s="800">
        <v>1017.2</v>
      </c>
      <c r="G108" s="800" t="s">
        <v>72</v>
      </c>
      <c r="H108" s="71" t="s">
        <v>73</v>
      </c>
      <c r="I108" s="72">
        <v>1.3</v>
      </c>
      <c r="J108" s="800" t="s">
        <v>140</v>
      </c>
      <c r="K108" s="71" t="s">
        <v>104</v>
      </c>
      <c r="L108" s="835" t="s">
        <v>142</v>
      </c>
      <c r="M108" s="835" t="s">
        <v>142</v>
      </c>
      <c r="N108" s="835" t="s">
        <v>142</v>
      </c>
      <c r="O108" s="835" t="s">
        <v>142</v>
      </c>
      <c r="P108" s="51" t="s">
        <v>143</v>
      </c>
      <c r="Q108" s="51" t="s">
        <v>143</v>
      </c>
      <c r="R108" s="73" t="s">
        <v>144</v>
      </c>
      <c r="S108" s="73" t="s">
        <v>145</v>
      </c>
      <c r="T108" s="825">
        <v>26500</v>
      </c>
      <c r="U108" s="825">
        <v>25500</v>
      </c>
      <c r="V108" s="825">
        <v>26000</v>
      </c>
      <c r="W108" s="822">
        <v>27000</v>
      </c>
      <c r="X108" s="760">
        <v>28000</v>
      </c>
      <c r="Y108" s="760">
        <v>26500</v>
      </c>
      <c r="Z108" s="760">
        <v>27500</v>
      </c>
      <c r="AA108" s="760">
        <v>27000</v>
      </c>
      <c r="AB108" s="129">
        <v>27000</v>
      </c>
      <c r="AC108" s="115">
        <v>18000</v>
      </c>
      <c r="AD108" s="115">
        <v>18000</v>
      </c>
      <c r="AE108" s="80" t="s">
        <v>80</v>
      </c>
      <c r="AF108" s="78">
        <v>39800</v>
      </c>
      <c r="AG108" s="79">
        <v>0.45226130653266333</v>
      </c>
      <c r="AH108" s="733" t="s">
        <v>97</v>
      </c>
      <c r="AI108" s="87" t="s">
        <v>81</v>
      </c>
      <c r="AJ108" s="87" t="s">
        <v>81</v>
      </c>
      <c r="AK108" s="748">
        <v>3580</v>
      </c>
      <c r="AL108" s="832">
        <f t="shared" si="1"/>
        <v>23400</v>
      </c>
      <c r="AM108" s="122">
        <v>4</v>
      </c>
    </row>
    <row r="109" spans="1:39" x14ac:dyDescent="0.3">
      <c r="A109" s="33">
        <v>128</v>
      </c>
      <c r="B109" s="33">
        <v>56</v>
      </c>
      <c r="C109" s="34" t="s">
        <v>335</v>
      </c>
      <c r="D109" s="35" t="s">
        <v>342</v>
      </c>
      <c r="E109" s="64" t="s">
        <v>343</v>
      </c>
      <c r="F109" s="49">
        <v>363.2</v>
      </c>
      <c r="G109" s="799" t="s">
        <v>72</v>
      </c>
      <c r="H109" s="36" t="s">
        <v>73</v>
      </c>
      <c r="I109" s="37">
        <v>1.61</v>
      </c>
      <c r="J109" s="799" t="s">
        <v>205</v>
      </c>
      <c r="K109" s="36" t="s">
        <v>104</v>
      </c>
      <c r="L109" s="837" t="s">
        <v>344</v>
      </c>
      <c r="M109" s="837" t="s">
        <v>344</v>
      </c>
      <c r="N109" s="837" t="s">
        <v>344</v>
      </c>
      <c r="O109" s="837" t="s">
        <v>344</v>
      </c>
      <c r="P109" s="35" t="s">
        <v>345</v>
      </c>
      <c r="Q109" s="35" t="s">
        <v>345</v>
      </c>
      <c r="R109" s="38" t="s">
        <v>144</v>
      </c>
      <c r="S109" s="38" t="s">
        <v>145</v>
      </c>
      <c r="T109" s="833">
        <v>27000</v>
      </c>
      <c r="U109" s="833">
        <v>25500</v>
      </c>
      <c r="V109" s="833">
        <v>26500</v>
      </c>
      <c r="W109" s="820">
        <f>W110</f>
        <v>26500</v>
      </c>
      <c r="X109" s="838">
        <f>X110</f>
        <v>26500</v>
      </c>
      <c r="Y109" s="838">
        <v>27000</v>
      </c>
      <c r="Z109" s="838">
        <v>26000</v>
      </c>
      <c r="AA109" s="838">
        <v>27000</v>
      </c>
      <c r="AB109" s="123">
        <v>29500</v>
      </c>
      <c r="AC109" s="123">
        <v>28500</v>
      </c>
      <c r="AD109" s="120">
        <v>27000</v>
      </c>
      <c r="AE109" s="36" t="s">
        <v>80</v>
      </c>
      <c r="AF109" s="138">
        <v>49850</v>
      </c>
      <c r="AG109" s="82">
        <v>0.54162487462387165</v>
      </c>
      <c r="AH109" s="734" t="s">
        <v>97</v>
      </c>
      <c r="AI109" s="213">
        <v>2030</v>
      </c>
      <c r="AJ109" s="213">
        <v>2270</v>
      </c>
      <c r="AK109" s="749">
        <v>4490</v>
      </c>
      <c r="AL109" s="832">
        <f t="shared" si="1"/>
        <v>43470</v>
      </c>
      <c r="AM109" s="121">
        <v>5</v>
      </c>
    </row>
    <row r="110" spans="1:39" x14ac:dyDescent="0.3">
      <c r="A110" s="33">
        <v>127</v>
      </c>
      <c r="B110" s="33">
        <v>55</v>
      </c>
      <c r="C110" s="113" t="s">
        <v>335</v>
      </c>
      <c r="D110" s="114" t="s">
        <v>342</v>
      </c>
      <c r="E110" s="70" t="s">
        <v>346</v>
      </c>
      <c r="F110" s="800">
        <v>363.1</v>
      </c>
      <c r="G110" s="800" t="s">
        <v>72</v>
      </c>
      <c r="H110" s="71" t="s">
        <v>73</v>
      </c>
      <c r="I110" s="72">
        <v>0.7</v>
      </c>
      <c r="J110" s="800" t="s">
        <v>205</v>
      </c>
      <c r="K110" s="71" t="s">
        <v>104</v>
      </c>
      <c r="L110" s="835" t="s">
        <v>225</v>
      </c>
      <c r="M110" s="839" t="s">
        <v>295</v>
      </c>
      <c r="N110" s="835" t="s">
        <v>295</v>
      </c>
      <c r="O110" s="835" t="s">
        <v>295</v>
      </c>
      <c r="P110" s="51" t="s">
        <v>226</v>
      </c>
      <c r="Q110" s="51" t="s">
        <v>226</v>
      </c>
      <c r="R110" s="73" t="s">
        <v>144</v>
      </c>
      <c r="S110" s="73" t="s">
        <v>145</v>
      </c>
      <c r="T110" s="192">
        <v>27000</v>
      </c>
      <c r="U110" s="192">
        <v>25500</v>
      </c>
      <c r="V110" s="825">
        <v>26500</v>
      </c>
      <c r="W110" s="822">
        <v>26500</v>
      </c>
      <c r="X110" s="760">
        <v>26500</v>
      </c>
      <c r="Y110" s="760">
        <v>27000</v>
      </c>
      <c r="Z110" s="760">
        <v>26000</v>
      </c>
      <c r="AA110" s="760">
        <v>27000</v>
      </c>
      <c r="AB110" s="129">
        <v>29500</v>
      </c>
      <c r="AC110" s="115">
        <f>AC109</f>
        <v>28500</v>
      </c>
      <c r="AD110" s="115">
        <v>27000</v>
      </c>
      <c r="AE110" s="80" t="s">
        <v>80</v>
      </c>
      <c r="AF110" s="78">
        <v>59900</v>
      </c>
      <c r="AG110" s="79">
        <v>0.45075125208681133</v>
      </c>
      <c r="AH110" s="733" t="s">
        <v>97</v>
      </c>
      <c r="AI110" s="194">
        <v>2030</v>
      </c>
      <c r="AJ110" s="194">
        <v>2270</v>
      </c>
      <c r="AK110" s="748">
        <v>5390</v>
      </c>
      <c r="AL110" s="832">
        <f t="shared" si="1"/>
        <v>18900</v>
      </c>
      <c r="AM110" s="122">
        <v>6</v>
      </c>
    </row>
    <row r="111" spans="1:39" x14ac:dyDescent="0.3">
      <c r="A111" s="33">
        <v>126</v>
      </c>
      <c r="B111" s="33">
        <v>54</v>
      </c>
      <c r="C111" s="116" t="s">
        <v>335</v>
      </c>
      <c r="D111" s="117" t="s">
        <v>347</v>
      </c>
      <c r="E111" s="64" t="s">
        <v>348</v>
      </c>
      <c r="F111" s="799">
        <v>348</v>
      </c>
      <c r="G111" s="799" t="s">
        <v>72</v>
      </c>
      <c r="H111" s="36" t="s">
        <v>73</v>
      </c>
      <c r="I111" s="37">
        <v>1</v>
      </c>
      <c r="J111" s="799" t="s">
        <v>205</v>
      </c>
      <c r="K111" s="36" t="s">
        <v>104</v>
      </c>
      <c r="L111" s="837" t="s">
        <v>225</v>
      </c>
      <c r="M111" s="837" t="s">
        <v>225</v>
      </c>
      <c r="N111" s="837" t="s">
        <v>225</v>
      </c>
      <c r="O111" s="837" t="s">
        <v>225</v>
      </c>
      <c r="P111" s="35" t="s">
        <v>226</v>
      </c>
      <c r="Q111" s="35" t="s">
        <v>226</v>
      </c>
      <c r="R111" s="38" t="s">
        <v>144</v>
      </c>
      <c r="S111" s="38" t="s">
        <v>145</v>
      </c>
      <c r="T111" s="833">
        <v>34000</v>
      </c>
      <c r="U111" s="833">
        <v>33000</v>
      </c>
      <c r="V111" s="833">
        <v>33000</v>
      </c>
      <c r="W111" s="820">
        <v>34500</v>
      </c>
      <c r="X111" s="838">
        <v>35500</v>
      </c>
      <c r="Y111" s="838">
        <v>37000</v>
      </c>
      <c r="Z111" s="838">
        <v>36500</v>
      </c>
      <c r="AA111" s="838">
        <v>37500</v>
      </c>
      <c r="AB111" s="123">
        <v>36000</v>
      </c>
      <c r="AC111" s="123">
        <v>35000</v>
      </c>
      <c r="AD111" s="123">
        <v>35000</v>
      </c>
      <c r="AE111" s="36" t="s">
        <v>80</v>
      </c>
      <c r="AF111" s="138">
        <v>59900</v>
      </c>
      <c r="AG111" s="82">
        <v>0.58430717863105175</v>
      </c>
      <c r="AH111" s="734" t="s">
        <v>97</v>
      </c>
      <c r="AI111" s="84" t="s">
        <v>81</v>
      </c>
      <c r="AJ111" s="84" t="s">
        <v>81</v>
      </c>
      <c r="AK111" s="749">
        <v>5390</v>
      </c>
      <c r="AL111" s="832">
        <f t="shared" si="1"/>
        <v>35000</v>
      </c>
      <c r="AM111" s="121">
        <v>6</v>
      </c>
    </row>
    <row r="112" spans="1:39" x14ac:dyDescent="0.3">
      <c r="A112" s="33">
        <v>125</v>
      </c>
      <c r="B112" s="33">
        <v>53</v>
      </c>
      <c r="C112" s="113" t="s">
        <v>335</v>
      </c>
      <c r="D112" s="114" t="s">
        <v>349</v>
      </c>
      <c r="E112" s="70" t="s">
        <v>350</v>
      </c>
      <c r="F112" s="800">
        <v>5090</v>
      </c>
      <c r="G112" s="800" t="s">
        <v>72</v>
      </c>
      <c r="H112" s="71" t="s">
        <v>73</v>
      </c>
      <c r="I112" s="72">
        <v>1.07</v>
      </c>
      <c r="J112" s="800" t="s">
        <v>140</v>
      </c>
      <c r="K112" s="71" t="s">
        <v>104</v>
      </c>
      <c r="L112" s="835" t="s">
        <v>225</v>
      </c>
      <c r="M112" s="835" t="s">
        <v>225</v>
      </c>
      <c r="N112" s="835" t="s">
        <v>225</v>
      </c>
      <c r="O112" s="835" t="s">
        <v>225</v>
      </c>
      <c r="P112" s="51" t="s">
        <v>226</v>
      </c>
      <c r="Q112" s="51" t="s">
        <v>226</v>
      </c>
      <c r="R112" s="73" t="s">
        <v>144</v>
      </c>
      <c r="S112" s="73" t="s">
        <v>145</v>
      </c>
      <c r="T112" s="825">
        <v>32500</v>
      </c>
      <c r="U112" s="825">
        <v>32000</v>
      </c>
      <c r="V112" s="825">
        <v>33000</v>
      </c>
      <c r="W112" s="822">
        <v>32500</v>
      </c>
      <c r="X112" s="760">
        <v>34500</v>
      </c>
      <c r="Y112" s="760">
        <v>36000</v>
      </c>
      <c r="Z112" s="760">
        <v>35000</v>
      </c>
      <c r="AA112" s="760">
        <v>36000</v>
      </c>
      <c r="AB112" s="129">
        <v>37000</v>
      </c>
      <c r="AC112" s="115">
        <v>35000</v>
      </c>
      <c r="AD112" s="115">
        <v>35000</v>
      </c>
      <c r="AE112" s="80" t="s">
        <v>80</v>
      </c>
      <c r="AF112" s="78">
        <v>59900</v>
      </c>
      <c r="AG112" s="79">
        <v>0.58430717863105175</v>
      </c>
      <c r="AH112" s="733" t="s">
        <v>97</v>
      </c>
      <c r="AI112" s="87" t="s">
        <v>81</v>
      </c>
      <c r="AJ112" s="87" t="s">
        <v>81</v>
      </c>
      <c r="AK112" s="748">
        <v>5390</v>
      </c>
      <c r="AL112" s="832">
        <f t="shared" si="1"/>
        <v>37450</v>
      </c>
      <c r="AM112" s="122">
        <v>6</v>
      </c>
    </row>
    <row r="113" spans="1:39" x14ac:dyDescent="0.3">
      <c r="A113" s="33">
        <v>124</v>
      </c>
      <c r="B113" s="33">
        <v>52</v>
      </c>
      <c r="C113" s="116" t="s">
        <v>335</v>
      </c>
      <c r="D113" s="117" t="s">
        <v>351</v>
      </c>
      <c r="E113" s="35" t="s">
        <v>352</v>
      </c>
      <c r="F113" s="799">
        <v>5088</v>
      </c>
      <c r="G113" s="799" t="s">
        <v>72</v>
      </c>
      <c r="H113" s="36" t="s">
        <v>73</v>
      </c>
      <c r="I113" s="37">
        <v>1.22</v>
      </c>
      <c r="J113" s="799" t="s">
        <v>140</v>
      </c>
      <c r="K113" s="36" t="s">
        <v>104</v>
      </c>
      <c r="L113" s="837" t="s">
        <v>225</v>
      </c>
      <c r="M113" s="837" t="s">
        <v>225</v>
      </c>
      <c r="N113" s="837" t="s">
        <v>225</v>
      </c>
      <c r="O113" s="837" t="s">
        <v>225</v>
      </c>
      <c r="P113" s="35" t="s">
        <v>226</v>
      </c>
      <c r="Q113" s="35" t="s">
        <v>226</v>
      </c>
      <c r="R113" s="38" t="s">
        <v>144</v>
      </c>
      <c r="S113" s="38" t="s">
        <v>145</v>
      </c>
      <c r="T113" s="833">
        <v>30000</v>
      </c>
      <c r="U113" s="833">
        <v>30000</v>
      </c>
      <c r="V113" s="833">
        <v>31000</v>
      </c>
      <c r="W113" s="820">
        <v>31500</v>
      </c>
      <c r="X113" s="838">
        <v>31000</v>
      </c>
      <c r="Y113" s="838">
        <v>32000</v>
      </c>
      <c r="Z113" s="838">
        <v>36000</v>
      </c>
      <c r="AA113" s="838">
        <v>31500</v>
      </c>
      <c r="AB113" s="123">
        <v>35500</v>
      </c>
      <c r="AC113" s="123">
        <v>34500</v>
      </c>
      <c r="AD113" s="123">
        <v>34500</v>
      </c>
      <c r="AE113" s="36" t="s">
        <v>80</v>
      </c>
      <c r="AF113" s="138">
        <v>59900</v>
      </c>
      <c r="AG113" s="82">
        <v>0.57595993322203676</v>
      </c>
      <c r="AH113" s="734" t="s">
        <v>97</v>
      </c>
      <c r="AI113" s="84" t="s">
        <v>81</v>
      </c>
      <c r="AJ113" s="84" t="s">
        <v>81</v>
      </c>
      <c r="AK113" s="749">
        <v>5390</v>
      </c>
      <c r="AL113" s="832">
        <f t="shared" si="1"/>
        <v>42090</v>
      </c>
      <c r="AM113" s="121">
        <v>6</v>
      </c>
    </row>
    <row r="114" spans="1:39" x14ac:dyDescent="0.3">
      <c r="A114" s="33">
        <v>122</v>
      </c>
      <c r="B114" s="33">
        <v>49</v>
      </c>
      <c r="C114" s="113" t="s">
        <v>335</v>
      </c>
      <c r="D114" s="114" t="s">
        <v>353</v>
      </c>
      <c r="E114" s="51" t="s">
        <v>354</v>
      </c>
      <c r="F114" s="800">
        <v>366</v>
      </c>
      <c r="G114" s="800" t="s">
        <v>72</v>
      </c>
      <c r="H114" s="71" t="s">
        <v>73</v>
      </c>
      <c r="I114" s="72">
        <v>1.47</v>
      </c>
      <c r="J114" s="800" t="s">
        <v>140</v>
      </c>
      <c r="K114" s="71" t="s">
        <v>104</v>
      </c>
      <c r="L114" s="835" t="s">
        <v>225</v>
      </c>
      <c r="M114" s="835" t="s">
        <v>225</v>
      </c>
      <c r="N114" s="835" t="s">
        <v>225</v>
      </c>
      <c r="O114" s="835" t="s">
        <v>225</v>
      </c>
      <c r="P114" s="51" t="s">
        <v>226</v>
      </c>
      <c r="Q114" s="51" t="s">
        <v>226</v>
      </c>
      <c r="R114" s="73" t="s">
        <v>144</v>
      </c>
      <c r="S114" s="73" t="s">
        <v>145</v>
      </c>
      <c r="T114" s="825">
        <v>27500</v>
      </c>
      <c r="U114" s="825">
        <v>27000</v>
      </c>
      <c r="V114" s="825">
        <v>25500</v>
      </c>
      <c r="W114" s="822">
        <v>26500</v>
      </c>
      <c r="X114" s="760">
        <v>28500</v>
      </c>
      <c r="Y114" s="760">
        <v>29000</v>
      </c>
      <c r="Z114" s="760">
        <v>34500</v>
      </c>
      <c r="AA114" s="760">
        <v>35500</v>
      </c>
      <c r="AB114" s="129">
        <v>32500</v>
      </c>
      <c r="AC114" s="115">
        <v>31500</v>
      </c>
      <c r="AD114" s="115">
        <v>31500</v>
      </c>
      <c r="AE114" s="80" t="s">
        <v>80</v>
      </c>
      <c r="AF114" s="78">
        <v>59900</v>
      </c>
      <c r="AG114" s="79">
        <v>0.52587646076794659</v>
      </c>
      <c r="AH114" s="733" t="s">
        <v>97</v>
      </c>
      <c r="AI114" s="87" t="s">
        <v>81</v>
      </c>
      <c r="AJ114" s="87" t="s">
        <v>81</v>
      </c>
      <c r="AK114" s="748">
        <v>5390</v>
      </c>
      <c r="AL114" s="832">
        <f t="shared" si="1"/>
        <v>46305</v>
      </c>
      <c r="AM114" s="122">
        <v>6</v>
      </c>
    </row>
    <row r="115" spans="1:39" x14ac:dyDescent="0.3">
      <c r="A115" s="33">
        <v>121</v>
      </c>
      <c r="B115" s="33">
        <v>48</v>
      </c>
      <c r="C115" s="116" t="s">
        <v>335</v>
      </c>
      <c r="D115" s="117" t="s">
        <v>355</v>
      </c>
      <c r="E115" s="35" t="s">
        <v>190</v>
      </c>
      <c r="F115" s="799">
        <v>528</v>
      </c>
      <c r="G115" s="799" t="s">
        <v>72</v>
      </c>
      <c r="H115" s="36" t="s">
        <v>73</v>
      </c>
      <c r="I115" s="37">
        <v>2.06</v>
      </c>
      <c r="J115" s="799" t="s">
        <v>140</v>
      </c>
      <c r="K115" s="36" t="s">
        <v>104</v>
      </c>
      <c r="L115" s="837" t="s">
        <v>225</v>
      </c>
      <c r="M115" s="837" t="s">
        <v>295</v>
      </c>
      <c r="N115" s="837" t="s">
        <v>295</v>
      </c>
      <c r="O115" s="837" t="s">
        <v>295</v>
      </c>
      <c r="P115" s="35" t="s">
        <v>226</v>
      </c>
      <c r="Q115" s="35" t="s">
        <v>226</v>
      </c>
      <c r="R115" s="38" t="s">
        <v>144</v>
      </c>
      <c r="S115" s="38" t="s">
        <v>145</v>
      </c>
      <c r="T115" s="66">
        <v>28000</v>
      </c>
      <c r="U115" s="66">
        <v>28500</v>
      </c>
      <c r="V115" s="833">
        <v>26000</v>
      </c>
      <c r="W115" s="820">
        <v>26500</v>
      </c>
      <c r="X115" s="838">
        <v>27500</v>
      </c>
      <c r="Y115" s="838">
        <v>29000</v>
      </c>
      <c r="Z115" s="838">
        <v>34000</v>
      </c>
      <c r="AA115" s="838">
        <v>26500</v>
      </c>
      <c r="AB115" s="123">
        <v>29000</v>
      </c>
      <c r="AC115" s="123">
        <v>28000</v>
      </c>
      <c r="AD115" s="123">
        <v>28000</v>
      </c>
      <c r="AE115" s="36" t="s">
        <v>80</v>
      </c>
      <c r="AF115" s="138">
        <v>59900</v>
      </c>
      <c r="AG115" s="82">
        <v>0.46744574290484142</v>
      </c>
      <c r="AH115" s="734" t="s">
        <v>97</v>
      </c>
      <c r="AI115" s="84" t="s">
        <v>81</v>
      </c>
      <c r="AJ115" s="84" t="s">
        <v>81</v>
      </c>
      <c r="AK115" s="749">
        <v>5390</v>
      </c>
      <c r="AL115" s="832">
        <f t="shared" si="1"/>
        <v>57680</v>
      </c>
      <c r="AM115" s="121">
        <v>6</v>
      </c>
    </row>
    <row r="116" spans="1:39" x14ac:dyDescent="0.3">
      <c r="A116" s="33">
        <v>120</v>
      </c>
      <c r="B116" s="33">
        <v>47</v>
      </c>
      <c r="C116" s="113" t="s">
        <v>335</v>
      </c>
      <c r="D116" s="114" t="s">
        <v>356</v>
      </c>
      <c r="E116" s="70" t="s">
        <v>357</v>
      </c>
      <c r="F116" s="800">
        <v>510</v>
      </c>
      <c r="G116" s="800" t="s">
        <v>72</v>
      </c>
      <c r="H116" s="71" t="s">
        <v>73</v>
      </c>
      <c r="I116" s="72">
        <v>1.1499999999999999</v>
      </c>
      <c r="J116" s="800" t="s">
        <v>140</v>
      </c>
      <c r="K116" s="71" t="s">
        <v>104</v>
      </c>
      <c r="L116" s="835" t="s">
        <v>225</v>
      </c>
      <c r="M116" s="839" t="s">
        <v>295</v>
      </c>
      <c r="N116" s="835" t="s">
        <v>295</v>
      </c>
      <c r="O116" s="835" t="s">
        <v>295</v>
      </c>
      <c r="P116" s="51" t="s">
        <v>226</v>
      </c>
      <c r="Q116" s="51" t="s">
        <v>226</v>
      </c>
      <c r="R116" s="73" t="s">
        <v>144</v>
      </c>
      <c r="S116" s="73" t="s">
        <v>145</v>
      </c>
      <c r="T116" s="192">
        <v>24000</v>
      </c>
      <c r="U116" s="192">
        <v>28500</v>
      </c>
      <c r="V116" s="825">
        <v>27500</v>
      </c>
      <c r="W116" s="822">
        <v>25500</v>
      </c>
      <c r="X116" s="760">
        <v>26500</v>
      </c>
      <c r="Y116" s="760">
        <v>27500</v>
      </c>
      <c r="Z116" s="760">
        <v>28000</v>
      </c>
      <c r="AA116" s="760">
        <v>29000</v>
      </c>
      <c r="AB116" s="129">
        <v>28500</v>
      </c>
      <c r="AC116" s="115">
        <v>27500</v>
      </c>
      <c r="AD116" s="115">
        <v>27500</v>
      </c>
      <c r="AE116" s="80" t="s">
        <v>80</v>
      </c>
      <c r="AF116" s="78">
        <v>59900</v>
      </c>
      <c r="AG116" s="79">
        <v>0.45909849749582637</v>
      </c>
      <c r="AH116" s="733" t="s">
        <v>97</v>
      </c>
      <c r="AI116" s="87" t="s">
        <v>81</v>
      </c>
      <c r="AJ116" s="87" t="s">
        <v>81</v>
      </c>
      <c r="AK116" s="748">
        <v>5390</v>
      </c>
      <c r="AL116" s="832">
        <f t="shared" si="1"/>
        <v>31624.999999999996</v>
      </c>
      <c r="AM116" s="122">
        <v>6</v>
      </c>
    </row>
    <row r="117" spans="1:39" x14ac:dyDescent="0.3">
      <c r="A117" s="33">
        <v>119</v>
      </c>
      <c r="B117" s="33">
        <v>46</v>
      </c>
      <c r="C117" s="116" t="s">
        <v>335</v>
      </c>
      <c r="D117" s="117" t="s">
        <v>358</v>
      </c>
      <c r="E117" s="64" t="s">
        <v>359</v>
      </c>
      <c r="F117" s="799">
        <v>518</v>
      </c>
      <c r="G117" s="799" t="s">
        <v>72</v>
      </c>
      <c r="H117" s="36" t="s">
        <v>73</v>
      </c>
      <c r="I117" s="37">
        <v>0.51</v>
      </c>
      <c r="J117" s="799" t="s">
        <v>140</v>
      </c>
      <c r="K117" s="36" t="s">
        <v>104</v>
      </c>
      <c r="L117" s="837" t="s">
        <v>225</v>
      </c>
      <c r="M117" s="837" t="s">
        <v>295</v>
      </c>
      <c r="N117" s="837" t="s">
        <v>295</v>
      </c>
      <c r="O117" s="837" t="s">
        <v>295</v>
      </c>
      <c r="P117" s="35" t="s">
        <v>226</v>
      </c>
      <c r="Q117" s="35" t="s">
        <v>226</v>
      </c>
      <c r="R117" s="38" t="s">
        <v>144</v>
      </c>
      <c r="S117" s="38" t="s">
        <v>145</v>
      </c>
      <c r="T117" s="66">
        <v>24000</v>
      </c>
      <c r="U117" s="66">
        <v>23500</v>
      </c>
      <c r="V117" s="833">
        <v>23500</v>
      </c>
      <c r="W117" s="820">
        <v>23500</v>
      </c>
      <c r="X117" s="838">
        <v>24500</v>
      </c>
      <c r="Y117" s="838">
        <v>24000</v>
      </c>
      <c r="Z117" s="838">
        <v>25500</v>
      </c>
      <c r="AA117" s="838">
        <v>25500</v>
      </c>
      <c r="AB117" s="123">
        <v>25500</v>
      </c>
      <c r="AC117" s="123">
        <v>21500</v>
      </c>
      <c r="AD117" s="123">
        <v>21500</v>
      </c>
      <c r="AE117" s="36" t="s">
        <v>80</v>
      </c>
      <c r="AF117" s="138">
        <v>59900</v>
      </c>
      <c r="AG117" s="82">
        <v>0.35893155258764609</v>
      </c>
      <c r="AH117" s="734" t="s">
        <v>97</v>
      </c>
      <c r="AI117" s="84" t="s">
        <v>81</v>
      </c>
      <c r="AJ117" s="84" t="s">
        <v>81</v>
      </c>
      <c r="AK117" s="749">
        <v>5390</v>
      </c>
      <c r="AL117" s="832">
        <f t="shared" si="1"/>
        <v>10965</v>
      </c>
      <c r="AM117" s="121">
        <v>6</v>
      </c>
    </row>
    <row r="118" spans="1:39" ht="15" thickBot="1" x14ac:dyDescent="0.35">
      <c r="A118" s="88">
        <v>118</v>
      </c>
      <c r="B118" s="88">
        <v>45</v>
      </c>
      <c r="C118" s="214" t="s">
        <v>335</v>
      </c>
      <c r="D118" s="161" t="s">
        <v>360</v>
      </c>
      <c r="E118" s="162" t="s">
        <v>361</v>
      </c>
      <c r="F118" s="803">
        <v>459</v>
      </c>
      <c r="G118" s="803" t="s">
        <v>72</v>
      </c>
      <c r="H118" s="163" t="s">
        <v>73</v>
      </c>
      <c r="I118" s="164">
        <v>1</v>
      </c>
      <c r="J118" s="803" t="s">
        <v>140</v>
      </c>
      <c r="K118" s="163" t="s">
        <v>104</v>
      </c>
      <c r="L118" s="845" t="s">
        <v>142</v>
      </c>
      <c r="M118" s="845" t="s">
        <v>142</v>
      </c>
      <c r="N118" s="845" t="s">
        <v>142</v>
      </c>
      <c r="O118" s="845" t="s">
        <v>142</v>
      </c>
      <c r="P118" s="166" t="s">
        <v>143</v>
      </c>
      <c r="Q118" s="166" t="s">
        <v>143</v>
      </c>
      <c r="R118" s="167" t="s">
        <v>144</v>
      </c>
      <c r="S118" s="167" t="s">
        <v>145</v>
      </c>
      <c r="T118" s="846">
        <v>12800</v>
      </c>
      <c r="U118" s="846">
        <v>12300</v>
      </c>
      <c r="V118" s="846">
        <v>12400</v>
      </c>
      <c r="W118" s="847">
        <v>13100</v>
      </c>
      <c r="X118" s="761">
        <v>13600</v>
      </c>
      <c r="Y118" s="761">
        <v>14000</v>
      </c>
      <c r="Z118" s="761">
        <v>13600</v>
      </c>
      <c r="AA118" s="761">
        <v>14300</v>
      </c>
      <c r="AB118" s="168">
        <v>14800</v>
      </c>
      <c r="AC118" s="169">
        <v>14400</v>
      </c>
      <c r="AD118" s="169">
        <v>14400</v>
      </c>
      <c r="AE118" s="170" t="s">
        <v>80</v>
      </c>
      <c r="AF118" s="171">
        <v>39800</v>
      </c>
      <c r="AG118" s="172">
        <v>0.36180904522613067</v>
      </c>
      <c r="AH118" s="737" t="s">
        <v>97</v>
      </c>
      <c r="AI118" s="173" t="s">
        <v>81</v>
      </c>
      <c r="AJ118" s="173" t="s">
        <v>81</v>
      </c>
      <c r="AK118" s="752">
        <v>3580</v>
      </c>
      <c r="AL118" s="829">
        <f t="shared" si="1"/>
        <v>14400</v>
      </c>
      <c r="AM118" s="174">
        <v>4</v>
      </c>
    </row>
    <row r="119" spans="1:39" x14ac:dyDescent="0.3">
      <c r="A119" s="103">
        <v>136</v>
      </c>
      <c r="B119" s="103">
        <v>72</v>
      </c>
      <c r="C119" s="187" t="s">
        <v>362</v>
      </c>
      <c r="D119" s="176" t="s">
        <v>363</v>
      </c>
      <c r="E119" s="189" t="s">
        <v>364</v>
      </c>
      <c r="F119" s="804">
        <v>4</v>
      </c>
      <c r="G119" s="804" t="s">
        <v>72</v>
      </c>
      <c r="H119" s="131" t="s">
        <v>73</v>
      </c>
      <c r="I119" s="178">
        <v>2.4500000000000002</v>
      </c>
      <c r="J119" s="804" t="s">
        <v>130</v>
      </c>
      <c r="K119" s="131" t="s">
        <v>104</v>
      </c>
      <c r="L119" s="843" t="s">
        <v>256</v>
      </c>
      <c r="M119" s="843" t="s">
        <v>256</v>
      </c>
      <c r="N119" s="843" t="s">
        <v>256</v>
      </c>
      <c r="O119" s="843" t="s">
        <v>256</v>
      </c>
      <c r="P119" s="843" t="s">
        <v>256</v>
      </c>
      <c r="Q119" s="843" t="s">
        <v>256</v>
      </c>
      <c r="R119" s="179" t="s">
        <v>144</v>
      </c>
      <c r="S119" s="179" t="s">
        <v>145</v>
      </c>
      <c r="T119" s="825">
        <v>6100</v>
      </c>
      <c r="U119" s="825">
        <v>6000</v>
      </c>
      <c r="V119" s="825">
        <v>6300</v>
      </c>
      <c r="W119" s="836">
        <v>6200</v>
      </c>
      <c r="X119" s="759">
        <v>6400</v>
      </c>
      <c r="Y119" s="759">
        <v>7700</v>
      </c>
      <c r="Z119" s="759">
        <v>6900</v>
      </c>
      <c r="AA119" s="759">
        <v>7100</v>
      </c>
      <c r="AB119" s="180">
        <v>6700</v>
      </c>
      <c r="AC119" s="181">
        <v>6500</v>
      </c>
      <c r="AD119" s="181">
        <v>6500</v>
      </c>
      <c r="AE119" s="190" t="s">
        <v>80</v>
      </c>
      <c r="AF119" s="78">
        <v>24200</v>
      </c>
      <c r="AG119" s="79">
        <v>0.26859504132231404</v>
      </c>
      <c r="AH119" s="731" t="s">
        <v>1524</v>
      </c>
      <c r="AI119" s="753" t="s">
        <v>81</v>
      </c>
      <c r="AJ119" s="753" t="s">
        <v>81</v>
      </c>
      <c r="AK119" s="754">
        <v>2180</v>
      </c>
      <c r="AL119" s="832">
        <f t="shared" si="1"/>
        <v>15925.000000000002</v>
      </c>
      <c r="AM119" s="182">
        <v>2</v>
      </c>
    </row>
    <row r="120" spans="1:39" x14ac:dyDescent="0.3">
      <c r="A120" s="33">
        <v>135</v>
      </c>
      <c r="B120" s="33">
        <v>71</v>
      </c>
      <c r="C120" s="155" t="s">
        <v>362</v>
      </c>
      <c r="D120" s="117" t="s">
        <v>365</v>
      </c>
      <c r="E120" s="64" t="s">
        <v>366</v>
      </c>
      <c r="F120" s="799">
        <v>527</v>
      </c>
      <c r="G120" s="799" t="s">
        <v>72</v>
      </c>
      <c r="H120" s="36" t="s">
        <v>73</v>
      </c>
      <c r="I120" s="37">
        <v>9.19</v>
      </c>
      <c r="J120" s="799" t="s">
        <v>269</v>
      </c>
      <c r="K120" s="36" t="s">
        <v>104</v>
      </c>
      <c r="L120" s="837" t="s">
        <v>367</v>
      </c>
      <c r="M120" s="837" t="s">
        <v>367</v>
      </c>
      <c r="N120" s="837" t="s">
        <v>367</v>
      </c>
      <c r="O120" s="837" t="s">
        <v>367</v>
      </c>
      <c r="P120" s="837" t="s">
        <v>367</v>
      </c>
      <c r="Q120" s="837" t="s">
        <v>367</v>
      </c>
      <c r="R120" s="38" t="s">
        <v>132</v>
      </c>
      <c r="S120" s="38" t="s">
        <v>133</v>
      </c>
      <c r="T120" s="833">
        <v>2700</v>
      </c>
      <c r="U120" s="833">
        <v>2700</v>
      </c>
      <c r="V120" s="833">
        <v>2800</v>
      </c>
      <c r="W120" s="820">
        <v>2900</v>
      </c>
      <c r="X120" s="838">
        <v>3100</v>
      </c>
      <c r="Y120" s="838">
        <v>3400</v>
      </c>
      <c r="Z120" s="838">
        <v>3700</v>
      </c>
      <c r="AA120" s="838">
        <v>3900</v>
      </c>
      <c r="AB120" s="123">
        <v>3900</v>
      </c>
      <c r="AC120" s="123">
        <v>3900</v>
      </c>
      <c r="AD120" s="123">
        <v>3900</v>
      </c>
      <c r="AE120" s="36" t="s">
        <v>97</v>
      </c>
      <c r="AF120" s="138">
        <v>6450</v>
      </c>
      <c r="AG120" s="82">
        <v>0.60465116279069764</v>
      </c>
      <c r="AH120" s="734" t="s">
        <v>97</v>
      </c>
      <c r="AI120" s="84" t="s">
        <v>81</v>
      </c>
      <c r="AJ120" s="84" t="s">
        <v>81</v>
      </c>
      <c r="AK120" s="749">
        <v>620</v>
      </c>
      <c r="AL120" s="832">
        <f t="shared" si="1"/>
        <v>35841</v>
      </c>
      <c r="AM120" s="121">
        <v>2</v>
      </c>
    </row>
    <row r="121" spans="1:39" ht="15" thickBot="1" x14ac:dyDescent="0.35">
      <c r="A121" s="88">
        <v>134</v>
      </c>
      <c r="B121" s="88">
        <v>70</v>
      </c>
      <c r="C121" s="160" t="s">
        <v>362</v>
      </c>
      <c r="D121" s="162" t="s">
        <v>368</v>
      </c>
      <c r="E121" s="166" t="s">
        <v>369</v>
      </c>
      <c r="F121" s="803" t="s">
        <v>370</v>
      </c>
      <c r="G121" s="803" t="s">
        <v>72</v>
      </c>
      <c r="H121" s="215" t="s">
        <v>73</v>
      </c>
      <c r="I121" s="216">
        <v>2.42</v>
      </c>
      <c r="J121" s="803" t="s">
        <v>269</v>
      </c>
      <c r="K121" s="215" t="s">
        <v>104</v>
      </c>
      <c r="L121" s="845" t="s">
        <v>367</v>
      </c>
      <c r="M121" s="845" t="s">
        <v>367</v>
      </c>
      <c r="N121" s="845" t="s">
        <v>367</v>
      </c>
      <c r="O121" s="845" t="s">
        <v>367</v>
      </c>
      <c r="P121" s="845" t="s">
        <v>367</v>
      </c>
      <c r="Q121" s="845" t="s">
        <v>367</v>
      </c>
      <c r="R121" s="217" t="s">
        <v>132</v>
      </c>
      <c r="S121" s="217" t="s">
        <v>133</v>
      </c>
      <c r="T121" s="846">
        <v>2000</v>
      </c>
      <c r="U121" s="846">
        <v>2200</v>
      </c>
      <c r="V121" s="846">
        <v>2100</v>
      </c>
      <c r="W121" s="847">
        <v>2400</v>
      </c>
      <c r="X121" s="761">
        <v>2400</v>
      </c>
      <c r="Y121" s="761">
        <v>2800</v>
      </c>
      <c r="Z121" s="761">
        <v>2800</v>
      </c>
      <c r="AA121" s="761">
        <v>2700</v>
      </c>
      <c r="AB121" s="168">
        <v>2700</v>
      </c>
      <c r="AC121" s="169">
        <v>3500</v>
      </c>
      <c r="AD121" s="169">
        <v>3500</v>
      </c>
      <c r="AE121" s="218" t="s">
        <v>97</v>
      </c>
      <c r="AF121" s="171">
        <v>6450</v>
      </c>
      <c r="AG121" s="172">
        <v>0.54263565891472865</v>
      </c>
      <c r="AH121" s="737" t="s">
        <v>97</v>
      </c>
      <c r="AI121" s="173" t="s">
        <v>81</v>
      </c>
      <c r="AJ121" s="173" t="s">
        <v>81</v>
      </c>
      <c r="AK121" s="752">
        <v>620</v>
      </c>
      <c r="AL121" s="829">
        <f t="shared" si="1"/>
        <v>8470</v>
      </c>
      <c r="AM121" s="219">
        <v>2</v>
      </c>
    </row>
    <row r="122" spans="1:39" x14ac:dyDescent="0.3">
      <c r="A122" s="103">
        <v>143</v>
      </c>
      <c r="B122" s="103">
        <v>102</v>
      </c>
      <c r="C122" s="175" t="s">
        <v>371</v>
      </c>
      <c r="D122" s="177" t="s">
        <v>372</v>
      </c>
      <c r="E122" s="189" t="s">
        <v>373</v>
      </c>
      <c r="F122" s="804">
        <v>1005</v>
      </c>
      <c r="G122" s="804" t="s">
        <v>72</v>
      </c>
      <c r="H122" s="77" t="s">
        <v>73</v>
      </c>
      <c r="I122" s="178">
        <v>1.17</v>
      </c>
      <c r="J122" s="804" t="s">
        <v>140</v>
      </c>
      <c r="K122" s="77" t="s">
        <v>104</v>
      </c>
      <c r="L122" s="843" t="s">
        <v>142</v>
      </c>
      <c r="M122" s="843" t="s">
        <v>142</v>
      </c>
      <c r="N122" s="843" t="s">
        <v>142</v>
      </c>
      <c r="O122" s="843" t="s">
        <v>142</v>
      </c>
      <c r="P122" s="177" t="s">
        <v>143</v>
      </c>
      <c r="Q122" s="177" t="s">
        <v>143</v>
      </c>
      <c r="R122" s="220" t="s">
        <v>374</v>
      </c>
      <c r="S122" s="179" t="s">
        <v>145</v>
      </c>
      <c r="T122" s="825">
        <v>19700</v>
      </c>
      <c r="U122" s="825">
        <v>19000</v>
      </c>
      <c r="V122" s="826">
        <v>20500</v>
      </c>
      <c r="W122" s="836">
        <v>21000</v>
      </c>
      <c r="X122" s="759">
        <v>21900</v>
      </c>
      <c r="Y122" s="759">
        <v>22500</v>
      </c>
      <c r="Z122" s="759">
        <v>25000</v>
      </c>
      <c r="AA122" s="759">
        <v>26000</v>
      </c>
      <c r="AB122" s="180">
        <v>26000</v>
      </c>
      <c r="AC122" s="181">
        <v>25000</v>
      </c>
      <c r="AD122" s="181">
        <v>30500</v>
      </c>
      <c r="AE122" s="86" t="s">
        <v>80</v>
      </c>
      <c r="AF122" s="78">
        <v>39800</v>
      </c>
      <c r="AG122" s="79">
        <v>0.76633165829145733</v>
      </c>
      <c r="AH122" s="731" t="s">
        <v>97</v>
      </c>
      <c r="AI122" s="753" t="s">
        <v>81</v>
      </c>
      <c r="AJ122" s="753" t="s">
        <v>81</v>
      </c>
      <c r="AK122" s="754">
        <v>3580</v>
      </c>
      <c r="AL122" s="832">
        <f t="shared" si="1"/>
        <v>35685</v>
      </c>
      <c r="AM122" s="221">
        <v>4</v>
      </c>
    </row>
    <row r="123" spans="1:39" x14ac:dyDescent="0.3">
      <c r="A123" s="33">
        <v>143</v>
      </c>
      <c r="B123" s="33">
        <v>102</v>
      </c>
      <c r="C123" s="153" t="s">
        <v>371</v>
      </c>
      <c r="D123" s="35" t="s">
        <v>372</v>
      </c>
      <c r="E123" s="64" t="s">
        <v>375</v>
      </c>
      <c r="F123" s="799">
        <v>6</v>
      </c>
      <c r="G123" s="799" t="s">
        <v>72</v>
      </c>
      <c r="H123" s="65" t="s">
        <v>73</v>
      </c>
      <c r="I123" s="37">
        <v>0.59</v>
      </c>
      <c r="J123" s="799" t="s">
        <v>140</v>
      </c>
      <c r="K123" s="65" t="s">
        <v>104</v>
      </c>
      <c r="L123" s="837" t="s">
        <v>142</v>
      </c>
      <c r="M123" s="837" t="s">
        <v>142</v>
      </c>
      <c r="N123" s="837" t="s">
        <v>142</v>
      </c>
      <c r="O123" s="837" t="s">
        <v>142</v>
      </c>
      <c r="P123" s="35" t="s">
        <v>143</v>
      </c>
      <c r="Q123" s="35" t="s">
        <v>143</v>
      </c>
      <c r="R123" s="39" t="s">
        <v>374</v>
      </c>
      <c r="S123" s="38" t="s">
        <v>145</v>
      </c>
      <c r="T123" s="833">
        <v>21000</v>
      </c>
      <c r="U123" s="833">
        <v>20500</v>
      </c>
      <c r="V123" s="833">
        <v>21000</v>
      </c>
      <c r="W123" s="820">
        <v>20100</v>
      </c>
      <c r="X123" s="838">
        <v>23000</v>
      </c>
      <c r="Y123" s="838">
        <v>23500</v>
      </c>
      <c r="Z123" s="838">
        <v>24000</v>
      </c>
      <c r="AA123" s="838">
        <v>26000</v>
      </c>
      <c r="AB123" s="123">
        <v>26000</v>
      </c>
      <c r="AC123" s="123">
        <v>25000</v>
      </c>
      <c r="AD123" s="120">
        <v>28000</v>
      </c>
      <c r="AE123" s="65" t="s">
        <v>80</v>
      </c>
      <c r="AF123" s="138">
        <v>39800</v>
      </c>
      <c r="AG123" s="82">
        <v>0.70351758793969854</v>
      </c>
      <c r="AH123" s="734" t="s">
        <v>97</v>
      </c>
      <c r="AI123" s="213">
        <v>1760</v>
      </c>
      <c r="AJ123" s="213">
        <v>2080</v>
      </c>
      <c r="AK123" s="749">
        <v>3580</v>
      </c>
      <c r="AL123" s="832">
        <f t="shared" si="1"/>
        <v>16520</v>
      </c>
      <c r="AM123" s="49">
        <v>4</v>
      </c>
    </row>
    <row r="124" spans="1:39" x14ac:dyDescent="0.3">
      <c r="A124" s="33">
        <v>142</v>
      </c>
      <c r="B124" s="33">
        <v>101</v>
      </c>
      <c r="C124" s="157" t="s">
        <v>371</v>
      </c>
      <c r="D124" s="158" t="s">
        <v>376</v>
      </c>
      <c r="E124" s="51" t="s">
        <v>377</v>
      </c>
      <c r="F124" s="800">
        <v>474</v>
      </c>
      <c r="G124" s="800" t="s">
        <v>72</v>
      </c>
      <c r="H124" s="71" t="s">
        <v>73</v>
      </c>
      <c r="I124" s="53">
        <v>1</v>
      </c>
      <c r="J124" s="800" t="s">
        <v>140</v>
      </c>
      <c r="K124" s="71" t="s">
        <v>104</v>
      </c>
      <c r="L124" s="835" t="s">
        <v>142</v>
      </c>
      <c r="M124" s="835" t="s">
        <v>142</v>
      </c>
      <c r="N124" s="835" t="s">
        <v>142</v>
      </c>
      <c r="O124" s="835" t="s">
        <v>142</v>
      </c>
      <c r="P124" s="51" t="s">
        <v>143</v>
      </c>
      <c r="Q124" s="51" t="s">
        <v>143</v>
      </c>
      <c r="R124" s="73" t="s">
        <v>374</v>
      </c>
      <c r="S124" s="73" t="s">
        <v>145</v>
      </c>
      <c r="T124" s="825">
        <v>21500</v>
      </c>
      <c r="U124" s="825">
        <v>21000</v>
      </c>
      <c r="V124" s="826">
        <v>22000</v>
      </c>
      <c r="W124" s="822">
        <v>22000</v>
      </c>
      <c r="X124" s="760">
        <v>24000</v>
      </c>
      <c r="Y124" s="760">
        <v>25000</v>
      </c>
      <c r="Z124" s="760">
        <v>25500</v>
      </c>
      <c r="AA124" s="760">
        <v>26500</v>
      </c>
      <c r="AB124" s="129">
        <v>27000</v>
      </c>
      <c r="AC124" s="115">
        <v>26000</v>
      </c>
      <c r="AD124" s="115">
        <v>26000</v>
      </c>
      <c r="AE124" s="80" t="s">
        <v>80</v>
      </c>
      <c r="AF124" s="78">
        <v>39800</v>
      </c>
      <c r="AG124" s="79">
        <v>0.65326633165829151</v>
      </c>
      <c r="AH124" s="733" t="s">
        <v>97</v>
      </c>
      <c r="AI124" s="87" t="s">
        <v>81</v>
      </c>
      <c r="AJ124" s="87" t="s">
        <v>81</v>
      </c>
      <c r="AK124" s="748">
        <v>3580</v>
      </c>
      <c r="AL124" s="832">
        <f t="shared" si="1"/>
        <v>26000</v>
      </c>
      <c r="AM124" s="122">
        <v>4</v>
      </c>
    </row>
    <row r="125" spans="1:39" x14ac:dyDescent="0.3">
      <c r="A125" s="33">
        <v>141</v>
      </c>
      <c r="B125" s="33">
        <v>100</v>
      </c>
      <c r="C125" s="155" t="s">
        <v>371</v>
      </c>
      <c r="D125" s="117" t="s">
        <v>378</v>
      </c>
      <c r="E125" s="35" t="s">
        <v>240</v>
      </c>
      <c r="F125" s="799">
        <v>463</v>
      </c>
      <c r="G125" s="799" t="s">
        <v>72</v>
      </c>
      <c r="H125" s="36" t="s">
        <v>73</v>
      </c>
      <c r="I125" s="37">
        <v>1.01</v>
      </c>
      <c r="J125" s="799" t="s">
        <v>140</v>
      </c>
      <c r="K125" s="36" t="s">
        <v>104</v>
      </c>
      <c r="L125" s="837" t="s">
        <v>142</v>
      </c>
      <c r="M125" s="837" t="s">
        <v>142</v>
      </c>
      <c r="N125" s="837" t="s">
        <v>142</v>
      </c>
      <c r="O125" s="837" t="s">
        <v>142</v>
      </c>
      <c r="P125" s="35" t="s">
        <v>143</v>
      </c>
      <c r="Q125" s="35" t="s">
        <v>143</v>
      </c>
      <c r="R125" s="38" t="s">
        <v>374</v>
      </c>
      <c r="S125" s="38" t="s">
        <v>145</v>
      </c>
      <c r="T125" s="833">
        <v>21900</v>
      </c>
      <c r="U125" s="833">
        <v>23000</v>
      </c>
      <c r="V125" s="833">
        <v>23000</v>
      </c>
      <c r="W125" s="820">
        <v>25000</v>
      </c>
      <c r="X125" s="838">
        <v>25000</v>
      </c>
      <c r="Y125" s="838">
        <v>26000</v>
      </c>
      <c r="Z125" s="838">
        <v>27000</v>
      </c>
      <c r="AA125" s="838">
        <v>28000</v>
      </c>
      <c r="AB125" s="123">
        <v>28000</v>
      </c>
      <c r="AC125" s="123">
        <v>27000</v>
      </c>
      <c r="AD125" s="120">
        <v>24000</v>
      </c>
      <c r="AE125" s="65" t="s">
        <v>80</v>
      </c>
      <c r="AF125" s="138">
        <v>39800</v>
      </c>
      <c r="AG125" s="82">
        <v>0.60301507537688437</v>
      </c>
      <c r="AH125" s="734" t="s">
        <v>97</v>
      </c>
      <c r="AI125" s="213">
        <v>1830</v>
      </c>
      <c r="AJ125" s="213">
        <v>1940</v>
      </c>
      <c r="AK125" s="749">
        <v>3580</v>
      </c>
      <c r="AL125" s="832">
        <f t="shared" si="1"/>
        <v>24240</v>
      </c>
      <c r="AM125" s="121">
        <v>4</v>
      </c>
    </row>
    <row r="126" spans="1:39" x14ac:dyDescent="0.3">
      <c r="A126" s="33">
        <v>140</v>
      </c>
      <c r="B126" s="33">
        <v>99</v>
      </c>
      <c r="C126" s="152" t="s">
        <v>371</v>
      </c>
      <c r="D126" s="51" t="s">
        <v>379</v>
      </c>
      <c r="E126" s="51" t="s">
        <v>380</v>
      </c>
      <c r="F126" s="800">
        <v>537</v>
      </c>
      <c r="G126" s="800" t="s">
        <v>72</v>
      </c>
      <c r="H126" s="52" t="s">
        <v>73</v>
      </c>
      <c r="I126" s="72">
        <v>0.83</v>
      </c>
      <c r="J126" s="800" t="s">
        <v>205</v>
      </c>
      <c r="K126" s="52" t="s">
        <v>104</v>
      </c>
      <c r="L126" s="835" t="s">
        <v>142</v>
      </c>
      <c r="M126" s="835" t="s">
        <v>142</v>
      </c>
      <c r="N126" s="835" t="s">
        <v>142</v>
      </c>
      <c r="O126" s="835" t="s">
        <v>142</v>
      </c>
      <c r="P126" s="51" t="s">
        <v>143</v>
      </c>
      <c r="Q126" s="51" t="s">
        <v>143</v>
      </c>
      <c r="R126" s="55" t="s">
        <v>374</v>
      </c>
      <c r="S126" s="73" t="s">
        <v>145</v>
      </c>
      <c r="T126" s="825">
        <v>22500</v>
      </c>
      <c r="U126" s="825">
        <v>18900</v>
      </c>
      <c r="V126" s="826">
        <v>21500</v>
      </c>
      <c r="W126" s="822">
        <v>20800</v>
      </c>
      <c r="X126" s="760">
        <v>21500</v>
      </c>
      <c r="Y126" s="760">
        <v>21800</v>
      </c>
      <c r="Z126" s="760">
        <v>25500</v>
      </c>
      <c r="AA126" s="760">
        <v>24000</v>
      </c>
      <c r="AB126" s="129">
        <v>25000</v>
      </c>
      <c r="AC126" s="115">
        <v>24000</v>
      </c>
      <c r="AD126" s="115">
        <v>24000</v>
      </c>
      <c r="AE126" s="80" t="s">
        <v>80</v>
      </c>
      <c r="AF126" s="78">
        <v>39800</v>
      </c>
      <c r="AG126" s="79">
        <v>0.60301507537688437</v>
      </c>
      <c r="AH126" s="733" t="s">
        <v>97</v>
      </c>
      <c r="AI126" s="87" t="s">
        <v>81</v>
      </c>
      <c r="AJ126" s="87" t="s">
        <v>81</v>
      </c>
      <c r="AK126" s="748">
        <v>3580</v>
      </c>
      <c r="AL126" s="832">
        <f t="shared" si="1"/>
        <v>19920</v>
      </c>
      <c r="AM126" s="63">
        <v>4</v>
      </c>
    </row>
    <row r="127" spans="1:39" x14ac:dyDescent="0.3">
      <c r="A127" s="33">
        <v>139</v>
      </c>
      <c r="B127" s="33">
        <v>98</v>
      </c>
      <c r="C127" s="155" t="s">
        <v>371</v>
      </c>
      <c r="D127" s="117" t="s">
        <v>381</v>
      </c>
      <c r="E127" s="35" t="s">
        <v>382</v>
      </c>
      <c r="F127" s="799">
        <v>465</v>
      </c>
      <c r="G127" s="799" t="s">
        <v>72</v>
      </c>
      <c r="H127" s="36" t="s">
        <v>73</v>
      </c>
      <c r="I127" s="37">
        <v>1.2</v>
      </c>
      <c r="J127" s="799" t="s">
        <v>205</v>
      </c>
      <c r="K127" s="36" t="s">
        <v>104</v>
      </c>
      <c r="L127" s="837" t="s">
        <v>142</v>
      </c>
      <c r="M127" s="837" t="s">
        <v>142</v>
      </c>
      <c r="N127" s="837" t="s">
        <v>142</v>
      </c>
      <c r="O127" s="837" t="s">
        <v>142</v>
      </c>
      <c r="P127" s="35" t="s">
        <v>143</v>
      </c>
      <c r="Q127" s="35" t="s">
        <v>143</v>
      </c>
      <c r="R127" s="38" t="s">
        <v>374</v>
      </c>
      <c r="S127" s="38" t="s">
        <v>145</v>
      </c>
      <c r="T127" s="833">
        <v>13800</v>
      </c>
      <c r="U127" s="833">
        <v>13100</v>
      </c>
      <c r="V127" s="833">
        <v>13600</v>
      </c>
      <c r="W127" s="820">
        <v>13400</v>
      </c>
      <c r="X127" s="838">
        <v>14000</v>
      </c>
      <c r="Y127" s="838">
        <v>14700</v>
      </c>
      <c r="Z127" s="838">
        <v>15600</v>
      </c>
      <c r="AA127" s="838">
        <v>17400</v>
      </c>
      <c r="AB127" s="123">
        <v>17600</v>
      </c>
      <c r="AC127" s="123">
        <v>13600</v>
      </c>
      <c r="AD127" s="123">
        <v>13600</v>
      </c>
      <c r="AE127" s="65" t="s">
        <v>80</v>
      </c>
      <c r="AF127" s="138">
        <v>39800</v>
      </c>
      <c r="AG127" s="82">
        <v>0.34170854271356782</v>
      </c>
      <c r="AH127" s="734" t="s">
        <v>97</v>
      </c>
      <c r="AI127" s="84" t="s">
        <v>81</v>
      </c>
      <c r="AJ127" s="84" t="s">
        <v>81</v>
      </c>
      <c r="AK127" s="749">
        <v>3580</v>
      </c>
      <c r="AL127" s="832">
        <f t="shared" si="1"/>
        <v>16320</v>
      </c>
      <c r="AM127" s="121">
        <v>4</v>
      </c>
    </row>
    <row r="128" spans="1:39" ht="15" thickBot="1" x14ac:dyDescent="0.35">
      <c r="A128" s="88">
        <v>138</v>
      </c>
      <c r="B128" s="88">
        <v>97</v>
      </c>
      <c r="C128" s="222" t="s">
        <v>371</v>
      </c>
      <c r="D128" s="161" t="s">
        <v>383</v>
      </c>
      <c r="E128" s="166" t="s">
        <v>384</v>
      </c>
      <c r="F128" s="803">
        <v>466</v>
      </c>
      <c r="G128" s="803" t="s">
        <v>72</v>
      </c>
      <c r="H128" s="163" t="s">
        <v>73</v>
      </c>
      <c r="I128" s="164">
        <v>1.1100000000000001</v>
      </c>
      <c r="J128" s="803" t="s">
        <v>205</v>
      </c>
      <c r="K128" s="163" t="s">
        <v>104</v>
      </c>
      <c r="L128" s="845" t="s">
        <v>142</v>
      </c>
      <c r="M128" s="845" t="s">
        <v>142</v>
      </c>
      <c r="N128" s="845" t="s">
        <v>142</v>
      </c>
      <c r="O128" s="845" t="s">
        <v>142</v>
      </c>
      <c r="P128" s="166" t="s">
        <v>143</v>
      </c>
      <c r="Q128" s="166" t="s">
        <v>143</v>
      </c>
      <c r="R128" s="167" t="s">
        <v>374</v>
      </c>
      <c r="S128" s="167" t="s">
        <v>145</v>
      </c>
      <c r="T128" s="846">
        <v>10300</v>
      </c>
      <c r="U128" s="846">
        <v>10200</v>
      </c>
      <c r="V128" s="852">
        <v>10600</v>
      </c>
      <c r="W128" s="847">
        <v>10500</v>
      </c>
      <c r="X128" s="761">
        <v>10900</v>
      </c>
      <c r="Y128" s="761">
        <v>10900</v>
      </c>
      <c r="Z128" s="761">
        <v>12200</v>
      </c>
      <c r="AA128" s="761">
        <v>12600</v>
      </c>
      <c r="AB128" s="168">
        <v>12600</v>
      </c>
      <c r="AC128" s="169">
        <v>12200</v>
      </c>
      <c r="AD128" s="169">
        <v>12200</v>
      </c>
      <c r="AE128" s="170" t="s">
        <v>80</v>
      </c>
      <c r="AF128" s="171">
        <v>39800</v>
      </c>
      <c r="AG128" s="172">
        <v>0.30653266331658291</v>
      </c>
      <c r="AH128" s="737" t="s">
        <v>97</v>
      </c>
      <c r="AI128" s="173" t="s">
        <v>81</v>
      </c>
      <c r="AJ128" s="173" t="s">
        <v>81</v>
      </c>
      <c r="AK128" s="752">
        <v>3580</v>
      </c>
      <c r="AL128" s="829">
        <f t="shared" si="1"/>
        <v>13542.000000000002</v>
      </c>
      <c r="AM128" s="174">
        <v>4</v>
      </c>
    </row>
    <row r="129" spans="1:39" x14ac:dyDescent="0.3">
      <c r="A129" s="33">
        <v>146</v>
      </c>
      <c r="B129" s="33">
        <v>103</v>
      </c>
      <c r="C129" s="155" t="s">
        <v>385</v>
      </c>
      <c r="D129" s="117" t="s">
        <v>386</v>
      </c>
      <c r="E129" s="64" t="s">
        <v>387</v>
      </c>
      <c r="F129" s="65">
        <v>533</v>
      </c>
      <c r="G129" s="799" t="s">
        <v>72</v>
      </c>
      <c r="H129" s="36" t="s">
        <v>73</v>
      </c>
      <c r="I129" s="37">
        <v>0.86</v>
      </c>
      <c r="J129" s="799">
        <v>55</v>
      </c>
      <c r="K129" s="36" t="s">
        <v>75</v>
      </c>
      <c r="L129" s="837" t="s">
        <v>264</v>
      </c>
      <c r="M129" s="837" t="s">
        <v>264</v>
      </c>
      <c r="N129" s="837" t="s">
        <v>264</v>
      </c>
      <c r="O129" s="837" t="s">
        <v>264</v>
      </c>
      <c r="P129" s="837" t="s">
        <v>264</v>
      </c>
      <c r="Q129" s="837" t="s">
        <v>264</v>
      </c>
      <c r="R129" s="38" t="s">
        <v>132</v>
      </c>
      <c r="S129" s="38" t="s">
        <v>133</v>
      </c>
      <c r="T129" s="833">
        <v>7000</v>
      </c>
      <c r="U129" s="833">
        <v>6800</v>
      </c>
      <c r="V129" s="833">
        <v>6300</v>
      </c>
      <c r="W129" s="831">
        <v>6800</v>
      </c>
      <c r="X129" s="838">
        <v>7000</v>
      </c>
      <c r="Y129" s="838">
        <v>8700</v>
      </c>
      <c r="Z129" s="838">
        <v>8500</v>
      </c>
      <c r="AA129" s="838">
        <v>9800</v>
      </c>
      <c r="AB129" s="123">
        <v>8700</v>
      </c>
      <c r="AC129" s="123">
        <v>8500</v>
      </c>
      <c r="AD129" s="123">
        <v>8500</v>
      </c>
      <c r="AE129" s="36" t="s">
        <v>97</v>
      </c>
      <c r="AF129" s="138">
        <v>15700</v>
      </c>
      <c r="AG129" s="82">
        <v>0.54140127388535031</v>
      </c>
      <c r="AH129" s="734" t="s">
        <v>1524</v>
      </c>
      <c r="AI129" s="757" t="s">
        <v>81</v>
      </c>
      <c r="AJ129" s="757" t="s">
        <v>81</v>
      </c>
      <c r="AK129" s="749">
        <v>1490</v>
      </c>
      <c r="AL129" s="832">
        <f t="shared" si="1"/>
        <v>7310</v>
      </c>
      <c r="AM129" s="121">
        <v>2</v>
      </c>
    </row>
    <row r="130" spans="1:39" x14ac:dyDescent="0.3">
      <c r="A130" s="33">
        <v>147</v>
      </c>
      <c r="B130" s="33">
        <v>104</v>
      </c>
      <c r="C130" s="157" t="s">
        <v>385</v>
      </c>
      <c r="D130" s="114" t="s">
        <v>388</v>
      </c>
      <c r="E130" s="70" t="s">
        <v>389</v>
      </c>
      <c r="F130" s="52">
        <v>344</v>
      </c>
      <c r="G130" s="800" t="s">
        <v>72</v>
      </c>
      <c r="H130" s="71" t="s">
        <v>73</v>
      </c>
      <c r="I130" s="72">
        <v>5.58</v>
      </c>
      <c r="J130" s="800">
        <v>55</v>
      </c>
      <c r="K130" s="71" t="s">
        <v>75</v>
      </c>
      <c r="L130" s="835" t="s">
        <v>264</v>
      </c>
      <c r="M130" s="835" t="s">
        <v>264</v>
      </c>
      <c r="N130" s="835" t="s">
        <v>264</v>
      </c>
      <c r="O130" s="835" t="s">
        <v>264</v>
      </c>
      <c r="P130" s="835" t="s">
        <v>264</v>
      </c>
      <c r="Q130" s="835" t="s">
        <v>264</v>
      </c>
      <c r="R130" s="73" t="s">
        <v>132</v>
      </c>
      <c r="S130" s="55" t="s">
        <v>133</v>
      </c>
      <c r="T130" s="825">
        <v>6500</v>
      </c>
      <c r="U130" s="825">
        <v>6600</v>
      </c>
      <c r="V130" s="825">
        <v>5900</v>
      </c>
      <c r="W130" s="822">
        <v>6200</v>
      </c>
      <c r="X130" s="760">
        <v>7600</v>
      </c>
      <c r="Y130" s="760">
        <v>8500</v>
      </c>
      <c r="Z130" s="760">
        <v>8000</v>
      </c>
      <c r="AA130" s="760">
        <v>8200</v>
      </c>
      <c r="AB130" s="129">
        <v>8400</v>
      </c>
      <c r="AC130" s="115">
        <v>8200</v>
      </c>
      <c r="AD130" s="115">
        <v>8600</v>
      </c>
      <c r="AE130" s="140" t="s">
        <v>97</v>
      </c>
      <c r="AF130" s="78">
        <v>15700</v>
      </c>
      <c r="AG130" s="79">
        <v>0.54777070063694266</v>
      </c>
      <c r="AH130" s="733" t="s">
        <v>1524</v>
      </c>
      <c r="AI130" s="194">
        <v>550</v>
      </c>
      <c r="AJ130" s="194">
        <v>660</v>
      </c>
      <c r="AK130" s="748">
        <v>1490</v>
      </c>
      <c r="AL130" s="832">
        <f t="shared" si="1"/>
        <v>47988</v>
      </c>
      <c r="AM130" s="122">
        <v>2</v>
      </c>
    </row>
    <row r="131" spans="1:39" x14ac:dyDescent="0.3">
      <c r="A131" s="33">
        <v>148</v>
      </c>
      <c r="B131" s="33">
        <v>105</v>
      </c>
      <c r="C131" s="155" t="s">
        <v>385</v>
      </c>
      <c r="D131" s="117" t="s">
        <v>390</v>
      </c>
      <c r="E131" s="35" t="s">
        <v>391</v>
      </c>
      <c r="F131" s="65">
        <v>530</v>
      </c>
      <c r="G131" s="799" t="s">
        <v>72</v>
      </c>
      <c r="H131" s="36" t="s">
        <v>73</v>
      </c>
      <c r="I131" s="37">
        <v>6.69</v>
      </c>
      <c r="J131" s="799">
        <v>60</v>
      </c>
      <c r="K131" s="36" t="s">
        <v>75</v>
      </c>
      <c r="L131" s="837" t="s">
        <v>264</v>
      </c>
      <c r="M131" s="837" t="s">
        <v>264</v>
      </c>
      <c r="N131" s="837" t="s">
        <v>264</v>
      </c>
      <c r="O131" s="837" t="s">
        <v>264</v>
      </c>
      <c r="P131" s="837" t="s">
        <v>264</v>
      </c>
      <c r="Q131" s="837" t="s">
        <v>261</v>
      </c>
      <c r="R131" s="38" t="s">
        <v>132</v>
      </c>
      <c r="S131" s="38" t="s">
        <v>133</v>
      </c>
      <c r="T131" s="833">
        <v>4800</v>
      </c>
      <c r="U131" s="833">
        <v>5400</v>
      </c>
      <c r="V131" s="833">
        <v>5500</v>
      </c>
      <c r="W131" s="820">
        <v>5600</v>
      </c>
      <c r="X131" s="838">
        <v>5800</v>
      </c>
      <c r="Y131" s="838">
        <v>6900</v>
      </c>
      <c r="Z131" s="838">
        <v>6800</v>
      </c>
      <c r="AA131" s="838">
        <v>7200</v>
      </c>
      <c r="AB131" s="123">
        <v>6900</v>
      </c>
      <c r="AC131" s="123">
        <v>6700</v>
      </c>
      <c r="AD131" s="123">
        <v>6700</v>
      </c>
      <c r="AE131" s="36" t="s">
        <v>97</v>
      </c>
      <c r="AF131" s="138">
        <v>8600</v>
      </c>
      <c r="AG131" s="82">
        <v>0.77906976744186052</v>
      </c>
      <c r="AH131" s="734" t="s">
        <v>97</v>
      </c>
      <c r="AI131" s="84" t="s">
        <v>81</v>
      </c>
      <c r="AJ131" s="84" t="s">
        <v>81</v>
      </c>
      <c r="AK131" s="749">
        <v>820</v>
      </c>
      <c r="AL131" s="832">
        <f t="shared" ref="AL131:AL194" si="2">IF(AD131&gt;0,AD131*$I131,"-")</f>
        <v>44823</v>
      </c>
      <c r="AM131" s="49">
        <v>2</v>
      </c>
    </row>
    <row r="132" spans="1:39" x14ac:dyDescent="0.3">
      <c r="A132" s="33">
        <v>148</v>
      </c>
      <c r="B132" s="33">
        <v>105</v>
      </c>
      <c r="C132" s="157" t="s">
        <v>385</v>
      </c>
      <c r="D132" s="114" t="s">
        <v>390</v>
      </c>
      <c r="E132" s="51" t="s">
        <v>392</v>
      </c>
      <c r="F132" s="52">
        <v>530</v>
      </c>
      <c r="G132" s="800" t="s">
        <v>72</v>
      </c>
      <c r="H132" s="71" t="s">
        <v>73</v>
      </c>
      <c r="I132" s="72">
        <v>6.83</v>
      </c>
      <c r="J132" s="800">
        <v>60</v>
      </c>
      <c r="K132" s="71" t="s">
        <v>75</v>
      </c>
      <c r="L132" s="835" t="s">
        <v>264</v>
      </c>
      <c r="M132" s="835" t="s">
        <v>264</v>
      </c>
      <c r="N132" s="835" t="s">
        <v>264</v>
      </c>
      <c r="O132" s="835" t="s">
        <v>264</v>
      </c>
      <c r="P132" s="835" t="s">
        <v>264</v>
      </c>
      <c r="Q132" s="835" t="s">
        <v>261</v>
      </c>
      <c r="R132" s="73" t="s">
        <v>132</v>
      </c>
      <c r="S132" s="55" t="s">
        <v>133</v>
      </c>
      <c r="T132" s="825">
        <v>4800</v>
      </c>
      <c r="U132" s="825">
        <v>5400</v>
      </c>
      <c r="V132" s="825">
        <v>5500</v>
      </c>
      <c r="W132" s="822">
        <f>W131</f>
        <v>5600</v>
      </c>
      <c r="X132" s="760">
        <f>X131</f>
        <v>5800</v>
      </c>
      <c r="Y132" s="760">
        <v>6900</v>
      </c>
      <c r="Z132" s="760">
        <v>6800</v>
      </c>
      <c r="AA132" s="760">
        <v>7200</v>
      </c>
      <c r="AB132" s="129">
        <v>6900</v>
      </c>
      <c r="AC132" s="115">
        <f>AC131</f>
        <v>6700</v>
      </c>
      <c r="AD132" s="115">
        <f>AD131</f>
        <v>6700</v>
      </c>
      <c r="AE132" s="140" t="s">
        <v>97</v>
      </c>
      <c r="AF132" s="78">
        <v>8600</v>
      </c>
      <c r="AG132" s="79">
        <v>0.77906976744186052</v>
      </c>
      <c r="AH132" s="733" t="s">
        <v>97</v>
      </c>
      <c r="AI132" s="87" t="s">
        <v>81</v>
      </c>
      <c r="AJ132" s="87" t="s">
        <v>81</v>
      </c>
      <c r="AK132" s="748">
        <v>820</v>
      </c>
      <c r="AL132" s="832">
        <f t="shared" si="2"/>
        <v>45761</v>
      </c>
      <c r="AM132" s="122">
        <v>2</v>
      </c>
    </row>
    <row r="133" spans="1:39" x14ac:dyDescent="0.3">
      <c r="A133" s="33">
        <v>149</v>
      </c>
      <c r="B133" s="33">
        <v>108</v>
      </c>
      <c r="C133" s="153" t="s">
        <v>385</v>
      </c>
      <c r="D133" s="35" t="s">
        <v>393</v>
      </c>
      <c r="E133" s="64" t="s">
        <v>394</v>
      </c>
      <c r="F133" s="65">
        <v>523</v>
      </c>
      <c r="G133" s="799" t="s">
        <v>72</v>
      </c>
      <c r="H133" s="65" t="s">
        <v>73</v>
      </c>
      <c r="I133" s="37">
        <v>1.25</v>
      </c>
      <c r="J133" s="799">
        <v>60</v>
      </c>
      <c r="K133" s="65" t="s">
        <v>75</v>
      </c>
      <c r="L133" s="837" t="s">
        <v>142</v>
      </c>
      <c r="M133" s="837" t="s">
        <v>142</v>
      </c>
      <c r="N133" s="837" t="s">
        <v>142</v>
      </c>
      <c r="O133" s="837" t="s">
        <v>142</v>
      </c>
      <c r="P133" s="35" t="s">
        <v>143</v>
      </c>
      <c r="Q133" s="835" t="s">
        <v>136</v>
      </c>
      <c r="R133" s="39" t="s">
        <v>280</v>
      </c>
      <c r="S133" s="39" t="s">
        <v>277</v>
      </c>
      <c r="T133" s="833">
        <v>10600</v>
      </c>
      <c r="U133" s="833">
        <v>9400</v>
      </c>
      <c r="V133" s="833">
        <v>9400</v>
      </c>
      <c r="W133" s="820">
        <v>10000</v>
      </c>
      <c r="X133" s="838">
        <v>10400</v>
      </c>
      <c r="Y133" s="838">
        <v>11100</v>
      </c>
      <c r="Z133" s="838">
        <v>11800</v>
      </c>
      <c r="AA133" s="838">
        <v>11600</v>
      </c>
      <c r="AB133" s="123">
        <v>13700</v>
      </c>
      <c r="AC133" s="123">
        <v>13300</v>
      </c>
      <c r="AD133" s="123">
        <v>13300</v>
      </c>
      <c r="AE133" s="65" t="s">
        <v>97</v>
      </c>
      <c r="AF133" s="223">
        <v>42300</v>
      </c>
      <c r="AG133" s="82">
        <v>0.31442080378250592</v>
      </c>
      <c r="AH133" s="734" t="s">
        <v>1524</v>
      </c>
      <c r="AI133" s="84" t="s">
        <v>81</v>
      </c>
      <c r="AJ133" s="84" t="s">
        <v>81</v>
      </c>
      <c r="AK133" s="749">
        <v>4020</v>
      </c>
      <c r="AL133" s="832">
        <f t="shared" si="2"/>
        <v>16625</v>
      </c>
      <c r="AM133" s="49">
        <v>4</v>
      </c>
    </row>
    <row r="134" spans="1:39" x14ac:dyDescent="0.3">
      <c r="A134" s="33">
        <v>150</v>
      </c>
      <c r="B134" s="33">
        <v>109</v>
      </c>
      <c r="C134" s="157" t="s">
        <v>385</v>
      </c>
      <c r="D134" s="114" t="s">
        <v>395</v>
      </c>
      <c r="E134" s="70" t="s">
        <v>396</v>
      </c>
      <c r="F134" s="52">
        <v>499</v>
      </c>
      <c r="G134" s="800" t="s">
        <v>72</v>
      </c>
      <c r="H134" s="71" t="s">
        <v>73</v>
      </c>
      <c r="I134" s="72">
        <v>4.3600000000000003</v>
      </c>
      <c r="J134" s="800">
        <v>60</v>
      </c>
      <c r="K134" s="71" t="s">
        <v>75</v>
      </c>
      <c r="L134" s="835" t="s">
        <v>142</v>
      </c>
      <c r="M134" s="835" t="s">
        <v>142</v>
      </c>
      <c r="N134" s="835" t="s">
        <v>142</v>
      </c>
      <c r="O134" s="835" t="s">
        <v>142</v>
      </c>
      <c r="P134" s="51" t="s">
        <v>143</v>
      </c>
      <c r="Q134" s="51" t="s">
        <v>143</v>
      </c>
      <c r="R134" s="73" t="s">
        <v>144</v>
      </c>
      <c r="S134" s="73" t="s">
        <v>145</v>
      </c>
      <c r="T134" s="825">
        <v>27000</v>
      </c>
      <c r="U134" s="825">
        <v>26500</v>
      </c>
      <c r="V134" s="826">
        <v>27000</v>
      </c>
      <c r="W134" s="822">
        <v>27000</v>
      </c>
      <c r="X134" s="760">
        <v>28000</v>
      </c>
      <c r="Y134" s="760">
        <v>30500</v>
      </c>
      <c r="Z134" s="760">
        <v>35000</v>
      </c>
      <c r="AA134" s="760">
        <v>31500</v>
      </c>
      <c r="AB134" s="129">
        <v>31500</v>
      </c>
      <c r="AC134" s="115">
        <v>26500</v>
      </c>
      <c r="AD134" s="115">
        <v>26500</v>
      </c>
      <c r="AE134" s="80" t="s">
        <v>80</v>
      </c>
      <c r="AF134" s="78">
        <v>39800</v>
      </c>
      <c r="AG134" s="79">
        <v>0.66582914572864327</v>
      </c>
      <c r="AH134" s="733" t="s">
        <v>97</v>
      </c>
      <c r="AI134" s="87" t="s">
        <v>81</v>
      </c>
      <c r="AJ134" s="87" t="s">
        <v>81</v>
      </c>
      <c r="AK134" s="748">
        <v>3580</v>
      </c>
      <c r="AL134" s="832">
        <f t="shared" si="2"/>
        <v>115540.00000000001</v>
      </c>
      <c r="AM134" s="122">
        <v>4</v>
      </c>
    </row>
    <row r="135" spans="1:39" x14ac:dyDescent="0.3">
      <c r="A135" s="33">
        <v>150</v>
      </c>
      <c r="B135" s="33">
        <v>109</v>
      </c>
      <c r="C135" s="155" t="s">
        <v>385</v>
      </c>
      <c r="D135" s="117" t="s">
        <v>395</v>
      </c>
      <c r="E135" s="64" t="s">
        <v>397</v>
      </c>
      <c r="F135" s="65">
        <v>499</v>
      </c>
      <c r="G135" s="799" t="s">
        <v>72</v>
      </c>
      <c r="H135" s="36" t="s">
        <v>73</v>
      </c>
      <c r="I135" s="37">
        <v>0.79</v>
      </c>
      <c r="J135" s="799" t="s">
        <v>205</v>
      </c>
      <c r="K135" s="36" t="s">
        <v>75</v>
      </c>
      <c r="L135" s="837" t="s">
        <v>142</v>
      </c>
      <c r="M135" s="837" t="s">
        <v>142</v>
      </c>
      <c r="N135" s="837" t="s">
        <v>142</v>
      </c>
      <c r="O135" s="837" t="s">
        <v>142</v>
      </c>
      <c r="P135" s="35" t="s">
        <v>143</v>
      </c>
      <c r="Q135" s="35" t="s">
        <v>143</v>
      </c>
      <c r="R135" s="38" t="s">
        <v>144</v>
      </c>
      <c r="S135" s="38" t="s">
        <v>145</v>
      </c>
      <c r="T135" s="833">
        <v>27000</v>
      </c>
      <c r="U135" s="833">
        <v>26500</v>
      </c>
      <c r="V135" s="833">
        <v>27000</v>
      </c>
      <c r="W135" s="820">
        <f>W134</f>
        <v>27000</v>
      </c>
      <c r="X135" s="838">
        <f>X134</f>
        <v>28000</v>
      </c>
      <c r="Y135" s="838">
        <v>30500</v>
      </c>
      <c r="Z135" s="838">
        <v>35000</v>
      </c>
      <c r="AA135" s="838">
        <v>31500</v>
      </c>
      <c r="AB135" s="123">
        <v>31500</v>
      </c>
      <c r="AC135" s="123">
        <f>AC134</f>
        <v>26500</v>
      </c>
      <c r="AD135" s="123">
        <f>AD134</f>
        <v>26500</v>
      </c>
      <c r="AE135" s="65" t="s">
        <v>80</v>
      </c>
      <c r="AF135" s="138">
        <v>39800</v>
      </c>
      <c r="AG135" s="82">
        <v>0.66582914572864327</v>
      </c>
      <c r="AH135" s="734" t="s">
        <v>97</v>
      </c>
      <c r="AI135" s="84" t="s">
        <v>81</v>
      </c>
      <c r="AJ135" s="84" t="s">
        <v>81</v>
      </c>
      <c r="AK135" s="749">
        <v>3580</v>
      </c>
      <c r="AL135" s="832">
        <f t="shared" si="2"/>
        <v>20935</v>
      </c>
      <c r="AM135" s="121">
        <v>4</v>
      </c>
    </row>
    <row r="136" spans="1:39" x14ac:dyDescent="0.3">
      <c r="A136" s="33">
        <v>151</v>
      </c>
      <c r="B136" s="33">
        <v>110</v>
      </c>
      <c r="C136" s="157" t="s">
        <v>385</v>
      </c>
      <c r="D136" s="114" t="s">
        <v>398</v>
      </c>
      <c r="E136" s="70" t="s">
        <v>399</v>
      </c>
      <c r="F136" s="800">
        <v>522</v>
      </c>
      <c r="G136" s="800" t="s">
        <v>72</v>
      </c>
      <c r="H136" s="71" t="s">
        <v>73</v>
      </c>
      <c r="I136" s="72">
        <v>1.58</v>
      </c>
      <c r="J136" s="800">
        <v>50</v>
      </c>
      <c r="K136" s="71" t="s">
        <v>75</v>
      </c>
      <c r="L136" s="835" t="s">
        <v>142</v>
      </c>
      <c r="M136" s="835" t="s">
        <v>142</v>
      </c>
      <c r="N136" s="835" t="s">
        <v>142</v>
      </c>
      <c r="O136" s="835" t="s">
        <v>142</v>
      </c>
      <c r="P136" s="51" t="s">
        <v>143</v>
      </c>
      <c r="Q136" s="51" t="s">
        <v>143</v>
      </c>
      <c r="R136" s="73" t="s">
        <v>144</v>
      </c>
      <c r="S136" s="73" t="s">
        <v>145</v>
      </c>
      <c r="T136" s="824">
        <v>36000</v>
      </c>
      <c r="U136" s="825">
        <v>33000</v>
      </c>
      <c r="V136" s="825">
        <v>33500</v>
      </c>
      <c r="W136" s="822">
        <v>34500</v>
      </c>
      <c r="X136" s="760">
        <v>35500</v>
      </c>
      <c r="Y136" s="760">
        <v>35500</v>
      </c>
      <c r="Z136" s="853">
        <v>38000</v>
      </c>
      <c r="AA136" s="760">
        <v>34500</v>
      </c>
      <c r="AB136" s="129">
        <v>35500</v>
      </c>
      <c r="AC136" s="143">
        <v>36000</v>
      </c>
      <c r="AD136" s="143">
        <v>36000</v>
      </c>
      <c r="AE136" s="47" t="s">
        <v>80</v>
      </c>
      <c r="AF136" s="45">
        <v>39800</v>
      </c>
      <c r="AG136" s="46">
        <v>0.90452261306532666</v>
      </c>
      <c r="AH136" s="735" t="s">
        <v>97</v>
      </c>
      <c r="AI136" s="48" t="s">
        <v>81</v>
      </c>
      <c r="AJ136" s="48" t="s">
        <v>81</v>
      </c>
      <c r="AK136" s="746">
        <v>3580</v>
      </c>
      <c r="AL136" s="832">
        <f t="shared" si="2"/>
        <v>56880</v>
      </c>
      <c r="AM136" s="122">
        <v>4</v>
      </c>
    </row>
    <row r="137" spans="1:39" x14ac:dyDescent="0.3">
      <c r="A137" s="33">
        <v>152</v>
      </c>
      <c r="B137" s="33">
        <v>111</v>
      </c>
      <c r="C137" s="155" t="s">
        <v>385</v>
      </c>
      <c r="D137" s="117" t="s">
        <v>400</v>
      </c>
      <c r="E137" s="64" t="s">
        <v>401</v>
      </c>
      <c r="F137" s="799">
        <v>489</v>
      </c>
      <c r="G137" s="799" t="s">
        <v>72</v>
      </c>
      <c r="H137" s="36" t="s">
        <v>73</v>
      </c>
      <c r="I137" s="37">
        <v>1.06</v>
      </c>
      <c r="J137" s="799">
        <v>50</v>
      </c>
      <c r="K137" s="36" t="s">
        <v>75</v>
      </c>
      <c r="L137" s="837" t="s">
        <v>142</v>
      </c>
      <c r="M137" s="837" t="s">
        <v>142</v>
      </c>
      <c r="N137" s="837" t="s">
        <v>142</v>
      </c>
      <c r="O137" s="837" t="s">
        <v>142</v>
      </c>
      <c r="P137" s="35" t="s">
        <v>143</v>
      </c>
      <c r="Q137" s="35" t="s">
        <v>143</v>
      </c>
      <c r="R137" s="38" t="s">
        <v>144</v>
      </c>
      <c r="S137" s="38" t="s">
        <v>145</v>
      </c>
      <c r="T137" s="833">
        <v>33000</v>
      </c>
      <c r="U137" s="833">
        <v>33000</v>
      </c>
      <c r="V137" s="833">
        <v>32000</v>
      </c>
      <c r="W137" s="820">
        <v>33000</v>
      </c>
      <c r="X137" s="838">
        <v>33000</v>
      </c>
      <c r="Y137" s="838">
        <v>32000</v>
      </c>
      <c r="Z137" s="838">
        <v>34000</v>
      </c>
      <c r="AA137" s="838">
        <v>34500</v>
      </c>
      <c r="AB137" s="224">
        <v>36500</v>
      </c>
      <c r="AC137" s="123">
        <v>35500</v>
      </c>
      <c r="AD137" s="123">
        <v>35500</v>
      </c>
      <c r="AE137" s="83" t="s">
        <v>80</v>
      </c>
      <c r="AF137" s="138">
        <v>39800</v>
      </c>
      <c r="AG137" s="82">
        <v>0.89195979899497491</v>
      </c>
      <c r="AH137" s="734" t="s">
        <v>97</v>
      </c>
      <c r="AI137" s="84" t="s">
        <v>81</v>
      </c>
      <c r="AJ137" s="84" t="s">
        <v>81</v>
      </c>
      <c r="AK137" s="749">
        <v>3580</v>
      </c>
      <c r="AL137" s="832">
        <f t="shared" si="2"/>
        <v>37630</v>
      </c>
      <c r="AM137" s="121">
        <v>4</v>
      </c>
    </row>
    <row r="138" spans="1:39" x14ac:dyDescent="0.3">
      <c r="A138" s="33">
        <v>153</v>
      </c>
      <c r="B138" s="33">
        <v>112</v>
      </c>
      <c r="C138" s="157" t="s">
        <v>385</v>
      </c>
      <c r="D138" s="114" t="s">
        <v>402</v>
      </c>
      <c r="E138" s="70" t="s">
        <v>403</v>
      </c>
      <c r="F138" s="800">
        <v>1020</v>
      </c>
      <c r="G138" s="800" t="s">
        <v>72</v>
      </c>
      <c r="H138" s="71" t="s">
        <v>73</v>
      </c>
      <c r="I138" s="72">
        <v>1.33</v>
      </c>
      <c r="J138" s="800" t="s">
        <v>140</v>
      </c>
      <c r="K138" s="71" t="s">
        <v>75</v>
      </c>
      <c r="L138" s="835" t="s">
        <v>142</v>
      </c>
      <c r="M138" s="835" t="s">
        <v>142</v>
      </c>
      <c r="N138" s="835" t="s">
        <v>142</v>
      </c>
      <c r="O138" s="835" t="s">
        <v>142</v>
      </c>
      <c r="P138" s="35" t="s">
        <v>143</v>
      </c>
      <c r="Q138" s="35" t="s">
        <v>143</v>
      </c>
      <c r="R138" s="73" t="s">
        <v>144</v>
      </c>
      <c r="S138" s="73" t="s">
        <v>145</v>
      </c>
      <c r="T138" s="825">
        <v>30000</v>
      </c>
      <c r="U138" s="825">
        <v>30000</v>
      </c>
      <c r="V138" s="825">
        <v>30000</v>
      </c>
      <c r="W138" s="822">
        <v>30000</v>
      </c>
      <c r="X138" s="760">
        <v>31000</v>
      </c>
      <c r="Y138" s="760">
        <v>31000</v>
      </c>
      <c r="Z138" s="760">
        <v>32000</v>
      </c>
      <c r="AA138" s="760">
        <v>33500</v>
      </c>
      <c r="AB138" s="129">
        <v>34000</v>
      </c>
      <c r="AC138" s="115">
        <v>31000</v>
      </c>
      <c r="AD138" s="115">
        <v>31000</v>
      </c>
      <c r="AE138" s="140" t="s">
        <v>80</v>
      </c>
      <c r="AF138" s="78">
        <v>39800</v>
      </c>
      <c r="AG138" s="79">
        <v>0.77889447236180909</v>
      </c>
      <c r="AH138" s="733" t="s">
        <v>97</v>
      </c>
      <c r="AI138" s="87" t="s">
        <v>81</v>
      </c>
      <c r="AJ138" s="87" t="s">
        <v>81</v>
      </c>
      <c r="AK138" s="748">
        <v>3580</v>
      </c>
      <c r="AL138" s="832">
        <f t="shared" si="2"/>
        <v>41230</v>
      </c>
      <c r="AM138" s="122">
        <v>4</v>
      </c>
    </row>
    <row r="139" spans="1:39" x14ac:dyDescent="0.3">
      <c r="A139" s="33">
        <v>154</v>
      </c>
      <c r="B139" s="33">
        <v>114</v>
      </c>
      <c r="C139" s="153" t="s">
        <v>385</v>
      </c>
      <c r="D139" s="117" t="s">
        <v>404</v>
      </c>
      <c r="E139" s="35" t="s">
        <v>405</v>
      </c>
      <c r="F139" s="799">
        <v>171</v>
      </c>
      <c r="G139" s="799" t="s">
        <v>72</v>
      </c>
      <c r="H139" s="36" t="s">
        <v>73</v>
      </c>
      <c r="I139" s="37">
        <v>1.1100000000000001</v>
      </c>
      <c r="J139" s="799" t="s">
        <v>154</v>
      </c>
      <c r="K139" s="36" t="s">
        <v>75</v>
      </c>
      <c r="L139" s="837" t="s">
        <v>142</v>
      </c>
      <c r="M139" s="837" t="s">
        <v>170</v>
      </c>
      <c r="N139" s="837" t="s">
        <v>170</v>
      </c>
      <c r="O139" s="837" t="s">
        <v>170</v>
      </c>
      <c r="P139" s="35" t="s">
        <v>155</v>
      </c>
      <c r="Q139" s="35" t="s">
        <v>155</v>
      </c>
      <c r="R139" s="38" t="s">
        <v>144</v>
      </c>
      <c r="S139" s="38" t="s">
        <v>145</v>
      </c>
      <c r="T139" s="40">
        <v>34000</v>
      </c>
      <c r="U139" s="40">
        <v>33500</v>
      </c>
      <c r="V139" s="40">
        <v>34000</v>
      </c>
      <c r="W139" s="821">
        <v>31500</v>
      </c>
      <c r="X139" s="819">
        <v>31000</v>
      </c>
      <c r="Y139" s="159">
        <v>34500</v>
      </c>
      <c r="Z139" s="159">
        <v>38500</v>
      </c>
      <c r="AA139" s="159">
        <v>39500</v>
      </c>
      <c r="AB139" s="159">
        <v>39500</v>
      </c>
      <c r="AC139" s="225">
        <v>38500</v>
      </c>
      <c r="AD139" s="225">
        <v>35500</v>
      </c>
      <c r="AE139" s="226" t="s">
        <v>80</v>
      </c>
      <c r="AF139" s="227">
        <v>32400</v>
      </c>
      <c r="AG139" s="228">
        <v>1.095679012345679</v>
      </c>
      <c r="AH139" s="229" t="s">
        <v>1525</v>
      </c>
      <c r="AI139" s="230">
        <v>3030</v>
      </c>
      <c r="AJ139" s="230">
        <v>3380</v>
      </c>
      <c r="AK139" s="225">
        <v>2920</v>
      </c>
      <c r="AL139" s="832">
        <f t="shared" si="2"/>
        <v>39405</v>
      </c>
      <c r="AM139" s="121">
        <v>4</v>
      </c>
    </row>
    <row r="140" spans="1:39" ht="15" thickBot="1" x14ac:dyDescent="0.35">
      <c r="A140" s="88">
        <v>155</v>
      </c>
      <c r="B140" s="88">
        <v>115</v>
      </c>
      <c r="C140" s="222" t="s">
        <v>385</v>
      </c>
      <c r="D140" s="231" t="s">
        <v>406</v>
      </c>
      <c r="E140" s="162" t="s">
        <v>407</v>
      </c>
      <c r="F140" s="803">
        <v>5128</v>
      </c>
      <c r="G140" s="803" t="s">
        <v>72</v>
      </c>
      <c r="H140" s="163" t="s">
        <v>73</v>
      </c>
      <c r="I140" s="164">
        <v>0.37</v>
      </c>
      <c r="J140" s="803" t="s">
        <v>154</v>
      </c>
      <c r="K140" s="163" t="s">
        <v>75</v>
      </c>
      <c r="L140" s="845" t="s">
        <v>408</v>
      </c>
      <c r="M140" s="850" t="s">
        <v>408</v>
      </c>
      <c r="N140" s="845" t="s">
        <v>408</v>
      </c>
      <c r="O140" s="845" t="s">
        <v>408</v>
      </c>
      <c r="P140" s="166" t="s">
        <v>155</v>
      </c>
      <c r="Q140" s="166" t="s">
        <v>155</v>
      </c>
      <c r="R140" s="167" t="s">
        <v>144</v>
      </c>
      <c r="S140" s="167" t="s">
        <v>145</v>
      </c>
      <c r="T140" s="846">
        <v>20500</v>
      </c>
      <c r="U140" s="846">
        <v>18000</v>
      </c>
      <c r="V140" s="232">
        <v>18900</v>
      </c>
      <c r="W140" s="847">
        <v>19500</v>
      </c>
      <c r="X140" s="761">
        <v>20400</v>
      </c>
      <c r="Y140" s="761">
        <v>20200</v>
      </c>
      <c r="Z140" s="761">
        <v>21000</v>
      </c>
      <c r="AA140" s="761">
        <v>21000</v>
      </c>
      <c r="AB140" s="168">
        <v>19200</v>
      </c>
      <c r="AC140" s="169">
        <v>18500</v>
      </c>
      <c r="AD140" s="169">
        <v>18500</v>
      </c>
      <c r="AE140" s="233" t="s">
        <v>80</v>
      </c>
      <c r="AF140" s="171">
        <v>32400</v>
      </c>
      <c r="AG140" s="172">
        <v>0.57098765432098764</v>
      </c>
      <c r="AH140" s="737" t="s">
        <v>80</v>
      </c>
      <c r="AI140" s="173" t="s">
        <v>81</v>
      </c>
      <c r="AJ140" s="173" t="s">
        <v>81</v>
      </c>
      <c r="AK140" s="752">
        <v>2920</v>
      </c>
      <c r="AL140" s="829">
        <f t="shared" si="2"/>
        <v>6845</v>
      </c>
      <c r="AM140" s="174">
        <v>4</v>
      </c>
    </row>
    <row r="141" spans="1:39" x14ac:dyDescent="0.3">
      <c r="A141" s="33">
        <v>158</v>
      </c>
      <c r="B141" s="33">
        <v>3031</v>
      </c>
      <c r="C141" s="153" t="s">
        <v>409</v>
      </c>
      <c r="D141" s="35" t="s">
        <v>410</v>
      </c>
      <c r="E141" s="35" t="s">
        <v>411</v>
      </c>
      <c r="F141" s="799">
        <v>1007</v>
      </c>
      <c r="G141" s="799" t="s">
        <v>72</v>
      </c>
      <c r="H141" s="65" t="s">
        <v>73</v>
      </c>
      <c r="I141" s="37">
        <v>1.19</v>
      </c>
      <c r="J141" s="799" t="s">
        <v>130</v>
      </c>
      <c r="K141" s="65" t="s">
        <v>75</v>
      </c>
      <c r="L141" s="837" t="s">
        <v>264</v>
      </c>
      <c r="M141" s="837" t="s">
        <v>264</v>
      </c>
      <c r="N141" s="837" t="s">
        <v>264</v>
      </c>
      <c r="O141" s="837" t="s">
        <v>264</v>
      </c>
      <c r="P141" s="837" t="s">
        <v>264</v>
      </c>
      <c r="Q141" s="837" t="s">
        <v>264</v>
      </c>
      <c r="R141" s="39" t="s">
        <v>132</v>
      </c>
      <c r="S141" s="38" t="s">
        <v>133</v>
      </c>
      <c r="T141" s="833">
        <v>9000</v>
      </c>
      <c r="U141" s="833">
        <v>9400</v>
      </c>
      <c r="V141" s="833">
        <v>9200</v>
      </c>
      <c r="W141" s="831">
        <v>9600</v>
      </c>
      <c r="X141" s="844">
        <v>10000</v>
      </c>
      <c r="Y141" s="838">
        <v>12900</v>
      </c>
      <c r="Z141" s="838">
        <v>11000</v>
      </c>
      <c r="AA141" s="838">
        <v>12200</v>
      </c>
      <c r="AB141" s="123">
        <v>12300</v>
      </c>
      <c r="AC141" s="123">
        <v>11900</v>
      </c>
      <c r="AD141" s="123">
        <v>11900</v>
      </c>
      <c r="AE141" s="65" t="s">
        <v>97</v>
      </c>
      <c r="AF141" s="138">
        <v>15700</v>
      </c>
      <c r="AG141" s="82">
        <v>0.7579617834394905</v>
      </c>
      <c r="AH141" s="734" t="s">
        <v>97</v>
      </c>
      <c r="AI141" s="234" t="s">
        <v>81</v>
      </c>
      <c r="AJ141" s="234" t="s">
        <v>81</v>
      </c>
      <c r="AK141" s="749">
        <v>1490</v>
      </c>
      <c r="AL141" s="832">
        <f t="shared" si="2"/>
        <v>14161</v>
      </c>
      <c r="AM141" s="49">
        <v>2</v>
      </c>
    </row>
    <row r="142" spans="1:39" x14ac:dyDescent="0.3">
      <c r="A142" s="33">
        <v>159</v>
      </c>
      <c r="B142" s="33">
        <v>3032</v>
      </c>
      <c r="C142" s="152" t="s">
        <v>409</v>
      </c>
      <c r="D142" s="51" t="s">
        <v>410</v>
      </c>
      <c r="E142" s="51" t="s">
        <v>412</v>
      </c>
      <c r="F142" s="800">
        <v>1007</v>
      </c>
      <c r="G142" s="800" t="s">
        <v>72</v>
      </c>
      <c r="H142" s="52" t="s">
        <v>73</v>
      </c>
      <c r="I142" s="72">
        <v>1.26</v>
      </c>
      <c r="J142" s="800" t="s">
        <v>140</v>
      </c>
      <c r="K142" s="52" t="s">
        <v>75</v>
      </c>
      <c r="L142" s="835" t="s">
        <v>256</v>
      </c>
      <c r="M142" s="835" t="s">
        <v>256</v>
      </c>
      <c r="N142" s="835" t="s">
        <v>256</v>
      </c>
      <c r="O142" s="835" t="s">
        <v>256</v>
      </c>
      <c r="P142" s="835" t="s">
        <v>256</v>
      </c>
      <c r="Q142" s="835" t="s">
        <v>256</v>
      </c>
      <c r="R142" s="55" t="s">
        <v>280</v>
      </c>
      <c r="S142" s="73" t="s">
        <v>145</v>
      </c>
      <c r="T142" s="825">
        <v>9000</v>
      </c>
      <c r="U142" s="825">
        <v>9400</v>
      </c>
      <c r="V142" s="825">
        <v>9200</v>
      </c>
      <c r="W142" s="822">
        <f>W141</f>
        <v>9600</v>
      </c>
      <c r="X142" s="760">
        <f>X141</f>
        <v>10000</v>
      </c>
      <c r="Y142" s="760">
        <v>12900</v>
      </c>
      <c r="Z142" s="760">
        <v>11000</v>
      </c>
      <c r="AA142" s="760">
        <v>12200</v>
      </c>
      <c r="AB142" s="129">
        <v>12300</v>
      </c>
      <c r="AC142" s="115">
        <f>AC141</f>
        <v>11900</v>
      </c>
      <c r="AD142" s="115">
        <v>11900</v>
      </c>
      <c r="AE142" s="80" t="s">
        <v>80</v>
      </c>
      <c r="AF142" s="78">
        <v>24200</v>
      </c>
      <c r="AG142" s="79">
        <v>0.49173553719008267</v>
      </c>
      <c r="AH142" s="733" t="s">
        <v>97</v>
      </c>
      <c r="AI142" s="87" t="s">
        <v>81</v>
      </c>
      <c r="AJ142" s="87" t="s">
        <v>81</v>
      </c>
      <c r="AK142" s="748">
        <v>2180</v>
      </c>
      <c r="AL142" s="832">
        <f t="shared" si="2"/>
        <v>14994</v>
      </c>
      <c r="AM142" s="63">
        <v>2</v>
      </c>
    </row>
    <row r="143" spans="1:39" x14ac:dyDescent="0.3">
      <c r="A143" s="33">
        <v>160</v>
      </c>
      <c r="B143" s="33">
        <v>117</v>
      </c>
      <c r="C143" s="155" t="s">
        <v>409</v>
      </c>
      <c r="D143" s="117" t="s">
        <v>413</v>
      </c>
      <c r="E143" s="35" t="s">
        <v>414</v>
      </c>
      <c r="F143" s="814">
        <v>1007</v>
      </c>
      <c r="G143" s="799" t="s">
        <v>72</v>
      </c>
      <c r="H143" s="36" t="s">
        <v>73</v>
      </c>
      <c r="I143" s="235">
        <v>0.7</v>
      </c>
      <c r="J143" s="799" t="s">
        <v>130</v>
      </c>
      <c r="K143" s="36" t="s">
        <v>75</v>
      </c>
      <c r="L143" s="837" t="s">
        <v>256</v>
      </c>
      <c r="M143" s="837" t="s">
        <v>256</v>
      </c>
      <c r="N143" s="837" t="s">
        <v>256</v>
      </c>
      <c r="O143" s="837" t="s">
        <v>256</v>
      </c>
      <c r="P143" s="837" t="s">
        <v>256</v>
      </c>
      <c r="Q143" s="837" t="s">
        <v>256</v>
      </c>
      <c r="R143" s="38" t="s">
        <v>144</v>
      </c>
      <c r="S143" s="38" t="s">
        <v>145</v>
      </c>
      <c r="T143" s="833">
        <v>9700</v>
      </c>
      <c r="U143" s="833">
        <v>9300</v>
      </c>
      <c r="V143" s="833">
        <v>9700</v>
      </c>
      <c r="W143" s="820">
        <v>9800</v>
      </c>
      <c r="X143" s="838">
        <v>10100</v>
      </c>
      <c r="Y143" s="838">
        <v>10800</v>
      </c>
      <c r="Z143" s="838">
        <v>11200</v>
      </c>
      <c r="AA143" s="838">
        <v>12400</v>
      </c>
      <c r="AB143" s="123">
        <v>12600</v>
      </c>
      <c r="AC143" s="123">
        <v>12200</v>
      </c>
      <c r="AD143" s="123">
        <v>11900</v>
      </c>
      <c r="AE143" s="36" t="s">
        <v>80</v>
      </c>
      <c r="AF143" s="138">
        <v>24200</v>
      </c>
      <c r="AG143" s="82">
        <v>0.49173553719008267</v>
      </c>
      <c r="AH143" s="734" t="s">
        <v>97</v>
      </c>
      <c r="AI143" s="84" t="s">
        <v>81</v>
      </c>
      <c r="AJ143" s="84" t="s">
        <v>81</v>
      </c>
      <c r="AK143" s="749">
        <v>2180</v>
      </c>
      <c r="AL143" s="832">
        <f t="shared" si="2"/>
        <v>8330</v>
      </c>
      <c r="AM143" s="121">
        <v>2</v>
      </c>
    </row>
    <row r="144" spans="1:39" x14ac:dyDescent="0.3">
      <c r="A144" s="33">
        <v>161</v>
      </c>
      <c r="B144" s="33">
        <v>118</v>
      </c>
      <c r="C144" s="157" t="s">
        <v>409</v>
      </c>
      <c r="D144" s="114" t="s">
        <v>415</v>
      </c>
      <c r="E144" s="139" t="s">
        <v>416</v>
      </c>
      <c r="F144" s="800">
        <v>274</v>
      </c>
      <c r="G144" s="800" t="s">
        <v>72</v>
      </c>
      <c r="H144" s="71" t="s">
        <v>73</v>
      </c>
      <c r="I144" s="236">
        <v>0.71</v>
      </c>
      <c r="J144" s="800" t="s">
        <v>158</v>
      </c>
      <c r="K144" s="71" t="s">
        <v>75</v>
      </c>
      <c r="L144" s="835" t="s">
        <v>256</v>
      </c>
      <c r="M144" s="835" t="s">
        <v>256</v>
      </c>
      <c r="N144" s="835" t="s">
        <v>256</v>
      </c>
      <c r="O144" s="835" t="s">
        <v>256</v>
      </c>
      <c r="P144" s="835" t="s">
        <v>256</v>
      </c>
      <c r="Q144" s="835" t="s">
        <v>256</v>
      </c>
      <c r="R144" s="73" t="s">
        <v>144</v>
      </c>
      <c r="S144" s="73" t="s">
        <v>145</v>
      </c>
      <c r="T144" s="825">
        <v>11800</v>
      </c>
      <c r="U144" s="825">
        <v>11500</v>
      </c>
      <c r="V144" s="825">
        <v>11700</v>
      </c>
      <c r="W144" s="822">
        <v>11600</v>
      </c>
      <c r="X144" s="760">
        <v>11900</v>
      </c>
      <c r="Y144" s="760">
        <v>12800</v>
      </c>
      <c r="Z144" s="760">
        <v>13200</v>
      </c>
      <c r="AA144" s="760">
        <v>13900</v>
      </c>
      <c r="AB144" s="129">
        <v>14100</v>
      </c>
      <c r="AC144" s="115">
        <v>13700</v>
      </c>
      <c r="AD144" s="115">
        <v>14600</v>
      </c>
      <c r="AE144" s="140" t="s">
        <v>80</v>
      </c>
      <c r="AF144" s="78">
        <v>24200</v>
      </c>
      <c r="AG144" s="79">
        <v>0.60330578512396693</v>
      </c>
      <c r="AH144" s="733" t="s">
        <v>97</v>
      </c>
      <c r="AI144" s="194">
        <v>900</v>
      </c>
      <c r="AJ144" s="194">
        <v>1180</v>
      </c>
      <c r="AK144" s="748">
        <v>2180</v>
      </c>
      <c r="AL144" s="832">
        <f t="shared" si="2"/>
        <v>10366</v>
      </c>
      <c r="AM144" s="122">
        <v>2</v>
      </c>
    </row>
    <row r="145" spans="1:39" x14ac:dyDescent="0.3">
      <c r="A145" s="33">
        <v>162</v>
      </c>
      <c r="B145" s="33">
        <v>119</v>
      </c>
      <c r="C145" s="155" t="s">
        <v>409</v>
      </c>
      <c r="D145" s="117" t="s">
        <v>417</v>
      </c>
      <c r="E145" s="35" t="s">
        <v>418</v>
      </c>
      <c r="F145" s="799">
        <v>447</v>
      </c>
      <c r="G145" s="854" t="s">
        <v>72</v>
      </c>
      <c r="H145" s="36" t="s">
        <v>73</v>
      </c>
      <c r="I145" s="235">
        <v>0.5</v>
      </c>
      <c r="J145" s="799" t="s">
        <v>158</v>
      </c>
      <c r="K145" s="36" t="s">
        <v>75</v>
      </c>
      <c r="L145" s="837" t="s">
        <v>232</v>
      </c>
      <c r="M145" s="837" t="s">
        <v>419</v>
      </c>
      <c r="N145" s="837" t="s">
        <v>419</v>
      </c>
      <c r="O145" s="837" t="s">
        <v>419</v>
      </c>
      <c r="P145" s="35" t="s">
        <v>420</v>
      </c>
      <c r="Q145" s="35" t="s">
        <v>420</v>
      </c>
      <c r="R145" s="38" t="s">
        <v>144</v>
      </c>
      <c r="S145" s="38" t="s">
        <v>145</v>
      </c>
      <c r="T145" s="833">
        <v>11300</v>
      </c>
      <c r="U145" s="833">
        <v>11300</v>
      </c>
      <c r="V145" s="833">
        <v>10600</v>
      </c>
      <c r="W145" s="820">
        <v>10800</v>
      </c>
      <c r="X145" s="838">
        <v>11500</v>
      </c>
      <c r="Y145" s="838">
        <v>11700</v>
      </c>
      <c r="Z145" s="838">
        <v>11500</v>
      </c>
      <c r="AA145" s="838">
        <v>11700</v>
      </c>
      <c r="AB145" s="123">
        <v>10500</v>
      </c>
      <c r="AC145" s="123">
        <v>10100</v>
      </c>
      <c r="AD145" s="123">
        <v>10100</v>
      </c>
      <c r="AE145" s="36" t="s">
        <v>229</v>
      </c>
      <c r="AF145" s="138">
        <v>18939</v>
      </c>
      <c r="AG145" s="82">
        <v>0.53329109245472306</v>
      </c>
      <c r="AH145" s="734" t="s">
        <v>97</v>
      </c>
      <c r="AI145" s="84" t="s">
        <v>81</v>
      </c>
      <c r="AJ145" s="84" t="s">
        <v>81</v>
      </c>
      <c r="AK145" s="749">
        <v>1712</v>
      </c>
      <c r="AL145" s="832">
        <f t="shared" si="2"/>
        <v>5050</v>
      </c>
      <c r="AM145" s="121">
        <v>2</v>
      </c>
    </row>
    <row r="146" spans="1:39" x14ac:dyDescent="0.3">
      <c r="A146" s="33">
        <v>163</v>
      </c>
      <c r="B146" s="33">
        <v>120</v>
      </c>
      <c r="C146" s="157" t="s">
        <v>409</v>
      </c>
      <c r="D146" s="114" t="s">
        <v>421</v>
      </c>
      <c r="E146" s="51" t="s">
        <v>422</v>
      </c>
      <c r="F146" s="800">
        <v>5012</v>
      </c>
      <c r="G146" s="855" t="s">
        <v>72</v>
      </c>
      <c r="H146" s="71" t="s">
        <v>73</v>
      </c>
      <c r="I146" s="236">
        <v>0.51</v>
      </c>
      <c r="J146" s="800" t="s">
        <v>423</v>
      </c>
      <c r="K146" s="71" t="s">
        <v>75</v>
      </c>
      <c r="L146" s="835" t="s">
        <v>232</v>
      </c>
      <c r="M146" s="839" t="s">
        <v>419</v>
      </c>
      <c r="N146" s="835" t="s">
        <v>419</v>
      </c>
      <c r="O146" s="835" t="s">
        <v>419</v>
      </c>
      <c r="P146" s="51" t="s">
        <v>420</v>
      </c>
      <c r="Q146" s="51" t="s">
        <v>420</v>
      </c>
      <c r="R146" s="73" t="s">
        <v>144</v>
      </c>
      <c r="S146" s="73" t="s">
        <v>145</v>
      </c>
      <c r="T146" s="825">
        <v>11100</v>
      </c>
      <c r="U146" s="825">
        <v>10900</v>
      </c>
      <c r="V146" s="826">
        <v>10600</v>
      </c>
      <c r="W146" s="822">
        <v>10300</v>
      </c>
      <c r="X146" s="760">
        <v>10700</v>
      </c>
      <c r="Y146" s="760">
        <v>10800</v>
      </c>
      <c r="Z146" s="760">
        <v>11200</v>
      </c>
      <c r="AA146" s="760">
        <v>11000</v>
      </c>
      <c r="AB146" s="129">
        <v>11200</v>
      </c>
      <c r="AC146" s="115">
        <v>10800</v>
      </c>
      <c r="AD146" s="115">
        <v>11300</v>
      </c>
      <c r="AE146" s="140" t="s">
        <v>229</v>
      </c>
      <c r="AF146" s="78">
        <v>18939</v>
      </c>
      <c r="AG146" s="79">
        <v>0.59665241037013572</v>
      </c>
      <c r="AH146" s="733" t="s">
        <v>97</v>
      </c>
      <c r="AI146" s="194">
        <v>730</v>
      </c>
      <c r="AJ146" s="194">
        <v>910</v>
      </c>
      <c r="AK146" s="748">
        <v>1712</v>
      </c>
      <c r="AL146" s="832">
        <f t="shared" si="2"/>
        <v>5763</v>
      </c>
      <c r="AM146" s="122">
        <v>2</v>
      </c>
    </row>
    <row r="147" spans="1:39" x14ac:dyDescent="0.3">
      <c r="A147" s="33">
        <v>164</v>
      </c>
      <c r="B147" s="33">
        <v>121</v>
      </c>
      <c r="C147" s="155" t="s">
        <v>409</v>
      </c>
      <c r="D147" s="117" t="s">
        <v>424</v>
      </c>
      <c r="E147" s="35" t="s">
        <v>425</v>
      </c>
      <c r="F147" s="799">
        <v>5015</v>
      </c>
      <c r="G147" s="854" t="s">
        <v>72</v>
      </c>
      <c r="H147" s="36" t="s">
        <v>73</v>
      </c>
      <c r="I147" s="235">
        <v>0.5</v>
      </c>
      <c r="J147" s="799" t="s">
        <v>426</v>
      </c>
      <c r="K147" s="36" t="s">
        <v>75</v>
      </c>
      <c r="L147" s="837" t="s">
        <v>232</v>
      </c>
      <c r="M147" s="837" t="s">
        <v>419</v>
      </c>
      <c r="N147" s="837" t="s">
        <v>419</v>
      </c>
      <c r="O147" s="837" t="s">
        <v>419</v>
      </c>
      <c r="P147" s="35" t="s">
        <v>238</v>
      </c>
      <c r="Q147" s="35" t="s">
        <v>238</v>
      </c>
      <c r="R147" s="38" t="s">
        <v>144</v>
      </c>
      <c r="S147" s="38" t="s">
        <v>145</v>
      </c>
      <c r="T147" s="833">
        <v>9200</v>
      </c>
      <c r="U147" s="833">
        <v>9400</v>
      </c>
      <c r="V147" s="833">
        <v>8700</v>
      </c>
      <c r="W147" s="820">
        <v>8600</v>
      </c>
      <c r="X147" s="838">
        <v>9000</v>
      </c>
      <c r="Y147" s="838">
        <v>9300</v>
      </c>
      <c r="Z147" s="838">
        <v>9700</v>
      </c>
      <c r="AA147" s="838">
        <v>9900</v>
      </c>
      <c r="AB147" s="123">
        <v>7700</v>
      </c>
      <c r="AC147" s="123">
        <v>7500</v>
      </c>
      <c r="AD147" s="123">
        <v>7500</v>
      </c>
      <c r="AE147" s="36" t="s">
        <v>229</v>
      </c>
      <c r="AF147" s="138">
        <v>14800</v>
      </c>
      <c r="AG147" s="82">
        <v>0.5067567567567568</v>
      </c>
      <c r="AH147" s="734" t="s">
        <v>80</v>
      </c>
      <c r="AI147" s="84" t="s">
        <v>81</v>
      </c>
      <c r="AJ147" s="84" t="s">
        <v>81</v>
      </c>
      <c r="AK147" s="749">
        <v>1410</v>
      </c>
      <c r="AL147" s="832">
        <f t="shared" si="2"/>
        <v>3750</v>
      </c>
      <c r="AM147" s="121">
        <v>2</v>
      </c>
    </row>
    <row r="148" spans="1:39" x14ac:dyDescent="0.3">
      <c r="A148" s="33">
        <v>165</v>
      </c>
      <c r="B148" s="33">
        <v>122</v>
      </c>
      <c r="C148" s="157" t="s">
        <v>409</v>
      </c>
      <c r="D148" s="114" t="s">
        <v>427</v>
      </c>
      <c r="E148" s="51" t="s">
        <v>428</v>
      </c>
      <c r="F148" s="800">
        <v>80</v>
      </c>
      <c r="G148" s="855" t="s">
        <v>72</v>
      </c>
      <c r="H148" s="71" t="s">
        <v>73</v>
      </c>
      <c r="I148" s="236">
        <v>1</v>
      </c>
      <c r="J148" s="800" t="s">
        <v>429</v>
      </c>
      <c r="K148" s="71" t="s">
        <v>75</v>
      </c>
      <c r="L148" s="835" t="s">
        <v>232</v>
      </c>
      <c r="M148" s="835" t="s">
        <v>232</v>
      </c>
      <c r="N148" s="835" t="s">
        <v>232</v>
      </c>
      <c r="O148" s="835" t="s">
        <v>232</v>
      </c>
      <c r="P148" s="51" t="s">
        <v>420</v>
      </c>
      <c r="Q148" s="51" t="s">
        <v>420</v>
      </c>
      <c r="R148" s="73" t="s">
        <v>144</v>
      </c>
      <c r="S148" s="73" t="s">
        <v>145</v>
      </c>
      <c r="T148" s="825">
        <v>13300</v>
      </c>
      <c r="U148" s="825">
        <v>13000</v>
      </c>
      <c r="V148" s="826">
        <v>14100</v>
      </c>
      <c r="W148" s="822">
        <v>12200</v>
      </c>
      <c r="X148" s="760">
        <v>12600</v>
      </c>
      <c r="Y148" s="760">
        <v>13100</v>
      </c>
      <c r="Z148" s="760">
        <v>13500</v>
      </c>
      <c r="AA148" s="849" t="s">
        <v>81</v>
      </c>
      <c r="AB148" s="129">
        <v>12300</v>
      </c>
      <c r="AC148" s="115">
        <v>11900</v>
      </c>
      <c r="AD148" s="115">
        <v>11900</v>
      </c>
      <c r="AE148" s="80" t="s">
        <v>229</v>
      </c>
      <c r="AF148" s="78">
        <v>18939</v>
      </c>
      <c r="AG148" s="79">
        <v>0.62833306932784205</v>
      </c>
      <c r="AH148" s="733" t="s">
        <v>97</v>
      </c>
      <c r="AI148" s="87" t="s">
        <v>81</v>
      </c>
      <c r="AJ148" s="87" t="s">
        <v>81</v>
      </c>
      <c r="AK148" s="748">
        <v>1712</v>
      </c>
      <c r="AL148" s="832">
        <f t="shared" si="2"/>
        <v>11900</v>
      </c>
      <c r="AM148" s="122">
        <v>2</v>
      </c>
    </row>
    <row r="149" spans="1:39" x14ac:dyDescent="0.3">
      <c r="A149" s="33">
        <v>166</v>
      </c>
      <c r="B149" s="33">
        <v>123</v>
      </c>
      <c r="C149" s="155" t="s">
        <v>409</v>
      </c>
      <c r="D149" s="117" t="s">
        <v>430</v>
      </c>
      <c r="E149" s="64" t="s">
        <v>431</v>
      </c>
      <c r="F149" s="799">
        <v>80</v>
      </c>
      <c r="G149" s="854" t="s">
        <v>72</v>
      </c>
      <c r="H149" s="36" t="s">
        <v>73</v>
      </c>
      <c r="I149" s="235">
        <v>0.51</v>
      </c>
      <c r="J149" s="799" t="s">
        <v>140</v>
      </c>
      <c r="K149" s="36" t="s">
        <v>75</v>
      </c>
      <c r="L149" s="837" t="s">
        <v>232</v>
      </c>
      <c r="M149" s="837" t="s">
        <v>232</v>
      </c>
      <c r="N149" s="837" t="s">
        <v>232</v>
      </c>
      <c r="O149" s="837" t="s">
        <v>232</v>
      </c>
      <c r="P149" s="35" t="s">
        <v>420</v>
      </c>
      <c r="Q149" s="35" t="s">
        <v>420</v>
      </c>
      <c r="R149" s="38" t="s">
        <v>144</v>
      </c>
      <c r="S149" s="38" t="s">
        <v>145</v>
      </c>
      <c r="T149" s="833">
        <v>13300</v>
      </c>
      <c r="U149" s="833">
        <v>13000</v>
      </c>
      <c r="V149" s="833">
        <v>12600</v>
      </c>
      <c r="W149" s="820">
        <v>11900</v>
      </c>
      <c r="X149" s="838">
        <v>14000</v>
      </c>
      <c r="Y149" s="838">
        <v>12600</v>
      </c>
      <c r="Z149" s="838">
        <v>12500</v>
      </c>
      <c r="AA149" s="838">
        <v>12900</v>
      </c>
      <c r="AB149" s="123">
        <v>12300</v>
      </c>
      <c r="AC149" s="123">
        <f>AC148</f>
        <v>11900</v>
      </c>
      <c r="AD149" s="123">
        <f>AD148</f>
        <v>11900</v>
      </c>
      <c r="AE149" s="65" t="s">
        <v>242</v>
      </c>
      <c r="AF149" s="138">
        <v>19800</v>
      </c>
      <c r="AG149" s="82">
        <v>0.60101010101010099</v>
      </c>
      <c r="AH149" s="734"/>
      <c r="AI149" s="84" t="s">
        <v>81</v>
      </c>
      <c r="AJ149" s="84" t="s">
        <v>81</v>
      </c>
      <c r="AK149" s="749">
        <v>1712</v>
      </c>
      <c r="AL149" s="832">
        <f t="shared" si="2"/>
        <v>6069</v>
      </c>
      <c r="AM149" s="121">
        <v>2</v>
      </c>
    </row>
    <row r="150" spans="1:39" x14ac:dyDescent="0.3">
      <c r="A150" s="33">
        <v>167</v>
      </c>
      <c r="B150" s="33">
        <v>124</v>
      </c>
      <c r="C150" s="157" t="s">
        <v>409</v>
      </c>
      <c r="D150" s="114" t="s">
        <v>432</v>
      </c>
      <c r="E150" s="70" t="s">
        <v>433</v>
      </c>
      <c r="F150" s="800">
        <v>19</v>
      </c>
      <c r="G150" s="855" t="s">
        <v>72</v>
      </c>
      <c r="H150" s="71" t="s">
        <v>73</v>
      </c>
      <c r="I150" s="236">
        <v>0.94</v>
      </c>
      <c r="J150" s="800" t="s">
        <v>140</v>
      </c>
      <c r="K150" s="71" t="s">
        <v>75</v>
      </c>
      <c r="L150" s="835" t="s">
        <v>232</v>
      </c>
      <c r="M150" s="835" t="s">
        <v>232</v>
      </c>
      <c r="N150" s="835" t="s">
        <v>232</v>
      </c>
      <c r="O150" s="835" t="s">
        <v>232</v>
      </c>
      <c r="P150" s="51" t="s">
        <v>420</v>
      </c>
      <c r="Q150" s="51" t="s">
        <v>420</v>
      </c>
      <c r="R150" s="73" t="s">
        <v>144</v>
      </c>
      <c r="S150" s="73" t="s">
        <v>145</v>
      </c>
      <c r="T150" s="824">
        <v>16400</v>
      </c>
      <c r="U150" s="826">
        <v>15600</v>
      </c>
      <c r="V150" s="840">
        <v>15900</v>
      </c>
      <c r="W150" s="822">
        <v>14300</v>
      </c>
      <c r="X150" s="760">
        <v>16900</v>
      </c>
      <c r="Y150" s="760">
        <v>15700</v>
      </c>
      <c r="Z150" s="760">
        <v>17500</v>
      </c>
      <c r="AA150" s="760">
        <v>17300</v>
      </c>
      <c r="AB150" s="129">
        <v>17300</v>
      </c>
      <c r="AC150" s="115">
        <v>16700</v>
      </c>
      <c r="AD150" s="115">
        <v>16700</v>
      </c>
      <c r="AE150" s="80" t="s">
        <v>242</v>
      </c>
      <c r="AF150" s="78">
        <v>20800</v>
      </c>
      <c r="AG150" s="79">
        <v>0.80288461538461542</v>
      </c>
      <c r="AH150" s="733"/>
      <c r="AI150" s="87" t="s">
        <v>81</v>
      </c>
      <c r="AJ150" s="87" t="s">
        <v>81</v>
      </c>
      <c r="AK150" s="748">
        <v>1712</v>
      </c>
      <c r="AL150" s="832">
        <f t="shared" si="2"/>
        <v>15698</v>
      </c>
      <c r="AM150" s="122">
        <v>2</v>
      </c>
    </row>
    <row r="151" spans="1:39" x14ac:dyDescent="0.3">
      <c r="A151" s="33">
        <v>168</v>
      </c>
      <c r="B151" s="33">
        <v>125</v>
      </c>
      <c r="C151" s="155" t="s">
        <v>409</v>
      </c>
      <c r="D151" s="117" t="s">
        <v>434</v>
      </c>
      <c r="E151" s="35" t="s">
        <v>435</v>
      </c>
      <c r="F151" s="799">
        <v>259</v>
      </c>
      <c r="G151" s="854" t="s">
        <v>72</v>
      </c>
      <c r="H151" s="36" t="s">
        <v>73</v>
      </c>
      <c r="I151" s="235">
        <v>1.18</v>
      </c>
      <c r="J151" s="799" t="s">
        <v>436</v>
      </c>
      <c r="K151" s="36" t="s">
        <v>75</v>
      </c>
      <c r="L151" s="837" t="s">
        <v>256</v>
      </c>
      <c r="M151" s="837" t="s">
        <v>256</v>
      </c>
      <c r="N151" s="837" t="s">
        <v>256</v>
      </c>
      <c r="O151" s="837" t="s">
        <v>256</v>
      </c>
      <c r="P151" s="35" t="s">
        <v>420</v>
      </c>
      <c r="Q151" s="35" t="s">
        <v>420</v>
      </c>
      <c r="R151" s="38" t="s">
        <v>144</v>
      </c>
      <c r="S151" s="38" t="s">
        <v>145</v>
      </c>
      <c r="T151" s="833">
        <v>18300</v>
      </c>
      <c r="U151" s="40">
        <v>17800</v>
      </c>
      <c r="V151" s="40">
        <v>18000</v>
      </c>
      <c r="W151" s="821">
        <v>16700</v>
      </c>
      <c r="X151" s="838">
        <v>17200</v>
      </c>
      <c r="Y151" s="159">
        <v>20200</v>
      </c>
      <c r="Z151" s="237">
        <v>19400</v>
      </c>
      <c r="AA151" s="159">
        <v>21500</v>
      </c>
      <c r="AB151" s="224">
        <v>19800</v>
      </c>
      <c r="AC151" s="143">
        <v>19200</v>
      </c>
      <c r="AD151" s="143">
        <v>19200</v>
      </c>
      <c r="AE151" s="47" t="s">
        <v>242</v>
      </c>
      <c r="AF151" s="45">
        <v>19800</v>
      </c>
      <c r="AG151" s="46">
        <v>0.96969696969696972</v>
      </c>
      <c r="AH151" s="47"/>
      <c r="AI151" s="48" t="s">
        <v>81</v>
      </c>
      <c r="AJ151" s="48" t="s">
        <v>81</v>
      </c>
      <c r="AK151" s="746">
        <v>1712</v>
      </c>
      <c r="AL151" s="832">
        <f t="shared" si="2"/>
        <v>22656</v>
      </c>
      <c r="AM151" s="121">
        <v>2</v>
      </c>
    </row>
    <row r="152" spans="1:39" x14ac:dyDescent="0.3">
      <c r="A152" s="33">
        <v>169</v>
      </c>
      <c r="B152" s="33">
        <v>126</v>
      </c>
      <c r="C152" s="152" t="s">
        <v>409</v>
      </c>
      <c r="D152" s="51" t="s">
        <v>437</v>
      </c>
      <c r="E152" s="70" t="s">
        <v>438</v>
      </c>
      <c r="F152" s="800">
        <v>538</v>
      </c>
      <c r="G152" s="855" t="s">
        <v>72</v>
      </c>
      <c r="H152" s="52" t="s">
        <v>73</v>
      </c>
      <c r="I152" s="72">
        <v>0.98</v>
      </c>
      <c r="J152" s="800" t="s">
        <v>140</v>
      </c>
      <c r="K152" s="52" t="s">
        <v>75</v>
      </c>
      <c r="L152" s="835" t="s">
        <v>163</v>
      </c>
      <c r="M152" s="835" t="s">
        <v>163</v>
      </c>
      <c r="N152" s="835" t="s">
        <v>163</v>
      </c>
      <c r="O152" s="835" t="s">
        <v>163</v>
      </c>
      <c r="P152" s="51" t="s">
        <v>143</v>
      </c>
      <c r="Q152" s="51" t="s">
        <v>143</v>
      </c>
      <c r="R152" s="55" t="s">
        <v>144</v>
      </c>
      <c r="S152" s="73" t="s">
        <v>145</v>
      </c>
      <c r="T152" s="825">
        <v>16800</v>
      </c>
      <c r="U152" s="825">
        <v>17500</v>
      </c>
      <c r="V152" s="825">
        <v>17000</v>
      </c>
      <c r="W152" s="823">
        <v>15200</v>
      </c>
      <c r="X152" s="760">
        <v>15800</v>
      </c>
      <c r="Y152" s="760">
        <v>18100</v>
      </c>
      <c r="Z152" s="760">
        <v>21500</v>
      </c>
      <c r="AA152" s="760">
        <v>20500</v>
      </c>
      <c r="AB152" s="129">
        <v>22000</v>
      </c>
      <c r="AC152" s="115">
        <v>21000</v>
      </c>
      <c r="AD152" s="115">
        <v>21000</v>
      </c>
      <c r="AE152" s="80" t="s">
        <v>80</v>
      </c>
      <c r="AF152" s="78">
        <v>39800</v>
      </c>
      <c r="AG152" s="79">
        <v>0.52763819095477382</v>
      </c>
      <c r="AH152" s="733" t="s">
        <v>97</v>
      </c>
      <c r="AI152" s="87" t="s">
        <v>81</v>
      </c>
      <c r="AJ152" s="87" t="s">
        <v>81</v>
      </c>
      <c r="AK152" s="748">
        <v>3580</v>
      </c>
      <c r="AL152" s="832">
        <f t="shared" si="2"/>
        <v>20580</v>
      </c>
      <c r="AM152" s="63">
        <v>4</v>
      </c>
    </row>
    <row r="153" spans="1:39" x14ac:dyDescent="0.3">
      <c r="A153" s="33">
        <v>170</v>
      </c>
      <c r="B153" s="33">
        <v>3015</v>
      </c>
      <c r="C153" s="153" t="s">
        <v>409</v>
      </c>
      <c r="D153" s="35" t="s">
        <v>439</v>
      </c>
      <c r="E153" s="35" t="s">
        <v>440</v>
      </c>
      <c r="F153" s="799">
        <v>480</v>
      </c>
      <c r="G153" s="854" t="s">
        <v>72</v>
      </c>
      <c r="H153" s="65" t="s">
        <v>73</v>
      </c>
      <c r="I153" s="37">
        <v>0.74</v>
      </c>
      <c r="J153" s="799" t="s">
        <v>130</v>
      </c>
      <c r="K153" s="65" t="s">
        <v>75</v>
      </c>
      <c r="L153" s="837" t="s">
        <v>441</v>
      </c>
      <c r="M153" s="837" t="s">
        <v>441</v>
      </c>
      <c r="N153" s="837" t="s">
        <v>441</v>
      </c>
      <c r="O153" s="837" t="s">
        <v>441</v>
      </c>
      <c r="P153" s="54" t="s">
        <v>143</v>
      </c>
      <c r="Q153" s="35" t="s">
        <v>143</v>
      </c>
      <c r="R153" s="39" t="s">
        <v>132</v>
      </c>
      <c r="S153" s="38" t="s">
        <v>145</v>
      </c>
      <c r="T153" s="833">
        <v>16400</v>
      </c>
      <c r="U153" s="833">
        <v>17200</v>
      </c>
      <c r="V153" s="833">
        <v>19900</v>
      </c>
      <c r="W153" s="820">
        <v>18700</v>
      </c>
      <c r="X153" s="838">
        <v>20500</v>
      </c>
      <c r="Y153" s="838">
        <v>21500</v>
      </c>
      <c r="Z153" s="838">
        <v>21500</v>
      </c>
      <c r="AA153" s="838">
        <v>21500</v>
      </c>
      <c r="AB153" s="123">
        <v>22500</v>
      </c>
      <c r="AC153" s="123">
        <v>21500</v>
      </c>
      <c r="AD153" s="120">
        <v>16500</v>
      </c>
      <c r="AE153" s="65" t="s">
        <v>80</v>
      </c>
      <c r="AF153" s="138">
        <v>39800</v>
      </c>
      <c r="AG153" s="82">
        <v>0.41457286432160806</v>
      </c>
      <c r="AH153" s="734" t="s">
        <v>97</v>
      </c>
      <c r="AI153" s="213">
        <v>1630</v>
      </c>
      <c r="AJ153" s="213">
        <v>1820</v>
      </c>
      <c r="AK153" s="749">
        <v>3580</v>
      </c>
      <c r="AL153" s="832">
        <f t="shared" si="2"/>
        <v>12210</v>
      </c>
      <c r="AM153" s="49">
        <v>4</v>
      </c>
    </row>
    <row r="154" spans="1:39" x14ac:dyDescent="0.3">
      <c r="A154" s="33">
        <v>171</v>
      </c>
      <c r="B154" s="33">
        <v>3016</v>
      </c>
      <c r="C154" s="152" t="s">
        <v>409</v>
      </c>
      <c r="D154" s="51" t="s">
        <v>439</v>
      </c>
      <c r="E154" s="51" t="s">
        <v>442</v>
      </c>
      <c r="F154" s="856">
        <v>41</v>
      </c>
      <c r="G154" s="855" t="s">
        <v>72</v>
      </c>
      <c r="H154" s="52" t="s">
        <v>73</v>
      </c>
      <c r="I154" s="72">
        <v>5.93</v>
      </c>
      <c r="J154" s="800">
        <v>65</v>
      </c>
      <c r="K154" s="52" t="s">
        <v>75</v>
      </c>
      <c r="L154" s="835" t="s">
        <v>136</v>
      </c>
      <c r="M154" s="835" t="s">
        <v>136</v>
      </c>
      <c r="N154" s="835" t="s">
        <v>136</v>
      </c>
      <c r="O154" s="835" t="s">
        <v>136</v>
      </c>
      <c r="P154" s="835" t="s">
        <v>136</v>
      </c>
      <c r="Q154" s="835" t="s">
        <v>131</v>
      </c>
      <c r="R154" s="55" t="s">
        <v>132</v>
      </c>
      <c r="S154" s="55" t="s">
        <v>133</v>
      </c>
      <c r="T154" s="825">
        <v>13600</v>
      </c>
      <c r="U154" s="825">
        <v>14900</v>
      </c>
      <c r="V154" s="825">
        <v>16700</v>
      </c>
      <c r="W154" s="823">
        <v>16400</v>
      </c>
      <c r="X154" s="760">
        <v>17600</v>
      </c>
      <c r="Y154" s="760">
        <v>19500</v>
      </c>
      <c r="Z154" s="760">
        <v>13900</v>
      </c>
      <c r="AA154" s="760">
        <v>14300</v>
      </c>
      <c r="AB154" s="129">
        <v>15800</v>
      </c>
      <c r="AC154" s="115">
        <v>15400</v>
      </c>
      <c r="AD154" s="115">
        <v>19000</v>
      </c>
      <c r="AE154" s="80" t="s">
        <v>97</v>
      </c>
      <c r="AF154" s="78">
        <v>44900</v>
      </c>
      <c r="AG154" s="79">
        <v>0.42316258351893093</v>
      </c>
      <c r="AH154" s="733" t="s">
        <v>1524</v>
      </c>
      <c r="AI154" s="194">
        <v>1510</v>
      </c>
      <c r="AJ154" s="194">
        <v>1700</v>
      </c>
      <c r="AK154" s="748">
        <v>4270</v>
      </c>
      <c r="AL154" s="832">
        <f t="shared" si="2"/>
        <v>112670</v>
      </c>
      <c r="AM154" s="63">
        <v>4</v>
      </c>
    </row>
    <row r="155" spans="1:39" x14ac:dyDescent="0.3">
      <c r="A155" s="33">
        <v>172</v>
      </c>
      <c r="B155" s="33">
        <v>128</v>
      </c>
      <c r="C155" s="155" t="s">
        <v>409</v>
      </c>
      <c r="D155" s="117" t="s">
        <v>443</v>
      </c>
      <c r="E155" s="35" t="s">
        <v>444</v>
      </c>
      <c r="F155" s="799">
        <v>1011</v>
      </c>
      <c r="G155" s="854" t="s">
        <v>72</v>
      </c>
      <c r="H155" s="36" t="s">
        <v>73</v>
      </c>
      <c r="I155" s="235">
        <v>3.56</v>
      </c>
      <c r="J155" s="799" t="s">
        <v>74</v>
      </c>
      <c r="K155" s="36" t="s">
        <v>75</v>
      </c>
      <c r="L155" s="837" t="s">
        <v>136</v>
      </c>
      <c r="M155" s="837" t="s">
        <v>136</v>
      </c>
      <c r="N155" s="837" t="s">
        <v>136</v>
      </c>
      <c r="O155" s="837" t="s">
        <v>136</v>
      </c>
      <c r="P155" s="837" t="s">
        <v>136</v>
      </c>
      <c r="Q155" s="837" t="s">
        <v>131</v>
      </c>
      <c r="R155" s="38" t="s">
        <v>132</v>
      </c>
      <c r="S155" s="38" t="s">
        <v>133</v>
      </c>
      <c r="T155" s="833">
        <v>10500</v>
      </c>
      <c r="U155" s="833">
        <v>9900</v>
      </c>
      <c r="V155" s="833">
        <v>12200</v>
      </c>
      <c r="W155" s="820">
        <v>12500</v>
      </c>
      <c r="X155" s="838">
        <v>12900</v>
      </c>
      <c r="Y155" s="838">
        <v>14500</v>
      </c>
      <c r="Z155" s="838">
        <v>15600</v>
      </c>
      <c r="AA155" s="838">
        <v>15700</v>
      </c>
      <c r="AB155" s="123">
        <v>15200</v>
      </c>
      <c r="AC155" s="123">
        <v>14800</v>
      </c>
      <c r="AD155" s="123">
        <v>14800</v>
      </c>
      <c r="AE155" s="36" t="s">
        <v>97</v>
      </c>
      <c r="AF155" s="138">
        <v>44900</v>
      </c>
      <c r="AG155" s="82">
        <v>0.32962138084632514</v>
      </c>
      <c r="AH155" s="734" t="s">
        <v>1524</v>
      </c>
      <c r="AI155" s="84" t="s">
        <v>81</v>
      </c>
      <c r="AJ155" s="84" t="s">
        <v>81</v>
      </c>
      <c r="AK155" s="749">
        <v>4270</v>
      </c>
      <c r="AL155" s="832">
        <f t="shared" si="2"/>
        <v>52688</v>
      </c>
      <c r="AM155" s="49">
        <v>4</v>
      </c>
    </row>
    <row r="156" spans="1:39" x14ac:dyDescent="0.3">
      <c r="A156" s="33">
        <v>173</v>
      </c>
      <c r="B156" s="33">
        <v>129</v>
      </c>
      <c r="C156" s="157" t="s">
        <v>409</v>
      </c>
      <c r="D156" s="114" t="s">
        <v>445</v>
      </c>
      <c r="E156" s="70" t="s">
        <v>446</v>
      </c>
      <c r="F156" s="800">
        <v>1012</v>
      </c>
      <c r="G156" s="855" t="s">
        <v>72</v>
      </c>
      <c r="H156" s="71" t="s">
        <v>73</v>
      </c>
      <c r="I156" s="236">
        <v>1.1399999999999999</v>
      </c>
      <c r="J156" s="800">
        <v>65</v>
      </c>
      <c r="K156" s="71" t="s">
        <v>75</v>
      </c>
      <c r="L156" s="835" t="s">
        <v>136</v>
      </c>
      <c r="M156" s="835" t="s">
        <v>136</v>
      </c>
      <c r="N156" s="835" t="s">
        <v>136</v>
      </c>
      <c r="O156" s="835" t="s">
        <v>136</v>
      </c>
      <c r="P156" s="835" t="s">
        <v>136</v>
      </c>
      <c r="Q156" s="835" t="s">
        <v>136</v>
      </c>
      <c r="R156" s="73" t="s">
        <v>132</v>
      </c>
      <c r="S156" s="55" t="s">
        <v>133</v>
      </c>
      <c r="T156" s="825">
        <v>15800</v>
      </c>
      <c r="U156" s="825">
        <v>13500</v>
      </c>
      <c r="V156" s="825">
        <v>15700</v>
      </c>
      <c r="W156" s="822">
        <v>17000</v>
      </c>
      <c r="X156" s="760">
        <v>17600</v>
      </c>
      <c r="Y156" s="760">
        <v>20500</v>
      </c>
      <c r="Z156" s="760">
        <v>22000</v>
      </c>
      <c r="AA156" s="760">
        <v>21500</v>
      </c>
      <c r="AB156" s="129">
        <v>22000</v>
      </c>
      <c r="AC156" s="115">
        <v>21000</v>
      </c>
      <c r="AD156" s="115">
        <v>21000</v>
      </c>
      <c r="AE156" s="80" t="s">
        <v>97</v>
      </c>
      <c r="AF156" s="78">
        <v>42300</v>
      </c>
      <c r="AG156" s="79">
        <v>0.49645390070921985</v>
      </c>
      <c r="AH156" s="733" t="s">
        <v>1524</v>
      </c>
      <c r="AI156" s="87" t="s">
        <v>81</v>
      </c>
      <c r="AJ156" s="87" t="s">
        <v>81</v>
      </c>
      <c r="AK156" s="748">
        <v>4020</v>
      </c>
      <c r="AL156" s="832">
        <f t="shared" si="2"/>
        <v>23939.999999999996</v>
      </c>
      <c r="AM156" s="63">
        <v>4</v>
      </c>
    </row>
    <row r="157" spans="1:39" x14ac:dyDescent="0.3">
      <c r="A157" s="33">
        <v>174</v>
      </c>
      <c r="B157" s="33">
        <v>130</v>
      </c>
      <c r="C157" s="155" t="s">
        <v>409</v>
      </c>
      <c r="D157" s="117" t="s">
        <v>447</v>
      </c>
      <c r="E157" s="64" t="s">
        <v>448</v>
      </c>
      <c r="F157" s="799">
        <v>423</v>
      </c>
      <c r="G157" s="799" t="s">
        <v>72</v>
      </c>
      <c r="H157" s="36" t="s">
        <v>73</v>
      </c>
      <c r="I157" s="235">
        <v>1.7</v>
      </c>
      <c r="J157" s="799" t="s">
        <v>74</v>
      </c>
      <c r="K157" s="36" t="s">
        <v>75</v>
      </c>
      <c r="L157" s="837" t="s">
        <v>441</v>
      </c>
      <c r="M157" s="837" t="s">
        <v>441</v>
      </c>
      <c r="N157" s="837" t="s">
        <v>441</v>
      </c>
      <c r="O157" s="837" t="s">
        <v>441</v>
      </c>
      <c r="P157" s="839" t="s">
        <v>136</v>
      </c>
      <c r="Q157" s="837" t="s">
        <v>136</v>
      </c>
      <c r="R157" s="38" t="s">
        <v>280</v>
      </c>
      <c r="S157" s="39" t="s">
        <v>277</v>
      </c>
      <c r="T157" s="833">
        <v>16200</v>
      </c>
      <c r="U157" s="833">
        <v>14400</v>
      </c>
      <c r="V157" s="833">
        <v>18300</v>
      </c>
      <c r="W157" s="820">
        <v>17400</v>
      </c>
      <c r="X157" s="838">
        <v>19200</v>
      </c>
      <c r="Y157" s="838">
        <v>20000</v>
      </c>
      <c r="Z157" s="838">
        <v>22000</v>
      </c>
      <c r="AA157" s="838">
        <v>15600</v>
      </c>
      <c r="AB157" s="123">
        <v>15800</v>
      </c>
      <c r="AC157" s="123">
        <v>15400</v>
      </c>
      <c r="AD157" s="123">
        <v>15400</v>
      </c>
      <c r="AE157" s="36" t="s">
        <v>97</v>
      </c>
      <c r="AF157" s="138">
        <v>42300</v>
      </c>
      <c r="AG157" s="82">
        <v>0.36406619385342792</v>
      </c>
      <c r="AH157" s="734" t="s">
        <v>1524</v>
      </c>
      <c r="AI157" s="213">
        <v>1140</v>
      </c>
      <c r="AJ157" s="213">
        <v>1490</v>
      </c>
      <c r="AK157" s="749">
        <v>4020</v>
      </c>
      <c r="AL157" s="832">
        <f t="shared" si="2"/>
        <v>26180</v>
      </c>
      <c r="AM157" s="49">
        <v>4</v>
      </c>
    </row>
    <row r="158" spans="1:39" x14ac:dyDescent="0.3">
      <c r="A158" s="33">
        <v>174</v>
      </c>
      <c r="B158" s="33">
        <v>130</v>
      </c>
      <c r="C158" s="157" t="s">
        <v>409</v>
      </c>
      <c r="D158" s="114" t="s">
        <v>447</v>
      </c>
      <c r="E158" s="70" t="s">
        <v>198</v>
      </c>
      <c r="F158" s="800">
        <v>423</v>
      </c>
      <c r="G158" s="800" t="s">
        <v>72</v>
      </c>
      <c r="H158" s="71" t="s">
        <v>73</v>
      </c>
      <c r="I158" s="236">
        <v>2.0499999999999998</v>
      </c>
      <c r="J158" s="800" t="s">
        <v>74</v>
      </c>
      <c r="K158" s="71" t="s">
        <v>75</v>
      </c>
      <c r="L158" s="835" t="s">
        <v>441</v>
      </c>
      <c r="M158" s="835" t="s">
        <v>441</v>
      </c>
      <c r="N158" s="835" t="s">
        <v>441</v>
      </c>
      <c r="O158" s="835" t="s">
        <v>441</v>
      </c>
      <c r="P158" s="54" t="s">
        <v>143</v>
      </c>
      <c r="Q158" s="135" t="s">
        <v>143</v>
      </c>
      <c r="R158" s="73" t="s">
        <v>280</v>
      </c>
      <c r="S158" s="73" t="s">
        <v>145</v>
      </c>
      <c r="T158" s="825">
        <v>16200</v>
      </c>
      <c r="U158" s="825">
        <v>14400</v>
      </c>
      <c r="V158" s="826">
        <v>18300</v>
      </c>
      <c r="W158" s="822">
        <f>W157</f>
        <v>17400</v>
      </c>
      <c r="X158" s="760">
        <f>X157</f>
        <v>19200</v>
      </c>
      <c r="Y158" s="760">
        <v>20000</v>
      </c>
      <c r="Z158" s="760">
        <v>22000</v>
      </c>
      <c r="AA158" s="760">
        <v>15600</v>
      </c>
      <c r="AB158" s="129">
        <v>15800</v>
      </c>
      <c r="AC158" s="115">
        <f>AC157</f>
        <v>15400</v>
      </c>
      <c r="AD158" s="115">
        <v>15400</v>
      </c>
      <c r="AE158" s="80" t="s">
        <v>80</v>
      </c>
      <c r="AF158" s="78">
        <v>39800</v>
      </c>
      <c r="AG158" s="79">
        <v>0.38693467336683418</v>
      </c>
      <c r="AH158" s="733" t="s">
        <v>97</v>
      </c>
      <c r="AI158" s="194">
        <v>1140</v>
      </c>
      <c r="AJ158" s="194">
        <v>1490</v>
      </c>
      <c r="AK158" s="748">
        <v>3580</v>
      </c>
      <c r="AL158" s="832">
        <f t="shared" si="2"/>
        <v>31569.999999999996</v>
      </c>
      <c r="AM158" s="63">
        <v>4</v>
      </c>
    </row>
    <row r="159" spans="1:39" x14ac:dyDescent="0.3">
      <c r="A159" s="33">
        <v>175</v>
      </c>
      <c r="B159" s="33">
        <v>131</v>
      </c>
      <c r="C159" s="153" t="s">
        <v>409</v>
      </c>
      <c r="D159" s="117" t="s">
        <v>449</v>
      </c>
      <c r="E159" s="64" t="s">
        <v>450</v>
      </c>
      <c r="F159" s="799">
        <v>515</v>
      </c>
      <c r="G159" s="799" t="s">
        <v>72</v>
      </c>
      <c r="H159" s="36" t="s">
        <v>73</v>
      </c>
      <c r="I159" s="235">
        <v>2.83</v>
      </c>
      <c r="J159" s="799" t="s">
        <v>130</v>
      </c>
      <c r="K159" s="36" t="s">
        <v>75</v>
      </c>
      <c r="L159" s="837" t="s">
        <v>142</v>
      </c>
      <c r="M159" s="837" t="s">
        <v>142</v>
      </c>
      <c r="N159" s="837" t="s">
        <v>142</v>
      </c>
      <c r="O159" s="837" t="s">
        <v>142</v>
      </c>
      <c r="P159" s="35" t="s">
        <v>143</v>
      </c>
      <c r="Q159" s="35" t="s">
        <v>143</v>
      </c>
      <c r="R159" s="38" t="s">
        <v>144</v>
      </c>
      <c r="S159" s="38" t="s">
        <v>145</v>
      </c>
      <c r="T159" s="833">
        <v>25000</v>
      </c>
      <c r="U159" s="833">
        <v>27500</v>
      </c>
      <c r="V159" s="833">
        <v>30000</v>
      </c>
      <c r="W159" s="820">
        <v>27500</v>
      </c>
      <c r="X159" s="838">
        <v>28500</v>
      </c>
      <c r="Y159" s="838">
        <v>35000</v>
      </c>
      <c r="Z159" s="838">
        <v>31500</v>
      </c>
      <c r="AA159" s="838">
        <v>35500</v>
      </c>
      <c r="AB159" s="123">
        <v>34500</v>
      </c>
      <c r="AC159" s="123">
        <v>33500</v>
      </c>
      <c r="AD159" s="123">
        <v>33500</v>
      </c>
      <c r="AE159" s="36" t="s">
        <v>80</v>
      </c>
      <c r="AF159" s="138">
        <v>39800</v>
      </c>
      <c r="AG159" s="82">
        <v>0.84170854271356788</v>
      </c>
      <c r="AH159" s="734" t="s">
        <v>97</v>
      </c>
      <c r="AI159" s="84" t="s">
        <v>81</v>
      </c>
      <c r="AJ159" s="84" t="s">
        <v>81</v>
      </c>
      <c r="AK159" s="749">
        <v>3580</v>
      </c>
      <c r="AL159" s="832">
        <f t="shared" si="2"/>
        <v>94805</v>
      </c>
      <c r="AM159" s="49">
        <v>4</v>
      </c>
    </row>
    <row r="160" spans="1:39" x14ac:dyDescent="0.3">
      <c r="A160" s="33">
        <v>175</v>
      </c>
      <c r="B160" s="33">
        <v>131</v>
      </c>
      <c r="C160" s="152" t="s">
        <v>409</v>
      </c>
      <c r="D160" s="238" t="s">
        <v>451</v>
      </c>
      <c r="E160" s="70" t="s">
        <v>452</v>
      </c>
      <c r="F160" s="800">
        <v>514</v>
      </c>
      <c r="G160" s="800" t="s">
        <v>72</v>
      </c>
      <c r="H160" s="71" t="s">
        <v>73</v>
      </c>
      <c r="I160" s="236">
        <v>1.35</v>
      </c>
      <c r="J160" s="800" t="s">
        <v>140</v>
      </c>
      <c r="K160" s="71" t="s">
        <v>75</v>
      </c>
      <c r="L160" s="835" t="s">
        <v>142</v>
      </c>
      <c r="M160" s="835" t="s">
        <v>142</v>
      </c>
      <c r="N160" s="835" t="s">
        <v>142</v>
      </c>
      <c r="O160" s="835" t="s">
        <v>142</v>
      </c>
      <c r="P160" s="51" t="s">
        <v>143</v>
      </c>
      <c r="Q160" s="51" t="s">
        <v>143</v>
      </c>
      <c r="R160" s="73" t="s">
        <v>144</v>
      </c>
      <c r="S160" s="73" t="s">
        <v>145</v>
      </c>
      <c r="T160" s="825">
        <v>17800</v>
      </c>
      <c r="U160" s="825">
        <v>18700</v>
      </c>
      <c r="V160" s="825">
        <v>19600</v>
      </c>
      <c r="W160" s="822">
        <v>18300</v>
      </c>
      <c r="X160" s="760">
        <v>19000</v>
      </c>
      <c r="Y160" s="760">
        <v>19500</v>
      </c>
      <c r="Z160" s="760">
        <v>18000</v>
      </c>
      <c r="AA160" s="760">
        <v>23500</v>
      </c>
      <c r="AB160" s="129">
        <v>20500</v>
      </c>
      <c r="AC160" s="115">
        <v>19700</v>
      </c>
      <c r="AD160" s="115">
        <v>19700</v>
      </c>
      <c r="AE160" s="140" t="s">
        <v>80</v>
      </c>
      <c r="AF160" s="78">
        <v>39800</v>
      </c>
      <c r="AG160" s="79">
        <v>0.49497487437185927</v>
      </c>
      <c r="AH160" s="733" t="s">
        <v>97</v>
      </c>
      <c r="AI160" s="87" t="s">
        <v>81</v>
      </c>
      <c r="AJ160" s="87" t="s">
        <v>81</v>
      </c>
      <c r="AK160" s="748">
        <v>3580</v>
      </c>
      <c r="AL160" s="832">
        <f t="shared" si="2"/>
        <v>26595</v>
      </c>
      <c r="AM160" s="63">
        <v>4</v>
      </c>
    </row>
    <row r="161" spans="1:39" x14ac:dyDescent="0.3">
      <c r="A161" s="33">
        <v>114</v>
      </c>
      <c r="B161" s="33">
        <v>13</v>
      </c>
      <c r="C161" s="153" t="s">
        <v>453</v>
      </c>
      <c r="D161" s="117" t="s">
        <v>454</v>
      </c>
      <c r="E161" s="64" t="s">
        <v>455</v>
      </c>
      <c r="F161" s="799">
        <v>207</v>
      </c>
      <c r="G161" s="799" t="s">
        <v>72</v>
      </c>
      <c r="H161" s="36" t="s">
        <v>73</v>
      </c>
      <c r="I161" s="235">
        <v>1.3</v>
      </c>
      <c r="J161" s="799" t="s">
        <v>205</v>
      </c>
      <c r="K161" s="36" t="s">
        <v>75</v>
      </c>
      <c r="L161" s="837" t="s">
        <v>142</v>
      </c>
      <c r="M161" s="837" t="s">
        <v>142</v>
      </c>
      <c r="N161" s="837" t="s">
        <v>142</v>
      </c>
      <c r="O161" s="837" t="s">
        <v>142</v>
      </c>
      <c r="P161" s="35" t="s">
        <v>143</v>
      </c>
      <c r="Q161" s="35" t="s">
        <v>143</v>
      </c>
      <c r="R161" s="38" t="s">
        <v>144</v>
      </c>
      <c r="S161" s="38" t="s">
        <v>145</v>
      </c>
      <c r="T161" s="833">
        <v>24000</v>
      </c>
      <c r="U161" s="833">
        <v>26500</v>
      </c>
      <c r="V161" s="833">
        <v>26500</v>
      </c>
      <c r="W161" s="820">
        <v>27000</v>
      </c>
      <c r="X161" s="838">
        <v>29500</v>
      </c>
      <c r="Y161" s="838">
        <v>30000</v>
      </c>
      <c r="Z161" s="838">
        <v>23500</v>
      </c>
      <c r="AA161" s="838">
        <v>32500</v>
      </c>
      <c r="AB161" s="123">
        <v>27500</v>
      </c>
      <c r="AC161" s="123">
        <v>26500</v>
      </c>
      <c r="AD161" s="123">
        <v>26500</v>
      </c>
      <c r="AE161" s="36" t="s">
        <v>80</v>
      </c>
      <c r="AF161" s="138">
        <v>39800</v>
      </c>
      <c r="AG161" s="82">
        <v>0.66582914572864327</v>
      </c>
      <c r="AH161" s="734" t="s">
        <v>97</v>
      </c>
      <c r="AI161" s="84" t="s">
        <v>81</v>
      </c>
      <c r="AJ161" s="84" t="s">
        <v>81</v>
      </c>
      <c r="AK161" s="749">
        <v>3580</v>
      </c>
      <c r="AL161" s="832">
        <f t="shared" si="2"/>
        <v>34450</v>
      </c>
      <c r="AM161" s="121">
        <v>4</v>
      </c>
    </row>
    <row r="162" spans="1:39" x14ac:dyDescent="0.3">
      <c r="A162" s="33">
        <v>115</v>
      </c>
      <c r="B162" s="33">
        <v>14</v>
      </c>
      <c r="C162" s="152" t="s">
        <v>453</v>
      </c>
      <c r="D162" s="238" t="s">
        <v>456</v>
      </c>
      <c r="E162" s="70" t="s">
        <v>457</v>
      </c>
      <c r="F162" s="800">
        <v>5180</v>
      </c>
      <c r="G162" s="800" t="s">
        <v>72</v>
      </c>
      <c r="H162" s="71" t="s">
        <v>73</v>
      </c>
      <c r="I162" s="236">
        <v>0.35</v>
      </c>
      <c r="J162" s="800" t="s">
        <v>158</v>
      </c>
      <c r="K162" s="71" t="s">
        <v>75</v>
      </c>
      <c r="L162" s="835" t="s">
        <v>142</v>
      </c>
      <c r="M162" s="835" t="s">
        <v>142</v>
      </c>
      <c r="N162" s="835" t="s">
        <v>142</v>
      </c>
      <c r="O162" s="835" t="s">
        <v>142</v>
      </c>
      <c r="P162" s="51" t="s">
        <v>143</v>
      </c>
      <c r="Q162" s="51" t="s">
        <v>143</v>
      </c>
      <c r="R162" s="73" t="s">
        <v>144</v>
      </c>
      <c r="S162" s="73" t="s">
        <v>145</v>
      </c>
      <c r="T162" s="825">
        <v>21000</v>
      </c>
      <c r="U162" s="825">
        <v>22500</v>
      </c>
      <c r="V162" s="825">
        <v>23000</v>
      </c>
      <c r="W162" s="822">
        <v>22000</v>
      </c>
      <c r="X162" s="760">
        <v>23000</v>
      </c>
      <c r="Y162" s="760">
        <v>24500</v>
      </c>
      <c r="Z162" s="760">
        <v>25500</v>
      </c>
      <c r="AA162" s="760">
        <v>28000</v>
      </c>
      <c r="AB162" s="129">
        <v>28000</v>
      </c>
      <c r="AC162" s="115">
        <v>22000</v>
      </c>
      <c r="AD162" s="115">
        <v>22000</v>
      </c>
      <c r="AE162" s="140" t="s">
        <v>80</v>
      </c>
      <c r="AF162" s="78">
        <v>39800</v>
      </c>
      <c r="AG162" s="79">
        <v>0.55276381909547734</v>
      </c>
      <c r="AH162" s="733" t="s">
        <v>97</v>
      </c>
      <c r="AI162" s="87" t="s">
        <v>81</v>
      </c>
      <c r="AJ162" s="87" t="s">
        <v>81</v>
      </c>
      <c r="AK162" s="748">
        <v>3580</v>
      </c>
      <c r="AL162" s="832">
        <f t="shared" si="2"/>
        <v>7699.9999999999991</v>
      </c>
      <c r="AM162" s="122">
        <v>4</v>
      </c>
    </row>
    <row r="163" spans="1:39" ht="15" thickBot="1" x14ac:dyDescent="0.35">
      <c r="A163" s="88">
        <v>116</v>
      </c>
      <c r="B163" s="88">
        <v>15</v>
      </c>
      <c r="C163" s="239" t="s">
        <v>458</v>
      </c>
      <c r="D163" s="90" t="s">
        <v>459</v>
      </c>
      <c r="E163" s="185" t="s">
        <v>460</v>
      </c>
      <c r="F163" s="801">
        <v>5043</v>
      </c>
      <c r="G163" s="801" t="s">
        <v>72</v>
      </c>
      <c r="H163" s="92" t="s">
        <v>73</v>
      </c>
      <c r="I163" s="240">
        <v>0.5</v>
      </c>
      <c r="J163" s="801" t="s">
        <v>158</v>
      </c>
      <c r="K163" s="92" t="s">
        <v>75</v>
      </c>
      <c r="L163" s="841" t="s">
        <v>461</v>
      </c>
      <c r="M163" s="841" t="s">
        <v>461</v>
      </c>
      <c r="N163" s="841" t="s">
        <v>142</v>
      </c>
      <c r="O163" s="841" t="s">
        <v>142</v>
      </c>
      <c r="P163" s="91" t="s">
        <v>143</v>
      </c>
      <c r="Q163" s="91" t="s">
        <v>143</v>
      </c>
      <c r="R163" s="94" t="s">
        <v>144</v>
      </c>
      <c r="S163" s="94" t="s">
        <v>145</v>
      </c>
      <c r="T163" s="827">
        <v>14000</v>
      </c>
      <c r="U163" s="827">
        <v>15300</v>
      </c>
      <c r="V163" s="827">
        <v>14200</v>
      </c>
      <c r="W163" s="828">
        <v>14000</v>
      </c>
      <c r="X163" s="842">
        <v>14600</v>
      </c>
      <c r="Y163" s="842">
        <v>12700</v>
      </c>
      <c r="Z163" s="842">
        <v>17500</v>
      </c>
      <c r="AA163" s="842">
        <v>17900</v>
      </c>
      <c r="AB163" s="146">
        <v>13300</v>
      </c>
      <c r="AC163" s="146">
        <v>12900</v>
      </c>
      <c r="AD163" s="126">
        <v>12200</v>
      </c>
      <c r="AE163" s="92" t="s">
        <v>80</v>
      </c>
      <c r="AF163" s="186">
        <v>39800</v>
      </c>
      <c r="AG163" s="147">
        <v>0.30653266331658291</v>
      </c>
      <c r="AH163" s="736" t="s">
        <v>97</v>
      </c>
      <c r="AI163" s="241">
        <v>900</v>
      </c>
      <c r="AJ163" s="241">
        <v>1030</v>
      </c>
      <c r="AK163" s="750">
        <v>3580</v>
      </c>
      <c r="AL163" s="829">
        <f t="shared" si="2"/>
        <v>6100</v>
      </c>
      <c r="AM163" s="127">
        <v>4</v>
      </c>
    </row>
    <row r="164" spans="1:39" x14ac:dyDescent="0.3">
      <c r="A164" s="103">
        <v>178</v>
      </c>
      <c r="B164" s="103">
        <v>134</v>
      </c>
      <c r="C164" s="242" t="s">
        <v>462</v>
      </c>
      <c r="D164" s="177" t="s">
        <v>463</v>
      </c>
      <c r="E164" s="189" t="s">
        <v>464</v>
      </c>
      <c r="F164" s="804">
        <v>516</v>
      </c>
      <c r="G164" s="804" t="s">
        <v>72</v>
      </c>
      <c r="H164" s="131" t="s">
        <v>73</v>
      </c>
      <c r="I164" s="243">
        <v>0.17</v>
      </c>
      <c r="J164" s="804" t="s">
        <v>158</v>
      </c>
      <c r="K164" s="131" t="s">
        <v>75</v>
      </c>
      <c r="L164" s="843" t="s">
        <v>232</v>
      </c>
      <c r="M164" s="843" t="s">
        <v>232</v>
      </c>
      <c r="N164" s="843" t="s">
        <v>232</v>
      </c>
      <c r="O164" s="843" t="s">
        <v>232</v>
      </c>
      <c r="P164" s="177" t="s">
        <v>420</v>
      </c>
      <c r="Q164" s="177" t="s">
        <v>420</v>
      </c>
      <c r="R164" s="179" t="s">
        <v>374</v>
      </c>
      <c r="S164" s="179" t="s">
        <v>465</v>
      </c>
      <c r="T164" s="825">
        <v>11400</v>
      </c>
      <c r="U164" s="825">
        <v>10800</v>
      </c>
      <c r="V164" s="826">
        <v>11300</v>
      </c>
      <c r="W164" s="836">
        <v>10500</v>
      </c>
      <c r="X164" s="759">
        <v>10900</v>
      </c>
      <c r="Y164" s="759">
        <v>9500</v>
      </c>
      <c r="Z164" s="759">
        <v>9800</v>
      </c>
      <c r="AA164" s="759">
        <v>10000</v>
      </c>
      <c r="AB164" s="180">
        <v>10200</v>
      </c>
      <c r="AC164" s="181">
        <v>9900</v>
      </c>
      <c r="AD164" s="181">
        <v>12300</v>
      </c>
      <c r="AE164" s="190" t="s">
        <v>80</v>
      </c>
      <c r="AF164" s="78">
        <v>17700</v>
      </c>
      <c r="AG164" s="79">
        <v>0.69491525423728817</v>
      </c>
      <c r="AH164" s="731" t="s">
        <v>97</v>
      </c>
      <c r="AI164" s="244">
        <v>820</v>
      </c>
      <c r="AJ164" s="244">
        <v>950</v>
      </c>
      <c r="AK164" s="754">
        <v>1600</v>
      </c>
      <c r="AL164" s="832">
        <f t="shared" si="2"/>
        <v>2091</v>
      </c>
      <c r="AM164" s="182">
        <v>2</v>
      </c>
    </row>
    <row r="165" spans="1:39" ht="15" thickBot="1" x14ac:dyDescent="0.35">
      <c r="A165" s="88">
        <v>179</v>
      </c>
      <c r="B165" s="88">
        <v>135</v>
      </c>
      <c r="C165" s="245" t="s">
        <v>462</v>
      </c>
      <c r="D165" s="91" t="s">
        <v>466</v>
      </c>
      <c r="E165" s="91" t="s">
        <v>467</v>
      </c>
      <c r="F165" s="801">
        <v>111</v>
      </c>
      <c r="G165" s="801" t="s">
        <v>72</v>
      </c>
      <c r="H165" s="92" t="s">
        <v>73</v>
      </c>
      <c r="I165" s="240">
        <v>0.76</v>
      </c>
      <c r="J165" s="801" t="s">
        <v>158</v>
      </c>
      <c r="K165" s="92" t="s">
        <v>75</v>
      </c>
      <c r="L165" s="841" t="s">
        <v>232</v>
      </c>
      <c r="M165" s="841" t="s">
        <v>232</v>
      </c>
      <c r="N165" s="841" t="s">
        <v>232</v>
      </c>
      <c r="O165" s="841" t="s">
        <v>232</v>
      </c>
      <c r="P165" s="91" t="s">
        <v>420</v>
      </c>
      <c r="Q165" s="91" t="s">
        <v>420</v>
      </c>
      <c r="R165" s="94" t="s">
        <v>374</v>
      </c>
      <c r="S165" s="94" t="s">
        <v>465</v>
      </c>
      <c r="T165" s="827">
        <v>11700</v>
      </c>
      <c r="U165" s="827">
        <v>11100</v>
      </c>
      <c r="V165" s="827">
        <v>11600</v>
      </c>
      <c r="W165" s="828">
        <v>11500</v>
      </c>
      <c r="X165" s="842">
        <v>12500</v>
      </c>
      <c r="Y165" s="842">
        <v>11500</v>
      </c>
      <c r="Z165" s="842">
        <v>11900</v>
      </c>
      <c r="AA165" s="842">
        <v>12600</v>
      </c>
      <c r="AB165" s="146">
        <v>12800</v>
      </c>
      <c r="AC165" s="146">
        <v>12400</v>
      </c>
      <c r="AD165" s="126">
        <v>12900</v>
      </c>
      <c r="AE165" s="246" t="s">
        <v>80</v>
      </c>
      <c r="AF165" s="186">
        <v>17700</v>
      </c>
      <c r="AG165" s="147">
        <v>0.72881355932203384</v>
      </c>
      <c r="AH165" s="736" t="s">
        <v>97</v>
      </c>
      <c r="AI165" s="213">
        <v>840</v>
      </c>
      <c r="AJ165" s="213">
        <v>1030</v>
      </c>
      <c r="AK165" s="750">
        <v>1600</v>
      </c>
      <c r="AL165" s="829">
        <f t="shared" si="2"/>
        <v>9804</v>
      </c>
      <c r="AM165" s="127">
        <v>2</v>
      </c>
    </row>
    <row r="166" spans="1:39" ht="15" thickBot="1" x14ac:dyDescent="0.35">
      <c r="A166" s="202">
        <v>182</v>
      </c>
      <c r="B166" s="202">
        <v>137</v>
      </c>
      <c r="C166" s="247" t="s">
        <v>468</v>
      </c>
      <c r="D166" s="248" t="s">
        <v>469</v>
      </c>
      <c r="E166" s="205" t="s">
        <v>470</v>
      </c>
      <c r="F166" s="805" t="s">
        <v>471</v>
      </c>
      <c r="G166" s="805" t="s">
        <v>72</v>
      </c>
      <c r="H166" s="249" t="s">
        <v>73</v>
      </c>
      <c r="I166" s="207">
        <v>5.44</v>
      </c>
      <c r="J166" s="805" t="s">
        <v>130</v>
      </c>
      <c r="K166" s="249" t="s">
        <v>75</v>
      </c>
      <c r="L166" s="851" t="s">
        <v>261</v>
      </c>
      <c r="M166" s="851" t="s">
        <v>261</v>
      </c>
      <c r="N166" s="851" t="s">
        <v>261</v>
      </c>
      <c r="O166" s="851" t="s">
        <v>261</v>
      </c>
      <c r="P166" s="851" t="s">
        <v>261</v>
      </c>
      <c r="Q166" s="851" t="s">
        <v>261</v>
      </c>
      <c r="R166" s="250" t="s">
        <v>472</v>
      </c>
      <c r="S166" s="206" t="s">
        <v>133</v>
      </c>
      <c r="T166" s="251">
        <v>5600</v>
      </c>
      <c r="U166" s="251">
        <v>6000</v>
      </c>
      <c r="V166" s="251">
        <v>5600</v>
      </c>
      <c r="W166" s="857">
        <v>5300</v>
      </c>
      <c r="X166" s="858">
        <v>7100</v>
      </c>
      <c r="Y166" s="858">
        <v>5900</v>
      </c>
      <c r="Z166" s="858">
        <v>7400</v>
      </c>
      <c r="AA166" s="858">
        <v>7600</v>
      </c>
      <c r="AB166" s="252">
        <v>8100</v>
      </c>
      <c r="AC166" s="253">
        <v>7900</v>
      </c>
      <c r="AD166" s="253">
        <v>7900</v>
      </c>
      <c r="AE166" s="210" t="s">
        <v>97</v>
      </c>
      <c r="AF166" s="171">
        <v>18000</v>
      </c>
      <c r="AG166" s="172">
        <v>0.43888888888888888</v>
      </c>
      <c r="AH166" s="740" t="s">
        <v>1524</v>
      </c>
      <c r="AI166" s="254" t="s">
        <v>81</v>
      </c>
      <c r="AJ166" s="254" t="s">
        <v>81</v>
      </c>
      <c r="AK166" s="755">
        <v>1620</v>
      </c>
      <c r="AL166" s="829">
        <f t="shared" si="2"/>
        <v>42976</v>
      </c>
      <c r="AM166" s="255">
        <v>2</v>
      </c>
    </row>
    <row r="167" spans="1:39" x14ac:dyDescent="0.3">
      <c r="A167" s="103" t="s">
        <v>473</v>
      </c>
      <c r="B167" s="103">
        <v>3042</v>
      </c>
      <c r="C167" s="212" t="s">
        <v>474</v>
      </c>
      <c r="D167" s="150"/>
      <c r="E167" s="177" t="s">
        <v>285</v>
      </c>
      <c r="F167" s="804">
        <v>501</v>
      </c>
      <c r="G167" s="804" t="s">
        <v>72</v>
      </c>
      <c r="H167" s="131" t="s">
        <v>73</v>
      </c>
      <c r="I167" s="178">
        <v>0.28000000000000003</v>
      </c>
      <c r="J167" s="804" t="s">
        <v>130</v>
      </c>
      <c r="K167" s="131" t="s">
        <v>75</v>
      </c>
      <c r="L167" s="843" t="s">
        <v>142</v>
      </c>
      <c r="M167" s="843" t="s">
        <v>142</v>
      </c>
      <c r="N167" s="843" t="s">
        <v>142</v>
      </c>
      <c r="O167" s="843" t="s">
        <v>142</v>
      </c>
      <c r="P167" s="177" t="s">
        <v>143</v>
      </c>
      <c r="Q167" s="256" t="s">
        <v>226</v>
      </c>
      <c r="R167" s="179" t="s">
        <v>144</v>
      </c>
      <c r="S167" s="179" t="s">
        <v>145</v>
      </c>
      <c r="T167" s="825">
        <v>24000</v>
      </c>
      <c r="U167" s="825">
        <v>24000</v>
      </c>
      <c r="V167" s="825">
        <v>26500</v>
      </c>
      <c r="W167" s="836">
        <v>28000</v>
      </c>
      <c r="X167" s="759">
        <v>29000</v>
      </c>
      <c r="Y167" s="759">
        <v>26000</v>
      </c>
      <c r="Z167" s="759">
        <v>28500</v>
      </c>
      <c r="AA167" s="759">
        <v>29000</v>
      </c>
      <c r="AB167" s="180">
        <v>31500</v>
      </c>
      <c r="AC167" s="181">
        <v>30500</v>
      </c>
      <c r="AD167" s="181">
        <v>30500</v>
      </c>
      <c r="AE167" s="190" t="s">
        <v>80</v>
      </c>
      <c r="AF167" s="78">
        <v>59900</v>
      </c>
      <c r="AG167" s="79">
        <v>0.50918196994991649</v>
      </c>
      <c r="AH167" s="731" t="s">
        <v>97</v>
      </c>
      <c r="AI167" s="254" t="s">
        <v>81</v>
      </c>
      <c r="AJ167" s="254" t="s">
        <v>81</v>
      </c>
      <c r="AK167" s="754">
        <v>5390</v>
      </c>
      <c r="AL167" s="832">
        <f t="shared" si="2"/>
        <v>8540</v>
      </c>
      <c r="AM167" s="221">
        <v>6</v>
      </c>
    </row>
    <row r="168" spans="1:39" x14ac:dyDescent="0.3">
      <c r="A168" s="33">
        <v>189</v>
      </c>
      <c r="B168" s="33">
        <v>3041</v>
      </c>
      <c r="C168" s="116" t="s">
        <v>474</v>
      </c>
      <c r="D168" s="191" t="s">
        <v>475</v>
      </c>
      <c r="E168" s="35" t="s">
        <v>476</v>
      </c>
      <c r="F168" s="799">
        <v>5189</v>
      </c>
      <c r="G168" s="799" t="s">
        <v>72</v>
      </c>
      <c r="H168" s="36" t="s">
        <v>73</v>
      </c>
      <c r="I168" s="37">
        <v>1.91</v>
      </c>
      <c r="J168" s="799" t="s">
        <v>130</v>
      </c>
      <c r="K168" s="36" t="s">
        <v>75</v>
      </c>
      <c r="L168" s="837" t="s">
        <v>142</v>
      </c>
      <c r="M168" s="837" t="s">
        <v>142</v>
      </c>
      <c r="N168" s="837" t="s">
        <v>142</v>
      </c>
      <c r="O168" s="837" t="s">
        <v>142</v>
      </c>
      <c r="P168" s="35" t="s">
        <v>143</v>
      </c>
      <c r="Q168" s="35" t="s">
        <v>143</v>
      </c>
      <c r="R168" s="38" t="s">
        <v>144</v>
      </c>
      <c r="S168" s="38" t="s">
        <v>145</v>
      </c>
      <c r="T168" s="833">
        <v>27000</v>
      </c>
      <c r="U168" s="833">
        <v>26500</v>
      </c>
      <c r="V168" s="833">
        <v>28500</v>
      </c>
      <c r="W168" s="820">
        <v>31000</v>
      </c>
      <c r="X168" s="838">
        <v>32000</v>
      </c>
      <c r="Y168" s="838">
        <v>30500</v>
      </c>
      <c r="Z168" s="838">
        <v>30500</v>
      </c>
      <c r="AA168" s="838">
        <v>31500</v>
      </c>
      <c r="AB168" s="123">
        <v>30500</v>
      </c>
      <c r="AC168" s="123">
        <v>29500</v>
      </c>
      <c r="AD168" s="123">
        <v>29500</v>
      </c>
      <c r="AE168" s="36" t="s">
        <v>80</v>
      </c>
      <c r="AF168" s="138">
        <v>39800</v>
      </c>
      <c r="AG168" s="82">
        <v>0.74120603015075381</v>
      </c>
      <c r="AH168" s="734" t="s">
        <v>97</v>
      </c>
      <c r="AI168" s="84" t="s">
        <v>81</v>
      </c>
      <c r="AJ168" s="84" t="s">
        <v>81</v>
      </c>
      <c r="AK168" s="749">
        <v>3580</v>
      </c>
      <c r="AL168" s="832">
        <f t="shared" si="2"/>
        <v>56345</v>
      </c>
      <c r="AM168" s="121">
        <v>4</v>
      </c>
    </row>
    <row r="169" spans="1:39" x14ac:dyDescent="0.3">
      <c r="A169" s="33">
        <v>190</v>
      </c>
      <c r="B169" s="33">
        <v>147</v>
      </c>
      <c r="C169" s="113" t="s">
        <v>474</v>
      </c>
      <c r="D169" s="128" t="s">
        <v>477</v>
      </c>
      <c r="E169" s="51" t="s">
        <v>294</v>
      </c>
      <c r="F169" s="800">
        <v>511</v>
      </c>
      <c r="G169" s="800" t="s">
        <v>72</v>
      </c>
      <c r="H169" s="71" t="s">
        <v>73</v>
      </c>
      <c r="I169" s="72">
        <v>0.68</v>
      </c>
      <c r="J169" s="800" t="s">
        <v>140</v>
      </c>
      <c r="K169" s="71" t="s">
        <v>75</v>
      </c>
      <c r="L169" s="835" t="s">
        <v>142</v>
      </c>
      <c r="M169" s="839" t="s">
        <v>170</v>
      </c>
      <c r="N169" s="835" t="s">
        <v>170</v>
      </c>
      <c r="O169" s="835" t="s">
        <v>170</v>
      </c>
      <c r="P169" s="51" t="s">
        <v>143</v>
      </c>
      <c r="Q169" s="51" t="s">
        <v>143</v>
      </c>
      <c r="R169" s="73" t="s">
        <v>144</v>
      </c>
      <c r="S169" s="73" t="s">
        <v>145</v>
      </c>
      <c r="T169" s="824">
        <v>32000</v>
      </c>
      <c r="U169" s="826">
        <v>33000</v>
      </c>
      <c r="V169" s="825">
        <v>33000</v>
      </c>
      <c r="W169" s="822">
        <v>33000</v>
      </c>
      <c r="X169" s="760">
        <v>34000</v>
      </c>
      <c r="Y169" s="760">
        <v>32000</v>
      </c>
      <c r="Z169" s="760">
        <v>33000</v>
      </c>
      <c r="AA169" s="760">
        <v>33500</v>
      </c>
      <c r="AB169" s="129">
        <v>35500</v>
      </c>
      <c r="AC169" s="115">
        <v>34500</v>
      </c>
      <c r="AD169" s="115">
        <v>34500</v>
      </c>
      <c r="AE169" s="140" t="s">
        <v>80</v>
      </c>
      <c r="AF169" s="78">
        <v>39800</v>
      </c>
      <c r="AG169" s="79">
        <v>0.86683417085427139</v>
      </c>
      <c r="AH169" s="733" t="s">
        <v>97</v>
      </c>
      <c r="AI169" s="87" t="s">
        <v>81</v>
      </c>
      <c r="AJ169" s="87" t="s">
        <v>81</v>
      </c>
      <c r="AK169" s="748">
        <v>3580</v>
      </c>
      <c r="AL169" s="832">
        <f t="shared" si="2"/>
        <v>23460</v>
      </c>
      <c r="AM169" s="122">
        <v>4</v>
      </c>
    </row>
    <row r="170" spans="1:39" ht="15" thickBot="1" x14ac:dyDescent="0.35">
      <c r="A170" s="88">
        <v>191</v>
      </c>
      <c r="B170" s="88">
        <v>148</v>
      </c>
      <c r="C170" s="89" t="s">
        <v>474</v>
      </c>
      <c r="D170" s="145" t="s">
        <v>478</v>
      </c>
      <c r="E170" s="185" t="s">
        <v>479</v>
      </c>
      <c r="F170" s="801">
        <v>502</v>
      </c>
      <c r="G170" s="801" t="s">
        <v>72</v>
      </c>
      <c r="H170" s="92" t="s">
        <v>73</v>
      </c>
      <c r="I170" s="93">
        <v>1.34</v>
      </c>
      <c r="J170" s="801" t="s">
        <v>140</v>
      </c>
      <c r="K170" s="92" t="s">
        <v>75</v>
      </c>
      <c r="L170" s="841" t="s">
        <v>142</v>
      </c>
      <c r="M170" s="841" t="s">
        <v>170</v>
      </c>
      <c r="N170" s="841" t="s">
        <v>170</v>
      </c>
      <c r="O170" s="841" t="s">
        <v>170</v>
      </c>
      <c r="P170" s="91" t="s">
        <v>143</v>
      </c>
      <c r="Q170" s="91" t="s">
        <v>143</v>
      </c>
      <c r="R170" s="94" t="s">
        <v>144</v>
      </c>
      <c r="S170" s="94" t="s">
        <v>145</v>
      </c>
      <c r="T170" s="827">
        <v>23000</v>
      </c>
      <c r="U170" s="827">
        <v>24000</v>
      </c>
      <c r="V170" s="827">
        <v>24500</v>
      </c>
      <c r="W170" s="828">
        <v>25500</v>
      </c>
      <c r="X170" s="842">
        <v>26500</v>
      </c>
      <c r="Y170" s="842">
        <v>27000</v>
      </c>
      <c r="Z170" s="842">
        <v>26500</v>
      </c>
      <c r="AA170" s="842">
        <v>26000</v>
      </c>
      <c r="AB170" s="146">
        <v>24500</v>
      </c>
      <c r="AC170" s="146">
        <v>23500</v>
      </c>
      <c r="AD170" s="146">
        <v>23500</v>
      </c>
      <c r="AE170" s="92" t="s">
        <v>80</v>
      </c>
      <c r="AF170" s="186">
        <v>39800</v>
      </c>
      <c r="AG170" s="147">
        <v>0.59045226130653261</v>
      </c>
      <c r="AH170" s="736" t="s">
        <v>97</v>
      </c>
      <c r="AI170" s="101" t="s">
        <v>81</v>
      </c>
      <c r="AJ170" s="101" t="s">
        <v>81</v>
      </c>
      <c r="AK170" s="750">
        <v>3580</v>
      </c>
      <c r="AL170" s="829">
        <f t="shared" si="2"/>
        <v>31490.000000000004</v>
      </c>
      <c r="AM170" s="127">
        <v>4</v>
      </c>
    </row>
    <row r="171" spans="1:39" x14ac:dyDescent="0.3">
      <c r="A171" s="33">
        <v>197</v>
      </c>
      <c r="B171" s="33">
        <v>3034</v>
      </c>
      <c r="C171" s="153" t="s">
        <v>480</v>
      </c>
      <c r="D171" s="134" t="s">
        <v>481</v>
      </c>
      <c r="E171" s="35" t="s">
        <v>482</v>
      </c>
      <c r="F171" s="799">
        <v>25</v>
      </c>
      <c r="G171" s="799" t="s">
        <v>72</v>
      </c>
      <c r="H171" s="36" t="s">
        <v>73</v>
      </c>
      <c r="I171" s="37">
        <v>4.3899999999999997</v>
      </c>
      <c r="J171" s="799" t="s">
        <v>130</v>
      </c>
      <c r="K171" s="36" t="s">
        <v>104</v>
      </c>
      <c r="L171" s="837" t="s">
        <v>259</v>
      </c>
      <c r="M171" s="837" t="s">
        <v>259</v>
      </c>
      <c r="N171" s="837" t="s">
        <v>259</v>
      </c>
      <c r="O171" s="837" t="s">
        <v>259</v>
      </c>
      <c r="P171" s="837" t="s">
        <v>256</v>
      </c>
      <c r="Q171" s="837" t="s">
        <v>163</v>
      </c>
      <c r="R171" s="38" t="s">
        <v>472</v>
      </c>
      <c r="S171" s="38" t="s">
        <v>483</v>
      </c>
      <c r="T171" s="66">
        <v>16800</v>
      </c>
      <c r="U171" s="66">
        <v>16800</v>
      </c>
      <c r="V171" s="66">
        <v>16800</v>
      </c>
      <c r="W171" s="831">
        <v>17000</v>
      </c>
      <c r="X171" s="838">
        <v>17500</v>
      </c>
      <c r="Y171" s="838">
        <v>18300</v>
      </c>
      <c r="Z171" s="838">
        <v>21500</v>
      </c>
      <c r="AA171" s="838">
        <v>23000</v>
      </c>
      <c r="AB171" s="123">
        <v>24000</v>
      </c>
      <c r="AC171" s="123">
        <v>23000</v>
      </c>
      <c r="AD171" s="123">
        <v>23000</v>
      </c>
      <c r="AE171" s="36" t="s">
        <v>80</v>
      </c>
      <c r="AF171" s="138">
        <v>66200</v>
      </c>
      <c r="AG171" s="82">
        <v>0.34743202416918428</v>
      </c>
      <c r="AH171" s="734" t="s">
        <v>80</v>
      </c>
      <c r="AI171" s="234" t="s">
        <v>81</v>
      </c>
      <c r="AJ171" s="234" t="s">
        <v>81</v>
      </c>
      <c r="AK171" s="749">
        <v>5960</v>
      </c>
      <c r="AL171" s="832">
        <f t="shared" si="2"/>
        <v>100969.99999999999</v>
      </c>
      <c r="AM171" s="49">
        <v>4</v>
      </c>
    </row>
    <row r="172" spans="1:39" x14ac:dyDescent="0.3">
      <c r="A172" s="33"/>
      <c r="B172" s="33">
        <v>151</v>
      </c>
      <c r="C172" s="157" t="s">
        <v>480</v>
      </c>
      <c r="D172" s="128" t="s">
        <v>484</v>
      </c>
      <c r="E172" s="51" t="s">
        <v>485</v>
      </c>
      <c r="F172" s="800">
        <v>437</v>
      </c>
      <c r="G172" s="800" t="s">
        <v>72</v>
      </c>
      <c r="H172" s="71" t="s">
        <v>73</v>
      </c>
      <c r="I172" s="72">
        <v>1.83</v>
      </c>
      <c r="J172" s="800">
        <v>45</v>
      </c>
      <c r="K172" s="71" t="s">
        <v>104</v>
      </c>
      <c r="L172" s="835" t="s">
        <v>256</v>
      </c>
      <c r="M172" s="835" t="s">
        <v>256</v>
      </c>
      <c r="N172" s="835" t="s">
        <v>256</v>
      </c>
      <c r="O172" s="835" t="s">
        <v>256</v>
      </c>
      <c r="P172" s="835" t="s">
        <v>256</v>
      </c>
      <c r="Q172" s="51" t="s">
        <v>143</v>
      </c>
      <c r="R172" s="73" t="s">
        <v>374</v>
      </c>
      <c r="S172" s="73" t="s">
        <v>465</v>
      </c>
      <c r="T172" s="825">
        <v>15100</v>
      </c>
      <c r="U172" s="825">
        <v>15200</v>
      </c>
      <c r="V172" s="826">
        <v>15200</v>
      </c>
      <c r="W172" s="822">
        <v>15400</v>
      </c>
      <c r="X172" s="760">
        <v>15500</v>
      </c>
      <c r="Y172" s="760">
        <v>17300</v>
      </c>
      <c r="Z172" s="760">
        <v>17700</v>
      </c>
      <c r="AA172" s="760">
        <v>19800</v>
      </c>
      <c r="AB172" s="129">
        <v>19900</v>
      </c>
      <c r="AC172" s="115">
        <v>19300</v>
      </c>
      <c r="AD172" s="115">
        <v>20500</v>
      </c>
      <c r="AE172" s="140" t="s">
        <v>80</v>
      </c>
      <c r="AF172" s="78">
        <v>39800</v>
      </c>
      <c r="AG172" s="79">
        <v>0.51507537688442206</v>
      </c>
      <c r="AH172" s="733" t="s">
        <v>97</v>
      </c>
      <c r="AI172" s="194">
        <v>1500</v>
      </c>
      <c r="AJ172" s="194">
        <v>1860</v>
      </c>
      <c r="AK172" s="748">
        <v>3580</v>
      </c>
      <c r="AL172" s="832">
        <f t="shared" si="2"/>
        <v>37515</v>
      </c>
      <c r="AM172" s="63">
        <v>4</v>
      </c>
    </row>
    <row r="173" spans="1:39" x14ac:dyDescent="0.3">
      <c r="A173" s="33"/>
      <c r="B173" s="33">
        <v>150</v>
      </c>
      <c r="C173" s="155" t="s">
        <v>480</v>
      </c>
      <c r="D173" s="134" t="s">
        <v>486</v>
      </c>
      <c r="E173" s="35" t="s">
        <v>487</v>
      </c>
      <c r="F173" s="799">
        <v>321</v>
      </c>
      <c r="G173" s="799" t="s">
        <v>72</v>
      </c>
      <c r="H173" s="36" t="s">
        <v>73</v>
      </c>
      <c r="I173" s="37">
        <v>0.88</v>
      </c>
      <c r="J173" s="799">
        <v>45</v>
      </c>
      <c r="K173" s="36" t="s">
        <v>104</v>
      </c>
      <c r="L173" s="837" t="s">
        <v>256</v>
      </c>
      <c r="M173" s="837" t="s">
        <v>256</v>
      </c>
      <c r="N173" s="837" t="s">
        <v>256</v>
      </c>
      <c r="O173" s="837" t="s">
        <v>256</v>
      </c>
      <c r="P173" s="837" t="s">
        <v>256</v>
      </c>
      <c r="Q173" s="35" t="s">
        <v>143</v>
      </c>
      <c r="R173" s="38" t="s">
        <v>374</v>
      </c>
      <c r="S173" s="38" t="s">
        <v>465</v>
      </c>
      <c r="T173" s="833">
        <v>5900</v>
      </c>
      <c r="U173" s="833">
        <v>6500</v>
      </c>
      <c r="V173" s="833">
        <v>6500</v>
      </c>
      <c r="W173" s="820">
        <v>6600</v>
      </c>
      <c r="X173" s="838">
        <v>7300</v>
      </c>
      <c r="Y173" s="838">
        <v>8600</v>
      </c>
      <c r="Z173" s="838">
        <v>7900</v>
      </c>
      <c r="AA173" s="838">
        <v>8100</v>
      </c>
      <c r="AB173" s="123">
        <v>8600</v>
      </c>
      <c r="AC173" s="123">
        <v>8400</v>
      </c>
      <c r="AD173" s="123">
        <v>8400</v>
      </c>
      <c r="AE173" s="36" t="s">
        <v>80</v>
      </c>
      <c r="AF173" s="138">
        <v>39800</v>
      </c>
      <c r="AG173" s="82">
        <v>0.21105527638190955</v>
      </c>
      <c r="AH173" s="734" t="s">
        <v>97</v>
      </c>
      <c r="AI173" s="84" t="s">
        <v>81</v>
      </c>
      <c r="AJ173" s="84" t="s">
        <v>81</v>
      </c>
      <c r="AK173" s="749">
        <v>3580</v>
      </c>
      <c r="AL173" s="832">
        <f t="shared" si="2"/>
        <v>7392</v>
      </c>
      <c r="AM173" s="121">
        <v>4</v>
      </c>
    </row>
    <row r="174" spans="1:39" ht="15" thickBot="1" x14ac:dyDescent="0.35">
      <c r="A174" s="88"/>
      <c r="B174" s="88">
        <v>149</v>
      </c>
      <c r="C174" s="222" t="s">
        <v>480</v>
      </c>
      <c r="D174" s="165" t="s">
        <v>488</v>
      </c>
      <c r="E174" s="166" t="s">
        <v>489</v>
      </c>
      <c r="F174" s="803">
        <v>1009</v>
      </c>
      <c r="G174" s="803" t="s">
        <v>72</v>
      </c>
      <c r="H174" s="163" t="s">
        <v>73</v>
      </c>
      <c r="I174" s="164">
        <v>10.49</v>
      </c>
      <c r="J174" s="803" t="s">
        <v>130</v>
      </c>
      <c r="K174" s="163" t="s">
        <v>104</v>
      </c>
      <c r="L174" s="845" t="s">
        <v>264</v>
      </c>
      <c r="M174" s="845" t="s">
        <v>264</v>
      </c>
      <c r="N174" s="845" t="s">
        <v>264</v>
      </c>
      <c r="O174" s="845" t="s">
        <v>264</v>
      </c>
      <c r="P174" s="845" t="s">
        <v>264</v>
      </c>
      <c r="Q174" s="845" t="s">
        <v>261</v>
      </c>
      <c r="R174" s="167" t="s">
        <v>472</v>
      </c>
      <c r="S174" s="167" t="s">
        <v>490</v>
      </c>
      <c r="T174" s="846">
        <v>8300</v>
      </c>
      <c r="U174" s="846">
        <v>7700</v>
      </c>
      <c r="V174" s="846">
        <v>9000</v>
      </c>
      <c r="W174" s="847">
        <v>9000</v>
      </c>
      <c r="X174" s="761">
        <v>9400</v>
      </c>
      <c r="Y174" s="761">
        <v>11700</v>
      </c>
      <c r="Z174" s="761">
        <v>12700</v>
      </c>
      <c r="AA174" s="761">
        <v>13200</v>
      </c>
      <c r="AB174" s="168">
        <v>12200</v>
      </c>
      <c r="AC174" s="169">
        <v>11400</v>
      </c>
      <c r="AD174" s="169">
        <v>11400</v>
      </c>
      <c r="AE174" s="233" t="s">
        <v>97</v>
      </c>
      <c r="AF174" s="171">
        <v>18000</v>
      </c>
      <c r="AG174" s="172">
        <v>0.6333333333333333</v>
      </c>
      <c r="AH174" s="737" t="s">
        <v>97</v>
      </c>
      <c r="AI174" s="173" t="s">
        <v>81</v>
      </c>
      <c r="AJ174" s="173" t="s">
        <v>81</v>
      </c>
      <c r="AK174" s="752">
        <v>1620</v>
      </c>
      <c r="AL174" s="829">
        <f t="shared" si="2"/>
        <v>119586</v>
      </c>
      <c r="AM174" s="174">
        <v>2</v>
      </c>
    </row>
    <row r="175" spans="1:39" x14ac:dyDescent="0.3">
      <c r="A175" s="103">
        <v>207</v>
      </c>
      <c r="B175" s="103">
        <v>158</v>
      </c>
      <c r="C175" s="212" t="s">
        <v>491</v>
      </c>
      <c r="D175" s="150" t="s">
        <v>492</v>
      </c>
      <c r="E175" s="189" t="s">
        <v>493</v>
      </c>
      <c r="F175" s="804">
        <v>517</v>
      </c>
      <c r="G175" s="804" t="s">
        <v>72</v>
      </c>
      <c r="H175" s="131" t="s">
        <v>73</v>
      </c>
      <c r="I175" s="178">
        <v>1.07</v>
      </c>
      <c r="J175" s="804" t="s">
        <v>140</v>
      </c>
      <c r="K175" s="131" t="s">
        <v>75</v>
      </c>
      <c r="L175" s="843" t="s">
        <v>225</v>
      </c>
      <c r="M175" s="848" t="s">
        <v>295</v>
      </c>
      <c r="N175" s="843" t="s">
        <v>295</v>
      </c>
      <c r="O175" s="843" t="s">
        <v>295</v>
      </c>
      <c r="P175" s="177" t="s">
        <v>226</v>
      </c>
      <c r="Q175" s="177" t="s">
        <v>226</v>
      </c>
      <c r="R175" s="179" t="s">
        <v>144</v>
      </c>
      <c r="S175" s="179" t="s">
        <v>145</v>
      </c>
      <c r="T175" s="57">
        <v>39500</v>
      </c>
      <c r="U175" s="57">
        <v>38500</v>
      </c>
      <c r="V175" s="57">
        <v>45500</v>
      </c>
      <c r="W175" s="836">
        <v>48000</v>
      </c>
      <c r="X175" s="759">
        <v>46000</v>
      </c>
      <c r="Y175" s="759">
        <v>47500</v>
      </c>
      <c r="Z175" s="759">
        <v>49000</v>
      </c>
      <c r="AA175" s="759">
        <v>52500</v>
      </c>
      <c r="AB175" s="180">
        <v>53500</v>
      </c>
      <c r="AC175" s="181">
        <v>52000</v>
      </c>
      <c r="AD175" s="181">
        <v>52000</v>
      </c>
      <c r="AE175" s="190" t="s">
        <v>80</v>
      </c>
      <c r="AF175" s="78">
        <v>59900</v>
      </c>
      <c r="AG175" s="79">
        <v>0.86811352253756258</v>
      </c>
      <c r="AH175" s="731" t="s">
        <v>97</v>
      </c>
      <c r="AI175" s="254" t="s">
        <v>81</v>
      </c>
      <c r="AJ175" s="254" t="s">
        <v>81</v>
      </c>
      <c r="AK175" s="754">
        <v>5390</v>
      </c>
      <c r="AL175" s="832">
        <f t="shared" si="2"/>
        <v>55640</v>
      </c>
      <c r="AM175" s="182">
        <v>6</v>
      </c>
    </row>
    <row r="176" spans="1:39" x14ac:dyDescent="0.3">
      <c r="A176" s="33">
        <v>208</v>
      </c>
      <c r="B176" s="33">
        <v>159</v>
      </c>
      <c r="C176" s="116" t="s">
        <v>491</v>
      </c>
      <c r="D176" s="134" t="s">
        <v>494</v>
      </c>
      <c r="E176" s="64" t="s">
        <v>401</v>
      </c>
      <c r="F176" s="799">
        <v>1014</v>
      </c>
      <c r="G176" s="799" t="s">
        <v>72</v>
      </c>
      <c r="H176" s="36" t="s">
        <v>73</v>
      </c>
      <c r="I176" s="37">
        <v>1.31</v>
      </c>
      <c r="J176" s="799" t="s">
        <v>205</v>
      </c>
      <c r="K176" s="36" t="s">
        <v>75</v>
      </c>
      <c r="L176" s="837" t="s">
        <v>225</v>
      </c>
      <c r="M176" s="837" t="s">
        <v>295</v>
      </c>
      <c r="N176" s="837" t="s">
        <v>295</v>
      </c>
      <c r="O176" s="837" t="s">
        <v>295</v>
      </c>
      <c r="P176" s="35" t="s">
        <v>226</v>
      </c>
      <c r="Q176" s="35" t="s">
        <v>226</v>
      </c>
      <c r="R176" s="38" t="s">
        <v>144</v>
      </c>
      <c r="S176" s="38" t="s">
        <v>145</v>
      </c>
      <c r="T176" s="66">
        <v>28500</v>
      </c>
      <c r="U176" s="66">
        <v>26500</v>
      </c>
      <c r="V176" s="66">
        <v>28500</v>
      </c>
      <c r="W176" s="820">
        <v>29000</v>
      </c>
      <c r="X176" s="838">
        <v>38500</v>
      </c>
      <c r="Y176" s="838">
        <v>41500</v>
      </c>
      <c r="Z176" s="838">
        <v>42500</v>
      </c>
      <c r="AA176" s="838">
        <v>41000</v>
      </c>
      <c r="AB176" s="123">
        <v>40000</v>
      </c>
      <c r="AC176" s="123">
        <v>39000</v>
      </c>
      <c r="AD176" s="123">
        <v>39000</v>
      </c>
      <c r="AE176" s="36" t="s">
        <v>80</v>
      </c>
      <c r="AF176" s="138">
        <v>59900</v>
      </c>
      <c r="AG176" s="82">
        <v>0.6510851419031719</v>
      </c>
      <c r="AH176" s="734" t="s">
        <v>97</v>
      </c>
      <c r="AI176" s="84" t="s">
        <v>81</v>
      </c>
      <c r="AJ176" s="84" t="s">
        <v>81</v>
      </c>
      <c r="AK176" s="749">
        <v>5390</v>
      </c>
      <c r="AL176" s="832">
        <f t="shared" si="2"/>
        <v>51090</v>
      </c>
      <c r="AM176" s="121">
        <v>6</v>
      </c>
    </row>
    <row r="177" spans="1:39" x14ac:dyDescent="0.3">
      <c r="A177" s="33">
        <v>209</v>
      </c>
      <c r="B177" s="33">
        <v>160</v>
      </c>
      <c r="C177" s="113" t="s">
        <v>491</v>
      </c>
      <c r="D177" s="128" t="s">
        <v>495</v>
      </c>
      <c r="E177" s="70" t="s">
        <v>496</v>
      </c>
      <c r="F177" s="800">
        <v>1015</v>
      </c>
      <c r="G177" s="800" t="s">
        <v>72</v>
      </c>
      <c r="H177" s="71" t="s">
        <v>73</v>
      </c>
      <c r="I177" s="72">
        <v>0.91</v>
      </c>
      <c r="J177" s="800" t="s">
        <v>140</v>
      </c>
      <c r="K177" s="71" t="s">
        <v>75</v>
      </c>
      <c r="L177" s="835" t="s">
        <v>142</v>
      </c>
      <c r="M177" s="835" t="s">
        <v>142</v>
      </c>
      <c r="N177" s="835" t="s">
        <v>142</v>
      </c>
      <c r="O177" s="835" t="s">
        <v>142</v>
      </c>
      <c r="P177" s="51" t="s">
        <v>143</v>
      </c>
      <c r="Q177" s="51" t="s">
        <v>143</v>
      </c>
      <c r="R177" s="73" t="s">
        <v>144</v>
      </c>
      <c r="S177" s="73" t="s">
        <v>145</v>
      </c>
      <c r="T177" s="825">
        <v>27000</v>
      </c>
      <c r="U177" s="825">
        <v>28000</v>
      </c>
      <c r="V177" s="825">
        <v>27500</v>
      </c>
      <c r="W177" s="822">
        <v>29500</v>
      </c>
      <c r="X177" s="760">
        <v>30500</v>
      </c>
      <c r="Y177" s="760">
        <v>31500</v>
      </c>
      <c r="Z177" s="760">
        <v>33000</v>
      </c>
      <c r="AA177" s="760">
        <v>32000</v>
      </c>
      <c r="AB177" s="129">
        <v>33000</v>
      </c>
      <c r="AC177" s="115">
        <v>32000</v>
      </c>
      <c r="AD177" s="115">
        <v>32000</v>
      </c>
      <c r="AE177" s="140" t="s">
        <v>80</v>
      </c>
      <c r="AF177" s="78">
        <v>39800</v>
      </c>
      <c r="AG177" s="79">
        <v>0.8040201005025126</v>
      </c>
      <c r="AH177" s="733" t="s">
        <v>97</v>
      </c>
      <c r="AI177" s="87" t="s">
        <v>81</v>
      </c>
      <c r="AJ177" s="87" t="s">
        <v>81</v>
      </c>
      <c r="AK177" s="748">
        <v>3580</v>
      </c>
      <c r="AL177" s="832">
        <f t="shared" si="2"/>
        <v>29120</v>
      </c>
      <c r="AM177" s="122">
        <v>4</v>
      </c>
    </row>
    <row r="178" spans="1:39" ht="15" thickBot="1" x14ac:dyDescent="0.35">
      <c r="A178" s="88">
        <v>210</v>
      </c>
      <c r="B178" s="88">
        <v>161</v>
      </c>
      <c r="C178" s="89" t="s">
        <v>491</v>
      </c>
      <c r="D178" s="145" t="s">
        <v>497</v>
      </c>
      <c r="E178" s="185" t="s">
        <v>498</v>
      </c>
      <c r="F178" s="801">
        <v>5181</v>
      </c>
      <c r="G178" s="801" t="s">
        <v>72</v>
      </c>
      <c r="H178" s="92" t="s">
        <v>73</v>
      </c>
      <c r="I178" s="93">
        <v>0.71</v>
      </c>
      <c r="J178" s="801" t="s">
        <v>140</v>
      </c>
      <c r="K178" s="92" t="s">
        <v>75</v>
      </c>
      <c r="L178" s="841" t="s">
        <v>142</v>
      </c>
      <c r="M178" s="841" t="s">
        <v>142</v>
      </c>
      <c r="N178" s="841" t="s">
        <v>142</v>
      </c>
      <c r="O178" s="841" t="s">
        <v>142</v>
      </c>
      <c r="P178" s="91" t="s">
        <v>143</v>
      </c>
      <c r="Q178" s="91" t="s">
        <v>143</v>
      </c>
      <c r="R178" s="94" t="s">
        <v>144</v>
      </c>
      <c r="S178" s="94" t="s">
        <v>145</v>
      </c>
      <c r="T178" s="827">
        <v>25000</v>
      </c>
      <c r="U178" s="827">
        <v>25500</v>
      </c>
      <c r="V178" s="827">
        <v>25000</v>
      </c>
      <c r="W178" s="828">
        <v>26000</v>
      </c>
      <c r="X178" s="842">
        <v>27000</v>
      </c>
      <c r="Y178" s="842">
        <v>27500</v>
      </c>
      <c r="Z178" s="842">
        <v>28500</v>
      </c>
      <c r="AA178" s="842">
        <v>28500</v>
      </c>
      <c r="AB178" s="146">
        <v>26500</v>
      </c>
      <c r="AC178" s="146">
        <v>25500</v>
      </c>
      <c r="AD178" s="146">
        <v>25500</v>
      </c>
      <c r="AE178" s="97" t="s">
        <v>80</v>
      </c>
      <c r="AF178" s="186">
        <v>39800</v>
      </c>
      <c r="AG178" s="147">
        <v>0.64070351758793975</v>
      </c>
      <c r="AH178" s="736" t="s">
        <v>97</v>
      </c>
      <c r="AI178" s="101" t="s">
        <v>81</v>
      </c>
      <c r="AJ178" s="101" t="s">
        <v>81</v>
      </c>
      <c r="AK178" s="750">
        <v>3580</v>
      </c>
      <c r="AL178" s="829">
        <f t="shared" si="2"/>
        <v>18105</v>
      </c>
      <c r="AM178" s="127">
        <v>4</v>
      </c>
    </row>
    <row r="179" spans="1:39" x14ac:dyDescent="0.3">
      <c r="A179" s="103">
        <v>212</v>
      </c>
      <c r="B179" s="103">
        <v>164</v>
      </c>
      <c r="C179" s="187" t="s">
        <v>499</v>
      </c>
      <c r="D179" s="150" t="s">
        <v>500</v>
      </c>
      <c r="E179" s="177" t="s">
        <v>294</v>
      </c>
      <c r="F179" s="804">
        <v>5197</v>
      </c>
      <c r="G179" s="804" t="s">
        <v>72</v>
      </c>
      <c r="H179" s="131" t="s">
        <v>73</v>
      </c>
      <c r="I179" s="178">
        <v>0.99</v>
      </c>
      <c r="J179" s="804" t="s">
        <v>154</v>
      </c>
      <c r="K179" s="131" t="s">
        <v>75</v>
      </c>
      <c r="L179" s="843" t="s">
        <v>501</v>
      </c>
      <c r="M179" s="848" t="s">
        <v>502</v>
      </c>
      <c r="N179" s="843" t="s">
        <v>502</v>
      </c>
      <c r="O179" s="843" t="s">
        <v>502</v>
      </c>
      <c r="P179" s="177" t="s">
        <v>503</v>
      </c>
      <c r="Q179" s="177" t="s">
        <v>503</v>
      </c>
      <c r="R179" s="179" t="s">
        <v>374</v>
      </c>
      <c r="S179" s="179" t="s">
        <v>465</v>
      </c>
      <c r="T179" s="825">
        <v>18200</v>
      </c>
      <c r="U179" s="825">
        <v>17800</v>
      </c>
      <c r="V179" s="825">
        <v>18200</v>
      </c>
      <c r="W179" s="836">
        <v>18500</v>
      </c>
      <c r="X179" s="759">
        <v>19000</v>
      </c>
      <c r="Y179" s="759">
        <v>20600</v>
      </c>
      <c r="Z179" s="832">
        <v>22000</v>
      </c>
      <c r="AA179" s="759">
        <v>21500</v>
      </c>
      <c r="AB179" s="180">
        <v>21500</v>
      </c>
      <c r="AC179" s="181">
        <v>20700</v>
      </c>
      <c r="AD179" s="181">
        <v>19600</v>
      </c>
      <c r="AE179" s="86" t="s">
        <v>80</v>
      </c>
      <c r="AF179" s="78">
        <v>24300</v>
      </c>
      <c r="AG179" s="79">
        <v>0.80658436213991769</v>
      </c>
      <c r="AH179" s="731" t="s">
        <v>80</v>
      </c>
      <c r="AI179" s="754">
        <v>1330</v>
      </c>
      <c r="AJ179" s="754">
        <v>1480</v>
      </c>
      <c r="AK179" s="754">
        <v>2190</v>
      </c>
      <c r="AL179" s="832">
        <f t="shared" si="2"/>
        <v>19404</v>
      </c>
      <c r="AM179" s="182">
        <v>4</v>
      </c>
    </row>
    <row r="180" spans="1:39" x14ac:dyDescent="0.3">
      <c r="A180" s="33">
        <v>212</v>
      </c>
      <c r="B180" s="33">
        <v>164</v>
      </c>
      <c r="C180" s="155" t="s">
        <v>499</v>
      </c>
      <c r="D180" s="134" t="s">
        <v>500</v>
      </c>
      <c r="E180" s="133" t="s">
        <v>479</v>
      </c>
      <c r="F180" s="799">
        <v>5197</v>
      </c>
      <c r="G180" s="799" t="s">
        <v>72</v>
      </c>
      <c r="H180" s="36" t="s">
        <v>73</v>
      </c>
      <c r="I180" s="37">
        <v>1.08</v>
      </c>
      <c r="J180" s="799" t="s">
        <v>154</v>
      </c>
      <c r="K180" s="36" t="s">
        <v>75</v>
      </c>
      <c r="L180" s="837" t="s">
        <v>501</v>
      </c>
      <c r="M180" s="837" t="s">
        <v>502</v>
      </c>
      <c r="N180" s="837" t="s">
        <v>502</v>
      </c>
      <c r="O180" s="837" t="s">
        <v>502</v>
      </c>
      <c r="P180" s="35" t="s">
        <v>503</v>
      </c>
      <c r="Q180" s="35" t="s">
        <v>503</v>
      </c>
      <c r="R180" s="38" t="s">
        <v>374</v>
      </c>
      <c r="S180" s="38" t="s">
        <v>465</v>
      </c>
      <c r="T180" s="833">
        <v>18200</v>
      </c>
      <c r="U180" s="833">
        <v>17800</v>
      </c>
      <c r="V180" s="833">
        <v>18200</v>
      </c>
      <c r="W180" s="820">
        <f>W179</f>
        <v>18500</v>
      </c>
      <c r="X180" s="838">
        <f>X179</f>
        <v>19000</v>
      </c>
      <c r="Y180" s="838">
        <v>20600</v>
      </c>
      <c r="Z180" s="819">
        <v>22000</v>
      </c>
      <c r="AA180" s="838">
        <v>21500</v>
      </c>
      <c r="AB180" s="123">
        <v>21500</v>
      </c>
      <c r="AC180" s="123">
        <f>AC179</f>
        <v>20700</v>
      </c>
      <c r="AD180" s="120">
        <v>19600</v>
      </c>
      <c r="AE180" s="36" t="s">
        <v>80</v>
      </c>
      <c r="AF180" s="81">
        <v>24300</v>
      </c>
      <c r="AG180" s="82">
        <v>0.80658436213991769</v>
      </c>
      <c r="AH180" s="739" t="s">
        <v>80</v>
      </c>
      <c r="AI180" s="749">
        <v>1330</v>
      </c>
      <c r="AJ180" s="749">
        <v>1480</v>
      </c>
      <c r="AK180" s="749">
        <v>2190</v>
      </c>
      <c r="AL180" s="832">
        <f t="shared" si="2"/>
        <v>21168</v>
      </c>
      <c r="AM180" s="121">
        <v>4</v>
      </c>
    </row>
    <row r="181" spans="1:39" x14ac:dyDescent="0.3">
      <c r="A181" s="33">
        <v>212</v>
      </c>
      <c r="B181" s="33">
        <v>164</v>
      </c>
      <c r="C181" s="157" t="s">
        <v>499</v>
      </c>
      <c r="D181" s="128" t="s">
        <v>500</v>
      </c>
      <c r="E181" s="139" t="s">
        <v>301</v>
      </c>
      <c r="F181" s="800">
        <v>5197</v>
      </c>
      <c r="G181" s="800" t="s">
        <v>72</v>
      </c>
      <c r="H181" s="71" t="s">
        <v>73</v>
      </c>
      <c r="I181" s="72">
        <v>0.3</v>
      </c>
      <c r="J181" s="800" t="s">
        <v>154</v>
      </c>
      <c r="K181" s="71" t="s">
        <v>75</v>
      </c>
      <c r="L181" s="835" t="s">
        <v>501</v>
      </c>
      <c r="M181" s="839" t="s">
        <v>170</v>
      </c>
      <c r="N181" s="835" t="s">
        <v>170</v>
      </c>
      <c r="O181" s="835" t="s">
        <v>170</v>
      </c>
      <c r="P181" s="51" t="s">
        <v>155</v>
      </c>
      <c r="Q181" s="51" t="s">
        <v>155</v>
      </c>
      <c r="R181" s="73" t="s">
        <v>374</v>
      </c>
      <c r="S181" s="73" t="s">
        <v>465</v>
      </c>
      <c r="T181" s="825">
        <v>18200</v>
      </c>
      <c r="U181" s="825">
        <v>17800</v>
      </c>
      <c r="V181" s="825">
        <v>18200</v>
      </c>
      <c r="W181" s="822">
        <f>W179</f>
        <v>18500</v>
      </c>
      <c r="X181" s="760">
        <f>X179</f>
        <v>19000</v>
      </c>
      <c r="Y181" s="760">
        <v>20600</v>
      </c>
      <c r="Z181" s="760">
        <v>22000</v>
      </c>
      <c r="AA181" s="760">
        <v>21500</v>
      </c>
      <c r="AB181" s="129">
        <v>21500</v>
      </c>
      <c r="AC181" s="115">
        <f>AC179</f>
        <v>20700</v>
      </c>
      <c r="AD181" s="115">
        <v>19600</v>
      </c>
      <c r="AE181" s="140" t="s">
        <v>80</v>
      </c>
      <c r="AF181" s="78">
        <v>32400</v>
      </c>
      <c r="AG181" s="79">
        <v>0.60493827160493829</v>
      </c>
      <c r="AH181" s="731" t="s">
        <v>80</v>
      </c>
      <c r="AI181" s="748">
        <v>1330</v>
      </c>
      <c r="AJ181" s="748">
        <v>1480</v>
      </c>
      <c r="AK181" s="748">
        <v>2920</v>
      </c>
      <c r="AL181" s="832">
        <f t="shared" si="2"/>
        <v>5880</v>
      </c>
      <c r="AM181" s="122">
        <v>4</v>
      </c>
    </row>
    <row r="182" spans="1:39" x14ac:dyDescent="0.3">
      <c r="A182" s="33">
        <v>213</v>
      </c>
      <c r="B182" s="33">
        <v>165</v>
      </c>
      <c r="C182" s="116" t="s">
        <v>504</v>
      </c>
      <c r="D182" s="134" t="s">
        <v>505</v>
      </c>
      <c r="E182" s="133" t="s">
        <v>506</v>
      </c>
      <c r="F182" s="49" t="s">
        <v>507</v>
      </c>
      <c r="G182" s="799" t="s">
        <v>72</v>
      </c>
      <c r="H182" s="36" t="s">
        <v>73</v>
      </c>
      <c r="I182" s="37">
        <v>0.7</v>
      </c>
      <c r="J182" s="799" t="s">
        <v>158</v>
      </c>
      <c r="K182" s="36" t="s">
        <v>75</v>
      </c>
      <c r="L182" s="837" t="s">
        <v>508</v>
      </c>
      <c r="M182" s="837" t="s">
        <v>508</v>
      </c>
      <c r="N182" s="837" t="s">
        <v>508</v>
      </c>
      <c r="O182" s="837" t="s">
        <v>508</v>
      </c>
      <c r="P182" s="35" t="s">
        <v>509</v>
      </c>
      <c r="Q182" s="35" t="s">
        <v>509</v>
      </c>
      <c r="R182" s="38" t="s">
        <v>374</v>
      </c>
      <c r="S182" s="38" t="s">
        <v>465</v>
      </c>
      <c r="T182" s="844">
        <v>5500</v>
      </c>
      <c r="U182" s="844">
        <v>5300</v>
      </c>
      <c r="V182" s="833">
        <v>5600</v>
      </c>
      <c r="W182" s="820">
        <v>5900</v>
      </c>
      <c r="X182" s="838">
        <v>6400</v>
      </c>
      <c r="Y182" s="838">
        <v>7200</v>
      </c>
      <c r="Z182" s="838">
        <v>6500</v>
      </c>
      <c r="AA182" s="838">
        <v>7500</v>
      </c>
      <c r="AB182" s="123">
        <v>11000</v>
      </c>
      <c r="AC182" s="123">
        <v>9200</v>
      </c>
      <c r="AD182" s="123">
        <v>9200</v>
      </c>
      <c r="AE182" s="36" t="s">
        <v>80</v>
      </c>
      <c r="AF182" s="81">
        <v>23880</v>
      </c>
      <c r="AG182" s="82">
        <v>0.38525963149078729</v>
      </c>
      <c r="AH182" s="734" t="s">
        <v>97</v>
      </c>
      <c r="AI182" s="84" t="s">
        <v>81</v>
      </c>
      <c r="AJ182" s="84" t="s">
        <v>81</v>
      </c>
      <c r="AK182" s="749">
        <v>2150</v>
      </c>
      <c r="AL182" s="832">
        <f t="shared" si="2"/>
        <v>6440</v>
      </c>
      <c r="AM182" s="121">
        <v>2</v>
      </c>
    </row>
    <row r="183" spans="1:39" x14ac:dyDescent="0.3">
      <c r="A183" s="33">
        <v>217</v>
      </c>
      <c r="B183" s="33">
        <v>169</v>
      </c>
      <c r="C183" s="113" t="s">
        <v>504</v>
      </c>
      <c r="D183" s="128" t="s">
        <v>510</v>
      </c>
      <c r="E183" s="139" t="s">
        <v>511</v>
      </c>
      <c r="F183" s="800">
        <v>5195</v>
      </c>
      <c r="G183" s="800" t="s">
        <v>72</v>
      </c>
      <c r="H183" s="71" t="s">
        <v>73</v>
      </c>
      <c r="I183" s="72">
        <v>0.28000000000000003</v>
      </c>
      <c r="J183" s="800" t="s">
        <v>158</v>
      </c>
      <c r="K183" s="71" t="s">
        <v>75</v>
      </c>
      <c r="L183" s="835" t="s">
        <v>508</v>
      </c>
      <c r="M183" s="835" t="s">
        <v>508</v>
      </c>
      <c r="N183" s="835" t="s">
        <v>508</v>
      </c>
      <c r="O183" s="835" t="s">
        <v>508</v>
      </c>
      <c r="P183" s="51" t="s">
        <v>509</v>
      </c>
      <c r="Q183" s="51" t="s">
        <v>509</v>
      </c>
      <c r="R183" s="73" t="s">
        <v>374</v>
      </c>
      <c r="S183" s="73" t="s">
        <v>465</v>
      </c>
      <c r="T183" s="825">
        <v>4700</v>
      </c>
      <c r="U183" s="825">
        <v>3600</v>
      </c>
      <c r="V183" s="825">
        <v>4100</v>
      </c>
      <c r="W183" s="822">
        <v>4200</v>
      </c>
      <c r="X183" s="760">
        <v>4400</v>
      </c>
      <c r="Y183" s="760">
        <v>4600</v>
      </c>
      <c r="Z183" s="760">
        <v>5400</v>
      </c>
      <c r="AA183" s="760">
        <v>6000</v>
      </c>
      <c r="AB183" s="129">
        <v>4900</v>
      </c>
      <c r="AC183" s="115">
        <v>4800</v>
      </c>
      <c r="AD183" s="115">
        <v>4800</v>
      </c>
      <c r="AE183" s="140" t="s">
        <v>80</v>
      </c>
      <c r="AF183" s="78">
        <v>23880</v>
      </c>
      <c r="AG183" s="79">
        <v>0.20100502512562815</v>
      </c>
      <c r="AH183" s="733" t="s">
        <v>97</v>
      </c>
      <c r="AI183" s="87" t="s">
        <v>81</v>
      </c>
      <c r="AJ183" s="87" t="s">
        <v>81</v>
      </c>
      <c r="AK183" s="748">
        <v>2150</v>
      </c>
      <c r="AL183" s="832">
        <f t="shared" si="2"/>
        <v>1344.0000000000002</v>
      </c>
      <c r="AM183" s="122">
        <v>2</v>
      </c>
    </row>
    <row r="184" spans="1:39" x14ac:dyDescent="0.3">
      <c r="A184" s="33">
        <v>214</v>
      </c>
      <c r="B184" s="33">
        <v>166</v>
      </c>
      <c r="C184" s="155" t="s">
        <v>512</v>
      </c>
      <c r="D184" s="134" t="s">
        <v>505</v>
      </c>
      <c r="E184" s="133" t="s">
        <v>506</v>
      </c>
      <c r="F184" s="799" t="s">
        <v>513</v>
      </c>
      <c r="G184" s="799" t="s">
        <v>72</v>
      </c>
      <c r="H184" s="36" t="s">
        <v>73</v>
      </c>
      <c r="I184" s="37">
        <v>1.01</v>
      </c>
      <c r="J184" s="799" t="s">
        <v>158</v>
      </c>
      <c r="K184" s="36" t="s">
        <v>75</v>
      </c>
      <c r="L184" s="837" t="s">
        <v>508</v>
      </c>
      <c r="M184" s="837" t="s">
        <v>508</v>
      </c>
      <c r="N184" s="837" t="s">
        <v>508</v>
      </c>
      <c r="O184" s="837" t="s">
        <v>508</v>
      </c>
      <c r="P184" s="35" t="s">
        <v>509</v>
      </c>
      <c r="Q184" s="35" t="s">
        <v>509</v>
      </c>
      <c r="R184" s="38" t="s">
        <v>374</v>
      </c>
      <c r="S184" s="38" t="s">
        <v>465</v>
      </c>
      <c r="T184" s="833">
        <v>8100</v>
      </c>
      <c r="U184" s="833">
        <v>7100</v>
      </c>
      <c r="V184" s="833">
        <v>7200</v>
      </c>
      <c r="W184" s="820">
        <v>6400</v>
      </c>
      <c r="X184" s="838">
        <v>6600</v>
      </c>
      <c r="Y184" s="118" t="s">
        <v>81</v>
      </c>
      <c r="Z184" s="118" t="s">
        <v>81</v>
      </c>
      <c r="AA184" s="118" t="s">
        <v>81</v>
      </c>
      <c r="AB184" s="119">
        <v>11500</v>
      </c>
      <c r="AC184" s="119">
        <v>9900</v>
      </c>
      <c r="AD184" s="119">
        <v>9900</v>
      </c>
      <c r="AE184" s="36" t="s">
        <v>80</v>
      </c>
      <c r="AF184" s="81">
        <v>23880</v>
      </c>
      <c r="AG184" s="82">
        <v>0.41457286432160806</v>
      </c>
      <c r="AH184" s="734" t="s">
        <v>97</v>
      </c>
      <c r="AI184" s="84" t="s">
        <v>81</v>
      </c>
      <c r="AJ184" s="84" t="s">
        <v>81</v>
      </c>
      <c r="AK184" s="749">
        <v>2150</v>
      </c>
      <c r="AL184" s="832">
        <f t="shared" si="2"/>
        <v>9999</v>
      </c>
      <c r="AM184" s="121">
        <v>2</v>
      </c>
    </row>
    <row r="185" spans="1:39" ht="15" thickBot="1" x14ac:dyDescent="0.35">
      <c r="A185" s="88">
        <v>218</v>
      </c>
      <c r="B185" s="88">
        <v>170</v>
      </c>
      <c r="C185" s="222" t="s">
        <v>512</v>
      </c>
      <c r="D185" s="165" t="s">
        <v>514</v>
      </c>
      <c r="E185" s="257" t="s">
        <v>511</v>
      </c>
      <c r="F185" s="803">
        <v>5191</v>
      </c>
      <c r="G185" s="803" t="s">
        <v>72</v>
      </c>
      <c r="H185" s="163" t="s">
        <v>73</v>
      </c>
      <c r="I185" s="164">
        <v>0.28999999999999998</v>
      </c>
      <c r="J185" s="803" t="s">
        <v>237</v>
      </c>
      <c r="K185" s="163" t="s">
        <v>75</v>
      </c>
      <c r="L185" s="845" t="s">
        <v>508</v>
      </c>
      <c r="M185" s="845" t="s">
        <v>508</v>
      </c>
      <c r="N185" s="845" t="s">
        <v>508</v>
      </c>
      <c r="O185" s="845" t="s">
        <v>508</v>
      </c>
      <c r="P185" s="166" t="s">
        <v>515</v>
      </c>
      <c r="Q185" s="166" t="s">
        <v>515</v>
      </c>
      <c r="R185" s="167" t="s">
        <v>374</v>
      </c>
      <c r="S185" s="167" t="s">
        <v>465</v>
      </c>
      <c r="T185" s="846">
        <v>5300</v>
      </c>
      <c r="U185" s="846">
        <v>4300</v>
      </c>
      <c r="V185" s="846">
        <v>4900</v>
      </c>
      <c r="W185" s="847">
        <v>4900</v>
      </c>
      <c r="X185" s="761">
        <v>5100</v>
      </c>
      <c r="Y185" s="761">
        <v>5800</v>
      </c>
      <c r="Z185" s="761">
        <v>6400</v>
      </c>
      <c r="AA185" s="761">
        <v>7000</v>
      </c>
      <c r="AB185" s="168">
        <v>6000</v>
      </c>
      <c r="AC185" s="169">
        <v>5800</v>
      </c>
      <c r="AD185" s="169">
        <v>5800</v>
      </c>
      <c r="AE185" s="233" t="s">
        <v>80</v>
      </c>
      <c r="AF185" s="171">
        <v>19440</v>
      </c>
      <c r="AG185" s="172">
        <v>0.29835390946502055</v>
      </c>
      <c r="AH185" s="737" t="s">
        <v>97</v>
      </c>
      <c r="AI185" s="173" t="s">
        <v>81</v>
      </c>
      <c r="AJ185" s="173" t="s">
        <v>81</v>
      </c>
      <c r="AK185" s="752">
        <v>1750</v>
      </c>
      <c r="AL185" s="829">
        <f t="shared" si="2"/>
        <v>1681.9999999999998</v>
      </c>
      <c r="AM185" s="174">
        <v>2</v>
      </c>
    </row>
    <row r="186" spans="1:39" x14ac:dyDescent="0.3">
      <c r="A186" s="103">
        <v>221</v>
      </c>
      <c r="B186" s="103">
        <v>172</v>
      </c>
      <c r="C186" s="212" t="s">
        <v>516</v>
      </c>
      <c r="D186" s="150" t="s">
        <v>517</v>
      </c>
      <c r="E186" s="189" t="s">
        <v>518</v>
      </c>
      <c r="F186" s="804">
        <v>5188</v>
      </c>
      <c r="G186" s="804" t="s">
        <v>72</v>
      </c>
      <c r="H186" s="131" t="s">
        <v>73</v>
      </c>
      <c r="I186" s="178">
        <v>2.42</v>
      </c>
      <c r="J186" s="804" t="s">
        <v>158</v>
      </c>
      <c r="K186" s="131" t="s">
        <v>104</v>
      </c>
      <c r="L186" s="843" t="s">
        <v>232</v>
      </c>
      <c r="M186" s="843" t="s">
        <v>232</v>
      </c>
      <c r="N186" s="843" t="s">
        <v>232</v>
      </c>
      <c r="O186" s="843" t="s">
        <v>232</v>
      </c>
      <c r="P186" s="177" t="s">
        <v>420</v>
      </c>
      <c r="Q186" s="177" t="s">
        <v>420</v>
      </c>
      <c r="R186" s="179" t="s">
        <v>374</v>
      </c>
      <c r="S186" s="179" t="s">
        <v>465</v>
      </c>
      <c r="T186" s="825">
        <v>5600</v>
      </c>
      <c r="U186" s="825">
        <v>5300</v>
      </c>
      <c r="V186" s="826">
        <v>5400</v>
      </c>
      <c r="W186" s="836">
        <v>5600</v>
      </c>
      <c r="X186" s="759">
        <v>5400</v>
      </c>
      <c r="Y186" s="759">
        <v>5600</v>
      </c>
      <c r="Z186" s="759">
        <v>5900</v>
      </c>
      <c r="AA186" s="759">
        <v>5700</v>
      </c>
      <c r="AB186" s="181">
        <v>6000</v>
      </c>
      <c r="AC186" s="181">
        <v>5800</v>
      </c>
      <c r="AD186" s="181">
        <v>5800</v>
      </c>
      <c r="AE186" s="190" t="s">
        <v>80</v>
      </c>
      <c r="AF186" s="78">
        <v>17700</v>
      </c>
      <c r="AG186" s="79">
        <v>0.32768361581920902</v>
      </c>
      <c r="AH186" s="731" t="s">
        <v>97</v>
      </c>
      <c r="AI186" s="254" t="s">
        <v>81</v>
      </c>
      <c r="AJ186" s="254" t="s">
        <v>81</v>
      </c>
      <c r="AK186" s="754">
        <v>1600</v>
      </c>
      <c r="AL186" s="832">
        <f t="shared" si="2"/>
        <v>14036</v>
      </c>
      <c r="AM186" s="182">
        <v>2</v>
      </c>
    </row>
    <row r="187" spans="1:39" x14ac:dyDescent="0.3">
      <c r="A187" s="33">
        <v>220</v>
      </c>
      <c r="B187" s="33">
        <v>171</v>
      </c>
      <c r="C187" s="116" t="s">
        <v>516</v>
      </c>
      <c r="D187" s="191" t="s">
        <v>519</v>
      </c>
      <c r="E187" s="64" t="s">
        <v>315</v>
      </c>
      <c r="F187" s="799">
        <v>5187</v>
      </c>
      <c r="G187" s="799" t="s">
        <v>72</v>
      </c>
      <c r="H187" s="36" t="s">
        <v>73</v>
      </c>
      <c r="I187" s="37">
        <v>2.34</v>
      </c>
      <c r="J187" s="799" t="s">
        <v>154</v>
      </c>
      <c r="K187" s="36" t="s">
        <v>104</v>
      </c>
      <c r="L187" s="837" t="s">
        <v>232</v>
      </c>
      <c r="M187" s="837" t="s">
        <v>232</v>
      </c>
      <c r="N187" s="837" t="s">
        <v>232</v>
      </c>
      <c r="O187" s="837" t="s">
        <v>232</v>
      </c>
      <c r="P187" s="35" t="s">
        <v>420</v>
      </c>
      <c r="Q187" s="35" t="s">
        <v>420</v>
      </c>
      <c r="R187" s="38" t="s">
        <v>374</v>
      </c>
      <c r="S187" s="38" t="s">
        <v>465</v>
      </c>
      <c r="T187" s="833">
        <v>8700</v>
      </c>
      <c r="U187" s="833">
        <v>9400</v>
      </c>
      <c r="V187" s="833">
        <v>9300</v>
      </c>
      <c r="W187" s="820">
        <f>W188</f>
        <v>8300</v>
      </c>
      <c r="X187" s="838">
        <f>X188</f>
        <v>8700</v>
      </c>
      <c r="Y187" s="838">
        <v>9000</v>
      </c>
      <c r="Z187" s="838">
        <v>8800</v>
      </c>
      <c r="AA187" s="838">
        <v>8800</v>
      </c>
      <c r="AB187" s="123">
        <v>9000</v>
      </c>
      <c r="AC187" s="123">
        <v>8400</v>
      </c>
      <c r="AD187" s="123">
        <v>8400</v>
      </c>
      <c r="AE187" s="36" t="s">
        <v>80</v>
      </c>
      <c r="AF187" s="138">
        <v>17700</v>
      </c>
      <c r="AG187" s="82">
        <v>0.47457627118644069</v>
      </c>
      <c r="AH187" s="734" t="s">
        <v>97</v>
      </c>
      <c r="AI187" s="84" t="s">
        <v>81</v>
      </c>
      <c r="AJ187" s="84" t="s">
        <v>81</v>
      </c>
      <c r="AK187" s="749">
        <v>1600</v>
      </c>
      <c r="AL187" s="832">
        <f t="shared" si="2"/>
        <v>19656</v>
      </c>
      <c r="AM187" s="121">
        <v>2</v>
      </c>
    </row>
    <row r="188" spans="1:39" ht="15" thickBot="1" x14ac:dyDescent="0.35">
      <c r="A188" s="88">
        <v>220</v>
      </c>
      <c r="B188" s="88">
        <v>171</v>
      </c>
      <c r="C188" s="214" t="s">
        <v>516</v>
      </c>
      <c r="D188" s="258" t="s">
        <v>519</v>
      </c>
      <c r="E188" s="162" t="s">
        <v>317</v>
      </c>
      <c r="F188" s="803">
        <v>5187</v>
      </c>
      <c r="G188" s="803" t="s">
        <v>72</v>
      </c>
      <c r="H188" s="163" t="s">
        <v>73</v>
      </c>
      <c r="I188" s="164">
        <v>0.65</v>
      </c>
      <c r="J188" s="803" t="s">
        <v>154</v>
      </c>
      <c r="K188" s="163" t="s">
        <v>104</v>
      </c>
      <c r="L188" s="845" t="s">
        <v>232</v>
      </c>
      <c r="M188" s="845" t="s">
        <v>232</v>
      </c>
      <c r="N188" s="845" t="s">
        <v>232</v>
      </c>
      <c r="O188" s="845" t="s">
        <v>232</v>
      </c>
      <c r="P188" s="166" t="s">
        <v>420</v>
      </c>
      <c r="Q188" s="166" t="s">
        <v>420</v>
      </c>
      <c r="R188" s="167" t="s">
        <v>374</v>
      </c>
      <c r="S188" s="167" t="s">
        <v>465</v>
      </c>
      <c r="T188" s="846">
        <v>8700</v>
      </c>
      <c r="U188" s="846">
        <v>9400</v>
      </c>
      <c r="V188" s="852">
        <v>9300</v>
      </c>
      <c r="W188" s="847">
        <v>8300</v>
      </c>
      <c r="X188" s="761">
        <v>8700</v>
      </c>
      <c r="Y188" s="761">
        <v>9000</v>
      </c>
      <c r="Z188" s="761">
        <v>8800</v>
      </c>
      <c r="AA188" s="761">
        <v>8800</v>
      </c>
      <c r="AB188" s="169">
        <v>9000</v>
      </c>
      <c r="AC188" s="169">
        <f>AC187</f>
        <v>8400</v>
      </c>
      <c r="AD188" s="115">
        <v>8400</v>
      </c>
      <c r="AE188" s="233" t="s">
        <v>80</v>
      </c>
      <c r="AF188" s="171">
        <v>17700</v>
      </c>
      <c r="AG188" s="172">
        <v>0.47457627118644069</v>
      </c>
      <c r="AH188" s="737" t="s">
        <v>97</v>
      </c>
      <c r="AI188" s="173" t="s">
        <v>81</v>
      </c>
      <c r="AJ188" s="173" t="s">
        <v>81</v>
      </c>
      <c r="AK188" s="752">
        <v>1600</v>
      </c>
      <c r="AL188" s="829">
        <f t="shared" si="2"/>
        <v>5460</v>
      </c>
      <c r="AM188" s="174">
        <v>2</v>
      </c>
    </row>
    <row r="189" spans="1:39" x14ac:dyDescent="0.3">
      <c r="A189" s="103">
        <v>223</v>
      </c>
      <c r="B189" s="103">
        <v>175</v>
      </c>
      <c r="C189" s="187" t="s">
        <v>520</v>
      </c>
      <c r="D189" s="188" t="s">
        <v>521</v>
      </c>
      <c r="E189" s="189" t="s">
        <v>522</v>
      </c>
      <c r="F189" s="804">
        <v>170</v>
      </c>
      <c r="G189" s="804" t="s">
        <v>72</v>
      </c>
      <c r="H189" s="131" t="s">
        <v>73</v>
      </c>
      <c r="I189" s="259">
        <v>2.09</v>
      </c>
      <c r="J189" s="804" t="s">
        <v>130</v>
      </c>
      <c r="K189" s="131" t="s">
        <v>75</v>
      </c>
      <c r="L189" s="843" t="s">
        <v>135</v>
      </c>
      <c r="M189" s="843" t="s">
        <v>135</v>
      </c>
      <c r="N189" s="843" t="s">
        <v>135</v>
      </c>
      <c r="O189" s="843" t="s">
        <v>135</v>
      </c>
      <c r="P189" s="256" t="s">
        <v>143</v>
      </c>
      <c r="Q189" s="260" t="s">
        <v>143</v>
      </c>
      <c r="R189" s="179" t="s">
        <v>472</v>
      </c>
      <c r="S189" s="179" t="s">
        <v>465</v>
      </c>
      <c r="T189" s="825">
        <v>8900</v>
      </c>
      <c r="U189" s="825">
        <v>9500</v>
      </c>
      <c r="V189" s="825">
        <v>9920</v>
      </c>
      <c r="W189" s="836">
        <v>10200</v>
      </c>
      <c r="X189" s="759">
        <v>10800</v>
      </c>
      <c r="Y189" s="759">
        <v>11400</v>
      </c>
      <c r="Z189" s="759">
        <v>12100</v>
      </c>
      <c r="AA189" s="759">
        <v>12600</v>
      </c>
      <c r="AB189" s="181">
        <v>13200</v>
      </c>
      <c r="AC189" s="181">
        <v>12300</v>
      </c>
      <c r="AD189" s="181">
        <v>13700</v>
      </c>
      <c r="AE189" s="86" t="s">
        <v>80</v>
      </c>
      <c r="AF189" s="78">
        <v>39800</v>
      </c>
      <c r="AG189" s="79">
        <v>0.34422110552763818</v>
      </c>
      <c r="AH189" s="731" t="s">
        <v>97</v>
      </c>
      <c r="AI189" s="254" t="s">
        <v>81</v>
      </c>
      <c r="AJ189" s="254" t="s">
        <v>81</v>
      </c>
      <c r="AK189" s="754">
        <v>3580</v>
      </c>
      <c r="AL189" s="832">
        <f t="shared" si="2"/>
        <v>28632.999999999996</v>
      </c>
      <c r="AM189" s="182">
        <v>4</v>
      </c>
    </row>
    <row r="190" spans="1:39" ht="15" thickBot="1" x14ac:dyDescent="0.35">
      <c r="A190" s="88">
        <v>225</v>
      </c>
      <c r="B190" s="88">
        <v>177</v>
      </c>
      <c r="C190" s="184" t="s">
        <v>520</v>
      </c>
      <c r="D190" s="145" t="s">
        <v>523</v>
      </c>
      <c r="E190" s="185" t="s">
        <v>524</v>
      </c>
      <c r="F190" s="801">
        <v>5190</v>
      </c>
      <c r="G190" s="801" t="s">
        <v>72</v>
      </c>
      <c r="H190" s="92" t="s">
        <v>73</v>
      </c>
      <c r="I190" s="93">
        <v>1.69</v>
      </c>
      <c r="J190" s="801" t="s">
        <v>140</v>
      </c>
      <c r="K190" s="92" t="s">
        <v>75</v>
      </c>
      <c r="L190" s="841" t="s">
        <v>142</v>
      </c>
      <c r="M190" s="841" t="s">
        <v>142</v>
      </c>
      <c r="N190" s="841" t="s">
        <v>142</v>
      </c>
      <c r="O190" s="841" t="s">
        <v>142</v>
      </c>
      <c r="P190" s="91" t="s">
        <v>143</v>
      </c>
      <c r="Q190" s="91" t="s">
        <v>143</v>
      </c>
      <c r="R190" s="94" t="s">
        <v>374</v>
      </c>
      <c r="S190" s="94" t="s">
        <v>465</v>
      </c>
      <c r="T190" s="827">
        <v>16400</v>
      </c>
      <c r="U190" s="827">
        <v>16100</v>
      </c>
      <c r="V190" s="827">
        <v>16800</v>
      </c>
      <c r="W190" s="828">
        <v>16400</v>
      </c>
      <c r="X190" s="842">
        <v>17000</v>
      </c>
      <c r="Y190" s="842">
        <v>17600</v>
      </c>
      <c r="Z190" s="842">
        <v>17000</v>
      </c>
      <c r="AA190" s="842">
        <v>16500</v>
      </c>
      <c r="AB190" s="146">
        <v>18000</v>
      </c>
      <c r="AC190" s="146">
        <v>17500</v>
      </c>
      <c r="AD190" s="146">
        <v>17500</v>
      </c>
      <c r="AE190" s="92" t="s">
        <v>80</v>
      </c>
      <c r="AF190" s="186">
        <v>39800</v>
      </c>
      <c r="AG190" s="147">
        <v>0.43969849246231157</v>
      </c>
      <c r="AH190" s="736" t="s">
        <v>97</v>
      </c>
      <c r="AI190" s="101" t="s">
        <v>81</v>
      </c>
      <c r="AJ190" s="101" t="s">
        <v>81</v>
      </c>
      <c r="AK190" s="750">
        <v>3580</v>
      </c>
      <c r="AL190" s="829">
        <f t="shared" si="2"/>
        <v>29575</v>
      </c>
      <c r="AM190" s="127">
        <v>4</v>
      </c>
    </row>
    <row r="191" spans="1:39" x14ac:dyDescent="0.3">
      <c r="A191" s="103">
        <v>227</v>
      </c>
      <c r="B191" s="103">
        <v>178</v>
      </c>
      <c r="C191" s="187" t="s">
        <v>525</v>
      </c>
      <c r="D191" s="150" t="s">
        <v>526</v>
      </c>
      <c r="E191" s="189" t="s">
        <v>527</v>
      </c>
      <c r="F191" s="804">
        <v>472</v>
      </c>
      <c r="G191" s="804" t="s">
        <v>72</v>
      </c>
      <c r="H191" s="131" t="s">
        <v>73</v>
      </c>
      <c r="I191" s="178">
        <v>2.31</v>
      </c>
      <c r="J191" s="804">
        <v>60</v>
      </c>
      <c r="K191" s="131" t="s">
        <v>75</v>
      </c>
      <c r="L191" s="843" t="s">
        <v>163</v>
      </c>
      <c r="M191" s="843" t="s">
        <v>163</v>
      </c>
      <c r="N191" s="843" t="s">
        <v>163</v>
      </c>
      <c r="O191" s="843" t="s">
        <v>163</v>
      </c>
      <c r="P191" s="843" t="s">
        <v>163</v>
      </c>
      <c r="Q191" s="843" t="s">
        <v>163</v>
      </c>
      <c r="R191" s="179" t="s">
        <v>144</v>
      </c>
      <c r="S191" s="179" t="s">
        <v>145</v>
      </c>
      <c r="T191" s="825">
        <v>19700</v>
      </c>
      <c r="U191" s="825">
        <v>20100</v>
      </c>
      <c r="V191" s="825">
        <v>21000</v>
      </c>
      <c r="W191" s="836">
        <v>21400</v>
      </c>
      <c r="X191" s="759">
        <v>23000</v>
      </c>
      <c r="Y191" s="759">
        <v>24000</v>
      </c>
      <c r="Z191" s="759">
        <v>24000</v>
      </c>
      <c r="AA191" s="759">
        <v>29000</v>
      </c>
      <c r="AB191" s="181">
        <v>29000</v>
      </c>
      <c r="AC191" s="181">
        <v>24000</v>
      </c>
      <c r="AD191" s="181">
        <v>24000</v>
      </c>
      <c r="AE191" s="190" t="s">
        <v>80</v>
      </c>
      <c r="AF191" s="78">
        <v>66200</v>
      </c>
      <c r="AG191" s="79">
        <v>0.36253776435045315</v>
      </c>
      <c r="AH191" s="731" t="s">
        <v>1524</v>
      </c>
      <c r="AI191" s="254" t="s">
        <v>81</v>
      </c>
      <c r="AJ191" s="254" t="s">
        <v>81</v>
      </c>
      <c r="AK191" s="754">
        <v>5960</v>
      </c>
      <c r="AL191" s="832">
        <f t="shared" si="2"/>
        <v>55440</v>
      </c>
      <c r="AM191" s="182">
        <v>4</v>
      </c>
    </row>
    <row r="192" spans="1:39" ht="15" thickBot="1" x14ac:dyDescent="0.35">
      <c r="A192" s="88">
        <v>228</v>
      </c>
      <c r="B192" s="88">
        <v>179</v>
      </c>
      <c r="C192" s="184" t="s">
        <v>525</v>
      </c>
      <c r="D192" s="145" t="s">
        <v>528</v>
      </c>
      <c r="E192" s="185" t="s">
        <v>529</v>
      </c>
      <c r="F192" s="801">
        <v>535</v>
      </c>
      <c r="G192" s="801" t="s">
        <v>72</v>
      </c>
      <c r="H192" s="92" t="s">
        <v>73</v>
      </c>
      <c r="I192" s="93">
        <v>1.1000000000000001</v>
      </c>
      <c r="J192" s="801" t="s">
        <v>269</v>
      </c>
      <c r="K192" s="92" t="s">
        <v>75</v>
      </c>
      <c r="L192" s="841" t="s">
        <v>163</v>
      </c>
      <c r="M192" s="841" t="s">
        <v>163</v>
      </c>
      <c r="N192" s="841" t="s">
        <v>163</v>
      </c>
      <c r="O192" s="841" t="s">
        <v>163</v>
      </c>
      <c r="P192" s="91" t="s">
        <v>143</v>
      </c>
      <c r="Q192" s="91" t="s">
        <v>143</v>
      </c>
      <c r="R192" s="94" t="s">
        <v>144</v>
      </c>
      <c r="S192" s="94" t="s">
        <v>145</v>
      </c>
      <c r="T192" s="827">
        <v>22000</v>
      </c>
      <c r="U192" s="827">
        <v>24500</v>
      </c>
      <c r="V192" s="827">
        <v>24000</v>
      </c>
      <c r="W192" s="828">
        <v>25500</v>
      </c>
      <c r="X192" s="842">
        <v>26500</v>
      </c>
      <c r="Y192" s="842">
        <v>29000</v>
      </c>
      <c r="Z192" s="842">
        <v>30000</v>
      </c>
      <c r="AA192" s="842">
        <v>29500</v>
      </c>
      <c r="AB192" s="146">
        <v>29500</v>
      </c>
      <c r="AC192" s="146">
        <v>28500</v>
      </c>
      <c r="AD192" s="146">
        <v>32000</v>
      </c>
      <c r="AE192" s="92" t="s">
        <v>80</v>
      </c>
      <c r="AF192" s="186">
        <v>39800</v>
      </c>
      <c r="AG192" s="147">
        <v>0.8040201005025126</v>
      </c>
      <c r="AH192" s="736" t="s">
        <v>97</v>
      </c>
      <c r="AI192" s="750">
        <v>2300</v>
      </c>
      <c r="AJ192" s="750">
        <v>2710</v>
      </c>
      <c r="AK192" s="750">
        <v>3580</v>
      </c>
      <c r="AL192" s="829">
        <f t="shared" si="2"/>
        <v>35200</v>
      </c>
      <c r="AM192" s="127">
        <v>4</v>
      </c>
    </row>
    <row r="193" spans="1:39" x14ac:dyDescent="0.3">
      <c r="A193" s="103"/>
      <c r="B193" s="103">
        <v>182</v>
      </c>
      <c r="C193" s="187" t="s">
        <v>530</v>
      </c>
      <c r="D193" s="188" t="s">
        <v>531</v>
      </c>
      <c r="E193" s="261" t="s">
        <v>532</v>
      </c>
      <c r="F193" s="804">
        <v>5193</v>
      </c>
      <c r="G193" s="804" t="s">
        <v>72</v>
      </c>
      <c r="H193" s="131" t="s">
        <v>73</v>
      </c>
      <c r="I193" s="178">
        <v>0.98</v>
      </c>
      <c r="J193" s="804" t="s">
        <v>140</v>
      </c>
      <c r="K193" s="131" t="s">
        <v>104</v>
      </c>
      <c r="L193" s="843" t="s">
        <v>461</v>
      </c>
      <c r="M193" s="843" t="s">
        <v>461</v>
      </c>
      <c r="N193" s="843" t="s">
        <v>461</v>
      </c>
      <c r="O193" s="843" t="s">
        <v>461</v>
      </c>
      <c r="P193" s="177" t="s">
        <v>533</v>
      </c>
      <c r="Q193" s="177" t="s">
        <v>533</v>
      </c>
      <c r="R193" s="179" t="s">
        <v>144</v>
      </c>
      <c r="S193" s="179" t="s">
        <v>145</v>
      </c>
      <c r="T193" s="825">
        <v>30500</v>
      </c>
      <c r="U193" s="825">
        <v>27000</v>
      </c>
      <c r="V193" s="825">
        <v>26000</v>
      </c>
      <c r="W193" s="836">
        <v>32500</v>
      </c>
      <c r="X193" s="759">
        <f>X194</f>
        <v>32000</v>
      </c>
      <c r="Y193" s="759">
        <v>29500</v>
      </c>
      <c r="Z193" s="759">
        <v>32000</v>
      </c>
      <c r="AA193" s="759">
        <v>27000</v>
      </c>
      <c r="AB193" s="181">
        <v>34000</v>
      </c>
      <c r="AC193" s="181">
        <v>33000</v>
      </c>
      <c r="AD193" s="181">
        <v>33000</v>
      </c>
      <c r="AE193" s="190" t="s">
        <v>80</v>
      </c>
      <c r="AF193" s="78">
        <v>37800</v>
      </c>
      <c r="AG193" s="79">
        <v>0.87301587301587302</v>
      </c>
      <c r="AH193" s="731" t="s">
        <v>97</v>
      </c>
      <c r="AI193" s="254" t="s">
        <v>81</v>
      </c>
      <c r="AJ193" s="254" t="s">
        <v>81</v>
      </c>
      <c r="AK193" s="754">
        <v>3400</v>
      </c>
      <c r="AL193" s="832">
        <f t="shared" si="2"/>
        <v>32340</v>
      </c>
      <c r="AM193" s="182">
        <v>4</v>
      </c>
    </row>
    <row r="194" spans="1:39" x14ac:dyDescent="0.3">
      <c r="A194" s="33"/>
      <c r="B194" s="33">
        <v>182</v>
      </c>
      <c r="C194" s="155" t="s">
        <v>530</v>
      </c>
      <c r="D194" s="191" t="s">
        <v>531</v>
      </c>
      <c r="E194" s="35" t="s">
        <v>534</v>
      </c>
      <c r="F194" s="799">
        <v>5193</v>
      </c>
      <c r="G194" s="799" t="s">
        <v>72</v>
      </c>
      <c r="H194" s="36" t="s">
        <v>73</v>
      </c>
      <c r="I194" s="37">
        <v>1.2</v>
      </c>
      <c r="J194" s="799" t="s">
        <v>140</v>
      </c>
      <c r="K194" s="36" t="s">
        <v>104</v>
      </c>
      <c r="L194" s="837" t="s">
        <v>461</v>
      </c>
      <c r="M194" s="837" t="s">
        <v>461</v>
      </c>
      <c r="N194" s="837" t="s">
        <v>461</v>
      </c>
      <c r="O194" s="837" t="s">
        <v>461</v>
      </c>
      <c r="P194" s="35" t="s">
        <v>533</v>
      </c>
      <c r="Q194" s="35" t="s">
        <v>143</v>
      </c>
      <c r="R194" s="38" t="s">
        <v>144</v>
      </c>
      <c r="S194" s="38" t="s">
        <v>145</v>
      </c>
      <c r="T194" s="833">
        <v>30500</v>
      </c>
      <c r="U194" s="833">
        <v>27000</v>
      </c>
      <c r="V194" s="833">
        <v>26000</v>
      </c>
      <c r="W194" s="820">
        <v>32500</v>
      </c>
      <c r="X194" s="838">
        <v>32000</v>
      </c>
      <c r="Y194" s="838">
        <v>29500</v>
      </c>
      <c r="Z194" s="838">
        <v>32000</v>
      </c>
      <c r="AA194" s="838">
        <v>27000</v>
      </c>
      <c r="AB194" s="123">
        <v>34000</v>
      </c>
      <c r="AC194" s="123">
        <f>AC193</f>
        <v>33000</v>
      </c>
      <c r="AD194" s="151">
        <v>33000</v>
      </c>
      <c r="AE194" s="36" t="s">
        <v>80</v>
      </c>
      <c r="AF194" s="138">
        <v>39800</v>
      </c>
      <c r="AG194" s="82">
        <v>0.82914572864321612</v>
      </c>
      <c r="AH194" s="734" t="s">
        <v>97</v>
      </c>
      <c r="AI194" s="84" t="s">
        <v>81</v>
      </c>
      <c r="AJ194" s="84" t="s">
        <v>81</v>
      </c>
      <c r="AK194" s="749">
        <v>3580</v>
      </c>
      <c r="AL194" s="832">
        <f t="shared" si="2"/>
        <v>39600</v>
      </c>
      <c r="AM194" s="121">
        <v>4</v>
      </c>
    </row>
    <row r="195" spans="1:39" x14ac:dyDescent="0.3">
      <c r="A195" s="33"/>
      <c r="B195" s="33">
        <v>180</v>
      </c>
      <c r="C195" s="157" t="s">
        <v>530</v>
      </c>
      <c r="D195" s="128" t="s">
        <v>535</v>
      </c>
      <c r="E195" s="51" t="s">
        <v>352</v>
      </c>
      <c r="F195" s="800">
        <v>5182</v>
      </c>
      <c r="G195" s="800" t="s">
        <v>72</v>
      </c>
      <c r="H195" s="71" t="s">
        <v>73</v>
      </c>
      <c r="I195" s="72">
        <v>1.2</v>
      </c>
      <c r="J195" s="800" t="s">
        <v>140</v>
      </c>
      <c r="K195" s="71" t="s">
        <v>104</v>
      </c>
      <c r="L195" s="835" t="s">
        <v>461</v>
      </c>
      <c r="M195" s="835" t="s">
        <v>461</v>
      </c>
      <c r="N195" s="835" t="s">
        <v>461</v>
      </c>
      <c r="O195" s="835" t="s">
        <v>461</v>
      </c>
      <c r="P195" s="51" t="s">
        <v>533</v>
      </c>
      <c r="Q195" s="51" t="s">
        <v>533</v>
      </c>
      <c r="R195" s="73" t="s">
        <v>144</v>
      </c>
      <c r="S195" s="73" t="s">
        <v>145</v>
      </c>
      <c r="T195" s="825">
        <v>20000</v>
      </c>
      <c r="U195" s="825">
        <v>18100</v>
      </c>
      <c r="V195" s="825">
        <v>18900</v>
      </c>
      <c r="W195" s="822">
        <v>20000</v>
      </c>
      <c r="X195" s="760">
        <v>20000</v>
      </c>
      <c r="Y195" s="760">
        <v>20500</v>
      </c>
      <c r="Z195" s="760">
        <v>21000</v>
      </c>
      <c r="AA195" s="760">
        <v>20300</v>
      </c>
      <c r="AB195" s="115">
        <v>23000</v>
      </c>
      <c r="AC195" s="115">
        <v>22000</v>
      </c>
      <c r="AD195" s="115">
        <v>22000</v>
      </c>
      <c r="AE195" s="140" t="s">
        <v>80</v>
      </c>
      <c r="AF195" s="78">
        <v>37800</v>
      </c>
      <c r="AG195" s="79">
        <v>0.58201058201058198</v>
      </c>
      <c r="AH195" s="733" t="s">
        <v>97</v>
      </c>
      <c r="AI195" s="87" t="s">
        <v>81</v>
      </c>
      <c r="AJ195" s="87" t="s">
        <v>81</v>
      </c>
      <c r="AK195" s="748">
        <v>3400</v>
      </c>
      <c r="AL195" s="832">
        <f t="shared" ref="AL195" si="3">IF(AD195&gt;0,AD195*$I195,"-")</f>
        <v>26400</v>
      </c>
      <c r="AM195" s="122">
        <v>4</v>
      </c>
    </row>
    <row r="196" spans="1:39" x14ac:dyDescent="0.3">
      <c r="A196" s="262"/>
      <c r="B196" s="262"/>
      <c r="C196" s="263"/>
      <c r="D196" s="264"/>
      <c r="E196" s="264"/>
      <c r="F196" s="265"/>
      <c r="G196" s="264"/>
      <c r="H196" s="264"/>
      <c r="I196" s="264"/>
      <c r="J196" s="265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6"/>
      <c r="Y196" s="266"/>
      <c r="Z196" s="266"/>
      <c r="AA196" s="266"/>
      <c r="AB196" s="266"/>
      <c r="AC196" s="266"/>
      <c r="AD196" s="266"/>
      <c r="AE196" s="264"/>
      <c r="AF196" s="264"/>
      <c r="AG196" s="265"/>
      <c r="AH196" s="264"/>
      <c r="AI196" s="267"/>
      <c r="AJ196" s="267"/>
      <c r="AK196" s="264"/>
      <c r="AL196" s="264"/>
      <c r="AM196" s="264"/>
    </row>
    <row r="197" spans="1:39" ht="15" thickBot="1" x14ac:dyDescent="0.35">
      <c r="A197" s="268">
        <v>234</v>
      </c>
      <c r="B197" s="268">
        <v>200</v>
      </c>
      <c r="C197" s="269" t="s">
        <v>536</v>
      </c>
      <c r="D197" s="270" t="s">
        <v>537</v>
      </c>
      <c r="E197" s="270" t="s">
        <v>538</v>
      </c>
      <c r="F197" s="801">
        <v>11</v>
      </c>
      <c r="G197" s="801" t="s">
        <v>539</v>
      </c>
      <c r="H197" s="97"/>
      <c r="I197" s="93">
        <v>0.5</v>
      </c>
      <c r="J197" s="801" t="s">
        <v>237</v>
      </c>
      <c r="K197" s="271" t="s">
        <v>75</v>
      </c>
      <c r="L197" s="841" t="s">
        <v>540</v>
      </c>
      <c r="M197" s="841" t="s">
        <v>541</v>
      </c>
      <c r="N197" s="841" t="s">
        <v>541</v>
      </c>
      <c r="O197" s="841" t="s">
        <v>541</v>
      </c>
      <c r="P197" s="841" t="s">
        <v>542</v>
      </c>
      <c r="Q197" s="859" t="s">
        <v>542</v>
      </c>
      <c r="R197" s="97" t="s">
        <v>543</v>
      </c>
      <c r="S197" s="97" t="s">
        <v>544</v>
      </c>
      <c r="T197" s="827">
        <v>2980</v>
      </c>
      <c r="U197" s="827">
        <v>2780</v>
      </c>
      <c r="V197" s="827">
        <v>2710</v>
      </c>
      <c r="W197" s="828">
        <v>2750</v>
      </c>
      <c r="X197" s="860">
        <v>2900</v>
      </c>
      <c r="Y197" s="860">
        <v>2870</v>
      </c>
      <c r="Z197" s="860">
        <v>2620</v>
      </c>
      <c r="AA197" s="860">
        <v>2790</v>
      </c>
      <c r="AB197" s="860">
        <v>2510</v>
      </c>
      <c r="AC197" s="861">
        <v>1870</v>
      </c>
      <c r="AD197" s="750">
        <v>2530</v>
      </c>
      <c r="AE197" s="92" t="s">
        <v>229</v>
      </c>
      <c r="AF197" s="241">
        <v>13640</v>
      </c>
      <c r="AG197" s="147">
        <v>0.18548387096774194</v>
      </c>
      <c r="AH197" s="100" t="s">
        <v>97</v>
      </c>
      <c r="AI197" s="126">
        <v>130</v>
      </c>
      <c r="AJ197" s="126">
        <v>220</v>
      </c>
      <c r="AK197" s="126">
        <v>1020</v>
      </c>
      <c r="AL197" s="862"/>
      <c r="AM197" s="102">
        <v>2</v>
      </c>
    </row>
    <row r="198" spans="1:39" ht="15" thickBot="1" x14ac:dyDescent="0.35">
      <c r="A198" s="33">
        <v>240</v>
      </c>
      <c r="B198" s="33">
        <v>204</v>
      </c>
      <c r="C198" s="272" t="s">
        <v>545</v>
      </c>
      <c r="D198" s="273" t="s">
        <v>537</v>
      </c>
      <c r="E198" s="273" t="s">
        <v>538</v>
      </c>
      <c r="F198" s="806">
        <v>31</v>
      </c>
      <c r="G198" s="806" t="s">
        <v>539</v>
      </c>
      <c r="H198" s="274"/>
      <c r="I198" s="275">
        <v>0.5</v>
      </c>
      <c r="J198" s="806" t="s">
        <v>237</v>
      </c>
      <c r="K198" s="276" t="s">
        <v>75</v>
      </c>
      <c r="L198" s="863" t="s">
        <v>540</v>
      </c>
      <c r="M198" s="864" t="s">
        <v>541</v>
      </c>
      <c r="N198" s="863" t="s">
        <v>541</v>
      </c>
      <c r="O198" s="863" t="s">
        <v>541</v>
      </c>
      <c r="P198" s="863" t="s">
        <v>542</v>
      </c>
      <c r="Q198" s="859" t="s">
        <v>542</v>
      </c>
      <c r="R198" s="274" t="s">
        <v>543</v>
      </c>
      <c r="S198" s="277" t="s">
        <v>544</v>
      </c>
      <c r="T198" s="865">
        <v>2090</v>
      </c>
      <c r="U198" s="865">
        <v>1600</v>
      </c>
      <c r="V198" s="865">
        <v>1700</v>
      </c>
      <c r="W198" s="866">
        <v>1760</v>
      </c>
      <c r="X198" s="867">
        <v>1620</v>
      </c>
      <c r="Y198" s="867">
        <v>1660</v>
      </c>
      <c r="Z198" s="867">
        <v>1570</v>
      </c>
      <c r="AA198" s="867">
        <v>1710</v>
      </c>
      <c r="AB198" s="867">
        <v>1640</v>
      </c>
      <c r="AC198" s="868">
        <v>1410</v>
      </c>
      <c r="AD198" s="755">
        <v>1370</v>
      </c>
      <c r="AE198" s="278" t="s">
        <v>229</v>
      </c>
      <c r="AF198" s="279">
        <v>13640</v>
      </c>
      <c r="AG198" s="280">
        <v>0.10043988269794721</v>
      </c>
      <c r="AH198" s="210" t="s">
        <v>97</v>
      </c>
      <c r="AI198" s="281">
        <v>110</v>
      </c>
      <c r="AJ198" s="281">
        <v>140</v>
      </c>
      <c r="AK198" s="282">
        <v>1020</v>
      </c>
      <c r="AL198" s="869"/>
      <c r="AM198" s="283">
        <v>2</v>
      </c>
    </row>
    <row r="199" spans="1:39" ht="15" thickBot="1" x14ac:dyDescent="0.35">
      <c r="A199" s="268">
        <v>244</v>
      </c>
      <c r="B199" s="268">
        <v>207</v>
      </c>
      <c r="C199" s="148" t="s">
        <v>546</v>
      </c>
      <c r="D199" s="105" t="s">
        <v>547</v>
      </c>
      <c r="E199" s="105" t="s">
        <v>548</v>
      </c>
      <c r="F199" s="802">
        <v>41</v>
      </c>
      <c r="G199" s="802" t="s">
        <v>539</v>
      </c>
      <c r="H199" s="106"/>
      <c r="I199" s="107">
        <v>0.5</v>
      </c>
      <c r="J199" s="802" t="s">
        <v>237</v>
      </c>
      <c r="K199" s="284" t="s">
        <v>104</v>
      </c>
      <c r="L199" s="830" t="s">
        <v>540</v>
      </c>
      <c r="M199" s="830" t="s">
        <v>541</v>
      </c>
      <c r="N199" s="830" t="s">
        <v>541</v>
      </c>
      <c r="O199" s="830" t="s">
        <v>541</v>
      </c>
      <c r="P199" s="830" t="s">
        <v>542</v>
      </c>
      <c r="Q199" s="859" t="s">
        <v>542</v>
      </c>
      <c r="R199" s="106" t="s">
        <v>543</v>
      </c>
      <c r="S199" s="285" t="s">
        <v>549</v>
      </c>
      <c r="T199" s="833">
        <v>320</v>
      </c>
      <c r="U199" s="833">
        <v>320</v>
      </c>
      <c r="V199" s="833">
        <v>330</v>
      </c>
      <c r="W199" s="831">
        <v>330</v>
      </c>
      <c r="X199" s="870" t="s">
        <v>81</v>
      </c>
      <c r="Y199" s="844">
        <v>370</v>
      </c>
      <c r="Z199" s="871">
        <v>340</v>
      </c>
      <c r="AA199" s="872">
        <v>350</v>
      </c>
      <c r="AB199" s="873">
        <v>370</v>
      </c>
      <c r="AC199" s="844">
        <v>450</v>
      </c>
      <c r="AD199" s="751">
        <v>120</v>
      </c>
      <c r="AE199" s="200" t="s">
        <v>229</v>
      </c>
      <c r="AF199" s="286">
        <v>13640</v>
      </c>
      <c r="AG199" s="82">
        <v>8.7976539589442824E-3</v>
      </c>
      <c r="AH199" s="287" t="s">
        <v>97</v>
      </c>
      <c r="AI199" s="288">
        <v>10</v>
      </c>
      <c r="AJ199" s="288">
        <v>10</v>
      </c>
      <c r="AK199" s="288">
        <v>1020</v>
      </c>
      <c r="AL199" s="874"/>
      <c r="AM199" s="112">
        <v>2</v>
      </c>
    </row>
    <row r="200" spans="1:39" ht="15" thickBot="1" x14ac:dyDescent="0.35">
      <c r="A200" s="33">
        <v>242</v>
      </c>
      <c r="B200" s="33">
        <v>205</v>
      </c>
      <c r="C200" s="290" t="s">
        <v>546</v>
      </c>
      <c r="D200" s="273" t="s">
        <v>550</v>
      </c>
      <c r="E200" s="273" t="s">
        <v>551</v>
      </c>
      <c r="F200" s="803">
        <v>43</v>
      </c>
      <c r="G200" s="803" t="s">
        <v>539</v>
      </c>
      <c r="H200" s="215"/>
      <c r="I200" s="164">
        <v>0.5</v>
      </c>
      <c r="J200" s="803" t="s">
        <v>237</v>
      </c>
      <c r="K200" s="291" t="s">
        <v>104</v>
      </c>
      <c r="L200" s="845" t="s">
        <v>540</v>
      </c>
      <c r="M200" s="850" t="s">
        <v>541</v>
      </c>
      <c r="N200" s="845" t="s">
        <v>541</v>
      </c>
      <c r="O200" s="845" t="s">
        <v>541</v>
      </c>
      <c r="P200" s="845" t="s">
        <v>542</v>
      </c>
      <c r="Q200" s="859" t="s">
        <v>542</v>
      </c>
      <c r="R200" s="215" t="s">
        <v>543</v>
      </c>
      <c r="S200" s="285" t="s">
        <v>549</v>
      </c>
      <c r="T200" s="846">
        <v>2530</v>
      </c>
      <c r="U200" s="846">
        <v>2410</v>
      </c>
      <c r="V200" s="846">
        <v>2650</v>
      </c>
      <c r="W200" s="847">
        <v>2640</v>
      </c>
      <c r="X200" s="875" t="s">
        <v>81</v>
      </c>
      <c r="Y200" s="858">
        <v>2840</v>
      </c>
      <c r="Z200" s="761">
        <v>3080</v>
      </c>
      <c r="AA200" s="761">
        <v>3170</v>
      </c>
      <c r="AB200" s="761">
        <v>3170</v>
      </c>
      <c r="AC200" s="752">
        <v>2980</v>
      </c>
      <c r="AD200" s="752">
        <v>2890</v>
      </c>
      <c r="AE200" s="233" t="s">
        <v>229</v>
      </c>
      <c r="AF200" s="279">
        <v>13640</v>
      </c>
      <c r="AG200" s="172">
        <v>0.21187683284457479</v>
      </c>
      <c r="AH200" s="170" t="s">
        <v>97</v>
      </c>
      <c r="AI200" s="169">
        <v>150</v>
      </c>
      <c r="AJ200" s="169">
        <v>310</v>
      </c>
      <c r="AK200" s="169">
        <v>1020</v>
      </c>
      <c r="AL200" s="876"/>
      <c r="AM200" s="219">
        <v>2</v>
      </c>
    </row>
    <row r="201" spans="1:39" x14ac:dyDescent="0.3">
      <c r="A201" s="268">
        <v>249</v>
      </c>
      <c r="B201" s="268">
        <v>211</v>
      </c>
      <c r="C201" s="292" t="s">
        <v>552</v>
      </c>
      <c r="D201" s="293" t="s">
        <v>553</v>
      </c>
      <c r="E201" s="105" t="s">
        <v>554</v>
      </c>
      <c r="F201" s="802">
        <v>50</v>
      </c>
      <c r="G201" s="802" t="s">
        <v>539</v>
      </c>
      <c r="H201" s="200"/>
      <c r="I201" s="107">
        <v>0.55000000000000004</v>
      </c>
      <c r="J201" s="802" t="s">
        <v>158</v>
      </c>
      <c r="K201" s="284" t="s">
        <v>104</v>
      </c>
      <c r="L201" s="830" t="s">
        <v>540</v>
      </c>
      <c r="M201" s="830" t="s">
        <v>555</v>
      </c>
      <c r="N201" s="830" t="s">
        <v>555</v>
      </c>
      <c r="O201" s="830" t="s">
        <v>555</v>
      </c>
      <c r="P201" s="830" t="s">
        <v>555</v>
      </c>
      <c r="Q201" s="877" t="s">
        <v>555</v>
      </c>
      <c r="R201" s="108" t="s">
        <v>556</v>
      </c>
      <c r="S201" s="106" t="s">
        <v>544</v>
      </c>
      <c r="T201" s="833">
        <v>1470</v>
      </c>
      <c r="U201" s="833">
        <v>1840</v>
      </c>
      <c r="V201" s="833">
        <v>2060</v>
      </c>
      <c r="W201" s="831">
        <v>2100</v>
      </c>
      <c r="X201" s="844">
        <v>2150</v>
      </c>
      <c r="Y201" s="844">
        <v>2350</v>
      </c>
      <c r="Z201" s="871">
        <v>2630</v>
      </c>
      <c r="AA201" s="872">
        <v>2600</v>
      </c>
      <c r="AB201" s="873">
        <v>2660</v>
      </c>
      <c r="AC201" s="878">
        <v>2300</v>
      </c>
      <c r="AD201" s="751">
        <v>2540</v>
      </c>
      <c r="AE201" s="200" t="s">
        <v>229</v>
      </c>
      <c r="AF201" s="138">
        <v>24450</v>
      </c>
      <c r="AG201" s="82">
        <v>0.10388548057259714</v>
      </c>
      <c r="AH201" s="287" t="s">
        <v>1524</v>
      </c>
      <c r="AI201" s="288">
        <v>190</v>
      </c>
      <c r="AJ201" s="288">
        <v>270</v>
      </c>
      <c r="AK201" s="294">
        <v>2200</v>
      </c>
      <c r="AL201" s="832">
        <f t="shared" ref="AL201:AL212" si="4">IF(AD201&gt;0,AD201*$I201,"-")</f>
        <v>1397</v>
      </c>
      <c r="AM201" s="201">
        <v>2</v>
      </c>
    </row>
    <row r="202" spans="1:39" ht="15" thickBot="1" x14ac:dyDescent="0.35">
      <c r="A202" s="88">
        <v>247</v>
      </c>
      <c r="B202" s="88">
        <v>209</v>
      </c>
      <c r="C202" s="295" t="s">
        <v>552</v>
      </c>
      <c r="D202" s="296" t="s">
        <v>557</v>
      </c>
      <c r="E202" s="162" t="s">
        <v>558</v>
      </c>
      <c r="F202" s="803">
        <v>52</v>
      </c>
      <c r="G202" s="803" t="s">
        <v>539</v>
      </c>
      <c r="H202" s="163"/>
      <c r="I202" s="164">
        <v>0.87</v>
      </c>
      <c r="J202" s="803" t="s">
        <v>158</v>
      </c>
      <c r="K202" s="291" t="s">
        <v>104</v>
      </c>
      <c r="L202" s="845" t="s">
        <v>540</v>
      </c>
      <c r="M202" s="850" t="s">
        <v>555</v>
      </c>
      <c r="N202" s="845" t="s">
        <v>555</v>
      </c>
      <c r="O202" s="845" t="s">
        <v>555</v>
      </c>
      <c r="P202" s="845" t="s">
        <v>555</v>
      </c>
      <c r="Q202" s="879" t="s">
        <v>555</v>
      </c>
      <c r="R202" s="217" t="s">
        <v>556</v>
      </c>
      <c r="S202" s="297" t="s">
        <v>544</v>
      </c>
      <c r="T202" s="846">
        <v>2030</v>
      </c>
      <c r="U202" s="846">
        <v>2100</v>
      </c>
      <c r="V202" s="846">
        <v>2270</v>
      </c>
      <c r="W202" s="847">
        <v>2420</v>
      </c>
      <c r="X202" s="761">
        <v>2330</v>
      </c>
      <c r="Y202" s="858">
        <v>2500</v>
      </c>
      <c r="Z202" s="761">
        <v>2470</v>
      </c>
      <c r="AA202" s="761">
        <v>2640</v>
      </c>
      <c r="AB202" s="761">
        <v>2910</v>
      </c>
      <c r="AC202" s="880">
        <v>2490</v>
      </c>
      <c r="AD202" s="752">
        <v>2730</v>
      </c>
      <c r="AE202" s="170" t="s">
        <v>229</v>
      </c>
      <c r="AF202" s="171">
        <v>24450</v>
      </c>
      <c r="AG202" s="172">
        <v>0.1116564417177914</v>
      </c>
      <c r="AH202" s="210" t="s">
        <v>1524</v>
      </c>
      <c r="AI202" s="169">
        <v>230</v>
      </c>
      <c r="AJ202" s="169">
        <v>280</v>
      </c>
      <c r="AK202" s="298">
        <v>2200</v>
      </c>
      <c r="AL202" s="881">
        <f t="shared" si="4"/>
        <v>2375.1</v>
      </c>
      <c r="AM202" s="174">
        <v>2</v>
      </c>
    </row>
    <row r="203" spans="1:39" x14ac:dyDescent="0.3">
      <c r="A203" s="299">
        <v>251</v>
      </c>
      <c r="B203" s="299">
        <v>212</v>
      </c>
      <c r="C203" s="300" t="s">
        <v>559</v>
      </c>
      <c r="D203" s="293" t="s">
        <v>560</v>
      </c>
      <c r="E203" s="105" t="s">
        <v>561</v>
      </c>
      <c r="F203" s="802">
        <v>60</v>
      </c>
      <c r="G203" s="802" t="s">
        <v>539</v>
      </c>
      <c r="H203" s="200" t="s">
        <v>73</v>
      </c>
      <c r="I203" s="107">
        <v>2.0499999999999998</v>
      </c>
      <c r="J203" s="802" t="s">
        <v>154</v>
      </c>
      <c r="K203" s="284" t="s">
        <v>75</v>
      </c>
      <c r="L203" s="830" t="s">
        <v>540</v>
      </c>
      <c r="M203" s="830" t="s">
        <v>555</v>
      </c>
      <c r="N203" s="830" t="s">
        <v>555</v>
      </c>
      <c r="O203" s="830" t="s">
        <v>555</v>
      </c>
      <c r="P203" s="830" t="s">
        <v>555</v>
      </c>
      <c r="Q203" s="882" t="s">
        <v>555</v>
      </c>
      <c r="R203" s="106" t="s">
        <v>543</v>
      </c>
      <c r="S203" s="106" t="s">
        <v>562</v>
      </c>
      <c r="T203" s="833">
        <v>5020</v>
      </c>
      <c r="U203" s="833">
        <v>5680</v>
      </c>
      <c r="V203" s="833">
        <v>5230</v>
      </c>
      <c r="W203" s="831">
        <v>4880</v>
      </c>
      <c r="X203" s="844">
        <v>5080</v>
      </c>
      <c r="Y203" s="871">
        <v>6400</v>
      </c>
      <c r="Z203" s="844">
        <v>6660</v>
      </c>
      <c r="AA203" s="844">
        <v>6850</v>
      </c>
      <c r="AB203" s="873">
        <v>5810</v>
      </c>
      <c r="AC203" s="878">
        <v>6730</v>
      </c>
      <c r="AD203" s="751">
        <v>7030</v>
      </c>
      <c r="AE203" s="106" t="s">
        <v>229</v>
      </c>
      <c r="AF203" s="138">
        <v>24450</v>
      </c>
      <c r="AG203" s="82">
        <v>0.28752556237218813</v>
      </c>
      <c r="AH203" s="287" t="s">
        <v>1524</v>
      </c>
      <c r="AI203" s="288">
        <v>690</v>
      </c>
      <c r="AJ203" s="288">
        <v>650</v>
      </c>
      <c r="AK203" s="294">
        <v>2200</v>
      </c>
      <c r="AL203" s="832">
        <f t="shared" si="4"/>
        <v>14411.499999999998</v>
      </c>
      <c r="AM203" s="201">
        <v>2</v>
      </c>
    </row>
    <row r="204" spans="1:39" x14ac:dyDescent="0.3">
      <c r="A204" s="33">
        <v>253</v>
      </c>
      <c r="B204" s="33">
        <v>214</v>
      </c>
      <c r="C204" s="300" t="s">
        <v>559</v>
      </c>
      <c r="D204" s="301" t="s">
        <v>563</v>
      </c>
      <c r="E204" s="51" t="s">
        <v>564</v>
      </c>
      <c r="F204" s="800">
        <v>62</v>
      </c>
      <c r="G204" s="800" t="s">
        <v>539</v>
      </c>
      <c r="H204" s="52" t="s">
        <v>73</v>
      </c>
      <c r="I204" s="72">
        <v>1.4</v>
      </c>
      <c r="J204" s="800" t="s">
        <v>140</v>
      </c>
      <c r="K204" s="302" t="s">
        <v>104</v>
      </c>
      <c r="L204" s="835" t="s">
        <v>540</v>
      </c>
      <c r="M204" s="835" t="s">
        <v>555</v>
      </c>
      <c r="N204" s="835" t="s">
        <v>555</v>
      </c>
      <c r="O204" s="835" t="s">
        <v>555</v>
      </c>
      <c r="P204" s="835" t="s">
        <v>555</v>
      </c>
      <c r="Q204" s="883" t="s">
        <v>555</v>
      </c>
      <c r="R204" s="52" t="s">
        <v>543</v>
      </c>
      <c r="S204" s="52" t="s">
        <v>562</v>
      </c>
      <c r="T204" s="825">
        <v>4400</v>
      </c>
      <c r="U204" s="825">
        <v>5040</v>
      </c>
      <c r="V204" s="825">
        <v>4670</v>
      </c>
      <c r="W204" s="822">
        <v>4960</v>
      </c>
      <c r="X204" s="760">
        <v>4090</v>
      </c>
      <c r="Y204" s="760">
        <v>5530</v>
      </c>
      <c r="Z204" s="760">
        <v>5400</v>
      </c>
      <c r="AA204" s="760">
        <v>6090</v>
      </c>
      <c r="AB204" s="760">
        <v>4820</v>
      </c>
      <c r="AC204" s="884">
        <v>5410</v>
      </c>
      <c r="AD204" s="748">
        <v>5610</v>
      </c>
      <c r="AE204" s="80" t="s">
        <v>229</v>
      </c>
      <c r="AF204" s="78">
        <v>24450</v>
      </c>
      <c r="AG204" s="303">
        <v>0.2294478527607362</v>
      </c>
      <c r="AH204" s="86" t="s">
        <v>1524</v>
      </c>
      <c r="AI204" s="115">
        <v>680</v>
      </c>
      <c r="AJ204" s="115">
        <v>520</v>
      </c>
      <c r="AK204" s="304">
        <v>2200</v>
      </c>
      <c r="AL204" s="832">
        <f t="shared" si="4"/>
        <v>7853.9999999999991</v>
      </c>
      <c r="AM204" s="63">
        <v>2</v>
      </c>
    </row>
    <row r="205" spans="1:39" ht="15" thickBot="1" x14ac:dyDescent="0.35">
      <c r="A205" s="305">
        <v>254</v>
      </c>
      <c r="B205" s="305">
        <v>215</v>
      </c>
      <c r="C205" s="300" t="s">
        <v>559</v>
      </c>
      <c r="D205" s="306" t="s">
        <v>565</v>
      </c>
      <c r="E205" s="185" t="s">
        <v>566</v>
      </c>
      <c r="F205" s="801">
        <v>63</v>
      </c>
      <c r="G205" s="801" t="s">
        <v>539</v>
      </c>
      <c r="H205" s="92" t="s">
        <v>73</v>
      </c>
      <c r="I205" s="93">
        <v>0.3</v>
      </c>
      <c r="J205" s="801" t="s">
        <v>154</v>
      </c>
      <c r="K205" s="271" t="s">
        <v>75</v>
      </c>
      <c r="L205" s="841" t="s">
        <v>540</v>
      </c>
      <c r="M205" s="841" t="s">
        <v>555</v>
      </c>
      <c r="N205" s="841" t="s">
        <v>555</v>
      </c>
      <c r="O205" s="841" t="s">
        <v>555</v>
      </c>
      <c r="P205" s="841" t="s">
        <v>555</v>
      </c>
      <c r="Q205" s="879" t="s">
        <v>555</v>
      </c>
      <c r="R205" s="97" t="s">
        <v>543</v>
      </c>
      <c r="S205" s="97" t="s">
        <v>562</v>
      </c>
      <c r="T205" s="827">
        <v>6780</v>
      </c>
      <c r="U205" s="827">
        <v>7640</v>
      </c>
      <c r="V205" s="827">
        <v>7090</v>
      </c>
      <c r="W205" s="828">
        <v>7360</v>
      </c>
      <c r="X205" s="842">
        <v>6460</v>
      </c>
      <c r="Y205" s="860">
        <v>8350</v>
      </c>
      <c r="Z205" s="842">
        <v>6260</v>
      </c>
      <c r="AA205" s="842">
        <v>8960</v>
      </c>
      <c r="AB205" s="842">
        <v>7630</v>
      </c>
      <c r="AC205" s="861">
        <v>8110</v>
      </c>
      <c r="AD205" s="750">
        <v>8330</v>
      </c>
      <c r="AE205" s="97" t="s">
        <v>229</v>
      </c>
      <c r="AF205" s="186">
        <v>24450</v>
      </c>
      <c r="AG205" s="147">
        <v>0.34069529652351738</v>
      </c>
      <c r="AH205" s="307" t="s">
        <v>1524</v>
      </c>
      <c r="AI205" s="126">
        <v>800</v>
      </c>
      <c r="AJ205" s="126">
        <v>730</v>
      </c>
      <c r="AK205" s="308">
        <v>2200</v>
      </c>
      <c r="AL205" s="881">
        <f t="shared" si="4"/>
        <v>2499</v>
      </c>
      <c r="AM205" s="127">
        <v>2</v>
      </c>
    </row>
    <row r="206" spans="1:39" x14ac:dyDescent="0.3">
      <c r="A206" s="103">
        <v>256</v>
      </c>
      <c r="B206" s="103">
        <v>218</v>
      </c>
      <c r="C206" s="309" t="s">
        <v>567</v>
      </c>
      <c r="D206" s="150" t="s">
        <v>568</v>
      </c>
      <c r="E206" s="261" t="s">
        <v>569</v>
      </c>
      <c r="F206" s="804">
        <v>64</v>
      </c>
      <c r="G206" s="804" t="s">
        <v>539</v>
      </c>
      <c r="H206" s="77" t="s">
        <v>73</v>
      </c>
      <c r="I206" s="178">
        <v>2.5</v>
      </c>
      <c r="J206" s="804" t="s">
        <v>140</v>
      </c>
      <c r="K206" s="77" t="s">
        <v>104</v>
      </c>
      <c r="L206" s="843" t="s">
        <v>570</v>
      </c>
      <c r="M206" s="848" t="s">
        <v>256</v>
      </c>
      <c r="N206" s="843" t="s">
        <v>256</v>
      </c>
      <c r="O206" s="843" t="s">
        <v>256</v>
      </c>
      <c r="P206" s="843" t="s">
        <v>256</v>
      </c>
      <c r="Q206" s="310" t="s">
        <v>256</v>
      </c>
      <c r="R206" s="77" t="s">
        <v>543</v>
      </c>
      <c r="S206" s="311" t="s">
        <v>562</v>
      </c>
      <c r="T206" s="825">
        <v>6000</v>
      </c>
      <c r="U206" s="825">
        <v>6160</v>
      </c>
      <c r="V206" s="825">
        <v>6040</v>
      </c>
      <c r="W206" s="885">
        <v>6120</v>
      </c>
      <c r="X206" s="759">
        <v>7690</v>
      </c>
      <c r="Y206" s="798">
        <v>8430</v>
      </c>
      <c r="Z206" s="759">
        <v>7590</v>
      </c>
      <c r="AA206" s="759">
        <v>7170</v>
      </c>
      <c r="AB206" s="886">
        <v>6600</v>
      </c>
      <c r="AC206" s="887">
        <v>6260</v>
      </c>
      <c r="AD206" s="754">
        <v>7310</v>
      </c>
      <c r="AE206" s="86" t="s">
        <v>229</v>
      </c>
      <c r="AF206" s="78">
        <v>32600</v>
      </c>
      <c r="AG206" s="79">
        <v>0.22423312883435584</v>
      </c>
      <c r="AH206" s="86" t="s">
        <v>1524</v>
      </c>
      <c r="AI206" s="181">
        <v>510</v>
      </c>
      <c r="AJ206" s="181">
        <v>620</v>
      </c>
      <c r="AK206" s="312">
        <v>2930</v>
      </c>
      <c r="AL206" s="832">
        <f t="shared" si="4"/>
        <v>18275</v>
      </c>
      <c r="AM206" s="221">
        <v>2</v>
      </c>
    </row>
    <row r="207" spans="1:39" ht="15" thickBot="1" x14ac:dyDescent="0.35">
      <c r="A207" s="268">
        <v>257</v>
      </c>
      <c r="B207" s="268">
        <v>219</v>
      </c>
      <c r="C207" s="313" t="s">
        <v>571</v>
      </c>
      <c r="D207" s="191" t="s">
        <v>473</v>
      </c>
      <c r="E207" s="35" t="s">
        <v>572</v>
      </c>
      <c r="F207" s="799">
        <v>67</v>
      </c>
      <c r="G207" s="799" t="s">
        <v>539</v>
      </c>
      <c r="H207" s="36" t="s">
        <v>73</v>
      </c>
      <c r="I207" s="235">
        <v>1.6</v>
      </c>
      <c r="J207" s="799" t="s">
        <v>140</v>
      </c>
      <c r="K207" s="36" t="s">
        <v>104</v>
      </c>
      <c r="L207" s="837" t="s">
        <v>570</v>
      </c>
      <c r="M207" s="837" t="s">
        <v>573</v>
      </c>
      <c r="N207" s="837" t="s">
        <v>573</v>
      </c>
      <c r="O207" s="837" t="s">
        <v>573</v>
      </c>
      <c r="P207" s="837" t="s">
        <v>573</v>
      </c>
      <c r="Q207" s="314" t="s">
        <v>573</v>
      </c>
      <c r="R207" s="39" t="s">
        <v>556</v>
      </c>
      <c r="S207" s="65" t="s">
        <v>562</v>
      </c>
      <c r="T207" s="833">
        <v>3110</v>
      </c>
      <c r="U207" s="833">
        <v>3300</v>
      </c>
      <c r="V207" s="833">
        <v>3320</v>
      </c>
      <c r="W207" s="820">
        <v>3550</v>
      </c>
      <c r="X207" s="838">
        <v>3930</v>
      </c>
      <c r="Y207" s="838">
        <v>4570</v>
      </c>
      <c r="Z207" s="838">
        <v>7590</v>
      </c>
      <c r="AA207" s="838">
        <v>4180</v>
      </c>
      <c r="AB207" s="838">
        <v>4320</v>
      </c>
      <c r="AC207" s="888">
        <v>4540</v>
      </c>
      <c r="AD207" s="749">
        <v>4970</v>
      </c>
      <c r="AE207" s="36" t="s">
        <v>229</v>
      </c>
      <c r="AF207" s="138">
        <v>34230</v>
      </c>
      <c r="AG207" s="315">
        <v>0.14519427402862986</v>
      </c>
      <c r="AH207" s="83" t="s">
        <v>1524</v>
      </c>
      <c r="AI207" s="120">
        <v>310</v>
      </c>
      <c r="AJ207" s="120">
        <v>410</v>
      </c>
      <c r="AK207" s="316">
        <v>3080</v>
      </c>
      <c r="AL207" s="832">
        <f t="shared" si="4"/>
        <v>7952</v>
      </c>
      <c r="AM207" s="121">
        <v>2</v>
      </c>
    </row>
    <row r="208" spans="1:39" ht="15" thickBot="1" x14ac:dyDescent="0.35">
      <c r="A208" s="88"/>
      <c r="B208" s="88"/>
      <c r="C208" s="313" t="s">
        <v>571</v>
      </c>
      <c r="D208" s="258" t="s">
        <v>473</v>
      </c>
      <c r="E208" s="257" t="s">
        <v>574</v>
      </c>
      <c r="F208" s="219">
        <v>68</v>
      </c>
      <c r="G208" s="803" t="s">
        <v>539</v>
      </c>
      <c r="H208" s="163" t="s">
        <v>73</v>
      </c>
      <c r="I208" s="317">
        <v>1.8</v>
      </c>
      <c r="J208" s="803" t="s">
        <v>140</v>
      </c>
      <c r="K208" s="163" t="s">
        <v>104</v>
      </c>
      <c r="L208" s="845" t="s">
        <v>570</v>
      </c>
      <c r="M208" s="850" t="s">
        <v>573</v>
      </c>
      <c r="N208" s="845" t="s">
        <v>573</v>
      </c>
      <c r="O208" s="845" t="s">
        <v>573</v>
      </c>
      <c r="P208" s="845" t="s">
        <v>573</v>
      </c>
      <c r="Q208" s="314" t="s">
        <v>573</v>
      </c>
      <c r="R208" s="217" t="s">
        <v>556</v>
      </c>
      <c r="S208" s="297" t="s">
        <v>562</v>
      </c>
      <c r="T208" s="846">
        <v>2250</v>
      </c>
      <c r="U208" s="846">
        <v>2610</v>
      </c>
      <c r="V208" s="846">
        <v>2770</v>
      </c>
      <c r="W208" s="847">
        <v>3270</v>
      </c>
      <c r="X208" s="761">
        <v>3760</v>
      </c>
      <c r="Y208" s="858">
        <v>4780</v>
      </c>
      <c r="Z208" s="761">
        <v>7590</v>
      </c>
      <c r="AA208" s="761">
        <v>5150</v>
      </c>
      <c r="AB208" s="761">
        <v>5470</v>
      </c>
      <c r="AC208" s="880">
        <v>6160</v>
      </c>
      <c r="AD208" s="752">
        <v>6790</v>
      </c>
      <c r="AE208" s="170" t="s">
        <v>229</v>
      </c>
      <c r="AF208" s="171">
        <v>34230</v>
      </c>
      <c r="AG208" s="172">
        <v>0.19836400817995911</v>
      </c>
      <c r="AH208" s="170" t="s">
        <v>1524</v>
      </c>
      <c r="AI208" s="169">
        <v>480</v>
      </c>
      <c r="AJ208" s="169">
        <v>530</v>
      </c>
      <c r="AK208" s="298">
        <v>3080</v>
      </c>
      <c r="AL208" s="881">
        <f t="shared" si="4"/>
        <v>12222</v>
      </c>
      <c r="AM208" s="174">
        <v>2</v>
      </c>
    </row>
    <row r="209" spans="1:39" x14ac:dyDescent="0.3">
      <c r="A209" s="103">
        <v>264</v>
      </c>
      <c r="B209" s="103">
        <v>226</v>
      </c>
      <c r="C209" s="318" t="s">
        <v>575</v>
      </c>
      <c r="D209" s="188" t="s">
        <v>576</v>
      </c>
      <c r="E209" s="319" t="s">
        <v>577</v>
      </c>
      <c r="F209" s="802">
        <v>73</v>
      </c>
      <c r="G209" s="802" t="s">
        <v>539</v>
      </c>
      <c r="H209" s="200" t="s">
        <v>73</v>
      </c>
      <c r="I209" s="107">
        <v>0.15</v>
      </c>
      <c r="J209" s="802" t="s">
        <v>237</v>
      </c>
      <c r="K209" s="200" t="s">
        <v>104</v>
      </c>
      <c r="L209" s="843" t="s">
        <v>578</v>
      </c>
      <c r="M209" s="848" t="s">
        <v>579</v>
      </c>
      <c r="N209" s="830" t="s">
        <v>579</v>
      </c>
      <c r="O209" s="830" t="s">
        <v>579</v>
      </c>
      <c r="P209" s="830" t="s">
        <v>580</v>
      </c>
      <c r="Q209" s="320" t="s">
        <v>580</v>
      </c>
      <c r="R209" s="106" t="s">
        <v>543</v>
      </c>
      <c r="S209" s="106" t="s">
        <v>562</v>
      </c>
      <c r="T209" s="833">
        <v>10380</v>
      </c>
      <c r="U209" s="833">
        <v>10580</v>
      </c>
      <c r="V209" s="833">
        <v>10650</v>
      </c>
      <c r="W209" s="831">
        <v>10430</v>
      </c>
      <c r="X209" s="889">
        <v>9410</v>
      </c>
      <c r="Y209" s="889">
        <v>10990</v>
      </c>
      <c r="Z209" s="872">
        <v>11250</v>
      </c>
      <c r="AA209" s="872">
        <v>11780</v>
      </c>
      <c r="AB209" s="873">
        <v>14830</v>
      </c>
      <c r="AC209" s="878">
        <v>8480</v>
      </c>
      <c r="AD209" s="751">
        <v>8320</v>
      </c>
      <c r="AE209" s="200" t="s">
        <v>229</v>
      </c>
      <c r="AF209" s="286">
        <v>22820</v>
      </c>
      <c r="AG209" s="82">
        <v>0.36459246275197194</v>
      </c>
      <c r="AH209" s="287" t="s">
        <v>97</v>
      </c>
      <c r="AI209" s="288">
        <v>500</v>
      </c>
      <c r="AJ209" s="288">
        <v>740</v>
      </c>
      <c r="AK209" s="288">
        <v>2060</v>
      </c>
      <c r="AL209" s="832">
        <f t="shared" si="4"/>
        <v>1248</v>
      </c>
      <c r="AM209" s="201">
        <v>4</v>
      </c>
    </row>
    <row r="210" spans="1:39" ht="15" thickBot="1" x14ac:dyDescent="0.35">
      <c r="A210" s="33">
        <v>263</v>
      </c>
      <c r="B210" s="33">
        <v>225</v>
      </c>
      <c r="C210" s="300" t="s">
        <v>575</v>
      </c>
      <c r="D210" s="301" t="s">
        <v>581</v>
      </c>
      <c r="E210" s="51" t="s">
        <v>582</v>
      </c>
      <c r="F210" s="800">
        <v>74</v>
      </c>
      <c r="G210" s="800" t="s">
        <v>539</v>
      </c>
      <c r="H210" s="71" t="s">
        <v>73</v>
      </c>
      <c r="I210" s="72">
        <v>0.15</v>
      </c>
      <c r="J210" s="800" t="s">
        <v>237</v>
      </c>
      <c r="K210" s="321" t="s">
        <v>104</v>
      </c>
      <c r="L210" s="835" t="s">
        <v>583</v>
      </c>
      <c r="M210" s="839" t="s">
        <v>584</v>
      </c>
      <c r="N210" s="835" t="s">
        <v>584</v>
      </c>
      <c r="O210" s="835" t="s">
        <v>584</v>
      </c>
      <c r="P210" s="835" t="s">
        <v>542</v>
      </c>
      <c r="Q210" s="859" t="s">
        <v>542</v>
      </c>
      <c r="R210" s="52" t="s">
        <v>543</v>
      </c>
      <c r="S210" s="85" t="s">
        <v>562</v>
      </c>
      <c r="T210" s="825">
        <v>10310</v>
      </c>
      <c r="U210" s="825">
        <v>10260</v>
      </c>
      <c r="V210" s="825">
        <v>10380</v>
      </c>
      <c r="W210" s="822">
        <v>10320</v>
      </c>
      <c r="X210" s="760">
        <v>9310</v>
      </c>
      <c r="Y210" s="760">
        <v>11630</v>
      </c>
      <c r="Z210" s="760">
        <v>11140</v>
      </c>
      <c r="AA210" s="760">
        <v>12110</v>
      </c>
      <c r="AB210" s="819">
        <v>12230</v>
      </c>
      <c r="AC210" s="884">
        <v>8650</v>
      </c>
      <c r="AD210" s="748">
        <v>9470</v>
      </c>
      <c r="AE210" s="80" t="s">
        <v>229</v>
      </c>
      <c r="AF210" s="322">
        <v>13640</v>
      </c>
      <c r="AG210" s="303">
        <v>0.69428152492668627</v>
      </c>
      <c r="AH210" s="80" t="s">
        <v>80</v>
      </c>
      <c r="AI210" s="115">
        <v>530</v>
      </c>
      <c r="AJ210" s="115">
        <v>730</v>
      </c>
      <c r="AK210" s="194">
        <v>1020</v>
      </c>
      <c r="AL210" s="783">
        <f t="shared" si="4"/>
        <v>1420.5</v>
      </c>
      <c r="AM210" s="122">
        <v>2</v>
      </c>
    </row>
    <row r="211" spans="1:39" x14ac:dyDescent="0.3">
      <c r="A211" s="33">
        <v>262</v>
      </c>
      <c r="B211" s="33">
        <v>224</v>
      </c>
      <c r="C211" s="300" t="s">
        <v>575</v>
      </c>
      <c r="D211" s="323" t="s">
        <v>585</v>
      </c>
      <c r="E211" s="64" t="s">
        <v>586</v>
      </c>
      <c r="F211" s="49">
        <v>75</v>
      </c>
      <c r="G211" s="799" t="s">
        <v>539</v>
      </c>
      <c r="H211" s="36" t="s">
        <v>73</v>
      </c>
      <c r="I211" s="37">
        <v>0.5</v>
      </c>
      <c r="J211" s="799" t="s">
        <v>237</v>
      </c>
      <c r="K211" s="324" t="s">
        <v>104</v>
      </c>
      <c r="L211" s="835" t="s">
        <v>583</v>
      </c>
      <c r="M211" s="839" t="s">
        <v>587</v>
      </c>
      <c r="N211" s="837" t="s">
        <v>587</v>
      </c>
      <c r="O211" s="837" t="s">
        <v>587</v>
      </c>
      <c r="P211" s="837" t="s">
        <v>588</v>
      </c>
      <c r="Q211" s="890" t="s">
        <v>588</v>
      </c>
      <c r="R211" s="65" t="s">
        <v>543</v>
      </c>
      <c r="S211" s="65" t="s">
        <v>562</v>
      </c>
      <c r="T211" s="833">
        <v>10610</v>
      </c>
      <c r="U211" s="833">
        <v>10230</v>
      </c>
      <c r="V211" s="833">
        <v>10590</v>
      </c>
      <c r="W211" s="820">
        <v>10630</v>
      </c>
      <c r="X211" s="838">
        <v>9170</v>
      </c>
      <c r="Y211" s="838">
        <v>11890</v>
      </c>
      <c r="Z211" s="838">
        <v>11500</v>
      </c>
      <c r="AA211" s="819">
        <v>12840</v>
      </c>
      <c r="AB211" s="838">
        <v>11030</v>
      </c>
      <c r="AC211" s="888">
        <v>8720</v>
      </c>
      <c r="AD211" s="749">
        <v>9850</v>
      </c>
      <c r="AE211" s="36" t="s">
        <v>229</v>
      </c>
      <c r="AF211" s="213">
        <v>14040</v>
      </c>
      <c r="AG211" s="315">
        <v>0.70156695156695159</v>
      </c>
      <c r="AH211" s="287" t="s">
        <v>80</v>
      </c>
      <c r="AI211" s="288">
        <v>550</v>
      </c>
      <c r="AJ211" s="288">
        <v>800</v>
      </c>
      <c r="AK211" s="294">
        <v>1270</v>
      </c>
      <c r="AL211" s="832">
        <f t="shared" si="4"/>
        <v>4925</v>
      </c>
      <c r="AM211" s="121">
        <v>2</v>
      </c>
    </row>
    <row r="212" spans="1:39" ht="15" thickBot="1" x14ac:dyDescent="0.35">
      <c r="A212" s="88">
        <v>259</v>
      </c>
      <c r="B212" s="88">
        <v>221</v>
      </c>
      <c r="C212" s="325" t="s">
        <v>575</v>
      </c>
      <c r="D212" s="296" t="s">
        <v>589</v>
      </c>
      <c r="E212" s="162" t="s">
        <v>590</v>
      </c>
      <c r="F212" s="803">
        <v>77</v>
      </c>
      <c r="G212" s="803" t="s">
        <v>539</v>
      </c>
      <c r="H212" s="163" t="s">
        <v>73</v>
      </c>
      <c r="I212" s="164">
        <v>0.85</v>
      </c>
      <c r="J212" s="803" t="s">
        <v>154</v>
      </c>
      <c r="K212" s="291" t="s">
        <v>104</v>
      </c>
      <c r="L212" s="845" t="s">
        <v>583</v>
      </c>
      <c r="M212" s="850" t="s">
        <v>587</v>
      </c>
      <c r="N212" s="845" t="s">
        <v>587</v>
      </c>
      <c r="O212" s="845" t="s">
        <v>587</v>
      </c>
      <c r="P212" s="845" t="s">
        <v>588</v>
      </c>
      <c r="Q212" s="890" t="s">
        <v>588</v>
      </c>
      <c r="R212" s="215" t="s">
        <v>543</v>
      </c>
      <c r="S212" s="297" t="s">
        <v>562</v>
      </c>
      <c r="T212" s="846">
        <v>6610</v>
      </c>
      <c r="U212" s="846">
        <v>6080</v>
      </c>
      <c r="V212" s="846">
        <v>6700</v>
      </c>
      <c r="W212" s="847">
        <v>6980</v>
      </c>
      <c r="X212" s="761">
        <v>6050</v>
      </c>
      <c r="Y212" s="761">
        <v>7430</v>
      </c>
      <c r="Z212" s="761">
        <v>7050</v>
      </c>
      <c r="AA212" s="761">
        <v>6870</v>
      </c>
      <c r="AB212" s="761">
        <v>6360</v>
      </c>
      <c r="AC212" s="880">
        <v>5040</v>
      </c>
      <c r="AD212" s="752">
        <v>5590</v>
      </c>
      <c r="AE212" s="170" t="s">
        <v>229</v>
      </c>
      <c r="AF212" s="326">
        <v>14040</v>
      </c>
      <c r="AG212" s="172">
        <v>0.39814814814814814</v>
      </c>
      <c r="AH212" s="170" t="s">
        <v>97</v>
      </c>
      <c r="AI212" s="169">
        <v>290</v>
      </c>
      <c r="AJ212" s="169">
        <v>510</v>
      </c>
      <c r="AK212" s="298">
        <v>1270</v>
      </c>
      <c r="AL212" s="881">
        <f t="shared" si="4"/>
        <v>4751.5</v>
      </c>
      <c r="AM212" s="174">
        <v>2</v>
      </c>
    </row>
    <row r="213" spans="1:39" ht="15" thickBot="1" x14ac:dyDescent="0.35">
      <c r="A213" s="327">
        <v>275</v>
      </c>
      <c r="B213" s="327">
        <v>232</v>
      </c>
      <c r="C213" s="328" t="s">
        <v>591</v>
      </c>
      <c r="D213" s="329" t="s">
        <v>592</v>
      </c>
      <c r="E213" s="329" t="s">
        <v>593</v>
      </c>
      <c r="F213" s="807">
        <v>91</v>
      </c>
      <c r="G213" s="807" t="s">
        <v>539</v>
      </c>
      <c r="H213" s="330"/>
      <c r="I213" s="331">
        <v>1.2</v>
      </c>
      <c r="J213" s="807" t="s">
        <v>154</v>
      </c>
      <c r="K213" s="332" t="s">
        <v>75</v>
      </c>
      <c r="L213" s="891" t="s">
        <v>594</v>
      </c>
      <c r="M213" s="891" t="s">
        <v>595</v>
      </c>
      <c r="N213" s="891" t="s">
        <v>595</v>
      </c>
      <c r="O213" s="891" t="s">
        <v>595</v>
      </c>
      <c r="P213" s="891" t="s">
        <v>367</v>
      </c>
      <c r="Q213" s="892" t="s">
        <v>367</v>
      </c>
      <c r="R213" s="330" t="s">
        <v>596</v>
      </c>
      <c r="S213" s="285" t="s">
        <v>549</v>
      </c>
      <c r="T213" s="827">
        <v>560</v>
      </c>
      <c r="U213" s="827">
        <v>540</v>
      </c>
      <c r="V213" s="827">
        <v>540</v>
      </c>
      <c r="W213" s="893">
        <v>540</v>
      </c>
      <c r="X213" s="860">
        <v>640</v>
      </c>
      <c r="Y213" s="860">
        <v>670</v>
      </c>
      <c r="Z213" s="860">
        <v>550</v>
      </c>
      <c r="AA213" s="860">
        <v>690</v>
      </c>
      <c r="AB213" s="860">
        <v>590</v>
      </c>
      <c r="AC213" s="893">
        <v>590</v>
      </c>
      <c r="AD213" s="758">
        <v>650</v>
      </c>
      <c r="AE213" s="330" t="s">
        <v>97</v>
      </c>
      <c r="AF213" s="186">
        <v>6450</v>
      </c>
      <c r="AG213" s="333">
        <v>0.10077519379844961</v>
      </c>
      <c r="AH213" s="307" t="s">
        <v>1524</v>
      </c>
      <c r="AI213" s="334">
        <v>50</v>
      </c>
      <c r="AJ213" s="334">
        <v>60</v>
      </c>
      <c r="AK213" s="335">
        <v>620</v>
      </c>
      <c r="AL213" s="894"/>
      <c r="AM213" s="337">
        <v>2</v>
      </c>
    </row>
    <row r="214" spans="1:39" x14ac:dyDescent="0.3">
      <c r="A214" s="103">
        <v>277</v>
      </c>
      <c r="B214" s="103">
        <v>233</v>
      </c>
      <c r="C214" s="318" t="s">
        <v>597</v>
      </c>
      <c r="D214" s="338" t="s">
        <v>598</v>
      </c>
      <c r="E214" s="339" t="s">
        <v>599</v>
      </c>
      <c r="F214" s="804">
        <v>100</v>
      </c>
      <c r="G214" s="804" t="s">
        <v>539</v>
      </c>
      <c r="H214" s="131" t="s">
        <v>73</v>
      </c>
      <c r="I214" s="178">
        <v>0.6</v>
      </c>
      <c r="J214" s="804" t="s">
        <v>237</v>
      </c>
      <c r="K214" s="340" t="s">
        <v>75</v>
      </c>
      <c r="L214" s="843" t="s">
        <v>367</v>
      </c>
      <c r="M214" s="848" t="s">
        <v>367</v>
      </c>
      <c r="N214" s="843" t="s">
        <v>367</v>
      </c>
      <c r="O214" s="843" t="s">
        <v>367</v>
      </c>
      <c r="P214" s="843" t="s">
        <v>367</v>
      </c>
      <c r="Q214" s="895" t="s">
        <v>367</v>
      </c>
      <c r="R214" s="220" t="s">
        <v>600</v>
      </c>
      <c r="S214" s="311" t="s">
        <v>601</v>
      </c>
      <c r="T214" s="57">
        <v>1100</v>
      </c>
      <c r="U214" s="57">
        <v>1140</v>
      </c>
      <c r="V214" s="57">
        <v>1020</v>
      </c>
      <c r="W214" s="836">
        <v>1000</v>
      </c>
      <c r="X214" s="896" t="s">
        <v>81</v>
      </c>
      <c r="Y214" s="798">
        <v>1030</v>
      </c>
      <c r="Z214" s="759">
        <v>1150</v>
      </c>
      <c r="AA214" s="759">
        <v>1230</v>
      </c>
      <c r="AB214" s="886">
        <v>1240</v>
      </c>
      <c r="AC214" s="897">
        <v>1120</v>
      </c>
      <c r="AD214" s="759">
        <v>1280</v>
      </c>
      <c r="AE214" s="77" t="s">
        <v>97</v>
      </c>
      <c r="AF214" s="341">
        <v>6450</v>
      </c>
      <c r="AG214" s="342">
        <v>0.19844961240310077</v>
      </c>
      <c r="AH214" s="343" t="s">
        <v>1524</v>
      </c>
      <c r="AI214" s="344">
        <v>120</v>
      </c>
      <c r="AJ214" s="344">
        <v>130</v>
      </c>
      <c r="AK214" s="345">
        <v>620</v>
      </c>
      <c r="AL214" s="832">
        <f t="shared" ref="AL214:AL238" si="5">IF(AD214&gt;0,AD214*$I214,"-")</f>
        <v>768</v>
      </c>
      <c r="AM214" s="182">
        <v>2</v>
      </c>
    </row>
    <row r="215" spans="1:39" ht="15" thickBot="1" x14ac:dyDescent="0.35">
      <c r="A215" s="88">
        <v>278</v>
      </c>
      <c r="B215" s="88">
        <v>234</v>
      </c>
      <c r="C215" s="346" t="s">
        <v>597</v>
      </c>
      <c r="D215" s="296" t="s">
        <v>602</v>
      </c>
      <c r="E215" s="347" t="s">
        <v>603</v>
      </c>
      <c r="F215" s="801">
        <v>101</v>
      </c>
      <c r="G215" s="801" t="s">
        <v>539</v>
      </c>
      <c r="H215" s="92" t="s">
        <v>73</v>
      </c>
      <c r="I215" s="93">
        <v>2</v>
      </c>
      <c r="J215" s="801" t="s">
        <v>154</v>
      </c>
      <c r="K215" s="271" t="s">
        <v>75</v>
      </c>
      <c r="L215" s="845" t="s">
        <v>367</v>
      </c>
      <c r="M215" s="850" t="s">
        <v>367</v>
      </c>
      <c r="N215" s="841" t="s">
        <v>367</v>
      </c>
      <c r="O215" s="841" t="s">
        <v>367</v>
      </c>
      <c r="P215" s="841" t="s">
        <v>367</v>
      </c>
      <c r="Q215" s="898" t="s">
        <v>367</v>
      </c>
      <c r="R215" s="95" t="s">
        <v>604</v>
      </c>
      <c r="S215" s="95" t="s">
        <v>605</v>
      </c>
      <c r="T215" s="124">
        <v>510</v>
      </c>
      <c r="U215" s="124">
        <v>580</v>
      </c>
      <c r="V215" s="124">
        <v>600</v>
      </c>
      <c r="W215" s="828">
        <v>610</v>
      </c>
      <c r="X215" s="899" t="s">
        <v>81</v>
      </c>
      <c r="Y215" s="842">
        <v>700</v>
      </c>
      <c r="Z215" s="842">
        <v>780</v>
      </c>
      <c r="AA215" s="842">
        <v>810</v>
      </c>
      <c r="AB215" s="842">
        <v>860</v>
      </c>
      <c r="AC215" s="861">
        <v>850</v>
      </c>
      <c r="AD215" s="750">
        <v>890</v>
      </c>
      <c r="AE215" s="92" t="s">
        <v>97</v>
      </c>
      <c r="AF215" s="186">
        <v>6450</v>
      </c>
      <c r="AG215" s="333">
        <v>0.13798449612403102</v>
      </c>
      <c r="AH215" s="307" t="s">
        <v>1524</v>
      </c>
      <c r="AI215" s="334">
        <v>70</v>
      </c>
      <c r="AJ215" s="334">
        <v>100</v>
      </c>
      <c r="AK215" s="335">
        <v>620</v>
      </c>
      <c r="AL215" s="881">
        <f t="shared" si="5"/>
        <v>1780</v>
      </c>
      <c r="AM215" s="127">
        <v>2</v>
      </c>
    </row>
    <row r="216" spans="1:39" x14ac:dyDescent="0.3">
      <c r="A216" s="103">
        <v>285</v>
      </c>
      <c r="B216" s="103">
        <v>240</v>
      </c>
      <c r="C216" s="348" t="s">
        <v>606</v>
      </c>
      <c r="D216" s="338" t="s">
        <v>607</v>
      </c>
      <c r="E216" s="261" t="s">
        <v>608</v>
      </c>
      <c r="F216" s="804">
        <v>110</v>
      </c>
      <c r="G216" s="804" t="s">
        <v>539</v>
      </c>
      <c r="H216" s="77" t="s">
        <v>73</v>
      </c>
      <c r="I216" s="178">
        <v>2.8</v>
      </c>
      <c r="J216" s="804" t="s">
        <v>154</v>
      </c>
      <c r="K216" s="349" t="s">
        <v>104</v>
      </c>
      <c r="L216" s="843" t="s">
        <v>583</v>
      </c>
      <c r="M216" s="843" t="s">
        <v>584</v>
      </c>
      <c r="N216" s="843" t="s">
        <v>584</v>
      </c>
      <c r="O216" s="843" t="s">
        <v>584</v>
      </c>
      <c r="P216" s="843" t="s">
        <v>542</v>
      </c>
      <c r="Q216" s="900" t="s">
        <v>542</v>
      </c>
      <c r="R216" s="77" t="s">
        <v>543</v>
      </c>
      <c r="S216" s="77" t="s">
        <v>544</v>
      </c>
      <c r="T216" s="825">
        <v>1760</v>
      </c>
      <c r="U216" s="825">
        <v>2930</v>
      </c>
      <c r="V216" s="825">
        <v>2910</v>
      </c>
      <c r="W216" s="836">
        <v>2630</v>
      </c>
      <c r="X216" s="759">
        <v>8840</v>
      </c>
      <c r="Y216" s="759">
        <v>3310</v>
      </c>
      <c r="Z216" s="759">
        <v>3420</v>
      </c>
      <c r="AA216" s="901">
        <v>3000</v>
      </c>
      <c r="AB216" s="886">
        <v>2740</v>
      </c>
      <c r="AC216" s="897">
        <v>2390</v>
      </c>
      <c r="AD216" s="759">
        <v>3950</v>
      </c>
      <c r="AE216" s="343" t="s">
        <v>229</v>
      </c>
      <c r="AF216" s="350">
        <v>13640</v>
      </c>
      <c r="AG216" s="342">
        <v>0.28958944281524929</v>
      </c>
      <c r="AH216" s="343" t="s">
        <v>97</v>
      </c>
      <c r="AI216" s="344">
        <v>210</v>
      </c>
      <c r="AJ216" s="344">
        <v>360</v>
      </c>
      <c r="AK216" s="344">
        <v>1020</v>
      </c>
      <c r="AL216" s="902">
        <f t="shared" si="5"/>
        <v>11060</v>
      </c>
      <c r="AM216" s="221">
        <v>2</v>
      </c>
    </row>
    <row r="217" spans="1:39" ht="15" thickBot="1" x14ac:dyDescent="0.35">
      <c r="A217" s="268">
        <v>284</v>
      </c>
      <c r="B217" s="268">
        <v>239</v>
      </c>
      <c r="C217" s="300" t="s">
        <v>609</v>
      </c>
      <c r="D217" s="351" t="s">
        <v>610</v>
      </c>
      <c r="E217" s="35" t="s">
        <v>611</v>
      </c>
      <c r="F217" s="799">
        <v>111</v>
      </c>
      <c r="G217" s="799" t="s">
        <v>539</v>
      </c>
      <c r="H217" s="36" t="s">
        <v>73</v>
      </c>
      <c r="I217" s="37">
        <v>1.3</v>
      </c>
      <c r="J217" s="799" t="s">
        <v>154</v>
      </c>
      <c r="K217" s="324" t="s">
        <v>104</v>
      </c>
      <c r="L217" s="837" t="s">
        <v>583</v>
      </c>
      <c r="M217" s="837" t="s">
        <v>584</v>
      </c>
      <c r="N217" s="837" t="s">
        <v>584</v>
      </c>
      <c r="O217" s="837" t="s">
        <v>584</v>
      </c>
      <c r="P217" s="837" t="s">
        <v>542</v>
      </c>
      <c r="Q217" s="903" t="s">
        <v>542</v>
      </c>
      <c r="R217" s="65" t="s">
        <v>543</v>
      </c>
      <c r="S217" s="65" t="s">
        <v>544</v>
      </c>
      <c r="T217" s="833">
        <v>6780</v>
      </c>
      <c r="U217" s="833">
        <v>9420</v>
      </c>
      <c r="V217" s="833">
        <v>9420</v>
      </c>
      <c r="W217" s="820">
        <v>9260</v>
      </c>
      <c r="X217" s="838">
        <v>9600</v>
      </c>
      <c r="Y217" s="838">
        <v>9670</v>
      </c>
      <c r="Z217" s="838">
        <v>9720</v>
      </c>
      <c r="AA217" s="838">
        <v>7680</v>
      </c>
      <c r="AB217" s="838">
        <v>11050</v>
      </c>
      <c r="AC217" s="888">
        <v>9940</v>
      </c>
      <c r="AD217" s="749">
        <v>10920</v>
      </c>
      <c r="AE217" s="36" t="s">
        <v>229</v>
      </c>
      <c r="AF217" s="213">
        <v>13640</v>
      </c>
      <c r="AG217" s="315">
        <v>0.80058651026392957</v>
      </c>
      <c r="AH217" s="83" t="s">
        <v>80</v>
      </c>
      <c r="AI217" s="120">
        <v>660</v>
      </c>
      <c r="AJ217" s="120">
        <v>880</v>
      </c>
      <c r="AK217" s="120">
        <v>1020</v>
      </c>
      <c r="AL217" s="819">
        <f t="shared" si="5"/>
        <v>14196</v>
      </c>
      <c r="AM217" s="121">
        <v>2</v>
      </c>
    </row>
    <row r="218" spans="1:39" x14ac:dyDescent="0.3">
      <c r="A218" s="33">
        <v>282</v>
      </c>
      <c r="B218" s="33">
        <v>237</v>
      </c>
      <c r="C218" s="352" t="s">
        <v>609</v>
      </c>
      <c r="D218" s="353" t="s">
        <v>612</v>
      </c>
      <c r="E218" s="70" t="s">
        <v>613</v>
      </c>
      <c r="F218" s="800">
        <v>113</v>
      </c>
      <c r="G218" s="800" t="s">
        <v>539</v>
      </c>
      <c r="H218" s="52" t="s">
        <v>73</v>
      </c>
      <c r="I218" s="72">
        <v>0.75</v>
      </c>
      <c r="J218" s="800" t="s">
        <v>154</v>
      </c>
      <c r="K218" s="52" t="s">
        <v>104</v>
      </c>
      <c r="L218" s="835" t="s">
        <v>614</v>
      </c>
      <c r="M218" s="835" t="s">
        <v>615</v>
      </c>
      <c r="N218" s="835" t="s">
        <v>615</v>
      </c>
      <c r="O218" s="835" t="s">
        <v>615</v>
      </c>
      <c r="P218" s="835" t="s">
        <v>616</v>
      </c>
      <c r="Q218" s="904" t="s">
        <v>616</v>
      </c>
      <c r="R218" s="52" t="s">
        <v>543</v>
      </c>
      <c r="S218" s="52" t="s">
        <v>544</v>
      </c>
      <c r="T218" s="825">
        <v>8250</v>
      </c>
      <c r="U218" s="825">
        <v>11990</v>
      </c>
      <c r="V218" s="825">
        <v>11760</v>
      </c>
      <c r="W218" s="822">
        <v>11450</v>
      </c>
      <c r="X218" s="760">
        <v>11850</v>
      </c>
      <c r="Y218" s="760">
        <v>12920</v>
      </c>
      <c r="Z218" s="760">
        <v>12330</v>
      </c>
      <c r="AA218" s="760">
        <v>9970</v>
      </c>
      <c r="AB218" s="760">
        <v>12090</v>
      </c>
      <c r="AC218" s="905">
        <v>11040</v>
      </c>
      <c r="AD218" s="760">
        <v>12760</v>
      </c>
      <c r="AE218" s="77" t="s">
        <v>229</v>
      </c>
      <c r="AF218" s="57">
        <v>14740</v>
      </c>
      <c r="AG218" s="354">
        <v>0.86567164179104472</v>
      </c>
      <c r="AH218" s="77" t="s">
        <v>80</v>
      </c>
      <c r="AI218" s="180">
        <v>700</v>
      </c>
      <c r="AJ218" s="180">
        <v>1030</v>
      </c>
      <c r="AK218" s="355">
        <v>1330</v>
      </c>
      <c r="AL218" s="832">
        <f t="shared" si="5"/>
        <v>9570</v>
      </c>
      <c r="AM218" s="63">
        <v>2</v>
      </c>
    </row>
    <row r="219" spans="1:39" ht="15" thickBot="1" x14ac:dyDescent="0.35">
      <c r="A219" s="305">
        <v>280</v>
      </c>
      <c r="B219" s="305">
        <v>235</v>
      </c>
      <c r="C219" s="346" t="s">
        <v>609</v>
      </c>
      <c r="D219" s="306" t="s">
        <v>617</v>
      </c>
      <c r="E219" s="185" t="s">
        <v>618</v>
      </c>
      <c r="F219" s="801">
        <v>115</v>
      </c>
      <c r="G219" s="801" t="s">
        <v>539</v>
      </c>
      <c r="H219" s="92" t="s">
        <v>73</v>
      </c>
      <c r="I219" s="93">
        <v>0.4</v>
      </c>
      <c r="J219" s="801" t="s">
        <v>154</v>
      </c>
      <c r="K219" s="271" t="s">
        <v>104</v>
      </c>
      <c r="L219" s="841" t="s">
        <v>619</v>
      </c>
      <c r="M219" s="841" t="s">
        <v>620</v>
      </c>
      <c r="N219" s="841" t="s">
        <v>620</v>
      </c>
      <c r="O219" s="841" t="s">
        <v>620</v>
      </c>
      <c r="P219" s="841" t="s">
        <v>621</v>
      </c>
      <c r="Q219" s="904" t="s">
        <v>616</v>
      </c>
      <c r="R219" s="97" t="s">
        <v>543</v>
      </c>
      <c r="S219" s="97" t="s">
        <v>544</v>
      </c>
      <c r="T219" s="827">
        <v>9170</v>
      </c>
      <c r="U219" s="827">
        <v>13680</v>
      </c>
      <c r="V219" s="827">
        <v>13050</v>
      </c>
      <c r="W219" s="828">
        <v>12920</v>
      </c>
      <c r="X219" s="842">
        <v>14770</v>
      </c>
      <c r="Y219" s="842">
        <v>15190</v>
      </c>
      <c r="Z219" s="842">
        <v>13540</v>
      </c>
      <c r="AA219" s="842">
        <v>12970</v>
      </c>
      <c r="AB219" s="842">
        <v>15730</v>
      </c>
      <c r="AC219" s="861">
        <v>11290</v>
      </c>
      <c r="AD219" s="750">
        <v>11730</v>
      </c>
      <c r="AE219" s="97" t="s">
        <v>229</v>
      </c>
      <c r="AF219" s="241">
        <v>14740</v>
      </c>
      <c r="AG219" s="147">
        <v>0.79579375848032563</v>
      </c>
      <c r="AH219" s="100" t="s">
        <v>80</v>
      </c>
      <c r="AI219" s="126">
        <v>730</v>
      </c>
      <c r="AJ219" s="126">
        <v>950</v>
      </c>
      <c r="AK219" s="308">
        <v>1330</v>
      </c>
      <c r="AL219" s="881">
        <f t="shared" si="5"/>
        <v>4692</v>
      </c>
      <c r="AM219" s="127">
        <v>4</v>
      </c>
    </row>
    <row r="220" spans="1:39" ht="15" thickBot="1" x14ac:dyDescent="0.35">
      <c r="A220" s="103">
        <v>295</v>
      </c>
      <c r="B220" s="103">
        <v>249</v>
      </c>
      <c r="C220" s="356" t="s">
        <v>622</v>
      </c>
      <c r="D220" s="188" t="s">
        <v>623</v>
      </c>
      <c r="E220" s="177" t="s">
        <v>624</v>
      </c>
      <c r="F220" s="804">
        <v>1872</v>
      </c>
      <c r="G220" s="804" t="s">
        <v>539</v>
      </c>
      <c r="H220" s="77" t="s">
        <v>73</v>
      </c>
      <c r="I220" s="178">
        <v>7.65</v>
      </c>
      <c r="J220" s="804" t="s">
        <v>140</v>
      </c>
      <c r="K220" s="349" t="s">
        <v>104</v>
      </c>
      <c r="L220" s="843" t="s">
        <v>625</v>
      </c>
      <c r="M220" s="843" t="s">
        <v>584</v>
      </c>
      <c r="N220" s="843" t="s">
        <v>584</v>
      </c>
      <c r="O220" s="843" t="s">
        <v>584</v>
      </c>
      <c r="P220" s="843" t="s">
        <v>626</v>
      </c>
      <c r="Q220" s="859" t="s">
        <v>542</v>
      </c>
      <c r="R220" s="220" t="s">
        <v>144</v>
      </c>
      <c r="S220" s="220" t="s">
        <v>145</v>
      </c>
      <c r="T220" s="825">
        <v>2230</v>
      </c>
      <c r="U220" s="825">
        <v>2610</v>
      </c>
      <c r="V220" s="825">
        <v>2450</v>
      </c>
      <c r="W220" s="836">
        <v>2180</v>
      </c>
      <c r="X220" s="759">
        <v>2960</v>
      </c>
      <c r="Y220" s="759">
        <v>3050</v>
      </c>
      <c r="Z220" s="759">
        <v>1770</v>
      </c>
      <c r="AA220" s="901">
        <v>2170</v>
      </c>
      <c r="AB220" s="886">
        <v>3140</v>
      </c>
      <c r="AC220" s="897">
        <v>3440</v>
      </c>
      <c r="AD220" s="759">
        <v>3230</v>
      </c>
      <c r="AE220" s="77" t="s">
        <v>229</v>
      </c>
      <c r="AF220" s="357">
        <v>13640</v>
      </c>
      <c r="AG220" s="354">
        <v>0.23680351906158359</v>
      </c>
      <c r="AH220" s="343" t="s">
        <v>97</v>
      </c>
      <c r="AI220" s="180">
        <v>180</v>
      </c>
      <c r="AJ220" s="180">
        <v>300</v>
      </c>
      <c r="AK220" s="180">
        <v>1020</v>
      </c>
      <c r="AL220" s="832">
        <f t="shared" si="5"/>
        <v>24709.5</v>
      </c>
      <c r="AM220" s="221">
        <v>2</v>
      </c>
    </row>
    <row r="221" spans="1:39" x14ac:dyDescent="0.3">
      <c r="A221" s="268">
        <v>294</v>
      </c>
      <c r="B221" s="268">
        <v>248</v>
      </c>
      <c r="C221" s="358" t="s">
        <v>622</v>
      </c>
      <c r="D221" s="351" t="s">
        <v>627</v>
      </c>
      <c r="E221" s="35" t="s">
        <v>628</v>
      </c>
      <c r="F221" s="799">
        <v>116</v>
      </c>
      <c r="G221" s="799" t="s">
        <v>539</v>
      </c>
      <c r="H221" s="36" t="s">
        <v>73</v>
      </c>
      <c r="I221" s="37">
        <v>1.6</v>
      </c>
      <c r="J221" s="799" t="s">
        <v>140</v>
      </c>
      <c r="K221" s="324" t="s">
        <v>104</v>
      </c>
      <c r="L221" s="837" t="s">
        <v>570</v>
      </c>
      <c r="M221" s="837" t="s">
        <v>587</v>
      </c>
      <c r="N221" s="837" t="s">
        <v>587</v>
      </c>
      <c r="O221" s="837" t="s">
        <v>587</v>
      </c>
      <c r="P221" s="837" t="s">
        <v>629</v>
      </c>
      <c r="Q221" s="310" t="s">
        <v>629</v>
      </c>
      <c r="R221" s="38" t="s">
        <v>144</v>
      </c>
      <c r="S221" s="38" t="s">
        <v>145</v>
      </c>
      <c r="T221" s="833">
        <v>5580</v>
      </c>
      <c r="U221" s="833">
        <v>6560</v>
      </c>
      <c r="V221" s="833">
        <v>6390</v>
      </c>
      <c r="W221" s="820">
        <v>5520</v>
      </c>
      <c r="X221" s="838">
        <v>4190</v>
      </c>
      <c r="Y221" s="838">
        <v>6690</v>
      </c>
      <c r="Z221" s="838">
        <v>4850</v>
      </c>
      <c r="AA221" s="838">
        <v>5000</v>
      </c>
      <c r="AB221" s="838">
        <v>7370</v>
      </c>
      <c r="AC221" s="888">
        <v>7030</v>
      </c>
      <c r="AD221" s="749">
        <v>6720</v>
      </c>
      <c r="AE221" s="65" t="s">
        <v>229</v>
      </c>
      <c r="AF221" s="213">
        <v>17050</v>
      </c>
      <c r="AG221" s="315">
        <v>0.39413489736070384</v>
      </c>
      <c r="AH221" s="287" t="s">
        <v>97</v>
      </c>
      <c r="AI221" s="120">
        <v>420</v>
      </c>
      <c r="AJ221" s="120">
        <v>560</v>
      </c>
      <c r="AK221" s="316">
        <v>1540</v>
      </c>
      <c r="AL221" s="832">
        <f t="shared" si="5"/>
        <v>10752</v>
      </c>
      <c r="AM221" s="121">
        <v>2</v>
      </c>
    </row>
    <row r="222" spans="1:39" x14ac:dyDescent="0.3">
      <c r="A222" s="33">
        <v>292</v>
      </c>
      <c r="B222" s="33">
        <v>246</v>
      </c>
      <c r="C222" s="359" t="s">
        <v>622</v>
      </c>
      <c r="D222" s="353" t="s">
        <v>630</v>
      </c>
      <c r="E222" s="51" t="s">
        <v>631</v>
      </c>
      <c r="F222" s="800">
        <v>118</v>
      </c>
      <c r="G222" s="800" t="s">
        <v>539</v>
      </c>
      <c r="H222" s="52" t="s">
        <v>73</v>
      </c>
      <c r="I222" s="72">
        <v>0.45</v>
      </c>
      <c r="J222" s="800" t="s">
        <v>140</v>
      </c>
      <c r="K222" s="302" t="s">
        <v>104</v>
      </c>
      <c r="L222" s="835" t="s">
        <v>570</v>
      </c>
      <c r="M222" s="835" t="s">
        <v>587</v>
      </c>
      <c r="N222" s="835" t="s">
        <v>587</v>
      </c>
      <c r="O222" s="835" t="s">
        <v>587</v>
      </c>
      <c r="P222" s="835" t="s">
        <v>629</v>
      </c>
      <c r="Q222" s="310" t="s">
        <v>629</v>
      </c>
      <c r="R222" s="55" t="s">
        <v>144</v>
      </c>
      <c r="S222" s="55" t="s">
        <v>145</v>
      </c>
      <c r="T222" s="825">
        <v>5650</v>
      </c>
      <c r="U222" s="825">
        <v>6530</v>
      </c>
      <c r="V222" s="825">
        <v>6370</v>
      </c>
      <c r="W222" s="822">
        <v>5450</v>
      </c>
      <c r="X222" s="760">
        <v>7470</v>
      </c>
      <c r="Y222" s="760">
        <v>7300</v>
      </c>
      <c r="Z222" s="760">
        <v>5380</v>
      </c>
      <c r="AA222" s="760">
        <v>5000</v>
      </c>
      <c r="AB222" s="760">
        <v>7310</v>
      </c>
      <c r="AC222" s="905">
        <v>7560</v>
      </c>
      <c r="AD222" s="760">
        <v>7030</v>
      </c>
      <c r="AE222" s="52" t="s">
        <v>229</v>
      </c>
      <c r="AF222" s="193">
        <v>17050</v>
      </c>
      <c r="AG222" s="360">
        <v>0.41231671554252197</v>
      </c>
      <c r="AH222" s="52" t="s">
        <v>97</v>
      </c>
      <c r="AI222" s="129">
        <v>450</v>
      </c>
      <c r="AJ222" s="129">
        <v>560</v>
      </c>
      <c r="AK222" s="361">
        <v>1540</v>
      </c>
      <c r="AL222" s="832">
        <f t="shared" si="5"/>
        <v>3163.5</v>
      </c>
      <c r="AM222" s="63">
        <v>2</v>
      </c>
    </row>
    <row r="223" spans="1:39" x14ac:dyDescent="0.3">
      <c r="A223" s="268">
        <v>290</v>
      </c>
      <c r="B223" s="268">
        <v>244</v>
      </c>
      <c r="C223" s="358" t="s">
        <v>622</v>
      </c>
      <c r="D223" s="351" t="s">
        <v>632</v>
      </c>
      <c r="E223" s="64" t="s">
        <v>633</v>
      </c>
      <c r="F223" s="799">
        <v>120</v>
      </c>
      <c r="G223" s="799" t="s">
        <v>539</v>
      </c>
      <c r="H223" s="36" t="s">
        <v>73</v>
      </c>
      <c r="I223" s="37">
        <v>1.55</v>
      </c>
      <c r="J223" s="799" t="s">
        <v>140</v>
      </c>
      <c r="K223" s="324" t="s">
        <v>104</v>
      </c>
      <c r="L223" s="837" t="s">
        <v>570</v>
      </c>
      <c r="M223" s="837" t="s">
        <v>587</v>
      </c>
      <c r="N223" s="837" t="s">
        <v>587</v>
      </c>
      <c r="O223" s="837" t="s">
        <v>587</v>
      </c>
      <c r="P223" s="837" t="s">
        <v>629</v>
      </c>
      <c r="Q223" s="310" t="s">
        <v>629</v>
      </c>
      <c r="R223" s="38" t="s">
        <v>144</v>
      </c>
      <c r="S223" s="38" t="s">
        <v>145</v>
      </c>
      <c r="T223" s="833">
        <v>9900</v>
      </c>
      <c r="U223" s="833">
        <v>11900</v>
      </c>
      <c r="V223" s="833">
        <v>11400</v>
      </c>
      <c r="W223" s="820">
        <v>9650</v>
      </c>
      <c r="X223" s="838">
        <v>8370</v>
      </c>
      <c r="Y223" s="838">
        <v>11630</v>
      </c>
      <c r="Z223" s="838">
        <v>9600</v>
      </c>
      <c r="AA223" s="838">
        <v>9600</v>
      </c>
      <c r="AB223" s="838">
        <v>13370</v>
      </c>
      <c r="AC223" s="888">
        <v>12250</v>
      </c>
      <c r="AD223" s="749">
        <v>13180</v>
      </c>
      <c r="AE223" s="65" t="s">
        <v>229</v>
      </c>
      <c r="AF223" s="213">
        <v>17050</v>
      </c>
      <c r="AG223" s="315">
        <v>0.77302052785923758</v>
      </c>
      <c r="AH223" s="83" t="s">
        <v>97</v>
      </c>
      <c r="AI223" s="120">
        <v>720</v>
      </c>
      <c r="AJ223" s="120">
        <v>1010</v>
      </c>
      <c r="AK223" s="316">
        <v>1540</v>
      </c>
      <c r="AL223" s="832">
        <f t="shared" si="5"/>
        <v>20429</v>
      </c>
      <c r="AM223" s="121">
        <v>2</v>
      </c>
    </row>
    <row r="224" spans="1:39" ht="15" thickBot="1" x14ac:dyDescent="0.35">
      <c r="A224" s="88">
        <v>288</v>
      </c>
      <c r="B224" s="88">
        <v>242</v>
      </c>
      <c r="C224" s="362" t="s">
        <v>622</v>
      </c>
      <c r="D224" s="296" t="s">
        <v>634</v>
      </c>
      <c r="E224" s="162" t="s">
        <v>635</v>
      </c>
      <c r="F224" s="803">
        <v>122</v>
      </c>
      <c r="G224" s="803" t="s">
        <v>539</v>
      </c>
      <c r="H224" s="215" t="s">
        <v>73</v>
      </c>
      <c r="I224" s="164">
        <v>1.45</v>
      </c>
      <c r="J224" s="803" t="s">
        <v>140</v>
      </c>
      <c r="K224" s="363" t="s">
        <v>104</v>
      </c>
      <c r="L224" s="845" t="s">
        <v>636</v>
      </c>
      <c r="M224" s="845" t="s">
        <v>620</v>
      </c>
      <c r="N224" s="845" t="s">
        <v>620</v>
      </c>
      <c r="O224" s="845" t="s">
        <v>620</v>
      </c>
      <c r="P224" s="845" t="s">
        <v>637</v>
      </c>
      <c r="Q224" s="364" t="s">
        <v>637</v>
      </c>
      <c r="R224" s="217" t="s">
        <v>144</v>
      </c>
      <c r="S224" s="217" t="s">
        <v>145</v>
      </c>
      <c r="T224" s="825">
        <v>13430</v>
      </c>
      <c r="U224" s="825">
        <v>16510</v>
      </c>
      <c r="V224" s="825">
        <v>14560</v>
      </c>
      <c r="W224" s="822">
        <v>12960</v>
      </c>
      <c r="X224" s="761">
        <v>14450</v>
      </c>
      <c r="Y224" s="761">
        <v>12070</v>
      </c>
      <c r="Z224" s="761">
        <v>15900</v>
      </c>
      <c r="AA224" s="761">
        <v>12720</v>
      </c>
      <c r="AB224" s="761">
        <v>11630</v>
      </c>
      <c r="AC224" s="906">
        <v>18120</v>
      </c>
      <c r="AD224" s="761">
        <v>14720</v>
      </c>
      <c r="AE224" s="215" t="s">
        <v>229</v>
      </c>
      <c r="AF224" s="365">
        <v>37970</v>
      </c>
      <c r="AG224" s="366">
        <v>0.38767447985251513</v>
      </c>
      <c r="AH224" s="215" t="s">
        <v>97</v>
      </c>
      <c r="AI224" s="168">
        <v>1100</v>
      </c>
      <c r="AJ224" s="168">
        <v>1120</v>
      </c>
      <c r="AK224" s="367">
        <v>3410</v>
      </c>
      <c r="AL224" s="881">
        <f t="shared" si="5"/>
        <v>21344</v>
      </c>
      <c r="AM224" s="219">
        <v>4</v>
      </c>
    </row>
    <row r="225" spans="1:39" x14ac:dyDescent="0.3">
      <c r="A225" s="103">
        <v>307</v>
      </c>
      <c r="B225" s="103">
        <v>258</v>
      </c>
      <c r="C225" s="356" t="s">
        <v>638</v>
      </c>
      <c r="D225" s="338" t="s">
        <v>639</v>
      </c>
      <c r="E225" s="189" t="s">
        <v>640</v>
      </c>
      <c r="F225" s="804">
        <v>131</v>
      </c>
      <c r="G225" s="804" t="s">
        <v>539</v>
      </c>
      <c r="H225" s="77" t="s">
        <v>73</v>
      </c>
      <c r="I225" s="178">
        <v>0.6</v>
      </c>
      <c r="J225" s="804" t="s">
        <v>154</v>
      </c>
      <c r="K225" s="349" t="s">
        <v>104</v>
      </c>
      <c r="L225" s="843" t="s">
        <v>570</v>
      </c>
      <c r="M225" s="843" t="s">
        <v>584</v>
      </c>
      <c r="N225" s="843" t="s">
        <v>584</v>
      </c>
      <c r="O225" s="843" t="s">
        <v>584</v>
      </c>
      <c r="P225" s="843" t="s">
        <v>542</v>
      </c>
      <c r="Q225" s="907" t="s">
        <v>542</v>
      </c>
      <c r="R225" s="220" t="s">
        <v>374</v>
      </c>
      <c r="S225" s="77" t="s">
        <v>562</v>
      </c>
      <c r="T225" s="825">
        <v>6860</v>
      </c>
      <c r="U225" s="825">
        <v>6800</v>
      </c>
      <c r="V225" s="825">
        <v>6620</v>
      </c>
      <c r="W225" s="822">
        <v>7280</v>
      </c>
      <c r="X225" s="908">
        <v>6700</v>
      </c>
      <c r="Y225" s="908">
        <v>8530</v>
      </c>
      <c r="Z225" s="908">
        <v>6940</v>
      </c>
      <c r="AA225" s="901">
        <v>8090</v>
      </c>
      <c r="AB225" s="759">
        <v>7480</v>
      </c>
      <c r="AC225" s="897">
        <v>6610</v>
      </c>
      <c r="AD225" s="759">
        <v>7410</v>
      </c>
      <c r="AE225" s="77" t="s">
        <v>229</v>
      </c>
      <c r="AF225" s="357">
        <v>13640</v>
      </c>
      <c r="AG225" s="354">
        <v>0.54325513196480935</v>
      </c>
      <c r="AH225" s="77" t="s">
        <v>80</v>
      </c>
      <c r="AI225" s="180">
        <v>520</v>
      </c>
      <c r="AJ225" s="180">
        <v>640</v>
      </c>
      <c r="AK225" s="180">
        <v>1020</v>
      </c>
      <c r="AL225" s="832">
        <f t="shared" si="5"/>
        <v>4446</v>
      </c>
      <c r="AM225" s="221">
        <v>2</v>
      </c>
    </row>
    <row r="226" spans="1:39" x14ac:dyDescent="0.3">
      <c r="A226" s="268">
        <v>304</v>
      </c>
      <c r="B226" s="268">
        <v>255</v>
      </c>
      <c r="C226" s="358" t="s">
        <v>638</v>
      </c>
      <c r="D226" s="351" t="s">
        <v>641</v>
      </c>
      <c r="E226" s="64" t="s">
        <v>642</v>
      </c>
      <c r="F226" s="799">
        <v>132</v>
      </c>
      <c r="G226" s="799" t="s">
        <v>539</v>
      </c>
      <c r="H226" s="36" t="s">
        <v>73</v>
      </c>
      <c r="I226" s="37">
        <v>0.7</v>
      </c>
      <c r="J226" s="799" t="s">
        <v>154</v>
      </c>
      <c r="K226" s="324" t="s">
        <v>104</v>
      </c>
      <c r="L226" s="837" t="s">
        <v>570</v>
      </c>
      <c r="M226" s="837" t="s">
        <v>584</v>
      </c>
      <c r="N226" s="837" t="s">
        <v>584</v>
      </c>
      <c r="O226" s="837" t="s">
        <v>584</v>
      </c>
      <c r="P226" s="837" t="s">
        <v>542</v>
      </c>
      <c r="Q226" s="907" t="s">
        <v>542</v>
      </c>
      <c r="R226" s="38" t="s">
        <v>374</v>
      </c>
      <c r="S226" s="65" t="s">
        <v>562</v>
      </c>
      <c r="T226" s="833">
        <v>8780</v>
      </c>
      <c r="U226" s="833">
        <v>8780</v>
      </c>
      <c r="V226" s="833">
        <v>8070</v>
      </c>
      <c r="W226" s="820">
        <v>8950</v>
      </c>
      <c r="X226" s="838">
        <v>8610</v>
      </c>
      <c r="Y226" s="838">
        <v>9310</v>
      </c>
      <c r="Z226" s="838">
        <v>7800</v>
      </c>
      <c r="AA226" s="838">
        <v>9700</v>
      </c>
      <c r="AB226" s="838">
        <v>8870</v>
      </c>
      <c r="AC226" s="888">
        <v>9580</v>
      </c>
      <c r="AD226" s="749">
        <v>9280</v>
      </c>
      <c r="AE226" s="36" t="s">
        <v>229</v>
      </c>
      <c r="AF226" s="213">
        <v>16000</v>
      </c>
      <c r="AG226" s="315">
        <v>0.57999999999999996</v>
      </c>
      <c r="AH226" s="83" t="s">
        <v>80</v>
      </c>
      <c r="AI226" s="120">
        <v>710</v>
      </c>
      <c r="AJ226" s="120">
        <v>800</v>
      </c>
      <c r="AK226" s="120">
        <v>1440</v>
      </c>
      <c r="AL226" s="832">
        <f t="shared" si="5"/>
        <v>6496</v>
      </c>
      <c r="AM226" s="121">
        <v>2</v>
      </c>
    </row>
    <row r="227" spans="1:39" x14ac:dyDescent="0.3">
      <c r="A227" s="33">
        <v>303</v>
      </c>
      <c r="B227" s="33">
        <v>254</v>
      </c>
      <c r="C227" s="359" t="s">
        <v>638</v>
      </c>
      <c r="D227" s="323" t="s">
        <v>643</v>
      </c>
      <c r="E227" s="70" t="s">
        <v>644</v>
      </c>
      <c r="F227" s="800">
        <v>135</v>
      </c>
      <c r="G227" s="800" t="s">
        <v>539</v>
      </c>
      <c r="H227" s="52" t="s">
        <v>73</v>
      </c>
      <c r="I227" s="72">
        <v>2.5499999999999998</v>
      </c>
      <c r="J227" s="800" t="s">
        <v>154</v>
      </c>
      <c r="K227" s="302" t="s">
        <v>104</v>
      </c>
      <c r="L227" s="835" t="s">
        <v>570</v>
      </c>
      <c r="M227" s="835" t="s">
        <v>584</v>
      </c>
      <c r="N227" s="835" t="s">
        <v>584</v>
      </c>
      <c r="O227" s="835" t="s">
        <v>584</v>
      </c>
      <c r="P227" s="835" t="s">
        <v>542</v>
      </c>
      <c r="Q227" s="907" t="s">
        <v>542</v>
      </c>
      <c r="R227" s="55" t="s">
        <v>374</v>
      </c>
      <c r="S227" s="52" t="s">
        <v>562</v>
      </c>
      <c r="T227" s="825">
        <v>5660</v>
      </c>
      <c r="U227" s="825">
        <v>5740</v>
      </c>
      <c r="V227" s="825">
        <v>5300</v>
      </c>
      <c r="W227" s="822">
        <v>5410</v>
      </c>
      <c r="X227" s="760">
        <v>7390</v>
      </c>
      <c r="Y227" s="760">
        <v>6250</v>
      </c>
      <c r="Z227" s="760">
        <v>5410</v>
      </c>
      <c r="AA227" s="760">
        <v>6930</v>
      </c>
      <c r="AB227" s="760">
        <v>6330</v>
      </c>
      <c r="AC227" s="905">
        <v>7250</v>
      </c>
      <c r="AD227" s="760">
        <v>6550</v>
      </c>
      <c r="AE227" s="52" t="s">
        <v>229</v>
      </c>
      <c r="AF227" s="193">
        <v>16000</v>
      </c>
      <c r="AG227" s="360">
        <v>0.40937499999999999</v>
      </c>
      <c r="AH227" s="52" t="s">
        <v>80</v>
      </c>
      <c r="AI227" s="129">
        <v>480</v>
      </c>
      <c r="AJ227" s="129">
        <v>640</v>
      </c>
      <c r="AK227" s="129">
        <v>1440</v>
      </c>
      <c r="AL227" s="832">
        <f t="shared" si="5"/>
        <v>16702.5</v>
      </c>
      <c r="AM227" s="63">
        <v>2</v>
      </c>
    </row>
    <row r="228" spans="1:39" ht="15" thickBot="1" x14ac:dyDescent="0.35">
      <c r="A228" s="305">
        <v>301</v>
      </c>
      <c r="B228" s="305">
        <v>252</v>
      </c>
      <c r="C228" s="368" t="s">
        <v>638</v>
      </c>
      <c r="D228" s="306" t="s">
        <v>645</v>
      </c>
      <c r="E228" s="369" t="s">
        <v>646</v>
      </c>
      <c r="F228" s="801">
        <v>137</v>
      </c>
      <c r="G228" s="801" t="s">
        <v>539</v>
      </c>
      <c r="H228" s="92" t="s">
        <v>73</v>
      </c>
      <c r="I228" s="93">
        <v>1.1000000000000001</v>
      </c>
      <c r="J228" s="801" t="s">
        <v>154</v>
      </c>
      <c r="K228" s="271" t="s">
        <v>104</v>
      </c>
      <c r="L228" s="841" t="s">
        <v>570</v>
      </c>
      <c r="M228" s="841" t="s">
        <v>584</v>
      </c>
      <c r="N228" s="841" t="s">
        <v>584</v>
      </c>
      <c r="O228" s="841" t="s">
        <v>584</v>
      </c>
      <c r="P228" s="841" t="s">
        <v>542</v>
      </c>
      <c r="Q228" s="903" t="s">
        <v>542</v>
      </c>
      <c r="R228" s="94" t="s">
        <v>374</v>
      </c>
      <c r="S228" s="97" t="s">
        <v>562</v>
      </c>
      <c r="T228" s="827">
        <v>2000</v>
      </c>
      <c r="U228" s="827">
        <v>1950</v>
      </c>
      <c r="V228" s="827">
        <v>1830</v>
      </c>
      <c r="W228" s="828">
        <v>1840</v>
      </c>
      <c r="X228" s="842">
        <v>2010</v>
      </c>
      <c r="Y228" s="842">
        <v>2160</v>
      </c>
      <c r="Z228" s="842">
        <v>2140</v>
      </c>
      <c r="AA228" s="842">
        <v>2650</v>
      </c>
      <c r="AB228" s="842">
        <v>2500</v>
      </c>
      <c r="AC228" s="861">
        <v>3570</v>
      </c>
      <c r="AD228" s="750">
        <v>2890</v>
      </c>
      <c r="AE228" s="92" t="s">
        <v>229</v>
      </c>
      <c r="AF228" s="241">
        <v>16000</v>
      </c>
      <c r="AG228" s="147">
        <v>0.18062500000000001</v>
      </c>
      <c r="AH228" s="100" t="s">
        <v>97</v>
      </c>
      <c r="AI228" s="126">
        <v>180</v>
      </c>
      <c r="AJ228" s="126">
        <v>290</v>
      </c>
      <c r="AK228" s="126">
        <v>1440</v>
      </c>
      <c r="AL228" s="881">
        <f t="shared" si="5"/>
        <v>3179.0000000000005</v>
      </c>
      <c r="AM228" s="127">
        <v>2</v>
      </c>
    </row>
    <row r="229" spans="1:39" x14ac:dyDescent="0.3">
      <c r="A229" s="103">
        <v>316</v>
      </c>
      <c r="B229" s="103">
        <v>266</v>
      </c>
      <c r="C229" s="348" t="s">
        <v>647</v>
      </c>
      <c r="D229" s="338" t="s">
        <v>648</v>
      </c>
      <c r="E229" s="189" t="s">
        <v>649</v>
      </c>
      <c r="F229" s="804">
        <v>140</v>
      </c>
      <c r="G229" s="804" t="s">
        <v>539</v>
      </c>
      <c r="H229" s="77" t="s">
        <v>73</v>
      </c>
      <c r="I229" s="178">
        <v>2.75</v>
      </c>
      <c r="J229" s="804" t="s">
        <v>154</v>
      </c>
      <c r="K229" s="349" t="s">
        <v>104</v>
      </c>
      <c r="L229" s="843" t="s">
        <v>367</v>
      </c>
      <c r="M229" s="843" t="s">
        <v>367</v>
      </c>
      <c r="N229" s="843" t="s">
        <v>367</v>
      </c>
      <c r="O229" s="843" t="s">
        <v>367</v>
      </c>
      <c r="P229" s="843" t="s">
        <v>367</v>
      </c>
      <c r="Q229" s="895" t="s">
        <v>367</v>
      </c>
      <c r="R229" s="77" t="s">
        <v>596</v>
      </c>
      <c r="S229" s="77" t="s">
        <v>650</v>
      </c>
      <c r="T229" s="57">
        <v>190</v>
      </c>
      <c r="U229" s="57">
        <v>210</v>
      </c>
      <c r="V229" s="57">
        <v>170</v>
      </c>
      <c r="W229" s="836">
        <v>180</v>
      </c>
      <c r="X229" s="759">
        <v>190</v>
      </c>
      <c r="Y229" s="759">
        <v>240</v>
      </c>
      <c r="Z229" s="759">
        <v>250</v>
      </c>
      <c r="AA229" s="901">
        <v>240</v>
      </c>
      <c r="AB229" s="759">
        <v>280</v>
      </c>
      <c r="AC229" s="897">
        <v>290</v>
      </c>
      <c r="AD229" s="759">
        <v>300</v>
      </c>
      <c r="AE229" s="77" t="s">
        <v>97</v>
      </c>
      <c r="AF229" s="341">
        <v>6450</v>
      </c>
      <c r="AG229" s="342">
        <v>4.6511627906976744E-2</v>
      </c>
      <c r="AH229" s="343" t="s">
        <v>1524</v>
      </c>
      <c r="AI229" s="344">
        <v>20</v>
      </c>
      <c r="AJ229" s="344">
        <v>30</v>
      </c>
      <c r="AK229" s="345">
        <v>620</v>
      </c>
      <c r="AL229" s="832">
        <f t="shared" si="5"/>
        <v>825</v>
      </c>
      <c r="AM229" s="221">
        <v>2</v>
      </c>
    </row>
    <row r="230" spans="1:39" ht="15" thickBot="1" x14ac:dyDescent="0.35">
      <c r="A230" s="305">
        <v>315</v>
      </c>
      <c r="B230" s="305">
        <v>265</v>
      </c>
      <c r="C230" s="346" t="s">
        <v>647</v>
      </c>
      <c r="D230" s="306" t="s">
        <v>651</v>
      </c>
      <c r="E230" s="185" t="s">
        <v>652</v>
      </c>
      <c r="F230" s="801">
        <v>141</v>
      </c>
      <c r="G230" s="801" t="s">
        <v>539</v>
      </c>
      <c r="H230" s="92" t="s">
        <v>73</v>
      </c>
      <c r="I230" s="93">
        <v>1.25</v>
      </c>
      <c r="J230" s="801" t="s">
        <v>154</v>
      </c>
      <c r="K230" s="271" t="s">
        <v>104</v>
      </c>
      <c r="L230" s="841" t="s">
        <v>594</v>
      </c>
      <c r="M230" s="841" t="s">
        <v>653</v>
      </c>
      <c r="N230" s="841" t="s">
        <v>653</v>
      </c>
      <c r="O230" s="841" t="s">
        <v>653</v>
      </c>
      <c r="P230" s="841" t="s">
        <v>367</v>
      </c>
      <c r="Q230" s="898" t="s">
        <v>367</v>
      </c>
      <c r="R230" s="92" t="s">
        <v>596</v>
      </c>
      <c r="S230" s="97" t="s">
        <v>650</v>
      </c>
      <c r="T230" s="827">
        <v>430</v>
      </c>
      <c r="U230" s="827">
        <v>370</v>
      </c>
      <c r="V230" s="827">
        <v>380</v>
      </c>
      <c r="W230" s="828">
        <v>410</v>
      </c>
      <c r="X230" s="842">
        <v>390</v>
      </c>
      <c r="Y230" s="842">
        <v>500</v>
      </c>
      <c r="Z230" s="842">
        <v>520</v>
      </c>
      <c r="AA230" s="842">
        <v>460</v>
      </c>
      <c r="AB230" s="842">
        <v>400</v>
      </c>
      <c r="AC230" s="861">
        <v>470</v>
      </c>
      <c r="AD230" s="750">
        <v>610</v>
      </c>
      <c r="AE230" s="97" t="s">
        <v>97</v>
      </c>
      <c r="AF230" s="186">
        <v>6450</v>
      </c>
      <c r="AG230" s="333">
        <v>9.4573643410852712E-2</v>
      </c>
      <c r="AH230" s="307" t="s">
        <v>1524</v>
      </c>
      <c r="AI230" s="334">
        <v>40</v>
      </c>
      <c r="AJ230" s="334">
        <v>60</v>
      </c>
      <c r="AK230" s="335">
        <v>620</v>
      </c>
      <c r="AL230" s="881">
        <f t="shared" si="5"/>
        <v>762.5</v>
      </c>
      <c r="AM230" s="127">
        <v>2</v>
      </c>
    </row>
    <row r="231" spans="1:39" x14ac:dyDescent="0.3">
      <c r="A231" s="103">
        <v>320</v>
      </c>
      <c r="B231" s="103">
        <v>269</v>
      </c>
      <c r="C231" s="318" t="s">
        <v>654</v>
      </c>
      <c r="D231" s="188" t="s">
        <v>655</v>
      </c>
      <c r="E231" s="261" t="s">
        <v>656</v>
      </c>
      <c r="F231" s="804">
        <v>151</v>
      </c>
      <c r="G231" s="804" t="s">
        <v>539</v>
      </c>
      <c r="H231" s="131" t="s">
        <v>73</v>
      </c>
      <c r="I231" s="178">
        <v>0.5</v>
      </c>
      <c r="J231" s="804" t="s">
        <v>154</v>
      </c>
      <c r="K231" s="340" t="s">
        <v>75</v>
      </c>
      <c r="L231" s="843" t="s">
        <v>583</v>
      </c>
      <c r="M231" s="848" t="s">
        <v>584</v>
      </c>
      <c r="N231" s="843" t="s">
        <v>584</v>
      </c>
      <c r="O231" s="843" t="s">
        <v>584</v>
      </c>
      <c r="P231" s="843" t="s">
        <v>542</v>
      </c>
      <c r="Q231" s="900" t="s">
        <v>542</v>
      </c>
      <c r="R231" s="77" t="s">
        <v>543</v>
      </c>
      <c r="S231" s="311" t="s">
        <v>544</v>
      </c>
      <c r="T231" s="825">
        <v>4970</v>
      </c>
      <c r="U231" s="825">
        <v>5010</v>
      </c>
      <c r="V231" s="825">
        <v>5290</v>
      </c>
      <c r="W231" s="836">
        <v>5290</v>
      </c>
      <c r="X231" s="759">
        <v>6210</v>
      </c>
      <c r="Y231" s="759">
        <v>5520</v>
      </c>
      <c r="Z231" s="759">
        <v>6100</v>
      </c>
      <c r="AA231" s="759">
        <v>7310</v>
      </c>
      <c r="AB231" s="759">
        <v>6940</v>
      </c>
      <c r="AC231" s="897">
        <v>5880</v>
      </c>
      <c r="AD231" s="759">
        <v>6100</v>
      </c>
      <c r="AE231" s="77" t="s">
        <v>229</v>
      </c>
      <c r="AF231" s="350">
        <v>13640</v>
      </c>
      <c r="AG231" s="342">
        <v>0.4472140762463343</v>
      </c>
      <c r="AH231" s="343" t="s">
        <v>80</v>
      </c>
      <c r="AI231" s="344">
        <v>430</v>
      </c>
      <c r="AJ231" s="344">
        <v>540</v>
      </c>
      <c r="AK231" s="344">
        <v>1020</v>
      </c>
      <c r="AL231" s="832">
        <f t="shared" si="5"/>
        <v>3050</v>
      </c>
      <c r="AM231" s="182">
        <v>2</v>
      </c>
    </row>
    <row r="232" spans="1:39" ht="15" thickBot="1" x14ac:dyDescent="0.35">
      <c r="A232" s="88">
        <v>322</v>
      </c>
      <c r="B232" s="88">
        <v>271</v>
      </c>
      <c r="C232" s="346" t="s">
        <v>654</v>
      </c>
      <c r="D232" s="296" t="s">
        <v>657</v>
      </c>
      <c r="E232" s="91" t="s">
        <v>658</v>
      </c>
      <c r="F232" s="801">
        <v>153</v>
      </c>
      <c r="G232" s="801" t="s">
        <v>539</v>
      </c>
      <c r="H232" s="92" t="s">
        <v>73</v>
      </c>
      <c r="I232" s="93">
        <v>2.5</v>
      </c>
      <c r="J232" s="801" t="s">
        <v>140</v>
      </c>
      <c r="K232" s="271" t="s">
        <v>75</v>
      </c>
      <c r="L232" s="841" t="s">
        <v>583</v>
      </c>
      <c r="M232" s="841" t="s">
        <v>584</v>
      </c>
      <c r="N232" s="841" t="s">
        <v>584</v>
      </c>
      <c r="O232" s="841" t="s">
        <v>584</v>
      </c>
      <c r="P232" s="841" t="s">
        <v>626</v>
      </c>
      <c r="Q232" s="909" t="s">
        <v>626</v>
      </c>
      <c r="R232" s="97" t="s">
        <v>543</v>
      </c>
      <c r="S232" s="97" t="s">
        <v>544</v>
      </c>
      <c r="T232" s="827">
        <v>2760</v>
      </c>
      <c r="U232" s="827">
        <v>2410</v>
      </c>
      <c r="V232" s="827">
        <v>2570</v>
      </c>
      <c r="W232" s="828">
        <v>2880</v>
      </c>
      <c r="X232" s="860">
        <v>2540</v>
      </c>
      <c r="Y232" s="842">
        <v>3250</v>
      </c>
      <c r="Z232" s="842">
        <v>3160</v>
      </c>
      <c r="AA232" s="842">
        <v>4350</v>
      </c>
      <c r="AB232" s="842">
        <v>4060</v>
      </c>
      <c r="AC232" s="861">
        <v>3430</v>
      </c>
      <c r="AD232" s="750">
        <v>3050</v>
      </c>
      <c r="AE232" s="92" t="s">
        <v>229</v>
      </c>
      <c r="AF232" s="370">
        <v>13640</v>
      </c>
      <c r="AG232" s="333">
        <v>0.22360703812316715</v>
      </c>
      <c r="AH232" s="307" t="s">
        <v>97</v>
      </c>
      <c r="AI232" s="334">
        <v>220</v>
      </c>
      <c r="AJ232" s="334">
        <v>300</v>
      </c>
      <c r="AK232" s="371">
        <v>1230</v>
      </c>
      <c r="AL232" s="881">
        <f t="shared" si="5"/>
        <v>7625</v>
      </c>
      <c r="AM232" s="127">
        <v>2</v>
      </c>
    </row>
    <row r="233" spans="1:39" x14ac:dyDescent="0.3">
      <c r="A233" s="33">
        <v>328</v>
      </c>
      <c r="B233" s="33">
        <v>275</v>
      </c>
      <c r="C233" s="300" t="s">
        <v>659</v>
      </c>
      <c r="D233" s="114" t="s">
        <v>660</v>
      </c>
      <c r="E233" s="70" t="s">
        <v>661</v>
      </c>
      <c r="F233" s="800">
        <v>161</v>
      </c>
      <c r="G233" s="800" t="s">
        <v>539</v>
      </c>
      <c r="H233" s="71" t="s">
        <v>73</v>
      </c>
      <c r="I233" s="72">
        <v>0.7</v>
      </c>
      <c r="J233" s="800" t="s">
        <v>154</v>
      </c>
      <c r="K233" s="321" t="s">
        <v>75</v>
      </c>
      <c r="L233" s="835" t="s">
        <v>540</v>
      </c>
      <c r="M233" s="839" t="s">
        <v>584</v>
      </c>
      <c r="N233" s="835" t="s">
        <v>584</v>
      </c>
      <c r="O233" s="835" t="s">
        <v>584</v>
      </c>
      <c r="P233" s="835" t="s">
        <v>542</v>
      </c>
      <c r="Q233" s="907" t="s">
        <v>542</v>
      </c>
      <c r="R233" s="52" t="s">
        <v>543</v>
      </c>
      <c r="S233" s="85" t="s">
        <v>562</v>
      </c>
      <c r="T233" s="825">
        <v>1280</v>
      </c>
      <c r="U233" s="825">
        <v>1340</v>
      </c>
      <c r="V233" s="825">
        <v>1340</v>
      </c>
      <c r="W233" s="822">
        <v>820</v>
      </c>
      <c r="X233" s="760">
        <v>1320</v>
      </c>
      <c r="Y233" s="760">
        <v>1560</v>
      </c>
      <c r="Z233" s="760">
        <v>2110</v>
      </c>
      <c r="AA233" s="760">
        <v>1810</v>
      </c>
      <c r="AB233" s="759">
        <v>2100</v>
      </c>
      <c r="AC233" s="897">
        <v>2180</v>
      </c>
      <c r="AD233" s="759">
        <v>2330</v>
      </c>
      <c r="AE233" s="77" t="s">
        <v>229</v>
      </c>
      <c r="AF233" s="350">
        <v>13640</v>
      </c>
      <c r="AG233" s="342">
        <v>0.17082111436950145</v>
      </c>
      <c r="AH233" s="343" t="s">
        <v>97</v>
      </c>
      <c r="AI233" s="344">
        <v>190</v>
      </c>
      <c r="AJ233" s="344">
        <v>220</v>
      </c>
      <c r="AK233" s="344">
        <v>1020</v>
      </c>
      <c r="AL233" s="832">
        <f t="shared" si="5"/>
        <v>1631</v>
      </c>
      <c r="AM233" s="122">
        <v>2</v>
      </c>
    </row>
    <row r="234" spans="1:39" x14ac:dyDescent="0.3">
      <c r="A234" s="33">
        <v>329</v>
      </c>
      <c r="B234" s="33">
        <v>276</v>
      </c>
      <c r="C234" s="300" t="s">
        <v>659</v>
      </c>
      <c r="D234" s="301" t="s">
        <v>662</v>
      </c>
      <c r="E234" s="35" t="s">
        <v>663</v>
      </c>
      <c r="F234" s="799">
        <v>162</v>
      </c>
      <c r="G234" s="799" t="s">
        <v>539</v>
      </c>
      <c r="H234" s="36" t="s">
        <v>73</v>
      </c>
      <c r="I234" s="37">
        <v>1.3</v>
      </c>
      <c r="J234" s="799" t="s">
        <v>237</v>
      </c>
      <c r="K234" s="324" t="s">
        <v>75</v>
      </c>
      <c r="L234" s="837" t="s">
        <v>540</v>
      </c>
      <c r="M234" s="837" t="s">
        <v>584</v>
      </c>
      <c r="N234" s="837" t="s">
        <v>584</v>
      </c>
      <c r="O234" s="837" t="s">
        <v>584</v>
      </c>
      <c r="P234" s="837" t="s">
        <v>542</v>
      </c>
      <c r="Q234" s="907" t="s">
        <v>542</v>
      </c>
      <c r="R234" s="65" t="s">
        <v>543</v>
      </c>
      <c r="S234" s="65" t="s">
        <v>562</v>
      </c>
      <c r="T234" s="833">
        <v>3590</v>
      </c>
      <c r="U234" s="833">
        <v>3720</v>
      </c>
      <c r="V234" s="833">
        <v>3540</v>
      </c>
      <c r="W234" s="820">
        <v>3750</v>
      </c>
      <c r="X234" s="838">
        <v>3240</v>
      </c>
      <c r="Y234" s="838">
        <v>3440</v>
      </c>
      <c r="Z234" s="838">
        <v>4160</v>
      </c>
      <c r="AA234" s="838">
        <v>4320</v>
      </c>
      <c r="AB234" s="838">
        <v>4650</v>
      </c>
      <c r="AC234" s="888">
        <v>4100</v>
      </c>
      <c r="AD234" s="749">
        <v>4320</v>
      </c>
      <c r="AE234" s="36" t="s">
        <v>229</v>
      </c>
      <c r="AF234" s="213">
        <v>13640</v>
      </c>
      <c r="AG234" s="82">
        <v>0.31671554252199413</v>
      </c>
      <c r="AH234" s="287" t="s">
        <v>97</v>
      </c>
      <c r="AI234" s="288">
        <v>360</v>
      </c>
      <c r="AJ234" s="288">
        <v>380</v>
      </c>
      <c r="AK234" s="288">
        <v>1020</v>
      </c>
      <c r="AL234" s="832">
        <f t="shared" si="5"/>
        <v>5616</v>
      </c>
      <c r="AM234" s="121">
        <v>2</v>
      </c>
    </row>
    <row r="235" spans="1:39" x14ac:dyDescent="0.3">
      <c r="A235" s="33">
        <v>331</v>
      </c>
      <c r="B235" s="33">
        <v>278</v>
      </c>
      <c r="C235" s="300" t="s">
        <v>659</v>
      </c>
      <c r="D235" s="301" t="s">
        <v>664</v>
      </c>
      <c r="E235" s="139" t="s">
        <v>665</v>
      </c>
      <c r="F235" s="800">
        <v>164</v>
      </c>
      <c r="G235" s="800" t="s">
        <v>539</v>
      </c>
      <c r="H235" s="71" t="s">
        <v>73</v>
      </c>
      <c r="I235" s="72">
        <v>1.75</v>
      </c>
      <c r="J235" s="800" t="s">
        <v>237</v>
      </c>
      <c r="K235" s="321" t="s">
        <v>75</v>
      </c>
      <c r="L235" s="835" t="s">
        <v>540</v>
      </c>
      <c r="M235" s="839" t="s">
        <v>584</v>
      </c>
      <c r="N235" s="835" t="s">
        <v>584</v>
      </c>
      <c r="O235" s="835" t="s">
        <v>584</v>
      </c>
      <c r="P235" s="835" t="s">
        <v>542</v>
      </c>
      <c r="Q235" s="907" t="s">
        <v>542</v>
      </c>
      <c r="R235" s="52" t="s">
        <v>543</v>
      </c>
      <c r="S235" s="85" t="s">
        <v>562</v>
      </c>
      <c r="T235" s="825">
        <v>4810</v>
      </c>
      <c r="U235" s="825">
        <v>4760</v>
      </c>
      <c r="V235" s="825">
        <v>4740</v>
      </c>
      <c r="W235" s="822">
        <v>4130</v>
      </c>
      <c r="X235" s="849" t="s">
        <v>81</v>
      </c>
      <c r="Y235" s="760">
        <v>4780</v>
      </c>
      <c r="Z235" s="760">
        <v>5210</v>
      </c>
      <c r="AA235" s="760">
        <v>5070</v>
      </c>
      <c r="AB235" s="760">
        <v>5010</v>
      </c>
      <c r="AC235" s="905">
        <v>5050</v>
      </c>
      <c r="AD235" s="760">
        <v>5220</v>
      </c>
      <c r="AE235" s="52" t="s">
        <v>229</v>
      </c>
      <c r="AF235" s="762">
        <v>13640</v>
      </c>
      <c r="AG235" s="360">
        <v>0.38269794721407624</v>
      </c>
      <c r="AH235" s="741" t="s">
        <v>97</v>
      </c>
      <c r="AI235" s="760">
        <v>270</v>
      </c>
      <c r="AJ235" s="760">
        <v>430</v>
      </c>
      <c r="AK235" s="760">
        <v>1020</v>
      </c>
      <c r="AL235" s="832">
        <f t="shared" si="5"/>
        <v>9135</v>
      </c>
      <c r="AM235" s="122">
        <v>2</v>
      </c>
    </row>
    <row r="236" spans="1:39" x14ac:dyDescent="0.3">
      <c r="A236" s="33">
        <v>332</v>
      </c>
      <c r="B236" s="33">
        <v>279</v>
      </c>
      <c r="C236" s="300" t="s">
        <v>659</v>
      </c>
      <c r="D236" s="301" t="s">
        <v>666</v>
      </c>
      <c r="E236" s="35" t="s">
        <v>667</v>
      </c>
      <c r="F236" s="799">
        <v>165</v>
      </c>
      <c r="G236" s="799" t="s">
        <v>539</v>
      </c>
      <c r="H236" s="36" t="s">
        <v>73</v>
      </c>
      <c r="I236" s="37">
        <v>0.25</v>
      </c>
      <c r="J236" s="799" t="s">
        <v>154</v>
      </c>
      <c r="K236" s="324" t="s">
        <v>75</v>
      </c>
      <c r="L236" s="837" t="s">
        <v>614</v>
      </c>
      <c r="M236" s="837" t="s">
        <v>615</v>
      </c>
      <c r="N236" s="837" t="s">
        <v>615</v>
      </c>
      <c r="O236" s="837" t="s">
        <v>615</v>
      </c>
      <c r="P236" s="837" t="s">
        <v>616</v>
      </c>
      <c r="Q236" s="904" t="s">
        <v>616</v>
      </c>
      <c r="R236" s="65" t="s">
        <v>543</v>
      </c>
      <c r="S236" s="65" t="s">
        <v>562</v>
      </c>
      <c r="T236" s="833">
        <v>9700</v>
      </c>
      <c r="U236" s="833">
        <v>9520</v>
      </c>
      <c r="V236" s="833">
        <v>9750</v>
      </c>
      <c r="W236" s="820">
        <v>9520</v>
      </c>
      <c r="X236" s="838">
        <v>9490</v>
      </c>
      <c r="Y236" s="838">
        <v>10410</v>
      </c>
      <c r="Z236" s="838">
        <v>10480</v>
      </c>
      <c r="AA236" s="838">
        <v>12250</v>
      </c>
      <c r="AB236" s="838">
        <v>11380</v>
      </c>
      <c r="AC236" s="888">
        <v>10310</v>
      </c>
      <c r="AD236" s="749">
        <v>10640</v>
      </c>
      <c r="AE236" s="36" t="s">
        <v>229</v>
      </c>
      <c r="AF236" s="763">
        <v>14740</v>
      </c>
      <c r="AG236" s="315">
        <v>0.72184531886024428</v>
      </c>
      <c r="AH236" s="734" t="s">
        <v>80</v>
      </c>
      <c r="AI236" s="749">
        <v>610</v>
      </c>
      <c r="AJ236" s="749">
        <v>920</v>
      </c>
      <c r="AK236" s="764">
        <v>1330</v>
      </c>
      <c r="AL236" s="832">
        <f t="shared" si="5"/>
        <v>2660</v>
      </c>
      <c r="AM236" s="121">
        <v>2</v>
      </c>
    </row>
    <row r="237" spans="1:39" x14ac:dyDescent="0.3">
      <c r="A237" s="33">
        <v>334</v>
      </c>
      <c r="B237" s="33">
        <v>281</v>
      </c>
      <c r="C237" s="300" t="s">
        <v>659</v>
      </c>
      <c r="D237" s="301" t="s">
        <v>668</v>
      </c>
      <c r="E237" s="70" t="s">
        <v>669</v>
      </c>
      <c r="F237" s="800">
        <v>167</v>
      </c>
      <c r="G237" s="800" t="s">
        <v>539</v>
      </c>
      <c r="H237" s="71" t="s">
        <v>73</v>
      </c>
      <c r="I237" s="72">
        <v>1</v>
      </c>
      <c r="J237" s="800" t="s">
        <v>158</v>
      </c>
      <c r="K237" s="321" t="s">
        <v>75</v>
      </c>
      <c r="L237" s="835" t="s">
        <v>614</v>
      </c>
      <c r="M237" s="839" t="s">
        <v>615</v>
      </c>
      <c r="N237" s="835" t="s">
        <v>615</v>
      </c>
      <c r="O237" s="835" t="s">
        <v>615</v>
      </c>
      <c r="P237" s="835" t="s">
        <v>670</v>
      </c>
      <c r="Q237" s="314" t="s">
        <v>670</v>
      </c>
      <c r="R237" s="52" t="s">
        <v>543</v>
      </c>
      <c r="S237" s="85" t="s">
        <v>562</v>
      </c>
      <c r="T237" s="825">
        <v>5600</v>
      </c>
      <c r="U237" s="825">
        <v>5970</v>
      </c>
      <c r="V237" s="825">
        <v>6070</v>
      </c>
      <c r="W237" s="822">
        <v>5710</v>
      </c>
      <c r="X237" s="760">
        <v>5280</v>
      </c>
      <c r="Y237" s="760">
        <v>5710</v>
      </c>
      <c r="Z237" s="760">
        <v>7090</v>
      </c>
      <c r="AA237" s="760">
        <v>7930</v>
      </c>
      <c r="AB237" s="760">
        <v>6570</v>
      </c>
      <c r="AC237" s="884">
        <v>6610</v>
      </c>
      <c r="AD237" s="748">
        <v>7040</v>
      </c>
      <c r="AE237" s="71" t="s">
        <v>229</v>
      </c>
      <c r="AF237" s="194">
        <v>17900</v>
      </c>
      <c r="AG237" s="303">
        <v>0.39329608938547483</v>
      </c>
      <c r="AH237" s="80" t="s">
        <v>97</v>
      </c>
      <c r="AI237" s="115">
        <v>530</v>
      </c>
      <c r="AJ237" s="115">
        <v>660</v>
      </c>
      <c r="AK237" s="304">
        <v>1620</v>
      </c>
      <c r="AL237" s="832">
        <f t="shared" si="5"/>
        <v>7040</v>
      </c>
      <c r="AM237" s="122">
        <v>2</v>
      </c>
    </row>
    <row r="238" spans="1:39" x14ac:dyDescent="0.3">
      <c r="A238" s="33">
        <v>336</v>
      </c>
      <c r="B238" s="33">
        <v>283</v>
      </c>
      <c r="C238" s="300" t="s">
        <v>659</v>
      </c>
      <c r="D238" s="372" t="s">
        <v>671</v>
      </c>
      <c r="E238" s="35" t="s">
        <v>672</v>
      </c>
      <c r="F238" s="799">
        <v>169</v>
      </c>
      <c r="G238" s="799" t="s">
        <v>539</v>
      </c>
      <c r="H238" s="36" t="s">
        <v>73</v>
      </c>
      <c r="I238" s="37">
        <v>1.35</v>
      </c>
      <c r="J238" s="799" t="s">
        <v>158</v>
      </c>
      <c r="K238" s="324" t="s">
        <v>75</v>
      </c>
      <c r="L238" s="837" t="s">
        <v>540</v>
      </c>
      <c r="M238" s="837" t="s">
        <v>584</v>
      </c>
      <c r="N238" s="837" t="s">
        <v>584</v>
      </c>
      <c r="O238" s="837" t="s">
        <v>584</v>
      </c>
      <c r="P238" s="837" t="s">
        <v>626</v>
      </c>
      <c r="Q238" s="910" t="s">
        <v>626</v>
      </c>
      <c r="R238" s="65" t="s">
        <v>556</v>
      </c>
      <c r="S238" s="83" t="s">
        <v>562</v>
      </c>
      <c r="T238" s="833">
        <v>2980</v>
      </c>
      <c r="U238" s="833">
        <v>3300</v>
      </c>
      <c r="V238" s="833">
        <v>3460</v>
      </c>
      <c r="W238" s="820">
        <v>3240</v>
      </c>
      <c r="X238" s="911" t="s">
        <v>81</v>
      </c>
      <c r="Y238" s="838">
        <v>3780</v>
      </c>
      <c r="Z238" s="838">
        <v>4440</v>
      </c>
      <c r="AA238" s="912">
        <v>5170</v>
      </c>
      <c r="AB238" s="838">
        <v>4380</v>
      </c>
      <c r="AC238" s="888">
        <v>4300</v>
      </c>
      <c r="AD238" s="749">
        <v>4000</v>
      </c>
      <c r="AE238" s="36" t="s">
        <v>229</v>
      </c>
      <c r="AF238" s="763">
        <v>13640</v>
      </c>
      <c r="AG238" s="315">
        <v>0.2932551319648094</v>
      </c>
      <c r="AH238" s="734" t="s">
        <v>97</v>
      </c>
      <c r="AI238" s="749">
        <v>300</v>
      </c>
      <c r="AJ238" s="749">
        <v>380</v>
      </c>
      <c r="AK238" s="764">
        <v>1230</v>
      </c>
      <c r="AL238" s="832">
        <f t="shared" si="5"/>
        <v>5400</v>
      </c>
      <c r="AM238" s="121">
        <v>2</v>
      </c>
    </row>
    <row r="239" spans="1:39" x14ac:dyDescent="0.3">
      <c r="A239" s="33">
        <v>338</v>
      </c>
      <c r="B239" s="33">
        <v>285</v>
      </c>
      <c r="C239" s="300" t="s">
        <v>659</v>
      </c>
      <c r="D239" s="373" t="s">
        <v>673</v>
      </c>
      <c r="E239" s="51" t="s">
        <v>674</v>
      </c>
      <c r="F239" s="374" t="s">
        <v>675</v>
      </c>
      <c r="G239" s="800" t="s">
        <v>539</v>
      </c>
      <c r="H239" s="71" t="s">
        <v>73</v>
      </c>
      <c r="I239" s="72">
        <v>0.8</v>
      </c>
      <c r="J239" s="800" t="s">
        <v>158</v>
      </c>
      <c r="K239" s="321" t="s">
        <v>75</v>
      </c>
      <c r="L239" s="835" t="s">
        <v>540</v>
      </c>
      <c r="M239" s="839" t="s">
        <v>584</v>
      </c>
      <c r="N239" s="835" t="s">
        <v>584</v>
      </c>
      <c r="O239" s="835" t="s">
        <v>584</v>
      </c>
      <c r="P239" s="835" t="s">
        <v>626</v>
      </c>
      <c r="Q239" s="910" t="s">
        <v>626</v>
      </c>
      <c r="R239" s="52" t="s">
        <v>556</v>
      </c>
      <c r="S239" s="375" t="s">
        <v>676</v>
      </c>
      <c r="T239" s="849" t="s">
        <v>81</v>
      </c>
      <c r="U239" s="849" t="s">
        <v>81</v>
      </c>
      <c r="V239" s="849" t="s">
        <v>81</v>
      </c>
      <c r="W239" s="913" t="s">
        <v>81</v>
      </c>
      <c r="X239" s="849" t="s">
        <v>81</v>
      </c>
      <c r="Y239" s="849" t="s">
        <v>81</v>
      </c>
      <c r="Z239" s="849" t="s">
        <v>81</v>
      </c>
      <c r="AA239" s="849" t="s">
        <v>81</v>
      </c>
      <c r="AB239" s="60" t="s">
        <v>81</v>
      </c>
      <c r="AC239" s="849" t="s">
        <v>81</v>
      </c>
      <c r="AD239" s="742" t="s">
        <v>81</v>
      </c>
      <c r="AE239" s="71" t="s">
        <v>229</v>
      </c>
      <c r="AF239" s="765">
        <v>13640</v>
      </c>
      <c r="AG239" s="742" t="s">
        <v>81</v>
      </c>
      <c r="AH239" s="742" t="s">
        <v>81</v>
      </c>
      <c r="AI239" s="742" t="s">
        <v>81</v>
      </c>
      <c r="AJ239" s="742" t="s">
        <v>81</v>
      </c>
      <c r="AK239" s="766">
        <v>1230</v>
      </c>
      <c r="AL239" s="914"/>
      <c r="AM239" s="122">
        <v>0</v>
      </c>
    </row>
    <row r="240" spans="1:39" ht="15" thickBot="1" x14ac:dyDescent="0.35">
      <c r="A240" s="88">
        <v>339</v>
      </c>
      <c r="B240" s="88">
        <v>286</v>
      </c>
      <c r="C240" s="346" t="s">
        <v>659</v>
      </c>
      <c r="D240" s="166" t="s">
        <v>677</v>
      </c>
      <c r="E240" s="91" t="s">
        <v>678</v>
      </c>
      <c r="F240" s="376" t="s">
        <v>679</v>
      </c>
      <c r="G240" s="801" t="s">
        <v>539</v>
      </c>
      <c r="H240" s="92" t="s">
        <v>73</v>
      </c>
      <c r="I240" s="93">
        <v>0.75</v>
      </c>
      <c r="J240" s="801" t="s">
        <v>158</v>
      </c>
      <c r="K240" s="271" t="s">
        <v>75</v>
      </c>
      <c r="L240" s="841" t="s">
        <v>540</v>
      </c>
      <c r="M240" s="841" t="s">
        <v>584</v>
      </c>
      <c r="N240" s="841" t="s">
        <v>584</v>
      </c>
      <c r="O240" s="841" t="s">
        <v>584</v>
      </c>
      <c r="P240" s="841" t="s">
        <v>626</v>
      </c>
      <c r="Q240" s="909" t="s">
        <v>626</v>
      </c>
      <c r="R240" s="97" t="s">
        <v>556</v>
      </c>
      <c r="S240" s="377" t="s">
        <v>676</v>
      </c>
      <c r="T240" s="915" t="s">
        <v>81</v>
      </c>
      <c r="U240" s="915" t="s">
        <v>81</v>
      </c>
      <c r="V240" s="915" t="s">
        <v>81</v>
      </c>
      <c r="W240" s="899" t="s">
        <v>81</v>
      </c>
      <c r="X240" s="915" t="s">
        <v>81</v>
      </c>
      <c r="Y240" s="915" t="s">
        <v>81</v>
      </c>
      <c r="Z240" s="915" t="s">
        <v>81</v>
      </c>
      <c r="AA240" s="915" t="s">
        <v>81</v>
      </c>
      <c r="AB240" s="378" t="s">
        <v>81</v>
      </c>
      <c r="AC240" s="915" t="s">
        <v>81</v>
      </c>
      <c r="AD240" s="767" t="s">
        <v>81</v>
      </c>
      <c r="AE240" s="246" t="s">
        <v>229</v>
      </c>
      <c r="AF240" s="768">
        <v>13640</v>
      </c>
      <c r="AG240" s="743" t="s">
        <v>81</v>
      </c>
      <c r="AH240" s="743" t="s">
        <v>81</v>
      </c>
      <c r="AI240" s="743" t="s">
        <v>81</v>
      </c>
      <c r="AJ240" s="743" t="s">
        <v>81</v>
      </c>
      <c r="AK240" s="769">
        <v>1230</v>
      </c>
      <c r="AL240" s="916"/>
      <c r="AM240" s="127">
        <v>0</v>
      </c>
    </row>
    <row r="241" spans="1:39" x14ac:dyDescent="0.3">
      <c r="A241" s="103">
        <v>344</v>
      </c>
      <c r="B241" s="103">
        <v>290</v>
      </c>
      <c r="C241" s="379" t="s">
        <v>680</v>
      </c>
      <c r="D241" s="189" t="s">
        <v>681</v>
      </c>
      <c r="E241" s="261" t="s">
        <v>682</v>
      </c>
      <c r="F241" s="804">
        <v>180</v>
      </c>
      <c r="G241" s="804" t="s">
        <v>539</v>
      </c>
      <c r="H241" s="77"/>
      <c r="I241" s="178">
        <v>0.4</v>
      </c>
      <c r="J241" s="804" t="s">
        <v>237</v>
      </c>
      <c r="K241" s="349" t="s">
        <v>75</v>
      </c>
      <c r="L241" s="843" t="s">
        <v>540</v>
      </c>
      <c r="M241" s="843" t="s">
        <v>541</v>
      </c>
      <c r="N241" s="843" t="s">
        <v>541</v>
      </c>
      <c r="O241" s="843" t="s">
        <v>541</v>
      </c>
      <c r="P241" s="843" t="s">
        <v>542</v>
      </c>
      <c r="Q241" s="907" t="s">
        <v>542</v>
      </c>
      <c r="R241" s="77" t="s">
        <v>543</v>
      </c>
      <c r="S241" s="77" t="s">
        <v>562</v>
      </c>
      <c r="T241" s="825">
        <v>470</v>
      </c>
      <c r="U241" s="825">
        <v>940</v>
      </c>
      <c r="V241" s="825">
        <v>890</v>
      </c>
      <c r="W241" s="836">
        <v>860</v>
      </c>
      <c r="X241" s="793" t="s">
        <v>81</v>
      </c>
      <c r="Y241" s="759">
        <v>3520</v>
      </c>
      <c r="Z241" s="759">
        <v>1000</v>
      </c>
      <c r="AA241" s="901">
        <v>5270</v>
      </c>
      <c r="AB241" s="759">
        <v>620</v>
      </c>
      <c r="AC241" s="887">
        <v>480</v>
      </c>
      <c r="AD241" s="754">
        <v>530</v>
      </c>
      <c r="AE241" s="86" t="s">
        <v>229</v>
      </c>
      <c r="AF241" s="770">
        <v>13640</v>
      </c>
      <c r="AG241" s="79">
        <v>3.8856304985337244E-2</v>
      </c>
      <c r="AH241" s="731" t="s">
        <v>97</v>
      </c>
      <c r="AI241" s="754">
        <v>40</v>
      </c>
      <c r="AJ241" s="754">
        <v>50</v>
      </c>
      <c r="AK241" s="754">
        <v>1020</v>
      </c>
      <c r="AL241" s="832">
        <f t="shared" ref="AL241:AL248" si="6">IF(AD241&gt;0,AD241*$I241,"-")</f>
        <v>212</v>
      </c>
      <c r="AM241" s="221">
        <v>2</v>
      </c>
    </row>
    <row r="242" spans="1:39" x14ac:dyDescent="0.3">
      <c r="A242" s="268">
        <v>343</v>
      </c>
      <c r="B242" s="268">
        <v>289</v>
      </c>
      <c r="C242" s="380" t="s">
        <v>680</v>
      </c>
      <c r="D242" s="64" t="s">
        <v>662</v>
      </c>
      <c r="E242" s="35" t="s">
        <v>683</v>
      </c>
      <c r="F242" s="799">
        <v>181</v>
      </c>
      <c r="G242" s="799" t="s">
        <v>539</v>
      </c>
      <c r="H242" s="65"/>
      <c r="I242" s="37">
        <v>0.75</v>
      </c>
      <c r="J242" s="799" t="s">
        <v>237</v>
      </c>
      <c r="K242" s="324" t="s">
        <v>75</v>
      </c>
      <c r="L242" s="837" t="s">
        <v>540</v>
      </c>
      <c r="M242" s="837" t="s">
        <v>541</v>
      </c>
      <c r="N242" s="837" t="s">
        <v>541</v>
      </c>
      <c r="O242" s="837" t="s">
        <v>541</v>
      </c>
      <c r="P242" s="837" t="s">
        <v>542</v>
      </c>
      <c r="Q242" s="907" t="s">
        <v>542</v>
      </c>
      <c r="R242" s="65" t="s">
        <v>543</v>
      </c>
      <c r="S242" s="65" t="s">
        <v>562</v>
      </c>
      <c r="T242" s="833">
        <v>670</v>
      </c>
      <c r="U242" s="833">
        <v>710</v>
      </c>
      <c r="V242" s="833">
        <v>630</v>
      </c>
      <c r="W242" s="820">
        <v>670</v>
      </c>
      <c r="X242" s="911" t="s">
        <v>81</v>
      </c>
      <c r="Y242" s="838">
        <v>850</v>
      </c>
      <c r="Z242" s="838">
        <v>780</v>
      </c>
      <c r="AA242" s="838">
        <v>690</v>
      </c>
      <c r="AB242" s="838">
        <v>850</v>
      </c>
      <c r="AC242" s="888">
        <v>550</v>
      </c>
      <c r="AD242" s="749">
        <v>840</v>
      </c>
      <c r="AE242" s="65" t="s">
        <v>229</v>
      </c>
      <c r="AF242" s="763">
        <v>13640</v>
      </c>
      <c r="AG242" s="315">
        <v>6.1583577712609971E-2</v>
      </c>
      <c r="AH242" s="734" t="s">
        <v>97</v>
      </c>
      <c r="AI242" s="749">
        <v>60</v>
      </c>
      <c r="AJ242" s="749">
        <v>90</v>
      </c>
      <c r="AK242" s="749">
        <v>1020</v>
      </c>
      <c r="AL242" s="832">
        <f t="shared" si="6"/>
        <v>630</v>
      </c>
      <c r="AM242" s="121">
        <v>2</v>
      </c>
    </row>
    <row r="243" spans="1:39" x14ac:dyDescent="0.3">
      <c r="A243" s="33">
        <v>342</v>
      </c>
      <c r="B243" s="33">
        <v>288</v>
      </c>
      <c r="C243" s="381" t="s">
        <v>680</v>
      </c>
      <c r="D243" s="51" t="s">
        <v>684</v>
      </c>
      <c r="E243" s="51" t="s">
        <v>685</v>
      </c>
      <c r="F243" s="800">
        <v>182</v>
      </c>
      <c r="G243" s="800" t="s">
        <v>539</v>
      </c>
      <c r="H243" s="52"/>
      <c r="I243" s="72">
        <v>1.3</v>
      </c>
      <c r="J243" s="800" t="s">
        <v>237</v>
      </c>
      <c r="K243" s="302" t="s">
        <v>75</v>
      </c>
      <c r="L243" s="835" t="s">
        <v>594</v>
      </c>
      <c r="M243" s="835" t="s">
        <v>541</v>
      </c>
      <c r="N243" s="835" t="s">
        <v>541</v>
      </c>
      <c r="O243" s="835" t="s">
        <v>541</v>
      </c>
      <c r="P243" s="835" t="s">
        <v>542</v>
      </c>
      <c r="Q243" s="907" t="s">
        <v>542</v>
      </c>
      <c r="R243" s="52" t="s">
        <v>686</v>
      </c>
      <c r="S243" s="52" t="s">
        <v>562</v>
      </c>
      <c r="T243" s="825">
        <v>1050</v>
      </c>
      <c r="U243" s="825">
        <v>1060</v>
      </c>
      <c r="V243" s="825">
        <v>950</v>
      </c>
      <c r="W243" s="822">
        <v>1120</v>
      </c>
      <c r="X243" s="760">
        <v>1150</v>
      </c>
      <c r="Y243" s="760">
        <v>1370</v>
      </c>
      <c r="Z243" s="760">
        <v>1370</v>
      </c>
      <c r="AA243" s="760">
        <v>1630</v>
      </c>
      <c r="AB243" s="760">
        <v>1700</v>
      </c>
      <c r="AC243" s="884">
        <v>1740</v>
      </c>
      <c r="AD243" s="748">
        <v>1910</v>
      </c>
      <c r="AE243" s="52" t="s">
        <v>229</v>
      </c>
      <c r="AF243" s="765">
        <v>13640</v>
      </c>
      <c r="AG243" s="303">
        <v>0.14002932551319647</v>
      </c>
      <c r="AH243" s="733" t="s">
        <v>97</v>
      </c>
      <c r="AI243" s="748">
        <v>160</v>
      </c>
      <c r="AJ243" s="748">
        <v>200</v>
      </c>
      <c r="AK243" s="748">
        <v>1020</v>
      </c>
      <c r="AL243" s="832">
        <f t="shared" si="6"/>
        <v>2483</v>
      </c>
      <c r="AM243" s="63">
        <v>2</v>
      </c>
    </row>
    <row r="244" spans="1:39" ht="15" thickBot="1" x14ac:dyDescent="0.35">
      <c r="A244" s="305">
        <v>341</v>
      </c>
      <c r="B244" s="305">
        <v>287</v>
      </c>
      <c r="C244" s="325" t="s">
        <v>680</v>
      </c>
      <c r="D244" s="185" t="s">
        <v>687</v>
      </c>
      <c r="E244" s="91" t="s">
        <v>688</v>
      </c>
      <c r="F244" s="801">
        <v>183</v>
      </c>
      <c r="G244" s="801" t="s">
        <v>539</v>
      </c>
      <c r="H244" s="92" t="s">
        <v>73</v>
      </c>
      <c r="I244" s="93">
        <v>0.3</v>
      </c>
      <c r="J244" s="801" t="s">
        <v>154</v>
      </c>
      <c r="K244" s="97" t="s">
        <v>104</v>
      </c>
      <c r="L244" s="841" t="s">
        <v>540</v>
      </c>
      <c r="M244" s="841" t="s">
        <v>584</v>
      </c>
      <c r="N244" s="841" t="s">
        <v>584</v>
      </c>
      <c r="O244" s="841" t="s">
        <v>584</v>
      </c>
      <c r="P244" s="841" t="s">
        <v>542</v>
      </c>
      <c r="Q244" s="903" t="s">
        <v>542</v>
      </c>
      <c r="R244" s="97" t="s">
        <v>543</v>
      </c>
      <c r="S244" s="97" t="s">
        <v>562</v>
      </c>
      <c r="T244" s="827">
        <v>1990</v>
      </c>
      <c r="U244" s="827">
        <v>2050</v>
      </c>
      <c r="V244" s="827">
        <v>1890</v>
      </c>
      <c r="W244" s="828">
        <v>2100</v>
      </c>
      <c r="X244" s="842">
        <v>2130</v>
      </c>
      <c r="Y244" s="842">
        <v>2640</v>
      </c>
      <c r="Z244" s="842">
        <v>2620</v>
      </c>
      <c r="AA244" s="842">
        <v>2980</v>
      </c>
      <c r="AB244" s="842">
        <v>2970</v>
      </c>
      <c r="AC244" s="861">
        <v>3420</v>
      </c>
      <c r="AD244" s="750">
        <v>3660</v>
      </c>
      <c r="AE244" s="97" t="s">
        <v>229</v>
      </c>
      <c r="AF244" s="768">
        <v>13640</v>
      </c>
      <c r="AG244" s="147">
        <v>0.26832844574780057</v>
      </c>
      <c r="AH244" s="736" t="s">
        <v>97</v>
      </c>
      <c r="AI244" s="750">
        <v>280</v>
      </c>
      <c r="AJ244" s="750">
        <v>360</v>
      </c>
      <c r="AK244" s="750">
        <v>1020</v>
      </c>
      <c r="AL244" s="881">
        <f t="shared" si="6"/>
        <v>1098</v>
      </c>
      <c r="AM244" s="127">
        <v>2</v>
      </c>
    </row>
    <row r="245" spans="1:39" x14ac:dyDescent="0.3">
      <c r="A245" s="103">
        <v>348</v>
      </c>
      <c r="B245" s="103">
        <v>293</v>
      </c>
      <c r="C245" s="382" t="s">
        <v>689</v>
      </c>
      <c r="D245" s="338" t="s">
        <v>537</v>
      </c>
      <c r="E245" s="189" t="s">
        <v>690</v>
      </c>
      <c r="F245" s="804">
        <v>192</v>
      </c>
      <c r="G245" s="804" t="s">
        <v>539</v>
      </c>
      <c r="H245" s="131" t="s">
        <v>73</v>
      </c>
      <c r="I245" s="178">
        <v>1.1000000000000001</v>
      </c>
      <c r="J245" s="804" t="s">
        <v>154</v>
      </c>
      <c r="K245" s="340" t="s">
        <v>75</v>
      </c>
      <c r="L245" s="843" t="s">
        <v>583</v>
      </c>
      <c r="M245" s="848" t="s">
        <v>584</v>
      </c>
      <c r="N245" s="843" t="s">
        <v>584</v>
      </c>
      <c r="O245" s="843" t="s">
        <v>584</v>
      </c>
      <c r="P245" s="843" t="s">
        <v>542</v>
      </c>
      <c r="Q245" s="907" t="s">
        <v>542</v>
      </c>
      <c r="R245" s="77" t="s">
        <v>543</v>
      </c>
      <c r="S245" s="311" t="s">
        <v>544</v>
      </c>
      <c r="T245" s="825">
        <v>7700</v>
      </c>
      <c r="U245" s="825">
        <v>8080</v>
      </c>
      <c r="V245" s="825">
        <v>7200</v>
      </c>
      <c r="W245" s="836">
        <v>7670</v>
      </c>
      <c r="X245" s="759">
        <v>5680</v>
      </c>
      <c r="Y245" s="759">
        <v>8750</v>
      </c>
      <c r="Z245" s="759">
        <v>5850</v>
      </c>
      <c r="AA245" s="759">
        <v>6520</v>
      </c>
      <c r="AB245" s="759">
        <v>6920</v>
      </c>
      <c r="AC245" s="887">
        <v>6040</v>
      </c>
      <c r="AD245" s="754">
        <v>6480</v>
      </c>
      <c r="AE245" s="190" t="s">
        <v>229</v>
      </c>
      <c r="AF245" s="771">
        <v>13640</v>
      </c>
      <c r="AG245" s="79">
        <v>0.47507331378299122</v>
      </c>
      <c r="AH245" s="731" t="s">
        <v>80</v>
      </c>
      <c r="AI245" s="754">
        <v>420</v>
      </c>
      <c r="AJ245" s="754">
        <v>570</v>
      </c>
      <c r="AK245" s="754">
        <v>1020</v>
      </c>
      <c r="AL245" s="832">
        <f t="shared" si="6"/>
        <v>7128.0000000000009</v>
      </c>
      <c r="AM245" s="182">
        <v>2</v>
      </c>
    </row>
    <row r="246" spans="1:39" x14ac:dyDescent="0.3">
      <c r="A246" s="33">
        <v>349</v>
      </c>
      <c r="B246" s="33">
        <v>294</v>
      </c>
      <c r="C246" s="383" t="s">
        <v>689</v>
      </c>
      <c r="D246" s="301" t="s">
        <v>691</v>
      </c>
      <c r="E246" s="64" t="s">
        <v>692</v>
      </c>
      <c r="F246" s="799">
        <v>193</v>
      </c>
      <c r="G246" s="799" t="s">
        <v>539</v>
      </c>
      <c r="H246" s="36" t="s">
        <v>73</v>
      </c>
      <c r="I246" s="37">
        <v>0.4</v>
      </c>
      <c r="J246" s="799" t="s">
        <v>154</v>
      </c>
      <c r="K246" s="324" t="s">
        <v>75</v>
      </c>
      <c r="L246" s="837" t="s">
        <v>583</v>
      </c>
      <c r="M246" s="837" t="s">
        <v>615</v>
      </c>
      <c r="N246" s="837" t="s">
        <v>615</v>
      </c>
      <c r="O246" s="837" t="s">
        <v>615</v>
      </c>
      <c r="P246" s="837" t="s">
        <v>616</v>
      </c>
      <c r="Q246" s="904" t="s">
        <v>616</v>
      </c>
      <c r="R246" s="65" t="s">
        <v>543</v>
      </c>
      <c r="S246" s="65" t="s">
        <v>544</v>
      </c>
      <c r="T246" s="833">
        <v>12230</v>
      </c>
      <c r="U246" s="833">
        <v>11460</v>
      </c>
      <c r="V246" s="833">
        <v>11040</v>
      </c>
      <c r="W246" s="820">
        <v>11350</v>
      </c>
      <c r="X246" s="838">
        <v>11820</v>
      </c>
      <c r="Y246" s="819">
        <v>13740</v>
      </c>
      <c r="Z246" s="838">
        <v>13190</v>
      </c>
      <c r="AA246" s="819">
        <v>13990</v>
      </c>
      <c r="AB246" s="838">
        <v>12950</v>
      </c>
      <c r="AC246" s="888">
        <v>11220</v>
      </c>
      <c r="AD246" s="749">
        <v>12250</v>
      </c>
      <c r="AE246" s="36" t="s">
        <v>229</v>
      </c>
      <c r="AF246" s="763">
        <v>14740</v>
      </c>
      <c r="AG246" s="315">
        <v>0.83107191316146545</v>
      </c>
      <c r="AH246" s="734" t="s">
        <v>80</v>
      </c>
      <c r="AI246" s="749">
        <v>820</v>
      </c>
      <c r="AJ246" s="749">
        <v>1020</v>
      </c>
      <c r="AK246" s="764">
        <v>1330</v>
      </c>
      <c r="AL246" s="832">
        <f t="shared" si="6"/>
        <v>4900</v>
      </c>
      <c r="AM246" s="121">
        <v>2</v>
      </c>
    </row>
    <row r="247" spans="1:39" x14ac:dyDescent="0.3">
      <c r="A247" s="33">
        <v>351</v>
      </c>
      <c r="B247" s="33">
        <v>296</v>
      </c>
      <c r="C247" s="383" t="s">
        <v>689</v>
      </c>
      <c r="D247" s="353" t="s">
        <v>693</v>
      </c>
      <c r="E247" s="51" t="s">
        <v>694</v>
      </c>
      <c r="F247" s="800">
        <v>195</v>
      </c>
      <c r="G247" s="800" t="s">
        <v>539</v>
      </c>
      <c r="H247" s="71" t="s">
        <v>73</v>
      </c>
      <c r="I247" s="72">
        <v>0.45</v>
      </c>
      <c r="J247" s="800" t="s">
        <v>154</v>
      </c>
      <c r="K247" s="71" t="s">
        <v>75</v>
      </c>
      <c r="L247" s="835" t="s">
        <v>614</v>
      </c>
      <c r="M247" s="839" t="s">
        <v>615</v>
      </c>
      <c r="N247" s="835" t="s">
        <v>615</v>
      </c>
      <c r="O247" s="835" t="s">
        <v>615</v>
      </c>
      <c r="P247" s="835" t="s">
        <v>616</v>
      </c>
      <c r="Q247" s="904" t="s">
        <v>616</v>
      </c>
      <c r="R247" s="52" t="s">
        <v>543</v>
      </c>
      <c r="S247" s="85" t="s">
        <v>544</v>
      </c>
      <c r="T247" s="825">
        <v>10850</v>
      </c>
      <c r="U247" s="825">
        <v>10160</v>
      </c>
      <c r="V247" s="825">
        <v>9290</v>
      </c>
      <c r="W247" s="822">
        <v>10010</v>
      </c>
      <c r="X247" s="760">
        <v>9970</v>
      </c>
      <c r="Y247" s="760">
        <v>12190</v>
      </c>
      <c r="Z247" s="760">
        <v>11380</v>
      </c>
      <c r="AA247" s="760">
        <v>11860</v>
      </c>
      <c r="AB247" s="760">
        <v>10810</v>
      </c>
      <c r="AC247" s="884">
        <v>9690</v>
      </c>
      <c r="AD247" s="748">
        <v>10560</v>
      </c>
      <c r="AE247" s="140" t="s">
        <v>229</v>
      </c>
      <c r="AF247" s="765">
        <v>14740</v>
      </c>
      <c r="AG247" s="303">
        <v>0.71641791044776115</v>
      </c>
      <c r="AH247" s="733" t="s">
        <v>80</v>
      </c>
      <c r="AI247" s="748">
        <v>750</v>
      </c>
      <c r="AJ247" s="748">
        <v>710</v>
      </c>
      <c r="AK247" s="766">
        <v>1330</v>
      </c>
      <c r="AL247" s="832">
        <f t="shared" si="6"/>
        <v>4752</v>
      </c>
      <c r="AM247" s="122">
        <v>3</v>
      </c>
    </row>
    <row r="248" spans="1:39" ht="15" thickBot="1" x14ac:dyDescent="0.35">
      <c r="A248" s="88">
        <v>352</v>
      </c>
      <c r="B248" s="88">
        <v>297</v>
      </c>
      <c r="C248" s="384" t="s">
        <v>689</v>
      </c>
      <c r="D248" s="296" t="s">
        <v>592</v>
      </c>
      <c r="E248" s="369" t="s">
        <v>695</v>
      </c>
      <c r="F248" s="801">
        <v>196</v>
      </c>
      <c r="G248" s="801" t="s">
        <v>539</v>
      </c>
      <c r="H248" s="92" t="s">
        <v>73</v>
      </c>
      <c r="I248" s="93">
        <v>0.55000000000000004</v>
      </c>
      <c r="J248" s="801" t="s">
        <v>154</v>
      </c>
      <c r="K248" s="271" t="s">
        <v>75</v>
      </c>
      <c r="L248" s="841" t="s">
        <v>614</v>
      </c>
      <c r="M248" s="841" t="s">
        <v>615</v>
      </c>
      <c r="N248" s="841" t="s">
        <v>615</v>
      </c>
      <c r="O248" s="841" t="s">
        <v>615</v>
      </c>
      <c r="P248" s="841" t="s">
        <v>616</v>
      </c>
      <c r="Q248" s="904" t="s">
        <v>616</v>
      </c>
      <c r="R248" s="97" t="s">
        <v>543</v>
      </c>
      <c r="S248" s="97" t="s">
        <v>544</v>
      </c>
      <c r="T248" s="827">
        <v>7270</v>
      </c>
      <c r="U248" s="827">
        <v>6790</v>
      </c>
      <c r="V248" s="827">
        <v>6570</v>
      </c>
      <c r="W248" s="828">
        <v>6970</v>
      </c>
      <c r="X248" s="842">
        <v>8930</v>
      </c>
      <c r="Y248" s="842">
        <v>8880</v>
      </c>
      <c r="Z248" s="842">
        <v>8110</v>
      </c>
      <c r="AA248" s="842">
        <v>8640</v>
      </c>
      <c r="AB248" s="842">
        <v>8180</v>
      </c>
      <c r="AC248" s="861">
        <v>7200</v>
      </c>
      <c r="AD248" s="750">
        <v>7580</v>
      </c>
      <c r="AE248" s="92" t="s">
        <v>229</v>
      </c>
      <c r="AF248" s="772">
        <v>14740</v>
      </c>
      <c r="AG248" s="147">
        <v>0.51424694708276797</v>
      </c>
      <c r="AH248" s="736" t="s">
        <v>80</v>
      </c>
      <c r="AI248" s="750">
        <v>460</v>
      </c>
      <c r="AJ248" s="750">
        <v>610</v>
      </c>
      <c r="AK248" s="773">
        <v>1330</v>
      </c>
      <c r="AL248" s="881">
        <f t="shared" si="6"/>
        <v>4169</v>
      </c>
      <c r="AM248" s="127">
        <v>3</v>
      </c>
    </row>
    <row r="249" spans="1:39" ht="15" thickBot="1" x14ac:dyDescent="0.35">
      <c r="A249" s="202">
        <v>358</v>
      </c>
      <c r="B249" s="202">
        <v>298</v>
      </c>
      <c r="C249" s="385" t="s">
        <v>696</v>
      </c>
      <c r="D249" s="386" t="s">
        <v>697</v>
      </c>
      <c r="E249" s="205" t="s">
        <v>698</v>
      </c>
      <c r="F249" s="805">
        <v>211</v>
      </c>
      <c r="G249" s="805" t="s">
        <v>539</v>
      </c>
      <c r="H249" s="249"/>
      <c r="I249" s="207">
        <v>1.25</v>
      </c>
      <c r="J249" s="805" t="s">
        <v>154</v>
      </c>
      <c r="K249" s="387" t="s">
        <v>104</v>
      </c>
      <c r="L249" s="851" t="s">
        <v>367</v>
      </c>
      <c r="M249" s="917" t="s">
        <v>367</v>
      </c>
      <c r="N249" s="851" t="s">
        <v>367</v>
      </c>
      <c r="O249" s="851" t="s">
        <v>367</v>
      </c>
      <c r="P249" s="851" t="s">
        <v>367</v>
      </c>
      <c r="Q249" s="895" t="s">
        <v>367</v>
      </c>
      <c r="R249" s="208" t="s">
        <v>686</v>
      </c>
      <c r="S249" s="208" t="s">
        <v>699</v>
      </c>
      <c r="T249" s="251">
        <v>550</v>
      </c>
      <c r="U249" s="251">
        <v>550</v>
      </c>
      <c r="V249" s="251">
        <v>550</v>
      </c>
      <c r="W249" s="857">
        <v>560</v>
      </c>
      <c r="X249" s="858">
        <v>640</v>
      </c>
      <c r="Y249" s="918">
        <v>650</v>
      </c>
      <c r="Z249" s="858">
        <v>580</v>
      </c>
      <c r="AA249" s="858">
        <v>590</v>
      </c>
      <c r="AB249" s="858">
        <v>610</v>
      </c>
      <c r="AC249" s="868">
        <v>640</v>
      </c>
      <c r="AD249" s="755">
        <v>740</v>
      </c>
      <c r="AE249" s="278" t="s">
        <v>97</v>
      </c>
      <c r="AF249" s="171">
        <v>6450</v>
      </c>
      <c r="AG249" s="280">
        <v>0.11472868217054263</v>
      </c>
      <c r="AH249" s="210" t="s">
        <v>1524</v>
      </c>
      <c r="AI249" s="755">
        <v>70</v>
      </c>
      <c r="AJ249" s="755">
        <v>70</v>
      </c>
      <c r="AK249" s="774">
        <v>620</v>
      </c>
      <c r="AL249" s="919"/>
      <c r="AM249" s="211">
        <v>2</v>
      </c>
    </row>
    <row r="250" spans="1:39" ht="15" thickBot="1" x14ac:dyDescent="0.35">
      <c r="A250" s="327">
        <v>362</v>
      </c>
      <c r="B250" s="327">
        <v>301</v>
      </c>
      <c r="C250" s="389" t="s">
        <v>700</v>
      </c>
      <c r="D250" s="390" t="s">
        <v>602</v>
      </c>
      <c r="E250" s="329" t="s">
        <v>701</v>
      </c>
      <c r="F250" s="807">
        <v>221</v>
      </c>
      <c r="G250" s="807" t="s">
        <v>539</v>
      </c>
      <c r="H250" s="330"/>
      <c r="I250" s="331">
        <v>3.25</v>
      </c>
      <c r="J250" s="807" t="s">
        <v>154</v>
      </c>
      <c r="K250" s="332" t="s">
        <v>75</v>
      </c>
      <c r="L250" s="891" t="s">
        <v>367</v>
      </c>
      <c r="M250" s="891" t="s">
        <v>367</v>
      </c>
      <c r="N250" s="891" t="s">
        <v>367</v>
      </c>
      <c r="O250" s="891" t="s">
        <v>367</v>
      </c>
      <c r="P250" s="891" t="s">
        <v>367</v>
      </c>
      <c r="Q250" s="895" t="s">
        <v>367</v>
      </c>
      <c r="R250" s="391" t="s">
        <v>596</v>
      </c>
      <c r="S250" s="285" t="s">
        <v>549</v>
      </c>
      <c r="T250" s="124">
        <v>180</v>
      </c>
      <c r="U250" s="124">
        <v>180</v>
      </c>
      <c r="V250" s="124">
        <v>170</v>
      </c>
      <c r="W250" s="893">
        <v>170</v>
      </c>
      <c r="X250" s="860">
        <v>220</v>
      </c>
      <c r="Y250" s="920">
        <v>210</v>
      </c>
      <c r="Z250" s="860">
        <v>150</v>
      </c>
      <c r="AA250" s="860">
        <v>210</v>
      </c>
      <c r="AB250" s="860">
        <v>200</v>
      </c>
      <c r="AC250" s="893">
        <v>210</v>
      </c>
      <c r="AD250" s="758">
        <v>220</v>
      </c>
      <c r="AE250" s="391" t="s">
        <v>97</v>
      </c>
      <c r="AF250" s="186">
        <v>6450</v>
      </c>
      <c r="AG250" s="333">
        <v>3.4108527131782945E-2</v>
      </c>
      <c r="AH250" s="307" t="s">
        <v>1524</v>
      </c>
      <c r="AI250" s="758">
        <v>20</v>
      </c>
      <c r="AJ250" s="758">
        <v>20</v>
      </c>
      <c r="AK250" s="775">
        <v>620</v>
      </c>
      <c r="AL250" s="894"/>
      <c r="AM250" s="337">
        <v>2</v>
      </c>
    </row>
    <row r="251" spans="1:39" ht="15" thickBot="1" x14ac:dyDescent="0.35">
      <c r="A251" s="103">
        <v>371</v>
      </c>
      <c r="B251" s="103">
        <v>309</v>
      </c>
      <c r="C251" s="309" t="s">
        <v>702</v>
      </c>
      <c r="D251" s="188" t="s">
        <v>703</v>
      </c>
      <c r="E251" s="392" t="s">
        <v>704</v>
      </c>
      <c r="F251" s="376" t="s">
        <v>705</v>
      </c>
      <c r="G251" s="804" t="s">
        <v>539</v>
      </c>
      <c r="H251" s="77" t="s">
        <v>73</v>
      </c>
      <c r="I251" s="178">
        <v>1.05</v>
      </c>
      <c r="J251" s="804" t="s">
        <v>140</v>
      </c>
      <c r="K251" s="77" t="s">
        <v>104</v>
      </c>
      <c r="L251" s="843" t="s">
        <v>583</v>
      </c>
      <c r="M251" s="843" t="s">
        <v>587</v>
      </c>
      <c r="N251" s="843" t="s">
        <v>587</v>
      </c>
      <c r="O251" s="843" t="s">
        <v>587</v>
      </c>
      <c r="P251" s="843" t="s">
        <v>629</v>
      </c>
      <c r="Q251" s="310" t="s">
        <v>629</v>
      </c>
      <c r="R251" s="77" t="s">
        <v>543</v>
      </c>
      <c r="S251" s="77" t="s">
        <v>562</v>
      </c>
      <c r="T251" s="77"/>
      <c r="U251" s="77"/>
      <c r="V251" s="77"/>
      <c r="W251" s="77"/>
      <c r="X251" s="793" t="s">
        <v>81</v>
      </c>
      <c r="Y251" s="793" t="s">
        <v>81</v>
      </c>
      <c r="Z251" s="793" t="s">
        <v>81</v>
      </c>
      <c r="AA251" s="793" t="s">
        <v>81</v>
      </c>
      <c r="AB251" s="793" t="s">
        <v>81</v>
      </c>
      <c r="AC251" s="793" t="s">
        <v>81</v>
      </c>
      <c r="AD251" s="753" t="s">
        <v>81</v>
      </c>
      <c r="AE251" s="86" t="s">
        <v>229</v>
      </c>
      <c r="AF251" s="244">
        <v>17050</v>
      </c>
      <c r="AG251" s="132" t="s">
        <v>81</v>
      </c>
      <c r="AH251" s="132" t="s">
        <v>81</v>
      </c>
      <c r="AI251" s="132" t="s">
        <v>81</v>
      </c>
      <c r="AJ251" s="132" t="s">
        <v>81</v>
      </c>
      <c r="AK251" s="312">
        <v>1540</v>
      </c>
      <c r="AL251" s="832" t="e">
        <f t="shared" ref="AL251:AL258" si="7">IF(AD251&gt;0,AD251*$I251,"-")</f>
        <v>#VALUE!</v>
      </c>
      <c r="AM251" s="221">
        <v>2</v>
      </c>
    </row>
    <row r="252" spans="1:39" x14ac:dyDescent="0.3">
      <c r="A252" s="103">
        <v>371</v>
      </c>
      <c r="B252" s="103">
        <v>309</v>
      </c>
      <c r="C252" s="309" t="s">
        <v>702</v>
      </c>
      <c r="D252" s="188" t="s">
        <v>703</v>
      </c>
      <c r="E252" s="392" t="s">
        <v>706</v>
      </c>
      <c r="F252" s="804">
        <v>231</v>
      </c>
      <c r="G252" s="804" t="s">
        <v>539</v>
      </c>
      <c r="H252" s="77" t="s">
        <v>73</v>
      </c>
      <c r="I252" s="178">
        <v>1.05</v>
      </c>
      <c r="J252" s="804" t="s">
        <v>140</v>
      </c>
      <c r="K252" s="77" t="s">
        <v>104</v>
      </c>
      <c r="L252" s="843" t="s">
        <v>583</v>
      </c>
      <c r="M252" s="843" t="s">
        <v>587</v>
      </c>
      <c r="N252" s="843" t="s">
        <v>587</v>
      </c>
      <c r="O252" s="843" t="s">
        <v>587</v>
      </c>
      <c r="P252" s="843" t="s">
        <v>629</v>
      </c>
      <c r="Q252" s="310" t="s">
        <v>629</v>
      </c>
      <c r="R252" s="77" t="s">
        <v>543</v>
      </c>
      <c r="S252" s="77" t="s">
        <v>562</v>
      </c>
      <c r="T252" s="825">
        <v>4110</v>
      </c>
      <c r="U252" s="825">
        <v>4250</v>
      </c>
      <c r="V252" s="825">
        <v>3980</v>
      </c>
      <c r="W252" s="836">
        <v>4180</v>
      </c>
      <c r="X252" s="793" t="s">
        <v>81</v>
      </c>
      <c r="Y252" s="759">
        <v>4660</v>
      </c>
      <c r="Z252" s="759">
        <v>5140</v>
      </c>
      <c r="AA252" s="901">
        <v>4750</v>
      </c>
      <c r="AB252" s="759">
        <v>6480</v>
      </c>
      <c r="AC252" s="884">
        <v>5470</v>
      </c>
      <c r="AD252" s="748">
        <v>5540</v>
      </c>
      <c r="AE252" s="86" t="s">
        <v>229</v>
      </c>
      <c r="AF252" s="194">
        <v>17050</v>
      </c>
      <c r="AG252" s="303">
        <v>0.32492668621700882</v>
      </c>
      <c r="AH252" s="80" t="s">
        <v>97</v>
      </c>
      <c r="AI252" s="115">
        <v>630</v>
      </c>
      <c r="AJ252" s="115">
        <v>530</v>
      </c>
      <c r="AK252" s="304">
        <v>1540</v>
      </c>
      <c r="AL252" s="832">
        <f t="shared" si="7"/>
        <v>5817</v>
      </c>
      <c r="AM252" s="221">
        <v>2</v>
      </c>
    </row>
    <row r="253" spans="1:39" ht="15" thickBot="1" x14ac:dyDescent="0.35">
      <c r="A253" s="268">
        <v>370</v>
      </c>
      <c r="B253" s="268">
        <v>308</v>
      </c>
      <c r="C253" s="383" t="s">
        <v>702</v>
      </c>
      <c r="D253" s="191" t="s">
        <v>707</v>
      </c>
      <c r="E253" s="35" t="s">
        <v>708</v>
      </c>
      <c r="F253" s="799">
        <v>232</v>
      </c>
      <c r="G253" s="799" t="s">
        <v>539</v>
      </c>
      <c r="H253" s="36" t="s">
        <v>73</v>
      </c>
      <c r="I253" s="37">
        <v>1.05</v>
      </c>
      <c r="J253" s="799" t="s">
        <v>140</v>
      </c>
      <c r="K253" s="36" t="s">
        <v>104</v>
      </c>
      <c r="L253" s="837" t="s">
        <v>583</v>
      </c>
      <c r="M253" s="837" t="s">
        <v>584</v>
      </c>
      <c r="N253" s="837" t="s">
        <v>584</v>
      </c>
      <c r="O253" s="837" t="s">
        <v>584</v>
      </c>
      <c r="P253" s="837" t="s">
        <v>626</v>
      </c>
      <c r="Q253" s="909" t="s">
        <v>626</v>
      </c>
      <c r="R253" s="65" t="s">
        <v>543</v>
      </c>
      <c r="S253" s="65" t="s">
        <v>562</v>
      </c>
      <c r="T253" s="833">
        <v>5200</v>
      </c>
      <c r="U253" s="833">
        <v>5730</v>
      </c>
      <c r="V253" s="833">
        <v>5440</v>
      </c>
      <c r="W253" s="820">
        <v>5820</v>
      </c>
      <c r="X253" s="838">
        <v>5080</v>
      </c>
      <c r="Y253" s="838">
        <v>5770</v>
      </c>
      <c r="Z253" s="838">
        <v>6910</v>
      </c>
      <c r="AA253" s="838">
        <v>8240</v>
      </c>
      <c r="AB253" s="838">
        <v>8800</v>
      </c>
      <c r="AC253" s="888">
        <v>7460</v>
      </c>
      <c r="AD253" s="749">
        <v>7670</v>
      </c>
      <c r="AE253" s="36" t="s">
        <v>229</v>
      </c>
      <c r="AF253" s="763">
        <v>13640</v>
      </c>
      <c r="AG253" s="315">
        <v>0.56231671554252194</v>
      </c>
      <c r="AH253" s="734" t="s">
        <v>97</v>
      </c>
      <c r="AI253" s="749">
        <v>600</v>
      </c>
      <c r="AJ253" s="749">
        <v>730</v>
      </c>
      <c r="AK253" s="764">
        <v>1230</v>
      </c>
      <c r="AL253" s="832">
        <f t="shared" si="7"/>
        <v>8053.5</v>
      </c>
      <c r="AM253" s="121">
        <v>2</v>
      </c>
    </row>
    <row r="254" spans="1:39" x14ac:dyDescent="0.3">
      <c r="A254" s="33">
        <v>368</v>
      </c>
      <c r="B254" s="33">
        <v>306</v>
      </c>
      <c r="C254" s="393" t="s">
        <v>702</v>
      </c>
      <c r="D254" s="353" t="s">
        <v>709</v>
      </c>
      <c r="E254" s="70" t="s">
        <v>710</v>
      </c>
      <c r="F254" s="800">
        <v>234</v>
      </c>
      <c r="G254" s="800" t="s">
        <v>539</v>
      </c>
      <c r="H254" s="52" t="s">
        <v>73</v>
      </c>
      <c r="I254" s="72">
        <v>0.75</v>
      </c>
      <c r="J254" s="800" t="s">
        <v>237</v>
      </c>
      <c r="K254" s="52" t="s">
        <v>104</v>
      </c>
      <c r="L254" s="835" t="s">
        <v>583</v>
      </c>
      <c r="M254" s="835" t="s">
        <v>584</v>
      </c>
      <c r="N254" s="835" t="s">
        <v>584</v>
      </c>
      <c r="O254" s="835" t="s">
        <v>584</v>
      </c>
      <c r="P254" s="835" t="s">
        <v>542</v>
      </c>
      <c r="Q254" s="907" t="s">
        <v>542</v>
      </c>
      <c r="R254" s="52" t="s">
        <v>543</v>
      </c>
      <c r="S254" s="52" t="s">
        <v>562</v>
      </c>
      <c r="T254" s="825">
        <v>4180</v>
      </c>
      <c r="U254" s="825">
        <v>4310</v>
      </c>
      <c r="V254" s="825">
        <v>4010</v>
      </c>
      <c r="W254" s="822">
        <v>3750</v>
      </c>
      <c r="X254" s="760">
        <v>4480</v>
      </c>
      <c r="Y254" s="760">
        <v>4420</v>
      </c>
      <c r="Z254" s="760">
        <v>4610</v>
      </c>
      <c r="AA254" s="760">
        <v>5290</v>
      </c>
      <c r="AB254" s="760">
        <v>4950</v>
      </c>
      <c r="AC254" s="884">
        <v>4970</v>
      </c>
      <c r="AD254" s="748">
        <v>5320</v>
      </c>
      <c r="AE254" s="80" t="s">
        <v>229</v>
      </c>
      <c r="AF254" s="765">
        <v>13640</v>
      </c>
      <c r="AG254" s="303">
        <v>0.39002932551319647</v>
      </c>
      <c r="AH254" s="731" t="s">
        <v>97</v>
      </c>
      <c r="AI254" s="754">
        <v>410</v>
      </c>
      <c r="AJ254" s="754">
        <v>540</v>
      </c>
      <c r="AK254" s="754">
        <v>1020</v>
      </c>
      <c r="AL254" s="832">
        <f t="shared" si="7"/>
        <v>3990</v>
      </c>
      <c r="AM254" s="63">
        <v>2</v>
      </c>
    </row>
    <row r="255" spans="1:39" x14ac:dyDescent="0.3">
      <c r="A255" s="268">
        <v>367</v>
      </c>
      <c r="B255" s="268">
        <v>305</v>
      </c>
      <c r="C255" s="383" t="s">
        <v>702</v>
      </c>
      <c r="D255" s="191" t="s">
        <v>711</v>
      </c>
      <c r="E255" s="64" t="s">
        <v>712</v>
      </c>
      <c r="F255" s="799">
        <v>235</v>
      </c>
      <c r="G255" s="799" t="s">
        <v>539</v>
      </c>
      <c r="H255" s="36" t="s">
        <v>73</v>
      </c>
      <c r="I255" s="37">
        <v>0.25</v>
      </c>
      <c r="J255" s="799" t="s">
        <v>237</v>
      </c>
      <c r="K255" s="36" t="s">
        <v>104</v>
      </c>
      <c r="L255" s="837" t="s">
        <v>583</v>
      </c>
      <c r="M255" s="837" t="s">
        <v>584</v>
      </c>
      <c r="N255" s="837" t="s">
        <v>584</v>
      </c>
      <c r="O255" s="837" t="s">
        <v>584</v>
      </c>
      <c r="P255" s="837" t="s">
        <v>542</v>
      </c>
      <c r="Q255" s="907" t="s">
        <v>542</v>
      </c>
      <c r="R255" s="65" t="s">
        <v>543</v>
      </c>
      <c r="S255" s="65" t="s">
        <v>562</v>
      </c>
      <c r="T255" s="833">
        <v>3480</v>
      </c>
      <c r="U255" s="833">
        <v>3520</v>
      </c>
      <c r="V255" s="833">
        <v>3370</v>
      </c>
      <c r="W255" s="820">
        <v>3520</v>
      </c>
      <c r="X255" s="838">
        <v>3550</v>
      </c>
      <c r="Y255" s="838">
        <v>3570</v>
      </c>
      <c r="Z255" s="838">
        <v>3900</v>
      </c>
      <c r="AA255" s="838">
        <v>4560</v>
      </c>
      <c r="AB255" s="838">
        <v>3640</v>
      </c>
      <c r="AC255" s="888">
        <v>3890</v>
      </c>
      <c r="AD255" s="749">
        <v>4180</v>
      </c>
      <c r="AE255" s="36" t="s">
        <v>229</v>
      </c>
      <c r="AF255" s="763">
        <v>13640</v>
      </c>
      <c r="AG255" s="315">
        <v>0.30645161290322581</v>
      </c>
      <c r="AH255" s="734" t="s">
        <v>97</v>
      </c>
      <c r="AI255" s="749">
        <v>330</v>
      </c>
      <c r="AJ255" s="749">
        <v>410</v>
      </c>
      <c r="AK255" s="749">
        <v>1020</v>
      </c>
      <c r="AL255" s="832">
        <f t="shared" si="7"/>
        <v>1045</v>
      </c>
      <c r="AM255" s="121">
        <v>2</v>
      </c>
    </row>
    <row r="256" spans="1:39" x14ac:dyDescent="0.3">
      <c r="A256" s="33">
        <v>366</v>
      </c>
      <c r="B256" s="33">
        <v>304</v>
      </c>
      <c r="C256" s="393" t="s">
        <v>702</v>
      </c>
      <c r="D256" s="353" t="s">
        <v>713</v>
      </c>
      <c r="E256" s="70" t="s">
        <v>714</v>
      </c>
      <c r="F256" s="800">
        <v>236</v>
      </c>
      <c r="G256" s="800" t="s">
        <v>539</v>
      </c>
      <c r="H256" s="52" t="s">
        <v>73</v>
      </c>
      <c r="I256" s="72">
        <v>0.55000000000000004</v>
      </c>
      <c r="J256" s="800" t="s">
        <v>237</v>
      </c>
      <c r="K256" s="52" t="s">
        <v>104</v>
      </c>
      <c r="L256" s="835" t="s">
        <v>583</v>
      </c>
      <c r="M256" s="835" t="s">
        <v>584</v>
      </c>
      <c r="N256" s="835" t="s">
        <v>584</v>
      </c>
      <c r="O256" s="835" t="s">
        <v>584</v>
      </c>
      <c r="P256" s="835" t="s">
        <v>542</v>
      </c>
      <c r="Q256" s="907" t="s">
        <v>542</v>
      </c>
      <c r="R256" s="52" t="s">
        <v>543</v>
      </c>
      <c r="S256" s="52" t="s">
        <v>562</v>
      </c>
      <c r="T256" s="825">
        <v>4330</v>
      </c>
      <c r="U256" s="825">
        <v>4190</v>
      </c>
      <c r="V256" s="825">
        <v>4060</v>
      </c>
      <c r="W256" s="822">
        <v>4500</v>
      </c>
      <c r="X256" s="760">
        <v>3880</v>
      </c>
      <c r="Y256" s="760">
        <v>4200</v>
      </c>
      <c r="Z256" s="760">
        <v>5380</v>
      </c>
      <c r="AA256" s="760">
        <v>4920</v>
      </c>
      <c r="AB256" s="760">
        <v>6290</v>
      </c>
      <c r="AC256" s="884">
        <v>5390</v>
      </c>
      <c r="AD256" s="748">
        <v>5780</v>
      </c>
      <c r="AE256" s="80" t="s">
        <v>229</v>
      </c>
      <c r="AF256" s="765">
        <v>13640</v>
      </c>
      <c r="AG256" s="303">
        <v>0.42375366568914957</v>
      </c>
      <c r="AH256" s="733" t="s">
        <v>80</v>
      </c>
      <c r="AI256" s="748">
        <v>440</v>
      </c>
      <c r="AJ256" s="748">
        <v>530</v>
      </c>
      <c r="AK256" s="748">
        <v>1020</v>
      </c>
      <c r="AL256" s="832">
        <f t="shared" si="7"/>
        <v>3179.0000000000005</v>
      </c>
      <c r="AM256" s="63">
        <v>2</v>
      </c>
    </row>
    <row r="257" spans="1:39" ht="15" thickBot="1" x14ac:dyDescent="0.35">
      <c r="A257" s="305">
        <v>365</v>
      </c>
      <c r="B257" s="305">
        <v>303</v>
      </c>
      <c r="C257" s="384" t="s">
        <v>702</v>
      </c>
      <c r="D257" s="347" t="s">
        <v>585</v>
      </c>
      <c r="E257" s="91" t="s">
        <v>586</v>
      </c>
      <c r="F257" s="801">
        <v>237</v>
      </c>
      <c r="G257" s="801" t="s">
        <v>539</v>
      </c>
      <c r="H257" s="92" t="s">
        <v>73</v>
      </c>
      <c r="I257" s="93">
        <v>1</v>
      </c>
      <c r="J257" s="801" t="s">
        <v>158</v>
      </c>
      <c r="K257" s="92" t="s">
        <v>104</v>
      </c>
      <c r="L257" s="841" t="s">
        <v>583</v>
      </c>
      <c r="M257" s="841" t="s">
        <v>584</v>
      </c>
      <c r="N257" s="841" t="s">
        <v>584</v>
      </c>
      <c r="O257" s="841" t="s">
        <v>584</v>
      </c>
      <c r="P257" s="841" t="s">
        <v>626</v>
      </c>
      <c r="Q257" s="909" t="s">
        <v>626</v>
      </c>
      <c r="R257" s="97" t="s">
        <v>543</v>
      </c>
      <c r="S257" s="97" t="s">
        <v>562</v>
      </c>
      <c r="T257" s="827">
        <v>5780</v>
      </c>
      <c r="U257" s="827">
        <v>5380</v>
      </c>
      <c r="V257" s="827">
        <v>5200</v>
      </c>
      <c r="W257" s="828">
        <v>5670</v>
      </c>
      <c r="X257" s="842">
        <v>5680</v>
      </c>
      <c r="Y257" s="842">
        <v>5790</v>
      </c>
      <c r="Z257" s="842">
        <v>6750</v>
      </c>
      <c r="AA257" s="842">
        <v>7750</v>
      </c>
      <c r="AB257" s="842">
        <v>7950</v>
      </c>
      <c r="AC257" s="861">
        <v>7040</v>
      </c>
      <c r="AD257" s="750">
        <v>7320</v>
      </c>
      <c r="AE257" s="92" t="s">
        <v>229</v>
      </c>
      <c r="AF257" s="768">
        <v>13640</v>
      </c>
      <c r="AG257" s="147">
        <v>0.53665689149560114</v>
      </c>
      <c r="AH257" s="736" t="s">
        <v>97</v>
      </c>
      <c r="AI257" s="750">
        <v>560</v>
      </c>
      <c r="AJ257" s="750">
        <v>670</v>
      </c>
      <c r="AK257" s="773">
        <v>1230</v>
      </c>
      <c r="AL257" s="881">
        <f t="shared" si="7"/>
        <v>7320</v>
      </c>
      <c r="AM257" s="127">
        <v>2</v>
      </c>
    </row>
    <row r="258" spans="1:39" ht="15" thickBot="1" x14ac:dyDescent="0.35">
      <c r="A258" s="394">
        <v>3722</v>
      </c>
      <c r="B258" s="394">
        <v>3046</v>
      </c>
      <c r="C258" s="247" t="s">
        <v>715</v>
      </c>
      <c r="D258" s="248" t="s">
        <v>716</v>
      </c>
      <c r="E258" s="248" t="s">
        <v>717</v>
      </c>
      <c r="F258" s="249">
        <v>239</v>
      </c>
      <c r="G258" s="805" t="s">
        <v>539</v>
      </c>
      <c r="H258" s="249"/>
      <c r="I258" s="207">
        <v>0.6</v>
      </c>
      <c r="J258" s="805" t="s">
        <v>154</v>
      </c>
      <c r="K258" s="387" t="s">
        <v>75</v>
      </c>
      <c r="L258" s="851" t="s">
        <v>583</v>
      </c>
      <c r="M258" s="917" t="s">
        <v>541</v>
      </c>
      <c r="N258" s="851" t="s">
        <v>541</v>
      </c>
      <c r="O258" s="851" t="s">
        <v>541</v>
      </c>
      <c r="P258" s="851" t="s">
        <v>542</v>
      </c>
      <c r="Q258" s="907" t="s">
        <v>542</v>
      </c>
      <c r="R258" s="249" t="s">
        <v>543</v>
      </c>
      <c r="S258" s="395" t="s">
        <v>544</v>
      </c>
      <c r="T258" s="846">
        <v>5830</v>
      </c>
      <c r="U258" s="846">
        <v>5410</v>
      </c>
      <c r="V258" s="846">
        <v>5080</v>
      </c>
      <c r="W258" s="857">
        <v>5460</v>
      </c>
      <c r="X258" s="858">
        <v>4020</v>
      </c>
      <c r="Y258" s="858">
        <v>4200</v>
      </c>
      <c r="Z258" s="858">
        <v>5920</v>
      </c>
      <c r="AA258" s="858">
        <v>5600</v>
      </c>
      <c r="AB258" s="858">
        <v>5920</v>
      </c>
      <c r="AC258" s="868">
        <v>5140</v>
      </c>
      <c r="AD258" s="755">
        <v>5140</v>
      </c>
      <c r="AE258" s="278" t="s">
        <v>229</v>
      </c>
      <c r="AF258" s="776">
        <v>13640</v>
      </c>
      <c r="AG258" s="280">
        <v>0.37683284457478006</v>
      </c>
      <c r="AH258" s="740" t="s">
        <v>97</v>
      </c>
      <c r="AI258" s="755">
        <v>460</v>
      </c>
      <c r="AJ258" s="755">
        <v>460</v>
      </c>
      <c r="AK258" s="755">
        <v>1020</v>
      </c>
      <c r="AL258" s="881">
        <f t="shared" si="7"/>
        <v>3084</v>
      </c>
      <c r="AM258" s="211">
        <v>2</v>
      </c>
    </row>
    <row r="259" spans="1:39" ht="15" thickBot="1" x14ac:dyDescent="0.35">
      <c r="A259" s="327">
        <v>375</v>
      </c>
      <c r="B259" s="327">
        <v>313</v>
      </c>
      <c r="C259" s="389" t="s">
        <v>718</v>
      </c>
      <c r="D259" s="390" t="s">
        <v>719</v>
      </c>
      <c r="E259" s="396" t="s">
        <v>720</v>
      </c>
      <c r="F259" s="807">
        <v>240</v>
      </c>
      <c r="G259" s="807" t="s">
        <v>539</v>
      </c>
      <c r="H259" s="330"/>
      <c r="I259" s="331">
        <v>1.7</v>
      </c>
      <c r="J259" s="807" t="s">
        <v>154</v>
      </c>
      <c r="K259" s="332" t="s">
        <v>104</v>
      </c>
      <c r="L259" s="891" t="s">
        <v>367</v>
      </c>
      <c r="M259" s="891" t="s">
        <v>367</v>
      </c>
      <c r="N259" s="891" t="s">
        <v>367</v>
      </c>
      <c r="O259" s="891" t="s">
        <v>367</v>
      </c>
      <c r="P259" s="891" t="s">
        <v>367</v>
      </c>
      <c r="Q259" s="895" t="s">
        <v>367</v>
      </c>
      <c r="R259" s="330" t="s">
        <v>556</v>
      </c>
      <c r="S259" s="285" t="s">
        <v>549</v>
      </c>
      <c r="T259" s="124">
        <v>140</v>
      </c>
      <c r="U259" s="124">
        <v>180</v>
      </c>
      <c r="V259" s="124">
        <v>180</v>
      </c>
      <c r="W259" s="893">
        <v>190</v>
      </c>
      <c r="X259" s="860">
        <v>160</v>
      </c>
      <c r="Y259" s="860">
        <v>180</v>
      </c>
      <c r="Z259" s="860">
        <v>170</v>
      </c>
      <c r="AA259" s="860">
        <v>190</v>
      </c>
      <c r="AB259" s="860">
        <v>160</v>
      </c>
      <c r="AC259" s="893">
        <v>140</v>
      </c>
      <c r="AD259" s="758">
        <v>200</v>
      </c>
      <c r="AE259" s="391" t="s">
        <v>97</v>
      </c>
      <c r="AF259" s="186">
        <v>6450</v>
      </c>
      <c r="AG259" s="333">
        <v>3.1007751937984496E-2</v>
      </c>
      <c r="AH259" s="307" t="s">
        <v>1524</v>
      </c>
      <c r="AI259" s="758">
        <v>20</v>
      </c>
      <c r="AJ259" s="758">
        <v>20</v>
      </c>
      <c r="AK259" s="775">
        <v>620</v>
      </c>
      <c r="AL259" s="758"/>
      <c r="AM259" s="337">
        <v>2</v>
      </c>
    </row>
    <row r="260" spans="1:39" x14ac:dyDescent="0.3">
      <c r="A260" s="397"/>
      <c r="B260" s="397"/>
      <c r="C260" s="242" t="s">
        <v>721</v>
      </c>
      <c r="D260" s="150" t="s">
        <v>722</v>
      </c>
      <c r="E260" s="177" t="s">
        <v>723</v>
      </c>
      <c r="F260" s="77">
        <v>245</v>
      </c>
      <c r="G260" s="800" t="s">
        <v>539</v>
      </c>
      <c r="H260" s="77"/>
      <c r="I260" s="178">
        <v>0.15</v>
      </c>
      <c r="J260" s="804" t="s">
        <v>237</v>
      </c>
      <c r="K260" s="340" t="s">
        <v>104</v>
      </c>
      <c r="L260" s="843" t="s">
        <v>583</v>
      </c>
      <c r="M260" s="848" t="s">
        <v>541</v>
      </c>
      <c r="N260" s="843" t="s">
        <v>541</v>
      </c>
      <c r="O260" s="843" t="s">
        <v>541</v>
      </c>
      <c r="P260" s="843" t="s">
        <v>542</v>
      </c>
      <c r="Q260" s="907" t="s">
        <v>542</v>
      </c>
      <c r="R260" s="77" t="s">
        <v>543</v>
      </c>
      <c r="S260" s="311" t="s">
        <v>544</v>
      </c>
      <c r="T260" s="57"/>
      <c r="U260" s="57"/>
      <c r="V260" s="57"/>
      <c r="W260" s="398"/>
      <c r="X260" s="759">
        <v>1280</v>
      </c>
      <c r="Y260" s="759">
        <v>1690</v>
      </c>
      <c r="Z260" s="759">
        <v>1110</v>
      </c>
      <c r="AA260" s="759">
        <v>1110</v>
      </c>
      <c r="AB260" s="886">
        <v>1080</v>
      </c>
      <c r="AC260" s="887">
        <v>1450</v>
      </c>
      <c r="AD260" s="754">
        <v>1420</v>
      </c>
      <c r="AE260" s="190" t="s">
        <v>229</v>
      </c>
      <c r="AF260" s="770">
        <v>13640</v>
      </c>
      <c r="AG260" s="79">
        <v>0.10410557184750734</v>
      </c>
      <c r="AH260" s="731" t="s">
        <v>97</v>
      </c>
      <c r="AI260" s="754">
        <v>70</v>
      </c>
      <c r="AJ260" s="754">
        <v>120</v>
      </c>
      <c r="AK260" s="754">
        <v>1020</v>
      </c>
      <c r="AL260" s="832">
        <f>IF(AD260&gt;0,AD260*$I260,"-")</f>
        <v>213</v>
      </c>
      <c r="AM260" s="182">
        <v>2</v>
      </c>
    </row>
    <row r="261" spans="1:39" x14ac:dyDescent="0.3">
      <c r="A261" s="268">
        <v>380</v>
      </c>
      <c r="B261" s="64">
        <v>2006</v>
      </c>
      <c r="C261" s="399" t="s">
        <v>721</v>
      </c>
      <c r="D261" s="134" t="s">
        <v>722</v>
      </c>
      <c r="E261" s="35" t="s">
        <v>724</v>
      </c>
      <c r="F261" s="65">
        <v>260</v>
      </c>
      <c r="G261" s="799" t="s">
        <v>539</v>
      </c>
      <c r="H261" s="65"/>
      <c r="I261" s="37">
        <v>0.9</v>
      </c>
      <c r="J261" s="799" t="s">
        <v>237</v>
      </c>
      <c r="K261" s="324" t="s">
        <v>104</v>
      </c>
      <c r="L261" s="837" t="s">
        <v>583</v>
      </c>
      <c r="M261" s="837" t="s">
        <v>541</v>
      </c>
      <c r="N261" s="837" t="s">
        <v>541</v>
      </c>
      <c r="O261" s="837" t="s">
        <v>541</v>
      </c>
      <c r="P261" s="837" t="s">
        <v>542</v>
      </c>
      <c r="Q261" s="907" t="s">
        <v>542</v>
      </c>
      <c r="R261" s="65" t="s">
        <v>543</v>
      </c>
      <c r="S261" s="65" t="s">
        <v>544</v>
      </c>
      <c r="T261" s="833">
        <v>5090</v>
      </c>
      <c r="U261" s="833">
        <v>5160</v>
      </c>
      <c r="V261" s="833">
        <v>4740</v>
      </c>
      <c r="W261" s="820">
        <v>4740</v>
      </c>
      <c r="X261" s="838">
        <v>5230</v>
      </c>
      <c r="Y261" s="838">
        <v>7190</v>
      </c>
      <c r="Z261" s="838">
        <v>5030</v>
      </c>
      <c r="AA261" s="838">
        <v>5190</v>
      </c>
      <c r="AB261" s="838">
        <v>5780</v>
      </c>
      <c r="AC261" s="888">
        <v>5380</v>
      </c>
      <c r="AD261" s="749">
        <v>5590</v>
      </c>
      <c r="AE261" s="36" t="s">
        <v>229</v>
      </c>
      <c r="AF261" s="763">
        <v>13640</v>
      </c>
      <c r="AG261" s="315">
        <v>0.40982404692082114</v>
      </c>
      <c r="AH261" s="734" t="s">
        <v>80</v>
      </c>
      <c r="AI261" s="749">
        <v>340</v>
      </c>
      <c r="AJ261" s="749">
        <v>460</v>
      </c>
      <c r="AK261" s="749">
        <v>1020</v>
      </c>
      <c r="AL261" s="832">
        <f>IF(AD261&gt;0,AD261*$I261,"-")</f>
        <v>5031</v>
      </c>
      <c r="AM261" s="121">
        <v>2</v>
      </c>
    </row>
    <row r="262" spans="1:39" ht="15" thickBot="1" x14ac:dyDescent="0.35">
      <c r="A262" s="88">
        <v>381</v>
      </c>
      <c r="B262" s="162">
        <v>2007</v>
      </c>
      <c r="C262" s="400" t="s">
        <v>721</v>
      </c>
      <c r="D262" s="165" t="s">
        <v>725</v>
      </c>
      <c r="E262" s="166" t="s">
        <v>726</v>
      </c>
      <c r="F262" s="215">
        <v>261</v>
      </c>
      <c r="G262" s="803" t="s">
        <v>539</v>
      </c>
      <c r="H262" s="215"/>
      <c r="I262" s="164">
        <v>1</v>
      </c>
      <c r="J262" s="803" t="s">
        <v>237</v>
      </c>
      <c r="K262" s="363" t="s">
        <v>104</v>
      </c>
      <c r="L262" s="845" t="s">
        <v>583</v>
      </c>
      <c r="M262" s="845" t="s">
        <v>541</v>
      </c>
      <c r="N262" s="845" t="s">
        <v>541</v>
      </c>
      <c r="O262" s="845" t="s">
        <v>541</v>
      </c>
      <c r="P262" s="845" t="s">
        <v>542</v>
      </c>
      <c r="Q262" s="907" t="s">
        <v>542</v>
      </c>
      <c r="R262" s="215" t="s">
        <v>543</v>
      </c>
      <c r="S262" s="285" t="s">
        <v>549</v>
      </c>
      <c r="T262" s="846">
        <v>790</v>
      </c>
      <c r="U262" s="846">
        <v>870</v>
      </c>
      <c r="V262" s="846">
        <v>730</v>
      </c>
      <c r="W262" s="847">
        <v>820</v>
      </c>
      <c r="X262" s="761">
        <v>880</v>
      </c>
      <c r="Y262" s="761">
        <v>1330</v>
      </c>
      <c r="Z262" s="761">
        <v>810</v>
      </c>
      <c r="AA262" s="761">
        <v>690</v>
      </c>
      <c r="AB262" s="761">
        <v>780</v>
      </c>
      <c r="AC262" s="880">
        <v>810</v>
      </c>
      <c r="AD262" s="752">
        <v>900</v>
      </c>
      <c r="AE262" s="170" t="s">
        <v>229</v>
      </c>
      <c r="AF262" s="776">
        <v>13640</v>
      </c>
      <c r="AG262" s="172">
        <v>6.5982404692082108E-2</v>
      </c>
      <c r="AH262" s="737" t="s">
        <v>97</v>
      </c>
      <c r="AI262" s="752">
        <v>50</v>
      </c>
      <c r="AJ262" s="752">
        <v>80</v>
      </c>
      <c r="AK262" s="752">
        <v>1020</v>
      </c>
      <c r="AL262" s="876"/>
      <c r="AM262" s="219">
        <v>2</v>
      </c>
    </row>
    <row r="263" spans="1:39" ht="15" thickBot="1" x14ac:dyDescent="0.35">
      <c r="A263" s="327">
        <v>383</v>
      </c>
      <c r="B263" s="327">
        <v>316</v>
      </c>
      <c r="C263" s="401" t="s">
        <v>727</v>
      </c>
      <c r="D263" s="336" t="s">
        <v>728</v>
      </c>
      <c r="E263" s="329" t="s">
        <v>729</v>
      </c>
      <c r="F263" s="807">
        <v>270</v>
      </c>
      <c r="G263" s="807" t="s">
        <v>539</v>
      </c>
      <c r="H263" s="330"/>
      <c r="I263" s="331">
        <v>1.75</v>
      </c>
      <c r="J263" s="807" t="s">
        <v>158</v>
      </c>
      <c r="K263" s="332" t="s">
        <v>75</v>
      </c>
      <c r="L263" s="891" t="s">
        <v>540</v>
      </c>
      <c r="M263" s="891" t="s">
        <v>541</v>
      </c>
      <c r="N263" s="891" t="s">
        <v>541</v>
      </c>
      <c r="O263" s="891" t="s">
        <v>541</v>
      </c>
      <c r="P263" s="891" t="s">
        <v>626</v>
      </c>
      <c r="Q263" s="909" t="s">
        <v>626</v>
      </c>
      <c r="R263" s="391" t="s">
        <v>556</v>
      </c>
      <c r="S263" s="285" t="s">
        <v>549</v>
      </c>
      <c r="T263" s="827">
        <v>1400</v>
      </c>
      <c r="U263" s="827">
        <v>1460</v>
      </c>
      <c r="V263" s="827">
        <v>1420</v>
      </c>
      <c r="W263" s="893">
        <v>1520</v>
      </c>
      <c r="X263" s="921" t="s">
        <v>81</v>
      </c>
      <c r="Y263" s="860">
        <v>1700</v>
      </c>
      <c r="Z263" s="860">
        <v>1700</v>
      </c>
      <c r="AA263" s="860">
        <v>1800</v>
      </c>
      <c r="AB263" s="860">
        <v>1860</v>
      </c>
      <c r="AC263" s="893">
        <v>1750</v>
      </c>
      <c r="AD263" s="758">
        <v>1860</v>
      </c>
      <c r="AE263" s="391" t="s">
        <v>229</v>
      </c>
      <c r="AF263" s="768">
        <v>13640</v>
      </c>
      <c r="AG263" s="333">
        <v>0.13636363636363635</v>
      </c>
      <c r="AH263" s="744" t="s">
        <v>97</v>
      </c>
      <c r="AI263" s="758">
        <v>130</v>
      </c>
      <c r="AJ263" s="758">
        <v>160</v>
      </c>
      <c r="AK263" s="769">
        <v>1230</v>
      </c>
      <c r="AL263" s="894"/>
      <c r="AM263" s="337">
        <v>2</v>
      </c>
    </row>
    <row r="264" spans="1:39" ht="15" thickBot="1" x14ac:dyDescent="0.35">
      <c r="A264" s="202">
        <v>386</v>
      </c>
      <c r="B264" s="202">
        <v>318</v>
      </c>
      <c r="C264" s="402" t="s">
        <v>730</v>
      </c>
      <c r="D264" s="403" t="s">
        <v>731</v>
      </c>
      <c r="E264" s="248" t="s">
        <v>732</v>
      </c>
      <c r="F264" s="805">
        <v>280</v>
      </c>
      <c r="G264" s="805" t="s">
        <v>539</v>
      </c>
      <c r="H264" s="208" t="s">
        <v>73</v>
      </c>
      <c r="I264" s="207">
        <v>1.8</v>
      </c>
      <c r="J264" s="805" t="s">
        <v>237</v>
      </c>
      <c r="K264" s="387" t="s">
        <v>104</v>
      </c>
      <c r="L264" s="851" t="s">
        <v>555</v>
      </c>
      <c r="M264" s="404" t="s">
        <v>584</v>
      </c>
      <c r="N264" s="205" t="s">
        <v>584</v>
      </c>
      <c r="O264" s="205" t="s">
        <v>584</v>
      </c>
      <c r="P264" s="205" t="s">
        <v>542</v>
      </c>
      <c r="Q264" s="922" t="s">
        <v>542</v>
      </c>
      <c r="R264" s="249" t="s">
        <v>543</v>
      </c>
      <c r="S264" s="395" t="s">
        <v>562</v>
      </c>
      <c r="T264" s="846">
        <v>1970</v>
      </c>
      <c r="U264" s="846">
        <v>2190</v>
      </c>
      <c r="V264" s="846">
        <v>2010</v>
      </c>
      <c r="W264" s="857">
        <v>1900</v>
      </c>
      <c r="X264" s="860">
        <v>2260</v>
      </c>
      <c r="Y264" s="858">
        <v>2200</v>
      </c>
      <c r="Z264" s="858">
        <v>2500</v>
      </c>
      <c r="AA264" s="858">
        <v>2400</v>
      </c>
      <c r="AB264" s="858">
        <v>2220</v>
      </c>
      <c r="AC264" s="868">
        <v>2380</v>
      </c>
      <c r="AD264" s="281">
        <v>2750</v>
      </c>
      <c r="AE264" s="278" t="s">
        <v>229</v>
      </c>
      <c r="AF264" s="776">
        <v>13640</v>
      </c>
      <c r="AG264" s="280">
        <v>0.20161290322580644</v>
      </c>
      <c r="AH264" s="740" t="s">
        <v>97</v>
      </c>
      <c r="AI264" s="755">
        <v>360</v>
      </c>
      <c r="AJ264" s="755">
        <v>260</v>
      </c>
      <c r="AK264" s="755">
        <v>1020</v>
      </c>
      <c r="AL264" s="881">
        <f>IF(AD264&gt;0,AD264*$I264,"-")</f>
        <v>4950</v>
      </c>
      <c r="AM264" s="211">
        <v>2</v>
      </c>
    </row>
    <row r="265" spans="1:39" x14ac:dyDescent="0.3">
      <c r="A265" s="103">
        <v>394</v>
      </c>
      <c r="B265" s="103">
        <v>324</v>
      </c>
      <c r="C265" s="405" t="s">
        <v>733</v>
      </c>
      <c r="D265" s="406" t="s">
        <v>547</v>
      </c>
      <c r="E265" s="406" t="s">
        <v>734</v>
      </c>
      <c r="F265" s="923">
        <v>301</v>
      </c>
      <c r="G265" s="802" t="s">
        <v>539</v>
      </c>
      <c r="H265" s="106"/>
      <c r="I265" s="107">
        <v>0.5</v>
      </c>
      <c r="J265" s="802" t="s">
        <v>237</v>
      </c>
      <c r="K265" s="200" t="s">
        <v>104</v>
      </c>
      <c r="L265" s="830" t="s">
        <v>540</v>
      </c>
      <c r="M265" s="830" t="s">
        <v>541</v>
      </c>
      <c r="N265" s="830" t="s">
        <v>541</v>
      </c>
      <c r="O265" s="830" t="s">
        <v>541</v>
      </c>
      <c r="P265" s="830" t="s">
        <v>542</v>
      </c>
      <c r="Q265" s="900" t="s">
        <v>542</v>
      </c>
      <c r="R265" s="106" t="s">
        <v>543</v>
      </c>
      <c r="S265" s="106" t="s">
        <v>562</v>
      </c>
      <c r="T265" s="833">
        <v>1640</v>
      </c>
      <c r="U265" s="833">
        <v>1640</v>
      </c>
      <c r="V265" s="833">
        <v>1850</v>
      </c>
      <c r="W265" s="831">
        <v>1870</v>
      </c>
      <c r="X265" s="924" t="s">
        <v>81</v>
      </c>
      <c r="Y265" s="925">
        <v>1820</v>
      </c>
      <c r="Z265" s="844">
        <v>2100</v>
      </c>
      <c r="AA265" s="872">
        <v>2050</v>
      </c>
      <c r="AB265" s="873">
        <v>2080</v>
      </c>
      <c r="AC265" s="878">
        <v>1780</v>
      </c>
      <c r="AD265" s="288">
        <v>1840</v>
      </c>
      <c r="AE265" s="200" t="s">
        <v>229</v>
      </c>
      <c r="AF265" s="777">
        <v>13640</v>
      </c>
      <c r="AG265" s="82">
        <v>0.13489736070381231</v>
      </c>
      <c r="AH265" s="739" t="s">
        <v>97</v>
      </c>
      <c r="AI265" s="751">
        <v>120</v>
      </c>
      <c r="AJ265" s="751">
        <v>160</v>
      </c>
      <c r="AK265" s="751">
        <v>1020</v>
      </c>
      <c r="AL265" s="832">
        <f>IF(AD265&gt;0,AD265*$I265,"-")</f>
        <v>920</v>
      </c>
      <c r="AM265" s="201">
        <v>2</v>
      </c>
    </row>
    <row r="266" spans="1:39" ht="15" thickBot="1" x14ac:dyDescent="0.35">
      <c r="A266" s="88">
        <v>392</v>
      </c>
      <c r="B266" s="88">
        <v>322</v>
      </c>
      <c r="C266" s="407" t="s">
        <v>733</v>
      </c>
      <c r="D266" s="248" t="s">
        <v>550</v>
      </c>
      <c r="E266" s="248" t="s">
        <v>375</v>
      </c>
      <c r="F266" s="805">
        <v>303</v>
      </c>
      <c r="G266" s="803" t="s">
        <v>539</v>
      </c>
      <c r="H266" s="215"/>
      <c r="I266" s="164">
        <v>0.5</v>
      </c>
      <c r="J266" s="803" t="s">
        <v>237</v>
      </c>
      <c r="K266" s="163" t="s">
        <v>104</v>
      </c>
      <c r="L266" s="845" t="s">
        <v>540</v>
      </c>
      <c r="M266" s="850" t="s">
        <v>541</v>
      </c>
      <c r="N266" s="845" t="s">
        <v>541</v>
      </c>
      <c r="O266" s="845" t="s">
        <v>541</v>
      </c>
      <c r="P266" s="845" t="s">
        <v>542</v>
      </c>
      <c r="Q266" s="903" t="s">
        <v>542</v>
      </c>
      <c r="R266" s="215" t="s">
        <v>543</v>
      </c>
      <c r="S266" s="297" t="s">
        <v>562</v>
      </c>
      <c r="T266" s="846">
        <v>2070</v>
      </c>
      <c r="U266" s="846">
        <v>2040</v>
      </c>
      <c r="V266" s="846">
        <v>2270</v>
      </c>
      <c r="W266" s="847">
        <v>2200</v>
      </c>
      <c r="X266" s="926" t="s">
        <v>81</v>
      </c>
      <c r="Y266" s="927">
        <v>2350</v>
      </c>
      <c r="Z266" s="761">
        <v>3050</v>
      </c>
      <c r="AA266" s="761">
        <v>2860</v>
      </c>
      <c r="AB266" s="761">
        <v>2710</v>
      </c>
      <c r="AC266" s="880">
        <v>2660</v>
      </c>
      <c r="AD266" s="169">
        <v>2800</v>
      </c>
      <c r="AE266" s="233" t="s">
        <v>229</v>
      </c>
      <c r="AF266" s="776">
        <v>13640</v>
      </c>
      <c r="AG266" s="172">
        <v>0.20527859237536658</v>
      </c>
      <c r="AH266" s="737" t="s">
        <v>97</v>
      </c>
      <c r="AI266" s="752">
        <v>170</v>
      </c>
      <c r="AJ266" s="752">
        <v>260</v>
      </c>
      <c r="AK266" s="752">
        <v>1020</v>
      </c>
      <c r="AL266" s="832">
        <f>IF(AD266&gt;0,AD266*$I266,"-")</f>
        <v>1400</v>
      </c>
      <c r="AM266" s="174">
        <v>2</v>
      </c>
    </row>
    <row r="267" spans="1:39" ht="15" thickBot="1" x14ac:dyDescent="0.35">
      <c r="A267" s="327">
        <v>398</v>
      </c>
      <c r="B267" s="327">
        <v>327</v>
      </c>
      <c r="C267" s="389" t="s">
        <v>735</v>
      </c>
      <c r="D267" s="390" t="s">
        <v>602</v>
      </c>
      <c r="E267" s="396" t="s">
        <v>701</v>
      </c>
      <c r="F267" s="807">
        <v>311</v>
      </c>
      <c r="G267" s="807" t="s">
        <v>539</v>
      </c>
      <c r="H267" s="330"/>
      <c r="I267" s="331">
        <v>1.7</v>
      </c>
      <c r="J267" s="807" t="s">
        <v>237</v>
      </c>
      <c r="K267" s="332" t="s">
        <v>75</v>
      </c>
      <c r="L267" s="891" t="s">
        <v>367</v>
      </c>
      <c r="M267" s="891" t="s">
        <v>367</v>
      </c>
      <c r="N267" s="891" t="s">
        <v>367</v>
      </c>
      <c r="O267" s="891" t="s">
        <v>367</v>
      </c>
      <c r="P267" s="891" t="s">
        <v>367</v>
      </c>
      <c r="Q267" s="895" t="s">
        <v>367</v>
      </c>
      <c r="R267" s="391" t="s">
        <v>596</v>
      </c>
      <c r="S267" s="285" t="s">
        <v>549</v>
      </c>
      <c r="T267" s="124">
        <v>190</v>
      </c>
      <c r="U267" s="124">
        <v>160</v>
      </c>
      <c r="V267" s="124">
        <v>170</v>
      </c>
      <c r="W267" s="893">
        <v>160</v>
      </c>
      <c r="X267" s="860">
        <v>170</v>
      </c>
      <c r="Y267" s="928">
        <v>230</v>
      </c>
      <c r="Z267" s="860">
        <v>170</v>
      </c>
      <c r="AA267" s="860">
        <v>210</v>
      </c>
      <c r="AB267" s="860">
        <v>180</v>
      </c>
      <c r="AC267" s="893">
        <v>210</v>
      </c>
      <c r="AD267" s="334">
        <v>200</v>
      </c>
      <c r="AE267" s="391" t="s">
        <v>97</v>
      </c>
      <c r="AF267" s="186">
        <v>6450</v>
      </c>
      <c r="AG267" s="333">
        <v>3.1007751937984496E-2</v>
      </c>
      <c r="AH267" s="307" t="s">
        <v>1524</v>
      </c>
      <c r="AI267" s="758">
        <v>20</v>
      </c>
      <c r="AJ267" s="758">
        <v>20</v>
      </c>
      <c r="AK267" s="775">
        <v>620</v>
      </c>
      <c r="AL267" s="894"/>
      <c r="AM267" s="337">
        <v>2</v>
      </c>
    </row>
    <row r="268" spans="1:39" x14ac:dyDescent="0.3">
      <c r="A268" s="103">
        <v>422</v>
      </c>
      <c r="B268" s="103">
        <v>350</v>
      </c>
      <c r="C268" s="408" t="s">
        <v>736</v>
      </c>
      <c r="D268" s="188" t="s">
        <v>707</v>
      </c>
      <c r="E268" s="177" t="s">
        <v>737</v>
      </c>
      <c r="F268" s="804">
        <v>330</v>
      </c>
      <c r="G268" s="804" t="s">
        <v>539</v>
      </c>
      <c r="H268" s="131" t="s">
        <v>73</v>
      </c>
      <c r="I268" s="178">
        <v>0.95</v>
      </c>
      <c r="J268" s="804" t="s">
        <v>158</v>
      </c>
      <c r="K268" s="340" t="s">
        <v>104</v>
      </c>
      <c r="L268" s="843" t="s">
        <v>570</v>
      </c>
      <c r="M268" s="848" t="s">
        <v>587</v>
      </c>
      <c r="N268" s="843" t="s">
        <v>587</v>
      </c>
      <c r="O268" s="843" t="s">
        <v>587</v>
      </c>
      <c r="P268" s="843" t="s">
        <v>629</v>
      </c>
      <c r="Q268" s="310" t="s">
        <v>629</v>
      </c>
      <c r="R268" s="179" t="s">
        <v>374</v>
      </c>
      <c r="S268" s="179" t="s">
        <v>465</v>
      </c>
      <c r="T268" s="825">
        <v>10060</v>
      </c>
      <c r="U268" s="825">
        <v>9900</v>
      </c>
      <c r="V268" s="825">
        <v>9190</v>
      </c>
      <c r="W268" s="836">
        <v>9390</v>
      </c>
      <c r="X268" s="759">
        <v>8810</v>
      </c>
      <c r="Y268" s="929">
        <v>11220</v>
      </c>
      <c r="Z268" s="759">
        <v>10440</v>
      </c>
      <c r="AA268" s="759">
        <v>10520</v>
      </c>
      <c r="AB268" s="886">
        <v>9910</v>
      </c>
      <c r="AC268" s="887">
        <v>8210</v>
      </c>
      <c r="AD268" s="754">
        <v>9150</v>
      </c>
      <c r="AE268" s="190" t="s">
        <v>229</v>
      </c>
      <c r="AF268" s="409">
        <v>17050</v>
      </c>
      <c r="AG268" s="354">
        <v>0.53665689149560114</v>
      </c>
      <c r="AH268" s="86" t="s">
        <v>97</v>
      </c>
      <c r="AI268" s="181">
        <v>970</v>
      </c>
      <c r="AJ268" s="181">
        <v>890</v>
      </c>
      <c r="AK268" s="312">
        <v>1540</v>
      </c>
      <c r="AL268" s="832">
        <f t="shared" ref="AL268:AL278" si="8">IF(AD268&gt;0,AD268*$I268,"-")</f>
        <v>8692.5</v>
      </c>
      <c r="AM268" s="182">
        <v>2</v>
      </c>
    </row>
    <row r="269" spans="1:39" x14ac:dyDescent="0.3">
      <c r="A269" s="33">
        <v>420</v>
      </c>
      <c r="B269" s="33">
        <v>348</v>
      </c>
      <c r="C269" s="358" t="s">
        <v>736</v>
      </c>
      <c r="D269" s="301" t="s">
        <v>738</v>
      </c>
      <c r="E269" s="64" t="s">
        <v>739</v>
      </c>
      <c r="F269" s="799">
        <v>332</v>
      </c>
      <c r="G269" s="799" t="s">
        <v>539</v>
      </c>
      <c r="H269" s="36" t="s">
        <v>73</v>
      </c>
      <c r="I269" s="37">
        <v>0.65</v>
      </c>
      <c r="J269" s="799" t="s">
        <v>140</v>
      </c>
      <c r="K269" s="324" t="s">
        <v>104</v>
      </c>
      <c r="L269" s="837" t="s">
        <v>740</v>
      </c>
      <c r="M269" s="837" t="s">
        <v>620</v>
      </c>
      <c r="N269" s="837" t="s">
        <v>620</v>
      </c>
      <c r="O269" s="837" t="s">
        <v>620</v>
      </c>
      <c r="P269" s="837" t="s">
        <v>637</v>
      </c>
      <c r="Q269" s="410" t="s">
        <v>637</v>
      </c>
      <c r="R269" s="38" t="s">
        <v>144</v>
      </c>
      <c r="S269" s="38" t="s">
        <v>145</v>
      </c>
      <c r="T269" s="833">
        <v>21310</v>
      </c>
      <c r="U269" s="833">
        <v>19060</v>
      </c>
      <c r="V269" s="833">
        <v>18420</v>
      </c>
      <c r="W269" s="820">
        <v>19280</v>
      </c>
      <c r="X269" s="838">
        <v>21080</v>
      </c>
      <c r="Y269" s="930">
        <v>21990</v>
      </c>
      <c r="Z269" s="838">
        <v>20230</v>
      </c>
      <c r="AA269" s="838">
        <v>21070</v>
      </c>
      <c r="AB269" s="838">
        <v>18660</v>
      </c>
      <c r="AC269" s="888">
        <v>16850</v>
      </c>
      <c r="AD269" s="749">
        <v>19360</v>
      </c>
      <c r="AE269" s="36" t="s">
        <v>229</v>
      </c>
      <c r="AF269" s="213">
        <v>37970</v>
      </c>
      <c r="AG269" s="315">
        <v>0.50987621806689487</v>
      </c>
      <c r="AH269" s="83" t="s">
        <v>97</v>
      </c>
      <c r="AI269" s="120">
        <v>1180</v>
      </c>
      <c r="AJ269" s="120">
        <v>1520</v>
      </c>
      <c r="AK269" s="316">
        <v>3410</v>
      </c>
      <c r="AL269" s="832">
        <f t="shared" si="8"/>
        <v>12584</v>
      </c>
      <c r="AM269" s="121">
        <v>4</v>
      </c>
    </row>
    <row r="270" spans="1:39" x14ac:dyDescent="0.3">
      <c r="A270" s="33">
        <v>419</v>
      </c>
      <c r="B270" s="33">
        <v>347</v>
      </c>
      <c r="C270" s="358" t="s">
        <v>736</v>
      </c>
      <c r="D270" s="301" t="s">
        <v>741</v>
      </c>
      <c r="E270" s="70" t="s">
        <v>742</v>
      </c>
      <c r="F270" s="800">
        <v>333</v>
      </c>
      <c r="G270" s="800" t="s">
        <v>539</v>
      </c>
      <c r="H270" s="71" t="s">
        <v>73</v>
      </c>
      <c r="I270" s="72">
        <v>1.3</v>
      </c>
      <c r="J270" s="800" t="s">
        <v>140</v>
      </c>
      <c r="K270" s="321" t="s">
        <v>104</v>
      </c>
      <c r="L270" s="835" t="s">
        <v>740</v>
      </c>
      <c r="M270" s="839" t="s">
        <v>620</v>
      </c>
      <c r="N270" s="835" t="s">
        <v>620</v>
      </c>
      <c r="O270" s="835" t="s">
        <v>620</v>
      </c>
      <c r="P270" s="835" t="s">
        <v>637</v>
      </c>
      <c r="Q270" s="410" t="s">
        <v>637</v>
      </c>
      <c r="R270" s="73" t="s">
        <v>144</v>
      </c>
      <c r="S270" s="73" t="s">
        <v>145</v>
      </c>
      <c r="T270" s="825">
        <v>22750</v>
      </c>
      <c r="U270" s="825">
        <v>21460</v>
      </c>
      <c r="V270" s="826">
        <v>20000</v>
      </c>
      <c r="W270" s="822">
        <v>21710</v>
      </c>
      <c r="X270" s="760">
        <v>20770</v>
      </c>
      <c r="Y270" s="931">
        <v>22480</v>
      </c>
      <c r="Z270" s="760">
        <v>23240</v>
      </c>
      <c r="AA270" s="760">
        <v>24390</v>
      </c>
      <c r="AB270" s="760">
        <v>21430</v>
      </c>
      <c r="AC270" s="884">
        <v>18820</v>
      </c>
      <c r="AD270" s="748">
        <v>23390</v>
      </c>
      <c r="AE270" s="140" t="s">
        <v>229</v>
      </c>
      <c r="AF270" s="194">
        <v>37970</v>
      </c>
      <c r="AG270" s="303">
        <v>0.61601264155912561</v>
      </c>
      <c r="AH270" s="80" t="s">
        <v>97</v>
      </c>
      <c r="AI270" s="115">
        <v>1400</v>
      </c>
      <c r="AJ270" s="115">
        <v>1910</v>
      </c>
      <c r="AK270" s="304">
        <v>3410</v>
      </c>
      <c r="AL270" s="832">
        <f t="shared" si="8"/>
        <v>30407</v>
      </c>
      <c r="AM270" s="122">
        <v>4</v>
      </c>
    </row>
    <row r="271" spans="1:39" x14ac:dyDescent="0.3">
      <c r="A271" s="33">
        <v>417</v>
      </c>
      <c r="B271" s="33">
        <v>345</v>
      </c>
      <c r="C271" s="358" t="s">
        <v>736</v>
      </c>
      <c r="D271" s="301" t="s">
        <v>743</v>
      </c>
      <c r="E271" s="64" t="s">
        <v>744</v>
      </c>
      <c r="F271" s="799">
        <v>335</v>
      </c>
      <c r="G271" s="799" t="s">
        <v>539</v>
      </c>
      <c r="H271" s="36" t="s">
        <v>73</v>
      </c>
      <c r="I271" s="37">
        <v>1</v>
      </c>
      <c r="J271" s="799" t="s">
        <v>140</v>
      </c>
      <c r="K271" s="324" t="s">
        <v>104</v>
      </c>
      <c r="L271" s="837" t="s">
        <v>740</v>
      </c>
      <c r="M271" s="837" t="s">
        <v>620</v>
      </c>
      <c r="N271" s="837" t="s">
        <v>620</v>
      </c>
      <c r="O271" s="837" t="s">
        <v>620</v>
      </c>
      <c r="P271" s="837" t="s">
        <v>637</v>
      </c>
      <c r="Q271" s="410" t="s">
        <v>637</v>
      </c>
      <c r="R271" s="38" t="s">
        <v>144</v>
      </c>
      <c r="S271" s="38" t="s">
        <v>145</v>
      </c>
      <c r="T271" s="833">
        <v>24200</v>
      </c>
      <c r="U271" s="833">
        <v>22260</v>
      </c>
      <c r="V271" s="833">
        <v>20800</v>
      </c>
      <c r="W271" s="820">
        <v>22910</v>
      </c>
      <c r="X271" s="838">
        <v>25110</v>
      </c>
      <c r="Y271" s="930">
        <v>20770</v>
      </c>
      <c r="Z271" s="838">
        <v>24230</v>
      </c>
      <c r="AA271" s="838">
        <v>21490</v>
      </c>
      <c r="AB271" s="838">
        <v>20350</v>
      </c>
      <c r="AC271" s="888">
        <v>21160</v>
      </c>
      <c r="AD271" s="749">
        <v>21520</v>
      </c>
      <c r="AE271" s="411" t="s">
        <v>229</v>
      </c>
      <c r="AF271" s="213">
        <v>37970</v>
      </c>
      <c r="AG271" s="315">
        <v>0.56676323413220964</v>
      </c>
      <c r="AH271" s="83" t="s">
        <v>97</v>
      </c>
      <c r="AI271" s="120">
        <v>1250</v>
      </c>
      <c r="AJ271" s="120">
        <v>1820</v>
      </c>
      <c r="AK271" s="316">
        <v>3410</v>
      </c>
      <c r="AL271" s="832">
        <f t="shared" si="8"/>
        <v>21520</v>
      </c>
      <c r="AM271" s="121">
        <v>4</v>
      </c>
    </row>
    <row r="272" spans="1:39" x14ac:dyDescent="0.3">
      <c r="A272" s="33">
        <v>415</v>
      </c>
      <c r="B272" s="33">
        <v>343</v>
      </c>
      <c r="C272" s="358" t="s">
        <v>736</v>
      </c>
      <c r="D272" s="301" t="s">
        <v>745</v>
      </c>
      <c r="E272" s="70" t="s">
        <v>746</v>
      </c>
      <c r="F272" s="800">
        <v>337</v>
      </c>
      <c r="G272" s="800" t="s">
        <v>539</v>
      </c>
      <c r="H272" s="71" t="s">
        <v>73</v>
      </c>
      <c r="I272" s="72">
        <v>0.9</v>
      </c>
      <c r="J272" s="800" t="s">
        <v>140</v>
      </c>
      <c r="K272" s="321" t="s">
        <v>104</v>
      </c>
      <c r="L272" s="835" t="s">
        <v>740</v>
      </c>
      <c r="M272" s="839" t="s">
        <v>620</v>
      </c>
      <c r="N272" s="835" t="s">
        <v>620</v>
      </c>
      <c r="O272" s="835" t="s">
        <v>620</v>
      </c>
      <c r="P272" s="835" t="s">
        <v>637</v>
      </c>
      <c r="Q272" s="412" t="s">
        <v>747</v>
      </c>
      <c r="R272" s="73" t="s">
        <v>144</v>
      </c>
      <c r="S272" s="73" t="s">
        <v>145</v>
      </c>
      <c r="T272" s="825">
        <v>24600</v>
      </c>
      <c r="U272" s="825">
        <v>22880</v>
      </c>
      <c r="V272" s="825">
        <v>21790</v>
      </c>
      <c r="W272" s="822">
        <v>23460</v>
      </c>
      <c r="X272" s="760">
        <v>21760</v>
      </c>
      <c r="Y272" s="931">
        <v>23500</v>
      </c>
      <c r="Z272" s="760">
        <v>24140</v>
      </c>
      <c r="AA272" s="760">
        <v>24280</v>
      </c>
      <c r="AB272" s="760">
        <v>23720</v>
      </c>
      <c r="AC272" s="884">
        <v>19700</v>
      </c>
      <c r="AD272" s="748">
        <v>20220</v>
      </c>
      <c r="AE272" s="140" t="s">
        <v>229</v>
      </c>
      <c r="AF272" s="194">
        <v>36070</v>
      </c>
      <c r="AG272" s="303">
        <v>0.56057665650124755</v>
      </c>
      <c r="AH272" s="80" t="s">
        <v>97</v>
      </c>
      <c r="AI272" s="115">
        <v>1220</v>
      </c>
      <c r="AJ272" s="115">
        <v>1670</v>
      </c>
      <c r="AK272" s="304">
        <v>3240</v>
      </c>
      <c r="AL272" s="832">
        <f t="shared" si="8"/>
        <v>18198</v>
      </c>
      <c r="AM272" s="122">
        <v>4</v>
      </c>
    </row>
    <row r="273" spans="1:39" x14ac:dyDescent="0.3">
      <c r="A273" s="33">
        <v>412</v>
      </c>
      <c r="B273" s="33">
        <v>339</v>
      </c>
      <c r="C273" s="358" t="s">
        <v>736</v>
      </c>
      <c r="D273" s="353" t="s">
        <v>748</v>
      </c>
      <c r="E273" s="64" t="s">
        <v>749</v>
      </c>
      <c r="F273" s="799">
        <v>338</v>
      </c>
      <c r="G273" s="799" t="s">
        <v>539</v>
      </c>
      <c r="H273" s="36" t="s">
        <v>73</v>
      </c>
      <c r="I273" s="37">
        <v>0.6</v>
      </c>
      <c r="J273" s="799" t="s">
        <v>140</v>
      </c>
      <c r="K273" s="36" t="s">
        <v>104</v>
      </c>
      <c r="L273" s="837" t="s">
        <v>740</v>
      </c>
      <c r="M273" s="837" t="s">
        <v>620</v>
      </c>
      <c r="N273" s="837" t="s">
        <v>620</v>
      </c>
      <c r="O273" s="837" t="s">
        <v>620</v>
      </c>
      <c r="P273" s="837" t="s">
        <v>637</v>
      </c>
      <c r="Q273" s="410" t="s">
        <v>637</v>
      </c>
      <c r="R273" s="38" t="s">
        <v>144</v>
      </c>
      <c r="S273" s="38" t="s">
        <v>145</v>
      </c>
      <c r="T273" s="833">
        <v>13140</v>
      </c>
      <c r="U273" s="833">
        <v>12310</v>
      </c>
      <c r="V273" s="833">
        <v>11990</v>
      </c>
      <c r="W273" s="820">
        <v>12960</v>
      </c>
      <c r="X273" s="838">
        <v>13930</v>
      </c>
      <c r="Y273" s="930">
        <v>14960</v>
      </c>
      <c r="Z273" s="838">
        <v>14750</v>
      </c>
      <c r="AA273" s="838">
        <v>17520</v>
      </c>
      <c r="AB273" s="838">
        <v>15440</v>
      </c>
      <c r="AC273" s="888">
        <v>13530</v>
      </c>
      <c r="AD273" s="749">
        <v>14490</v>
      </c>
      <c r="AE273" s="411" t="s">
        <v>229</v>
      </c>
      <c r="AF273" s="213">
        <v>37970</v>
      </c>
      <c r="AG273" s="315">
        <v>0.3816170661048196</v>
      </c>
      <c r="AH273" s="83" t="s">
        <v>97</v>
      </c>
      <c r="AI273" s="120">
        <v>940</v>
      </c>
      <c r="AJ273" s="120">
        <v>1140</v>
      </c>
      <c r="AK273" s="316">
        <v>3410</v>
      </c>
      <c r="AL273" s="832">
        <f t="shared" si="8"/>
        <v>8694</v>
      </c>
      <c r="AM273" s="121">
        <v>4</v>
      </c>
    </row>
    <row r="274" spans="1:39" x14ac:dyDescent="0.3">
      <c r="A274" s="33">
        <v>409</v>
      </c>
      <c r="B274" s="33">
        <v>336</v>
      </c>
      <c r="C274" s="358" t="s">
        <v>736</v>
      </c>
      <c r="D274" s="353" t="s">
        <v>750</v>
      </c>
      <c r="E274" s="70" t="s">
        <v>751</v>
      </c>
      <c r="F274" s="800">
        <v>341</v>
      </c>
      <c r="G274" s="800" t="s">
        <v>539</v>
      </c>
      <c r="H274" s="71" t="s">
        <v>73</v>
      </c>
      <c r="I274" s="72">
        <v>1.25</v>
      </c>
      <c r="J274" s="800" t="s">
        <v>205</v>
      </c>
      <c r="K274" s="71" t="s">
        <v>104</v>
      </c>
      <c r="L274" s="835" t="s">
        <v>740</v>
      </c>
      <c r="M274" s="839" t="s">
        <v>620</v>
      </c>
      <c r="N274" s="835" t="s">
        <v>620</v>
      </c>
      <c r="O274" s="835" t="s">
        <v>620</v>
      </c>
      <c r="P274" s="835" t="s">
        <v>637</v>
      </c>
      <c r="Q274" s="410" t="s">
        <v>637</v>
      </c>
      <c r="R274" s="73" t="s">
        <v>144</v>
      </c>
      <c r="S274" s="73" t="s">
        <v>145</v>
      </c>
      <c r="T274" s="825">
        <v>13450</v>
      </c>
      <c r="U274" s="825">
        <v>12880</v>
      </c>
      <c r="V274" s="825">
        <v>12290</v>
      </c>
      <c r="W274" s="822">
        <v>13370</v>
      </c>
      <c r="X274" s="760">
        <v>14540</v>
      </c>
      <c r="Y274" s="931">
        <v>13480</v>
      </c>
      <c r="Z274" s="760">
        <v>15910</v>
      </c>
      <c r="AA274" s="760">
        <v>16280</v>
      </c>
      <c r="AB274" s="760">
        <v>15950</v>
      </c>
      <c r="AC274" s="884">
        <v>13940</v>
      </c>
      <c r="AD274" s="748">
        <v>15510</v>
      </c>
      <c r="AE274" s="140" t="s">
        <v>229</v>
      </c>
      <c r="AF274" s="194">
        <v>37970</v>
      </c>
      <c r="AG274" s="303">
        <v>0.40848037924677377</v>
      </c>
      <c r="AH274" s="80" t="s">
        <v>97</v>
      </c>
      <c r="AI274" s="115">
        <v>1060</v>
      </c>
      <c r="AJ274" s="115">
        <v>1300</v>
      </c>
      <c r="AK274" s="304">
        <v>3410</v>
      </c>
      <c r="AL274" s="832">
        <f t="shared" si="8"/>
        <v>19387.5</v>
      </c>
      <c r="AM274" s="122">
        <v>4</v>
      </c>
    </row>
    <row r="275" spans="1:39" x14ac:dyDescent="0.3">
      <c r="A275" s="33">
        <v>408</v>
      </c>
      <c r="B275" s="33">
        <v>335</v>
      </c>
      <c r="C275" s="358" t="s">
        <v>736</v>
      </c>
      <c r="D275" s="353" t="s">
        <v>752</v>
      </c>
      <c r="E275" s="35" t="s">
        <v>190</v>
      </c>
      <c r="F275" s="799">
        <v>343</v>
      </c>
      <c r="G275" s="799" t="s">
        <v>539</v>
      </c>
      <c r="H275" s="36" t="s">
        <v>73</v>
      </c>
      <c r="I275" s="37">
        <v>1.5</v>
      </c>
      <c r="J275" s="799" t="s">
        <v>205</v>
      </c>
      <c r="K275" s="36" t="s">
        <v>104</v>
      </c>
      <c r="L275" s="837" t="s">
        <v>570</v>
      </c>
      <c r="M275" s="837" t="s">
        <v>620</v>
      </c>
      <c r="N275" s="837" t="s">
        <v>620</v>
      </c>
      <c r="O275" s="837" t="s">
        <v>620</v>
      </c>
      <c r="P275" s="839" t="s">
        <v>637</v>
      </c>
      <c r="Q275" s="410" t="s">
        <v>637</v>
      </c>
      <c r="R275" s="38" t="s">
        <v>144</v>
      </c>
      <c r="S275" s="38" t="s">
        <v>145</v>
      </c>
      <c r="T275" s="833">
        <v>14070</v>
      </c>
      <c r="U275" s="833">
        <v>13560</v>
      </c>
      <c r="V275" s="833">
        <v>12280</v>
      </c>
      <c r="W275" s="820">
        <v>13520</v>
      </c>
      <c r="X275" s="838">
        <v>13440</v>
      </c>
      <c r="Y275" s="930">
        <v>15250</v>
      </c>
      <c r="Z275" s="838">
        <v>15620</v>
      </c>
      <c r="AA275" s="838">
        <v>15440</v>
      </c>
      <c r="AB275" s="838">
        <v>14640</v>
      </c>
      <c r="AC275" s="888">
        <v>13350</v>
      </c>
      <c r="AD275" s="749">
        <v>17180</v>
      </c>
      <c r="AE275" s="411" t="s">
        <v>229</v>
      </c>
      <c r="AF275" s="213">
        <v>37970</v>
      </c>
      <c r="AG275" s="315">
        <v>0.45246247037134579</v>
      </c>
      <c r="AH275" s="83" t="s">
        <v>97</v>
      </c>
      <c r="AI275" s="120">
        <v>1230</v>
      </c>
      <c r="AJ275" s="120">
        <v>1460</v>
      </c>
      <c r="AK275" s="316">
        <v>3410</v>
      </c>
      <c r="AL275" s="832">
        <f t="shared" si="8"/>
        <v>25770</v>
      </c>
      <c r="AM275" s="121">
        <v>4</v>
      </c>
    </row>
    <row r="276" spans="1:39" ht="15" thickBot="1" x14ac:dyDescent="0.35">
      <c r="A276" s="88">
        <v>403</v>
      </c>
      <c r="B276" s="88">
        <v>330</v>
      </c>
      <c r="C276" s="368" t="s">
        <v>736</v>
      </c>
      <c r="D276" s="258" t="s">
        <v>639</v>
      </c>
      <c r="E276" s="166" t="s">
        <v>753</v>
      </c>
      <c r="F276" s="803">
        <v>348</v>
      </c>
      <c r="G276" s="803" t="s">
        <v>539</v>
      </c>
      <c r="H276" s="163" t="s">
        <v>73</v>
      </c>
      <c r="I276" s="164">
        <v>0.8</v>
      </c>
      <c r="J276" s="803" t="s">
        <v>154</v>
      </c>
      <c r="K276" s="163" t="s">
        <v>104</v>
      </c>
      <c r="L276" s="845" t="s">
        <v>740</v>
      </c>
      <c r="M276" s="850" t="s">
        <v>754</v>
      </c>
      <c r="N276" s="845" t="s">
        <v>754</v>
      </c>
      <c r="O276" s="845" t="s">
        <v>754</v>
      </c>
      <c r="P276" s="850" t="s">
        <v>621</v>
      </c>
      <c r="Q276" s="413" t="s">
        <v>621</v>
      </c>
      <c r="R276" s="167" t="s">
        <v>144</v>
      </c>
      <c r="S276" s="167" t="s">
        <v>145</v>
      </c>
      <c r="T276" s="846">
        <v>12340</v>
      </c>
      <c r="U276" s="846">
        <v>11940</v>
      </c>
      <c r="V276" s="846">
        <v>11230</v>
      </c>
      <c r="W276" s="847">
        <v>11670</v>
      </c>
      <c r="X276" s="761">
        <v>12230</v>
      </c>
      <c r="Y276" s="927">
        <v>12130</v>
      </c>
      <c r="Z276" s="932">
        <v>12460</v>
      </c>
      <c r="AA276" s="761">
        <v>14400</v>
      </c>
      <c r="AB276" s="761">
        <v>12900</v>
      </c>
      <c r="AC276" s="880">
        <v>11980</v>
      </c>
      <c r="AD276" s="752">
        <v>12570</v>
      </c>
      <c r="AE276" s="233" t="s">
        <v>229</v>
      </c>
      <c r="AF276" s="326">
        <v>30420</v>
      </c>
      <c r="AG276" s="172">
        <v>0.41321499013806706</v>
      </c>
      <c r="AH276" s="170" t="s">
        <v>97</v>
      </c>
      <c r="AI276" s="169">
        <v>880</v>
      </c>
      <c r="AJ276" s="169">
        <v>1020</v>
      </c>
      <c r="AK276" s="298">
        <v>2740</v>
      </c>
      <c r="AL276" s="881">
        <f t="shared" si="8"/>
        <v>10056</v>
      </c>
      <c r="AM276" s="174">
        <v>4</v>
      </c>
    </row>
    <row r="277" spans="1:39" x14ac:dyDescent="0.3">
      <c r="A277" s="299">
        <v>424</v>
      </c>
      <c r="B277" s="299">
        <v>351</v>
      </c>
      <c r="C277" s="148" t="s">
        <v>755</v>
      </c>
      <c r="D277" s="319" t="s">
        <v>756</v>
      </c>
      <c r="E277" s="105" t="s">
        <v>757</v>
      </c>
      <c r="F277" s="802">
        <v>360</v>
      </c>
      <c r="G277" s="802" t="s">
        <v>539</v>
      </c>
      <c r="H277" s="106"/>
      <c r="I277" s="107">
        <v>0.55000000000000004</v>
      </c>
      <c r="J277" s="802" t="s">
        <v>237</v>
      </c>
      <c r="K277" s="284" t="s">
        <v>75</v>
      </c>
      <c r="L277" s="830" t="s">
        <v>540</v>
      </c>
      <c r="M277" s="830" t="s">
        <v>541</v>
      </c>
      <c r="N277" s="830" t="s">
        <v>541</v>
      </c>
      <c r="O277" s="830" t="s">
        <v>541</v>
      </c>
      <c r="P277" s="830" t="s">
        <v>542</v>
      </c>
      <c r="Q277" s="900" t="s">
        <v>542</v>
      </c>
      <c r="R277" s="200" t="s">
        <v>758</v>
      </c>
      <c r="S277" s="106" t="s">
        <v>544</v>
      </c>
      <c r="T277" s="833">
        <v>5250</v>
      </c>
      <c r="U277" s="833">
        <v>5450</v>
      </c>
      <c r="V277" s="833">
        <v>5220</v>
      </c>
      <c r="W277" s="831">
        <v>5180</v>
      </c>
      <c r="X277" s="844">
        <v>5460</v>
      </c>
      <c r="Y277" s="925">
        <v>5450</v>
      </c>
      <c r="Z277" s="844">
        <v>5530</v>
      </c>
      <c r="AA277" s="844">
        <v>5430</v>
      </c>
      <c r="AB277" s="873">
        <v>5540</v>
      </c>
      <c r="AC277" s="878">
        <v>5260</v>
      </c>
      <c r="AD277" s="751">
        <v>5510</v>
      </c>
      <c r="AE277" s="414" t="s">
        <v>229</v>
      </c>
      <c r="AF277" s="286">
        <v>13640</v>
      </c>
      <c r="AG277" s="82">
        <v>0.4039589442815249</v>
      </c>
      <c r="AH277" s="287" t="s">
        <v>97</v>
      </c>
      <c r="AI277" s="751">
        <v>350</v>
      </c>
      <c r="AJ277" s="751">
        <v>470</v>
      </c>
      <c r="AK277" s="288">
        <v>1020</v>
      </c>
      <c r="AL277" s="832">
        <f t="shared" si="8"/>
        <v>3030.5000000000005</v>
      </c>
      <c r="AM277" s="201">
        <v>2</v>
      </c>
    </row>
    <row r="278" spans="1:39" ht="15" thickBot="1" x14ac:dyDescent="0.35">
      <c r="A278" s="88">
        <v>425</v>
      </c>
      <c r="B278" s="88">
        <v>352</v>
      </c>
      <c r="C278" s="160" t="s">
        <v>755</v>
      </c>
      <c r="D278" s="162" t="s">
        <v>592</v>
      </c>
      <c r="E278" s="166" t="s">
        <v>759</v>
      </c>
      <c r="F278" s="803">
        <v>361</v>
      </c>
      <c r="G278" s="803" t="s">
        <v>539</v>
      </c>
      <c r="H278" s="215"/>
      <c r="I278" s="164">
        <v>0.35</v>
      </c>
      <c r="J278" s="803" t="s">
        <v>237</v>
      </c>
      <c r="K278" s="363" t="s">
        <v>75</v>
      </c>
      <c r="L278" s="845" t="s">
        <v>540</v>
      </c>
      <c r="M278" s="845" t="s">
        <v>541</v>
      </c>
      <c r="N278" s="845" t="s">
        <v>541</v>
      </c>
      <c r="O278" s="845" t="s">
        <v>541</v>
      </c>
      <c r="P278" s="845" t="s">
        <v>542</v>
      </c>
      <c r="Q278" s="903" t="s">
        <v>542</v>
      </c>
      <c r="R278" s="215" t="s">
        <v>758</v>
      </c>
      <c r="S278" s="215" t="s">
        <v>544</v>
      </c>
      <c r="T278" s="846">
        <v>3670</v>
      </c>
      <c r="U278" s="846">
        <v>3540</v>
      </c>
      <c r="V278" s="846">
        <v>3530</v>
      </c>
      <c r="W278" s="847">
        <v>3620</v>
      </c>
      <c r="X278" s="858">
        <v>3890</v>
      </c>
      <c r="Y278" s="927">
        <v>3920</v>
      </c>
      <c r="Z278" s="761">
        <v>3840</v>
      </c>
      <c r="AA278" s="761">
        <v>3680</v>
      </c>
      <c r="AB278" s="761">
        <v>3870</v>
      </c>
      <c r="AC278" s="880">
        <v>3850</v>
      </c>
      <c r="AD278" s="752">
        <v>3830</v>
      </c>
      <c r="AE278" s="170" t="s">
        <v>229</v>
      </c>
      <c r="AF278" s="776">
        <v>13640</v>
      </c>
      <c r="AG278" s="172">
        <v>0.28079178885630496</v>
      </c>
      <c r="AH278" s="737" t="s">
        <v>97</v>
      </c>
      <c r="AI278" s="752">
        <v>230</v>
      </c>
      <c r="AJ278" s="752">
        <v>330</v>
      </c>
      <c r="AK278" s="752">
        <v>1020</v>
      </c>
      <c r="AL278" s="832">
        <f t="shared" si="8"/>
        <v>1340.5</v>
      </c>
      <c r="AM278" s="219">
        <v>2</v>
      </c>
    </row>
    <row r="279" spans="1:39" ht="15" thickBot="1" x14ac:dyDescent="0.35">
      <c r="A279" s="299">
        <v>439</v>
      </c>
      <c r="B279" s="299">
        <v>3038</v>
      </c>
      <c r="C279" s="348" t="s">
        <v>760</v>
      </c>
      <c r="D279" s="293" t="s">
        <v>761</v>
      </c>
      <c r="E279" s="105" t="s">
        <v>762</v>
      </c>
      <c r="F279" s="802">
        <v>380</v>
      </c>
      <c r="G279" s="802" t="s">
        <v>539</v>
      </c>
      <c r="H279" s="106" t="s">
        <v>73</v>
      </c>
      <c r="I279" s="107">
        <v>0.45</v>
      </c>
      <c r="J279" s="802" t="s">
        <v>140</v>
      </c>
      <c r="K279" s="415" t="s">
        <v>104</v>
      </c>
      <c r="L279" s="830" t="s">
        <v>763</v>
      </c>
      <c r="M279" s="830" t="s">
        <v>653</v>
      </c>
      <c r="N279" s="830" t="s">
        <v>653</v>
      </c>
      <c r="O279" s="830" t="s">
        <v>653</v>
      </c>
      <c r="P279" s="830" t="s">
        <v>626</v>
      </c>
      <c r="Q279" s="909" t="s">
        <v>626</v>
      </c>
      <c r="R279" s="106" t="s">
        <v>556</v>
      </c>
      <c r="S279" s="285" t="s">
        <v>549</v>
      </c>
      <c r="T279" s="833">
        <v>670</v>
      </c>
      <c r="U279" s="833">
        <v>610</v>
      </c>
      <c r="V279" s="833">
        <v>690</v>
      </c>
      <c r="W279" s="831">
        <v>680</v>
      </c>
      <c r="X279" s="924" t="s">
        <v>81</v>
      </c>
      <c r="Y279" s="925">
        <v>870</v>
      </c>
      <c r="Z279" s="844">
        <v>850</v>
      </c>
      <c r="AA279" s="872">
        <v>910</v>
      </c>
      <c r="AB279" s="873">
        <v>940</v>
      </c>
      <c r="AC279" s="878">
        <v>960</v>
      </c>
      <c r="AD279" s="751">
        <v>1200</v>
      </c>
      <c r="AE279" s="106" t="s">
        <v>229</v>
      </c>
      <c r="AF279" s="286">
        <v>13640</v>
      </c>
      <c r="AG279" s="82">
        <v>8.797653958944282E-2</v>
      </c>
      <c r="AH279" s="287" t="s">
        <v>97</v>
      </c>
      <c r="AI279" s="288">
        <v>70</v>
      </c>
      <c r="AJ279" s="288">
        <v>110</v>
      </c>
      <c r="AK279" s="294">
        <v>1230</v>
      </c>
      <c r="AL279" s="751"/>
      <c r="AM279" s="112">
        <v>2</v>
      </c>
    </row>
    <row r="280" spans="1:39" ht="15" thickBot="1" x14ac:dyDescent="0.35">
      <c r="A280" s="33">
        <v>438</v>
      </c>
      <c r="B280" s="33">
        <v>3037</v>
      </c>
      <c r="C280" s="352" t="s">
        <v>760</v>
      </c>
      <c r="D280" s="301" t="s">
        <v>761</v>
      </c>
      <c r="E280" s="51" t="s">
        <v>260</v>
      </c>
      <c r="F280" s="800">
        <v>380</v>
      </c>
      <c r="G280" s="800" t="s">
        <v>539</v>
      </c>
      <c r="H280" s="52" t="s">
        <v>73</v>
      </c>
      <c r="I280" s="72">
        <v>5.04</v>
      </c>
      <c r="J280" s="800" t="s">
        <v>154</v>
      </c>
      <c r="K280" s="302" t="s">
        <v>104</v>
      </c>
      <c r="L280" s="835" t="s">
        <v>764</v>
      </c>
      <c r="M280" s="835" t="s">
        <v>764</v>
      </c>
      <c r="N280" s="835" t="s">
        <v>764</v>
      </c>
      <c r="O280" s="835" t="s">
        <v>764</v>
      </c>
      <c r="P280" s="835" t="s">
        <v>764</v>
      </c>
      <c r="Q280" s="933" t="s">
        <v>764</v>
      </c>
      <c r="R280" s="52" t="s">
        <v>556</v>
      </c>
      <c r="S280" s="285" t="s">
        <v>549</v>
      </c>
      <c r="T280" s="825">
        <v>670</v>
      </c>
      <c r="U280" s="825">
        <v>610</v>
      </c>
      <c r="V280" s="57">
        <v>680</v>
      </c>
      <c r="W280" s="822">
        <v>680</v>
      </c>
      <c r="X280" s="913" t="s">
        <v>81</v>
      </c>
      <c r="Y280" s="931">
        <v>870</v>
      </c>
      <c r="Z280" s="760">
        <v>850</v>
      </c>
      <c r="AA280" s="760">
        <v>910</v>
      </c>
      <c r="AB280" s="760">
        <v>940</v>
      </c>
      <c r="AC280" s="884">
        <v>960</v>
      </c>
      <c r="AD280" s="748">
        <v>1200</v>
      </c>
      <c r="AE280" s="80" t="s">
        <v>97</v>
      </c>
      <c r="AF280" s="416">
        <v>11775</v>
      </c>
      <c r="AG280" s="303">
        <v>0.10191082802547771</v>
      </c>
      <c r="AH280" s="86" t="s">
        <v>1524</v>
      </c>
      <c r="AI280" s="748">
        <v>70</v>
      </c>
      <c r="AJ280" s="748">
        <v>110</v>
      </c>
      <c r="AK280" s="778">
        <v>1230</v>
      </c>
      <c r="AL280" s="754"/>
      <c r="AM280" s="63">
        <v>2</v>
      </c>
    </row>
    <row r="281" spans="1:39" x14ac:dyDescent="0.3">
      <c r="A281" s="268">
        <v>436</v>
      </c>
      <c r="B281" s="268">
        <v>361</v>
      </c>
      <c r="C281" s="300" t="s">
        <v>760</v>
      </c>
      <c r="D281" s="351" t="s">
        <v>765</v>
      </c>
      <c r="E281" s="133" t="s">
        <v>766</v>
      </c>
      <c r="F281" s="799">
        <v>382</v>
      </c>
      <c r="G281" s="799" t="s">
        <v>539</v>
      </c>
      <c r="H281" s="36" t="s">
        <v>73</v>
      </c>
      <c r="I281" s="37">
        <v>3.4</v>
      </c>
      <c r="J281" s="799" t="s">
        <v>140</v>
      </c>
      <c r="K281" s="324" t="s">
        <v>104</v>
      </c>
      <c r="L281" s="837" t="s">
        <v>764</v>
      </c>
      <c r="M281" s="837" t="s">
        <v>764</v>
      </c>
      <c r="N281" s="837" t="s">
        <v>764</v>
      </c>
      <c r="O281" s="837" t="s">
        <v>764</v>
      </c>
      <c r="P281" s="837" t="s">
        <v>764</v>
      </c>
      <c r="Q281" s="933" t="s">
        <v>764</v>
      </c>
      <c r="R281" s="36" t="s">
        <v>596</v>
      </c>
      <c r="S281" s="36" t="s">
        <v>699</v>
      </c>
      <c r="T281" s="833">
        <v>700</v>
      </c>
      <c r="U281" s="833">
        <v>680</v>
      </c>
      <c r="V281" s="66">
        <v>720</v>
      </c>
      <c r="W281" s="820">
        <v>690</v>
      </c>
      <c r="X281" s="934" t="s">
        <v>81</v>
      </c>
      <c r="Y281" s="930">
        <v>890</v>
      </c>
      <c r="Z281" s="838">
        <v>1030</v>
      </c>
      <c r="AA281" s="838">
        <v>1060</v>
      </c>
      <c r="AB281" s="838">
        <v>910</v>
      </c>
      <c r="AC281" s="888">
        <v>1310</v>
      </c>
      <c r="AD281" s="749">
        <v>1460</v>
      </c>
      <c r="AE281" s="36" t="s">
        <v>97</v>
      </c>
      <c r="AF281" s="138">
        <v>11775</v>
      </c>
      <c r="AG281" s="315">
        <v>0.12399150743099788</v>
      </c>
      <c r="AH281" s="83" t="s">
        <v>1524</v>
      </c>
      <c r="AI281" s="120">
        <v>100</v>
      </c>
      <c r="AJ281" s="120">
        <v>120</v>
      </c>
      <c r="AK281" s="316">
        <v>1230</v>
      </c>
      <c r="AL281" s="832">
        <f t="shared" ref="AL281:AL289" si="9">IF(AD281&gt;0,AD281*$I281,"-")</f>
        <v>4964</v>
      </c>
      <c r="AM281" s="121">
        <v>2</v>
      </c>
    </row>
    <row r="282" spans="1:39" x14ac:dyDescent="0.3">
      <c r="A282" s="33">
        <v>434</v>
      </c>
      <c r="B282" s="33">
        <v>359</v>
      </c>
      <c r="C282" s="352" t="s">
        <v>760</v>
      </c>
      <c r="D282" s="301" t="s">
        <v>767</v>
      </c>
      <c r="E282" s="51" t="s">
        <v>768</v>
      </c>
      <c r="F282" s="800">
        <v>384</v>
      </c>
      <c r="G282" s="800" t="s">
        <v>539</v>
      </c>
      <c r="H282" s="52" t="s">
        <v>73</v>
      </c>
      <c r="I282" s="72">
        <v>1.2</v>
      </c>
      <c r="J282" s="800" t="s">
        <v>237</v>
      </c>
      <c r="K282" s="302" t="s">
        <v>104</v>
      </c>
      <c r="L282" s="835" t="s">
        <v>764</v>
      </c>
      <c r="M282" s="835" t="s">
        <v>764</v>
      </c>
      <c r="N282" s="835" t="s">
        <v>764</v>
      </c>
      <c r="O282" s="835" t="s">
        <v>764</v>
      </c>
      <c r="P282" s="835" t="s">
        <v>764</v>
      </c>
      <c r="Q282" s="933" t="s">
        <v>764</v>
      </c>
      <c r="R282" s="52" t="s">
        <v>596</v>
      </c>
      <c r="S282" s="52" t="s">
        <v>699</v>
      </c>
      <c r="T282" s="825">
        <v>1650</v>
      </c>
      <c r="U282" s="825">
        <v>1680</v>
      </c>
      <c r="V282" s="57">
        <v>1660</v>
      </c>
      <c r="W282" s="822">
        <v>1580</v>
      </c>
      <c r="X282" s="798">
        <v>1750</v>
      </c>
      <c r="Y282" s="931">
        <v>2190</v>
      </c>
      <c r="Z282" s="760">
        <v>2300</v>
      </c>
      <c r="AA282" s="760">
        <v>2130</v>
      </c>
      <c r="AB282" s="760">
        <v>2130</v>
      </c>
      <c r="AC282" s="884">
        <v>1780</v>
      </c>
      <c r="AD282" s="748">
        <v>1920</v>
      </c>
      <c r="AE282" s="80" t="s">
        <v>97</v>
      </c>
      <c r="AF282" s="78">
        <v>11775</v>
      </c>
      <c r="AG282" s="303">
        <v>0.16305732484076432</v>
      </c>
      <c r="AH282" s="80" t="s">
        <v>1524</v>
      </c>
      <c r="AI282" s="748">
        <v>130</v>
      </c>
      <c r="AJ282" s="748">
        <v>200</v>
      </c>
      <c r="AK282" s="766">
        <v>1230</v>
      </c>
      <c r="AL282" s="832">
        <f t="shared" si="9"/>
        <v>2304</v>
      </c>
      <c r="AM282" s="63">
        <v>2</v>
      </c>
    </row>
    <row r="283" spans="1:39" ht="15" thickBot="1" x14ac:dyDescent="0.35">
      <c r="A283" s="305">
        <v>432</v>
      </c>
      <c r="B283" s="305">
        <v>357</v>
      </c>
      <c r="C283" s="346" t="s">
        <v>760</v>
      </c>
      <c r="D283" s="306" t="s">
        <v>769</v>
      </c>
      <c r="E283" s="91" t="s">
        <v>770</v>
      </c>
      <c r="F283" s="801">
        <v>386</v>
      </c>
      <c r="G283" s="801" t="s">
        <v>539</v>
      </c>
      <c r="H283" s="92" t="s">
        <v>73</v>
      </c>
      <c r="I283" s="93">
        <v>2.2000000000000002</v>
      </c>
      <c r="J283" s="801" t="s">
        <v>154</v>
      </c>
      <c r="K283" s="271" t="s">
        <v>104</v>
      </c>
      <c r="L283" s="841" t="s">
        <v>764</v>
      </c>
      <c r="M283" s="841" t="s">
        <v>764</v>
      </c>
      <c r="N283" s="841" t="s">
        <v>764</v>
      </c>
      <c r="O283" s="841" t="s">
        <v>764</v>
      </c>
      <c r="P283" s="841" t="s">
        <v>764</v>
      </c>
      <c r="Q283" s="933" t="s">
        <v>764</v>
      </c>
      <c r="R283" s="92" t="s">
        <v>596</v>
      </c>
      <c r="S283" s="92" t="s">
        <v>699</v>
      </c>
      <c r="T283" s="827">
        <v>1040</v>
      </c>
      <c r="U283" s="827">
        <v>1100</v>
      </c>
      <c r="V283" s="124">
        <v>1060</v>
      </c>
      <c r="W283" s="828">
        <v>1250</v>
      </c>
      <c r="X283" s="842">
        <v>1160</v>
      </c>
      <c r="Y283" s="935">
        <v>1330</v>
      </c>
      <c r="Z283" s="842">
        <v>1100</v>
      </c>
      <c r="AA283" s="842">
        <v>1140</v>
      </c>
      <c r="AB283" s="842">
        <v>1140</v>
      </c>
      <c r="AC283" s="861">
        <v>1240</v>
      </c>
      <c r="AD283" s="750">
        <v>1200</v>
      </c>
      <c r="AE283" s="92" t="s">
        <v>97</v>
      </c>
      <c r="AF283" s="186">
        <v>11775</v>
      </c>
      <c r="AG283" s="147">
        <v>0.10191082802547771</v>
      </c>
      <c r="AH283" s="100" t="s">
        <v>1524</v>
      </c>
      <c r="AI283" s="126">
        <v>70</v>
      </c>
      <c r="AJ283" s="126">
        <v>100</v>
      </c>
      <c r="AK283" s="308">
        <v>1230</v>
      </c>
      <c r="AL283" s="881">
        <f t="shared" si="9"/>
        <v>2640</v>
      </c>
      <c r="AM283" s="127">
        <v>2</v>
      </c>
    </row>
    <row r="284" spans="1:39" x14ac:dyDescent="0.3">
      <c r="A284" s="103">
        <v>441</v>
      </c>
      <c r="B284" s="103">
        <v>364</v>
      </c>
      <c r="C284" s="408" t="s">
        <v>771</v>
      </c>
      <c r="D284" s="338" t="s">
        <v>772</v>
      </c>
      <c r="E284" s="189" t="s">
        <v>773</v>
      </c>
      <c r="F284" s="804">
        <v>440</v>
      </c>
      <c r="G284" s="804" t="s">
        <v>539</v>
      </c>
      <c r="H284" s="131" t="s">
        <v>73</v>
      </c>
      <c r="I284" s="178">
        <v>0.9</v>
      </c>
      <c r="J284" s="804" t="s">
        <v>205</v>
      </c>
      <c r="K284" s="340" t="s">
        <v>104</v>
      </c>
      <c r="L284" s="843" t="s">
        <v>256</v>
      </c>
      <c r="M284" s="848" t="s">
        <v>555</v>
      </c>
      <c r="N284" s="843" t="s">
        <v>555</v>
      </c>
      <c r="O284" s="843" t="s">
        <v>555</v>
      </c>
      <c r="P284" s="843" t="s">
        <v>555</v>
      </c>
      <c r="Q284" s="882" t="s">
        <v>555</v>
      </c>
      <c r="R284" s="179" t="s">
        <v>374</v>
      </c>
      <c r="S284" s="179" t="s">
        <v>465</v>
      </c>
      <c r="T284" s="825">
        <v>4220</v>
      </c>
      <c r="U284" s="825">
        <v>4160</v>
      </c>
      <c r="V284" s="825">
        <v>3980</v>
      </c>
      <c r="W284" s="836">
        <v>4120</v>
      </c>
      <c r="X284" s="896" t="s">
        <v>81</v>
      </c>
      <c r="Y284" s="929">
        <v>4770</v>
      </c>
      <c r="Z284" s="759">
        <v>4810</v>
      </c>
      <c r="AA284" s="759">
        <v>4720</v>
      </c>
      <c r="AB284" s="886">
        <v>4390</v>
      </c>
      <c r="AC284" s="887">
        <v>5420</v>
      </c>
      <c r="AD284" s="754">
        <v>5310</v>
      </c>
      <c r="AE284" s="190" t="s">
        <v>229</v>
      </c>
      <c r="AF284" s="78">
        <v>24450</v>
      </c>
      <c r="AG284" s="79">
        <v>0.21717791411042944</v>
      </c>
      <c r="AH284" s="731" t="s">
        <v>1524</v>
      </c>
      <c r="AI284" s="754">
        <v>340</v>
      </c>
      <c r="AJ284" s="754">
        <v>490</v>
      </c>
      <c r="AK284" s="778">
        <v>2200</v>
      </c>
      <c r="AL284" s="832">
        <f t="shared" si="9"/>
        <v>4779</v>
      </c>
      <c r="AM284" s="182">
        <v>2</v>
      </c>
    </row>
    <row r="285" spans="1:39" ht="15" thickBot="1" x14ac:dyDescent="0.35">
      <c r="A285" s="88">
        <v>442</v>
      </c>
      <c r="B285" s="88">
        <v>365</v>
      </c>
      <c r="C285" s="368" t="s">
        <v>771</v>
      </c>
      <c r="D285" s="296" t="s">
        <v>602</v>
      </c>
      <c r="E285" s="185" t="s">
        <v>774</v>
      </c>
      <c r="F285" s="801">
        <v>441</v>
      </c>
      <c r="G285" s="801" t="s">
        <v>539</v>
      </c>
      <c r="H285" s="92" t="s">
        <v>73</v>
      </c>
      <c r="I285" s="93">
        <v>1.25</v>
      </c>
      <c r="J285" s="801" t="s">
        <v>158</v>
      </c>
      <c r="K285" s="271" t="s">
        <v>75</v>
      </c>
      <c r="L285" s="841" t="s">
        <v>256</v>
      </c>
      <c r="M285" s="841" t="s">
        <v>555</v>
      </c>
      <c r="N285" s="841" t="s">
        <v>555</v>
      </c>
      <c r="O285" s="841" t="s">
        <v>555</v>
      </c>
      <c r="P285" s="841" t="s">
        <v>555</v>
      </c>
      <c r="Q285" s="879" t="s">
        <v>555</v>
      </c>
      <c r="R285" s="94" t="s">
        <v>374</v>
      </c>
      <c r="S285" s="94" t="s">
        <v>465</v>
      </c>
      <c r="T285" s="827">
        <v>2190</v>
      </c>
      <c r="U285" s="827">
        <v>2060</v>
      </c>
      <c r="V285" s="827">
        <v>2070</v>
      </c>
      <c r="W285" s="828">
        <v>2130</v>
      </c>
      <c r="X285" s="899" t="s">
        <v>81</v>
      </c>
      <c r="Y285" s="935">
        <v>2680</v>
      </c>
      <c r="Z285" s="842">
        <v>2610</v>
      </c>
      <c r="AA285" s="842">
        <v>2480</v>
      </c>
      <c r="AB285" s="842">
        <v>2780</v>
      </c>
      <c r="AC285" s="861">
        <v>3070</v>
      </c>
      <c r="AD285" s="750">
        <v>2980</v>
      </c>
      <c r="AE285" s="92" t="s">
        <v>229</v>
      </c>
      <c r="AF285" s="186">
        <v>24450</v>
      </c>
      <c r="AG285" s="147">
        <v>0.12188139059304703</v>
      </c>
      <c r="AH285" s="307" t="s">
        <v>1524</v>
      </c>
      <c r="AI285" s="126">
        <v>200</v>
      </c>
      <c r="AJ285" s="126">
        <v>280</v>
      </c>
      <c r="AK285" s="308">
        <v>2200</v>
      </c>
      <c r="AL285" s="881">
        <f t="shared" si="9"/>
        <v>3725</v>
      </c>
      <c r="AM285" s="127">
        <v>2</v>
      </c>
    </row>
    <row r="286" spans="1:39" x14ac:dyDescent="0.3">
      <c r="A286" s="103">
        <v>444</v>
      </c>
      <c r="B286" s="103">
        <v>366</v>
      </c>
      <c r="C286" s="417" t="s">
        <v>775</v>
      </c>
      <c r="D286" s="188" t="s">
        <v>776</v>
      </c>
      <c r="E286" s="177" t="s">
        <v>777</v>
      </c>
      <c r="F286" s="804">
        <v>450</v>
      </c>
      <c r="G286" s="804" t="s">
        <v>539</v>
      </c>
      <c r="H286" s="131" t="s">
        <v>73</v>
      </c>
      <c r="I286" s="178">
        <v>0.25</v>
      </c>
      <c r="J286" s="804" t="s">
        <v>140</v>
      </c>
      <c r="K286" s="340" t="s">
        <v>75</v>
      </c>
      <c r="L286" s="843" t="s">
        <v>636</v>
      </c>
      <c r="M286" s="256" t="s">
        <v>754</v>
      </c>
      <c r="N286" s="177" t="s">
        <v>754</v>
      </c>
      <c r="O286" s="177" t="s">
        <v>754</v>
      </c>
      <c r="P286" s="177" t="s">
        <v>637</v>
      </c>
      <c r="Q286" s="410" t="s">
        <v>637</v>
      </c>
      <c r="R286" s="179" t="s">
        <v>374</v>
      </c>
      <c r="S286" s="179" t="s">
        <v>145</v>
      </c>
      <c r="T286" s="825">
        <v>11970</v>
      </c>
      <c r="U286" s="825">
        <v>11770</v>
      </c>
      <c r="V286" s="825">
        <v>12070</v>
      </c>
      <c r="W286" s="836">
        <v>11940</v>
      </c>
      <c r="X286" s="759">
        <v>13310</v>
      </c>
      <c r="Y286" s="929">
        <v>14620</v>
      </c>
      <c r="Z286" s="759">
        <v>14060</v>
      </c>
      <c r="AA286" s="759">
        <v>13620</v>
      </c>
      <c r="AB286" s="886">
        <v>15300</v>
      </c>
      <c r="AC286" s="887">
        <v>14360</v>
      </c>
      <c r="AD286" s="754">
        <v>14000</v>
      </c>
      <c r="AE286" s="190" t="s">
        <v>229</v>
      </c>
      <c r="AF286" s="409">
        <v>37970</v>
      </c>
      <c r="AG286" s="79">
        <v>0.36871214116407691</v>
      </c>
      <c r="AH286" s="86" t="s">
        <v>97</v>
      </c>
      <c r="AI286" s="181">
        <v>790</v>
      </c>
      <c r="AJ286" s="181">
        <v>1120</v>
      </c>
      <c r="AK286" s="312">
        <v>3410</v>
      </c>
      <c r="AL286" s="832">
        <f t="shared" si="9"/>
        <v>3500</v>
      </c>
      <c r="AM286" s="182">
        <v>4</v>
      </c>
    </row>
    <row r="287" spans="1:39" ht="15" thickBot="1" x14ac:dyDescent="0.35">
      <c r="A287" s="88">
        <v>446</v>
      </c>
      <c r="B287" s="88">
        <v>369</v>
      </c>
      <c r="C287" s="418" t="s">
        <v>775</v>
      </c>
      <c r="D287" s="258" t="s">
        <v>778</v>
      </c>
      <c r="E287" s="185" t="s">
        <v>779</v>
      </c>
      <c r="F287" s="801">
        <v>452</v>
      </c>
      <c r="G287" s="801" t="s">
        <v>539</v>
      </c>
      <c r="H287" s="92" t="s">
        <v>73</v>
      </c>
      <c r="I287" s="93">
        <v>0.75</v>
      </c>
      <c r="J287" s="804" t="s">
        <v>140</v>
      </c>
      <c r="K287" s="271" t="s">
        <v>75</v>
      </c>
      <c r="L287" s="841" t="s">
        <v>636</v>
      </c>
      <c r="M287" s="91" t="s">
        <v>754</v>
      </c>
      <c r="N287" s="91" t="s">
        <v>754</v>
      </c>
      <c r="O287" s="91" t="s">
        <v>754</v>
      </c>
      <c r="P287" s="91" t="s">
        <v>621</v>
      </c>
      <c r="Q287" s="410" t="s">
        <v>637</v>
      </c>
      <c r="R287" s="94" t="s">
        <v>374</v>
      </c>
      <c r="S287" s="94" t="s">
        <v>145</v>
      </c>
      <c r="T287" s="827">
        <v>14370</v>
      </c>
      <c r="U287" s="827">
        <v>14000</v>
      </c>
      <c r="V287" s="827">
        <v>14510</v>
      </c>
      <c r="W287" s="828">
        <v>13800</v>
      </c>
      <c r="X287" s="860">
        <v>15230</v>
      </c>
      <c r="Y287" s="935">
        <v>16440</v>
      </c>
      <c r="Z287" s="842">
        <v>15250</v>
      </c>
      <c r="AA287" s="842">
        <v>13230</v>
      </c>
      <c r="AB287" s="842">
        <v>14530</v>
      </c>
      <c r="AC287" s="861">
        <v>13960</v>
      </c>
      <c r="AD287" s="750">
        <v>14960</v>
      </c>
      <c r="AE287" s="92" t="s">
        <v>229</v>
      </c>
      <c r="AF287" s="241">
        <v>37970</v>
      </c>
      <c r="AG287" s="147">
        <v>0.39399525941532787</v>
      </c>
      <c r="AH287" s="100" t="s">
        <v>97</v>
      </c>
      <c r="AI287" s="126">
        <v>800</v>
      </c>
      <c r="AJ287" s="126">
        <v>1240</v>
      </c>
      <c r="AK287" s="308">
        <v>3410</v>
      </c>
      <c r="AL287" s="881">
        <f t="shared" si="9"/>
        <v>11220</v>
      </c>
      <c r="AM287" s="127">
        <v>4</v>
      </c>
    </row>
    <row r="288" spans="1:39" x14ac:dyDescent="0.3">
      <c r="A288" s="103">
        <v>448</v>
      </c>
      <c r="B288" s="103">
        <v>370</v>
      </c>
      <c r="C288" s="408" t="s">
        <v>780</v>
      </c>
      <c r="D288" s="338" t="s">
        <v>781</v>
      </c>
      <c r="E288" s="189" t="s">
        <v>782</v>
      </c>
      <c r="F288" s="804">
        <v>460</v>
      </c>
      <c r="G288" s="804" t="s">
        <v>539</v>
      </c>
      <c r="H288" s="131" t="s">
        <v>73</v>
      </c>
      <c r="I288" s="178">
        <v>1.5</v>
      </c>
      <c r="J288" s="804" t="s">
        <v>205</v>
      </c>
      <c r="K288" s="340" t="s">
        <v>75</v>
      </c>
      <c r="L288" s="843" t="s">
        <v>367</v>
      </c>
      <c r="M288" s="848" t="s">
        <v>367</v>
      </c>
      <c r="N288" s="843" t="s">
        <v>367</v>
      </c>
      <c r="O288" s="843" t="s">
        <v>367</v>
      </c>
      <c r="P288" s="843" t="s">
        <v>367</v>
      </c>
      <c r="Q288" s="895" t="s">
        <v>367</v>
      </c>
      <c r="R288" s="131" t="s">
        <v>686</v>
      </c>
      <c r="S288" s="131" t="s">
        <v>605</v>
      </c>
      <c r="T288" s="57">
        <v>1490</v>
      </c>
      <c r="U288" s="57">
        <v>1420</v>
      </c>
      <c r="V288" s="57">
        <v>1360</v>
      </c>
      <c r="W288" s="836">
        <v>1460</v>
      </c>
      <c r="X288" s="798">
        <v>1560</v>
      </c>
      <c r="Y288" s="929">
        <v>1790</v>
      </c>
      <c r="Z288" s="759">
        <v>1750</v>
      </c>
      <c r="AA288" s="759">
        <v>1850</v>
      </c>
      <c r="AB288" s="886">
        <v>1900</v>
      </c>
      <c r="AC288" s="887">
        <v>1780</v>
      </c>
      <c r="AD288" s="754">
        <v>2140</v>
      </c>
      <c r="AE288" s="190" t="s">
        <v>97</v>
      </c>
      <c r="AF288" s="78">
        <v>6450</v>
      </c>
      <c r="AG288" s="79">
        <v>0.33178294573643413</v>
      </c>
      <c r="AH288" s="86" t="s">
        <v>1524</v>
      </c>
      <c r="AI288" s="754">
        <v>200</v>
      </c>
      <c r="AJ288" s="754">
        <v>210</v>
      </c>
      <c r="AK288" s="779">
        <v>620</v>
      </c>
      <c r="AL288" s="832">
        <f t="shared" si="9"/>
        <v>3210</v>
      </c>
      <c r="AM288" s="182">
        <v>2</v>
      </c>
    </row>
    <row r="289" spans="1:39" ht="15" thickBot="1" x14ac:dyDescent="0.35">
      <c r="A289" s="88">
        <v>449</v>
      </c>
      <c r="B289" s="88">
        <v>371</v>
      </c>
      <c r="C289" s="368" t="s">
        <v>780</v>
      </c>
      <c r="D289" s="296" t="s">
        <v>783</v>
      </c>
      <c r="E289" s="185" t="s">
        <v>784</v>
      </c>
      <c r="F289" s="801">
        <v>461</v>
      </c>
      <c r="G289" s="801" t="s">
        <v>539</v>
      </c>
      <c r="H289" s="92" t="s">
        <v>73</v>
      </c>
      <c r="I289" s="93">
        <v>3</v>
      </c>
      <c r="J289" s="801" t="s">
        <v>205</v>
      </c>
      <c r="K289" s="271" t="s">
        <v>75</v>
      </c>
      <c r="L289" s="841" t="s">
        <v>367</v>
      </c>
      <c r="M289" s="841" t="s">
        <v>367</v>
      </c>
      <c r="N289" s="841" t="s">
        <v>367</v>
      </c>
      <c r="O289" s="841" t="s">
        <v>367</v>
      </c>
      <c r="P289" s="841" t="s">
        <v>367</v>
      </c>
      <c r="Q289" s="895" t="s">
        <v>367</v>
      </c>
      <c r="R289" s="92" t="s">
        <v>686</v>
      </c>
      <c r="S289" s="92" t="s">
        <v>605</v>
      </c>
      <c r="T289" s="124">
        <v>990</v>
      </c>
      <c r="U289" s="124">
        <v>890</v>
      </c>
      <c r="V289" s="124">
        <v>910</v>
      </c>
      <c r="W289" s="828">
        <v>990</v>
      </c>
      <c r="X289" s="899" t="s">
        <v>81</v>
      </c>
      <c r="Y289" s="935">
        <v>1370</v>
      </c>
      <c r="Z289" s="842">
        <v>1270</v>
      </c>
      <c r="AA289" s="842">
        <v>1360</v>
      </c>
      <c r="AB289" s="842">
        <v>1390</v>
      </c>
      <c r="AC289" s="861">
        <v>1330</v>
      </c>
      <c r="AD289" s="750">
        <v>1630</v>
      </c>
      <c r="AE289" s="92" t="s">
        <v>97</v>
      </c>
      <c r="AF289" s="186">
        <v>6450</v>
      </c>
      <c r="AG289" s="333">
        <v>0.25271317829457363</v>
      </c>
      <c r="AH289" s="307" t="s">
        <v>1524</v>
      </c>
      <c r="AI289" s="126">
        <v>160</v>
      </c>
      <c r="AJ289" s="126">
        <v>170</v>
      </c>
      <c r="AK289" s="419">
        <v>620</v>
      </c>
      <c r="AL289" s="832">
        <f t="shared" si="9"/>
        <v>4890</v>
      </c>
      <c r="AM289" s="127">
        <v>2</v>
      </c>
    </row>
    <row r="290" spans="1:39" ht="15" thickBot="1" x14ac:dyDescent="0.35">
      <c r="A290" s="202">
        <v>472</v>
      </c>
      <c r="B290" s="202">
        <v>390</v>
      </c>
      <c r="C290" s="420" t="s">
        <v>785</v>
      </c>
      <c r="D290" s="388" t="s">
        <v>786</v>
      </c>
      <c r="E290" s="248" t="s">
        <v>787</v>
      </c>
      <c r="F290" s="805">
        <v>420</v>
      </c>
      <c r="G290" s="805" t="s">
        <v>539</v>
      </c>
      <c r="H290" s="208" t="s">
        <v>73</v>
      </c>
      <c r="I290" s="207">
        <v>3.5</v>
      </c>
      <c r="J290" s="805" t="s">
        <v>205</v>
      </c>
      <c r="K290" s="208" t="s">
        <v>104</v>
      </c>
      <c r="L290" s="851" t="s">
        <v>367</v>
      </c>
      <c r="M290" s="917" t="s">
        <v>367</v>
      </c>
      <c r="N290" s="851" t="s">
        <v>367</v>
      </c>
      <c r="O290" s="851" t="s">
        <v>367</v>
      </c>
      <c r="P290" s="851" t="s">
        <v>367</v>
      </c>
      <c r="Q290" s="895" t="s">
        <v>367</v>
      </c>
      <c r="R290" s="208" t="s">
        <v>556</v>
      </c>
      <c r="S290" s="285" t="s">
        <v>549</v>
      </c>
      <c r="T290" s="251">
        <v>750</v>
      </c>
      <c r="U290" s="251">
        <v>740</v>
      </c>
      <c r="V290" s="421">
        <v>760</v>
      </c>
      <c r="W290" s="857">
        <v>850</v>
      </c>
      <c r="X290" s="858">
        <v>840</v>
      </c>
      <c r="Y290" s="932">
        <v>860</v>
      </c>
      <c r="Z290" s="858">
        <v>800</v>
      </c>
      <c r="AA290" s="858">
        <v>900</v>
      </c>
      <c r="AB290" s="858">
        <v>1050</v>
      </c>
      <c r="AC290" s="868">
        <v>750</v>
      </c>
      <c r="AD290" s="755">
        <v>1000</v>
      </c>
      <c r="AE290" s="278" t="s">
        <v>97</v>
      </c>
      <c r="AF290" s="171">
        <v>6450</v>
      </c>
      <c r="AG290" s="280">
        <v>0.15503875968992248</v>
      </c>
      <c r="AH290" s="210" t="s">
        <v>1524</v>
      </c>
      <c r="AI290" s="755">
        <v>70</v>
      </c>
      <c r="AJ290" s="755">
        <v>90</v>
      </c>
      <c r="AK290" s="774">
        <v>620</v>
      </c>
      <c r="AL290" s="754"/>
      <c r="AM290" s="211">
        <v>2</v>
      </c>
    </row>
    <row r="291" spans="1:39" ht="15" thickBot="1" x14ac:dyDescent="0.35">
      <c r="A291" s="299">
        <v>470</v>
      </c>
      <c r="B291" s="299">
        <v>389</v>
      </c>
      <c r="C291" s="422" t="s">
        <v>788</v>
      </c>
      <c r="D291" s="423" t="s">
        <v>789</v>
      </c>
      <c r="E291" s="424" t="s">
        <v>790</v>
      </c>
      <c r="F291" s="936">
        <v>430</v>
      </c>
      <c r="G291" s="808" t="s">
        <v>539</v>
      </c>
      <c r="H291" s="425"/>
      <c r="I291" s="426">
        <v>2.0499999999999998</v>
      </c>
      <c r="J291" s="808" t="s">
        <v>158</v>
      </c>
      <c r="K291" s="427" t="s">
        <v>104</v>
      </c>
      <c r="L291" s="937" t="s">
        <v>367</v>
      </c>
      <c r="M291" s="937" t="s">
        <v>367</v>
      </c>
      <c r="N291" s="937" t="s">
        <v>367</v>
      </c>
      <c r="O291" s="937" t="s">
        <v>367</v>
      </c>
      <c r="P291" s="937" t="s">
        <v>367</v>
      </c>
      <c r="Q291" s="895" t="s">
        <v>367</v>
      </c>
      <c r="R291" s="428" t="s">
        <v>596</v>
      </c>
      <c r="S291" s="285" t="s">
        <v>549</v>
      </c>
      <c r="T291" s="429">
        <v>260</v>
      </c>
      <c r="U291" s="429">
        <v>230</v>
      </c>
      <c r="V291" s="430">
        <v>220</v>
      </c>
      <c r="W291" s="938">
        <v>250</v>
      </c>
      <c r="X291" s="939">
        <v>230</v>
      </c>
      <c r="Y291" s="940">
        <v>250</v>
      </c>
      <c r="Z291" s="939">
        <v>290</v>
      </c>
      <c r="AA291" s="939">
        <v>320</v>
      </c>
      <c r="AB291" s="940">
        <v>230</v>
      </c>
      <c r="AC291" s="938">
        <v>240</v>
      </c>
      <c r="AD291" s="780">
        <v>290</v>
      </c>
      <c r="AE291" s="428" t="s">
        <v>97</v>
      </c>
      <c r="AF291" s="431">
        <v>6450</v>
      </c>
      <c r="AG291" s="432">
        <v>4.4961240310077519E-2</v>
      </c>
      <c r="AH291" s="433" t="s">
        <v>1524</v>
      </c>
      <c r="AI291" s="434">
        <v>20</v>
      </c>
      <c r="AJ291" s="434">
        <v>20</v>
      </c>
      <c r="AK291" s="435">
        <v>620</v>
      </c>
      <c r="AL291" s="941"/>
      <c r="AM291" s="436">
        <v>2</v>
      </c>
    </row>
    <row r="292" spans="1:39" ht="15" thickBot="1" x14ac:dyDescent="0.35">
      <c r="A292" s="33">
        <v>477</v>
      </c>
      <c r="B292" s="33">
        <v>394</v>
      </c>
      <c r="C292" s="437" t="s">
        <v>791</v>
      </c>
      <c r="D292" s="438" t="s">
        <v>792</v>
      </c>
      <c r="E292" s="439" t="s">
        <v>793</v>
      </c>
      <c r="F292" s="942">
        <v>470</v>
      </c>
      <c r="G292" s="804" t="s">
        <v>539</v>
      </c>
      <c r="H292" s="77" t="s">
        <v>73</v>
      </c>
      <c r="I292" s="259">
        <v>0.8</v>
      </c>
      <c r="J292" s="804" t="s">
        <v>154</v>
      </c>
      <c r="K292" s="349" t="s">
        <v>104</v>
      </c>
      <c r="L292" s="843" t="s">
        <v>367</v>
      </c>
      <c r="M292" s="843" t="s">
        <v>367</v>
      </c>
      <c r="N292" s="843" t="s">
        <v>367</v>
      </c>
      <c r="O292" s="843" t="s">
        <v>367</v>
      </c>
      <c r="P292" s="843" t="s">
        <v>367</v>
      </c>
      <c r="Q292" s="895" t="s">
        <v>367</v>
      </c>
      <c r="R292" s="77" t="s">
        <v>596</v>
      </c>
      <c r="S292" s="285" t="s">
        <v>549</v>
      </c>
      <c r="T292" s="440">
        <v>510</v>
      </c>
      <c r="U292" s="440">
        <v>510</v>
      </c>
      <c r="V292" s="441">
        <v>490</v>
      </c>
      <c r="W292" s="866">
        <v>520</v>
      </c>
      <c r="X292" s="943" t="s">
        <v>81</v>
      </c>
      <c r="Y292" s="944">
        <v>560</v>
      </c>
      <c r="Z292" s="944">
        <v>500</v>
      </c>
      <c r="AA292" s="944">
        <v>520</v>
      </c>
      <c r="AB292" s="944">
        <v>530</v>
      </c>
      <c r="AC292" s="945">
        <v>520</v>
      </c>
      <c r="AD292" s="781">
        <v>530</v>
      </c>
      <c r="AE292" s="442" t="s">
        <v>97</v>
      </c>
      <c r="AF292" s="443">
        <v>6450</v>
      </c>
      <c r="AG292" s="444">
        <v>8.2170542635658914E-2</v>
      </c>
      <c r="AH292" s="442" t="s">
        <v>1524</v>
      </c>
      <c r="AI292" s="781">
        <v>40</v>
      </c>
      <c r="AJ292" s="781">
        <v>50</v>
      </c>
      <c r="AK292" s="782">
        <v>620</v>
      </c>
      <c r="AL292" s="781"/>
      <c r="AM292" s="283">
        <v>2</v>
      </c>
    </row>
    <row r="293" spans="1:39" ht="15" thickBot="1" x14ac:dyDescent="0.35">
      <c r="A293" s="305">
        <v>475</v>
      </c>
      <c r="B293" s="305">
        <v>392</v>
      </c>
      <c r="C293" s="445" t="s">
        <v>794</v>
      </c>
      <c r="D293" s="446" t="s">
        <v>795</v>
      </c>
      <c r="E293" s="447" t="s">
        <v>729</v>
      </c>
      <c r="F293" s="946">
        <v>472</v>
      </c>
      <c r="G293" s="801" t="s">
        <v>539</v>
      </c>
      <c r="H293" s="97"/>
      <c r="I293" s="93">
        <v>0.95</v>
      </c>
      <c r="J293" s="801" t="s">
        <v>154</v>
      </c>
      <c r="K293" s="271" t="s">
        <v>104</v>
      </c>
      <c r="L293" s="841" t="s">
        <v>367</v>
      </c>
      <c r="M293" s="841" t="s">
        <v>367</v>
      </c>
      <c r="N293" s="841" t="s">
        <v>367</v>
      </c>
      <c r="O293" s="841" t="s">
        <v>367</v>
      </c>
      <c r="P293" s="841" t="s">
        <v>367</v>
      </c>
      <c r="Q293" s="895" t="s">
        <v>367</v>
      </c>
      <c r="R293" s="92" t="s">
        <v>596</v>
      </c>
      <c r="S293" s="92" t="s">
        <v>699</v>
      </c>
      <c r="T293" s="124">
        <v>550</v>
      </c>
      <c r="U293" s="124">
        <v>550</v>
      </c>
      <c r="V293" s="448">
        <v>510</v>
      </c>
      <c r="W293" s="893">
        <v>580</v>
      </c>
      <c r="X293" s="921" t="s">
        <v>81</v>
      </c>
      <c r="Y293" s="947">
        <v>760</v>
      </c>
      <c r="Z293" s="947">
        <v>720</v>
      </c>
      <c r="AA293" s="947">
        <v>700</v>
      </c>
      <c r="AB293" s="947">
        <v>800</v>
      </c>
      <c r="AC293" s="893">
        <v>830</v>
      </c>
      <c r="AD293" s="758">
        <v>870</v>
      </c>
      <c r="AE293" s="391" t="s">
        <v>97</v>
      </c>
      <c r="AF293" s="186">
        <v>6450</v>
      </c>
      <c r="AG293" s="333">
        <v>0.13488372093023257</v>
      </c>
      <c r="AH293" s="307" t="s">
        <v>1524</v>
      </c>
      <c r="AI293" s="334">
        <v>70</v>
      </c>
      <c r="AJ293" s="334">
        <v>80</v>
      </c>
      <c r="AK293" s="335">
        <v>620</v>
      </c>
      <c r="AL293" s="881">
        <f t="shared" ref="AL293:AL307" si="10">IF(AD293&gt;0,AD293*$I293,"-")</f>
        <v>826.5</v>
      </c>
      <c r="AM293" s="337">
        <v>2</v>
      </c>
    </row>
    <row r="294" spans="1:39" ht="15" thickBot="1" x14ac:dyDescent="0.35">
      <c r="A294" s="202">
        <v>486</v>
      </c>
      <c r="B294" s="202">
        <v>401</v>
      </c>
      <c r="C294" s="407" t="s">
        <v>796</v>
      </c>
      <c r="D294" s="248" t="s">
        <v>797</v>
      </c>
      <c r="E294" s="449" t="s">
        <v>798</v>
      </c>
      <c r="F294" s="805">
        <v>500</v>
      </c>
      <c r="G294" s="805" t="s">
        <v>539</v>
      </c>
      <c r="H294" s="249"/>
      <c r="I294" s="207">
        <v>0.2</v>
      </c>
      <c r="J294" s="805" t="s">
        <v>799</v>
      </c>
      <c r="K294" s="387" t="s">
        <v>75</v>
      </c>
      <c r="L294" s="851" t="s">
        <v>540</v>
      </c>
      <c r="M294" s="917" t="s">
        <v>541</v>
      </c>
      <c r="N294" s="851" t="s">
        <v>541</v>
      </c>
      <c r="O294" s="851" t="s">
        <v>541</v>
      </c>
      <c r="P294" s="851" t="s">
        <v>542</v>
      </c>
      <c r="Q294" s="922" t="s">
        <v>542</v>
      </c>
      <c r="R294" s="249" t="s">
        <v>556</v>
      </c>
      <c r="S294" s="395" t="s">
        <v>544</v>
      </c>
      <c r="T294" s="846">
        <v>3940</v>
      </c>
      <c r="U294" s="846">
        <v>4480</v>
      </c>
      <c r="V294" s="932">
        <v>4050</v>
      </c>
      <c r="W294" s="857">
        <v>4120</v>
      </c>
      <c r="X294" s="948">
        <v>4690</v>
      </c>
      <c r="Y294" s="932">
        <v>6270</v>
      </c>
      <c r="Z294" s="858">
        <v>4610</v>
      </c>
      <c r="AA294" s="858">
        <v>4740</v>
      </c>
      <c r="AB294" s="858">
        <v>5190</v>
      </c>
      <c r="AC294" s="868">
        <v>5060</v>
      </c>
      <c r="AD294" s="755">
        <v>5040</v>
      </c>
      <c r="AE294" s="278" t="s">
        <v>229</v>
      </c>
      <c r="AF294" s="776">
        <v>13640</v>
      </c>
      <c r="AG294" s="280">
        <v>0.36950146627565983</v>
      </c>
      <c r="AH294" s="740" t="s">
        <v>97</v>
      </c>
      <c r="AI294" s="755">
        <v>340</v>
      </c>
      <c r="AJ294" s="755">
        <v>490</v>
      </c>
      <c r="AK294" s="755">
        <v>1020</v>
      </c>
      <c r="AL294" s="949">
        <f t="shared" si="10"/>
        <v>1008</v>
      </c>
      <c r="AM294" s="211">
        <v>2</v>
      </c>
    </row>
    <row r="295" spans="1:39" x14ac:dyDescent="0.3">
      <c r="A295" s="103">
        <v>489</v>
      </c>
      <c r="B295" s="103">
        <v>403</v>
      </c>
      <c r="C295" s="450" t="s">
        <v>800</v>
      </c>
      <c r="D295" s="451" t="s">
        <v>750</v>
      </c>
      <c r="E295" s="452" t="s">
        <v>188</v>
      </c>
      <c r="F295" s="950">
        <v>511</v>
      </c>
      <c r="G295" s="802" t="s">
        <v>539</v>
      </c>
      <c r="H295" s="106"/>
      <c r="I295" s="107">
        <v>1.45</v>
      </c>
      <c r="J295" s="802" t="s">
        <v>237</v>
      </c>
      <c r="K295" s="284" t="s">
        <v>104</v>
      </c>
      <c r="L295" s="830" t="s">
        <v>540</v>
      </c>
      <c r="M295" s="830" t="s">
        <v>541</v>
      </c>
      <c r="N295" s="830" t="s">
        <v>541</v>
      </c>
      <c r="O295" s="830" t="s">
        <v>541</v>
      </c>
      <c r="P295" s="830" t="s">
        <v>542</v>
      </c>
      <c r="Q295" s="951" t="s">
        <v>542</v>
      </c>
      <c r="R295" s="106" t="s">
        <v>543</v>
      </c>
      <c r="S295" s="106" t="s">
        <v>562</v>
      </c>
      <c r="T295" s="833">
        <v>5950</v>
      </c>
      <c r="U295" s="833">
        <v>5980</v>
      </c>
      <c r="V295" s="844">
        <v>5870</v>
      </c>
      <c r="W295" s="831">
        <v>6130</v>
      </c>
      <c r="X295" s="844">
        <v>6330</v>
      </c>
      <c r="Y295" s="844">
        <v>6590</v>
      </c>
      <c r="Z295" s="844">
        <v>6410</v>
      </c>
      <c r="AA295" s="952">
        <v>8230</v>
      </c>
      <c r="AB295" s="873">
        <v>7940</v>
      </c>
      <c r="AC295" s="878">
        <v>7310</v>
      </c>
      <c r="AD295" s="288">
        <v>7920</v>
      </c>
      <c r="AE295" s="200" t="s">
        <v>229</v>
      </c>
      <c r="AF295" s="286">
        <v>13640</v>
      </c>
      <c r="AG295" s="453">
        <v>0.58064516129032262</v>
      </c>
      <c r="AH295" s="287" t="s">
        <v>80</v>
      </c>
      <c r="AI295" s="288">
        <v>470</v>
      </c>
      <c r="AJ295" s="288">
        <v>650</v>
      </c>
      <c r="AK295" s="288">
        <v>1020</v>
      </c>
      <c r="AL295" s="832">
        <f t="shared" si="10"/>
        <v>11484</v>
      </c>
      <c r="AM295" s="201">
        <v>2</v>
      </c>
    </row>
    <row r="296" spans="1:39" ht="15" thickBot="1" x14ac:dyDescent="0.35">
      <c r="A296" s="88">
        <v>488</v>
      </c>
      <c r="B296" s="88">
        <v>402</v>
      </c>
      <c r="C296" s="454" t="s">
        <v>800</v>
      </c>
      <c r="D296" s="455" t="s">
        <v>752</v>
      </c>
      <c r="E296" s="456" t="s">
        <v>801</v>
      </c>
      <c r="F296" s="953">
        <v>512</v>
      </c>
      <c r="G296" s="803" t="s">
        <v>539</v>
      </c>
      <c r="H296" s="163" t="s">
        <v>73</v>
      </c>
      <c r="I296" s="164">
        <v>0.75</v>
      </c>
      <c r="J296" s="803" t="s">
        <v>237</v>
      </c>
      <c r="K296" s="291" t="s">
        <v>104</v>
      </c>
      <c r="L296" s="845" t="s">
        <v>540</v>
      </c>
      <c r="M296" s="457" t="s">
        <v>584</v>
      </c>
      <c r="N296" s="166" t="s">
        <v>584</v>
      </c>
      <c r="O296" s="166" t="s">
        <v>584</v>
      </c>
      <c r="P296" s="166" t="s">
        <v>542</v>
      </c>
      <c r="Q296" s="859" t="s">
        <v>542</v>
      </c>
      <c r="R296" s="215" t="s">
        <v>543</v>
      </c>
      <c r="S296" s="297" t="s">
        <v>562</v>
      </c>
      <c r="T296" s="846">
        <v>7930</v>
      </c>
      <c r="U296" s="846">
        <v>7470</v>
      </c>
      <c r="V296" s="932">
        <v>7320</v>
      </c>
      <c r="W296" s="847">
        <v>7280</v>
      </c>
      <c r="X296" s="954">
        <v>6040</v>
      </c>
      <c r="Y296" s="761">
        <v>8020</v>
      </c>
      <c r="Z296" s="761">
        <v>7300</v>
      </c>
      <c r="AA296" s="858">
        <v>8790</v>
      </c>
      <c r="AB296" s="761">
        <v>8890</v>
      </c>
      <c r="AC296" s="880">
        <v>8010</v>
      </c>
      <c r="AD296" s="169">
        <v>7710</v>
      </c>
      <c r="AE296" s="233" t="s">
        <v>229</v>
      </c>
      <c r="AF296" s="776">
        <v>13640</v>
      </c>
      <c r="AG296" s="280">
        <v>0.56524926686217014</v>
      </c>
      <c r="AH296" s="737" t="s">
        <v>80</v>
      </c>
      <c r="AI296" s="752">
        <v>450</v>
      </c>
      <c r="AJ296" s="752">
        <v>640</v>
      </c>
      <c r="AK296" s="752">
        <v>1020</v>
      </c>
      <c r="AL296" s="881">
        <f t="shared" si="10"/>
        <v>5782.5</v>
      </c>
      <c r="AM296" s="174">
        <v>2</v>
      </c>
    </row>
    <row r="297" spans="1:39" ht="15" thickBot="1" x14ac:dyDescent="0.35">
      <c r="A297" s="299">
        <v>492</v>
      </c>
      <c r="B297" s="299">
        <v>405</v>
      </c>
      <c r="C297" s="318" t="s">
        <v>802</v>
      </c>
      <c r="D297" s="293" t="s">
        <v>666</v>
      </c>
      <c r="E297" s="319" t="s">
        <v>803</v>
      </c>
      <c r="F297" s="802">
        <v>520</v>
      </c>
      <c r="G297" s="802" t="s">
        <v>539</v>
      </c>
      <c r="H297" s="200" t="s">
        <v>73</v>
      </c>
      <c r="I297" s="107">
        <v>1.75</v>
      </c>
      <c r="J297" s="802" t="s">
        <v>140</v>
      </c>
      <c r="K297" s="284" t="s">
        <v>75</v>
      </c>
      <c r="L297" s="830" t="s">
        <v>625</v>
      </c>
      <c r="M297" s="105" t="s">
        <v>584</v>
      </c>
      <c r="N297" s="105" t="s">
        <v>584</v>
      </c>
      <c r="O297" s="105" t="s">
        <v>584</v>
      </c>
      <c r="P297" s="105" t="s">
        <v>626</v>
      </c>
      <c r="Q297" s="955" t="s">
        <v>626</v>
      </c>
      <c r="R297" s="199" t="s">
        <v>374</v>
      </c>
      <c r="S297" s="199" t="s">
        <v>465</v>
      </c>
      <c r="T297" s="833">
        <v>6910</v>
      </c>
      <c r="U297" s="833">
        <v>6230</v>
      </c>
      <c r="V297" s="833">
        <v>6190</v>
      </c>
      <c r="W297" s="831">
        <v>6680</v>
      </c>
      <c r="X297" s="925">
        <v>7780</v>
      </c>
      <c r="Y297" s="844">
        <v>10270</v>
      </c>
      <c r="Z297" s="844">
        <v>8050</v>
      </c>
      <c r="AA297" s="952">
        <v>8290</v>
      </c>
      <c r="AB297" s="873">
        <v>8360</v>
      </c>
      <c r="AC297" s="878">
        <v>7400</v>
      </c>
      <c r="AD297" s="288">
        <v>8390</v>
      </c>
      <c r="AE297" s="200" t="s">
        <v>229</v>
      </c>
      <c r="AF297" s="458">
        <v>13640</v>
      </c>
      <c r="AG297" s="82">
        <v>0.61510263929618769</v>
      </c>
      <c r="AH297" s="287" t="s">
        <v>97</v>
      </c>
      <c r="AI297" s="288">
        <v>580</v>
      </c>
      <c r="AJ297" s="288">
        <v>920</v>
      </c>
      <c r="AK297" s="288">
        <v>1230</v>
      </c>
      <c r="AL297" s="832">
        <f t="shared" si="10"/>
        <v>14682.5</v>
      </c>
      <c r="AM297" s="201">
        <v>2</v>
      </c>
    </row>
    <row r="298" spans="1:39" x14ac:dyDescent="0.3">
      <c r="A298" s="33">
        <v>493</v>
      </c>
      <c r="B298" s="33">
        <v>406</v>
      </c>
      <c r="C298" s="352" t="s">
        <v>802</v>
      </c>
      <c r="D298" s="301" t="s">
        <v>804</v>
      </c>
      <c r="E298" s="70" t="s">
        <v>805</v>
      </c>
      <c r="F298" s="800">
        <v>521</v>
      </c>
      <c r="G298" s="800" t="s">
        <v>539</v>
      </c>
      <c r="H298" s="52" t="s">
        <v>73</v>
      </c>
      <c r="I298" s="72">
        <v>0.2</v>
      </c>
      <c r="J298" s="800" t="s">
        <v>140</v>
      </c>
      <c r="K298" s="302" t="s">
        <v>75</v>
      </c>
      <c r="L298" s="835" t="s">
        <v>625</v>
      </c>
      <c r="M298" s="51" t="s">
        <v>584</v>
      </c>
      <c r="N298" s="51" t="s">
        <v>584</v>
      </c>
      <c r="O298" s="51" t="s">
        <v>584</v>
      </c>
      <c r="P298" s="51" t="s">
        <v>626</v>
      </c>
      <c r="Q298" s="410" t="s">
        <v>637</v>
      </c>
      <c r="R298" s="55" t="s">
        <v>374</v>
      </c>
      <c r="S298" s="55" t="s">
        <v>465</v>
      </c>
      <c r="T298" s="825">
        <v>11180</v>
      </c>
      <c r="U298" s="825">
        <v>10690</v>
      </c>
      <c r="V298" s="825">
        <v>9980</v>
      </c>
      <c r="W298" s="822">
        <v>10660</v>
      </c>
      <c r="X298" s="931">
        <v>10750</v>
      </c>
      <c r="Y298" s="459">
        <v>14400</v>
      </c>
      <c r="Z298" s="760">
        <v>14220</v>
      </c>
      <c r="AA298" s="956">
        <v>13400</v>
      </c>
      <c r="AB298" s="760">
        <v>12810</v>
      </c>
      <c r="AC298" s="884">
        <v>10150</v>
      </c>
      <c r="AD298" s="115">
        <v>11950</v>
      </c>
      <c r="AE298" s="80" t="s">
        <v>229</v>
      </c>
      <c r="AF298" s="194">
        <v>37970</v>
      </c>
      <c r="AG298" s="303">
        <v>0.31472214906505136</v>
      </c>
      <c r="AH298" s="86" t="s">
        <v>97</v>
      </c>
      <c r="AI298" s="115">
        <v>800</v>
      </c>
      <c r="AJ298" s="115">
        <v>1220</v>
      </c>
      <c r="AK298" s="304">
        <v>3410</v>
      </c>
      <c r="AL298" s="832">
        <f t="shared" si="10"/>
        <v>2390</v>
      </c>
      <c r="AM298" s="63">
        <v>4</v>
      </c>
    </row>
    <row r="299" spans="1:39" ht="15" thickBot="1" x14ac:dyDescent="0.35">
      <c r="A299" s="268">
        <v>494</v>
      </c>
      <c r="B299" s="268">
        <v>407</v>
      </c>
      <c r="C299" s="300" t="s">
        <v>802</v>
      </c>
      <c r="D299" s="351" t="s">
        <v>806</v>
      </c>
      <c r="E299" s="64" t="s">
        <v>807</v>
      </c>
      <c r="F299" s="799">
        <v>522</v>
      </c>
      <c r="G299" s="799" t="s">
        <v>539</v>
      </c>
      <c r="H299" s="36" t="s">
        <v>73</v>
      </c>
      <c r="I299" s="37">
        <v>0.2</v>
      </c>
      <c r="J299" s="809" t="s">
        <v>154</v>
      </c>
      <c r="K299" s="324" t="s">
        <v>75</v>
      </c>
      <c r="L299" s="837" t="s">
        <v>636</v>
      </c>
      <c r="M299" s="837" t="s">
        <v>808</v>
      </c>
      <c r="N299" s="837" t="s">
        <v>808</v>
      </c>
      <c r="O299" s="837" t="s">
        <v>808</v>
      </c>
      <c r="P299" s="837" t="s">
        <v>621</v>
      </c>
      <c r="Q299" s="413" t="s">
        <v>621</v>
      </c>
      <c r="R299" s="38" t="s">
        <v>374</v>
      </c>
      <c r="S299" s="38" t="s">
        <v>465</v>
      </c>
      <c r="T299" s="833">
        <v>18660</v>
      </c>
      <c r="U299" s="833">
        <v>17850</v>
      </c>
      <c r="V299" s="833">
        <v>17380</v>
      </c>
      <c r="W299" s="820">
        <v>17850</v>
      </c>
      <c r="X299" s="930">
        <v>19720</v>
      </c>
      <c r="Y299" s="838">
        <v>22090</v>
      </c>
      <c r="Z299" s="838">
        <v>22200</v>
      </c>
      <c r="AA299" s="957">
        <v>22150</v>
      </c>
      <c r="AB299" s="838">
        <v>21030</v>
      </c>
      <c r="AC299" s="888">
        <v>19250</v>
      </c>
      <c r="AD299" s="120">
        <v>20570</v>
      </c>
      <c r="AE299" s="36" t="s">
        <v>229</v>
      </c>
      <c r="AF299" s="213">
        <v>30420</v>
      </c>
      <c r="AG299" s="315">
        <v>0.67619986850756086</v>
      </c>
      <c r="AH299" s="83" t="s">
        <v>80</v>
      </c>
      <c r="AI299" s="120">
        <v>1770</v>
      </c>
      <c r="AJ299" s="120">
        <v>1670</v>
      </c>
      <c r="AK299" s="316">
        <v>2740</v>
      </c>
      <c r="AL299" s="832">
        <f t="shared" si="10"/>
        <v>4114</v>
      </c>
      <c r="AM299" s="121">
        <v>4</v>
      </c>
    </row>
    <row r="300" spans="1:39" ht="15" thickBot="1" x14ac:dyDescent="0.35">
      <c r="A300" s="33">
        <v>495</v>
      </c>
      <c r="B300" s="33">
        <v>408</v>
      </c>
      <c r="C300" s="352" t="s">
        <v>802</v>
      </c>
      <c r="D300" s="301" t="s">
        <v>809</v>
      </c>
      <c r="E300" s="70" t="s">
        <v>810</v>
      </c>
      <c r="F300" s="800">
        <v>480</v>
      </c>
      <c r="G300" s="800" t="s">
        <v>539</v>
      </c>
      <c r="H300" s="52" t="s">
        <v>73</v>
      </c>
      <c r="I300" s="72">
        <v>0.1</v>
      </c>
      <c r="J300" s="809" t="s">
        <v>154</v>
      </c>
      <c r="K300" s="302" t="s">
        <v>75</v>
      </c>
      <c r="L300" s="835" t="s">
        <v>636</v>
      </c>
      <c r="M300" s="835" t="s">
        <v>808</v>
      </c>
      <c r="N300" s="835" t="s">
        <v>808</v>
      </c>
      <c r="O300" s="835" t="s">
        <v>808</v>
      </c>
      <c r="P300" s="835" t="s">
        <v>621</v>
      </c>
      <c r="Q300" s="413" t="s">
        <v>621</v>
      </c>
      <c r="R300" s="55" t="s">
        <v>374</v>
      </c>
      <c r="S300" s="55" t="s">
        <v>465</v>
      </c>
      <c r="T300" s="825">
        <v>26830</v>
      </c>
      <c r="U300" s="825">
        <v>26260</v>
      </c>
      <c r="V300" s="825">
        <v>25480</v>
      </c>
      <c r="W300" s="822">
        <v>24950</v>
      </c>
      <c r="X300" s="931">
        <v>31470</v>
      </c>
      <c r="Y300" s="760">
        <v>27550</v>
      </c>
      <c r="Z300" s="459">
        <v>36170</v>
      </c>
      <c r="AA300" s="956">
        <v>29000</v>
      </c>
      <c r="AB300" s="760">
        <v>20020</v>
      </c>
      <c r="AC300" s="884">
        <v>19470</v>
      </c>
      <c r="AD300" s="748">
        <v>20890</v>
      </c>
      <c r="AE300" s="460" t="s">
        <v>229</v>
      </c>
      <c r="AF300" s="194">
        <v>30420</v>
      </c>
      <c r="AG300" s="303">
        <v>0.68671926364234059</v>
      </c>
      <c r="AH300" s="86" t="s">
        <v>80</v>
      </c>
      <c r="AI300" s="115">
        <v>1700</v>
      </c>
      <c r="AJ300" s="115">
        <v>1780</v>
      </c>
      <c r="AK300" s="312">
        <v>2740</v>
      </c>
      <c r="AL300" s="832">
        <f t="shared" si="10"/>
        <v>2089</v>
      </c>
      <c r="AM300" s="63">
        <v>4</v>
      </c>
    </row>
    <row r="301" spans="1:39" x14ac:dyDescent="0.3">
      <c r="A301" s="268">
        <v>496</v>
      </c>
      <c r="B301" s="268">
        <v>409</v>
      </c>
      <c r="C301" s="300" t="s">
        <v>802</v>
      </c>
      <c r="D301" s="351" t="s">
        <v>811</v>
      </c>
      <c r="E301" s="35" t="s">
        <v>812</v>
      </c>
      <c r="F301" s="799">
        <v>481</v>
      </c>
      <c r="G301" s="799" t="s">
        <v>539</v>
      </c>
      <c r="H301" s="36" t="s">
        <v>73</v>
      </c>
      <c r="I301" s="37">
        <v>0.65</v>
      </c>
      <c r="J301" s="799" t="s">
        <v>140</v>
      </c>
      <c r="K301" s="324" t="s">
        <v>75</v>
      </c>
      <c r="L301" s="837" t="s">
        <v>570</v>
      </c>
      <c r="M301" s="837" t="s">
        <v>620</v>
      </c>
      <c r="N301" s="837" t="s">
        <v>620</v>
      </c>
      <c r="O301" s="837" t="s">
        <v>620</v>
      </c>
      <c r="P301" s="837" t="s">
        <v>621</v>
      </c>
      <c r="Q301" s="410" t="s">
        <v>637</v>
      </c>
      <c r="R301" s="38" t="s">
        <v>374</v>
      </c>
      <c r="S301" s="38" t="s">
        <v>465</v>
      </c>
      <c r="T301" s="833">
        <v>17190</v>
      </c>
      <c r="U301" s="833">
        <v>17630</v>
      </c>
      <c r="V301" s="833">
        <v>17240</v>
      </c>
      <c r="W301" s="820">
        <v>17240</v>
      </c>
      <c r="X301" s="930">
        <v>19190</v>
      </c>
      <c r="Y301" s="838">
        <v>20870</v>
      </c>
      <c r="Z301" s="838">
        <v>23000</v>
      </c>
      <c r="AA301" s="957">
        <v>29000</v>
      </c>
      <c r="AB301" s="838">
        <v>17450</v>
      </c>
      <c r="AC301" s="888">
        <v>17680</v>
      </c>
      <c r="AD301" s="749">
        <v>20190</v>
      </c>
      <c r="AE301" s="36" t="s">
        <v>229</v>
      </c>
      <c r="AF301" s="213">
        <v>37970</v>
      </c>
      <c r="AG301" s="315">
        <v>0.5317355807216223</v>
      </c>
      <c r="AH301" s="287" t="s">
        <v>97</v>
      </c>
      <c r="AI301" s="120">
        <v>1470</v>
      </c>
      <c r="AJ301" s="120">
        <v>1710</v>
      </c>
      <c r="AK301" s="294">
        <v>3410</v>
      </c>
      <c r="AL301" s="832">
        <f t="shared" si="10"/>
        <v>13123.5</v>
      </c>
      <c r="AM301" s="121">
        <v>4</v>
      </c>
    </row>
    <row r="302" spans="1:39" x14ac:dyDescent="0.3">
      <c r="A302" s="33">
        <v>497</v>
      </c>
      <c r="B302" s="33">
        <v>410</v>
      </c>
      <c r="C302" s="352" t="s">
        <v>802</v>
      </c>
      <c r="D302" s="301" t="s">
        <v>813</v>
      </c>
      <c r="E302" s="51" t="s">
        <v>814</v>
      </c>
      <c r="F302" s="800">
        <v>482</v>
      </c>
      <c r="G302" s="800" t="s">
        <v>539</v>
      </c>
      <c r="H302" s="52" t="s">
        <v>73</v>
      </c>
      <c r="I302" s="72">
        <v>0.15</v>
      </c>
      <c r="J302" s="800" t="s">
        <v>140</v>
      </c>
      <c r="K302" s="302" t="s">
        <v>75</v>
      </c>
      <c r="L302" s="835" t="s">
        <v>570</v>
      </c>
      <c r="M302" s="835" t="s">
        <v>815</v>
      </c>
      <c r="N302" s="835" t="s">
        <v>620</v>
      </c>
      <c r="O302" s="835" t="s">
        <v>620</v>
      </c>
      <c r="P302" s="835" t="s">
        <v>621</v>
      </c>
      <c r="Q302" s="410" t="s">
        <v>637</v>
      </c>
      <c r="R302" s="55" t="s">
        <v>374</v>
      </c>
      <c r="S302" s="55" t="s">
        <v>465</v>
      </c>
      <c r="T302" s="825">
        <v>23180</v>
      </c>
      <c r="U302" s="825">
        <v>23030</v>
      </c>
      <c r="V302" s="825">
        <v>22400</v>
      </c>
      <c r="W302" s="822">
        <v>24130</v>
      </c>
      <c r="X302" s="931">
        <v>25060</v>
      </c>
      <c r="Y302" s="760">
        <v>27050</v>
      </c>
      <c r="Z302" s="760">
        <v>29020</v>
      </c>
      <c r="AA302" s="956">
        <v>29000</v>
      </c>
      <c r="AB302" s="760">
        <v>25460</v>
      </c>
      <c r="AC302" s="884">
        <v>23300</v>
      </c>
      <c r="AD302" s="748">
        <v>27710</v>
      </c>
      <c r="AE302" s="80" t="s">
        <v>229</v>
      </c>
      <c r="AF302" s="194">
        <v>37970</v>
      </c>
      <c r="AG302" s="303">
        <v>0.72978667368975503</v>
      </c>
      <c r="AH302" s="80" t="s">
        <v>97</v>
      </c>
      <c r="AI302" s="115">
        <v>2080</v>
      </c>
      <c r="AJ302" s="115">
        <v>2410</v>
      </c>
      <c r="AK302" s="304">
        <v>3410</v>
      </c>
      <c r="AL302" s="832">
        <f t="shared" si="10"/>
        <v>4156.5</v>
      </c>
      <c r="AM302" s="63">
        <v>4</v>
      </c>
    </row>
    <row r="303" spans="1:39" x14ac:dyDescent="0.3">
      <c r="A303" s="268">
        <v>499</v>
      </c>
      <c r="B303" s="268">
        <v>412</v>
      </c>
      <c r="C303" s="300" t="s">
        <v>802</v>
      </c>
      <c r="D303" s="351" t="s">
        <v>816</v>
      </c>
      <c r="E303" s="64" t="s">
        <v>817</v>
      </c>
      <c r="F303" s="799">
        <v>484</v>
      </c>
      <c r="G303" s="799" t="s">
        <v>539</v>
      </c>
      <c r="H303" s="36" t="s">
        <v>73</v>
      </c>
      <c r="I303" s="37">
        <v>0.8</v>
      </c>
      <c r="J303" s="799" t="s">
        <v>140</v>
      </c>
      <c r="K303" s="324" t="s">
        <v>75</v>
      </c>
      <c r="L303" s="837" t="s">
        <v>570</v>
      </c>
      <c r="M303" s="837" t="s">
        <v>815</v>
      </c>
      <c r="N303" s="837" t="s">
        <v>620</v>
      </c>
      <c r="O303" s="837" t="s">
        <v>620</v>
      </c>
      <c r="P303" s="837" t="s">
        <v>621</v>
      </c>
      <c r="Q303" s="410" t="s">
        <v>637</v>
      </c>
      <c r="R303" s="38" t="s">
        <v>374</v>
      </c>
      <c r="S303" s="38" t="s">
        <v>465</v>
      </c>
      <c r="T303" s="833">
        <v>20230</v>
      </c>
      <c r="U303" s="833">
        <v>21260</v>
      </c>
      <c r="V303" s="833">
        <v>20460</v>
      </c>
      <c r="W303" s="820">
        <v>20600</v>
      </c>
      <c r="X303" s="930">
        <v>23820</v>
      </c>
      <c r="Y303" s="838">
        <v>24850</v>
      </c>
      <c r="Z303" s="838">
        <v>26230</v>
      </c>
      <c r="AA303" s="957">
        <v>29000</v>
      </c>
      <c r="AB303" s="838">
        <v>24600</v>
      </c>
      <c r="AC303" s="888">
        <v>22790</v>
      </c>
      <c r="AD303" s="749">
        <v>23430</v>
      </c>
      <c r="AE303" s="36" t="s">
        <v>229</v>
      </c>
      <c r="AF303" s="213">
        <v>37970</v>
      </c>
      <c r="AG303" s="315">
        <v>0.61706610481959445</v>
      </c>
      <c r="AH303" s="83" t="s">
        <v>97</v>
      </c>
      <c r="AI303" s="120">
        <v>1590</v>
      </c>
      <c r="AJ303" s="120">
        <v>1930</v>
      </c>
      <c r="AK303" s="316">
        <v>3410</v>
      </c>
      <c r="AL303" s="832">
        <f t="shared" si="10"/>
        <v>18744</v>
      </c>
      <c r="AM303" s="121">
        <v>4</v>
      </c>
    </row>
    <row r="304" spans="1:39" x14ac:dyDescent="0.3">
      <c r="A304" s="33">
        <v>500</v>
      </c>
      <c r="B304" s="33">
        <v>413</v>
      </c>
      <c r="C304" s="352" t="s">
        <v>802</v>
      </c>
      <c r="D304" s="301" t="s">
        <v>818</v>
      </c>
      <c r="E304" s="51" t="s">
        <v>819</v>
      </c>
      <c r="F304" s="800">
        <v>485</v>
      </c>
      <c r="G304" s="800" t="s">
        <v>539</v>
      </c>
      <c r="H304" s="52" t="s">
        <v>73</v>
      </c>
      <c r="I304" s="72">
        <v>1.2</v>
      </c>
      <c r="J304" s="800" t="s">
        <v>158</v>
      </c>
      <c r="K304" s="302" t="s">
        <v>75</v>
      </c>
      <c r="L304" s="835" t="s">
        <v>625</v>
      </c>
      <c r="M304" s="51" t="s">
        <v>584</v>
      </c>
      <c r="N304" s="51" t="s">
        <v>584</v>
      </c>
      <c r="O304" s="51" t="s">
        <v>584</v>
      </c>
      <c r="P304" s="51" t="s">
        <v>626</v>
      </c>
      <c r="Q304" s="310" t="s">
        <v>629</v>
      </c>
      <c r="R304" s="55" t="s">
        <v>374</v>
      </c>
      <c r="S304" s="55" t="s">
        <v>465</v>
      </c>
      <c r="T304" s="825">
        <v>11700</v>
      </c>
      <c r="U304" s="825">
        <v>12400</v>
      </c>
      <c r="V304" s="825">
        <v>11890</v>
      </c>
      <c r="W304" s="822">
        <v>11950</v>
      </c>
      <c r="X304" s="931">
        <v>13120</v>
      </c>
      <c r="Y304" s="760">
        <v>13670</v>
      </c>
      <c r="Z304" s="760">
        <v>14140</v>
      </c>
      <c r="AA304" s="956">
        <v>15000</v>
      </c>
      <c r="AB304" s="760">
        <v>13350</v>
      </c>
      <c r="AC304" s="884">
        <v>12900</v>
      </c>
      <c r="AD304" s="748">
        <v>13110</v>
      </c>
      <c r="AE304" s="80" t="s">
        <v>229</v>
      </c>
      <c r="AF304" s="78">
        <v>28200</v>
      </c>
      <c r="AG304" s="303">
        <v>0.46489361702127657</v>
      </c>
      <c r="AH304" s="461" t="s">
        <v>80</v>
      </c>
      <c r="AI304" s="748">
        <v>790</v>
      </c>
      <c r="AJ304" s="748">
        <v>1090</v>
      </c>
      <c r="AK304" s="304">
        <v>1540</v>
      </c>
      <c r="AL304" s="832">
        <f t="shared" si="10"/>
        <v>15732</v>
      </c>
      <c r="AM304" s="63">
        <v>2</v>
      </c>
    </row>
    <row r="305" spans="1:39" ht="15" thickBot="1" x14ac:dyDescent="0.35">
      <c r="A305" s="268">
        <v>501</v>
      </c>
      <c r="B305" s="268">
        <v>414</v>
      </c>
      <c r="C305" s="300" t="s">
        <v>802</v>
      </c>
      <c r="D305" s="191" t="s">
        <v>820</v>
      </c>
      <c r="E305" s="35" t="s">
        <v>821</v>
      </c>
      <c r="F305" s="799">
        <v>530</v>
      </c>
      <c r="G305" s="799" t="s">
        <v>539</v>
      </c>
      <c r="H305" s="36" t="s">
        <v>73</v>
      </c>
      <c r="I305" s="37">
        <v>1.5</v>
      </c>
      <c r="J305" s="799" t="s">
        <v>158</v>
      </c>
      <c r="K305" s="65" t="s">
        <v>75</v>
      </c>
      <c r="L305" s="837" t="s">
        <v>625</v>
      </c>
      <c r="M305" s="35" t="s">
        <v>584</v>
      </c>
      <c r="N305" s="35" t="s">
        <v>584</v>
      </c>
      <c r="O305" s="35" t="s">
        <v>584</v>
      </c>
      <c r="P305" s="35" t="s">
        <v>626</v>
      </c>
      <c r="Q305" s="909" t="s">
        <v>626</v>
      </c>
      <c r="R305" s="38" t="s">
        <v>374</v>
      </c>
      <c r="S305" s="38" t="s">
        <v>465</v>
      </c>
      <c r="T305" s="833">
        <v>9420</v>
      </c>
      <c r="U305" s="833">
        <v>9580</v>
      </c>
      <c r="V305" s="833">
        <v>9220</v>
      </c>
      <c r="W305" s="820">
        <v>9240</v>
      </c>
      <c r="X305" s="930">
        <v>9660</v>
      </c>
      <c r="Y305" s="838">
        <v>10300</v>
      </c>
      <c r="Z305" s="838">
        <v>10970</v>
      </c>
      <c r="AA305" s="957">
        <v>10520</v>
      </c>
      <c r="AB305" s="838">
        <v>11350</v>
      </c>
      <c r="AC305" s="888">
        <v>9800</v>
      </c>
      <c r="AD305" s="749">
        <v>10340</v>
      </c>
      <c r="AE305" s="36" t="s">
        <v>229</v>
      </c>
      <c r="AF305" s="138">
        <v>28200</v>
      </c>
      <c r="AG305" s="315">
        <v>0.36666666666666664</v>
      </c>
      <c r="AH305" s="83" t="s">
        <v>97</v>
      </c>
      <c r="AI305" s="120">
        <v>760</v>
      </c>
      <c r="AJ305" s="120">
        <v>920</v>
      </c>
      <c r="AK305" s="316">
        <v>1230</v>
      </c>
      <c r="AL305" s="832">
        <f t="shared" si="10"/>
        <v>15510</v>
      </c>
      <c r="AM305" s="121">
        <v>2</v>
      </c>
    </row>
    <row r="306" spans="1:39" ht="15" thickBot="1" x14ac:dyDescent="0.35">
      <c r="A306" s="33">
        <v>502</v>
      </c>
      <c r="B306" s="33">
        <v>415</v>
      </c>
      <c r="C306" s="352" t="s">
        <v>802</v>
      </c>
      <c r="D306" s="301" t="s">
        <v>822</v>
      </c>
      <c r="E306" s="70" t="s">
        <v>823</v>
      </c>
      <c r="F306" s="800">
        <v>531</v>
      </c>
      <c r="G306" s="800" t="s">
        <v>539</v>
      </c>
      <c r="H306" s="52" t="s">
        <v>73</v>
      </c>
      <c r="I306" s="72">
        <v>2.5499999999999998</v>
      </c>
      <c r="J306" s="800" t="s">
        <v>140</v>
      </c>
      <c r="K306" s="302" t="s">
        <v>75</v>
      </c>
      <c r="L306" s="835" t="s">
        <v>625</v>
      </c>
      <c r="M306" s="51" t="s">
        <v>584</v>
      </c>
      <c r="N306" s="51" t="s">
        <v>584</v>
      </c>
      <c r="O306" s="51" t="s">
        <v>584</v>
      </c>
      <c r="P306" s="51" t="s">
        <v>626</v>
      </c>
      <c r="Q306" s="909" t="s">
        <v>626</v>
      </c>
      <c r="R306" s="55" t="s">
        <v>374</v>
      </c>
      <c r="S306" s="55" t="s">
        <v>465</v>
      </c>
      <c r="T306" s="825">
        <v>7880</v>
      </c>
      <c r="U306" s="825">
        <v>8020</v>
      </c>
      <c r="V306" s="825">
        <v>7800</v>
      </c>
      <c r="W306" s="822">
        <v>7670</v>
      </c>
      <c r="X306" s="931">
        <v>8860</v>
      </c>
      <c r="Y306" s="760">
        <v>8910</v>
      </c>
      <c r="Z306" s="760">
        <v>9940</v>
      </c>
      <c r="AA306" s="956">
        <v>9080</v>
      </c>
      <c r="AB306" s="760">
        <v>9040</v>
      </c>
      <c r="AC306" s="884">
        <v>9290</v>
      </c>
      <c r="AD306" s="748">
        <v>9200</v>
      </c>
      <c r="AE306" s="80" t="s">
        <v>229</v>
      </c>
      <c r="AF306" s="78">
        <v>28200</v>
      </c>
      <c r="AG306" s="303">
        <v>0.32624113475177308</v>
      </c>
      <c r="AH306" s="733" t="s">
        <v>97</v>
      </c>
      <c r="AI306" s="748">
        <v>590</v>
      </c>
      <c r="AJ306" s="748">
        <v>790</v>
      </c>
      <c r="AK306" s="766">
        <v>1230</v>
      </c>
      <c r="AL306" s="832">
        <f t="shared" si="10"/>
        <v>23460</v>
      </c>
      <c r="AM306" s="63">
        <v>2</v>
      </c>
    </row>
    <row r="307" spans="1:39" ht="15" thickBot="1" x14ac:dyDescent="0.35">
      <c r="A307" s="305">
        <v>504</v>
      </c>
      <c r="B307" s="305">
        <v>417</v>
      </c>
      <c r="C307" s="346" t="s">
        <v>802</v>
      </c>
      <c r="D307" s="306" t="s">
        <v>824</v>
      </c>
      <c r="E307" s="185" t="s">
        <v>825</v>
      </c>
      <c r="F307" s="801">
        <v>533</v>
      </c>
      <c r="G307" s="801" t="s">
        <v>539</v>
      </c>
      <c r="H307" s="92" t="s">
        <v>73</v>
      </c>
      <c r="I307" s="93">
        <v>1.5</v>
      </c>
      <c r="J307" s="801" t="s">
        <v>158</v>
      </c>
      <c r="K307" s="271" t="s">
        <v>75</v>
      </c>
      <c r="L307" s="841" t="s">
        <v>625</v>
      </c>
      <c r="M307" s="91" t="s">
        <v>584</v>
      </c>
      <c r="N307" s="91" t="s">
        <v>584</v>
      </c>
      <c r="O307" s="91" t="s">
        <v>584</v>
      </c>
      <c r="P307" s="91" t="s">
        <v>626</v>
      </c>
      <c r="Q307" s="909" t="s">
        <v>626</v>
      </c>
      <c r="R307" s="94" t="s">
        <v>374</v>
      </c>
      <c r="S307" s="94" t="s">
        <v>465</v>
      </c>
      <c r="T307" s="827">
        <v>6020</v>
      </c>
      <c r="U307" s="827">
        <v>5950</v>
      </c>
      <c r="V307" s="827">
        <v>5680</v>
      </c>
      <c r="W307" s="828">
        <v>5450</v>
      </c>
      <c r="X307" s="935">
        <v>5330</v>
      </c>
      <c r="Y307" s="842">
        <v>6770</v>
      </c>
      <c r="Z307" s="842">
        <v>7040</v>
      </c>
      <c r="AA307" s="958">
        <v>6590</v>
      </c>
      <c r="AB307" s="842">
        <v>7210</v>
      </c>
      <c r="AC307" s="861">
        <v>6280</v>
      </c>
      <c r="AD307" s="750">
        <v>7020</v>
      </c>
      <c r="AE307" s="92" t="s">
        <v>229</v>
      </c>
      <c r="AF307" s="186">
        <v>28200</v>
      </c>
      <c r="AG307" s="147">
        <v>0.24893617021276596</v>
      </c>
      <c r="AH307" s="100" t="s">
        <v>97</v>
      </c>
      <c r="AI307" s="126">
        <v>500</v>
      </c>
      <c r="AJ307" s="126">
        <v>650</v>
      </c>
      <c r="AK307" s="371">
        <v>1230</v>
      </c>
      <c r="AL307" s="881">
        <f t="shared" si="10"/>
        <v>10530</v>
      </c>
      <c r="AM307" s="127">
        <v>2</v>
      </c>
    </row>
    <row r="308" spans="1:39" x14ac:dyDescent="0.3">
      <c r="A308" s="462"/>
      <c r="B308" s="462"/>
      <c r="C308" s="408" t="s">
        <v>826</v>
      </c>
      <c r="D308" s="463"/>
      <c r="E308" s="189" t="s">
        <v>827</v>
      </c>
      <c r="F308" s="464" t="s">
        <v>828</v>
      </c>
      <c r="G308" s="799" t="s">
        <v>539</v>
      </c>
      <c r="H308" s="36" t="s">
        <v>73</v>
      </c>
      <c r="I308" s="465">
        <v>2.6</v>
      </c>
      <c r="J308" s="800" t="s">
        <v>140</v>
      </c>
      <c r="K308" s="466"/>
      <c r="L308" s="959"/>
      <c r="M308" s="467"/>
      <c r="N308" s="467"/>
      <c r="O308" s="467"/>
      <c r="P308" s="467"/>
      <c r="Q308" s="310" t="s">
        <v>629</v>
      </c>
      <c r="R308" s="468"/>
      <c r="S308" s="469" t="s">
        <v>829</v>
      </c>
      <c r="T308" s="960">
        <v>1220</v>
      </c>
      <c r="U308" s="825">
        <v>1660</v>
      </c>
      <c r="V308" s="825">
        <v>1800</v>
      </c>
      <c r="W308" s="836">
        <v>2350</v>
      </c>
      <c r="X308" s="132" t="s">
        <v>81</v>
      </c>
      <c r="Y308" s="132" t="s">
        <v>81</v>
      </c>
      <c r="Z308" s="132" t="s">
        <v>81</v>
      </c>
      <c r="AA308" s="132" t="s">
        <v>81</v>
      </c>
      <c r="AB308" s="254" t="s">
        <v>81</v>
      </c>
      <c r="AC308" s="132" t="s">
        <v>81</v>
      </c>
      <c r="AD308" s="132" t="s">
        <v>81</v>
      </c>
      <c r="AE308" s="190" t="s">
        <v>229</v>
      </c>
      <c r="AF308" s="244">
        <v>17050</v>
      </c>
      <c r="AG308" s="254" t="s">
        <v>81</v>
      </c>
      <c r="AH308" s="254" t="s">
        <v>81</v>
      </c>
      <c r="AI308" s="254" t="s">
        <v>81</v>
      </c>
      <c r="AJ308" s="254" t="s">
        <v>81</v>
      </c>
      <c r="AK308" s="470">
        <v>1540</v>
      </c>
      <c r="AL308" s="961"/>
      <c r="AM308" s="471">
        <v>0</v>
      </c>
    </row>
    <row r="309" spans="1:39" x14ac:dyDescent="0.3">
      <c r="A309" s="103">
        <v>507</v>
      </c>
      <c r="B309" s="103">
        <v>420</v>
      </c>
      <c r="C309" s="408" t="s">
        <v>826</v>
      </c>
      <c r="D309" s="472"/>
      <c r="E309" s="189" t="s">
        <v>830</v>
      </c>
      <c r="F309" s="221">
        <v>716</v>
      </c>
      <c r="G309" s="804" t="s">
        <v>539</v>
      </c>
      <c r="H309" s="131" t="s">
        <v>73</v>
      </c>
      <c r="I309" s="178">
        <v>0.75</v>
      </c>
      <c r="J309" s="804">
        <v>40</v>
      </c>
      <c r="K309" s="340" t="s">
        <v>75</v>
      </c>
      <c r="L309" s="843" t="s">
        <v>570</v>
      </c>
      <c r="M309" s="848" t="s">
        <v>587</v>
      </c>
      <c r="N309" s="843" t="s">
        <v>587</v>
      </c>
      <c r="O309" s="848" t="s">
        <v>587</v>
      </c>
      <c r="P309" s="843" t="s">
        <v>629</v>
      </c>
      <c r="Q309" s="310" t="s">
        <v>629</v>
      </c>
      <c r="R309" s="131" t="s">
        <v>556</v>
      </c>
      <c r="S309" s="311" t="s">
        <v>562</v>
      </c>
      <c r="T309" s="833">
        <v>5910</v>
      </c>
      <c r="U309" s="833">
        <v>6530</v>
      </c>
      <c r="V309" s="833">
        <v>6760</v>
      </c>
      <c r="W309" s="820">
        <v>6940</v>
      </c>
      <c r="X309" s="962">
        <v>3020</v>
      </c>
      <c r="Y309" s="751">
        <v>3720</v>
      </c>
      <c r="Z309" s="751">
        <v>3540</v>
      </c>
      <c r="AA309" s="963">
        <v>4780</v>
      </c>
      <c r="AB309" s="751">
        <v>4700</v>
      </c>
      <c r="AC309" s="964">
        <v>4760</v>
      </c>
      <c r="AD309" s="749">
        <v>5230</v>
      </c>
      <c r="AE309" s="414" t="s">
        <v>229</v>
      </c>
      <c r="AF309" s="213">
        <v>17050</v>
      </c>
      <c r="AG309" s="315">
        <v>0.30674486803519063</v>
      </c>
      <c r="AH309" s="83" t="s">
        <v>97</v>
      </c>
      <c r="AI309" s="120">
        <v>310</v>
      </c>
      <c r="AJ309" s="120">
        <v>480</v>
      </c>
      <c r="AK309" s="316">
        <v>1540</v>
      </c>
      <c r="AL309" s="832">
        <f t="shared" ref="AL309:AL332" si="11">IF(AD309&gt;0,AD309*$I309,"-")</f>
        <v>3922.5</v>
      </c>
      <c r="AM309" s="63">
        <v>2</v>
      </c>
    </row>
    <row r="310" spans="1:39" x14ac:dyDescent="0.3">
      <c r="A310" s="33">
        <v>508</v>
      </c>
      <c r="B310" s="33">
        <v>421</v>
      </c>
      <c r="C310" s="358" t="s">
        <v>826</v>
      </c>
      <c r="D310" s="372"/>
      <c r="E310" s="64" t="s">
        <v>290</v>
      </c>
      <c r="F310" s="799">
        <v>717</v>
      </c>
      <c r="G310" s="799" t="s">
        <v>539</v>
      </c>
      <c r="H310" s="36" t="s">
        <v>73</v>
      </c>
      <c r="I310" s="37">
        <v>1</v>
      </c>
      <c r="J310" s="799" t="s">
        <v>158</v>
      </c>
      <c r="K310" s="324" t="s">
        <v>75</v>
      </c>
      <c r="L310" s="837" t="s">
        <v>570</v>
      </c>
      <c r="M310" s="837" t="s">
        <v>587</v>
      </c>
      <c r="N310" s="837" t="s">
        <v>587</v>
      </c>
      <c r="O310" s="837" t="s">
        <v>587</v>
      </c>
      <c r="P310" s="837" t="s">
        <v>629</v>
      </c>
      <c r="Q310" s="310" t="s">
        <v>629</v>
      </c>
      <c r="R310" s="36" t="s">
        <v>556</v>
      </c>
      <c r="S310" s="38" t="s">
        <v>465</v>
      </c>
      <c r="T310" s="825">
        <v>11350</v>
      </c>
      <c r="U310" s="825">
        <v>11530</v>
      </c>
      <c r="V310" s="825">
        <v>11350</v>
      </c>
      <c r="W310" s="822">
        <v>12080</v>
      </c>
      <c r="X310" s="965">
        <v>5870</v>
      </c>
      <c r="Y310" s="748">
        <v>8380</v>
      </c>
      <c r="Z310" s="748">
        <v>9160</v>
      </c>
      <c r="AA310" s="966">
        <v>8290</v>
      </c>
      <c r="AB310" s="748">
        <v>6930</v>
      </c>
      <c r="AC310" s="884">
        <v>6010</v>
      </c>
      <c r="AD310" s="748">
        <v>6690</v>
      </c>
      <c r="AE310" s="140" t="s">
        <v>229</v>
      </c>
      <c r="AF310" s="194">
        <v>17050</v>
      </c>
      <c r="AG310" s="303">
        <v>0.39237536656891497</v>
      </c>
      <c r="AH310" s="80" t="s">
        <v>97</v>
      </c>
      <c r="AI310" s="115">
        <v>350</v>
      </c>
      <c r="AJ310" s="115">
        <v>600</v>
      </c>
      <c r="AK310" s="304">
        <v>1540</v>
      </c>
      <c r="AL310" s="832">
        <f t="shared" si="11"/>
        <v>6690</v>
      </c>
      <c r="AM310" s="121">
        <v>2</v>
      </c>
    </row>
    <row r="311" spans="1:39" x14ac:dyDescent="0.3">
      <c r="A311" s="33">
        <v>509</v>
      </c>
      <c r="B311" s="33">
        <v>422</v>
      </c>
      <c r="C311" s="358" t="s">
        <v>826</v>
      </c>
      <c r="D311" s="372"/>
      <c r="E311" s="70" t="s">
        <v>831</v>
      </c>
      <c r="F311" s="800">
        <v>718</v>
      </c>
      <c r="G311" s="800" t="s">
        <v>539</v>
      </c>
      <c r="H311" s="71" t="s">
        <v>73</v>
      </c>
      <c r="I311" s="72">
        <v>0.85</v>
      </c>
      <c r="J311" s="800" t="s">
        <v>154</v>
      </c>
      <c r="K311" s="321" t="s">
        <v>75</v>
      </c>
      <c r="L311" s="835" t="s">
        <v>570</v>
      </c>
      <c r="M311" s="839" t="s">
        <v>587</v>
      </c>
      <c r="N311" s="835" t="s">
        <v>587</v>
      </c>
      <c r="O311" s="835" t="s">
        <v>587</v>
      </c>
      <c r="P311" s="835" t="s">
        <v>588</v>
      </c>
      <c r="Q311" s="839" t="s">
        <v>616</v>
      </c>
      <c r="R311" s="71" t="s">
        <v>556</v>
      </c>
      <c r="S311" s="73" t="s">
        <v>465</v>
      </c>
      <c r="T311" s="833">
        <v>10550</v>
      </c>
      <c r="U311" s="833">
        <v>10400</v>
      </c>
      <c r="V311" s="833">
        <v>10150</v>
      </c>
      <c r="W311" s="820">
        <v>10730</v>
      </c>
      <c r="X311" s="967"/>
      <c r="Y311" s="749">
        <v>12880</v>
      </c>
      <c r="Z311" s="749">
        <v>10510</v>
      </c>
      <c r="AA311" s="968">
        <v>14510</v>
      </c>
      <c r="AB311" s="749">
        <v>14390</v>
      </c>
      <c r="AC311" s="964">
        <v>11550</v>
      </c>
      <c r="AD311" s="749">
        <v>11380</v>
      </c>
      <c r="AE311" s="83" t="s">
        <v>229</v>
      </c>
      <c r="AF311" s="213">
        <v>14740</v>
      </c>
      <c r="AG311" s="315">
        <v>0.77204884667571239</v>
      </c>
      <c r="AH311" s="83" t="s">
        <v>80</v>
      </c>
      <c r="AI311" s="120">
        <v>710</v>
      </c>
      <c r="AJ311" s="120">
        <v>940</v>
      </c>
      <c r="AK311" s="316">
        <v>1330</v>
      </c>
      <c r="AL311" s="832">
        <f t="shared" si="11"/>
        <v>9673</v>
      </c>
      <c r="AM311" s="63">
        <v>2</v>
      </c>
    </row>
    <row r="312" spans="1:39" x14ac:dyDescent="0.3">
      <c r="A312" s="33">
        <v>510</v>
      </c>
      <c r="B312" s="33">
        <v>423</v>
      </c>
      <c r="C312" s="358" t="s">
        <v>826</v>
      </c>
      <c r="D312" s="372"/>
      <c r="E312" s="64" t="s">
        <v>401</v>
      </c>
      <c r="F312" s="799">
        <v>719</v>
      </c>
      <c r="G312" s="799" t="s">
        <v>539</v>
      </c>
      <c r="H312" s="36" t="s">
        <v>73</v>
      </c>
      <c r="I312" s="37">
        <v>1</v>
      </c>
      <c r="J312" s="799" t="s">
        <v>158</v>
      </c>
      <c r="K312" s="324" t="s">
        <v>75</v>
      </c>
      <c r="L312" s="837" t="s">
        <v>636</v>
      </c>
      <c r="M312" s="837" t="s">
        <v>620</v>
      </c>
      <c r="N312" s="837" t="s">
        <v>620</v>
      </c>
      <c r="O312" s="837" t="s">
        <v>620</v>
      </c>
      <c r="P312" s="837" t="s">
        <v>637</v>
      </c>
      <c r="Q312" s="410" t="s">
        <v>637</v>
      </c>
      <c r="R312" s="36" t="s">
        <v>556</v>
      </c>
      <c r="S312" s="38" t="s">
        <v>465</v>
      </c>
      <c r="T312" s="825">
        <v>10430</v>
      </c>
      <c r="U312" s="825">
        <v>10310</v>
      </c>
      <c r="V312" s="825">
        <v>10230</v>
      </c>
      <c r="W312" s="822">
        <v>10830</v>
      </c>
      <c r="X312" s="965">
        <v>10640</v>
      </c>
      <c r="Y312" s="748">
        <v>10870</v>
      </c>
      <c r="Z312" s="748">
        <v>10800</v>
      </c>
      <c r="AA312" s="966">
        <v>11500</v>
      </c>
      <c r="AB312" s="748">
        <v>11760</v>
      </c>
      <c r="AC312" s="884">
        <v>8360</v>
      </c>
      <c r="AD312" s="748">
        <v>9140</v>
      </c>
      <c r="AE312" s="140" t="s">
        <v>229</v>
      </c>
      <c r="AF312" s="194">
        <v>37970</v>
      </c>
      <c r="AG312" s="303">
        <v>0.24071635501711877</v>
      </c>
      <c r="AH312" s="80" t="s">
        <v>97</v>
      </c>
      <c r="AI312" s="115">
        <v>590</v>
      </c>
      <c r="AJ312" s="115">
        <v>760</v>
      </c>
      <c r="AK312" s="304">
        <v>3410</v>
      </c>
      <c r="AL312" s="832">
        <f t="shared" si="11"/>
        <v>9140</v>
      </c>
      <c r="AM312" s="121">
        <v>4</v>
      </c>
    </row>
    <row r="313" spans="1:39" ht="15" thickBot="1" x14ac:dyDescent="0.35">
      <c r="A313" s="33">
        <v>511</v>
      </c>
      <c r="B313" s="33">
        <v>424</v>
      </c>
      <c r="C313" s="358" t="s">
        <v>826</v>
      </c>
      <c r="D313" s="301" t="s">
        <v>691</v>
      </c>
      <c r="E313" s="51" t="s">
        <v>479</v>
      </c>
      <c r="F313" s="800">
        <v>720</v>
      </c>
      <c r="G313" s="800" t="s">
        <v>539</v>
      </c>
      <c r="H313" s="71" t="s">
        <v>73</v>
      </c>
      <c r="I313" s="72">
        <v>1.2</v>
      </c>
      <c r="J313" s="800" t="s">
        <v>154</v>
      </c>
      <c r="K313" s="321" t="s">
        <v>75</v>
      </c>
      <c r="L313" s="835" t="s">
        <v>636</v>
      </c>
      <c r="M313" s="839" t="s">
        <v>620</v>
      </c>
      <c r="N313" s="835" t="s">
        <v>620</v>
      </c>
      <c r="O313" s="835" t="s">
        <v>620</v>
      </c>
      <c r="P313" s="835" t="s">
        <v>621</v>
      </c>
      <c r="Q313" s="413" t="s">
        <v>621</v>
      </c>
      <c r="R313" s="73" t="s">
        <v>144</v>
      </c>
      <c r="S313" s="73" t="s">
        <v>465</v>
      </c>
      <c r="T313" s="833">
        <v>5570</v>
      </c>
      <c r="U313" s="833">
        <v>5060</v>
      </c>
      <c r="V313" s="833">
        <v>5380</v>
      </c>
      <c r="W313" s="820">
        <v>4990</v>
      </c>
      <c r="X313" s="967">
        <v>9640</v>
      </c>
      <c r="Y313" s="749">
        <v>10550</v>
      </c>
      <c r="Z313" s="749">
        <v>10750</v>
      </c>
      <c r="AA313" s="968">
        <v>11790</v>
      </c>
      <c r="AB313" s="749">
        <v>11040</v>
      </c>
      <c r="AC313" s="964">
        <v>8950</v>
      </c>
      <c r="AD313" s="749">
        <v>9080</v>
      </c>
      <c r="AE313" s="411" t="s">
        <v>229</v>
      </c>
      <c r="AF313" s="213">
        <v>30420</v>
      </c>
      <c r="AG313" s="315">
        <v>0.29848783694937542</v>
      </c>
      <c r="AH313" s="83" t="s">
        <v>97</v>
      </c>
      <c r="AI313" s="120">
        <v>540</v>
      </c>
      <c r="AJ313" s="120">
        <v>760</v>
      </c>
      <c r="AK313" s="316">
        <v>2740</v>
      </c>
      <c r="AL313" s="832">
        <f t="shared" si="11"/>
        <v>10896</v>
      </c>
      <c r="AM313" s="122">
        <v>4</v>
      </c>
    </row>
    <row r="314" spans="1:39" x14ac:dyDescent="0.3">
      <c r="A314" s="33">
        <v>513</v>
      </c>
      <c r="B314" s="33">
        <v>426</v>
      </c>
      <c r="C314" s="358" t="s">
        <v>826</v>
      </c>
      <c r="D314" s="301" t="s">
        <v>832</v>
      </c>
      <c r="E314" s="35" t="s">
        <v>833</v>
      </c>
      <c r="F314" s="799">
        <v>631</v>
      </c>
      <c r="G314" s="799" t="s">
        <v>539</v>
      </c>
      <c r="H314" s="36" t="s">
        <v>73</v>
      </c>
      <c r="I314" s="37">
        <v>0.4</v>
      </c>
      <c r="J314" s="799" t="s">
        <v>237</v>
      </c>
      <c r="K314" s="324" t="s">
        <v>75</v>
      </c>
      <c r="L314" s="837" t="s">
        <v>570</v>
      </c>
      <c r="M314" s="35" t="s">
        <v>815</v>
      </c>
      <c r="N314" s="35" t="s">
        <v>815</v>
      </c>
      <c r="O314" s="35" t="s">
        <v>815</v>
      </c>
      <c r="P314" s="35" t="s">
        <v>588</v>
      </c>
      <c r="Q314" s="890" t="s">
        <v>588</v>
      </c>
      <c r="R314" s="38" t="s">
        <v>144</v>
      </c>
      <c r="S314" s="38" t="s">
        <v>465</v>
      </c>
      <c r="T314" s="825">
        <v>6980</v>
      </c>
      <c r="U314" s="825">
        <v>6330</v>
      </c>
      <c r="V314" s="825">
        <v>6560</v>
      </c>
      <c r="W314" s="822">
        <v>6190</v>
      </c>
      <c r="X314" s="965">
        <v>5880</v>
      </c>
      <c r="Y314" s="748">
        <v>5350</v>
      </c>
      <c r="Z314" s="748">
        <v>5620</v>
      </c>
      <c r="AA314" s="966">
        <v>6080</v>
      </c>
      <c r="AB314" s="748">
        <v>6290</v>
      </c>
      <c r="AC314" s="884">
        <v>4870</v>
      </c>
      <c r="AD314" s="748">
        <v>5600</v>
      </c>
      <c r="AE314" s="140" t="s">
        <v>229</v>
      </c>
      <c r="AF314" s="194">
        <v>14040</v>
      </c>
      <c r="AG314" s="303">
        <v>0.39886039886039887</v>
      </c>
      <c r="AH314" s="80" t="s">
        <v>97</v>
      </c>
      <c r="AI314" s="115">
        <v>290</v>
      </c>
      <c r="AJ314" s="115">
        <v>480</v>
      </c>
      <c r="AK314" s="304">
        <v>1270</v>
      </c>
      <c r="AL314" s="832">
        <f t="shared" si="11"/>
        <v>2240</v>
      </c>
      <c r="AM314" s="121">
        <v>2</v>
      </c>
    </row>
    <row r="315" spans="1:39" ht="15" thickBot="1" x14ac:dyDescent="0.35">
      <c r="A315" s="88">
        <v>514</v>
      </c>
      <c r="B315" s="88">
        <v>427</v>
      </c>
      <c r="C315" s="368" t="s">
        <v>826</v>
      </c>
      <c r="D315" s="296" t="s">
        <v>834</v>
      </c>
      <c r="E315" s="257" t="s">
        <v>835</v>
      </c>
      <c r="F315" s="803">
        <v>1170</v>
      </c>
      <c r="G315" s="803" t="s">
        <v>539</v>
      </c>
      <c r="H315" s="163" t="s">
        <v>73</v>
      </c>
      <c r="I315" s="164">
        <v>0.6</v>
      </c>
      <c r="J315" s="803" t="s">
        <v>237</v>
      </c>
      <c r="K315" s="291" t="s">
        <v>75</v>
      </c>
      <c r="L315" s="845" t="s">
        <v>570</v>
      </c>
      <c r="M315" s="457" t="s">
        <v>815</v>
      </c>
      <c r="N315" s="166" t="s">
        <v>815</v>
      </c>
      <c r="O315" s="166" t="s">
        <v>815</v>
      </c>
      <c r="P315" s="166" t="s">
        <v>588</v>
      </c>
      <c r="Q315" s="969" t="s">
        <v>588</v>
      </c>
      <c r="R315" s="167" t="s">
        <v>144</v>
      </c>
      <c r="S315" s="167" t="s">
        <v>465</v>
      </c>
      <c r="T315" s="827">
        <v>6010</v>
      </c>
      <c r="U315" s="827">
        <v>5700</v>
      </c>
      <c r="V315" s="827">
        <v>5540</v>
      </c>
      <c r="W315" s="828">
        <v>5210</v>
      </c>
      <c r="X315" s="970">
        <v>8020</v>
      </c>
      <c r="Y315" s="750">
        <v>7190</v>
      </c>
      <c r="Z315" s="750">
        <v>7440</v>
      </c>
      <c r="AA315" s="971">
        <v>8410</v>
      </c>
      <c r="AB315" s="750">
        <v>8470</v>
      </c>
      <c r="AC315" s="972">
        <v>5280</v>
      </c>
      <c r="AD315" s="750">
        <v>6210</v>
      </c>
      <c r="AE315" s="246" t="s">
        <v>229</v>
      </c>
      <c r="AF315" s="241">
        <v>14040</v>
      </c>
      <c r="AG315" s="147">
        <v>0.44230769230769229</v>
      </c>
      <c r="AH315" s="100" t="s">
        <v>97</v>
      </c>
      <c r="AI315" s="126">
        <v>320</v>
      </c>
      <c r="AJ315" s="126">
        <v>530</v>
      </c>
      <c r="AK315" s="308">
        <v>1270</v>
      </c>
      <c r="AL315" s="881">
        <f t="shared" si="11"/>
        <v>3726</v>
      </c>
      <c r="AM315" s="174">
        <v>2</v>
      </c>
    </row>
    <row r="316" spans="1:39" x14ac:dyDescent="0.3">
      <c r="A316" s="103">
        <v>528</v>
      </c>
      <c r="B316" s="103">
        <v>441</v>
      </c>
      <c r="C316" s="318" t="s">
        <v>836</v>
      </c>
      <c r="D316" s="338" t="s">
        <v>837</v>
      </c>
      <c r="E316" s="177" t="s">
        <v>838</v>
      </c>
      <c r="F316" s="804">
        <v>560</v>
      </c>
      <c r="G316" s="804" t="s">
        <v>539</v>
      </c>
      <c r="H316" s="131" t="s">
        <v>73</v>
      </c>
      <c r="I316" s="178">
        <v>3</v>
      </c>
      <c r="J316" s="804" t="s">
        <v>158</v>
      </c>
      <c r="K316" s="340" t="s">
        <v>104</v>
      </c>
      <c r="L316" s="843" t="s">
        <v>367</v>
      </c>
      <c r="M316" s="848" t="s">
        <v>367</v>
      </c>
      <c r="N316" s="843" t="s">
        <v>367</v>
      </c>
      <c r="O316" s="843" t="s">
        <v>367</v>
      </c>
      <c r="P316" s="843" t="s">
        <v>367</v>
      </c>
      <c r="Q316" s="895" t="s">
        <v>367</v>
      </c>
      <c r="R316" s="131" t="s">
        <v>686</v>
      </c>
      <c r="S316" s="131" t="s">
        <v>699</v>
      </c>
      <c r="T316" s="57">
        <v>690</v>
      </c>
      <c r="U316" s="57">
        <v>720</v>
      </c>
      <c r="V316" s="57">
        <v>690</v>
      </c>
      <c r="W316" s="836">
        <v>660</v>
      </c>
      <c r="X316" s="896" t="s">
        <v>81</v>
      </c>
      <c r="Y316" s="759">
        <v>910</v>
      </c>
      <c r="Z316" s="759">
        <v>860</v>
      </c>
      <c r="AA316" s="973">
        <v>850</v>
      </c>
      <c r="AB316" s="759">
        <v>920</v>
      </c>
      <c r="AC316" s="887">
        <v>920</v>
      </c>
      <c r="AD316" s="754">
        <v>1110</v>
      </c>
      <c r="AE316" s="190" t="s">
        <v>97</v>
      </c>
      <c r="AF316" s="78">
        <v>6450</v>
      </c>
      <c r="AG316" s="79">
        <v>0.17209302325581396</v>
      </c>
      <c r="AH316" s="86" t="s">
        <v>1524</v>
      </c>
      <c r="AI316" s="181">
        <v>70</v>
      </c>
      <c r="AJ316" s="181">
        <v>110</v>
      </c>
      <c r="AK316" s="473">
        <v>620</v>
      </c>
      <c r="AL316" s="832">
        <f t="shared" si="11"/>
        <v>3330</v>
      </c>
      <c r="AM316" s="182">
        <v>2</v>
      </c>
    </row>
    <row r="317" spans="1:39" ht="15" thickBot="1" x14ac:dyDescent="0.35">
      <c r="A317" s="88">
        <v>532</v>
      </c>
      <c r="B317" s="88">
        <v>445</v>
      </c>
      <c r="C317" s="346" t="s">
        <v>836</v>
      </c>
      <c r="D317" s="258" t="s">
        <v>839</v>
      </c>
      <c r="E317" s="91" t="s">
        <v>840</v>
      </c>
      <c r="F317" s="801">
        <v>564</v>
      </c>
      <c r="G317" s="801" t="s">
        <v>539</v>
      </c>
      <c r="H317" s="92" t="s">
        <v>73</v>
      </c>
      <c r="I317" s="93">
        <v>1.45</v>
      </c>
      <c r="J317" s="801" t="s">
        <v>158</v>
      </c>
      <c r="K317" s="92" t="s">
        <v>75</v>
      </c>
      <c r="L317" s="841" t="s">
        <v>367</v>
      </c>
      <c r="M317" s="841" t="s">
        <v>367</v>
      </c>
      <c r="N317" s="841" t="s">
        <v>367</v>
      </c>
      <c r="O317" s="841" t="s">
        <v>367</v>
      </c>
      <c r="P317" s="841" t="s">
        <v>367</v>
      </c>
      <c r="Q317" s="895" t="s">
        <v>367</v>
      </c>
      <c r="R317" s="92" t="s">
        <v>686</v>
      </c>
      <c r="S317" s="92" t="s">
        <v>699</v>
      </c>
      <c r="T317" s="124">
        <v>1280</v>
      </c>
      <c r="U317" s="124">
        <v>1230</v>
      </c>
      <c r="V317" s="124">
        <v>1320</v>
      </c>
      <c r="W317" s="974">
        <v>1060</v>
      </c>
      <c r="X317" s="899" t="s">
        <v>81</v>
      </c>
      <c r="Y317" s="842">
        <v>1250</v>
      </c>
      <c r="Z317" s="842">
        <v>1220</v>
      </c>
      <c r="AA317" s="958">
        <v>1110</v>
      </c>
      <c r="AB317" s="842">
        <v>1100</v>
      </c>
      <c r="AC317" s="861">
        <v>1290</v>
      </c>
      <c r="AD317" s="750">
        <v>1720</v>
      </c>
      <c r="AE317" s="92" t="s">
        <v>97</v>
      </c>
      <c r="AF317" s="474">
        <v>6450</v>
      </c>
      <c r="AG317" s="147">
        <v>0.26666666666666666</v>
      </c>
      <c r="AH317" s="100" t="s">
        <v>1524</v>
      </c>
      <c r="AI317" s="126">
        <v>150</v>
      </c>
      <c r="AJ317" s="126">
        <v>130</v>
      </c>
      <c r="AK317" s="419">
        <v>620</v>
      </c>
      <c r="AL317" s="829">
        <f t="shared" si="11"/>
        <v>2494</v>
      </c>
      <c r="AM317" s="127">
        <v>2</v>
      </c>
    </row>
    <row r="318" spans="1:39" ht="15" thickBot="1" x14ac:dyDescent="0.35">
      <c r="A318" s="202">
        <v>534</v>
      </c>
      <c r="B318" s="202">
        <v>446</v>
      </c>
      <c r="C318" s="475" t="s">
        <v>841</v>
      </c>
      <c r="D318" s="403" t="s">
        <v>842</v>
      </c>
      <c r="E318" s="205" t="s">
        <v>843</v>
      </c>
      <c r="F318" s="805">
        <v>570</v>
      </c>
      <c r="G318" s="805" t="s">
        <v>539</v>
      </c>
      <c r="H318" s="208"/>
      <c r="I318" s="207">
        <v>0.1</v>
      </c>
      <c r="J318" s="805" t="s">
        <v>154</v>
      </c>
      <c r="K318" s="387" t="s">
        <v>75</v>
      </c>
      <c r="L318" s="851" t="s">
        <v>583</v>
      </c>
      <c r="M318" s="404" t="s">
        <v>584</v>
      </c>
      <c r="N318" s="205" t="s">
        <v>584</v>
      </c>
      <c r="O318" s="205" t="s">
        <v>584</v>
      </c>
      <c r="P318" s="205" t="s">
        <v>542</v>
      </c>
      <c r="Q318" s="975" t="s">
        <v>542</v>
      </c>
      <c r="R318" s="249" t="s">
        <v>543</v>
      </c>
      <c r="S318" s="395" t="s">
        <v>562</v>
      </c>
      <c r="T318" s="846">
        <v>7460</v>
      </c>
      <c r="U318" s="846">
        <v>7000</v>
      </c>
      <c r="V318" s="846">
        <v>7740</v>
      </c>
      <c r="W318" s="857">
        <v>7900</v>
      </c>
      <c r="X318" s="948">
        <v>8210</v>
      </c>
      <c r="Y318" s="932">
        <v>8550</v>
      </c>
      <c r="Z318" s="858">
        <v>9760</v>
      </c>
      <c r="AA318" s="858">
        <v>9230</v>
      </c>
      <c r="AB318" s="858">
        <v>9530</v>
      </c>
      <c r="AC318" s="868">
        <v>9080</v>
      </c>
      <c r="AD318" s="755">
        <v>9700</v>
      </c>
      <c r="AE318" s="278" t="s">
        <v>229</v>
      </c>
      <c r="AF318" s="279">
        <v>13640</v>
      </c>
      <c r="AG318" s="280">
        <v>0.71114369501466279</v>
      </c>
      <c r="AH318" s="210" t="s">
        <v>80</v>
      </c>
      <c r="AI318" s="281">
        <v>630</v>
      </c>
      <c r="AJ318" s="281">
        <v>820</v>
      </c>
      <c r="AK318" s="281">
        <v>1020</v>
      </c>
      <c r="AL318" s="829">
        <f t="shared" si="11"/>
        <v>970</v>
      </c>
      <c r="AM318" s="211">
        <v>2</v>
      </c>
    </row>
    <row r="319" spans="1:39" x14ac:dyDescent="0.3">
      <c r="A319" s="299">
        <v>542</v>
      </c>
      <c r="B319" s="299">
        <v>453</v>
      </c>
      <c r="C319" s="318" t="s">
        <v>844</v>
      </c>
      <c r="D319" s="293" t="s">
        <v>845</v>
      </c>
      <c r="E319" s="319" t="s">
        <v>846</v>
      </c>
      <c r="F319" s="802">
        <v>581</v>
      </c>
      <c r="G319" s="802" t="s">
        <v>539</v>
      </c>
      <c r="H319" s="200" t="s">
        <v>73</v>
      </c>
      <c r="I319" s="107">
        <v>1.1000000000000001</v>
      </c>
      <c r="J319" s="802" t="s">
        <v>154</v>
      </c>
      <c r="K319" s="284" t="s">
        <v>104</v>
      </c>
      <c r="L319" s="830" t="s">
        <v>570</v>
      </c>
      <c r="M319" s="105" t="s">
        <v>587</v>
      </c>
      <c r="N319" s="105" t="s">
        <v>587</v>
      </c>
      <c r="O319" s="105" t="s">
        <v>587</v>
      </c>
      <c r="P319" s="105" t="s">
        <v>588</v>
      </c>
      <c r="Q319" s="890" t="s">
        <v>588</v>
      </c>
      <c r="R319" s="106" t="s">
        <v>543</v>
      </c>
      <c r="S319" s="476" t="s">
        <v>465</v>
      </c>
      <c r="T319" s="833">
        <v>7800</v>
      </c>
      <c r="U319" s="833">
        <v>7150</v>
      </c>
      <c r="V319" s="833">
        <v>7270</v>
      </c>
      <c r="W319" s="831">
        <v>7390</v>
      </c>
      <c r="X319" s="925">
        <v>7050</v>
      </c>
      <c r="Y319" s="844">
        <v>8300</v>
      </c>
      <c r="Z319" s="844">
        <v>8660</v>
      </c>
      <c r="AA319" s="952">
        <v>9320</v>
      </c>
      <c r="AB319" s="844">
        <v>7630</v>
      </c>
      <c r="AC319" s="878">
        <v>7680</v>
      </c>
      <c r="AD319" s="751">
        <v>8610</v>
      </c>
      <c r="AE319" s="200" t="s">
        <v>229</v>
      </c>
      <c r="AF319" s="477">
        <v>14040</v>
      </c>
      <c r="AG319" s="82">
        <v>0.61324786324786329</v>
      </c>
      <c r="AH319" s="287" t="s">
        <v>80</v>
      </c>
      <c r="AI319" s="288">
        <v>650</v>
      </c>
      <c r="AJ319" s="288">
        <v>730</v>
      </c>
      <c r="AK319" s="294">
        <v>1270</v>
      </c>
      <c r="AL319" s="832">
        <f t="shared" si="11"/>
        <v>9471</v>
      </c>
      <c r="AM319" s="201">
        <v>2</v>
      </c>
    </row>
    <row r="320" spans="1:39" ht="15" thickBot="1" x14ac:dyDescent="0.35">
      <c r="A320" s="33">
        <v>541</v>
      </c>
      <c r="B320" s="33">
        <v>452</v>
      </c>
      <c r="C320" s="352" t="s">
        <v>844</v>
      </c>
      <c r="D320" s="301" t="s">
        <v>847</v>
      </c>
      <c r="E320" s="70" t="s">
        <v>848</v>
      </c>
      <c r="F320" s="800">
        <v>582</v>
      </c>
      <c r="G320" s="800" t="s">
        <v>539</v>
      </c>
      <c r="H320" s="52" t="s">
        <v>73</v>
      </c>
      <c r="I320" s="72">
        <v>0.5</v>
      </c>
      <c r="J320" s="800" t="s">
        <v>154</v>
      </c>
      <c r="K320" s="302" t="s">
        <v>104</v>
      </c>
      <c r="L320" s="835" t="s">
        <v>636</v>
      </c>
      <c r="M320" s="51" t="s">
        <v>620</v>
      </c>
      <c r="N320" s="51" t="s">
        <v>620</v>
      </c>
      <c r="O320" s="51" t="s">
        <v>620</v>
      </c>
      <c r="P320" s="51" t="s">
        <v>621</v>
      </c>
      <c r="Q320" s="413" t="s">
        <v>621</v>
      </c>
      <c r="R320" s="55" t="s">
        <v>374</v>
      </c>
      <c r="S320" s="55" t="s">
        <v>465</v>
      </c>
      <c r="T320" s="825">
        <v>15330</v>
      </c>
      <c r="U320" s="825">
        <v>14620</v>
      </c>
      <c r="V320" s="825">
        <v>14110</v>
      </c>
      <c r="W320" s="822">
        <v>15010</v>
      </c>
      <c r="X320" s="931">
        <v>15820</v>
      </c>
      <c r="Y320" s="760">
        <v>14130</v>
      </c>
      <c r="Z320" s="760">
        <v>16650</v>
      </c>
      <c r="AA320" s="956">
        <v>16720</v>
      </c>
      <c r="AB320" s="760">
        <v>17920</v>
      </c>
      <c r="AC320" s="884">
        <v>15730</v>
      </c>
      <c r="AD320" s="748">
        <v>16870</v>
      </c>
      <c r="AE320" s="80" t="s">
        <v>229</v>
      </c>
      <c r="AF320" s="194">
        <v>30420</v>
      </c>
      <c r="AG320" s="303">
        <v>0.55456936226166997</v>
      </c>
      <c r="AH320" s="80" t="s">
        <v>80</v>
      </c>
      <c r="AI320" s="115">
        <v>1020</v>
      </c>
      <c r="AJ320" s="115">
        <v>1380</v>
      </c>
      <c r="AK320" s="304">
        <v>2740</v>
      </c>
      <c r="AL320" s="832">
        <f t="shared" si="11"/>
        <v>8435</v>
      </c>
      <c r="AM320" s="63">
        <v>4</v>
      </c>
    </row>
    <row r="321" spans="1:39" x14ac:dyDescent="0.3">
      <c r="A321" s="268">
        <v>539</v>
      </c>
      <c r="B321" s="268">
        <v>450</v>
      </c>
      <c r="C321" s="352" t="s">
        <v>844</v>
      </c>
      <c r="D321" s="351" t="s">
        <v>849</v>
      </c>
      <c r="E321" s="64" t="s">
        <v>850</v>
      </c>
      <c r="F321" s="799">
        <v>584</v>
      </c>
      <c r="G321" s="799" t="s">
        <v>539</v>
      </c>
      <c r="H321" s="65" t="s">
        <v>73</v>
      </c>
      <c r="I321" s="37">
        <v>1.55</v>
      </c>
      <c r="J321" s="799" t="s">
        <v>140</v>
      </c>
      <c r="K321" s="478" t="s">
        <v>104</v>
      </c>
      <c r="L321" s="837" t="s">
        <v>636</v>
      </c>
      <c r="M321" s="35" t="s">
        <v>620</v>
      </c>
      <c r="N321" s="35" t="s">
        <v>620</v>
      </c>
      <c r="O321" s="35" t="s">
        <v>620</v>
      </c>
      <c r="P321" s="35" t="s">
        <v>637</v>
      </c>
      <c r="Q321" s="410" t="s">
        <v>637</v>
      </c>
      <c r="R321" s="39" t="s">
        <v>374</v>
      </c>
      <c r="S321" s="38" t="s">
        <v>465</v>
      </c>
      <c r="T321" s="833">
        <v>23460</v>
      </c>
      <c r="U321" s="833">
        <v>23750</v>
      </c>
      <c r="V321" s="833">
        <v>21590</v>
      </c>
      <c r="W321" s="820">
        <v>23790</v>
      </c>
      <c r="X321" s="930">
        <v>20550</v>
      </c>
      <c r="Y321" s="838">
        <v>20510</v>
      </c>
      <c r="Z321" s="838">
        <v>25710</v>
      </c>
      <c r="AA321" s="957">
        <v>19820</v>
      </c>
      <c r="AB321" s="838">
        <v>25290</v>
      </c>
      <c r="AC321" s="888">
        <v>19830</v>
      </c>
      <c r="AD321" s="749">
        <v>21120</v>
      </c>
      <c r="AE321" s="65" t="s">
        <v>229</v>
      </c>
      <c r="AF321" s="213">
        <v>37970</v>
      </c>
      <c r="AG321" s="315">
        <v>0.55622860152752174</v>
      </c>
      <c r="AH321" s="83" t="s">
        <v>97</v>
      </c>
      <c r="AI321" s="120">
        <v>1280</v>
      </c>
      <c r="AJ321" s="120">
        <v>1760</v>
      </c>
      <c r="AK321" s="316">
        <v>3410</v>
      </c>
      <c r="AL321" s="832">
        <f t="shared" si="11"/>
        <v>32736</v>
      </c>
      <c r="AM321" s="49">
        <v>4</v>
      </c>
    </row>
    <row r="322" spans="1:39" x14ac:dyDescent="0.3">
      <c r="A322" s="33">
        <v>538</v>
      </c>
      <c r="B322" s="33">
        <v>449</v>
      </c>
      <c r="C322" s="352" t="s">
        <v>844</v>
      </c>
      <c r="D322" s="301" t="s">
        <v>851</v>
      </c>
      <c r="E322" s="51" t="s">
        <v>852</v>
      </c>
      <c r="F322" s="800">
        <v>585</v>
      </c>
      <c r="G322" s="800" t="s">
        <v>539</v>
      </c>
      <c r="H322" s="52" t="s">
        <v>73</v>
      </c>
      <c r="I322" s="72">
        <v>0.5</v>
      </c>
      <c r="J322" s="800" t="s">
        <v>140</v>
      </c>
      <c r="K322" s="302" t="s">
        <v>104</v>
      </c>
      <c r="L322" s="835" t="s">
        <v>740</v>
      </c>
      <c r="M322" s="51" t="s">
        <v>754</v>
      </c>
      <c r="N322" s="51" t="s">
        <v>754</v>
      </c>
      <c r="O322" s="51" t="s">
        <v>754</v>
      </c>
      <c r="P322" s="51" t="s">
        <v>637</v>
      </c>
      <c r="Q322" s="410" t="s">
        <v>637</v>
      </c>
      <c r="R322" s="55" t="s">
        <v>374</v>
      </c>
      <c r="S322" s="55" t="s">
        <v>465</v>
      </c>
      <c r="T322" s="825">
        <v>23670</v>
      </c>
      <c r="U322" s="825">
        <v>22790</v>
      </c>
      <c r="V322" s="825">
        <v>20710</v>
      </c>
      <c r="W322" s="822">
        <v>22110</v>
      </c>
      <c r="X322" s="931">
        <v>23120</v>
      </c>
      <c r="Y322" s="760">
        <v>23900</v>
      </c>
      <c r="Z322" s="760">
        <v>23240</v>
      </c>
      <c r="AA322" s="956">
        <v>19220</v>
      </c>
      <c r="AB322" s="760">
        <v>23680</v>
      </c>
      <c r="AC322" s="884">
        <v>22540</v>
      </c>
      <c r="AD322" s="748">
        <v>23620</v>
      </c>
      <c r="AE322" s="80" t="s">
        <v>229</v>
      </c>
      <c r="AF322" s="194">
        <v>37970</v>
      </c>
      <c r="AG322" s="303">
        <v>0.62207005530682113</v>
      </c>
      <c r="AH322" s="80" t="s">
        <v>97</v>
      </c>
      <c r="AI322" s="115">
        <v>1390</v>
      </c>
      <c r="AJ322" s="115">
        <v>1960</v>
      </c>
      <c r="AK322" s="304">
        <v>3410</v>
      </c>
      <c r="AL322" s="832">
        <f t="shared" si="11"/>
        <v>11810</v>
      </c>
      <c r="AM322" s="63">
        <v>4</v>
      </c>
    </row>
    <row r="323" spans="1:39" ht="15" thickBot="1" x14ac:dyDescent="0.35">
      <c r="A323" s="305">
        <v>537</v>
      </c>
      <c r="B323" s="305">
        <v>448</v>
      </c>
      <c r="C323" s="346" t="s">
        <v>844</v>
      </c>
      <c r="D323" s="306" t="s">
        <v>853</v>
      </c>
      <c r="E323" s="185" t="s">
        <v>854</v>
      </c>
      <c r="F323" s="801">
        <v>586</v>
      </c>
      <c r="G323" s="801" t="s">
        <v>539</v>
      </c>
      <c r="H323" s="92" t="s">
        <v>73</v>
      </c>
      <c r="I323" s="93">
        <v>0.5</v>
      </c>
      <c r="J323" s="801" t="s">
        <v>154</v>
      </c>
      <c r="K323" s="271" t="s">
        <v>104</v>
      </c>
      <c r="L323" s="841" t="s">
        <v>740</v>
      </c>
      <c r="M323" s="91" t="s">
        <v>754</v>
      </c>
      <c r="N323" s="91" t="s">
        <v>754</v>
      </c>
      <c r="O323" s="91" t="s">
        <v>754</v>
      </c>
      <c r="P323" s="91" t="s">
        <v>621</v>
      </c>
      <c r="Q323" s="413" t="s">
        <v>621</v>
      </c>
      <c r="R323" s="94" t="s">
        <v>374</v>
      </c>
      <c r="S323" s="94" t="s">
        <v>465</v>
      </c>
      <c r="T323" s="827">
        <v>22090</v>
      </c>
      <c r="U323" s="827">
        <v>20900</v>
      </c>
      <c r="V323" s="827">
        <v>19330</v>
      </c>
      <c r="W323" s="828">
        <v>20650</v>
      </c>
      <c r="X323" s="935">
        <v>20860</v>
      </c>
      <c r="Y323" s="842">
        <v>21370</v>
      </c>
      <c r="Z323" s="842">
        <v>21970</v>
      </c>
      <c r="AA323" s="860">
        <v>23760</v>
      </c>
      <c r="AB323" s="842">
        <v>20970</v>
      </c>
      <c r="AC323" s="861">
        <v>24510</v>
      </c>
      <c r="AD323" s="750">
        <v>25680</v>
      </c>
      <c r="AE323" s="92" t="s">
        <v>229</v>
      </c>
      <c r="AF323" s="241">
        <v>30420</v>
      </c>
      <c r="AG323" s="147">
        <v>0.84418145956607493</v>
      </c>
      <c r="AH323" s="100" t="s">
        <v>80</v>
      </c>
      <c r="AI323" s="126">
        <v>1500</v>
      </c>
      <c r="AJ323" s="126">
        <v>2070</v>
      </c>
      <c r="AK323" s="308">
        <v>2740</v>
      </c>
      <c r="AL323" s="829">
        <f t="shared" si="11"/>
        <v>12840</v>
      </c>
      <c r="AM323" s="127">
        <v>4</v>
      </c>
    </row>
    <row r="324" spans="1:39" x14ac:dyDescent="0.3">
      <c r="A324" s="103">
        <v>545</v>
      </c>
      <c r="B324" s="103">
        <v>455</v>
      </c>
      <c r="C324" s="309" t="s">
        <v>855</v>
      </c>
      <c r="D324" s="188" t="s">
        <v>856</v>
      </c>
      <c r="E324" s="189" t="s">
        <v>857</v>
      </c>
      <c r="F324" s="804">
        <v>600</v>
      </c>
      <c r="G324" s="804" t="s">
        <v>539</v>
      </c>
      <c r="H324" s="77" t="s">
        <v>73</v>
      </c>
      <c r="I324" s="178">
        <v>1.5</v>
      </c>
      <c r="J324" s="804" t="s">
        <v>237</v>
      </c>
      <c r="K324" s="77" t="s">
        <v>75</v>
      </c>
      <c r="L324" s="843" t="s">
        <v>594</v>
      </c>
      <c r="M324" s="256" t="s">
        <v>653</v>
      </c>
      <c r="N324" s="177" t="s">
        <v>653</v>
      </c>
      <c r="O324" s="177" t="s">
        <v>653</v>
      </c>
      <c r="P324" s="843" t="s">
        <v>542</v>
      </c>
      <c r="Q324" s="975" t="s">
        <v>542</v>
      </c>
      <c r="R324" s="77" t="s">
        <v>596</v>
      </c>
      <c r="S324" s="311" t="s">
        <v>858</v>
      </c>
      <c r="T324" s="825">
        <v>2690</v>
      </c>
      <c r="U324" s="825">
        <v>2470</v>
      </c>
      <c r="V324" s="825">
        <v>2470</v>
      </c>
      <c r="W324" s="836">
        <v>2490</v>
      </c>
      <c r="X324" s="759">
        <v>2630</v>
      </c>
      <c r="Y324" s="759">
        <v>3110</v>
      </c>
      <c r="Z324" s="759">
        <v>3360</v>
      </c>
      <c r="AA324" s="759">
        <v>3350</v>
      </c>
      <c r="AB324" s="759">
        <v>3920</v>
      </c>
      <c r="AC324" s="887">
        <v>3490</v>
      </c>
      <c r="AD324" s="754">
        <v>3560</v>
      </c>
      <c r="AE324" s="86" t="s">
        <v>229</v>
      </c>
      <c r="AF324" s="409">
        <v>13640</v>
      </c>
      <c r="AG324" s="79">
        <v>0.26099706744868034</v>
      </c>
      <c r="AH324" s="86" t="s">
        <v>97</v>
      </c>
      <c r="AI324" s="181">
        <v>250</v>
      </c>
      <c r="AJ324" s="181">
        <v>380</v>
      </c>
      <c r="AK324" s="181">
        <v>1020</v>
      </c>
      <c r="AL324" s="832">
        <f t="shared" si="11"/>
        <v>5340</v>
      </c>
      <c r="AM324" s="221">
        <v>2</v>
      </c>
    </row>
    <row r="325" spans="1:39" x14ac:dyDescent="0.3">
      <c r="A325" s="33">
        <v>546</v>
      </c>
      <c r="B325" s="33">
        <v>456</v>
      </c>
      <c r="C325" s="393" t="s">
        <v>855</v>
      </c>
      <c r="D325" s="353" t="s">
        <v>859</v>
      </c>
      <c r="E325" s="133" t="s">
        <v>860</v>
      </c>
      <c r="F325" s="799">
        <v>601</v>
      </c>
      <c r="G325" s="799" t="s">
        <v>539</v>
      </c>
      <c r="H325" s="65" t="s">
        <v>73</v>
      </c>
      <c r="I325" s="37">
        <v>1.7</v>
      </c>
      <c r="J325" s="799" t="s">
        <v>154</v>
      </c>
      <c r="K325" s="65" t="s">
        <v>75</v>
      </c>
      <c r="L325" s="837" t="s">
        <v>594</v>
      </c>
      <c r="M325" s="35" t="s">
        <v>653</v>
      </c>
      <c r="N325" s="35" t="s">
        <v>653</v>
      </c>
      <c r="O325" s="35" t="s">
        <v>653</v>
      </c>
      <c r="P325" s="837" t="s">
        <v>542</v>
      </c>
      <c r="Q325" s="975" t="s">
        <v>542</v>
      </c>
      <c r="R325" s="65" t="s">
        <v>596</v>
      </c>
      <c r="S325" s="65" t="s">
        <v>858</v>
      </c>
      <c r="T325" s="833">
        <v>1850</v>
      </c>
      <c r="U325" s="833">
        <v>1690</v>
      </c>
      <c r="V325" s="833">
        <v>1690</v>
      </c>
      <c r="W325" s="820">
        <v>1760</v>
      </c>
      <c r="X325" s="838">
        <v>1960</v>
      </c>
      <c r="Y325" s="838">
        <v>2400</v>
      </c>
      <c r="Z325" s="838">
        <v>2930</v>
      </c>
      <c r="AA325" s="957">
        <v>2860</v>
      </c>
      <c r="AB325" s="838">
        <v>3100</v>
      </c>
      <c r="AC325" s="888">
        <v>2900</v>
      </c>
      <c r="AD325" s="749">
        <v>3020</v>
      </c>
      <c r="AE325" s="65" t="s">
        <v>229</v>
      </c>
      <c r="AF325" s="213">
        <v>13640</v>
      </c>
      <c r="AG325" s="315">
        <v>0.22140762463343108</v>
      </c>
      <c r="AH325" s="83" t="s">
        <v>97</v>
      </c>
      <c r="AI325" s="120">
        <v>220</v>
      </c>
      <c r="AJ325" s="120">
        <v>330</v>
      </c>
      <c r="AK325" s="120">
        <v>1020</v>
      </c>
      <c r="AL325" s="832">
        <f t="shared" si="11"/>
        <v>5134</v>
      </c>
      <c r="AM325" s="49">
        <v>2</v>
      </c>
    </row>
    <row r="326" spans="1:39" ht="15" thickBot="1" x14ac:dyDescent="0.35">
      <c r="A326" s="88">
        <v>547</v>
      </c>
      <c r="B326" s="88">
        <v>457</v>
      </c>
      <c r="C326" s="313" t="s">
        <v>855</v>
      </c>
      <c r="D326" s="296" t="s">
        <v>861</v>
      </c>
      <c r="E326" s="166" t="s">
        <v>862</v>
      </c>
      <c r="F326" s="803">
        <v>602</v>
      </c>
      <c r="G326" s="803" t="s">
        <v>539</v>
      </c>
      <c r="H326" s="215" t="s">
        <v>73</v>
      </c>
      <c r="I326" s="164">
        <v>2.5</v>
      </c>
      <c r="J326" s="803" t="s">
        <v>154</v>
      </c>
      <c r="K326" s="363" t="s">
        <v>75</v>
      </c>
      <c r="L326" s="845" t="s">
        <v>594</v>
      </c>
      <c r="M326" s="457" t="s">
        <v>653</v>
      </c>
      <c r="N326" s="166" t="s">
        <v>653</v>
      </c>
      <c r="O326" s="166" t="s">
        <v>653</v>
      </c>
      <c r="P326" s="845" t="s">
        <v>542</v>
      </c>
      <c r="Q326" s="975" t="s">
        <v>542</v>
      </c>
      <c r="R326" s="215" t="s">
        <v>596</v>
      </c>
      <c r="S326" s="297" t="s">
        <v>858</v>
      </c>
      <c r="T326" s="846">
        <v>1160</v>
      </c>
      <c r="U326" s="846">
        <v>1080</v>
      </c>
      <c r="V326" s="846">
        <v>1160</v>
      </c>
      <c r="W326" s="847">
        <v>1140</v>
      </c>
      <c r="X326" s="761">
        <v>1250</v>
      </c>
      <c r="Y326" s="761">
        <v>1480</v>
      </c>
      <c r="Z326" s="761">
        <v>1360</v>
      </c>
      <c r="AA326" s="976">
        <v>1250</v>
      </c>
      <c r="AB326" s="761">
        <v>1250</v>
      </c>
      <c r="AC326" s="880">
        <v>1310</v>
      </c>
      <c r="AD326" s="752">
        <v>1300</v>
      </c>
      <c r="AE326" s="170" t="s">
        <v>229</v>
      </c>
      <c r="AF326" s="326">
        <v>13640</v>
      </c>
      <c r="AG326" s="172">
        <v>9.5307917888563048E-2</v>
      </c>
      <c r="AH326" s="170" t="s">
        <v>97</v>
      </c>
      <c r="AI326" s="169">
        <v>80</v>
      </c>
      <c r="AJ326" s="169">
        <v>120</v>
      </c>
      <c r="AK326" s="169">
        <v>1020</v>
      </c>
      <c r="AL326" s="829">
        <f t="shared" si="11"/>
        <v>3250</v>
      </c>
      <c r="AM326" s="219">
        <v>2</v>
      </c>
    </row>
    <row r="327" spans="1:39" x14ac:dyDescent="0.3">
      <c r="A327" s="299">
        <v>550</v>
      </c>
      <c r="B327" s="299">
        <v>459</v>
      </c>
      <c r="C327" s="104" t="s">
        <v>863</v>
      </c>
      <c r="D327" s="319" t="s">
        <v>660</v>
      </c>
      <c r="E327" s="319" t="s">
        <v>864</v>
      </c>
      <c r="F327" s="802">
        <v>610</v>
      </c>
      <c r="G327" s="802" t="s">
        <v>539</v>
      </c>
      <c r="H327" s="106"/>
      <c r="I327" s="107">
        <v>0.25</v>
      </c>
      <c r="J327" s="802" t="s">
        <v>154</v>
      </c>
      <c r="K327" s="200" t="s">
        <v>75</v>
      </c>
      <c r="L327" s="830" t="s">
        <v>540</v>
      </c>
      <c r="M327" s="830" t="s">
        <v>541</v>
      </c>
      <c r="N327" s="830" t="s">
        <v>541</v>
      </c>
      <c r="O327" s="830" t="s">
        <v>541</v>
      </c>
      <c r="P327" s="830" t="s">
        <v>542</v>
      </c>
      <c r="Q327" s="975" t="s">
        <v>542</v>
      </c>
      <c r="R327" s="106" t="s">
        <v>543</v>
      </c>
      <c r="S327" s="106" t="s">
        <v>858</v>
      </c>
      <c r="T327" s="833">
        <v>1190</v>
      </c>
      <c r="U327" s="833">
        <v>1080</v>
      </c>
      <c r="V327" s="833">
        <v>1150</v>
      </c>
      <c r="W327" s="831">
        <v>1030</v>
      </c>
      <c r="X327" s="844">
        <v>1130</v>
      </c>
      <c r="Y327" s="844">
        <v>1190</v>
      </c>
      <c r="Z327" s="844">
        <v>1310</v>
      </c>
      <c r="AA327" s="952">
        <v>1300</v>
      </c>
      <c r="AB327" s="844">
        <v>1420</v>
      </c>
      <c r="AC327" s="878">
        <v>1220</v>
      </c>
      <c r="AD327" s="751">
        <v>1380</v>
      </c>
      <c r="AE327" s="200" t="s">
        <v>229</v>
      </c>
      <c r="AF327" s="477">
        <v>13640</v>
      </c>
      <c r="AG327" s="82">
        <v>0.10117302052785923</v>
      </c>
      <c r="AH327" s="287" t="s">
        <v>97</v>
      </c>
      <c r="AI327" s="288">
        <v>90</v>
      </c>
      <c r="AJ327" s="288">
        <v>120</v>
      </c>
      <c r="AK327" s="288">
        <v>1020</v>
      </c>
      <c r="AL327" s="832">
        <f t="shared" si="11"/>
        <v>345</v>
      </c>
      <c r="AM327" s="201">
        <v>2</v>
      </c>
    </row>
    <row r="328" spans="1:39" x14ac:dyDescent="0.3">
      <c r="A328" s="33">
        <v>551</v>
      </c>
      <c r="B328" s="33">
        <v>460</v>
      </c>
      <c r="C328" s="50" t="s">
        <v>863</v>
      </c>
      <c r="D328" s="70" t="s">
        <v>865</v>
      </c>
      <c r="E328" s="70" t="s">
        <v>866</v>
      </c>
      <c r="F328" s="800">
        <v>611</v>
      </c>
      <c r="G328" s="800" t="s">
        <v>539</v>
      </c>
      <c r="H328" s="52"/>
      <c r="I328" s="72">
        <v>0.25</v>
      </c>
      <c r="J328" s="800" t="s">
        <v>237</v>
      </c>
      <c r="K328" s="52" t="s">
        <v>75</v>
      </c>
      <c r="L328" s="835" t="s">
        <v>540</v>
      </c>
      <c r="M328" s="835" t="s">
        <v>541</v>
      </c>
      <c r="N328" s="835" t="s">
        <v>541</v>
      </c>
      <c r="O328" s="835" t="s">
        <v>541</v>
      </c>
      <c r="P328" s="835" t="s">
        <v>542</v>
      </c>
      <c r="Q328" s="975" t="s">
        <v>542</v>
      </c>
      <c r="R328" s="52" t="s">
        <v>543</v>
      </c>
      <c r="S328" s="52" t="s">
        <v>858</v>
      </c>
      <c r="T328" s="825">
        <v>1360</v>
      </c>
      <c r="U328" s="825">
        <v>1270</v>
      </c>
      <c r="V328" s="825">
        <v>1330</v>
      </c>
      <c r="W328" s="822">
        <v>1220</v>
      </c>
      <c r="X328" s="760">
        <v>1360</v>
      </c>
      <c r="Y328" s="760">
        <v>1390</v>
      </c>
      <c r="Z328" s="760">
        <v>1460</v>
      </c>
      <c r="AA328" s="956">
        <v>1570</v>
      </c>
      <c r="AB328" s="760">
        <v>1590</v>
      </c>
      <c r="AC328" s="884">
        <v>1490</v>
      </c>
      <c r="AD328" s="748">
        <v>1610</v>
      </c>
      <c r="AE328" s="80" t="s">
        <v>229</v>
      </c>
      <c r="AF328" s="194">
        <v>13640</v>
      </c>
      <c r="AG328" s="303">
        <v>0.11803519061583578</v>
      </c>
      <c r="AH328" s="80" t="s">
        <v>97</v>
      </c>
      <c r="AI328" s="115">
        <v>110</v>
      </c>
      <c r="AJ328" s="115">
        <v>140</v>
      </c>
      <c r="AK328" s="115">
        <v>1020</v>
      </c>
      <c r="AL328" s="832">
        <f t="shared" si="11"/>
        <v>402.5</v>
      </c>
      <c r="AM328" s="63">
        <v>2</v>
      </c>
    </row>
    <row r="329" spans="1:39" x14ac:dyDescent="0.3">
      <c r="A329" s="268">
        <v>552</v>
      </c>
      <c r="B329" s="268">
        <v>461</v>
      </c>
      <c r="C329" s="34" t="s">
        <v>863</v>
      </c>
      <c r="D329" s="64" t="s">
        <v>681</v>
      </c>
      <c r="E329" s="35" t="s">
        <v>867</v>
      </c>
      <c r="F329" s="799">
        <v>612</v>
      </c>
      <c r="G329" s="799" t="s">
        <v>539</v>
      </c>
      <c r="H329" s="65"/>
      <c r="I329" s="37">
        <v>0.5</v>
      </c>
      <c r="J329" s="799" t="s">
        <v>237</v>
      </c>
      <c r="K329" s="36" t="s">
        <v>75</v>
      </c>
      <c r="L329" s="837" t="s">
        <v>540</v>
      </c>
      <c r="M329" s="837" t="s">
        <v>541</v>
      </c>
      <c r="N329" s="837" t="s">
        <v>541</v>
      </c>
      <c r="O329" s="837" t="s">
        <v>541</v>
      </c>
      <c r="P329" s="837" t="s">
        <v>542</v>
      </c>
      <c r="Q329" s="975" t="s">
        <v>542</v>
      </c>
      <c r="R329" s="65" t="s">
        <v>543</v>
      </c>
      <c r="S329" s="65" t="s">
        <v>858</v>
      </c>
      <c r="T329" s="833">
        <v>2310</v>
      </c>
      <c r="U329" s="833">
        <v>2300</v>
      </c>
      <c r="V329" s="833">
        <v>2290</v>
      </c>
      <c r="W329" s="820">
        <v>2140</v>
      </c>
      <c r="X329" s="838">
        <v>2280</v>
      </c>
      <c r="Y329" s="838">
        <v>2320</v>
      </c>
      <c r="Z329" s="838">
        <v>2440</v>
      </c>
      <c r="AA329" s="957">
        <v>2640</v>
      </c>
      <c r="AB329" s="838">
        <v>2570</v>
      </c>
      <c r="AC329" s="888">
        <v>2530</v>
      </c>
      <c r="AD329" s="749">
        <v>2620</v>
      </c>
      <c r="AE329" s="83" t="s">
        <v>229</v>
      </c>
      <c r="AF329" s="213">
        <v>13640</v>
      </c>
      <c r="AG329" s="315">
        <v>0.19208211143695014</v>
      </c>
      <c r="AH329" s="83" t="s">
        <v>97</v>
      </c>
      <c r="AI329" s="120">
        <v>200</v>
      </c>
      <c r="AJ329" s="120">
        <v>240</v>
      </c>
      <c r="AK329" s="120">
        <v>1020</v>
      </c>
      <c r="AL329" s="832">
        <f t="shared" si="11"/>
        <v>1310</v>
      </c>
      <c r="AM329" s="121">
        <v>2</v>
      </c>
    </row>
    <row r="330" spans="1:39" x14ac:dyDescent="0.3">
      <c r="A330" s="33">
        <v>553</v>
      </c>
      <c r="B330" s="33">
        <v>462</v>
      </c>
      <c r="C330" s="50" t="s">
        <v>863</v>
      </c>
      <c r="D330" s="51" t="s">
        <v>776</v>
      </c>
      <c r="E330" s="70" t="s">
        <v>868</v>
      </c>
      <c r="F330" s="800">
        <v>613</v>
      </c>
      <c r="G330" s="800" t="s">
        <v>539</v>
      </c>
      <c r="H330" s="52"/>
      <c r="I330" s="72">
        <v>0.75</v>
      </c>
      <c r="J330" s="800" t="s">
        <v>237</v>
      </c>
      <c r="K330" s="52" t="s">
        <v>75</v>
      </c>
      <c r="L330" s="835" t="s">
        <v>540</v>
      </c>
      <c r="M330" s="835" t="s">
        <v>541</v>
      </c>
      <c r="N330" s="835" t="s">
        <v>541</v>
      </c>
      <c r="O330" s="835" t="s">
        <v>541</v>
      </c>
      <c r="P330" s="835" t="s">
        <v>542</v>
      </c>
      <c r="Q330" s="975" t="s">
        <v>542</v>
      </c>
      <c r="R330" s="52" t="s">
        <v>543</v>
      </c>
      <c r="S330" s="52" t="s">
        <v>858</v>
      </c>
      <c r="T330" s="825">
        <v>2440</v>
      </c>
      <c r="U330" s="825">
        <v>2510</v>
      </c>
      <c r="V330" s="825">
        <v>2430</v>
      </c>
      <c r="W330" s="822">
        <v>2380</v>
      </c>
      <c r="X330" s="760">
        <v>2450</v>
      </c>
      <c r="Y330" s="760">
        <v>2830</v>
      </c>
      <c r="Z330" s="760">
        <v>2790</v>
      </c>
      <c r="AA330" s="956">
        <v>3130</v>
      </c>
      <c r="AB330" s="760">
        <v>2970</v>
      </c>
      <c r="AC330" s="884">
        <v>2880</v>
      </c>
      <c r="AD330" s="748">
        <v>2930</v>
      </c>
      <c r="AE330" s="80" t="s">
        <v>229</v>
      </c>
      <c r="AF330" s="194">
        <v>13640</v>
      </c>
      <c r="AG330" s="303">
        <v>0.21480938416422288</v>
      </c>
      <c r="AH330" s="80" t="s">
        <v>97</v>
      </c>
      <c r="AI330" s="115">
        <v>200</v>
      </c>
      <c r="AJ330" s="115">
        <v>260</v>
      </c>
      <c r="AK330" s="115">
        <v>1020</v>
      </c>
      <c r="AL330" s="832">
        <f t="shared" si="11"/>
        <v>2197.5</v>
      </c>
      <c r="AM330" s="63">
        <v>2</v>
      </c>
    </row>
    <row r="331" spans="1:39" ht="15" thickBot="1" x14ac:dyDescent="0.35">
      <c r="A331" s="305">
        <v>554</v>
      </c>
      <c r="B331" s="305">
        <v>463</v>
      </c>
      <c r="C331" s="479" t="s">
        <v>863</v>
      </c>
      <c r="D331" s="185" t="s">
        <v>664</v>
      </c>
      <c r="E331" s="91" t="s">
        <v>869</v>
      </c>
      <c r="F331" s="801">
        <v>614</v>
      </c>
      <c r="G331" s="801" t="s">
        <v>539</v>
      </c>
      <c r="H331" s="97"/>
      <c r="I331" s="93">
        <v>0.5</v>
      </c>
      <c r="J331" s="801" t="s">
        <v>237</v>
      </c>
      <c r="K331" s="92" t="s">
        <v>75</v>
      </c>
      <c r="L331" s="841" t="s">
        <v>540</v>
      </c>
      <c r="M331" s="841" t="s">
        <v>541</v>
      </c>
      <c r="N331" s="841" t="s">
        <v>541</v>
      </c>
      <c r="O331" s="841" t="s">
        <v>541</v>
      </c>
      <c r="P331" s="841" t="s">
        <v>542</v>
      </c>
      <c r="Q331" s="975" t="s">
        <v>542</v>
      </c>
      <c r="R331" s="97" t="s">
        <v>543</v>
      </c>
      <c r="S331" s="97" t="s">
        <v>858</v>
      </c>
      <c r="T331" s="827">
        <v>2150</v>
      </c>
      <c r="U331" s="827">
        <v>2200</v>
      </c>
      <c r="V331" s="827">
        <v>2150</v>
      </c>
      <c r="W331" s="828">
        <v>2210</v>
      </c>
      <c r="X331" s="915" t="s">
        <v>81</v>
      </c>
      <c r="Y331" s="842">
        <v>2260</v>
      </c>
      <c r="Z331" s="842">
        <v>2190</v>
      </c>
      <c r="AA331" s="958">
        <v>2330</v>
      </c>
      <c r="AB331" s="842">
        <v>2060</v>
      </c>
      <c r="AC331" s="861">
        <v>2100</v>
      </c>
      <c r="AD331" s="750">
        <v>2260</v>
      </c>
      <c r="AE331" s="246" t="s">
        <v>229</v>
      </c>
      <c r="AF331" s="241">
        <v>13640</v>
      </c>
      <c r="AG331" s="147">
        <v>0.16568914956011729</v>
      </c>
      <c r="AH331" s="100" t="s">
        <v>97</v>
      </c>
      <c r="AI331" s="126">
        <v>130</v>
      </c>
      <c r="AJ331" s="126">
        <v>200</v>
      </c>
      <c r="AK331" s="126">
        <v>1020</v>
      </c>
      <c r="AL331" s="829">
        <f t="shared" si="11"/>
        <v>1130</v>
      </c>
      <c r="AM331" s="127">
        <v>2</v>
      </c>
    </row>
    <row r="332" spans="1:39" ht="15" thickBot="1" x14ac:dyDescent="0.35">
      <c r="A332" s="202">
        <v>562</v>
      </c>
      <c r="B332" s="202">
        <v>466</v>
      </c>
      <c r="C332" s="480" t="s">
        <v>870</v>
      </c>
      <c r="D332" s="403" t="s">
        <v>537</v>
      </c>
      <c r="E332" s="248" t="s">
        <v>871</v>
      </c>
      <c r="F332" s="805">
        <v>650</v>
      </c>
      <c r="G332" s="805" t="s">
        <v>539</v>
      </c>
      <c r="H332" s="208" t="s">
        <v>73</v>
      </c>
      <c r="I332" s="207">
        <v>0.3</v>
      </c>
      <c r="J332" s="805" t="s">
        <v>237</v>
      </c>
      <c r="K332" s="387" t="s">
        <v>75</v>
      </c>
      <c r="L332" s="851" t="s">
        <v>540</v>
      </c>
      <c r="M332" s="404" t="s">
        <v>584</v>
      </c>
      <c r="N332" s="205" t="s">
        <v>584</v>
      </c>
      <c r="O332" s="205" t="s">
        <v>584</v>
      </c>
      <c r="P332" s="205" t="s">
        <v>542</v>
      </c>
      <c r="Q332" s="859" t="s">
        <v>542</v>
      </c>
      <c r="R332" s="249" t="s">
        <v>543</v>
      </c>
      <c r="S332" s="206" t="s">
        <v>872</v>
      </c>
      <c r="T332" s="846">
        <v>5450</v>
      </c>
      <c r="U332" s="846">
        <v>5570</v>
      </c>
      <c r="V332" s="846">
        <v>5430</v>
      </c>
      <c r="W332" s="857">
        <v>5140</v>
      </c>
      <c r="X332" s="858">
        <v>4900</v>
      </c>
      <c r="Y332" s="932">
        <v>5300</v>
      </c>
      <c r="Z332" s="858">
        <v>5470</v>
      </c>
      <c r="AA332" s="858">
        <v>5540</v>
      </c>
      <c r="AB332" s="858">
        <v>5510</v>
      </c>
      <c r="AC332" s="945">
        <v>4820</v>
      </c>
      <c r="AD332" s="781">
        <v>4970</v>
      </c>
      <c r="AE332" s="442" t="s">
        <v>229</v>
      </c>
      <c r="AF332" s="481">
        <v>13640</v>
      </c>
      <c r="AG332" s="444">
        <v>0.36436950146627567</v>
      </c>
      <c r="AH332" s="442" t="s">
        <v>97</v>
      </c>
      <c r="AI332" s="282">
        <v>270</v>
      </c>
      <c r="AJ332" s="282">
        <v>430</v>
      </c>
      <c r="AK332" s="282">
        <v>1020</v>
      </c>
      <c r="AL332" s="829">
        <f t="shared" si="11"/>
        <v>1491</v>
      </c>
      <c r="AM332" s="211">
        <v>2</v>
      </c>
    </row>
    <row r="333" spans="1:39" x14ac:dyDescent="0.3">
      <c r="A333" s="103">
        <v>583</v>
      </c>
      <c r="B333" s="103">
        <v>483</v>
      </c>
      <c r="C333" s="482" t="s">
        <v>873</v>
      </c>
      <c r="D333" s="338" t="s">
        <v>874</v>
      </c>
      <c r="E333" s="189" t="s">
        <v>875</v>
      </c>
      <c r="F333" s="804">
        <v>690</v>
      </c>
      <c r="G333" s="804" t="s">
        <v>539</v>
      </c>
      <c r="H333" s="77"/>
      <c r="I333" s="178">
        <v>1</v>
      </c>
      <c r="J333" s="804" t="s">
        <v>237</v>
      </c>
      <c r="K333" s="340" t="s">
        <v>75</v>
      </c>
      <c r="L333" s="843" t="s">
        <v>540</v>
      </c>
      <c r="M333" s="848" t="s">
        <v>541</v>
      </c>
      <c r="N333" s="843" t="s">
        <v>541</v>
      </c>
      <c r="O333" s="843" t="s">
        <v>541</v>
      </c>
      <c r="P333" s="843" t="s">
        <v>542</v>
      </c>
      <c r="Q333" s="951" t="s">
        <v>542</v>
      </c>
      <c r="R333" s="77" t="s">
        <v>543</v>
      </c>
      <c r="S333" s="311" t="s">
        <v>858</v>
      </c>
      <c r="T333" s="825">
        <v>140</v>
      </c>
      <c r="U333" s="825">
        <v>180</v>
      </c>
      <c r="V333" s="825">
        <v>130</v>
      </c>
      <c r="W333" s="836">
        <v>270</v>
      </c>
      <c r="X333" s="896" t="s">
        <v>81</v>
      </c>
      <c r="Y333" s="759">
        <v>200</v>
      </c>
      <c r="Z333" s="793" t="s">
        <v>81</v>
      </c>
      <c r="AA333" s="973">
        <v>160</v>
      </c>
      <c r="AB333" s="759">
        <v>150</v>
      </c>
      <c r="AC333" s="887">
        <v>150</v>
      </c>
      <c r="AD333" s="754">
        <v>230</v>
      </c>
      <c r="AE333" s="190" t="s">
        <v>229</v>
      </c>
      <c r="AF333" s="409">
        <v>13640</v>
      </c>
      <c r="AG333" s="79">
        <v>1.6862170087976538E-2</v>
      </c>
      <c r="AH333" s="86" t="s">
        <v>97</v>
      </c>
      <c r="AI333" s="181">
        <v>10</v>
      </c>
      <c r="AJ333" s="181">
        <v>30</v>
      </c>
      <c r="AK333" s="181">
        <v>1020</v>
      </c>
      <c r="AL333" s="977"/>
      <c r="AM333" s="182">
        <v>2</v>
      </c>
    </row>
    <row r="334" spans="1:39" ht="15" thickBot="1" x14ac:dyDescent="0.35">
      <c r="A334" s="88">
        <v>584</v>
      </c>
      <c r="B334" s="88">
        <v>484</v>
      </c>
      <c r="C334" s="483" t="s">
        <v>873</v>
      </c>
      <c r="D334" s="306" t="s">
        <v>876</v>
      </c>
      <c r="E334" s="185" t="s">
        <v>877</v>
      </c>
      <c r="F334" s="801">
        <v>691</v>
      </c>
      <c r="G334" s="801" t="s">
        <v>539</v>
      </c>
      <c r="H334" s="97"/>
      <c r="I334" s="93">
        <v>1.25</v>
      </c>
      <c r="J334" s="801" t="s">
        <v>154</v>
      </c>
      <c r="K334" s="271" t="s">
        <v>75</v>
      </c>
      <c r="L334" s="841" t="s">
        <v>540</v>
      </c>
      <c r="M334" s="841" t="s">
        <v>541</v>
      </c>
      <c r="N334" s="841" t="s">
        <v>541</v>
      </c>
      <c r="O334" s="841" t="s">
        <v>541</v>
      </c>
      <c r="P334" s="841" t="s">
        <v>542</v>
      </c>
      <c r="Q334" s="859" t="s">
        <v>542</v>
      </c>
      <c r="R334" s="97" t="s">
        <v>543</v>
      </c>
      <c r="S334" s="97" t="s">
        <v>858</v>
      </c>
      <c r="T334" s="827">
        <v>520</v>
      </c>
      <c r="U334" s="827">
        <v>670</v>
      </c>
      <c r="V334" s="827">
        <v>480</v>
      </c>
      <c r="W334" s="828">
        <v>1260</v>
      </c>
      <c r="X334" s="899" t="s">
        <v>81</v>
      </c>
      <c r="Y334" s="842">
        <v>710</v>
      </c>
      <c r="Z334" s="915" t="s">
        <v>81</v>
      </c>
      <c r="AA334" s="958">
        <v>1000</v>
      </c>
      <c r="AB334" s="842">
        <v>1040</v>
      </c>
      <c r="AC334" s="972">
        <v>1100</v>
      </c>
      <c r="AD334" s="750">
        <v>1100</v>
      </c>
      <c r="AE334" s="246" t="s">
        <v>229</v>
      </c>
      <c r="AF334" s="241">
        <v>13640</v>
      </c>
      <c r="AG334" s="147">
        <v>8.0645161290322578E-2</v>
      </c>
      <c r="AH334" s="100" t="s">
        <v>97</v>
      </c>
      <c r="AI334" s="126">
        <v>50</v>
      </c>
      <c r="AJ334" s="126">
        <v>130</v>
      </c>
      <c r="AK334" s="126">
        <v>1020</v>
      </c>
      <c r="AL334" s="862"/>
      <c r="AM334" s="127">
        <v>2</v>
      </c>
    </row>
    <row r="335" spans="1:39" x14ac:dyDescent="0.3">
      <c r="A335" s="103">
        <v>592</v>
      </c>
      <c r="B335" s="103">
        <v>494</v>
      </c>
      <c r="C335" s="379" t="s">
        <v>878</v>
      </c>
      <c r="D335" s="338" t="s">
        <v>713</v>
      </c>
      <c r="E335" s="189" t="s">
        <v>879</v>
      </c>
      <c r="F335" s="804">
        <v>700</v>
      </c>
      <c r="G335" s="804" t="s">
        <v>539</v>
      </c>
      <c r="H335" s="77"/>
      <c r="I335" s="178">
        <v>1</v>
      </c>
      <c r="J335" s="804" t="s">
        <v>237</v>
      </c>
      <c r="K335" s="349" t="s">
        <v>104</v>
      </c>
      <c r="L335" s="843" t="s">
        <v>540</v>
      </c>
      <c r="M335" s="177" t="s">
        <v>584</v>
      </c>
      <c r="N335" s="177" t="s">
        <v>584</v>
      </c>
      <c r="O335" s="177" t="s">
        <v>584</v>
      </c>
      <c r="P335" s="177" t="s">
        <v>542</v>
      </c>
      <c r="Q335" s="951" t="s">
        <v>542</v>
      </c>
      <c r="R335" s="77" t="s">
        <v>543</v>
      </c>
      <c r="S335" s="484" t="s">
        <v>549</v>
      </c>
      <c r="T335" s="825">
        <v>2350</v>
      </c>
      <c r="U335" s="825">
        <v>2280</v>
      </c>
      <c r="V335" s="825">
        <v>1980</v>
      </c>
      <c r="W335" s="836">
        <v>1910</v>
      </c>
      <c r="X335" s="896" t="s">
        <v>81</v>
      </c>
      <c r="Y335" s="759">
        <v>2430</v>
      </c>
      <c r="Z335" s="759">
        <v>2270</v>
      </c>
      <c r="AA335" s="973">
        <v>2400</v>
      </c>
      <c r="AB335" s="759">
        <v>2070</v>
      </c>
      <c r="AC335" s="887">
        <v>1920</v>
      </c>
      <c r="AD335" s="754">
        <v>2130</v>
      </c>
      <c r="AE335" s="86" t="s">
        <v>229</v>
      </c>
      <c r="AF335" s="409">
        <v>13640</v>
      </c>
      <c r="AG335" s="79">
        <v>0.156158357771261</v>
      </c>
      <c r="AH335" s="86" t="s">
        <v>97</v>
      </c>
      <c r="AI335" s="181">
        <v>140</v>
      </c>
      <c r="AJ335" s="181">
        <v>180</v>
      </c>
      <c r="AK335" s="181">
        <v>1020</v>
      </c>
      <c r="AL335" s="832"/>
      <c r="AM335" s="221">
        <v>2</v>
      </c>
    </row>
    <row r="336" spans="1:39" ht="15" thickBot="1" x14ac:dyDescent="0.35">
      <c r="A336" s="305">
        <v>590</v>
      </c>
      <c r="B336" s="305">
        <v>492</v>
      </c>
      <c r="C336" s="483" t="s">
        <v>878</v>
      </c>
      <c r="D336" s="306" t="s">
        <v>880</v>
      </c>
      <c r="E336" s="185" t="s">
        <v>590</v>
      </c>
      <c r="F336" s="801">
        <v>702</v>
      </c>
      <c r="G336" s="801" t="s">
        <v>539</v>
      </c>
      <c r="H336" s="92"/>
      <c r="I336" s="93">
        <v>0.85</v>
      </c>
      <c r="J336" s="801" t="s">
        <v>237</v>
      </c>
      <c r="K336" s="271" t="s">
        <v>104</v>
      </c>
      <c r="L336" s="841" t="s">
        <v>540</v>
      </c>
      <c r="M336" s="91" t="s">
        <v>584</v>
      </c>
      <c r="N336" s="91" t="s">
        <v>584</v>
      </c>
      <c r="O336" s="91" t="s">
        <v>584</v>
      </c>
      <c r="P336" s="91" t="s">
        <v>542</v>
      </c>
      <c r="Q336" s="975" t="s">
        <v>542</v>
      </c>
      <c r="R336" s="97" t="s">
        <v>543</v>
      </c>
      <c r="S336" s="285" t="s">
        <v>549</v>
      </c>
      <c r="T336" s="827">
        <v>2310</v>
      </c>
      <c r="U336" s="827">
        <v>2220</v>
      </c>
      <c r="V336" s="827">
        <v>2100</v>
      </c>
      <c r="W336" s="828">
        <v>2280</v>
      </c>
      <c r="X336" s="899" t="s">
        <v>81</v>
      </c>
      <c r="Y336" s="842">
        <v>2390</v>
      </c>
      <c r="Z336" s="842">
        <v>2760</v>
      </c>
      <c r="AA336" s="860">
        <v>3100</v>
      </c>
      <c r="AB336" s="842">
        <v>2830</v>
      </c>
      <c r="AC336" s="972">
        <v>2370</v>
      </c>
      <c r="AD336" s="750">
        <v>2550</v>
      </c>
      <c r="AE336" s="246" t="s">
        <v>229</v>
      </c>
      <c r="AF336" s="241">
        <v>13640</v>
      </c>
      <c r="AG336" s="147">
        <v>0.18695014662756598</v>
      </c>
      <c r="AH336" s="100" t="s">
        <v>97</v>
      </c>
      <c r="AI336" s="126">
        <v>160</v>
      </c>
      <c r="AJ336" s="126">
        <v>220</v>
      </c>
      <c r="AK336" s="126">
        <v>1020</v>
      </c>
      <c r="AL336" s="832"/>
      <c r="AM336" s="127">
        <v>2</v>
      </c>
    </row>
    <row r="337" spans="1:39" ht="15" thickBot="1" x14ac:dyDescent="0.35">
      <c r="A337" s="202">
        <v>595</v>
      </c>
      <c r="B337" s="202">
        <v>496</v>
      </c>
      <c r="C337" s="407" t="s">
        <v>881</v>
      </c>
      <c r="D337" s="388" t="s">
        <v>882</v>
      </c>
      <c r="E337" s="205" t="s">
        <v>883</v>
      </c>
      <c r="F337" s="805">
        <v>711</v>
      </c>
      <c r="G337" s="805" t="s">
        <v>539</v>
      </c>
      <c r="H337" s="249"/>
      <c r="I337" s="207">
        <v>0.9</v>
      </c>
      <c r="J337" s="805" t="s">
        <v>158</v>
      </c>
      <c r="K337" s="249" t="s">
        <v>104</v>
      </c>
      <c r="L337" s="851" t="s">
        <v>540</v>
      </c>
      <c r="M337" s="205" t="s">
        <v>584</v>
      </c>
      <c r="N337" s="205" t="s">
        <v>584</v>
      </c>
      <c r="O337" s="205" t="s">
        <v>584</v>
      </c>
      <c r="P337" s="205" t="s">
        <v>626</v>
      </c>
      <c r="Q337" s="909" t="s">
        <v>626</v>
      </c>
      <c r="R337" s="249" t="s">
        <v>556</v>
      </c>
      <c r="S337" s="249" t="s">
        <v>858</v>
      </c>
      <c r="T337" s="846">
        <v>1860</v>
      </c>
      <c r="U337" s="846">
        <v>1680</v>
      </c>
      <c r="V337" s="846">
        <v>1530</v>
      </c>
      <c r="W337" s="857">
        <v>1550</v>
      </c>
      <c r="X337" s="858">
        <v>1670</v>
      </c>
      <c r="Y337" s="932">
        <v>1900</v>
      </c>
      <c r="Z337" s="858">
        <v>2130</v>
      </c>
      <c r="AA337" s="858">
        <v>1850</v>
      </c>
      <c r="AB337" s="858">
        <v>2220</v>
      </c>
      <c r="AC337" s="945">
        <v>1920</v>
      </c>
      <c r="AD337" s="781">
        <v>2040</v>
      </c>
      <c r="AE337" s="442" t="s">
        <v>229</v>
      </c>
      <c r="AF337" s="481">
        <v>13640</v>
      </c>
      <c r="AG337" s="444">
        <v>0.14956011730205279</v>
      </c>
      <c r="AH337" s="442" t="s">
        <v>97</v>
      </c>
      <c r="AI337" s="282">
        <v>140</v>
      </c>
      <c r="AJ337" s="282">
        <v>210</v>
      </c>
      <c r="AK337" s="485">
        <v>1230</v>
      </c>
      <c r="AL337" s="829">
        <f t="shared" ref="AL337:AL351" si="12">IF(AD337&gt;0,AD337*$I337,"-")</f>
        <v>1836</v>
      </c>
      <c r="AM337" s="255">
        <v>2</v>
      </c>
    </row>
    <row r="338" spans="1:39" ht="15" thickBot="1" x14ac:dyDescent="0.35">
      <c r="A338" s="299">
        <v>601</v>
      </c>
      <c r="B338" s="299">
        <v>501</v>
      </c>
      <c r="C338" s="486" t="s">
        <v>884</v>
      </c>
      <c r="D338" s="319" t="s">
        <v>707</v>
      </c>
      <c r="E338" s="487" t="s">
        <v>885</v>
      </c>
      <c r="F338" s="802">
        <v>730</v>
      </c>
      <c r="G338" s="802" t="s">
        <v>539</v>
      </c>
      <c r="H338" s="106"/>
      <c r="I338" s="107">
        <v>1.5</v>
      </c>
      <c r="J338" s="802" t="s">
        <v>158</v>
      </c>
      <c r="K338" s="200" t="s">
        <v>104</v>
      </c>
      <c r="L338" s="830" t="s">
        <v>540</v>
      </c>
      <c r="M338" s="830" t="s">
        <v>541</v>
      </c>
      <c r="N338" s="830" t="s">
        <v>541</v>
      </c>
      <c r="O338" s="830" t="s">
        <v>541</v>
      </c>
      <c r="P338" s="830" t="s">
        <v>626</v>
      </c>
      <c r="Q338" s="909" t="s">
        <v>626</v>
      </c>
      <c r="R338" s="200" t="s">
        <v>556</v>
      </c>
      <c r="S338" s="106" t="s">
        <v>858</v>
      </c>
      <c r="T338" s="833">
        <v>1310</v>
      </c>
      <c r="U338" s="833">
        <v>1300</v>
      </c>
      <c r="V338" s="833">
        <v>1410</v>
      </c>
      <c r="W338" s="831">
        <v>1510</v>
      </c>
      <c r="X338" s="844">
        <v>1660</v>
      </c>
      <c r="Y338" s="844">
        <v>1740</v>
      </c>
      <c r="Z338" s="871">
        <v>1810</v>
      </c>
      <c r="AA338" s="871">
        <v>2040</v>
      </c>
      <c r="AB338" s="844">
        <v>2110</v>
      </c>
      <c r="AC338" s="978">
        <v>2260</v>
      </c>
      <c r="AD338" s="751">
        <v>2580</v>
      </c>
      <c r="AE338" s="287" t="s">
        <v>229</v>
      </c>
      <c r="AF338" s="477">
        <v>13640</v>
      </c>
      <c r="AG338" s="82">
        <v>0.18914956011730205</v>
      </c>
      <c r="AH338" s="287" t="s">
        <v>97</v>
      </c>
      <c r="AI338" s="288">
        <v>190</v>
      </c>
      <c r="AJ338" s="288">
        <v>260</v>
      </c>
      <c r="AK338" s="294">
        <v>1230</v>
      </c>
      <c r="AL338" s="832">
        <f t="shared" si="12"/>
        <v>3870</v>
      </c>
      <c r="AM338" s="201">
        <v>2</v>
      </c>
    </row>
    <row r="339" spans="1:39" x14ac:dyDescent="0.3">
      <c r="A339" s="33">
        <v>600</v>
      </c>
      <c r="B339" s="33">
        <v>500</v>
      </c>
      <c r="C339" s="196" t="s">
        <v>884</v>
      </c>
      <c r="D339" s="51" t="s">
        <v>711</v>
      </c>
      <c r="E339" s="139" t="s">
        <v>886</v>
      </c>
      <c r="F339" s="800">
        <v>731</v>
      </c>
      <c r="G339" s="800" t="s">
        <v>539</v>
      </c>
      <c r="H339" s="52"/>
      <c r="I339" s="72">
        <v>1.1000000000000001</v>
      </c>
      <c r="J339" s="800" t="s">
        <v>154</v>
      </c>
      <c r="K339" s="52" t="s">
        <v>104</v>
      </c>
      <c r="L339" s="835" t="s">
        <v>540</v>
      </c>
      <c r="M339" s="835" t="s">
        <v>541</v>
      </c>
      <c r="N339" s="835" t="s">
        <v>541</v>
      </c>
      <c r="O339" s="835" t="s">
        <v>541</v>
      </c>
      <c r="P339" s="835" t="s">
        <v>542</v>
      </c>
      <c r="Q339" s="975" t="s">
        <v>542</v>
      </c>
      <c r="R339" s="52" t="s">
        <v>556</v>
      </c>
      <c r="S339" s="52" t="s">
        <v>858</v>
      </c>
      <c r="T339" s="825">
        <v>3710</v>
      </c>
      <c r="U339" s="825">
        <v>3780</v>
      </c>
      <c r="V339" s="825">
        <v>3820</v>
      </c>
      <c r="W339" s="822">
        <v>3720</v>
      </c>
      <c r="X339" s="760">
        <v>4030</v>
      </c>
      <c r="Y339" s="760">
        <v>4280</v>
      </c>
      <c r="Z339" s="849" t="s">
        <v>81</v>
      </c>
      <c r="AA339" s="849" t="s">
        <v>81</v>
      </c>
      <c r="AB339" s="760"/>
      <c r="AC339" s="884">
        <v>4500</v>
      </c>
      <c r="AD339" s="748">
        <v>5150</v>
      </c>
      <c r="AE339" s="80" t="s">
        <v>229</v>
      </c>
      <c r="AF339" s="194">
        <v>13640</v>
      </c>
      <c r="AG339" s="303">
        <v>0.37756598240469208</v>
      </c>
      <c r="AH339" s="80" t="s">
        <v>97</v>
      </c>
      <c r="AI339" s="115">
        <v>360</v>
      </c>
      <c r="AJ339" s="115">
        <v>440</v>
      </c>
      <c r="AK339" s="115">
        <v>1020</v>
      </c>
      <c r="AL339" s="832">
        <f t="shared" si="12"/>
        <v>5665.0000000000009</v>
      </c>
      <c r="AM339" s="63">
        <v>2</v>
      </c>
    </row>
    <row r="340" spans="1:39" ht="15" thickBot="1" x14ac:dyDescent="0.35">
      <c r="A340" s="305">
        <v>599</v>
      </c>
      <c r="B340" s="305">
        <v>499</v>
      </c>
      <c r="C340" s="479" t="s">
        <v>884</v>
      </c>
      <c r="D340" s="185" t="s">
        <v>713</v>
      </c>
      <c r="E340" s="91" t="s">
        <v>887</v>
      </c>
      <c r="F340" s="801">
        <v>732</v>
      </c>
      <c r="G340" s="801" t="s">
        <v>539</v>
      </c>
      <c r="H340" s="97"/>
      <c r="I340" s="93">
        <v>0.85</v>
      </c>
      <c r="J340" s="801" t="s">
        <v>154</v>
      </c>
      <c r="K340" s="92" t="s">
        <v>104</v>
      </c>
      <c r="L340" s="841" t="s">
        <v>540</v>
      </c>
      <c r="M340" s="841" t="s">
        <v>541</v>
      </c>
      <c r="N340" s="841" t="s">
        <v>541</v>
      </c>
      <c r="O340" s="841" t="s">
        <v>541</v>
      </c>
      <c r="P340" s="841" t="s">
        <v>542</v>
      </c>
      <c r="Q340" s="975" t="s">
        <v>542</v>
      </c>
      <c r="R340" s="92" t="s">
        <v>556</v>
      </c>
      <c r="S340" s="97" t="s">
        <v>858</v>
      </c>
      <c r="T340" s="827">
        <v>1670</v>
      </c>
      <c r="U340" s="827">
        <v>1820</v>
      </c>
      <c r="V340" s="827">
        <v>1930</v>
      </c>
      <c r="W340" s="828">
        <v>1870</v>
      </c>
      <c r="X340" s="842">
        <v>1570</v>
      </c>
      <c r="Y340" s="842">
        <v>1500</v>
      </c>
      <c r="Z340" s="860">
        <v>1590</v>
      </c>
      <c r="AA340" s="860">
        <v>1770</v>
      </c>
      <c r="AB340" s="842">
        <v>1800</v>
      </c>
      <c r="AC340" s="972">
        <v>1850</v>
      </c>
      <c r="AD340" s="750">
        <v>2060</v>
      </c>
      <c r="AE340" s="100" t="s">
        <v>229</v>
      </c>
      <c r="AF340" s="241">
        <v>13640</v>
      </c>
      <c r="AG340" s="147">
        <v>0.15102639296187684</v>
      </c>
      <c r="AH340" s="100" t="s">
        <v>97</v>
      </c>
      <c r="AI340" s="126">
        <v>140</v>
      </c>
      <c r="AJ340" s="126">
        <v>190</v>
      </c>
      <c r="AK340" s="126">
        <v>1020</v>
      </c>
      <c r="AL340" s="829">
        <f t="shared" si="12"/>
        <v>1751</v>
      </c>
      <c r="AM340" s="127">
        <v>2</v>
      </c>
    </row>
    <row r="341" spans="1:39" x14ac:dyDescent="0.3">
      <c r="A341" s="103">
        <v>604</v>
      </c>
      <c r="B341" s="103">
        <v>503</v>
      </c>
      <c r="C341" s="379" t="s">
        <v>888</v>
      </c>
      <c r="D341" s="338" t="s">
        <v>681</v>
      </c>
      <c r="E341" s="189" t="s">
        <v>889</v>
      </c>
      <c r="F341" s="804">
        <v>741</v>
      </c>
      <c r="G341" s="804" t="s">
        <v>539</v>
      </c>
      <c r="H341" s="131"/>
      <c r="I341" s="178">
        <v>1.6</v>
      </c>
      <c r="J341" s="804" t="s">
        <v>154</v>
      </c>
      <c r="K341" s="340" t="s">
        <v>75</v>
      </c>
      <c r="L341" s="843" t="s">
        <v>540</v>
      </c>
      <c r="M341" s="256" t="s">
        <v>584</v>
      </c>
      <c r="N341" s="177" t="s">
        <v>584</v>
      </c>
      <c r="O341" s="177" t="s">
        <v>584</v>
      </c>
      <c r="P341" s="177" t="s">
        <v>542</v>
      </c>
      <c r="Q341" s="975" t="s">
        <v>542</v>
      </c>
      <c r="R341" s="77" t="s">
        <v>543</v>
      </c>
      <c r="S341" s="179" t="s">
        <v>872</v>
      </c>
      <c r="T341" s="825">
        <v>4210</v>
      </c>
      <c r="U341" s="825">
        <v>4170</v>
      </c>
      <c r="V341" s="825">
        <v>4030</v>
      </c>
      <c r="W341" s="836">
        <v>4040</v>
      </c>
      <c r="X341" s="896" t="s">
        <v>81</v>
      </c>
      <c r="Y341" s="759">
        <v>4360</v>
      </c>
      <c r="Z341" s="759">
        <v>4120</v>
      </c>
      <c r="AA341" s="973">
        <v>4380</v>
      </c>
      <c r="AB341" s="759">
        <v>4500</v>
      </c>
      <c r="AC341" s="887">
        <v>4360</v>
      </c>
      <c r="AD341" s="754">
        <v>4280</v>
      </c>
      <c r="AE341" s="86" t="s">
        <v>229</v>
      </c>
      <c r="AF341" s="409">
        <v>13640</v>
      </c>
      <c r="AG341" s="79">
        <v>0.31378299120234604</v>
      </c>
      <c r="AH341" s="86" t="s">
        <v>97</v>
      </c>
      <c r="AI341" s="181">
        <v>260</v>
      </c>
      <c r="AJ341" s="181">
        <v>380</v>
      </c>
      <c r="AK341" s="181">
        <v>1020</v>
      </c>
      <c r="AL341" s="832">
        <f t="shared" si="12"/>
        <v>6848</v>
      </c>
      <c r="AM341" s="182">
        <v>2</v>
      </c>
    </row>
    <row r="342" spans="1:39" ht="15" thickBot="1" x14ac:dyDescent="0.35">
      <c r="A342" s="88">
        <v>606</v>
      </c>
      <c r="B342" s="88">
        <v>505</v>
      </c>
      <c r="C342" s="483" t="s">
        <v>888</v>
      </c>
      <c r="D342" s="296" t="s">
        <v>839</v>
      </c>
      <c r="E342" s="185" t="s">
        <v>890</v>
      </c>
      <c r="F342" s="801">
        <v>743</v>
      </c>
      <c r="G342" s="801" t="s">
        <v>539</v>
      </c>
      <c r="H342" s="92"/>
      <c r="I342" s="93">
        <v>1.25</v>
      </c>
      <c r="J342" s="801" t="s">
        <v>154</v>
      </c>
      <c r="K342" s="271" t="s">
        <v>75</v>
      </c>
      <c r="L342" s="841" t="s">
        <v>540</v>
      </c>
      <c r="M342" s="91" t="s">
        <v>584</v>
      </c>
      <c r="N342" s="91" t="s">
        <v>584</v>
      </c>
      <c r="O342" s="91" t="s">
        <v>584</v>
      </c>
      <c r="P342" s="91" t="s">
        <v>542</v>
      </c>
      <c r="Q342" s="975" t="s">
        <v>542</v>
      </c>
      <c r="R342" s="97" t="s">
        <v>543</v>
      </c>
      <c r="S342" s="94" t="s">
        <v>872</v>
      </c>
      <c r="T342" s="827">
        <v>2140</v>
      </c>
      <c r="U342" s="827">
        <v>2140</v>
      </c>
      <c r="V342" s="827">
        <v>2050</v>
      </c>
      <c r="W342" s="828">
        <v>2000</v>
      </c>
      <c r="X342" s="899" t="s">
        <v>81</v>
      </c>
      <c r="Y342" s="842">
        <v>2400</v>
      </c>
      <c r="Z342" s="842">
        <v>2260</v>
      </c>
      <c r="AA342" s="958">
        <v>2340</v>
      </c>
      <c r="AB342" s="842">
        <v>2390</v>
      </c>
      <c r="AC342" s="972">
        <v>2110</v>
      </c>
      <c r="AD342" s="750">
        <v>1780</v>
      </c>
      <c r="AE342" s="246" t="s">
        <v>229</v>
      </c>
      <c r="AF342" s="241">
        <v>13640</v>
      </c>
      <c r="AG342" s="147">
        <v>0.13049853372434017</v>
      </c>
      <c r="AH342" s="100" t="s">
        <v>97</v>
      </c>
      <c r="AI342" s="126">
        <v>120</v>
      </c>
      <c r="AJ342" s="126">
        <v>200</v>
      </c>
      <c r="AK342" s="126">
        <v>1020</v>
      </c>
      <c r="AL342" s="829">
        <f t="shared" si="12"/>
        <v>2225</v>
      </c>
      <c r="AM342" s="127">
        <v>2</v>
      </c>
    </row>
    <row r="343" spans="1:39" x14ac:dyDescent="0.3">
      <c r="A343" s="103">
        <v>618</v>
      </c>
      <c r="B343" s="103">
        <v>516</v>
      </c>
      <c r="C343" s="488" t="s">
        <v>891</v>
      </c>
      <c r="D343" s="489" t="s">
        <v>711</v>
      </c>
      <c r="E343" s="189" t="s">
        <v>892</v>
      </c>
      <c r="F343" s="221">
        <v>748</v>
      </c>
      <c r="G343" s="804" t="s">
        <v>539</v>
      </c>
      <c r="H343" s="77" t="s">
        <v>73</v>
      </c>
      <c r="I343" s="178">
        <v>0.6</v>
      </c>
      <c r="J343" s="804" t="s">
        <v>237</v>
      </c>
      <c r="K343" s="349" t="s">
        <v>104</v>
      </c>
      <c r="L343" s="843" t="s">
        <v>540</v>
      </c>
      <c r="M343" s="177" t="s">
        <v>584</v>
      </c>
      <c r="N343" s="177" t="s">
        <v>584</v>
      </c>
      <c r="O343" s="177" t="s">
        <v>584</v>
      </c>
      <c r="P343" s="177" t="s">
        <v>542</v>
      </c>
      <c r="Q343" s="975" t="s">
        <v>542</v>
      </c>
      <c r="R343" s="77" t="s">
        <v>543</v>
      </c>
      <c r="S343" s="220" t="s">
        <v>872</v>
      </c>
      <c r="T343" s="825">
        <v>810</v>
      </c>
      <c r="U343" s="825">
        <v>860</v>
      </c>
      <c r="V343" s="825">
        <v>830</v>
      </c>
      <c r="W343" s="836">
        <v>940</v>
      </c>
      <c r="X343" s="759">
        <v>970</v>
      </c>
      <c r="Y343" s="896" t="s">
        <v>81</v>
      </c>
      <c r="Z343" s="759">
        <v>1230</v>
      </c>
      <c r="AA343" s="973">
        <v>1550</v>
      </c>
      <c r="AB343" s="759">
        <v>1870</v>
      </c>
      <c r="AC343" s="887">
        <v>1980</v>
      </c>
      <c r="AD343" s="754">
        <v>2250</v>
      </c>
      <c r="AE343" s="86" t="s">
        <v>229</v>
      </c>
      <c r="AF343" s="409">
        <v>13640</v>
      </c>
      <c r="AG343" s="79">
        <v>0.16495601173020527</v>
      </c>
      <c r="AH343" s="86" t="s">
        <v>97</v>
      </c>
      <c r="AI343" s="181">
        <v>170</v>
      </c>
      <c r="AJ343" s="181">
        <v>240</v>
      </c>
      <c r="AK343" s="181">
        <v>1020</v>
      </c>
      <c r="AL343" s="832">
        <f t="shared" si="12"/>
        <v>1350</v>
      </c>
      <c r="AM343" s="221">
        <v>2</v>
      </c>
    </row>
    <row r="344" spans="1:39" x14ac:dyDescent="0.3">
      <c r="A344" s="268">
        <v>617</v>
      </c>
      <c r="B344" s="268">
        <v>515</v>
      </c>
      <c r="C344" s="490" t="s">
        <v>891</v>
      </c>
      <c r="D344" s="351" t="s">
        <v>713</v>
      </c>
      <c r="E344" s="64" t="s">
        <v>714</v>
      </c>
      <c r="F344" s="799">
        <v>750</v>
      </c>
      <c r="G344" s="799" t="s">
        <v>539</v>
      </c>
      <c r="H344" s="36" t="s">
        <v>73</v>
      </c>
      <c r="I344" s="37">
        <v>0.9</v>
      </c>
      <c r="J344" s="799" t="s">
        <v>154</v>
      </c>
      <c r="K344" s="324" t="s">
        <v>104</v>
      </c>
      <c r="L344" s="837" t="s">
        <v>540</v>
      </c>
      <c r="M344" s="35" t="s">
        <v>584</v>
      </c>
      <c r="N344" s="35" t="s">
        <v>584</v>
      </c>
      <c r="O344" s="35" t="s">
        <v>584</v>
      </c>
      <c r="P344" s="35" t="s">
        <v>542</v>
      </c>
      <c r="Q344" s="975" t="s">
        <v>542</v>
      </c>
      <c r="R344" s="65" t="s">
        <v>543</v>
      </c>
      <c r="S344" s="38" t="s">
        <v>872</v>
      </c>
      <c r="T344" s="833">
        <v>2250</v>
      </c>
      <c r="U344" s="833">
        <v>1820</v>
      </c>
      <c r="V344" s="833">
        <v>2190</v>
      </c>
      <c r="W344" s="820">
        <v>2280</v>
      </c>
      <c r="X344" s="838">
        <v>2570</v>
      </c>
      <c r="Y344" s="838">
        <v>3090</v>
      </c>
      <c r="Z344" s="838">
        <v>3010</v>
      </c>
      <c r="AA344" s="957">
        <v>3630</v>
      </c>
      <c r="AB344" s="838">
        <v>4090</v>
      </c>
      <c r="AC344" s="964">
        <v>3890</v>
      </c>
      <c r="AD344" s="749">
        <v>4400</v>
      </c>
      <c r="AE344" s="83" t="s">
        <v>229</v>
      </c>
      <c r="AF344" s="213">
        <v>13640</v>
      </c>
      <c r="AG344" s="315">
        <v>0.32258064516129031</v>
      </c>
      <c r="AH344" s="83" t="s">
        <v>97</v>
      </c>
      <c r="AI344" s="120">
        <v>310</v>
      </c>
      <c r="AJ344" s="120">
        <v>470</v>
      </c>
      <c r="AK344" s="120">
        <v>1020</v>
      </c>
      <c r="AL344" s="832">
        <f t="shared" si="12"/>
        <v>3960</v>
      </c>
      <c r="AM344" s="121">
        <v>2</v>
      </c>
    </row>
    <row r="345" spans="1:39" ht="15" thickBot="1" x14ac:dyDescent="0.35">
      <c r="A345" s="33">
        <v>616</v>
      </c>
      <c r="B345" s="33">
        <v>514</v>
      </c>
      <c r="C345" s="490" t="s">
        <v>891</v>
      </c>
      <c r="D345" s="301" t="s">
        <v>893</v>
      </c>
      <c r="E345" s="70" t="s">
        <v>586</v>
      </c>
      <c r="F345" s="800">
        <v>751</v>
      </c>
      <c r="G345" s="800" t="s">
        <v>539</v>
      </c>
      <c r="H345" s="52" t="s">
        <v>73</v>
      </c>
      <c r="I345" s="72">
        <v>0.5</v>
      </c>
      <c r="J345" s="800" t="s">
        <v>158</v>
      </c>
      <c r="K345" s="302" t="s">
        <v>104</v>
      </c>
      <c r="L345" s="835" t="s">
        <v>540</v>
      </c>
      <c r="M345" s="51" t="s">
        <v>584</v>
      </c>
      <c r="N345" s="51" t="s">
        <v>584</v>
      </c>
      <c r="O345" s="51" t="s">
        <v>584</v>
      </c>
      <c r="P345" s="51" t="s">
        <v>626</v>
      </c>
      <c r="Q345" s="909" t="s">
        <v>626</v>
      </c>
      <c r="R345" s="52" t="s">
        <v>543</v>
      </c>
      <c r="S345" s="55" t="s">
        <v>872</v>
      </c>
      <c r="T345" s="825">
        <v>1240</v>
      </c>
      <c r="U345" s="825">
        <v>1270</v>
      </c>
      <c r="V345" s="825">
        <v>1260</v>
      </c>
      <c r="W345" s="822">
        <v>1240</v>
      </c>
      <c r="X345" s="760">
        <v>1410</v>
      </c>
      <c r="Y345" s="760">
        <v>1760</v>
      </c>
      <c r="Z345" s="760">
        <v>1530</v>
      </c>
      <c r="AA345" s="956">
        <v>1680</v>
      </c>
      <c r="AB345" s="760">
        <v>1900</v>
      </c>
      <c r="AC345" s="884">
        <v>1780</v>
      </c>
      <c r="AD345" s="748">
        <v>1910</v>
      </c>
      <c r="AE345" s="80" t="s">
        <v>229</v>
      </c>
      <c r="AF345" s="194">
        <v>13640</v>
      </c>
      <c r="AG345" s="303">
        <v>0.14002932551319647</v>
      </c>
      <c r="AH345" s="80" t="s">
        <v>97</v>
      </c>
      <c r="AI345" s="115">
        <v>140</v>
      </c>
      <c r="AJ345" s="115">
        <v>180</v>
      </c>
      <c r="AK345" s="304">
        <v>1230</v>
      </c>
      <c r="AL345" s="832">
        <f t="shared" si="12"/>
        <v>955</v>
      </c>
      <c r="AM345" s="63">
        <v>2</v>
      </c>
    </row>
    <row r="346" spans="1:39" ht="15" thickBot="1" x14ac:dyDescent="0.35">
      <c r="A346" s="268">
        <v>615</v>
      </c>
      <c r="B346" s="268">
        <v>513</v>
      </c>
      <c r="C346" s="490" t="s">
        <v>891</v>
      </c>
      <c r="D346" s="191" t="s">
        <v>880</v>
      </c>
      <c r="E346" s="64" t="s">
        <v>894</v>
      </c>
      <c r="F346" s="799">
        <v>752</v>
      </c>
      <c r="G346" s="799" t="s">
        <v>539</v>
      </c>
      <c r="H346" s="65" t="s">
        <v>73</v>
      </c>
      <c r="I346" s="37">
        <v>2.1</v>
      </c>
      <c r="J346" s="799" t="s">
        <v>158</v>
      </c>
      <c r="K346" s="478" t="s">
        <v>104</v>
      </c>
      <c r="L346" s="837" t="s">
        <v>764</v>
      </c>
      <c r="M346" s="837" t="s">
        <v>764</v>
      </c>
      <c r="N346" s="837" t="s">
        <v>764</v>
      </c>
      <c r="O346" s="837" t="s">
        <v>764</v>
      </c>
      <c r="P346" s="35" t="s">
        <v>626</v>
      </c>
      <c r="Q346" s="909" t="s">
        <v>626</v>
      </c>
      <c r="R346" s="39" t="s">
        <v>895</v>
      </c>
      <c r="S346" s="38" t="s">
        <v>872</v>
      </c>
      <c r="T346" s="833">
        <v>1910</v>
      </c>
      <c r="U346" s="833">
        <v>2010</v>
      </c>
      <c r="V346" s="66">
        <v>2080</v>
      </c>
      <c r="W346" s="820">
        <v>1990</v>
      </c>
      <c r="X346" s="838">
        <v>2330</v>
      </c>
      <c r="Y346" s="838">
        <v>2680</v>
      </c>
      <c r="Z346" s="838">
        <v>2310</v>
      </c>
      <c r="AA346" s="957">
        <v>2570</v>
      </c>
      <c r="AB346" s="838">
        <v>2650</v>
      </c>
      <c r="AC346" s="964">
        <v>2570</v>
      </c>
      <c r="AD346" s="749">
        <v>2840</v>
      </c>
      <c r="AE346" s="83" t="s">
        <v>229</v>
      </c>
      <c r="AF346" s="213">
        <v>13640</v>
      </c>
      <c r="AG346" s="315">
        <v>0.20821114369501467</v>
      </c>
      <c r="AH346" s="83" t="s">
        <v>97</v>
      </c>
      <c r="AI346" s="120">
        <v>210</v>
      </c>
      <c r="AJ346" s="120">
        <v>260</v>
      </c>
      <c r="AK346" s="316">
        <v>1230</v>
      </c>
      <c r="AL346" s="832">
        <f t="shared" si="12"/>
        <v>5964</v>
      </c>
      <c r="AM346" s="49">
        <v>2</v>
      </c>
    </row>
    <row r="347" spans="1:39" x14ac:dyDescent="0.3">
      <c r="A347" s="33">
        <v>613</v>
      </c>
      <c r="B347" s="33">
        <v>511</v>
      </c>
      <c r="C347" s="490" t="s">
        <v>891</v>
      </c>
      <c r="D347" s="301" t="s">
        <v>896</v>
      </c>
      <c r="E347" s="51" t="s">
        <v>897</v>
      </c>
      <c r="F347" s="800">
        <v>754</v>
      </c>
      <c r="G347" s="800" t="s">
        <v>539</v>
      </c>
      <c r="H347" s="52" t="s">
        <v>73</v>
      </c>
      <c r="I347" s="72">
        <v>1.3</v>
      </c>
      <c r="J347" s="800" t="s">
        <v>154</v>
      </c>
      <c r="K347" s="302" t="s">
        <v>104</v>
      </c>
      <c r="L347" s="835" t="s">
        <v>540</v>
      </c>
      <c r="M347" s="51" t="s">
        <v>615</v>
      </c>
      <c r="N347" s="51" t="s">
        <v>615</v>
      </c>
      <c r="O347" s="51" t="s">
        <v>615</v>
      </c>
      <c r="P347" s="51" t="s">
        <v>616</v>
      </c>
      <c r="Q347" s="904" t="s">
        <v>616</v>
      </c>
      <c r="R347" s="52" t="s">
        <v>543</v>
      </c>
      <c r="S347" s="55" t="s">
        <v>872</v>
      </c>
      <c r="T347" s="57">
        <v>3700</v>
      </c>
      <c r="U347" s="57">
        <v>3630</v>
      </c>
      <c r="V347" s="825">
        <v>3550</v>
      </c>
      <c r="W347" s="822">
        <v>3550</v>
      </c>
      <c r="X347" s="760">
        <v>3860</v>
      </c>
      <c r="Y347" s="760">
        <v>4010</v>
      </c>
      <c r="Z347" s="760">
        <v>4020</v>
      </c>
      <c r="AA347" s="956">
        <v>4200</v>
      </c>
      <c r="AB347" s="760">
        <v>4270</v>
      </c>
      <c r="AC347" s="884">
        <v>3950</v>
      </c>
      <c r="AD347" s="748">
        <v>4130</v>
      </c>
      <c r="AE347" s="80" t="s">
        <v>229</v>
      </c>
      <c r="AF347" s="194">
        <v>14740</v>
      </c>
      <c r="AG347" s="303">
        <v>0.28018995929443691</v>
      </c>
      <c r="AH347" s="80" t="s">
        <v>97</v>
      </c>
      <c r="AI347" s="115">
        <v>280</v>
      </c>
      <c r="AJ347" s="115">
        <v>380</v>
      </c>
      <c r="AK347" s="304">
        <v>1330</v>
      </c>
      <c r="AL347" s="832">
        <f t="shared" si="12"/>
        <v>5369</v>
      </c>
      <c r="AM347" s="63">
        <v>2</v>
      </c>
    </row>
    <row r="348" spans="1:39" ht="15" thickBot="1" x14ac:dyDescent="0.35">
      <c r="A348" s="305">
        <v>611</v>
      </c>
      <c r="B348" s="305">
        <v>509</v>
      </c>
      <c r="C348" s="491" t="s">
        <v>891</v>
      </c>
      <c r="D348" s="306" t="s">
        <v>898</v>
      </c>
      <c r="E348" s="91" t="s">
        <v>899</v>
      </c>
      <c r="F348" s="801">
        <v>756</v>
      </c>
      <c r="G348" s="801" t="s">
        <v>539</v>
      </c>
      <c r="H348" s="92" t="s">
        <v>73</v>
      </c>
      <c r="I348" s="93">
        <v>1.8</v>
      </c>
      <c r="J348" s="801" t="s">
        <v>158</v>
      </c>
      <c r="K348" s="271" t="s">
        <v>104</v>
      </c>
      <c r="L348" s="841" t="s">
        <v>540</v>
      </c>
      <c r="M348" s="91" t="s">
        <v>584</v>
      </c>
      <c r="N348" s="91" t="s">
        <v>584</v>
      </c>
      <c r="O348" s="91" t="s">
        <v>584</v>
      </c>
      <c r="P348" s="91" t="s">
        <v>626</v>
      </c>
      <c r="Q348" s="909" t="s">
        <v>626</v>
      </c>
      <c r="R348" s="97" t="s">
        <v>543</v>
      </c>
      <c r="S348" s="94" t="s">
        <v>872</v>
      </c>
      <c r="T348" s="827">
        <v>1740</v>
      </c>
      <c r="U348" s="827">
        <v>1720</v>
      </c>
      <c r="V348" s="827">
        <v>1700</v>
      </c>
      <c r="W348" s="828">
        <v>1740</v>
      </c>
      <c r="X348" s="842">
        <v>1990</v>
      </c>
      <c r="Y348" s="842">
        <v>2100</v>
      </c>
      <c r="Z348" s="842">
        <v>1860</v>
      </c>
      <c r="AA348" s="860">
        <v>2190</v>
      </c>
      <c r="AB348" s="842">
        <v>2200</v>
      </c>
      <c r="AC348" s="861">
        <v>2280</v>
      </c>
      <c r="AD348" s="750">
        <v>2340</v>
      </c>
      <c r="AE348" s="97" t="s">
        <v>229</v>
      </c>
      <c r="AF348" s="241">
        <v>13640</v>
      </c>
      <c r="AG348" s="147">
        <v>0.17155425219941348</v>
      </c>
      <c r="AH348" s="100" t="s">
        <v>97</v>
      </c>
      <c r="AI348" s="126">
        <v>160</v>
      </c>
      <c r="AJ348" s="126">
        <v>220</v>
      </c>
      <c r="AK348" s="308">
        <v>1230</v>
      </c>
      <c r="AL348" s="881">
        <f t="shared" si="12"/>
        <v>4212</v>
      </c>
      <c r="AM348" s="127">
        <v>2</v>
      </c>
    </row>
    <row r="349" spans="1:39" x14ac:dyDescent="0.3">
      <c r="A349" s="33">
        <v>625</v>
      </c>
      <c r="B349" s="33">
        <v>522</v>
      </c>
      <c r="C349" s="490" t="s">
        <v>900</v>
      </c>
      <c r="D349" s="492" t="s">
        <v>901</v>
      </c>
      <c r="E349" s="51" t="s">
        <v>902</v>
      </c>
      <c r="F349" s="800">
        <v>775</v>
      </c>
      <c r="G349" s="800" t="s">
        <v>539</v>
      </c>
      <c r="H349" s="71" t="s">
        <v>73</v>
      </c>
      <c r="I349" s="72">
        <v>0.3</v>
      </c>
      <c r="J349" s="800" t="s">
        <v>140</v>
      </c>
      <c r="K349" s="321" t="s">
        <v>75</v>
      </c>
      <c r="L349" s="835" t="s">
        <v>570</v>
      </c>
      <c r="M349" s="54" t="s">
        <v>903</v>
      </c>
      <c r="N349" s="51" t="s">
        <v>903</v>
      </c>
      <c r="O349" s="51" t="s">
        <v>903</v>
      </c>
      <c r="P349" s="51" t="s">
        <v>670</v>
      </c>
      <c r="Q349" s="314" t="s">
        <v>670</v>
      </c>
      <c r="R349" s="73" t="s">
        <v>374</v>
      </c>
      <c r="S349" s="73" t="s">
        <v>465</v>
      </c>
      <c r="T349" s="40">
        <v>17570</v>
      </c>
      <c r="U349" s="493">
        <v>17140</v>
      </c>
      <c r="V349" s="493">
        <v>16750</v>
      </c>
      <c r="W349" s="821">
        <v>17160</v>
      </c>
      <c r="X349" s="819">
        <v>18780</v>
      </c>
      <c r="Y349" s="819">
        <v>19180</v>
      </c>
      <c r="Z349" s="819">
        <v>19190</v>
      </c>
      <c r="AA349" s="979">
        <v>19590</v>
      </c>
      <c r="AB349" s="494">
        <v>21760</v>
      </c>
      <c r="AC349" s="980">
        <v>19090</v>
      </c>
      <c r="AD349" s="783">
        <v>19750</v>
      </c>
      <c r="AE349" s="495" t="s">
        <v>229</v>
      </c>
      <c r="AF349" s="496">
        <v>17900</v>
      </c>
      <c r="AG349" s="46">
        <v>1.1033519553072626</v>
      </c>
      <c r="AH349" s="497" t="s">
        <v>1525</v>
      </c>
      <c r="AI349" s="498">
        <v>1180</v>
      </c>
      <c r="AJ349" s="498">
        <v>1640</v>
      </c>
      <c r="AK349" s="499">
        <v>1620</v>
      </c>
      <c r="AL349" s="832">
        <f t="shared" si="12"/>
        <v>5925</v>
      </c>
      <c r="AM349" s="122">
        <v>2</v>
      </c>
    </row>
    <row r="350" spans="1:39" x14ac:dyDescent="0.3">
      <c r="A350" s="500">
        <v>626</v>
      </c>
      <c r="B350" s="500">
        <v>523</v>
      </c>
      <c r="C350" s="490" t="s">
        <v>900</v>
      </c>
      <c r="D350" s="373" t="s">
        <v>904</v>
      </c>
      <c r="E350" s="64" t="s">
        <v>905</v>
      </c>
      <c r="F350" s="799" t="s">
        <v>906</v>
      </c>
      <c r="G350" s="799" t="s">
        <v>539</v>
      </c>
      <c r="H350" s="36" t="s">
        <v>73</v>
      </c>
      <c r="I350" s="501">
        <v>0.6</v>
      </c>
      <c r="J350" s="799" t="s">
        <v>140</v>
      </c>
      <c r="K350" s="324" t="s">
        <v>75</v>
      </c>
      <c r="L350" s="837" t="s">
        <v>570</v>
      </c>
      <c r="M350" s="35" t="s">
        <v>615</v>
      </c>
      <c r="N350" s="35" t="s">
        <v>615</v>
      </c>
      <c r="O350" s="35" t="s">
        <v>615</v>
      </c>
      <c r="P350" s="35" t="s">
        <v>670</v>
      </c>
      <c r="Q350" s="314" t="s">
        <v>670</v>
      </c>
      <c r="R350" s="38" t="s">
        <v>374</v>
      </c>
      <c r="S350" s="38" t="s">
        <v>465</v>
      </c>
      <c r="T350" s="66">
        <v>13790</v>
      </c>
      <c r="U350" s="66">
        <v>11840</v>
      </c>
      <c r="V350" s="66">
        <v>12970</v>
      </c>
      <c r="W350" s="981">
        <v>13640</v>
      </c>
      <c r="X350" s="838">
        <v>14510</v>
      </c>
      <c r="Y350" s="838">
        <v>15310</v>
      </c>
      <c r="Z350" s="838">
        <v>14060</v>
      </c>
      <c r="AA350" s="957">
        <v>15520</v>
      </c>
      <c r="AB350" s="982">
        <v>16040</v>
      </c>
      <c r="AC350" s="983">
        <v>15580</v>
      </c>
      <c r="AD350" s="746">
        <v>16370</v>
      </c>
      <c r="AE350" s="144" t="s">
        <v>229</v>
      </c>
      <c r="AF350" s="502">
        <v>17900</v>
      </c>
      <c r="AG350" s="503">
        <v>0.91452513966480442</v>
      </c>
      <c r="AH350" s="47" t="s">
        <v>97</v>
      </c>
      <c r="AI350" s="143">
        <v>1000</v>
      </c>
      <c r="AJ350" s="143">
        <v>1420</v>
      </c>
      <c r="AK350" s="504">
        <v>1620</v>
      </c>
      <c r="AL350" s="832">
        <f t="shared" si="12"/>
        <v>9822</v>
      </c>
      <c r="AM350" s="121">
        <v>2</v>
      </c>
    </row>
    <row r="351" spans="1:39" ht="15" thickBot="1" x14ac:dyDescent="0.35">
      <c r="A351" s="202">
        <v>626</v>
      </c>
      <c r="B351" s="202">
        <v>523</v>
      </c>
      <c r="C351" s="505" t="s">
        <v>900</v>
      </c>
      <c r="D351" s="506" t="s">
        <v>904</v>
      </c>
      <c r="E351" s="507" t="s">
        <v>907</v>
      </c>
      <c r="F351" s="816" t="s">
        <v>908</v>
      </c>
      <c r="G351" s="816" t="s">
        <v>539</v>
      </c>
      <c r="H351" s="278" t="s">
        <v>73</v>
      </c>
      <c r="I351" s="508">
        <v>0.25</v>
      </c>
      <c r="J351" s="810">
        <v>35</v>
      </c>
      <c r="K351" s="332" t="s">
        <v>75</v>
      </c>
      <c r="L351" s="891" t="s">
        <v>570</v>
      </c>
      <c r="M351" s="396" t="s">
        <v>615</v>
      </c>
      <c r="N351" s="396" t="s">
        <v>615</v>
      </c>
      <c r="O351" s="396" t="s">
        <v>615</v>
      </c>
      <c r="P351" s="396" t="s">
        <v>670</v>
      </c>
      <c r="Q351" s="509" t="s">
        <v>621</v>
      </c>
      <c r="R351" s="510" t="s">
        <v>374</v>
      </c>
      <c r="S351" s="511" t="s">
        <v>465</v>
      </c>
      <c r="T351" s="279">
        <v>13790</v>
      </c>
      <c r="U351" s="279">
        <v>11840</v>
      </c>
      <c r="V351" s="279">
        <v>12970</v>
      </c>
      <c r="W351" s="868">
        <v>13640</v>
      </c>
      <c r="X351" s="755">
        <v>14510</v>
      </c>
      <c r="Y351" s="755">
        <v>15310</v>
      </c>
      <c r="Z351" s="755">
        <v>14060</v>
      </c>
      <c r="AA351" s="984">
        <v>15520</v>
      </c>
      <c r="AB351" s="868">
        <v>16040</v>
      </c>
      <c r="AC351" s="880">
        <v>16310</v>
      </c>
      <c r="AD351" s="752">
        <v>18540</v>
      </c>
      <c r="AE351" s="233" t="s">
        <v>229</v>
      </c>
      <c r="AF351" s="326">
        <v>30420</v>
      </c>
      <c r="AG351" s="172">
        <v>0.60946745562130178</v>
      </c>
      <c r="AH351" s="170" t="s">
        <v>80</v>
      </c>
      <c r="AI351" s="169">
        <v>1240</v>
      </c>
      <c r="AJ351" s="169">
        <v>1590</v>
      </c>
      <c r="AK351" s="298">
        <v>2740</v>
      </c>
      <c r="AL351" s="985">
        <f t="shared" si="12"/>
        <v>4635</v>
      </c>
      <c r="AM351" s="512">
        <v>4</v>
      </c>
    </row>
    <row r="352" spans="1:39" ht="15" thickBot="1" x14ac:dyDescent="0.35">
      <c r="A352" s="202">
        <v>628</v>
      </c>
      <c r="B352" s="202">
        <v>524</v>
      </c>
      <c r="C352" s="407" t="s">
        <v>909</v>
      </c>
      <c r="D352" s="205" t="s">
        <v>776</v>
      </c>
      <c r="E352" s="248" t="s">
        <v>777</v>
      </c>
      <c r="F352" s="805">
        <v>780</v>
      </c>
      <c r="G352" s="805" t="s">
        <v>539</v>
      </c>
      <c r="H352" s="249"/>
      <c r="I352" s="207">
        <v>0.5</v>
      </c>
      <c r="J352" s="805" t="s">
        <v>237</v>
      </c>
      <c r="K352" s="387" t="s">
        <v>75</v>
      </c>
      <c r="L352" s="851" t="s">
        <v>540</v>
      </c>
      <c r="M352" s="917" t="s">
        <v>541</v>
      </c>
      <c r="N352" s="851" t="s">
        <v>541</v>
      </c>
      <c r="O352" s="851" t="s">
        <v>541</v>
      </c>
      <c r="P352" s="851" t="s">
        <v>542</v>
      </c>
      <c r="Q352" s="975" t="s">
        <v>542</v>
      </c>
      <c r="R352" s="208" t="s">
        <v>556</v>
      </c>
      <c r="S352" s="285" t="s">
        <v>549</v>
      </c>
      <c r="T352" s="846">
        <v>120</v>
      </c>
      <c r="U352" s="846">
        <v>90</v>
      </c>
      <c r="V352" s="846">
        <v>100</v>
      </c>
      <c r="W352" s="857">
        <v>120</v>
      </c>
      <c r="X352" s="875" t="s">
        <v>81</v>
      </c>
      <c r="Y352" s="932">
        <v>150</v>
      </c>
      <c r="Z352" s="858">
        <v>200</v>
      </c>
      <c r="AA352" s="858">
        <v>210</v>
      </c>
      <c r="AB352" s="858">
        <v>230</v>
      </c>
      <c r="AC352" s="513">
        <v>200</v>
      </c>
      <c r="AD352" s="281">
        <v>160</v>
      </c>
      <c r="AE352" s="278" t="s">
        <v>229</v>
      </c>
      <c r="AF352" s="279">
        <v>13640</v>
      </c>
      <c r="AG352" s="280">
        <v>1.1730205278592375E-2</v>
      </c>
      <c r="AH352" s="210" t="s">
        <v>97</v>
      </c>
      <c r="AI352" s="281">
        <v>10</v>
      </c>
      <c r="AJ352" s="281">
        <v>20</v>
      </c>
      <c r="AK352" s="281">
        <v>1020</v>
      </c>
      <c r="AL352" s="919"/>
      <c r="AM352" s="211">
        <v>2</v>
      </c>
    </row>
    <row r="353" spans="1:39" ht="15" thickBot="1" x14ac:dyDescent="0.35">
      <c r="A353" s="327">
        <v>635</v>
      </c>
      <c r="B353" s="327">
        <v>530</v>
      </c>
      <c r="C353" s="420" t="s">
        <v>910</v>
      </c>
      <c r="D353" s="336" t="s">
        <v>911</v>
      </c>
      <c r="E353" s="329" t="s">
        <v>912</v>
      </c>
      <c r="F353" s="807">
        <v>810</v>
      </c>
      <c r="G353" s="807" t="s">
        <v>539</v>
      </c>
      <c r="H353" s="391" t="s">
        <v>73</v>
      </c>
      <c r="I353" s="331">
        <v>0.2</v>
      </c>
      <c r="J353" s="807" t="s">
        <v>237</v>
      </c>
      <c r="K353" s="391" t="s">
        <v>104</v>
      </c>
      <c r="L353" s="891" t="s">
        <v>540</v>
      </c>
      <c r="M353" s="396" t="s">
        <v>584</v>
      </c>
      <c r="N353" s="396" t="s">
        <v>584</v>
      </c>
      <c r="O353" s="396" t="s">
        <v>584</v>
      </c>
      <c r="P353" s="396" t="s">
        <v>542</v>
      </c>
      <c r="Q353" s="975" t="s">
        <v>542</v>
      </c>
      <c r="R353" s="330" t="s">
        <v>543</v>
      </c>
      <c r="S353" s="510" t="s">
        <v>872</v>
      </c>
      <c r="T353" s="827">
        <v>6170</v>
      </c>
      <c r="U353" s="827">
        <v>5780</v>
      </c>
      <c r="V353" s="827">
        <v>5890</v>
      </c>
      <c r="W353" s="893">
        <v>6450</v>
      </c>
      <c r="X353" s="860">
        <v>6530</v>
      </c>
      <c r="Y353" s="947">
        <v>6410</v>
      </c>
      <c r="Z353" s="860">
        <v>6940</v>
      </c>
      <c r="AA353" s="947">
        <v>7200</v>
      </c>
      <c r="AB353" s="860">
        <v>6940</v>
      </c>
      <c r="AC353" s="893">
        <v>6830</v>
      </c>
      <c r="AD353" s="758">
        <v>7320</v>
      </c>
      <c r="AE353" s="391" t="s">
        <v>229</v>
      </c>
      <c r="AF353" s="370">
        <v>13640</v>
      </c>
      <c r="AG353" s="333">
        <v>0.53665689149560114</v>
      </c>
      <c r="AH353" s="307" t="s">
        <v>80</v>
      </c>
      <c r="AI353" s="334">
        <v>450</v>
      </c>
      <c r="AJ353" s="334">
        <v>630</v>
      </c>
      <c r="AK353" s="334">
        <v>1020</v>
      </c>
      <c r="AL353" s="881">
        <f t="shared" ref="AL353:AL360" si="13">IF(AD353&gt;0,AD353*$I353,"-")</f>
        <v>1464</v>
      </c>
      <c r="AM353" s="337">
        <v>2</v>
      </c>
    </row>
    <row r="354" spans="1:39" x14ac:dyDescent="0.3">
      <c r="A354" s="103">
        <v>637</v>
      </c>
      <c r="B354" s="103">
        <v>533</v>
      </c>
      <c r="C354" s="382" t="s">
        <v>913</v>
      </c>
      <c r="D354" s="188" t="s">
        <v>914</v>
      </c>
      <c r="E354" s="177" t="s">
        <v>915</v>
      </c>
      <c r="F354" s="804">
        <v>830</v>
      </c>
      <c r="G354" s="804" t="s">
        <v>539</v>
      </c>
      <c r="H354" s="131" t="s">
        <v>73</v>
      </c>
      <c r="I354" s="178">
        <v>1.25</v>
      </c>
      <c r="J354" s="804" t="s">
        <v>205</v>
      </c>
      <c r="K354" s="340" t="s">
        <v>75</v>
      </c>
      <c r="L354" s="843" t="s">
        <v>583</v>
      </c>
      <c r="M354" s="256" t="s">
        <v>587</v>
      </c>
      <c r="N354" s="177" t="s">
        <v>587</v>
      </c>
      <c r="O354" s="177" t="s">
        <v>587</v>
      </c>
      <c r="P354" s="177" t="s">
        <v>629</v>
      </c>
      <c r="Q354" s="310" t="s">
        <v>629</v>
      </c>
      <c r="R354" s="77" t="s">
        <v>543</v>
      </c>
      <c r="S354" s="179" t="s">
        <v>872</v>
      </c>
      <c r="T354" s="825">
        <v>7660</v>
      </c>
      <c r="U354" s="825">
        <v>7900</v>
      </c>
      <c r="V354" s="825">
        <v>6750</v>
      </c>
      <c r="W354" s="836">
        <v>8330</v>
      </c>
      <c r="X354" s="759">
        <v>9520</v>
      </c>
      <c r="Y354" s="759">
        <v>8720</v>
      </c>
      <c r="Z354" s="759">
        <v>6880</v>
      </c>
      <c r="AA354" s="973">
        <v>9860</v>
      </c>
      <c r="AB354" s="986">
        <v>9590</v>
      </c>
      <c r="AC354" s="514"/>
      <c r="AD354" s="181">
        <v>9300</v>
      </c>
      <c r="AE354" s="190" t="s">
        <v>229</v>
      </c>
      <c r="AF354" s="409">
        <v>17050</v>
      </c>
      <c r="AG354" s="79">
        <v>0.54545454545454541</v>
      </c>
      <c r="AH354" s="86" t="s">
        <v>1526</v>
      </c>
      <c r="AI354" s="181">
        <v>620</v>
      </c>
      <c r="AJ354" s="181">
        <v>750</v>
      </c>
      <c r="AK354" s="312">
        <v>1540</v>
      </c>
      <c r="AL354" s="832">
        <f t="shared" si="13"/>
        <v>11625</v>
      </c>
      <c r="AM354" s="182">
        <v>2</v>
      </c>
    </row>
    <row r="355" spans="1:39" x14ac:dyDescent="0.3">
      <c r="A355" s="33">
        <v>639</v>
      </c>
      <c r="B355" s="33">
        <v>535</v>
      </c>
      <c r="C355" s="383" t="s">
        <v>913</v>
      </c>
      <c r="D355" s="353" t="s">
        <v>916</v>
      </c>
      <c r="E355" s="35" t="s">
        <v>917</v>
      </c>
      <c r="F355" s="799">
        <v>832</v>
      </c>
      <c r="G355" s="799" t="s">
        <v>539</v>
      </c>
      <c r="H355" s="36" t="s">
        <v>73</v>
      </c>
      <c r="I355" s="37">
        <v>0.75</v>
      </c>
      <c r="J355" s="799" t="s">
        <v>205</v>
      </c>
      <c r="K355" s="324" t="s">
        <v>75</v>
      </c>
      <c r="L355" s="837" t="s">
        <v>583</v>
      </c>
      <c r="M355" s="35" t="s">
        <v>584</v>
      </c>
      <c r="N355" s="35" t="s">
        <v>584</v>
      </c>
      <c r="O355" s="35" t="s">
        <v>584</v>
      </c>
      <c r="P355" s="35" t="s">
        <v>626</v>
      </c>
      <c r="Q355" s="310" t="s">
        <v>629</v>
      </c>
      <c r="R355" s="65" t="s">
        <v>543</v>
      </c>
      <c r="S355" s="38" t="s">
        <v>872</v>
      </c>
      <c r="T355" s="824">
        <v>13220</v>
      </c>
      <c r="U355" s="824">
        <v>13090</v>
      </c>
      <c r="V355" s="833">
        <v>10230</v>
      </c>
      <c r="W355" s="821">
        <v>13950</v>
      </c>
      <c r="X355" s="819">
        <v>14870</v>
      </c>
      <c r="Y355" s="159">
        <v>15370</v>
      </c>
      <c r="Z355" s="159">
        <v>16690</v>
      </c>
      <c r="AA355" s="515">
        <v>17010</v>
      </c>
      <c r="AB355" s="494">
        <v>16350</v>
      </c>
      <c r="AC355" s="888">
        <v>14340</v>
      </c>
      <c r="AD355" s="749">
        <v>14880</v>
      </c>
      <c r="AE355" s="411" t="s">
        <v>229</v>
      </c>
      <c r="AF355" s="213">
        <v>17050</v>
      </c>
      <c r="AG355" s="315">
        <v>0.87272727272727268</v>
      </c>
      <c r="AH355" s="83" t="s">
        <v>97</v>
      </c>
      <c r="AI355" s="120">
        <v>1030</v>
      </c>
      <c r="AJ355" s="120">
        <v>1200</v>
      </c>
      <c r="AK355" s="316">
        <v>1540</v>
      </c>
      <c r="AL355" s="832">
        <f t="shared" si="13"/>
        <v>11160</v>
      </c>
      <c r="AM355" s="121">
        <v>2</v>
      </c>
    </row>
    <row r="356" spans="1:39" ht="15" thickBot="1" x14ac:dyDescent="0.35">
      <c r="A356" s="88">
        <v>640</v>
      </c>
      <c r="B356" s="88">
        <v>536</v>
      </c>
      <c r="C356" s="384" t="s">
        <v>913</v>
      </c>
      <c r="D356" s="258" t="s">
        <v>918</v>
      </c>
      <c r="E356" s="166" t="s">
        <v>919</v>
      </c>
      <c r="F356" s="803">
        <v>833</v>
      </c>
      <c r="G356" s="803" t="s">
        <v>539</v>
      </c>
      <c r="H356" s="163" t="s">
        <v>73</v>
      </c>
      <c r="I356" s="164">
        <v>0.25</v>
      </c>
      <c r="J356" s="803" t="s">
        <v>140</v>
      </c>
      <c r="K356" s="291" t="s">
        <v>75</v>
      </c>
      <c r="L356" s="845" t="s">
        <v>619</v>
      </c>
      <c r="M356" s="457" t="s">
        <v>620</v>
      </c>
      <c r="N356" s="166" t="s">
        <v>620</v>
      </c>
      <c r="O356" s="166" t="s">
        <v>620</v>
      </c>
      <c r="P356" s="166" t="s">
        <v>637</v>
      </c>
      <c r="Q356" s="364" t="s">
        <v>637</v>
      </c>
      <c r="R356" s="215" t="s">
        <v>543</v>
      </c>
      <c r="S356" s="167" t="s">
        <v>872</v>
      </c>
      <c r="T356" s="825">
        <v>14880</v>
      </c>
      <c r="U356" s="825">
        <v>14320</v>
      </c>
      <c r="V356" s="825">
        <v>13350</v>
      </c>
      <c r="W356" s="822">
        <v>14950</v>
      </c>
      <c r="X356" s="761">
        <v>16320</v>
      </c>
      <c r="Y356" s="761">
        <v>15820</v>
      </c>
      <c r="Z356" s="761">
        <v>17270</v>
      </c>
      <c r="AA356" s="976">
        <v>18250</v>
      </c>
      <c r="AB356" s="906">
        <v>17000</v>
      </c>
      <c r="AC356" s="516">
        <v>13370</v>
      </c>
      <c r="AD356" s="169">
        <v>16250</v>
      </c>
      <c r="AE356" s="233" t="s">
        <v>229</v>
      </c>
      <c r="AF356" s="326">
        <v>37970</v>
      </c>
      <c r="AG356" s="172">
        <v>0.42796944956544641</v>
      </c>
      <c r="AH356" s="170" t="s">
        <v>97</v>
      </c>
      <c r="AI356" s="169">
        <v>1070</v>
      </c>
      <c r="AJ356" s="169">
        <v>1350</v>
      </c>
      <c r="AK356" s="298">
        <v>3410</v>
      </c>
      <c r="AL356" s="517">
        <f t="shared" si="13"/>
        <v>4062.5</v>
      </c>
      <c r="AM356" s="174">
        <v>4</v>
      </c>
    </row>
    <row r="357" spans="1:39" ht="15" thickBot="1" x14ac:dyDescent="0.35">
      <c r="A357" s="103">
        <v>650</v>
      </c>
      <c r="B357" s="103">
        <v>544</v>
      </c>
      <c r="C357" s="382" t="s">
        <v>920</v>
      </c>
      <c r="D357" s="188" t="s">
        <v>713</v>
      </c>
      <c r="E357" s="319" t="s">
        <v>879</v>
      </c>
      <c r="F357" s="802">
        <v>850</v>
      </c>
      <c r="G357" s="802" t="s">
        <v>539</v>
      </c>
      <c r="H357" s="200" t="s">
        <v>73</v>
      </c>
      <c r="I357" s="107">
        <v>1</v>
      </c>
      <c r="J357" s="802" t="s">
        <v>158</v>
      </c>
      <c r="K357" s="200" t="s">
        <v>104</v>
      </c>
      <c r="L357" s="830" t="s">
        <v>540</v>
      </c>
      <c r="M357" s="105" t="s">
        <v>584</v>
      </c>
      <c r="N357" s="105" t="s">
        <v>584</v>
      </c>
      <c r="O357" s="105" t="s">
        <v>584</v>
      </c>
      <c r="P357" s="105" t="s">
        <v>626</v>
      </c>
      <c r="Q357" s="987" t="s">
        <v>626</v>
      </c>
      <c r="R357" s="200" t="s">
        <v>556</v>
      </c>
      <c r="S357" s="199" t="s">
        <v>858</v>
      </c>
      <c r="T357" s="833">
        <v>1050</v>
      </c>
      <c r="U357" s="833">
        <v>1240</v>
      </c>
      <c r="V357" s="833">
        <v>1250</v>
      </c>
      <c r="W357" s="831">
        <v>1400</v>
      </c>
      <c r="X357" s="844">
        <v>1480</v>
      </c>
      <c r="Y357" s="844">
        <v>1680</v>
      </c>
      <c r="Z357" s="872">
        <v>1680</v>
      </c>
      <c r="AA357" s="952">
        <v>1980</v>
      </c>
      <c r="AB357" s="878">
        <v>1650</v>
      </c>
      <c r="AC357" s="878">
        <v>1440</v>
      </c>
      <c r="AD357" s="751">
        <v>1800</v>
      </c>
      <c r="AE357" s="200" t="s">
        <v>229</v>
      </c>
      <c r="AF357" s="477">
        <v>13640</v>
      </c>
      <c r="AG357" s="82">
        <v>0.13196480938416422</v>
      </c>
      <c r="AH357" s="287" t="s">
        <v>97</v>
      </c>
      <c r="AI357" s="288">
        <v>140</v>
      </c>
      <c r="AJ357" s="288">
        <v>180</v>
      </c>
      <c r="AK357" s="294">
        <v>1230</v>
      </c>
      <c r="AL357" s="783">
        <f t="shared" si="13"/>
        <v>1800</v>
      </c>
      <c r="AM357" s="201">
        <v>2</v>
      </c>
    </row>
    <row r="358" spans="1:39" ht="15" thickBot="1" x14ac:dyDescent="0.35">
      <c r="A358" s="88">
        <v>648</v>
      </c>
      <c r="B358" s="88">
        <v>542</v>
      </c>
      <c r="C358" s="518" t="s">
        <v>920</v>
      </c>
      <c r="D358" s="258" t="s">
        <v>880</v>
      </c>
      <c r="E358" s="162" t="s">
        <v>921</v>
      </c>
      <c r="F358" s="803">
        <v>852</v>
      </c>
      <c r="G358" s="803" t="s">
        <v>539</v>
      </c>
      <c r="H358" s="163"/>
      <c r="I358" s="164">
        <v>1.5</v>
      </c>
      <c r="J358" s="803" t="s">
        <v>154</v>
      </c>
      <c r="K358" s="163" t="s">
        <v>104</v>
      </c>
      <c r="L358" s="845" t="s">
        <v>540</v>
      </c>
      <c r="M358" s="457" t="s">
        <v>584</v>
      </c>
      <c r="N358" s="166" t="s">
        <v>584</v>
      </c>
      <c r="O358" s="166" t="s">
        <v>584</v>
      </c>
      <c r="P358" s="166" t="s">
        <v>542</v>
      </c>
      <c r="Q358" s="975" t="s">
        <v>542</v>
      </c>
      <c r="R358" s="163" t="s">
        <v>556</v>
      </c>
      <c r="S358" s="167" t="s">
        <v>858</v>
      </c>
      <c r="T358" s="846">
        <v>720</v>
      </c>
      <c r="U358" s="846">
        <v>700</v>
      </c>
      <c r="V358" s="846">
        <v>800</v>
      </c>
      <c r="W358" s="847">
        <v>820</v>
      </c>
      <c r="X358" s="761">
        <v>680</v>
      </c>
      <c r="Y358" s="761">
        <v>850</v>
      </c>
      <c r="Z358" s="761">
        <v>910</v>
      </c>
      <c r="AA358" s="858">
        <v>1020</v>
      </c>
      <c r="AB358" s="906">
        <v>1380</v>
      </c>
      <c r="AC358" s="516">
        <v>840</v>
      </c>
      <c r="AD358" s="169">
        <v>920</v>
      </c>
      <c r="AE358" s="233" t="s">
        <v>229</v>
      </c>
      <c r="AF358" s="326">
        <v>13640</v>
      </c>
      <c r="AG358" s="172">
        <v>6.7448680351906154E-2</v>
      </c>
      <c r="AH358" s="170" t="s">
        <v>97</v>
      </c>
      <c r="AI358" s="169">
        <v>130</v>
      </c>
      <c r="AJ358" s="169">
        <v>80</v>
      </c>
      <c r="AK358" s="169">
        <v>1020</v>
      </c>
      <c r="AL358" s="985">
        <f t="shared" si="13"/>
        <v>1380</v>
      </c>
      <c r="AM358" s="174">
        <v>2</v>
      </c>
    </row>
    <row r="359" spans="1:39" x14ac:dyDescent="0.3">
      <c r="A359" s="299">
        <v>658</v>
      </c>
      <c r="B359" s="299">
        <v>550</v>
      </c>
      <c r="C359" s="318" t="s">
        <v>922</v>
      </c>
      <c r="D359" s="289" t="s">
        <v>923</v>
      </c>
      <c r="E359" s="519" t="s">
        <v>924</v>
      </c>
      <c r="F359" s="802">
        <v>871</v>
      </c>
      <c r="G359" s="802" t="s">
        <v>539</v>
      </c>
      <c r="H359" s="200" t="s">
        <v>73</v>
      </c>
      <c r="I359" s="107">
        <v>1.6</v>
      </c>
      <c r="J359" s="802" t="s">
        <v>237</v>
      </c>
      <c r="K359" s="284" t="s">
        <v>75</v>
      </c>
      <c r="L359" s="830" t="s">
        <v>594</v>
      </c>
      <c r="M359" s="830" t="s">
        <v>653</v>
      </c>
      <c r="N359" s="830" t="s">
        <v>653</v>
      </c>
      <c r="O359" s="830" t="s">
        <v>653</v>
      </c>
      <c r="P359" s="105" t="s">
        <v>764</v>
      </c>
      <c r="Q359" s="933" t="s">
        <v>764</v>
      </c>
      <c r="R359" s="108" t="s">
        <v>895</v>
      </c>
      <c r="S359" s="108" t="s">
        <v>605</v>
      </c>
      <c r="T359" s="833">
        <v>1830</v>
      </c>
      <c r="U359" s="833">
        <v>2100</v>
      </c>
      <c r="V359" s="833">
        <v>1750</v>
      </c>
      <c r="W359" s="831">
        <v>2020</v>
      </c>
      <c r="X359" s="844">
        <v>2480</v>
      </c>
      <c r="Y359" s="844">
        <v>2770</v>
      </c>
      <c r="Z359" s="844">
        <v>2210</v>
      </c>
      <c r="AA359" s="952">
        <v>2570</v>
      </c>
      <c r="AB359" s="988">
        <v>3160</v>
      </c>
      <c r="AC359" s="978"/>
      <c r="AD359" s="751">
        <v>3430</v>
      </c>
      <c r="AE359" s="287" t="s">
        <v>97</v>
      </c>
      <c r="AF359" s="138">
        <v>11775</v>
      </c>
      <c r="AG359" s="82">
        <v>0.29129511677282377</v>
      </c>
      <c r="AH359" s="287" t="s">
        <v>1526</v>
      </c>
      <c r="AI359" s="288">
        <v>200</v>
      </c>
      <c r="AJ359" s="288">
        <v>300</v>
      </c>
      <c r="AK359" s="288">
        <v>1120</v>
      </c>
      <c r="AL359" s="783">
        <f t="shared" si="13"/>
        <v>5488</v>
      </c>
      <c r="AM359" s="201">
        <v>2</v>
      </c>
    </row>
    <row r="360" spans="1:39" ht="15" thickBot="1" x14ac:dyDescent="0.35">
      <c r="A360" s="88">
        <v>659</v>
      </c>
      <c r="B360" s="88">
        <v>551</v>
      </c>
      <c r="C360" s="325" t="s">
        <v>922</v>
      </c>
      <c r="D360" s="258" t="s">
        <v>925</v>
      </c>
      <c r="E360" s="520" t="s">
        <v>926</v>
      </c>
      <c r="F360" s="803">
        <v>872</v>
      </c>
      <c r="G360" s="803" t="s">
        <v>539</v>
      </c>
      <c r="H360" s="215" t="s">
        <v>73</v>
      </c>
      <c r="I360" s="164">
        <v>0.2</v>
      </c>
      <c r="J360" s="803" t="s">
        <v>237</v>
      </c>
      <c r="K360" s="363" t="s">
        <v>75</v>
      </c>
      <c r="L360" s="845" t="s">
        <v>594</v>
      </c>
      <c r="M360" s="845" t="s">
        <v>653</v>
      </c>
      <c r="N360" s="845" t="s">
        <v>653</v>
      </c>
      <c r="O360" s="845" t="s">
        <v>653</v>
      </c>
      <c r="P360" s="166" t="s">
        <v>542</v>
      </c>
      <c r="Q360" s="975" t="s">
        <v>542</v>
      </c>
      <c r="R360" s="217" t="s">
        <v>895</v>
      </c>
      <c r="S360" s="217" t="s">
        <v>872</v>
      </c>
      <c r="T360" s="846">
        <v>1520</v>
      </c>
      <c r="U360" s="846">
        <v>1780</v>
      </c>
      <c r="V360" s="846">
        <v>1490</v>
      </c>
      <c r="W360" s="847">
        <v>1660</v>
      </c>
      <c r="X360" s="761">
        <v>2170</v>
      </c>
      <c r="Y360" s="761">
        <v>2380</v>
      </c>
      <c r="Z360" s="761">
        <v>2120</v>
      </c>
      <c r="AA360" s="976">
        <v>2110</v>
      </c>
      <c r="AB360" s="906">
        <v>2680</v>
      </c>
      <c r="AC360" s="516">
        <v>2490</v>
      </c>
      <c r="AD360" s="169">
        <v>2970</v>
      </c>
      <c r="AE360" s="170" t="s">
        <v>229</v>
      </c>
      <c r="AF360" s="326">
        <v>13640</v>
      </c>
      <c r="AG360" s="172">
        <v>0.21774193548387097</v>
      </c>
      <c r="AH360" s="170" t="s">
        <v>97</v>
      </c>
      <c r="AI360" s="169">
        <v>160</v>
      </c>
      <c r="AJ360" s="169">
        <v>260</v>
      </c>
      <c r="AK360" s="169">
        <v>1020</v>
      </c>
      <c r="AL360" s="517">
        <f t="shared" si="13"/>
        <v>594</v>
      </c>
      <c r="AM360" s="219">
        <v>2</v>
      </c>
    </row>
    <row r="361" spans="1:39" ht="15" thickBot="1" x14ac:dyDescent="0.35">
      <c r="A361" s="103">
        <v>668</v>
      </c>
      <c r="B361" s="103">
        <v>559</v>
      </c>
      <c r="C361" s="521" t="s">
        <v>927</v>
      </c>
      <c r="D361" s="472"/>
      <c r="E361" s="522" t="s">
        <v>708</v>
      </c>
      <c r="F361" s="112">
        <v>878</v>
      </c>
      <c r="G361" s="802" t="s">
        <v>539</v>
      </c>
      <c r="H361" s="200"/>
      <c r="I361" s="107">
        <v>1</v>
      </c>
      <c r="J361" s="802" t="s">
        <v>237</v>
      </c>
      <c r="K361" s="284" t="s">
        <v>104</v>
      </c>
      <c r="L361" s="843" t="s">
        <v>540</v>
      </c>
      <c r="M361" s="256" t="s">
        <v>584</v>
      </c>
      <c r="N361" s="105" t="s">
        <v>584</v>
      </c>
      <c r="O361" s="105" t="s">
        <v>584</v>
      </c>
      <c r="P361" s="105" t="s">
        <v>542</v>
      </c>
      <c r="Q361" s="975" t="s">
        <v>542</v>
      </c>
      <c r="R361" s="200" t="s">
        <v>556</v>
      </c>
      <c r="S361" s="285" t="s">
        <v>549</v>
      </c>
      <c r="T361" s="833">
        <v>430</v>
      </c>
      <c r="U361" s="833">
        <v>480</v>
      </c>
      <c r="V361" s="833">
        <v>550</v>
      </c>
      <c r="W361" s="831">
        <v>820</v>
      </c>
      <c r="X361" s="924" t="s">
        <v>81</v>
      </c>
      <c r="Y361" s="844">
        <v>1070</v>
      </c>
      <c r="Z361" s="844">
        <v>1030</v>
      </c>
      <c r="AA361" s="952">
        <v>1260</v>
      </c>
      <c r="AB361" s="988">
        <v>1140</v>
      </c>
      <c r="AC361" s="878">
        <v>1060</v>
      </c>
      <c r="AD361" s="751">
        <v>1090</v>
      </c>
      <c r="AE361" s="414" t="s">
        <v>229</v>
      </c>
      <c r="AF361" s="477">
        <v>13640</v>
      </c>
      <c r="AG361" s="82">
        <v>7.9912023460410556E-2</v>
      </c>
      <c r="AH361" s="287" t="s">
        <v>97</v>
      </c>
      <c r="AI361" s="288">
        <v>80</v>
      </c>
      <c r="AJ361" s="288">
        <v>110</v>
      </c>
      <c r="AK361" s="288">
        <v>1020</v>
      </c>
      <c r="AL361" s="751"/>
      <c r="AM361" s="201">
        <v>2</v>
      </c>
    </row>
    <row r="362" spans="1:39" x14ac:dyDescent="0.3">
      <c r="A362" s="33">
        <v>666</v>
      </c>
      <c r="B362" s="33">
        <v>557</v>
      </c>
      <c r="C362" s="381" t="s">
        <v>927</v>
      </c>
      <c r="D362" s="353" t="s">
        <v>928</v>
      </c>
      <c r="E362" s="323" t="s">
        <v>710</v>
      </c>
      <c r="F362" s="800">
        <v>881</v>
      </c>
      <c r="G362" s="800" t="s">
        <v>539</v>
      </c>
      <c r="H362" s="71"/>
      <c r="I362" s="72">
        <v>0.75</v>
      </c>
      <c r="J362" s="800" t="s">
        <v>237</v>
      </c>
      <c r="K362" s="321" t="s">
        <v>104</v>
      </c>
      <c r="L362" s="835" t="s">
        <v>540</v>
      </c>
      <c r="M362" s="54" t="s">
        <v>584</v>
      </c>
      <c r="N362" s="51" t="s">
        <v>584</v>
      </c>
      <c r="O362" s="51" t="s">
        <v>584</v>
      </c>
      <c r="P362" s="51" t="s">
        <v>542</v>
      </c>
      <c r="Q362" s="975" t="s">
        <v>542</v>
      </c>
      <c r="R362" s="52" t="s">
        <v>543</v>
      </c>
      <c r="S362" s="56" t="s">
        <v>872</v>
      </c>
      <c r="T362" s="825">
        <v>2310</v>
      </c>
      <c r="U362" s="825">
        <v>2370</v>
      </c>
      <c r="V362" s="825">
        <v>2200</v>
      </c>
      <c r="W362" s="822">
        <v>2510</v>
      </c>
      <c r="X362" s="913" t="s">
        <v>81</v>
      </c>
      <c r="Y362" s="760">
        <v>2680</v>
      </c>
      <c r="Z362" s="760">
        <v>2780</v>
      </c>
      <c r="AA362" s="956">
        <v>2840</v>
      </c>
      <c r="AB362" s="905">
        <v>2980</v>
      </c>
      <c r="AC362" s="523">
        <v>2430</v>
      </c>
      <c r="AD362" s="115">
        <v>2480</v>
      </c>
      <c r="AE362" s="140" t="s">
        <v>229</v>
      </c>
      <c r="AF362" s="194">
        <v>13640</v>
      </c>
      <c r="AG362" s="303">
        <v>0.18181818181818182</v>
      </c>
      <c r="AH362" s="80" t="s">
        <v>97</v>
      </c>
      <c r="AI362" s="115">
        <v>230</v>
      </c>
      <c r="AJ362" s="115">
        <v>240</v>
      </c>
      <c r="AK362" s="115">
        <v>1020</v>
      </c>
      <c r="AL362" s="832">
        <f t="shared" ref="AL362:AL375" si="14">IF(AD362&gt;0,AD362*$I362,"-")</f>
        <v>1860</v>
      </c>
      <c r="AM362" s="122">
        <v>2</v>
      </c>
    </row>
    <row r="363" spans="1:39" x14ac:dyDescent="0.3">
      <c r="A363" s="33">
        <v>665</v>
      </c>
      <c r="B363" s="33">
        <v>556</v>
      </c>
      <c r="C363" s="380" t="s">
        <v>927</v>
      </c>
      <c r="D363" s="353" t="s">
        <v>929</v>
      </c>
      <c r="E363" s="524" t="s">
        <v>712</v>
      </c>
      <c r="F363" s="799">
        <v>882</v>
      </c>
      <c r="G363" s="799" t="s">
        <v>539</v>
      </c>
      <c r="H363" s="36"/>
      <c r="I363" s="37">
        <v>0.25</v>
      </c>
      <c r="J363" s="799" t="s">
        <v>237</v>
      </c>
      <c r="K363" s="324" t="s">
        <v>104</v>
      </c>
      <c r="L363" s="835" t="s">
        <v>540</v>
      </c>
      <c r="M363" s="54" t="s">
        <v>584</v>
      </c>
      <c r="N363" s="35" t="s">
        <v>584</v>
      </c>
      <c r="O363" s="35" t="s">
        <v>584</v>
      </c>
      <c r="P363" s="35" t="s">
        <v>542</v>
      </c>
      <c r="Q363" s="975" t="s">
        <v>542</v>
      </c>
      <c r="R363" s="65" t="s">
        <v>543</v>
      </c>
      <c r="S363" s="39" t="s">
        <v>872</v>
      </c>
      <c r="T363" s="833">
        <v>2530</v>
      </c>
      <c r="U363" s="833">
        <v>2780</v>
      </c>
      <c r="V363" s="833">
        <v>2540</v>
      </c>
      <c r="W363" s="820">
        <v>2760</v>
      </c>
      <c r="X363" s="934" t="s">
        <v>81</v>
      </c>
      <c r="Y363" s="838">
        <v>3220</v>
      </c>
      <c r="Z363" s="838">
        <v>3150</v>
      </c>
      <c r="AA363" s="957">
        <v>3710</v>
      </c>
      <c r="AB363" s="888">
        <v>3590</v>
      </c>
      <c r="AC363" s="888">
        <v>3060</v>
      </c>
      <c r="AD363" s="749">
        <v>3160</v>
      </c>
      <c r="AE363" s="36" t="s">
        <v>229</v>
      </c>
      <c r="AF363" s="213">
        <v>13640</v>
      </c>
      <c r="AG363" s="315">
        <v>0.2316715542521994</v>
      </c>
      <c r="AH363" s="83" t="s">
        <v>97</v>
      </c>
      <c r="AI363" s="120">
        <v>270</v>
      </c>
      <c r="AJ363" s="120">
        <v>290</v>
      </c>
      <c r="AK363" s="120">
        <v>1020</v>
      </c>
      <c r="AL363" s="832">
        <f t="shared" si="14"/>
        <v>790</v>
      </c>
      <c r="AM363" s="121">
        <v>2</v>
      </c>
    </row>
    <row r="364" spans="1:39" ht="15" thickBot="1" x14ac:dyDescent="0.35">
      <c r="A364" s="88">
        <v>661</v>
      </c>
      <c r="B364" s="88">
        <v>552</v>
      </c>
      <c r="C364" s="346" t="s">
        <v>930</v>
      </c>
      <c r="D364" s="525" t="s">
        <v>589</v>
      </c>
      <c r="E364" s="162" t="s">
        <v>590</v>
      </c>
      <c r="F364" s="803">
        <v>950</v>
      </c>
      <c r="G364" s="803" t="s">
        <v>539</v>
      </c>
      <c r="H364" s="163" t="s">
        <v>73</v>
      </c>
      <c r="I364" s="164">
        <v>0.85</v>
      </c>
      <c r="J364" s="803" t="s">
        <v>158</v>
      </c>
      <c r="K364" s="291" t="s">
        <v>104</v>
      </c>
      <c r="L364" s="845" t="s">
        <v>540</v>
      </c>
      <c r="M364" s="457" t="s">
        <v>584</v>
      </c>
      <c r="N364" s="166" t="s">
        <v>584</v>
      </c>
      <c r="O364" s="166" t="s">
        <v>584</v>
      </c>
      <c r="P364" s="166" t="s">
        <v>626</v>
      </c>
      <c r="Q364" s="909" t="s">
        <v>626</v>
      </c>
      <c r="R364" s="215" t="s">
        <v>543</v>
      </c>
      <c r="S364" s="526" t="s">
        <v>872</v>
      </c>
      <c r="T364" s="846">
        <v>5870</v>
      </c>
      <c r="U364" s="846">
        <v>5190</v>
      </c>
      <c r="V364" s="846">
        <v>5820</v>
      </c>
      <c r="W364" s="847">
        <v>5900</v>
      </c>
      <c r="X364" s="858">
        <v>6170</v>
      </c>
      <c r="Y364" s="761">
        <v>7590</v>
      </c>
      <c r="Z364" s="761">
        <v>7510</v>
      </c>
      <c r="AA364" s="858">
        <v>8420</v>
      </c>
      <c r="AB364" s="906">
        <v>8270</v>
      </c>
      <c r="AC364" s="516">
        <v>7230</v>
      </c>
      <c r="AD364" s="169">
        <v>7470</v>
      </c>
      <c r="AE364" s="233" t="s">
        <v>229</v>
      </c>
      <c r="AF364" s="326">
        <v>13640</v>
      </c>
      <c r="AG364" s="172">
        <v>0.54765395894428148</v>
      </c>
      <c r="AH364" s="170" t="s">
        <v>97</v>
      </c>
      <c r="AI364" s="169">
        <v>570</v>
      </c>
      <c r="AJ364" s="169">
        <v>680</v>
      </c>
      <c r="AK364" s="298">
        <v>1230</v>
      </c>
      <c r="AL364" s="829">
        <f t="shared" si="14"/>
        <v>6349.5</v>
      </c>
      <c r="AM364" s="174">
        <v>2</v>
      </c>
    </row>
    <row r="365" spans="1:39" x14ac:dyDescent="0.3">
      <c r="A365" s="103">
        <v>671</v>
      </c>
      <c r="B365" s="103">
        <v>561</v>
      </c>
      <c r="C365" s="148" t="s">
        <v>931</v>
      </c>
      <c r="D365" s="105" t="s">
        <v>932</v>
      </c>
      <c r="E365" s="105" t="s">
        <v>933</v>
      </c>
      <c r="F365" s="802">
        <v>890</v>
      </c>
      <c r="G365" s="802" t="s">
        <v>539</v>
      </c>
      <c r="H365" s="106"/>
      <c r="I365" s="107">
        <v>2</v>
      </c>
      <c r="J365" s="802" t="s">
        <v>154</v>
      </c>
      <c r="K365" s="284" t="s">
        <v>104</v>
      </c>
      <c r="L365" s="830" t="s">
        <v>540</v>
      </c>
      <c r="M365" s="830" t="s">
        <v>541</v>
      </c>
      <c r="N365" s="830" t="s">
        <v>541</v>
      </c>
      <c r="O365" s="830" t="s">
        <v>541</v>
      </c>
      <c r="P365" s="830" t="s">
        <v>542</v>
      </c>
      <c r="Q365" s="975" t="s">
        <v>542</v>
      </c>
      <c r="R365" s="77" t="s">
        <v>543</v>
      </c>
      <c r="S365" s="199" t="s">
        <v>858</v>
      </c>
      <c r="T365" s="833">
        <v>870</v>
      </c>
      <c r="U365" s="833">
        <v>790</v>
      </c>
      <c r="V365" s="833">
        <v>840</v>
      </c>
      <c r="W365" s="831">
        <v>880</v>
      </c>
      <c r="X365" s="844">
        <v>1000</v>
      </c>
      <c r="Y365" s="844">
        <v>1090</v>
      </c>
      <c r="Z365" s="844">
        <v>1040</v>
      </c>
      <c r="AA365" s="952">
        <v>930</v>
      </c>
      <c r="AB365" s="988">
        <v>970</v>
      </c>
      <c r="AC365" s="878">
        <v>970</v>
      </c>
      <c r="AD365" s="751">
        <v>1130</v>
      </c>
      <c r="AE365" s="200" t="s">
        <v>97</v>
      </c>
      <c r="AF365" s="477">
        <v>5260</v>
      </c>
      <c r="AG365" s="82">
        <v>0.21482889733840305</v>
      </c>
      <c r="AH365" s="287" t="s">
        <v>97</v>
      </c>
      <c r="AI365" s="288">
        <v>80</v>
      </c>
      <c r="AJ365" s="288">
        <v>100</v>
      </c>
      <c r="AK365" s="288">
        <v>1020</v>
      </c>
      <c r="AL365" s="832">
        <f t="shared" si="14"/>
        <v>2260</v>
      </c>
      <c r="AM365" s="201">
        <v>2</v>
      </c>
    </row>
    <row r="366" spans="1:39" ht="15" thickBot="1" x14ac:dyDescent="0.35">
      <c r="A366" s="88">
        <v>670</v>
      </c>
      <c r="B366" s="88">
        <v>560</v>
      </c>
      <c r="C366" s="160" t="s">
        <v>931</v>
      </c>
      <c r="D366" s="162" t="s">
        <v>687</v>
      </c>
      <c r="E366" s="166" t="s">
        <v>934</v>
      </c>
      <c r="F366" s="803">
        <v>891</v>
      </c>
      <c r="G366" s="803" t="s">
        <v>539</v>
      </c>
      <c r="H366" s="215"/>
      <c r="I366" s="164">
        <v>1.1499999999999999</v>
      </c>
      <c r="J366" s="803" t="s">
        <v>158</v>
      </c>
      <c r="K366" s="291" t="s">
        <v>104</v>
      </c>
      <c r="L366" s="845" t="s">
        <v>540</v>
      </c>
      <c r="M366" s="850" t="s">
        <v>541</v>
      </c>
      <c r="N366" s="845" t="s">
        <v>541</v>
      </c>
      <c r="O366" s="845" t="s">
        <v>541</v>
      </c>
      <c r="P366" s="845" t="s">
        <v>626</v>
      </c>
      <c r="Q366" s="909" t="s">
        <v>626</v>
      </c>
      <c r="R366" s="215" t="s">
        <v>543</v>
      </c>
      <c r="S366" s="167" t="s">
        <v>858</v>
      </c>
      <c r="T366" s="846">
        <v>3050</v>
      </c>
      <c r="U366" s="846">
        <v>2840</v>
      </c>
      <c r="V366" s="846">
        <v>2820</v>
      </c>
      <c r="W366" s="847">
        <v>2990</v>
      </c>
      <c r="X366" s="761">
        <v>3180</v>
      </c>
      <c r="Y366" s="761">
        <v>3450</v>
      </c>
      <c r="Z366" s="761">
        <v>3240</v>
      </c>
      <c r="AA366" s="858">
        <v>3020</v>
      </c>
      <c r="AB366" s="906">
        <v>3190</v>
      </c>
      <c r="AC366" s="516">
        <v>2950</v>
      </c>
      <c r="AD366" s="169">
        <v>3560</v>
      </c>
      <c r="AE366" s="233" t="s">
        <v>97</v>
      </c>
      <c r="AF366" s="326">
        <v>12100</v>
      </c>
      <c r="AG366" s="172">
        <v>0.29421487603305785</v>
      </c>
      <c r="AH366" s="170" t="s">
        <v>97</v>
      </c>
      <c r="AI366" s="169">
        <v>240</v>
      </c>
      <c r="AJ366" s="169">
        <v>290</v>
      </c>
      <c r="AK366" s="298">
        <v>1230</v>
      </c>
      <c r="AL366" s="829">
        <f t="shared" si="14"/>
        <v>4093.9999999999995</v>
      </c>
      <c r="AM366" s="174">
        <v>2</v>
      </c>
    </row>
    <row r="367" spans="1:39" x14ac:dyDescent="0.3">
      <c r="A367" s="299">
        <v>673</v>
      </c>
      <c r="B367" s="299">
        <v>562</v>
      </c>
      <c r="C367" s="348" t="s">
        <v>935</v>
      </c>
      <c r="D367" s="289" t="s">
        <v>936</v>
      </c>
      <c r="E367" s="105" t="s">
        <v>937</v>
      </c>
      <c r="F367" s="802">
        <v>901</v>
      </c>
      <c r="G367" s="802" t="s">
        <v>72</v>
      </c>
      <c r="H367" s="106" t="s">
        <v>73</v>
      </c>
      <c r="I367" s="107">
        <v>0.4</v>
      </c>
      <c r="J367" s="802" t="s">
        <v>140</v>
      </c>
      <c r="K367" s="415" t="s">
        <v>75</v>
      </c>
      <c r="L367" s="830" t="s">
        <v>636</v>
      </c>
      <c r="M367" s="105" t="s">
        <v>620</v>
      </c>
      <c r="N367" s="105" t="s">
        <v>620</v>
      </c>
      <c r="O367" s="105" t="s">
        <v>620</v>
      </c>
      <c r="P367" s="105" t="s">
        <v>637</v>
      </c>
      <c r="Q367" s="410" t="s">
        <v>637</v>
      </c>
      <c r="R367" s="108" t="s">
        <v>374</v>
      </c>
      <c r="S367" s="108" t="s">
        <v>465</v>
      </c>
      <c r="T367" s="833">
        <v>30490</v>
      </c>
      <c r="U367" s="833">
        <v>29890</v>
      </c>
      <c r="V367" s="833">
        <v>27480</v>
      </c>
      <c r="W367" s="831">
        <v>30590</v>
      </c>
      <c r="X367" s="844">
        <v>36570</v>
      </c>
      <c r="Y367" s="844">
        <v>32320</v>
      </c>
      <c r="Z367" s="151">
        <v>38300</v>
      </c>
      <c r="AA367" s="952">
        <v>36990</v>
      </c>
      <c r="AB367" s="989">
        <v>34320</v>
      </c>
      <c r="AC367" s="978">
        <v>30660</v>
      </c>
      <c r="AD367" s="751">
        <v>31040</v>
      </c>
      <c r="AE367" s="287" t="s">
        <v>229</v>
      </c>
      <c r="AF367" s="477">
        <v>37970</v>
      </c>
      <c r="AG367" s="82">
        <v>0.81748749012378197</v>
      </c>
      <c r="AH367" s="287" t="s">
        <v>97</v>
      </c>
      <c r="AI367" s="288">
        <v>2060</v>
      </c>
      <c r="AJ367" s="288">
        <v>2500</v>
      </c>
      <c r="AK367" s="294">
        <v>3410</v>
      </c>
      <c r="AL367" s="832">
        <f t="shared" si="14"/>
        <v>12416</v>
      </c>
      <c r="AM367" s="112">
        <v>4</v>
      </c>
    </row>
    <row r="368" spans="1:39" x14ac:dyDescent="0.3">
      <c r="A368" s="33">
        <v>675</v>
      </c>
      <c r="B368" s="33">
        <v>564</v>
      </c>
      <c r="C368" s="352" t="s">
        <v>935</v>
      </c>
      <c r="D368" s="301" t="s">
        <v>938</v>
      </c>
      <c r="E368" s="70" t="s">
        <v>939</v>
      </c>
      <c r="F368" s="800">
        <v>903</v>
      </c>
      <c r="G368" s="800" t="s">
        <v>539</v>
      </c>
      <c r="H368" s="52" t="s">
        <v>73</v>
      </c>
      <c r="I368" s="72">
        <v>1.1499999999999999</v>
      </c>
      <c r="J368" s="800" t="s">
        <v>140</v>
      </c>
      <c r="K368" s="302" t="s">
        <v>104</v>
      </c>
      <c r="L368" s="835" t="s">
        <v>636</v>
      </c>
      <c r="M368" s="51" t="s">
        <v>620</v>
      </c>
      <c r="N368" s="51" t="s">
        <v>620</v>
      </c>
      <c r="O368" s="51" t="s">
        <v>620</v>
      </c>
      <c r="P368" s="51" t="s">
        <v>637</v>
      </c>
      <c r="Q368" s="410" t="s">
        <v>637</v>
      </c>
      <c r="R368" s="55" t="s">
        <v>374</v>
      </c>
      <c r="S368" s="55" t="s">
        <v>465</v>
      </c>
      <c r="T368" s="825">
        <v>28010</v>
      </c>
      <c r="U368" s="825">
        <v>27440</v>
      </c>
      <c r="V368" s="825">
        <v>25280</v>
      </c>
      <c r="W368" s="822">
        <v>27770</v>
      </c>
      <c r="X368" s="760">
        <v>31520</v>
      </c>
      <c r="Y368" s="760">
        <v>30270</v>
      </c>
      <c r="Z368" s="760">
        <v>30040</v>
      </c>
      <c r="AA368" s="956">
        <v>31480</v>
      </c>
      <c r="AB368" s="905">
        <v>30520</v>
      </c>
      <c r="AC368" s="523">
        <v>26130</v>
      </c>
      <c r="AD368" s="115">
        <v>28510</v>
      </c>
      <c r="AE368" s="80" t="s">
        <v>229</v>
      </c>
      <c r="AF368" s="194">
        <v>37970</v>
      </c>
      <c r="AG368" s="303">
        <v>0.75085593889913094</v>
      </c>
      <c r="AH368" s="80" t="s">
        <v>97</v>
      </c>
      <c r="AI368" s="115">
        <v>1860</v>
      </c>
      <c r="AJ368" s="115">
        <v>2310</v>
      </c>
      <c r="AK368" s="304">
        <v>3410</v>
      </c>
      <c r="AL368" s="832">
        <f t="shared" si="14"/>
        <v>32786.5</v>
      </c>
      <c r="AM368" s="63">
        <v>4</v>
      </c>
    </row>
    <row r="369" spans="1:39" x14ac:dyDescent="0.3">
      <c r="A369" s="268">
        <v>677</v>
      </c>
      <c r="B369" s="268">
        <v>566</v>
      </c>
      <c r="C369" s="352" t="s">
        <v>935</v>
      </c>
      <c r="D369" s="191" t="s">
        <v>816</v>
      </c>
      <c r="E369" s="64" t="s">
        <v>940</v>
      </c>
      <c r="F369" s="799">
        <v>905</v>
      </c>
      <c r="G369" s="799" t="s">
        <v>539</v>
      </c>
      <c r="H369" s="65" t="s">
        <v>73</v>
      </c>
      <c r="I369" s="37">
        <v>0.35</v>
      </c>
      <c r="J369" s="799" t="s">
        <v>140</v>
      </c>
      <c r="K369" s="478" t="s">
        <v>104</v>
      </c>
      <c r="L369" s="837" t="s">
        <v>636</v>
      </c>
      <c r="M369" s="35" t="s">
        <v>620</v>
      </c>
      <c r="N369" s="35" t="s">
        <v>620</v>
      </c>
      <c r="O369" s="35" t="s">
        <v>620</v>
      </c>
      <c r="P369" s="35" t="s">
        <v>637</v>
      </c>
      <c r="Q369" s="410" t="s">
        <v>637</v>
      </c>
      <c r="R369" s="39" t="s">
        <v>374</v>
      </c>
      <c r="S369" s="39" t="s">
        <v>465</v>
      </c>
      <c r="T369" s="833">
        <v>22110</v>
      </c>
      <c r="U369" s="833">
        <v>21930</v>
      </c>
      <c r="V369" s="833">
        <v>20070</v>
      </c>
      <c r="W369" s="820">
        <v>22700</v>
      </c>
      <c r="X369" s="838">
        <v>23710</v>
      </c>
      <c r="Y369" s="838">
        <v>23950</v>
      </c>
      <c r="Z369" s="838">
        <v>25520</v>
      </c>
      <c r="AA369" s="957">
        <v>23110</v>
      </c>
      <c r="AB369" s="888">
        <v>23670</v>
      </c>
      <c r="AC369" s="888">
        <v>19360</v>
      </c>
      <c r="AD369" s="749">
        <v>20570</v>
      </c>
      <c r="AE369" s="65" t="s">
        <v>229</v>
      </c>
      <c r="AF369" s="213">
        <v>37970</v>
      </c>
      <c r="AG369" s="315">
        <v>0.54174348169607589</v>
      </c>
      <c r="AH369" s="83" t="s">
        <v>97</v>
      </c>
      <c r="AI369" s="120">
        <v>1360</v>
      </c>
      <c r="AJ369" s="120">
        <v>1670</v>
      </c>
      <c r="AK369" s="316">
        <v>3410</v>
      </c>
      <c r="AL369" s="832">
        <f t="shared" si="14"/>
        <v>7199.4999999999991</v>
      </c>
      <c r="AM369" s="49">
        <v>4</v>
      </c>
    </row>
    <row r="370" spans="1:39" ht="15" thickBot="1" x14ac:dyDescent="0.35">
      <c r="A370" s="33">
        <v>678</v>
      </c>
      <c r="B370" s="33">
        <v>567</v>
      </c>
      <c r="C370" s="352" t="s">
        <v>935</v>
      </c>
      <c r="D370" s="353" t="s">
        <v>818</v>
      </c>
      <c r="E370" s="70" t="s">
        <v>941</v>
      </c>
      <c r="F370" s="800">
        <v>906</v>
      </c>
      <c r="G370" s="800" t="s">
        <v>539</v>
      </c>
      <c r="H370" s="52" t="s">
        <v>73</v>
      </c>
      <c r="I370" s="72">
        <v>2.1</v>
      </c>
      <c r="J370" s="800" t="s">
        <v>140</v>
      </c>
      <c r="K370" s="302" t="s">
        <v>104</v>
      </c>
      <c r="L370" s="835" t="s">
        <v>570</v>
      </c>
      <c r="M370" s="51" t="s">
        <v>584</v>
      </c>
      <c r="N370" s="51" t="s">
        <v>584</v>
      </c>
      <c r="O370" s="51" t="s">
        <v>584</v>
      </c>
      <c r="P370" s="51" t="s">
        <v>626</v>
      </c>
      <c r="Q370" s="909" t="s">
        <v>626</v>
      </c>
      <c r="R370" s="55" t="s">
        <v>374</v>
      </c>
      <c r="S370" s="55" t="s">
        <v>465</v>
      </c>
      <c r="T370" s="527">
        <v>16890</v>
      </c>
      <c r="U370" s="57">
        <v>14140</v>
      </c>
      <c r="V370" s="527">
        <v>15150</v>
      </c>
      <c r="W370" s="528">
        <v>16430</v>
      </c>
      <c r="X370" s="459">
        <v>16780</v>
      </c>
      <c r="Y370" s="459">
        <v>17220</v>
      </c>
      <c r="Z370" s="459">
        <v>18800</v>
      </c>
      <c r="AA370" s="529">
        <v>18930</v>
      </c>
      <c r="AB370" s="494">
        <v>17430</v>
      </c>
      <c r="AC370" s="983">
        <v>13580</v>
      </c>
      <c r="AD370" s="746">
        <v>13980</v>
      </c>
      <c r="AE370" s="47" t="s">
        <v>229</v>
      </c>
      <c r="AF370" s="502">
        <v>13640</v>
      </c>
      <c r="AG370" s="503">
        <v>1.0249266862170088</v>
      </c>
      <c r="AH370" s="47" t="s">
        <v>229</v>
      </c>
      <c r="AI370" s="143">
        <v>960</v>
      </c>
      <c r="AJ370" s="143">
        <v>1100</v>
      </c>
      <c r="AK370" s="504">
        <v>1230</v>
      </c>
      <c r="AL370" s="832">
        <f t="shared" si="14"/>
        <v>29358</v>
      </c>
      <c r="AM370" s="63">
        <v>2</v>
      </c>
    </row>
    <row r="371" spans="1:39" x14ac:dyDescent="0.3">
      <c r="A371" s="268">
        <v>680</v>
      </c>
      <c r="B371" s="268">
        <v>569</v>
      </c>
      <c r="C371" s="300" t="s">
        <v>935</v>
      </c>
      <c r="D371" s="351" t="s">
        <v>942</v>
      </c>
      <c r="E371" s="35" t="s">
        <v>943</v>
      </c>
      <c r="F371" s="799">
        <v>908</v>
      </c>
      <c r="G371" s="799" t="s">
        <v>539</v>
      </c>
      <c r="H371" s="36" t="s">
        <v>73</v>
      </c>
      <c r="I371" s="37">
        <v>0.3</v>
      </c>
      <c r="J371" s="799" t="s">
        <v>944</v>
      </c>
      <c r="K371" s="324" t="s">
        <v>104</v>
      </c>
      <c r="L371" s="837" t="s">
        <v>570</v>
      </c>
      <c r="M371" s="35" t="s">
        <v>620</v>
      </c>
      <c r="N371" s="35" t="s">
        <v>620</v>
      </c>
      <c r="O371" s="35" t="s">
        <v>620</v>
      </c>
      <c r="P371" s="35" t="s">
        <v>637</v>
      </c>
      <c r="Q371" s="410" t="s">
        <v>637</v>
      </c>
      <c r="R371" s="38" t="s">
        <v>374</v>
      </c>
      <c r="S371" s="39" t="s">
        <v>465</v>
      </c>
      <c r="T371" s="833">
        <v>15300</v>
      </c>
      <c r="U371" s="833">
        <v>15620</v>
      </c>
      <c r="V371" s="833">
        <v>14220</v>
      </c>
      <c r="W371" s="820">
        <v>15090</v>
      </c>
      <c r="X371" s="838">
        <v>16530</v>
      </c>
      <c r="Y371" s="838">
        <v>15940</v>
      </c>
      <c r="Z371" s="838">
        <v>18760</v>
      </c>
      <c r="AA371" s="957">
        <v>18190</v>
      </c>
      <c r="AB371" s="888">
        <v>17500</v>
      </c>
      <c r="AC371" s="888">
        <v>13670</v>
      </c>
      <c r="AD371" s="749">
        <v>16110</v>
      </c>
      <c r="AE371" s="36" t="s">
        <v>229</v>
      </c>
      <c r="AF371" s="213">
        <v>37970</v>
      </c>
      <c r="AG371" s="315">
        <v>0.42428232815380562</v>
      </c>
      <c r="AH371" s="83" t="s">
        <v>97</v>
      </c>
      <c r="AI371" s="120">
        <v>950</v>
      </c>
      <c r="AJ371" s="120">
        <v>1260</v>
      </c>
      <c r="AK371" s="316">
        <v>3410</v>
      </c>
      <c r="AL371" s="832">
        <f t="shared" si="14"/>
        <v>4833</v>
      </c>
      <c r="AM371" s="49">
        <v>4</v>
      </c>
    </row>
    <row r="372" spans="1:39" x14ac:dyDescent="0.3">
      <c r="A372" s="33">
        <v>681</v>
      </c>
      <c r="B372" s="33">
        <v>570</v>
      </c>
      <c r="C372" s="352" t="s">
        <v>935</v>
      </c>
      <c r="D372" s="353" t="s">
        <v>945</v>
      </c>
      <c r="E372" s="70" t="s">
        <v>946</v>
      </c>
      <c r="F372" s="800">
        <v>909</v>
      </c>
      <c r="G372" s="800" t="s">
        <v>539</v>
      </c>
      <c r="H372" s="52" t="s">
        <v>73</v>
      </c>
      <c r="I372" s="72">
        <v>0.7</v>
      </c>
      <c r="J372" s="800" t="s">
        <v>158</v>
      </c>
      <c r="K372" s="52" t="s">
        <v>104</v>
      </c>
      <c r="L372" s="835" t="s">
        <v>570</v>
      </c>
      <c r="M372" s="51" t="s">
        <v>620</v>
      </c>
      <c r="N372" s="51" t="s">
        <v>620</v>
      </c>
      <c r="O372" s="51" t="s">
        <v>620</v>
      </c>
      <c r="P372" s="51" t="s">
        <v>637</v>
      </c>
      <c r="Q372" s="410" t="s">
        <v>637</v>
      </c>
      <c r="R372" s="55" t="s">
        <v>374</v>
      </c>
      <c r="S372" s="55" t="s">
        <v>465</v>
      </c>
      <c r="T372" s="825">
        <v>20350</v>
      </c>
      <c r="U372" s="825">
        <v>20990</v>
      </c>
      <c r="V372" s="825">
        <v>19330</v>
      </c>
      <c r="W372" s="822">
        <v>19900</v>
      </c>
      <c r="X372" s="760">
        <v>19690</v>
      </c>
      <c r="Y372" s="760">
        <v>21360</v>
      </c>
      <c r="Z372" s="760">
        <v>25290</v>
      </c>
      <c r="AA372" s="956">
        <v>23160</v>
      </c>
      <c r="AB372" s="905">
        <v>21860</v>
      </c>
      <c r="AC372" s="523">
        <v>19970</v>
      </c>
      <c r="AD372" s="115">
        <v>22640</v>
      </c>
      <c r="AE372" s="80" t="s">
        <v>229</v>
      </c>
      <c r="AF372" s="194">
        <v>37970</v>
      </c>
      <c r="AG372" s="303">
        <v>0.59626020542533575</v>
      </c>
      <c r="AH372" s="80" t="s">
        <v>97</v>
      </c>
      <c r="AI372" s="115">
        <v>1470</v>
      </c>
      <c r="AJ372" s="115">
        <v>1890</v>
      </c>
      <c r="AK372" s="304">
        <v>3410</v>
      </c>
      <c r="AL372" s="832">
        <f t="shared" si="14"/>
        <v>15847.999999999998</v>
      </c>
      <c r="AM372" s="63">
        <v>4</v>
      </c>
    </row>
    <row r="373" spans="1:39" x14ac:dyDescent="0.3">
      <c r="A373" s="268">
        <v>683</v>
      </c>
      <c r="B373" s="268">
        <v>572</v>
      </c>
      <c r="C373" s="300" t="s">
        <v>935</v>
      </c>
      <c r="D373" s="351" t="s">
        <v>947</v>
      </c>
      <c r="E373" s="35" t="s">
        <v>948</v>
      </c>
      <c r="F373" s="799">
        <v>911</v>
      </c>
      <c r="G373" s="799" t="s">
        <v>539</v>
      </c>
      <c r="H373" s="36" t="s">
        <v>73</v>
      </c>
      <c r="I373" s="37">
        <v>1.1499999999999999</v>
      </c>
      <c r="J373" s="799" t="s">
        <v>140</v>
      </c>
      <c r="K373" s="324" t="s">
        <v>104</v>
      </c>
      <c r="L373" s="837" t="s">
        <v>570</v>
      </c>
      <c r="M373" s="35" t="s">
        <v>620</v>
      </c>
      <c r="N373" s="35" t="s">
        <v>620</v>
      </c>
      <c r="O373" s="35" t="s">
        <v>620</v>
      </c>
      <c r="P373" s="35" t="s">
        <v>637</v>
      </c>
      <c r="Q373" s="410" t="s">
        <v>637</v>
      </c>
      <c r="R373" s="38" t="s">
        <v>374</v>
      </c>
      <c r="S373" s="39" t="s">
        <v>465</v>
      </c>
      <c r="T373" s="833">
        <v>16640</v>
      </c>
      <c r="U373" s="833">
        <v>16990</v>
      </c>
      <c r="V373" s="833">
        <v>15600</v>
      </c>
      <c r="W373" s="820">
        <v>15490</v>
      </c>
      <c r="X373" s="838">
        <v>16060</v>
      </c>
      <c r="Y373" s="838">
        <v>17440</v>
      </c>
      <c r="Z373" s="838">
        <v>20200</v>
      </c>
      <c r="AA373" s="957">
        <v>18130</v>
      </c>
      <c r="AB373" s="888">
        <v>20630</v>
      </c>
      <c r="AC373" s="888">
        <v>16480</v>
      </c>
      <c r="AD373" s="749">
        <v>19260</v>
      </c>
      <c r="AE373" s="411" t="s">
        <v>229</v>
      </c>
      <c r="AF373" s="213">
        <v>37970</v>
      </c>
      <c r="AG373" s="315">
        <v>0.50724255991572298</v>
      </c>
      <c r="AH373" s="83" t="s">
        <v>97</v>
      </c>
      <c r="AI373" s="120">
        <v>1310</v>
      </c>
      <c r="AJ373" s="120">
        <v>1640</v>
      </c>
      <c r="AK373" s="316">
        <v>3410</v>
      </c>
      <c r="AL373" s="832">
        <f t="shared" si="14"/>
        <v>22149</v>
      </c>
      <c r="AM373" s="49">
        <v>4</v>
      </c>
    </row>
    <row r="374" spans="1:39" x14ac:dyDescent="0.3">
      <c r="A374" s="33">
        <v>685</v>
      </c>
      <c r="B374" s="33">
        <v>574</v>
      </c>
      <c r="C374" s="352" t="s">
        <v>935</v>
      </c>
      <c r="D374" s="301" t="s">
        <v>824</v>
      </c>
      <c r="E374" s="70" t="s">
        <v>949</v>
      </c>
      <c r="F374" s="800">
        <v>913</v>
      </c>
      <c r="G374" s="800" t="s">
        <v>539</v>
      </c>
      <c r="H374" s="52" t="s">
        <v>73</v>
      </c>
      <c r="I374" s="72">
        <v>1.8</v>
      </c>
      <c r="J374" s="800" t="s">
        <v>140</v>
      </c>
      <c r="K374" s="302" t="s">
        <v>104</v>
      </c>
      <c r="L374" s="835" t="s">
        <v>570</v>
      </c>
      <c r="M374" s="51" t="s">
        <v>587</v>
      </c>
      <c r="N374" s="51" t="s">
        <v>587</v>
      </c>
      <c r="O374" s="51" t="s">
        <v>587</v>
      </c>
      <c r="P374" s="51" t="s">
        <v>629</v>
      </c>
      <c r="Q374" s="410" t="s">
        <v>637</v>
      </c>
      <c r="R374" s="55" t="s">
        <v>374</v>
      </c>
      <c r="S374" s="55" t="s">
        <v>465</v>
      </c>
      <c r="T374" s="825">
        <v>13280</v>
      </c>
      <c r="U374" s="825">
        <v>12920</v>
      </c>
      <c r="V374" s="825">
        <v>11770</v>
      </c>
      <c r="W374" s="822">
        <v>11240</v>
      </c>
      <c r="X374" s="760">
        <v>10990</v>
      </c>
      <c r="Y374" s="760">
        <v>12000</v>
      </c>
      <c r="Z374" s="760">
        <v>16230</v>
      </c>
      <c r="AA374" s="956">
        <v>14620</v>
      </c>
      <c r="AB374" s="905">
        <v>14080</v>
      </c>
      <c r="AC374" s="523">
        <v>12970</v>
      </c>
      <c r="AD374" s="115">
        <v>15700</v>
      </c>
      <c r="AE374" s="80" t="s">
        <v>229</v>
      </c>
      <c r="AF374" s="194">
        <v>37970</v>
      </c>
      <c r="AG374" s="303">
        <v>0.41348432973400051</v>
      </c>
      <c r="AH374" s="80" t="s">
        <v>97</v>
      </c>
      <c r="AI374" s="115">
        <v>1280</v>
      </c>
      <c r="AJ374" s="115">
        <v>1360</v>
      </c>
      <c r="AK374" s="304">
        <v>3410</v>
      </c>
      <c r="AL374" s="832">
        <f t="shared" si="14"/>
        <v>28260</v>
      </c>
      <c r="AM374" s="63">
        <v>4</v>
      </c>
    </row>
    <row r="375" spans="1:39" ht="15" thickBot="1" x14ac:dyDescent="0.35">
      <c r="A375" s="305">
        <v>687</v>
      </c>
      <c r="B375" s="305">
        <v>576</v>
      </c>
      <c r="C375" s="346" t="s">
        <v>935</v>
      </c>
      <c r="D375" s="530" t="s">
        <v>950</v>
      </c>
      <c r="E375" s="185" t="s">
        <v>951</v>
      </c>
      <c r="F375" s="801">
        <v>915</v>
      </c>
      <c r="G375" s="801" t="s">
        <v>539</v>
      </c>
      <c r="H375" s="92" t="s">
        <v>73</v>
      </c>
      <c r="I375" s="93">
        <v>0.65</v>
      </c>
      <c r="J375" s="801" t="s">
        <v>140</v>
      </c>
      <c r="K375" s="271" t="s">
        <v>104</v>
      </c>
      <c r="L375" s="841" t="s">
        <v>570</v>
      </c>
      <c r="M375" s="91" t="s">
        <v>587</v>
      </c>
      <c r="N375" s="91" t="s">
        <v>587</v>
      </c>
      <c r="O375" s="91" t="s">
        <v>587</v>
      </c>
      <c r="P375" s="91" t="s">
        <v>629</v>
      </c>
      <c r="Q375" s="410" t="s">
        <v>637</v>
      </c>
      <c r="R375" s="94" t="s">
        <v>374</v>
      </c>
      <c r="S375" s="95" t="s">
        <v>465</v>
      </c>
      <c r="T375" s="827">
        <v>12650</v>
      </c>
      <c r="U375" s="827">
        <v>12180</v>
      </c>
      <c r="V375" s="827">
        <v>12530</v>
      </c>
      <c r="W375" s="828">
        <v>12960</v>
      </c>
      <c r="X375" s="842">
        <v>14030</v>
      </c>
      <c r="Y375" s="842">
        <v>13600</v>
      </c>
      <c r="Z375" s="842">
        <v>18230</v>
      </c>
      <c r="AA375" s="958">
        <v>16400</v>
      </c>
      <c r="AB375" s="861">
        <v>17200</v>
      </c>
      <c r="AC375" s="861">
        <v>15690</v>
      </c>
      <c r="AD375" s="750">
        <v>17850</v>
      </c>
      <c r="AE375" s="92" t="s">
        <v>229</v>
      </c>
      <c r="AF375" s="241">
        <v>37970</v>
      </c>
      <c r="AG375" s="147">
        <v>0.47010797998419807</v>
      </c>
      <c r="AH375" s="100" t="s">
        <v>97</v>
      </c>
      <c r="AI375" s="126">
        <v>1230</v>
      </c>
      <c r="AJ375" s="126">
        <v>1590</v>
      </c>
      <c r="AK375" s="308">
        <v>3410</v>
      </c>
      <c r="AL375" s="881">
        <f t="shared" si="14"/>
        <v>11602.5</v>
      </c>
      <c r="AM375" s="102">
        <v>4</v>
      </c>
    </row>
    <row r="376" spans="1:39" ht="15" thickBot="1" x14ac:dyDescent="0.35">
      <c r="A376" s="103">
        <v>693</v>
      </c>
      <c r="B376" s="103">
        <v>488</v>
      </c>
      <c r="C376" s="482" t="s">
        <v>952</v>
      </c>
      <c r="D376" s="338"/>
      <c r="E376" s="338" t="s">
        <v>953</v>
      </c>
      <c r="F376" s="464" t="s">
        <v>954</v>
      </c>
      <c r="G376" s="804" t="s">
        <v>539</v>
      </c>
      <c r="H376" s="131" t="s">
        <v>73</v>
      </c>
      <c r="I376" s="178">
        <v>2</v>
      </c>
      <c r="J376" s="804">
        <v>45</v>
      </c>
      <c r="K376" s="340" t="s">
        <v>104</v>
      </c>
      <c r="L376" s="843" t="s">
        <v>540</v>
      </c>
      <c r="M376" s="256" t="s">
        <v>584</v>
      </c>
      <c r="N376" s="177" t="s">
        <v>584</v>
      </c>
      <c r="O376" s="177" t="s">
        <v>584</v>
      </c>
      <c r="P376" s="177" t="s">
        <v>584</v>
      </c>
      <c r="Q376" s="909" t="s">
        <v>626</v>
      </c>
      <c r="R376" s="131" t="s">
        <v>556</v>
      </c>
      <c r="S376" s="131" t="s">
        <v>556</v>
      </c>
      <c r="T376" s="531"/>
      <c r="U376" s="531"/>
      <c r="V376" s="531"/>
      <c r="W376" s="531"/>
      <c r="X376" s="886"/>
      <c r="Y376" s="886"/>
      <c r="Z376" s="886"/>
      <c r="AA376" s="886"/>
      <c r="AB376" s="990" t="s">
        <v>81</v>
      </c>
      <c r="AC376" s="991" t="s">
        <v>81</v>
      </c>
      <c r="AD376" s="784" t="s">
        <v>81</v>
      </c>
      <c r="AE376" s="784" t="s">
        <v>229</v>
      </c>
      <c r="AF376" s="409">
        <v>13640</v>
      </c>
      <c r="AG376" s="79" t="s">
        <v>81</v>
      </c>
      <c r="AH376" s="79" t="s">
        <v>81</v>
      </c>
      <c r="AI376" s="79" t="s">
        <v>81</v>
      </c>
      <c r="AJ376" s="79" t="s">
        <v>81</v>
      </c>
      <c r="AK376" s="312">
        <v>1230</v>
      </c>
      <c r="AL376" s="977"/>
      <c r="AM376" s="221">
        <v>0</v>
      </c>
    </row>
    <row r="377" spans="1:39" x14ac:dyDescent="0.3">
      <c r="A377" s="33">
        <v>694</v>
      </c>
      <c r="B377" s="33">
        <v>489</v>
      </c>
      <c r="C377" s="532" t="s">
        <v>952</v>
      </c>
      <c r="D377" s="351"/>
      <c r="E377" s="351" t="s">
        <v>955</v>
      </c>
      <c r="F377" s="464" t="s">
        <v>956</v>
      </c>
      <c r="G377" s="799" t="s">
        <v>539</v>
      </c>
      <c r="H377" s="36" t="s">
        <v>73</v>
      </c>
      <c r="I377" s="37">
        <v>1.35</v>
      </c>
      <c r="J377" s="799">
        <v>45</v>
      </c>
      <c r="K377" s="324" t="s">
        <v>104</v>
      </c>
      <c r="L377" s="837" t="s">
        <v>619</v>
      </c>
      <c r="M377" s="35" t="s">
        <v>620</v>
      </c>
      <c r="N377" s="35" t="s">
        <v>620</v>
      </c>
      <c r="O377" s="35" t="s">
        <v>620</v>
      </c>
      <c r="P377" s="35" t="s">
        <v>620</v>
      </c>
      <c r="Q377" s="410" t="s">
        <v>637</v>
      </c>
      <c r="R377" s="71" t="s">
        <v>556</v>
      </c>
      <c r="S377" s="411" t="s">
        <v>556</v>
      </c>
      <c r="T377" s="411"/>
      <c r="U377" s="411"/>
      <c r="V377" s="411"/>
      <c r="W377" s="411"/>
      <c r="X377" s="749"/>
      <c r="Y377" s="749"/>
      <c r="Z377" s="749"/>
      <c r="AA377" s="749"/>
      <c r="AB377" s="992" t="s">
        <v>81</v>
      </c>
      <c r="AC377" s="993" t="s">
        <v>81</v>
      </c>
      <c r="AD377" s="785" t="s">
        <v>81</v>
      </c>
      <c r="AE377" s="785" t="s">
        <v>229</v>
      </c>
      <c r="AF377" s="213">
        <v>37970</v>
      </c>
      <c r="AG377" s="315" t="s">
        <v>81</v>
      </c>
      <c r="AH377" s="315" t="s">
        <v>81</v>
      </c>
      <c r="AI377" s="315" t="s">
        <v>81</v>
      </c>
      <c r="AJ377" s="315" t="s">
        <v>81</v>
      </c>
      <c r="AK377" s="316">
        <v>3410</v>
      </c>
      <c r="AL377" s="994"/>
      <c r="AM377" s="49">
        <v>0</v>
      </c>
    </row>
    <row r="378" spans="1:39" ht="15" thickBot="1" x14ac:dyDescent="0.35">
      <c r="A378" s="88">
        <v>695</v>
      </c>
      <c r="B378" s="88">
        <v>490</v>
      </c>
      <c r="C378" s="533" t="s">
        <v>952</v>
      </c>
      <c r="D378" s="296"/>
      <c r="E378" s="296" t="s">
        <v>957</v>
      </c>
      <c r="F378" s="464" t="s">
        <v>956</v>
      </c>
      <c r="G378" s="803" t="s">
        <v>539</v>
      </c>
      <c r="H378" s="163" t="s">
        <v>73</v>
      </c>
      <c r="I378" s="164">
        <v>0.7</v>
      </c>
      <c r="J378" s="803">
        <v>45</v>
      </c>
      <c r="K378" s="291" t="s">
        <v>104</v>
      </c>
      <c r="L378" s="845" t="s">
        <v>619</v>
      </c>
      <c r="M378" s="457" t="s">
        <v>620</v>
      </c>
      <c r="N378" s="166" t="s">
        <v>620</v>
      </c>
      <c r="O378" s="166" t="s">
        <v>620</v>
      </c>
      <c r="P378" s="166" t="s">
        <v>620</v>
      </c>
      <c r="Q378" s="410" t="s">
        <v>637</v>
      </c>
      <c r="R378" s="163" t="s">
        <v>556</v>
      </c>
      <c r="S378" s="163" t="s">
        <v>556</v>
      </c>
      <c r="T378" s="163"/>
      <c r="U378" s="163"/>
      <c r="V378" s="163"/>
      <c r="W378" s="163"/>
      <c r="X378" s="761"/>
      <c r="Y378" s="761"/>
      <c r="Z378" s="761"/>
      <c r="AA378" s="761"/>
      <c r="AB378" s="995" t="s">
        <v>81</v>
      </c>
      <c r="AC378" s="996" t="s">
        <v>81</v>
      </c>
      <c r="AD378" s="786" t="s">
        <v>81</v>
      </c>
      <c r="AE378" s="786" t="s">
        <v>229</v>
      </c>
      <c r="AF378" s="326">
        <v>37970</v>
      </c>
      <c r="AG378" s="172" t="s">
        <v>81</v>
      </c>
      <c r="AH378" s="172" t="s">
        <v>81</v>
      </c>
      <c r="AI378" s="172" t="s">
        <v>81</v>
      </c>
      <c r="AJ378" s="172" t="s">
        <v>81</v>
      </c>
      <c r="AK378" s="298">
        <v>3410</v>
      </c>
      <c r="AL378" s="876"/>
      <c r="AM378" s="219">
        <v>0</v>
      </c>
    </row>
    <row r="379" spans="1:39" ht="15" thickBot="1" x14ac:dyDescent="0.35">
      <c r="A379" s="202">
        <v>700</v>
      </c>
      <c r="B379" s="202">
        <v>2013</v>
      </c>
      <c r="C379" s="247" t="s">
        <v>958</v>
      </c>
      <c r="D379" s="248" t="s">
        <v>959</v>
      </c>
      <c r="E379" s="248" t="s">
        <v>960</v>
      </c>
      <c r="F379" s="805">
        <v>935</v>
      </c>
      <c r="G379" s="805" t="s">
        <v>539</v>
      </c>
      <c r="H379" s="249"/>
      <c r="I379" s="207">
        <v>0.8</v>
      </c>
      <c r="J379" s="805" t="s">
        <v>158</v>
      </c>
      <c r="K379" s="534" t="s">
        <v>104</v>
      </c>
      <c r="L379" s="851" t="s">
        <v>594</v>
      </c>
      <c r="M379" s="205" t="s">
        <v>595</v>
      </c>
      <c r="N379" s="205" t="s">
        <v>595</v>
      </c>
      <c r="O379" s="205" t="s">
        <v>595</v>
      </c>
      <c r="P379" s="205" t="s">
        <v>626</v>
      </c>
      <c r="Q379" s="909" t="s">
        <v>626</v>
      </c>
      <c r="R379" s="250" t="s">
        <v>596</v>
      </c>
      <c r="S379" s="535" t="s">
        <v>549</v>
      </c>
      <c r="T379" s="846">
        <v>6090</v>
      </c>
      <c r="U379" s="846">
        <v>5550</v>
      </c>
      <c r="V379" s="846">
        <v>5180</v>
      </c>
      <c r="W379" s="857">
        <v>5150</v>
      </c>
      <c r="X379" s="858">
        <v>5870</v>
      </c>
      <c r="Y379" s="932">
        <v>6660</v>
      </c>
      <c r="Z379" s="858">
        <v>6590</v>
      </c>
      <c r="AA379" s="858">
        <v>6370</v>
      </c>
      <c r="AB379" s="858">
        <v>6470</v>
      </c>
      <c r="AC379" s="536">
        <v>4710</v>
      </c>
      <c r="AD379" s="282">
        <v>5150</v>
      </c>
      <c r="AE379" s="274" t="s">
        <v>229</v>
      </c>
      <c r="AF379" s="481">
        <v>13640</v>
      </c>
      <c r="AG379" s="444">
        <v>0.37756598240469208</v>
      </c>
      <c r="AH379" s="442" t="s">
        <v>97</v>
      </c>
      <c r="AI379" s="282">
        <v>480</v>
      </c>
      <c r="AJ379" s="282">
        <v>480</v>
      </c>
      <c r="AK379" s="485">
        <v>1230</v>
      </c>
      <c r="AL379" s="869"/>
      <c r="AM379" s="255">
        <v>2</v>
      </c>
    </row>
    <row r="380" spans="1:39" x14ac:dyDescent="0.3">
      <c r="A380" s="103">
        <v>718</v>
      </c>
      <c r="B380" s="103">
        <v>597</v>
      </c>
      <c r="C380" s="318" t="s">
        <v>961</v>
      </c>
      <c r="D380" s="338" t="s">
        <v>962</v>
      </c>
      <c r="E380" s="319" t="s">
        <v>963</v>
      </c>
      <c r="F380" s="802">
        <v>972</v>
      </c>
      <c r="G380" s="802" t="s">
        <v>539</v>
      </c>
      <c r="H380" s="200" t="s">
        <v>73</v>
      </c>
      <c r="I380" s="107">
        <v>0.85</v>
      </c>
      <c r="J380" s="802">
        <v>30</v>
      </c>
      <c r="K380" s="284" t="s">
        <v>104</v>
      </c>
      <c r="L380" s="830" t="s">
        <v>540</v>
      </c>
      <c r="M380" s="830" t="s">
        <v>584</v>
      </c>
      <c r="N380" s="830" t="s">
        <v>584</v>
      </c>
      <c r="O380" s="830" t="s">
        <v>584</v>
      </c>
      <c r="P380" s="830" t="s">
        <v>542</v>
      </c>
      <c r="Q380" s="975" t="s">
        <v>542</v>
      </c>
      <c r="R380" s="106" t="s">
        <v>543</v>
      </c>
      <c r="S380" s="108" t="s">
        <v>872</v>
      </c>
      <c r="T380" s="833">
        <v>5390</v>
      </c>
      <c r="U380" s="833">
        <v>5520</v>
      </c>
      <c r="V380" s="833">
        <v>6730</v>
      </c>
      <c r="W380" s="831">
        <v>4370</v>
      </c>
      <c r="X380" s="889">
        <v>5180</v>
      </c>
      <c r="Y380" s="844">
        <v>5790</v>
      </c>
      <c r="Z380" s="872">
        <v>5520</v>
      </c>
      <c r="AA380" s="952">
        <v>5200</v>
      </c>
      <c r="AB380" s="873">
        <v>5570</v>
      </c>
      <c r="AC380" s="878">
        <v>5060</v>
      </c>
      <c r="AD380" s="751">
        <v>3630</v>
      </c>
      <c r="AE380" s="200" t="s">
        <v>229</v>
      </c>
      <c r="AF380" s="477">
        <v>13640</v>
      </c>
      <c r="AG380" s="82">
        <v>0.2661290322580645</v>
      </c>
      <c r="AH380" s="287" t="s">
        <v>97</v>
      </c>
      <c r="AI380" s="288">
        <v>290</v>
      </c>
      <c r="AJ380" s="288">
        <v>300</v>
      </c>
      <c r="AK380" s="288">
        <v>1020</v>
      </c>
      <c r="AL380" s="832">
        <f>IF(AD380&gt;0,AD380*$I380,"-")</f>
        <v>3085.5</v>
      </c>
      <c r="AM380" s="201">
        <v>2</v>
      </c>
    </row>
    <row r="381" spans="1:39" ht="15" thickBot="1" x14ac:dyDescent="0.35">
      <c r="A381" s="33">
        <v>716</v>
      </c>
      <c r="B381" s="33">
        <v>595</v>
      </c>
      <c r="C381" s="537" t="s">
        <v>961</v>
      </c>
      <c r="D381" s="538" t="s">
        <v>964</v>
      </c>
      <c r="E381" s="539" t="s">
        <v>965</v>
      </c>
      <c r="F381" s="803">
        <v>974</v>
      </c>
      <c r="G381" s="803" t="s">
        <v>539</v>
      </c>
      <c r="H381" s="163" t="s">
        <v>73</v>
      </c>
      <c r="I381" s="164">
        <v>7.4</v>
      </c>
      <c r="J381" s="803" t="s">
        <v>154</v>
      </c>
      <c r="K381" s="291" t="s">
        <v>104</v>
      </c>
      <c r="L381" s="845" t="s">
        <v>540</v>
      </c>
      <c r="M381" s="457" t="s">
        <v>584</v>
      </c>
      <c r="N381" s="166" t="s">
        <v>584</v>
      </c>
      <c r="O381" s="166" t="s">
        <v>584</v>
      </c>
      <c r="P381" s="166" t="s">
        <v>542</v>
      </c>
      <c r="Q381" s="975" t="s">
        <v>542</v>
      </c>
      <c r="R381" s="215" t="s">
        <v>543</v>
      </c>
      <c r="S381" s="526" t="s">
        <v>872</v>
      </c>
      <c r="T381" s="846">
        <v>3590</v>
      </c>
      <c r="U381" s="846">
        <v>3960</v>
      </c>
      <c r="V381" s="846">
        <v>4570</v>
      </c>
      <c r="W381" s="847">
        <v>3240</v>
      </c>
      <c r="X381" s="761">
        <v>3700</v>
      </c>
      <c r="Y381" s="761">
        <v>4190</v>
      </c>
      <c r="Z381" s="761">
        <v>4080</v>
      </c>
      <c r="AA381" s="858">
        <v>3870</v>
      </c>
      <c r="AB381" s="761">
        <v>3940</v>
      </c>
      <c r="AC381" s="516">
        <v>3670</v>
      </c>
      <c r="AD381" s="169">
        <v>3930</v>
      </c>
      <c r="AE381" s="233" t="s">
        <v>229</v>
      </c>
      <c r="AF381" s="326">
        <v>13640</v>
      </c>
      <c r="AG381" s="172">
        <v>0.28812316715542524</v>
      </c>
      <c r="AH381" s="170" t="s">
        <v>97</v>
      </c>
      <c r="AI381" s="169">
        <v>290</v>
      </c>
      <c r="AJ381" s="169">
        <v>340</v>
      </c>
      <c r="AK381" s="169">
        <v>1020</v>
      </c>
      <c r="AL381" s="881">
        <f>IF(AD381&gt;0,AD381*$I381,"-")</f>
        <v>29082</v>
      </c>
      <c r="AM381" s="174">
        <v>2</v>
      </c>
    </row>
    <row r="382" spans="1:39" ht="15" thickBot="1" x14ac:dyDescent="0.35">
      <c r="A382" s="305">
        <v>722</v>
      </c>
      <c r="B382" s="305">
        <v>600</v>
      </c>
      <c r="C382" s="540" t="s">
        <v>966</v>
      </c>
      <c r="D382" s="541" t="s">
        <v>967</v>
      </c>
      <c r="E382" s="542" t="s">
        <v>968</v>
      </c>
      <c r="F382" s="807">
        <v>990</v>
      </c>
      <c r="G382" s="807" t="s">
        <v>539</v>
      </c>
      <c r="H382" s="391" t="s">
        <v>73</v>
      </c>
      <c r="I382" s="331">
        <v>1</v>
      </c>
      <c r="J382" s="807" t="s">
        <v>969</v>
      </c>
      <c r="K382" s="332" t="s">
        <v>104</v>
      </c>
      <c r="L382" s="891" t="s">
        <v>763</v>
      </c>
      <c r="M382" s="891" t="s">
        <v>653</v>
      </c>
      <c r="N382" s="891" t="s">
        <v>653</v>
      </c>
      <c r="O382" s="891" t="s">
        <v>653</v>
      </c>
      <c r="P382" s="396" t="s">
        <v>764</v>
      </c>
      <c r="Q382" s="933" t="s">
        <v>764</v>
      </c>
      <c r="R382" s="543" t="s">
        <v>686</v>
      </c>
      <c r="S382" s="543" t="s">
        <v>699</v>
      </c>
      <c r="T382" s="827">
        <v>1000</v>
      </c>
      <c r="U382" s="827">
        <v>1140</v>
      </c>
      <c r="V382" s="827">
        <v>900</v>
      </c>
      <c r="W382" s="893">
        <v>950</v>
      </c>
      <c r="X382" s="860">
        <v>1150</v>
      </c>
      <c r="Y382" s="947">
        <v>1190</v>
      </c>
      <c r="Z382" s="860">
        <v>1170</v>
      </c>
      <c r="AA382" s="860">
        <v>1200</v>
      </c>
      <c r="AB382" s="947">
        <v>1180</v>
      </c>
      <c r="AC382" s="893">
        <v>1230</v>
      </c>
      <c r="AD382" s="758">
        <v>1440</v>
      </c>
      <c r="AE382" s="330" t="s">
        <v>97</v>
      </c>
      <c r="AF382" s="186">
        <v>11775</v>
      </c>
      <c r="AG382" s="333">
        <v>0.12229299363057325</v>
      </c>
      <c r="AH382" s="307" t="s">
        <v>1524</v>
      </c>
      <c r="AI382" s="334">
        <v>90</v>
      </c>
      <c r="AJ382" s="334">
        <v>140</v>
      </c>
      <c r="AK382" s="334">
        <v>1120</v>
      </c>
      <c r="AL382" s="881">
        <f>IF(AD382&gt;0,AD382*$I382,"-")</f>
        <v>1440</v>
      </c>
      <c r="AM382" s="337">
        <v>2</v>
      </c>
    </row>
    <row r="383" spans="1:39" x14ac:dyDescent="0.3">
      <c r="A383" s="103">
        <v>724</v>
      </c>
      <c r="B383" s="103">
        <v>601</v>
      </c>
      <c r="C383" s="417" t="s">
        <v>970</v>
      </c>
      <c r="D383" s="150" t="s">
        <v>971</v>
      </c>
      <c r="E383" s="177" t="s">
        <v>972</v>
      </c>
      <c r="F383" s="804">
        <v>1000</v>
      </c>
      <c r="G383" s="804" t="s">
        <v>539</v>
      </c>
      <c r="H383" s="131" t="s">
        <v>73</v>
      </c>
      <c r="I383" s="178">
        <v>0.3</v>
      </c>
      <c r="J383" s="804" t="s">
        <v>237</v>
      </c>
      <c r="K383" s="131" t="s">
        <v>75</v>
      </c>
      <c r="L383" s="843" t="s">
        <v>540</v>
      </c>
      <c r="M383" s="848" t="s">
        <v>584</v>
      </c>
      <c r="N383" s="843" t="s">
        <v>584</v>
      </c>
      <c r="O383" s="843" t="s">
        <v>584</v>
      </c>
      <c r="P383" s="843" t="s">
        <v>542</v>
      </c>
      <c r="Q383" s="975" t="s">
        <v>542</v>
      </c>
      <c r="R383" s="77" t="s">
        <v>543</v>
      </c>
      <c r="S383" s="544" t="s">
        <v>872</v>
      </c>
      <c r="T383" s="825">
        <v>5810</v>
      </c>
      <c r="U383" s="825">
        <v>5860</v>
      </c>
      <c r="V383" s="825">
        <v>5910</v>
      </c>
      <c r="W383" s="836">
        <v>5820</v>
      </c>
      <c r="X383" s="997">
        <v>4830</v>
      </c>
      <c r="Y383" s="759">
        <v>6650</v>
      </c>
      <c r="Z383" s="759">
        <v>6230</v>
      </c>
      <c r="AA383" s="798">
        <v>5590</v>
      </c>
      <c r="AB383" s="798">
        <v>7020</v>
      </c>
      <c r="AC383" s="514">
        <v>5840</v>
      </c>
      <c r="AD383" s="181">
        <v>6100</v>
      </c>
      <c r="AE383" s="190" t="s">
        <v>229</v>
      </c>
      <c r="AF383" s="322">
        <v>13640</v>
      </c>
      <c r="AG383" s="79">
        <v>0.4472140762463343</v>
      </c>
      <c r="AH383" s="86" t="s">
        <v>80</v>
      </c>
      <c r="AI383" s="181">
        <v>620</v>
      </c>
      <c r="AJ383" s="181">
        <v>540</v>
      </c>
      <c r="AK383" s="181">
        <v>1020</v>
      </c>
      <c r="AL383" s="832">
        <f>IF(AD383&gt;0,AD383*$I383,"-")</f>
        <v>1830</v>
      </c>
      <c r="AM383" s="182">
        <v>2</v>
      </c>
    </row>
    <row r="384" spans="1:39" ht="15" thickBot="1" x14ac:dyDescent="0.35">
      <c r="A384" s="305">
        <v>726</v>
      </c>
      <c r="B384" s="305">
        <v>603</v>
      </c>
      <c r="C384" s="418" t="s">
        <v>973</v>
      </c>
      <c r="D384" s="145" t="s">
        <v>974</v>
      </c>
      <c r="E384" s="91" t="s">
        <v>975</v>
      </c>
      <c r="F384" s="801">
        <v>1002</v>
      </c>
      <c r="G384" s="801" t="s">
        <v>539</v>
      </c>
      <c r="H384" s="92" t="s">
        <v>73</v>
      </c>
      <c r="I384" s="93">
        <v>1.8</v>
      </c>
      <c r="J384" s="801" t="s">
        <v>154</v>
      </c>
      <c r="K384" s="92" t="s">
        <v>75</v>
      </c>
      <c r="L384" s="841" t="s">
        <v>540</v>
      </c>
      <c r="M384" s="841" t="s">
        <v>587</v>
      </c>
      <c r="N384" s="841" t="s">
        <v>587</v>
      </c>
      <c r="O384" s="841" t="s">
        <v>587</v>
      </c>
      <c r="P384" s="841" t="s">
        <v>588</v>
      </c>
      <c r="Q384" s="890" t="s">
        <v>588</v>
      </c>
      <c r="R384" s="97" t="s">
        <v>543</v>
      </c>
      <c r="S384" s="95" t="s">
        <v>872</v>
      </c>
      <c r="T384" s="827">
        <v>7350</v>
      </c>
      <c r="U384" s="827">
        <v>7140</v>
      </c>
      <c r="V384" s="545" t="s">
        <v>81</v>
      </c>
      <c r="W384" s="546" t="s">
        <v>81</v>
      </c>
      <c r="X384" s="842">
        <v>4940</v>
      </c>
      <c r="Y384" s="842">
        <v>6990</v>
      </c>
      <c r="Z384" s="915" t="s">
        <v>81</v>
      </c>
      <c r="AA384" s="915" t="s">
        <v>81</v>
      </c>
      <c r="AB384" s="378" t="s">
        <v>81</v>
      </c>
      <c r="AC384" s="101" t="s">
        <v>81</v>
      </c>
      <c r="AD384" s="787" t="s">
        <v>81</v>
      </c>
      <c r="AE384" s="246" t="s">
        <v>229</v>
      </c>
      <c r="AF384" s="772">
        <v>14040</v>
      </c>
      <c r="AG384" s="147"/>
      <c r="AH384" s="736" t="s">
        <v>1525</v>
      </c>
      <c r="AI384" s="787" t="s">
        <v>81</v>
      </c>
      <c r="AJ384" s="787" t="s">
        <v>81</v>
      </c>
      <c r="AK384" s="773">
        <v>1270</v>
      </c>
      <c r="AL384" s="998" t="e">
        <f>IF(AD384&gt;0,AD384*$I384,"-")</f>
        <v>#VALUE!</v>
      </c>
      <c r="AM384" s="127">
        <v>2</v>
      </c>
    </row>
    <row r="385" spans="1:39" ht="15" thickBot="1" x14ac:dyDescent="0.35">
      <c r="A385" s="202">
        <v>729</v>
      </c>
      <c r="B385" s="202">
        <v>2020</v>
      </c>
      <c r="C385" s="388" t="s">
        <v>976</v>
      </c>
      <c r="D385" s="248" t="s">
        <v>977</v>
      </c>
      <c r="E385" s="205" t="s">
        <v>926</v>
      </c>
      <c r="F385" s="805">
        <v>1011</v>
      </c>
      <c r="G385" s="805" t="s">
        <v>539</v>
      </c>
      <c r="H385" s="249"/>
      <c r="I385" s="207">
        <v>0.44</v>
      </c>
      <c r="J385" s="805" t="s">
        <v>237</v>
      </c>
      <c r="K385" s="249" t="s">
        <v>75</v>
      </c>
      <c r="L385" s="851" t="s">
        <v>540</v>
      </c>
      <c r="M385" s="917" t="s">
        <v>541</v>
      </c>
      <c r="N385" s="851" t="s">
        <v>541</v>
      </c>
      <c r="O385" s="851" t="s">
        <v>541</v>
      </c>
      <c r="P385" s="851" t="s">
        <v>542</v>
      </c>
      <c r="Q385" s="975" t="s">
        <v>542</v>
      </c>
      <c r="R385" s="250" t="s">
        <v>758</v>
      </c>
      <c r="S385" s="285" t="s">
        <v>549</v>
      </c>
      <c r="T385" s="846">
        <v>420</v>
      </c>
      <c r="U385" s="846">
        <v>460</v>
      </c>
      <c r="V385" s="846">
        <v>470</v>
      </c>
      <c r="W385" s="857">
        <v>460</v>
      </c>
      <c r="X385" s="948">
        <v>410</v>
      </c>
      <c r="Y385" s="932">
        <v>500</v>
      </c>
      <c r="Z385" s="858">
        <v>410</v>
      </c>
      <c r="AA385" s="858">
        <v>440</v>
      </c>
      <c r="AB385" s="858">
        <v>430</v>
      </c>
      <c r="AC385" s="536">
        <v>430</v>
      </c>
      <c r="AD385" s="282">
        <v>470</v>
      </c>
      <c r="AE385" s="442" t="s">
        <v>229</v>
      </c>
      <c r="AF385" s="481">
        <v>13640</v>
      </c>
      <c r="AG385" s="444">
        <v>3.44574780058651E-2</v>
      </c>
      <c r="AH385" s="442" t="s">
        <v>97</v>
      </c>
      <c r="AI385" s="282">
        <v>30</v>
      </c>
      <c r="AJ385" s="282">
        <v>50</v>
      </c>
      <c r="AK385" s="282">
        <v>1020</v>
      </c>
      <c r="AL385" s="869"/>
      <c r="AM385" s="255">
        <v>2</v>
      </c>
    </row>
    <row r="386" spans="1:39" ht="15" thickBot="1" x14ac:dyDescent="0.35">
      <c r="A386" s="327">
        <v>731</v>
      </c>
      <c r="B386" s="327">
        <v>605</v>
      </c>
      <c r="C386" s="328" t="s">
        <v>978</v>
      </c>
      <c r="D386" s="329" t="s">
        <v>979</v>
      </c>
      <c r="E386" s="329" t="s">
        <v>980</v>
      </c>
      <c r="F386" s="999" t="s">
        <v>981</v>
      </c>
      <c r="G386" s="807" t="s">
        <v>982</v>
      </c>
      <c r="H386" s="330"/>
      <c r="I386" s="331">
        <v>4</v>
      </c>
      <c r="J386" s="807" t="s">
        <v>130</v>
      </c>
      <c r="K386" s="391" t="s">
        <v>75</v>
      </c>
      <c r="L386" s="891" t="s">
        <v>367</v>
      </c>
      <c r="M386" s="891" t="s">
        <v>367</v>
      </c>
      <c r="N386" s="891" t="s">
        <v>367</v>
      </c>
      <c r="O386" s="891" t="s">
        <v>367</v>
      </c>
      <c r="P386" s="891" t="s">
        <v>367</v>
      </c>
      <c r="Q386" s="895" t="s">
        <v>367</v>
      </c>
      <c r="R386" s="543" t="s">
        <v>895</v>
      </c>
      <c r="S386" s="543" t="s">
        <v>605</v>
      </c>
      <c r="T386" s="124">
        <v>700</v>
      </c>
      <c r="U386" s="124">
        <v>660</v>
      </c>
      <c r="V386" s="124">
        <v>900</v>
      </c>
      <c r="W386" s="124">
        <v>900</v>
      </c>
      <c r="X386" s="827">
        <v>950</v>
      </c>
      <c r="Y386" s="827">
        <v>1000</v>
      </c>
      <c r="Z386" s="827">
        <v>850</v>
      </c>
      <c r="AA386" s="827">
        <v>850</v>
      </c>
      <c r="AB386" s="124">
        <v>850</v>
      </c>
      <c r="AC386" s="547">
        <v>650</v>
      </c>
      <c r="AD386" s="548">
        <v>650</v>
      </c>
      <c r="AE386" s="549" t="s">
        <v>97</v>
      </c>
      <c r="AF386" s="431">
        <v>6450</v>
      </c>
      <c r="AG386" s="432">
        <v>0.10077519379844961</v>
      </c>
      <c r="AH386" s="433" t="s">
        <v>1524</v>
      </c>
      <c r="AI386" s="788" t="s">
        <v>81</v>
      </c>
      <c r="AJ386" s="788" t="s">
        <v>81</v>
      </c>
      <c r="AK386" s="789">
        <v>620</v>
      </c>
      <c r="AL386" s="949">
        <f>IF(AD386&gt;0,AD386*$I386,"-")</f>
        <v>2600</v>
      </c>
      <c r="AM386" s="337">
        <v>2</v>
      </c>
    </row>
    <row r="387" spans="1:39" ht="15" thickBot="1" x14ac:dyDescent="0.35">
      <c r="A387" s="202">
        <v>734</v>
      </c>
      <c r="B387" s="202">
        <v>609</v>
      </c>
      <c r="C387" s="420" t="s">
        <v>983</v>
      </c>
      <c r="D387" s="388" t="s">
        <v>984</v>
      </c>
      <c r="E387" s="248" t="s">
        <v>985</v>
      </c>
      <c r="F387" s="805">
        <v>1051</v>
      </c>
      <c r="G387" s="805" t="s">
        <v>539</v>
      </c>
      <c r="H387" s="208" t="s">
        <v>73</v>
      </c>
      <c r="I387" s="207">
        <v>0.75</v>
      </c>
      <c r="J387" s="805" t="s">
        <v>237</v>
      </c>
      <c r="K387" s="208" t="s">
        <v>75</v>
      </c>
      <c r="L387" s="851" t="s">
        <v>540</v>
      </c>
      <c r="M387" s="917" t="s">
        <v>584</v>
      </c>
      <c r="N387" s="851" t="s">
        <v>584</v>
      </c>
      <c r="O387" s="851" t="s">
        <v>584</v>
      </c>
      <c r="P387" s="851" t="s">
        <v>542</v>
      </c>
      <c r="Q387" s="975" t="s">
        <v>542</v>
      </c>
      <c r="R387" s="250" t="s">
        <v>758</v>
      </c>
      <c r="S387" s="206" t="s">
        <v>858</v>
      </c>
      <c r="T387" s="846">
        <v>2080</v>
      </c>
      <c r="U387" s="846">
        <v>1810</v>
      </c>
      <c r="V387" s="846">
        <v>1690</v>
      </c>
      <c r="W387" s="857">
        <v>1680</v>
      </c>
      <c r="X387" s="948">
        <v>1820</v>
      </c>
      <c r="Y387" s="932">
        <v>2020</v>
      </c>
      <c r="Z387" s="858">
        <v>2100</v>
      </c>
      <c r="AA387" s="858">
        <v>2190</v>
      </c>
      <c r="AB387" s="858">
        <v>2110</v>
      </c>
      <c r="AC387" s="536">
        <v>1880</v>
      </c>
      <c r="AD387" s="282">
        <v>1970</v>
      </c>
      <c r="AE387" s="550" t="s">
        <v>229</v>
      </c>
      <c r="AF387" s="481">
        <v>13640</v>
      </c>
      <c r="AG387" s="444">
        <v>0.14442815249266863</v>
      </c>
      <c r="AH387" s="442" t="s">
        <v>97</v>
      </c>
      <c r="AI387" s="282">
        <v>410</v>
      </c>
      <c r="AJ387" s="282">
        <v>200</v>
      </c>
      <c r="AK387" s="282">
        <v>1020</v>
      </c>
      <c r="AL387" s="949">
        <f>IF(AD387&gt;0,AD387*$I387,"-")</f>
        <v>1477.5</v>
      </c>
      <c r="AM387" s="211">
        <v>2</v>
      </c>
    </row>
    <row r="388" spans="1:39" ht="15" thickBot="1" x14ac:dyDescent="0.35">
      <c r="A388" s="327">
        <v>738</v>
      </c>
      <c r="B388" s="327">
        <v>612</v>
      </c>
      <c r="C388" s="389" t="s">
        <v>986</v>
      </c>
      <c r="D388" s="390" t="s">
        <v>839</v>
      </c>
      <c r="E388" s="329" t="s">
        <v>987</v>
      </c>
      <c r="F388" s="807">
        <v>1062</v>
      </c>
      <c r="G388" s="807" t="s">
        <v>539</v>
      </c>
      <c r="H388" s="330"/>
      <c r="I388" s="331">
        <v>3.9</v>
      </c>
      <c r="J388" s="807" t="s">
        <v>237</v>
      </c>
      <c r="K388" s="332" t="s">
        <v>75</v>
      </c>
      <c r="L388" s="891" t="s">
        <v>367</v>
      </c>
      <c r="M388" s="891" t="s">
        <v>367</v>
      </c>
      <c r="N388" s="891" t="s">
        <v>367</v>
      </c>
      <c r="O388" s="891" t="s">
        <v>367</v>
      </c>
      <c r="P388" s="891" t="s">
        <v>367</v>
      </c>
      <c r="Q388" s="895" t="s">
        <v>367</v>
      </c>
      <c r="R388" s="543" t="s">
        <v>596</v>
      </c>
      <c r="S388" s="285" t="s">
        <v>549</v>
      </c>
      <c r="T388" s="124">
        <v>860</v>
      </c>
      <c r="U388" s="124">
        <v>820</v>
      </c>
      <c r="V388" s="124">
        <v>740</v>
      </c>
      <c r="W388" s="893">
        <v>780</v>
      </c>
      <c r="X388" s="860">
        <v>810</v>
      </c>
      <c r="Y388" s="947">
        <v>810</v>
      </c>
      <c r="Z388" s="860">
        <v>850</v>
      </c>
      <c r="AA388" s="947">
        <v>880</v>
      </c>
      <c r="AB388" s="860">
        <v>790</v>
      </c>
      <c r="AC388" s="1000">
        <v>710</v>
      </c>
      <c r="AD388" s="780">
        <v>750</v>
      </c>
      <c r="AE388" s="549" t="s">
        <v>97</v>
      </c>
      <c r="AF388" s="431">
        <v>6450</v>
      </c>
      <c r="AG388" s="432">
        <v>0.11627906976744186</v>
      </c>
      <c r="AH388" s="433" t="s">
        <v>1524</v>
      </c>
      <c r="AI388" s="780">
        <v>50</v>
      </c>
      <c r="AJ388" s="780">
        <v>60</v>
      </c>
      <c r="AK388" s="789">
        <v>620</v>
      </c>
      <c r="AL388" s="941"/>
      <c r="AM388" s="337">
        <v>2</v>
      </c>
    </row>
    <row r="389" spans="1:39" x14ac:dyDescent="0.3">
      <c r="A389" s="103">
        <v>746</v>
      </c>
      <c r="B389" s="103">
        <v>620</v>
      </c>
      <c r="C389" s="318" t="s">
        <v>988</v>
      </c>
      <c r="D389" s="489" t="s">
        <v>989</v>
      </c>
      <c r="E389" s="177" t="s">
        <v>990</v>
      </c>
      <c r="F389" s="804">
        <v>1070</v>
      </c>
      <c r="G389" s="804" t="s">
        <v>539</v>
      </c>
      <c r="H389" s="131" t="s">
        <v>73</v>
      </c>
      <c r="I389" s="178">
        <v>0.4</v>
      </c>
      <c r="J389" s="804" t="s">
        <v>154</v>
      </c>
      <c r="K389" s="340" t="s">
        <v>75</v>
      </c>
      <c r="L389" s="843" t="s">
        <v>540</v>
      </c>
      <c r="M389" s="848" t="s">
        <v>584</v>
      </c>
      <c r="N389" s="843" t="s">
        <v>584</v>
      </c>
      <c r="O389" s="843" t="s">
        <v>584</v>
      </c>
      <c r="P389" s="843" t="s">
        <v>542</v>
      </c>
      <c r="Q389" s="975" t="s">
        <v>542</v>
      </c>
      <c r="R389" s="77" t="s">
        <v>543</v>
      </c>
      <c r="S389" s="311" t="s">
        <v>465</v>
      </c>
      <c r="T389" s="825">
        <v>6140</v>
      </c>
      <c r="U389" s="825">
        <v>6050</v>
      </c>
      <c r="V389" s="825">
        <v>6060</v>
      </c>
      <c r="W389" s="836">
        <v>5920</v>
      </c>
      <c r="X389" s="997">
        <v>6140</v>
      </c>
      <c r="Y389" s="759">
        <v>6360</v>
      </c>
      <c r="Z389" s="759">
        <v>7430</v>
      </c>
      <c r="AA389" s="973">
        <v>7800</v>
      </c>
      <c r="AB389" s="886">
        <v>6910</v>
      </c>
      <c r="AC389" s="514">
        <v>6710</v>
      </c>
      <c r="AD389" s="181">
        <v>7970</v>
      </c>
      <c r="AE389" s="86" t="s">
        <v>229</v>
      </c>
      <c r="AF389" s="409">
        <v>13640</v>
      </c>
      <c r="AG389" s="79">
        <v>0.58431085043988273</v>
      </c>
      <c r="AH389" s="86" t="s">
        <v>80</v>
      </c>
      <c r="AI389" s="181">
        <v>570</v>
      </c>
      <c r="AJ389" s="181">
        <v>730</v>
      </c>
      <c r="AK389" s="181">
        <v>1020</v>
      </c>
      <c r="AL389" s="832">
        <f t="shared" ref="AL389:AL395" si="15">IF(AD389&gt;0,AD389*$I389,"-")</f>
        <v>3188</v>
      </c>
      <c r="AM389" s="182">
        <v>2</v>
      </c>
    </row>
    <row r="390" spans="1:39" ht="15" thickBot="1" x14ac:dyDescent="0.35">
      <c r="A390" s="33">
        <v>745</v>
      </c>
      <c r="B390" s="33">
        <v>618</v>
      </c>
      <c r="C390" s="300" t="s">
        <v>988</v>
      </c>
      <c r="D390" s="301" t="s">
        <v>991</v>
      </c>
      <c r="E390" s="35" t="s">
        <v>992</v>
      </c>
      <c r="F390" s="799">
        <v>1071</v>
      </c>
      <c r="G390" s="799" t="s">
        <v>539</v>
      </c>
      <c r="H390" s="36" t="s">
        <v>73</v>
      </c>
      <c r="I390" s="37">
        <v>1.75</v>
      </c>
      <c r="J390" s="799" t="s">
        <v>140</v>
      </c>
      <c r="K390" s="36" t="s">
        <v>104</v>
      </c>
      <c r="L390" s="837" t="s">
        <v>540</v>
      </c>
      <c r="M390" s="837" t="s">
        <v>584</v>
      </c>
      <c r="N390" s="837" t="s">
        <v>584</v>
      </c>
      <c r="O390" s="837" t="s">
        <v>584</v>
      </c>
      <c r="P390" s="837" t="s">
        <v>626</v>
      </c>
      <c r="Q390" s="909" t="s">
        <v>626</v>
      </c>
      <c r="R390" s="65" t="s">
        <v>543</v>
      </c>
      <c r="S390" s="65" t="s">
        <v>465</v>
      </c>
      <c r="T390" s="833">
        <v>7690</v>
      </c>
      <c r="U390" s="833">
        <v>7540</v>
      </c>
      <c r="V390" s="833">
        <v>7220</v>
      </c>
      <c r="W390" s="820">
        <v>6920</v>
      </c>
      <c r="X390" s="838">
        <v>5440</v>
      </c>
      <c r="Y390" s="838">
        <v>5680</v>
      </c>
      <c r="Z390" s="838">
        <v>5490</v>
      </c>
      <c r="AA390" s="957">
        <v>9500</v>
      </c>
      <c r="AB390" s="838">
        <v>8270</v>
      </c>
      <c r="AC390" s="964">
        <v>8160</v>
      </c>
      <c r="AD390" s="749">
        <v>9470</v>
      </c>
      <c r="AE390" s="411" t="s">
        <v>229</v>
      </c>
      <c r="AF390" s="213">
        <v>13640</v>
      </c>
      <c r="AG390" s="315">
        <v>0.69428152492668627</v>
      </c>
      <c r="AH390" s="83" t="s">
        <v>97</v>
      </c>
      <c r="AI390" s="120">
        <v>690</v>
      </c>
      <c r="AJ390" s="120">
        <v>820</v>
      </c>
      <c r="AK390" s="316">
        <v>1230</v>
      </c>
      <c r="AL390" s="832">
        <f t="shared" si="15"/>
        <v>16572.5</v>
      </c>
      <c r="AM390" s="121">
        <v>2</v>
      </c>
    </row>
    <row r="391" spans="1:39" ht="15" thickBot="1" x14ac:dyDescent="0.35">
      <c r="A391" s="33">
        <v>744</v>
      </c>
      <c r="B391" s="33">
        <v>617</v>
      </c>
      <c r="C391" s="300" t="s">
        <v>988</v>
      </c>
      <c r="D391" s="353" t="s">
        <v>993</v>
      </c>
      <c r="E391" s="51" t="s">
        <v>994</v>
      </c>
      <c r="F391" s="800">
        <v>1072</v>
      </c>
      <c r="G391" s="800" t="s">
        <v>539</v>
      </c>
      <c r="H391" s="71" t="s">
        <v>73</v>
      </c>
      <c r="I391" s="72">
        <v>0.5</v>
      </c>
      <c r="J391" s="800" t="s">
        <v>140</v>
      </c>
      <c r="K391" s="71" t="s">
        <v>104</v>
      </c>
      <c r="L391" s="835" t="s">
        <v>540</v>
      </c>
      <c r="M391" s="839" t="s">
        <v>584</v>
      </c>
      <c r="N391" s="835" t="s">
        <v>584</v>
      </c>
      <c r="O391" s="835" t="s">
        <v>584</v>
      </c>
      <c r="P391" s="835" t="s">
        <v>626</v>
      </c>
      <c r="Q391" s="909" t="s">
        <v>626</v>
      </c>
      <c r="R391" s="52" t="s">
        <v>543</v>
      </c>
      <c r="S391" s="85" t="s">
        <v>465</v>
      </c>
      <c r="T391" s="825">
        <v>10320</v>
      </c>
      <c r="U391" s="825">
        <v>9740</v>
      </c>
      <c r="V391" s="825">
        <v>9570</v>
      </c>
      <c r="W391" s="822">
        <v>9850</v>
      </c>
      <c r="X391" s="1001">
        <v>10510</v>
      </c>
      <c r="Y391" s="760">
        <v>11000</v>
      </c>
      <c r="Z391" s="760">
        <v>11260</v>
      </c>
      <c r="AA391" s="979">
        <v>12610</v>
      </c>
      <c r="AB391" s="760">
        <v>11300</v>
      </c>
      <c r="AC391" s="523">
        <v>11210</v>
      </c>
      <c r="AD391" s="143">
        <v>12740</v>
      </c>
      <c r="AE391" s="47" t="s">
        <v>229</v>
      </c>
      <c r="AF391" s="502">
        <v>13640</v>
      </c>
      <c r="AG391" s="503">
        <v>0.93401759530791784</v>
      </c>
      <c r="AH391" s="47" t="s">
        <v>80</v>
      </c>
      <c r="AI391" s="143">
        <v>1040</v>
      </c>
      <c r="AJ391" s="143">
        <v>1090</v>
      </c>
      <c r="AK391" s="504">
        <v>1230</v>
      </c>
      <c r="AL391" s="832">
        <f t="shared" si="15"/>
        <v>6370</v>
      </c>
      <c r="AM391" s="122">
        <v>2</v>
      </c>
    </row>
    <row r="392" spans="1:39" ht="15" thickBot="1" x14ac:dyDescent="0.35">
      <c r="A392" s="33">
        <v>743</v>
      </c>
      <c r="B392" s="33">
        <v>616</v>
      </c>
      <c r="C392" s="300" t="s">
        <v>988</v>
      </c>
      <c r="D392" s="353" t="s">
        <v>995</v>
      </c>
      <c r="E392" s="35" t="s">
        <v>996</v>
      </c>
      <c r="F392" s="799">
        <v>1073</v>
      </c>
      <c r="G392" s="799" t="s">
        <v>539</v>
      </c>
      <c r="H392" s="36" t="s">
        <v>73</v>
      </c>
      <c r="I392" s="37">
        <v>0.4</v>
      </c>
      <c r="J392" s="799" t="s">
        <v>140</v>
      </c>
      <c r="K392" s="36" t="s">
        <v>104</v>
      </c>
      <c r="L392" s="837" t="s">
        <v>540</v>
      </c>
      <c r="M392" s="837" t="s">
        <v>584</v>
      </c>
      <c r="N392" s="837" t="s">
        <v>584</v>
      </c>
      <c r="O392" s="837" t="s">
        <v>584</v>
      </c>
      <c r="P392" s="837" t="s">
        <v>626</v>
      </c>
      <c r="Q392" s="909" t="s">
        <v>626</v>
      </c>
      <c r="R392" s="65" t="s">
        <v>543</v>
      </c>
      <c r="S392" s="65" t="s">
        <v>465</v>
      </c>
      <c r="T392" s="833">
        <v>7410</v>
      </c>
      <c r="U392" s="833">
        <v>7090</v>
      </c>
      <c r="V392" s="833">
        <v>6840</v>
      </c>
      <c r="W392" s="820">
        <v>7110</v>
      </c>
      <c r="X392" s="838">
        <v>7420</v>
      </c>
      <c r="Y392" s="838">
        <v>7700</v>
      </c>
      <c r="Z392" s="838">
        <v>7830</v>
      </c>
      <c r="AA392" s="957">
        <v>8560</v>
      </c>
      <c r="AB392" s="838">
        <v>7580</v>
      </c>
      <c r="AC392" s="964">
        <v>7650</v>
      </c>
      <c r="AD392" s="749">
        <v>8480</v>
      </c>
      <c r="AE392" s="411" t="s">
        <v>229</v>
      </c>
      <c r="AF392" s="213">
        <v>13640</v>
      </c>
      <c r="AG392" s="315">
        <v>0.6217008797653959</v>
      </c>
      <c r="AH392" s="83" t="s">
        <v>97</v>
      </c>
      <c r="AI392" s="120">
        <v>700</v>
      </c>
      <c r="AJ392" s="120">
        <v>750</v>
      </c>
      <c r="AK392" s="316">
        <v>1230</v>
      </c>
      <c r="AL392" s="832">
        <f t="shared" si="15"/>
        <v>3392</v>
      </c>
      <c r="AM392" s="121">
        <v>2</v>
      </c>
    </row>
    <row r="393" spans="1:39" ht="15" thickBot="1" x14ac:dyDescent="0.35">
      <c r="A393" s="33">
        <v>740</v>
      </c>
      <c r="B393" s="33">
        <v>613</v>
      </c>
      <c r="C393" s="551" t="s">
        <v>988</v>
      </c>
      <c r="D393" s="552" t="s">
        <v>997</v>
      </c>
      <c r="E393" s="553" t="s">
        <v>998</v>
      </c>
      <c r="F393" s="1002">
        <v>1076</v>
      </c>
      <c r="G393" s="800" t="s">
        <v>539</v>
      </c>
      <c r="H393" s="71" t="s">
        <v>73</v>
      </c>
      <c r="I393" s="72">
        <v>1.4</v>
      </c>
      <c r="J393" s="800" t="s">
        <v>158</v>
      </c>
      <c r="K393" s="71" t="s">
        <v>104</v>
      </c>
      <c r="L393" s="835" t="s">
        <v>540</v>
      </c>
      <c r="M393" s="839" t="s">
        <v>584</v>
      </c>
      <c r="N393" s="835" t="s">
        <v>584</v>
      </c>
      <c r="O393" s="835" t="s">
        <v>584</v>
      </c>
      <c r="P393" s="835" t="s">
        <v>626</v>
      </c>
      <c r="Q393" s="909" t="s">
        <v>626</v>
      </c>
      <c r="R393" s="52" t="s">
        <v>543</v>
      </c>
      <c r="S393" s="85" t="s">
        <v>465</v>
      </c>
      <c r="T393" s="825">
        <v>7030</v>
      </c>
      <c r="U393" s="825">
        <v>6570</v>
      </c>
      <c r="V393" s="825">
        <v>6750</v>
      </c>
      <c r="W393" s="822">
        <v>6760</v>
      </c>
      <c r="X393" s="1001">
        <v>6990</v>
      </c>
      <c r="Y393" s="760">
        <v>7280</v>
      </c>
      <c r="Z393" s="760">
        <v>7910</v>
      </c>
      <c r="AA393" s="973">
        <v>7590</v>
      </c>
      <c r="AB393" s="760">
        <v>8260</v>
      </c>
      <c r="AC393" s="523">
        <v>7750</v>
      </c>
      <c r="AD393" s="115">
        <v>8940</v>
      </c>
      <c r="AE393" s="140" t="s">
        <v>229</v>
      </c>
      <c r="AF393" s="194">
        <v>13640</v>
      </c>
      <c r="AG393" s="303">
        <v>0.65542521994134895</v>
      </c>
      <c r="AH393" s="80" t="s">
        <v>97</v>
      </c>
      <c r="AI393" s="115">
        <v>1050</v>
      </c>
      <c r="AJ393" s="115">
        <v>840</v>
      </c>
      <c r="AK393" s="304">
        <v>1230</v>
      </c>
      <c r="AL393" s="832">
        <f t="shared" si="15"/>
        <v>12516</v>
      </c>
      <c r="AM393" s="122">
        <v>2</v>
      </c>
    </row>
    <row r="394" spans="1:39" x14ac:dyDescent="0.3">
      <c r="A394" s="33">
        <v>996</v>
      </c>
      <c r="B394" s="33">
        <v>811</v>
      </c>
      <c r="C394" s="300" t="s">
        <v>999</v>
      </c>
      <c r="D394" s="492" t="s">
        <v>1000</v>
      </c>
      <c r="E394" s="64" t="s">
        <v>1001</v>
      </c>
      <c r="F394" s="799">
        <v>1520</v>
      </c>
      <c r="G394" s="799" t="s">
        <v>539</v>
      </c>
      <c r="H394" s="36" t="s">
        <v>73</v>
      </c>
      <c r="I394" s="37">
        <v>1.5</v>
      </c>
      <c r="J394" s="799" t="s">
        <v>158</v>
      </c>
      <c r="K394" s="324" t="s">
        <v>104</v>
      </c>
      <c r="L394" s="837" t="s">
        <v>583</v>
      </c>
      <c r="M394" s="837" t="s">
        <v>587</v>
      </c>
      <c r="N394" s="837" t="s">
        <v>587</v>
      </c>
      <c r="O394" s="837" t="s">
        <v>587</v>
      </c>
      <c r="P394" s="837" t="s">
        <v>629</v>
      </c>
      <c r="Q394" s="310" t="s">
        <v>629</v>
      </c>
      <c r="R394" s="65" t="s">
        <v>543</v>
      </c>
      <c r="S394" s="65" t="s">
        <v>465</v>
      </c>
      <c r="T394" s="833">
        <v>4800</v>
      </c>
      <c r="U394" s="833">
        <v>4390</v>
      </c>
      <c r="V394" s="833">
        <v>4570</v>
      </c>
      <c r="W394" s="820">
        <v>3910</v>
      </c>
      <c r="X394" s="934" t="s">
        <v>81</v>
      </c>
      <c r="Y394" s="838">
        <v>4640</v>
      </c>
      <c r="Z394" s="912">
        <v>5070</v>
      </c>
      <c r="AA394" s="1003">
        <v>5220</v>
      </c>
      <c r="AB394" s="838">
        <v>4600</v>
      </c>
      <c r="AC394" s="964">
        <v>4540</v>
      </c>
      <c r="AD394" s="749">
        <v>6150</v>
      </c>
      <c r="AE394" s="411" t="s">
        <v>97</v>
      </c>
      <c r="AF394" s="213">
        <v>15120</v>
      </c>
      <c r="AG394" s="315">
        <v>0.40674603174603174</v>
      </c>
      <c r="AH394" s="83" t="s">
        <v>97</v>
      </c>
      <c r="AI394" s="120">
        <v>590</v>
      </c>
      <c r="AJ394" s="120">
        <v>530</v>
      </c>
      <c r="AK394" s="316">
        <v>1540</v>
      </c>
      <c r="AL394" s="832">
        <f t="shared" si="15"/>
        <v>9225</v>
      </c>
      <c r="AM394" s="121">
        <v>2</v>
      </c>
    </row>
    <row r="395" spans="1:39" ht="15" thickBot="1" x14ac:dyDescent="0.35">
      <c r="A395" s="88">
        <v>993</v>
      </c>
      <c r="B395" s="88">
        <v>808</v>
      </c>
      <c r="C395" s="346" t="s">
        <v>999</v>
      </c>
      <c r="D395" s="554" t="s">
        <v>711</v>
      </c>
      <c r="E395" s="162" t="s">
        <v>1002</v>
      </c>
      <c r="F395" s="803">
        <v>1523</v>
      </c>
      <c r="G395" s="803" t="s">
        <v>539</v>
      </c>
      <c r="H395" s="163" t="s">
        <v>73</v>
      </c>
      <c r="I395" s="164">
        <v>1.8</v>
      </c>
      <c r="J395" s="803" t="s">
        <v>130</v>
      </c>
      <c r="K395" s="291" t="s">
        <v>104</v>
      </c>
      <c r="L395" s="845" t="s">
        <v>1003</v>
      </c>
      <c r="M395" s="850" t="s">
        <v>1004</v>
      </c>
      <c r="N395" s="845" t="s">
        <v>1004</v>
      </c>
      <c r="O395" s="845" t="s">
        <v>1004</v>
      </c>
      <c r="P395" s="850" t="s">
        <v>629</v>
      </c>
      <c r="Q395" s="310" t="s">
        <v>629</v>
      </c>
      <c r="R395" s="526" t="s">
        <v>895</v>
      </c>
      <c r="S395" s="297" t="s">
        <v>465</v>
      </c>
      <c r="T395" s="846">
        <v>4630</v>
      </c>
      <c r="U395" s="846">
        <v>4230</v>
      </c>
      <c r="V395" s="846">
        <v>4470</v>
      </c>
      <c r="W395" s="847">
        <v>4200</v>
      </c>
      <c r="X395" s="858">
        <v>4570</v>
      </c>
      <c r="Y395" s="761">
        <v>5680</v>
      </c>
      <c r="Z395" s="761">
        <v>5510</v>
      </c>
      <c r="AA395" s="927">
        <v>4800</v>
      </c>
      <c r="AB395" s="761">
        <v>4700</v>
      </c>
      <c r="AC395" s="516">
        <v>5710</v>
      </c>
      <c r="AD395" s="169">
        <v>7210</v>
      </c>
      <c r="AE395" s="233" t="s">
        <v>229</v>
      </c>
      <c r="AF395" s="326">
        <v>17050</v>
      </c>
      <c r="AG395" s="172">
        <v>0.42287390029325511</v>
      </c>
      <c r="AH395" s="170" t="s">
        <v>97</v>
      </c>
      <c r="AI395" s="169">
        <v>650</v>
      </c>
      <c r="AJ395" s="169">
        <v>560</v>
      </c>
      <c r="AK395" s="298">
        <v>1540</v>
      </c>
      <c r="AL395" s="881">
        <f t="shared" si="15"/>
        <v>12978</v>
      </c>
      <c r="AM395" s="174">
        <v>2</v>
      </c>
    </row>
    <row r="396" spans="1:39" x14ac:dyDescent="0.3">
      <c r="A396" s="299">
        <v>758</v>
      </c>
      <c r="B396" s="299">
        <v>629</v>
      </c>
      <c r="C396" s="318" t="s">
        <v>1005</v>
      </c>
      <c r="D396" s="555" t="s">
        <v>1006</v>
      </c>
      <c r="E396" s="105" t="s">
        <v>1007</v>
      </c>
      <c r="F396" s="802">
        <v>1080</v>
      </c>
      <c r="G396" s="802" t="s">
        <v>539</v>
      </c>
      <c r="H396" s="200" t="s">
        <v>73</v>
      </c>
      <c r="I396" s="107">
        <v>0.15</v>
      </c>
      <c r="J396" s="802" t="s">
        <v>154</v>
      </c>
      <c r="K396" s="284" t="s">
        <v>104</v>
      </c>
      <c r="L396" s="830" t="s">
        <v>367</v>
      </c>
      <c r="M396" s="830" t="s">
        <v>367</v>
      </c>
      <c r="N396" s="830" t="s">
        <v>367</v>
      </c>
      <c r="O396" s="830" t="s">
        <v>367</v>
      </c>
      <c r="P396" s="830" t="s">
        <v>367</v>
      </c>
      <c r="Q396" s="895" t="s">
        <v>367</v>
      </c>
      <c r="R396" s="108" t="s">
        <v>596</v>
      </c>
      <c r="S396" s="484" t="s">
        <v>549</v>
      </c>
      <c r="T396" s="286">
        <v>160</v>
      </c>
      <c r="U396" s="286">
        <v>170</v>
      </c>
      <c r="V396" s="286">
        <v>170</v>
      </c>
      <c r="W396" s="988">
        <v>220</v>
      </c>
      <c r="X396" s="1004" t="s">
        <v>81</v>
      </c>
      <c r="Y396" s="873">
        <v>350</v>
      </c>
      <c r="Z396" s="873">
        <v>290</v>
      </c>
      <c r="AA396" s="1005">
        <v>260</v>
      </c>
      <c r="AB396" s="873">
        <v>200</v>
      </c>
      <c r="AC396" s="988">
        <v>220</v>
      </c>
      <c r="AD396" s="790">
        <v>280</v>
      </c>
      <c r="AE396" s="556" t="s">
        <v>97</v>
      </c>
      <c r="AF396" s="557">
        <v>6450</v>
      </c>
      <c r="AG396" s="453">
        <v>4.3410852713178294E-2</v>
      </c>
      <c r="AH396" s="558" t="s">
        <v>1524</v>
      </c>
      <c r="AI396" s="559">
        <v>20</v>
      </c>
      <c r="AJ396" s="559">
        <v>30</v>
      </c>
      <c r="AK396" s="560">
        <v>620</v>
      </c>
      <c r="AL396" s="790"/>
      <c r="AM396" s="201">
        <v>2</v>
      </c>
    </row>
    <row r="397" spans="1:39" x14ac:dyDescent="0.3">
      <c r="A397" s="33">
        <v>757</v>
      </c>
      <c r="B397" s="33">
        <v>628</v>
      </c>
      <c r="C397" s="352" t="s">
        <v>1005</v>
      </c>
      <c r="D397" s="301" t="s">
        <v>772</v>
      </c>
      <c r="E397" s="70" t="s">
        <v>1008</v>
      </c>
      <c r="F397" s="800">
        <v>1081</v>
      </c>
      <c r="G397" s="800" t="s">
        <v>539</v>
      </c>
      <c r="H397" s="52" t="s">
        <v>73</v>
      </c>
      <c r="I397" s="72">
        <v>2.25</v>
      </c>
      <c r="J397" s="800" t="s">
        <v>154</v>
      </c>
      <c r="K397" s="302" t="s">
        <v>104</v>
      </c>
      <c r="L397" s="835" t="s">
        <v>367</v>
      </c>
      <c r="M397" s="835" t="s">
        <v>367</v>
      </c>
      <c r="N397" s="835" t="s">
        <v>367</v>
      </c>
      <c r="O397" s="835" t="s">
        <v>367</v>
      </c>
      <c r="P397" s="835" t="s">
        <v>367</v>
      </c>
      <c r="Q397" s="895" t="s">
        <v>367</v>
      </c>
      <c r="R397" s="55" t="s">
        <v>596</v>
      </c>
      <c r="S397" s="220" t="s">
        <v>699</v>
      </c>
      <c r="T397" s="57">
        <v>880</v>
      </c>
      <c r="U397" s="57">
        <v>800</v>
      </c>
      <c r="V397" s="57">
        <v>800</v>
      </c>
      <c r="W397" s="836">
        <v>980</v>
      </c>
      <c r="X397" s="896" t="s">
        <v>81</v>
      </c>
      <c r="Y397" s="759">
        <v>1030</v>
      </c>
      <c r="Z397" s="759">
        <v>980</v>
      </c>
      <c r="AA397" s="973">
        <v>1110</v>
      </c>
      <c r="AB397" s="759">
        <v>1130</v>
      </c>
      <c r="AC397" s="514">
        <v>1070</v>
      </c>
      <c r="AD397" s="181">
        <v>1070</v>
      </c>
      <c r="AE397" s="86" t="s">
        <v>97</v>
      </c>
      <c r="AF397" s="78">
        <v>6450</v>
      </c>
      <c r="AG397" s="79">
        <v>0.16589147286821707</v>
      </c>
      <c r="AH397" s="86" t="s">
        <v>1524</v>
      </c>
      <c r="AI397" s="181">
        <v>80</v>
      </c>
      <c r="AJ397" s="181">
        <v>90</v>
      </c>
      <c r="AK397" s="473">
        <v>620</v>
      </c>
      <c r="AL397" s="832">
        <f>IF(AD397&gt;0,AD397*$I397,"-")</f>
        <v>2407.5</v>
      </c>
      <c r="AM397" s="63">
        <v>2</v>
      </c>
    </row>
    <row r="398" spans="1:39" ht="15" thickBot="1" x14ac:dyDescent="0.35">
      <c r="A398" s="305">
        <v>756</v>
      </c>
      <c r="B398" s="305">
        <v>627</v>
      </c>
      <c r="C398" s="346" t="s">
        <v>1005</v>
      </c>
      <c r="D398" s="306" t="s">
        <v>1009</v>
      </c>
      <c r="E398" s="185" t="s">
        <v>1010</v>
      </c>
      <c r="F398" s="801">
        <v>1082</v>
      </c>
      <c r="G398" s="801" t="s">
        <v>539</v>
      </c>
      <c r="H398" s="92" t="s">
        <v>73</v>
      </c>
      <c r="I398" s="93">
        <v>3.7</v>
      </c>
      <c r="J398" s="801" t="s">
        <v>154</v>
      </c>
      <c r="K398" s="271" t="s">
        <v>104</v>
      </c>
      <c r="L398" s="841" t="s">
        <v>367</v>
      </c>
      <c r="M398" s="841" t="s">
        <v>367</v>
      </c>
      <c r="N398" s="841" t="s">
        <v>367</v>
      </c>
      <c r="O398" s="841" t="s">
        <v>367</v>
      </c>
      <c r="P398" s="841" t="s">
        <v>367</v>
      </c>
      <c r="Q398" s="895" t="s">
        <v>367</v>
      </c>
      <c r="R398" s="95" t="s">
        <v>596</v>
      </c>
      <c r="S398" s="94" t="s">
        <v>699</v>
      </c>
      <c r="T398" s="124">
        <v>150</v>
      </c>
      <c r="U398" s="124">
        <v>120</v>
      </c>
      <c r="V398" s="124">
        <v>140</v>
      </c>
      <c r="W398" s="828">
        <v>160</v>
      </c>
      <c r="X398" s="899" t="s">
        <v>81</v>
      </c>
      <c r="Y398" s="842">
        <v>200</v>
      </c>
      <c r="Z398" s="842">
        <v>170</v>
      </c>
      <c r="AA398" s="860">
        <v>190</v>
      </c>
      <c r="AB398" s="842">
        <v>200</v>
      </c>
      <c r="AC398" s="861">
        <v>130</v>
      </c>
      <c r="AD398" s="750">
        <v>190</v>
      </c>
      <c r="AE398" s="92" t="s">
        <v>97</v>
      </c>
      <c r="AF398" s="474">
        <v>6450</v>
      </c>
      <c r="AG398" s="147">
        <v>2.9457364341085271E-2</v>
      </c>
      <c r="AH398" s="100" t="s">
        <v>1524</v>
      </c>
      <c r="AI398" s="126">
        <v>20</v>
      </c>
      <c r="AJ398" s="126">
        <v>20</v>
      </c>
      <c r="AK398" s="419">
        <v>620</v>
      </c>
      <c r="AL398" s="881">
        <f>IF(AD398&gt;0,AD398*$I398,"-")</f>
        <v>703</v>
      </c>
      <c r="AM398" s="127">
        <v>2</v>
      </c>
    </row>
    <row r="399" spans="1:39" ht="15" thickBot="1" x14ac:dyDescent="0.35">
      <c r="A399" s="103">
        <v>748</v>
      </c>
      <c r="B399" s="103">
        <v>621</v>
      </c>
      <c r="C399" s="382" t="s">
        <v>1011</v>
      </c>
      <c r="D399" s="188" t="s">
        <v>1012</v>
      </c>
      <c r="E399" s="189" t="s">
        <v>817</v>
      </c>
      <c r="F399" s="804">
        <v>1090</v>
      </c>
      <c r="G399" s="804" t="s">
        <v>539</v>
      </c>
      <c r="H399" s="131" t="s">
        <v>73</v>
      </c>
      <c r="I399" s="178">
        <v>0.7</v>
      </c>
      <c r="J399" s="804" t="s">
        <v>237</v>
      </c>
      <c r="K399" s="131" t="s">
        <v>75</v>
      </c>
      <c r="L399" s="843" t="s">
        <v>540</v>
      </c>
      <c r="M399" s="848" t="s">
        <v>584</v>
      </c>
      <c r="N399" s="843" t="s">
        <v>584</v>
      </c>
      <c r="O399" s="843" t="s">
        <v>584</v>
      </c>
      <c r="P399" s="843" t="s">
        <v>542</v>
      </c>
      <c r="Q399" s="975" t="s">
        <v>542</v>
      </c>
      <c r="R399" s="220" t="s">
        <v>758</v>
      </c>
      <c r="S399" s="285" t="s">
        <v>549</v>
      </c>
      <c r="T399" s="825">
        <v>1000</v>
      </c>
      <c r="U399" s="825">
        <v>960</v>
      </c>
      <c r="V399" s="825">
        <v>900</v>
      </c>
      <c r="W399" s="836">
        <v>870</v>
      </c>
      <c r="X399" s="997">
        <v>940</v>
      </c>
      <c r="Y399" s="759">
        <v>1000</v>
      </c>
      <c r="Z399" s="759">
        <v>1000</v>
      </c>
      <c r="AA399" s="973">
        <v>840</v>
      </c>
      <c r="AB399" s="886">
        <v>830</v>
      </c>
      <c r="AC399" s="514">
        <v>1500</v>
      </c>
      <c r="AD399" s="181">
        <v>960</v>
      </c>
      <c r="AE399" s="190" t="s">
        <v>229</v>
      </c>
      <c r="AF399" s="409">
        <v>13640</v>
      </c>
      <c r="AG399" s="79">
        <v>7.0381231671554259E-2</v>
      </c>
      <c r="AH399" s="86" t="s">
        <v>97</v>
      </c>
      <c r="AI399" s="181">
        <v>60</v>
      </c>
      <c r="AJ399" s="181">
        <v>110</v>
      </c>
      <c r="AK399" s="181">
        <v>1020</v>
      </c>
      <c r="AL399" s="754"/>
      <c r="AM399" s="182">
        <v>2</v>
      </c>
    </row>
    <row r="400" spans="1:39" ht="15" thickBot="1" x14ac:dyDescent="0.35">
      <c r="A400" s="88">
        <v>750</v>
      </c>
      <c r="B400" s="88">
        <v>623</v>
      </c>
      <c r="C400" s="384" t="s">
        <v>1013</v>
      </c>
      <c r="D400" s="258" t="s">
        <v>818</v>
      </c>
      <c r="E400" s="185" t="s">
        <v>1014</v>
      </c>
      <c r="F400" s="801">
        <v>1092</v>
      </c>
      <c r="G400" s="801" t="s">
        <v>539</v>
      </c>
      <c r="H400" s="92" t="s">
        <v>73</v>
      </c>
      <c r="I400" s="93">
        <v>0.45</v>
      </c>
      <c r="J400" s="801" t="s">
        <v>237</v>
      </c>
      <c r="K400" s="92" t="s">
        <v>75</v>
      </c>
      <c r="L400" s="841" t="s">
        <v>594</v>
      </c>
      <c r="M400" s="841" t="s">
        <v>653</v>
      </c>
      <c r="N400" s="841" t="s">
        <v>653</v>
      </c>
      <c r="O400" s="841" t="s">
        <v>653</v>
      </c>
      <c r="P400" s="850" t="s">
        <v>542</v>
      </c>
      <c r="Q400" s="975" t="s">
        <v>542</v>
      </c>
      <c r="R400" s="95" t="s">
        <v>596</v>
      </c>
      <c r="S400" s="561" t="s">
        <v>858</v>
      </c>
      <c r="T400" s="827">
        <v>2590</v>
      </c>
      <c r="U400" s="827">
        <v>2610</v>
      </c>
      <c r="V400" s="827">
        <v>2520</v>
      </c>
      <c r="W400" s="828">
        <v>2570</v>
      </c>
      <c r="X400" s="842">
        <v>2820</v>
      </c>
      <c r="Y400" s="842">
        <v>3170</v>
      </c>
      <c r="Z400" s="842">
        <v>3180</v>
      </c>
      <c r="AA400" s="958">
        <v>2970</v>
      </c>
      <c r="AB400" s="842">
        <v>3120</v>
      </c>
      <c r="AC400" s="861">
        <v>1770</v>
      </c>
      <c r="AD400" s="750">
        <v>3180</v>
      </c>
      <c r="AE400" s="92" t="s">
        <v>229</v>
      </c>
      <c r="AF400" s="241">
        <v>13640</v>
      </c>
      <c r="AG400" s="147">
        <v>0.23313782991202345</v>
      </c>
      <c r="AH400" s="100" t="s">
        <v>97</v>
      </c>
      <c r="AI400" s="126">
        <v>180</v>
      </c>
      <c r="AJ400" s="126">
        <v>300</v>
      </c>
      <c r="AK400" s="126">
        <v>1020</v>
      </c>
      <c r="AL400" s="881">
        <f>IF(AD400&gt;0,AD400*$I400,"-")</f>
        <v>1431</v>
      </c>
      <c r="AM400" s="127">
        <v>2</v>
      </c>
    </row>
    <row r="401" spans="1:39" x14ac:dyDescent="0.3">
      <c r="A401" s="103">
        <v>753</v>
      </c>
      <c r="B401" s="103">
        <v>625</v>
      </c>
      <c r="C401" s="348" t="s">
        <v>1015</v>
      </c>
      <c r="D401" s="338" t="s">
        <v>1000</v>
      </c>
      <c r="E401" s="261" t="s">
        <v>1016</v>
      </c>
      <c r="F401" s="804">
        <v>1100</v>
      </c>
      <c r="G401" s="804" t="s">
        <v>539</v>
      </c>
      <c r="H401" s="77" t="s">
        <v>73</v>
      </c>
      <c r="I401" s="178">
        <v>0.5</v>
      </c>
      <c r="J401" s="804" t="s">
        <v>237</v>
      </c>
      <c r="K401" s="349" t="s">
        <v>104</v>
      </c>
      <c r="L401" s="843" t="s">
        <v>540</v>
      </c>
      <c r="M401" s="843" t="s">
        <v>584</v>
      </c>
      <c r="N401" s="843" t="s">
        <v>584</v>
      </c>
      <c r="O401" s="843" t="s">
        <v>584</v>
      </c>
      <c r="P401" s="843" t="s">
        <v>542</v>
      </c>
      <c r="Q401" s="975" t="s">
        <v>542</v>
      </c>
      <c r="R401" s="77" t="s">
        <v>543</v>
      </c>
      <c r="S401" s="220" t="s">
        <v>872</v>
      </c>
      <c r="T401" s="825">
        <v>2600</v>
      </c>
      <c r="U401" s="825">
        <v>2790</v>
      </c>
      <c r="V401" s="825">
        <v>2740</v>
      </c>
      <c r="W401" s="836">
        <v>3280</v>
      </c>
      <c r="X401" s="759">
        <v>3690</v>
      </c>
      <c r="Y401" s="759">
        <v>3280</v>
      </c>
      <c r="Z401" s="759">
        <v>4330</v>
      </c>
      <c r="AA401" s="973">
        <v>4390</v>
      </c>
      <c r="AB401" s="886">
        <v>3890</v>
      </c>
      <c r="AC401" s="514">
        <v>3420</v>
      </c>
      <c r="AD401" s="181">
        <v>3870</v>
      </c>
      <c r="AE401" s="86" t="s">
        <v>97</v>
      </c>
      <c r="AF401" s="409">
        <v>5260</v>
      </c>
      <c r="AG401" s="79">
        <v>0.73574144486692017</v>
      </c>
      <c r="AH401" s="86" t="s">
        <v>97</v>
      </c>
      <c r="AI401" s="181">
        <v>440</v>
      </c>
      <c r="AJ401" s="181">
        <v>400</v>
      </c>
      <c r="AK401" s="181">
        <v>1020</v>
      </c>
      <c r="AL401" s="832">
        <f>IF(AD401&gt;0,AD401*$I401,"-")</f>
        <v>1935</v>
      </c>
      <c r="AM401" s="221">
        <v>2</v>
      </c>
    </row>
    <row r="402" spans="1:39" ht="15" thickBot="1" x14ac:dyDescent="0.35">
      <c r="A402" s="305">
        <v>752</v>
      </c>
      <c r="B402" s="305">
        <v>624</v>
      </c>
      <c r="C402" s="562" t="s">
        <v>1015</v>
      </c>
      <c r="D402" s="306" t="s">
        <v>1017</v>
      </c>
      <c r="E402" s="306" t="s">
        <v>1018</v>
      </c>
      <c r="F402" s="801">
        <v>1101</v>
      </c>
      <c r="G402" s="801" t="s">
        <v>539</v>
      </c>
      <c r="H402" s="97"/>
      <c r="I402" s="93">
        <v>0.25</v>
      </c>
      <c r="J402" s="801" t="s">
        <v>237</v>
      </c>
      <c r="K402" s="271" t="s">
        <v>104</v>
      </c>
      <c r="L402" s="841" t="s">
        <v>540</v>
      </c>
      <c r="M402" s="841" t="s">
        <v>541</v>
      </c>
      <c r="N402" s="841" t="s">
        <v>541</v>
      </c>
      <c r="O402" s="841" t="s">
        <v>541</v>
      </c>
      <c r="P402" s="841" t="s">
        <v>542</v>
      </c>
      <c r="Q402" s="975" t="s">
        <v>542</v>
      </c>
      <c r="R402" s="97" t="s">
        <v>543</v>
      </c>
      <c r="S402" s="94" t="s">
        <v>858</v>
      </c>
      <c r="T402" s="827">
        <v>1130</v>
      </c>
      <c r="U402" s="827">
        <v>1190</v>
      </c>
      <c r="V402" s="827">
        <v>1110</v>
      </c>
      <c r="W402" s="828">
        <v>1140</v>
      </c>
      <c r="X402" s="842">
        <v>1250</v>
      </c>
      <c r="Y402" s="842">
        <v>1150</v>
      </c>
      <c r="Z402" s="842">
        <v>1420</v>
      </c>
      <c r="AA402" s="860">
        <v>1170</v>
      </c>
      <c r="AB402" s="842">
        <v>1120</v>
      </c>
      <c r="AC402" s="861">
        <v>1230</v>
      </c>
      <c r="AD402" s="750">
        <v>1340</v>
      </c>
      <c r="AE402" s="92" t="s">
        <v>97</v>
      </c>
      <c r="AF402" s="241">
        <v>5260</v>
      </c>
      <c r="AG402" s="147">
        <v>0.25475285171102663</v>
      </c>
      <c r="AH402" s="100" t="s">
        <v>97</v>
      </c>
      <c r="AI402" s="126">
        <v>130</v>
      </c>
      <c r="AJ402" s="126">
        <v>130</v>
      </c>
      <c r="AK402" s="126">
        <v>1020</v>
      </c>
      <c r="AL402" s="881">
        <f>IF(AD402&gt;0,AD402*$I402,"-")</f>
        <v>335</v>
      </c>
      <c r="AM402" s="127">
        <v>2</v>
      </c>
    </row>
    <row r="403" spans="1:39" ht="15" thickBot="1" x14ac:dyDescent="0.35">
      <c r="A403" s="202">
        <v>761</v>
      </c>
      <c r="B403" s="202">
        <v>631</v>
      </c>
      <c r="C403" s="385" t="s">
        <v>1019</v>
      </c>
      <c r="D403" s="403" t="s">
        <v>1020</v>
      </c>
      <c r="E403" s="248" t="s">
        <v>1021</v>
      </c>
      <c r="F403" s="805">
        <v>1111</v>
      </c>
      <c r="G403" s="805" t="s">
        <v>539</v>
      </c>
      <c r="H403" s="249"/>
      <c r="I403" s="207">
        <v>4.5999999999999996</v>
      </c>
      <c r="J403" s="805" t="s">
        <v>140</v>
      </c>
      <c r="K403" s="387" t="s">
        <v>75</v>
      </c>
      <c r="L403" s="851" t="s">
        <v>367</v>
      </c>
      <c r="M403" s="917" t="s">
        <v>367</v>
      </c>
      <c r="N403" s="851" t="s">
        <v>367</v>
      </c>
      <c r="O403" s="851" t="s">
        <v>367</v>
      </c>
      <c r="P403" s="851" t="s">
        <v>367</v>
      </c>
      <c r="Q403" s="895" t="s">
        <v>367</v>
      </c>
      <c r="R403" s="250" t="s">
        <v>596</v>
      </c>
      <c r="S403" s="285" t="s">
        <v>549</v>
      </c>
      <c r="T403" s="251">
        <v>1000</v>
      </c>
      <c r="U403" s="251">
        <v>980</v>
      </c>
      <c r="V403" s="251">
        <v>880</v>
      </c>
      <c r="W403" s="857">
        <v>820</v>
      </c>
      <c r="X403" s="948">
        <v>1010</v>
      </c>
      <c r="Y403" s="932">
        <v>1140</v>
      </c>
      <c r="Z403" s="858">
        <v>1030</v>
      </c>
      <c r="AA403" s="858">
        <v>1100</v>
      </c>
      <c r="AB403" s="858">
        <v>1060</v>
      </c>
      <c r="AC403" s="513">
        <v>1100</v>
      </c>
      <c r="AD403" s="281">
        <v>990</v>
      </c>
      <c r="AE403" s="278" t="s">
        <v>97</v>
      </c>
      <c r="AF403" s="171">
        <v>6450</v>
      </c>
      <c r="AG403" s="280">
        <v>0.15348837209302327</v>
      </c>
      <c r="AH403" s="210" t="s">
        <v>1524</v>
      </c>
      <c r="AI403" s="281">
        <v>70</v>
      </c>
      <c r="AJ403" s="281">
        <v>90</v>
      </c>
      <c r="AK403" s="563">
        <v>620</v>
      </c>
      <c r="AL403" s="919"/>
      <c r="AM403" s="211">
        <v>2</v>
      </c>
    </row>
    <row r="404" spans="1:39" ht="15" thickBot="1" x14ac:dyDescent="0.35">
      <c r="A404" s="327">
        <v>763</v>
      </c>
      <c r="B404" s="327">
        <v>632</v>
      </c>
      <c r="C404" s="389" t="s">
        <v>1022</v>
      </c>
      <c r="D404" s="390" t="s">
        <v>781</v>
      </c>
      <c r="E404" s="329" t="s">
        <v>782</v>
      </c>
      <c r="F404" s="807">
        <v>1120</v>
      </c>
      <c r="G404" s="807" t="s">
        <v>539</v>
      </c>
      <c r="H404" s="330"/>
      <c r="I404" s="331">
        <v>0.65</v>
      </c>
      <c r="J404" s="807" t="s">
        <v>158</v>
      </c>
      <c r="K404" s="332" t="s">
        <v>75</v>
      </c>
      <c r="L404" s="891" t="s">
        <v>367</v>
      </c>
      <c r="M404" s="891" t="s">
        <v>367</v>
      </c>
      <c r="N404" s="891" t="s">
        <v>367</v>
      </c>
      <c r="O404" s="891" t="s">
        <v>367</v>
      </c>
      <c r="P404" s="891" t="s">
        <v>367</v>
      </c>
      <c r="Q404" s="895" t="s">
        <v>367</v>
      </c>
      <c r="R404" s="543" t="s">
        <v>596</v>
      </c>
      <c r="S404" s="285" t="s">
        <v>549</v>
      </c>
      <c r="T404" s="124">
        <v>510</v>
      </c>
      <c r="U404" s="124">
        <v>460</v>
      </c>
      <c r="V404" s="124">
        <v>450</v>
      </c>
      <c r="W404" s="893">
        <v>560</v>
      </c>
      <c r="X404" s="860">
        <v>520</v>
      </c>
      <c r="Y404" s="947">
        <v>490</v>
      </c>
      <c r="Z404" s="860">
        <v>600</v>
      </c>
      <c r="AA404" s="860">
        <v>630</v>
      </c>
      <c r="AB404" s="860">
        <v>450</v>
      </c>
      <c r="AC404" s="564">
        <v>90</v>
      </c>
      <c r="AD404" s="434">
        <v>480</v>
      </c>
      <c r="AE404" s="549" t="s">
        <v>97</v>
      </c>
      <c r="AF404" s="431">
        <v>6450</v>
      </c>
      <c r="AG404" s="432">
        <v>7.441860465116279E-2</v>
      </c>
      <c r="AH404" s="433" t="s">
        <v>1524</v>
      </c>
      <c r="AI404" s="434">
        <v>40</v>
      </c>
      <c r="AJ404" s="434">
        <v>40</v>
      </c>
      <c r="AK404" s="435">
        <v>620</v>
      </c>
      <c r="AL404" s="941"/>
      <c r="AM404" s="337">
        <v>2</v>
      </c>
    </row>
    <row r="405" spans="1:39" x14ac:dyDescent="0.3">
      <c r="A405" s="103">
        <v>765</v>
      </c>
      <c r="B405" s="103">
        <v>633</v>
      </c>
      <c r="C405" s="408" t="s">
        <v>1023</v>
      </c>
      <c r="D405" s="472"/>
      <c r="E405" s="177" t="s">
        <v>1024</v>
      </c>
      <c r="F405" s="464" t="s">
        <v>1025</v>
      </c>
      <c r="G405" s="804" t="s">
        <v>539</v>
      </c>
      <c r="H405" s="131" t="s">
        <v>73</v>
      </c>
      <c r="I405" s="178">
        <v>3.67</v>
      </c>
      <c r="J405" s="804" t="s">
        <v>130</v>
      </c>
      <c r="K405" s="340" t="s">
        <v>104</v>
      </c>
      <c r="L405" s="843" t="s">
        <v>1026</v>
      </c>
      <c r="M405" s="848" t="s">
        <v>264</v>
      </c>
      <c r="N405" s="843" t="s">
        <v>264</v>
      </c>
      <c r="O405" s="843" t="s">
        <v>264</v>
      </c>
      <c r="P405" s="843" t="s">
        <v>264</v>
      </c>
      <c r="Q405" s="933" t="s">
        <v>764</v>
      </c>
      <c r="R405" s="131" t="s">
        <v>556</v>
      </c>
      <c r="S405" s="565" t="s">
        <v>1027</v>
      </c>
      <c r="T405" s="793" t="s">
        <v>81</v>
      </c>
      <c r="U405" s="793" t="s">
        <v>81</v>
      </c>
      <c r="V405" s="566" t="s">
        <v>81</v>
      </c>
      <c r="W405" s="567" t="s">
        <v>81</v>
      </c>
      <c r="X405" s="896" t="s">
        <v>81</v>
      </c>
      <c r="Y405" s="793" t="s">
        <v>81</v>
      </c>
      <c r="Z405" s="566" t="s">
        <v>81</v>
      </c>
      <c r="AA405" s="566" t="s">
        <v>81</v>
      </c>
      <c r="AB405" s="568" t="s">
        <v>81</v>
      </c>
      <c r="AC405" s="132" t="s">
        <v>81</v>
      </c>
      <c r="AD405" s="566" t="s">
        <v>81</v>
      </c>
      <c r="AE405" s="566" t="s">
        <v>81</v>
      </c>
      <c r="AF405" s="78">
        <v>15700</v>
      </c>
      <c r="AG405" s="132" t="s">
        <v>81</v>
      </c>
      <c r="AH405" s="132" t="s">
        <v>81</v>
      </c>
      <c r="AI405" s="132" t="s">
        <v>81</v>
      </c>
      <c r="AJ405" s="132" t="s">
        <v>81</v>
      </c>
      <c r="AK405" s="181">
        <v>1120</v>
      </c>
      <c r="AL405" s="896" t="s">
        <v>81</v>
      </c>
      <c r="AM405" s="182">
        <v>0</v>
      </c>
    </row>
    <row r="406" spans="1:39" x14ac:dyDescent="0.3">
      <c r="A406" s="33">
        <v>767</v>
      </c>
      <c r="B406" s="33">
        <v>635</v>
      </c>
      <c r="C406" s="358" t="s">
        <v>1023</v>
      </c>
      <c r="D406" s="301" t="s">
        <v>1028</v>
      </c>
      <c r="E406" s="35" t="s">
        <v>1029</v>
      </c>
      <c r="F406" s="799">
        <v>1130</v>
      </c>
      <c r="G406" s="799" t="s">
        <v>539</v>
      </c>
      <c r="H406" s="36" t="s">
        <v>73</v>
      </c>
      <c r="I406" s="501">
        <v>2.9</v>
      </c>
      <c r="J406" s="799" t="s">
        <v>130</v>
      </c>
      <c r="K406" s="324" t="s">
        <v>104</v>
      </c>
      <c r="L406" s="837" t="s">
        <v>570</v>
      </c>
      <c r="M406" s="837" t="s">
        <v>587</v>
      </c>
      <c r="N406" s="837" t="s">
        <v>587</v>
      </c>
      <c r="O406" s="837" t="s">
        <v>587</v>
      </c>
      <c r="P406" s="837" t="s">
        <v>629</v>
      </c>
      <c r="Q406" s="310" t="s">
        <v>629</v>
      </c>
      <c r="R406" s="38" t="s">
        <v>374</v>
      </c>
      <c r="S406" s="38" t="s">
        <v>465</v>
      </c>
      <c r="T406" s="833">
        <v>5830</v>
      </c>
      <c r="U406" s="833">
        <v>6440</v>
      </c>
      <c r="V406" s="833">
        <v>6250</v>
      </c>
      <c r="W406" s="820">
        <v>6840</v>
      </c>
      <c r="X406" s="1006">
        <v>6680</v>
      </c>
      <c r="Y406" s="838">
        <v>8990</v>
      </c>
      <c r="Z406" s="838">
        <v>9280</v>
      </c>
      <c r="AA406" s="952">
        <v>10210</v>
      </c>
      <c r="AB406" s="838">
        <v>8940</v>
      </c>
      <c r="AC406" s="888">
        <v>7250</v>
      </c>
      <c r="AD406" s="749">
        <v>7240</v>
      </c>
      <c r="AE406" s="36" t="s">
        <v>229</v>
      </c>
      <c r="AF406" s="569">
        <v>26900</v>
      </c>
      <c r="AG406" s="315">
        <v>0.26914498141263943</v>
      </c>
      <c r="AH406" s="83" t="s">
        <v>97</v>
      </c>
      <c r="AI406" s="120">
        <v>460</v>
      </c>
      <c r="AJ406" s="120">
        <v>670</v>
      </c>
      <c r="AK406" s="316">
        <v>1540</v>
      </c>
      <c r="AL406" s="832">
        <f t="shared" ref="AL406:AL418" si="16">IF(AD406&gt;0,AD406*$I406,"-")</f>
        <v>20996</v>
      </c>
      <c r="AM406" s="121">
        <v>2</v>
      </c>
    </row>
    <row r="407" spans="1:39" x14ac:dyDescent="0.3">
      <c r="A407" s="33">
        <v>768</v>
      </c>
      <c r="B407" s="33">
        <v>636</v>
      </c>
      <c r="C407" s="358" t="s">
        <v>1023</v>
      </c>
      <c r="D407" s="372" t="s">
        <v>1030</v>
      </c>
      <c r="E407" s="54" t="s">
        <v>1031</v>
      </c>
      <c r="F407" s="800">
        <v>1131</v>
      </c>
      <c r="G407" s="800" t="s">
        <v>539</v>
      </c>
      <c r="H407" s="71" t="s">
        <v>73</v>
      </c>
      <c r="I407" s="501">
        <v>1.5</v>
      </c>
      <c r="J407" s="800" t="s">
        <v>130</v>
      </c>
      <c r="K407" s="321" t="s">
        <v>75</v>
      </c>
      <c r="L407" s="835" t="s">
        <v>570</v>
      </c>
      <c r="M407" s="839" t="s">
        <v>587</v>
      </c>
      <c r="N407" s="835" t="s">
        <v>587</v>
      </c>
      <c r="O407" s="835" t="s">
        <v>587</v>
      </c>
      <c r="P407" s="835" t="s">
        <v>629</v>
      </c>
      <c r="Q407" s="310" t="s">
        <v>629</v>
      </c>
      <c r="R407" s="73" t="s">
        <v>374</v>
      </c>
      <c r="S407" s="73" t="s">
        <v>465</v>
      </c>
      <c r="T407" s="825">
        <v>8390</v>
      </c>
      <c r="U407" s="825">
        <v>8620</v>
      </c>
      <c r="V407" s="825">
        <v>8270</v>
      </c>
      <c r="W407" s="822">
        <v>9290</v>
      </c>
      <c r="X407" s="1001">
        <v>9540</v>
      </c>
      <c r="Y407" s="760">
        <v>11170</v>
      </c>
      <c r="Z407" s="760">
        <v>11910</v>
      </c>
      <c r="AA407" s="956">
        <v>13730</v>
      </c>
      <c r="AB407" s="760">
        <v>14190</v>
      </c>
      <c r="AC407" s="523">
        <v>9180</v>
      </c>
      <c r="AD407" s="115">
        <v>10950</v>
      </c>
      <c r="AE407" s="140" t="s">
        <v>229</v>
      </c>
      <c r="AF407" s="570">
        <v>26900</v>
      </c>
      <c r="AG407" s="303">
        <v>0.40706319702602228</v>
      </c>
      <c r="AH407" s="80" t="s">
        <v>97</v>
      </c>
      <c r="AI407" s="115">
        <v>730</v>
      </c>
      <c r="AJ407" s="115">
        <v>900</v>
      </c>
      <c r="AK407" s="304">
        <v>1540</v>
      </c>
      <c r="AL407" s="832">
        <f t="shared" si="16"/>
        <v>16425</v>
      </c>
      <c r="AM407" s="122">
        <v>2</v>
      </c>
    </row>
    <row r="408" spans="1:39" x14ac:dyDescent="0.3">
      <c r="A408" s="33">
        <v>768</v>
      </c>
      <c r="B408" s="33">
        <v>636</v>
      </c>
      <c r="C408" s="358" t="s">
        <v>1023</v>
      </c>
      <c r="D408" s="372" t="s">
        <v>1030</v>
      </c>
      <c r="E408" s="54" t="s">
        <v>1032</v>
      </c>
      <c r="F408" s="799">
        <v>1132</v>
      </c>
      <c r="G408" s="799" t="s">
        <v>539</v>
      </c>
      <c r="H408" s="36" t="s">
        <v>73</v>
      </c>
      <c r="I408" s="501">
        <v>0.75</v>
      </c>
      <c r="J408" s="799" t="s">
        <v>130</v>
      </c>
      <c r="K408" s="324" t="s">
        <v>75</v>
      </c>
      <c r="L408" s="837" t="s">
        <v>570</v>
      </c>
      <c r="M408" s="837" t="s">
        <v>587</v>
      </c>
      <c r="N408" s="837" t="s">
        <v>587</v>
      </c>
      <c r="O408" s="837" t="s">
        <v>587</v>
      </c>
      <c r="P408" s="837" t="s">
        <v>629</v>
      </c>
      <c r="Q408" s="310" t="s">
        <v>629</v>
      </c>
      <c r="R408" s="73" t="s">
        <v>374</v>
      </c>
      <c r="S408" s="38" t="s">
        <v>465</v>
      </c>
      <c r="T408" s="66">
        <v>8390</v>
      </c>
      <c r="U408" s="66">
        <v>8620</v>
      </c>
      <c r="V408" s="66">
        <v>8270</v>
      </c>
      <c r="W408" s="68">
        <v>9290</v>
      </c>
      <c r="X408" s="838">
        <v>9540</v>
      </c>
      <c r="Y408" s="838">
        <v>11170</v>
      </c>
      <c r="Z408" s="838">
        <v>11910</v>
      </c>
      <c r="AA408" s="957">
        <v>13730</v>
      </c>
      <c r="AB408" s="838">
        <v>14190</v>
      </c>
      <c r="AC408" s="888">
        <v>13030</v>
      </c>
      <c r="AD408" s="749">
        <v>13940</v>
      </c>
      <c r="AE408" s="36" t="s">
        <v>229</v>
      </c>
      <c r="AF408" s="213">
        <v>17050</v>
      </c>
      <c r="AG408" s="315">
        <v>0.81759530791788859</v>
      </c>
      <c r="AH408" s="83" t="s">
        <v>97</v>
      </c>
      <c r="AI408" s="120">
        <v>890</v>
      </c>
      <c r="AJ408" s="120">
        <v>1130</v>
      </c>
      <c r="AK408" s="316">
        <v>1540</v>
      </c>
      <c r="AL408" s="832">
        <f t="shared" si="16"/>
        <v>10455</v>
      </c>
      <c r="AM408" s="121">
        <v>2</v>
      </c>
    </row>
    <row r="409" spans="1:39" x14ac:dyDescent="0.3">
      <c r="A409" s="33">
        <v>770</v>
      </c>
      <c r="B409" s="33">
        <v>638</v>
      </c>
      <c r="C409" s="358" t="s">
        <v>1023</v>
      </c>
      <c r="D409" s="301" t="s">
        <v>655</v>
      </c>
      <c r="E409" s="64" t="s">
        <v>1033</v>
      </c>
      <c r="F409" s="800" t="s">
        <v>1034</v>
      </c>
      <c r="G409" s="800" t="s">
        <v>539</v>
      </c>
      <c r="H409" s="52" t="s">
        <v>73</v>
      </c>
      <c r="I409" s="501">
        <v>0.25</v>
      </c>
      <c r="J409" s="800" t="s">
        <v>140</v>
      </c>
      <c r="K409" s="302" t="s">
        <v>75</v>
      </c>
      <c r="L409" s="835" t="s">
        <v>740</v>
      </c>
      <c r="M409" s="835" t="s">
        <v>620</v>
      </c>
      <c r="N409" s="835" t="s">
        <v>620</v>
      </c>
      <c r="O409" s="835" t="s">
        <v>620</v>
      </c>
      <c r="P409" s="835" t="s">
        <v>637</v>
      </c>
      <c r="Q409" s="410" t="s">
        <v>637</v>
      </c>
      <c r="R409" s="38" t="s">
        <v>374</v>
      </c>
      <c r="S409" s="55" t="s">
        <v>465</v>
      </c>
      <c r="T409" s="825">
        <v>23210</v>
      </c>
      <c r="U409" s="825">
        <v>24500</v>
      </c>
      <c r="V409" s="825">
        <v>24420</v>
      </c>
      <c r="W409" s="822">
        <v>24130</v>
      </c>
      <c r="X409" s="760">
        <v>27030</v>
      </c>
      <c r="Y409" s="760">
        <v>27390</v>
      </c>
      <c r="Z409" s="760">
        <v>31150</v>
      </c>
      <c r="AA409" s="1007">
        <v>30500</v>
      </c>
      <c r="AB409" s="159">
        <v>30030</v>
      </c>
      <c r="AC409" s="523">
        <v>20450</v>
      </c>
      <c r="AD409" s="115">
        <v>22340</v>
      </c>
      <c r="AE409" s="80" t="s">
        <v>229</v>
      </c>
      <c r="AF409" s="194">
        <v>37970</v>
      </c>
      <c r="AG409" s="303">
        <v>0.58835923097181986</v>
      </c>
      <c r="AH409" s="80" t="s">
        <v>97</v>
      </c>
      <c r="AI409" s="115">
        <v>1400</v>
      </c>
      <c r="AJ409" s="115">
        <v>1800</v>
      </c>
      <c r="AK409" s="304">
        <v>3410</v>
      </c>
      <c r="AL409" s="832">
        <f t="shared" si="16"/>
        <v>5585</v>
      </c>
      <c r="AM409" s="63">
        <v>4</v>
      </c>
    </row>
    <row r="410" spans="1:39" x14ac:dyDescent="0.3">
      <c r="A410" s="268"/>
      <c r="B410" s="268"/>
      <c r="C410" s="358" t="s">
        <v>1023</v>
      </c>
      <c r="D410" s="351"/>
      <c r="E410" s="571" t="s">
        <v>1035</v>
      </c>
      <c r="F410" s="572" t="s">
        <v>1036</v>
      </c>
      <c r="G410" s="799" t="s">
        <v>539</v>
      </c>
      <c r="H410" s="65" t="s">
        <v>73</v>
      </c>
      <c r="I410" s="501">
        <v>0.45</v>
      </c>
      <c r="J410" s="800" t="s">
        <v>140</v>
      </c>
      <c r="K410" s="302" t="s">
        <v>75</v>
      </c>
      <c r="L410" s="837"/>
      <c r="M410" s="837"/>
      <c r="N410" s="837"/>
      <c r="O410" s="837"/>
      <c r="P410" s="837"/>
      <c r="Q410" s="839" t="s">
        <v>1037</v>
      </c>
      <c r="R410" s="38"/>
      <c r="S410" s="55" t="s">
        <v>465</v>
      </c>
      <c r="T410" s="833"/>
      <c r="U410" s="833"/>
      <c r="V410" s="833"/>
      <c r="W410" s="820"/>
      <c r="X410" s="838"/>
      <c r="Y410" s="838"/>
      <c r="Z410" s="838"/>
      <c r="AA410" s="957">
        <v>38400</v>
      </c>
      <c r="AB410" s="159">
        <v>38400</v>
      </c>
      <c r="AC410" s="225">
        <v>38400</v>
      </c>
      <c r="AD410" s="749">
        <v>38150</v>
      </c>
      <c r="AE410" s="83" t="s">
        <v>229</v>
      </c>
      <c r="AF410" s="213">
        <v>57140</v>
      </c>
      <c r="AG410" s="315">
        <v>0.66765838291914592</v>
      </c>
      <c r="AH410" s="83" t="s">
        <v>97</v>
      </c>
      <c r="AI410" s="120">
        <v>2580</v>
      </c>
      <c r="AJ410" s="120">
        <v>2960</v>
      </c>
      <c r="AK410" s="120">
        <v>5140</v>
      </c>
      <c r="AL410" s="832">
        <f t="shared" si="16"/>
        <v>17167.5</v>
      </c>
      <c r="AM410" s="573">
        <v>6</v>
      </c>
    </row>
    <row r="411" spans="1:39" x14ac:dyDescent="0.3">
      <c r="A411" s="33"/>
      <c r="B411" s="33"/>
      <c r="C411" s="358" t="s">
        <v>1023</v>
      </c>
      <c r="D411" s="301"/>
      <c r="E411" s="571" t="s">
        <v>1038</v>
      </c>
      <c r="F411" s="574" t="s">
        <v>1039</v>
      </c>
      <c r="G411" s="800" t="s">
        <v>539</v>
      </c>
      <c r="H411" s="52" t="s">
        <v>73</v>
      </c>
      <c r="I411" s="501">
        <v>0.25</v>
      </c>
      <c r="J411" s="800" t="s">
        <v>140</v>
      </c>
      <c r="K411" s="302" t="s">
        <v>75</v>
      </c>
      <c r="L411" s="835"/>
      <c r="M411" s="835"/>
      <c r="N411" s="835"/>
      <c r="O411" s="835"/>
      <c r="P411" s="835"/>
      <c r="Q411" s="839" t="s">
        <v>1037</v>
      </c>
      <c r="R411" s="38"/>
      <c r="S411" s="55" t="s">
        <v>465</v>
      </c>
      <c r="T411" s="825"/>
      <c r="U411" s="825"/>
      <c r="V411" s="825"/>
      <c r="W411" s="822"/>
      <c r="X411" s="760"/>
      <c r="Y411" s="760"/>
      <c r="Z411" s="760"/>
      <c r="AA411" s="1007">
        <v>38400</v>
      </c>
      <c r="AB411" s="159">
        <v>38400</v>
      </c>
      <c r="AC411" s="225">
        <v>38400</v>
      </c>
      <c r="AD411" s="115">
        <v>35470</v>
      </c>
      <c r="AE411" s="80" t="s">
        <v>229</v>
      </c>
      <c r="AF411" s="194">
        <v>57140</v>
      </c>
      <c r="AG411" s="303">
        <v>0.62075603780189015</v>
      </c>
      <c r="AH411" s="80" t="s">
        <v>97</v>
      </c>
      <c r="AI411" s="115">
        <v>2260</v>
      </c>
      <c r="AJ411" s="115">
        <v>2730</v>
      </c>
      <c r="AK411" s="115">
        <v>5140</v>
      </c>
      <c r="AL411" s="832">
        <f t="shared" si="16"/>
        <v>8867.5</v>
      </c>
      <c r="AM411" s="573">
        <v>6</v>
      </c>
    </row>
    <row r="412" spans="1:39" x14ac:dyDescent="0.3">
      <c r="A412" s="268">
        <v>771</v>
      </c>
      <c r="B412" s="268">
        <v>639</v>
      </c>
      <c r="C412" s="358" t="s">
        <v>1023</v>
      </c>
      <c r="D412" s="191" t="s">
        <v>657</v>
      </c>
      <c r="E412" s="35" t="s">
        <v>915</v>
      </c>
      <c r="F412" s="799">
        <v>1134</v>
      </c>
      <c r="G412" s="799" t="s">
        <v>539</v>
      </c>
      <c r="H412" s="36" t="s">
        <v>73</v>
      </c>
      <c r="I412" s="37">
        <v>0.5</v>
      </c>
      <c r="J412" s="799" t="s">
        <v>205</v>
      </c>
      <c r="K412" s="36" t="s">
        <v>75</v>
      </c>
      <c r="L412" s="837" t="s">
        <v>740</v>
      </c>
      <c r="M412" s="837" t="s">
        <v>620</v>
      </c>
      <c r="N412" s="837" t="s">
        <v>620</v>
      </c>
      <c r="O412" s="837" t="s">
        <v>620</v>
      </c>
      <c r="P412" s="837" t="s">
        <v>637</v>
      </c>
      <c r="Q412" s="410" t="s">
        <v>637</v>
      </c>
      <c r="R412" s="38" t="s">
        <v>374</v>
      </c>
      <c r="S412" s="38" t="s">
        <v>465</v>
      </c>
      <c r="T412" s="833">
        <v>19240</v>
      </c>
      <c r="U412" s="833">
        <v>20640</v>
      </c>
      <c r="V412" s="833">
        <v>21180</v>
      </c>
      <c r="W412" s="820">
        <v>20790</v>
      </c>
      <c r="X412" s="838">
        <v>24300</v>
      </c>
      <c r="Y412" s="838">
        <v>23320</v>
      </c>
      <c r="Z412" s="838">
        <v>25810</v>
      </c>
      <c r="AA412" s="957">
        <v>26740</v>
      </c>
      <c r="AB412" s="838">
        <v>32360</v>
      </c>
      <c r="AC412" s="888">
        <v>26870</v>
      </c>
      <c r="AD412" s="749">
        <v>32290</v>
      </c>
      <c r="AE412" s="36" t="s">
        <v>229</v>
      </c>
      <c r="AF412" s="213">
        <v>37970</v>
      </c>
      <c r="AG412" s="315">
        <v>0.85040821701343161</v>
      </c>
      <c r="AH412" s="83" t="s">
        <v>97</v>
      </c>
      <c r="AI412" s="120">
        <v>2090</v>
      </c>
      <c r="AJ412" s="120">
        <v>2530</v>
      </c>
      <c r="AK412" s="316">
        <v>3410</v>
      </c>
      <c r="AL412" s="832">
        <f t="shared" si="16"/>
        <v>16145</v>
      </c>
      <c r="AM412" s="121">
        <v>4</v>
      </c>
    </row>
    <row r="413" spans="1:39" x14ac:dyDescent="0.3">
      <c r="A413" s="33">
        <v>773</v>
      </c>
      <c r="B413" s="33">
        <v>641</v>
      </c>
      <c r="C413" s="358" t="s">
        <v>1023</v>
      </c>
      <c r="D413" s="353" t="s">
        <v>1040</v>
      </c>
      <c r="E413" s="51" t="s">
        <v>1041</v>
      </c>
      <c r="F413" s="800">
        <v>1136</v>
      </c>
      <c r="G413" s="800" t="s">
        <v>539</v>
      </c>
      <c r="H413" s="52" t="s">
        <v>73</v>
      </c>
      <c r="I413" s="72">
        <v>1.1000000000000001</v>
      </c>
      <c r="J413" s="800" t="s">
        <v>140</v>
      </c>
      <c r="K413" s="52" t="s">
        <v>75</v>
      </c>
      <c r="L413" s="835" t="s">
        <v>740</v>
      </c>
      <c r="M413" s="835" t="s">
        <v>620</v>
      </c>
      <c r="N413" s="835" t="s">
        <v>620</v>
      </c>
      <c r="O413" s="835" t="s">
        <v>620</v>
      </c>
      <c r="P413" s="835" t="s">
        <v>637</v>
      </c>
      <c r="Q413" s="410" t="s">
        <v>637</v>
      </c>
      <c r="R413" s="38" t="s">
        <v>374</v>
      </c>
      <c r="S413" s="55" t="s">
        <v>465</v>
      </c>
      <c r="T413" s="825">
        <v>14080</v>
      </c>
      <c r="U413" s="825">
        <v>15410</v>
      </c>
      <c r="V413" s="825">
        <v>15650</v>
      </c>
      <c r="W413" s="822">
        <v>15740</v>
      </c>
      <c r="X413" s="760">
        <v>17110</v>
      </c>
      <c r="Y413" s="760">
        <v>18490</v>
      </c>
      <c r="Z413" s="760">
        <v>18700</v>
      </c>
      <c r="AA413" s="1007">
        <v>21400</v>
      </c>
      <c r="AB413" s="760">
        <v>22050</v>
      </c>
      <c r="AC413" s="523">
        <v>19710</v>
      </c>
      <c r="AD413" s="115">
        <v>22110</v>
      </c>
      <c r="AE413" s="80" t="s">
        <v>229</v>
      </c>
      <c r="AF413" s="194">
        <v>37970</v>
      </c>
      <c r="AG413" s="303">
        <v>0.58230181722412433</v>
      </c>
      <c r="AH413" s="80" t="s">
        <v>97</v>
      </c>
      <c r="AI413" s="115">
        <v>1350</v>
      </c>
      <c r="AJ413" s="115">
        <v>1810</v>
      </c>
      <c r="AK413" s="304">
        <v>3410</v>
      </c>
      <c r="AL413" s="832">
        <f t="shared" si="16"/>
        <v>24321.000000000004</v>
      </c>
      <c r="AM413" s="63">
        <v>4</v>
      </c>
    </row>
    <row r="414" spans="1:39" x14ac:dyDescent="0.3">
      <c r="A414" s="268">
        <v>774</v>
      </c>
      <c r="B414" s="268">
        <v>642</v>
      </c>
      <c r="C414" s="358" t="s">
        <v>1023</v>
      </c>
      <c r="D414" s="191" t="s">
        <v>1042</v>
      </c>
      <c r="E414" s="35" t="s">
        <v>1043</v>
      </c>
      <c r="F414" s="799">
        <v>1137</v>
      </c>
      <c r="G414" s="799" t="s">
        <v>539</v>
      </c>
      <c r="H414" s="36" t="s">
        <v>73</v>
      </c>
      <c r="I414" s="37">
        <v>0.25</v>
      </c>
      <c r="J414" s="811" t="s">
        <v>140</v>
      </c>
      <c r="K414" s="36" t="s">
        <v>75</v>
      </c>
      <c r="L414" s="837" t="s">
        <v>570</v>
      </c>
      <c r="M414" s="837" t="s">
        <v>815</v>
      </c>
      <c r="N414" s="837" t="s">
        <v>587</v>
      </c>
      <c r="O414" s="837" t="s">
        <v>587</v>
      </c>
      <c r="P414" s="837" t="s">
        <v>588</v>
      </c>
      <c r="Q414" s="54" t="s">
        <v>637</v>
      </c>
      <c r="R414" s="38" t="s">
        <v>374</v>
      </c>
      <c r="S414" s="38" t="s">
        <v>465</v>
      </c>
      <c r="T414" s="575">
        <v>15960</v>
      </c>
      <c r="U414" s="575">
        <v>17300</v>
      </c>
      <c r="V414" s="575">
        <v>18010</v>
      </c>
      <c r="W414" s="576">
        <v>17870</v>
      </c>
      <c r="X414" s="577">
        <v>19580</v>
      </c>
      <c r="Y414" s="577">
        <v>20370</v>
      </c>
      <c r="Z414" s="577">
        <v>19570</v>
      </c>
      <c r="AA414" s="957">
        <v>17820</v>
      </c>
      <c r="AB414" s="838">
        <v>23890</v>
      </c>
      <c r="AC414" s="888">
        <v>22410</v>
      </c>
      <c r="AD414" s="749">
        <v>25260</v>
      </c>
      <c r="AE414" s="52" t="s">
        <v>229</v>
      </c>
      <c r="AF414" s="213">
        <v>37970</v>
      </c>
      <c r="AG414" s="315">
        <v>0.66526204898604158</v>
      </c>
      <c r="AH414" s="83" t="s">
        <v>97</v>
      </c>
      <c r="AI414" s="120">
        <v>1610</v>
      </c>
      <c r="AJ414" s="120">
        <v>2020</v>
      </c>
      <c r="AK414" s="316">
        <v>3410</v>
      </c>
      <c r="AL414" s="832">
        <f t="shared" si="16"/>
        <v>6315</v>
      </c>
      <c r="AM414" s="121">
        <v>4</v>
      </c>
    </row>
    <row r="415" spans="1:39" x14ac:dyDescent="0.3">
      <c r="A415" s="33">
        <v>776</v>
      </c>
      <c r="B415" s="33">
        <v>644</v>
      </c>
      <c r="C415" s="358" t="s">
        <v>1044</v>
      </c>
      <c r="D415" s="301" t="s">
        <v>1045</v>
      </c>
      <c r="E415" s="70" t="s">
        <v>1046</v>
      </c>
      <c r="F415" s="800">
        <v>1139</v>
      </c>
      <c r="G415" s="800" t="s">
        <v>539</v>
      </c>
      <c r="H415" s="52" t="s">
        <v>73</v>
      </c>
      <c r="I415" s="72">
        <v>0.55000000000000004</v>
      </c>
      <c r="J415" s="811" t="s">
        <v>140</v>
      </c>
      <c r="K415" s="302" t="s">
        <v>75</v>
      </c>
      <c r="L415" s="835" t="s">
        <v>570</v>
      </c>
      <c r="M415" s="835" t="s">
        <v>587</v>
      </c>
      <c r="N415" s="835" t="s">
        <v>587</v>
      </c>
      <c r="O415" s="835" t="s">
        <v>620</v>
      </c>
      <c r="P415" s="835" t="s">
        <v>621</v>
      </c>
      <c r="Q415" s="54" t="s">
        <v>637</v>
      </c>
      <c r="R415" s="55" t="s">
        <v>374</v>
      </c>
      <c r="S415" s="55" t="s">
        <v>465</v>
      </c>
      <c r="T415" s="825">
        <v>11140</v>
      </c>
      <c r="U415" s="825">
        <v>13160</v>
      </c>
      <c r="V415" s="825">
        <v>14000</v>
      </c>
      <c r="W415" s="822">
        <v>14000</v>
      </c>
      <c r="X415" s="760">
        <v>16000</v>
      </c>
      <c r="Y415" s="760">
        <v>16300</v>
      </c>
      <c r="Z415" s="760">
        <v>13090</v>
      </c>
      <c r="AA415" s="956">
        <v>10670</v>
      </c>
      <c r="AB415" s="760">
        <v>18070</v>
      </c>
      <c r="AC415" s="523">
        <v>17410</v>
      </c>
      <c r="AD415" s="115">
        <v>19650</v>
      </c>
      <c r="AE415" s="80" t="s">
        <v>229</v>
      </c>
      <c r="AF415" s="194">
        <v>37970</v>
      </c>
      <c r="AG415" s="303">
        <v>0.51751382670529367</v>
      </c>
      <c r="AH415" s="80" t="s">
        <v>97</v>
      </c>
      <c r="AI415" s="115">
        <v>1240</v>
      </c>
      <c r="AJ415" s="115">
        <v>1580</v>
      </c>
      <c r="AK415" s="304">
        <v>3410</v>
      </c>
      <c r="AL415" s="832">
        <f t="shared" si="16"/>
        <v>10807.5</v>
      </c>
      <c r="AM415" s="63">
        <v>4</v>
      </c>
    </row>
    <row r="416" spans="1:39" ht="15" thickBot="1" x14ac:dyDescent="0.35">
      <c r="A416" s="305">
        <v>778</v>
      </c>
      <c r="B416" s="305">
        <v>646</v>
      </c>
      <c r="C416" s="418" t="s">
        <v>1047</v>
      </c>
      <c r="D416" s="195" t="s">
        <v>691</v>
      </c>
      <c r="E416" s="185" t="s">
        <v>403</v>
      </c>
      <c r="F416" s="801">
        <v>1141</v>
      </c>
      <c r="G416" s="801" t="s">
        <v>539</v>
      </c>
      <c r="H416" s="92" t="s">
        <v>73</v>
      </c>
      <c r="I416" s="93">
        <v>1.1000000000000001</v>
      </c>
      <c r="J416" s="801" t="s">
        <v>237</v>
      </c>
      <c r="K416" s="92" t="s">
        <v>75</v>
      </c>
      <c r="L416" s="841" t="s">
        <v>570</v>
      </c>
      <c r="M416" s="841" t="s">
        <v>587</v>
      </c>
      <c r="N416" s="841" t="s">
        <v>587</v>
      </c>
      <c r="O416" s="841" t="s">
        <v>587</v>
      </c>
      <c r="P416" s="841" t="s">
        <v>588</v>
      </c>
      <c r="Q416" s="890" t="s">
        <v>588</v>
      </c>
      <c r="R416" s="94" t="s">
        <v>374</v>
      </c>
      <c r="S416" s="94" t="s">
        <v>465</v>
      </c>
      <c r="T416" s="827">
        <v>9350</v>
      </c>
      <c r="U416" s="827">
        <v>9570</v>
      </c>
      <c r="V416" s="827">
        <v>9830</v>
      </c>
      <c r="W416" s="828">
        <v>9730</v>
      </c>
      <c r="X416" s="842">
        <v>9060</v>
      </c>
      <c r="Y416" s="842">
        <v>10990</v>
      </c>
      <c r="Z416" s="842">
        <v>9210</v>
      </c>
      <c r="AA416" s="958">
        <v>10670</v>
      </c>
      <c r="AB416" s="842">
        <v>10790</v>
      </c>
      <c r="AC416" s="861">
        <v>9360</v>
      </c>
      <c r="AD416" s="750">
        <v>10400</v>
      </c>
      <c r="AE416" s="92" t="s">
        <v>229</v>
      </c>
      <c r="AF416" s="241">
        <v>14040</v>
      </c>
      <c r="AG416" s="147">
        <v>0.7407407407407407</v>
      </c>
      <c r="AH416" s="100" t="s">
        <v>80</v>
      </c>
      <c r="AI416" s="126">
        <v>670</v>
      </c>
      <c r="AJ416" s="126">
        <v>840</v>
      </c>
      <c r="AK416" s="308">
        <v>1270</v>
      </c>
      <c r="AL416" s="881">
        <f t="shared" si="16"/>
        <v>11440.000000000002</v>
      </c>
      <c r="AM416" s="127">
        <v>2</v>
      </c>
    </row>
    <row r="417" spans="1:39" ht="15" thickBot="1" x14ac:dyDescent="0.35">
      <c r="A417" s="202">
        <v>781</v>
      </c>
      <c r="B417" s="202">
        <v>648</v>
      </c>
      <c r="C417" s="402" t="s">
        <v>1048</v>
      </c>
      <c r="D417" s="403" t="s">
        <v>1049</v>
      </c>
      <c r="E417" s="248" t="s">
        <v>1050</v>
      </c>
      <c r="F417" s="805">
        <v>1150</v>
      </c>
      <c r="G417" s="805" t="s">
        <v>539</v>
      </c>
      <c r="H417" s="208" t="s">
        <v>73</v>
      </c>
      <c r="I417" s="207">
        <v>0.75</v>
      </c>
      <c r="J417" s="805" t="s">
        <v>237</v>
      </c>
      <c r="K417" s="387" t="s">
        <v>104</v>
      </c>
      <c r="L417" s="851" t="s">
        <v>540</v>
      </c>
      <c r="M417" s="917" t="s">
        <v>584</v>
      </c>
      <c r="N417" s="851" t="s">
        <v>584</v>
      </c>
      <c r="O417" s="851" t="s">
        <v>584</v>
      </c>
      <c r="P417" s="851" t="s">
        <v>542</v>
      </c>
      <c r="Q417" s="859" t="s">
        <v>542</v>
      </c>
      <c r="R417" s="249" t="s">
        <v>543</v>
      </c>
      <c r="S417" s="578" t="s">
        <v>872</v>
      </c>
      <c r="T417" s="846">
        <v>1210</v>
      </c>
      <c r="U417" s="846">
        <v>1230</v>
      </c>
      <c r="V417" s="846">
        <v>1170</v>
      </c>
      <c r="W417" s="857">
        <v>1130</v>
      </c>
      <c r="X417" s="948">
        <v>1350</v>
      </c>
      <c r="Y417" s="932">
        <v>1400</v>
      </c>
      <c r="Z417" s="858">
        <v>1500</v>
      </c>
      <c r="AA417" s="858">
        <v>1640</v>
      </c>
      <c r="AB417" s="858">
        <v>1310</v>
      </c>
      <c r="AC417" s="868">
        <v>1670</v>
      </c>
      <c r="AD417" s="755">
        <v>1680</v>
      </c>
      <c r="AE417" s="278" t="s">
        <v>97</v>
      </c>
      <c r="AF417" s="279">
        <v>5260</v>
      </c>
      <c r="AG417" s="280">
        <v>0.3193916349809886</v>
      </c>
      <c r="AH417" s="210" t="s">
        <v>97</v>
      </c>
      <c r="AI417" s="281">
        <v>300</v>
      </c>
      <c r="AJ417" s="281">
        <v>170</v>
      </c>
      <c r="AK417" s="281">
        <v>1020</v>
      </c>
      <c r="AL417" s="881">
        <f t="shared" si="16"/>
        <v>1260</v>
      </c>
      <c r="AM417" s="211">
        <v>2</v>
      </c>
    </row>
    <row r="418" spans="1:39" ht="15" thickBot="1" x14ac:dyDescent="0.35">
      <c r="A418" s="202">
        <v>784</v>
      </c>
      <c r="B418" s="202">
        <v>651</v>
      </c>
      <c r="C418" s="579" t="s">
        <v>1051</v>
      </c>
      <c r="D418" s="580" t="s">
        <v>657</v>
      </c>
      <c r="E418" s="205" t="s">
        <v>1052</v>
      </c>
      <c r="F418" s="1008" t="s">
        <v>1053</v>
      </c>
      <c r="G418" s="805" t="s">
        <v>539</v>
      </c>
      <c r="H418" s="208" t="s">
        <v>73</v>
      </c>
      <c r="I418" s="207">
        <v>1.3</v>
      </c>
      <c r="J418" s="805" t="s">
        <v>154</v>
      </c>
      <c r="K418" s="387" t="s">
        <v>75</v>
      </c>
      <c r="L418" s="851" t="s">
        <v>570</v>
      </c>
      <c r="M418" s="917" t="s">
        <v>587</v>
      </c>
      <c r="N418" s="851" t="s">
        <v>587</v>
      </c>
      <c r="O418" s="851" t="s">
        <v>587</v>
      </c>
      <c r="P418" s="851" t="s">
        <v>588</v>
      </c>
      <c r="Q418" s="903" t="s">
        <v>542</v>
      </c>
      <c r="R418" s="206" t="s">
        <v>374</v>
      </c>
      <c r="S418" s="578" t="s">
        <v>872</v>
      </c>
      <c r="T418" s="581">
        <v>9930</v>
      </c>
      <c r="U418" s="582" t="s">
        <v>81</v>
      </c>
      <c r="V418" s="583">
        <v>11549</v>
      </c>
      <c r="W418" s="893"/>
      <c r="X418" s="896" t="s">
        <v>81</v>
      </c>
      <c r="Y418" s="896" t="s">
        <v>81</v>
      </c>
      <c r="Z418" s="896"/>
      <c r="AA418" s="896" t="s">
        <v>81</v>
      </c>
      <c r="AB418" s="567" t="s">
        <v>81</v>
      </c>
      <c r="AC418" s="132" t="s">
        <v>81</v>
      </c>
      <c r="AD418" s="132" t="s">
        <v>81</v>
      </c>
      <c r="AE418" s="190" t="s">
        <v>229</v>
      </c>
      <c r="AF418" s="409">
        <v>13640</v>
      </c>
      <c r="AG418" s="132" t="s">
        <v>81</v>
      </c>
      <c r="AH418" s="132" t="s">
        <v>81</v>
      </c>
      <c r="AI418" s="132" t="s">
        <v>81</v>
      </c>
      <c r="AJ418" s="132" t="s">
        <v>81</v>
      </c>
      <c r="AK418" s="181">
        <v>1020</v>
      </c>
      <c r="AL418" s="832" t="e">
        <f t="shared" si="16"/>
        <v>#VALUE!</v>
      </c>
      <c r="AM418" s="182">
        <v>2</v>
      </c>
    </row>
    <row r="419" spans="1:39" x14ac:dyDescent="0.3">
      <c r="A419" s="299">
        <v>790</v>
      </c>
      <c r="B419" s="299">
        <v>656</v>
      </c>
      <c r="C419" s="318" t="s">
        <v>1054</v>
      </c>
      <c r="D419" s="555" t="s">
        <v>1055</v>
      </c>
      <c r="E419" s="319" t="s">
        <v>1056</v>
      </c>
      <c r="F419" s="802">
        <v>1174</v>
      </c>
      <c r="G419" s="802" t="s">
        <v>539</v>
      </c>
      <c r="H419" s="200" t="s">
        <v>73</v>
      </c>
      <c r="I419" s="107">
        <v>0.35</v>
      </c>
      <c r="J419" s="802" t="s">
        <v>237</v>
      </c>
      <c r="K419" s="284" t="s">
        <v>104</v>
      </c>
      <c r="L419" s="830" t="s">
        <v>540</v>
      </c>
      <c r="M419" s="830" t="s">
        <v>584</v>
      </c>
      <c r="N419" s="830" t="s">
        <v>584</v>
      </c>
      <c r="O419" s="830" t="s">
        <v>584</v>
      </c>
      <c r="P419" s="830" t="s">
        <v>542</v>
      </c>
      <c r="Q419" s="951" t="s">
        <v>542</v>
      </c>
      <c r="R419" s="106" t="s">
        <v>543</v>
      </c>
      <c r="S419" s="484" t="s">
        <v>549</v>
      </c>
      <c r="T419" s="833">
        <v>2920</v>
      </c>
      <c r="U419" s="833">
        <v>2660</v>
      </c>
      <c r="V419" s="833">
        <v>2370</v>
      </c>
      <c r="W419" s="831">
        <v>2370</v>
      </c>
      <c r="X419" s="871">
        <v>1830</v>
      </c>
      <c r="Y419" s="844">
        <v>2340</v>
      </c>
      <c r="Z419" s="871">
        <v>2750</v>
      </c>
      <c r="AA419" s="871">
        <v>2430</v>
      </c>
      <c r="AB419" s="871">
        <v>2550</v>
      </c>
      <c r="AC419" s="888">
        <v>2090</v>
      </c>
      <c r="AD419" s="749">
        <v>2130</v>
      </c>
      <c r="AE419" s="200" t="s">
        <v>229</v>
      </c>
      <c r="AF419" s="213">
        <v>13640</v>
      </c>
      <c r="AG419" s="315">
        <v>0.156158357771261</v>
      </c>
      <c r="AH419" s="83" t="s">
        <v>97</v>
      </c>
      <c r="AI419" s="120">
        <v>230</v>
      </c>
      <c r="AJ419" s="120">
        <v>250</v>
      </c>
      <c r="AK419" s="120">
        <v>1020</v>
      </c>
      <c r="AL419" s="751"/>
      <c r="AM419" s="201">
        <v>2</v>
      </c>
    </row>
    <row r="420" spans="1:39" ht="15" thickBot="1" x14ac:dyDescent="0.35">
      <c r="A420" s="88">
        <v>791</v>
      </c>
      <c r="B420" s="88">
        <v>657</v>
      </c>
      <c r="C420" s="325" t="s">
        <v>1054</v>
      </c>
      <c r="D420" s="554" t="s">
        <v>1057</v>
      </c>
      <c r="E420" s="162" t="s">
        <v>1058</v>
      </c>
      <c r="F420" s="803">
        <v>1173</v>
      </c>
      <c r="G420" s="803" t="s">
        <v>539</v>
      </c>
      <c r="H420" s="215" t="s">
        <v>73</v>
      </c>
      <c r="I420" s="164">
        <v>0.2</v>
      </c>
      <c r="J420" s="803" t="s">
        <v>237</v>
      </c>
      <c r="K420" s="363" t="s">
        <v>104</v>
      </c>
      <c r="L420" s="845" t="s">
        <v>540</v>
      </c>
      <c r="M420" s="845" t="s">
        <v>584</v>
      </c>
      <c r="N420" s="845" t="s">
        <v>584</v>
      </c>
      <c r="O420" s="845" t="s">
        <v>584</v>
      </c>
      <c r="P420" s="845" t="s">
        <v>542</v>
      </c>
      <c r="Q420" s="859" t="s">
        <v>542</v>
      </c>
      <c r="R420" s="217" t="s">
        <v>758</v>
      </c>
      <c r="S420" s="285" t="s">
        <v>549</v>
      </c>
      <c r="T420" s="1009" t="s">
        <v>81</v>
      </c>
      <c r="U420" s="1009" t="s">
        <v>81</v>
      </c>
      <c r="V420" s="584" t="s">
        <v>81</v>
      </c>
      <c r="W420" s="847"/>
      <c r="X420" s="858"/>
      <c r="Y420" s="761"/>
      <c r="Z420" s="761"/>
      <c r="AA420" s="786" t="s">
        <v>81</v>
      </c>
      <c r="AB420" s="366" t="s">
        <v>81</v>
      </c>
      <c r="AC420" s="172" t="s">
        <v>81</v>
      </c>
      <c r="AD420" s="584" t="s">
        <v>81</v>
      </c>
      <c r="AE420" s="215" t="s">
        <v>229</v>
      </c>
      <c r="AF420" s="326">
        <v>13640</v>
      </c>
      <c r="AG420" s="585" t="s">
        <v>81</v>
      </c>
      <c r="AH420" s="585" t="s">
        <v>81</v>
      </c>
      <c r="AI420" s="585" t="s">
        <v>81</v>
      </c>
      <c r="AJ420" s="585" t="s">
        <v>81</v>
      </c>
      <c r="AK420" s="169">
        <v>1020</v>
      </c>
      <c r="AL420" s="881" t="e">
        <f t="shared" ref="AL420:AL430" si="17">IF(AD420&gt;0,AD420*$I420,"-")</f>
        <v>#VALUE!</v>
      </c>
      <c r="AM420" s="219">
        <v>2</v>
      </c>
    </row>
    <row r="421" spans="1:39" ht="15" thickBot="1" x14ac:dyDescent="0.35">
      <c r="A421" s="327">
        <v>795</v>
      </c>
      <c r="B421" s="327">
        <v>659</v>
      </c>
      <c r="C421" s="402" t="s">
        <v>1059</v>
      </c>
      <c r="D421" s="390" t="s">
        <v>809</v>
      </c>
      <c r="E421" s="329" t="s">
        <v>1060</v>
      </c>
      <c r="F421" s="807">
        <v>1176</v>
      </c>
      <c r="G421" s="807" t="s">
        <v>539</v>
      </c>
      <c r="H421" s="391" t="s">
        <v>73</v>
      </c>
      <c r="I421" s="331">
        <v>0.95</v>
      </c>
      <c r="J421" s="807" t="s">
        <v>154</v>
      </c>
      <c r="K421" s="332" t="s">
        <v>75</v>
      </c>
      <c r="L421" s="891" t="s">
        <v>625</v>
      </c>
      <c r="M421" s="891" t="s">
        <v>584</v>
      </c>
      <c r="N421" s="891" t="s">
        <v>584</v>
      </c>
      <c r="O421" s="891" t="s">
        <v>584</v>
      </c>
      <c r="P421" s="891" t="s">
        <v>542</v>
      </c>
      <c r="Q421" s="922" t="s">
        <v>542</v>
      </c>
      <c r="R421" s="510" t="s">
        <v>374</v>
      </c>
      <c r="S421" s="543" t="s">
        <v>872</v>
      </c>
      <c r="T421" s="827">
        <v>5500</v>
      </c>
      <c r="U421" s="827">
        <v>5550</v>
      </c>
      <c r="V421" s="827">
        <v>5310</v>
      </c>
      <c r="W421" s="893">
        <v>6190</v>
      </c>
      <c r="X421" s="860">
        <v>6210</v>
      </c>
      <c r="Y421" s="947">
        <v>7500</v>
      </c>
      <c r="Z421" s="586">
        <v>8420</v>
      </c>
      <c r="AA421" s="587">
        <v>8720</v>
      </c>
      <c r="AB421" s="587">
        <v>8410</v>
      </c>
      <c r="AC421" s="893">
        <v>7130</v>
      </c>
      <c r="AD421" s="758">
        <v>7770</v>
      </c>
      <c r="AE421" s="391" t="s">
        <v>80</v>
      </c>
      <c r="AF421" s="370">
        <v>10660</v>
      </c>
      <c r="AG421" s="333">
        <v>0.72889305816135086</v>
      </c>
      <c r="AH421" s="307" t="s">
        <v>80</v>
      </c>
      <c r="AI421" s="334">
        <v>860</v>
      </c>
      <c r="AJ421" s="334">
        <v>680</v>
      </c>
      <c r="AK421" s="334">
        <v>1020</v>
      </c>
      <c r="AL421" s="949">
        <f t="shared" si="17"/>
        <v>7381.5</v>
      </c>
      <c r="AM421" s="337">
        <v>2</v>
      </c>
    </row>
    <row r="422" spans="1:39" x14ac:dyDescent="0.3">
      <c r="A422" s="103">
        <v>800</v>
      </c>
      <c r="B422" s="103">
        <v>663</v>
      </c>
      <c r="C422" s="348" t="s">
        <v>1061</v>
      </c>
      <c r="D422" s="338" t="s">
        <v>1028</v>
      </c>
      <c r="E422" s="177" t="s">
        <v>1062</v>
      </c>
      <c r="F422" s="804">
        <v>1180</v>
      </c>
      <c r="G422" s="804" t="s">
        <v>539</v>
      </c>
      <c r="H422" s="77" t="s">
        <v>73</v>
      </c>
      <c r="I422" s="178">
        <v>2.0499999999999998</v>
      </c>
      <c r="J422" s="804" t="s">
        <v>154</v>
      </c>
      <c r="K422" s="349" t="s">
        <v>104</v>
      </c>
      <c r="L422" s="843" t="s">
        <v>540</v>
      </c>
      <c r="M422" s="843" t="s">
        <v>584</v>
      </c>
      <c r="N422" s="843" t="s">
        <v>584</v>
      </c>
      <c r="O422" s="843" t="s">
        <v>584</v>
      </c>
      <c r="P422" s="843" t="s">
        <v>542</v>
      </c>
      <c r="Q422" s="951" t="s">
        <v>542</v>
      </c>
      <c r="R422" s="220" t="s">
        <v>758</v>
      </c>
      <c r="S422" s="220" t="s">
        <v>858</v>
      </c>
      <c r="T422" s="825">
        <v>2330</v>
      </c>
      <c r="U422" s="825">
        <v>2340</v>
      </c>
      <c r="V422" s="825">
        <v>2390</v>
      </c>
      <c r="W422" s="836">
        <v>2230</v>
      </c>
      <c r="X422" s="798">
        <v>2840</v>
      </c>
      <c r="Y422" s="759">
        <v>2780</v>
      </c>
      <c r="Z422" s="901">
        <v>2700</v>
      </c>
      <c r="AA422" s="973">
        <v>3130</v>
      </c>
      <c r="AB422" s="759">
        <v>2890</v>
      </c>
      <c r="AC422" s="887">
        <v>3170</v>
      </c>
      <c r="AD422" s="181">
        <v>3320</v>
      </c>
      <c r="AE422" s="86" t="s">
        <v>229</v>
      </c>
      <c r="AF422" s="409">
        <v>13640</v>
      </c>
      <c r="AG422" s="79">
        <v>0.24340175953079179</v>
      </c>
      <c r="AH422" s="86" t="s">
        <v>97</v>
      </c>
      <c r="AI422" s="181">
        <v>210</v>
      </c>
      <c r="AJ422" s="181">
        <v>340</v>
      </c>
      <c r="AK422" s="181">
        <v>1020</v>
      </c>
      <c r="AL422" s="832">
        <f t="shared" si="17"/>
        <v>6805.9999999999991</v>
      </c>
      <c r="AM422" s="221">
        <v>2</v>
      </c>
    </row>
    <row r="423" spans="1:39" ht="15" thickBot="1" x14ac:dyDescent="0.35">
      <c r="A423" s="305">
        <v>797</v>
      </c>
      <c r="B423" s="305">
        <v>660</v>
      </c>
      <c r="C423" s="346" t="s">
        <v>1061</v>
      </c>
      <c r="D423" s="306" t="s">
        <v>1063</v>
      </c>
      <c r="E423" s="91" t="s">
        <v>1064</v>
      </c>
      <c r="F423" s="801">
        <v>1183</v>
      </c>
      <c r="G423" s="801" t="s">
        <v>539</v>
      </c>
      <c r="H423" s="92" t="s">
        <v>73</v>
      </c>
      <c r="I423" s="93">
        <v>3</v>
      </c>
      <c r="J423" s="801" t="s">
        <v>158</v>
      </c>
      <c r="K423" s="271" t="s">
        <v>104</v>
      </c>
      <c r="L423" s="841" t="s">
        <v>1065</v>
      </c>
      <c r="M423" s="841" t="s">
        <v>764</v>
      </c>
      <c r="N423" s="841" t="s">
        <v>764</v>
      </c>
      <c r="O423" s="841" t="s">
        <v>764</v>
      </c>
      <c r="P423" s="841" t="s">
        <v>764</v>
      </c>
      <c r="Q423" s="933" t="s">
        <v>764</v>
      </c>
      <c r="R423" s="95" t="s">
        <v>596</v>
      </c>
      <c r="S423" s="94" t="s">
        <v>699</v>
      </c>
      <c r="T423" s="827">
        <v>5500</v>
      </c>
      <c r="U423" s="827">
        <v>680</v>
      </c>
      <c r="V423" s="124">
        <v>670</v>
      </c>
      <c r="W423" s="828">
        <v>720</v>
      </c>
      <c r="X423" s="899" t="s">
        <v>81</v>
      </c>
      <c r="Y423" s="842">
        <v>910</v>
      </c>
      <c r="Z423" s="947">
        <v>920</v>
      </c>
      <c r="AA423" s="860">
        <v>1030</v>
      </c>
      <c r="AB423" s="842">
        <v>1030</v>
      </c>
      <c r="AC423" s="861">
        <v>1120</v>
      </c>
      <c r="AD423" s="126">
        <v>1070</v>
      </c>
      <c r="AE423" s="92" t="s">
        <v>97</v>
      </c>
      <c r="AF423" s="474">
        <v>11775</v>
      </c>
      <c r="AG423" s="147">
        <v>9.0870488322717616E-2</v>
      </c>
      <c r="AH423" s="100" t="s">
        <v>1524</v>
      </c>
      <c r="AI423" s="126">
        <v>80</v>
      </c>
      <c r="AJ423" s="126">
        <v>100</v>
      </c>
      <c r="AK423" s="126">
        <v>1120</v>
      </c>
      <c r="AL423" s="881">
        <f t="shared" si="17"/>
        <v>3210</v>
      </c>
      <c r="AM423" s="127">
        <v>2</v>
      </c>
    </row>
    <row r="424" spans="1:39" x14ac:dyDescent="0.3">
      <c r="A424" s="103">
        <v>802</v>
      </c>
      <c r="B424" s="103">
        <v>664</v>
      </c>
      <c r="C424" s="318" t="s">
        <v>1066</v>
      </c>
      <c r="D424" s="338" t="s">
        <v>914</v>
      </c>
      <c r="E424" s="189" t="s">
        <v>1067</v>
      </c>
      <c r="F424" s="804">
        <v>1190</v>
      </c>
      <c r="G424" s="804" t="s">
        <v>539</v>
      </c>
      <c r="H424" s="131" t="s">
        <v>73</v>
      </c>
      <c r="I424" s="178">
        <v>0.6</v>
      </c>
      <c r="J424" s="804" t="s">
        <v>140</v>
      </c>
      <c r="K424" s="340" t="s">
        <v>75</v>
      </c>
      <c r="L424" s="843" t="s">
        <v>570</v>
      </c>
      <c r="M424" s="848" t="s">
        <v>615</v>
      </c>
      <c r="N424" s="843" t="s">
        <v>615</v>
      </c>
      <c r="O424" s="843" t="s">
        <v>615</v>
      </c>
      <c r="P424" s="843" t="s">
        <v>670</v>
      </c>
      <c r="Q424" s="588" t="s">
        <v>670</v>
      </c>
      <c r="R424" s="179" t="s">
        <v>374</v>
      </c>
      <c r="S424" s="179" t="s">
        <v>465</v>
      </c>
      <c r="T424" s="825">
        <v>8300</v>
      </c>
      <c r="U424" s="825">
        <v>8450</v>
      </c>
      <c r="V424" s="57">
        <v>8650</v>
      </c>
      <c r="W424" s="836">
        <v>8380</v>
      </c>
      <c r="X424" s="997">
        <v>10670</v>
      </c>
      <c r="Y424" s="759">
        <v>10250</v>
      </c>
      <c r="Z424" s="759">
        <v>11210</v>
      </c>
      <c r="AA424" s="973">
        <v>11720</v>
      </c>
      <c r="AB424" s="759">
        <v>12210</v>
      </c>
      <c r="AC424" s="887">
        <v>12310</v>
      </c>
      <c r="AD424" s="754">
        <v>13370</v>
      </c>
      <c r="AE424" s="190" t="s">
        <v>229</v>
      </c>
      <c r="AF424" s="409">
        <v>17900</v>
      </c>
      <c r="AG424" s="79">
        <v>0.74692737430167599</v>
      </c>
      <c r="AH424" s="86" t="s">
        <v>97</v>
      </c>
      <c r="AI424" s="181">
        <v>720</v>
      </c>
      <c r="AJ424" s="181">
        <v>1070</v>
      </c>
      <c r="AK424" s="312">
        <v>1620</v>
      </c>
      <c r="AL424" s="832">
        <f t="shared" si="17"/>
        <v>8022</v>
      </c>
      <c r="AM424" s="182">
        <v>2</v>
      </c>
    </row>
    <row r="425" spans="1:39" x14ac:dyDescent="0.3">
      <c r="A425" s="33">
        <v>803</v>
      </c>
      <c r="B425" s="33">
        <v>665</v>
      </c>
      <c r="C425" s="300" t="s">
        <v>1066</v>
      </c>
      <c r="D425" s="353" t="s">
        <v>1068</v>
      </c>
      <c r="E425" s="64" t="s">
        <v>1069</v>
      </c>
      <c r="F425" s="799">
        <v>1191</v>
      </c>
      <c r="G425" s="799" t="s">
        <v>539</v>
      </c>
      <c r="H425" s="36" t="s">
        <v>73</v>
      </c>
      <c r="I425" s="37">
        <v>0.5</v>
      </c>
      <c r="J425" s="799" t="s">
        <v>158</v>
      </c>
      <c r="K425" s="36" t="s">
        <v>75</v>
      </c>
      <c r="L425" s="837" t="s">
        <v>570</v>
      </c>
      <c r="M425" s="837" t="s">
        <v>615</v>
      </c>
      <c r="N425" s="837" t="s">
        <v>615</v>
      </c>
      <c r="O425" s="837" t="s">
        <v>615</v>
      </c>
      <c r="P425" s="837" t="s">
        <v>670</v>
      </c>
      <c r="Q425" s="314" t="s">
        <v>670</v>
      </c>
      <c r="R425" s="38" t="s">
        <v>374</v>
      </c>
      <c r="S425" s="38" t="s">
        <v>465</v>
      </c>
      <c r="T425" s="833">
        <v>9320</v>
      </c>
      <c r="U425" s="833">
        <v>9760</v>
      </c>
      <c r="V425" s="66">
        <v>8460</v>
      </c>
      <c r="W425" s="820">
        <v>9870</v>
      </c>
      <c r="X425" s="838">
        <v>12340</v>
      </c>
      <c r="Y425" s="838">
        <v>10320</v>
      </c>
      <c r="Z425" s="838">
        <v>12300</v>
      </c>
      <c r="AA425" s="957">
        <v>14040</v>
      </c>
      <c r="AB425" s="838">
        <v>14920</v>
      </c>
      <c r="AC425" s="888">
        <v>13390</v>
      </c>
      <c r="AD425" s="749">
        <v>15890</v>
      </c>
      <c r="AE425" s="36" t="s">
        <v>229</v>
      </c>
      <c r="AF425" s="213">
        <v>17900</v>
      </c>
      <c r="AG425" s="315">
        <v>0.88770949720670389</v>
      </c>
      <c r="AH425" s="83" t="s">
        <v>80</v>
      </c>
      <c r="AI425" s="120">
        <v>860</v>
      </c>
      <c r="AJ425" s="120">
        <v>1330</v>
      </c>
      <c r="AK425" s="316">
        <v>1620</v>
      </c>
      <c r="AL425" s="832">
        <f t="shared" si="17"/>
        <v>7945</v>
      </c>
      <c r="AM425" s="121">
        <v>2</v>
      </c>
    </row>
    <row r="426" spans="1:39" x14ac:dyDescent="0.3">
      <c r="A426" s="33">
        <v>805</v>
      </c>
      <c r="B426" s="33">
        <v>667</v>
      </c>
      <c r="C426" s="300" t="s">
        <v>1066</v>
      </c>
      <c r="D426" s="301" t="s">
        <v>1040</v>
      </c>
      <c r="E426" s="51" t="s">
        <v>1070</v>
      </c>
      <c r="F426" s="800">
        <v>1193</v>
      </c>
      <c r="G426" s="800" t="s">
        <v>539</v>
      </c>
      <c r="H426" s="71" t="s">
        <v>73</v>
      </c>
      <c r="I426" s="72">
        <v>0.3</v>
      </c>
      <c r="J426" s="800" t="s">
        <v>158</v>
      </c>
      <c r="K426" s="321" t="s">
        <v>75</v>
      </c>
      <c r="L426" s="835" t="s">
        <v>740</v>
      </c>
      <c r="M426" s="839" t="s">
        <v>754</v>
      </c>
      <c r="N426" s="835" t="s">
        <v>754</v>
      </c>
      <c r="O426" s="835" t="s">
        <v>754</v>
      </c>
      <c r="P426" s="835" t="s">
        <v>637</v>
      </c>
      <c r="Q426" s="410" t="s">
        <v>637</v>
      </c>
      <c r="R426" s="38" t="s">
        <v>374</v>
      </c>
      <c r="S426" s="73" t="s">
        <v>465</v>
      </c>
      <c r="T426" s="825">
        <v>11750</v>
      </c>
      <c r="U426" s="825">
        <v>12520</v>
      </c>
      <c r="V426" s="825">
        <v>11660</v>
      </c>
      <c r="W426" s="822">
        <v>11550</v>
      </c>
      <c r="X426" s="1001">
        <v>13030</v>
      </c>
      <c r="Y426" s="760">
        <v>13480</v>
      </c>
      <c r="Z426" s="760">
        <v>13800</v>
      </c>
      <c r="AA426" s="956">
        <v>14180</v>
      </c>
      <c r="AB426" s="760">
        <v>13160</v>
      </c>
      <c r="AC426" s="884">
        <v>14390</v>
      </c>
      <c r="AD426" s="748">
        <v>15080</v>
      </c>
      <c r="AE426" s="140" t="s">
        <v>229</v>
      </c>
      <c r="AF426" s="194">
        <v>37970</v>
      </c>
      <c r="AG426" s="303">
        <v>0.39715564919673424</v>
      </c>
      <c r="AH426" s="80" t="s">
        <v>97</v>
      </c>
      <c r="AI426" s="115">
        <v>810</v>
      </c>
      <c r="AJ426" s="115">
        <v>1220</v>
      </c>
      <c r="AK426" s="304">
        <v>3410</v>
      </c>
      <c r="AL426" s="832">
        <f t="shared" si="17"/>
        <v>4524</v>
      </c>
      <c r="AM426" s="122">
        <v>4</v>
      </c>
    </row>
    <row r="427" spans="1:39" ht="15" thickBot="1" x14ac:dyDescent="0.35">
      <c r="A427" s="88">
        <v>806</v>
      </c>
      <c r="B427" s="88">
        <v>668</v>
      </c>
      <c r="C427" s="346" t="s">
        <v>1066</v>
      </c>
      <c r="D427" s="296" t="s">
        <v>1042</v>
      </c>
      <c r="E427" s="185" t="s">
        <v>1071</v>
      </c>
      <c r="F427" s="801">
        <v>1194</v>
      </c>
      <c r="G427" s="801" t="s">
        <v>539</v>
      </c>
      <c r="H427" s="92" t="s">
        <v>73</v>
      </c>
      <c r="I427" s="93">
        <v>0.5</v>
      </c>
      <c r="J427" s="801" t="s">
        <v>158</v>
      </c>
      <c r="K427" s="271" t="s">
        <v>75</v>
      </c>
      <c r="L427" s="841" t="s">
        <v>740</v>
      </c>
      <c r="M427" s="841" t="s">
        <v>754</v>
      </c>
      <c r="N427" s="841" t="s">
        <v>754</v>
      </c>
      <c r="O427" s="841" t="s">
        <v>754</v>
      </c>
      <c r="P427" s="841" t="s">
        <v>637</v>
      </c>
      <c r="Q427" s="410" t="s">
        <v>637</v>
      </c>
      <c r="R427" s="167" t="s">
        <v>374</v>
      </c>
      <c r="S427" s="94" t="s">
        <v>465</v>
      </c>
      <c r="T427" s="827">
        <v>12120</v>
      </c>
      <c r="U427" s="827">
        <v>12330</v>
      </c>
      <c r="V427" s="827">
        <v>11940</v>
      </c>
      <c r="W427" s="828">
        <v>11820</v>
      </c>
      <c r="X427" s="842">
        <v>13340</v>
      </c>
      <c r="Y427" s="842">
        <v>13030</v>
      </c>
      <c r="Z427" s="842">
        <v>13710</v>
      </c>
      <c r="AA427" s="958">
        <v>13770</v>
      </c>
      <c r="AB427" s="842">
        <v>14430</v>
      </c>
      <c r="AC427" s="861">
        <v>14270</v>
      </c>
      <c r="AD427" s="750">
        <v>15540</v>
      </c>
      <c r="AE427" s="92" t="s">
        <v>229</v>
      </c>
      <c r="AF427" s="241">
        <v>37970</v>
      </c>
      <c r="AG427" s="147">
        <v>0.40927047669212535</v>
      </c>
      <c r="AH427" s="100" t="s">
        <v>97</v>
      </c>
      <c r="AI427" s="126">
        <v>800</v>
      </c>
      <c r="AJ427" s="126">
        <v>1290</v>
      </c>
      <c r="AK427" s="308">
        <v>3410</v>
      </c>
      <c r="AL427" s="881">
        <f t="shared" si="17"/>
        <v>7770</v>
      </c>
      <c r="AM427" s="127">
        <v>4</v>
      </c>
    </row>
    <row r="428" spans="1:39" x14ac:dyDescent="0.3">
      <c r="A428" s="103">
        <v>809</v>
      </c>
      <c r="B428" s="103">
        <v>1075</v>
      </c>
      <c r="C428" s="589" t="s">
        <v>1072</v>
      </c>
      <c r="D428" s="338" t="s">
        <v>1073</v>
      </c>
      <c r="E428" s="261" t="s">
        <v>1074</v>
      </c>
      <c r="F428" s="804">
        <v>1196</v>
      </c>
      <c r="G428" s="804" t="s">
        <v>539</v>
      </c>
      <c r="H428" s="590" t="s">
        <v>1075</v>
      </c>
      <c r="I428" s="178">
        <v>5.6</v>
      </c>
      <c r="J428" s="804" t="s">
        <v>205</v>
      </c>
      <c r="K428" s="340" t="s">
        <v>75</v>
      </c>
      <c r="L428" s="843" t="s">
        <v>1065</v>
      </c>
      <c r="M428" s="848" t="s">
        <v>764</v>
      </c>
      <c r="N428" s="843" t="s">
        <v>764</v>
      </c>
      <c r="O428" s="843" t="s">
        <v>764</v>
      </c>
      <c r="P428" s="843" t="s">
        <v>764</v>
      </c>
      <c r="Q428" s="933" t="s">
        <v>764</v>
      </c>
      <c r="R428" s="220" t="s">
        <v>686</v>
      </c>
      <c r="S428" s="220" t="s">
        <v>699</v>
      </c>
      <c r="T428" s="825">
        <v>3350</v>
      </c>
      <c r="U428" s="825">
        <v>3270</v>
      </c>
      <c r="V428" s="57">
        <v>3120</v>
      </c>
      <c r="W428" s="836">
        <v>2730</v>
      </c>
      <c r="X428" s="997">
        <v>3400</v>
      </c>
      <c r="Y428" s="759">
        <v>3640</v>
      </c>
      <c r="Z428" s="759">
        <v>3540</v>
      </c>
      <c r="AA428" s="973">
        <v>3590</v>
      </c>
      <c r="AB428" s="759">
        <v>3910</v>
      </c>
      <c r="AC428" s="887">
        <v>3730</v>
      </c>
      <c r="AD428" s="754">
        <v>3970</v>
      </c>
      <c r="AE428" s="190" t="s">
        <v>97</v>
      </c>
      <c r="AF428" s="78">
        <v>11775</v>
      </c>
      <c r="AG428" s="79">
        <v>0.33715498938428873</v>
      </c>
      <c r="AH428" s="86" t="s">
        <v>1524</v>
      </c>
      <c r="AI428" s="181">
        <v>260</v>
      </c>
      <c r="AJ428" s="181">
        <v>360</v>
      </c>
      <c r="AK428" s="181">
        <v>1120</v>
      </c>
      <c r="AL428" s="832">
        <f t="shared" si="17"/>
        <v>22232</v>
      </c>
      <c r="AM428" s="182">
        <v>2</v>
      </c>
    </row>
    <row r="429" spans="1:39" x14ac:dyDescent="0.3">
      <c r="A429" s="33">
        <v>811</v>
      </c>
      <c r="B429" s="33">
        <v>1073</v>
      </c>
      <c r="C429" s="591" t="s">
        <v>1072</v>
      </c>
      <c r="D429" s="351" t="s">
        <v>1076</v>
      </c>
      <c r="E429" s="35" t="s">
        <v>1077</v>
      </c>
      <c r="F429" s="799">
        <v>1198</v>
      </c>
      <c r="G429" s="799" t="s">
        <v>539</v>
      </c>
      <c r="H429" s="592" t="s">
        <v>1075</v>
      </c>
      <c r="I429" s="37">
        <v>12.9</v>
      </c>
      <c r="J429" s="799" t="s">
        <v>140</v>
      </c>
      <c r="K429" s="324" t="s">
        <v>75</v>
      </c>
      <c r="L429" s="837" t="s">
        <v>367</v>
      </c>
      <c r="M429" s="837" t="s">
        <v>367</v>
      </c>
      <c r="N429" s="837" t="s">
        <v>367</v>
      </c>
      <c r="O429" s="837" t="s">
        <v>367</v>
      </c>
      <c r="P429" s="837" t="s">
        <v>367</v>
      </c>
      <c r="Q429" s="895" t="s">
        <v>367</v>
      </c>
      <c r="R429" s="39" t="s">
        <v>686</v>
      </c>
      <c r="S429" s="39" t="s">
        <v>699</v>
      </c>
      <c r="T429" s="66">
        <v>730</v>
      </c>
      <c r="U429" s="66">
        <v>600</v>
      </c>
      <c r="V429" s="66">
        <v>700</v>
      </c>
      <c r="W429" s="820">
        <v>690</v>
      </c>
      <c r="X429" s="838">
        <v>780</v>
      </c>
      <c r="Y429" s="838">
        <v>840</v>
      </c>
      <c r="Z429" s="838">
        <v>730</v>
      </c>
      <c r="AA429" s="957">
        <v>770</v>
      </c>
      <c r="AB429" s="838">
        <v>840</v>
      </c>
      <c r="AC429" s="888">
        <v>870</v>
      </c>
      <c r="AD429" s="749">
        <v>960</v>
      </c>
      <c r="AE429" s="36" t="s">
        <v>97</v>
      </c>
      <c r="AF429" s="569">
        <v>6450</v>
      </c>
      <c r="AG429" s="315">
        <v>0.14883720930232558</v>
      </c>
      <c r="AH429" s="83" t="s">
        <v>1524</v>
      </c>
      <c r="AI429" s="120">
        <v>50</v>
      </c>
      <c r="AJ429" s="120">
        <v>90</v>
      </c>
      <c r="AK429" s="593">
        <v>620</v>
      </c>
      <c r="AL429" s="832">
        <f t="shared" si="17"/>
        <v>12384</v>
      </c>
      <c r="AM429" s="121">
        <v>2</v>
      </c>
    </row>
    <row r="430" spans="1:39" ht="15" thickBot="1" x14ac:dyDescent="0.35">
      <c r="A430" s="88">
        <v>813</v>
      </c>
      <c r="B430" s="88">
        <v>525</v>
      </c>
      <c r="C430" s="325" t="s">
        <v>1078</v>
      </c>
      <c r="D430" s="296" t="s">
        <v>592</v>
      </c>
      <c r="E430" s="166" t="s">
        <v>593</v>
      </c>
      <c r="F430" s="803">
        <v>790</v>
      </c>
      <c r="G430" s="803" t="s">
        <v>539</v>
      </c>
      <c r="H430" s="215" t="s">
        <v>73</v>
      </c>
      <c r="I430" s="164">
        <v>1.1000000000000001</v>
      </c>
      <c r="J430" s="803" t="s">
        <v>154</v>
      </c>
      <c r="K430" s="363" t="s">
        <v>75</v>
      </c>
      <c r="L430" s="845" t="s">
        <v>1065</v>
      </c>
      <c r="M430" s="850" t="s">
        <v>764</v>
      </c>
      <c r="N430" s="845" t="s">
        <v>764</v>
      </c>
      <c r="O430" s="845" t="s">
        <v>764</v>
      </c>
      <c r="P430" s="845" t="s">
        <v>764</v>
      </c>
      <c r="Q430" s="933" t="s">
        <v>764</v>
      </c>
      <c r="R430" s="217" t="s">
        <v>686</v>
      </c>
      <c r="S430" s="217" t="s">
        <v>699</v>
      </c>
      <c r="T430" s="846">
        <v>1770</v>
      </c>
      <c r="U430" s="846">
        <v>1680</v>
      </c>
      <c r="V430" s="251">
        <v>1620</v>
      </c>
      <c r="W430" s="847">
        <v>1720</v>
      </c>
      <c r="X430" s="954">
        <v>1730</v>
      </c>
      <c r="Y430" s="761">
        <v>2060</v>
      </c>
      <c r="Z430" s="761">
        <v>1780</v>
      </c>
      <c r="AA430" s="976">
        <v>1960</v>
      </c>
      <c r="AB430" s="761">
        <v>1930</v>
      </c>
      <c r="AC430" s="880">
        <v>2040</v>
      </c>
      <c r="AD430" s="752">
        <v>2030</v>
      </c>
      <c r="AE430" s="170" t="s">
        <v>97</v>
      </c>
      <c r="AF430" s="594">
        <v>11775</v>
      </c>
      <c r="AG430" s="172">
        <v>0.17239915074309978</v>
      </c>
      <c r="AH430" s="170" t="s">
        <v>1524</v>
      </c>
      <c r="AI430" s="169">
        <v>110</v>
      </c>
      <c r="AJ430" s="169">
        <v>180</v>
      </c>
      <c r="AK430" s="169">
        <v>1120</v>
      </c>
      <c r="AL430" s="881">
        <f t="shared" si="17"/>
        <v>2233</v>
      </c>
      <c r="AM430" s="219">
        <v>2</v>
      </c>
    </row>
    <row r="431" spans="1:39" ht="15" thickBot="1" x14ac:dyDescent="0.35">
      <c r="A431" s="327">
        <v>816</v>
      </c>
      <c r="B431" s="327">
        <v>671</v>
      </c>
      <c r="C431" s="595" t="s">
        <v>1079</v>
      </c>
      <c r="D431" s="329" t="s">
        <v>1080</v>
      </c>
      <c r="E431" s="329" t="s">
        <v>1081</v>
      </c>
      <c r="F431" s="807">
        <v>1200</v>
      </c>
      <c r="G431" s="807" t="s">
        <v>539</v>
      </c>
      <c r="H431" s="330"/>
      <c r="I431" s="331">
        <v>3</v>
      </c>
      <c r="J431" s="807" t="s">
        <v>154</v>
      </c>
      <c r="K431" s="332" t="s">
        <v>104</v>
      </c>
      <c r="L431" s="891" t="s">
        <v>367</v>
      </c>
      <c r="M431" s="891" t="s">
        <v>367</v>
      </c>
      <c r="N431" s="891" t="s">
        <v>367</v>
      </c>
      <c r="O431" s="891" t="s">
        <v>367</v>
      </c>
      <c r="P431" s="891" t="s">
        <v>367</v>
      </c>
      <c r="Q431" s="895" t="s">
        <v>367</v>
      </c>
      <c r="R431" s="543" t="s">
        <v>596</v>
      </c>
      <c r="S431" s="285" t="s">
        <v>549</v>
      </c>
      <c r="T431" s="124">
        <v>300</v>
      </c>
      <c r="U431" s="124">
        <v>220</v>
      </c>
      <c r="V431" s="124">
        <v>220</v>
      </c>
      <c r="W431" s="893">
        <v>250</v>
      </c>
      <c r="X431" s="860">
        <v>250</v>
      </c>
      <c r="Y431" s="947">
        <v>280</v>
      </c>
      <c r="Z431" s="860">
        <v>220</v>
      </c>
      <c r="AA431" s="860">
        <v>260</v>
      </c>
      <c r="AB431" s="860">
        <v>300</v>
      </c>
      <c r="AC431" s="893">
        <v>280</v>
      </c>
      <c r="AD431" s="758">
        <v>260</v>
      </c>
      <c r="AE431" s="330" t="s">
        <v>97</v>
      </c>
      <c r="AF431" s="186">
        <v>6450</v>
      </c>
      <c r="AG431" s="333">
        <v>4.0310077519379844E-2</v>
      </c>
      <c r="AH431" s="307" t="s">
        <v>1524</v>
      </c>
      <c r="AI431" s="334">
        <v>20</v>
      </c>
      <c r="AJ431" s="334">
        <v>30</v>
      </c>
      <c r="AK431" s="335">
        <v>620</v>
      </c>
      <c r="AL431" s="894"/>
      <c r="AM431" s="337">
        <v>2</v>
      </c>
    </row>
    <row r="432" spans="1:39" ht="15" thickBot="1" x14ac:dyDescent="0.35">
      <c r="A432" s="103">
        <v>818</v>
      </c>
      <c r="B432" s="103">
        <v>672</v>
      </c>
      <c r="C432" s="318" t="s">
        <v>1082</v>
      </c>
      <c r="D432" s="472"/>
      <c r="E432" s="189" t="s">
        <v>1083</v>
      </c>
      <c r="F432" s="221">
        <v>1210</v>
      </c>
      <c r="G432" s="804" t="s">
        <v>539</v>
      </c>
      <c r="H432" s="131" t="s">
        <v>73</v>
      </c>
      <c r="I432" s="178">
        <v>0.7</v>
      </c>
      <c r="J432" s="804" t="s">
        <v>158</v>
      </c>
      <c r="K432" s="340" t="s">
        <v>75</v>
      </c>
      <c r="L432" s="843" t="s">
        <v>540</v>
      </c>
      <c r="M432" s="848" t="s">
        <v>584</v>
      </c>
      <c r="N432" s="843" t="s">
        <v>584</v>
      </c>
      <c r="O432" s="843" t="s">
        <v>584</v>
      </c>
      <c r="P432" s="843" t="s">
        <v>626</v>
      </c>
      <c r="Q432" s="909" t="s">
        <v>626</v>
      </c>
      <c r="R432" s="77" t="s">
        <v>543</v>
      </c>
      <c r="S432" s="179" t="s">
        <v>858</v>
      </c>
      <c r="T432" s="825">
        <v>1600</v>
      </c>
      <c r="U432" s="825">
        <v>1600</v>
      </c>
      <c r="V432" s="825">
        <v>1570</v>
      </c>
      <c r="W432" s="836">
        <v>1610</v>
      </c>
      <c r="X432" s="896" t="s">
        <v>81</v>
      </c>
      <c r="Y432" s="759">
        <v>2010</v>
      </c>
      <c r="Z432" s="759">
        <v>2040</v>
      </c>
      <c r="AA432" s="973">
        <v>2390</v>
      </c>
      <c r="AB432" s="759">
        <v>2460</v>
      </c>
      <c r="AC432" s="887">
        <v>2230</v>
      </c>
      <c r="AD432" s="754">
        <v>2760</v>
      </c>
      <c r="AE432" s="190" t="s">
        <v>229</v>
      </c>
      <c r="AF432" s="409">
        <v>13640</v>
      </c>
      <c r="AG432" s="79">
        <v>0.20234604105571846</v>
      </c>
      <c r="AH432" s="86" t="s">
        <v>97</v>
      </c>
      <c r="AI432" s="181">
        <v>190</v>
      </c>
      <c r="AJ432" s="181">
        <v>280</v>
      </c>
      <c r="AK432" s="312">
        <v>1230</v>
      </c>
      <c r="AL432" s="832">
        <f>IF(AD432&gt;0,AD432*$I432,"-")</f>
        <v>1931.9999999999998</v>
      </c>
      <c r="AM432" s="182">
        <v>2</v>
      </c>
    </row>
    <row r="433" spans="1:39" ht="15" thickBot="1" x14ac:dyDescent="0.35">
      <c r="A433" s="88">
        <v>820</v>
      </c>
      <c r="B433" s="88">
        <v>674</v>
      </c>
      <c r="C433" s="346" t="s">
        <v>1082</v>
      </c>
      <c r="D433" s="296" t="s">
        <v>664</v>
      </c>
      <c r="E433" s="91" t="s">
        <v>1084</v>
      </c>
      <c r="F433" s="801">
        <v>1211</v>
      </c>
      <c r="G433" s="801" t="s">
        <v>539</v>
      </c>
      <c r="H433" s="92" t="s">
        <v>73</v>
      </c>
      <c r="I433" s="93">
        <v>1.4</v>
      </c>
      <c r="J433" s="801" t="s">
        <v>158</v>
      </c>
      <c r="K433" s="271" t="s">
        <v>75</v>
      </c>
      <c r="L433" s="841" t="s">
        <v>540</v>
      </c>
      <c r="M433" s="841" t="s">
        <v>584</v>
      </c>
      <c r="N433" s="841" t="s">
        <v>584</v>
      </c>
      <c r="O433" s="841" t="s">
        <v>584</v>
      </c>
      <c r="P433" s="841" t="s">
        <v>626</v>
      </c>
      <c r="Q433" s="909" t="s">
        <v>626</v>
      </c>
      <c r="R433" s="97" t="s">
        <v>543</v>
      </c>
      <c r="S433" s="95" t="s">
        <v>872</v>
      </c>
      <c r="T433" s="827">
        <v>8110</v>
      </c>
      <c r="U433" s="827">
        <v>8850</v>
      </c>
      <c r="V433" s="827">
        <v>6250</v>
      </c>
      <c r="W433" s="828">
        <v>7630</v>
      </c>
      <c r="X433" s="860">
        <v>3900</v>
      </c>
      <c r="Y433" s="842">
        <v>4110</v>
      </c>
      <c r="Z433" s="842">
        <v>4650</v>
      </c>
      <c r="AA433" s="958">
        <v>4730</v>
      </c>
      <c r="AB433" s="842">
        <v>4740</v>
      </c>
      <c r="AC433" s="861">
        <v>4370</v>
      </c>
      <c r="AD433" s="750">
        <v>5180</v>
      </c>
      <c r="AE433" s="92" t="s">
        <v>229</v>
      </c>
      <c r="AF433" s="241">
        <v>13640</v>
      </c>
      <c r="AG433" s="147">
        <v>0.37976539589442815</v>
      </c>
      <c r="AH433" s="100" t="s">
        <v>97</v>
      </c>
      <c r="AI433" s="126">
        <v>330</v>
      </c>
      <c r="AJ433" s="126">
        <v>510</v>
      </c>
      <c r="AK433" s="308">
        <v>1230</v>
      </c>
      <c r="AL433" s="881">
        <f>IF(AD433&gt;0,AD433*$I433,"-")</f>
        <v>7251.9999999999991</v>
      </c>
      <c r="AM433" s="127">
        <v>2</v>
      </c>
    </row>
    <row r="434" spans="1:39" x14ac:dyDescent="0.3">
      <c r="A434" s="103">
        <v>823</v>
      </c>
      <c r="B434" s="103">
        <v>676</v>
      </c>
      <c r="C434" s="379" t="s">
        <v>1085</v>
      </c>
      <c r="D434" s="338" t="s">
        <v>681</v>
      </c>
      <c r="E434" s="189" t="s">
        <v>1086</v>
      </c>
      <c r="F434" s="804">
        <v>1221</v>
      </c>
      <c r="G434" s="804" t="s">
        <v>539</v>
      </c>
      <c r="H434" s="131"/>
      <c r="I434" s="178">
        <v>1.45</v>
      </c>
      <c r="J434" s="804" t="s">
        <v>154</v>
      </c>
      <c r="K434" s="340" t="s">
        <v>75</v>
      </c>
      <c r="L434" s="843" t="s">
        <v>540</v>
      </c>
      <c r="M434" s="848" t="s">
        <v>584</v>
      </c>
      <c r="N434" s="843" t="s">
        <v>584</v>
      </c>
      <c r="O434" s="843" t="s">
        <v>584</v>
      </c>
      <c r="P434" s="843" t="s">
        <v>542</v>
      </c>
      <c r="Q434" s="975" t="s">
        <v>542</v>
      </c>
      <c r="R434" s="131" t="s">
        <v>556</v>
      </c>
      <c r="S434" s="596" t="s">
        <v>549</v>
      </c>
      <c r="T434" s="825">
        <v>980</v>
      </c>
      <c r="U434" s="825">
        <v>950</v>
      </c>
      <c r="V434" s="825">
        <v>1010</v>
      </c>
      <c r="W434" s="897">
        <v>920</v>
      </c>
      <c r="X434" s="793" t="s">
        <v>81</v>
      </c>
      <c r="Y434" s="759">
        <v>1100</v>
      </c>
      <c r="Z434" s="759">
        <v>980</v>
      </c>
      <c r="AA434" s="973">
        <v>1240</v>
      </c>
      <c r="AB434" s="759">
        <v>1150</v>
      </c>
      <c r="AC434" s="887">
        <v>1020</v>
      </c>
      <c r="AD434" s="754">
        <v>990</v>
      </c>
      <c r="AE434" s="190" t="s">
        <v>229</v>
      </c>
      <c r="AF434" s="409">
        <v>13640</v>
      </c>
      <c r="AG434" s="79">
        <v>7.2580645161290328E-2</v>
      </c>
      <c r="AH434" s="86" t="s">
        <v>97</v>
      </c>
      <c r="AI434" s="181">
        <v>60</v>
      </c>
      <c r="AJ434" s="181">
        <v>90</v>
      </c>
      <c r="AK434" s="181">
        <v>1020</v>
      </c>
      <c r="AL434" s="754"/>
      <c r="AM434" s="182">
        <v>2</v>
      </c>
    </row>
    <row r="435" spans="1:39" ht="15" thickBot="1" x14ac:dyDescent="0.35">
      <c r="A435" s="202">
        <v>825</v>
      </c>
      <c r="B435" s="202">
        <v>678</v>
      </c>
      <c r="C435" s="389" t="s">
        <v>1085</v>
      </c>
      <c r="D435" s="403" t="s">
        <v>839</v>
      </c>
      <c r="E435" s="329" t="s">
        <v>890</v>
      </c>
      <c r="F435" s="807">
        <v>1223</v>
      </c>
      <c r="G435" s="807" t="s">
        <v>539</v>
      </c>
      <c r="H435" s="391"/>
      <c r="I435" s="331">
        <v>1.25</v>
      </c>
      <c r="J435" s="807" t="s">
        <v>154</v>
      </c>
      <c r="K435" s="332" t="s">
        <v>75</v>
      </c>
      <c r="L435" s="891" t="s">
        <v>540</v>
      </c>
      <c r="M435" s="891" t="s">
        <v>584</v>
      </c>
      <c r="N435" s="891" t="s">
        <v>584</v>
      </c>
      <c r="O435" s="891" t="s">
        <v>584</v>
      </c>
      <c r="P435" s="891" t="s">
        <v>542</v>
      </c>
      <c r="Q435" s="951" t="s">
        <v>542</v>
      </c>
      <c r="R435" s="391" t="s">
        <v>556</v>
      </c>
      <c r="S435" s="285" t="s">
        <v>549</v>
      </c>
      <c r="T435" s="827">
        <v>1580</v>
      </c>
      <c r="U435" s="827">
        <v>1520</v>
      </c>
      <c r="V435" s="827">
        <v>1470</v>
      </c>
      <c r="W435" s="893">
        <v>1420</v>
      </c>
      <c r="X435" s="921" t="s">
        <v>81</v>
      </c>
      <c r="Y435" s="947">
        <v>1940</v>
      </c>
      <c r="Z435" s="947">
        <v>1570</v>
      </c>
      <c r="AA435" s="860">
        <v>1800</v>
      </c>
      <c r="AB435" s="947">
        <v>1740</v>
      </c>
      <c r="AC435" s="893">
        <v>1490</v>
      </c>
      <c r="AD435" s="758">
        <v>1560</v>
      </c>
      <c r="AE435" s="391" t="s">
        <v>229</v>
      </c>
      <c r="AF435" s="370">
        <v>13640</v>
      </c>
      <c r="AG435" s="333">
        <v>0.11436950146627566</v>
      </c>
      <c r="AH435" s="307" t="s">
        <v>97</v>
      </c>
      <c r="AI435" s="334">
        <v>90</v>
      </c>
      <c r="AJ435" s="334">
        <v>140</v>
      </c>
      <c r="AK435" s="334">
        <v>1020</v>
      </c>
      <c r="AL435" s="758"/>
      <c r="AM435" s="337">
        <v>2</v>
      </c>
    </row>
    <row r="436" spans="1:39" ht="15" thickBot="1" x14ac:dyDescent="0.35">
      <c r="A436" s="202">
        <v>827</v>
      </c>
      <c r="B436" s="202">
        <v>1214</v>
      </c>
      <c r="C436" s="597" t="s">
        <v>1087</v>
      </c>
      <c r="D436" s="209" t="s">
        <v>1088</v>
      </c>
      <c r="E436" s="248" t="s">
        <v>1089</v>
      </c>
      <c r="F436" s="805">
        <v>1230</v>
      </c>
      <c r="G436" s="805" t="s">
        <v>539</v>
      </c>
      <c r="H436" s="249"/>
      <c r="I436" s="207">
        <v>2</v>
      </c>
      <c r="J436" s="805" t="s">
        <v>158</v>
      </c>
      <c r="K436" s="387" t="s">
        <v>75</v>
      </c>
      <c r="L436" s="851" t="s">
        <v>619</v>
      </c>
      <c r="M436" s="917" t="s">
        <v>620</v>
      </c>
      <c r="N436" s="851" t="s">
        <v>620</v>
      </c>
      <c r="O436" s="851" t="s">
        <v>620</v>
      </c>
      <c r="P436" s="851" t="s">
        <v>637</v>
      </c>
      <c r="Q436" s="410" t="s">
        <v>637</v>
      </c>
      <c r="R436" s="249" t="s">
        <v>543</v>
      </c>
      <c r="S436" s="206" t="s">
        <v>858</v>
      </c>
      <c r="T436" s="846">
        <v>2380</v>
      </c>
      <c r="U436" s="846">
        <v>2440</v>
      </c>
      <c r="V436" s="846">
        <v>2630</v>
      </c>
      <c r="W436" s="857">
        <v>2450</v>
      </c>
      <c r="X436" s="948">
        <v>3280</v>
      </c>
      <c r="Y436" s="932">
        <v>2880</v>
      </c>
      <c r="Z436" s="858">
        <v>3220</v>
      </c>
      <c r="AA436" s="858">
        <v>4240</v>
      </c>
      <c r="AB436" s="858">
        <v>3690</v>
      </c>
      <c r="AC436" s="868">
        <v>2740</v>
      </c>
      <c r="AD436" s="755">
        <v>2600</v>
      </c>
      <c r="AE436" s="278" t="s">
        <v>229</v>
      </c>
      <c r="AF436" s="279">
        <v>37970</v>
      </c>
      <c r="AG436" s="280">
        <v>6.8475111930471427E-2</v>
      </c>
      <c r="AH436" s="210" t="s">
        <v>97</v>
      </c>
      <c r="AI436" s="281">
        <v>150</v>
      </c>
      <c r="AJ436" s="281">
        <v>240</v>
      </c>
      <c r="AK436" s="598">
        <v>3410</v>
      </c>
      <c r="AL436" s="881">
        <f>IF(AD436&gt;0,AD436*$I436,"-")</f>
        <v>5200</v>
      </c>
      <c r="AM436" s="211">
        <v>4</v>
      </c>
    </row>
    <row r="437" spans="1:39" x14ac:dyDescent="0.3">
      <c r="A437" s="299">
        <v>839</v>
      </c>
      <c r="B437" s="299">
        <v>688</v>
      </c>
      <c r="C437" s="104" t="s">
        <v>1090</v>
      </c>
      <c r="D437" s="319" t="s">
        <v>664</v>
      </c>
      <c r="E437" s="319" t="s">
        <v>1091</v>
      </c>
      <c r="F437" s="802">
        <v>1241</v>
      </c>
      <c r="G437" s="802" t="s">
        <v>539</v>
      </c>
      <c r="H437" s="106"/>
      <c r="I437" s="107">
        <v>0.5</v>
      </c>
      <c r="J437" s="802" t="s">
        <v>237</v>
      </c>
      <c r="K437" s="284" t="s">
        <v>75</v>
      </c>
      <c r="L437" s="830" t="s">
        <v>540</v>
      </c>
      <c r="M437" s="830" t="s">
        <v>541</v>
      </c>
      <c r="N437" s="830" t="s">
        <v>541</v>
      </c>
      <c r="O437" s="830" t="s">
        <v>541</v>
      </c>
      <c r="P437" s="830" t="s">
        <v>542</v>
      </c>
      <c r="Q437" s="975" t="s">
        <v>542</v>
      </c>
      <c r="R437" s="200" t="s">
        <v>556</v>
      </c>
      <c r="S437" s="484" t="s">
        <v>549</v>
      </c>
      <c r="T437" s="833">
        <v>1930</v>
      </c>
      <c r="U437" s="833">
        <v>1950</v>
      </c>
      <c r="V437" s="833">
        <v>2090</v>
      </c>
      <c r="W437" s="831">
        <v>2150</v>
      </c>
      <c r="X437" s="924" t="s">
        <v>81</v>
      </c>
      <c r="Y437" s="844">
        <v>2010</v>
      </c>
      <c r="Z437" s="844">
        <v>2450</v>
      </c>
      <c r="AA437" s="844">
        <v>2680</v>
      </c>
      <c r="AB437" s="844">
        <v>3080</v>
      </c>
      <c r="AC437" s="878">
        <v>2110</v>
      </c>
      <c r="AD437" s="751">
        <v>2150</v>
      </c>
      <c r="AE437" s="200" t="s">
        <v>229</v>
      </c>
      <c r="AF437" s="477">
        <v>13640</v>
      </c>
      <c r="AG437" s="82">
        <v>0.15762463343108504</v>
      </c>
      <c r="AH437" s="287" t="s">
        <v>97</v>
      </c>
      <c r="AI437" s="288">
        <v>140</v>
      </c>
      <c r="AJ437" s="288">
        <v>220</v>
      </c>
      <c r="AK437" s="288">
        <v>1020</v>
      </c>
      <c r="AL437" s="874"/>
      <c r="AM437" s="201">
        <v>2</v>
      </c>
    </row>
    <row r="438" spans="1:39" x14ac:dyDescent="0.3">
      <c r="A438" s="33">
        <v>840</v>
      </c>
      <c r="B438" s="33">
        <v>689</v>
      </c>
      <c r="C438" s="50" t="s">
        <v>1090</v>
      </c>
      <c r="D438" s="51" t="s">
        <v>666</v>
      </c>
      <c r="E438" s="70" t="s">
        <v>1092</v>
      </c>
      <c r="F438" s="800">
        <v>1242</v>
      </c>
      <c r="G438" s="800" t="s">
        <v>539</v>
      </c>
      <c r="H438" s="52"/>
      <c r="I438" s="72">
        <v>0.5</v>
      </c>
      <c r="J438" s="800" t="s">
        <v>799</v>
      </c>
      <c r="K438" s="302" t="s">
        <v>75</v>
      </c>
      <c r="L438" s="835" t="s">
        <v>540</v>
      </c>
      <c r="M438" s="835" t="s">
        <v>541</v>
      </c>
      <c r="N438" s="835" t="s">
        <v>541</v>
      </c>
      <c r="O438" s="835" t="s">
        <v>541</v>
      </c>
      <c r="P438" s="835" t="s">
        <v>542</v>
      </c>
      <c r="Q438" s="975" t="s">
        <v>542</v>
      </c>
      <c r="R438" s="52" t="s">
        <v>543</v>
      </c>
      <c r="S438" s="220" t="s">
        <v>858</v>
      </c>
      <c r="T438" s="825">
        <v>1360</v>
      </c>
      <c r="U438" s="825">
        <v>1390</v>
      </c>
      <c r="V438" s="825">
        <v>1410</v>
      </c>
      <c r="W438" s="822">
        <v>1380</v>
      </c>
      <c r="X438" s="913" t="s">
        <v>81</v>
      </c>
      <c r="Y438" s="760">
        <v>1750</v>
      </c>
      <c r="Z438" s="760">
        <v>1700</v>
      </c>
      <c r="AA438" s="760">
        <v>1730</v>
      </c>
      <c r="AB438" s="760">
        <v>1670</v>
      </c>
      <c r="AC438" s="884">
        <v>1280</v>
      </c>
      <c r="AD438" s="748">
        <v>1500</v>
      </c>
      <c r="AE438" s="80" t="s">
        <v>229</v>
      </c>
      <c r="AF438" s="194">
        <v>13640</v>
      </c>
      <c r="AG438" s="303">
        <v>0.10997067448680352</v>
      </c>
      <c r="AH438" s="80" t="s">
        <v>97</v>
      </c>
      <c r="AI438" s="115">
        <v>90</v>
      </c>
      <c r="AJ438" s="115">
        <v>140</v>
      </c>
      <c r="AK438" s="115">
        <v>1020</v>
      </c>
      <c r="AL438" s="832">
        <f t="shared" ref="AL438:AL457" si="18">IF(AD438&gt;0,AD438*$I438,"-")</f>
        <v>750</v>
      </c>
      <c r="AM438" s="63">
        <v>2</v>
      </c>
    </row>
    <row r="439" spans="1:39" ht="15" thickBot="1" x14ac:dyDescent="0.35">
      <c r="A439" s="305">
        <v>841</v>
      </c>
      <c r="B439" s="305">
        <v>690</v>
      </c>
      <c r="C439" s="479" t="s">
        <v>1090</v>
      </c>
      <c r="D439" s="185" t="s">
        <v>1093</v>
      </c>
      <c r="E439" s="185" t="s">
        <v>1094</v>
      </c>
      <c r="F439" s="801">
        <v>1243</v>
      </c>
      <c r="G439" s="801" t="s">
        <v>539</v>
      </c>
      <c r="H439" s="97"/>
      <c r="I439" s="93">
        <v>0.5</v>
      </c>
      <c r="J439" s="801" t="s">
        <v>237</v>
      </c>
      <c r="K439" s="271" t="s">
        <v>75</v>
      </c>
      <c r="L439" s="841" t="s">
        <v>540</v>
      </c>
      <c r="M439" s="841" t="s">
        <v>541</v>
      </c>
      <c r="N439" s="841" t="s">
        <v>541</v>
      </c>
      <c r="O439" s="841" t="s">
        <v>541</v>
      </c>
      <c r="P439" s="841" t="s">
        <v>542</v>
      </c>
      <c r="Q439" s="975" t="s">
        <v>542</v>
      </c>
      <c r="R439" s="97" t="s">
        <v>543</v>
      </c>
      <c r="S439" s="94" t="s">
        <v>858</v>
      </c>
      <c r="T439" s="827">
        <v>1170</v>
      </c>
      <c r="U439" s="827">
        <v>1180</v>
      </c>
      <c r="V439" s="827">
        <v>1230</v>
      </c>
      <c r="W439" s="828">
        <v>1240</v>
      </c>
      <c r="X439" s="899" t="s">
        <v>81</v>
      </c>
      <c r="Y439" s="842">
        <v>1420</v>
      </c>
      <c r="Z439" s="842">
        <v>1650</v>
      </c>
      <c r="AA439" s="842">
        <v>1470</v>
      </c>
      <c r="AB439" s="842">
        <v>1590</v>
      </c>
      <c r="AC439" s="861">
        <v>1290</v>
      </c>
      <c r="AD439" s="750">
        <v>1470</v>
      </c>
      <c r="AE439" s="92" t="s">
        <v>229</v>
      </c>
      <c r="AF439" s="241">
        <v>13640</v>
      </c>
      <c r="AG439" s="147">
        <v>0.10777126099706745</v>
      </c>
      <c r="AH439" s="100" t="s">
        <v>97</v>
      </c>
      <c r="AI439" s="126">
        <v>90</v>
      </c>
      <c r="AJ439" s="126">
        <v>150</v>
      </c>
      <c r="AK439" s="126">
        <v>1020</v>
      </c>
      <c r="AL439" s="881">
        <f t="shared" si="18"/>
        <v>735</v>
      </c>
      <c r="AM439" s="127">
        <v>2</v>
      </c>
    </row>
    <row r="440" spans="1:39" x14ac:dyDescent="0.3">
      <c r="A440" s="103">
        <v>830</v>
      </c>
      <c r="B440" s="103">
        <v>680</v>
      </c>
      <c r="C440" s="196" t="s">
        <v>1095</v>
      </c>
      <c r="D440" s="188" t="s">
        <v>681</v>
      </c>
      <c r="E440" s="177" t="s">
        <v>889</v>
      </c>
      <c r="F440" s="804">
        <v>1245</v>
      </c>
      <c r="G440" s="804" t="s">
        <v>539</v>
      </c>
      <c r="H440" s="131"/>
      <c r="I440" s="178">
        <v>1.35</v>
      </c>
      <c r="J440" s="804" t="s">
        <v>154</v>
      </c>
      <c r="K440" s="131" t="s">
        <v>75</v>
      </c>
      <c r="L440" s="843" t="s">
        <v>540</v>
      </c>
      <c r="M440" s="848" t="s">
        <v>584</v>
      </c>
      <c r="N440" s="843" t="s">
        <v>584</v>
      </c>
      <c r="O440" s="843" t="s">
        <v>584</v>
      </c>
      <c r="P440" s="843" t="s">
        <v>542</v>
      </c>
      <c r="Q440" s="975" t="s">
        <v>542</v>
      </c>
      <c r="R440" s="131" t="s">
        <v>556</v>
      </c>
      <c r="S440" s="179" t="s">
        <v>858</v>
      </c>
      <c r="T440" s="825">
        <v>2650</v>
      </c>
      <c r="U440" s="825">
        <v>2850</v>
      </c>
      <c r="V440" s="825">
        <v>2800</v>
      </c>
      <c r="W440" s="836">
        <v>3440</v>
      </c>
      <c r="X440" s="1010">
        <v>3340</v>
      </c>
      <c r="Y440" s="759">
        <v>3610</v>
      </c>
      <c r="Z440" s="759">
        <v>3500</v>
      </c>
      <c r="AA440" s="929">
        <v>4100</v>
      </c>
      <c r="AB440" s="886">
        <v>3500</v>
      </c>
      <c r="AC440" s="887">
        <v>3900</v>
      </c>
      <c r="AD440" s="754">
        <v>4580</v>
      </c>
      <c r="AE440" s="190" t="s">
        <v>229</v>
      </c>
      <c r="AF440" s="409">
        <v>13640</v>
      </c>
      <c r="AG440" s="79">
        <v>0.33577712609970672</v>
      </c>
      <c r="AH440" s="86" t="s">
        <v>97</v>
      </c>
      <c r="AI440" s="181">
        <v>460</v>
      </c>
      <c r="AJ440" s="181">
        <v>380</v>
      </c>
      <c r="AK440" s="181">
        <v>1020</v>
      </c>
      <c r="AL440" s="832">
        <f t="shared" si="18"/>
        <v>6183</v>
      </c>
      <c r="AM440" s="182">
        <v>2</v>
      </c>
    </row>
    <row r="441" spans="1:39" x14ac:dyDescent="0.3">
      <c r="A441" s="33">
        <v>832</v>
      </c>
      <c r="B441" s="33">
        <v>682</v>
      </c>
      <c r="C441" s="50" t="s">
        <v>1095</v>
      </c>
      <c r="D441" s="301" t="s">
        <v>664</v>
      </c>
      <c r="E441" s="64" t="s">
        <v>665</v>
      </c>
      <c r="F441" s="799">
        <v>1247</v>
      </c>
      <c r="G441" s="799" t="s">
        <v>539</v>
      </c>
      <c r="H441" s="36"/>
      <c r="I441" s="37">
        <v>1.25</v>
      </c>
      <c r="J441" s="799" t="s">
        <v>237</v>
      </c>
      <c r="K441" s="324" t="s">
        <v>75</v>
      </c>
      <c r="L441" s="837" t="s">
        <v>540</v>
      </c>
      <c r="M441" s="837" t="s">
        <v>584</v>
      </c>
      <c r="N441" s="837" t="s">
        <v>584</v>
      </c>
      <c r="O441" s="837" t="s">
        <v>584</v>
      </c>
      <c r="P441" s="837" t="s">
        <v>542</v>
      </c>
      <c r="Q441" s="975" t="s">
        <v>542</v>
      </c>
      <c r="R441" s="65" t="s">
        <v>543</v>
      </c>
      <c r="S441" s="38" t="s">
        <v>858</v>
      </c>
      <c r="T441" s="833">
        <v>1100</v>
      </c>
      <c r="U441" s="833">
        <v>900</v>
      </c>
      <c r="V441" s="833">
        <v>970</v>
      </c>
      <c r="W441" s="820">
        <v>1220</v>
      </c>
      <c r="X441" s="934" t="s">
        <v>81</v>
      </c>
      <c r="Y441" s="838">
        <v>1610</v>
      </c>
      <c r="Z441" s="838">
        <v>1290</v>
      </c>
      <c r="AA441" s="930">
        <v>1430</v>
      </c>
      <c r="AB441" s="838">
        <v>1580</v>
      </c>
      <c r="AC441" s="888">
        <v>990</v>
      </c>
      <c r="AD441" s="749">
        <v>1030</v>
      </c>
      <c r="AE441" s="36" t="s">
        <v>229</v>
      </c>
      <c r="AF441" s="213">
        <v>13640</v>
      </c>
      <c r="AG441" s="315">
        <v>7.5513196480938419E-2</v>
      </c>
      <c r="AH441" s="83" t="s">
        <v>97</v>
      </c>
      <c r="AI441" s="120">
        <v>70</v>
      </c>
      <c r="AJ441" s="120">
        <v>90</v>
      </c>
      <c r="AK441" s="120">
        <v>1020</v>
      </c>
      <c r="AL441" s="832">
        <f t="shared" si="18"/>
        <v>1287.5</v>
      </c>
      <c r="AM441" s="121">
        <v>2</v>
      </c>
    </row>
    <row r="442" spans="1:39" x14ac:dyDescent="0.3">
      <c r="A442" s="33">
        <v>834</v>
      </c>
      <c r="B442" s="33">
        <v>684</v>
      </c>
      <c r="C442" s="383" t="s">
        <v>1095</v>
      </c>
      <c r="D442" s="301" t="s">
        <v>1096</v>
      </c>
      <c r="E442" s="51" t="s">
        <v>1097</v>
      </c>
      <c r="F442" s="800">
        <v>1249</v>
      </c>
      <c r="G442" s="800" t="s">
        <v>539</v>
      </c>
      <c r="H442" s="71" t="s">
        <v>73</v>
      </c>
      <c r="I442" s="72">
        <v>0.75</v>
      </c>
      <c r="J442" s="800" t="s">
        <v>237</v>
      </c>
      <c r="K442" s="321" t="s">
        <v>75</v>
      </c>
      <c r="L442" s="835" t="s">
        <v>540</v>
      </c>
      <c r="M442" s="839" t="s">
        <v>584</v>
      </c>
      <c r="N442" s="835" t="s">
        <v>584</v>
      </c>
      <c r="O442" s="835" t="s">
        <v>584</v>
      </c>
      <c r="P442" s="835" t="s">
        <v>542</v>
      </c>
      <c r="Q442" s="975" t="s">
        <v>542</v>
      </c>
      <c r="R442" s="52" t="s">
        <v>543</v>
      </c>
      <c r="S442" s="56" t="s">
        <v>872</v>
      </c>
      <c r="T442" s="825">
        <v>2300</v>
      </c>
      <c r="U442" s="825">
        <v>2110</v>
      </c>
      <c r="V442" s="825">
        <v>2060</v>
      </c>
      <c r="W442" s="822">
        <v>2080</v>
      </c>
      <c r="X442" s="913" t="s">
        <v>81</v>
      </c>
      <c r="Y442" s="760">
        <v>2350</v>
      </c>
      <c r="Z442" s="760">
        <v>2280</v>
      </c>
      <c r="AA442" s="931">
        <v>2110</v>
      </c>
      <c r="AB442" s="760">
        <v>2080</v>
      </c>
      <c r="AC442" s="884">
        <v>2180</v>
      </c>
      <c r="AD442" s="748">
        <v>2370</v>
      </c>
      <c r="AE442" s="140" t="s">
        <v>229</v>
      </c>
      <c r="AF442" s="194">
        <v>13640</v>
      </c>
      <c r="AG442" s="303">
        <v>0.17375366568914957</v>
      </c>
      <c r="AH442" s="80" t="s">
        <v>97</v>
      </c>
      <c r="AI442" s="115">
        <v>230</v>
      </c>
      <c r="AJ442" s="115">
        <v>210</v>
      </c>
      <c r="AK442" s="115">
        <v>1020</v>
      </c>
      <c r="AL442" s="832">
        <f t="shared" si="18"/>
        <v>1777.5</v>
      </c>
      <c r="AM442" s="122">
        <v>2</v>
      </c>
    </row>
    <row r="443" spans="1:39" x14ac:dyDescent="0.3">
      <c r="A443" s="33">
        <v>835</v>
      </c>
      <c r="B443" s="33">
        <v>685</v>
      </c>
      <c r="C443" s="383" t="s">
        <v>1095</v>
      </c>
      <c r="D443" s="301" t="s">
        <v>671</v>
      </c>
      <c r="E443" s="64" t="s">
        <v>431</v>
      </c>
      <c r="F443" s="799">
        <v>1250</v>
      </c>
      <c r="G443" s="799" t="s">
        <v>539</v>
      </c>
      <c r="H443" s="36" t="s">
        <v>73</v>
      </c>
      <c r="I443" s="37">
        <v>0.5</v>
      </c>
      <c r="J443" s="799" t="s">
        <v>237</v>
      </c>
      <c r="K443" s="324" t="s">
        <v>75</v>
      </c>
      <c r="L443" s="837" t="s">
        <v>540</v>
      </c>
      <c r="M443" s="837" t="s">
        <v>584</v>
      </c>
      <c r="N443" s="837" t="s">
        <v>584</v>
      </c>
      <c r="O443" s="837" t="s">
        <v>584</v>
      </c>
      <c r="P443" s="837" t="s">
        <v>542</v>
      </c>
      <c r="Q443" s="975" t="s">
        <v>542</v>
      </c>
      <c r="R443" s="65" t="s">
        <v>543</v>
      </c>
      <c r="S443" s="39" t="s">
        <v>872</v>
      </c>
      <c r="T443" s="833">
        <v>2770</v>
      </c>
      <c r="U443" s="833">
        <v>2650</v>
      </c>
      <c r="V443" s="833">
        <v>2520</v>
      </c>
      <c r="W443" s="820">
        <v>2680</v>
      </c>
      <c r="X443" s="934" t="s">
        <v>81</v>
      </c>
      <c r="Y443" s="838">
        <v>2310</v>
      </c>
      <c r="Z443" s="838">
        <v>2630</v>
      </c>
      <c r="AA443" s="930">
        <v>3230</v>
      </c>
      <c r="AB443" s="838">
        <v>2610</v>
      </c>
      <c r="AC443" s="888">
        <v>2200</v>
      </c>
      <c r="AD443" s="749">
        <v>2260</v>
      </c>
      <c r="AE443" s="36" t="s">
        <v>229</v>
      </c>
      <c r="AF443" s="213">
        <v>13640</v>
      </c>
      <c r="AG443" s="315">
        <v>0.16568914956011729</v>
      </c>
      <c r="AH443" s="83" t="s">
        <v>97</v>
      </c>
      <c r="AI443" s="120">
        <v>190</v>
      </c>
      <c r="AJ443" s="120">
        <v>230</v>
      </c>
      <c r="AK443" s="120">
        <v>1020</v>
      </c>
      <c r="AL443" s="832">
        <f t="shared" si="18"/>
        <v>1130</v>
      </c>
      <c r="AM443" s="121">
        <v>2</v>
      </c>
    </row>
    <row r="444" spans="1:39" ht="15" thickBot="1" x14ac:dyDescent="0.35">
      <c r="A444" s="88">
        <v>836</v>
      </c>
      <c r="B444" s="88">
        <v>686</v>
      </c>
      <c r="C444" s="384" t="s">
        <v>1095</v>
      </c>
      <c r="D444" s="296" t="s">
        <v>1098</v>
      </c>
      <c r="E444" s="162" t="s">
        <v>433</v>
      </c>
      <c r="F444" s="803">
        <v>1251</v>
      </c>
      <c r="G444" s="803" t="s">
        <v>539</v>
      </c>
      <c r="H444" s="163" t="s">
        <v>73</v>
      </c>
      <c r="I444" s="164">
        <v>0.85</v>
      </c>
      <c r="J444" s="803" t="s">
        <v>158</v>
      </c>
      <c r="K444" s="291" t="s">
        <v>75</v>
      </c>
      <c r="L444" s="845" t="s">
        <v>540</v>
      </c>
      <c r="M444" s="850" t="s">
        <v>584</v>
      </c>
      <c r="N444" s="845" t="s">
        <v>584</v>
      </c>
      <c r="O444" s="845" t="s">
        <v>584</v>
      </c>
      <c r="P444" s="845" t="s">
        <v>626</v>
      </c>
      <c r="Q444" s="909" t="s">
        <v>626</v>
      </c>
      <c r="R444" s="215" t="s">
        <v>543</v>
      </c>
      <c r="S444" s="526" t="s">
        <v>872</v>
      </c>
      <c r="T444" s="846">
        <v>4530</v>
      </c>
      <c r="U444" s="846">
        <v>4170</v>
      </c>
      <c r="V444" s="846">
        <v>4000</v>
      </c>
      <c r="W444" s="847">
        <v>3390</v>
      </c>
      <c r="X444" s="948">
        <v>4420</v>
      </c>
      <c r="Y444" s="761">
        <v>4940</v>
      </c>
      <c r="Z444" s="761">
        <v>4890</v>
      </c>
      <c r="AA444" s="927">
        <v>5650</v>
      </c>
      <c r="AB444" s="761">
        <v>4440</v>
      </c>
      <c r="AC444" s="880">
        <v>4310</v>
      </c>
      <c r="AD444" s="752">
        <v>4280</v>
      </c>
      <c r="AE444" s="233" t="s">
        <v>229</v>
      </c>
      <c r="AF444" s="326">
        <v>13640</v>
      </c>
      <c r="AG444" s="172">
        <v>0.31378299120234604</v>
      </c>
      <c r="AH444" s="170" t="s">
        <v>97</v>
      </c>
      <c r="AI444" s="169">
        <v>390</v>
      </c>
      <c r="AJ444" s="169">
        <v>410</v>
      </c>
      <c r="AK444" s="298">
        <v>1230</v>
      </c>
      <c r="AL444" s="881">
        <f t="shared" si="18"/>
        <v>3638</v>
      </c>
      <c r="AM444" s="174">
        <v>2</v>
      </c>
    </row>
    <row r="445" spans="1:39" x14ac:dyDescent="0.3">
      <c r="A445" s="299">
        <v>843</v>
      </c>
      <c r="B445" s="299">
        <v>691</v>
      </c>
      <c r="C445" s="104" t="s">
        <v>1099</v>
      </c>
      <c r="D445" s="319" t="s">
        <v>776</v>
      </c>
      <c r="E445" s="319" t="s">
        <v>1100</v>
      </c>
      <c r="F445" s="802">
        <v>1270</v>
      </c>
      <c r="G445" s="802" t="s">
        <v>539</v>
      </c>
      <c r="H445" s="106"/>
      <c r="I445" s="107">
        <v>0.15</v>
      </c>
      <c r="J445" s="802" t="s">
        <v>237</v>
      </c>
      <c r="K445" s="284" t="s">
        <v>75</v>
      </c>
      <c r="L445" s="830" t="s">
        <v>540</v>
      </c>
      <c r="M445" s="830" t="s">
        <v>541</v>
      </c>
      <c r="N445" s="830" t="s">
        <v>541</v>
      </c>
      <c r="O445" s="830" t="s">
        <v>541</v>
      </c>
      <c r="P445" s="830" t="s">
        <v>542</v>
      </c>
      <c r="Q445" s="975" t="s">
        <v>542</v>
      </c>
      <c r="R445" s="106" t="s">
        <v>543</v>
      </c>
      <c r="S445" s="199" t="s">
        <v>858</v>
      </c>
      <c r="T445" s="833">
        <v>2280</v>
      </c>
      <c r="U445" s="833">
        <v>2260</v>
      </c>
      <c r="V445" s="833">
        <v>2470</v>
      </c>
      <c r="W445" s="831">
        <v>2720</v>
      </c>
      <c r="X445" s="924" t="s">
        <v>81</v>
      </c>
      <c r="Y445" s="844">
        <v>3040</v>
      </c>
      <c r="Z445" s="844">
        <v>2490</v>
      </c>
      <c r="AA445" s="925">
        <v>3220</v>
      </c>
      <c r="AB445" s="873">
        <v>2970</v>
      </c>
      <c r="AC445" s="878">
        <v>1990</v>
      </c>
      <c r="AD445" s="751">
        <v>2420</v>
      </c>
      <c r="AE445" s="200" t="s">
        <v>229</v>
      </c>
      <c r="AF445" s="477">
        <v>13640</v>
      </c>
      <c r="AG445" s="82">
        <v>0.17741935483870969</v>
      </c>
      <c r="AH445" s="287" t="s">
        <v>97</v>
      </c>
      <c r="AI445" s="288">
        <v>290</v>
      </c>
      <c r="AJ445" s="288">
        <v>270</v>
      </c>
      <c r="AK445" s="288">
        <v>1020</v>
      </c>
      <c r="AL445" s="832">
        <f t="shared" si="18"/>
        <v>363</v>
      </c>
      <c r="AM445" s="201">
        <v>2</v>
      </c>
    </row>
    <row r="446" spans="1:39" x14ac:dyDescent="0.3">
      <c r="A446" s="33">
        <v>844</v>
      </c>
      <c r="B446" s="33">
        <v>692</v>
      </c>
      <c r="C446" s="50" t="s">
        <v>1099</v>
      </c>
      <c r="D446" s="70" t="s">
        <v>1101</v>
      </c>
      <c r="E446" s="70" t="s">
        <v>1102</v>
      </c>
      <c r="F446" s="800">
        <v>1271</v>
      </c>
      <c r="G446" s="800" t="s">
        <v>539</v>
      </c>
      <c r="H446" s="52"/>
      <c r="I446" s="72">
        <v>0.5</v>
      </c>
      <c r="J446" s="800" t="s">
        <v>237</v>
      </c>
      <c r="K446" s="302" t="s">
        <v>75</v>
      </c>
      <c r="L446" s="835" t="s">
        <v>540</v>
      </c>
      <c r="M446" s="835" t="s">
        <v>541</v>
      </c>
      <c r="N446" s="835" t="s">
        <v>541</v>
      </c>
      <c r="O446" s="835" t="s">
        <v>541</v>
      </c>
      <c r="P446" s="835" t="s">
        <v>542</v>
      </c>
      <c r="Q446" s="975" t="s">
        <v>542</v>
      </c>
      <c r="R446" s="52" t="s">
        <v>543</v>
      </c>
      <c r="S446" s="55" t="s">
        <v>858</v>
      </c>
      <c r="T446" s="825">
        <v>2630</v>
      </c>
      <c r="U446" s="825">
        <v>2780</v>
      </c>
      <c r="V446" s="825">
        <v>2760</v>
      </c>
      <c r="W446" s="822">
        <v>3070</v>
      </c>
      <c r="X446" s="913" t="s">
        <v>81</v>
      </c>
      <c r="Y446" s="760">
        <v>3260</v>
      </c>
      <c r="Z446" s="760">
        <v>3560</v>
      </c>
      <c r="AA446" s="931">
        <v>3770</v>
      </c>
      <c r="AB446" s="760">
        <v>4040</v>
      </c>
      <c r="AC446" s="884">
        <v>3350</v>
      </c>
      <c r="AD446" s="748">
        <v>4040</v>
      </c>
      <c r="AE446" s="80" t="s">
        <v>229</v>
      </c>
      <c r="AF446" s="194">
        <v>13640</v>
      </c>
      <c r="AG446" s="303">
        <v>0.29618768328445749</v>
      </c>
      <c r="AH446" s="80" t="s">
        <v>97</v>
      </c>
      <c r="AI446" s="115">
        <v>330</v>
      </c>
      <c r="AJ446" s="115">
        <v>400</v>
      </c>
      <c r="AK446" s="115">
        <v>1020</v>
      </c>
      <c r="AL446" s="832">
        <f t="shared" si="18"/>
        <v>2020</v>
      </c>
      <c r="AM446" s="63">
        <v>2</v>
      </c>
    </row>
    <row r="447" spans="1:39" ht="15" thickBot="1" x14ac:dyDescent="0.35">
      <c r="A447" s="305">
        <v>845</v>
      </c>
      <c r="B447" s="305">
        <v>693</v>
      </c>
      <c r="C447" s="479" t="s">
        <v>1099</v>
      </c>
      <c r="D447" s="185" t="s">
        <v>1101</v>
      </c>
      <c r="E447" s="185" t="s">
        <v>1103</v>
      </c>
      <c r="F447" s="801">
        <v>1272</v>
      </c>
      <c r="G447" s="801" t="s">
        <v>539</v>
      </c>
      <c r="H447" s="97"/>
      <c r="I447" s="93">
        <v>0.25</v>
      </c>
      <c r="J447" s="801" t="s">
        <v>237</v>
      </c>
      <c r="K447" s="271" t="s">
        <v>75</v>
      </c>
      <c r="L447" s="841" t="s">
        <v>540</v>
      </c>
      <c r="M447" s="841" t="s">
        <v>541</v>
      </c>
      <c r="N447" s="841" t="s">
        <v>541</v>
      </c>
      <c r="O447" s="841" t="s">
        <v>541</v>
      </c>
      <c r="P447" s="841" t="s">
        <v>542</v>
      </c>
      <c r="Q447" s="975" t="s">
        <v>542</v>
      </c>
      <c r="R447" s="97" t="s">
        <v>543</v>
      </c>
      <c r="S447" s="94" t="s">
        <v>858</v>
      </c>
      <c r="T447" s="827">
        <v>2790</v>
      </c>
      <c r="U447" s="827">
        <v>2850</v>
      </c>
      <c r="V447" s="827">
        <v>2830</v>
      </c>
      <c r="W447" s="828">
        <v>3180</v>
      </c>
      <c r="X447" s="899" t="s">
        <v>81</v>
      </c>
      <c r="Y447" s="842">
        <v>3250</v>
      </c>
      <c r="Z447" s="842">
        <v>3600</v>
      </c>
      <c r="AA447" s="935">
        <v>4040</v>
      </c>
      <c r="AB447" s="842">
        <v>4760</v>
      </c>
      <c r="AC447" s="861">
        <v>3360</v>
      </c>
      <c r="AD447" s="750">
        <v>3910</v>
      </c>
      <c r="AE447" s="92" t="s">
        <v>229</v>
      </c>
      <c r="AF447" s="241">
        <v>13640</v>
      </c>
      <c r="AG447" s="147">
        <v>0.2866568914956012</v>
      </c>
      <c r="AH447" s="100" t="s">
        <v>97</v>
      </c>
      <c r="AI447" s="126">
        <v>290</v>
      </c>
      <c r="AJ447" s="126">
        <v>370</v>
      </c>
      <c r="AK447" s="126">
        <v>1020</v>
      </c>
      <c r="AL447" s="829">
        <f t="shared" si="18"/>
        <v>977.5</v>
      </c>
      <c r="AM447" s="127">
        <v>2</v>
      </c>
    </row>
    <row r="448" spans="1:39" x14ac:dyDescent="0.3">
      <c r="A448" s="103">
        <v>854</v>
      </c>
      <c r="B448" s="103">
        <v>700</v>
      </c>
      <c r="C448" s="196" t="s">
        <v>1104</v>
      </c>
      <c r="D448" s="189" t="s">
        <v>1105</v>
      </c>
      <c r="E448" s="177" t="s">
        <v>1106</v>
      </c>
      <c r="F448" s="804">
        <v>1281</v>
      </c>
      <c r="G448" s="804" t="s">
        <v>539</v>
      </c>
      <c r="H448" s="77"/>
      <c r="I448" s="178">
        <v>0.5</v>
      </c>
      <c r="J448" s="804" t="s">
        <v>237</v>
      </c>
      <c r="K448" s="340" t="s">
        <v>75</v>
      </c>
      <c r="L448" s="843" t="s">
        <v>540</v>
      </c>
      <c r="M448" s="848" t="s">
        <v>541</v>
      </c>
      <c r="N448" s="843" t="s">
        <v>541</v>
      </c>
      <c r="O448" s="843" t="s">
        <v>541</v>
      </c>
      <c r="P448" s="843" t="s">
        <v>542</v>
      </c>
      <c r="Q448" s="975" t="s">
        <v>542</v>
      </c>
      <c r="R448" s="131" t="s">
        <v>556</v>
      </c>
      <c r="S448" s="179" t="s">
        <v>858</v>
      </c>
      <c r="T448" s="825">
        <v>4230</v>
      </c>
      <c r="U448" s="825">
        <v>3880</v>
      </c>
      <c r="V448" s="825">
        <v>3990</v>
      </c>
      <c r="W448" s="836">
        <v>4190</v>
      </c>
      <c r="X448" s="896" t="s">
        <v>81</v>
      </c>
      <c r="Y448" s="759">
        <v>5060</v>
      </c>
      <c r="Z448" s="759">
        <v>4700</v>
      </c>
      <c r="AA448" s="929">
        <v>4880</v>
      </c>
      <c r="AB448" s="886">
        <v>5180</v>
      </c>
      <c r="AC448" s="887">
        <v>4970</v>
      </c>
      <c r="AD448" s="754">
        <v>5310</v>
      </c>
      <c r="AE448" s="190" t="s">
        <v>229</v>
      </c>
      <c r="AF448" s="409">
        <v>13640</v>
      </c>
      <c r="AG448" s="79">
        <v>0.38929618768328444</v>
      </c>
      <c r="AH448" s="86" t="s">
        <v>97</v>
      </c>
      <c r="AI448" s="181">
        <v>380</v>
      </c>
      <c r="AJ448" s="181">
        <v>500</v>
      </c>
      <c r="AK448" s="181">
        <v>1020</v>
      </c>
      <c r="AL448" s="832">
        <f t="shared" si="18"/>
        <v>2655</v>
      </c>
      <c r="AM448" s="182">
        <v>2</v>
      </c>
    </row>
    <row r="449" spans="1:39" x14ac:dyDescent="0.3">
      <c r="A449" s="33">
        <v>856</v>
      </c>
      <c r="B449" s="33">
        <v>702</v>
      </c>
      <c r="C449" s="34" t="s">
        <v>1104</v>
      </c>
      <c r="D449" s="64" t="s">
        <v>1107</v>
      </c>
      <c r="E449" s="35" t="s">
        <v>1108</v>
      </c>
      <c r="F449" s="799">
        <v>1283</v>
      </c>
      <c r="G449" s="799" t="s">
        <v>539</v>
      </c>
      <c r="H449" s="65"/>
      <c r="I449" s="37">
        <v>0.3</v>
      </c>
      <c r="J449" s="799" t="s">
        <v>237</v>
      </c>
      <c r="K449" s="324" t="s">
        <v>75</v>
      </c>
      <c r="L449" s="837" t="s">
        <v>540</v>
      </c>
      <c r="M449" s="837" t="s">
        <v>541</v>
      </c>
      <c r="N449" s="837" t="s">
        <v>541</v>
      </c>
      <c r="O449" s="837" t="s">
        <v>541</v>
      </c>
      <c r="P449" s="837" t="s">
        <v>542</v>
      </c>
      <c r="Q449" s="975" t="s">
        <v>542</v>
      </c>
      <c r="R449" s="36" t="s">
        <v>556</v>
      </c>
      <c r="S449" s="38" t="s">
        <v>858</v>
      </c>
      <c r="T449" s="833">
        <v>5230</v>
      </c>
      <c r="U449" s="833">
        <v>4990</v>
      </c>
      <c r="V449" s="833">
        <v>4850</v>
      </c>
      <c r="W449" s="820">
        <v>4860</v>
      </c>
      <c r="X449" s="934" t="s">
        <v>81</v>
      </c>
      <c r="Y449" s="838">
        <v>5960</v>
      </c>
      <c r="Z449" s="838">
        <v>5510</v>
      </c>
      <c r="AA449" s="930">
        <v>6320</v>
      </c>
      <c r="AB449" s="838">
        <v>5840</v>
      </c>
      <c r="AC449" s="888">
        <v>5720</v>
      </c>
      <c r="AD449" s="749">
        <v>5910</v>
      </c>
      <c r="AE449" s="36" t="s">
        <v>229</v>
      </c>
      <c r="AF449" s="213">
        <v>13640</v>
      </c>
      <c r="AG449" s="315">
        <v>0.43328445747800587</v>
      </c>
      <c r="AH449" s="83" t="s">
        <v>80</v>
      </c>
      <c r="AI449" s="120">
        <v>430</v>
      </c>
      <c r="AJ449" s="120">
        <v>550</v>
      </c>
      <c r="AK449" s="120">
        <v>1020</v>
      </c>
      <c r="AL449" s="832">
        <f t="shared" si="18"/>
        <v>1773</v>
      </c>
      <c r="AM449" s="121">
        <v>2</v>
      </c>
    </row>
    <row r="450" spans="1:39" ht="15" thickBot="1" x14ac:dyDescent="0.35">
      <c r="A450" s="88">
        <v>857</v>
      </c>
      <c r="B450" s="88">
        <v>703</v>
      </c>
      <c r="C450" s="518" t="s">
        <v>1104</v>
      </c>
      <c r="D450" s="162" t="s">
        <v>664</v>
      </c>
      <c r="E450" s="162" t="s">
        <v>1109</v>
      </c>
      <c r="F450" s="803">
        <v>1284</v>
      </c>
      <c r="G450" s="803" t="s">
        <v>539</v>
      </c>
      <c r="H450" s="215"/>
      <c r="I450" s="164">
        <v>0.25</v>
      </c>
      <c r="J450" s="803" t="s">
        <v>237</v>
      </c>
      <c r="K450" s="291" t="s">
        <v>75</v>
      </c>
      <c r="L450" s="845" t="s">
        <v>540</v>
      </c>
      <c r="M450" s="850" t="s">
        <v>541</v>
      </c>
      <c r="N450" s="845" t="s">
        <v>541</v>
      </c>
      <c r="O450" s="845" t="s">
        <v>541</v>
      </c>
      <c r="P450" s="845" t="s">
        <v>542</v>
      </c>
      <c r="Q450" s="975" t="s">
        <v>542</v>
      </c>
      <c r="R450" s="163" t="s">
        <v>556</v>
      </c>
      <c r="S450" s="167" t="s">
        <v>858</v>
      </c>
      <c r="T450" s="846">
        <v>6090</v>
      </c>
      <c r="U450" s="846">
        <v>5640</v>
      </c>
      <c r="V450" s="846">
        <v>5770</v>
      </c>
      <c r="W450" s="847">
        <v>6010</v>
      </c>
      <c r="X450" s="984">
        <v>6270</v>
      </c>
      <c r="Y450" s="761">
        <v>6820</v>
      </c>
      <c r="Z450" s="761">
        <v>6330</v>
      </c>
      <c r="AA450" s="927">
        <v>6690</v>
      </c>
      <c r="AB450" s="761">
        <v>6710</v>
      </c>
      <c r="AC450" s="880">
        <v>6400</v>
      </c>
      <c r="AD450" s="752">
        <v>6880</v>
      </c>
      <c r="AE450" s="233" t="s">
        <v>229</v>
      </c>
      <c r="AF450" s="326">
        <v>13640</v>
      </c>
      <c r="AG450" s="172">
        <v>0.50439882697947214</v>
      </c>
      <c r="AH450" s="170" t="s">
        <v>80</v>
      </c>
      <c r="AI450" s="169">
        <v>530</v>
      </c>
      <c r="AJ450" s="169">
        <v>580</v>
      </c>
      <c r="AK450" s="169">
        <v>1020</v>
      </c>
      <c r="AL450" s="829">
        <f t="shared" si="18"/>
        <v>1720</v>
      </c>
      <c r="AM450" s="174">
        <v>2</v>
      </c>
    </row>
    <row r="451" spans="1:39" ht="15" thickBot="1" x14ac:dyDescent="0.35">
      <c r="A451" s="327">
        <v>859</v>
      </c>
      <c r="B451" s="327">
        <v>704</v>
      </c>
      <c r="C451" s="595" t="s">
        <v>1110</v>
      </c>
      <c r="D451" s="329" t="s">
        <v>1111</v>
      </c>
      <c r="E451" s="329" t="s">
        <v>1112</v>
      </c>
      <c r="F451" s="807">
        <v>1285</v>
      </c>
      <c r="G451" s="807" t="s">
        <v>539</v>
      </c>
      <c r="H451" s="330"/>
      <c r="I451" s="331">
        <v>0.5</v>
      </c>
      <c r="J451" s="807" t="s">
        <v>237</v>
      </c>
      <c r="K451" s="332" t="s">
        <v>75</v>
      </c>
      <c r="L451" s="891" t="s">
        <v>540</v>
      </c>
      <c r="M451" s="891" t="s">
        <v>541</v>
      </c>
      <c r="N451" s="891" t="s">
        <v>541</v>
      </c>
      <c r="O451" s="891" t="s">
        <v>541</v>
      </c>
      <c r="P451" s="891" t="s">
        <v>542</v>
      </c>
      <c r="Q451" s="975" t="s">
        <v>542</v>
      </c>
      <c r="R451" s="330" t="s">
        <v>543</v>
      </c>
      <c r="S451" s="510" t="s">
        <v>858</v>
      </c>
      <c r="T451" s="827">
        <v>900</v>
      </c>
      <c r="U451" s="827">
        <v>970</v>
      </c>
      <c r="V451" s="827">
        <v>890</v>
      </c>
      <c r="W451" s="893">
        <v>900</v>
      </c>
      <c r="X451" s="860">
        <v>1010</v>
      </c>
      <c r="Y451" s="947">
        <v>1020</v>
      </c>
      <c r="Z451" s="860">
        <v>980</v>
      </c>
      <c r="AA451" s="860">
        <v>1040</v>
      </c>
      <c r="AB451" s="860">
        <v>1020</v>
      </c>
      <c r="AC451" s="938">
        <v>840</v>
      </c>
      <c r="AD451" s="780">
        <v>850</v>
      </c>
      <c r="AE451" s="428" t="s">
        <v>97</v>
      </c>
      <c r="AF451" s="548">
        <v>5260</v>
      </c>
      <c r="AG451" s="432">
        <v>0.16159695817490494</v>
      </c>
      <c r="AH451" s="433" t="s">
        <v>97</v>
      </c>
      <c r="AI451" s="434">
        <v>100</v>
      </c>
      <c r="AJ451" s="434">
        <v>80</v>
      </c>
      <c r="AK451" s="434">
        <v>1020</v>
      </c>
      <c r="AL451" s="832">
        <f t="shared" si="18"/>
        <v>425</v>
      </c>
      <c r="AM451" s="337">
        <v>2</v>
      </c>
    </row>
    <row r="452" spans="1:39" ht="15" thickBot="1" x14ac:dyDescent="0.35">
      <c r="A452" s="202">
        <v>878</v>
      </c>
      <c r="B452" s="202">
        <v>721</v>
      </c>
      <c r="C452" s="420" t="s">
        <v>1113</v>
      </c>
      <c r="D452" s="388" t="s">
        <v>1114</v>
      </c>
      <c r="E452" s="205" t="s">
        <v>1115</v>
      </c>
      <c r="F452" s="805">
        <v>1320</v>
      </c>
      <c r="G452" s="805" t="s">
        <v>539</v>
      </c>
      <c r="H452" s="208" t="s">
        <v>73</v>
      </c>
      <c r="I452" s="207">
        <v>0.2</v>
      </c>
      <c r="J452" s="805" t="s">
        <v>237</v>
      </c>
      <c r="K452" s="208" t="s">
        <v>75</v>
      </c>
      <c r="L452" s="851" t="s">
        <v>540</v>
      </c>
      <c r="M452" s="917" t="s">
        <v>584</v>
      </c>
      <c r="N452" s="851" t="s">
        <v>584</v>
      </c>
      <c r="O452" s="851" t="s">
        <v>584</v>
      </c>
      <c r="P452" s="851" t="s">
        <v>542</v>
      </c>
      <c r="Q452" s="975" t="s">
        <v>542</v>
      </c>
      <c r="R452" s="249" t="s">
        <v>543</v>
      </c>
      <c r="S452" s="578" t="s">
        <v>872</v>
      </c>
      <c r="T452" s="846">
        <v>640</v>
      </c>
      <c r="U452" s="846">
        <v>730</v>
      </c>
      <c r="V452" s="846">
        <v>680</v>
      </c>
      <c r="W452" s="857">
        <v>650</v>
      </c>
      <c r="X452" s="948">
        <v>770</v>
      </c>
      <c r="Y452" s="918">
        <v>760</v>
      </c>
      <c r="Z452" s="858">
        <v>900</v>
      </c>
      <c r="AA452" s="858">
        <v>800</v>
      </c>
      <c r="AB452" s="858">
        <v>1150</v>
      </c>
      <c r="AC452" s="945">
        <v>830</v>
      </c>
      <c r="AD452" s="781">
        <v>870</v>
      </c>
      <c r="AE452" s="550" t="s">
        <v>97</v>
      </c>
      <c r="AF452" s="481">
        <v>5260</v>
      </c>
      <c r="AG452" s="444">
        <v>0.16539923954372623</v>
      </c>
      <c r="AH452" s="442" t="s">
        <v>97</v>
      </c>
      <c r="AI452" s="282">
        <v>90</v>
      </c>
      <c r="AJ452" s="282">
        <v>80</v>
      </c>
      <c r="AK452" s="282">
        <v>1020</v>
      </c>
      <c r="AL452" s="949">
        <f t="shared" si="18"/>
        <v>174</v>
      </c>
      <c r="AM452" s="211">
        <v>2</v>
      </c>
    </row>
    <row r="453" spans="1:39" x14ac:dyDescent="0.3">
      <c r="A453" s="103">
        <v>884</v>
      </c>
      <c r="B453" s="103">
        <v>726</v>
      </c>
      <c r="C453" s="318" t="s">
        <v>1116</v>
      </c>
      <c r="D453" s="489" t="s">
        <v>1117</v>
      </c>
      <c r="E453" s="105" t="s">
        <v>1118</v>
      </c>
      <c r="F453" s="802">
        <v>1330</v>
      </c>
      <c r="G453" s="802" t="s">
        <v>539</v>
      </c>
      <c r="H453" s="200" t="s">
        <v>73</v>
      </c>
      <c r="I453" s="107">
        <v>0.5</v>
      </c>
      <c r="J453" s="802" t="s">
        <v>154</v>
      </c>
      <c r="K453" s="284" t="s">
        <v>104</v>
      </c>
      <c r="L453" s="830" t="s">
        <v>594</v>
      </c>
      <c r="M453" s="830" t="s">
        <v>584</v>
      </c>
      <c r="N453" s="830" t="s">
        <v>584</v>
      </c>
      <c r="O453" s="830" t="s">
        <v>584</v>
      </c>
      <c r="P453" s="105" t="s">
        <v>542</v>
      </c>
      <c r="Q453" s="975" t="s">
        <v>542</v>
      </c>
      <c r="R453" s="108" t="s">
        <v>1119</v>
      </c>
      <c r="S453" s="108" t="s">
        <v>872</v>
      </c>
      <c r="T453" s="833">
        <v>1710</v>
      </c>
      <c r="U453" s="833">
        <v>1890</v>
      </c>
      <c r="V453" s="833">
        <v>1710</v>
      </c>
      <c r="W453" s="831">
        <v>2240</v>
      </c>
      <c r="X453" s="871">
        <v>1950</v>
      </c>
      <c r="Y453" s="844">
        <v>2390</v>
      </c>
      <c r="Z453" s="844">
        <v>2040</v>
      </c>
      <c r="AA453" s="925">
        <v>2470</v>
      </c>
      <c r="AB453" s="873">
        <v>2340</v>
      </c>
      <c r="AC453" s="878">
        <v>2210</v>
      </c>
      <c r="AD453" s="751">
        <v>2370</v>
      </c>
      <c r="AE453" s="200" t="s">
        <v>229</v>
      </c>
      <c r="AF453" s="477">
        <v>13640</v>
      </c>
      <c r="AG453" s="82">
        <v>0.17375366568914957</v>
      </c>
      <c r="AH453" s="287" t="s">
        <v>97</v>
      </c>
      <c r="AI453" s="288">
        <v>150</v>
      </c>
      <c r="AJ453" s="288">
        <v>220</v>
      </c>
      <c r="AK453" s="288">
        <v>1020</v>
      </c>
      <c r="AL453" s="832">
        <f t="shared" si="18"/>
        <v>1185</v>
      </c>
      <c r="AM453" s="201">
        <v>2</v>
      </c>
    </row>
    <row r="454" spans="1:39" ht="15" thickBot="1" x14ac:dyDescent="0.35">
      <c r="A454" s="33">
        <v>882</v>
      </c>
      <c r="B454" s="33">
        <v>724</v>
      </c>
      <c r="C454" s="300" t="s">
        <v>1116</v>
      </c>
      <c r="D454" s="492" t="s">
        <v>1120</v>
      </c>
      <c r="E454" s="51" t="s">
        <v>1121</v>
      </c>
      <c r="F454" s="800">
        <v>1332</v>
      </c>
      <c r="G454" s="800" t="s">
        <v>539</v>
      </c>
      <c r="H454" s="71" t="s">
        <v>73</v>
      </c>
      <c r="I454" s="72">
        <v>5.0999999999999996</v>
      </c>
      <c r="J454" s="800" t="s">
        <v>140</v>
      </c>
      <c r="K454" s="321" t="s">
        <v>104</v>
      </c>
      <c r="L454" s="835" t="s">
        <v>594</v>
      </c>
      <c r="M454" s="839" t="s">
        <v>653</v>
      </c>
      <c r="N454" s="835" t="s">
        <v>653</v>
      </c>
      <c r="O454" s="835" t="s">
        <v>653</v>
      </c>
      <c r="P454" s="1011" t="s">
        <v>626</v>
      </c>
      <c r="Q454" s="909" t="s">
        <v>626</v>
      </c>
      <c r="R454" s="56" t="s">
        <v>895</v>
      </c>
      <c r="S454" s="56" t="s">
        <v>872</v>
      </c>
      <c r="T454" s="825">
        <v>1890</v>
      </c>
      <c r="U454" s="825">
        <v>2060</v>
      </c>
      <c r="V454" s="825">
        <v>1810</v>
      </c>
      <c r="W454" s="822">
        <v>2220</v>
      </c>
      <c r="X454" s="913" t="s">
        <v>81</v>
      </c>
      <c r="Y454" s="760">
        <v>2750</v>
      </c>
      <c r="Z454" s="760">
        <v>2490</v>
      </c>
      <c r="AA454" s="931">
        <v>2180</v>
      </c>
      <c r="AB454" s="760">
        <v>2710</v>
      </c>
      <c r="AC454" s="884">
        <v>3020</v>
      </c>
      <c r="AD454" s="748">
        <v>3410</v>
      </c>
      <c r="AE454" s="140" t="s">
        <v>229</v>
      </c>
      <c r="AF454" s="194">
        <v>20700</v>
      </c>
      <c r="AG454" s="303">
        <v>0.16473429951690821</v>
      </c>
      <c r="AH454" s="80" t="s">
        <v>97</v>
      </c>
      <c r="AI454" s="115">
        <v>220</v>
      </c>
      <c r="AJ454" s="115">
        <v>290</v>
      </c>
      <c r="AK454" s="304">
        <v>1860</v>
      </c>
      <c r="AL454" s="832">
        <f t="shared" si="18"/>
        <v>17391</v>
      </c>
      <c r="AM454" s="122">
        <v>2</v>
      </c>
    </row>
    <row r="455" spans="1:39" ht="15" thickBot="1" x14ac:dyDescent="0.35">
      <c r="A455" s="33">
        <v>881</v>
      </c>
      <c r="B455" s="33">
        <v>723</v>
      </c>
      <c r="C455" s="300" t="s">
        <v>1116</v>
      </c>
      <c r="D455" s="492" t="s">
        <v>1122</v>
      </c>
      <c r="E455" s="35" t="s">
        <v>1123</v>
      </c>
      <c r="F455" s="799">
        <v>1333</v>
      </c>
      <c r="G455" s="799" t="s">
        <v>539</v>
      </c>
      <c r="H455" s="36" t="s">
        <v>73</v>
      </c>
      <c r="I455" s="37">
        <v>0.55000000000000004</v>
      </c>
      <c r="J455" s="799" t="s">
        <v>140</v>
      </c>
      <c r="K455" s="324" t="s">
        <v>75</v>
      </c>
      <c r="L455" s="837" t="s">
        <v>594</v>
      </c>
      <c r="M455" s="837" t="s">
        <v>653</v>
      </c>
      <c r="N455" s="837" t="s">
        <v>653</v>
      </c>
      <c r="O455" s="837" t="s">
        <v>653</v>
      </c>
      <c r="P455" s="1011" t="s">
        <v>626</v>
      </c>
      <c r="Q455" s="909" t="s">
        <v>626</v>
      </c>
      <c r="R455" s="39" t="s">
        <v>895</v>
      </c>
      <c r="S455" s="39" t="s">
        <v>872</v>
      </c>
      <c r="T455" s="833">
        <v>3080</v>
      </c>
      <c r="U455" s="833">
        <v>3390</v>
      </c>
      <c r="V455" s="833">
        <v>2990</v>
      </c>
      <c r="W455" s="820">
        <v>3410</v>
      </c>
      <c r="X455" s="1012">
        <v>3840</v>
      </c>
      <c r="Y455" s="838">
        <v>4340</v>
      </c>
      <c r="Z455" s="838">
        <v>4230</v>
      </c>
      <c r="AA455" s="930">
        <v>4160</v>
      </c>
      <c r="AB455" s="838">
        <v>4500</v>
      </c>
      <c r="AC455" s="888">
        <v>4440</v>
      </c>
      <c r="AD455" s="749">
        <v>5280</v>
      </c>
      <c r="AE455" s="36" t="s">
        <v>229</v>
      </c>
      <c r="AF455" s="213">
        <v>20700</v>
      </c>
      <c r="AG455" s="315">
        <v>0.25507246376811593</v>
      </c>
      <c r="AH455" s="83" t="s">
        <v>97</v>
      </c>
      <c r="AI455" s="120">
        <v>320</v>
      </c>
      <c r="AJ455" s="120">
        <v>470</v>
      </c>
      <c r="AK455" s="316">
        <v>1860</v>
      </c>
      <c r="AL455" s="832">
        <f t="shared" si="18"/>
        <v>2904.0000000000005</v>
      </c>
      <c r="AM455" s="121">
        <v>2</v>
      </c>
    </row>
    <row r="456" spans="1:39" ht="15" thickBot="1" x14ac:dyDescent="0.35">
      <c r="A456" s="88">
        <v>880</v>
      </c>
      <c r="B456" s="88">
        <v>722</v>
      </c>
      <c r="C456" s="346" t="s">
        <v>1116</v>
      </c>
      <c r="D456" s="296" t="s">
        <v>1124</v>
      </c>
      <c r="E456" s="162" t="s">
        <v>1125</v>
      </c>
      <c r="F456" s="803">
        <v>1334</v>
      </c>
      <c r="G456" s="803" t="s">
        <v>539</v>
      </c>
      <c r="H456" s="163" t="s">
        <v>73</v>
      </c>
      <c r="I456" s="164">
        <v>0.6</v>
      </c>
      <c r="J456" s="803" t="s">
        <v>140</v>
      </c>
      <c r="K456" s="291" t="s">
        <v>75</v>
      </c>
      <c r="L456" s="845" t="s">
        <v>540</v>
      </c>
      <c r="M456" s="850" t="s">
        <v>584</v>
      </c>
      <c r="N456" s="845" t="s">
        <v>584</v>
      </c>
      <c r="O456" s="845" t="s">
        <v>584</v>
      </c>
      <c r="P456" s="845" t="s">
        <v>626</v>
      </c>
      <c r="Q456" s="909" t="s">
        <v>626</v>
      </c>
      <c r="R456" s="215" t="s">
        <v>543</v>
      </c>
      <c r="S456" s="526" t="s">
        <v>872</v>
      </c>
      <c r="T456" s="846">
        <v>7480</v>
      </c>
      <c r="U456" s="846">
        <v>7430</v>
      </c>
      <c r="V456" s="846">
        <v>7260</v>
      </c>
      <c r="W456" s="847">
        <v>7190</v>
      </c>
      <c r="X456" s="954">
        <v>8710</v>
      </c>
      <c r="Y456" s="761">
        <v>9200</v>
      </c>
      <c r="Z456" s="761">
        <v>8890</v>
      </c>
      <c r="AA456" s="927">
        <v>9950</v>
      </c>
      <c r="AB456" s="761">
        <v>9320</v>
      </c>
      <c r="AC456" s="880">
        <v>9080</v>
      </c>
      <c r="AD456" s="752">
        <v>10090</v>
      </c>
      <c r="AE456" s="233" t="s">
        <v>229</v>
      </c>
      <c r="AF456" s="326">
        <v>20700</v>
      </c>
      <c r="AG456" s="172">
        <v>0.48743961352657006</v>
      </c>
      <c r="AH456" s="170" t="s">
        <v>97</v>
      </c>
      <c r="AI456" s="169">
        <v>650</v>
      </c>
      <c r="AJ456" s="169">
        <v>840</v>
      </c>
      <c r="AK456" s="298">
        <v>1860</v>
      </c>
      <c r="AL456" s="881">
        <f t="shared" si="18"/>
        <v>6054</v>
      </c>
      <c r="AM456" s="174">
        <v>2</v>
      </c>
    </row>
    <row r="457" spans="1:39" ht="15" thickBot="1" x14ac:dyDescent="0.35">
      <c r="A457" s="327">
        <v>886</v>
      </c>
      <c r="B457" s="327">
        <v>727</v>
      </c>
      <c r="C457" s="402" t="s">
        <v>1126</v>
      </c>
      <c r="D457" s="390" t="s">
        <v>1127</v>
      </c>
      <c r="E457" s="396" t="s">
        <v>1128</v>
      </c>
      <c r="F457" s="807">
        <v>1340</v>
      </c>
      <c r="G457" s="807" t="s">
        <v>539</v>
      </c>
      <c r="H457" s="391" t="s">
        <v>73</v>
      </c>
      <c r="I457" s="331">
        <v>0.6</v>
      </c>
      <c r="J457" s="807" t="s">
        <v>205</v>
      </c>
      <c r="K457" s="332" t="s">
        <v>104</v>
      </c>
      <c r="L457" s="891" t="s">
        <v>540</v>
      </c>
      <c r="M457" s="891" t="s">
        <v>584</v>
      </c>
      <c r="N457" s="891" t="s">
        <v>584</v>
      </c>
      <c r="O457" s="891" t="s">
        <v>584</v>
      </c>
      <c r="P457" s="891" t="s">
        <v>626</v>
      </c>
      <c r="Q457" s="909" t="s">
        <v>626</v>
      </c>
      <c r="R457" s="330" t="s">
        <v>543</v>
      </c>
      <c r="S457" s="543" t="s">
        <v>872</v>
      </c>
      <c r="T457" s="827">
        <v>3050</v>
      </c>
      <c r="U457" s="827">
        <v>3150</v>
      </c>
      <c r="V457" s="827">
        <v>2960</v>
      </c>
      <c r="W457" s="893">
        <v>3160</v>
      </c>
      <c r="X457" s="860">
        <v>3200</v>
      </c>
      <c r="Y457" s="947">
        <v>3680</v>
      </c>
      <c r="Z457" s="860">
        <v>3880</v>
      </c>
      <c r="AA457" s="860">
        <v>3990</v>
      </c>
      <c r="AB457" s="860">
        <v>3880</v>
      </c>
      <c r="AC457" s="938">
        <v>3840</v>
      </c>
      <c r="AD457" s="780">
        <v>4170</v>
      </c>
      <c r="AE457" s="428" t="s">
        <v>229</v>
      </c>
      <c r="AF457" s="548">
        <v>22800</v>
      </c>
      <c r="AG457" s="432">
        <v>0.18289473684210528</v>
      </c>
      <c r="AH457" s="433" t="s">
        <v>97</v>
      </c>
      <c r="AI457" s="434">
        <v>250</v>
      </c>
      <c r="AJ457" s="434">
        <v>360</v>
      </c>
      <c r="AK457" s="599">
        <v>2050</v>
      </c>
      <c r="AL457" s="949">
        <f t="shared" si="18"/>
        <v>2502</v>
      </c>
      <c r="AM457" s="337">
        <v>2</v>
      </c>
    </row>
    <row r="458" spans="1:39" ht="15" thickBot="1" x14ac:dyDescent="0.35">
      <c r="A458" s="202">
        <v>889</v>
      </c>
      <c r="B458" s="248">
        <v>784</v>
      </c>
      <c r="C458" s="480" t="s">
        <v>1129</v>
      </c>
      <c r="D458" s="600" t="s">
        <v>1130</v>
      </c>
      <c r="E458" s="205" t="s">
        <v>1131</v>
      </c>
      <c r="F458" s="249">
        <v>1356</v>
      </c>
      <c r="G458" s="805" t="s">
        <v>539</v>
      </c>
      <c r="H458" s="249" t="s">
        <v>73</v>
      </c>
      <c r="I458" s="207">
        <v>0.6</v>
      </c>
      <c r="J458" s="805" t="s">
        <v>158</v>
      </c>
      <c r="K458" s="534" t="s">
        <v>75</v>
      </c>
      <c r="L458" s="851" t="s">
        <v>583</v>
      </c>
      <c r="M458" s="917" t="s">
        <v>541</v>
      </c>
      <c r="N458" s="851" t="s">
        <v>541</v>
      </c>
      <c r="O458" s="851" t="s">
        <v>541</v>
      </c>
      <c r="P458" s="851" t="s">
        <v>626</v>
      </c>
      <c r="Q458" s="909" t="s">
        <v>626</v>
      </c>
      <c r="R458" s="249" t="s">
        <v>543</v>
      </c>
      <c r="S458" s="285" t="s">
        <v>549</v>
      </c>
      <c r="T458" s="846">
        <v>1100</v>
      </c>
      <c r="U458" s="846">
        <v>1080</v>
      </c>
      <c r="V458" s="846">
        <v>1120</v>
      </c>
      <c r="W458" s="857">
        <v>1160</v>
      </c>
      <c r="X458" s="948">
        <v>1040</v>
      </c>
      <c r="Y458" s="932">
        <v>1330</v>
      </c>
      <c r="Z458" s="858">
        <v>1330</v>
      </c>
      <c r="AA458" s="858">
        <v>1300</v>
      </c>
      <c r="AB458" s="858">
        <v>810</v>
      </c>
      <c r="AC458" s="945">
        <v>740</v>
      </c>
      <c r="AD458" s="781">
        <v>1260</v>
      </c>
      <c r="AE458" s="442" t="s">
        <v>229</v>
      </c>
      <c r="AF458" s="481">
        <v>13640</v>
      </c>
      <c r="AG458" s="444">
        <v>9.2375366568914957E-2</v>
      </c>
      <c r="AH458" s="442" t="s">
        <v>97</v>
      </c>
      <c r="AI458" s="282">
        <v>80</v>
      </c>
      <c r="AJ458" s="282">
        <v>150</v>
      </c>
      <c r="AK458" s="485">
        <v>1230</v>
      </c>
      <c r="AL458" s="781"/>
      <c r="AM458" s="255">
        <v>2</v>
      </c>
    </row>
    <row r="459" spans="1:39" x14ac:dyDescent="0.3">
      <c r="A459" s="299">
        <v>891</v>
      </c>
      <c r="B459" s="299">
        <v>3039</v>
      </c>
      <c r="C459" s="348" t="s">
        <v>1132</v>
      </c>
      <c r="D459" s="293" t="s">
        <v>1133</v>
      </c>
      <c r="E459" s="105" t="s">
        <v>1134</v>
      </c>
      <c r="F459" s="802">
        <v>1360</v>
      </c>
      <c r="G459" s="802" t="s">
        <v>539</v>
      </c>
      <c r="H459" s="106" t="s">
        <v>73</v>
      </c>
      <c r="I459" s="107">
        <v>1.4</v>
      </c>
      <c r="J459" s="802" t="s">
        <v>158</v>
      </c>
      <c r="K459" s="415" t="s">
        <v>75</v>
      </c>
      <c r="L459" s="830" t="s">
        <v>1065</v>
      </c>
      <c r="M459" s="830" t="s">
        <v>764</v>
      </c>
      <c r="N459" s="830" t="s">
        <v>764</v>
      </c>
      <c r="O459" s="830" t="s">
        <v>764</v>
      </c>
      <c r="P459" s="830" t="s">
        <v>764</v>
      </c>
      <c r="Q459" s="933" t="s">
        <v>764</v>
      </c>
      <c r="R459" s="108" t="s">
        <v>895</v>
      </c>
      <c r="S459" s="484" t="s">
        <v>549</v>
      </c>
      <c r="T459" s="833">
        <v>940</v>
      </c>
      <c r="U459" s="833">
        <v>810</v>
      </c>
      <c r="V459" s="66">
        <v>820</v>
      </c>
      <c r="W459" s="831">
        <v>850</v>
      </c>
      <c r="X459" s="844">
        <v>840</v>
      </c>
      <c r="Y459" s="844">
        <v>1030</v>
      </c>
      <c r="Z459" s="844">
        <v>1130</v>
      </c>
      <c r="AA459" s="925">
        <v>1090</v>
      </c>
      <c r="AB459" s="873">
        <v>1050</v>
      </c>
      <c r="AC459" s="878">
        <v>1090</v>
      </c>
      <c r="AD459" s="751">
        <v>1310</v>
      </c>
      <c r="AE459" s="106" t="s">
        <v>97</v>
      </c>
      <c r="AF459" s="138">
        <v>11775</v>
      </c>
      <c r="AG459" s="82">
        <v>0.11125265392781317</v>
      </c>
      <c r="AH459" s="287" t="s">
        <v>1524</v>
      </c>
      <c r="AI459" s="288">
        <v>70</v>
      </c>
      <c r="AJ459" s="288">
        <v>120</v>
      </c>
      <c r="AK459" s="288">
        <v>1120</v>
      </c>
      <c r="AL459" s="751"/>
      <c r="AM459" s="112">
        <v>2</v>
      </c>
    </row>
    <row r="460" spans="1:39" ht="15" thickBot="1" x14ac:dyDescent="0.35">
      <c r="A460" s="33">
        <v>893</v>
      </c>
      <c r="B460" s="33">
        <v>730</v>
      </c>
      <c r="C460" s="352" t="s">
        <v>1132</v>
      </c>
      <c r="D460" s="301" t="s">
        <v>1135</v>
      </c>
      <c r="E460" s="51" t="s">
        <v>1136</v>
      </c>
      <c r="F460" s="800">
        <v>1361</v>
      </c>
      <c r="G460" s="800" t="s">
        <v>539</v>
      </c>
      <c r="H460" s="52" t="s">
        <v>73</v>
      </c>
      <c r="I460" s="72">
        <v>0.4</v>
      </c>
      <c r="J460" s="800" t="s">
        <v>158</v>
      </c>
      <c r="K460" s="302" t="s">
        <v>75</v>
      </c>
      <c r="L460" s="835" t="s">
        <v>540</v>
      </c>
      <c r="M460" s="835" t="s">
        <v>584</v>
      </c>
      <c r="N460" s="835" t="s">
        <v>584</v>
      </c>
      <c r="O460" s="835" t="s">
        <v>584</v>
      </c>
      <c r="P460" s="835" t="s">
        <v>626</v>
      </c>
      <c r="Q460" s="909" t="s">
        <v>626</v>
      </c>
      <c r="R460" s="52" t="s">
        <v>543</v>
      </c>
      <c r="S460" s="55" t="s">
        <v>858</v>
      </c>
      <c r="T460" s="825">
        <v>3540</v>
      </c>
      <c r="U460" s="825">
        <v>3190</v>
      </c>
      <c r="V460" s="825">
        <v>3170</v>
      </c>
      <c r="W460" s="822">
        <v>3420</v>
      </c>
      <c r="X460" s="760">
        <v>3550</v>
      </c>
      <c r="Y460" s="760">
        <v>3970</v>
      </c>
      <c r="Z460" s="760">
        <v>3870</v>
      </c>
      <c r="AA460" s="931">
        <v>4140</v>
      </c>
      <c r="AB460" s="760">
        <v>3810</v>
      </c>
      <c r="AC460" s="884">
        <v>3920</v>
      </c>
      <c r="AD460" s="748">
        <v>4460</v>
      </c>
      <c r="AE460" s="80" t="s">
        <v>97</v>
      </c>
      <c r="AF460" s="194">
        <v>12100</v>
      </c>
      <c r="AG460" s="303">
        <v>0.36859504132231408</v>
      </c>
      <c r="AH460" s="80" t="s">
        <v>97</v>
      </c>
      <c r="AI460" s="115">
        <v>290</v>
      </c>
      <c r="AJ460" s="115">
        <v>380</v>
      </c>
      <c r="AK460" s="304">
        <v>1230</v>
      </c>
      <c r="AL460" s="832">
        <f t="shared" ref="AL460:AL470" si="19">IF(AD460&gt;0,AD460*$I460,"-")</f>
        <v>1784</v>
      </c>
      <c r="AM460" s="63">
        <v>2</v>
      </c>
    </row>
    <row r="461" spans="1:39" ht="15" thickBot="1" x14ac:dyDescent="0.35">
      <c r="A461" s="268">
        <v>894</v>
      </c>
      <c r="B461" s="268">
        <v>731</v>
      </c>
      <c r="C461" s="300" t="s">
        <v>1132</v>
      </c>
      <c r="D461" s="351" t="s">
        <v>1137</v>
      </c>
      <c r="E461" s="35" t="s">
        <v>1138</v>
      </c>
      <c r="F461" s="799">
        <v>1362</v>
      </c>
      <c r="G461" s="799" t="s">
        <v>539</v>
      </c>
      <c r="H461" s="36" t="s">
        <v>73</v>
      </c>
      <c r="I461" s="37">
        <v>0.5</v>
      </c>
      <c r="J461" s="799" t="s">
        <v>158</v>
      </c>
      <c r="K461" s="324" t="s">
        <v>75</v>
      </c>
      <c r="L461" s="837" t="s">
        <v>540</v>
      </c>
      <c r="M461" s="837" t="s">
        <v>584</v>
      </c>
      <c r="N461" s="837" t="s">
        <v>584</v>
      </c>
      <c r="O461" s="837" t="s">
        <v>584</v>
      </c>
      <c r="P461" s="837" t="s">
        <v>626</v>
      </c>
      <c r="Q461" s="909" t="s">
        <v>626</v>
      </c>
      <c r="R461" s="65" t="s">
        <v>543</v>
      </c>
      <c r="S461" s="38" t="s">
        <v>858</v>
      </c>
      <c r="T461" s="833">
        <v>4210</v>
      </c>
      <c r="U461" s="833">
        <v>3990</v>
      </c>
      <c r="V461" s="833">
        <v>4010</v>
      </c>
      <c r="W461" s="820">
        <v>4390</v>
      </c>
      <c r="X461" s="838">
        <v>4650</v>
      </c>
      <c r="Y461" s="838">
        <v>5140</v>
      </c>
      <c r="Z461" s="838">
        <v>4630</v>
      </c>
      <c r="AA461" s="930">
        <v>4600</v>
      </c>
      <c r="AB461" s="838">
        <v>4430</v>
      </c>
      <c r="AC461" s="888">
        <v>4150</v>
      </c>
      <c r="AD461" s="749">
        <v>4950</v>
      </c>
      <c r="AE461" s="36" t="s">
        <v>229</v>
      </c>
      <c r="AF461" s="213">
        <v>13640</v>
      </c>
      <c r="AG461" s="315">
        <v>0.36290322580645162</v>
      </c>
      <c r="AH461" s="83" t="s">
        <v>97</v>
      </c>
      <c r="AI461" s="120">
        <v>310</v>
      </c>
      <c r="AJ461" s="120">
        <v>420</v>
      </c>
      <c r="AK461" s="316">
        <v>1230</v>
      </c>
      <c r="AL461" s="832">
        <f t="shared" si="19"/>
        <v>2475</v>
      </c>
      <c r="AM461" s="121">
        <v>2</v>
      </c>
    </row>
    <row r="462" spans="1:39" ht="15" thickBot="1" x14ac:dyDescent="0.35">
      <c r="A462" s="88">
        <v>896</v>
      </c>
      <c r="B462" s="88">
        <v>733</v>
      </c>
      <c r="C462" s="325" t="s">
        <v>1132</v>
      </c>
      <c r="D462" s="296" t="s">
        <v>660</v>
      </c>
      <c r="E462" s="166" t="s">
        <v>1139</v>
      </c>
      <c r="F462" s="803">
        <v>1364</v>
      </c>
      <c r="G462" s="803" t="s">
        <v>539</v>
      </c>
      <c r="H462" s="215" t="s">
        <v>73</v>
      </c>
      <c r="I462" s="164">
        <v>0.91</v>
      </c>
      <c r="J462" s="803" t="s">
        <v>158</v>
      </c>
      <c r="K462" s="363" t="s">
        <v>75</v>
      </c>
      <c r="L462" s="845" t="s">
        <v>540</v>
      </c>
      <c r="M462" s="845" t="s">
        <v>584</v>
      </c>
      <c r="N462" s="845" t="s">
        <v>584</v>
      </c>
      <c r="O462" s="845" t="s">
        <v>584</v>
      </c>
      <c r="P462" s="845" t="s">
        <v>626</v>
      </c>
      <c r="Q462" s="909" t="s">
        <v>626</v>
      </c>
      <c r="R462" s="215" t="s">
        <v>543</v>
      </c>
      <c r="S462" s="217" t="s">
        <v>858</v>
      </c>
      <c r="T462" s="846">
        <v>2800</v>
      </c>
      <c r="U462" s="846">
        <v>2440</v>
      </c>
      <c r="V462" s="846">
        <v>2560</v>
      </c>
      <c r="W462" s="847">
        <v>2600</v>
      </c>
      <c r="X462" s="761">
        <v>3140</v>
      </c>
      <c r="Y462" s="761">
        <v>3160</v>
      </c>
      <c r="Z462" s="761">
        <v>3100</v>
      </c>
      <c r="AA462" s="927">
        <v>2980</v>
      </c>
      <c r="AB462" s="761">
        <v>2660</v>
      </c>
      <c r="AC462" s="880">
        <v>2780</v>
      </c>
      <c r="AD462" s="752">
        <v>2860</v>
      </c>
      <c r="AE462" s="170" t="s">
        <v>229</v>
      </c>
      <c r="AF462" s="326">
        <v>13640</v>
      </c>
      <c r="AG462" s="172">
        <v>0.20967741935483872</v>
      </c>
      <c r="AH462" s="170" t="s">
        <v>97</v>
      </c>
      <c r="AI462" s="169">
        <v>180</v>
      </c>
      <c r="AJ462" s="169">
        <v>240</v>
      </c>
      <c r="AK462" s="298">
        <v>1230</v>
      </c>
      <c r="AL462" s="881">
        <f t="shared" si="19"/>
        <v>2602.6</v>
      </c>
      <c r="AM462" s="219">
        <v>2</v>
      </c>
    </row>
    <row r="463" spans="1:39" ht="15" thickBot="1" x14ac:dyDescent="0.35">
      <c r="A463" s="33">
        <v>903</v>
      </c>
      <c r="B463" s="33">
        <v>740</v>
      </c>
      <c r="C463" s="352" t="s">
        <v>1140</v>
      </c>
      <c r="D463" s="301" t="s">
        <v>1141</v>
      </c>
      <c r="E463" s="64" t="s">
        <v>301</v>
      </c>
      <c r="F463" s="809">
        <v>1374</v>
      </c>
      <c r="G463" s="1013" t="s">
        <v>539</v>
      </c>
      <c r="H463" s="140" t="s">
        <v>73</v>
      </c>
      <c r="I463" s="601">
        <v>0.2</v>
      </c>
      <c r="J463" s="809" t="s">
        <v>237</v>
      </c>
      <c r="K463" s="324" t="s">
        <v>75</v>
      </c>
      <c r="L463" s="837" t="s">
        <v>636</v>
      </c>
      <c r="M463" s="837" t="s">
        <v>620</v>
      </c>
      <c r="N463" s="837" t="s">
        <v>620</v>
      </c>
      <c r="O463" s="837" t="s">
        <v>620</v>
      </c>
      <c r="P463" s="837" t="s">
        <v>621</v>
      </c>
      <c r="Q463" s="413" t="s">
        <v>621</v>
      </c>
      <c r="R463" s="38" t="s">
        <v>374</v>
      </c>
      <c r="S463" s="602" t="s">
        <v>465</v>
      </c>
      <c r="T463" s="756">
        <v>9870</v>
      </c>
      <c r="U463" s="756">
        <v>9370</v>
      </c>
      <c r="V463" s="756">
        <v>9330</v>
      </c>
      <c r="W463" s="1014">
        <v>8950</v>
      </c>
      <c r="X463" s="1015" t="s">
        <v>81</v>
      </c>
      <c r="Y463" s="742" t="s">
        <v>81</v>
      </c>
      <c r="Z463" s="742"/>
      <c r="AA463" s="742" t="s">
        <v>81</v>
      </c>
      <c r="AB463" s="87" t="s">
        <v>81</v>
      </c>
      <c r="AC463" s="132" t="s">
        <v>81</v>
      </c>
      <c r="AD463" s="132" t="s">
        <v>81</v>
      </c>
      <c r="AE463" s="190" t="s">
        <v>229</v>
      </c>
      <c r="AF463" s="409">
        <v>30420</v>
      </c>
      <c r="AG463" s="132" t="s">
        <v>81</v>
      </c>
      <c r="AH463" s="132" t="s">
        <v>81</v>
      </c>
      <c r="AI463" s="132" t="s">
        <v>81</v>
      </c>
      <c r="AJ463" s="132" t="s">
        <v>81</v>
      </c>
      <c r="AK463" s="312">
        <v>2740</v>
      </c>
      <c r="AL463" s="998" t="e">
        <f t="shared" si="19"/>
        <v>#VALUE!</v>
      </c>
      <c r="AM463" s="121">
        <v>4</v>
      </c>
    </row>
    <row r="464" spans="1:39" ht="15" thickBot="1" x14ac:dyDescent="0.35">
      <c r="A464" s="268">
        <v>904</v>
      </c>
      <c r="B464" s="268">
        <v>741</v>
      </c>
      <c r="C464" s="300" t="s">
        <v>1140</v>
      </c>
      <c r="D464" s="191" t="s">
        <v>1142</v>
      </c>
      <c r="E464" s="35" t="s">
        <v>1143</v>
      </c>
      <c r="F464" s="799">
        <v>1375</v>
      </c>
      <c r="G464" s="854" t="s">
        <v>539</v>
      </c>
      <c r="H464" s="36" t="s">
        <v>73</v>
      </c>
      <c r="I464" s="37">
        <v>0.2</v>
      </c>
      <c r="J464" s="799" t="s">
        <v>237</v>
      </c>
      <c r="K464" s="36" t="s">
        <v>75</v>
      </c>
      <c r="L464" s="837" t="s">
        <v>636</v>
      </c>
      <c r="M464" s="837" t="s">
        <v>620</v>
      </c>
      <c r="N464" s="837" t="s">
        <v>620</v>
      </c>
      <c r="O464" s="837" t="s">
        <v>620</v>
      </c>
      <c r="P464" s="837" t="s">
        <v>621</v>
      </c>
      <c r="Q464" s="413" t="s">
        <v>621</v>
      </c>
      <c r="R464" s="38" t="s">
        <v>374</v>
      </c>
      <c r="S464" s="38" t="s">
        <v>465</v>
      </c>
      <c r="T464" s="833">
        <v>11130</v>
      </c>
      <c r="U464" s="833">
        <v>11440</v>
      </c>
      <c r="V464" s="833">
        <v>11740</v>
      </c>
      <c r="W464" s="820">
        <v>11470</v>
      </c>
      <c r="X464" s="1006">
        <v>11060</v>
      </c>
      <c r="Y464" s="911" t="s">
        <v>81</v>
      </c>
      <c r="Z464" s="911"/>
      <c r="AA464" s="911" t="s">
        <v>81</v>
      </c>
      <c r="AB464" s="118" t="s">
        <v>81</v>
      </c>
      <c r="AC464" s="888">
        <v>7260</v>
      </c>
      <c r="AD464" s="749">
        <v>9690</v>
      </c>
      <c r="AE464" s="36" t="s">
        <v>229</v>
      </c>
      <c r="AF464" s="213">
        <v>30420</v>
      </c>
      <c r="AG464" s="315">
        <v>0.31854043392504933</v>
      </c>
      <c r="AH464" s="83" t="s">
        <v>97</v>
      </c>
      <c r="AI464" s="120">
        <v>630</v>
      </c>
      <c r="AJ464" s="120">
        <v>780</v>
      </c>
      <c r="AK464" s="316">
        <v>2740</v>
      </c>
      <c r="AL464" s="832">
        <f t="shared" si="19"/>
        <v>1938</v>
      </c>
      <c r="AM464" s="121">
        <v>4</v>
      </c>
    </row>
    <row r="465" spans="1:39" x14ac:dyDescent="0.3">
      <c r="A465" s="33">
        <v>905</v>
      </c>
      <c r="B465" s="33">
        <v>742</v>
      </c>
      <c r="C465" s="352" t="s">
        <v>1140</v>
      </c>
      <c r="D465" s="353" t="s">
        <v>1144</v>
      </c>
      <c r="E465" s="51" t="s">
        <v>1145</v>
      </c>
      <c r="F465" s="800">
        <v>1710</v>
      </c>
      <c r="G465" s="855" t="s">
        <v>539</v>
      </c>
      <c r="H465" s="52" t="s">
        <v>73</v>
      </c>
      <c r="I465" s="72">
        <v>0.6</v>
      </c>
      <c r="J465" s="800" t="s">
        <v>237</v>
      </c>
      <c r="K465" s="52" t="s">
        <v>75</v>
      </c>
      <c r="L465" s="835" t="s">
        <v>570</v>
      </c>
      <c r="M465" s="835" t="s">
        <v>587</v>
      </c>
      <c r="N465" s="835" t="s">
        <v>587</v>
      </c>
      <c r="O465" s="835" t="s">
        <v>587</v>
      </c>
      <c r="P465" s="835" t="s">
        <v>588</v>
      </c>
      <c r="Q465" s="890" t="s">
        <v>588</v>
      </c>
      <c r="R465" s="55" t="s">
        <v>374</v>
      </c>
      <c r="S465" s="55" t="s">
        <v>465</v>
      </c>
      <c r="T465" s="825">
        <v>10550</v>
      </c>
      <c r="U465" s="825">
        <v>10850</v>
      </c>
      <c r="V465" s="825">
        <v>10710</v>
      </c>
      <c r="W465" s="822">
        <v>10640</v>
      </c>
      <c r="X465" s="760">
        <v>10960</v>
      </c>
      <c r="Y465" s="849" t="s">
        <v>81</v>
      </c>
      <c r="Z465" s="849"/>
      <c r="AA465" s="849" t="s">
        <v>81</v>
      </c>
      <c r="AB465" s="60" t="s">
        <v>81</v>
      </c>
      <c r="AC465" s="884">
        <v>7210</v>
      </c>
      <c r="AD465" s="748">
        <v>9240</v>
      </c>
      <c r="AE465" s="80" t="s">
        <v>229</v>
      </c>
      <c r="AF465" s="194">
        <v>14040</v>
      </c>
      <c r="AG465" s="303">
        <v>0.65811965811965811</v>
      </c>
      <c r="AH465" s="80" t="s">
        <v>80</v>
      </c>
      <c r="AI465" s="115">
        <v>600</v>
      </c>
      <c r="AJ465" s="115">
        <v>740</v>
      </c>
      <c r="AK465" s="304">
        <v>1270</v>
      </c>
      <c r="AL465" s="832">
        <f t="shared" si="19"/>
        <v>5544</v>
      </c>
      <c r="AM465" s="63">
        <v>2</v>
      </c>
    </row>
    <row r="466" spans="1:39" ht="15" thickBot="1" x14ac:dyDescent="0.35">
      <c r="A466" s="305">
        <v>906</v>
      </c>
      <c r="B466" s="305">
        <v>743</v>
      </c>
      <c r="C466" s="346" t="s">
        <v>1140</v>
      </c>
      <c r="D466" s="306" t="s">
        <v>1146</v>
      </c>
      <c r="E466" s="185" t="s">
        <v>1147</v>
      </c>
      <c r="F466" s="801">
        <v>1711</v>
      </c>
      <c r="G466" s="1016" t="s">
        <v>539</v>
      </c>
      <c r="H466" s="92" t="s">
        <v>73</v>
      </c>
      <c r="I466" s="93">
        <v>0.3</v>
      </c>
      <c r="J466" s="801" t="s">
        <v>237</v>
      </c>
      <c r="K466" s="271" t="s">
        <v>75</v>
      </c>
      <c r="L466" s="841" t="s">
        <v>570</v>
      </c>
      <c r="M466" s="841" t="s">
        <v>587</v>
      </c>
      <c r="N466" s="841" t="s">
        <v>587</v>
      </c>
      <c r="O466" s="841" t="s">
        <v>587</v>
      </c>
      <c r="P466" s="841" t="s">
        <v>588</v>
      </c>
      <c r="Q466" s="890" t="s">
        <v>588</v>
      </c>
      <c r="R466" s="94" t="s">
        <v>374</v>
      </c>
      <c r="S466" s="94" t="s">
        <v>465</v>
      </c>
      <c r="T466" s="827">
        <v>4590</v>
      </c>
      <c r="U466" s="827">
        <v>5070</v>
      </c>
      <c r="V466" s="827">
        <v>5220</v>
      </c>
      <c r="W466" s="828">
        <v>5000</v>
      </c>
      <c r="X466" s="842">
        <v>6000</v>
      </c>
      <c r="Y466" s="915" t="s">
        <v>81</v>
      </c>
      <c r="Z466" s="915"/>
      <c r="AA466" s="915" t="s">
        <v>81</v>
      </c>
      <c r="AB466" s="378" t="s">
        <v>81</v>
      </c>
      <c r="AC466" s="861">
        <v>3570</v>
      </c>
      <c r="AD466" s="750">
        <v>4820</v>
      </c>
      <c r="AE466" s="92" t="s">
        <v>229</v>
      </c>
      <c r="AF466" s="241">
        <v>14040</v>
      </c>
      <c r="AG466" s="147">
        <v>0.34330484330484329</v>
      </c>
      <c r="AH466" s="100" t="s">
        <v>97</v>
      </c>
      <c r="AI466" s="126">
        <v>290</v>
      </c>
      <c r="AJ466" s="126">
        <v>390</v>
      </c>
      <c r="AK466" s="308">
        <v>1270</v>
      </c>
      <c r="AL466" s="881">
        <f t="shared" si="19"/>
        <v>1446</v>
      </c>
      <c r="AM466" s="127">
        <v>2</v>
      </c>
    </row>
    <row r="467" spans="1:39" x14ac:dyDescent="0.3">
      <c r="A467" s="103">
        <v>909</v>
      </c>
      <c r="B467" s="103">
        <v>745</v>
      </c>
      <c r="C467" s="318" t="s">
        <v>1148</v>
      </c>
      <c r="D467" s="338" t="s">
        <v>666</v>
      </c>
      <c r="E467" s="189" t="s">
        <v>1149</v>
      </c>
      <c r="F467" s="804">
        <v>1380</v>
      </c>
      <c r="G467" s="1017" t="s">
        <v>539</v>
      </c>
      <c r="H467" s="131" t="s">
        <v>73</v>
      </c>
      <c r="I467" s="178">
        <v>0.75</v>
      </c>
      <c r="J467" s="804" t="s">
        <v>154</v>
      </c>
      <c r="K467" s="340" t="s">
        <v>75</v>
      </c>
      <c r="L467" s="843" t="s">
        <v>570</v>
      </c>
      <c r="M467" s="848" t="s">
        <v>587</v>
      </c>
      <c r="N467" s="843" t="s">
        <v>587</v>
      </c>
      <c r="O467" s="843" t="s">
        <v>587</v>
      </c>
      <c r="P467" s="843" t="s">
        <v>588</v>
      </c>
      <c r="Q467" s="890" t="s">
        <v>588</v>
      </c>
      <c r="R467" s="179" t="s">
        <v>374</v>
      </c>
      <c r="S467" s="179" t="s">
        <v>465</v>
      </c>
      <c r="T467" s="825">
        <v>9020</v>
      </c>
      <c r="U467" s="825">
        <v>9640</v>
      </c>
      <c r="V467" s="825">
        <v>9080</v>
      </c>
      <c r="W467" s="836">
        <v>9320</v>
      </c>
      <c r="X467" s="759">
        <v>11480</v>
      </c>
      <c r="Y467" s="759">
        <v>11800</v>
      </c>
      <c r="Z467" s="759">
        <v>12370</v>
      </c>
      <c r="AA467" s="1018">
        <v>13170</v>
      </c>
      <c r="AB467" s="902">
        <v>14220</v>
      </c>
      <c r="AC467" s="980">
        <v>13570</v>
      </c>
      <c r="AD467" s="783">
        <v>13600</v>
      </c>
      <c r="AE467" s="495" t="s">
        <v>229</v>
      </c>
      <c r="AF467" s="496">
        <v>14040</v>
      </c>
      <c r="AG467" s="46">
        <v>0.96866096866096862</v>
      </c>
      <c r="AH467" s="497" t="s">
        <v>229</v>
      </c>
      <c r="AI467" s="498">
        <v>820</v>
      </c>
      <c r="AJ467" s="498">
        <v>1160</v>
      </c>
      <c r="AK467" s="499">
        <v>1270</v>
      </c>
      <c r="AL467" s="832">
        <f t="shared" si="19"/>
        <v>10200</v>
      </c>
      <c r="AM467" s="182">
        <v>2</v>
      </c>
    </row>
    <row r="468" spans="1:39" x14ac:dyDescent="0.3">
      <c r="A468" s="33">
        <v>911</v>
      </c>
      <c r="B468" s="33">
        <v>747</v>
      </c>
      <c r="C468" s="300" t="s">
        <v>1148</v>
      </c>
      <c r="D468" s="301" t="s">
        <v>1150</v>
      </c>
      <c r="E468" s="64" t="s">
        <v>1151</v>
      </c>
      <c r="F468" s="799">
        <v>1382</v>
      </c>
      <c r="G468" s="854" t="s">
        <v>539</v>
      </c>
      <c r="H468" s="36" t="s">
        <v>73</v>
      </c>
      <c r="I468" s="37">
        <v>0.9</v>
      </c>
      <c r="J468" s="799" t="s">
        <v>205</v>
      </c>
      <c r="K468" s="324" t="s">
        <v>75</v>
      </c>
      <c r="L468" s="837" t="s">
        <v>570</v>
      </c>
      <c r="M468" s="837" t="s">
        <v>587</v>
      </c>
      <c r="N468" s="837" t="s">
        <v>587</v>
      </c>
      <c r="O468" s="837" t="s">
        <v>587</v>
      </c>
      <c r="P468" s="837" t="s">
        <v>629</v>
      </c>
      <c r="Q468" s="310" t="s">
        <v>629</v>
      </c>
      <c r="R468" s="38" t="s">
        <v>374</v>
      </c>
      <c r="S468" s="38" t="s">
        <v>465</v>
      </c>
      <c r="T468" s="833">
        <v>8860</v>
      </c>
      <c r="U468" s="833">
        <v>9280</v>
      </c>
      <c r="V468" s="833">
        <v>8800</v>
      </c>
      <c r="W468" s="820">
        <v>9220</v>
      </c>
      <c r="X468" s="838">
        <v>10520</v>
      </c>
      <c r="Y468" s="838">
        <v>11300</v>
      </c>
      <c r="Z468" s="838">
        <v>12270</v>
      </c>
      <c r="AA468" s="930">
        <v>12170</v>
      </c>
      <c r="AB468" s="838">
        <v>12520</v>
      </c>
      <c r="AC468" s="888">
        <v>12150</v>
      </c>
      <c r="AD468" s="749">
        <v>13560</v>
      </c>
      <c r="AE468" s="36" t="s">
        <v>229</v>
      </c>
      <c r="AF468" s="213">
        <v>17050</v>
      </c>
      <c r="AG468" s="315">
        <v>0.79530791788856303</v>
      </c>
      <c r="AH468" s="83" t="s">
        <v>97</v>
      </c>
      <c r="AI468" s="120">
        <v>860</v>
      </c>
      <c r="AJ468" s="120">
        <v>1170</v>
      </c>
      <c r="AK468" s="316">
        <v>1540</v>
      </c>
      <c r="AL468" s="832">
        <f t="shared" si="19"/>
        <v>12204</v>
      </c>
      <c r="AM468" s="121">
        <v>2</v>
      </c>
    </row>
    <row r="469" spans="1:39" x14ac:dyDescent="0.3">
      <c r="A469" s="33">
        <v>913</v>
      </c>
      <c r="B469" s="33">
        <v>749</v>
      </c>
      <c r="C469" s="300" t="s">
        <v>1148</v>
      </c>
      <c r="D469" s="301" t="s">
        <v>1152</v>
      </c>
      <c r="E469" s="70" t="s">
        <v>1153</v>
      </c>
      <c r="F469" s="800">
        <v>1384</v>
      </c>
      <c r="G469" s="855" t="s">
        <v>539</v>
      </c>
      <c r="H469" s="71" t="s">
        <v>73</v>
      </c>
      <c r="I469" s="72">
        <v>0.55000000000000004</v>
      </c>
      <c r="J469" s="800" t="s">
        <v>205</v>
      </c>
      <c r="K469" s="321" t="s">
        <v>75</v>
      </c>
      <c r="L469" s="835" t="s">
        <v>570</v>
      </c>
      <c r="M469" s="839" t="s">
        <v>587</v>
      </c>
      <c r="N469" s="835" t="s">
        <v>587</v>
      </c>
      <c r="O469" s="835" t="s">
        <v>587</v>
      </c>
      <c r="P469" s="835" t="s">
        <v>629</v>
      </c>
      <c r="Q469" s="310" t="s">
        <v>629</v>
      </c>
      <c r="R469" s="73" t="s">
        <v>374</v>
      </c>
      <c r="S469" s="73" t="s">
        <v>465</v>
      </c>
      <c r="T469" s="825">
        <v>8880</v>
      </c>
      <c r="U469" s="825">
        <v>9600</v>
      </c>
      <c r="V469" s="825">
        <v>9330</v>
      </c>
      <c r="W469" s="822">
        <v>9980</v>
      </c>
      <c r="X469" s="760">
        <v>11700</v>
      </c>
      <c r="Y469" s="760">
        <v>12110</v>
      </c>
      <c r="Z469" s="760">
        <v>12650</v>
      </c>
      <c r="AA469" s="931">
        <v>13910</v>
      </c>
      <c r="AB469" s="760">
        <v>14220</v>
      </c>
      <c r="AC469" s="884">
        <v>13660</v>
      </c>
      <c r="AD469" s="748">
        <v>14510</v>
      </c>
      <c r="AE469" s="140" t="s">
        <v>229</v>
      </c>
      <c r="AF469" s="194">
        <v>17050</v>
      </c>
      <c r="AG469" s="303">
        <v>0.85102639296187688</v>
      </c>
      <c r="AH469" s="80" t="s">
        <v>97</v>
      </c>
      <c r="AI469" s="115">
        <v>960</v>
      </c>
      <c r="AJ469" s="115">
        <v>1220</v>
      </c>
      <c r="AK469" s="304">
        <v>1540</v>
      </c>
      <c r="AL469" s="832">
        <f t="shared" si="19"/>
        <v>7980.5000000000009</v>
      </c>
      <c r="AM469" s="122">
        <v>2</v>
      </c>
    </row>
    <row r="470" spans="1:39" ht="15" thickBot="1" x14ac:dyDescent="0.35">
      <c r="A470" s="88">
        <v>914</v>
      </c>
      <c r="B470" s="88">
        <v>750</v>
      </c>
      <c r="C470" s="346" t="s">
        <v>1148</v>
      </c>
      <c r="D470" s="296" t="s">
        <v>1154</v>
      </c>
      <c r="E470" s="91" t="s">
        <v>1155</v>
      </c>
      <c r="F470" s="801">
        <v>1385</v>
      </c>
      <c r="G470" s="1016" t="s">
        <v>539</v>
      </c>
      <c r="H470" s="92" t="s">
        <v>73</v>
      </c>
      <c r="I470" s="93">
        <v>1</v>
      </c>
      <c r="J470" s="801" t="s">
        <v>205</v>
      </c>
      <c r="K470" s="271" t="s">
        <v>75</v>
      </c>
      <c r="L470" s="841" t="s">
        <v>570</v>
      </c>
      <c r="M470" s="841" t="s">
        <v>587</v>
      </c>
      <c r="N470" s="841" t="s">
        <v>587</v>
      </c>
      <c r="O470" s="841" t="s">
        <v>587</v>
      </c>
      <c r="P470" s="841" t="s">
        <v>629</v>
      </c>
      <c r="Q470" s="310" t="s">
        <v>629</v>
      </c>
      <c r="R470" s="94" t="s">
        <v>374</v>
      </c>
      <c r="S470" s="94" t="s">
        <v>465</v>
      </c>
      <c r="T470" s="827">
        <v>10910</v>
      </c>
      <c r="U470" s="827">
        <v>11300</v>
      </c>
      <c r="V470" s="827">
        <v>10870</v>
      </c>
      <c r="W470" s="828">
        <v>10700</v>
      </c>
      <c r="X470" s="842">
        <v>12020</v>
      </c>
      <c r="Y470" s="842">
        <v>12050</v>
      </c>
      <c r="Z470" s="842">
        <v>13080</v>
      </c>
      <c r="AA470" s="935">
        <v>15040</v>
      </c>
      <c r="AB470" s="842">
        <v>14430</v>
      </c>
      <c r="AC470" s="861">
        <v>13230</v>
      </c>
      <c r="AD470" s="750">
        <v>14200</v>
      </c>
      <c r="AE470" s="92" t="s">
        <v>229</v>
      </c>
      <c r="AF470" s="241">
        <v>17050</v>
      </c>
      <c r="AG470" s="147">
        <v>0.83284457478005869</v>
      </c>
      <c r="AH470" s="100" t="s">
        <v>97</v>
      </c>
      <c r="AI470" s="126">
        <v>1300</v>
      </c>
      <c r="AJ470" s="126">
        <v>1190</v>
      </c>
      <c r="AK470" s="308">
        <v>1540</v>
      </c>
      <c r="AL470" s="881">
        <f t="shared" si="19"/>
        <v>14200</v>
      </c>
      <c r="AM470" s="127">
        <v>2</v>
      </c>
    </row>
    <row r="471" spans="1:39" ht="15" thickBot="1" x14ac:dyDescent="0.35">
      <c r="A471" s="202">
        <v>918</v>
      </c>
      <c r="B471" s="202">
        <v>751</v>
      </c>
      <c r="C471" s="407" t="s">
        <v>1156</v>
      </c>
      <c r="D471" s="248" t="s">
        <v>977</v>
      </c>
      <c r="E471" s="205" t="s">
        <v>926</v>
      </c>
      <c r="F471" s="805">
        <v>1391</v>
      </c>
      <c r="G471" s="1019" t="s">
        <v>539</v>
      </c>
      <c r="H471" s="249"/>
      <c r="I471" s="207">
        <v>0.44</v>
      </c>
      <c r="J471" s="805" t="s">
        <v>237</v>
      </c>
      <c r="K471" s="387" t="s">
        <v>75</v>
      </c>
      <c r="L471" s="851" t="s">
        <v>540</v>
      </c>
      <c r="M471" s="917" t="s">
        <v>541</v>
      </c>
      <c r="N471" s="851" t="s">
        <v>541</v>
      </c>
      <c r="O471" s="851" t="s">
        <v>541</v>
      </c>
      <c r="P471" s="851" t="s">
        <v>542</v>
      </c>
      <c r="Q471" s="975" t="s">
        <v>542</v>
      </c>
      <c r="R471" s="249" t="s">
        <v>543</v>
      </c>
      <c r="S471" s="285" t="s">
        <v>549</v>
      </c>
      <c r="T471" s="846">
        <v>1410</v>
      </c>
      <c r="U471" s="846">
        <v>1440</v>
      </c>
      <c r="V471" s="846">
        <v>1190</v>
      </c>
      <c r="W471" s="857">
        <v>1270</v>
      </c>
      <c r="X471" s="858">
        <v>1240</v>
      </c>
      <c r="Y471" s="932">
        <v>1510</v>
      </c>
      <c r="Z471" s="858">
        <v>1170</v>
      </c>
      <c r="AA471" s="858">
        <v>1240</v>
      </c>
      <c r="AB471" s="858">
        <v>1200</v>
      </c>
      <c r="AC471" s="945">
        <v>1300</v>
      </c>
      <c r="AD471" s="781">
        <v>1690</v>
      </c>
      <c r="AE471" s="550" t="s">
        <v>229</v>
      </c>
      <c r="AF471" s="481">
        <v>13640</v>
      </c>
      <c r="AG471" s="444">
        <v>0.12390029325513197</v>
      </c>
      <c r="AH471" s="442" t="s">
        <v>97</v>
      </c>
      <c r="AI471" s="282">
        <v>110</v>
      </c>
      <c r="AJ471" s="282">
        <v>130</v>
      </c>
      <c r="AK471" s="282">
        <v>1020</v>
      </c>
      <c r="AL471" s="869"/>
      <c r="AM471" s="211">
        <v>2</v>
      </c>
    </row>
    <row r="472" spans="1:39" x14ac:dyDescent="0.3">
      <c r="A472" s="299">
        <v>923</v>
      </c>
      <c r="B472" s="299">
        <v>754</v>
      </c>
      <c r="C472" s="318" t="s">
        <v>1157</v>
      </c>
      <c r="D472" s="603"/>
      <c r="E472" s="319" t="s">
        <v>1158</v>
      </c>
      <c r="F472" s="802">
        <v>1409</v>
      </c>
      <c r="G472" s="1020" t="s">
        <v>539</v>
      </c>
      <c r="H472" s="200" t="s">
        <v>73</v>
      </c>
      <c r="I472" s="107">
        <v>0.9</v>
      </c>
      <c r="J472" s="802" t="s">
        <v>140</v>
      </c>
      <c r="K472" s="284" t="s">
        <v>75</v>
      </c>
      <c r="L472" s="830" t="s">
        <v>1159</v>
      </c>
      <c r="M472" s="830" t="s">
        <v>653</v>
      </c>
      <c r="N472" s="830" t="s">
        <v>653</v>
      </c>
      <c r="O472" s="830" t="s">
        <v>653</v>
      </c>
      <c r="P472" s="830" t="s">
        <v>626</v>
      </c>
      <c r="Q472" s="588" t="s">
        <v>670</v>
      </c>
      <c r="R472" s="108" t="s">
        <v>895</v>
      </c>
      <c r="S472" s="108" t="s">
        <v>872</v>
      </c>
      <c r="T472" s="833">
        <v>3670</v>
      </c>
      <c r="U472" s="833">
        <v>3800</v>
      </c>
      <c r="V472" s="833">
        <v>3930</v>
      </c>
      <c r="W472" s="831">
        <v>3810</v>
      </c>
      <c r="X472" s="844">
        <v>4490</v>
      </c>
      <c r="Y472" s="844">
        <v>4420</v>
      </c>
      <c r="Z472" s="844">
        <v>4280</v>
      </c>
      <c r="AA472" s="925">
        <v>5140</v>
      </c>
      <c r="AB472" s="873">
        <v>5780</v>
      </c>
      <c r="AC472" s="878">
        <v>5110</v>
      </c>
      <c r="AD472" s="751">
        <v>4790</v>
      </c>
      <c r="AE472" s="200" t="s">
        <v>229</v>
      </c>
      <c r="AF472" s="477">
        <v>17900</v>
      </c>
      <c r="AG472" s="82">
        <v>0.26759776536312851</v>
      </c>
      <c r="AH472" s="287" t="s">
        <v>97</v>
      </c>
      <c r="AI472" s="288">
        <v>300</v>
      </c>
      <c r="AJ472" s="288">
        <v>470</v>
      </c>
      <c r="AK472" s="294">
        <v>1620</v>
      </c>
      <c r="AL472" s="832">
        <f>IF(AD472&gt;0,AD472*$I472,"-")</f>
        <v>4311</v>
      </c>
      <c r="AM472" s="201">
        <v>2</v>
      </c>
    </row>
    <row r="473" spans="1:39" ht="15" thickBot="1" x14ac:dyDescent="0.35">
      <c r="A473" s="88">
        <v>927</v>
      </c>
      <c r="B473" s="88">
        <v>758</v>
      </c>
      <c r="C473" s="325" t="s">
        <v>1157</v>
      </c>
      <c r="D473" s="296" t="s">
        <v>592</v>
      </c>
      <c r="E473" s="162" t="s">
        <v>524</v>
      </c>
      <c r="F473" s="803">
        <v>1413</v>
      </c>
      <c r="G473" s="1021" t="s">
        <v>539</v>
      </c>
      <c r="H473" s="215" t="s">
        <v>73</v>
      </c>
      <c r="I473" s="164">
        <v>1.4</v>
      </c>
      <c r="J473" s="803" t="s">
        <v>237</v>
      </c>
      <c r="K473" s="363" t="s">
        <v>75</v>
      </c>
      <c r="L473" s="845" t="s">
        <v>540</v>
      </c>
      <c r="M473" s="845" t="s">
        <v>615</v>
      </c>
      <c r="N473" s="845" t="s">
        <v>615</v>
      </c>
      <c r="O473" s="845" t="s">
        <v>615</v>
      </c>
      <c r="P473" s="845" t="s">
        <v>616</v>
      </c>
      <c r="Q473" s="904" t="s">
        <v>616</v>
      </c>
      <c r="R473" s="215" t="s">
        <v>543</v>
      </c>
      <c r="S473" s="217" t="s">
        <v>872</v>
      </c>
      <c r="T473" s="846">
        <v>7490</v>
      </c>
      <c r="U473" s="846">
        <v>7070</v>
      </c>
      <c r="V473" s="846">
        <v>7040</v>
      </c>
      <c r="W473" s="847">
        <v>7120</v>
      </c>
      <c r="X473" s="761">
        <v>5460</v>
      </c>
      <c r="Y473" s="761">
        <v>7460</v>
      </c>
      <c r="Z473" s="761">
        <v>7640</v>
      </c>
      <c r="AA473" s="927">
        <v>9030</v>
      </c>
      <c r="AB473" s="761">
        <v>7880</v>
      </c>
      <c r="AC473" s="880">
        <v>7120</v>
      </c>
      <c r="AD473" s="752">
        <v>7460</v>
      </c>
      <c r="AE473" s="170" t="s">
        <v>229</v>
      </c>
      <c r="AF473" s="326">
        <v>14740</v>
      </c>
      <c r="AG473" s="172">
        <v>0.50610583446404345</v>
      </c>
      <c r="AH473" s="170" t="s">
        <v>80</v>
      </c>
      <c r="AI473" s="169">
        <v>560</v>
      </c>
      <c r="AJ473" s="169">
        <v>670</v>
      </c>
      <c r="AK473" s="298">
        <v>1330</v>
      </c>
      <c r="AL473" s="881">
        <f>IF(AD473&gt;0,AD473*$I473,"-")</f>
        <v>10444</v>
      </c>
      <c r="AM473" s="219">
        <v>2</v>
      </c>
    </row>
    <row r="474" spans="1:39" x14ac:dyDescent="0.3">
      <c r="A474" s="33">
        <v>930</v>
      </c>
      <c r="B474" s="33">
        <v>1066</v>
      </c>
      <c r="C474" s="50" t="s">
        <v>1160</v>
      </c>
      <c r="D474" s="128" t="s">
        <v>610</v>
      </c>
      <c r="E474" s="139" t="s">
        <v>1161</v>
      </c>
      <c r="F474" s="604">
        <v>1419</v>
      </c>
      <c r="G474" s="855" t="s">
        <v>539</v>
      </c>
      <c r="H474" s="52"/>
      <c r="I474" s="72">
        <v>0.55000000000000004</v>
      </c>
      <c r="J474" s="800" t="s">
        <v>237</v>
      </c>
      <c r="K474" s="321" t="s">
        <v>75</v>
      </c>
      <c r="L474" s="835" t="s">
        <v>540</v>
      </c>
      <c r="M474" s="839" t="s">
        <v>541</v>
      </c>
      <c r="N474" s="835" t="s">
        <v>541</v>
      </c>
      <c r="O474" s="835" t="s">
        <v>541</v>
      </c>
      <c r="P474" s="835" t="s">
        <v>542</v>
      </c>
      <c r="Q474" s="975" t="s">
        <v>542</v>
      </c>
      <c r="R474" s="52" t="s">
        <v>543</v>
      </c>
      <c r="S474" s="73" t="s">
        <v>858</v>
      </c>
      <c r="T474" s="825">
        <v>2520</v>
      </c>
      <c r="U474" s="825">
        <v>2780</v>
      </c>
      <c r="V474" s="825">
        <v>2600</v>
      </c>
      <c r="W474" s="822">
        <v>2740</v>
      </c>
      <c r="X474" s="1022">
        <v>3040</v>
      </c>
      <c r="Y474" s="1022">
        <v>6030</v>
      </c>
      <c r="Z474" s="760">
        <v>3140</v>
      </c>
      <c r="AA474" s="760">
        <v>2830</v>
      </c>
      <c r="AB474" s="760">
        <v>3340</v>
      </c>
      <c r="AC474" s="887">
        <v>2500</v>
      </c>
      <c r="AD474" s="754">
        <v>3160</v>
      </c>
      <c r="AE474" s="190" t="s">
        <v>229</v>
      </c>
      <c r="AF474" s="409">
        <v>13640</v>
      </c>
      <c r="AG474" s="79">
        <v>0.2316715542521994</v>
      </c>
      <c r="AH474" s="86" t="s">
        <v>97</v>
      </c>
      <c r="AI474" s="181">
        <v>190</v>
      </c>
      <c r="AJ474" s="181">
        <v>270</v>
      </c>
      <c r="AK474" s="181">
        <v>1020</v>
      </c>
      <c r="AL474" s="832">
        <f>IF(AD474&gt;0,AD474*$I474,"-")</f>
        <v>1738.0000000000002</v>
      </c>
      <c r="AM474" s="122">
        <v>2</v>
      </c>
    </row>
    <row r="475" spans="1:39" x14ac:dyDescent="0.3">
      <c r="A475" s="33">
        <v>930</v>
      </c>
      <c r="B475" s="33">
        <v>1066</v>
      </c>
      <c r="C475" s="34" t="s">
        <v>1162</v>
      </c>
      <c r="D475" s="134" t="s">
        <v>610</v>
      </c>
      <c r="E475" s="133" t="s">
        <v>1163</v>
      </c>
      <c r="F475" s="799">
        <v>1423</v>
      </c>
      <c r="G475" s="854" t="s">
        <v>539</v>
      </c>
      <c r="H475" s="65"/>
      <c r="I475" s="37">
        <v>0.45</v>
      </c>
      <c r="J475" s="799" t="s">
        <v>237</v>
      </c>
      <c r="K475" s="324" t="s">
        <v>75</v>
      </c>
      <c r="L475" s="837" t="s">
        <v>540</v>
      </c>
      <c r="M475" s="837" t="s">
        <v>541</v>
      </c>
      <c r="N475" s="837" t="s">
        <v>541</v>
      </c>
      <c r="O475" s="837" t="s">
        <v>541</v>
      </c>
      <c r="P475" s="837" t="s">
        <v>542</v>
      </c>
      <c r="Q475" s="975" t="s">
        <v>542</v>
      </c>
      <c r="R475" s="65" t="s">
        <v>543</v>
      </c>
      <c r="S475" s="38" t="s">
        <v>858</v>
      </c>
      <c r="T475" s="833">
        <v>2700</v>
      </c>
      <c r="U475" s="833">
        <v>2960</v>
      </c>
      <c r="V475" s="833">
        <v>2770</v>
      </c>
      <c r="W475" s="820">
        <v>2830</v>
      </c>
      <c r="X475" s="1006">
        <v>3170</v>
      </c>
      <c r="Y475" s="838">
        <v>5370</v>
      </c>
      <c r="Z475" s="838">
        <v>3040</v>
      </c>
      <c r="AA475" s="930">
        <v>2970</v>
      </c>
      <c r="AB475" s="838">
        <v>3520</v>
      </c>
      <c r="AC475" s="888">
        <v>3220</v>
      </c>
      <c r="AD475" s="749">
        <v>3390</v>
      </c>
      <c r="AE475" s="36" t="s">
        <v>229</v>
      </c>
      <c r="AF475" s="213">
        <v>13640</v>
      </c>
      <c r="AG475" s="315">
        <v>0.24853372434017595</v>
      </c>
      <c r="AH475" s="83" t="s">
        <v>97</v>
      </c>
      <c r="AI475" s="120">
        <v>180</v>
      </c>
      <c r="AJ475" s="120">
        <v>290</v>
      </c>
      <c r="AK475" s="120">
        <v>1020</v>
      </c>
      <c r="AL475" s="832">
        <f>IF(AD475&gt;0,AD475*$I475,"-")</f>
        <v>1525.5</v>
      </c>
      <c r="AM475" s="121">
        <v>2</v>
      </c>
    </row>
    <row r="476" spans="1:39" ht="15" thickBot="1" x14ac:dyDescent="0.35">
      <c r="A476" s="88">
        <v>929</v>
      </c>
      <c r="B476" s="88">
        <v>759</v>
      </c>
      <c r="C476" s="518" t="s">
        <v>1162</v>
      </c>
      <c r="D476" s="162" t="s">
        <v>1164</v>
      </c>
      <c r="E476" s="166" t="s">
        <v>1165</v>
      </c>
      <c r="F476" s="803">
        <v>1420</v>
      </c>
      <c r="G476" s="1021" t="s">
        <v>539</v>
      </c>
      <c r="H476" s="215"/>
      <c r="I476" s="164">
        <v>0.15</v>
      </c>
      <c r="J476" s="803" t="s">
        <v>237</v>
      </c>
      <c r="K476" s="291" t="s">
        <v>75</v>
      </c>
      <c r="L476" s="845" t="s">
        <v>540</v>
      </c>
      <c r="M476" s="850" t="s">
        <v>541</v>
      </c>
      <c r="N476" s="845" t="s">
        <v>541</v>
      </c>
      <c r="O476" s="845" t="s">
        <v>541</v>
      </c>
      <c r="P476" s="845" t="s">
        <v>542</v>
      </c>
      <c r="Q476" s="975" t="s">
        <v>542</v>
      </c>
      <c r="R476" s="215" t="s">
        <v>556</v>
      </c>
      <c r="S476" s="167" t="s">
        <v>858</v>
      </c>
      <c r="T476" s="846">
        <v>4660</v>
      </c>
      <c r="U476" s="846">
        <v>5280</v>
      </c>
      <c r="V476" s="846">
        <v>4870</v>
      </c>
      <c r="W476" s="847">
        <v>4800</v>
      </c>
      <c r="X476" s="926" t="s">
        <v>81</v>
      </c>
      <c r="Y476" s="1009" t="s">
        <v>81</v>
      </c>
      <c r="Z476" s="761">
        <v>5560</v>
      </c>
      <c r="AA476" s="927">
        <v>5370</v>
      </c>
      <c r="AB476" s="761">
        <v>6250</v>
      </c>
      <c r="AC476" s="880">
        <v>5710</v>
      </c>
      <c r="AD476" s="752">
        <v>5860</v>
      </c>
      <c r="AE476" s="233" t="s">
        <v>229</v>
      </c>
      <c r="AF476" s="326">
        <v>13640</v>
      </c>
      <c r="AG476" s="172">
        <v>0.42961876832844575</v>
      </c>
      <c r="AH476" s="170" t="s">
        <v>80</v>
      </c>
      <c r="AI476" s="169">
        <v>340</v>
      </c>
      <c r="AJ476" s="169">
        <v>490</v>
      </c>
      <c r="AK476" s="169">
        <v>1020</v>
      </c>
      <c r="AL476" s="832">
        <f>IF(AD476&gt;0,AD476*$I476,"-")</f>
        <v>879</v>
      </c>
      <c r="AM476" s="174">
        <v>2</v>
      </c>
    </row>
    <row r="477" spans="1:39" ht="15" thickBot="1" x14ac:dyDescent="0.35">
      <c r="A477" s="327">
        <v>937</v>
      </c>
      <c r="B477" s="327">
        <v>763</v>
      </c>
      <c r="C477" s="389" t="s">
        <v>1166</v>
      </c>
      <c r="D477" s="390" t="s">
        <v>1167</v>
      </c>
      <c r="E477" s="396" t="s">
        <v>1168</v>
      </c>
      <c r="F477" s="807">
        <v>1433</v>
      </c>
      <c r="G477" s="1023" t="s">
        <v>539</v>
      </c>
      <c r="H477" s="330"/>
      <c r="I477" s="331">
        <v>2.8</v>
      </c>
      <c r="J477" s="807" t="s">
        <v>154</v>
      </c>
      <c r="K477" s="332" t="s">
        <v>75</v>
      </c>
      <c r="L477" s="891" t="s">
        <v>367</v>
      </c>
      <c r="M477" s="891" t="s">
        <v>367</v>
      </c>
      <c r="N477" s="891" t="s">
        <v>367</v>
      </c>
      <c r="O477" s="891" t="s">
        <v>367</v>
      </c>
      <c r="P477" s="891" t="s">
        <v>367</v>
      </c>
      <c r="Q477" s="895" t="s">
        <v>367</v>
      </c>
      <c r="R477" s="543" t="s">
        <v>596</v>
      </c>
      <c r="S477" s="285" t="s">
        <v>549</v>
      </c>
      <c r="T477" s="124">
        <v>330</v>
      </c>
      <c r="U477" s="124">
        <v>310</v>
      </c>
      <c r="V477" s="124">
        <v>350</v>
      </c>
      <c r="W477" s="893">
        <v>290</v>
      </c>
      <c r="X477" s="860">
        <v>330</v>
      </c>
      <c r="Y477" s="920">
        <v>400</v>
      </c>
      <c r="Z477" s="860">
        <v>360</v>
      </c>
      <c r="AA477" s="860">
        <v>370</v>
      </c>
      <c r="AB477" s="860">
        <v>340</v>
      </c>
      <c r="AC477" s="938">
        <v>360</v>
      </c>
      <c r="AD477" s="780">
        <v>400</v>
      </c>
      <c r="AE477" s="428" t="s">
        <v>97</v>
      </c>
      <c r="AF477" s="431">
        <v>6450</v>
      </c>
      <c r="AG477" s="432">
        <v>6.2015503875968991E-2</v>
      </c>
      <c r="AH477" s="433" t="s">
        <v>1524</v>
      </c>
      <c r="AI477" s="434">
        <v>30</v>
      </c>
      <c r="AJ477" s="434">
        <v>30</v>
      </c>
      <c r="AK477" s="435">
        <v>620</v>
      </c>
      <c r="AL477" s="941"/>
      <c r="AM477" s="337">
        <v>2</v>
      </c>
    </row>
    <row r="478" spans="1:39" ht="15" thickBot="1" x14ac:dyDescent="0.35">
      <c r="A478" s="88">
        <v>940</v>
      </c>
      <c r="B478" s="88">
        <v>765</v>
      </c>
      <c r="C478" s="479" t="s">
        <v>1169</v>
      </c>
      <c r="D478" s="91" t="s">
        <v>1170</v>
      </c>
      <c r="E478" s="91" t="s">
        <v>1171</v>
      </c>
      <c r="F478" s="812">
        <v>1451</v>
      </c>
      <c r="G478" s="1024" t="s">
        <v>539</v>
      </c>
      <c r="H478" s="170"/>
      <c r="I478" s="605">
        <v>2</v>
      </c>
      <c r="J478" s="812" t="s">
        <v>205</v>
      </c>
      <c r="K478" s="271" t="s">
        <v>75</v>
      </c>
      <c r="L478" s="841" t="s">
        <v>594</v>
      </c>
      <c r="M478" s="841" t="s">
        <v>595</v>
      </c>
      <c r="N478" s="841" t="s">
        <v>595</v>
      </c>
      <c r="O478" s="841" t="s">
        <v>595</v>
      </c>
      <c r="P478" s="850" t="s">
        <v>626</v>
      </c>
      <c r="Q478" s="909" t="s">
        <v>626</v>
      </c>
      <c r="R478" s="97" t="s">
        <v>556</v>
      </c>
      <c r="S478" s="535" t="s">
        <v>549</v>
      </c>
      <c r="T478" s="776">
        <v>220</v>
      </c>
      <c r="U478" s="776">
        <v>370</v>
      </c>
      <c r="V478" s="776">
        <v>210</v>
      </c>
      <c r="W478" s="1025">
        <v>220</v>
      </c>
      <c r="X478" s="1026" t="s">
        <v>81</v>
      </c>
      <c r="Y478" s="1026" t="s">
        <v>81</v>
      </c>
      <c r="Z478" s="1026"/>
      <c r="AA478" s="1026" t="s">
        <v>81</v>
      </c>
      <c r="AB478" s="606" t="s">
        <v>81</v>
      </c>
      <c r="AC478" s="607" t="s">
        <v>81</v>
      </c>
      <c r="AD478" s="607" t="s">
        <v>81</v>
      </c>
      <c r="AE478" s="550" t="s">
        <v>229</v>
      </c>
      <c r="AF478" s="481">
        <v>13640</v>
      </c>
      <c r="AG478" s="607" t="s">
        <v>81</v>
      </c>
      <c r="AH478" s="607" t="s">
        <v>81</v>
      </c>
      <c r="AI478" s="607" t="s">
        <v>81</v>
      </c>
      <c r="AJ478" s="607" t="s">
        <v>81</v>
      </c>
      <c r="AK478" s="485">
        <v>1230</v>
      </c>
      <c r="AL478" s="941"/>
      <c r="AM478" s="127">
        <v>2</v>
      </c>
    </row>
    <row r="479" spans="1:39" x14ac:dyDescent="0.3">
      <c r="A479" s="103">
        <v>942</v>
      </c>
      <c r="B479" s="103">
        <v>766</v>
      </c>
      <c r="C479" s="196" t="s">
        <v>1172</v>
      </c>
      <c r="D479" s="189" t="s">
        <v>832</v>
      </c>
      <c r="E479" s="177" t="s">
        <v>1173</v>
      </c>
      <c r="F479" s="804">
        <v>1440</v>
      </c>
      <c r="G479" s="1017" t="s">
        <v>539</v>
      </c>
      <c r="H479" s="77"/>
      <c r="I479" s="178">
        <v>1</v>
      </c>
      <c r="J479" s="804" t="s">
        <v>154</v>
      </c>
      <c r="K479" s="340" t="s">
        <v>75</v>
      </c>
      <c r="L479" s="843" t="s">
        <v>540</v>
      </c>
      <c r="M479" s="848" t="s">
        <v>541</v>
      </c>
      <c r="N479" s="843" t="s">
        <v>541</v>
      </c>
      <c r="O479" s="843" t="s">
        <v>541</v>
      </c>
      <c r="P479" s="843" t="s">
        <v>542</v>
      </c>
      <c r="Q479" s="975" t="s">
        <v>542</v>
      </c>
      <c r="R479" s="131" t="s">
        <v>758</v>
      </c>
      <c r="S479" s="484" t="s">
        <v>549</v>
      </c>
      <c r="T479" s="825">
        <v>2480</v>
      </c>
      <c r="U479" s="825">
        <v>2620</v>
      </c>
      <c r="V479" s="825">
        <v>2540</v>
      </c>
      <c r="W479" s="836">
        <v>2650</v>
      </c>
      <c r="X479" s="759">
        <v>2690</v>
      </c>
      <c r="Y479" s="759">
        <v>2870</v>
      </c>
      <c r="Z479" s="759">
        <v>2710</v>
      </c>
      <c r="AA479" s="929">
        <v>3110</v>
      </c>
      <c r="AB479" s="886">
        <v>2720</v>
      </c>
      <c r="AC479" s="887">
        <v>2410</v>
      </c>
      <c r="AD479" s="754">
        <v>2570</v>
      </c>
      <c r="AE479" s="86" t="s">
        <v>229</v>
      </c>
      <c r="AF479" s="409">
        <v>13640</v>
      </c>
      <c r="AG479" s="79">
        <v>0.18841642228739003</v>
      </c>
      <c r="AH479" s="86" t="s">
        <v>97</v>
      </c>
      <c r="AI479" s="181">
        <v>180</v>
      </c>
      <c r="AJ479" s="181">
        <v>240</v>
      </c>
      <c r="AK479" s="181">
        <v>1020</v>
      </c>
      <c r="AL479" s="977"/>
      <c r="AM479" s="182">
        <v>2</v>
      </c>
    </row>
    <row r="480" spans="1:39" ht="15" thickBot="1" x14ac:dyDescent="0.35">
      <c r="A480" s="88">
        <v>943</v>
      </c>
      <c r="B480" s="88">
        <v>767</v>
      </c>
      <c r="C480" s="479" t="s">
        <v>1172</v>
      </c>
      <c r="D480" s="185" t="s">
        <v>1174</v>
      </c>
      <c r="E480" s="185" t="s">
        <v>1175</v>
      </c>
      <c r="F480" s="801">
        <v>1441</v>
      </c>
      <c r="G480" s="1016" t="s">
        <v>539</v>
      </c>
      <c r="H480" s="97"/>
      <c r="I480" s="93">
        <v>1</v>
      </c>
      <c r="J480" s="801" t="s">
        <v>154</v>
      </c>
      <c r="K480" s="271" t="s">
        <v>75</v>
      </c>
      <c r="L480" s="845" t="s">
        <v>594</v>
      </c>
      <c r="M480" s="850" t="s">
        <v>595</v>
      </c>
      <c r="N480" s="841" t="s">
        <v>595</v>
      </c>
      <c r="O480" s="841" t="s">
        <v>595</v>
      </c>
      <c r="P480" s="850" t="s">
        <v>542</v>
      </c>
      <c r="Q480" s="975" t="s">
        <v>542</v>
      </c>
      <c r="R480" s="95" t="s">
        <v>596</v>
      </c>
      <c r="S480" s="285" t="s">
        <v>549</v>
      </c>
      <c r="T480" s="827">
        <v>1250</v>
      </c>
      <c r="U480" s="827">
        <v>1300</v>
      </c>
      <c r="V480" s="827">
        <v>1750</v>
      </c>
      <c r="W480" s="828">
        <v>1540</v>
      </c>
      <c r="X480" s="842">
        <v>1750</v>
      </c>
      <c r="Y480" s="842">
        <v>1880</v>
      </c>
      <c r="Z480" s="842">
        <v>1760</v>
      </c>
      <c r="AA480" s="935">
        <v>1870</v>
      </c>
      <c r="AB480" s="842">
        <v>1520</v>
      </c>
      <c r="AC480" s="861">
        <v>1180</v>
      </c>
      <c r="AD480" s="750">
        <v>1410</v>
      </c>
      <c r="AE480" s="92" t="s">
        <v>229</v>
      </c>
      <c r="AF480" s="241">
        <v>13640</v>
      </c>
      <c r="AG480" s="147">
        <v>0.10337243401759531</v>
      </c>
      <c r="AH480" s="100" t="s">
        <v>97</v>
      </c>
      <c r="AI480" s="126">
        <v>100</v>
      </c>
      <c r="AJ480" s="126">
        <v>130</v>
      </c>
      <c r="AK480" s="126">
        <v>1020</v>
      </c>
      <c r="AL480" s="862"/>
      <c r="AM480" s="102">
        <v>2</v>
      </c>
    </row>
    <row r="481" spans="1:39" x14ac:dyDescent="0.3">
      <c r="A481" s="103">
        <v>947</v>
      </c>
      <c r="B481" s="103">
        <v>770</v>
      </c>
      <c r="C481" s="318" t="s">
        <v>1176</v>
      </c>
      <c r="D481" s="338" t="s">
        <v>1177</v>
      </c>
      <c r="E481" s="189" t="s">
        <v>1178</v>
      </c>
      <c r="F481" s="804">
        <v>1461</v>
      </c>
      <c r="G481" s="1017" t="s">
        <v>539</v>
      </c>
      <c r="H481" s="131" t="s">
        <v>73</v>
      </c>
      <c r="I481" s="178">
        <v>4</v>
      </c>
      <c r="J481" s="804" t="s">
        <v>205</v>
      </c>
      <c r="K481" s="340" t="s">
        <v>75</v>
      </c>
      <c r="L481" s="843" t="s">
        <v>1065</v>
      </c>
      <c r="M481" s="848" t="s">
        <v>764</v>
      </c>
      <c r="N481" s="843" t="s">
        <v>764</v>
      </c>
      <c r="O481" s="843" t="s">
        <v>764</v>
      </c>
      <c r="P481" s="843" t="s">
        <v>764</v>
      </c>
      <c r="Q481" s="933" t="s">
        <v>764</v>
      </c>
      <c r="R481" s="220" t="s">
        <v>895</v>
      </c>
      <c r="S481" s="220" t="s">
        <v>605</v>
      </c>
      <c r="T481" s="825">
        <v>3340</v>
      </c>
      <c r="U481" s="825">
        <v>3480</v>
      </c>
      <c r="V481" s="57">
        <v>4020</v>
      </c>
      <c r="W481" s="836">
        <v>4420</v>
      </c>
      <c r="X481" s="759">
        <v>5220</v>
      </c>
      <c r="Y481" s="759">
        <v>5750</v>
      </c>
      <c r="Z481" s="759">
        <v>4780</v>
      </c>
      <c r="AA481" s="929">
        <v>5090</v>
      </c>
      <c r="AB481" s="886">
        <v>5050</v>
      </c>
      <c r="AC481" s="887">
        <v>4360</v>
      </c>
      <c r="AD481" s="754">
        <v>4730</v>
      </c>
      <c r="AE481" s="131" t="s">
        <v>97</v>
      </c>
      <c r="AF481" s="78">
        <v>11775</v>
      </c>
      <c r="AG481" s="79">
        <v>0.40169851380042465</v>
      </c>
      <c r="AH481" s="86" t="s">
        <v>1524</v>
      </c>
      <c r="AI481" s="181">
        <v>420</v>
      </c>
      <c r="AJ481" s="181">
        <v>430</v>
      </c>
      <c r="AK481" s="181">
        <v>1120</v>
      </c>
      <c r="AL481" s="832">
        <f t="shared" ref="AL481:AL493" si="20">IF(AD481&gt;0,AD481*$I481,"-")</f>
        <v>18920</v>
      </c>
      <c r="AM481" s="182">
        <v>2</v>
      </c>
    </row>
    <row r="482" spans="1:39" ht="15" thickBot="1" x14ac:dyDescent="0.35">
      <c r="A482" s="33">
        <v>950</v>
      </c>
      <c r="B482" s="33">
        <v>773</v>
      </c>
      <c r="C482" s="300" t="s">
        <v>1176</v>
      </c>
      <c r="D482" s="301" t="s">
        <v>1179</v>
      </c>
      <c r="E482" s="35" t="s">
        <v>1180</v>
      </c>
      <c r="F482" s="799">
        <v>1464</v>
      </c>
      <c r="G482" s="854" t="s">
        <v>539</v>
      </c>
      <c r="H482" s="36" t="s">
        <v>73</v>
      </c>
      <c r="I482" s="37">
        <v>1.4</v>
      </c>
      <c r="J482" s="799" t="s">
        <v>140</v>
      </c>
      <c r="K482" s="324" t="s">
        <v>75</v>
      </c>
      <c r="L482" s="837" t="s">
        <v>540</v>
      </c>
      <c r="M482" s="837" t="s">
        <v>584</v>
      </c>
      <c r="N482" s="837" t="s">
        <v>584</v>
      </c>
      <c r="O482" s="837" t="s">
        <v>584</v>
      </c>
      <c r="P482" s="837" t="s">
        <v>626</v>
      </c>
      <c r="Q482" s="909" t="s">
        <v>626</v>
      </c>
      <c r="R482" s="65" t="s">
        <v>543</v>
      </c>
      <c r="S482" s="39" t="s">
        <v>872</v>
      </c>
      <c r="T482" s="833">
        <v>3700</v>
      </c>
      <c r="U482" s="833">
        <v>3510</v>
      </c>
      <c r="V482" s="833">
        <v>3670</v>
      </c>
      <c r="W482" s="820">
        <v>3960</v>
      </c>
      <c r="X482" s="838">
        <v>4360</v>
      </c>
      <c r="Y482" s="838">
        <v>4660</v>
      </c>
      <c r="Z482" s="838">
        <v>4830</v>
      </c>
      <c r="AA482" s="930">
        <v>5180</v>
      </c>
      <c r="AB482" s="838">
        <v>4730</v>
      </c>
      <c r="AC482" s="888">
        <v>4930</v>
      </c>
      <c r="AD482" s="749">
        <v>5700</v>
      </c>
      <c r="AE482" s="36" t="s">
        <v>229</v>
      </c>
      <c r="AF482" s="213">
        <v>13640</v>
      </c>
      <c r="AG482" s="315">
        <v>0.41788856304985339</v>
      </c>
      <c r="AH482" s="83" t="s">
        <v>97</v>
      </c>
      <c r="AI482" s="120">
        <v>540</v>
      </c>
      <c r="AJ482" s="120">
        <v>500</v>
      </c>
      <c r="AK482" s="316">
        <v>1230</v>
      </c>
      <c r="AL482" s="832">
        <f t="shared" si="20"/>
        <v>7979.9999999999991</v>
      </c>
      <c r="AM482" s="121">
        <v>2</v>
      </c>
    </row>
    <row r="483" spans="1:39" ht="15" thickBot="1" x14ac:dyDescent="0.35">
      <c r="A483" s="33">
        <v>951</v>
      </c>
      <c r="B483" s="33">
        <v>774</v>
      </c>
      <c r="C483" s="300" t="s">
        <v>1176</v>
      </c>
      <c r="D483" s="301" t="s">
        <v>1181</v>
      </c>
      <c r="E483" s="70" t="s">
        <v>1182</v>
      </c>
      <c r="F483" s="800">
        <v>1465</v>
      </c>
      <c r="G483" s="855" t="s">
        <v>539</v>
      </c>
      <c r="H483" s="71" t="s">
        <v>73</v>
      </c>
      <c r="I483" s="72">
        <v>2.5</v>
      </c>
      <c r="J483" s="800" t="s">
        <v>140</v>
      </c>
      <c r="K483" s="321" t="s">
        <v>75</v>
      </c>
      <c r="L483" s="835" t="s">
        <v>540</v>
      </c>
      <c r="M483" s="839" t="s">
        <v>584</v>
      </c>
      <c r="N483" s="835" t="s">
        <v>584</v>
      </c>
      <c r="O483" s="835" t="s">
        <v>584</v>
      </c>
      <c r="P483" s="835" t="s">
        <v>626</v>
      </c>
      <c r="Q483" s="909" t="s">
        <v>626</v>
      </c>
      <c r="R483" s="52" t="s">
        <v>543</v>
      </c>
      <c r="S483" s="56" t="s">
        <v>872</v>
      </c>
      <c r="T483" s="825">
        <v>2720</v>
      </c>
      <c r="U483" s="825">
        <v>2610</v>
      </c>
      <c r="V483" s="825">
        <v>2830</v>
      </c>
      <c r="W483" s="822">
        <v>3040</v>
      </c>
      <c r="X483" s="760">
        <v>3730</v>
      </c>
      <c r="Y483" s="760">
        <v>3960</v>
      </c>
      <c r="Z483" s="760">
        <v>5020</v>
      </c>
      <c r="AA483" s="931">
        <v>4960</v>
      </c>
      <c r="AB483" s="760">
        <v>6020</v>
      </c>
      <c r="AC483" s="884">
        <v>6320</v>
      </c>
      <c r="AD483" s="748">
        <v>7380</v>
      </c>
      <c r="AE483" s="71" t="s">
        <v>229</v>
      </c>
      <c r="AF483" s="194">
        <v>13640</v>
      </c>
      <c r="AG483" s="303">
        <v>0.54105571847507328</v>
      </c>
      <c r="AH483" s="80" t="s">
        <v>97</v>
      </c>
      <c r="AI483" s="115">
        <v>490</v>
      </c>
      <c r="AJ483" s="115">
        <v>670</v>
      </c>
      <c r="AK483" s="304">
        <v>1230</v>
      </c>
      <c r="AL483" s="832">
        <f t="shared" si="20"/>
        <v>18450</v>
      </c>
      <c r="AM483" s="122">
        <v>2</v>
      </c>
    </row>
    <row r="484" spans="1:39" x14ac:dyDescent="0.3">
      <c r="A484" s="33">
        <v>953</v>
      </c>
      <c r="B484" s="33">
        <v>776</v>
      </c>
      <c r="C484" s="300" t="s">
        <v>1176</v>
      </c>
      <c r="D484" s="301" t="s">
        <v>1183</v>
      </c>
      <c r="E484" s="64" t="s">
        <v>1184</v>
      </c>
      <c r="F484" s="799">
        <v>1467</v>
      </c>
      <c r="G484" s="854" t="s">
        <v>539</v>
      </c>
      <c r="H484" s="36" t="s">
        <v>73</v>
      </c>
      <c r="I484" s="37">
        <v>1.75</v>
      </c>
      <c r="J484" s="799" t="s">
        <v>154</v>
      </c>
      <c r="K484" s="324" t="s">
        <v>75</v>
      </c>
      <c r="L484" s="837" t="s">
        <v>540</v>
      </c>
      <c r="M484" s="837" t="s">
        <v>584</v>
      </c>
      <c r="N484" s="837" t="s">
        <v>584</v>
      </c>
      <c r="O484" s="837" t="s">
        <v>584</v>
      </c>
      <c r="P484" s="837" t="s">
        <v>542</v>
      </c>
      <c r="Q484" s="975" t="s">
        <v>542</v>
      </c>
      <c r="R484" s="65" t="s">
        <v>543</v>
      </c>
      <c r="S484" s="39" t="s">
        <v>872</v>
      </c>
      <c r="T484" s="833">
        <v>2800</v>
      </c>
      <c r="U484" s="833">
        <v>2780</v>
      </c>
      <c r="V484" s="833">
        <v>3040</v>
      </c>
      <c r="W484" s="820">
        <v>3200</v>
      </c>
      <c r="X484" s="838">
        <v>3380</v>
      </c>
      <c r="Y484" s="838">
        <v>3580</v>
      </c>
      <c r="Z484" s="838">
        <v>4470</v>
      </c>
      <c r="AA484" s="930">
        <v>5020</v>
      </c>
      <c r="AB484" s="838">
        <v>4810</v>
      </c>
      <c r="AC484" s="888">
        <v>5790</v>
      </c>
      <c r="AD484" s="749">
        <v>6680</v>
      </c>
      <c r="AE484" s="36" t="s">
        <v>229</v>
      </c>
      <c r="AF484" s="213">
        <v>13640</v>
      </c>
      <c r="AG484" s="315">
        <v>0.48973607038123168</v>
      </c>
      <c r="AH484" s="83" t="s">
        <v>80</v>
      </c>
      <c r="AI484" s="120">
        <v>450</v>
      </c>
      <c r="AJ484" s="120">
        <v>580</v>
      </c>
      <c r="AK484" s="120">
        <v>1020</v>
      </c>
      <c r="AL484" s="832">
        <f t="shared" si="20"/>
        <v>11690</v>
      </c>
      <c r="AM484" s="121">
        <v>2</v>
      </c>
    </row>
    <row r="485" spans="1:39" ht="15" thickBot="1" x14ac:dyDescent="0.35">
      <c r="A485" s="33">
        <v>957</v>
      </c>
      <c r="B485" s="33">
        <v>780</v>
      </c>
      <c r="C485" s="300" t="s">
        <v>1176</v>
      </c>
      <c r="D485" s="301" t="s">
        <v>1185</v>
      </c>
      <c r="E485" s="51" t="s">
        <v>1186</v>
      </c>
      <c r="F485" s="800">
        <v>1471</v>
      </c>
      <c r="G485" s="855" t="s">
        <v>539</v>
      </c>
      <c r="H485" s="71" t="s">
        <v>73</v>
      </c>
      <c r="I485" s="72">
        <v>1.45</v>
      </c>
      <c r="J485" s="800" t="s">
        <v>158</v>
      </c>
      <c r="K485" s="321" t="s">
        <v>75</v>
      </c>
      <c r="L485" s="835" t="s">
        <v>540</v>
      </c>
      <c r="M485" s="839" t="s">
        <v>584</v>
      </c>
      <c r="N485" s="835" t="s">
        <v>584</v>
      </c>
      <c r="O485" s="835" t="s">
        <v>584</v>
      </c>
      <c r="P485" s="835" t="s">
        <v>626</v>
      </c>
      <c r="Q485" s="909" t="s">
        <v>626</v>
      </c>
      <c r="R485" s="52" t="s">
        <v>543</v>
      </c>
      <c r="S485" s="56" t="s">
        <v>872</v>
      </c>
      <c r="T485" s="825">
        <v>4230</v>
      </c>
      <c r="U485" s="825">
        <v>4280</v>
      </c>
      <c r="V485" s="825">
        <v>4710</v>
      </c>
      <c r="W485" s="822">
        <v>4960</v>
      </c>
      <c r="X485" s="760">
        <v>4970</v>
      </c>
      <c r="Y485" s="760">
        <v>6880</v>
      </c>
      <c r="Z485" s="760">
        <v>8130</v>
      </c>
      <c r="AA485" s="931">
        <v>8300</v>
      </c>
      <c r="AB485" s="760">
        <v>6940</v>
      </c>
      <c r="AC485" s="884">
        <v>8490</v>
      </c>
      <c r="AD485" s="748">
        <v>10090</v>
      </c>
      <c r="AE485" s="140" t="s">
        <v>229</v>
      </c>
      <c r="AF485" s="194">
        <v>13640</v>
      </c>
      <c r="AG485" s="303">
        <v>0.73973607038123168</v>
      </c>
      <c r="AH485" s="80" t="s">
        <v>97</v>
      </c>
      <c r="AI485" s="115">
        <v>710</v>
      </c>
      <c r="AJ485" s="115">
        <v>830</v>
      </c>
      <c r="AK485" s="304">
        <v>1230</v>
      </c>
      <c r="AL485" s="832">
        <f t="shared" si="20"/>
        <v>14630.5</v>
      </c>
      <c r="AM485" s="122">
        <v>2</v>
      </c>
    </row>
    <row r="486" spans="1:39" ht="15" thickBot="1" x14ac:dyDescent="0.35">
      <c r="A486" s="33">
        <v>959</v>
      </c>
      <c r="B486" s="33">
        <v>782</v>
      </c>
      <c r="C486" s="300" t="s">
        <v>1176</v>
      </c>
      <c r="D486" s="301" t="s">
        <v>1187</v>
      </c>
      <c r="E486" s="64" t="s">
        <v>1188</v>
      </c>
      <c r="F486" s="799">
        <v>1473</v>
      </c>
      <c r="G486" s="854" t="s">
        <v>539</v>
      </c>
      <c r="H486" s="36" t="s">
        <v>73</v>
      </c>
      <c r="I486" s="37">
        <v>1.05</v>
      </c>
      <c r="J486" s="799" t="s">
        <v>158</v>
      </c>
      <c r="K486" s="324" t="s">
        <v>75</v>
      </c>
      <c r="L486" s="837" t="s">
        <v>540</v>
      </c>
      <c r="M486" s="837" t="s">
        <v>584</v>
      </c>
      <c r="N486" s="837" t="s">
        <v>584</v>
      </c>
      <c r="O486" s="837" t="s">
        <v>584</v>
      </c>
      <c r="P486" s="837" t="s">
        <v>626</v>
      </c>
      <c r="Q486" s="909" t="s">
        <v>626</v>
      </c>
      <c r="R486" s="65" t="s">
        <v>543</v>
      </c>
      <c r="S486" s="39" t="s">
        <v>872</v>
      </c>
      <c r="T486" s="833">
        <v>5240</v>
      </c>
      <c r="U486" s="833">
        <v>4910</v>
      </c>
      <c r="V486" s="833">
        <v>5150</v>
      </c>
      <c r="W486" s="820">
        <v>5570</v>
      </c>
      <c r="X486" s="838">
        <v>6010</v>
      </c>
      <c r="Y486" s="838">
        <v>7040</v>
      </c>
      <c r="Z486" s="838">
        <v>7810</v>
      </c>
      <c r="AA486" s="930">
        <v>9390</v>
      </c>
      <c r="AB486" s="838">
        <v>8800</v>
      </c>
      <c r="AC486" s="888">
        <v>8800</v>
      </c>
      <c r="AD486" s="749">
        <v>9860</v>
      </c>
      <c r="AE486" s="36" t="s">
        <v>229</v>
      </c>
      <c r="AF486" s="213">
        <v>13640</v>
      </c>
      <c r="AG486" s="315">
        <v>0.72287390029325516</v>
      </c>
      <c r="AH486" s="83" t="s">
        <v>97</v>
      </c>
      <c r="AI486" s="120">
        <v>710</v>
      </c>
      <c r="AJ486" s="120">
        <v>840</v>
      </c>
      <c r="AK486" s="316">
        <v>1230</v>
      </c>
      <c r="AL486" s="832">
        <f t="shared" si="20"/>
        <v>10353</v>
      </c>
      <c r="AM486" s="121">
        <v>2</v>
      </c>
    </row>
    <row r="487" spans="1:39" x14ac:dyDescent="0.3">
      <c r="A487" s="33">
        <v>960</v>
      </c>
      <c r="B487" s="33">
        <v>783</v>
      </c>
      <c r="C487" s="300" t="s">
        <v>1176</v>
      </c>
      <c r="D487" s="301" t="s">
        <v>1189</v>
      </c>
      <c r="E487" s="70" t="s">
        <v>1190</v>
      </c>
      <c r="F487" s="800">
        <v>1474</v>
      </c>
      <c r="G487" s="855" t="s">
        <v>539</v>
      </c>
      <c r="H487" s="71" t="s">
        <v>73</v>
      </c>
      <c r="I487" s="72">
        <v>0.5</v>
      </c>
      <c r="J487" s="800" t="s">
        <v>154</v>
      </c>
      <c r="K487" s="321" t="s">
        <v>104</v>
      </c>
      <c r="L487" s="835" t="s">
        <v>540</v>
      </c>
      <c r="M487" s="839" t="s">
        <v>584</v>
      </c>
      <c r="N487" s="835" t="s">
        <v>584</v>
      </c>
      <c r="O487" s="835" t="s">
        <v>584</v>
      </c>
      <c r="P487" s="835" t="s">
        <v>542</v>
      </c>
      <c r="Q487" s="975" t="s">
        <v>542</v>
      </c>
      <c r="R487" s="52" t="s">
        <v>543</v>
      </c>
      <c r="S487" s="56" t="s">
        <v>872</v>
      </c>
      <c r="T487" s="825">
        <v>8220</v>
      </c>
      <c r="U487" s="825">
        <v>7300</v>
      </c>
      <c r="V487" s="825">
        <v>7280</v>
      </c>
      <c r="W487" s="822">
        <v>8100</v>
      </c>
      <c r="X487" s="760">
        <v>8320</v>
      </c>
      <c r="Y487" s="760">
        <v>7520</v>
      </c>
      <c r="Z487" s="760">
        <v>8190</v>
      </c>
      <c r="AA487" s="931">
        <v>8660</v>
      </c>
      <c r="AB487" s="760">
        <v>7680</v>
      </c>
      <c r="AC487" s="884">
        <v>7800</v>
      </c>
      <c r="AD487" s="748">
        <v>8320</v>
      </c>
      <c r="AE487" s="140" t="s">
        <v>229</v>
      </c>
      <c r="AF487" s="194">
        <v>13640</v>
      </c>
      <c r="AG487" s="303">
        <v>0.60997067448680353</v>
      </c>
      <c r="AH487" s="80" t="s">
        <v>80</v>
      </c>
      <c r="AI487" s="115">
        <v>560</v>
      </c>
      <c r="AJ487" s="115">
        <v>730</v>
      </c>
      <c r="AK487" s="115">
        <v>1020</v>
      </c>
      <c r="AL487" s="832">
        <f t="shared" si="20"/>
        <v>4160</v>
      </c>
      <c r="AM487" s="122">
        <v>2</v>
      </c>
    </row>
    <row r="488" spans="1:39" x14ac:dyDescent="0.3">
      <c r="A488" s="33">
        <v>961</v>
      </c>
      <c r="B488" s="33">
        <v>2011</v>
      </c>
      <c r="C488" s="300" t="s">
        <v>1176</v>
      </c>
      <c r="D488" s="301" t="s">
        <v>1191</v>
      </c>
      <c r="E488" s="133" t="s">
        <v>1192</v>
      </c>
      <c r="F488" s="799">
        <v>1475</v>
      </c>
      <c r="G488" s="854" t="s">
        <v>539</v>
      </c>
      <c r="H488" s="36" t="s">
        <v>73</v>
      </c>
      <c r="I488" s="37">
        <v>0.25</v>
      </c>
      <c r="J488" s="799" t="s">
        <v>154</v>
      </c>
      <c r="K488" s="324" t="s">
        <v>104</v>
      </c>
      <c r="L488" s="837" t="s">
        <v>614</v>
      </c>
      <c r="M488" s="837" t="s">
        <v>584</v>
      </c>
      <c r="N488" s="837" t="s">
        <v>584</v>
      </c>
      <c r="O488" s="837" t="s">
        <v>584</v>
      </c>
      <c r="P488" s="837" t="s">
        <v>542</v>
      </c>
      <c r="Q488" s="975" t="s">
        <v>542</v>
      </c>
      <c r="R488" s="65" t="s">
        <v>543</v>
      </c>
      <c r="S488" s="39" t="s">
        <v>872</v>
      </c>
      <c r="T488" s="833">
        <v>1940</v>
      </c>
      <c r="U488" s="833">
        <v>2120</v>
      </c>
      <c r="V488" s="833">
        <v>2420</v>
      </c>
      <c r="W488" s="820">
        <v>2130</v>
      </c>
      <c r="X488" s="838">
        <v>2610</v>
      </c>
      <c r="Y488" s="838">
        <v>2500</v>
      </c>
      <c r="Z488" s="838">
        <v>2300</v>
      </c>
      <c r="AA488" s="930">
        <v>2700</v>
      </c>
      <c r="AB488" s="838">
        <v>2480</v>
      </c>
      <c r="AC488" s="888">
        <v>2250</v>
      </c>
      <c r="AD488" s="749">
        <v>2900</v>
      </c>
      <c r="AE488" s="36" t="s">
        <v>229</v>
      </c>
      <c r="AF488" s="213">
        <v>13640</v>
      </c>
      <c r="AG488" s="315">
        <v>0.21260997067448681</v>
      </c>
      <c r="AH488" s="83" t="s">
        <v>97</v>
      </c>
      <c r="AI488" s="120">
        <v>190</v>
      </c>
      <c r="AJ488" s="120">
        <v>270</v>
      </c>
      <c r="AK488" s="120">
        <v>1020</v>
      </c>
      <c r="AL488" s="832">
        <f t="shared" si="20"/>
        <v>725</v>
      </c>
      <c r="AM488" s="121">
        <v>2</v>
      </c>
    </row>
    <row r="489" spans="1:39" x14ac:dyDescent="0.3">
      <c r="A489" s="33">
        <v>962</v>
      </c>
      <c r="B489" s="608">
        <v>2010</v>
      </c>
      <c r="C489" s="352" t="s">
        <v>1193</v>
      </c>
      <c r="D489" s="323" t="s">
        <v>1191</v>
      </c>
      <c r="E489" s="139" t="s">
        <v>1194</v>
      </c>
      <c r="F489" s="63">
        <v>1955</v>
      </c>
      <c r="G489" s="855" t="s">
        <v>539</v>
      </c>
      <c r="H489" s="52" t="s">
        <v>73</v>
      </c>
      <c r="I489" s="72">
        <v>0.25</v>
      </c>
      <c r="J489" s="800" t="s">
        <v>154</v>
      </c>
      <c r="K489" s="302" t="s">
        <v>104</v>
      </c>
      <c r="L489" s="835" t="s">
        <v>614</v>
      </c>
      <c r="M489" s="839" t="s">
        <v>615</v>
      </c>
      <c r="N489" s="835" t="s">
        <v>615</v>
      </c>
      <c r="O489" s="835" t="s">
        <v>615</v>
      </c>
      <c r="P489" s="835" t="s">
        <v>616</v>
      </c>
      <c r="Q489" s="904" t="s">
        <v>616</v>
      </c>
      <c r="R489" s="52" t="s">
        <v>543</v>
      </c>
      <c r="S489" s="56" t="s">
        <v>872</v>
      </c>
      <c r="T489" s="825">
        <v>7550</v>
      </c>
      <c r="U489" s="825">
        <v>7540</v>
      </c>
      <c r="V489" s="825">
        <v>7600</v>
      </c>
      <c r="W489" s="58">
        <v>7660</v>
      </c>
      <c r="X489" s="760">
        <v>7350</v>
      </c>
      <c r="Y489" s="760">
        <v>7710</v>
      </c>
      <c r="Z489" s="760">
        <v>7230</v>
      </c>
      <c r="AA489" s="760">
        <v>8180</v>
      </c>
      <c r="AB489" s="760">
        <v>7320</v>
      </c>
      <c r="AC489" s="884">
        <v>7330</v>
      </c>
      <c r="AD489" s="748">
        <v>7680</v>
      </c>
      <c r="AE489" s="80" t="s">
        <v>229</v>
      </c>
      <c r="AF489" s="194">
        <v>14740</v>
      </c>
      <c r="AG489" s="303">
        <v>0.52103120759837174</v>
      </c>
      <c r="AH489" s="80" t="s">
        <v>80</v>
      </c>
      <c r="AI489" s="115">
        <v>500</v>
      </c>
      <c r="AJ489" s="115">
        <v>640</v>
      </c>
      <c r="AK489" s="304">
        <v>1330</v>
      </c>
      <c r="AL489" s="832">
        <f t="shared" si="20"/>
        <v>1920</v>
      </c>
      <c r="AM489" s="63">
        <v>3</v>
      </c>
    </row>
    <row r="490" spans="1:39" x14ac:dyDescent="0.3">
      <c r="A490" s="33">
        <v>963</v>
      </c>
      <c r="B490" s="33">
        <v>2009</v>
      </c>
      <c r="C490" s="352" t="s">
        <v>1195</v>
      </c>
      <c r="D490" s="301" t="s">
        <v>711</v>
      </c>
      <c r="E490" s="35" t="s">
        <v>1196</v>
      </c>
      <c r="F490" s="799">
        <v>1261</v>
      </c>
      <c r="G490" s="854" t="s">
        <v>539</v>
      </c>
      <c r="H490" s="65" t="s">
        <v>73</v>
      </c>
      <c r="I490" s="37">
        <v>0.75</v>
      </c>
      <c r="J490" s="799" t="s">
        <v>158</v>
      </c>
      <c r="K490" s="478" t="s">
        <v>104</v>
      </c>
      <c r="L490" s="837" t="s">
        <v>619</v>
      </c>
      <c r="M490" s="837" t="s">
        <v>620</v>
      </c>
      <c r="N490" s="837" t="s">
        <v>620</v>
      </c>
      <c r="O490" s="837" t="s">
        <v>620</v>
      </c>
      <c r="P490" s="837" t="s">
        <v>637</v>
      </c>
      <c r="Q490" s="410" t="s">
        <v>637</v>
      </c>
      <c r="R490" s="65" t="s">
        <v>543</v>
      </c>
      <c r="S490" s="39" t="s">
        <v>872</v>
      </c>
      <c r="T490" s="833">
        <v>14180</v>
      </c>
      <c r="U490" s="833">
        <v>11730</v>
      </c>
      <c r="V490" s="833">
        <v>11780</v>
      </c>
      <c r="W490" s="820">
        <v>11910</v>
      </c>
      <c r="X490" s="838">
        <v>10510</v>
      </c>
      <c r="Y490" s="838">
        <v>13230</v>
      </c>
      <c r="Z490" s="838">
        <v>13300</v>
      </c>
      <c r="AA490" s="930">
        <v>14090</v>
      </c>
      <c r="AB490" s="838">
        <v>12580</v>
      </c>
      <c r="AC490" s="888">
        <v>13050</v>
      </c>
      <c r="AD490" s="749">
        <v>13960</v>
      </c>
      <c r="AE490" s="65" t="s">
        <v>229</v>
      </c>
      <c r="AF490" s="213">
        <v>37970</v>
      </c>
      <c r="AG490" s="315">
        <v>0.36765867790360812</v>
      </c>
      <c r="AH490" s="83" t="s">
        <v>97</v>
      </c>
      <c r="AI490" s="120">
        <v>1170</v>
      </c>
      <c r="AJ490" s="120">
        <v>1260</v>
      </c>
      <c r="AK490" s="316">
        <v>3410</v>
      </c>
      <c r="AL490" s="832">
        <f t="shared" si="20"/>
        <v>10470</v>
      </c>
      <c r="AM490" s="49">
        <v>4</v>
      </c>
    </row>
    <row r="491" spans="1:39" x14ac:dyDescent="0.3">
      <c r="A491" s="33">
        <v>965</v>
      </c>
      <c r="B491" s="33">
        <v>786</v>
      </c>
      <c r="C491" s="300" t="s">
        <v>1197</v>
      </c>
      <c r="D491" s="128" t="s">
        <v>1198</v>
      </c>
      <c r="E491" s="51" t="s">
        <v>1199</v>
      </c>
      <c r="F491" s="800">
        <v>1354</v>
      </c>
      <c r="G491" s="855" t="s">
        <v>539</v>
      </c>
      <c r="H491" s="71" t="s">
        <v>73</v>
      </c>
      <c r="I491" s="72">
        <v>0.75</v>
      </c>
      <c r="J491" s="800" t="s">
        <v>158</v>
      </c>
      <c r="K491" s="321" t="s">
        <v>104</v>
      </c>
      <c r="L491" s="835" t="s">
        <v>619</v>
      </c>
      <c r="M491" s="839" t="s">
        <v>620</v>
      </c>
      <c r="N491" s="835" t="s">
        <v>620</v>
      </c>
      <c r="O491" s="835" t="s">
        <v>620</v>
      </c>
      <c r="P491" s="835" t="s">
        <v>637</v>
      </c>
      <c r="Q491" s="410" t="s">
        <v>637</v>
      </c>
      <c r="R491" s="52" t="s">
        <v>543</v>
      </c>
      <c r="S491" s="56" t="s">
        <v>872</v>
      </c>
      <c r="T491" s="825">
        <v>11920</v>
      </c>
      <c r="U491" s="825">
        <v>11390</v>
      </c>
      <c r="V491" s="825">
        <v>11580</v>
      </c>
      <c r="W491" s="822">
        <v>11730</v>
      </c>
      <c r="X491" s="760">
        <v>11020</v>
      </c>
      <c r="Y491" s="760">
        <v>12580</v>
      </c>
      <c r="Z491" s="760">
        <v>13280</v>
      </c>
      <c r="AA491" s="931">
        <v>12790</v>
      </c>
      <c r="AB491" s="760">
        <v>13170</v>
      </c>
      <c r="AC491" s="884">
        <v>13760</v>
      </c>
      <c r="AD491" s="748">
        <v>13080</v>
      </c>
      <c r="AE491" s="140" t="s">
        <v>229</v>
      </c>
      <c r="AF491" s="194">
        <v>37970</v>
      </c>
      <c r="AG491" s="303">
        <v>0.34448248617329469</v>
      </c>
      <c r="AH491" s="80" t="s">
        <v>97</v>
      </c>
      <c r="AI491" s="115">
        <v>1100</v>
      </c>
      <c r="AJ491" s="115">
        <v>1100</v>
      </c>
      <c r="AK491" s="304">
        <v>3410</v>
      </c>
      <c r="AL491" s="832">
        <f t="shared" si="20"/>
        <v>9810</v>
      </c>
      <c r="AM491" s="122">
        <v>4</v>
      </c>
    </row>
    <row r="492" spans="1:39" x14ac:dyDescent="0.3">
      <c r="A492" s="33">
        <v>966</v>
      </c>
      <c r="B492" s="33">
        <v>787</v>
      </c>
      <c r="C492" s="300" t="s">
        <v>1129</v>
      </c>
      <c r="D492" s="301" t="s">
        <v>1200</v>
      </c>
      <c r="E492" s="35" t="s">
        <v>1201</v>
      </c>
      <c r="F492" s="799">
        <v>1353</v>
      </c>
      <c r="G492" s="854" t="s">
        <v>539</v>
      </c>
      <c r="H492" s="36" t="s">
        <v>73</v>
      </c>
      <c r="I492" s="37">
        <v>1.7</v>
      </c>
      <c r="J492" s="799" t="s">
        <v>154</v>
      </c>
      <c r="K492" s="324" t="s">
        <v>104</v>
      </c>
      <c r="L492" s="837" t="s">
        <v>583</v>
      </c>
      <c r="M492" s="837" t="s">
        <v>653</v>
      </c>
      <c r="N492" s="837" t="s">
        <v>653</v>
      </c>
      <c r="O492" s="837" t="s">
        <v>653</v>
      </c>
      <c r="P492" s="837" t="s">
        <v>542</v>
      </c>
      <c r="Q492" s="890" t="s">
        <v>588</v>
      </c>
      <c r="R492" s="65" t="s">
        <v>543</v>
      </c>
      <c r="S492" s="39" t="s">
        <v>872</v>
      </c>
      <c r="T492" s="833">
        <v>7230</v>
      </c>
      <c r="U492" s="833">
        <v>6280</v>
      </c>
      <c r="V492" s="833">
        <v>6360</v>
      </c>
      <c r="W492" s="820">
        <v>6420</v>
      </c>
      <c r="X492" s="838">
        <v>6820</v>
      </c>
      <c r="Y492" s="838">
        <v>6970</v>
      </c>
      <c r="Z492" s="838">
        <v>7070</v>
      </c>
      <c r="AA492" s="930">
        <v>8420</v>
      </c>
      <c r="AB492" s="838">
        <v>8160</v>
      </c>
      <c r="AC492" s="888">
        <v>7660</v>
      </c>
      <c r="AD492" s="749">
        <v>8340</v>
      </c>
      <c r="AE492" s="36" t="s">
        <v>229</v>
      </c>
      <c r="AF492" s="213">
        <v>14040</v>
      </c>
      <c r="AG492" s="315">
        <v>0.59401709401709402</v>
      </c>
      <c r="AH492" s="83" t="s">
        <v>80</v>
      </c>
      <c r="AI492" s="120">
        <v>510</v>
      </c>
      <c r="AJ492" s="120">
        <v>710</v>
      </c>
      <c r="AK492" s="316">
        <v>1270</v>
      </c>
      <c r="AL492" s="832">
        <f t="shared" si="20"/>
        <v>14178</v>
      </c>
      <c r="AM492" s="121">
        <v>2</v>
      </c>
    </row>
    <row r="493" spans="1:39" ht="15" thickBot="1" x14ac:dyDescent="0.35">
      <c r="A493" s="88">
        <v>968</v>
      </c>
      <c r="B493" s="88">
        <v>789</v>
      </c>
      <c r="C493" s="346" t="s">
        <v>1129</v>
      </c>
      <c r="D493" s="296" t="s">
        <v>557</v>
      </c>
      <c r="E493" s="166" t="s">
        <v>1202</v>
      </c>
      <c r="F493" s="803">
        <v>1351</v>
      </c>
      <c r="G493" s="1021" t="s">
        <v>539</v>
      </c>
      <c r="H493" s="163" t="s">
        <v>73</v>
      </c>
      <c r="I493" s="164">
        <v>2</v>
      </c>
      <c r="J493" s="803" t="s">
        <v>140</v>
      </c>
      <c r="K493" s="291" t="s">
        <v>104</v>
      </c>
      <c r="L493" s="845" t="s">
        <v>1003</v>
      </c>
      <c r="M493" s="850" t="s">
        <v>653</v>
      </c>
      <c r="N493" s="845" t="s">
        <v>653</v>
      </c>
      <c r="O493" s="845" t="s">
        <v>653</v>
      </c>
      <c r="P493" s="845" t="s">
        <v>626</v>
      </c>
      <c r="Q493" s="909" t="s">
        <v>626</v>
      </c>
      <c r="R493" s="217" t="s">
        <v>686</v>
      </c>
      <c r="S493" s="526" t="s">
        <v>872</v>
      </c>
      <c r="T493" s="846">
        <v>4250</v>
      </c>
      <c r="U493" s="846">
        <v>3920</v>
      </c>
      <c r="V493" s="846">
        <v>4030</v>
      </c>
      <c r="W493" s="847">
        <v>3780</v>
      </c>
      <c r="X493" s="761">
        <v>3850</v>
      </c>
      <c r="Y493" s="761">
        <v>3970</v>
      </c>
      <c r="Z493" s="761">
        <v>4210</v>
      </c>
      <c r="AA493" s="927">
        <v>5050</v>
      </c>
      <c r="AB493" s="761">
        <v>6220</v>
      </c>
      <c r="AC493" s="880">
        <v>5230</v>
      </c>
      <c r="AD493" s="752">
        <v>6000</v>
      </c>
      <c r="AE493" s="233" t="s">
        <v>229</v>
      </c>
      <c r="AF493" s="326">
        <v>13640</v>
      </c>
      <c r="AG493" s="172">
        <v>0.43988269794721407</v>
      </c>
      <c r="AH493" s="170" t="s">
        <v>97</v>
      </c>
      <c r="AI493" s="169">
        <v>390</v>
      </c>
      <c r="AJ493" s="169">
        <v>540</v>
      </c>
      <c r="AK493" s="298">
        <v>1230</v>
      </c>
      <c r="AL493" s="881">
        <f t="shared" si="20"/>
        <v>12000</v>
      </c>
      <c r="AM493" s="174">
        <v>2</v>
      </c>
    </row>
    <row r="494" spans="1:39" ht="15" thickBot="1" x14ac:dyDescent="0.35">
      <c r="A494" s="202">
        <v>973</v>
      </c>
      <c r="B494" s="202">
        <v>1069</v>
      </c>
      <c r="C494" s="597" t="s">
        <v>1203</v>
      </c>
      <c r="D494" s="209" t="s">
        <v>977</v>
      </c>
      <c r="E494" s="449" t="s">
        <v>1204</v>
      </c>
      <c r="F494" s="805">
        <v>1481</v>
      </c>
      <c r="G494" s="1019" t="s">
        <v>539</v>
      </c>
      <c r="H494" s="208"/>
      <c r="I494" s="207">
        <v>1</v>
      </c>
      <c r="J494" s="805" t="s">
        <v>237</v>
      </c>
      <c r="K494" s="387" t="s">
        <v>75</v>
      </c>
      <c r="L494" s="851" t="s">
        <v>540</v>
      </c>
      <c r="M494" s="917" t="s">
        <v>541</v>
      </c>
      <c r="N494" s="851" t="s">
        <v>541</v>
      </c>
      <c r="O494" s="851" t="s">
        <v>541</v>
      </c>
      <c r="P494" s="851" t="s">
        <v>542</v>
      </c>
      <c r="Q494" s="975" t="s">
        <v>542</v>
      </c>
      <c r="R494" s="208" t="s">
        <v>556</v>
      </c>
      <c r="S494" s="285" t="s">
        <v>549</v>
      </c>
      <c r="T494" s="846">
        <v>370</v>
      </c>
      <c r="U494" s="846">
        <v>230</v>
      </c>
      <c r="V494" s="846">
        <v>370</v>
      </c>
      <c r="W494" s="857">
        <v>290</v>
      </c>
      <c r="X494" s="948">
        <v>250</v>
      </c>
      <c r="Y494" s="932">
        <v>220</v>
      </c>
      <c r="Z494" s="858">
        <v>190</v>
      </c>
      <c r="AA494" s="858">
        <v>190</v>
      </c>
      <c r="AB494" s="858">
        <v>210</v>
      </c>
      <c r="AC494" s="945">
        <v>170</v>
      </c>
      <c r="AD494" s="781">
        <v>180</v>
      </c>
      <c r="AE494" s="550" t="s">
        <v>229</v>
      </c>
      <c r="AF494" s="481">
        <v>13640</v>
      </c>
      <c r="AG494" s="444">
        <v>1.2463343108504398E-2</v>
      </c>
      <c r="AH494" s="442" t="s">
        <v>97</v>
      </c>
      <c r="AI494" s="282">
        <v>10</v>
      </c>
      <c r="AJ494" s="282">
        <v>20</v>
      </c>
      <c r="AK494" s="282">
        <v>1020</v>
      </c>
      <c r="AL494" s="869"/>
      <c r="AM494" s="211">
        <v>2</v>
      </c>
    </row>
    <row r="495" spans="1:39" ht="15" thickBot="1" x14ac:dyDescent="0.35">
      <c r="A495" s="609">
        <v>975</v>
      </c>
      <c r="B495" s="609">
        <v>791</v>
      </c>
      <c r="C495" s="318" t="s">
        <v>1205</v>
      </c>
      <c r="D495" s="522" t="s">
        <v>1206</v>
      </c>
      <c r="E495" s="319" t="s">
        <v>1207</v>
      </c>
      <c r="F495" s="112">
        <v>1490</v>
      </c>
      <c r="G495" s="610" t="s">
        <v>539</v>
      </c>
      <c r="H495" s="200" t="s">
        <v>73</v>
      </c>
      <c r="I495" s="107">
        <v>1</v>
      </c>
      <c r="J495" s="112" t="s">
        <v>158</v>
      </c>
      <c r="K495" s="284" t="s">
        <v>75</v>
      </c>
      <c r="L495" s="105" t="s">
        <v>540</v>
      </c>
      <c r="M495" s="105" t="s">
        <v>584</v>
      </c>
      <c r="N495" s="105" t="s">
        <v>584</v>
      </c>
      <c r="O495" s="105" t="s">
        <v>584</v>
      </c>
      <c r="P495" s="105" t="s">
        <v>626</v>
      </c>
      <c r="Q495" s="909" t="s">
        <v>626</v>
      </c>
      <c r="R495" s="106" t="s">
        <v>543</v>
      </c>
      <c r="S495" s="108" t="s">
        <v>872</v>
      </c>
      <c r="T495" s="66">
        <v>1080</v>
      </c>
      <c r="U495" s="66">
        <v>1030</v>
      </c>
      <c r="V495" s="66">
        <v>1020</v>
      </c>
      <c r="W495" s="109">
        <v>1010</v>
      </c>
      <c r="X495" s="611" t="s">
        <v>81</v>
      </c>
      <c r="Y495" s="151">
        <v>1290</v>
      </c>
      <c r="Z495" s="151">
        <v>1120</v>
      </c>
      <c r="AA495" s="612">
        <v>1180</v>
      </c>
      <c r="AB495" s="110">
        <v>1100</v>
      </c>
      <c r="AC495" s="878">
        <v>1180</v>
      </c>
      <c r="AD495" s="751">
        <v>1180</v>
      </c>
      <c r="AE495" s="200" t="s">
        <v>229</v>
      </c>
      <c r="AF495" s="477">
        <v>13640</v>
      </c>
      <c r="AG495" s="82">
        <v>8.6510263929618775E-2</v>
      </c>
      <c r="AH495" s="287" t="s">
        <v>97</v>
      </c>
      <c r="AI495" s="288">
        <v>100</v>
      </c>
      <c r="AJ495" s="288">
        <v>100</v>
      </c>
      <c r="AK495" s="294">
        <v>1230</v>
      </c>
      <c r="AL495" s="832">
        <f t="shared" ref="AL495:AL502" si="21">IF(AD495&gt;0,AD495*$I495,"-")</f>
        <v>1180</v>
      </c>
      <c r="AM495" s="201">
        <v>2</v>
      </c>
    </row>
    <row r="496" spans="1:39" ht="15" thickBot="1" x14ac:dyDescent="0.35">
      <c r="A496" s="33">
        <v>976</v>
      </c>
      <c r="B496" s="33">
        <v>792</v>
      </c>
      <c r="C496" s="352" t="s">
        <v>1205</v>
      </c>
      <c r="D496" s="301" t="s">
        <v>681</v>
      </c>
      <c r="E496" s="70" t="s">
        <v>1208</v>
      </c>
      <c r="F496" s="800">
        <v>1491</v>
      </c>
      <c r="G496" s="855" t="s">
        <v>539</v>
      </c>
      <c r="H496" s="52" t="s">
        <v>73</v>
      </c>
      <c r="I496" s="72">
        <v>0.75</v>
      </c>
      <c r="J496" s="800" t="s">
        <v>158</v>
      </c>
      <c r="K496" s="302" t="s">
        <v>75</v>
      </c>
      <c r="L496" s="835" t="s">
        <v>540</v>
      </c>
      <c r="M496" s="835" t="s">
        <v>584</v>
      </c>
      <c r="N496" s="835" t="s">
        <v>584</v>
      </c>
      <c r="O496" s="835" t="s">
        <v>584</v>
      </c>
      <c r="P496" s="835" t="s">
        <v>626</v>
      </c>
      <c r="Q496" s="909" t="s">
        <v>626</v>
      </c>
      <c r="R496" s="52" t="s">
        <v>543</v>
      </c>
      <c r="S496" s="55" t="s">
        <v>872</v>
      </c>
      <c r="T496" s="825">
        <v>5760</v>
      </c>
      <c r="U496" s="825">
        <v>5120</v>
      </c>
      <c r="V496" s="825">
        <v>5560</v>
      </c>
      <c r="W496" s="822">
        <v>5990</v>
      </c>
      <c r="X496" s="1027">
        <v>4640</v>
      </c>
      <c r="Y496" s="760">
        <v>5600</v>
      </c>
      <c r="Z496" s="760">
        <v>5380</v>
      </c>
      <c r="AA496" s="931">
        <v>6140</v>
      </c>
      <c r="AB496" s="760">
        <v>6160</v>
      </c>
      <c r="AC496" s="884">
        <v>2830</v>
      </c>
      <c r="AD496" s="748">
        <v>5840</v>
      </c>
      <c r="AE496" s="80" t="s">
        <v>229</v>
      </c>
      <c r="AF496" s="194">
        <v>13640</v>
      </c>
      <c r="AG496" s="303">
        <v>0.42815249266862171</v>
      </c>
      <c r="AH496" s="80" t="s">
        <v>97</v>
      </c>
      <c r="AI496" s="115">
        <v>540</v>
      </c>
      <c r="AJ496" s="115">
        <v>520</v>
      </c>
      <c r="AK496" s="304">
        <v>1230</v>
      </c>
      <c r="AL496" s="832">
        <f t="shared" si="21"/>
        <v>4380</v>
      </c>
      <c r="AM496" s="63">
        <v>2</v>
      </c>
    </row>
    <row r="497" spans="1:39" x14ac:dyDescent="0.3">
      <c r="A497" s="613">
        <v>978</v>
      </c>
      <c r="B497" s="613">
        <v>794</v>
      </c>
      <c r="C497" s="300" t="s">
        <v>1205</v>
      </c>
      <c r="D497" s="524" t="s">
        <v>1209</v>
      </c>
      <c r="E497" s="64" t="s">
        <v>777</v>
      </c>
      <c r="F497" s="49">
        <v>1493</v>
      </c>
      <c r="G497" s="614" t="s">
        <v>539</v>
      </c>
      <c r="H497" s="36" t="s">
        <v>73</v>
      </c>
      <c r="I497" s="37">
        <v>0.5</v>
      </c>
      <c r="J497" s="49" t="s">
        <v>154</v>
      </c>
      <c r="K497" s="324" t="s">
        <v>75</v>
      </c>
      <c r="L497" s="35" t="s">
        <v>583</v>
      </c>
      <c r="M497" s="35" t="s">
        <v>584</v>
      </c>
      <c r="N497" s="35" t="s">
        <v>584</v>
      </c>
      <c r="O497" s="35" t="s">
        <v>584</v>
      </c>
      <c r="P497" s="35" t="s">
        <v>542</v>
      </c>
      <c r="Q497" s="975" t="s">
        <v>542</v>
      </c>
      <c r="R497" s="65" t="s">
        <v>543</v>
      </c>
      <c r="S497" s="39" t="s">
        <v>872</v>
      </c>
      <c r="T497" s="66">
        <v>10050</v>
      </c>
      <c r="U497" s="66">
        <v>9380</v>
      </c>
      <c r="V497" s="66">
        <v>9070</v>
      </c>
      <c r="W497" s="68">
        <v>9200</v>
      </c>
      <c r="X497" s="123">
        <v>8060</v>
      </c>
      <c r="Y497" s="123">
        <v>9620</v>
      </c>
      <c r="Z497" s="123">
        <v>9160</v>
      </c>
      <c r="AA497" s="615">
        <v>10330</v>
      </c>
      <c r="AB497" s="123">
        <v>8480</v>
      </c>
      <c r="AC497" s="888">
        <v>7810</v>
      </c>
      <c r="AD497" s="749">
        <v>8370</v>
      </c>
      <c r="AE497" s="36" t="s">
        <v>229</v>
      </c>
      <c r="AF497" s="213">
        <v>13640</v>
      </c>
      <c r="AG497" s="315">
        <v>0.61363636363636365</v>
      </c>
      <c r="AH497" s="83" t="s">
        <v>80</v>
      </c>
      <c r="AI497" s="120">
        <v>600</v>
      </c>
      <c r="AJ497" s="120">
        <v>680</v>
      </c>
      <c r="AK497" s="120">
        <v>1020</v>
      </c>
      <c r="AL497" s="832">
        <f t="shared" si="21"/>
        <v>4185</v>
      </c>
      <c r="AM497" s="49">
        <v>2</v>
      </c>
    </row>
    <row r="498" spans="1:39" x14ac:dyDescent="0.3">
      <c r="A498" s="33">
        <v>980</v>
      </c>
      <c r="B498" s="33">
        <v>796</v>
      </c>
      <c r="C498" s="352" t="s">
        <v>1205</v>
      </c>
      <c r="D498" s="353" t="s">
        <v>1101</v>
      </c>
      <c r="E498" s="70" t="s">
        <v>1210</v>
      </c>
      <c r="F498" s="800">
        <v>1495</v>
      </c>
      <c r="G498" s="855" t="s">
        <v>539</v>
      </c>
      <c r="H498" s="52" t="s">
        <v>73</v>
      </c>
      <c r="I498" s="72">
        <v>0.5</v>
      </c>
      <c r="J498" s="800" t="s">
        <v>154</v>
      </c>
      <c r="K498" s="302" t="s">
        <v>75</v>
      </c>
      <c r="L498" s="835" t="s">
        <v>583</v>
      </c>
      <c r="M498" s="835" t="s">
        <v>584</v>
      </c>
      <c r="N498" s="835" t="s">
        <v>584</v>
      </c>
      <c r="O498" s="835" t="s">
        <v>584</v>
      </c>
      <c r="P498" s="835" t="s">
        <v>542</v>
      </c>
      <c r="Q498" s="975" t="s">
        <v>542</v>
      </c>
      <c r="R498" s="52" t="s">
        <v>543</v>
      </c>
      <c r="S498" s="55" t="s">
        <v>872</v>
      </c>
      <c r="T498" s="825">
        <v>10490</v>
      </c>
      <c r="U498" s="825">
        <v>10040</v>
      </c>
      <c r="V498" s="825">
        <v>9560</v>
      </c>
      <c r="W498" s="822">
        <v>9820</v>
      </c>
      <c r="X498" s="760">
        <v>9510</v>
      </c>
      <c r="Y498" s="760">
        <v>10500</v>
      </c>
      <c r="Z498" s="760">
        <v>10020</v>
      </c>
      <c r="AA498" s="931">
        <v>11310</v>
      </c>
      <c r="AB498" s="760">
        <v>9330</v>
      </c>
      <c r="AC498" s="884">
        <v>8320</v>
      </c>
      <c r="AD498" s="748">
        <v>9250</v>
      </c>
      <c r="AE498" s="80" t="s">
        <v>229</v>
      </c>
      <c r="AF498" s="194">
        <v>13640</v>
      </c>
      <c r="AG498" s="303">
        <v>0.67815249266862165</v>
      </c>
      <c r="AH498" s="80" t="s">
        <v>80</v>
      </c>
      <c r="AI498" s="115">
        <v>600</v>
      </c>
      <c r="AJ498" s="115">
        <v>770</v>
      </c>
      <c r="AK498" s="115">
        <v>1020</v>
      </c>
      <c r="AL498" s="832">
        <f t="shared" si="21"/>
        <v>4625</v>
      </c>
      <c r="AM498" s="63">
        <v>2</v>
      </c>
    </row>
    <row r="499" spans="1:39" x14ac:dyDescent="0.3">
      <c r="A499" s="613">
        <v>982</v>
      </c>
      <c r="B499" s="613">
        <v>798</v>
      </c>
      <c r="C499" s="300" t="s">
        <v>1205</v>
      </c>
      <c r="D499" s="524" t="s">
        <v>664</v>
      </c>
      <c r="E499" s="64" t="s">
        <v>1211</v>
      </c>
      <c r="F499" s="49">
        <v>1497</v>
      </c>
      <c r="G499" s="614" t="s">
        <v>539</v>
      </c>
      <c r="H499" s="36" t="s">
        <v>73</v>
      </c>
      <c r="I499" s="37">
        <v>0.2</v>
      </c>
      <c r="J499" s="49" t="s">
        <v>154</v>
      </c>
      <c r="K499" s="324" t="s">
        <v>75</v>
      </c>
      <c r="L499" s="35" t="s">
        <v>583</v>
      </c>
      <c r="M499" s="35" t="s">
        <v>587</v>
      </c>
      <c r="N499" s="35" t="s">
        <v>587</v>
      </c>
      <c r="O499" s="35" t="s">
        <v>587</v>
      </c>
      <c r="P499" s="35" t="s">
        <v>588</v>
      </c>
      <c r="Q499" s="890" t="s">
        <v>588</v>
      </c>
      <c r="R499" s="65" t="s">
        <v>543</v>
      </c>
      <c r="S499" s="39" t="s">
        <v>872</v>
      </c>
      <c r="T499" s="66">
        <v>12110</v>
      </c>
      <c r="U499" s="66">
        <v>11460</v>
      </c>
      <c r="V499" s="66">
        <v>10910</v>
      </c>
      <c r="W499" s="68">
        <v>11250</v>
      </c>
      <c r="X499" s="123">
        <v>11910</v>
      </c>
      <c r="Y499" s="123">
        <v>13940</v>
      </c>
      <c r="Z499" s="123">
        <v>12020</v>
      </c>
      <c r="AA499" s="615">
        <v>14240</v>
      </c>
      <c r="AB499" s="123">
        <v>11160</v>
      </c>
      <c r="AC499" s="888">
        <v>9510</v>
      </c>
      <c r="AD499" s="749">
        <v>10990</v>
      </c>
      <c r="AE499" s="65" t="s">
        <v>229</v>
      </c>
      <c r="AF499" s="213">
        <v>14040</v>
      </c>
      <c r="AG499" s="315">
        <v>0.78276353276353272</v>
      </c>
      <c r="AH499" s="83" t="s">
        <v>80</v>
      </c>
      <c r="AI499" s="120">
        <v>700</v>
      </c>
      <c r="AJ499" s="120">
        <v>940</v>
      </c>
      <c r="AK499" s="316">
        <v>1270</v>
      </c>
      <c r="AL499" s="832">
        <f t="shared" si="21"/>
        <v>2198</v>
      </c>
      <c r="AM499" s="49">
        <v>2</v>
      </c>
    </row>
    <row r="500" spans="1:39" x14ac:dyDescent="0.3">
      <c r="A500" s="33">
        <v>983</v>
      </c>
      <c r="B500" s="33">
        <v>799</v>
      </c>
      <c r="C500" s="352" t="s">
        <v>1205</v>
      </c>
      <c r="D500" s="323" t="s">
        <v>666</v>
      </c>
      <c r="E500" s="70" t="s">
        <v>1212</v>
      </c>
      <c r="F500" s="63">
        <v>1498</v>
      </c>
      <c r="G500" s="800" t="s">
        <v>539</v>
      </c>
      <c r="H500" s="52" t="s">
        <v>73</v>
      </c>
      <c r="I500" s="72">
        <v>0.2</v>
      </c>
      <c r="J500" s="800" t="s">
        <v>237</v>
      </c>
      <c r="K500" s="302" t="s">
        <v>75</v>
      </c>
      <c r="L500" s="835" t="s">
        <v>583</v>
      </c>
      <c r="M500" s="835" t="s">
        <v>587</v>
      </c>
      <c r="N500" s="835" t="s">
        <v>587</v>
      </c>
      <c r="O500" s="835" t="s">
        <v>587</v>
      </c>
      <c r="P500" s="835" t="s">
        <v>588</v>
      </c>
      <c r="Q500" s="890" t="s">
        <v>588</v>
      </c>
      <c r="R500" s="52" t="s">
        <v>543</v>
      </c>
      <c r="S500" s="55" t="s">
        <v>872</v>
      </c>
      <c r="T500" s="849" t="s">
        <v>81</v>
      </c>
      <c r="U500" s="849" t="s">
        <v>81</v>
      </c>
      <c r="V500" s="60" t="s">
        <v>81</v>
      </c>
      <c r="W500" s="566" t="s">
        <v>81</v>
      </c>
      <c r="X500" s="760">
        <v>10260</v>
      </c>
      <c r="Y500" s="760">
        <v>8730</v>
      </c>
      <c r="Z500" s="760">
        <v>8820</v>
      </c>
      <c r="AA500" s="931">
        <v>9340</v>
      </c>
      <c r="AB500" s="760">
        <v>8220</v>
      </c>
      <c r="AC500" s="884">
        <v>6610</v>
      </c>
      <c r="AD500" s="748">
        <v>7580</v>
      </c>
      <c r="AE500" s="80" t="s">
        <v>229</v>
      </c>
      <c r="AF500" s="194">
        <v>14040</v>
      </c>
      <c r="AG500" s="303">
        <v>0.53988603988603989</v>
      </c>
      <c r="AH500" s="80" t="s">
        <v>80</v>
      </c>
      <c r="AI500" s="115">
        <v>500</v>
      </c>
      <c r="AJ500" s="115">
        <v>650</v>
      </c>
      <c r="AK500" s="304">
        <v>1270</v>
      </c>
      <c r="AL500" s="832">
        <f t="shared" si="21"/>
        <v>1516</v>
      </c>
      <c r="AM500" s="63">
        <v>2</v>
      </c>
    </row>
    <row r="501" spans="1:39" x14ac:dyDescent="0.3">
      <c r="A501" s="613">
        <v>985</v>
      </c>
      <c r="B501" s="613">
        <v>801</v>
      </c>
      <c r="C501" s="300" t="s">
        <v>1205</v>
      </c>
      <c r="D501" s="524" t="s">
        <v>668</v>
      </c>
      <c r="E501" s="64" t="s">
        <v>1213</v>
      </c>
      <c r="F501" s="49">
        <v>1500</v>
      </c>
      <c r="G501" s="49" t="s">
        <v>539</v>
      </c>
      <c r="H501" s="36" t="s">
        <v>73</v>
      </c>
      <c r="I501" s="37">
        <v>0.2</v>
      </c>
      <c r="J501" s="49" t="s">
        <v>237</v>
      </c>
      <c r="K501" s="324" t="s">
        <v>75</v>
      </c>
      <c r="L501" s="35" t="s">
        <v>583</v>
      </c>
      <c r="M501" s="35" t="s">
        <v>584</v>
      </c>
      <c r="N501" s="35" t="s">
        <v>584</v>
      </c>
      <c r="O501" s="35" t="s">
        <v>584</v>
      </c>
      <c r="P501" s="35" t="s">
        <v>542</v>
      </c>
      <c r="Q501" s="975" t="s">
        <v>542</v>
      </c>
      <c r="R501" s="65" t="s">
        <v>543</v>
      </c>
      <c r="S501" s="39" t="s">
        <v>872</v>
      </c>
      <c r="T501" s="66">
        <v>6440</v>
      </c>
      <c r="U501" s="66">
        <v>5850</v>
      </c>
      <c r="V501" s="66">
        <v>5850</v>
      </c>
      <c r="W501" s="68">
        <v>5750</v>
      </c>
      <c r="X501" s="123">
        <v>5070</v>
      </c>
      <c r="Y501" s="123">
        <v>6730</v>
      </c>
      <c r="Z501" s="123">
        <v>6540</v>
      </c>
      <c r="AA501" s="615">
        <v>7910</v>
      </c>
      <c r="AB501" s="123">
        <v>6890</v>
      </c>
      <c r="AC501" s="888">
        <v>5640</v>
      </c>
      <c r="AD501" s="749">
        <v>6290</v>
      </c>
      <c r="AE501" s="36" t="s">
        <v>229</v>
      </c>
      <c r="AF501" s="213">
        <v>13640</v>
      </c>
      <c r="AG501" s="315">
        <v>0.46114369501466274</v>
      </c>
      <c r="AH501" s="83" t="s">
        <v>80</v>
      </c>
      <c r="AI501" s="120">
        <v>450</v>
      </c>
      <c r="AJ501" s="120">
        <v>540</v>
      </c>
      <c r="AK501" s="120">
        <v>1020</v>
      </c>
      <c r="AL501" s="832">
        <f t="shared" si="21"/>
        <v>1258</v>
      </c>
      <c r="AM501" s="121">
        <v>2</v>
      </c>
    </row>
    <row r="502" spans="1:39" ht="15" thickBot="1" x14ac:dyDescent="0.35">
      <c r="A502" s="88">
        <v>987</v>
      </c>
      <c r="B502" s="88">
        <v>803</v>
      </c>
      <c r="C502" s="325" t="s">
        <v>1205</v>
      </c>
      <c r="D502" s="296" t="s">
        <v>1214</v>
      </c>
      <c r="E502" s="162" t="s">
        <v>1215</v>
      </c>
      <c r="F502" s="803">
        <v>1502</v>
      </c>
      <c r="G502" s="803" t="s">
        <v>539</v>
      </c>
      <c r="H502" s="215" t="s">
        <v>73</v>
      </c>
      <c r="I502" s="164">
        <v>0.75</v>
      </c>
      <c r="J502" s="803" t="s">
        <v>237</v>
      </c>
      <c r="K502" s="363" t="s">
        <v>75</v>
      </c>
      <c r="L502" s="845" t="s">
        <v>583</v>
      </c>
      <c r="M502" s="845" t="s">
        <v>584</v>
      </c>
      <c r="N502" s="845" t="s">
        <v>584</v>
      </c>
      <c r="O502" s="845" t="s">
        <v>584</v>
      </c>
      <c r="P502" s="845" t="s">
        <v>542</v>
      </c>
      <c r="Q502" s="975" t="s">
        <v>542</v>
      </c>
      <c r="R502" s="215" t="s">
        <v>543</v>
      </c>
      <c r="S502" s="217" t="s">
        <v>872</v>
      </c>
      <c r="T502" s="846">
        <v>5900</v>
      </c>
      <c r="U502" s="846">
        <v>5270</v>
      </c>
      <c r="V502" s="846">
        <v>5410</v>
      </c>
      <c r="W502" s="847">
        <v>5610</v>
      </c>
      <c r="X502" s="761">
        <v>4200</v>
      </c>
      <c r="Y502" s="761">
        <v>6080</v>
      </c>
      <c r="Z502" s="761">
        <v>5910</v>
      </c>
      <c r="AA502" s="927">
        <v>7300</v>
      </c>
      <c r="AB502" s="761">
        <v>6340</v>
      </c>
      <c r="AC502" s="880">
        <v>5280</v>
      </c>
      <c r="AD502" s="752">
        <v>5880</v>
      </c>
      <c r="AE502" s="170" t="s">
        <v>229</v>
      </c>
      <c r="AF502" s="326">
        <v>13640</v>
      </c>
      <c r="AG502" s="172">
        <v>0.4310850439882698</v>
      </c>
      <c r="AH502" s="170" t="s">
        <v>80</v>
      </c>
      <c r="AI502" s="169">
        <v>450</v>
      </c>
      <c r="AJ502" s="169">
        <v>530</v>
      </c>
      <c r="AK502" s="169">
        <v>1020</v>
      </c>
      <c r="AL502" s="881">
        <f t="shared" si="21"/>
        <v>4410</v>
      </c>
      <c r="AM502" s="219">
        <v>2</v>
      </c>
    </row>
    <row r="503" spans="1:39" ht="15" thickBot="1" x14ac:dyDescent="0.35">
      <c r="A503" s="616">
        <v>991</v>
      </c>
      <c r="B503" s="616">
        <v>807</v>
      </c>
      <c r="C503" s="617" t="s">
        <v>1216</v>
      </c>
      <c r="D503" s="618" t="s">
        <v>772</v>
      </c>
      <c r="E503" s="396" t="s">
        <v>1007</v>
      </c>
      <c r="F503" s="619">
        <v>1511</v>
      </c>
      <c r="G503" s="619" t="s">
        <v>539</v>
      </c>
      <c r="H503" s="330" t="s">
        <v>73</v>
      </c>
      <c r="I503" s="331">
        <v>0.85</v>
      </c>
      <c r="J503" s="619" t="s">
        <v>154</v>
      </c>
      <c r="K503" s="620" t="s">
        <v>104</v>
      </c>
      <c r="L503" s="396" t="s">
        <v>540</v>
      </c>
      <c r="M503" s="396" t="s">
        <v>584</v>
      </c>
      <c r="N503" s="396" t="s">
        <v>584</v>
      </c>
      <c r="O503" s="396" t="s">
        <v>584</v>
      </c>
      <c r="P503" s="396" t="s">
        <v>542</v>
      </c>
      <c r="Q503" s="975" t="s">
        <v>542</v>
      </c>
      <c r="R503" s="543" t="s">
        <v>758</v>
      </c>
      <c r="S503" s="285" t="s">
        <v>549</v>
      </c>
      <c r="T503" s="124">
        <v>2500</v>
      </c>
      <c r="U503" s="124">
        <v>2260</v>
      </c>
      <c r="V503" s="124">
        <v>2350</v>
      </c>
      <c r="W503" s="621">
        <v>1510</v>
      </c>
      <c r="X503" s="545" t="s">
        <v>81</v>
      </c>
      <c r="Y503" s="448">
        <v>2630</v>
      </c>
      <c r="Z503" s="587">
        <v>1670</v>
      </c>
      <c r="AA503" s="587">
        <v>2110</v>
      </c>
      <c r="AB503" s="587">
        <v>2200</v>
      </c>
      <c r="AC503" s="938">
        <v>1980</v>
      </c>
      <c r="AD503" s="780">
        <v>2650</v>
      </c>
      <c r="AE503" s="425" t="s">
        <v>229</v>
      </c>
      <c r="AF503" s="548">
        <v>13640</v>
      </c>
      <c r="AG503" s="432">
        <v>0.19428152492668621</v>
      </c>
      <c r="AH503" s="433" t="s">
        <v>97</v>
      </c>
      <c r="AI503" s="434">
        <v>180</v>
      </c>
      <c r="AJ503" s="434">
        <v>220</v>
      </c>
      <c r="AK503" s="434">
        <v>1020</v>
      </c>
      <c r="AL503" s="780"/>
      <c r="AM503" s="619">
        <v>2</v>
      </c>
    </row>
    <row r="504" spans="1:39" x14ac:dyDescent="0.3">
      <c r="A504" s="103">
        <v>1011</v>
      </c>
      <c r="B504" s="103">
        <v>828</v>
      </c>
      <c r="C504" s="417" t="s">
        <v>1217</v>
      </c>
      <c r="D504" s="338" t="s">
        <v>1218</v>
      </c>
      <c r="E504" s="189" t="s">
        <v>1219</v>
      </c>
      <c r="F504" s="804">
        <v>1530</v>
      </c>
      <c r="G504" s="804" t="s">
        <v>539</v>
      </c>
      <c r="H504" s="131" t="s">
        <v>73</v>
      </c>
      <c r="I504" s="178">
        <v>0.55000000000000004</v>
      </c>
      <c r="J504" s="804" t="s">
        <v>154</v>
      </c>
      <c r="K504" s="340" t="s">
        <v>104</v>
      </c>
      <c r="L504" s="843" t="s">
        <v>570</v>
      </c>
      <c r="M504" s="848" t="s">
        <v>584</v>
      </c>
      <c r="N504" s="843" t="s">
        <v>584</v>
      </c>
      <c r="O504" s="843" t="s">
        <v>584</v>
      </c>
      <c r="P504" s="843" t="s">
        <v>542</v>
      </c>
      <c r="Q504" s="975" t="s">
        <v>542</v>
      </c>
      <c r="R504" s="179" t="s">
        <v>374</v>
      </c>
      <c r="S504" s="179" t="s">
        <v>465</v>
      </c>
      <c r="T504" s="824">
        <v>12270</v>
      </c>
      <c r="U504" s="825">
        <v>12020</v>
      </c>
      <c r="V504" s="825">
        <v>11780</v>
      </c>
      <c r="W504" s="836">
        <v>11720</v>
      </c>
      <c r="X504" s="759">
        <v>12240</v>
      </c>
      <c r="Y504" s="832">
        <v>13730</v>
      </c>
      <c r="Z504" s="832">
        <v>13130</v>
      </c>
      <c r="AA504" s="1028">
        <v>13870</v>
      </c>
      <c r="AB504" s="902">
        <v>14120</v>
      </c>
      <c r="AC504" s="887">
        <v>12110</v>
      </c>
      <c r="AD504" s="754">
        <v>12140</v>
      </c>
      <c r="AE504" s="190" t="s">
        <v>229</v>
      </c>
      <c r="AF504" s="409">
        <v>13640</v>
      </c>
      <c r="AG504" s="79">
        <v>0.89002932551319647</v>
      </c>
      <c r="AH504" s="86" t="s">
        <v>229</v>
      </c>
      <c r="AI504" s="181">
        <v>830</v>
      </c>
      <c r="AJ504" s="181">
        <v>960</v>
      </c>
      <c r="AK504" s="181">
        <v>1020</v>
      </c>
      <c r="AL504" s="832">
        <f t="shared" ref="AL504:AL510" si="22">IF(AD504&gt;0,AD504*$I504,"-")</f>
        <v>6677.0000000000009</v>
      </c>
      <c r="AM504" s="182">
        <v>2</v>
      </c>
    </row>
    <row r="505" spans="1:39" x14ac:dyDescent="0.3">
      <c r="A505" s="33">
        <v>1007</v>
      </c>
      <c r="B505" s="33">
        <v>824</v>
      </c>
      <c r="C505" s="622" t="s">
        <v>1217</v>
      </c>
      <c r="D505" s="301" t="s">
        <v>1220</v>
      </c>
      <c r="E505" s="64" t="s">
        <v>1221</v>
      </c>
      <c r="F505" s="799">
        <v>1534</v>
      </c>
      <c r="G505" s="799" t="s">
        <v>539</v>
      </c>
      <c r="H505" s="36" t="s">
        <v>73</v>
      </c>
      <c r="I505" s="37">
        <v>0.8</v>
      </c>
      <c r="J505" s="799" t="s">
        <v>154</v>
      </c>
      <c r="K505" s="324" t="s">
        <v>104</v>
      </c>
      <c r="L505" s="837" t="s">
        <v>570</v>
      </c>
      <c r="M505" s="837" t="s">
        <v>584</v>
      </c>
      <c r="N505" s="837" t="s">
        <v>584</v>
      </c>
      <c r="O505" s="837" t="s">
        <v>584</v>
      </c>
      <c r="P505" s="837" t="s">
        <v>542</v>
      </c>
      <c r="Q505" s="975" t="s">
        <v>542</v>
      </c>
      <c r="R505" s="38" t="s">
        <v>374</v>
      </c>
      <c r="S505" s="36" t="s">
        <v>465</v>
      </c>
      <c r="T505" s="40">
        <v>14410</v>
      </c>
      <c r="U505" s="493">
        <v>13510</v>
      </c>
      <c r="V505" s="840">
        <v>13150</v>
      </c>
      <c r="W505" s="821">
        <v>12900</v>
      </c>
      <c r="X505" s="838">
        <v>11650</v>
      </c>
      <c r="Y505" s="819">
        <v>12860</v>
      </c>
      <c r="Z505" s="819">
        <v>13670</v>
      </c>
      <c r="AA505" s="1029">
        <v>13000</v>
      </c>
      <c r="AB505" s="819">
        <v>12570</v>
      </c>
      <c r="AC505" s="888">
        <v>10930</v>
      </c>
      <c r="AD505" s="749">
        <v>11360</v>
      </c>
      <c r="AE505" s="411" t="s">
        <v>229</v>
      </c>
      <c r="AF505" s="213">
        <v>13640</v>
      </c>
      <c r="AG505" s="315">
        <v>0.83284457478005869</v>
      </c>
      <c r="AH505" s="83" t="s">
        <v>229</v>
      </c>
      <c r="AI505" s="120">
        <v>760</v>
      </c>
      <c r="AJ505" s="120">
        <v>920</v>
      </c>
      <c r="AK505" s="120">
        <v>1020</v>
      </c>
      <c r="AL505" s="832">
        <f t="shared" si="22"/>
        <v>9088</v>
      </c>
      <c r="AM505" s="121">
        <v>2</v>
      </c>
    </row>
    <row r="506" spans="1:39" x14ac:dyDescent="0.3">
      <c r="A506" s="33">
        <v>1006</v>
      </c>
      <c r="B506" s="33">
        <v>823</v>
      </c>
      <c r="C506" s="622" t="s">
        <v>1217</v>
      </c>
      <c r="D506" s="301" t="s">
        <v>1222</v>
      </c>
      <c r="E506" s="70" t="s">
        <v>1223</v>
      </c>
      <c r="F506" s="800">
        <v>1535</v>
      </c>
      <c r="G506" s="800" t="s">
        <v>539</v>
      </c>
      <c r="H506" s="71" t="s">
        <v>73</v>
      </c>
      <c r="I506" s="72">
        <v>0.7</v>
      </c>
      <c r="J506" s="800" t="s">
        <v>154</v>
      </c>
      <c r="K506" s="321" t="s">
        <v>104</v>
      </c>
      <c r="L506" s="835" t="s">
        <v>570</v>
      </c>
      <c r="M506" s="839" t="s">
        <v>584</v>
      </c>
      <c r="N506" s="835" t="s">
        <v>584</v>
      </c>
      <c r="O506" s="835" t="s">
        <v>584</v>
      </c>
      <c r="P506" s="835" t="s">
        <v>542</v>
      </c>
      <c r="Q506" s="975" t="s">
        <v>542</v>
      </c>
      <c r="R506" s="73" t="s">
        <v>374</v>
      </c>
      <c r="S506" s="73" t="s">
        <v>465</v>
      </c>
      <c r="T506" s="825">
        <v>9860</v>
      </c>
      <c r="U506" s="825">
        <v>9310</v>
      </c>
      <c r="V506" s="825">
        <v>8900</v>
      </c>
      <c r="W506" s="822">
        <v>8990</v>
      </c>
      <c r="X506" s="760">
        <v>8050</v>
      </c>
      <c r="Y506" s="760">
        <v>8510</v>
      </c>
      <c r="Z506" s="760">
        <v>8270</v>
      </c>
      <c r="AA506" s="931">
        <v>7880</v>
      </c>
      <c r="AB506" s="760">
        <v>8350</v>
      </c>
      <c r="AC506" s="884">
        <v>7290</v>
      </c>
      <c r="AD506" s="748">
        <v>7180</v>
      </c>
      <c r="AE506" s="140" t="s">
        <v>229</v>
      </c>
      <c r="AF506" s="194">
        <v>13640</v>
      </c>
      <c r="AG506" s="303">
        <v>0.52639296187683282</v>
      </c>
      <c r="AH506" s="80" t="s">
        <v>80</v>
      </c>
      <c r="AI506" s="115">
        <v>410</v>
      </c>
      <c r="AJ506" s="115">
        <v>590</v>
      </c>
      <c r="AK506" s="115">
        <v>1020</v>
      </c>
      <c r="AL506" s="832">
        <f t="shared" si="22"/>
        <v>5026</v>
      </c>
      <c r="AM506" s="122">
        <v>2</v>
      </c>
    </row>
    <row r="507" spans="1:39" x14ac:dyDescent="0.3">
      <c r="A507" s="33">
        <v>1003</v>
      </c>
      <c r="B507" s="33">
        <v>820</v>
      </c>
      <c r="C507" s="622" t="s">
        <v>1217</v>
      </c>
      <c r="D507" s="353" t="s">
        <v>1224</v>
      </c>
      <c r="E507" s="35" t="s">
        <v>1225</v>
      </c>
      <c r="F507" s="799">
        <v>1538</v>
      </c>
      <c r="G507" s="799" t="s">
        <v>539</v>
      </c>
      <c r="H507" s="36" t="s">
        <v>73</v>
      </c>
      <c r="I507" s="37">
        <v>0.8</v>
      </c>
      <c r="J507" s="799" t="s">
        <v>154</v>
      </c>
      <c r="K507" s="36" t="s">
        <v>104</v>
      </c>
      <c r="L507" s="837" t="s">
        <v>570</v>
      </c>
      <c r="M507" s="837" t="s">
        <v>615</v>
      </c>
      <c r="N507" s="837" t="s">
        <v>615</v>
      </c>
      <c r="O507" s="837" t="s">
        <v>615</v>
      </c>
      <c r="P507" s="837" t="s">
        <v>616</v>
      </c>
      <c r="Q507" s="904" t="s">
        <v>616</v>
      </c>
      <c r="R507" s="38" t="s">
        <v>374</v>
      </c>
      <c r="S507" s="36" t="s">
        <v>465</v>
      </c>
      <c r="T507" s="833">
        <v>9600</v>
      </c>
      <c r="U507" s="833">
        <v>9000</v>
      </c>
      <c r="V507" s="833">
        <v>8510</v>
      </c>
      <c r="W507" s="820">
        <v>8340</v>
      </c>
      <c r="X507" s="838">
        <v>7170</v>
      </c>
      <c r="Y507" s="838">
        <v>8740</v>
      </c>
      <c r="Z507" s="838">
        <v>7630</v>
      </c>
      <c r="AA507" s="930">
        <v>7430</v>
      </c>
      <c r="AB507" s="838">
        <v>8560</v>
      </c>
      <c r="AC507" s="888">
        <v>7630</v>
      </c>
      <c r="AD507" s="749">
        <v>7750</v>
      </c>
      <c r="AE507" s="36" t="s">
        <v>229</v>
      </c>
      <c r="AF507" s="213">
        <v>14740</v>
      </c>
      <c r="AG507" s="315">
        <v>0.52578018995929443</v>
      </c>
      <c r="AH507" s="83" t="s">
        <v>80</v>
      </c>
      <c r="AI507" s="120">
        <v>410</v>
      </c>
      <c r="AJ507" s="120">
        <v>680</v>
      </c>
      <c r="AK507" s="316">
        <v>1330</v>
      </c>
      <c r="AL507" s="832">
        <f t="shared" si="22"/>
        <v>6200</v>
      </c>
      <c r="AM507" s="121">
        <v>2</v>
      </c>
    </row>
    <row r="508" spans="1:39" x14ac:dyDescent="0.3">
      <c r="A508" s="33">
        <v>1002</v>
      </c>
      <c r="B508" s="33">
        <v>818</v>
      </c>
      <c r="C508" s="622" t="s">
        <v>1217</v>
      </c>
      <c r="D508" s="301" t="s">
        <v>950</v>
      </c>
      <c r="E508" s="51" t="s">
        <v>1226</v>
      </c>
      <c r="F508" s="800">
        <v>1539</v>
      </c>
      <c r="G508" s="800" t="s">
        <v>539</v>
      </c>
      <c r="H508" s="71" t="s">
        <v>73</v>
      </c>
      <c r="I508" s="72">
        <v>0.05</v>
      </c>
      <c r="J508" s="800" t="s">
        <v>154</v>
      </c>
      <c r="K508" s="321" t="s">
        <v>104</v>
      </c>
      <c r="L508" s="835" t="s">
        <v>636</v>
      </c>
      <c r="M508" s="839" t="s">
        <v>620</v>
      </c>
      <c r="N508" s="835" t="s">
        <v>620</v>
      </c>
      <c r="O508" s="835" t="s">
        <v>620</v>
      </c>
      <c r="P508" s="835" t="s">
        <v>621</v>
      </c>
      <c r="Q508" s="623" t="s">
        <v>621</v>
      </c>
      <c r="R508" s="73" t="s">
        <v>374</v>
      </c>
      <c r="S508" s="73" t="s">
        <v>465</v>
      </c>
      <c r="T508" s="825">
        <v>19250</v>
      </c>
      <c r="U508" s="825">
        <v>17390</v>
      </c>
      <c r="V508" s="825">
        <v>17020</v>
      </c>
      <c r="W508" s="822">
        <v>17370</v>
      </c>
      <c r="X508" s="760">
        <v>17470</v>
      </c>
      <c r="Y508" s="760">
        <v>19140</v>
      </c>
      <c r="Z508" s="760">
        <v>18450</v>
      </c>
      <c r="AA508" s="931">
        <v>16630</v>
      </c>
      <c r="AB508" s="760">
        <v>14120</v>
      </c>
      <c r="AC508" s="884">
        <v>16620</v>
      </c>
      <c r="AD508" s="748">
        <v>16960</v>
      </c>
      <c r="AE508" s="140" t="s">
        <v>229</v>
      </c>
      <c r="AF508" s="194">
        <v>30420</v>
      </c>
      <c r="AG508" s="303">
        <v>0.55752794214332679</v>
      </c>
      <c r="AH508" s="80" t="s">
        <v>80</v>
      </c>
      <c r="AI508" s="115">
        <v>940</v>
      </c>
      <c r="AJ508" s="115">
        <v>1380</v>
      </c>
      <c r="AK508" s="304">
        <v>2740</v>
      </c>
      <c r="AL508" s="832">
        <f t="shared" si="22"/>
        <v>848</v>
      </c>
      <c r="AM508" s="122">
        <v>4</v>
      </c>
    </row>
    <row r="509" spans="1:39" x14ac:dyDescent="0.3">
      <c r="A509" s="33">
        <v>1000</v>
      </c>
      <c r="B509" s="33">
        <v>816</v>
      </c>
      <c r="C509" s="622" t="s">
        <v>1217</v>
      </c>
      <c r="D509" s="301" t="s">
        <v>1227</v>
      </c>
      <c r="E509" s="35" t="s">
        <v>1228</v>
      </c>
      <c r="F509" s="799">
        <v>1541</v>
      </c>
      <c r="G509" s="799" t="s">
        <v>539</v>
      </c>
      <c r="H509" s="36" t="s">
        <v>73</v>
      </c>
      <c r="I509" s="37">
        <v>0.8</v>
      </c>
      <c r="J509" s="799" t="s">
        <v>154</v>
      </c>
      <c r="K509" s="324" t="s">
        <v>104</v>
      </c>
      <c r="L509" s="837" t="s">
        <v>570</v>
      </c>
      <c r="M509" s="837" t="s">
        <v>584</v>
      </c>
      <c r="N509" s="837" t="s">
        <v>584</v>
      </c>
      <c r="O509" s="837" t="s">
        <v>584</v>
      </c>
      <c r="P509" s="837" t="s">
        <v>542</v>
      </c>
      <c r="Q509" s="975" t="s">
        <v>542</v>
      </c>
      <c r="R509" s="38" t="s">
        <v>374</v>
      </c>
      <c r="S509" s="36" t="s">
        <v>465</v>
      </c>
      <c r="T509" s="40">
        <v>14680</v>
      </c>
      <c r="U509" s="493">
        <v>13460</v>
      </c>
      <c r="V509" s="840">
        <v>13070</v>
      </c>
      <c r="W509" s="1030" t="s">
        <v>81</v>
      </c>
      <c r="X509" s="819">
        <v>13420</v>
      </c>
      <c r="Y509" s="159">
        <v>14750</v>
      </c>
      <c r="Z509" s="142">
        <v>13590</v>
      </c>
      <c r="AA509" s="1029">
        <v>13540</v>
      </c>
      <c r="AB509" s="142">
        <v>13550</v>
      </c>
      <c r="AC509" s="888">
        <v>12540</v>
      </c>
      <c r="AD509" s="749">
        <v>13360</v>
      </c>
      <c r="AE509" s="624" t="s">
        <v>229</v>
      </c>
      <c r="AF509" s="502">
        <v>13640</v>
      </c>
      <c r="AG509" s="503">
        <v>0.97947214076246336</v>
      </c>
      <c r="AH509" s="47" t="s">
        <v>229</v>
      </c>
      <c r="AI509" s="143">
        <v>910</v>
      </c>
      <c r="AJ509" s="143">
        <v>1130</v>
      </c>
      <c r="AK509" s="143">
        <v>1020</v>
      </c>
      <c r="AL509" s="832">
        <f t="shared" si="22"/>
        <v>10688</v>
      </c>
      <c r="AM509" s="121">
        <v>2</v>
      </c>
    </row>
    <row r="510" spans="1:39" ht="15" thickBot="1" x14ac:dyDescent="0.35">
      <c r="A510" s="88">
        <v>999</v>
      </c>
      <c r="B510" s="88">
        <v>815</v>
      </c>
      <c r="C510" s="418" t="s">
        <v>1217</v>
      </c>
      <c r="D510" s="258" t="s">
        <v>991</v>
      </c>
      <c r="E510" s="166" t="s">
        <v>1229</v>
      </c>
      <c r="F510" s="803">
        <v>1542</v>
      </c>
      <c r="G510" s="803" t="s">
        <v>539</v>
      </c>
      <c r="H510" s="163" t="s">
        <v>73</v>
      </c>
      <c r="I510" s="164">
        <v>1.7</v>
      </c>
      <c r="J510" s="803" t="s">
        <v>154</v>
      </c>
      <c r="K510" s="163" t="s">
        <v>104</v>
      </c>
      <c r="L510" s="845" t="s">
        <v>570</v>
      </c>
      <c r="M510" s="850" t="s">
        <v>587</v>
      </c>
      <c r="N510" s="845" t="s">
        <v>587</v>
      </c>
      <c r="O510" s="845" t="s">
        <v>587</v>
      </c>
      <c r="P510" s="845" t="s">
        <v>588</v>
      </c>
      <c r="Q510" s="890" t="s">
        <v>588</v>
      </c>
      <c r="R510" s="167" t="s">
        <v>374</v>
      </c>
      <c r="S510" s="167" t="s">
        <v>465</v>
      </c>
      <c r="T510" s="846">
        <v>11990</v>
      </c>
      <c r="U510" s="846">
        <v>10790</v>
      </c>
      <c r="V510" s="846">
        <v>11290</v>
      </c>
      <c r="W510" s="847">
        <v>11040</v>
      </c>
      <c r="X510" s="761">
        <v>9110</v>
      </c>
      <c r="Y510" s="761">
        <v>10990</v>
      </c>
      <c r="Z510" s="761">
        <v>10230</v>
      </c>
      <c r="AA510" s="927">
        <v>10160</v>
      </c>
      <c r="AB510" s="168">
        <v>10170</v>
      </c>
      <c r="AC510" s="880">
        <v>9800</v>
      </c>
      <c r="AD510" s="752">
        <v>9500</v>
      </c>
      <c r="AE510" s="233" t="s">
        <v>229</v>
      </c>
      <c r="AF510" s="326">
        <v>14040</v>
      </c>
      <c r="AG510" s="172">
        <v>0.6766381766381766</v>
      </c>
      <c r="AH510" s="170" t="s">
        <v>80</v>
      </c>
      <c r="AI510" s="169">
        <v>720</v>
      </c>
      <c r="AJ510" s="169">
        <v>800</v>
      </c>
      <c r="AK510" s="298">
        <v>1270</v>
      </c>
      <c r="AL510" s="881">
        <f t="shared" si="22"/>
        <v>16150</v>
      </c>
      <c r="AM510" s="174">
        <v>2</v>
      </c>
    </row>
    <row r="511" spans="1:39" ht="15" thickBot="1" x14ac:dyDescent="0.35">
      <c r="A511" s="616">
        <v>1013</v>
      </c>
      <c r="B511" s="616">
        <v>829</v>
      </c>
      <c r="C511" s="389" t="s">
        <v>1230</v>
      </c>
      <c r="D511" s="618" t="s">
        <v>781</v>
      </c>
      <c r="E511" s="396" t="s">
        <v>1231</v>
      </c>
      <c r="F511" s="619">
        <v>1550</v>
      </c>
      <c r="G511" s="619" t="s">
        <v>539</v>
      </c>
      <c r="H511" s="330"/>
      <c r="I511" s="331">
        <v>1.2</v>
      </c>
      <c r="J511" s="619" t="s">
        <v>154</v>
      </c>
      <c r="K511" s="332" t="s">
        <v>75</v>
      </c>
      <c r="L511" s="396" t="s">
        <v>367</v>
      </c>
      <c r="M511" s="396" t="s">
        <v>367</v>
      </c>
      <c r="N511" s="396" t="s">
        <v>367</v>
      </c>
      <c r="O511" s="396" t="s">
        <v>367</v>
      </c>
      <c r="P511" s="396" t="s">
        <v>367</v>
      </c>
      <c r="Q511" s="895" t="s">
        <v>367</v>
      </c>
      <c r="R511" s="543" t="s">
        <v>596</v>
      </c>
      <c r="S511" s="285" t="s">
        <v>549</v>
      </c>
      <c r="T511" s="124">
        <v>250</v>
      </c>
      <c r="U511" s="124">
        <v>250</v>
      </c>
      <c r="V511" s="124">
        <v>280</v>
      </c>
      <c r="W511" s="621">
        <v>330</v>
      </c>
      <c r="X511" s="587">
        <v>290</v>
      </c>
      <c r="Y511" s="448">
        <v>270</v>
      </c>
      <c r="Z511" s="587">
        <v>310</v>
      </c>
      <c r="AA511" s="587">
        <v>290</v>
      </c>
      <c r="AB511" s="587">
        <v>300</v>
      </c>
      <c r="AC511" s="893">
        <v>410</v>
      </c>
      <c r="AD511" s="758">
        <v>290</v>
      </c>
      <c r="AE511" s="391" t="s">
        <v>97</v>
      </c>
      <c r="AF511" s="186">
        <v>6450</v>
      </c>
      <c r="AG511" s="333">
        <v>4.4961240310077519E-2</v>
      </c>
      <c r="AH511" s="307" t="s">
        <v>1524</v>
      </c>
      <c r="AI511" s="334">
        <v>20</v>
      </c>
      <c r="AJ511" s="334">
        <v>30</v>
      </c>
      <c r="AK511" s="335">
        <v>620</v>
      </c>
      <c r="AL511" s="329"/>
      <c r="AM511" s="337">
        <v>2</v>
      </c>
    </row>
    <row r="512" spans="1:39" ht="15" thickBot="1" x14ac:dyDescent="0.35">
      <c r="A512" s="202">
        <v>1016</v>
      </c>
      <c r="B512" s="202">
        <v>831</v>
      </c>
      <c r="C512" s="385" t="s">
        <v>1232</v>
      </c>
      <c r="D512" s="403" t="s">
        <v>781</v>
      </c>
      <c r="E512" s="205" t="s">
        <v>1233</v>
      </c>
      <c r="F512" s="805">
        <v>1552</v>
      </c>
      <c r="G512" s="805" t="s">
        <v>539</v>
      </c>
      <c r="H512" s="249"/>
      <c r="I512" s="207">
        <v>1.7</v>
      </c>
      <c r="J512" s="805" t="s">
        <v>237</v>
      </c>
      <c r="K512" s="387" t="s">
        <v>75</v>
      </c>
      <c r="L512" s="851" t="s">
        <v>367</v>
      </c>
      <c r="M512" s="917" t="s">
        <v>367</v>
      </c>
      <c r="N512" s="851" t="s">
        <v>367</v>
      </c>
      <c r="O512" s="851" t="s">
        <v>367</v>
      </c>
      <c r="P512" s="851" t="s">
        <v>367</v>
      </c>
      <c r="Q512" s="895" t="s">
        <v>367</v>
      </c>
      <c r="R512" s="250" t="s">
        <v>596</v>
      </c>
      <c r="S512" s="285" t="s">
        <v>549</v>
      </c>
      <c r="T512" s="251">
        <v>250</v>
      </c>
      <c r="U512" s="251">
        <v>300</v>
      </c>
      <c r="V512" s="251">
        <v>300</v>
      </c>
      <c r="W512" s="857">
        <v>400</v>
      </c>
      <c r="X512" s="858">
        <v>330</v>
      </c>
      <c r="Y512" s="932">
        <v>390</v>
      </c>
      <c r="Z512" s="858">
        <v>370</v>
      </c>
      <c r="AA512" s="858">
        <v>340</v>
      </c>
      <c r="AB512" s="858">
        <v>440</v>
      </c>
      <c r="AC512" s="868">
        <v>440</v>
      </c>
      <c r="AD512" s="755">
        <v>500</v>
      </c>
      <c r="AE512" s="278" t="s">
        <v>97</v>
      </c>
      <c r="AF512" s="171">
        <v>6450</v>
      </c>
      <c r="AG512" s="280">
        <v>7.7519379844961239E-2</v>
      </c>
      <c r="AH512" s="210" t="s">
        <v>1524</v>
      </c>
      <c r="AI512" s="281">
        <v>40</v>
      </c>
      <c r="AJ512" s="281">
        <v>40</v>
      </c>
      <c r="AK512" s="563">
        <v>620</v>
      </c>
      <c r="AL512" s="919"/>
      <c r="AM512" s="211">
        <v>2</v>
      </c>
    </row>
    <row r="513" spans="1:39" x14ac:dyDescent="0.3">
      <c r="A513" s="609">
        <v>1021</v>
      </c>
      <c r="B513" s="609">
        <v>835</v>
      </c>
      <c r="C513" s="379" t="s">
        <v>1234</v>
      </c>
      <c r="D513" s="603" t="s">
        <v>537</v>
      </c>
      <c r="E513" s="319" t="s">
        <v>1235</v>
      </c>
      <c r="F513" s="112">
        <v>1561</v>
      </c>
      <c r="G513" s="112" t="s">
        <v>539</v>
      </c>
      <c r="H513" s="200"/>
      <c r="I513" s="107">
        <v>0.8</v>
      </c>
      <c r="J513" s="112" t="s">
        <v>154</v>
      </c>
      <c r="K513" s="284" t="s">
        <v>75</v>
      </c>
      <c r="L513" s="105" t="s">
        <v>583</v>
      </c>
      <c r="M513" s="105" t="s">
        <v>584</v>
      </c>
      <c r="N513" s="105" t="s">
        <v>584</v>
      </c>
      <c r="O513" s="105" t="s">
        <v>584</v>
      </c>
      <c r="P513" s="105" t="s">
        <v>542</v>
      </c>
      <c r="Q513" s="975" t="s">
        <v>542</v>
      </c>
      <c r="R513" s="106" t="s">
        <v>543</v>
      </c>
      <c r="S513" s="199" t="s">
        <v>858</v>
      </c>
      <c r="T513" s="66">
        <v>5810</v>
      </c>
      <c r="U513" s="66">
        <v>6040</v>
      </c>
      <c r="V513" s="66">
        <v>5870</v>
      </c>
      <c r="W513" s="109">
        <v>6050</v>
      </c>
      <c r="X513" s="151">
        <v>5400</v>
      </c>
      <c r="Y513" s="151">
        <v>6570</v>
      </c>
      <c r="Z513" s="151">
        <v>7050</v>
      </c>
      <c r="AA513" s="612">
        <v>6450</v>
      </c>
      <c r="AB513" s="110">
        <v>6260</v>
      </c>
      <c r="AC513" s="878">
        <v>6350</v>
      </c>
      <c r="AD513" s="751">
        <v>6460</v>
      </c>
      <c r="AE513" s="200" t="s">
        <v>229</v>
      </c>
      <c r="AF513" s="477">
        <v>13640</v>
      </c>
      <c r="AG513" s="82">
        <v>0.47360703812316718</v>
      </c>
      <c r="AH513" s="287" t="s">
        <v>80</v>
      </c>
      <c r="AI513" s="288">
        <v>680</v>
      </c>
      <c r="AJ513" s="288">
        <v>600</v>
      </c>
      <c r="AK513" s="288">
        <v>1020</v>
      </c>
      <c r="AL513" s="832">
        <f t="shared" ref="AL513:AL522" si="23">IF(AD513&gt;0,AD513*$I513,"-")</f>
        <v>5168</v>
      </c>
      <c r="AM513" s="201">
        <v>2</v>
      </c>
    </row>
    <row r="514" spans="1:39" x14ac:dyDescent="0.3">
      <c r="A514" s="33">
        <v>1022</v>
      </c>
      <c r="B514" s="33">
        <v>836</v>
      </c>
      <c r="C514" s="352" t="s">
        <v>1234</v>
      </c>
      <c r="D514" s="301" t="s">
        <v>691</v>
      </c>
      <c r="E514" s="70" t="s">
        <v>1236</v>
      </c>
      <c r="F514" s="800">
        <v>1562</v>
      </c>
      <c r="G514" s="800" t="s">
        <v>539</v>
      </c>
      <c r="H514" s="52"/>
      <c r="I514" s="72">
        <v>0.65</v>
      </c>
      <c r="J514" s="800" t="s">
        <v>154</v>
      </c>
      <c r="K514" s="302" t="s">
        <v>75</v>
      </c>
      <c r="L514" s="835" t="s">
        <v>583</v>
      </c>
      <c r="M514" s="835" t="s">
        <v>584</v>
      </c>
      <c r="N514" s="835" t="s">
        <v>584</v>
      </c>
      <c r="O514" s="835" t="s">
        <v>584</v>
      </c>
      <c r="P514" s="835" t="s">
        <v>542</v>
      </c>
      <c r="Q514" s="975" t="s">
        <v>542</v>
      </c>
      <c r="R514" s="52" t="s">
        <v>543</v>
      </c>
      <c r="S514" s="55" t="s">
        <v>858</v>
      </c>
      <c r="T514" s="825">
        <v>9490</v>
      </c>
      <c r="U514" s="825">
        <v>9600</v>
      </c>
      <c r="V514" s="825">
        <v>8960</v>
      </c>
      <c r="W514" s="822">
        <v>9100</v>
      </c>
      <c r="X514" s="760">
        <v>8680</v>
      </c>
      <c r="Y514" s="760">
        <v>8180</v>
      </c>
      <c r="Z514" s="760">
        <v>9920</v>
      </c>
      <c r="AA514" s="760">
        <v>9530</v>
      </c>
      <c r="AB514" s="760">
        <v>9360</v>
      </c>
      <c r="AC514" s="884">
        <v>8630</v>
      </c>
      <c r="AD514" s="748">
        <v>8890</v>
      </c>
      <c r="AE514" s="80" t="s">
        <v>229</v>
      </c>
      <c r="AF514" s="194">
        <v>13640</v>
      </c>
      <c r="AG514" s="303">
        <v>0.65175953079178883</v>
      </c>
      <c r="AH514" s="80" t="s">
        <v>80</v>
      </c>
      <c r="AI514" s="115">
        <v>510</v>
      </c>
      <c r="AJ514" s="115">
        <v>730</v>
      </c>
      <c r="AK514" s="115">
        <v>1020</v>
      </c>
      <c r="AL514" s="832">
        <f t="shared" si="23"/>
        <v>5778.5</v>
      </c>
      <c r="AM514" s="63">
        <v>2</v>
      </c>
    </row>
    <row r="515" spans="1:39" ht="15" thickBot="1" x14ac:dyDescent="0.35">
      <c r="A515" s="625">
        <v>1024</v>
      </c>
      <c r="B515" s="625">
        <v>838</v>
      </c>
      <c r="C515" s="562" t="s">
        <v>1234</v>
      </c>
      <c r="D515" s="185" t="s">
        <v>1237</v>
      </c>
      <c r="E515" s="185" t="s">
        <v>1238</v>
      </c>
      <c r="F515" s="102">
        <v>1564</v>
      </c>
      <c r="G515" s="102" t="s">
        <v>539</v>
      </c>
      <c r="H515" s="92"/>
      <c r="I515" s="93">
        <v>0.9</v>
      </c>
      <c r="J515" s="102" t="s">
        <v>154</v>
      </c>
      <c r="K515" s="271" t="s">
        <v>75</v>
      </c>
      <c r="L515" s="91" t="s">
        <v>583</v>
      </c>
      <c r="M515" s="91" t="s">
        <v>584</v>
      </c>
      <c r="N515" s="91" t="s">
        <v>584</v>
      </c>
      <c r="O515" s="91" t="s">
        <v>584</v>
      </c>
      <c r="P515" s="91" t="s">
        <v>542</v>
      </c>
      <c r="Q515" s="975" t="s">
        <v>542</v>
      </c>
      <c r="R515" s="97" t="s">
        <v>543</v>
      </c>
      <c r="S515" s="94" t="s">
        <v>858</v>
      </c>
      <c r="T515" s="124">
        <v>8570</v>
      </c>
      <c r="U515" s="124">
        <v>8080</v>
      </c>
      <c r="V515" s="124">
        <v>8000</v>
      </c>
      <c r="W515" s="96">
        <v>8130</v>
      </c>
      <c r="X515" s="146">
        <v>7570</v>
      </c>
      <c r="Y515" s="146">
        <v>7060</v>
      </c>
      <c r="Z515" s="146">
        <v>8530</v>
      </c>
      <c r="AA515" s="626">
        <v>8830</v>
      </c>
      <c r="AB515" s="146">
        <v>8590</v>
      </c>
      <c r="AC515" s="861">
        <v>8010</v>
      </c>
      <c r="AD515" s="750">
        <v>8250</v>
      </c>
      <c r="AE515" s="92" t="s">
        <v>229</v>
      </c>
      <c r="AF515" s="241">
        <v>13640</v>
      </c>
      <c r="AG515" s="147">
        <v>0.60483870967741937</v>
      </c>
      <c r="AH515" s="100" t="s">
        <v>80</v>
      </c>
      <c r="AI515" s="126">
        <v>500</v>
      </c>
      <c r="AJ515" s="126">
        <v>660</v>
      </c>
      <c r="AK515" s="126">
        <v>1020</v>
      </c>
      <c r="AL515" s="881">
        <f t="shared" si="23"/>
        <v>7425</v>
      </c>
      <c r="AM515" s="127">
        <v>2</v>
      </c>
    </row>
    <row r="516" spans="1:39" ht="15" thickBot="1" x14ac:dyDescent="0.35">
      <c r="A516" s="202">
        <v>1027</v>
      </c>
      <c r="B516" s="202">
        <v>840</v>
      </c>
      <c r="C516" s="407" t="s">
        <v>1239</v>
      </c>
      <c r="D516" s="388" t="s">
        <v>1240</v>
      </c>
      <c r="E516" s="205" t="s">
        <v>1241</v>
      </c>
      <c r="F516" s="805">
        <v>1571</v>
      </c>
      <c r="G516" s="805" t="s">
        <v>539</v>
      </c>
      <c r="H516" s="249"/>
      <c r="I516" s="207">
        <v>2.1</v>
      </c>
      <c r="J516" s="805" t="s">
        <v>140</v>
      </c>
      <c r="K516" s="249" t="s">
        <v>75</v>
      </c>
      <c r="L516" s="851" t="s">
        <v>594</v>
      </c>
      <c r="M516" s="917" t="s">
        <v>653</v>
      </c>
      <c r="N516" s="851" t="s">
        <v>653</v>
      </c>
      <c r="O516" s="851" t="s">
        <v>653</v>
      </c>
      <c r="P516" s="917" t="s">
        <v>626</v>
      </c>
      <c r="Q516" s="909" t="s">
        <v>626</v>
      </c>
      <c r="R516" s="395" t="s">
        <v>556</v>
      </c>
      <c r="S516" s="206" t="s">
        <v>858</v>
      </c>
      <c r="T516" s="846">
        <v>1510</v>
      </c>
      <c r="U516" s="846">
        <v>1510</v>
      </c>
      <c r="V516" s="846">
        <v>1640</v>
      </c>
      <c r="W516" s="857">
        <v>1630</v>
      </c>
      <c r="X516" s="858">
        <v>1860</v>
      </c>
      <c r="Y516" s="932">
        <v>2120</v>
      </c>
      <c r="Z516" s="858">
        <v>2380</v>
      </c>
      <c r="AA516" s="858">
        <v>2600</v>
      </c>
      <c r="AB516" s="858">
        <v>2970</v>
      </c>
      <c r="AC516" s="945">
        <v>2670</v>
      </c>
      <c r="AD516" s="781">
        <v>2780</v>
      </c>
      <c r="AE516" s="442" t="s">
        <v>229</v>
      </c>
      <c r="AF516" s="481">
        <v>13640</v>
      </c>
      <c r="AG516" s="444">
        <v>0.20381231671554254</v>
      </c>
      <c r="AH516" s="442" t="s">
        <v>97</v>
      </c>
      <c r="AI516" s="282">
        <v>230</v>
      </c>
      <c r="AJ516" s="282">
        <v>330</v>
      </c>
      <c r="AK516" s="485">
        <v>1230</v>
      </c>
      <c r="AL516" s="949">
        <f t="shared" si="23"/>
        <v>5838</v>
      </c>
      <c r="AM516" s="255">
        <v>2</v>
      </c>
    </row>
    <row r="517" spans="1:39" ht="15" thickBot="1" x14ac:dyDescent="0.35">
      <c r="A517" s="616">
        <v>1030</v>
      </c>
      <c r="B517" s="616">
        <v>842</v>
      </c>
      <c r="C517" s="420" t="s">
        <v>1242</v>
      </c>
      <c r="D517" s="329" t="s">
        <v>839</v>
      </c>
      <c r="E517" s="329" t="s">
        <v>1243</v>
      </c>
      <c r="F517" s="619">
        <v>1580</v>
      </c>
      <c r="G517" s="619" t="s">
        <v>539</v>
      </c>
      <c r="H517" s="391" t="s">
        <v>73</v>
      </c>
      <c r="I517" s="331">
        <v>0.15</v>
      </c>
      <c r="J517" s="619" t="s">
        <v>237</v>
      </c>
      <c r="K517" s="391" t="s">
        <v>75</v>
      </c>
      <c r="L517" s="396" t="s">
        <v>540</v>
      </c>
      <c r="M517" s="396" t="s">
        <v>584</v>
      </c>
      <c r="N517" s="396" t="s">
        <v>584</v>
      </c>
      <c r="O517" s="396" t="s">
        <v>584</v>
      </c>
      <c r="P517" s="396" t="s">
        <v>542</v>
      </c>
      <c r="Q517" s="975" t="s">
        <v>542</v>
      </c>
      <c r="R517" s="330" t="s">
        <v>543</v>
      </c>
      <c r="S517" s="543" t="s">
        <v>872</v>
      </c>
      <c r="T517" s="124">
        <v>750</v>
      </c>
      <c r="U517" s="124">
        <v>730</v>
      </c>
      <c r="V517" s="124">
        <v>770</v>
      </c>
      <c r="W517" s="621">
        <v>740</v>
      </c>
      <c r="X517" s="545" t="s">
        <v>81</v>
      </c>
      <c r="Y517" s="448">
        <v>1020</v>
      </c>
      <c r="Z517" s="587">
        <v>820</v>
      </c>
      <c r="AA517" s="587">
        <v>880</v>
      </c>
      <c r="AB517" s="587">
        <v>950</v>
      </c>
      <c r="AC517" s="893">
        <v>760</v>
      </c>
      <c r="AD517" s="758">
        <v>770</v>
      </c>
      <c r="AE517" s="391" t="s">
        <v>229</v>
      </c>
      <c r="AF517" s="370">
        <v>13640</v>
      </c>
      <c r="AG517" s="333">
        <v>5.6451612903225805E-2</v>
      </c>
      <c r="AH517" s="307" t="s">
        <v>97</v>
      </c>
      <c r="AI517" s="334">
        <v>60</v>
      </c>
      <c r="AJ517" s="334">
        <v>70</v>
      </c>
      <c r="AK517" s="334">
        <v>1020</v>
      </c>
      <c r="AL517" s="881">
        <f t="shared" si="23"/>
        <v>115.5</v>
      </c>
      <c r="AM517" s="337">
        <v>2</v>
      </c>
    </row>
    <row r="518" spans="1:39" ht="15" thickBot="1" x14ac:dyDescent="0.35">
      <c r="A518" s="202">
        <v>1032</v>
      </c>
      <c r="B518" s="202">
        <v>843</v>
      </c>
      <c r="C518" s="402" t="s">
        <v>1244</v>
      </c>
      <c r="D518" s="403" t="s">
        <v>781</v>
      </c>
      <c r="E518" s="205" t="s">
        <v>391</v>
      </c>
      <c r="F518" s="805">
        <v>1590</v>
      </c>
      <c r="G518" s="805" t="s">
        <v>539</v>
      </c>
      <c r="H518" s="208" t="s">
        <v>73</v>
      </c>
      <c r="I518" s="207">
        <v>4.4000000000000004</v>
      </c>
      <c r="J518" s="805" t="s">
        <v>154</v>
      </c>
      <c r="K518" s="387" t="s">
        <v>75</v>
      </c>
      <c r="L518" s="851" t="s">
        <v>540</v>
      </c>
      <c r="M518" s="917" t="s">
        <v>367</v>
      </c>
      <c r="N518" s="851" t="s">
        <v>367</v>
      </c>
      <c r="O518" s="851" t="s">
        <v>367</v>
      </c>
      <c r="P518" s="851" t="s">
        <v>367</v>
      </c>
      <c r="Q518" s="895" t="s">
        <v>367</v>
      </c>
      <c r="R518" s="250" t="s">
        <v>1245</v>
      </c>
      <c r="S518" s="206" t="s">
        <v>1246</v>
      </c>
      <c r="T518" s="251">
        <v>1160</v>
      </c>
      <c r="U518" s="251">
        <v>1250</v>
      </c>
      <c r="V518" s="251">
        <v>1240</v>
      </c>
      <c r="W518" s="857">
        <v>1360</v>
      </c>
      <c r="X518" s="875" t="s">
        <v>81</v>
      </c>
      <c r="Y518" s="932">
        <v>1100</v>
      </c>
      <c r="Z518" s="858">
        <v>1110</v>
      </c>
      <c r="AA518" s="858">
        <v>1160</v>
      </c>
      <c r="AB518" s="858">
        <v>1070</v>
      </c>
      <c r="AC518" s="945">
        <v>1180</v>
      </c>
      <c r="AD518" s="781">
        <v>1070</v>
      </c>
      <c r="AE518" s="550" t="s">
        <v>97</v>
      </c>
      <c r="AF518" s="443">
        <v>6450</v>
      </c>
      <c r="AG518" s="444">
        <v>0.16589147286821707</v>
      </c>
      <c r="AH518" s="442" t="s">
        <v>1524</v>
      </c>
      <c r="AI518" s="282">
        <v>80</v>
      </c>
      <c r="AJ518" s="282">
        <v>110</v>
      </c>
      <c r="AK518" s="627">
        <v>620</v>
      </c>
      <c r="AL518" s="949">
        <f t="shared" si="23"/>
        <v>4708</v>
      </c>
      <c r="AM518" s="211">
        <v>2</v>
      </c>
    </row>
    <row r="519" spans="1:39" x14ac:dyDescent="0.3">
      <c r="A519" s="609">
        <v>1036</v>
      </c>
      <c r="B519" s="609">
        <v>844</v>
      </c>
      <c r="C519" s="348" t="s">
        <v>1247</v>
      </c>
      <c r="D519" s="603"/>
      <c r="E519" s="319" t="s">
        <v>1248</v>
      </c>
      <c r="F519" s="112">
        <v>1598</v>
      </c>
      <c r="G519" s="112" t="s">
        <v>539</v>
      </c>
      <c r="H519" s="200" t="s">
        <v>73</v>
      </c>
      <c r="I519" s="107">
        <v>0.45</v>
      </c>
      <c r="J519" s="112">
        <v>35</v>
      </c>
      <c r="K519" s="284" t="s">
        <v>75</v>
      </c>
      <c r="L519" s="105" t="s">
        <v>583</v>
      </c>
      <c r="M519" s="105" t="s">
        <v>615</v>
      </c>
      <c r="N519" s="105" t="s">
        <v>615</v>
      </c>
      <c r="O519" s="105" t="s">
        <v>615</v>
      </c>
      <c r="P519" s="105" t="s">
        <v>616</v>
      </c>
      <c r="Q519" s="904" t="s">
        <v>616</v>
      </c>
      <c r="R519" s="200" t="s">
        <v>556</v>
      </c>
      <c r="S519" s="199" t="s">
        <v>858</v>
      </c>
      <c r="T519" s="66">
        <v>5360</v>
      </c>
      <c r="U519" s="66">
        <v>5140</v>
      </c>
      <c r="V519" s="66">
        <v>5780</v>
      </c>
      <c r="W519" s="109">
        <v>6630</v>
      </c>
      <c r="X519" s="151">
        <v>2810</v>
      </c>
      <c r="Y519" s="151">
        <v>6810</v>
      </c>
      <c r="Z519" s="151">
        <v>7160</v>
      </c>
      <c r="AA519" s="612">
        <v>8030</v>
      </c>
      <c r="AB519" s="110">
        <v>7930</v>
      </c>
      <c r="AC519" s="878">
        <v>5940</v>
      </c>
      <c r="AD519" s="751">
        <v>6440</v>
      </c>
      <c r="AE519" s="200" t="s">
        <v>229</v>
      </c>
      <c r="AF519" s="477">
        <v>14740</v>
      </c>
      <c r="AG519" s="82">
        <v>0.43690637720488468</v>
      </c>
      <c r="AH519" s="287" t="s">
        <v>97</v>
      </c>
      <c r="AI519" s="288">
        <v>1250</v>
      </c>
      <c r="AJ519" s="288">
        <v>810</v>
      </c>
      <c r="AK519" s="294">
        <v>1330</v>
      </c>
      <c r="AL519" s="832">
        <f t="shared" si="23"/>
        <v>2898</v>
      </c>
      <c r="AM519" s="201">
        <v>2</v>
      </c>
    </row>
    <row r="520" spans="1:39" x14ac:dyDescent="0.3">
      <c r="A520" s="33">
        <v>1036</v>
      </c>
      <c r="B520" s="33">
        <v>845</v>
      </c>
      <c r="C520" s="352" t="s">
        <v>1247</v>
      </c>
      <c r="D520" s="323"/>
      <c r="E520" s="70" t="s">
        <v>1249</v>
      </c>
      <c r="F520" s="63">
        <v>1599</v>
      </c>
      <c r="G520" s="800" t="s">
        <v>539</v>
      </c>
      <c r="H520" s="52" t="s">
        <v>73</v>
      </c>
      <c r="I520" s="72">
        <v>0.25</v>
      </c>
      <c r="J520" s="800">
        <v>35</v>
      </c>
      <c r="K520" s="302" t="s">
        <v>75</v>
      </c>
      <c r="L520" s="835" t="s">
        <v>583</v>
      </c>
      <c r="M520" s="835" t="s">
        <v>615</v>
      </c>
      <c r="N520" s="835" t="s">
        <v>615</v>
      </c>
      <c r="O520" s="835" t="s">
        <v>615</v>
      </c>
      <c r="P520" s="835" t="s">
        <v>616</v>
      </c>
      <c r="Q520" s="904" t="s">
        <v>616</v>
      </c>
      <c r="R520" s="52" t="s">
        <v>556</v>
      </c>
      <c r="S520" s="55" t="s">
        <v>858</v>
      </c>
      <c r="T520" s="762">
        <v>7000</v>
      </c>
      <c r="U520" s="762">
        <v>6480</v>
      </c>
      <c r="V520" s="762">
        <v>6890</v>
      </c>
      <c r="W520" s="822">
        <v>6720</v>
      </c>
      <c r="X520" s="760">
        <v>3630</v>
      </c>
      <c r="Y520" s="760">
        <v>3260</v>
      </c>
      <c r="Z520" s="760">
        <v>8510</v>
      </c>
      <c r="AA520" s="931">
        <v>9800</v>
      </c>
      <c r="AB520" s="760">
        <v>9300</v>
      </c>
      <c r="AC520" s="884">
        <v>7360</v>
      </c>
      <c r="AD520" s="748">
        <v>8210</v>
      </c>
      <c r="AE520" s="80" t="s">
        <v>229</v>
      </c>
      <c r="AF520" s="194">
        <v>14740</v>
      </c>
      <c r="AG520" s="303">
        <v>0.55698778833107188</v>
      </c>
      <c r="AH520" s="80" t="s">
        <v>80</v>
      </c>
      <c r="AI520" s="115">
        <v>1200</v>
      </c>
      <c r="AJ520" s="115">
        <v>910</v>
      </c>
      <c r="AK520" s="304">
        <v>1330</v>
      </c>
      <c r="AL520" s="832">
        <f t="shared" si="23"/>
        <v>2052.5</v>
      </c>
      <c r="AM520" s="63">
        <v>2</v>
      </c>
    </row>
    <row r="521" spans="1:39" x14ac:dyDescent="0.3">
      <c r="A521" s="613">
        <v>1036</v>
      </c>
      <c r="B521" s="613">
        <v>846</v>
      </c>
      <c r="C521" s="352" t="s">
        <v>1247</v>
      </c>
      <c r="D521" s="628"/>
      <c r="E521" s="64" t="s">
        <v>1250</v>
      </c>
      <c r="F521" s="49">
        <v>1600</v>
      </c>
      <c r="G521" s="49" t="s">
        <v>539</v>
      </c>
      <c r="H521" s="36" t="s">
        <v>73</v>
      </c>
      <c r="I521" s="37">
        <v>0.25</v>
      </c>
      <c r="J521" s="49">
        <v>35</v>
      </c>
      <c r="K521" s="324" t="s">
        <v>75</v>
      </c>
      <c r="L521" s="35" t="s">
        <v>583</v>
      </c>
      <c r="M521" s="35" t="s">
        <v>615</v>
      </c>
      <c r="N521" s="35" t="s">
        <v>615</v>
      </c>
      <c r="O521" s="35" t="s">
        <v>615</v>
      </c>
      <c r="P521" s="35" t="s">
        <v>616</v>
      </c>
      <c r="Q521" s="904" t="s">
        <v>616</v>
      </c>
      <c r="R521" s="36" t="s">
        <v>556</v>
      </c>
      <c r="S521" s="38" t="s">
        <v>858</v>
      </c>
      <c r="T521" s="119">
        <v>7080</v>
      </c>
      <c r="U521" s="119">
        <v>6280</v>
      </c>
      <c r="V521" s="119">
        <v>6350</v>
      </c>
      <c r="W521" s="68">
        <v>7240</v>
      </c>
      <c r="X521" s="629">
        <v>3870</v>
      </c>
      <c r="Y521" s="123">
        <v>7340</v>
      </c>
      <c r="Z521" s="629">
        <v>7970</v>
      </c>
      <c r="AA521" s="630">
        <v>9390</v>
      </c>
      <c r="AB521" s="123">
        <v>8930</v>
      </c>
      <c r="AC521" s="888">
        <v>7360</v>
      </c>
      <c r="AD521" s="749">
        <v>8030</v>
      </c>
      <c r="AE521" s="36" t="s">
        <v>229</v>
      </c>
      <c r="AF521" s="213">
        <v>14740</v>
      </c>
      <c r="AG521" s="315">
        <v>0.54477611940298509</v>
      </c>
      <c r="AH521" s="83" t="s">
        <v>80</v>
      </c>
      <c r="AI521" s="120">
        <v>1020</v>
      </c>
      <c r="AJ521" s="120">
        <v>850</v>
      </c>
      <c r="AK521" s="316">
        <v>1330</v>
      </c>
      <c r="AL521" s="832">
        <f t="shared" si="23"/>
        <v>2007.5</v>
      </c>
      <c r="AM521" s="121">
        <v>2</v>
      </c>
    </row>
    <row r="522" spans="1:39" ht="15" thickBot="1" x14ac:dyDescent="0.35">
      <c r="A522" s="305">
        <v>1039</v>
      </c>
      <c r="B522" s="305">
        <v>849</v>
      </c>
      <c r="C522" s="346" t="s">
        <v>1247</v>
      </c>
      <c r="D522" s="631"/>
      <c r="E522" s="91" t="s">
        <v>1251</v>
      </c>
      <c r="F522" s="464" t="s">
        <v>1025</v>
      </c>
      <c r="G522" s="801" t="s">
        <v>539</v>
      </c>
      <c r="H522" s="92" t="s">
        <v>73</v>
      </c>
      <c r="I522" s="93">
        <v>1.8</v>
      </c>
      <c r="J522" s="801"/>
      <c r="K522" s="271" t="s">
        <v>75</v>
      </c>
      <c r="L522" s="841" t="s">
        <v>583</v>
      </c>
      <c r="M522" s="841" t="s">
        <v>584</v>
      </c>
      <c r="N522" s="841" t="s">
        <v>584</v>
      </c>
      <c r="O522" s="841" t="s">
        <v>584</v>
      </c>
      <c r="P522" s="841" t="s">
        <v>626</v>
      </c>
      <c r="Q522" s="904" t="s">
        <v>616</v>
      </c>
      <c r="R522" s="92" t="s">
        <v>556</v>
      </c>
      <c r="S522" s="632" t="s">
        <v>1252</v>
      </c>
      <c r="T522" s="791" t="s">
        <v>81</v>
      </c>
      <c r="U522" s="791" t="s">
        <v>81</v>
      </c>
      <c r="V522" s="173" t="s">
        <v>81</v>
      </c>
      <c r="W522" s="791" t="s">
        <v>81</v>
      </c>
      <c r="X522" s="1026" t="s">
        <v>81</v>
      </c>
      <c r="Y522" s="791" t="s">
        <v>81</v>
      </c>
      <c r="Z522" s="1026" t="s">
        <v>81</v>
      </c>
      <c r="AA522" s="1026" t="s">
        <v>81</v>
      </c>
      <c r="AB522" s="173" t="s">
        <v>81</v>
      </c>
      <c r="AC522" s="173" t="s">
        <v>81</v>
      </c>
      <c r="AD522" s="791" t="s">
        <v>81</v>
      </c>
      <c r="AE522" s="233" t="s">
        <v>229</v>
      </c>
      <c r="AF522" s="326">
        <v>14740</v>
      </c>
      <c r="AG522" s="173" t="s">
        <v>81</v>
      </c>
      <c r="AH522" s="170" t="s">
        <v>1525</v>
      </c>
      <c r="AI522" s="173" t="s">
        <v>81</v>
      </c>
      <c r="AJ522" s="173" t="s">
        <v>81</v>
      </c>
      <c r="AK522" s="298">
        <v>1330</v>
      </c>
      <c r="AL522" s="1031" t="e">
        <f t="shared" si="23"/>
        <v>#VALUE!</v>
      </c>
      <c r="AM522" s="127">
        <v>0</v>
      </c>
    </row>
    <row r="523" spans="1:39" ht="15" thickBot="1" x14ac:dyDescent="0.35">
      <c r="A523" s="202">
        <v>1042</v>
      </c>
      <c r="B523" s="202">
        <v>851</v>
      </c>
      <c r="C523" s="385" t="s">
        <v>1253</v>
      </c>
      <c r="D523" s="403" t="s">
        <v>837</v>
      </c>
      <c r="E523" s="248" t="s">
        <v>1254</v>
      </c>
      <c r="F523" s="805">
        <v>1610</v>
      </c>
      <c r="G523" s="805" t="s">
        <v>539</v>
      </c>
      <c r="H523" s="249"/>
      <c r="I523" s="207">
        <v>2.5499999999999998</v>
      </c>
      <c r="J523" s="805" t="s">
        <v>154</v>
      </c>
      <c r="K523" s="387" t="s">
        <v>104</v>
      </c>
      <c r="L523" s="851" t="s">
        <v>367</v>
      </c>
      <c r="M523" s="917" t="s">
        <v>367</v>
      </c>
      <c r="N523" s="851" t="s">
        <v>367</v>
      </c>
      <c r="O523" s="851" t="s">
        <v>367</v>
      </c>
      <c r="P523" s="851" t="s">
        <v>367</v>
      </c>
      <c r="Q523" s="895" t="s">
        <v>367</v>
      </c>
      <c r="R523" s="250" t="s">
        <v>596</v>
      </c>
      <c r="S523" s="285" t="s">
        <v>549</v>
      </c>
      <c r="T523" s="251">
        <v>480</v>
      </c>
      <c r="U523" s="251">
        <v>450</v>
      </c>
      <c r="V523" s="251">
        <v>450</v>
      </c>
      <c r="W523" s="857">
        <v>430</v>
      </c>
      <c r="X523" s="858">
        <v>410</v>
      </c>
      <c r="Y523" s="932">
        <v>520</v>
      </c>
      <c r="Z523" s="858">
        <v>490</v>
      </c>
      <c r="AA523" s="858">
        <v>410</v>
      </c>
      <c r="AB523" s="858">
        <v>400</v>
      </c>
      <c r="AC523" s="938">
        <v>420</v>
      </c>
      <c r="AD523" s="780">
        <v>650</v>
      </c>
      <c r="AE523" s="633" t="s">
        <v>97</v>
      </c>
      <c r="AF523" s="443">
        <v>6450</v>
      </c>
      <c r="AG523" s="444">
        <v>0.10077519379844961</v>
      </c>
      <c r="AH523" s="442" t="s">
        <v>1524</v>
      </c>
      <c r="AI523" s="282">
        <v>50</v>
      </c>
      <c r="AJ523" s="282">
        <v>70</v>
      </c>
      <c r="AK523" s="627">
        <v>620</v>
      </c>
      <c r="AL523" s="869"/>
      <c r="AM523" s="211">
        <v>2</v>
      </c>
    </row>
    <row r="524" spans="1:39" ht="15" thickBot="1" x14ac:dyDescent="0.35">
      <c r="A524" s="327">
        <v>1045</v>
      </c>
      <c r="B524" s="327">
        <v>853</v>
      </c>
      <c r="C524" s="595" t="s">
        <v>1255</v>
      </c>
      <c r="D524" s="329" t="s">
        <v>977</v>
      </c>
      <c r="E524" s="396" t="s">
        <v>926</v>
      </c>
      <c r="F524" s="807">
        <v>1621</v>
      </c>
      <c r="G524" s="807" t="s">
        <v>539</v>
      </c>
      <c r="H524" s="330"/>
      <c r="I524" s="331">
        <v>0.5</v>
      </c>
      <c r="J524" s="807" t="s">
        <v>237</v>
      </c>
      <c r="K524" s="332" t="s">
        <v>75</v>
      </c>
      <c r="L524" s="891" t="s">
        <v>583</v>
      </c>
      <c r="M524" s="891" t="s">
        <v>541</v>
      </c>
      <c r="N524" s="891" t="s">
        <v>541</v>
      </c>
      <c r="O524" s="891" t="s">
        <v>541</v>
      </c>
      <c r="P524" s="891" t="s">
        <v>542</v>
      </c>
      <c r="Q524" s="975" t="s">
        <v>542</v>
      </c>
      <c r="R524" s="543" t="s">
        <v>1256</v>
      </c>
      <c r="S524" s="285" t="s">
        <v>549</v>
      </c>
      <c r="T524" s="827">
        <v>310</v>
      </c>
      <c r="U524" s="827">
        <v>290</v>
      </c>
      <c r="V524" s="827">
        <v>340</v>
      </c>
      <c r="W524" s="893">
        <v>290</v>
      </c>
      <c r="X524" s="860">
        <v>270</v>
      </c>
      <c r="Y524" s="947">
        <v>340</v>
      </c>
      <c r="Z524" s="860">
        <v>250</v>
      </c>
      <c r="AA524" s="860">
        <v>350</v>
      </c>
      <c r="AB524" s="860">
        <v>310</v>
      </c>
      <c r="AC524" s="938">
        <v>310</v>
      </c>
      <c r="AD524" s="780">
        <v>310</v>
      </c>
      <c r="AE524" s="428" t="s">
        <v>229</v>
      </c>
      <c r="AF524" s="548">
        <v>13640</v>
      </c>
      <c r="AG524" s="432">
        <v>2.2727272727272728E-2</v>
      </c>
      <c r="AH524" s="433" t="s">
        <v>97</v>
      </c>
      <c r="AI524" s="434">
        <v>20</v>
      </c>
      <c r="AJ524" s="434">
        <v>30</v>
      </c>
      <c r="AK524" s="434">
        <v>1020</v>
      </c>
      <c r="AL524" s="941"/>
      <c r="AM524" s="337">
        <v>2</v>
      </c>
    </row>
    <row r="525" spans="1:39" ht="15" thickBot="1" x14ac:dyDescent="0.35">
      <c r="A525" s="202">
        <v>1057</v>
      </c>
      <c r="B525" s="202">
        <v>862</v>
      </c>
      <c r="C525" s="402" t="s">
        <v>1257</v>
      </c>
      <c r="D525" s="386" t="s">
        <v>1258</v>
      </c>
      <c r="E525" s="205" t="s">
        <v>1259</v>
      </c>
      <c r="F525" s="805">
        <v>1651</v>
      </c>
      <c r="G525" s="805" t="s">
        <v>539</v>
      </c>
      <c r="H525" s="208" t="s">
        <v>73</v>
      </c>
      <c r="I525" s="207">
        <v>2.6</v>
      </c>
      <c r="J525" s="805" t="s">
        <v>140</v>
      </c>
      <c r="K525" s="387" t="s">
        <v>104</v>
      </c>
      <c r="L525" s="851" t="s">
        <v>594</v>
      </c>
      <c r="M525" s="917" t="s">
        <v>653</v>
      </c>
      <c r="N525" s="851" t="s">
        <v>653</v>
      </c>
      <c r="O525" s="851" t="s">
        <v>653</v>
      </c>
      <c r="P525" s="404" t="s">
        <v>764</v>
      </c>
      <c r="Q525" s="933" t="s">
        <v>764</v>
      </c>
      <c r="R525" s="250" t="s">
        <v>686</v>
      </c>
      <c r="S525" s="250" t="s">
        <v>699</v>
      </c>
      <c r="T525" s="846">
        <v>1430</v>
      </c>
      <c r="U525" s="846">
        <v>1160</v>
      </c>
      <c r="V525" s="875">
        <v>1160</v>
      </c>
      <c r="W525" s="857">
        <v>1290</v>
      </c>
      <c r="X525" s="858">
        <v>1280</v>
      </c>
      <c r="Y525" s="932">
        <v>1280</v>
      </c>
      <c r="Z525" s="858">
        <v>1550</v>
      </c>
      <c r="AA525" s="858">
        <v>1540</v>
      </c>
      <c r="AB525" s="858">
        <v>1470</v>
      </c>
      <c r="AC525" s="945">
        <v>1260</v>
      </c>
      <c r="AD525" s="781">
        <v>1200</v>
      </c>
      <c r="AE525" s="442" t="s">
        <v>97</v>
      </c>
      <c r="AF525" s="443">
        <v>11775</v>
      </c>
      <c r="AG525" s="444">
        <v>0.10191082802547771</v>
      </c>
      <c r="AH525" s="442" t="s">
        <v>1524</v>
      </c>
      <c r="AI525" s="282">
        <v>100</v>
      </c>
      <c r="AJ525" s="282">
        <v>100</v>
      </c>
      <c r="AK525" s="282">
        <v>1120</v>
      </c>
      <c r="AL525" s="949">
        <f>IF(AD525&gt;0,AD525*$I525,"-")</f>
        <v>3120</v>
      </c>
      <c r="AM525" s="211">
        <v>2</v>
      </c>
    </row>
    <row r="526" spans="1:39" ht="15" thickBot="1" x14ac:dyDescent="0.35">
      <c r="A526" s="616">
        <v>1060</v>
      </c>
      <c r="B526" s="327">
        <v>864</v>
      </c>
      <c r="C526" s="595" t="s">
        <v>1260</v>
      </c>
      <c r="D526" s="329" t="s">
        <v>977</v>
      </c>
      <c r="E526" s="396" t="s">
        <v>1204</v>
      </c>
      <c r="F526" s="807">
        <v>1661</v>
      </c>
      <c r="G526" s="807" t="s">
        <v>539</v>
      </c>
      <c r="H526" s="330"/>
      <c r="I526" s="331">
        <v>1</v>
      </c>
      <c r="J526" s="807" t="s">
        <v>237</v>
      </c>
      <c r="K526" s="391" t="s">
        <v>75</v>
      </c>
      <c r="L526" s="891" t="s">
        <v>583</v>
      </c>
      <c r="M526" s="891" t="s">
        <v>541</v>
      </c>
      <c r="N526" s="891" t="s">
        <v>541</v>
      </c>
      <c r="O526" s="891" t="s">
        <v>541</v>
      </c>
      <c r="P526" s="891" t="s">
        <v>542</v>
      </c>
      <c r="Q526" s="975" t="s">
        <v>542</v>
      </c>
      <c r="R526" s="391" t="s">
        <v>556</v>
      </c>
      <c r="S526" s="285" t="s">
        <v>549</v>
      </c>
      <c r="T526" s="827">
        <v>270</v>
      </c>
      <c r="U526" s="827">
        <v>270</v>
      </c>
      <c r="V526" s="921">
        <v>250</v>
      </c>
      <c r="W526" s="893">
        <v>240</v>
      </c>
      <c r="X526" s="860">
        <v>260</v>
      </c>
      <c r="Y526" s="920">
        <v>330</v>
      </c>
      <c r="Z526" s="860">
        <v>270</v>
      </c>
      <c r="AA526" s="860">
        <v>250</v>
      </c>
      <c r="AB526" s="860">
        <v>330</v>
      </c>
      <c r="AC526" s="938">
        <v>310</v>
      </c>
      <c r="AD526" s="780">
        <v>240</v>
      </c>
      <c r="AE526" s="428" t="s">
        <v>229</v>
      </c>
      <c r="AF526" s="548">
        <v>13640</v>
      </c>
      <c r="AG526" s="432">
        <v>1.7595307917888565E-2</v>
      </c>
      <c r="AH526" s="433" t="s">
        <v>97</v>
      </c>
      <c r="AI526" s="434">
        <v>10</v>
      </c>
      <c r="AJ526" s="434">
        <v>20</v>
      </c>
      <c r="AK526" s="434">
        <v>1020</v>
      </c>
      <c r="AL526" s="1032"/>
      <c r="AM526" s="337">
        <v>2</v>
      </c>
    </row>
    <row r="527" spans="1:39" x14ac:dyDescent="0.3">
      <c r="A527" s="103">
        <v>1062</v>
      </c>
      <c r="B527" s="103">
        <v>2016</v>
      </c>
      <c r="C527" s="417" t="s">
        <v>1261</v>
      </c>
      <c r="D527" s="339"/>
      <c r="E527" s="177" t="s">
        <v>1262</v>
      </c>
      <c r="F527" s="464" t="s">
        <v>1025</v>
      </c>
      <c r="G527" s="804" t="s">
        <v>539</v>
      </c>
      <c r="H527" s="77" t="s">
        <v>73</v>
      </c>
      <c r="I527" s="178">
        <v>0.62</v>
      </c>
      <c r="J527" s="804" t="s">
        <v>158</v>
      </c>
      <c r="K527" s="131" t="s">
        <v>75</v>
      </c>
      <c r="L527" s="843" t="s">
        <v>570</v>
      </c>
      <c r="M527" s="848" t="s">
        <v>615</v>
      </c>
      <c r="N527" s="843" t="s">
        <v>615</v>
      </c>
      <c r="O527" s="843" t="s">
        <v>615</v>
      </c>
      <c r="P527" s="843" t="s">
        <v>670</v>
      </c>
      <c r="Q527" s="410" t="s">
        <v>637</v>
      </c>
      <c r="R527" s="131" t="s">
        <v>556</v>
      </c>
      <c r="S527" s="632" t="s">
        <v>1252</v>
      </c>
      <c r="T527" s="793" t="s">
        <v>81</v>
      </c>
      <c r="U527" s="793" t="s">
        <v>81</v>
      </c>
      <c r="V527" s="566" t="s">
        <v>81</v>
      </c>
      <c r="W527" s="793" t="s">
        <v>81</v>
      </c>
      <c r="X527" s="896" t="s">
        <v>81</v>
      </c>
      <c r="Y527" s="896" t="s">
        <v>81</v>
      </c>
      <c r="Z527" s="793" t="s">
        <v>81</v>
      </c>
      <c r="AA527" s="793" t="s">
        <v>81</v>
      </c>
      <c r="AB527" s="568" t="s">
        <v>81</v>
      </c>
      <c r="AC527" s="132" t="s">
        <v>81</v>
      </c>
      <c r="AD527" s="753" t="s">
        <v>81</v>
      </c>
      <c r="AE527" s="190" t="s">
        <v>229</v>
      </c>
      <c r="AF527" s="409">
        <v>37970</v>
      </c>
      <c r="AG527" s="132" t="s">
        <v>81</v>
      </c>
      <c r="AH527" s="86" t="s">
        <v>1525</v>
      </c>
      <c r="AI527" s="132" t="s">
        <v>81</v>
      </c>
      <c r="AJ527" s="132" t="s">
        <v>81</v>
      </c>
      <c r="AK527" s="312">
        <v>3410</v>
      </c>
      <c r="AL527" s="793" t="e">
        <f>IF(AC527&gt;0,AC527*$I527,"-")</f>
        <v>#VALUE!</v>
      </c>
      <c r="AM527" s="182">
        <v>0</v>
      </c>
    </row>
    <row r="528" spans="1:39" x14ac:dyDescent="0.3">
      <c r="A528" s="33">
        <v>1063</v>
      </c>
      <c r="B528" s="33">
        <v>865</v>
      </c>
      <c r="C528" s="622" t="s">
        <v>1261</v>
      </c>
      <c r="D528" s="158"/>
      <c r="E528" s="64" t="s">
        <v>1263</v>
      </c>
      <c r="F528" s="464" t="s">
        <v>1025</v>
      </c>
      <c r="G528" s="799" t="s">
        <v>539</v>
      </c>
      <c r="H528" s="36" t="s">
        <v>73</v>
      </c>
      <c r="I528" s="37">
        <v>1.3</v>
      </c>
      <c r="J528" s="799" t="s">
        <v>158</v>
      </c>
      <c r="K528" s="36" t="s">
        <v>75</v>
      </c>
      <c r="L528" s="837" t="s">
        <v>570</v>
      </c>
      <c r="M528" s="837" t="s">
        <v>615</v>
      </c>
      <c r="N528" s="837" t="s">
        <v>615</v>
      </c>
      <c r="O528" s="837" t="s">
        <v>615</v>
      </c>
      <c r="P528" s="837" t="s">
        <v>670</v>
      </c>
      <c r="Q528" s="410" t="s">
        <v>637</v>
      </c>
      <c r="R528" s="36" t="s">
        <v>556</v>
      </c>
      <c r="S528" s="596" t="s">
        <v>1252</v>
      </c>
      <c r="T528" s="911" t="s">
        <v>81</v>
      </c>
      <c r="U528" s="911" t="s">
        <v>81</v>
      </c>
      <c r="V528" s="118" t="s">
        <v>81</v>
      </c>
      <c r="W528" s="911" t="s">
        <v>81</v>
      </c>
      <c r="X528" s="934" t="s">
        <v>81</v>
      </c>
      <c r="Y528" s="934" t="s">
        <v>81</v>
      </c>
      <c r="Z528" s="911" t="s">
        <v>81</v>
      </c>
      <c r="AA528" s="911" t="s">
        <v>81</v>
      </c>
      <c r="AB528" s="118" t="s">
        <v>81</v>
      </c>
      <c r="AC528" s="84" t="s">
        <v>81</v>
      </c>
      <c r="AD528" s="792" t="s">
        <v>81</v>
      </c>
      <c r="AE528" s="411" t="s">
        <v>229</v>
      </c>
      <c r="AF528" s="213">
        <v>37970</v>
      </c>
      <c r="AG528" s="84" t="s">
        <v>81</v>
      </c>
      <c r="AH528" s="83" t="s">
        <v>1525</v>
      </c>
      <c r="AI528" s="84" t="s">
        <v>81</v>
      </c>
      <c r="AJ528" s="84" t="s">
        <v>81</v>
      </c>
      <c r="AK528" s="316">
        <v>3410</v>
      </c>
      <c r="AL528" s="911" t="e">
        <f>IF(AC528&gt;0,AC528*$I528,"-")</f>
        <v>#VALUE!</v>
      </c>
      <c r="AM528" s="121">
        <v>0</v>
      </c>
    </row>
    <row r="529" spans="1:39" ht="15" thickBot="1" x14ac:dyDescent="0.35">
      <c r="A529" s="33">
        <v>1065</v>
      </c>
      <c r="B529" s="33">
        <v>867</v>
      </c>
      <c r="C529" s="622" t="s">
        <v>1261</v>
      </c>
      <c r="D529" s="353" t="s">
        <v>1264</v>
      </c>
      <c r="E529" s="51" t="s">
        <v>1265</v>
      </c>
      <c r="F529" s="800">
        <v>1671</v>
      </c>
      <c r="G529" s="800" t="s">
        <v>539</v>
      </c>
      <c r="H529" s="71" t="s">
        <v>73</v>
      </c>
      <c r="I529" s="72">
        <v>0.65</v>
      </c>
      <c r="J529" s="800" t="s">
        <v>154</v>
      </c>
      <c r="K529" s="71" t="s">
        <v>75</v>
      </c>
      <c r="L529" s="835" t="s">
        <v>636</v>
      </c>
      <c r="M529" s="839" t="s">
        <v>620</v>
      </c>
      <c r="N529" s="835" t="s">
        <v>620</v>
      </c>
      <c r="O529" s="835" t="s">
        <v>620</v>
      </c>
      <c r="P529" s="835" t="s">
        <v>621</v>
      </c>
      <c r="Q529" s="413" t="s">
        <v>621</v>
      </c>
      <c r="R529" s="73" t="s">
        <v>374</v>
      </c>
      <c r="S529" s="73" t="s">
        <v>465</v>
      </c>
      <c r="T529" s="825">
        <v>14450</v>
      </c>
      <c r="U529" s="825">
        <v>15490</v>
      </c>
      <c r="V529" s="825">
        <v>13960</v>
      </c>
      <c r="W529" s="822">
        <v>12680</v>
      </c>
      <c r="X529" s="1027">
        <v>15480</v>
      </c>
      <c r="Y529" s="1027">
        <v>14580</v>
      </c>
      <c r="Z529" s="760">
        <v>14620</v>
      </c>
      <c r="AA529" s="931">
        <v>15890</v>
      </c>
      <c r="AB529" s="760">
        <v>17290</v>
      </c>
      <c r="AC529" s="884">
        <v>15020</v>
      </c>
      <c r="AD529" s="748">
        <v>16280</v>
      </c>
      <c r="AE529" s="140" t="s">
        <v>229</v>
      </c>
      <c r="AF529" s="194">
        <v>30420</v>
      </c>
      <c r="AG529" s="303">
        <v>0.53517422748191978</v>
      </c>
      <c r="AH529" s="80" t="s">
        <v>80</v>
      </c>
      <c r="AI529" s="115">
        <v>990</v>
      </c>
      <c r="AJ529" s="115">
        <v>1330</v>
      </c>
      <c r="AK529" s="304">
        <v>2740</v>
      </c>
      <c r="AL529" s="832">
        <f>IF(AD529&gt;0,AD529*$I529,"-")</f>
        <v>10582</v>
      </c>
      <c r="AM529" s="122">
        <v>4</v>
      </c>
    </row>
    <row r="530" spans="1:39" x14ac:dyDescent="0.3">
      <c r="A530" s="33">
        <v>1067</v>
      </c>
      <c r="B530" s="33">
        <v>869</v>
      </c>
      <c r="C530" s="622" t="s">
        <v>1261</v>
      </c>
      <c r="D530" s="128" t="s">
        <v>1266</v>
      </c>
      <c r="E530" s="35" t="s">
        <v>1267</v>
      </c>
      <c r="F530" s="799">
        <v>1673</v>
      </c>
      <c r="G530" s="799" t="s">
        <v>539</v>
      </c>
      <c r="H530" s="36" t="s">
        <v>73</v>
      </c>
      <c r="I530" s="37">
        <v>0.6</v>
      </c>
      <c r="J530" s="799" t="s">
        <v>140</v>
      </c>
      <c r="K530" s="324" t="s">
        <v>75</v>
      </c>
      <c r="L530" s="837" t="s">
        <v>636</v>
      </c>
      <c r="M530" s="837" t="s">
        <v>1268</v>
      </c>
      <c r="N530" s="837" t="s">
        <v>1268</v>
      </c>
      <c r="O530" s="837" t="s">
        <v>1268</v>
      </c>
      <c r="P530" s="839" t="s">
        <v>1037</v>
      </c>
      <c r="Q530" s="634" t="s">
        <v>1037</v>
      </c>
      <c r="R530" s="38" t="s">
        <v>374</v>
      </c>
      <c r="S530" s="36" t="s">
        <v>465</v>
      </c>
      <c r="T530" s="833">
        <v>30370</v>
      </c>
      <c r="U530" s="833">
        <v>30950</v>
      </c>
      <c r="V530" s="833">
        <v>27870</v>
      </c>
      <c r="W530" s="820">
        <v>26560</v>
      </c>
      <c r="X530" s="838">
        <v>28970</v>
      </c>
      <c r="Y530" s="838">
        <v>31620</v>
      </c>
      <c r="Z530" s="838">
        <v>31840</v>
      </c>
      <c r="AA530" s="1033">
        <v>35000</v>
      </c>
      <c r="AB530" s="838">
        <v>33400</v>
      </c>
      <c r="AC530" s="888">
        <v>26260</v>
      </c>
      <c r="AD530" s="749">
        <v>31050</v>
      </c>
      <c r="AE530" s="36" t="s">
        <v>229</v>
      </c>
      <c r="AF530" s="213">
        <v>57140</v>
      </c>
      <c r="AG530" s="315">
        <v>0.54340217010850544</v>
      </c>
      <c r="AH530" s="83" t="s">
        <v>97</v>
      </c>
      <c r="AI530" s="120">
        <v>1730</v>
      </c>
      <c r="AJ530" s="120">
        <v>2480</v>
      </c>
      <c r="AK530" s="316">
        <v>5140</v>
      </c>
      <c r="AL530" s="832">
        <f>IF(AD530&gt;0,AD530*$I530,"-")</f>
        <v>18630</v>
      </c>
      <c r="AM530" s="121">
        <v>6</v>
      </c>
    </row>
    <row r="531" spans="1:39" x14ac:dyDescent="0.3">
      <c r="A531" s="608">
        <v>1068</v>
      </c>
      <c r="B531" s="608">
        <v>870</v>
      </c>
      <c r="C531" s="635" t="s">
        <v>1261</v>
      </c>
      <c r="D531" s="51" t="s">
        <v>1269</v>
      </c>
      <c r="E531" s="51" t="s">
        <v>1270</v>
      </c>
      <c r="F531" s="800">
        <v>1674</v>
      </c>
      <c r="G531" s="800" t="s">
        <v>539</v>
      </c>
      <c r="H531" s="52" t="s">
        <v>73</v>
      </c>
      <c r="I531" s="72">
        <v>0.3</v>
      </c>
      <c r="J531" s="800" t="s">
        <v>140</v>
      </c>
      <c r="K531" s="302" t="s">
        <v>75</v>
      </c>
      <c r="L531" s="835" t="s">
        <v>636</v>
      </c>
      <c r="M531" s="839" t="s">
        <v>1268</v>
      </c>
      <c r="N531" s="835" t="s">
        <v>1268</v>
      </c>
      <c r="O531" s="835" t="s">
        <v>1268</v>
      </c>
      <c r="P531" s="839" t="s">
        <v>1037</v>
      </c>
      <c r="Q531" s="634" t="s">
        <v>1037</v>
      </c>
      <c r="R531" s="55" t="s">
        <v>374</v>
      </c>
      <c r="S531" s="73" t="s">
        <v>465</v>
      </c>
      <c r="T531" s="824">
        <v>40060</v>
      </c>
      <c r="U531" s="824">
        <v>40700</v>
      </c>
      <c r="V531" s="825">
        <v>36330</v>
      </c>
      <c r="W531" s="823">
        <v>33290</v>
      </c>
      <c r="X531" s="760">
        <v>34640</v>
      </c>
      <c r="Y531" s="760">
        <v>40360</v>
      </c>
      <c r="Z531" s="760">
        <v>43680</v>
      </c>
      <c r="AA531" s="1033">
        <v>37000</v>
      </c>
      <c r="AB531" s="760">
        <v>43850</v>
      </c>
      <c r="AC531" s="884">
        <v>39660</v>
      </c>
      <c r="AD531" s="748">
        <v>43880</v>
      </c>
      <c r="AE531" s="80" t="s">
        <v>229</v>
      </c>
      <c r="AF531" s="194">
        <v>57140</v>
      </c>
      <c r="AG531" s="303">
        <v>0.767938396919846</v>
      </c>
      <c r="AH531" s="80" t="s">
        <v>97</v>
      </c>
      <c r="AI531" s="115">
        <v>2420</v>
      </c>
      <c r="AJ531" s="115">
        <v>3360</v>
      </c>
      <c r="AK531" s="304">
        <v>5140</v>
      </c>
      <c r="AL531" s="832">
        <f>IF(AD531&gt;0,AD531*$I531,"-")</f>
        <v>13164</v>
      </c>
      <c r="AM531" s="604">
        <v>6</v>
      </c>
    </row>
    <row r="532" spans="1:39" x14ac:dyDescent="0.3">
      <c r="A532" s="636">
        <v>10682</v>
      </c>
      <c r="B532" s="636">
        <v>3045</v>
      </c>
      <c r="C532" s="635" t="s">
        <v>1261</v>
      </c>
      <c r="D532" s="637" t="s">
        <v>1271</v>
      </c>
      <c r="E532" s="35" t="s">
        <v>1272</v>
      </c>
      <c r="F532" s="49">
        <v>1685</v>
      </c>
      <c r="G532" s="799" t="s">
        <v>539</v>
      </c>
      <c r="H532" s="65" t="s">
        <v>73</v>
      </c>
      <c r="I532" s="37">
        <v>0.3</v>
      </c>
      <c r="J532" s="799" t="s">
        <v>140</v>
      </c>
      <c r="K532" s="478" t="s">
        <v>75</v>
      </c>
      <c r="L532" s="837" t="s">
        <v>636</v>
      </c>
      <c r="M532" s="837" t="s">
        <v>754</v>
      </c>
      <c r="N532" s="837" t="s">
        <v>754</v>
      </c>
      <c r="O532" s="837" t="s">
        <v>754</v>
      </c>
      <c r="P532" s="839" t="s">
        <v>1037</v>
      </c>
      <c r="Q532" s="634" t="s">
        <v>1037</v>
      </c>
      <c r="R532" s="39" t="s">
        <v>374</v>
      </c>
      <c r="S532" s="36" t="s">
        <v>465</v>
      </c>
      <c r="T532" s="40">
        <v>42380</v>
      </c>
      <c r="U532" s="40">
        <v>43180</v>
      </c>
      <c r="V532" s="493">
        <v>36440</v>
      </c>
      <c r="W532" s="42">
        <v>37850</v>
      </c>
      <c r="X532" s="819">
        <v>40100</v>
      </c>
      <c r="Y532" s="819">
        <v>39570</v>
      </c>
      <c r="Z532" s="159">
        <v>44320</v>
      </c>
      <c r="AA532" s="638">
        <v>43280</v>
      </c>
      <c r="AB532" s="123">
        <v>45690</v>
      </c>
      <c r="AC532" s="888">
        <v>33940</v>
      </c>
      <c r="AD532" s="749">
        <v>35530</v>
      </c>
      <c r="AE532" s="65" t="s">
        <v>229</v>
      </c>
      <c r="AF532" s="213">
        <v>57140</v>
      </c>
      <c r="AG532" s="315">
        <v>0.62180609030451528</v>
      </c>
      <c r="AH532" s="83" t="s">
        <v>97</v>
      </c>
      <c r="AI532" s="120">
        <v>1940</v>
      </c>
      <c r="AJ532" s="120">
        <v>2710</v>
      </c>
      <c r="AK532" s="316">
        <v>5140</v>
      </c>
      <c r="AL532" s="832">
        <f>IF(AD532&gt;0,AD532*$I532,"-")</f>
        <v>10659</v>
      </c>
      <c r="AM532" s="49">
        <v>6</v>
      </c>
    </row>
    <row r="533" spans="1:39" x14ac:dyDescent="0.3">
      <c r="A533" s="33">
        <v>1069</v>
      </c>
      <c r="B533" s="33">
        <v>871</v>
      </c>
      <c r="C533" s="622" t="s">
        <v>1261</v>
      </c>
      <c r="D533" s="353" t="s">
        <v>1273</v>
      </c>
      <c r="E533" s="70" t="s">
        <v>1274</v>
      </c>
      <c r="F533" s="800">
        <v>1675</v>
      </c>
      <c r="G533" s="800" t="s">
        <v>539</v>
      </c>
      <c r="H533" s="71" t="s">
        <v>73</v>
      </c>
      <c r="I533" s="72">
        <v>0.35</v>
      </c>
      <c r="J533" s="800" t="s">
        <v>158</v>
      </c>
      <c r="K533" s="321" t="s">
        <v>75</v>
      </c>
      <c r="L533" s="835" t="s">
        <v>636</v>
      </c>
      <c r="M533" s="839" t="s">
        <v>754</v>
      </c>
      <c r="N533" s="835" t="s">
        <v>754</v>
      </c>
      <c r="O533" s="835" t="s">
        <v>754</v>
      </c>
      <c r="P533" s="835" t="s">
        <v>637</v>
      </c>
      <c r="Q533" s="839" t="s">
        <v>1275</v>
      </c>
      <c r="R533" s="73" t="s">
        <v>374</v>
      </c>
      <c r="S533" s="73" t="s">
        <v>465</v>
      </c>
      <c r="T533" s="40">
        <v>41210</v>
      </c>
      <c r="U533" s="493">
        <v>41200</v>
      </c>
      <c r="V533" s="840">
        <v>34420</v>
      </c>
      <c r="W533" s="42">
        <v>36480</v>
      </c>
      <c r="X533" s="819">
        <v>40540</v>
      </c>
      <c r="Y533" s="819">
        <v>39790</v>
      </c>
      <c r="Z533" s="159">
        <v>45090</v>
      </c>
      <c r="AA533" s="1029">
        <v>38020</v>
      </c>
      <c r="AB533" s="129">
        <v>36050</v>
      </c>
      <c r="AC533" s="884">
        <v>36930</v>
      </c>
      <c r="AD533" s="746">
        <v>45100</v>
      </c>
      <c r="AE533" s="47" t="s">
        <v>229</v>
      </c>
      <c r="AF533" s="502">
        <v>47560</v>
      </c>
      <c r="AG533" s="503">
        <v>0.94827586206896552</v>
      </c>
      <c r="AH533" s="47" t="s">
        <v>229</v>
      </c>
      <c r="AI533" s="143">
        <v>2630</v>
      </c>
      <c r="AJ533" s="143">
        <v>3580</v>
      </c>
      <c r="AK533" s="143">
        <v>4280</v>
      </c>
      <c r="AL533" s="832">
        <f>IF(AD533&gt;0,AD533*$I533,"-")</f>
        <v>15784.999999999998</v>
      </c>
      <c r="AM533" s="639">
        <v>5</v>
      </c>
    </row>
    <row r="534" spans="1:39" x14ac:dyDescent="0.3">
      <c r="A534" s="33">
        <v>1070</v>
      </c>
      <c r="B534" s="33">
        <v>872</v>
      </c>
      <c r="C534" s="622" t="s">
        <v>1261</v>
      </c>
      <c r="D534" s="301" t="s">
        <v>1276</v>
      </c>
      <c r="E534" s="64" t="s">
        <v>1277</v>
      </c>
      <c r="F534" s="799">
        <v>1676</v>
      </c>
      <c r="G534" s="799" t="s">
        <v>539</v>
      </c>
      <c r="H534" s="36" t="s">
        <v>73</v>
      </c>
      <c r="I534" s="37">
        <v>0.35</v>
      </c>
      <c r="J534" s="799" t="s">
        <v>158</v>
      </c>
      <c r="K534" s="324" t="s">
        <v>75</v>
      </c>
      <c r="L534" s="837" t="s">
        <v>636</v>
      </c>
      <c r="M534" s="837" t="s">
        <v>754</v>
      </c>
      <c r="N534" s="837" t="s">
        <v>754</v>
      </c>
      <c r="O534" s="837" t="s">
        <v>754</v>
      </c>
      <c r="P534" s="837" t="s">
        <v>637</v>
      </c>
      <c r="Q534" s="410" t="s">
        <v>637</v>
      </c>
      <c r="R534" s="38" t="s">
        <v>374</v>
      </c>
      <c r="S534" s="36" t="s">
        <v>465</v>
      </c>
      <c r="T534" s="40">
        <v>35940</v>
      </c>
      <c r="U534" s="493">
        <v>35990</v>
      </c>
      <c r="V534" s="833">
        <v>32490</v>
      </c>
      <c r="W534" s="820">
        <v>30760</v>
      </c>
      <c r="X534" s="819">
        <v>39620</v>
      </c>
      <c r="Y534" s="819">
        <v>37870</v>
      </c>
      <c r="Z534" s="819">
        <v>37630</v>
      </c>
      <c r="AA534" s="1029">
        <v>37200</v>
      </c>
      <c r="AB534" s="819">
        <v>40230</v>
      </c>
      <c r="AC534" s="888">
        <v>38890</v>
      </c>
      <c r="AD534" s="746">
        <v>38720</v>
      </c>
      <c r="AE534" s="144" t="s">
        <v>229</v>
      </c>
      <c r="AF534" s="502">
        <v>37970</v>
      </c>
      <c r="AG534" s="503">
        <v>1.0197524361337897</v>
      </c>
      <c r="AH534" s="47" t="s">
        <v>1525</v>
      </c>
      <c r="AI534" s="143">
        <v>2160</v>
      </c>
      <c r="AJ534" s="143">
        <v>3170</v>
      </c>
      <c r="AK534" s="504">
        <v>3410</v>
      </c>
      <c r="AL534" s="832">
        <f t="shared" ref="AL534:AL544" si="24">IF(AD534&gt;0,AD534*$I534,"-")</f>
        <v>13552</v>
      </c>
      <c r="AM534" s="121">
        <v>4</v>
      </c>
    </row>
    <row r="535" spans="1:39" x14ac:dyDescent="0.3">
      <c r="A535" s="33">
        <v>1071</v>
      </c>
      <c r="B535" s="33">
        <v>873</v>
      </c>
      <c r="C535" s="622" t="s">
        <v>1261</v>
      </c>
      <c r="D535" s="301" t="s">
        <v>1278</v>
      </c>
      <c r="E535" s="70" t="s">
        <v>1279</v>
      </c>
      <c r="F535" s="800">
        <v>1677</v>
      </c>
      <c r="G535" s="800" t="s">
        <v>539</v>
      </c>
      <c r="H535" s="71" t="s">
        <v>73</v>
      </c>
      <c r="I535" s="72">
        <v>1.25</v>
      </c>
      <c r="J535" s="800" t="s">
        <v>158</v>
      </c>
      <c r="K535" s="321" t="s">
        <v>75</v>
      </c>
      <c r="L535" s="835" t="s">
        <v>636</v>
      </c>
      <c r="M535" s="839" t="s">
        <v>620</v>
      </c>
      <c r="N535" s="835" t="s">
        <v>620</v>
      </c>
      <c r="O535" s="835" t="s">
        <v>620</v>
      </c>
      <c r="P535" s="835" t="s">
        <v>637</v>
      </c>
      <c r="Q535" s="410" t="s">
        <v>637</v>
      </c>
      <c r="R535" s="73" t="s">
        <v>374</v>
      </c>
      <c r="S535" s="73" t="s">
        <v>465</v>
      </c>
      <c r="T535" s="825">
        <v>24160</v>
      </c>
      <c r="U535" s="825">
        <v>24000</v>
      </c>
      <c r="V535" s="825">
        <v>22010</v>
      </c>
      <c r="W535" s="822">
        <v>20320</v>
      </c>
      <c r="X535" s="760">
        <v>23960</v>
      </c>
      <c r="Y535" s="760">
        <v>26030</v>
      </c>
      <c r="Z535" s="760">
        <v>26320</v>
      </c>
      <c r="AA535" s="931">
        <v>24650</v>
      </c>
      <c r="AB535" s="760">
        <v>26040</v>
      </c>
      <c r="AC535" s="884">
        <v>24560</v>
      </c>
      <c r="AD535" s="748">
        <v>26190</v>
      </c>
      <c r="AE535" s="140" t="s">
        <v>229</v>
      </c>
      <c r="AF535" s="194">
        <v>37970</v>
      </c>
      <c r="AG535" s="303">
        <v>0.68975506979194101</v>
      </c>
      <c r="AH535" s="80" t="s">
        <v>97</v>
      </c>
      <c r="AI535" s="115">
        <v>1450</v>
      </c>
      <c r="AJ535" s="115">
        <v>2150</v>
      </c>
      <c r="AK535" s="304">
        <v>3410</v>
      </c>
      <c r="AL535" s="832">
        <f t="shared" si="24"/>
        <v>32737.5</v>
      </c>
      <c r="AM535" s="122">
        <v>4</v>
      </c>
    </row>
    <row r="536" spans="1:39" x14ac:dyDescent="0.3">
      <c r="A536" s="33">
        <v>1073</v>
      </c>
      <c r="B536" s="33">
        <v>875</v>
      </c>
      <c r="C536" s="622" t="s">
        <v>1261</v>
      </c>
      <c r="D536" s="301" t="s">
        <v>1280</v>
      </c>
      <c r="E536" s="64" t="s">
        <v>1281</v>
      </c>
      <c r="F536" s="799">
        <v>1679</v>
      </c>
      <c r="G536" s="799" t="s">
        <v>539</v>
      </c>
      <c r="H536" s="36" t="s">
        <v>73</v>
      </c>
      <c r="I536" s="37">
        <v>0.9</v>
      </c>
      <c r="J536" s="799" t="s">
        <v>154</v>
      </c>
      <c r="K536" s="324" t="s">
        <v>104</v>
      </c>
      <c r="L536" s="837" t="s">
        <v>570</v>
      </c>
      <c r="M536" s="837" t="s">
        <v>584</v>
      </c>
      <c r="N536" s="837" t="s">
        <v>584</v>
      </c>
      <c r="O536" s="837" t="s">
        <v>584</v>
      </c>
      <c r="P536" s="837" t="s">
        <v>542</v>
      </c>
      <c r="Q536" s="975" t="s">
        <v>542</v>
      </c>
      <c r="R536" s="38" t="s">
        <v>374</v>
      </c>
      <c r="S536" s="36" t="s">
        <v>465</v>
      </c>
      <c r="T536" s="833">
        <v>9720</v>
      </c>
      <c r="U536" s="833">
        <v>9610</v>
      </c>
      <c r="V536" s="833">
        <v>9980</v>
      </c>
      <c r="W536" s="820">
        <v>9430</v>
      </c>
      <c r="X536" s="838">
        <v>9580</v>
      </c>
      <c r="Y536" s="838">
        <v>10910</v>
      </c>
      <c r="Z536" s="838">
        <v>10220</v>
      </c>
      <c r="AA536" s="930">
        <v>10470</v>
      </c>
      <c r="AB536" s="819">
        <v>12890</v>
      </c>
      <c r="AC536" s="888">
        <v>10620</v>
      </c>
      <c r="AD536" s="749">
        <v>11690</v>
      </c>
      <c r="AE536" s="411" t="s">
        <v>229</v>
      </c>
      <c r="AF536" s="213">
        <v>13640</v>
      </c>
      <c r="AG536" s="315">
        <v>0.85703812316715544</v>
      </c>
      <c r="AH536" s="83" t="s">
        <v>80</v>
      </c>
      <c r="AI536" s="120">
        <v>720</v>
      </c>
      <c r="AJ536" s="120">
        <v>970</v>
      </c>
      <c r="AK536" s="120">
        <v>1020</v>
      </c>
      <c r="AL536" s="832">
        <f t="shared" si="24"/>
        <v>10521</v>
      </c>
      <c r="AM536" s="121">
        <v>2</v>
      </c>
    </row>
    <row r="537" spans="1:39" x14ac:dyDescent="0.3">
      <c r="A537" s="33">
        <v>1075</v>
      </c>
      <c r="B537" s="33">
        <v>877</v>
      </c>
      <c r="C537" s="622" t="s">
        <v>1261</v>
      </c>
      <c r="D537" s="301" t="s">
        <v>1282</v>
      </c>
      <c r="E537" s="51" t="s">
        <v>1283</v>
      </c>
      <c r="F537" s="800">
        <v>1681</v>
      </c>
      <c r="G537" s="800" t="s">
        <v>539</v>
      </c>
      <c r="H537" s="71" t="s">
        <v>73</v>
      </c>
      <c r="I537" s="72">
        <v>0.7</v>
      </c>
      <c r="J537" s="800" t="s">
        <v>154</v>
      </c>
      <c r="K537" s="321" t="s">
        <v>104</v>
      </c>
      <c r="L537" s="835" t="s">
        <v>540</v>
      </c>
      <c r="M537" s="839" t="s">
        <v>584</v>
      </c>
      <c r="N537" s="835" t="s">
        <v>584</v>
      </c>
      <c r="O537" s="835" t="s">
        <v>584</v>
      </c>
      <c r="P537" s="835" t="s">
        <v>542</v>
      </c>
      <c r="Q537" s="975" t="s">
        <v>542</v>
      </c>
      <c r="R537" s="52" t="s">
        <v>543</v>
      </c>
      <c r="S537" s="56" t="s">
        <v>872</v>
      </c>
      <c r="T537" s="825">
        <v>7590</v>
      </c>
      <c r="U537" s="825">
        <v>8270</v>
      </c>
      <c r="V537" s="825">
        <v>8150</v>
      </c>
      <c r="W537" s="822">
        <v>7370</v>
      </c>
      <c r="X537" s="760">
        <v>6330</v>
      </c>
      <c r="Y537" s="760">
        <v>7610</v>
      </c>
      <c r="Z537" s="760">
        <v>7810</v>
      </c>
      <c r="AA537" s="931">
        <v>7290</v>
      </c>
      <c r="AB537" s="760">
        <v>7720</v>
      </c>
      <c r="AC537" s="884">
        <v>7500</v>
      </c>
      <c r="AD537" s="640">
        <v>8050</v>
      </c>
      <c r="AE537" s="140" t="s">
        <v>229</v>
      </c>
      <c r="AF537" s="194">
        <v>13640</v>
      </c>
      <c r="AG537" s="303">
        <v>0.59017595307917892</v>
      </c>
      <c r="AH537" s="80" t="s">
        <v>80</v>
      </c>
      <c r="AI537" s="640">
        <v>490</v>
      </c>
      <c r="AJ537" s="640">
        <v>680</v>
      </c>
      <c r="AK537" s="115">
        <v>1020</v>
      </c>
      <c r="AL537" s="832">
        <f t="shared" si="24"/>
        <v>5635</v>
      </c>
      <c r="AM537" s="122">
        <v>2</v>
      </c>
    </row>
    <row r="538" spans="1:39" ht="15" thickBot="1" x14ac:dyDescent="0.35">
      <c r="A538" s="88">
        <v>1078</v>
      </c>
      <c r="B538" s="88">
        <v>880</v>
      </c>
      <c r="C538" s="418" t="s">
        <v>1261</v>
      </c>
      <c r="D538" s="296" t="s">
        <v>1218</v>
      </c>
      <c r="E538" s="185" t="s">
        <v>1284</v>
      </c>
      <c r="F538" s="801">
        <v>1684</v>
      </c>
      <c r="G538" s="801" t="s">
        <v>539</v>
      </c>
      <c r="H538" s="92" t="s">
        <v>73</v>
      </c>
      <c r="I538" s="93">
        <v>1</v>
      </c>
      <c r="J538" s="801" t="s">
        <v>158</v>
      </c>
      <c r="K538" s="271" t="s">
        <v>104</v>
      </c>
      <c r="L538" s="841" t="s">
        <v>540</v>
      </c>
      <c r="M538" s="841" t="s">
        <v>584</v>
      </c>
      <c r="N538" s="841" t="s">
        <v>584</v>
      </c>
      <c r="O538" s="841" t="s">
        <v>584</v>
      </c>
      <c r="P538" s="841" t="s">
        <v>626</v>
      </c>
      <c r="Q538" s="909" t="s">
        <v>626</v>
      </c>
      <c r="R538" s="97" t="s">
        <v>543</v>
      </c>
      <c r="S538" s="95" t="s">
        <v>872</v>
      </c>
      <c r="T538" s="827">
        <v>5420</v>
      </c>
      <c r="U538" s="827">
        <v>5460</v>
      </c>
      <c r="V538" s="827">
        <v>5540</v>
      </c>
      <c r="W538" s="828">
        <v>5100</v>
      </c>
      <c r="X538" s="842">
        <v>4700</v>
      </c>
      <c r="Y538" s="842">
        <v>5230</v>
      </c>
      <c r="Z538" s="842">
        <v>5980</v>
      </c>
      <c r="AA538" s="935">
        <v>5370</v>
      </c>
      <c r="AB538" s="842">
        <v>5490</v>
      </c>
      <c r="AC538" s="861">
        <v>5150</v>
      </c>
      <c r="AD538" s="641">
        <v>5350</v>
      </c>
      <c r="AE538" s="92" t="s">
        <v>229</v>
      </c>
      <c r="AF538" s="241">
        <v>13640</v>
      </c>
      <c r="AG538" s="147">
        <v>0.39222873900293254</v>
      </c>
      <c r="AH538" s="100" t="s">
        <v>97</v>
      </c>
      <c r="AI538" s="641">
        <v>460</v>
      </c>
      <c r="AJ538" s="641">
        <v>520</v>
      </c>
      <c r="AK538" s="308">
        <v>1230</v>
      </c>
      <c r="AL538" s="829">
        <f t="shared" si="24"/>
        <v>5350</v>
      </c>
      <c r="AM538" s="127">
        <v>2</v>
      </c>
    </row>
    <row r="539" spans="1:39" x14ac:dyDescent="0.3">
      <c r="A539" s="103">
        <v>1084</v>
      </c>
      <c r="B539" s="103">
        <v>885</v>
      </c>
      <c r="C539" s="482" t="s">
        <v>1285</v>
      </c>
      <c r="D539" s="338" t="s">
        <v>630</v>
      </c>
      <c r="E539" s="189" t="s">
        <v>1286</v>
      </c>
      <c r="F539" s="804">
        <v>1691</v>
      </c>
      <c r="G539" s="804" t="s">
        <v>539</v>
      </c>
      <c r="H539" s="77"/>
      <c r="I539" s="178">
        <v>0.55000000000000004</v>
      </c>
      <c r="J539" s="804" t="s">
        <v>154</v>
      </c>
      <c r="K539" s="340" t="s">
        <v>104</v>
      </c>
      <c r="L539" s="843" t="s">
        <v>540</v>
      </c>
      <c r="M539" s="848" t="s">
        <v>541</v>
      </c>
      <c r="N539" s="843" t="s">
        <v>541</v>
      </c>
      <c r="O539" s="843" t="s">
        <v>541</v>
      </c>
      <c r="P539" s="843" t="s">
        <v>542</v>
      </c>
      <c r="Q539" s="975" t="s">
        <v>542</v>
      </c>
      <c r="R539" s="77" t="s">
        <v>543</v>
      </c>
      <c r="S539" s="544" t="s">
        <v>872</v>
      </c>
      <c r="T539" s="825">
        <v>770</v>
      </c>
      <c r="U539" s="825">
        <v>870</v>
      </c>
      <c r="V539" s="825">
        <v>910</v>
      </c>
      <c r="W539" s="836">
        <v>900</v>
      </c>
      <c r="X539" s="759">
        <v>890</v>
      </c>
      <c r="Y539" s="759">
        <v>960</v>
      </c>
      <c r="Z539" s="759">
        <v>840</v>
      </c>
      <c r="AA539" s="1034">
        <v>870</v>
      </c>
      <c r="AB539" s="886">
        <v>930</v>
      </c>
      <c r="AC539" s="887">
        <v>980</v>
      </c>
      <c r="AD539" s="754">
        <v>840</v>
      </c>
      <c r="AE539" s="190" t="s">
        <v>229</v>
      </c>
      <c r="AF539" s="409">
        <v>13640</v>
      </c>
      <c r="AG539" s="79">
        <v>6.1583577712609971E-2</v>
      </c>
      <c r="AH539" s="86" t="s">
        <v>97</v>
      </c>
      <c r="AI539" s="181">
        <v>70</v>
      </c>
      <c r="AJ539" s="181">
        <v>80</v>
      </c>
      <c r="AK539" s="181">
        <v>1020</v>
      </c>
      <c r="AL539" s="832">
        <f t="shared" si="24"/>
        <v>462.00000000000006</v>
      </c>
      <c r="AM539" s="182">
        <v>2</v>
      </c>
    </row>
    <row r="540" spans="1:39" x14ac:dyDescent="0.3">
      <c r="A540" s="33">
        <v>1082</v>
      </c>
      <c r="B540" s="33">
        <v>883</v>
      </c>
      <c r="C540" s="532" t="s">
        <v>1285</v>
      </c>
      <c r="D540" s="351" t="s">
        <v>632</v>
      </c>
      <c r="E540" s="64" t="s">
        <v>633</v>
      </c>
      <c r="F540" s="799">
        <v>1693</v>
      </c>
      <c r="G540" s="799" t="s">
        <v>539</v>
      </c>
      <c r="H540" s="65"/>
      <c r="I540" s="37">
        <v>1.55</v>
      </c>
      <c r="J540" s="799" t="s">
        <v>154</v>
      </c>
      <c r="K540" s="324" t="s">
        <v>104</v>
      </c>
      <c r="L540" s="837" t="s">
        <v>540</v>
      </c>
      <c r="M540" s="837" t="s">
        <v>541</v>
      </c>
      <c r="N540" s="837" t="s">
        <v>541</v>
      </c>
      <c r="O540" s="837" t="s">
        <v>541</v>
      </c>
      <c r="P540" s="837" t="s">
        <v>542</v>
      </c>
      <c r="Q540" s="975" t="s">
        <v>542</v>
      </c>
      <c r="R540" s="65" t="s">
        <v>543</v>
      </c>
      <c r="S540" s="39" t="s">
        <v>872</v>
      </c>
      <c r="T540" s="833">
        <v>2480</v>
      </c>
      <c r="U540" s="833">
        <v>2460</v>
      </c>
      <c r="V540" s="833">
        <v>2610</v>
      </c>
      <c r="W540" s="820">
        <v>2860</v>
      </c>
      <c r="X540" s="838">
        <v>3090</v>
      </c>
      <c r="Y540" s="838">
        <v>3250</v>
      </c>
      <c r="Z540" s="838">
        <v>2920</v>
      </c>
      <c r="AA540" s="930">
        <v>3030</v>
      </c>
      <c r="AB540" s="838">
        <v>3090</v>
      </c>
      <c r="AC540" s="888">
        <v>3120</v>
      </c>
      <c r="AD540" s="749">
        <v>2750</v>
      </c>
      <c r="AE540" s="36" t="s">
        <v>229</v>
      </c>
      <c r="AF540" s="213">
        <v>13640</v>
      </c>
      <c r="AG540" s="315">
        <v>0.20161290322580644</v>
      </c>
      <c r="AH540" s="83" t="s">
        <v>97</v>
      </c>
      <c r="AI540" s="120">
        <v>180</v>
      </c>
      <c r="AJ540" s="120">
        <v>240</v>
      </c>
      <c r="AK540" s="120">
        <v>1020</v>
      </c>
      <c r="AL540" s="832">
        <f t="shared" si="24"/>
        <v>4262.5</v>
      </c>
      <c r="AM540" s="121">
        <v>2</v>
      </c>
    </row>
    <row r="541" spans="1:39" ht="15" thickBot="1" x14ac:dyDescent="0.35">
      <c r="A541" s="88">
        <v>1080</v>
      </c>
      <c r="B541" s="88">
        <v>881</v>
      </c>
      <c r="C541" s="533" t="s">
        <v>1285</v>
      </c>
      <c r="D541" s="296" t="s">
        <v>1287</v>
      </c>
      <c r="E541" s="162" t="s">
        <v>1288</v>
      </c>
      <c r="F541" s="803">
        <v>1695</v>
      </c>
      <c r="G541" s="803" t="s">
        <v>539</v>
      </c>
      <c r="H541" s="215"/>
      <c r="I541" s="164">
        <v>1.75</v>
      </c>
      <c r="J541" s="803" t="s">
        <v>154</v>
      </c>
      <c r="K541" s="291" t="s">
        <v>104</v>
      </c>
      <c r="L541" s="845" t="s">
        <v>540</v>
      </c>
      <c r="M541" s="850" t="s">
        <v>541</v>
      </c>
      <c r="N541" s="845" t="s">
        <v>541</v>
      </c>
      <c r="O541" s="845" t="s">
        <v>541</v>
      </c>
      <c r="P541" s="845" t="s">
        <v>542</v>
      </c>
      <c r="Q541" s="975" t="s">
        <v>542</v>
      </c>
      <c r="R541" s="215" t="s">
        <v>543</v>
      </c>
      <c r="S541" s="526" t="s">
        <v>872</v>
      </c>
      <c r="T541" s="846">
        <v>5390</v>
      </c>
      <c r="U541" s="846">
        <v>5480</v>
      </c>
      <c r="V541" s="846">
        <v>5570</v>
      </c>
      <c r="W541" s="847">
        <v>5850</v>
      </c>
      <c r="X541" s="761">
        <v>5990</v>
      </c>
      <c r="Y541" s="761">
        <v>6300</v>
      </c>
      <c r="Z541" s="761">
        <v>6020</v>
      </c>
      <c r="AA541" s="927">
        <v>6790</v>
      </c>
      <c r="AB541" s="761">
        <v>6700</v>
      </c>
      <c r="AC541" s="880">
        <v>5940</v>
      </c>
      <c r="AD541" s="752">
        <v>5930</v>
      </c>
      <c r="AE541" s="233" t="s">
        <v>229</v>
      </c>
      <c r="AF541" s="326">
        <v>13640</v>
      </c>
      <c r="AG541" s="172">
        <v>0.43475073313782991</v>
      </c>
      <c r="AH541" s="170" t="s">
        <v>80</v>
      </c>
      <c r="AI541" s="169">
        <v>410</v>
      </c>
      <c r="AJ541" s="169">
        <v>500</v>
      </c>
      <c r="AK541" s="169">
        <v>1020</v>
      </c>
      <c r="AL541" s="829">
        <f t="shared" si="24"/>
        <v>10377.5</v>
      </c>
      <c r="AM541" s="174">
        <v>2</v>
      </c>
    </row>
    <row r="542" spans="1:39" x14ac:dyDescent="0.3">
      <c r="A542" s="103">
        <v>1093</v>
      </c>
      <c r="B542" s="103">
        <v>892</v>
      </c>
      <c r="C542" s="104" t="s">
        <v>1289</v>
      </c>
      <c r="D542" s="105" t="s">
        <v>1290</v>
      </c>
      <c r="E542" s="487" t="s">
        <v>1291</v>
      </c>
      <c r="F542" s="802">
        <v>1720</v>
      </c>
      <c r="G542" s="802" t="s">
        <v>539</v>
      </c>
      <c r="H542" s="106"/>
      <c r="I542" s="107">
        <v>0.6</v>
      </c>
      <c r="J542" s="802" t="s">
        <v>237</v>
      </c>
      <c r="K542" s="284" t="s">
        <v>104</v>
      </c>
      <c r="L542" s="830" t="s">
        <v>540</v>
      </c>
      <c r="M542" s="830" t="s">
        <v>541</v>
      </c>
      <c r="N542" s="830" t="s">
        <v>541</v>
      </c>
      <c r="O542" s="830" t="s">
        <v>541</v>
      </c>
      <c r="P542" s="830" t="s">
        <v>542</v>
      </c>
      <c r="Q542" s="975" t="s">
        <v>542</v>
      </c>
      <c r="R542" s="200" t="s">
        <v>556</v>
      </c>
      <c r="S542" s="199" t="s">
        <v>858</v>
      </c>
      <c r="T542" s="833">
        <v>1620</v>
      </c>
      <c r="U542" s="833">
        <v>1370</v>
      </c>
      <c r="V542" s="833">
        <v>1820</v>
      </c>
      <c r="W542" s="831">
        <v>2090</v>
      </c>
      <c r="X542" s="870" t="s">
        <v>81</v>
      </c>
      <c r="Y542" s="844">
        <v>2420</v>
      </c>
      <c r="Z542" s="844">
        <v>2360</v>
      </c>
      <c r="AA542" s="925">
        <v>3020</v>
      </c>
      <c r="AB542" s="873">
        <v>2560</v>
      </c>
      <c r="AC542" s="878">
        <v>2200</v>
      </c>
      <c r="AD542" s="751">
        <v>2300</v>
      </c>
      <c r="AE542" s="200" t="s">
        <v>229</v>
      </c>
      <c r="AF542" s="477">
        <v>13640</v>
      </c>
      <c r="AG542" s="82">
        <v>0.16862170087976538</v>
      </c>
      <c r="AH542" s="287" t="s">
        <v>97</v>
      </c>
      <c r="AI542" s="288">
        <v>290</v>
      </c>
      <c r="AJ542" s="288">
        <v>220</v>
      </c>
      <c r="AK542" s="288">
        <v>1020</v>
      </c>
      <c r="AL542" s="832">
        <f t="shared" si="24"/>
        <v>1380</v>
      </c>
      <c r="AM542" s="201">
        <v>2</v>
      </c>
    </row>
    <row r="543" spans="1:39" x14ac:dyDescent="0.3">
      <c r="A543" s="33">
        <v>1092</v>
      </c>
      <c r="B543" s="33">
        <v>891</v>
      </c>
      <c r="C543" s="50" t="s">
        <v>1289</v>
      </c>
      <c r="D543" s="70" t="s">
        <v>1292</v>
      </c>
      <c r="E543" s="51" t="s">
        <v>1293</v>
      </c>
      <c r="F543" s="800">
        <v>1721</v>
      </c>
      <c r="G543" s="800" t="s">
        <v>539</v>
      </c>
      <c r="H543" s="52"/>
      <c r="I543" s="72">
        <v>0.65</v>
      </c>
      <c r="J543" s="800" t="s">
        <v>237</v>
      </c>
      <c r="K543" s="321" t="s">
        <v>104</v>
      </c>
      <c r="L543" s="835" t="s">
        <v>540</v>
      </c>
      <c r="M543" s="839" t="s">
        <v>541</v>
      </c>
      <c r="N543" s="835" t="s">
        <v>541</v>
      </c>
      <c r="O543" s="835" t="s">
        <v>541</v>
      </c>
      <c r="P543" s="835" t="s">
        <v>542</v>
      </c>
      <c r="Q543" s="975" t="s">
        <v>542</v>
      </c>
      <c r="R543" s="71" t="s">
        <v>556</v>
      </c>
      <c r="S543" s="73" t="s">
        <v>858</v>
      </c>
      <c r="T543" s="825">
        <v>2880</v>
      </c>
      <c r="U543" s="825">
        <v>2600</v>
      </c>
      <c r="V543" s="825">
        <v>2520</v>
      </c>
      <c r="W543" s="822">
        <v>2880</v>
      </c>
      <c r="X543" s="849" t="s">
        <v>81</v>
      </c>
      <c r="Y543" s="760">
        <v>3340</v>
      </c>
      <c r="Z543" s="760">
        <v>4940</v>
      </c>
      <c r="AA543" s="931">
        <v>4510</v>
      </c>
      <c r="AB543" s="760">
        <v>3100</v>
      </c>
      <c r="AC543" s="884">
        <v>2520</v>
      </c>
      <c r="AD543" s="748">
        <v>2900</v>
      </c>
      <c r="AE543" s="140" t="s">
        <v>229</v>
      </c>
      <c r="AF543" s="194">
        <v>13640</v>
      </c>
      <c r="AG543" s="303">
        <v>0.21260997067448681</v>
      </c>
      <c r="AH543" s="80" t="s">
        <v>97</v>
      </c>
      <c r="AI543" s="115">
        <v>280</v>
      </c>
      <c r="AJ543" s="115">
        <v>270</v>
      </c>
      <c r="AK543" s="115">
        <v>1020</v>
      </c>
      <c r="AL543" s="832">
        <f t="shared" si="24"/>
        <v>1885</v>
      </c>
      <c r="AM543" s="122">
        <v>2</v>
      </c>
    </row>
    <row r="544" spans="1:39" x14ac:dyDescent="0.3">
      <c r="A544" s="33">
        <v>1091</v>
      </c>
      <c r="B544" s="33">
        <v>890</v>
      </c>
      <c r="C544" s="34" t="s">
        <v>1289</v>
      </c>
      <c r="D544" s="64" t="s">
        <v>1294</v>
      </c>
      <c r="E544" s="133" t="s">
        <v>1295</v>
      </c>
      <c r="F544" s="799">
        <v>1722</v>
      </c>
      <c r="G544" s="799" t="s">
        <v>539</v>
      </c>
      <c r="H544" s="65"/>
      <c r="I544" s="37">
        <v>0.75</v>
      </c>
      <c r="J544" s="799" t="s">
        <v>237</v>
      </c>
      <c r="K544" s="324" t="s">
        <v>104</v>
      </c>
      <c r="L544" s="837" t="s">
        <v>540</v>
      </c>
      <c r="M544" s="837" t="s">
        <v>541</v>
      </c>
      <c r="N544" s="837" t="s">
        <v>541</v>
      </c>
      <c r="O544" s="837" t="s">
        <v>541</v>
      </c>
      <c r="P544" s="837" t="s">
        <v>542</v>
      </c>
      <c r="Q544" s="975" t="s">
        <v>542</v>
      </c>
      <c r="R544" s="36" t="s">
        <v>556</v>
      </c>
      <c r="S544" s="38" t="s">
        <v>858</v>
      </c>
      <c r="T544" s="833">
        <v>1670</v>
      </c>
      <c r="U544" s="833">
        <v>1540</v>
      </c>
      <c r="V544" s="833">
        <v>1530</v>
      </c>
      <c r="W544" s="820">
        <v>1400</v>
      </c>
      <c r="X544" s="911" t="s">
        <v>81</v>
      </c>
      <c r="Y544" s="838">
        <v>2160</v>
      </c>
      <c r="Z544" s="838">
        <v>2090</v>
      </c>
      <c r="AA544" s="930">
        <v>2490</v>
      </c>
      <c r="AB544" s="838">
        <v>1890</v>
      </c>
      <c r="AC544" s="888">
        <v>1590</v>
      </c>
      <c r="AD544" s="749">
        <v>1780</v>
      </c>
      <c r="AE544" s="36" t="s">
        <v>229</v>
      </c>
      <c r="AF544" s="213">
        <v>13640</v>
      </c>
      <c r="AG544" s="315">
        <v>0.13049853372434017</v>
      </c>
      <c r="AH544" s="83" t="s">
        <v>97</v>
      </c>
      <c r="AI544" s="120">
        <v>150</v>
      </c>
      <c r="AJ544" s="120">
        <v>190</v>
      </c>
      <c r="AK544" s="120">
        <v>1020</v>
      </c>
      <c r="AL544" s="832">
        <f t="shared" si="24"/>
        <v>1335</v>
      </c>
      <c r="AM544" s="121">
        <v>2</v>
      </c>
    </row>
    <row r="545" spans="1:39" ht="15" thickBot="1" x14ac:dyDescent="0.35">
      <c r="A545" s="88">
        <v>1090</v>
      </c>
      <c r="B545" s="88">
        <v>889</v>
      </c>
      <c r="C545" s="518" t="s">
        <v>1289</v>
      </c>
      <c r="D545" s="162" t="s">
        <v>581</v>
      </c>
      <c r="E545" s="166" t="s">
        <v>1296</v>
      </c>
      <c r="F545" s="803">
        <v>1723</v>
      </c>
      <c r="G545" s="803" t="s">
        <v>539</v>
      </c>
      <c r="H545" s="215"/>
      <c r="I545" s="164">
        <v>0.45</v>
      </c>
      <c r="J545" s="803" t="s">
        <v>237</v>
      </c>
      <c r="K545" s="291" t="s">
        <v>104</v>
      </c>
      <c r="L545" s="845" t="s">
        <v>540</v>
      </c>
      <c r="M545" s="850" t="s">
        <v>541</v>
      </c>
      <c r="N545" s="845" t="s">
        <v>541</v>
      </c>
      <c r="O545" s="845" t="s">
        <v>541</v>
      </c>
      <c r="P545" s="845" t="s">
        <v>542</v>
      </c>
      <c r="Q545" s="975" t="s">
        <v>542</v>
      </c>
      <c r="R545" s="163" t="s">
        <v>556</v>
      </c>
      <c r="S545" s="285" t="s">
        <v>549</v>
      </c>
      <c r="T545" s="846">
        <v>1150</v>
      </c>
      <c r="U545" s="846">
        <v>1120</v>
      </c>
      <c r="V545" s="846">
        <v>1100</v>
      </c>
      <c r="W545" s="847">
        <v>1060</v>
      </c>
      <c r="X545" s="1009" t="s">
        <v>81</v>
      </c>
      <c r="Y545" s="761">
        <v>1730</v>
      </c>
      <c r="Z545" s="761">
        <v>1610</v>
      </c>
      <c r="AA545" s="927">
        <v>1910</v>
      </c>
      <c r="AB545" s="761">
        <v>1530</v>
      </c>
      <c r="AC545" s="880">
        <v>1540</v>
      </c>
      <c r="AD545" s="752">
        <v>1490</v>
      </c>
      <c r="AE545" s="233" t="s">
        <v>229</v>
      </c>
      <c r="AF545" s="326">
        <v>13640</v>
      </c>
      <c r="AG545" s="172">
        <v>0.1092375366568915</v>
      </c>
      <c r="AH545" s="170" t="s">
        <v>97</v>
      </c>
      <c r="AI545" s="169">
        <v>130</v>
      </c>
      <c r="AJ545" s="169">
        <v>190</v>
      </c>
      <c r="AK545" s="169">
        <v>1020</v>
      </c>
      <c r="AL545" s="876"/>
      <c r="AM545" s="174">
        <v>2</v>
      </c>
    </row>
    <row r="546" spans="1:39" x14ac:dyDescent="0.3">
      <c r="A546" s="103">
        <v>1096</v>
      </c>
      <c r="B546" s="103">
        <v>893</v>
      </c>
      <c r="C546" s="318" t="s">
        <v>1297</v>
      </c>
      <c r="D546" s="489" t="s">
        <v>1298</v>
      </c>
      <c r="E546" s="105" t="s">
        <v>1299</v>
      </c>
      <c r="F546" s="802">
        <v>1731</v>
      </c>
      <c r="G546" s="802" t="s">
        <v>539</v>
      </c>
      <c r="H546" s="200" t="s">
        <v>73</v>
      </c>
      <c r="I546" s="107">
        <v>0.9</v>
      </c>
      <c r="J546" s="802" t="s">
        <v>237</v>
      </c>
      <c r="K546" s="284" t="s">
        <v>104</v>
      </c>
      <c r="L546" s="830" t="s">
        <v>540</v>
      </c>
      <c r="M546" s="105" t="s">
        <v>584</v>
      </c>
      <c r="N546" s="105" t="s">
        <v>584</v>
      </c>
      <c r="O546" s="105" t="s">
        <v>584</v>
      </c>
      <c r="P546" s="105" t="s">
        <v>542</v>
      </c>
      <c r="Q546" s="975" t="s">
        <v>542</v>
      </c>
      <c r="R546" s="77" t="s">
        <v>543</v>
      </c>
      <c r="S546" s="199" t="s">
        <v>858</v>
      </c>
      <c r="T546" s="833">
        <v>2320</v>
      </c>
      <c r="U546" s="833">
        <v>2420</v>
      </c>
      <c r="V546" s="833">
        <v>2190</v>
      </c>
      <c r="W546" s="831">
        <v>2190</v>
      </c>
      <c r="X546" s="870" t="s">
        <v>81</v>
      </c>
      <c r="Y546" s="844">
        <v>2300</v>
      </c>
      <c r="Z546" s="844">
        <v>2620</v>
      </c>
      <c r="AA546" s="925">
        <v>2770</v>
      </c>
      <c r="AB546" s="873">
        <v>2870</v>
      </c>
      <c r="AC546" s="878">
        <v>2180</v>
      </c>
      <c r="AD546" s="751">
        <v>2530</v>
      </c>
      <c r="AE546" s="200" t="s">
        <v>229</v>
      </c>
      <c r="AF546" s="477">
        <v>13640</v>
      </c>
      <c r="AG546" s="82">
        <v>0.18548387096774194</v>
      </c>
      <c r="AH546" s="287" t="s">
        <v>97</v>
      </c>
      <c r="AI546" s="288">
        <v>200</v>
      </c>
      <c r="AJ546" s="288">
        <v>250</v>
      </c>
      <c r="AK546" s="288">
        <v>1020</v>
      </c>
      <c r="AL546" s="832">
        <f t="shared" ref="AL546:AL552" si="25">IF(AD546&gt;0,AD546*$I546,"-")</f>
        <v>2277</v>
      </c>
      <c r="AM546" s="201">
        <v>2</v>
      </c>
    </row>
    <row r="547" spans="1:39" ht="15" thickBot="1" x14ac:dyDescent="0.35">
      <c r="A547" s="88">
        <v>1095</v>
      </c>
      <c r="B547" s="162">
        <v>1070</v>
      </c>
      <c r="C547" s="325" t="s">
        <v>1297</v>
      </c>
      <c r="D547" s="554" t="s">
        <v>550</v>
      </c>
      <c r="E547" s="166" t="s">
        <v>1300</v>
      </c>
      <c r="F547" s="215">
        <v>1732</v>
      </c>
      <c r="G547" s="803" t="s">
        <v>539</v>
      </c>
      <c r="H547" s="163" t="s">
        <v>73</v>
      </c>
      <c r="I547" s="164">
        <v>0.6</v>
      </c>
      <c r="J547" s="803" t="s">
        <v>237</v>
      </c>
      <c r="K547" s="291" t="s">
        <v>104</v>
      </c>
      <c r="L547" s="845" t="s">
        <v>540</v>
      </c>
      <c r="M547" s="457" t="s">
        <v>584</v>
      </c>
      <c r="N547" s="166" t="s">
        <v>584</v>
      </c>
      <c r="O547" s="166" t="s">
        <v>584</v>
      </c>
      <c r="P547" s="166" t="s">
        <v>542</v>
      </c>
      <c r="Q547" s="975" t="s">
        <v>542</v>
      </c>
      <c r="R547" s="215" t="s">
        <v>543</v>
      </c>
      <c r="S547" s="167" t="s">
        <v>858</v>
      </c>
      <c r="T547" s="846">
        <v>2030</v>
      </c>
      <c r="U547" s="846">
        <v>2060</v>
      </c>
      <c r="V547" s="846">
        <v>1950</v>
      </c>
      <c r="W547" s="847">
        <v>1980</v>
      </c>
      <c r="X547" s="1009" t="s">
        <v>81</v>
      </c>
      <c r="Y547" s="761">
        <v>2080</v>
      </c>
      <c r="Z547" s="761">
        <v>2120</v>
      </c>
      <c r="AA547" s="927">
        <v>2250</v>
      </c>
      <c r="AB547" s="761">
        <v>2320</v>
      </c>
      <c r="AC547" s="880">
        <v>1930</v>
      </c>
      <c r="AD547" s="752">
        <v>2080</v>
      </c>
      <c r="AE547" s="233" t="s">
        <v>229</v>
      </c>
      <c r="AF547" s="326">
        <v>13640</v>
      </c>
      <c r="AG547" s="172">
        <v>0.15249266862170088</v>
      </c>
      <c r="AH547" s="170" t="s">
        <v>97</v>
      </c>
      <c r="AI547" s="169">
        <v>120</v>
      </c>
      <c r="AJ547" s="169">
        <v>200</v>
      </c>
      <c r="AK547" s="169">
        <v>1020</v>
      </c>
      <c r="AL547" s="881">
        <f t="shared" si="25"/>
        <v>1248</v>
      </c>
      <c r="AM547" s="174">
        <v>2</v>
      </c>
    </row>
    <row r="548" spans="1:39" x14ac:dyDescent="0.3">
      <c r="A548" s="299">
        <v>1099</v>
      </c>
      <c r="B548" s="299">
        <v>895</v>
      </c>
      <c r="C548" s="318" t="s">
        <v>1301</v>
      </c>
      <c r="D548" s="293" t="s">
        <v>781</v>
      </c>
      <c r="E548" s="319" t="s">
        <v>1302</v>
      </c>
      <c r="F548" s="802">
        <v>1740</v>
      </c>
      <c r="G548" s="802" t="s">
        <v>539</v>
      </c>
      <c r="H548" s="200" t="s">
        <v>73</v>
      </c>
      <c r="I548" s="107">
        <v>0.2</v>
      </c>
      <c r="J548" s="802" t="s">
        <v>154</v>
      </c>
      <c r="K548" s="284" t="s">
        <v>75</v>
      </c>
      <c r="L548" s="830" t="s">
        <v>540</v>
      </c>
      <c r="M548" s="105" t="s">
        <v>584</v>
      </c>
      <c r="N548" s="105" t="s">
        <v>584</v>
      </c>
      <c r="O548" s="105" t="s">
        <v>584</v>
      </c>
      <c r="P548" s="105" t="s">
        <v>542</v>
      </c>
      <c r="Q548" s="975" t="s">
        <v>542</v>
      </c>
      <c r="R548" s="106" t="s">
        <v>543</v>
      </c>
      <c r="S548" s="108" t="s">
        <v>872</v>
      </c>
      <c r="T548" s="833">
        <v>2910</v>
      </c>
      <c r="U548" s="833">
        <v>3020</v>
      </c>
      <c r="V548" s="833">
        <v>2670</v>
      </c>
      <c r="W548" s="831">
        <v>2550</v>
      </c>
      <c r="X548" s="924" t="s">
        <v>81</v>
      </c>
      <c r="Y548" s="844">
        <v>2540</v>
      </c>
      <c r="Z548" s="844">
        <v>3180</v>
      </c>
      <c r="AA548" s="925">
        <v>3120</v>
      </c>
      <c r="AB548" s="873">
        <v>2960</v>
      </c>
      <c r="AC548" s="878">
        <v>2850</v>
      </c>
      <c r="AD548" s="751">
        <v>3330</v>
      </c>
      <c r="AE548" s="200" t="s">
        <v>229</v>
      </c>
      <c r="AF548" s="477">
        <v>13640</v>
      </c>
      <c r="AG548" s="82">
        <v>0.24413489736070382</v>
      </c>
      <c r="AH548" s="287" t="s">
        <v>97</v>
      </c>
      <c r="AI548" s="288">
        <v>190</v>
      </c>
      <c r="AJ548" s="288">
        <v>360</v>
      </c>
      <c r="AK548" s="288">
        <v>1020</v>
      </c>
      <c r="AL548" s="832">
        <f t="shared" si="25"/>
        <v>666</v>
      </c>
      <c r="AM548" s="201">
        <v>2</v>
      </c>
    </row>
    <row r="549" spans="1:39" ht="15" thickBot="1" x14ac:dyDescent="0.35">
      <c r="A549" s="88">
        <v>1101</v>
      </c>
      <c r="B549" s="88">
        <v>897</v>
      </c>
      <c r="C549" s="642" t="s">
        <v>1301</v>
      </c>
      <c r="D549" s="296" t="s">
        <v>1303</v>
      </c>
      <c r="E549" s="257" t="s">
        <v>1304</v>
      </c>
      <c r="F549" s="803">
        <v>1742</v>
      </c>
      <c r="G549" s="803" t="s">
        <v>539</v>
      </c>
      <c r="H549" s="215"/>
      <c r="I549" s="164">
        <v>1.2</v>
      </c>
      <c r="J549" s="803" t="s">
        <v>154</v>
      </c>
      <c r="K549" s="363" t="s">
        <v>75</v>
      </c>
      <c r="L549" s="845" t="s">
        <v>367</v>
      </c>
      <c r="M549" s="845" t="s">
        <v>367</v>
      </c>
      <c r="N549" s="845" t="s">
        <v>367</v>
      </c>
      <c r="O549" s="845" t="s">
        <v>367</v>
      </c>
      <c r="P549" s="845" t="s">
        <v>367</v>
      </c>
      <c r="Q549" s="895" t="s">
        <v>367</v>
      </c>
      <c r="R549" s="215" t="s">
        <v>556</v>
      </c>
      <c r="S549" s="217" t="s">
        <v>1305</v>
      </c>
      <c r="T549" s="251">
        <v>390</v>
      </c>
      <c r="U549" s="251">
        <v>420</v>
      </c>
      <c r="V549" s="251">
        <v>380</v>
      </c>
      <c r="W549" s="847">
        <v>430</v>
      </c>
      <c r="X549" s="926" t="s">
        <v>81</v>
      </c>
      <c r="Y549" s="761">
        <v>520</v>
      </c>
      <c r="Z549" s="761">
        <v>520</v>
      </c>
      <c r="AA549" s="927">
        <v>570</v>
      </c>
      <c r="AB549" s="761">
        <v>520</v>
      </c>
      <c r="AC549" s="880">
        <v>580</v>
      </c>
      <c r="AD549" s="752">
        <v>580</v>
      </c>
      <c r="AE549" s="170" t="s">
        <v>97</v>
      </c>
      <c r="AF549" s="594">
        <v>6450</v>
      </c>
      <c r="AG549" s="172">
        <v>8.9922480620155038E-2</v>
      </c>
      <c r="AH549" s="170" t="s">
        <v>1524</v>
      </c>
      <c r="AI549" s="169">
        <v>40</v>
      </c>
      <c r="AJ549" s="169">
        <v>60</v>
      </c>
      <c r="AK549" s="643">
        <v>620</v>
      </c>
      <c r="AL549" s="829">
        <f t="shared" si="25"/>
        <v>696</v>
      </c>
      <c r="AM549" s="219">
        <v>2</v>
      </c>
    </row>
    <row r="550" spans="1:39" x14ac:dyDescent="0.3">
      <c r="A550" s="103">
        <v>1107</v>
      </c>
      <c r="B550" s="103">
        <v>903</v>
      </c>
      <c r="C550" s="196" t="s">
        <v>1306</v>
      </c>
      <c r="D550" s="338" t="s">
        <v>1307</v>
      </c>
      <c r="E550" s="319" t="s">
        <v>1308</v>
      </c>
      <c r="F550" s="802">
        <v>1751</v>
      </c>
      <c r="G550" s="802" t="s">
        <v>539</v>
      </c>
      <c r="H550" s="200"/>
      <c r="I550" s="107">
        <v>0.75</v>
      </c>
      <c r="J550" s="802" t="s">
        <v>140</v>
      </c>
      <c r="K550" s="284" t="s">
        <v>104</v>
      </c>
      <c r="L550" s="830" t="s">
        <v>619</v>
      </c>
      <c r="M550" s="830" t="s">
        <v>620</v>
      </c>
      <c r="N550" s="830" t="s">
        <v>620</v>
      </c>
      <c r="O550" s="830" t="s">
        <v>620</v>
      </c>
      <c r="P550" s="830" t="s">
        <v>637</v>
      </c>
      <c r="Q550" s="410" t="s">
        <v>637</v>
      </c>
      <c r="R550" s="199" t="s">
        <v>374</v>
      </c>
      <c r="S550" s="108" t="s">
        <v>872</v>
      </c>
      <c r="T550" s="833">
        <v>16350</v>
      </c>
      <c r="U550" s="833">
        <v>15350</v>
      </c>
      <c r="V550" s="833">
        <v>14670</v>
      </c>
      <c r="W550" s="831">
        <v>15090</v>
      </c>
      <c r="X550" s="844">
        <v>13420</v>
      </c>
      <c r="Y550" s="844">
        <v>16000</v>
      </c>
      <c r="Z550" s="844">
        <v>15910</v>
      </c>
      <c r="AA550" s="929">
        <v>15310</v>
      </c>
      <c r="AB550" s="873">
        <v>15100</v>
      </c>
      <c r="AC550" s="878">
        <v>13180</v>
      </c>
      <c r="AD550" s="751">
        <v>14740</v>
      </c>
      <c r="AE550" s="200" t="s">
        <v>229</v>
      </c>
      <c r="AF550" s="477">
        <v>37970</v>
      </c>
      <c r="AG550" s="82">
        <v>0.38820121148274955</v>
      </c>
      <c r="AH550" s="287" t="s">
        <v>97</v>
      </c>
      <c r="AI550" s="288">
        <v>990</v>
      </c>
      <c r="AJ550" s="288">
        <v>1310</v>
      </c>
      <c r="AK550" s="294">
        <v>3410</v>
      </c>
      <c r="AL550" s="832">
        <f t="shared" si="25"/>
        <v>11055</v>
      </c>
      <c r="AM550" s="112">
        <v>4</v>
      </c>
    </row>
    <row r="551" spans="1:39" ht="15" thickBot="1" x14ac:dyDescent="0.35">
      <c r="A551" s="88">
        <v>1106</v>
      </c>
      <c r="B551" s="88">
        <v>902</v>
      </c>
      <c r="C551" s="518" t="s">
        <v>1306</v>
      </c>
      <c r="D551" s="258" t="s">
        <v>1309</v>
      </c>
      <c r="E551" s="162" t="s">
        <v>1310</v>
      </c>
      <c r="F551" s="803">
        <v>1752</v>
      </c>
      <c r="G551" s="803" t="s">
        <v>539</v>
      </c>
      <c r="H551" s="215"/>
      <c r="I551" s="164">
        <v>0.5</v>
      </c>
      <c r="J551" s="803" t="s">
        <v>154</v>
      </c>
      <c r="K551" s="363" t="s">
        <v>104</v>
      </c>
      <c r="L551" s="845" t="s">
        <v>583</v>
      </c>
      <c r="M551" s="166" t="s">
        <v>584</v>
      </c>
      <c r="N551" s="166" t="s">
        <v>584</v>
      </c>
      <c r="O551" s="166" t="s">
        <v>584</v>
      </c>
      <c r="P551" s="166" t="s">
        <v>542</v>
      </c>
      <c r="Q551" s="859" t="s">
        <v>542</v>
      </c>
      <c r="R551" s="217" t="s">
        <v>374</v>
      </c>
      <c r="S551" s="217" t="s">
        <v>872</v>
      </c>
      <c r="T551" s="825">
        <v>9960</v>
      </c>
      <c r="U551" s="825">
        <v>9360</v>
      </c>
      <c r="V551" s="825">
        <v>8930</v>
      </c>
      <c r="W551" s="822">
        <v>9830</v>
      </c>
      <c r="X551" s="761">
        <v>9210</v>
      </c>
      <c r="Y551" s="761">
        <v>9280</v>
      </c>
      <c r="Z551" s="761">
        <v>9180</v>
      </c>
      <c r="AA551" s="935">
        <v>9420</v>
      </c>
      <c r="AB551" s="752">
        <v>8990</v>
      </c>
      <c r="AC551" s="880">
        <v>7780</v>
      </c>
      <c r="AD551" s="752">
        <v>8500</v>
      </c>
      <c r="AE551" s="170" t="s">
        <v>229</v>
      </c>
      <c r="AF551" s="326">
        <v>13640</v>
      </c>
      <c r="AG551" s="172">
        <v>0.62316715542521994</v>
      </c>
      <c r="AH551" s="170" t="s">
        <v>80</v>
      </c>
      <c r="AI551" s="169">
        <v>560</v>
      </c>
      <c r="AJ551" s="169">
        <v>760</v>
      </c>
      <c r="AK551" s="169">
        <v>1020</v>
      </c>
      <c r="AL551" s="881">
        <f t="shared" si="25"/>
        <v>4250</v>
      </c>
      <c r="AM551" s="219">
        <v>2</v>
      </c>
    </row>
    <row r="552" spans="1:39" x14ac:dyDescent="0.3">
      <c r="A552" s="103">
        <v>1113</v>
      </c>
      <c r="B552" s="103">
        <v>908</v>
      </c>
      <c r="C552" s="644" t="s">
        <v>1311</v>
      </c>
      <c r="D552" s="645" t="s">
        <v>880</v>
      </c>
      <c r="E552" s="646" t="s">
        <v>1312</v>
      </c>
      <c r="F552" s="1035">
        <v>1770</v>
      </c>
      <c r="G552" s="804" t="s">
        <v>539</v>
      </c>
      <c r="H552" s="77"/>
      <c r="I552" s="178">
        <v>0.8</v>
      </c>
      <c r="J552" s="804" t="s">
        <v>154</v>
      </c>
      <c r="K552" s="77" t="s">
        <v>104</v>
      </c>
      <c r="L552" s="843" t="s">
        <v>540</v>
      </c>
      <c r="M552" s="177" t="s">
        <v>584</v>
      </c>
      <c r="N552" s="177" t="s">
        <v>584</v>
      </c>
      <c r="O552" s="177" t="s">
        <v>584</v>
      </c>
      <c r="P552" s="177" t="s">
        <v>542</v>
      </c>
      <c r="Q552" s="951" t="s">
        <v>542</v>
      </c>
      <c r="R552" s="77" t="s">
        <v>556</v>
      </c>
      <c r="S552" s="220" t="s">
        <v>872</v>
      </c>
      <c r="T552" s="825">
        <v>5540</v>
      </c>
      <c r="U552" s="825">
        <v>5270</v>
      </c>
      <c r="V552" s="825">
        <v>5240</v>
      </c>
      <c r="W552" s="836">
        <v>5200</v>
      </c>
      <c r="X552" s="798">
        <v>4210</v>
      </c>
      <c r="Y552" s="759">
        <v>4520</v>
      </c>
      <c r="Z552" s="759">
        <v>5160</v>
      </c>
      <c r="AA552" s="929">
        <v>5160</v>
      </c>
      <c r="AB552" s="754">
        <v>4500</v>
      </c>
      <c r="AC552" s="887">
        <v>4540</v>
      </c>
      <c r="AD552" s="754">
        <v>4810</v>
      </c>
      <c r="AE552" s="86" t="s">
        <v>229</v>
      </c>
      <c r="AF552" s="409">
        <v>13640</v>
      </c>
      <c r="AG552" s="79">
        <v>0.3526392961876833</v>
      </c>
      <c r="AH552" s="86" t="s">
        <v>97</v>
      </c>
      <c r="AI552" s="181">
        <v>340</v>
      </c>
      <c r="AJ552" s="181">
        <v>410</v>
      </c>
      <c r="AK552" s="181">
        <v>1020</v>
      </c>
      <c r="AL552" s="832">
        <f t="shared" si="25"/>
        <v>3848</v>
      </c>
      <c r="AM552" s="221">
        <v>2</v>
      </c>
    </row>
    <row r="553" spans="1:39" ht="15" thickBot="1" x14ac:dyDescent="0.35">
      <c r="A553" s="305">
        <v>1110</v>
      </c>
      <c r="B553" s="305">
        <v>905</v>
      </c>
      <c r="C553" s="647" t="s">
        <v>1311</v>
      </c>
      <c r="D553" s="648" t="s">
        <v>1313</v>
      </c>
      <c r="E553" s="447" t="s">
        <v>1314</v>
      </c>
      <c r="F553" s="946">
        <v>1773</v>
      </c>
      <c r="G553" s="801" t="s">
        <v>539</v>
      </c>
      <c r="H553" s="92"/>
      <c r="I553" s="93">
        <v>0.7</v>
      </c>
      <c r="J553" s="801" t="s">
        <v>154</v>
      </c>
      <c r="K553" s="92" t="s">
        <v>104</v>
      </c>
      <c r="L553" s="841" t="s">
        <v>540</v>
      </c>
      <c r="M553" s="91" t="s">
        <v>584</v>
      </c>
      <c r="N553" s="91" t="s">
        <v>584</v>
      </c>
      <c r="O553" s="91" t="s">
        <v>584</v>
      </c>
      <c r="P553" s="91" t="s">
        <v>542</v>
      </c>
      <c r="Q553" s="975" t="s">
        <v>542</v>
      </c>
      <c r="R553" s="92" t="s">
        <v>556</v>
      </c>
      <c r="S553" s="285" t="s">
        <v>549</v>
      </c>
      <c r="T553" s="827">
        <v>540</v>
      </c>
      <c r="U553" s="827">
        <v>530</v>
      </c>
      <c r="V553" s="827">
        <v>500</v>
      </c>
      <c r="W553" s="828">
        <v>490</v>
      </c>
      <c r="X553" s="899" t="s">
        <v>81</v>
      </c>
      <c r="Y553" s="842">
        <v>680</v>
      </c>
      <c r="Z553" s="842">
        <v>640</v>
      </c>
      <c r="AA553" s="935">
        <v>770</v>
      </c>
      <c r="AB553" s="842">
        <v>670</v>
      </c>
      <c r="AC553" s="861">
        <v>580</v>
      </c>
      <c r="AD553" s="750">
        <v>590</v>
      </c>
      <c r="AE553" s="92" t="s">
        <v>229</v>
      </c>
      <c r="AF553" s="241">
        <v>13640</v>
      </c>
      <c r="AG553" s="147">
        <v>4.3255131964809387E-2</v>
      </c>
      <c r="AH553" s="100" t="s">
        <v>97</v>
      </c>
      <c r="AI553" s="126">
        <v>40</v>
      </c>
      <c r="AJ553" s="126">
        <v>60</v>
      </c>
      <c r="AK553" s="126">
        <v>1020</v>
      </c>
      <c r="AL553" s="758"/>
      <c r="AM553" s="127">
        <v>2</v>
      </c>
    </row>
    <row r="554" spans="1:39" ht="15" thickBot="1" x14ac:dyDescent="0.35">
      <c r="A554" s="202">
        <v>1115</v>
      </c>
      <c r="B554" s="202">
        <v>909</v>
      </c>
      <c r="C554" s="420" t="s">
        <v>1315</v>
      </c>
      <c r="D554" s="209" t="s">
        <v>1258</v>
      </c>
      <c r="E554" s="205" t="s">
        <v>1259</v>
      </c>
      <c r="F554" s="805">
        <v>1781</v>
      </c>
      <c r="G554" s="805" t="s">
        <v>539</v>
      </c>
      <c r="H554" s="208" t="s">
        <v>73</v>
      </c>
      <c r="I554" s="207">
        <v>1.3</v>
      </c>
      <c r="J554" s="805" t="s">
        <v>140</v>
      </c>
      <c r="K554" s="208" t="s">
        <v>104</v>
      </c>
      <c r="L554" s="851" t="s">
        <v>540</v>
      </c>
      <c r="M554" s="404" t="s">
        <v>584</v>
      </c>
      <c r="N554" s="205" t="s">
        <v>584</v>
      </c>
      <c r="O554" s="205" t="s">
        <v>584</v>
      </c>
      <c r="P554" s="205" t="s">
        <v>626</v>
      </c>
      <c r="Q554" s="909" t="s">
        <v>626</v>
      </c>
      <c r="R554" s="208" t="s">
        <v>556</v>
      </c>
      <c r="S554" s="206" t="s">
        <v>858</v>
      </c>
      <c r="T554" s="846">
        <v>2370</v>
      </c>
      <c r="U554" s="846">
        <v>2450</v>
      </c>
      <c r="V554" s="846">
        <v>2760</v>
      </c>
      <c r="W554" s="857">
        <v>2980</v>
      </c>
      <c r="X554" s="944">
        <v>2830</v>
      </c>
      <c r="Y554" s="944">
        <v>3020</v>
      </c>
      <c r="Z554" s="944">
        <v>3320</v>
      </c>
      <c r="AA554" s="944">
        <v>2930</v>
      </c>
      <c r="AB554" s="944">
        <v>2950</v>
      </c>
      <c r="AC554" s="781">
        <v>3370</v>
      </c>
      <c r="AD554" s="282">
        <v>3240</v>
      </c>
      <c r="AE554" s="278" t="s">
        <v>229</v>
      </c>
      <c r="AF554" s="279">
        <v>13640</v>
      </c>
      <c r="AG554" s="280">
        <v>0.23753665689149561</v>
      </c>
      <c r="AH554" s="210" t="s">
        <v>97</v>
      </c>
      <c r="AI554" s="281">
        <v>210</v>
      </c>
      <c r="AJ554" s="281">
        <v>250</v>
      </c>
      <c r="AK554" s="598">
        <v>1230</v>
      </c>
      <c r="AL554" s="881">
        <f>IF(AD554&gt;0,AD554*$I554,"-")</f>
        <v>4212</v>
      </c>
      <c r="AM554" s="211">
        <v>2</v>
      </c>
    </row>
    <row r="555" spans="1:39" ht="15" thickBot="1" x14ac:dyDescent="0.35">
      <c r="A555" s="327">
        <v>1118</v>
      </c>
      <c r="B555" s="327">
        <v>911</v>
      </c>
      <c r="C555" s="402" t="s">
        <v>1316</v>
      </c>
      <c r="D555" s="390" t="s">
        <v>711</v>
      </c>
      <c r="E555" s="329" t="s">
        <v>1317</v>
      </c>
      <c r="F555" s="807">
        <v>1791</v>
      </c>
      <c r="G555" s="807" t="s">
        <v>539</v>
      </c>
      <c r="H555" s="391" t="s">
        <v>73</v>
      </c>
      <c r="I555" s="331">
        <v>2.2000000000000002</v>
      </c>
      <c r="J555" s="807" t="s">
        <v>205</v>
      </c>
      <c r="K555" s="332" t="s">
        <v>104</v>
      </c>
      <c r="L555" s="891" t="s">
        <v>625</v>
      </c>
      <c r="M555" s="396" t="s">
        <v>584</v>
      </c>
      <c r="N555" s="396" t="s">
        <v>584</v>
      </c>
      <c r="O555" s="396" t="s">
        <v>584</v>
      </c>
      <c r="P555" s="396" t="s">
        <v>626</v>
      </c>
      <c r="Q555" s="909" t="s">
        <v>626</v>
      </c>
      <c r="R555" s="510" t="s">
        <v>374</v>
      </c>
      <c r="S555" s="510" t="s">
        <v>858</v>
      </c>
      <c r="T555" s="827">
        <v>5280</v>
      </c>
      <c r="U555" s="827">
        <v>4780</v>
      </c>
      <c r="V555" s="827">
        <v>4430</v>
      </c>
      <c r="W555" s="893">
        <v>4090</v>
      </c>
      <c r="X555" s="860">
        <v>4180</v>
      </c>
      <c r="Y555" s="947">
        <v>4130</v>
      </c>
      <c r="Z555" s="860">
        <v>2710</v>
      </c>
      <c r="AA555" s="860">
        <v>4040</v>
      </c>
      <c r="AB555" s="860">
        <v>3760</v>
      </c>
      <c r="AC555" s="893">
        <v>2260</v>
      </c>
      <c r="AD555" s="334">
        <v>2250</v>
      </c>
      <c r="AE555" s="391" t="s">
        <v>229</v>
      </c>
      <c r="AF555" s="370">
        <v>13640</v>
      </c>
      <c r="AG555" s="333">
        <v>0.16495601173020527</v>
      </c>
      <c r="AH555" s="307" t="s">
        <v>97</v>
      </c>
      <c r="AI555" s="334">
        <v>230</v>
      </c>
      <c r="AJ555" s="334">
        <v>200</v>
      </c>
      <c r="AK555" s="371">
        <v>1230</v>
      </c>
      <c r="AL555" s="881">
        <f>IF(AD555&gt;0,AD555*$I555,"-")</f>
        <v>4950</v>
      </c>
      <c r="AM555" s="337">
        <v>2</v>
      </c>
    </row>
    <row r="556" spans="1:39" ht="15" thickBot="1" x14ac:dyDescent="0.35">
      <c r="A556" s="202">
        <v>1122</v>
      </c>
      <c r="B556" s="202">
        <v>914</v>
      </c>
      <c r="C556" s="407" t="s">
        <v>1318</v>
      </c>
      <c r="D556" s="248" t="s">
        <v>977</v>
      </c>
      <c r="E556" s="248" t="s">
        <v>926</v>
      </c>
      <c r="F556" s="805">
        <v>1801</v>
      </c>
      <c r="G556" s="805" t="s">
        <v>539</v>
      </c>
      <c r="H556" s="249"/>
      <c r="I556" s="207">
        <v>0.35</v>
      </c>
      <c r="J556" s="805" t="s">
        <v>237</v>
      </c>
      <c r="K556" s="387" t="s">
        <v>75</v>
      </c>
      <c r="L556" s="851" t="s">
        <v>540</v>
      </c>
      <c r="M556" s="917" t="s">
        <v>541</v>
      </c>
      <c r="N556" s="851" t="s">
        <v>541</v>
      </c>
      <c r="O556" s="851" t="s">
        <v>541</v>
      </c>
      <c r="P556" s="851" t="s">
        <v>542</v>
      </c>
      <c r="Q556" s="975" t="s">
        <v>542</v>
      </c>
      <c r="R556" s="250" t="s">
        <v>1256</v>
      </c>
      <c r="S556" s="285" t="s">
        <v>549</v>
      </c>
      <c r="T556" s="846">
        <v>350</v>
      </c>
      <c r="U556" s="846">
        <v>340</v>
      </c>
      <c r="V556" s="846">
        <v>300</v>
      </c>
      <c r="W556" s="857">
        <v>370</v>
      </c>
      <c r="X556" s="858">
        <v>350</v>
      </c>
      <c r="Y556" s="932">
        <v>400</v>
      </c>
      <c r="Z556" s="858">
        <v>330</v>
      </c>
      <c r="AA556" s="858">
        <v>420</v>
      </c>
      <c r="AB556" s="858">
        <v>470</v>
      </c>
      <c r="AC556" s="945">
        <v>430</v>
      </c>
      <c r="AD556" s="781">
        <v>420</v>
      </c>
      <c r="AE556" s="550" t="s">
        <v>229</v>
      </c>
      <c r="AF556" s="481">
        <v>13640</v>
      </c>
      <c r="AG556" s="444">
        <v>3.0791788856304986E-2</v>
      </c>
      <c r="AH556" s="442" t="s">
        <v>97</v>
      </c>
      <c r="AI556" s="282">
        <v>30</v>
      </c>
      <c r="AJ556" s="282">
        <v>40</v>
      </c>
      <c r="AK556" s="282">
        <v>1020</v>
      </c>
      <c r="AL556" s="869"/>
      <c r="AM556" s="211">
        <v>2</v>
      </c>
    </row>
    <row r="557" spans="1:39" x14ac:dyDescent="0.3">
      <c r="A557" s="299">
        <v>1124</v>
      </c>
      <c r="B557" s="299">
        <v>916</v>
      </c>
      <c r="C557" s="318" t="s">
        <v>1319</v>
      </c>
      <c r="D557" s="293" t="s">
        <v>1320</v>
      </c>
      <c r="E557" s="319" t="s">
        <v>1321</v>
      </c>
      <c r="F557" s="802">
        <v>1810</v>
      </c>
      <c r="G557" s="1020" t="s">
        <v>539</v>
      </c>
      <c r="H557" s="200" t="s">
        <v>73</v>
      </c>
      <c r="I557" s="107">
        <v>0.7</v>
      </c>
      <c r="J557" s="802" t="s">
        <v>140</v>
      </c>
      <c r="K557" s="284" t="s">
        <v>75</v>
      </c>
      <c r="L557" s="830" t="s">
        <v>570</v>
      </c>
      <c r="M557" s="105" t="s">
        <v>587</v>
      </c>
      <c r="N557" s="105" t="s">
        <v>587</v>
      </c>
      <c r="O557" s="105" t="s">
        <v>587</v>
      </c>
      <c r="P557" s="105" t="s">
        <v>629</v>
      </c>
      <c r="Q557" s="310" t="s">
        <v>629</v>
      </c>
      <c r="R557" s="199" t="s">
        <v>144</v>
      </c>
      <c r="S557" s="199" t="s">
        <v>1322</v>
      </c>
      <c r="T557" s="833">
        <v>7170</v>
      </c>
      <c r="U557" s="833">
        <v>6890</v>
      </c>
      <c r="V557" s="833">
        <v>7110</v>
      </c>
      <c r="W557" s="831">
        <v>7400</v>
      </c>
      <c r="X557" s="844">
        <v>8910</v>
      </c>
      <c r="Y557" s="844">
        <v>9200</v>
      </c>
      <c r="Z557" s="844">
        <v>8220</v>
      </c>
      <c r="AA557" s="925">
        <v>9060</v>
      </c>
      <c r="AB557" s="873">
        <v>8730</v>
      </c>
      <c r="AC557" s="878">
        <v>7040</v>
      </c>
      <c r="AD557" s="751">
        <v>7790</v>
      </c>
      <c r="AE557" s="200" t="s">
        <v>229</v>
      </c>
      <c r="AF557" s="477">
        <v>17050</v>
      </c>
      <c r="AG557" s="82">
        <v>0.45689149560117304</v>
      </c>
      <c r="AH557" s="287" t="s">
        <v>97</v>
      </c>
      <c r="AI557" s="288">
        <v>500</v>
      </c>
      <c r="AJ557" s="288">
        <v>650</v>
      </c>
      <c r="AK557" s="294">
        <v>1540</v>
      </c>
      <c r="AL557" s="832">
        <f t="shared" ref="AL557:AL583" si="26">IF(AD557&gt;0,AD557*$I557,"-")</f>
        <v>5453</v>
      </c>
      <c r="AM557" s="201">
        <v>2</v>
      </c>
    </row>
    <row r="558" spans="1:39" x14ac:dyDescent="0.3">
      <c r="A558" s="33">
        <v>1125</v>
      </c>
      <c r="B558" s="33">
        <v>917</v>
      </c>
      <c r="C558" s="352" t="s">
        <v>1319</v>
      </c>
      <c r="D558" s="301" t="s">
        <v>1323</v>
      </c>
      <c r="E558" s="70" t="s">
        <v>1324</v>
      </c>
      <c r="F558" s="800">
        <v>1811</v>
      </c>
      <c r="G558" s="855" t="s">
        <v>539</v>
      </c>
      <c r="H558" s="52" t="s">
        <v>73</v>
      </c>
      <c r="I558" s="72">
        <v>1.1000000000000001</v>
      </c>
      <c r="J558" s="800" t="s">
        <v>205</v>
      </c>
      <c r="K558" s="302" t="s">
        <v>75</v>
      </c>
      <c r="L558" s="835" t="s">
        <v>570</v>
      </c>
      <c r="M558" s="51" t="s">
        <v>587</v>
      </c>
      <c r="N558" s="51" t="s">
        <v>587</v>
      </c>
      <c r="O558" s="51" t="s">
        <v>587</v>
      </c>
      <c r="P558" s="51" t="s">
        <v>629</v>
      </c>
      <c r="Q558" s="310" t="s">
        <v>629</v>
      </c>
      <c r="R558" s="55" t="s">
        <v>144</v>
      </c>
      <c r="S558" s="55" t="s">
        <v>1322</v>
      </c>
      <c r="T558" s="825">
        <v>9790</v>
      </c>
      <c r="U558" s="825">
        <v>9660</v>
      </c>
      <c r="V558" s="825">
        <v>9570</v>
      </c>
      <c r="W558" s="822">
        <v>10400</v>
      </c>
      <c r="X558" s="760">
        <v>11440</v>
      </c>
      <c r="Y558" s="760">
        <v>11610</v>
      </c>
      <c r="Z558" s="760">
        <v>10880</v>
      </c>
      <c r="AA558" s="931">
        <v>11700</v>
      </c>
      <c r="AB558" s="760">
        <v>9320</v>
      </c>
      <c r="AC558" s="884">
        <v>9420</v>
      </c>
      <c r="AD558" s="748">
        <v>10150</v>
      </c>
      <c r="AE558" s="80" t="s">
        <v>229</v>
      </c>
      <c r="AF558" s="194">
        <v>17050</v>
      </c>
      <c r="AG558" s="303">
        <v>0.59530791788856308</v>
      </c>
      <c r="AH558" s="80" t="s">
        <v>97</v>
      </c>
      <c r="AI558" s="115">
        <v>680</v>
      </c>
      <c r="AJ558" s="115">
        <v>820</v>
      </c>
      <c r="AK558" s="304">
        <v>1540</v>
      </c>
      <c r="AL558" s="832">
        <f t="shared" si="26"/>
        <v>11165</v>
      </c>
      <c r="AM558" s="63">
        <v>2</v>
      </c>
    </row>
    <row r="559" spans="1:39" x14ac:dyDescent="0.3">
      <c r="A559" s="268">
        <v>1126</v>
      </c>
      <c r="B559" s="268">
        <v>918</v>
      </c>
      <c r="C559" s="300" t="s">
        <v>1319</v>
      </c>
      <c r="D559" s="191" t="s">
        <v>1325</v>
      </c>
      <c r="E559" s="64" t="s">
        <v>1326</v>
      </c>
      <c r="F559" s="799">
        <v>1812</v>
      </c>
      <c r="G559" s="854" t="s">
        <v>539</v>
      </c>
      <c r="H559" s="36" t="s">
        <v>73</v>
      </c>
      <c r="I559" s="37">
        <v>0.75</v>
      </c>
      <c r="J559" s="799" t="s">
        <v>205</v>
      </c>
      <c r="K559" s="324" t="s">
        <v>75</v>
      </c>
      <c r="L559" s="837" t="s">
        <v>570</v>
      </c>
      <c r="M559" s="35" t="s">
        <v>587</v>
      </c>
      <c r="N559" s="35" t="s">
        <v>587</v>
      </c>
      <c r="O559" s="35" t="s">
        <v>587</v>
      </c>
      <c r="P559" s="35" t="s">
        <v>629</v>
      </c>
      <c r="Q559" s="310" t="s">
        <v>629</v>
      </c>
      <c r="R559" s="38" t="s">
        <v>144</v>
      </c>
      <c r="S559" s="38" t="s">
        <v>1322</v>
      </c>
      <c r="T559" s="833">
        <v>14570</v>
      </c>
      <c r="U559" s="833">
        <v>14300</v>
      </c>
      <c r="V559" s="833">
        <v>14010</v>
      </c>
      <c r="W559" s="820">
        <v>14200</v>
      </c>
      <c r="X559" s="838">
        <v>15370</v>
      </c>
      <c r="Y559" s="838">
        <v>15910</v>
      </c>
      <c r="Z559" s="838">
        <v>16120</v>
      </c>
      <c r="AA559" s="930">
        <v>17350</v>
      </c>
      <c r="AB559" s="819">
        <v>16190</v>
      </c>
      <c r="AC559" s="964">
        <v>15000</v>
      </c>
      <c r="AD559" s="749">
        <v>14840</v>
      </c>
      <c r="AE559" s="411" t="s">
        <v>229</v>
      </c>
      <c r="AF559" s="213">
        <v>17050</v>
      </c>
      <c r="AG559" s="315">
        <v>0.87038123167155423</v>
      </c>
      <c r="AH559" s="83" t="s">
        <v>97</v>
      </c>
      <c r="AI559" s="120">
        <v>990</v>
      </c>
      <c r="AJ559" s="120">
        <v>1260</v>
      </c>
      <c r="AK559" s="316">
        <v>1540</v>
      </c>
      <c r="AL559" s="832">
        <f t="shared" si="26"/>
        <v>11130</v>
      </c>
      <c r="AM559" s="121">
        <v>2</v>
      </c>
    </row>
    <row r="560" spans="1:39" x14ac:dyDescent="0.3">
      <c r="A560" s="33">
        <v>1127</v>
      </c>
      <c r="B560" s="33">
        <v>919</v>
      </c>
      <c r="C560" s="352" t="s">
        <v>1319</v>
      </c>
      <c r="D560" s="353" t="s">
        <v>1327</v>
      </c>
      <c r="E560" s="51" t="s">
        <v>1328</v>
      </c>
      <c r="F560" s="800">
        <v>1813</v>
      </c>
      <c r="G560" s="855" t="s">
        <v>539</v>
      </c>
      <c r="H560" s="52" t="s">
        <v>73</v>
      </c>
      <c r="I560" s="72">
        <v>0.2</v>
      </c>
      <c r="J560" s="800" t="s">
        <v>140</v>
      </c>
      <c r="K560" s="302" t="s">
        <v>75</v>
      </c>
      <c r="L560" s="835" t="s">
        <v>636</v>
      </c>
      <c r="M560" s="51" t="s">
        <v>620</v>
      </c>
      <c r="N560" s="51" t="s">
        <v>620</v>
      </c>
      <c r="O560" s="51" t="s">
        <v>620</v>
      </c>
      <c r="P560" s="51" t="s">
        <v>637</v>
      </c>
      <c r="Q560" s="410" t="s">
        <v>637</v>
      </c>
      <c r="R560" s="55" t="s">
        <v>144</v>
      </c>
      <c r="S560" s="55" t="s">
        <v>1322</v>
      </c>
      <c r="T560" s="825">
        <v>15190</v>
      </c>
      <c r="U560" s="825">
        <v>14600</v>
      </c>
      <c r="V560" s="825">
        <v>13700</v>
      </c>
      <c r="W560" s="822">
        <v>14530</v>
      </c>
      <c r="X560" s="760">
        <v>15560</v>
      </c>
      <c r="Y560" s="760">
        <v>16360</v>
      </c>
      <c r="Z560" s="760">
        <v>15530</v>
      </c>
      <c r="AA560" s="931">
        <v>16030</v>
      </c>
      <c r="AB560" s="760">
        <v>16390</v>
      </c>
      <c r="AC560" s="884">
        <v>17200</v>
      </c>
      <c r="AD560" s="748">
        <v>18120</v>
      </c>
      <c r="AE560" s="80" t="s">
        <v>229</v>
      </c>
      <c r="AF560" s="194">
        <v>37970</v>
      </c>
      <c r="AG560" s="303">
        <v>0.47721885699236238</v>
      </c>
      <c r="AH560" s="80" t="s">
        <v>97</v>
      </c>
      <c r="AI560" s="115">
        <v>1120</v>
      </c>
      <c r="AJ560" s="115">
        <v>1450</v>
      </c>
      <c r="AK560" s="304">
        <v>3410</v>
      </c>
      <c r="AL560" s="832">
        <f t="shared" si="26"/>
        <v>3624</v>
      </c>
      <c r="AM560" s="63">
        <v>4</v>
      </c>
    </row>
    <row r="561" spans="1:39" x14ac:dyDescent="0.3">
      <c r="A561" s="268">
        <v>1128</v>
      </c>
      <c r="B561" s="268">
        <v>920</v>
      </c>
      <c r="C561" s="300" t="s">
        <v>1319</v>
      </c>
      <c r="D561" s="351" t="s">
        <v>1329</v>
      </c>
      <c r="E561" s="35" t="s">
        <v>1330</v>
      </c>
      <c r="F561" s="799">
        <v>1814</v>
      </c>
      <c r="G561" s="854" t="s">
        <v>539</v>
      </c>
      <c r="H561" s="36" t="s">
        <v>73</v>
      </c>
      <c r="I561" s="37">
        <v>0.15</v>
      </c>
      <c r="J561" s="799" t="s">
        <v>140</v>
      </c>
      <c r="K561" s="324" t="s">
        <v>75</v>
      </c>
      <c r="L561" s="837" t="s">
        <v>636</v>
      </c>
      <c r="M561" s="35" t="s">
        <v>1331</v>
      </c>
      <c r="N561" s="35" t="s">
        <v>1331</v>
      </c>
      <c r="O561" s="35" t="s">
        <v>1331</v>
      </c>
      <c r="P561" s="35" t="s">
        <v>1275</v>
      </c>
      <c r="Q561" s="314" t="s">
        <v>1275</v>
      </c>
      <c r="R561" s="38" t="s">
        <v>144</v>
      </c>
      <c r="S561" s="38" t="s">
        <v>1322</v>
      </c>
      <c r="T561" s="575">
        <v>36170</v>
      </c>
      <c r="U561" s="66">
        <v>38000</v>
      </c>
      <c r="V561" s="833">
        <v>35490</v>
      </c>
      <c r="W561" s="820">
        <v>38160</v>
      </c>
      <c r="X561" s="838">
        <v>40210</v>
      </c>
      <c r="Y561" s="838">
        <v>41100</v>
      </c>
      <c r="Z561" s="838">
        <v>41380</v>
      </c>
      <c r="AA561" s="930">
        <v>40770</v>
      </c>
      <c r="AB561" s="838">
        <v>40620</v>
      </c>
      <c r="AC561" s="983">
        <v>48950</v>
      </c>
      <c r="AD561" s="746">
        <v>44340</v>
      </c>
      <c r="AE561" s="144" t="s">
        <v>229</v>
      </c>
      <c r="AF561" s="502">
        <v>47560</v>
      </c>
      <c r="AG561" s="503">
        <v>0.93229604709840197</v>
      </c>
      <c r="AH561" s="47" t="s">
        <v>80</v>
      </c>
      <c r="AI561" s="143">
        <v>2610</v>
      </c>
      <c r="AJ561" s="143">
        <v>3580</v>
      </c>
      <c r="AK561" s="502">
        <v>4280</v>
      </c>
      <c r="AL561" s="832">
        <f t="shared" si="26"/>
        <v>6651</v>
      </c>
      <c r="AM561" s="121">
        <v>5</v>
      </c>
    </row>
    <row r="562" spans="1:39" x14ac:dyDescent="0.3">
      <c r="A562" s="33">
        <v>1131</v>
      </c>
      <c r="B562" s="33">
        <v>922</v>
      </c>
      <c r="C562" s="300" t="s">
        <v>1332</v>
      </c>
      <c r="D562" s="353" t="s">
        <v>657</v>
      </c>
      <c r="E562" s="70" t="s">
        <v>1333</v>
      </c>
      <c r="F562" s="800">
        <v>1823</v>
      </c>
      <c r="G562" s="800" t="s">
        <v>539</v>
      </c>
      <c r="H562" s="71" t="s">
        <v>73</v>
      </c>
      <c r="I562" s="72">
        <v>0.55000000000000004</v>
      </c>
      <c r="J562" s="800" t="s">
        <v>154</v>
      </c>
      <c r="K562" s="321" t="s">
        <v>75</v>
      </c>
      <c r="L562" s="835" t="s">
        <v>583</v>
      </c>
      <c r="M562" s="54" t="s">
        <v>584</v>
      </c>
      <c r="N562" s="51" t="s">
        <v>584</v>
      </c>
      <c r="O562" s="51" t="s">
        <v>584</v>
      </c>
      <c r="P562" s="51" t="s">
        <v>542</v>
      </c>
      <c r="Q562" s="890" t="s">
        <v>588</v>
      </c>
      <c r="R562" s="52" t="s">
        <v>543</v>
      </c>
      <c r="S562" s="56" t="s">
        <v>872</v>
      </c>
      <c r="T562" s="824">
        <v>12980</v>
      </c>
      <c r="U562" s="824">
        <v>12840</v>
      </c>
      <c r="V562" s="840">
        <v>12270</v>
      </c>
      <c r="W562" s="822">
        <v>12110</v>
      </c>
      <c r="X562" s="760">
        <v>12170</v>
      </c>
      <c r="Y562" s="159">
        <v>13110</v>
      </c>
      <c r="Z562" s="142">
        <v>14100</v>
      </c>
      <c r="AA562" s="1029">
        <v>14710</v>
      </c>
      <c r="AB562" s="1029">
        <v>14710</v>
      </c>
      <c r="AC562" s="746">
        <v>14710</v>
      </c>
      <c r="AD562" s="143">
        <v>12780</v>
      </c>
      <c r="AE562" s="144" t="s">
        <v>229</v>
      </c>
      <c r="AF562" s="502">
        <v>14040</v>
      </c>
      <c r="AG562" s="503">
        <v>0.91025641025641024</v>
      </c>
      <c r="AH562" s="47" t="s">
        <v>80</v>
      </c>
      <c r="AI562" s="143">
        <v>960</v>
      </c>
      <c r="AJ562" s="143">
        <v>1160</v>
      </c>
      <c r="AK562" s="504">
        <v>1270</v>
      </c>
      <c r="AL562" s="832">
        <f t="shared" si="26"/>
        <v>7029.0000000000009</v>
      </c>
      <c r="AM562" s="122">
        <v>2</v>
      </c>
    </row>
    <row r="563" spans="1:39" x14ac:dyDescent="0.3">
      <c r="A563" s="33">
        <v>1132</v>
      </c>
      <c r="B563" s="33">
        <v>923</v>
      </c>
      <c r="C563" s="381" t="s">
        <v>1332</v>
      </c>
      <c r="D563" s="353" t="s">
        <v>916</v>
      </c>
      <c r="E563" s="64" t="s">
        <v>1334</v>
      </c>
      <c r="F563" s="799">
        <v>1824</v>
      </c>
      <c r="G563" s="799" t="s">
        <v>539</v>
      </c>
      <c r="H563" s="36"/>
      <c r="I563" s="37">
        <v>0.5</v>
      </c>
      <c r="J563" s="799" t="s">
        <v>140</v>
      </c>
      <c r="K563" s="324" t="s">
        <v>75</v>
      </c>
      <c r="L563" s="837" t="s">
        <v>619</v>
      </c>
      <c r="M563" s="35" t="s">
        <v>620</v>
      </c>
      <c r="N563" s="35" t="s">
        <v>620</v>
      </c>
      <c r="O563" s="35" t="s">
        <v>620</v>
      </c>
      <c r="P563" s="35" t="s">
        <v>637</v>
      </c>
      <c r="Q563" s="410" t="s">
        <v>637</v>
      </c>
      <c r="R563" s="65" t="s">
        <v>543</v>
      </c>
      <c r="S563" s="39" t="s">
        <v>872</v>
      </c>
      <c r="T563" s="833">
        <v>19530</v>
      </c>
      <c r="U563" s="833">
        <v>19350</v>
      </c>
      <c r="V563" s="833">
        <v>18280</v>
      </c>
      <c r="W563" s="820">
        <v>18470</v>
      </c>
      <c r="X563" s="838">
        <v>18220</v>
      </c>
      <c r="Y563" s="838">
        <v>19650</v>
      </c>
      <c r="Z563" s="838">
        <v>20250</v>
      </c>
      <c r="AA563" s="930">
        <v>19440</v>
      </c>
      <c r="AB563" s="84" t="s">
        <v>81</v>
      </c>
      <c r="AC563" s="120">
        <v>16970</v>
      </c>
      <c r="AD563" s="120">
        <v>16970</v>
      </c>
      <c r="AE563" s="411" t="s">
        <v>229</v>
      </c>
      <c r="AF563" s="213">
        <v>37970</v>
      </c>
      <c r="AG563" s="315">
        <v>0.44693178825388463</v>
      </c>
      <c r="AH563" s="83" t="s">
        <v>97</v>
      </c>
      <c r="AI563" s="120">
        <v>1240</v>
      </c>
      <c r="AJ563" s="120">
        <v>1570</v>
      </c>
      <c r="AK563" s="316">
        <v>3410</v>
      </c>
      <c r="AL563" s="832">
        <f t="shared" si="26"/>
        <v>8485</v>
      </c>
      <c r="AM563" s="121">
        <v>4</v>
      </c>
    </row>
    <row r="564" spans="1:39" ht="15" thickBot="1" x14ac:dyDescent="0.35">
      <c r="A564" s="88">
        <v>1134</v>
      </c>
      <c r="B564" s="88">
        <v>925</v>
      </c>
      <c r="C564" s="642" t="s">
        <v>1332</v>
      </c>
      <c r="D564" s="258" t="s">
        <v>1335</v>
      </c>
      <c r="E564" s="162" t="s">
        <v>1336</v>
      </c>
      <c r="F564" s="803">
        <v>1826</v>
      </c>
      <c r="G564" s="803" t="s">
        <v>539</v>
      </c>
      <c r="H564" s="163"/>
      <c r="I564" s="164">
        <v>1</v>
      </c>
      <c r="J564" s="803" t="s">
        <v>140</v>
      </c>
      <c r="K564" s="291" t="s">
        <v>75</v>
      </c>
      <c r="L564" s="845" t="s">
        <v>619</v>
      </c>
      <c r="M564" s="457" t="s">
        <v>620</v>
      </c>
      <c r="N564" s="166" t="s">
        <v>620</v>
      </c>
      <c r="O564" s="166" t="s">
        <v>620</v>
      </c>
      <c r="P564" s="166" t="s">
        <v>637</v>
      </c>
      <c r="Q564" s="410" t="s">
        <v>637</v>
      </c>
      <c r="R564" s="215" t="s">
        <v>543</v>
      </c>
      <c r="S564" s="526" t="s">
        <v>872</v>
      </c>
      <c r="T564" s="846">
        <v>15600</v>
      </c>
      <c r="U564" s="846">
        <v>15050</v>
      </c>
      <c r="V564" s="846">
        <v>14330</v>
      </c>
      <c r="W564" s="847">
        <v>14610</v>
      </c>
      <c r="X564" s="761">
        <v>12610</v>
      </c>
      <c r="Y564" s="761">
        <v>15810</v>
      </c>
      <c r="Z564" s="761">
        <v>15930</v>
      </c>
      <c r="AA564" s="927">
        <v>15520</v>
      </c>
      <c r="AB564" s="761">
        <v>15840</v>
      </c>
      <c r="AC564" s="880">
        <v>14760</v>
      </c>
      <c r="AD564" s="752">
        <v>14800</v>
      </c>
      <c r="AE564" s="233" t="s">
        <v>229</v>
      </c>
      <c r="AF564" s="326">
        <v>37970</v>
      </c>
      <c r="AG564" s="172">
        <v>0.38978140637345271</v>
      </c>
      <c r="AH564" s="170" t="s">
        <v>97</v>
      </c>
      <c r="AI564" s="169">
        <v>1030</v>
      </c>
      <c r="AJ564" s="169">
        <v>1400</v>
      </c>
      <c r="AK564" s="298">
        <v>3410</v>
      </c>
      <c r="AL564" s="881">
        <f t="shared" si="26"/>
        <v>14800</v>
      </c>
      <c r="AM564" s="174">
        <v>4</v>
      </c>
    </row>
    <row r="565" spans="1:39" x14ac:dyDescent="0.3">
      <c r="A565" s="299">
        <v>1138</v>
      </c>
      <c r="B565" s="299">
        <v>928</v>
      </c>
      <c r="C565" s="318" t="s">
        <v>1337</v>
      </c>
      <c r="D565" s="293" t="s">
        <v>1338</v>
      </c>
      <c r="E565" s="319" t="s">
        <v>1339</v>
      </c>
      <c r="F565" s="802">
        <v>1816</v>
      </c>
      <c r="G565" s="802" t="s">
        <v>539</v>
      </c>
      <c r="H565" s="200" t="s">
        <v>73</v>
      </c>
      <c r="I565" s="107">
        <v>0.8</v>
      </c>
      <c r="J565" s="802" t="s">
        <v>154</v>
      </c>
      <c r="K565" s="284" t="s">
        <v>75</v>
      </c>
      <c r="L565" s="830" t="s">
        <v>540</v>
      </c>
      <c r="M565" s="105" t="s">
        <v>584</v>
      </c>
      <c r="N565" s="105" t="s">
        <v>584</v>
      </c>
      <c r="O565" s="105" t="s">
        <v>584</v>
      </c>
      <c r="P565" s="105" t="s">
        <v>542</v>
      </c>
      <c r="Q565" s="975" t="s">
        <v>542</v>
      </c>
      <c r="R565" s="106" t="s">
        <v>543</v>
      </c>
      <c r="S565" s="199" t="s">
        <v>465</v>
      </c>
      <c r="T565" s="833">
        <v>5740</v>
      </c>
      <c r="U565" s="833">
        <v>6090</v>
      </c>
      <c r="V565" s="833">
        <v>5690</v>
      </c>
      <c r="W565" s="831">
        <v>5610</v>
      </c>
      <c r="X565" s="844">
        <v>4950</v>
      </c>
      <c r="Y565" s="844">
        <v>6410</v>
      </c>
      <c r="Z565" s="844">
        <v>7020</v>
      </c>
      <c r="AA565" s="925">
        <v>8810</v>
      </c>
      <c r="AB565" s="873">
        <v>8850</v>
      </c>
      <c r="AC565" s="878">
        <v>7640</v>
      </c>
      <c r="AD565" s="751">
        <v>8200</v>
      </c>
      <c r="AE565" s="414" t="s">
        <v>229</v>
      </c>
      <c r="AF565" s="477">
        <v>13640</v>
      </c>
      <c r="AG565" s="82">
        <v>0.60117302052785926</v>
      </c>
      <c r="AH565" s="287" t="s">
        <v>80</v>
      </c>
      <c r="AI565" s="288">
        <v>570</v>
      </c>
      <c r="AJ565" s="288">
        <v>760</v>
      </c>
      <c r="AK565" s="288">
        <v>1020</v>
      </c>
      <c r="AL565" s="832">
        <f t="shared" si="26"/>
        <v>6560</v>
      </c>
      <c r="AM565" s="201">
        <v>2</v>
      </c>
    </row>
    <row r="566" spans="1:39" x14ac:dyDescent="0.3">
      <c r="A566" s="33">
        <v>1140</v>
      </c>
      <c r="B566" s="33">
        <v>930</v>
      </c>
      <c r="C566" s="352" t="s">
        <v>1337</v>
      </c>
      <c r="D566" s="353" t="s">
        <v>1150</v>
      </c>
      <c r="E566" s="70" t="s">
        <v>1340</v>
      </c>
      <c r="F566" s="63">
        <v>1818</v>
      </c>
      <c r="G566" s="800" t="s">
        <v>539</v>
      </c>
      <c r="H566" s="52" t="s">
        <v>73</v>
      </c>
      <c r="I566" s="72">
        <v>0.95</v>
      </c>
      <c r="J566" s="800" t="s">
        <v>205</v>
      </c>
      <c r="K566" s="302" t="s">
        <v>75</v>
      </c>
      <c r="L566" s="835" t="s">
        <v>540</v>
      </c>
      <c r="M566" s="51" t="s">
        <v>587</v>
      </c>
      <c r="N566" s="51" t="s">
        <v>587</v>
      </c>
      <c r="O566" s="51" t="s">
        <v>587</v>
      </c>
      <c r="P566" s="51" t="s">
        <v>629</v>
      </c>
      <c r="Q566" s="310" t="s">
        <v>629</v>
      </c>
      <c r="R566" s="52" t="s">
        <v>543</v>
      </c>
      <c r="S566" s="52" t="s">
        <v>465</v>
      </c>
      <c r="T566" s="825">
        <v>4750</v>
      </c>
      <c r="U566" s="825">
        <v>5070</v>
      </c>
      <c r="V566" s="825">
        <v>4780</v>
      </c>
      <c r="W566" s="822">
        <v>4900</v>
      </c>
      <c r="X566" s="760">
        <v>4730</v>
      </c>
      <c r="Y566" s="760">
        <v>5430</v>
      </c>
      <c r="Z566" s="760">
        <v>5740</v>
      </c>
      <c r="AA566" s="931">
        <v>7040</v>
      </c>
      <c r="AB566" s="760">
        <v>6250</v>
      </c>
      <c r="AC566" s="884">
        <v>5510</v>
      </c>
      <c r="AD566" s="748">
        <v>7980</v>
      </c>
      <c r="AE566" s="80" t="s">
        <v>229</v>
      </c>
      <c r="AF566" s="194">
        <v>17050</v>
      </c>
      <c r="AG566" s="303">
        <v>0.46803519061583576</v>
      </c>
      <c r="AH566" s="80" t="s">
        <v>97</v>
      </c>
      <c r="AI566" s="115">
        <v>500</v>
      </c>
      <c r="AJ566" s="115">
        <v>770</v>
      </c>
      <c r="AK566" s="304">
        <v>1540</v>
      </c>
      <c r="AL566" s="832">
        <f t="shared" si="26"/>
        <v>7581</v>
      </c>
      <c r="AM566" s="63">
        <v>2</v>
      </c>
    </row>
    <row r="567" spans="1:39" ht="15" thickBot="1" x14ac:dyDescent="0.35">
      <c r="A567" s="305">
        <v>1141</v>
      </c>
      <c r="B567" s="305">
        <v>931</v>
      </c>
      <c r="C567" s="346" t="s">
        <v>1337</v>
      </c>
      <c r="D567" s="195" t="s">
        <v>673</v>
      </c>
      <c r="E567" s="185" t="s">
        <v>1341</v>
      </c>
      <c r="F567" s="801">
        <v>1819</v>
      </c>
      <c r="G567" s="801" t="s">
        <v>539</v>
      </c>
      <c r="H567" s="92" t="s">
        <v>73</v>
      </c>
      <c r="I567" s="93">
        <v>0.8</v>
      </c>
      <c r="J567" s="801" t="s">
        <v>205</v>
      </c>
      <c r="K567" s="271" t="s">
        <v>75</v>
      </c>
      <c r="L567" s="841" t="s">
        <v>540</v>
      </c>
      <c r="M567" s="91" t="s">
        <v>584</v>
      </c>
      <c r="N567" s="91" t="s">
        <v>584</v>
      </c>
      <c r="O567" s="91" t="s">
        <v>584</v>
      </c>
      <c r="P567" s="91" t="s">
        <v>626</v>
      </c>
      <c r="Q567" s="909" t="s">
        <v>626</v>
      </c>
      <c r="R567" s="97" t="s">
        <v>543</v>
      </c>
      <c r="S567" s="94" t="s">
        <v>465</v>
      </c>
      <c r="T567" s="827">
        <v>4730</v>
      </c>
      <c r="U567" s="827">
        <v>4960</v>
      </c>
      <c r="V567" s="827">
        <v>4810</v>
      </c>
      <c r="W567" s="828">
        <v>5090</v>
      </c>
      <c r="X567" s="842">
        <v>5080</v>
      </c>
      <c r="Y567" s="842">
        <v>5600</v>
      </c>
      <c r="Z567" s="842">
        <v>5980</v>
      </c>
      <c r="AA567" s="935">
        <v>7370</v>
      </c>
      <c r="AB567" s="842">
        <v>6890</v>
      </c>
      <c r="AC567" s="972">
        <v>6500</v>
      </c>
      <c r="AD567" s="750">
        <v>7120</v>
      </c>
      <c r="AE567" s="246" t="s">
        <v>229</v>
      </c>
      <c r="AF567" s="241">
        <v>13640</v>
      </c>
      <c r="AG567" s="147">
        <v>0.52199413489736068</v>
      </c>
      <c r="AH567" s="100" t="s">
        <v>97</v>
      </c>
      <c r="AI567" s="126">
        <v>580</v>
      </c>
      <c r="AJ567" s="126">
        <v>610</v>
      </c>
      <c r="AK567" s="308">
        <v>1230</v>
      </c>
      <c r="AL567" s="881">
        <f t="shared" si="26"/>
        <v>5696</v>
      </c>
      <c r="AM567" s="127">
        <v>2</v>
      </c>
    </row>
    <row r="568" spans="1:39" ht="15" thickBot="1" x14ac:dyDescent="0.35">
      <c r="A568" s="202">
        <v>1144</v>
      </c>
      <c r="B568" s="202">
        <v>933</v>
      </c>
      <c r="C568" s="295" t="s">
        <v>1342</v>
      </c>
      <c r="D568" s="248" t="s">
        <v>1343</v>
      </c>
      <c r="E568" s="205" t="s">
        <v>1344</v>
      </c>
      <c r="F568" s="805">
        <v>1821</v>
      </c>
      <c r="G568" s="805" t="s">
        <v>539</v>
      </c>
      <c r="H568" s="249"/>
      <c r="I568" s="207">
        <v>0.75</v>
      </c>
      <c r="J568" s="805" t="s">
        <v>237</v>
      </c>
      <c r="K568" s="387" t="s">
        <v>75</v>
      </c>
      <c r="L568" s="851" t="s">
        <v>540</v>
      </c>
      <c r="M568" s="917" t="s">
        <v>541</v>
      </c>
      <c r="N568" s="851" t="s">
        <v>541</v>
      </c>
      <c r="O568" s="851" t="s">
        <v>541</v>
      </c>
      <c r="P568" s="851" t="s">
        <v>542</v>
      </c>
      <c r="Q568" s="975" t="s">
        <v>542</v>
      </c>
      <c r="R568" s="208" t="s">
        <v>556</v>
      </c>
      <c r="S568" s="395" t="s">
        <v>858</v>
      </c>
      <c r="T568" s="846">
        <v>1550</v>
      </c>
      <c r="U568" s="846">
        <v>1500</v>
      </c>
      <c r="V568" s="846">
        <v>1590</v>
      </c>
      <c r="W568" s="857">
        <v>1680</v>
      </c>
      <c r="X568" s="858">
        <v>1870</v>
      </c>
      <c r="Y568" s="932">
        <v>1910</v>
      </c>
      <c r="Z568" s="858">
        <v>2050</v>
      </c>
      <c r="AA568" s="858">
        <v>2330</v>
      </c>
      <c r="AB568" s="858">
        <v>2560</v>
      </c>
      <c r="AC568" s="945">
        <v>2410</v>
      </c>
      <c r="AD568" s="781">
        <v>2910</v>
      </c>
      <c r="AE568" s="550" t="s">
        <v>229</v>
      </c>
      <c r="AF568" s="481">
        <v>13640</v>
      </c>
      <c r="AG568" s="444">
        <v>0.21334310850439883</v>
      </c>
      <c r="AH568" s="442" t="s">
        <v>97</v>
      </c>
      <c r="AI568" s="282">
        <v>230</v>
      </c>
      <c r="AJ568" s="282">
        <v>310</v>
      </c>
      <c r="AK568" s="282">
        <v>1020</v>
      </c>
      <c r="AL568" s="949">
        <f t="shared" si="26"/>
        <v>2182.5</v>
      </c>
      <c r="AM568" s="211">
        <v>2</v>
      </c>
    </row>
    <row r="569" spans="1:39" x14ac:dyDescent="0.3">
      <c r="A569" s="103">
        <v>1161</v>
      </c>
      <c r="B569" s="103">
        <v>948</v>
      </c>
      <c r="C569" s="318" t="s">
        <v>1345</v>
      </c>
      <c r="D569" s="338" t="s">
        <v>713</v>
      </c>
      <c r="E569" s="189" t="s">
        <v>1346</v>
      </c>
      <c r="F569" s="804">
        <v>1840</v>
      </c>
      <c r="G569" s="804" t="s">
        <v>539</v>
      </c>
      <c r="H569" s="131" t="s">
        <v>73</v>
      </c>
      <c r="I569" s="178">
        <v>2.2000000000000002</v>
      </c>
      <c r="J569" s="804" t="s">
        <v>205</v>
      </c>
      <c r="K569" s="340" t="s">
        <v>104</v>
      </c>
      <c r="L569" s="843" t="s">
        <v>264</v>
      </c>
      <c r="M569" s="256" t="s">
        <v>764</v>
      </c>
      <c r="N569" s="177" t="s">
        <v>764</v>
      </c>
      <c r="O569" s="177" t="s">
        <v>764</v>
      </c>
      <c r="P569" s="177" t="s">
        <v>764</v>
      </c>
      <c r="Q569" s="933" t="s">
        <v>764</v>
      </c>
      <c r="R569" s="179" t="s">
        <v>472</v>
      </c>
      <c r="S569" s="179" t="s">
        <v>490</v>
      </c>
      <c r="T569" s="825">
        <v>4510</v>
      </c>
      <c r="U569" s="825">
        <v>5110</v>
      </c>
      <c r="V569" s="57">
        <v>5260</v>
      </c>
      <c r="W569" s="836">
        <v>5420</v>
      </c>
      <c r="X569" s="759">
        <v>6260</v>
      </c>
      <c r="Y569" s="759">
        <v>6520</v>
      </c>
      <c r="Z569" s="759">
        <v>6190</v>
      </c>
      <c r="AA569" s="929">
        <v>7580</v>
      </c>
      <c r="AB569" s="886">
        <v>7670</v>
      </c>
      <c r="AC569" s="887">
        <v>6280</v>
      </c>
      <c r="AD569" s="754">
        <v>6690</v>
      </c>
      <c r="AE569" s="190" t="s">
        <v>97</v>
      </c>
      <c r="AF569" s="78">
        <v>11775</v>
      </c>
      <c r="AG569" s="79">
        <v>0.5681528662420382</v>
      </c>
      <c r="AH569" s="86" t="s">
        <v>1524</v>
      </c>
      <c r="AI569" s="181">
        <v>510</v>
      </c>
      <c r="AJ569" s="181">
        <v>610</v>
      </c>
      <c r="AK569" s="181">
        <v>1120</v>
      </c>
      <c r="AL569" s="832">
        <f t="shared" si="26"/>
        <v>14718.000000000002</v>
      </c>
      <c r="AM569" s="182">
        <v>2</v>
      </c>
    </row>
    <row r="570" spans="1:39" x14ac:dyDescent="0.3">
      <c r="A570" s="33">
        <v>1158</v>
      </c>
      <c r="B570" s="33">
        <v>945</v>
      </c>
      <c r="C570" s="300" t="s">
        <v>1345</v>
      </c>
      <c r="D570" s="301" t="s">
        <v>703</v>
      </c>
      <c r="E570" s="35" t="s">
        <v>1347</v>
      </c>
      <c r="F570" s="799">
        <v>1843</v>
      </c>
      <c r="G570" s="799" t="s">
        <v>539</v>
      </c>
      <c r="H570" s="36" t="s">
        <v>73</v>
      </c>
      <c r="I570" s="37">
        <v>2.8</v>
      </c>
      <c r="J570" s="799" t="s">
        <v>205</v>
      </c>
      <c r="K570" s="324" t="s">
        <v>104</v>
      </c>
      <c r="L570" s="837" t="s">
        <v>256</v>
      </c>
      <c r="M570" s="35" t="s">
        <v>555</v>
      </c>
      <c r="N570" s="35" t="s">
        <v>555</v>
      </c>
      <c r="O570" s="35" t="s">
        <v>555</v>
      </c>
      <c r="P570" s="35" t="s">
        <v>555</v>
      </c>
      <c r="Q570" s="649" t="s">
        <v>555</v>
      </c>
      <c r="R570" s="38" t="s">
        <v>374</v>
      </c>
      <c r="S570" s="38" t="s">
        <v>465</v>
      </c>
      <c r="T570" s="833">
        <v>9330</v>
      </c>
      <c r="U570" s="833">
        <v>8810</v>
      </c>
      <c r="V570" s="833">
        <v>9790</v>
      </c>
      <c r="W570" s="820">
        <v>9950</v>
      </c>
      <c r="X570" s="838">
        <v>10310</v>
      </c>
      <c r="Y570" s="838">
        <v>12360</v>
      </c>
      <c r="Z570" s="838">
        <v>10670</v>
      </c>
      <c r="AA570" s="838">
        <v>11030</v>
      </c>
      <c r="AB570" s="838">
        <v>10170</v>
      </c>
      <c r="AC570" s="964">
        <v>9190</v>
      </c>
      <c r="AD570" s="749">
        <v>11070</v>
      </c>
      <c r="AE570" s="411" t="s">
        <v>229</v>
      </c>
      <c r="AF570" s="569">
        <v>24450</v>
      </c>
      <c r="AG570" s="315">
        <v>0.45276073619631901</v>
      </c>
      <c r="AH570" s="83" t="s">
        <v>97</v>
      </c>
      <c r="AI570" s="120">
        <v>750</v>
      </c>
      <c r="AJ570" s="120">
        <v>940</v>
      </c>
      <c r="AK570" s="316">
        <v>2200</v>
      </c>
      <c r="AL570" s="832">
        <f t="shared" si="26"/>
        <v>30995.999999999996</v>
      </c>
      <c r="AM570" s="121">
        <v>2</v>
      </c>
    </row>
    <row r="571" spans="1:39" x14ac:dyDescent="0.3">
      <c r="A571" s="33">
        <v>1157</v>
      </c>
      <c r="B571" s="33">
        <v>944</v>
      </c>
      <c r="C571" s="300" t="s">
        <v>1345</v>
      </c>
      <c r="D571" s="301" t="s">
        <v>707</v>
      </c>
      <c r="E571" s="70" t="s">
        <v>1348</v>
      </c>
      <c r="F571" s="800">
        <v>1844</v>
      </c>
      <c r="G571" s="800" t="s">
        <v>539</v>
      </c>
      <c r="H571" s="71" t="s">
        <v>73</v>
      </c>
      <c r="I571" s="72">
        <v>1.45</v>
      </c>
      <c r="J571" s="800" t="s">
        <v>205</v>
      </c>
      <c r="K571" s="321" t="s">
        <v>104</v>
      </c>
      <c r="L571" s="835" t="s">
        <v>256</v>
      </c>
      <c r="M571" s="54" t="s">
        <v>555</v>
      </c>
      <c r="N571" s="51" t="s">
        <v>555</v>
      </c>
      <c r="O571" s="51" t="s">
        <v>555</v>
      </c>
      <c r="P571" s="51" t="s">
        <v>555</v>
      </c>
      <c r="Q571" s="649" t="s">
        <v>555</v>
      </c>
      <c r="R571" s="73" t="s">
        <v>374</v>
      </c>
      <c r="S571" s="73" t="s">
        <v>465</v>
      </c>
      <c r="T571" s="825">
        <v>5780</v>
      </c>
      <c r="U571" s="825">
        <v>5720</v>
      </c>
      <c r="V571" s="825">
        <v>6150</v>
      </c>
      <c r="W571" s="822">
        <v>6190</v>
      </c>
      <c r="X571" s="760">
        <v>7280</v>
      </c>
      <c r="Y571" s="760">
        <v>7760</v>
      </c>
      <c r="Z571" s="760">
        <v>7560</v>
      </c>
      <c r="AA571" s="760">
        <v>7850</v>
      </c>
      <c r="AB571" s="760">
        <v>7650</v>
      </c>
      <c r="AC571" s="884">
        <v>6300</v>
      </c>
      <c r="AD571" s="748">
        <v>7520</v>
      </c>
      <c r="AE571" s="140" t="s">
        <v>229</v>
      </c>
      <c r="AF571" s="570">
        <v>24450</v>
      </c>
      <c r="AG571" s="303">
        <v>0.30756646216768918</v>
      </c>
      <c r="AH571" s="80" t="s">
        <v>1524</v>
      </c>
      <c r="AI571" s="115">
        <v>530</v>
      </c>
      <c r="AJ571" s="115">
        <v>660</v>
      </c>
      <c r="AK571" s="304">
        <v>2200</v>
      </c>
      <c r="AL571" s="832">
        <f t="shared" si="26"/>
        <v>10904</v>
      </c>
      <c r="AM571" s="122">
        <v>2</v>
      </c>
    </row>
    <row r="572" spans="1:39" x14ac:dyDescent="0.3">
      <c r="A572" s="33">
        <v>1156</v>
      </c>
      <c r="B572" s="33">
        <v>943</v>
      </c>
      <c r="C572" s="300" t="s">
        <v>1345</v>
      </c>
      <c r="D572" s="301" t="s">
        <v>962</v>
      </c>
      <c r="E572" s="35" t="s">
        <v>1349</v>
      </c>
      <c r="F572" s="799">
        <v>1845</v>
      </c>
      <c r="G572" s="799" t="s">
        <v>539</v>
      </c>
      <c r="H572" s="36" t="s">
        <v>73</v>
      </c>
      <c r="I572" s="37">
        <v>1.5</v>
      </c>
      <c r="J572" s="799" t="s">
        <v>205</v>
      </c>
      <c r="K572" s="324" t="s">
        <v>104</v>
      </c>
      <c r="L572" s="837" t="s">
        <v>256</v>
      </c>
      <c r="M572" s="35" t="s">
        <v>555</v>
      </c>
      <c r="N572" s="35" t="s">
        <v>555</v>
      </c>
      <c r="O572" s="35" t="s">
        <v>555</v>
      </c>
      <c r="P572" s="35" t="s">
        <v>555</v>
      </c>
      <c r="Q572" s="649" t="s">
        <v>555</v>
      </c>
      <c r="R572" s="38" t="s">
        <v>374</v>
      </c>
      <c r="S572" s="38" t="s">
        <v>465</v>
      </c>
      <c r="T572" s="833">
        <v>5870</v>
      </c>
      <c r="U572" s="833">
        <v>5780</v>
      </c>
      <c r="V572" s="833">
        <v>6210</v>
      </c>
      <c r="W572" s="820">
        <v>6270</v>
      </c>
      <c r="X572" s="838">
        <v>7040</v>
      </c>
      <c r="Y572" s="838">
        <v>7870</v>
      </c>
      <c r="Z572" s="838">
        <v>7840</v>
      </c>
      <c r="AA572" s="930">
        <v>8660</v>
      </c>
      <c r="AB572" s="838">
        <v>8130</v>
      </c>
      <c r="AC572" s="888">
        <v>6640</v>
      </c>
      <c r="AD572" s="749">
        <v>8220</v>
      </c>
      <c r="AE572" s="36" t="s">
        <v>229</v>
      </c>
      <c r="AF572" s="569">
        <v>24450</v>
      </c>
      <c r="AG572" s="315">
        <v>0.33619631901840491</v>
      </c>
      <c r="AH572" s="83" t="s">
        <v>1524</v>
      </c>
      <c r="AI572" s="120">
        <v>610</v>
      </c>
      <c r="AJ572" s="120">
        <v>700</v>
      </c>
      <c r="AK572" s="316">
        <v>2200</v>
      </c>
      <c r="AL572" s="832">
        <f t="shared" si="26"/>
        <v>12330</v>
      </c>
      <c r="AM572" s="121">
        <v>2</v>
      </c>
    </row>
    <row r="573" spans="1:39" x14ac:dyDescent="0.3">
      <c r="A573" s="33">
        <v>1154</v>
      </c>
      <c r="B573" s="33">
        <v>941</v>
      </c>
      <c r="C573" s="300" t="s">
        <v>1345</v>
      </c>
      <c r="D573" s="301" t="s">
        <v>589</v>
      </c>
      <c r="E573" s="70" t="s">
        <v>1350</v>
      </c>
      <c r="F573" s="800">
        <v>1847</v>
      </c>
      <c r="G573" s="800" t="s">
        <v>539</v>
      </c>
      <c r="H573" s="71" t="s">
        <v>73</v>
      </c>
      <c r="I573" s="72">
        <v>3.02</v>
      </c>
      <c r="J573" s="800" t="s">
        <v>158</v>
      </c>
      <c r="K573" s="321" t="s">
        <v>104</v>
      </c>
      <c r="L573" s="835" t="s">
        <v>256</v>
      </c>
      <c r="M573" s="54" t="s">
        <v>555</v>
      </c>
      <c r="N573" s="51" t="s">
        <v>555</v>
      </c>
      <c r="O573" s="51" t="s">
        <v>555</v>
      </c>
      <c r="P573" s="51" t="s">
        <v>555</v>
      </c>
      <c r="Q573" s="649" t="s">
        <v>555</v>
      </c>
      <c r="R573" s="73" t="s">
        <v>374</v>
      </c>
      <c r="S573" s="73" t="s">
        <v>465</v>
      </c>
      <c r="T573" s="825">
        <v>5300</v>
      </c>
      <c r="U573" s="825">
        <v>5780</v>
      </c>
      <c r="V573" s="825">
        <v>6030</v>
      </c>
      <c r="W573" s="822">
        <v>5810</v>
      </c>
      <c r="X573" s="760">
        <v>7300</v>
      </c>
      <c r="Y573" s="760">
        <v>7360</v>
      </c>
      <c r="Z573" s="760">
        <v>7040</v>
      </c>
      <c r="AA573" s="931">
        <v>9250</v>
      </c>
      <c r="AB573" s="760">
        <v>8640</v>
      </c>
      <c r="AC573" s="884">
        <v>7660</v>
      </c>
      <c r="AD573" s="748">
        <v>8670</v>
      </c>
      <c r="AE573" s="140" t="s">
        <v>229</v>
      </c>
      <c r="AF573" s="570">
        <v>24450</v>
      </c>
      <c r="AG573" s="303">
        <v>0.35460122699386504</v>
      </c>
      <c r="AH573" s="80" t="s">
        <v>1524</v>
      </c>
      <c r="AI573" s="115">
        <v>690</v>
      </c>
      <c r="AJ573" s="115">
        <v>770</v>
      </c>
      <c r="AK573" s="304">
        <v>2200</v>
      </c>
      <c r="AL573" s="832">
        <f t="shared" si="26"/>
        <v>26183.4</v>
      </c>
      <c r="AM573" s="122">
        <v>2</v>
      </c>
    </row>
    <row r="574" spans="1:39" x14ac:dyDescent="0.3">
      <c r="A574" s="33">
        <v>1153</v>
      </c>
      <c r="B574" s="33">
        <v>940</v>
      </c>
      <c r="C574" s="300" t="s">
        <v>1345</v>
      </c>
      <c r="D574" s="301" t="s">
        <v>1028</v>
      </c>
      <c r="E574" s="133" t="s">
        <v>1351</v>
      </c>
      <c r="F574" s="799">
        <v>1848</v>
      </c>
      <c r="G574" s="799" t="s">
        <v>539</v>
      </c>
      <c r="H574" s="36" t="s">
        <v>73</v>
      </c>
      <c r="I574" s="37">
        <v>1.9</v>
      </c>
      <c r="J574" s="799" t="s">
        <v>158</v>
      </c>
      <c r="K574" s="324" t="s">
        <v>104</v>
      </c>
      <c r="L574" s="837" t="s">
        <v>256</v>
      </c>
      <c r="M574" s="35" t="s">
        <v>555</v>
      </c>
      <c r="N574" s="35" t="s">
        <v>555</v>
      </c>
      <c r="O574" s="35" t="s">
        <v>555</v>
      </c>
      <c r="P574" s="35" t="s">
        <v>555</v>
      </c>
      <c r="Q574" s="649" t="s">
        <v>555</v>
      </c>
      <c r="R574" s="36" t="s">
        <v>556</v>
      </c>
      <c r="S574" s="39" t="s">
        <v>872</v>
      </c>
      <c r="T574" s="833">
        <v>3550</v>
      </c>
      <c r="U574" s="833">
        <v>4380</v>
      </c>
      <c r="V574" s="833">
        <v>5070</v>
      </c>
      <c r="W574" s="820">
        <v>5800</v>
      </c>
      <c r="X574" s="838">
        <v>5510</v>
      </c>
      <c r="Y574" s="838">
        <v>6810</v>
      </c>
      <c r="Z574" s="838">
        <v>7870</v>
      </c>
      <c r="AA574" s="930">
        <v>9060</v>
      </c>
      <c r="AB574" s="838">
        <v>8810</v>
      </c>
      <c r="AC574" s="888">
        <v>8290</v>
      </c>
      <c r="AD574" s="749">
        <v>8710</v>
      </c>
      <c r="AE574" s="36" t="s">
        <v>229</v>
      </c>
      <c r="AF574" s="569">
        <v>24450</v>
      </c>
      <c r="AG574" s="315">
        <v>0.35623721881390591</v>
      </c>
      <c r="AH574" s="83" t="s">
        <v>1524</v>
      </c>
      <c r="AI574" s="120">
        <v>540</v>
      </c>
      <c r="AJ574" s="120">
        <v>800</v>
      </c>
      <c r="AK574" s="316">
        <v>2200</v>
      </c>
      <c r="AL574" s="832">
        <f t="shared" si="26"/>
        <v>16549</v>
      </c>
      <c r="AM574" s="121">
        <v>2</v>
      </c>
    </row>
    <row r="575" spans="1:39" ht="15" thickBot="1" x14ac:dyDescent="0.35">
      <c r="A575" s="88">
        <v>1152</v>
      </c>
      <c r="B575" s="88">
        <v>939</v>
      </c>
      <c r="C575" s="346" t="s">
        <v>1345</v>
      </c>
      <c r="D575" s="525" t="s">
        <v>750</v>
      </c>
      <c r="E575" s="166" t="s">
        <v>1352</v>
      </c>
      <c r="F575" s="803">
        <v>1849</v>
      </c>
      <c r="G575" s="803" t="s">
        <v>539</v>
      </c>
      <c r="H575" s="163" t="s">
        <v>73</v>
      </c>
      <c r="I575" s="164">
        <v>1.9</v>
      </c>
      <c r="J575" s="803" t="s">
        <v>158</v>
      </c>
      <c r="K575" s="291" t="s">
        <v>104</v>
      </c>
      <c r="L575" s="845" t="s">
        <v>256</v>
      </c>
      <c r="M575" s="457" t="s">
        <v>555</v>
      </c>
      <c r="N575" s="166" t="s">
        <v>555</v>
      </c>
      <c r="O575" s="166" t="s">
        <v>555</v>
      </c>
      <c r="P575" s="166" t="s">
        <v>555</v>
      </c>
      <c r="Q575" s="650" t="s">
        <v>555</v>
      </c>
      <c r="R575" s="163" t="s">
        <v>556</v>
      </c>
      <c r="S575" s="526" t="s">
        <v>872</v>
      </c>
      <c r="T575" s="846">
        <v>3770</v>
      </c>
      <c r="U575" s="846">
        <v>4000</v>
      </c>
      <c r="V575" s="582" t="s">
        <v>81</v>
      </c>
      <c r="W575" s="847">
        <v>4660</v>
      </c>
      <c r="X575" s="761">
        <v>4970</v>
      </c>
      <c r="Y575" s="761">
        <v>4810</v>
      </c>
      <c r="Z575" s="761">
        <v>5430</v>
      </c>
      <c r="AA575" s="927">
        <v>5610</v>
      </c>
      <c r="AB575" s="761">
        <v>5860</v>
      </c>
      <c r="AC575" s="880">
        <v>5090</v>
      </c>
      <c r="AD575" s="752">
        <v>5710</v>
      </c>
      <c r="AE575" s="233" t="s">
        <v>229</v>
      </c>
      <c r="AF575" s="594">
        <v>24450</v>
      </c>
      <c r="AG575" s="172">
        <v>0.23353783231083844</v>
      </c>
      <c r="AH575" s="170" t="s">
        <v>1524</v>
      </c>
      <c r="AI575" s="169">
        <v>390</v>
      </c>
      <c r="AJ575" s="169">
        <v>500</v>
      </c>
      <c r="AK575" s="298">
        <v>2200</v>
      </c>
      <c r="AL575" s="881">
        <f t="shared" si="26"/>
        <v>10849</v>
      </c>
      <c r="AM575" s="174">
        <v>2</v>
      </c>
    </row>
    <row r="576" spans="1:39" ht="15" thickBot="1" x14ac:dyDescent="0.35">
      <c r="A576" s="103">
        <v>1168</v>
      </c>
      <c r="B576" s="103">
        <v>952</v>
      </c>
      <c r="C576" s="318" t="s">
        <v>1353</v>
      </c>
      <c r="D576" s="338" t="s">
        <v>1354</v>
      </c>
      <c r="E576" s="177" t="s">
        <v>1355</v>
      </c>
      <c r="F576" s="804">
        <v>1863</v>
      </c>
      <c r="G576" s="804" t="s">
        <v>539</v>
      </c>
      <c r="H576" s="131" t="s">
        <v>73</v>
      </c>
      <c r="I576" s="178">
        <v>2.9</v>
      </c>
      <c r="J576" s="804" t="s">
        <v>140</v>
      </c>
      <c r="K576" s="340" t="s">
        <v>104</v>
      </c>
      <c r="L576" s="843" t="s">
        <v>540</v>
      </c>
      <c r="M576" s="256" t="s">
        <v>584</v>
      </c>
      <c r="N576" s="177" t="s">
        <v>584</v>
      </c>
      <c r="O576" s="177" t="s">
        <v>584</v>
      </c>
      <c r="P576" s="177" t="s">
        <v>626</v>
      </c>
      <c r="Q576" s="909" t="s">
        <v>626</v>
      </c>
      <c r="R576" s="77" t="s">
        <v>543</v>
      </c>
      <c r="S576" s="311" t="s">
        <v>1246</v>
      </c>
      <c r="T576" s="825">
        <v>2950</v>
      </c>
      <c r="U576" s="825">
        <v>2900</v>
      </c>
      <c r="V576" s="825">
        <v>2860</v>
      </c>
      <c r="W576" s="836">
        <v>3080</v>
      </c>
      <c r="X576" s="759">
        <v>3140</v>
      </c>
      <c r="Y576" s="759">
        <v>2560</v>
      </c>
      <c r="Z576" s="759">
        <v>3840</v>
      </c>
      <c r="AA576" s="929">
        <v>3850</v>
      </c>
      <c r="AB576" s="886">
        <v>3590</v>
      </c>
      <c r="AC576" s="887">
        <v>4020</v>
      </c>
      <c r="AD576" s="754">
        <v>4240</v>
      </c>
      <c r="AE576" s="190" t="s">
        <v>229</v>
      </c>
      <c r="AF576" s="409">
        <v>13640</v>
      </c>
      <c r="AG576" s="79">
        <v>0.31085043988269795</v>
      </c>
      <c r="AH576" s="86" t="s">
        <v>97</v>
      </c>
      <c r="AI576" s="181">
        <v>300</v>
      </c>
      <c r="AJ576" s="181">
        <v>370</v>
      </c>
      <c r="AK576" s="312">
        <v>1230</v>
      </c>
      <c r="AL576" s="832">
        <f t="shared" si="26"/>
        <v>12296</v>
      </c>
      <c r="AM576" s="182">
        <v>2</v>
      </c>
    </row>
    <row r="577" spans="1:39" ht="15" thickBot="1" x14ac:dyDescent="0.35">
      <c r="A577" s="33">
        <v>1170</v>
      </c>
      <c r="B577" s="33">
        <v>954</v>
      </c>
      <c r="C577" s="300" t="s">
        <v>1353</v>
      </c>
      <c r="D577" s="353" t="s">
        <v>1356</v>
      </c>
      <c r="E577" s="64" t="s">
        <v>1357</v>
      </c>
      <c r="F577" s="799">
        <v>1865</v>
      </c>
      <c r="G577" s="799" t="s">
        <v>539</v>
      </c>
      <c r="H577" s="36" t="s">
        <v>73</v>
      </c>
      <c r="I577" s="37">
        <v>1.2</v>
      </c>
      <c r="J577" s="799" t="s">
        <v>140</v>
      </c>
      <c r="K577" s="324" t="s">
        <v>104</v>
      </c>
      <c r="L577" s="837" t="s">
        <v>540</v>
      </c>
      <c r="M577" s="35" t="s">
        <v>584</v>
      </c>
      <c r="N577" s="35" t="s">
        <v>584</v>
      </c>
      <c r="O577" s="35" t="s">
        <v>584</v>
      </c>
      <c r="P577" s="35" t="s">
        <v>626</v>
      </c>
      <c r="Q577" s="909" t="s">
        <v>626</v>
      </c>
      <c r="R577" s="65" t="s">
        <v>543</v>
      </c>
      <c r="S577" s="65" t="s">
        <v>858</v>
      </c>
      <c r="T577" s="833">
        <v>3080</v>
      </c>
      <c r="U577" s="833">
        <v>3100</v>
      </c>
      <c r="V577" s="833">
        <v>3140</v>
      </c>
      <c r="W577" s="820">
        <v>3050</v>
      </c>
      <c r="X577" s="838">
        <v>3140</v>
      </c>
      <c r="Y577" s="838">
        <v>3540</v>
      </c>
      <c r="Z577" s="838">
        <v>4140</v>
      </c>
      <c r="AA577" s="930">
        <v>4270</v>
      </c>
      <c r="AB577" s="838">
        <v>3480</v>
      </c>
      <c r="AC577" s="888">
        <v>3440</v>
      </c>
      <c r="AD577" s="749">
        <v>3790</v>
      </c>
      <c r="AE577" s="36" t="s">
        <v>229</v>
      </c>
      <c r="AF577" s="213">
        <v>13640</v>
      </c>
      <c r="AG577" s="315">
        <v>0.27785923753665687</v>
      </c>
      <c r="AH577" s="83" t="s">
        <v>97</v>
      </c>
      <c r="AI577" s="120">
        <v>250</v>
      </c>
      <c r="AJ577" s="120">
        <v>330</v>
      </c>
      <c r="AK577" s="316">
        <v>1230</v>
      </c>
      <c r="AL577" s="832">
        <f t="shared" si="26"/>
        <v>4548</v>
      </c>
      <c r="AM577" s="121">
        <v>2</v>
      </c>
    </row>
    <row r="578" spans="1:39" ht="15" thickBot="1" x14ac:dyDescent="0.35">
      <c r="A578" s="88">
        <v>1172</v>
      </c>
      <c r="B578" s="88">
        <v>956</v>
      </c>
      <c r="C578" s="346" t="s">
        <v>1353</v>
      </c>
      <c r="D578" s="296" t="s">
        <v>592</v>
      </c>
      <c r="E578" s="162" t="s">
        <v>1358</v>
      </c>
      <c r="F578" s="803">
        <v>1867</v>
      </c>
      <c r="G578" s="803" t="s">
        <v>539</v>
      </c>
      <c r="H578" s="163" t="s">
        <v>73</v>
      </c>
      <c r="I578" s="164">
        <v>0.85</v>
      </c>
      <c r="J578" s="803" t="s">
        <v>237</v>
      </c>
      <c r="K578" s="291" t="s">
        <v>75</v>
      </c>
      <c r="L578" s="845" t="s">
        <v>540</v>
      </c>
      <c r="M578" s="457" t="s">
        <v>584</v>
      </c>
      <c r="N578" s="166" t="s">
        <v>584</v>
      </c>
      <c r="O578" s="166" t="s">
        <v>584</v>
      </c>
      <c r="P578" s="166" t="s">
        <v>542</v>
      </c>
      <c r="Q578" s="975" t="s">
        <v>542</v>
      </c>
      <c r="R578" s="215" t="s">
        <v>543</v>
      </c>
      <c r="S578" s="297" t="s">
        <v>858</v>
      </c>
      <c r="T578" s="846">
        <v>4090</v>
      </c>
      <c r="U578" s="846">
        <v>3890</v>
      </c>
      <c r="V578" s="846">
        <v>3910</v>
      </c>
      <c r="W578" s="847">
        <v>3890</v>
      </c>
      <c r="X578" s="761">
        <v>3970</v>
      </c>
      <c r="Y578" s="761">
        <v>4300</v>
      </c>
      <c r="Z578" s="761">
        <v>4930</v>
      </c>
      <c r="AA578" s="927">
        <v>4900</v>
      </c>
      <c r="AB578" s="761">
        <v>4250</v>
      </c>
      <c r="AC578" s="880">
        <v>4390</v>
      </c>
      <c r="AD578" s="752">
        <v>4870</v>
      </c>
      <c r="AE578" s="233" t="s">
        <v>229</v>
      </c>
      <c r="AF578" s="326">
        <v>13640</v>
      </c>
      <c r="AG578" s="172">
        <v>0.35703812316715544</v>
      </c>
      <c r="AH578" s="170" t="s">
        <v>97</v>
      </c>
      <c r="AI578" s="169">
        <v>350</v>
      </c>
      <c r="AJ578" s="169">
        <v>390</v>
      </c>
      <c r="AK578" s="169">
        <v>1020</v>
      </c>
      <c r="AL578" s="881">
        <f t="shared" si="26"/>
        <v>4139.5</v>
      </c>
      <c r="AM578" s="174">
        <v>2</v>
      </c>
    </row>
    <row r="579" spans="1:39" x14ac:dyDescent="0.3">
      <c r="A579" s="651"/>
      <c r="B579" s="651"/>
      <c r="C579" s="318" t="s">
        <v>1359</v>
      </c>
      <c r="D579" s="652"/>
      <c r="E579" s="653" t="s">
        <v>1360</v>
      </c>
      <c r="F579" s="654" t="s">
        <v>1361</v>
      </c>
      <c r="G579" s="813" t="s">
        <v>539</v>
      </c>
      <c r="H579" s="655" t="s">
        <v>1362</v>
      </c>
      <c r="I579" s="656">
        <v>1.2</v>
      </c>
      <c r="J579" s="813">
        <v>35</v>
      </c>
      <c r="K579" s="657"/>
      <c r="L579" s="1036"/>
      <c r="M579" s="658"/>
      <c r="N579" s="659"/>
      <c r="O579" s="659"/>
      <c r="P579" s="659"/>
      <c r="Q579" s="634" t="s">
        <v>163</v>
      </c>
      <c r="R579" s="660"/>
      <c r="S579" s="661" t="s">
        <v>872</v>
      </c>
      <c r="T579" s="662"/>
      <c r="U579" s="662"/>
      <c r="V579" s="662"/>
      <c r="W579" s="663"/>
      <c r="X579" s="886"/>
      <c r="Y579" s="886"/>
      <c r="Z579" s="886"/>
      <c r="AA579" s="1037"/>
      <c r="AB579" s="886"/>
      <c r="AC579" s="887"/>
      <c r="AD579" s="753" t="s">
        <v>81</v>
      </c>
      <c r="AE579" s="664" t="s">
        <v>229</v>
      </c>
      <c r="AF579" s="78">
        <v>75300</v>
      </c>
      <c r="AG579" s="132" t="s">
        <v>81</v>
      </c>
      <c r="AH579" s="132" t="s">
        <v>81</v>
      </c>
      <c r="AI579" s="132" t="s">
        <v>81</v>
      </c>
      <c r="AJ579" s="132" t="s">
        <v>81</v>
      </c>
      <c r="AK579" s="181">
        <v>6780</v>
      </c>
      <c r="AL579" s="998" t="e">
        <f t="shared" si="26"/>
        <v>#VALUE!</v>
      </c>
      <c r="AM579" s="122">
        <v>4</v>
      </c>
    </row>
    <row r="580" spans="1:39" x14ac:dyDescent="0.3">
      <c r="A580" s="665"/>
      <c r="B580" s="665"/>
      <c r="C580" s="318" t="s">
        <v>1359</v>
      </c>
      <c r="D580" s="652"/>
      <c r="E580" s="666" t="s">
        <v>1363</v>
      </c>
      <c r="F580" s="667" t="s">
        <v>1025</v>
      </c>
      <c r="G580" s="668" t="s">
        <v>539</v>
      </c>
      <c r="H580" s="669" t="s">
        <v>1075</v>
      </c>
      <c r="I580" s="501">
        <v>1.7</v>
      </c>
      <c r="J580" s="814">
        <v>45</v>
      </c>
      <c r="K580" s="657"/>
      <c r="L580" s="1036"/>
      <c r="M580" s="658"/>
      <c r="N580" s="659"/>
      <c r="O580" s="659"/>
      <c r="P580" s="659"/>
      <c r="Q580" s="314" t="s">
        <v>573</v>
      </c>
      <c r="R580" s="660"/>
      <c r="S580" s="670" t="s">
        <v>1364</v>
      </c>
      <c r="T580" s="671"/>
      <c r="U580" s="671"/>
      <c r="V580" s="671"/>
      <c r="W580" s="672"/>
      <c r="X580" s="749"/>
      <c r="Y580" s="749"/>
      <c r="Z580" s="749"/>
      <c r="AA580" s="967"/>
      <c r="AB580" s="749"/>
      <c r="AC580" s="964"/>
      <c r="AD580" s="792" t="s">
        <v>81</v>
      </c>
      <c r="AE580" s="411" t="s">
        <v>229</v>
      </c>
      <c r="AF580" s="569">
        <v>34230</v>
      </c>
      <c r="AG580" s="84" t="s">
        <v>81</v>
      </c>
      <c r="AH580" s="84" t="s">
        <v>81</v>
      </c>
      <c r="AI580" s="84" t="s">
        <v>81</v>
      </c>
      <c r="AJ580" s="84" t="s">
        <v>81</v>
      </c>
      <c r="AK580" s="316">
        <v>3080</v>
      </c>
      <c r="AL580" s="998" t="e">
        <f t="shared" si="26"/>
        <v>#VALUE!</v>
      </c>
      <c r="AM580" s="182">
        <v>2</v>
      </c>
    </row>
    <row r="581" spans="1:39" x14ac:dyDescent="0.3">
      <c r="A581" s="103">
        <v>1178</v>
      </c>
      <c r="B581" s="103">
        <v>961</v>
      </c>
      <c r="C581" s="318" t="s">
        <v>1359</v>
      </c>
      <c r="D581" s="188" t="s">
        <v>639</v>
      </c>
      <c r="E581" s="673" t="s">
        <v>1365</v>
      </c>
      <c r="F581" s="809">
        <v>1880</v>
      </c>
      <c r="G581" s="809" t="s">
        <v>539</v>
      </c>
      <c r="H581" s="190" t="s">
        <v>1075</v>
      </c>
      <c r="I581" s="674">
        <v>0.45</v>
      </c>
      <c r="J581" s="809" t="s">
        <v>237</v>
      </c>
      <c r="K581" s="200" t="s">
        <v>104</v>
      </c>
      <c r="L581" s="830" t="s">
        <v>583</v>
      </c>
      <c r="M581" s="105" t="s">
        <v>584</v>
      </c>
      <c r="N581" s="105" t="s">
        <v>584</v>
      </c>
      <c r="O581" s="105" t="s">
        <v>584</v>
      </c>
      <c r="P581" s="105" t="s">
        <v>542</v>
      </c>
      <c r="Q581" s="975" t="s">
        <v>542</v>
      </c>
      <c r="R581" s="200" t="s">
        <v>556</v>
      </c>
      <c r="S581" s="632" t="s">
        <v>1366</v>
      </c>
      <c r="T581" s="756">
        <v>770</v>
      </c>
      <c r="U581" s="756">
        <v>680</v>
      </c>
      <c r="V581" s="756">
        <v>740</v>
      </c>
      <c r="W581" s="1038">
        <v>750</v>
      </c>
      <c r="X581" s="754">
        <v>760</v>
      </c>
      <c r="Y581" s="754">
        <v>610</v>
      </c>
      <c r="Z581" s="754">
        <v>550</v>
      </c>
      <c r="AA581" s="1039">
        <v>850</v>
      </c>
      <c r="AB581" s="754">
        <v>910</v>
      </c>
      <c r="AC581" s="884">
        <v>700</v>
      </c>
      <c r="AD581" s="748">
        <v>770</v>
      </c>
      <c r="AE581" s="140" t="s">
        <v>229</v>
      </c>
      <c r="AF581" s="194">
        <v>13640</v>
      </c>
      <c r="AG581" s="303">
        <v>5.6451612903225805E-2</v>
      </c>
      <c r="AH581" s="80" t="s">
        <v>97</v>
      </c>
      <c r="AI581" s="115">
        <v>60</v>
      </c>
      <c r="AJ581" s="115">
        <v>70</v>
      </c>
      <c r="AK581" s="115">
        <v>1020</v>
      </c>
      <c r="AL581" s="832">
        <f t="shared" si="26"/>
        <v>346.5</v>
      </c>
      <c r="AM581" s="201">
        <v>2</v>
      </c>
    </row>
    <row r="582" spans="1:39" x14ac:dyDescent="0.3">
      <c r="A582" s="33">
        <v>1177</v>
      </c>
      <c r="B582" s="500">
        <v>960</v>
      </c>
      <c r="C582" s="300" t="s">
        <v>1359</v>
      </c>
      <c r="D582" s="301" t="s">
        <v>837</v>
      </c>
      <c r="E582" s="675" t="s">
        <v>1367</v>
      </c>
      <c r="F582" s="814">
        <v>1881</v>
      </c>
      <c r="G582" s="814" t="s">
        <v>539</v>
      </c>
      <c r="H582" s="411" t="s">
        <v>73</v>
      </c>
      <c r="I582" s="676">
        <v>0.5</v>
      </c>
      <c r="J582" s="814" t="s">
        <v>158</v>
      </c>
      <c r="K582" s="321" t="s">
        <v>104</v>
      </c>
      <c r="L582" s="835" t="s">
        <v>583</v>
      </c>
      <c r="M582" s="54" t="s">
        <v>587</v>
      </c>
      <c r="N582" s="51" t="s">
        <v>587</v>
      </c>
      <c r="O582" s="51" t="s">
        <v>587</v>
      </c>
      <c r="P582" s="54" t="s">
        <v>637</v>
      </c>
      <c r="Q582" s="410" t="s">
        <v>637</v>
      </c>
      <c r="R582" s="52" t="s">
        <v>543</v>
      </c>
      <c r="S582" s="677" t="s">
        <v>872</v>
      </c>
      <c r="T582" s="1040">
        <v>12880</v>
      </c>
      <c r="U582" s="1040">
        <v>13400</v>
      </c>
      <c r="V582" s="1040">
        <v>12670</v>
      </c>
      <c r="W582" s="1041">
        <v>11610</v>
      </c>
      <c r="X582" s="749">
        <v>13150</v>
      </c>
      <c r="Y582" s="749">
        <v>13280</v>
      </c>
      <c r="Z582" s="749">
        <v>14720</v>
      </c>
      <c r="AA582" s="967">
        <v>11520</v>
      </c>
      <c r="AB582" s="749">
        <v>10760</v>
      </c>
      <c r="AC582" s="964">
        <v>9740</v>
      </c>
      <c r="AD582" s="749">
        <v>10940</v>
      </c>
      <c r="AE582" s="411" t="s">
        <v>229</v>
      </c>
      <c r="AF582" s="213">
        <v>37970</v>
      </c>
      <c r="AG582" s="315">
        <v>0.2881222017382144</v>
      </c>
      <c r="AH582" s="83" t="s">
        <v>97</v>
      </c>
      <c r="AI582" s="120">
        <v>1060</v>
      </c>
      <c r="AJ582" s="120">
        <v>940</v>
      </c>
      <c r="AK582" s="316">
        <v>3410</v>
      </c>
      <c r="AL582" s="832">
        <f t="shared" si="26"/>
        <v>5470</v>
      </c>
      <c r="AM582" s="122">
        <v>4</v>
      </c>
    </row>
    <row r="583" spans="1:39" x14ac:dyDescent="0.3">
      <c r="A583" s="33">
        <v>1176</v>
      </c>
      <c r="B583" s="33">
        <v>959</v>
      </c>
      <c r="C583" s="300" t="s">
        <v>1359</v>
      </c>
      <c r="D583" s="301" t="s">
        <v>1368</v>
      </c>
      <c r="E583" s="678" t="s">
        <v>1369</v>
      </c>
      <c r="F583" s="809">
        <v>1882</v>
      </c>
      <c r="G583" s="809" t="s">
        <v>539</v>
      </c>
      <c r="H583" s="140" t="s">
        <v>73</v>
      </c>
      <c r="I583" s="601">
        <v>0.9</v>
      </c>
      <c r="J583" s="809" t="s">
        <v>158</v>
      </c>
      <c r="K583" s="324" t="s">
        <v>104</v>
      </c>
      <c r="L583" s="837" t="s">
        <v>583</v>
      </c>
      <c r="M583" s="35" t="s">
        <v>587</v>
      </c>
      <c r="N583" s="35" t="s">
        <v>587</v>
      </c>
      <c r="O583" s="35" t="s">
        <v>587</v>
      </c>
      <c r="P583" s="35" t="s">
        <v>629</v>
      </c>
      <c r="Q583" s="310" t="s">
        <v>629</v>
      </c>
      <c r="R583" s="65" t="s">
        <v>543</v>
      </c>
      <c r="S583" s="661" t="s">
        <v>872</v>
      </c>
      <c r="T583" s="756">
        <v>8000</v>
      </c>
      <c r="U583" s="756">
        <v>8280</v>
      </c>
      <c r="V583" s="756">
        <v>7870</v>
      </c>
      <c r="W583" s="1014">
        <v>6920</v>
      </c>
      <c r="X583" s="748">
        <v>8390</v>
      </c>
      <c r="Y583" s="748">
        <v>9900</v>
      </c>
      <c r="Z583" s="748">
        <v>10810</v>
      </c>
      <c r="AA583" s="965">
        <v>10290</v>
      </c>
      <c r="AB583" s="748">
        <v>9520</v>
      </c>
      <c r="AC583" s="884">
        <v>9900</v>
      </c>
      <c r="AD583" s="748">
        <v>11220</v>
      </c>
      <c r="AE583" s="140" t="s">
        <v>229</v>
      </c>
      <c r="AF583" s="194">
        <v>17050</v>
      </c>
      <c r="AG583" s="303">
        <v>0.65806451612903227</v>
      </c>
      <c r="AH583" s="80" t="s">
        <v>97</v>
      </c>
      <c r="AI583" s="115">
        <v>1120</v>
      </c>
      <c r="AJ583" s="115">
        <v>960</v>
      </c>
      <c r="AK583" s="304">
        <v>1540</v>
      </c>
      <c r="AL583" s="832">
        <f t="shared" si="26"/>
        <v>10098</v>
      </c>
      <c r="AM583" s="121">
        <v>2</v>
      </c>
    </row>
    <row r="584" spans="1:39" ht="15" thickBot="1" x14ac:dyDescent="0.35">
      <c r="A584" s="88">
        <v>1175</v>
      </c>
      <c r="B584" s="679">
        <v>958</v>
      </c>
      <c r="C584" s="346" t="s">
        <v>1359</v>
      </c>
      <c r="D584" s="296" t="s">
        <v>1370</v>
      </c>
      <c r="E584" s="680" t="s">
        <v>1371</v>
      </c>
      <c r="F584" s="815">
        <v>1883</v>
      </c>
      <c r="G584" s="815" t="s">
        <v>539</v>
      </c>
      <c r="H584" s="246" t="s">
        <v>73</v>
      </c>
      <c r="I584" s="681">
        <v>4.2</v>
      </c>
      <c r="J584" s="815" t="s">
        <v>158</v>
      </c>
      <c r="K584" s="291" t="s">
        <v>104</v>
      </c>
      <c r="L584" s="845" t="s">
        <v>583</v>
      </c>
      <c r="M584" s="457" t="s">
        <v>653</v>
      </c>
      <c r="N584" s="166" t="s">
        <v>653</v>
      </c>
      <c r="O584" s="166" t="s">
        <v>653</v>
      </c>
      <c r="P584" s="457" t="s">
        <v>626</v>
      </c>
      <c r="Q584" s="909" t="s">
        <v>626</v>
      </c>
      <c r="R584" s="163" t="s">
        <v>556</v>
      </c>
      <c r="S584" s="682" t="s">
        <v>549</v>
      </c>
      <c r="T584" s="768">
        <v>1750</v>
      </c>
      <c r="U584" s="768">
        <v>1780</v>
      </c>
      <c r="V584" s="768">
        <v>1850</v>
      </c>
      <c r="W584" s="974">
        <v>1860</v>
      </c>
      <c r="X584" s="750">
        <v>1950</v>
      </c>
      <c r="Y584" s="750">
        <v>2230</v>
      </c>
      <c r="Z584" s="750">
        <v>2730</v>
      </c>
      <c r="AA584" s="970">
        <v>2220</v>
      </c>
      <c r="AB584" s="750">
        <v>2100</v>
      </c>
      <c r="AC584" s="972">
        <v>2220</v>
      </c>
      <c r="AD584" s="750">
        <v>2380</v>
      </c>
      <c r="AE584" s="246" t="s">
        <v>229</v>
      </c>
      <c r="AF584" s="241">
        <v>13640</v>
      </c>
      <c r="AG584" s="147">
        <v>0.1744868035190616</v>
      </c>
      <c r="AH584" s="100" t="s">
        <v>97</v>
      </c>
      <c r="AI584" s="126">
        <v>230</v>
      </c>
      <c r="AJ584" s="126">
        <v>210</v>
      </c>
      <c r="AK584" s="308">
        <v>1230</v>
      </c>
      <c r="AL584" s="758"/>
      <c r="AM584" s="174">
        <v>2</v>
      </c>
    </row>
    <row r="585" spans="1:39" ht="15" thickBot="1" x14ac:dyDescent="0.35">
      <c r="A585" s="327">
        <v>1180</v>
      </c>
      <c r="B585" s="683">
        <v>963</v>
      </c>
      <c r="C585" s="684" t="s">
        <v>1372</v>
      </c>
      <c r="D585" s="329" t="s">
        <v>1146</v>
      </c>
      <c r="E585" s="685" t="s">
        <v>1147</v>
      </c>
      <c r="F585" s="816">
        <v>1890</v>
      </c>
      <c r="G585" s="816" t="s">
        <v>539</v>
      </c>
      <c r="H585" s="210"/>
      <c r="I585" s="686">
        <v>0.2</v>
      </c>
      <c r="J585" s="816" t="s">
        <v>799</v>
      </c>
      <c r="K585" s="332" t="s">
        <v>75</v>
      </c>
      <c r="L585" s="891" t="s">
        <v>583</v>
      </c>
      <c r="M585" s="891" t="s">
        <v>541</v>
      </c>
      <c r="N585" s="891" t="s">
        <v>541</v>
      </c>
      <c r="O585" s="891" t="s">
        <v>541</v>
      </c>
      <c r="P585" s="891" t="s">
        <v>542</v>
      </c>
      <c r="Q585" s="975" t="s">
        <v>542</v>
      </c>
      <c r="R585" s="391" t="s">
        <v>556</v>
      </c>
      <c r="S585" s="535" t="s">
        <v>549</v>
      </c>
      <c r="T585" s="776">
        <v>630</v>
      </c>
      <c r="U585" s="776">
        <v>630</v>
      </c>
      <c r="V585" s="776">
        <v>550</v>
      </c>
      <c r="W585" s="868">
        <v>600</v>
      </c>
      <c r="X585" s="1042" t="s">
        <v>81</v>
      </c>
      <c r="Y585" s="1042" t="s">
        <v>81</v>
      </c>
      <c r="Z585" s="1042" t="s">
        <v>81</v>
      </c>
      <c r="AA585" s="1042" t="s">
        <v>81</v>
      </c>
      <c r="AB585" s="585" t="s">
        <v>81</v>
      </c>
      <c r="AC585" s="585" t="s">
        <v>81</v>
      </c>
      <c r="AD585" s="585" t="s">
        <v>81</v>
      </c>
      <c r="AE585" s="550" t="s">
        <v>229</v>
      </c>
      <c r="AF585" s="481">
        <v>13640</v>
      </c>
      <c r="AG585" s="585" t="s">
        <v>81</v>
      </c>
      <c r="AH585" s="585" t="s">
        <v>81</v>
      </c>
      <c r="AI585" s="585" t="s">
        <v>81</v>
      </c>
      <c r="AJ585" s="585" t="s">
        <v>81</v>
      </c>
      <c r="AK585" s="282">
        <v>1020</v>
      </c>
      <c r="AL585" s="1043"/>
      <c r="AM585" s="337">
        <v>2</v>
      </c>
    </row>
    <row r="586" spans="1:39" x14ac:dyDescent="0.3">
      <c r="A586" s="103">
        <v>1191</v>
      </c>
      <c r="B586" s="103">
        <v>967</v>
      </c>
      <c r="C586" s="318" t="s">
        <v>1373</v>
      </c>
      <c r="D586" s="472"/>
      <c r="E586" s="189" t="s">
        <v>1374</v>
      </c>
      <c r="F586" s="804">
        <v>1920</v>
      </c>
      <c r="G586" s="804" t="s">
        <v>539</v>
      </c>
      <c r="H586" s="131" t="s">
        <v>73</v>
      </c>
      <c r="I586" s="178">
        <v>2.5</v>
      </c>
      <c r="J586" s="804" t="s">
        <v>237</v>
      </c>
      <c r="K586" s="340" t="s">
        <v>104</v>
      </c>
      <c r="L586" s="843" t="s">
        <v>367</v>
      </c>
      <c r="M586" s="848" t="s">
        <v>367</v>
      </c>
      <c r="N586" s="843" t="s">
        <v>367</v>
      </c>
      <c r="O586" s="843" t="s">
        <v>367</v>
      </c>
      <c r="P586" s="843" t="s">
        <v>367</v>
      </c>
      <c r="Q586" s="895" t="s">
        <v>367</v>
      </c>
      <c r="R586" s="131" t="s">
        <v>556</v>
      </c>
      <c r="S586" s="484" t="s">
        <v>549</v>
      </c>
      <c r="T586" s="57">
        <v>270</v>
      </c>
      <c r="U586" s="57">
        <v>220</v>
      </c>
      <c r="V586" s="57">
        <v>230</v>
      </c>
      <c r="W586" s="836">
        <v>240</v>
      </c>
      <c r="X586" s="759">
        <v>280</v>
      </c>
      <c r="Y586" s="759">
        <v>310</v>
      </c>
      <c r="Z586" s="759">
        <v>290</v>
      </c>
      <c r="AA586" s="929">
        <v>300</v>
      </c>
      <c r="AB586" s="886">
        <v>330</v>
      </c>
      <c r="AC586" s="887">
        <v>170</v>
      </c>
      <c r="AD586" s="754">
        <v>300</v>
      </c>
      <c r="AE586" s="190" t="s">
        <v>97</v>
      </c>
      <c r="AF586" s="78">
        <v>6450</v>
      </c>
      <c r="AG586" s="79">
        <v>4.6511627906976744E-2</v>
      </c>
      <c r="AH586" s="86" t="s">
        <v>1524</v>
      </c>
      <c r="AI586" s="181">
        <v>20</v>
      </c>
      <c r="AJ586" s="181">
        <v>30</v>
      </c>
      <c r="AK586" s="473">
        <v>620</v>
      </c>
      <c r="AL586" s="754"/>
      <c r="AM586" s="182">
        <v>2</v>
      </c>
    </row>
    <row r="587" spans="1:39" ht="15" thickBot="1" x14ac:dyDescent="0.35">
      <c r="A587" s="33">
        <v>1192</v>
      </c>
      <c r="B587" s="33">
        <v>968</v>
      </c>
      <c r="C587" s="300" t="s">
        <v>1373</v>
      </c>
      <c r="D587" s="301" t="s">
        <v>1375</v>
      </c>
      <c r="E587" s="64" t="s">
        <v>1376</v>
      </c>
      <c r="F587" s="799">
        <v>1921</v>
      </c>
      <c r="G587" s="799" t="s">
        <v>539</v>
      </c>
      <c r="H587" s="36" t="s">
        <v>73</v>
      </c>
      <c r="I587" s="37">
        <v>1.4</v>
      </c>
      <c r="J587" s="799" t="s">
        <v>140</v>
      </c>
      <c r="K587" s="324" t="s">
        <v>104</v>
      </c>
      <c r="L587" s="837" t="s">
        <v>540</v>
      </c>
      <c r="M587" s="35" t="s">
        <v>653</v>
      </c>
      <c r="N587" s="35" t="s">
        <v>653</v>
      </c>
      <c r="O587" s="35" t="s">
        <v>653</v>
      </c>
      <c r="P587" s="54" t="s">
        <v>626</v>
      </c>
      <c r="Q587" s="909" t="s">
        <v>626</v>
      </c>
      <c r="R587" s="39" t="s">
        <v>1377</v>
      </c>
      <c r="S587" s="106" t="s">
        <v>1246</v>
      </c>
      <c r="T587" s="833">
        <v>460</v>
      </c>
      <c r="U587" s="833">
        <v>420</v>
      </c>
      <c r="V587" s="833">
        <v>480</v>
      </c>
      <c r="W587" s="820">
        <v>460</v>
      </c>
      <c r="X587" s="838">
        <v>530</v>
      </c>
      <c r="Y587" s="838">
        <v>560</v>
      </c>
      <c r="Z587" s="838">
        <v>530</v>
      </c>
      <c r="AA587" s="930">
        <v>530</v>
      </c>
      <c r="AB587" s="838">
        <v>620</v>
      </c>
      <c r="AC587" s="888">
        <v>560</v>
      </c>
      <c r="AD587" s="749">
        <v>710</v>
      </c>
      <c r="AE587" s="36" t="s">
        <v>229</v>
      </c>
      <c r="AF587" s="213">
        <v>13640</v>
      </c>
      <c r="AG587" s="315">
        <v>5.2052785923753668E-2</v>
      </c>
      <c r="AH587" s="83" t="s">
        <v>97</v>
      </c>
      <c r="AI587" s="120">
        <v>50</v>
      </c>
      <c r="AJ587" s="120">
        <v>70</v>
      </c>
      <c r="AK587" s="316">
        <v>1230</v>
      </c>
      <c r="AL587" s="832">
        <f t="shared" ref="AL587:AL594" si="27">IF(AD587&gt;0,AD587*$I587,"-")</f>
        <v>993.99999999999989</v>
      </c>
      <c r="AM587" s="121">
        <v>2</v>
      </c>
    </row>
    <row r="588" spans="1:39" ht="15" thickBot="1" x14ac:dyDescent="0.35">
      <c r="A588" s="88">
        <v>1193</v>
      </c>
      <c r="B588" s="88">
        <v>969</v>
      </c>
      <c r="C588" s="346" t="s">
        <v>1373</v>
      </c>
      <c r="D588" s="296" t="s">
        <v>592</v>
      </c>
      <c r="E588" s="162" t="s">
        <v>1378</v>
      </c>
      <c r="F588" s="803">
        <v>1922</v>
      </c>
      <c r="G588" s="803" t="s">
        <v>539</v>
      </c>
      <c r="H588" s="163" t="s">
        <v>73</v>
      </c>
      <c r="I588" s="164">
        <v>0.5</v>
      </c>
      <c r="J588" s="803" t="s">
        <v>154</v>
      </c>
      <c r="K588" s="291" t="s">
        <v>75</v>
      </c>
      <c r="L588" s="845" t="s">
        <v>540</v>
      </c>
      <c r="M588" s="457" t="s">
        <v>584</v>
      </c>
      <c r="N588" s="166" t="s">
        <v>584</v>
      </c>
      <c r="O588" s="166" t="s">
        <v>584</v>
      </c>
      <c r="P588" s="166" t="s">
        <v>542</v>
      </c>
      <c r="Q588" s="975" t="s">
        <v>542</v>
      </c>
      <c r="R588" s="217" t="s">
        <v>1256</v>
      </c>
      <c r="S588" s="297" t="s">
        <v>858</v>
      </c>
      <c r="T588" s="846">
        <v>1860</v>
      </c>
      <c r="U588" s="846">
        <v>1840</v>
      </c>
      <c r="V588" s="846">
        <v>1930</v>
      </c>
      <c r="W588" s="847">
        <v>1800</v>
      </c>
      <c r="X588" s="761">
        <v>1920</v>
      </c>
      <c r="Y588" s="761">
        <v>1790</v>
      </c>
      <c r="Z588" s="761">
        <v>1730</v>
      </c>
      <c r="AA588" s="927">
        <v>2130</v>
      </c>
      <c r="AB588" s="761">
        <v>2040</v>
      </c>
      <c r="AC588" s="880">
        <v>2030</v>
      </c>
      <c r="AD588" s="752">
        <v>2220</v>
      </c>
      <c r="AE588" s="233" t="s">
        <v>229</v>
      </c>
      <c r="AF588" s="326">
        <v>13640</v>
      </c>
      <c r="AG588" s="172">
        <v>0.1627565982404692</v>
      </c>
      <c r="AH588" s="170" t="s">
        <v>97</v>
      </c>
      <c r="AI588" s="169">
        <v>170</v>
      </c>
      <c r="AJ588" s="169">
        <v>190</v>
      </c>
      <c r="AK588" s="169">
        <v>1020</v>
      </c>
      <c r="AL588" s="881">
        <f t="shared" si="27"/>
        <v>1110</v>
      </c>
      <c r="AM588" s="174">
        <v>2</v>
      </c>
    </row>
    <row r="589" spans="1:39" x14ac:dyDescent="0.3">
      <c r="A589" s="299">
        <v>1196</v>
      </c>
      <c r="B589" s="299">
        <v>971</v>
      </c>
      <c r="C589" s="521" t="s">
        <v>1379</v>
      </c>
      <c r="D589" s="293" t="s">
        <v>1380</v>
      </c>
      <c r="E589" s="105" t="s">
        <v>1381</v>
      </c>
      <c r="F589" s="802">
        <v>1931</v>
      </c>
      <c r="G589" s="802" t="s">
        <v>539</v>
      </c>
      <c r="H589" s="200"/>
      <c r="I589" s="107">
        <v>0.2</v>
      </c>
      <c r="J589" s="802" t="s">
        <v>237</v>
      </c>
      <c r="K589" s="284" t="s">
        <v>75</v>
      </c>
      <c r="L589" s="830" t="s">
        <v>540</v>
      </c>
      <c r="M589" s="105" t="s">
        <v>584</v>
      </c>
      <c r="N589" s="105" t="s">
        <v>584</v>
      </c>
      <c r="O589" s="105" t="s">
        <v>584</v>
      </c>
      <c r="P589" s="105" t="s">
        <v>542</v>
      </c>
      <c r="Q589" s="975" t="s">
        <v>542</v>
      </c>
      <c r="R589" s="106" t="s">
        <v>543</v>
      </c>
      <c r="S589" s="108" t="s">
        <v>872</v>
      </c>
      <c r="T589" s="833">
        <v>3940</v>
      </c>
      <c r="U589" s="833">
        <v>3670</v>
      </c>
      <c r="V589" s="833">
        <v>3560</v>
      </c>
      <c r="W589" s="831">
        <v>3730</v>
      </c>
      <c r="X589" s="924" t="s">
        <v>81</v>
      </c>
      <c r="Y589" s="844">
        <v>6160</v>
      </c>
      <c r="Z589" s="844">
        <v>4270</v>
      </c>
      <c r="AA589" s="925">
        <v>3850</v>
      </c>
      <c r="AB589" s="873">
        <v>3770</v>
      </c>
      <c r="AC589" s="878">
        <v>3230</v>
      </c>
      <c r="AD589" s="751">
        <v>3700</v>
      </c>
      <c r="AE589" s="200" t="s">
        <v>229</v>
      </c>
      <c r="AF589" s="477">
        <v>13640</v>
      </c>
      <c r="AG589" s="82">
        <v>0.27126099706744866</v>
      </c>
      <c r="AH589" s="287" t="s">
        <v>97</v>
      </c>
      <c r="AI589" s="288">
        <v>220</v>
      </c>
      <c r="AJ589" s="288">
        <v>320</v>
      </c>
      <c r="AK589" s="288">
        <v>1020</v>
      </c>
      <c r="AL589" s="832">
        <f t="shared" si="27"/>
        <v>740</v>
      </c>
      <c r="AM589" s="201">
        <v>2</v>
      </c>
    </row>
    <row r="590" spans="1:39" x14ac:dyDescent="0.3">
      <c r="A590" s="33">
        <v>1198</v>
      </c>
      <c r="B590" s="33">
        <v>973</v>
      </c>
      <c r="C590" s="381" t="s">
        <v>1379</v>
      </c>
      <c r="D590" s="301" t="s">
        <v>1096</v>
      </c>
      <c r="E590" s="70" t="s">
        <v>428</v>
      </c>
      <c r="F590" s="800">
        <v>1933</v>
      </c>
      <c r="G590" s="800" t="s">
        <v>539</v>
      </c>
      <c r="H590" s="52"/>
      <c r="I590" s="72">
        <v>1</v>
      </c>
      <c r="J590" s="800" t="s">
        <v>237</v>
      </c>
      <c r="K590" s="302" t="s">
        <v>75</v>
      </c>
      <c r="L590" s="835" t="s">
        <v>540</v>
      </c>
      <c r="M590" s="51" t="s">
        <v>584</v>
      </c>
      <c r="N590" s="51" t="s">
        <v>584</v>
      </c>
      <c r="O590" s="51" t="s">
        <v>584</v>
      </c>
      <c r="P590" s="51" t="s">
        <v>542</v>
      </c>
      <c r="Q590" s="975" t="s">
        <v>542</v>
      </c>
      <c r="R590" s="52" t="s">
        <v>543</v>
      </c>
      <c r="S590" s="55" t="s">
        <v>872</v>
      </c>
      <c r="T590" s="825">
        <v>3060</v>
      </c>
      <c r="U590" s="825">
        <v>3000</v>
      </c>
      <c r="V590" s="825">
        <v>2780</v>
      </c>
      <c r="W590" s="822">
        <v>3270</v>
      </c>
      <c r="X590" s="913" t="s">
        <v>81</v>
      </c>
      <c r="Y590" s="760">
        <v>3260</v>
      </c>
      <c r="Z590" s="760">
        <v>3310</v>
      </c>
      <c r="AA590" s="931">
        <v>4280</v>
      </c>
      <c r="AB590" s="760">
        <v>3900</v>
      </c>
      <c r="AC590" s="884">
        <v>3150</v>
      </c>
      <c r="AD590" s="748">
        <v>3580</v>
      </c>
      <c r="AE590" s="80" t="s">
        <v>229</v>
      </c>
      <c r="AF590" s="194">
        <v>13640</v>
      </c>
      <c r="AG590" s="303">
        <v>0.26246334310850439</v>
      </c>
      <c r="AH590" s="80" t="s">
        <v>97</v>
      </c>
      <c r="AI590" s="115">
        <v>280</v>
      </c>
      <c r="AJ590" s="115">
        <v>320</v>
      </c>
      <c r="AK590" s="115">
        <v>1020</v>
      </c>
      <c r="AL590" s="832">
        <f t="shared" si="27"/>
        <v>3580</v>
      </c>
      <c r="AM590" s="63">
        <v>2</v>
      </c>
    </row>
    <row r="591" spans="1:39" x14ac:dyDescent="0.3">
      <c r="A591" s="268">
        <v>1199</v>
      </c>
      <c r="B591" s="268">
        <v>974</v>
      </c>
      <c r="C591" s="380" t="s">
        <v>1379</v>
      </c>
      <c r="D591" s="351" t="s">
        <v>671</v>
      </c>
      <c r="E591" s="35" t="s">
        <v>431</v>
      </c>
      <c r="F591" s="799">
        <v>1934</v>
      </c>
      <c r="G591" s="799" t="s">
        <v>539</v>
      </c>
      <c r="H591" s="36"/>
      <c r="I591" s="37">
        <v>0.5</v>
      </c>
      <c r="J591" s="799" t="s">
        <v>154</v>
      </c>
      <c r="K591" s="324" t="s">
        <v>75</v>
      </c>
      <c r="L591" s="837" t="s">
        <v>540</v>
      </c>
      <c r="M591" s="35" t="s">
        <v>584</v>
      </c>
      <c r="N591" s="35" t="s">
        <v>584</v>
      </c>
      <c r="O591" s="35" t="s">
        <v>584</v>
      </c>
      <c r="P591" s="35" t="s">
        <v>542</v>
      </c>
      <c r="Q591" s="975" t="s">
        <v>542</v>
      </c>
      <c r="R591" s="65" t="s">
        <v>543</v>
      </c>
      <c r="S591" s="39" t="s">
        <v>872</v>
      </c>
      <c r="T591" s="833">
        <v>3030</v>
      </c>
      <c r="U591" s="833">
        <v>3070</v>
      </c>
      <c r="V591" s="833">
        <v>2790</v>
      </c>
      <c r="W591" s="820">
        <v>3370</v>
      </c>
      <c r="X591" s="934" t="s">
        <v>81</v>
      </c>
      <c r="Y591" s="838">
        <v>3190</v>
      </c>
      <c r="Z591" s="838">
        <v>3280</v>
      </c>
      <c r="AA591" s="930">
        <v>3350</v>
      </c>
      <c r="AB591" s="838">
        <v>3390</v>
      </c>
      <c r="AC591" s="888">
        <v>2950</v>
      </c>
      <c r="AD591" s="749">
        <v>3550</v>
      </c>
      <c r="AE591" s="36" t="s">
        <v>229</v>
      </c>
      <c r="AF591" s="213">
        <v>13640</v>
      </c>
      <c r="AG591" s="315">
        <v>0.26026392961876832</v>
      </c>
      <c r="AH591" s="83" t="s">
        <v>97</v>
      </c>
      <c r="AI591" s="120">
        <v>240</v>
      </c>
      <c r="AJ591" s="120">
        <v>320</v>
      </c>
      <c r="AK591" s="120">
        <v>1020</v>
      </c>
      <c r="AL591" s="832">
        <f t="shared" si="27"/>
        <v>1775</v>
      </c>
      <c r="AM591" s="121">
        <v>2</v>
      </c>
    </row>
    <row r="592" spans="1:39" ht="15" thickBot="1" x14ac:dyDescent="0.35">
      <c r="A592" s="88">
        <v>1200</v>
      </c>
      <c r="B592" s="88">
        <v>975</v>
      </c>
      <c r="C592" s="642" t="s">
        <v>1379</v>
      </c>
      <c r="D592" s="296" t="s">
        <v>1382</v>
      </c>
      <c r="E592" s="166" t="s">
        <v>1383</v>
      </c>
      <c r="F592" s="803">
        <v>1935</v>
      </c>
      <c r="G592" s="803" t="s">
        <v>539</v>
      </c>
      <c r="H592" s="215"/>
      <c r="I592" s="164">
        <v>0.5</v>
      </c>
      <c r="J592" s="803" t="s">
        <v>154</v>
      </c>
      <c r="K592" s="363" t="s">
        <v>75</v>
      </c>
      <c r="L592" s="845" t="s">
        <v>540</v>
      </c>
      <c r="M592" s="166" t="s">
        <v>584</v>
      </c>
      <c r="N592" s="166" t="s">
        <v>584</v>
      </c>
      <c r="O592" s="166" t="s">
        <v>584</v>
      </c>
      <c r="P592" s="166" t="s">
        <v>542</v>
      </c>
      <c r="Q592" s="975" t="s">
        <v>542</v>
      </c>
      <c r="R592" s="215" t="s">
        <v>543</v>
      </c>
      <c r="S592" s="217" t="s">
        <v>872</v>
      </c>
      <c r="T592" s="846">
        <v>3340</v>
      </c>
      <c r="U592" s="846">
        <v>3280</v>
      </c>
      <c r="V592" s="846">
        <v>3110</v>
      </c>
      <c r="W592" s="847">
        <v>3190</v>
      </c>
      <c r="X592" s="858">
        <v>3600</v>
      </c>
      <c r="Y592" s="761">
        <v>3580</v>
      </c>
      <c r="Z592" s="761">
        <v>3610</v>
      </c>
      <c r="AA592" s="927">
        <v>4560</v>
      </c>
      <c r="AB592" s="761">
        <v>4260</v>
      </c>
      <c r="AC592" s="880">
        <v>3830</v>
      </c>
      <c r="AD592" s="752">
        <v>4160</v>
      </c>
      <c r="AE592" s="170" t="s">
        <v>229</v>
      </c>
      <c r="AF592" s="326">
        <v>13640</v>
      </c>
      <c r="AG592" s="172">
        <v>0.30498533724340177</v>
      </c>
      <c r="AH592" s="170" t="s">
        <v>97</v>
      </c>
      <c r="AI592" s="169">
        <v>280</v>
      </c>
      <c r="AJ592" s="169">
        <v>350</v>
      </c>
      <c r="AK592" s="169">
        <v>1020</v>
      </c>
      <c r="AL592" s="829">
        <f t="shared" si="27"/>
        <v>2080</v>
      </c>
      <c r="AM592" s="219">
        <v>2</v>
      </c>
    </row>
    <row r="593" spans="1:39" ht="15" thickBot="1" x14ac:dyDescent="0.35">
      <c r="A593" s="327">
        <v>1202</v>
      </c>
      <c r="B593" s="327">
        <v>976</v>
      </c>
      <c r="C593" s="402" t="s">
        <v>1384</v>
      </c>
      <c r="D593" s="390" t="s">
        <v>1385</v>
      </c>
      <c r="E593" s="396" t="s">
        <v>1386</v>
      </c>
      <c r="F593" s="807">
        <v>1960</v>
      </c>
      <c r="G593" s="807" t="s">
        <v>539</v>
      </c>
      <c r="H593" s="391" t="s">
        <v>73</v>
      </c>
      <c r="I593" s="331">
        <v>1.2</v>
      </c>
      <c r="J593" s="807" t="s">
        <v>237</v>
      </c>
      <c r="K593" s="332" t="s">
        <v>75</v>
      </c>
      <c r="L593" s="891" t="s">
        <v>594</v>
      </c>
      <c r="M593" s="396" t="s">
        <v>1387</v>
      </c>
      <c r="N593" s="396" t="s">
        <v>1387</v>
      </c>
      <c r="O593" s="396" t="s">
        <v>1387</v>
      </c>
      <c r="P593" s="396" t="s">
        <v>764</v>
      </c>
      <c r="Q593" s="933" t="s">
        <v>764</v>
      </c>
      <c r="R593" s="543" t="s">
        <v>895</v>
      </c>
      <c r="S593" s="543" t="s">
        <v>605</v>
      </c>
      <c r="T593" s="124">
        <v>2390</v>
      </c>
      <c r="U593" s="124">
        <v>2730</v>
      </c>
      <c r="V593" s="124">
        <v>2270</v>
      </c>
      <c r="W593" s="893">
        <v>2650</v>
      </c>
      <c r="X593" s="860">
        <v>2910</v>
      </c>
      <c r="Y593" s="947">
        <v>3380</v>
      </c>
      <c r="Z593" s="860">
        <v>2890</v>
      </c>
      <c r="AA593" s="860">
        <v>3350</v>
      </c>
      <c r="AB593" s="860">
        <v>3710</v>
      </c>
      <c r="AC593" s="938">
        <v>3380</v>
      </c>
      <c r="AD593" s="780">
        <v>4290</v>
      </c>
      <c r="AE593" s="425" t="s">
        <v>97</v>
      </c>
      <c r="AF593" s="431">
        <v>11775</v>
      </c>
      <c r="AG593" s="432">
        <v>0.36433121019108278</v>
      </c>
      <c r="AH593" s="433" t="s">
        <v>1524</v>
      </c>
      <c r="AI593" s="434">
        <v>250</v>
      </c>
      <c r="AJ593" s="434">
        <v>390</v>
      </c>
      <c r="AK593" s="434">
        <v>1120</v>
      </c>
      <c r="AL593" s="949">
        <f t="shared" si="27"/>
        <v>5148</v>
      </c>
      <c r="AM593" s="337">
        <v>2</v>
      </c>
    </row>
    <row r="594" spans="1:39" ht="15" thickBot="1" x14ac:dyDescent="0.35">
      <c r="A594" s="202">
        <v>1204</v>
      </c>
      <c r="B594" s="202">
        <v>978</v>
      </c>
      <c r="C594" s="295" t="s">
        <v>1388</v>
      </c>
      <c r="D594" s="403" t="s">
        <v>1389</v>
      </c>
      <c r="E594" s="205" t="s">
        <v>1390</v>
      </c>
      <c r="F594" s="255">
        <v>1970</v>
      </c>
      <c r="G594" s="255" t="s">
        <v>539</v>
      </c>
      <c r="H594" s="249"/>
      <c r="I594" s="207">
        <v>1</v>
      </c>
      <c r="J594" s="255" t="s">
        <v>237</v>
      </c>
      <c r="K594" s="534" t="s">
        <v>75</v>
      </c>
      <c r="L594" s="205" t="s">
        <v>540</v>
      </c>
      <c r="M594" s="404" t="s">
        <v>584</v>
      </c>
      <c r="N594" s="205" t="s">
        <v>584</v>
      </c>
      <c r="O594" s="205" t="s">
        <v>584</v>
      </c>
      <c r="P594" s="205" t="s">
        <v>542</v>
      </c>
      <c r="Q594" s="975" t="s">
        <v>542</v>
      </c>
      <c r="R594" s="249" t="s">
        <v>543</v>
      </c>
      <c r="S594" s="578" t="s">
        <v>872</v>
      </c>
      <c r="T594" s="846">
        <v>6390</v>
      </c>
      <c r="U594" s="846">
        <v>5970</v>
      </c>
      <c r="V594" s="846">
        <v>6010</v>
      </c>
      <c r="W594" s="1044">
        <v>6660</v>
      </c>
      <c r="X594" s="858">
        <v>4670</v>
      </c>
      <c r="Y594" s="918">
        <v>7290</v>
      </c>
      <c r="Z594" s="858">
        <v>7030</v>
      </c>
      <c r="AA594" s="858">
        <v>6720</v>
      </c>
      <c r="AB594" s="984">
        <v>6810</v>
      </c>
      <c r="AC594" s="945">
        <v>6680</v>
      </c>
      <c r="AD594" s="781">
        <v>7250</v>
      </c>
      <c r="AE594" s="442" t="s">
        <v>229</v>
      </c>
      <c r="AF594" s="481">
        <v>13640</v>
      </c>
      <c r="AG594" s="444">
        <v>0.53152492668621698</v>
      </c>
      <c r="AH594" s="442" t="s">
        <v>80</v>
      </c>
      <c r="AI594" s="282">
        <v>460</v>
      </c>
      <c r="AJ594" s="282">
        <v>620</v>
      </c>
      <c r="AK594" s="282">
        <v>1020</v>
      </c>
      <c r="AL594" s="949">
        <f t="shared" si="27"/>
        <v>7250</v>
      </c>
      <c r="AM594" s="255">
        <v>2</v>
      </c>
    </row>
    <row r="595" spans="1:39" x14ac:dyDescent="0.3">
      <c r="A595" s="33">
        <v>1211</v>
      </c>
      <c r="B595" s="33">
        <v>986</v>
      </c>
      <c r="C595" s="348" t="s">
        <v>1391</v>
      </c>
      <c r="D595" s="392"/>
      <c r="E595" s="189" t="s">
        <v>1392</v>
      </c>
      <c r="F595" s="687" t="s">
        <v>1393</v>
      </c>
      <c r="G595" s="800" t="s">
        <v>539</v>
      </c>
      <c r="H595" s="592" t="s">
        <v>1075</v>
      </c>
      <c r="I595" s="72">
        <v>1.48</v>
      </c>
      <c r="J595" s="800" t="s">
        <v>154</v>
      </c>
      <c r="K595" s="302" t="s">
        <v>104</v>
      </c>
      <c r="L595" s="835" t="s">
        <v>540</v>
      </c>
      <c r="M595" s="51" t="s">
        <v>584</v>
      </c>
      <c r="N595" s="51" t="s">
        <v>584</v>
      </c>
      <c r="O595" s="51" t="s">
        <v>584</v>
      </c>
      <c r="P595" s="51" t="s">
        <v>542</v>
      </c>
      <c r="Q595" s="975" t="s">
        <v>542</v>
      </c>
      <c r="R595" s="52" t="s">
        <v>556</v>
      </c>
      <c r="S595" s="596" t="s">
        <v>1252</v>
      </c>
      <c r="T595" s="849" t="s">
        <v>81</v>
      </c>
      <c r="U595" s="849" t="s">
        <v>81</v>
      </c>
      <c r="V595" s="849" t="s">
        <v>81</v>
      </c>
      <c r="W595" s="849" t="s">
        <v>81</v>
      </c>
      <c r="X595" s="913" t="s">
        <v>81</v>
      </c>
      <c r="Y595" s="849" t="s">
        <v>81</v>
      </c>
      <c r="Z595" s="741" t="s">
        <v>81</v>
      </c>
      <c r="AA595" s="741" t="s">
        <v>81</v>
      </c>
      <c r="AB595" s="52" t="s">
        <v>81</v>
      </c>
      <c r="AC595" s="86" t="s">
        <v>81</v>
      </c>
      <c r="AD595" s="793" t="s">
        <v>81</v>
      </c>
      <c r="AE595" s="793" t="s">
        <v>81</v>
      </c>
      <c r="AF595" s="409">
        <v>5260</v>
      </c>
      <c r="AG595" s="132" t="s">
        <v>81</v>
      </c>
      <c r="AH595" s="132" t="s">
        <v>81</v>
      </c>
      <c r="AI595" s="132" t="s">
        <v>81</v>
      </c>
      <c r="AJ595" s="132" t="s">
        <v>81</v>
      </c>
      <c r="AK595" s="181">
        <v>1020</v>
      </c>
      <c r="AL595" s="793" t="e">
        <f>IF(AC595&gt;0,AC595*$I595,"-")</f>
        <v>#VALUE!</v>
      </c>
      <c r="AM595" s="63">
        <v>2</v>
      </c>
    </row>
    <row r="596" spans="1:39" x14ac:dyDescent="0.3">
      <c r="A596" s="268">
        <v>1210</v>
      </c>
      <c r="B596" s="268">
        <v>985</v>
      </c>
      <c r="C596" s="300" t="s">
        <v>1394</v>
      </c>
      <c r="D596" s="628"/>
      <c r="E596" s="64" t="s">
        <v>1395</v>
      </c>
      <c r="F596" s="687" t="s">
        <v>1396</v>
      </c>
      <c r="G596" s="799" t="s">
        <v>539</v>
      </c>
      <c r="H596" s="592" t="s">
        <v>1075</v>
      </c>
      <c r="I596" s="37">
        <v>1.25</v>
      </c>
      <c r="J596" s="799" t="s">
        <v>799</v>
      </c>
      <c r="K596" s="324" t="s">
        <v>104</v>
      </c>
      <c r="L596" s="837" t="s">
        <v>540</v>
      </c>
      <c r="M596" s="35" t="s">
        <v>584</v>
      </c>
      <c r="N596" s="35" t="s">
        <v>584</v>
      </c>
      <c r="O596" s="35" t="s">
        <v>584</v>
      </c>
      <c r="P596" s="35" t="s">
        <v>542</v>
      </c>
      <c r="Q596" s="975" t="s">
        <v>542</v>
      </c>
      <c r="R596" s="36" t="s">
        <v>556</v>
      </c>
      <c r="S596" s="596" t="s">
        <v>1252</v>
      </c>
      <c r="T596" s="911" t="s">
        <v>81</v>
      </c>
      <c r="U596" s="732" t="s">
        <v>81</v>
      </c>
      <c r="V596" s="732" t="s">
        <v>81</v>
      </c>
      <c r="W596" s="732" t="s">
        <v>81</v>
      </c>
      <c r="X596" s="934" t="s">
        <v>81</v>
      </c>
      <c r="Y596" s="911" t="s">
        <v>81</v>
      </c>
      <c r="Z596" s="732" t="s">
        <v>81</v>
      </c>
      <c r="AA596" s="732" t="s">
        <v>81</v>
      </c>
      <c r="AB596" s="65" t="s">
        <v>81</v>
      </c>
      <c r="AC596" s="83" t="s">
        <v>81</v>
      </c>
      <c r="AD596" s="792" t="s">
        <v>81</v>
      </c>
      <c r="AE596" s="734" t="s">
        <v>81</v>
      </c>
      <c r="AF596" s="213">
        <v>5260</v>
      </c>
      <c r="AG596" s="84" t="s">
        <v>81</v>
      </c>
      <c r="AH596" s="84" t="s">
        <v>81</v>
      </c>
      <c r="AI596" s="84" t="s">
        <v>81</v>
      </c>
      <c r="AJ596" s="84" t="s">
        <v>81</v>
      </c>
      <c r="AK596" s="120">
        <v>1020</v>
      </c>
      <c r="AL596" s="911" t="e">
        <f>IF(AC596&gt;0,AC596*$I596,"-")</f>
        <v>#VALUE!</v>
      </c>
      <c r="AM596" s="121">
        <v>0</v>
      </c>
    </row>
    <row r="597" spans="1:39" x14ac:dyDescent="0.3">
      <c r="A597" s="33">
        <v>1209</v>
      </c>
      <c r="B597" s="33">
        <v>984</v>
      </c>
      <c r="C597" s="352" t="s">
        <v>1397</v>
      </c>
      <c r="D597" s="353" t="s">
        <v>1294</v>
      </c>
      <c r="E597" s="51" t="s">
        <v>1398</v>
      </c>
      <c r="F597" s="800">
        <v>1976</v>
      </c>
      <c r="G597" s="800" t="s">
        <v>539</v>
      </c>
      <c r="H597" s="52" t="s">
        <v>73</v>
      </c>
      <c r="I597" s="72">
        <v>1.2</v>
      </c>
      <c r="J597" s="800" t="s">
        <v>154</v>
      </c>
      <c r="K597" s="302" t="s">
        <v>104</v>
      </c>
      <c r="L597" s="835" t="s">
        <v>540</v>
      </c>
      <c r="M597" s="51" t="s">
        <v>584</v>
      </c>
      <c r="N597" s="51" t="s">
        <v>584</v>
      </c>
      <c r="O597" s="51" t="s">
        <v>584</v>
      </c>
      <c r="P597" s="51" t="s">
        <v>542</v>
      </c>
      <c r="Q597" s="975" t="s">
        <v>542</v>
      </c>
      <c r="R597" s="52" t="s">
        <v>556</v>
      </c>
      <c r="S597" s="52" t="s">
        <v>858</v>
      </c>
      <c r="T597" s="825">
        <v>2430</v>
      </c>
      <c r="U597" s="825">
        <v>2560</v>
      </c>
      <c r="V597" s="825">
        <v>2410</v>
      </c>
      <c r="W597" s="822">
        <v>2150</v>
      </c>
      <c r="X597" s="913" t="s">
        <v>81</v>
      </c>
      <c r="Y597" s="760">
        <v>2400</v>
      </c>
      <c r="Z597" s="798">
        <v>2590</v>
      </c>
      <c r="AA597" s="931">
        <v>2690</v>
      </c>
      <c r="AB597" s="798">
        <v>2590</v>
      </c>
      <c r="AC597" s="884">
        <v>2620</v>
      </c>
      <c r="AD597" s="748">
        <v>2810</v>
      </c>
      <c r="AE597" s="80" t="s">
        <v>229</v>
      </c>
      <c r="AF597" s="194">
        <v>13640</v>
      </c>
      <c r="AG597" s="303">
        <v>0.2060117302052786</v>
      </c>
      <c r="AH597" s="80" t="s">
        <v>97</v>
      </c>
      <c r="AI597" s="115">
        <v>170</v>
      </c>
      <c r="AJ597" s="115">
        <v>240</v>
      </c>
      <c r="AK597" s="115">
        <v>1020</v>
      </c>
      <c r="AL597" s="832">
        <f>IF(AD597&gt;0,AD597*$I597,"-")</f>
        <v>3372</v>
      </c>
      <c r="AM597" s="63">
        <v>2</v>
      </c>
    </row>
    <row r="598" spans="1:39" ht="15" thickBot="1" x14ac:dyDescent="0.35">
      <c r="A598" s="268">
        <v>1208</v>
      </c>
      <c r="B598" s="268">
        <v>983</v>
      </c>
      <c r="C598" s="300" t="s">
        <v>1391</v>
      </c>
      <c r="D598" s="628"/>
      <c r="E598" s="64" t="s">
        <v>1399</v>
      </c>
      <c r="F598" s="687" t="s">
        <v>1400</v>
      </c>
      <c r="G598" s="799" t="s">
        <v>539</v>
      </c>
      <c r="H598" s="592" t="s">
        <v>1075</v>
      </c>
      <c r="I598" s="37">
        <v>2</v>
      </c>
      <c r="J598" s="799" t="s">
        <v>158</v>
      </c>
      <c r="K598" s="324" t="s">
        <v>104</v>
      </c>
      <c r="L598" s="837" t="s">
        <v>540</v>
      </c>
      <c r="M598" s="35" t="s">
        <v>584</v>
      </c>
      <c r="N598" s="35" t="s">
        <v>584</v>
      </c>
      <c r="O598" s="35" t="s">
        <v>584</v>
      </c>
      <c r="P598" s="35" t="s">
        <v>626</v>
      </c>
      <c r="Q598" s="909" t="s">
        <v>626</v>
      </c>
      <c r="R598" s="36" t="s">
        <v>556</v>
      </c>
      <c r="S598" s="596" t="s">
        <v>1252</v>
      </c>
      <c r="T598" s="911" t="s">
        <v>81</v>
      </c>
      <c r="U598" s="732" t="s">
        <v>81</v>
      </c>
      <c r="V598" s="732" t="s">
        <v>81</v>
      </c>
      <c r="W598" s="732" t="s">
        <v>81</v>
      </c>
      <c r="X598" s="934" t="s">
        <v>81</v>
      </c>
      <c r="Y598" s="911" t="s">
        <v>81</v>
      </c>
      <c r="Z598" s="732" t="s">
        <v>81</v>
      </c>
      <c r="AA598" s="732" t="s">
        <v>81</v>
      </c>
      <c r="AB598" s="65" t="s">
        <v>81</v>
      </c>
      <c r="AC598" s="83" t="s">
        <v>81</v>
      </c>
      <c r="AD598" s="792" t="s">
        <v>81</v>
      </c>
      <c r="AE598" s="734" t="s">
        <v>81</v>
      </c>
      <c r="AF598" s="213">
        <v>12100</v>
      </c>
      <c r="AG598" s="84" t="s">
        <v>81</v>
      </c>
      <c r="AH598" s="84" t="s">
        <v>81</v>
      </c>
      <c r="AI598" s="84" t="s">
        <v>81</v>
      </c>
      <c r="AJ598" s="84" t="s">
        <v>81</v>
      </c>
      <c r="AK598" s="316">
        <v>1230</v>
      </c>
      <c r="AL598" s="911" t="e">
        <f>IF(AC598&gt;0,AC598*$I598,"-")</f>
        <v>#VALUE!</v>
      </c>
      <c r="AM598" s="121">
        <v>0</v>
      </c>
    </row>
    <row r="599" spans="1:39" ht="15" thickBot="1" x14ac:dyDescent="0.35">
      <c r="A599" s="33">
        <v>1207</v>
      </c>
      <c r="B599" s="33">
        <v>982</v>
      </c>
      <c r="C599" s="352" t="s">
        <v>1401</v>
      </c>
      <c r="D599" s="353" t="s">
        <v>1402</v>
      </c>
      <c r="E599" s="51" t="s">
        <v>1403</v>
      </c>
      <c r="F599" s="800">
        <v>1978</v>
      </c>
      <c r="G599" s="800" t="s">
        <v>539</v>
      </c>
      <c r="H599" s="52" t="s">
        <v>73</v>
      </c>
      <c r="I599" s="72">
        <v>2</v>
      </c>
      <c r="J599" s="800" t="s">
        <v>158</v>
      </c>
      <c r="K599" s="302" t="s">
        <v>104</v>
      </c>
      <c r="L599" s="835" t="s">
        <v>540</v>
      </c>
      <c r="M599" s="51" t="s">
        <v>584</v>
      </c>
      <c r="N599" s="51" t="s">
        <v>584</v>
      </c>
      <c r="O599" s="51" t="s">
        <v>584</v>
      </c>
      <c r="P599" s="51" t="s">
        <v>626</v>
      </c>
      <c r="Q599" s="909" t="s">
        <v>626</v>
      </c>
      <c r="R599" s="55" t="s">
        <v>1256</v>
      </c>
      <c r="S599" s="52" t="s">
        <v>858</v>
      </c>
      <c r="T599" s="825">
        <v>1450</v>
      </c>
      <c r="U599" s="825">
        <v>1470</v>
      </c>
      <c r="V599" s="825">
        <v>1460</v>
      </c>
      <c r="W599" s="822">
        <v>1520</v>
      </c>
      <c r="X599" s="913" t="s">
        <v>81</v>
      </c>
      <c r="Y599" s="760">
        <v>1860</v>
      </c>
      <c r="Z599" s="798">
        <v>1960</v>
      </c>
      <c r="AA599" s="931">
        <v>2160</v>
      </c>
      <c r="AB599" s="759">
        <v>2460</v>
      </c>
      <c r="AC599" s="884">
        <v>2330</v>
      </c>
      <c r="AD599" s="748">
        <v>2790</v>
      </c>
      <c r="AE599" s="80" t="s">
        <v>229</v>
      </c>
      <c r="AF599" s="194">
        <v>13640</v>
      </c>
      <c r="AG599" s="303">
        <v>0.20454545454545456</v>
      </c>
      <c r="AH599" s="80" t="s">
        <v>97</v>
      </c>
      <c r="AI599" s="115">
        <v>200</v>
      </c>
      <c r="AJ599" s="115">
        <v>290</v>
      </c>
      <c r="AK599" s="304">
        <v>1230</v>
      </c>
      <c r="AL599" s="832">
        <f>IF(AD599&gt;0,AD599*$I599,"-")</f>
        <v>5580</v>
      </c>
      <c r="AM599" s="63">
        <v>2</v>
      </c>
    </row>
    <row r="600" spans="1:39" ht="15" thickBot="1" x14ac:dyDescent="0.35">
      <c r="A600" s="305">
        <v>1206</v>
      </c>
      <c r="B600" s="305">
        <v>981</v>
      </c>
      <c r="C600" s="346" t="s">
        <v>1404</v>
      </c>
      <c r="D600" s="195" t="s">
        <v>1405</v>
      </c>
      <c r="E600" s="185" t="s">
        <v>1406</v>
      </c>
      <c r="F600" s="801">
        <v>1979</v>
      </c>
      <c r="G600" s="801" t="s">
        <v>539</v>
      </c>
      <c r="H600" s="92" t="s">
        <v>73</v>
      </c>
      <c r="I600" s="93">
        <v>1</v>
      </c>
      <c r="J600" s="801" t="s">
        <v>158</v>
      </c>
      <c r="K600" s="271" t="s">
        <v>104</v>
      </c>
      <c r="L600" s="841" t="s">
        <v>540</v>
      </c>
      <c r="M600" s="91" t="s">
        <v>584</v>
      </c>
      <c r="N600" s="91" t="s">
        <v>584</v>
      </c>
      <c r="O600" s="91" t="s">
        <v>584</v>
      </c>
      <c r="P600" s="91" t="s">
        <v>626</v>
      </c>
      <c r="Q600" s="909" t="s">
        <v>626</v>
      </c>
      <c r="R600" s="92" t="s">
        <v>556</v>
      </c>
      <c r="S600" s="285" t="s">
        <v>549</v>
      </c>
      <c r="T600" s="827">
        <v>80</v>
      </c>
      <c r="U600" s="827">
        <v>120</v>
      </c>
      <c r="V600" s="827">
        <v>80</v>
      </c>
      <c r="W600" s="828">
        <v>90</v>
      </c>
      <c r="X600" s="860">
        <v>90</v>
      </c>
      <c r="Y600" s="1045" t="s">
        <v>81</v>
      </c>
      <c r="Z600" s="1046" t="s">
        <v>81</v>
      </c>
      <c r="AA600" s="935">
        <v>90</v>
      </c>
      <c r="AB600" s="842">
        <v>110</v>
      </c>
      <c r="AC600" s="842">
        <v>130</v>
      </c>
      <c r="AD600" s="750">
        <v>100</v>
      </c>
      <c r="AE600" s="92" t="s">
        <v>229</v>
      </c>
      <c r="AF600" s="241">
        <v>13640</v>
      </c>
      <c r="AG600" s="147">
        <v>7.331378299120235E-3</v>
      </c>
      <c r="AH600" s="100" t="s">
        <v>97</v>
      </c>
      <c r="AI600" s="126">
        <v>10</v>
      </c>
      <c r="AJ600" s="126">
        <v>10</v>
      </c>
      <c r="AK600" s="308">
        <v>1230</v>
      </c>
      <c r="AL600" s="761"/>
      <c r="AM600" s="127">
        <v>2</v>
      </c>
    </row>
    <row r="601" spans="1:39" x14ac:dyDescent="0.3">
      <c r="A601" s="688">
        <v>1186</v>
      </c>
      <c r="B601" s="103">
        <v>1006</v>
      </c>
      <c r="C601" s="689" t="s">
        <v>1407</v>
      </c>
      <c r="D601" s="392" t="s">
        <v>851</v>
      </c>
      <c r="E601" s="177" t="s">
        <v>852</v>
      </c>
      <c r="F601" s="804">
        <v>1900</v>
      </c>
      <c r="G601" s="804" t="s">
        <v>539</v>
      </c>
      <c r="H601" s="77" t="s">
        <v>73</v>
      </c>
      <c r="I601" s="178">
        <v>0.38</v>
      </c>
      <c r="J601" s="804" t="s">
        <v>158</v>
      </c>
      <c r="K601" s="349" t="s">
        <v>104</v>
      </c>
      <c r="L601" s="843" t="s">
        <v>636</v>
      </c>
      <c r="M601" s="177" t="s">
        <v>620</v>
      </c>
      <c r="N601" s="177" t="s">
        <v>620</v>
      </c>
      <c r="O601" s="177" t="s">
        <v>620</v>
      </c>
      <c r="P601" s="177" t="s">
        <v>637</v>
      </c>
      <c r="Q601" s="410" t="s">
        <v>637</v>
      </c>
      <c r="R601" s="220" t="s">
        <v>374</v>
      </c>
      <c r="S601" s="220" t="s">
        <v>465</v>
      </c>
      <c r="T601" s="825">
        <v>18720</v>
      </c>
      <c r="U601" s="825">
        <v>19260</v>
      </c>
      <c r="V601" s="825">
        <v>18450</v>
      </c>
      <c r="W601" s="836">
        <v>18050</v>
      </c>
      <c r="X601" s="759">
        <v>14440</v>
      </c>
      <c r="Y601" s="759">
        <v>13150</v>
      </c>
      <c r="Z601" s="759">
        <v>14020</v>
      </c>
      <c r="AA601" s="690">
        <v>14650</v>
      </c>
      <c r="AB601" s="759">
        <v>15030</v>
      </c>
      <c r="AC601" s="887">
        <v>16050</v>
      </c>
      <c r="AD601" s="181">
        <v>15790</v>
      </c>
      <c r="AE601" s="86" t="s">
        <v>229</v>
      </c>
      <c r="AF601" s="409">
        <v>37970</v>
      </c>
      <c r="AG601" s="79">
        <v>0.4158546220700553</v>
      </c>
      <c r="AH601" s="86" t="s">
        <v>97</v>
      </c>
      <c r="AI601" s="181">
        <v>880</v>
      </c>
      <c r="AJ601" s="181">
        <v>1280</v>
      </c>
      <c r="AK601" s="312">
        <v>3410</v>
      </c>
      <c r="AL601" s="832">
        <f t="shared" ref="AL601:AL611" si="28">IF(AD601&gt;0,AD601*$I601,"-")</f>
        <v>6000.2</v>
      </c>
      <c r="AM601" s="221">
        <v>4</v>
      </c>
    </row>
    <row r="602" spans="1:39" x14ac:dyDescent="0.3">
      <c r="A602" s="613">
        <v>1185</v>
      </c>
      <c r="B602" s="268">
        <v>1005</v>
      </c>
      <c r="C602" s="352" t="s">
        <v>1407</v>
      </c>
      <c r="D602" s="524" t="s">
        <v>1408</v>
      </c>
      <c r="E602" s="35" t="s">
        <v>1409</v>
      </c>
      <c r="F602" s="799">
        <v>1901</v>
      </c>
      <c r="G602" s="799" t="s">
        <v>539</v>
      </c>
      <c r="H602" s="65" t="s">
        <v>73</v>
      </c>
      <c r="I602" s="37">
        <v>1.22</v>
      </c>
      <c r="J602" s="799" t="s">
        <v>130</v>
      </c>
      <c r="K602" s="478" t="s">
        <v>104</v>
      </c>
      <c r="L602" s="837" t="s">
        <v>570</v>
      </c>
      <c r="M602" s="35" t="s">
        <v>587</v>
      </c>
      <c r="N602" s="35" t="s">
        <v>587</v>
      </c>
      <c r="O602" s="35" t="s">
        <v>587</v>
      </c>
      <c r="P602" s="35" t="s">
        <v>629</v>
      </c>
      <c r="Q602" s="310" t="s">
        <v>629</v>
      </c>
      <c r="R602" s="39" t="s">
        <v>374</v>
      </c>
      <c r="S602" s="38" t="s">
        <v>465</v>
      </c>
      <c r="T602" s="833">
        <v>13810</v>
      </c>
      <c r="U602" s="833">
        <v>15170</v>
      </c>
      <c r="V602" s="833">
        <v>18000</v>
      </c>
      <c r="W602" s="820">
        <v>17750</v>
      </c>
      <c r="X602" s="577">
        <v>18830</v>
      </c>
      <c r="Y602" s="577">
        <v>20170</v>
      </c>
      <c r="Z602" s="577">
        <v>19290</v>
      </c>
      <c r="AA602" s="691">
        <v>19420</v>
      </c>
      <c r="AB602" s="159">
        <v>21190</v>
      </c>
      <c r="AC602" s="692">
        <v>19030</v>
      </c>
      <c r="AD602" s="225">
        <v>19440</v>
      </c>
      <c r="AE602" s="229" t="s">
        <v>229</v>
      </c>
      <c r="AF602" s="230">
        <v>17050</v>
      </c>
      <c r="AG602" s="693">
        <v>1.1401759530791788</v>
      </c>
      <c r="AH602" s="229" t="s">
        <v>1525</v>
      </c>
      <c r="AI602" s="225">
        <v>980</v>
      </c>
      <c r="AJ602" s="225">
        <v>1490</v>
      </c>
      <c r="AK602" s="694">
        <v>1540</v>
      </c>
      <c r="AL602" s="832">
        <f t="shared" si="28"/>
        <v>23716.799999999999</v>
      </c>
      <c r="AM602" s="49">
        <v>2</v>
      </c>
    </row>
    <row r="603" spans="1:39" x14ac:dyDescent="0.3">
      <c r="A603" s="608">
        <v>1184</v>
      </c>
      <c r="B603" s="33">
        <v>1004</v>
      </c>
      <c r="C603" s="352" t="s">
        <v>1407</v>
      </c>
      <c r="D603" s="323" t="s">
        <v>1410</v>
      </c>
      <c r="E603" s="51" t="s">
        <v>218</v>
      </c>
      <c r="F603" s="800">
        <v>1902</v>
      </c>
      <c r="G603" s="800" t="s">
        <v>539</v>
      </c>
      <c r="H603" s="52" t="s">
        <v>73</v>
      </c>
      <c r="I603" s="72">
        <v>1.5</v>
      </c>
      <c r="J603" s="800" t="s">
        <v>140</v>
      </c>
      <c r="K603" s="302" t="s">
        <v>104</v>
      </c>
      <c r="L603" s="835" t="s">
        <v>570</v>
      </c>
      <c r="M603" s="51" t="s">
        <v>615</v>
      </c>
      <c r="N603" s="51" t="s">
        <v>615</v>
      </c>
      <c r="O603" s="51" t="s">
        <v>615</v>
      </c>
      <c r="P603" s="51" t="s">
        <v>670</v>
      </c>
      <c r="Q603" s="314" t="s">
        <v>670</v>
      </c>
      <c r="R603" s="55" t="s">
        <v>374</v>
      </c>
      <c r="S603" s="55" t="s">
        <v>465</v>
      </c>
      <c r="T603" s="825">
        <v>14100</v>
      </c>
      <c r="U603" s="825">
        <v>14830</v>
      </c>
      <c r="V603" s="57">
        <v>15510</v>
      </c>
      <c r="W603" s="822">
        <v>15510</v>
      </c>
      <c r="X603" s="760">
        <v>18510</v>
      </c>
      <c r="Y603" s="760">
        <v>16430</v>
      </c>
      <c r="Z603" s="760">
        <v>14420</v>
      </c>
      <c r="AA603" s="695">
        <v>13400</v>
      </c>
      <c r="AB603" s="819">
        <v>16420</v>
      </c>
      <c r="AC603" s="884">
        <v>13800</v>
      </c>
      <c r="AD603" s="115">
        <v>14870</v>
      </c>
      <c r="AE603" s="80" t="s">
        <v>229</v>
      </c>
      <c r="AF603" s="194">
        <v>17900</v>
      </c>
      <c r="AG603" s="303">
        <v>0.83072625698324021</v>
      </c>
      <c r="AH603" s="80" t="s">
        <v>97</v>
      </c>
      <c r="AI603" s="115">
        <v>820</v>
      </c>
      <c r="AJ603" s="115">
        <v>1200</v>
      </c>
      <c r="AK603" s="304">
        <v>1620</v>
      </c>
      <c r="AL603" s="832">
        <f t="shared" si="28"/>
        <v>22305</v>
      </c>
      <c r="AM603" s="63">
        <v>2</v>
      </c>
    </row>
    <row r="604" spans="1:39" x14ac:dyDescent="0.3">
      <c r="A604" s="613">
        <v>1229</v>
      </c>
      <c r="B604" s="268">
        <v>607</v>
      </c>
      <c r="C604" s="393" t="s">
        <v>1411</v>
      </c>
      <c r="D604" s="696" t="s">
        <v>1412</v>
      </c>
      <c r="E604" s="35" t="s">
        <v>1413</v>
      </c>
      <c r="F604" s="799">
        <v>1030</v>
      </c>
      <c r="G604" s="799" t="s">
        <v>539</v>
      </c>
      <c r="H604" s="65" t="s">
        <v>73</v>
      </c>
      <c r="I604" s="37">
        <v>0.8</v>
      </c>
      <c r="J604" s="799" t="s">
        <v>140</v>
      </c>
      <c r="K604" s="478" t="s">
        <v>104</v>
      </c>
      <c r="L604" s="837" t="s">
        <v>583</v>
      </c>
      <c r="M604" s="35" t="s">
        <v>587</v>
      </c>
      <c r="N604" s="35" t="s">
        <v>587</v>
      </c>
      <c r="O604" s="35" t="s">
        <v>587</v>
      </c>
      <c r="P604" s="35" t="s">
        <v>629</v>
      </c>
      <c r="Q604" s="310" t="s">
        <v>629</v>
      </c>
      <c r="R604" s="65" t="s">
        <v>543</v>
      </c>
      <c r="S604" s="39" t="s">
        <v>872</v>
      </c>
      <c r="T604" s="833">
        <v>7970</v>
      </c>
      <c r="U604" s="833">
        <v>9010</v>
      </c>
      <c r="V604" s="833">
        <v>9050</v>
      </c>
      <c r="W604" s="820">
        <v>9320</v>
      </c>
      <c r="X604" s="838">
        <v>10380</v>
      </c>
      <c r="Y604" s="838">
        <v>10670</v>
      </c>
      <c r="Z604" s="838">
        <v>10350</v>
      </c>
      <c r="AA604" s="838">
        <v>10570</v>
      </c>
      <c r="AB604" s="838">
        <v>10900</v>
      </c>
      <c r="AC604" s="888">
        <v>9420</v>
      </c>
      <c r="AD604" s="749">
        <v>10830</v>
      </c>
      <c r="AE604" s="65" t="s">
        <v>229</v>
      </c>
      <c r="AF604" s="213">
        <v>17050</v>
      </c>
      <c r="AG604" s="315">
        <v>0.63519061583577707</v>
      </c>
      <c r="AH604" s="83" t="s">
        <v>97</v>
      </c>
      <c r="AI604" s="120">
        <v>690</v>
      </c>
      <c r="AJ604" s="120">
        <v>910</v>
      </c>
      <c r="AK604" s="316">
        <v>1540</v>
      </c>
      <c r="AL604" s="832">
        <f t="shared" si="28"/>
        <v>8664</v>
      </c>
      <c r="AM604" s="49">
        <v>2</v>
      </c>
    </row>
    <row r="605" spans="1:39" x14ac:dyDescent="0.3">
      <c r="A605" s="33">
        <v>1227</v>
      </c>
      <c r="B605" s="33">
        <v>1001</v>
      </c>
      <c r="C605" s="393" t="s">
        <v>1414</v>
      </c>
      <c r="D605" s="353" t="s">
        <v>1415</v>
      </c>
      <c r="E605" s="51" t="s">
        <v>1416</v>
      </c>
      <c r="F605" s="800">
        <v>1940</v>
      </c>
      <c r="G605" s="800" t="s">
        <v>539</v>
      </c>
      <c r="H605" s="52" t="s">
        <v>73</v>
      </c>
      <c r="I605" s="72">
        <v>0.2</v>
      </c>
      <c r="J605" s="800" t="s">
        <v>130</v>
      </c>
      <c r="K605" s="302" t="s">
        <v>104</v>
      </c>
      <c r="L605" s="835" t="s">
        <v>570</v>
      </c>
      <c r="M605" s="51" t="s">
        <v>587</v>
      </c>
      <c r="N605" s="51" t="s">
        <v>587</v>
      </c>
      <c r="O605" s="51" t="s">
        <v>587</v>
      </c>
      <c r="P605" s="51" t="s">
        <v>629</v>
      </c>
      <c r="Q605" s="310" t="s">
        <v>629</v>
      </c>
      <c r="R605" s="55" t="s">
        <v>374</v>
      </c>
      <c r="S605" s="55" t="s">
        <v>465</v>
      </c>
      <c r="T605" s="825">
        <v>10610</v>
      </c>
      <c r="U605" s="825">
        <v>11290</v>
      </c>
      <c r="V605" s="825">
        <v>10840</v>
      </c>
      <c r="W605" s="822">
        <v>10930</v>
      </c>
      <c r="X605" s="760">
        <v>12890</v>
      </c>
      <c r="Y605" s="760">
        <v>12920</v>
      </c>
      <c r="Z605" s="760">
        <v>12570</v>
      </c>
      <c r="AA605" s="931">
        <v>13330</v>
      </c>
      <c r="AB605" s="760">
        <v>13620</v>
      </c>
      <c r="AC605" s="884">
        <v>12320</v>
      </c>
      <c r="AD605" s="748">
        <v>12780</v>
      </c>
      <c r="AE605" s="80" t="s">
        <v>229</v>
      </c>
      <c r="AF605" s="194">
        <v>17050</v>
      </c>
      <c r="AG605" s="303">
        <v>0.74956011730205274</v>
      </c>
      <c r="AH605" s="80" t="s">
        <v>97</v>
      </c>
      <c r="AI605" s="115">
        <v>910</v>
      </c>
      <c r="AJ605" s="115">
        <v>1050</v>
      </c>
      <c r="AK605" s="304">
        <v>1540</v>
      </c>
      <c r="AL605" s="832">
        <f t="shared" si="28"/>
        <v>2556</v>
      </c>
      <c r="AM605" s="63">
        <v>2</v>
      </c>
    </row>
    <row r="606" spans="1:39" x14ac:dyDescent="0.3">
      <c r="A606" s="268">
        <v>1225</v>
      </c>
      <c r="B606" s="268">
        <v>998</v>
      </c>
      <c r="C606" s="622" t="s">
        <v>1414</v>
      </c>
      <c r="D606" s="191" t="s">
        <v>1417</v>
      </c>
      <c r="E606" s="35" t="s">
        <v>1418</v>
      </c>
      <c r="F606" s="799">
        <v>1942</v>
      </c>
      <c r="G606" s="799" t="s">
        <v>539</v>
      </c>
      <c r="H606" s="36" t="s">
        <v>73</v>
      </c>
      <c r="I606" s="37">
        <v>1.4</v>
      </c>
      <c r="J606" s="799" t="s">
        <v>130</v>
      </c>
      <c r="K606" s="324" t="s">
        <v>104</v>
      </c>
      <c r="L606" s="837" t="s">
        <v>570</v>
      </c>
      <c r="M606" s="35" t="s">
        <v>587</v>
      </c>
      <c r="N606" s="35" t="s">
        <v>587</v>
      </c>
      <c r="O606" s="35" t="s">
        <v>587</v>
      </c>
      <c r="P606" s="35" t="s">
        <v>629</v>
      </c>
      <c r="Q606" s="310" t="s">
        <v>629</v>
      </c>
      <c r="R606" s="38" t="s">
        <v>374</v>
      </c>
      <c r="S606" s="38" t="s">
        <v>465</v>
      </c>
      <c r="T606" s="833">
        <v>9940</v>
      </c>
      <c r="U606" s="833">
        <v>10280</v>
      </c>
      <c r="V606" s="833">
        <v>10320</v>
      </c>
      <c r="W606" s="820">
        <v>10840</v>
      </c>
      <c r="X606" s="838">
        <v>11860</v>
      </c>
      <c r="Y606" s="838">
        <v>12050</v>
      </c>
      <c r="Z606" s="838">
        <v>11130</v>
      </c>
      <c r="AA606" s="930">
        <v>12540</v>
      </c>
      <c r="AB606" s="838">
        <v>12370</v>
      </c>
      <c r="AC606" s="888">
        <v>10760</v>
      </c>
      <c r="AD606" s="749">
        <v>11570</v>
      </c>
      <c r="AE606" s="65" t="s">
        <v>229</v>
      </c>
      <c r="AF606" s="213">
        <v>17050</v>
      </c>
      <c r="AG606" s="315">
        <v>0.67859237536656891</v>
      </c>
      <c r="AH606" s="83" t="s">
        <v>97</v>
      </c>
      <c r="AI606" s="120">
        <v>740</v>
      </c>
      <c r="AJ606" s="120">
        <v>1000</v>
      </c>
      <c r="AK606" s="316">
        <v>1540</v>
      </c>
      <c r="AL606" s="832">
        <f t="shared" si="28"/>
        <v>16197.999999999998</v>
      </c>
      <c r="AM606" s="121">
        <v>2</v>
      </c>
    </row>
    <row r="607" spans="1:39" x14ac:dyDescent="0.3">
      <c r="A607" s="33">
        <v>1224</v>
      </c>
      <c r="B607" s="33">
        <v>997</v>
      </c>
      <c r="C607" s="635" t="s">
        <v>1414</v>
      </c>
      <c r="D607" s="353" t="s">
        <v>1419</v>
      </c>
      <c r="E607" s="51" t="s">
        <v>706</v>
      </c>
      <c r="F607" s="800">
        <v>1943</v>
      </c>
      <c r="G607" s="800" t="s">
        <v>539</v>
      </c>
      <c r="H607" s="52" t="s">
        <v>73</v>
      </c>
      <c r="I607" s="72">
        <v>1</v>
      </c>
      <c r="J607" s="800" t="s">
        <v>130</v>
      </c>
      <c r="K607" s="302" t="s">
        <v>104</v>
      </c>
      <c r="L607" s="835" t="s">
        <v>570</v>
      </c>
      <c r="M607" s="51" t="s">
        <v>587</v>
      </c>
      <c r="N607" s="51" t="s">
        <v>587</v>
      </c>
      <c r="O607" s="51" t="s">
        <v>587</v>
      </c>
      <c r="P607" s="51" t="s">
        <v>629</v>
      </c>
      <c r="Q607" s="310" t="s">
        <v>629</v>
      </c>
      <c r="R607" s="55" t="s">
        <v>374</v>
      </c>
      <c r="S607" s="55" t="s">
        <v>465</v>
      </c>
      <c r="T607" s="825">
        <v>11240</v>
      </c>
      <c r="U607" s="825">
        <v>11850</v>
      </c>
      <c r="V607" s="825">
        <v>11440</v>
      </c>
      <c r="W607" s="822">
        <v>12050</v>
      </c>
      <c r="X607" s="760">
        <v>14330</v>
      </c>
      <c r="Y607" s="760">
        <v>13800</v>
      </c>
      <c r="Z607" s="760">
        <v>12670</v>
      </c>
      <c r="AA607" s="931">
        <v>14480</v>
      </c>
      <c r="AB607" s="760">
        <v>12240</v>
      </c>
      <c r="AC607" s="884">
        <v>12210</v>
      </c>
      <c r="AD607" s="748">
        <v>12840</v>
      </c>
      <c r="AE607" s="80" t="s">
        <v>229</v>
      </c>
      <c r="AF607" s="194">
        <v>17050</v>
      </c>
      <c r="AG607" s="303">
        <v>0.75307917888563047</v>
      </c>
      <c r="AH607" s="80" t="s">
        <v>97</v>
      </c>
      <c r="AI607" s="115">
        <v>1010</v>
      </c>
      <c r="AJ607" s="115">
        <v>1050</v>
      </c>
      <c r="AK607" s="304">
        <v>1540</v>
      </c>
      <c r="AL607" s="832">
        <f t="shared" si="28"/>
        <v>12840</v>
      </c>
      <c r="AM607" s="63">
        <v>2</v>
      </c>
    </row>
    <row r="608" spans="1:39" x14ac:dyDescent="0.3">
      <c r="A608" s="268">
        <v>1222</v>
      </c>
      <c r="B608" s="268">
        <v>995</v>
      </c>
      <c r="C608" s="622" t="s">
        <v>1414</v>
      </c>
      <c r="D608" s="191" t="s">
        <v>707</v>
      </c>
      <c r="E608" s="35" t="s">
        <v>1420</v>
      </c>
      <c r="F608" s="799">
        <v>1945</v>
      </c>
      <c r="G608" s="799" t="s">
        <v>539</v>
      </c>
      <c r="H608" s="36" t="s">
        <v>73</v>
      </c>
      <c r="I608" s="37">
        <v>1.1000000000000001</v>
      </c>
      <c r="J608" s="799" t="s">
        <v>130</v>
      </c>
      <c r="K608" s="324" t="s">
        <v>104</v>
      </c>
      <c r="L608" s="837" t="s">
        <v>570</v>
      </c>
      <c r="M608" s="35" t="s">
        <v>587</v>
      </c>
      <c r="N608" s="35" t="s">
        <v>587</v>
      </c>
      <c r="O608" s="35" t="s">
        <v>587</v>
      </c>
      <c r="P608" s="35" t="s">
        <v>629</v>
      </c>
      <c r="Q608" s="310" t="s">
        <v>629</v>
      </c>
      <c r="R608" s="38" t="s">
        <v>374</v>
      </c>
      <c r="S608" s="38" t="s">
        <v>465</v>
      </c>
      <c r="T608" s="833">
        <v>9940</v>
      </c>
      <c r="U608" s="833">
        <v>10220</v>
      </c>
      <c r="V608" s="833">
        <v>9890</v>
      </c>
      <c r="W608" s="820">
        <v>10410</v>
      </c>
      <c r="X608" s="838">
        <v>11690</v>
      </c>
      <c r="Y608" s="838">
        <v>11360</v>
      </c>
      <c r="Z608" s="838">
        <v>10360</v>
      </c>
      <c r="AA608" s="930">
        <v>11240</v>
      </c>
      <c r="AB608" s="838">
        <v>9650</v>
      </c>
      <c r="AC608" s="888">
        <v>9320</v>
      </c>
      <c r="AD608" s="749">
        <v>9600</v>
      </c>
      <c r="AE608" s="36" t="s">
        <v>229</v>
      </c>
      <c r="AF608" s="213">
        <v>17050</v>
      </c>
      <c r="AG608" s="315">
        <v>0.56304985337243407</v>
      </c>
      <c r="AH608" s="83" t="s">
        <v>97</v>
      </c>
      <c r="AI608" s="120">
        <v>660</v>
      </c>
      <c r="AJ608" s="120">
        <v>770</v>
      </c>
      <c r="AK608" s="316">
        <v>1540</v>
      </c>
      <c r="AL608" s="832">
        <f t="shared" si="28"/>
        <v>10560</v>
      </c>
      <c r="AM608" s="121">
        <v>2</v>
      </c>
    </row>
    <row r="609" spans="1:39" x14ac:dyDescent="0.3">
      <c r="A609" s="33">
        <v>1221</v>
      </c>
      <c r="B609" s="33">
        <v>992</v>
      </c>
      <c r="C609" s="352" t="s">
        <v>1421</v>
      </c>
      <c r="D609" s="353" t="s">
        <v>711</v>
      </c>
      <c r="E609" s="51" t="s">
        <v>1422</v>
      </c>
      <c r="F609" s="800">
        <v>1948</v>
      </c>
      <c r="G609" s="800" t="s">
        <v>539</v>
      </c>
      <c r="H609" s="52" t="s">
        <v>73</v>
      </c>
      <c r="I609" s="72">
        <v>0.75</v>
      </c>
      <c r="J609" s="800" t="s">
        <v>205</v>
      </c>
      <c r="K609" s="302" t="s">
        <v>104</v>
      </c>
      <c r="L609" s="835" t="s">
        <v>570</v>
      </c>
      <c r="M609" s="51" t="s">
        <v>587</v>
      </c>
      <c r="N609" s="51" t="s">
        <v>587</v>
      </c>
      <c r="O609" s="51" t="s">
        <v>587</v>
      </c>
      <c r="P609" s="51" t="s">
        <v>629</v>
      </c>
      <c r="Q609" s="310" t="s">
        <v>629</v>
      </c>
      <c r="R609" s="55" t="s">
        <v>374</v>
      </c>
      <c r="S609" s="55" t="s">
        <v>465</v>
      </c>
      <c r="T609" s="825">
        <v>10260</v>
      </c>
      <c r="U609" s="825">
        <v>10390</v>
      </c>
      <c r="V609" s="825">
        <v>10040</v>
      </c>
      <c r="W609" s="822">
        <v>10580</v>
      </c>
      <c r="X609" s="760">
        <v>12080</v>
      </c>
      <c r="Y609" s="760">
        <v>11280</v>
      </c>
      <c r="Z609" s="760">
        <v>10990</v>
      </c>
      <c r="AA609" s="931">
        <v>12060</v>
      </c>
      <c r="AB609" s="760">
        <v>10740</v>
      </c>
      <c r="AC609" s="884">
        <v>9360</v>
      </c>
      <c r="AD609" s="115">
        <v>10080</v>
      </c>
      <c r="AE609" s="80" t="s">
        <v>229</v>
      </c>
      <c r="AF609" s="194">
        <v>17050</v>
      </c>
      <c r="AG609" s="303">
        <v>0.5912023460410557</v>
      </c>
      <c r="AH609" s="80" t="s">
        <v>97</v>
      </c>
      <c r="AI609" s="115">
        <v>690</v>
      </c>
      <c r="AJ609" s="115">
        <v>810</v>
      </c>
      <c r="AK609" s="304">
        <v>1540</v>
      </c>
      <c r="AL609" s="832">
        <f t="shared" si="28"/>
        <v>7560</v>
      </c>
      <c r="AM609" s="63">
        <v>2</v>
      </c>
    </row>
    <row r="610" spans="1:39" x14ac:dyDescent="0.3">
      <c r="A610" s="268">
        <v>1220</v>
      </c>
      <c r="B610" s="268">
        <v>991</v>
      </c>
      <c r="C610" s="300" t="s">
        <v>1421</v>
      </c>
      <c r="D610" s="351" t="s">
        <v>713</v>
      </c>
      <c r="E610" s="64" t="s">
        <v>714</v>
      </c>
      <c r="F610" s="799">
        <v>1949</v>
      </c>
      <c r="G610" s="799" t="s">
        <v>539</v>
      </c>
      <c r="H610" s="36" t="s">
        <v>73</v>
      </c>
      <c r="I610" s="37">
        <v>0.75</v>
      </c>
      <c r="J610" s="799" t="s">
        <v>205</v>
      </c>
      <c r="K610" s="324" t="s">
        <v>104</v>
      </c>
      <c r="L610" s="837" t="s">
        <v>570</v>
      </c>
      <c r="M610" s="35" t="s">
        <v>587</v>
      </c>
      <c r="N610" s="35" t="s">
        <v>587</v>
      </c>
      <c r="O610" s="35" t="s">
        <v>587</v>
      </c>
      <c r="P610" s="35" t="s">
        <v>629</v>
      </c>
      <c r="Q610" s="310" t="s">
        <v>629</v>
      </c>
      <c r="R610" s="38" t="s">
        <v>374</v>
      </c>
      <c r="S610" s="38" t="s">
        <v>465</v>
      </c>
      <c r="T610" s="833">
        <v>14310</v>
      </c>
      <c r="U610" s="833">
        <v>14480</v>
      </c>
      <c r="V610" s="833">
        <v>14110</v>
      </c>
      <c r="W610" s="820">
        <v>14000</v>
      </c>
      <c r="X610" s="838">
        <v>16270</v>
      </c>
      <c r="Y610" s="838">
        <v>17240</v>
      </c>
      <c r="Z610" s="838">
        <v>16250</v>
      </c>
      <c r="AA610" s="691">
        <v>19650</v>
      </c>
      <c r="AB610" s="819">
        <v>17500</v>
      </c>
      <c r="AC610" s="888">
        <v>14990</v>
      </c>
      <c r="AD610" s="143">
        <v>15640</v>
      </c>
      <c r="AE610" s="144" t="s">
        <v>229</v>
      </c>
      <c r="AF610" s="502">
        <v>17050</v>
      </c>
      <c r="AG610" s="503">
        <v>0.9173020527859238</v>
      </c>
      <c r="AH610" s="47" t="s">
        <v>80</v>
      </c>
      <c r="AI610" s="143">
        <v>1270</v>
      </c>
      <c r="AJ610" s="143">
        <v>1250</v>
      </c>
      <c r="AK610" s="504">
        <v>1540</v>
      </c>
      <c r="AL610" s="832">
        <f t="shared" si="28"/>
        <v>11730</v>
      </c>
      <c r="AM610" s="121">
        <v>2</v>
      </c>
    </row>
    <row r="611" spans="1:39" x14ac:dyDescent="0.3">
      <c r="A611" s="33">
        <v>1218</v>
      </c>
      <c r="B611" s="33">
        <v>989</v>
      </c>
      <c r="C611" s="352" t="s">
        <v>1421</v>
      </c>
      <c r="D611" s="301" t="s">
        <v>585</v>
      </c>
      <c r="E611" s="51" t="s">
        <v>1423</v>
      </c>
      <c r="F611" s="800">
        <v>1951</v>
      </c>
      <c r="G611" s="800" t="s">
        <v>539</v>
      </c>
      <c r="H611" s="52" t="s">
        <v>73</v>
      </c>
      <c r="I611" s="72">
        <v>1.85</v>
      </c>
      <c r="J611" s="800" t="s">
        <v>205</v>
      </c>
      <c r="K611" s="302" t="s">
        <v>104</v>
      </c>
      <c r="L611" s="835" t="s">
        <v>570</v>
      </c>
      <c r="M611" s="51" t="s">
        <v>587</v>
      </c>
      <c r="N611" s="51" t="s">
        <v>587</v>
      </c>
      <c r="O611" s="51" t="s">
        <v>587</v>
      </c>
      <c r="P611" s="51" t="s">
        <v>629</v>
      </c>
      <c r="Q611" s="310" t="s">
        <v>629</v>
      </c>
      <c r="R611" s="55" t="s">
        <v>374</v>
      </c>
      <c r="S611" s="55" t="s">
        <v>465</v>
      </c>
      <c r="T611" s="825">
        <v>12130</v>
      </c>
      <c r="U611" s="825">
        <v>12290</v>
      </c>
      <c r="V611" s="825">
        <v>12110</v>
      </c>
      <c r="W611" s="822">
        <v>12850</v>
      </c>
      <c r="X611" s="760">
        <v>15370</v>
      </c>
      <c r="Y611" s="760">
        <v>15740</v>
      </c>
      <c r="Z611" s="760">
        <v>14760</v>
      </c>
      <c r="AA611" s="931">
        <v>14920</v>
      </c>
      <c r="AB611" s="760">
        <v>14180</v>
      </c>
      <c r="AC611" s="884">
        <v>12540</v>
      </c>
      <c r="AD611" s="115">
        <v>13780</v>
      </c>
      <c r="AE611" s="80" t="s">
        <v>229</v>
      </c>
      <c r="AF611" s="194">
        <v>17050</v>
      </c>
      <c r="AG611" s="303">
        <v>0.80821114369501468</v>
      </c>
      <c r="AH611" s="80" t="s">
        <v>97</v>
      </c>
      <c r="AI611" s="115">
        <v>1040</v>
      </c>
      <c r="AJ611" s="115">
        <v>1160</v>
      </c>
      <c r="AK611" s="304">
        <v>1540</v>
      </c>
      <c r="AL611" s="832">
        <f t="shared" si="28"/>
        <v>25493</v>
      </c>
      <c r="AM611" s="63">
        <v>2</v>
      </c>
    </row>
    <row r="612" spans="1:39" ht="15" thickBot="1" x14ac:dyDescent="0.35">
      <c r="A612" s="305">
        <v>1216</v>
      </c>
      <c r="B612" s="305">
        <v>987</v>
      </c>
      <c r="C612" s="562" t="s">
        <v>1424</v>
      </c>
      <c r="D612" s="530" t="s">
        <v>1028</v>
      </c>
      <c r="E612" s="91" t="s">
        <v>1425</v>
      </c>
      <c r="F612" s="801">
        <v>1040</v>
      </c>
      <c r="G612" s="801" t="s">
        <v>539</v>
      </c>
      <c r="H612" s="92"/>
      <c r="I612" s="93">
        <v>0.6</v>
      </c>
      <c r="J612" s="801" t="s">
        <v>205</v>
      </c>
      <c r="K612" s="271" t="s">
        <v>104</v>
      </c>
      <c r="L612" s="841" t="s">
        <v>570</v>
      </c>
      <c r="M612" s="91" t="s">
        <v>584</v>
      </c>
      <c r="N612" s="91" t="s">
        <v>584</v>
      </c>
      <c r="O612" s="91" t="s">
        <v>584</v>
      </c>
      <c r="P612" s="91" t="s">
        <v>626</v>
      </c>
      <c r="Q612" s="909" t="s">
        <v>626</v>
      </c>
      <c r="R612" s="92" t="s">
        <v>556</v>
      </c>
      <c r="S612" s="697" t="s">
        <v>549</v>
      </c>
      <c r="T612" s="827">
        <v>1560</v>
      </c>
      <c r="U612" s="827">
        <v>1460</v>
      </c>
      <c r="V612" s="827">
        <v>1430</v>
      </c>
      <c r="W612" s="828">
        <v>1400</v>
      </c>
      <c r="X612" s="842">
        <v>1550</v>
      </c>
      <c r="Y612" s="842">
        <v>1530</v>
      </c>
      <c r="Z612" s="842">
        <v>1500</v>
      </c>
      <c r="AA612" s="935">
        <v>1560</v>
      </c>
      <c r="AB612" s="842">
        <v>1570</v>
      </c>
      <c r="AC612" s="842">
        <v>1450</v>
      </c>
      <c r="AD612" s="750">
        <v>1550</v>
      </c>
      <c r="AE612" s="92" t="s">
        <v>229</v>
      </c>
      <c r="AF612" s="241">
        <v>13640</v>
      </c>
      <c r="AG612" s="147">
        <v>0.11363636363636363</v>
      </c>
      <c r="AH612" s="100" t="s">
        <v>97</v>
      </c>
      <c r="AI612" s="126">
        <v>120</v>
      </c>
      <c r="AJ612" s="126">
        <v>140</v>
      </c>
      <c r="AK612" s="308">
        <v>1230</v>
      </c>
      <c r="AL612" s="862"/>
      <c r="AM612" s="127">
        <v>2</v>
      </c>
    </row>
    <row r="613" spans="1:39" ht="15" thickBot="1" x14ac:dyDescent="0.35">
      <c r="A613" s="103">
        <v>1232</v>
      </c>
      <c r="B613" s="103">
        <v>1008</v>
      </c>
      <c r="C613" s="196" t="s">
        <v>1426</v>
      </c>
      <c r="D613" s="189" t="s">
        <v>568</v>
      </c>
      <c r="E613" s="189" t="s">
        <v>1427</v>
      </c>
      <c r="F613" s="804">
        <v>1980</v>
      </c>
      <c r="G613" s="804" t="s">
        <v>539</v>
      </c>
      <c r="H613" s="77"/>
      <c r="I613" s="178">
        <v>1.5</v>
      </c>
      <c r="J613" s="804" t="s">
        <v>158</v>
      </c>
      <c r="K613" s="349" t="s">
        <v>104</v>
      </c>
      <c r="L613" s="843" t="s">
        <v>540</v>
      </c>
      <c r="M613" s="843" t="s">
        <v>541</v>
      </c>
      <c r="N613" s="843" t="s">
        <v>541</v>
      </c>
      <c r="O613" s="843" t="s">
        <v>541</v>
      </c>
      <c r="P613" s="843" t="s">
        <v>626</v>
      </c>
      <c r="Q613" s="909" t="s">
        <v>626</v>
      </c>
      <c r="R613" s="77" t="s">
        <v>556</v>
      </c>
      <c r="S613" s="484" t="s">
        <v>549</v>
      </c>
      <c r="T613" s="825">
        <v>1770</v>
      </c>
      <c r="U613" s="825">
        <v>1640</v>
      </c>
      <c r="V613" s="825">
        <v>1790</v>
      </c>
      <c r="W613" s="836">
        <v>1740</v>
      </c>
      <c r="X613" s="759">
        <v>1860</v>
      </c>
      <c r="Y613" s="759">
        <v>2160</v>
      </c>
      <c r="Z613" s="759">
        <v>2200</v>
      </c>
      <c r="AA613" s="759">
        <v>2290</v>
      </c>
      <c r="AB613" s="759">
        <v>2380</v>
      </c>
      <c r="AC613" s="887">
        <v>2330</v>
      </c>
      <c r="AD613" s="754">
        <v>2410</v>
      </c>
      <c r="AE613" s="86" t="s">
        <v>229</v>
      </c>
      <c r="AF613" s="409">
        <v>13640</v>
      </c>
      <c r="AG613" s="79">
        <v>0.17668621700879766</v>
      </c>
      <c r="AH613" s="86" t="s">
        <v>97</v>
      </c>
      <c r="AI613" s="181">
        <v>180</v>
      </c>
      <c r="AJ613" s="181">
        <v>210</v>
      </c>
      <c r="AK613" s="312">
        <v>1230</v>
      </c>
      <c r="AL613" s="977"/>
      <c r="AM613" s="221">
        <v>2</v>
      </c>
    </row>
    <row r="614" spans="1:39" ht="15" thickBot="1" x14ac:dyDescent="0.35">
      <c r="A614" s="305">
        <v>1231</v>
      </c>
      <c r="B614" s="305">
        <v>1007</v>
      </c>
      <c r="C614" s="479" t="s">
        <v>1426</v>
      </c>
      <c r="D614" s="185" t="s">
        <v>1428</v>
      </c>
      <c r="E614" s="185" t="s">
        <v>1429</v>
      </c>
      <c r="F614" s="801">
        <v>1981</v>
      </c>
      <c r="G614" s="801" t="s">
        <v>539</v>
      </c>
      <c r="H614" s="97"/>
      <c r="I614" s="93">
        <v>0.5</v>
      </c>
      <c r="J614" s="801" t="s">
        <v>154</v>
      </c>
      <c r="K614" s="271" t="s">
        <v>104</v>
      </c>
      <c r="L614" s="841" t="s">
        <v>540</v>
      </c>
      <c r="M614" s="841" t="s">
        <v>541</v>
      </c>
      <c r="N614" s="841" t="s">
        <v>541</v>
      </c>
      <c r="O614" s="841" t="s">
        <v>541</v>
      </c>
      <c r="P614" s="841" t="s">
        <v>542</v>
      </c>
      <c r="Q614" s="975" t="s">
        <v>542</v>
      </c>
      <c r="R614" s="92" t="s">
        <v>556</v>
      </c>
      <c r="S614" s="285" t="s">
        <v>549</v>
      </c>
      <c r="T614" s="827">
        <v>1430</v>
      </c>
      <c r="U614" s="827">
        <v>1430</v>
      </c>
      <c r="V614" s="827">
        <v>1490</v>
      </c>
      <c r="W614" s="828">
        <v>1590</v>
      </c>
      <c r="X614" s="842">
        <v>1610</v>
      </c>
      <c r="Y614" s="842">
        <v>1870</v>
      </c>
      <c r="Z614" s="842">
        <v>2020</v>
      </c>
      <c r="AA614" s="842">
        <v>2040</v>
      </c>
      <c r="AB614" s="842">
        <v>2070</v>
      </c>
      <c r="AC614" s="842">
        <v>2060</v>
      </c>
      <c r="AD614" s="750">
        <v>2160</v>
      </c>
      <c r="AE614" s="92" t="s">
        <v>229</v>
      </c>
      <c r="AF614" s="241">
        <v>13640</v>
      </c>
      <c r="AG614" s="147">
        <v>0.15835777126099707</v>
      </c>
      <c r="AH614" s="100" t="s">
        <v>97</v>
      </c>
      <c r="AI614" s="126">
        <v>160</v>
      </c>
      <c r="AJ614" s="126">
        <v>190</v>
      </c>
      <c r="AK614" s="126">
        <v>1020</v>
      </c>
      <c r="AL614" s="862"/>
      <c r="AM614" s="127">
        <v>2</v>
      </c>
    </row>
    <row r="615" spans="1:39" x14ac:dyDescent="0.3">
      <c r="A615" s="103">
        <v>1250</v>
      </c>
      <c r="B615" s="103">
        <v>1026</v>
      </c>
      <c r="C615" s="309" t="s">
        <v>1430</v>
      </c>
      <c r="D615" s="177" t="s">
        <v>1431</v>
      </c>
      <c r="E615" s="261" t="s">
        <v>1432</v>
      </c>
      <c r="F615" s="698" t="s">
        <v>1433</v>
      </c>
      <c r="G615" s="804" t="s">
        <v>539</v>
      </c>
      <c r="H615" s="77" t="s">
        <v>73</v>
      </c>
      <c r="I615" s="178">
        <v>3</v>
      </c>
      <c r="J615" s="804" t="s">
        <v>154</v>
      </c>
      <c r="K615" s="77" t="s">
        <v>104</v>
      </c>
      <c r="L615" s="843" t="s">
        <v>570</v>
      </c>
      <c r="M615" s="848" t="s">
        <v>587</v>
      </c>
      <c r="N615" s="843" t="s">
        <v>587</v>
      </c>
      <c r="O615" s="843" t="s">
        <v>587</v>
      </c>
      <c r="P615" s="843" t="s">
        <v>588</v>
      </c>
      <c r="Q615" s="410" t="s">
        <v>637</v>
      </c>
      <c r="R615" s="220" t="s">
        <v>144</v>
      </c>
      <c r="S615" s="220" t="s">
        <v>145</v>
      </c>
      <c r="T615" s="825">
        <v>1710</v>
      </c>
      <c r="U615" s="825">
        <v>1760</v>
      </c>
      <c r="V615" s="825">
        <v>1570</v>
      </c>
      <c r="W615" s="836">
        <v>1650</v>
      </c>
      <c r="X615" s="759">
        <v>1770</v>
      </c>
      <c r="Y615" s="759">
        <v>2080</v>
      </c>
      <c r="Z615" s="759">
        <v>4110</v>
      </c>
      <c r="AA615" s="929">
        <v>4870</v>
      </c>
      <c r="AB615" s="1047">
        <v>3830</v>
      </c>
      <c r="AC615" s="887">
        <v>3750</v>
      </c>
      <c r="AD615" s="754">
        <v>3550</v>
      </c>
      <c r="AE615" s="731" t="s">
        <v>229</v>
      </c>
      <c r="AF615" s="409">
        <v>37970</v>
      </c>
      <c r="AG615" s="79">
        <v>9.3494864366605215E-2</v>
      </c>
      <c r="AH615" s="86" t="s">
        <v>97</v>
      </c>
      <c r="AI615" s="181">
        <v>220</v>
      </c>
      <c r="AJ615" s="181">
        <v>300</v>
      </c>
      <c r="AK615" s="312">
        <v>3410</v>
      </c>
      <c r="AL615" s="832">
        <f t="shared" ref="AL615:AL632" si="29">IF(AD615&gt;0,AD615*$I615,"-")</f>
        <v>10650</v>
      </c>
      <c r="AM615" s="221">
        <v>4</v>
      </c>
    </row>
    <row r="616" spans="1:39" x14ac:dyDescent="0.3">
      <c r="A616" s="268">
        <v>1250</v>
      </c>
      <c r="B616" s="268">
        <v>1026</v>
      </c>
      <c r="C616" s="393" t="s">
        <v>1430</v>
      </c>
      <c r="D616" s="35" t="s">
        <v>1431</v>
      </c>
      <c r="E616" s="133" t="s">
        <v>1434</v>
      </c>
      <c r="F616" s="49">
        <v>1989</v>
      </c>
      <c r="G616" s="799" t="s">
        <v>539</v>
      </c>
      <c r="H616" s="65" t="s">
        <v>73</v>
      </c>
      <c r="I616" s="37">
        <v>3</v>
      </c>
      <c r="J616" s="799" t="s">
        <v>154</v>
      </c>
      <c r="K616" s="65" t="s">
        <v>104</v>
      </c>
      <c r="L616" s="837" t="s">
        <v>570</v>
      </c>
      <c r="M616" s="837" t="s">
        <v>587</v>
      </c>
      <c r="N616" s="837" t="s">
        <v>587</v>
      </c>
      <c r="O616" s="837" t="s">
        <v>587</v>
      </c>
      <c r="P616" s="837" t="s">
        <v>588</v>
      </c>
      <c r="Q616" s="410" t="s">
        <v>637</v>
      </c>
      <c r="R616" s="39" t="s">
        <v>144</v>
      </c>
      <c r="S616" s="39" t="s">
        <v>145</v>
      </c>
      <c r="T616" s="833">
        <v>1710</v>
      </c>
      <c r="U616" s="833">
        <v>1760</v>
      </c>
      <c r="V616" s="833">
        <v>1570</v>
      </c>
      <c r="W616" s="820">
        <v>1650</v>
      </c>
      <c r="X616" s="838">
        <v>1770</v>
      </c>
      <c r="Y616" s="838">
        <v>2080</v>
      </c>
      <c r="Z616" s="838">
        <v>4110</v>
      </c>
      <c r="AA616" s="930">
        <v>4870</v>
      </c>
      <c r="AB616" s="1048">
        <v>5430</v>
      </c>
      <c r="AC616" s="888">
        <v>5940</v>
      </c>
      <c r="AD616" s="749">
        <v>6100</v>
      </c>
      <c r="AE616" s="734" t="s">
        <v>229</v>
      </c>
      <c r="AF616" s="213">
        <v>37970</v>
      </c>
      <c r="AG616" s="315">
        <v>0.16065314722149066</v>
      </c>
      <c r="AH616" s="83" t="s">
        <v>97</v>
      </c>
      <c r="AI616" s="120">
        <v>450</v>
      </c>
      <c r="AJ616" s="120">
        <v>540</v>
      </c>
      <c r="AK616" s="316">
        <v>3410</v>
      </c>
      <c r="AL616" s="751">
        <f t="shared" si="29"/>
        <v>18300</v>
      </c>
      <c r="AM616" s="49">
        <v>4</v>
      </c>
    </row>
    <row r="617" spans="1:39" x14ac:dyDescent="0.3">
      <c r="A617" s="33">
        <v>1250</v>
      </c>
      <c r="B617" s="33">
        <v>1025</v>
      </c>
      <c r="C617" s="393" t="s">
        <v>1430</v>
      </c>
      <c r="D617" s="51" t="s">
        <v>1431</v>
      </c>
      <c r="E617" s="51" t="s">
        <v>1435</v>
      </c>
      <c r="F617" s="800">
        <v>65</v>
      </c>
      <c r="G617" s="800" t="s">
        <v>539</v>
      </c>
      <c r="H617" s="52" t="s">
        <v>73</v>
      </c>
      <c r="I617" s="72">
        <v>1</v>
      </c>
      <c r="J617" s="800">
        <v>45</v>
      </c>
      <c r="K617" s="52" t="s">
        <v>104</v>
      </c>
      <c r="L617" s="835" t="s">
        <v>570</v>
      </c>
      <c r="M617" s="835" t="s">
        <v>587</v>
      </c>
      <c r="N617" s="835" t="s">
        <v>620</v>
      </c>
      <c r="O617" s="835" t="s">
        <v>620</v>
      </c>
      <c r="P617" s="835" t="s">
        <v>637</v>
      </c>
      <c r="Q617" s="410" t="s">
        <v>637</v>
      </c>
      <c r="R617" s="55" t="s">
        <v>144</v>
      </c>
      <c r="S617" s="55" t="s">
        <v>145</v>
      </c>
      <c r="T617" s="825">
        <v>16410</v>
      </c>
      <c r="U617" s="825">
        <v>17070</v>
      </c>
      <c r="V617" s="825">
        <v>16200</v>
      </c>
      <c r="W617" s="822">
        <v>16190</v>
      </c>
      <c r="X617" s="760">
        <v>17430</v>
      </c>
      <c r="Y617" s="760">
        <v>19250</v>
      </c>
      <c r="Z617" s="760">
        <v>19650</v>
      </c>
      <c r="AA617" s="931">
        <v>21300</v>
      </c>
      <c r="AB617" s="760">
        <v>20720</v>
      </c>
      <c r="AC617" s="884">
        <v>20130</v>
      </c>
      <c r="AD617" s="748">
        <v>22550</v>
      </c>
      <c r="AE617" s="733" t="s">
        <v>229</v>
      </c>
      <c r="AF617" s="194">
        <v>37970</v>
      </c>
      <c r="AG617" s="303">
        <v>0.59388991308928096</v>
      </c>
      <c r="AH617" s="80" t="s">
        <v>97</v>
      </c>
      <c r="AI617" s="115">
        <v>1670</v>
      </c>
      <c r="AJ617" s="115">
        <v>1940</v>
      </c>
      <c r="AK617" s="304">
        <v>3410</v>
      </c>
      <c r="AL617" s="832">
        <f t="shared" si="29"/>
        <v>22550</v>
      </c>
      <c r="AM617" s="63">
        <v>4</v>
      </c>
    </row>
    <row r="618" spans="1:39" x14ac:dyDescent="0.3">
      <c r="A618" s="268">
        <v>1249</v>
      </c>
      <c r="B618" s="268">
        <v>1024</v>
      </c>
      <c r="C618" s="393" t="s">
        <v>1430</v>
      </c>
      <c r="D618" s="191" t="s">
        <v>703</v>
      </c>
      <c r="E618" s="35" t="s">
        <v>1436</v>
      </c>
      <c r="F618" s="799">
        <v>66</v>
      </c>
      <c r="G618" s="799" t="s">
        <v>539</v>
      </c>
      <c r="H618" s="65" t="s">
        <v>73</v>
      </c>
      <c r="I618" s="37">
        <v>0.8</v>
      </c>
      <c r="J618" s="799">
        <v>45</v>
      </c>
      <c r="K618" s="65" t="s">
        <v>104</v>
      </c>
      <c r="L618" s="837" t="s">
        <v>570</v>
      </c>
      <c r="M618" s="837" t="s">
        <v>620</v>
      </c>
      <c r="N618" s="837" t="s">
        <v>620</v>
      </c>
      <c r="O618" s="837" t="s">
        <v>620</v>
      </c>
      <c r="P618" s="837" t="s">
        <v>637</v>
      </c>
      <c r="Q618" s="410" t="s">
        <v>637</v>
      </c>
      <c r="R618" s="39" t="s">
        <v>144</v>
      </c>
      <c r="S618" s="38" t="s">
        <v>145</v>
      </c>
      <c r="T618" s="833">
        <v>20180</v>
      </c>
      <c r="U618" s="833">
        <v>20780</v>
      </c>
      <c r="V618" s="833">
        <v>19220</v>
      </c>
      <c r="W618" s="820">
        <v>19690</v>
      </c>
      <c r="X618" s="838">
        <v>20550</v>
      </c>
      <c r="Y618" s="838">
        <v>23310</v>
      </c>
      <c r="Z618" s="838">
        <v>22830</v>
      </c>
      <c r="AA618" s="930">
        <v>24910</v>
      </c>
      <c r="AB618" s="838">
        <v>24210</v>
      </c>
      <c r="AC618" s="888">
        <v>20920</v>
      </c>
      <c r="AD618" s="749">
        <v>25040</v>
      </c>
      <c r="AE618" s="732" t="s">
        <v>229</v>
      </c>
      <c r="AF618" s="213">
        <v>37970</v>
      </c>
      <c r="AG618" s="315">
        <v>0.65946800105346326</v>
      </c>
      <c r="AH618" s="83" t="s">
        <v>97</v>
      </c>
      <c r="AI618" s="120">
        <v>1660</v>
      </c>
      <c r="AJ618" s="120">
        <v>2180</v>
      </c>
      <c r="AK618" s="316">
        <v>3410</v>
      </c>
      <c r="AL618" s="832">
        <f t="shared" si="29"/>
        <v>20032</v>
      </c>
      <c r="AM618" s="49">
        <v>4</v>
      </c>
    </row>
    <row r="619" spans="1:39" x14ac:dyDescent="0.3">
      <c r="A619" s="33">
        <v>1248</v>
      </c>
      <c r="B619" s="33">
        <v>1023</v>
      </c>
      <c r="C619" s="359" t="s">
        <v>1430</v>
      </c>
      <c r="D619" s="353" t="s">
        <v>707</v>
      </c>
      <c r="E619" s="70" t="s">
        <v>1437</v>
      </c>
      <c r="F619" s="800">
        <v>1990</v>
      </c>
      <c r="G619" s="800" t="s">
        <v>539</v>
      </c>
      <c r="H619" s="52" t="s">
        <v>73</v>
      </c>
      <c r="I619" s="72">
        <v>2.75</v>
      </c>
      <c r="J619" s="800" t="s">
        <v>130</v>
      </c>
      <c r="K619" s="52" t="s">
        <v>104</v>
      </c>
      <c r="L619" s="835" t="s">
        <v>570</v>
      </c>
      <c r="M619" s="835" t="s">
        <v>620</v>
      </c>
      <c r="N619" s="835" t="s">
        <v>620</v>
      </c>
      <c r="O619" s="835" t="s">
        <v>620</v>
      </c>
      <c r="P619" s="835" t="s">
        <v>637</v>
      </c>
      <c r="Q619" s="410" t="s">
        <v>637</v>
      </c>
      <c r="R619" s="55" t="s">
        <v>144</v>
      </c>
      <c r="S619" s="55" t="s">
        <v>145</v>
      </c>
      <c r="T619" s="825">
        <v>14340</v>
      </c>
      <c r="U619" s="825">
        <v>17250</v>
      </c>
      <c r="V619" s="825">
        <v>16480</v>
      </c>
      <c r="W619" s="822">
        <v>16450</v>
      </c>
      <c r="X619" s="760">
        <v>18450</v>
      </c>
      <c r="Y619" s="760">
        <v>20650</v>
      </c>
      <c r="Z619" s="760">
        <v>18620</v>
      </c>
      <c r="AA619" s="931">
        <v>21610</v>
      </c>
      <c r="AB619" s="760">
        <v>20840</v>
      </c>
      <c r="AC619" s="884">
        <v>18330</v>
      </c>
      <c r="AD619" s="748">
        <v>19440</v>
      </c>
      <c r="AE619" s="80" t="s">
        <v>229</v>
      </c>
      <c r="AF619" s="194">
        <v>37970</v>
      </c>
      <c r="AG619" s="303">
        <v>0.51198314458783245</v>
      </c>
      <c r="AH619" s="80" t="s">
        <v>97</v>
      </c>
      <c r="AI619" s="115">
        <v>1000</v>
      </c>
      <c r="AJ619" s="115">
        <v>1630</v>
      </c>
      <c r="AK619" s="304">
        <v>3410</v>
      </c>
      <c r="AL619" s="832">
        <f t="shared" si="29"/>
        <v>53460</v>
      </c>
      <c r="AM619" s="63">
        <v>4</v>
      </c>
    </row>
    <row r="620" spans="1:39" x14ac:dyDescent="0.3">
      <c r="A620" s="268">
        <v>1247</v>
      </c>
      <c r="B620" s="268">
        <v>1022</v>
      </c>
      <c r="C620" s="358" t="s">
        <v>1430</v>
      </c>
      <c r="D620" s="191" t="s">
        <v>1438</v>
      </c>
      <c r="E620" s="64" t="s">
        <v>1439</v>
      </c>
      <c r="F620" s="799">
        <v>1991</v>
      </c>
      <c r="G620" s="799" t="s">
        <v>539</v>
      </c>
      <c r="H620" s="36" t="s">
        <v>73</v>
      </c>
      <c r="I620" s="37">
        <v>0.25</v>
      </c>
      <c r="J620" s="799" t="s">
        <v>130</v>
      </c>
      <c r="K620" s="324" t="s">
        <v>104</v>
      </c>
      <c r="L620" s="837" t="s">
        <v>570</v>
      </c>
      <c r="M620" s="837" t="s">
        <v>587</v>
      </c>
      <c r="N620" s="837" t="s">
        <v>587</v>
      </c>
      <c r="O620" s="837" t="s">
        <v>587</v>
      </c>
      <c r="P620" s="837" t="s">
        <v>629</v>
      </c>
      <c r="Q620" s="310" t="s">
        <v>629</v>
      </c>
      <c r="R620" s="38" t="s">
        <v>144</v>
      </c>
      <c r="S620" s="38" t="s">
        <v>145</v>
      </c>
      <c r="T620" s="833">
        <v>13790</v>
      </c>
      <c r="U620" s="833">
        <v>14130</v>
      </c>
      <c r="V620" s="833">
        <v>14250</v>
      </c>
      <c r="W620" s="820">
        <v>15280</v>
      </c>
      <c r="X620" s="838">
        <v>16650</v>
      </c>
      <c r="Y620" s="838">
        <v>18260</v>
      </c>
      <c r="Z620" s="123">
        <v>16950</v>
      </c>
      <c r="AA620" s="691">
        <v>18690</v>
      </c>
      <c r="AB620" s="819">
        <v>19150</v>
      </c>
      <c r="AC620" s="888">
        <v>15880</v>
      </c>
      <c r="AD620" s="746">
        <v>17140</v>
      </c>
      <c r="AE620" s="144" t="s">
        <v>229</v>
      </c>
      <c r="AF620" s="502">
        <v>17050</v>
      </c>
      <c r="AG620" s="503">
        <v>1.0052785923753667</v>
      </c>
      <c r="AH620" s="47" t="s">
        <v>1525</v>
      </c>
      <c r="AI620" s="143">
        <v>1070</v>
      </c>
      <c r="AJ620" s="143">
        <v>1570</v>
      </c>
      <c r="AK620" s="504">
        <v>1540</v>
      </c>
      <c r="AL620" s="832">
        <f t="shared" si="29"/>
        <v>4285</v>
      </c>
      <c r="AM620" s="121">
        <v>2</v>
      </c>
    </row>
    <row r="621" spans="1:39" x14ac:dyDescent="0.3">
      <c r="A621" s="33">
        <v>1246</v>
      </c>
      <c r="B621" s="33">
        <v>1021</v>
      </c>
      <c r="C621" s="359" t="s">
        <v>1430</v>
      </c>
      <c r="D621" s="353" t="s">
        <v>1440</v>
      </c>
      <c r="E621" s="51" t="s">
        <v>1441</v>
      </c>
      <c r="F621" s="800">
        <v>1992</v>
      </c>
      <c r="G621" s="800" t="s">
        <v>539</v>
      </c>
      <c r="H621" s="52" t="s">
        <v>73</v>
      </c>
      <c r="I621" s="72">
        <v>1.1000000000000001</v>
      </c>
      <c r="J621" s="800" t="s">
        <v>130</v>
      </c>
      <c r="K621" s="52" t="s">
        <v>104</v>
      </c>
      <c r="L621" s="835" t="s">
        <v>570</v>
      </c>
      <c r="M621" s="835" t="s">
        <v>587</v>
      </c>
      <c r="N621" s="835" t="s">
        <v>587</v>
      </c>
      <c r="O621" s="835" t="s">
        <v>587</v>
      </c>
      <c r="P621" s="835" t="s">
        <v>629</v>
      </c>
      <c r="Q621" s="310" t="s">
        <v>629</v>
      </c>
      <c r="R621" s="55" t="s">
        <v>144</v>
      </c>
      <c r="S621" s="55" t="s">
        <v>145</v>
      </c>
      <c r="T621" s="825">
        <v>13220</v>
      </c>
      <c r="U621" s="825">
        <v>14100</v>
      </c>
      <c r="V621" s="825">
        <v>14220</v>
      </c>
      <c r="W621" s="822">
        <v>14560</v>
      </c>
      <c r="X621" s="760">
        <v>15770</v>
      </c>
      <c r="Y621" s="760">
        <v>17520</v>
      </c>
      <c r="Z621" s="129">
        <v>17200</v>
      </c>
      <c r="AA621" s="931">
        <v>17400</v>
      </c>
      <c r="AB621" s="819">
        <v>18590</v>
      </c>
      <c r="AC621" s="884">
        <v>15200</v>
      </c>
      <c r="AD621" s="748">
        <v>14840</v>
      </c>
      <c r="AE621" s="80" t="s">
        <v>229</v>
      </c>
      <c r="AF621" s="194">
        <v>17050</v>
      </c>
      <c r="AG621" s="303">
        <v>0.87038123167155423</v>
      </c>
      <c r="AH621" s="80" t="s">
        <v>80</v>
      </c>
      <c r="AI621" s="115">
        <v>870</v>
      </c>
      <c r="AJ621" s="115">
        <v>1360</v>
      </c>
      <c r="AK621" s="304">
        <v>1540</v>
      </c>
      <c r="AL621" s="832">
        <f t="shared" si="29"/>
        <v>16324.000000000002</v>
      </c>
      <c r="AM621" s="63">
        <v>2</v>
      </c>
    </row>
    <row r="622" spans="1:39" x14ac:dyDescent="0.3">
      <c r="A622" s="268">
        <v>1245</v>
      </c>
      <c r="B622" s="268">
        <v>1020</v>
      </c>
      <c r="C622" s="358" t="s">
        <v>1430</v>
      </c>
      <c r="D622" s="191" t="s">
        <v>745</v>
      </c>
      <c r="E622" s="35" t="s">
        <v>1442</v>
      </c>
      <c r="F622" s="799">
        <v>1993</v>
      </c>
      <c r="G622" s="799" t="s">
        <v>539</v>
      </c>
      <c r="H622" s="36" t="s">
        <v>73</v>
      </c>
      <c r="I622" s="37">
        <v>1.5</v>
      </c>
      <c r="J622" s="799" t="s">
        <v>140</v>
      </c>
      <c r="K622" s="324" t="s">
        <v>104</v>
      </c>
      <c r="L622" s="837" t="s">
        <v>570</v>
      </c>
      <c r="M622" s="837" t="s">
        <v>587</v>
      </c>
      <c r="N622" s="837" t="s">
        <v>587</v>
      </c>
      <c r="O622" s="837" t="s">
        <v>587</v>
      </c>
      <c r="P622" s="837" t="s">
        <v>629</v>
      </c>
      <c r="Q622" s="310" t="s">
        <v>629</v>
      </c>
      <c r="R622" s="38" t="s">
        <v>144</v>
      </c>
      <c r="S622" s="38" t="s">
        <v>145</v>
      </c>
      <c r="T622" s="833">
        <v>14280</v>
      </c>
      <c r="U622" s="833">
        <v>14410</v>
      </c>
      <c r="V622" s="833">
        <v>14430</v>
      </c>
      <c r="W622" s="820">
        <v>14410</v>
      </c>
      <c r="X622" s="838">
        <v>15940</v>
      </c>
      <c r="Y622" s="838">
        <v>17440</v>
      </c>
      <c r="Z622" s="123">
        <v>16850</v>
      </c>
      <c r="AA622" s="638">
        <v>20660</v>
      </c>
      <c r="AB622" s="159">
        <v>19740</v>
      </c>
      <c r="AC622" s="888">
        <v>15200</v>
      </c>
      <c r="AD622" s="749">
        <v>14430</v>
      </c>
      <c r="AE622" s="411" t="s">
        <v>229</v>
      </c>
      <c r="AF622" s="213">
        <v>17050</v>
      </c>
      <c r="AG622" s="315">
        <v>0.84633431085043986</v>
      </c>
      <c r="AH622" s="83" t="s">
        <v>80</v>
      </c>
      <c r="AI622" s="120">
        <v>910</v>
      </c>
      <c r="AJ622" s="120">
        <v>1280</v>
      </c>
      <c r="AK622" s="316">
        <v>1540</v>
      </c>
      <c r="AL622" s="832">
        <f t="shared" si="29"/>
        <v>21645</v>
      </c>
      <c r="AM622" s="121">
        <v>2</v>
      </c>
    </row>
    <row r="623" spans="1:39" x14ac:dyDescent="0.3">
      <c r="A623" s="33">
        <v>1244</v>
      </c>
      <c r="B623" s="33">
        <v>1019</v>
      </c>
      <c r="C623" s="359" t="s">
        <v>1430</v>
      </c>
      <c r="D623" s="353" t="s">
        <v>1443</v>
      </c>
      <c r="E623" s="51" t="s">
        <v>1444</v>
      </c>
      <c r="F623" s="800">
        <v>1994</v>
      </c>
      <c r="G623" s="800" t="s">
        <v>539</v>
      </c>
      <c r="H623" s="52" t="s">
        <v>73</v>
      </c>
      <c r="I623" s="72">
        <v>1</v>
      </c>
      <c r="J623" s="800" t="s">
        <v>205</v>
      </c>
      <c r="K623" s="302" t="s">
        <v>104</v>
      </c>
      <c r="L623" s="835" t="s">
        <v>636</v>
      </c>
      <c r="M623" s="835" t="s">
        <v>620</v>
      </c>
      <c r="N623" s="835" t="s">
        <v>620</v>
      </c>
      <c r="O623" s="835" t="s">
        <v>620</v>
      </c>
      <c r="P623" s="835" t="s">
        <v>637</v>
      </c>
      <c r="Q623" s="410" t="s">
        <v>637</v>
      </c>
      <c r="R623" s="55" t="s">
        <v>144</v>
      </c>
      <c r="S623" s="55" t="s">
        <v>145</v>
      </c>
      <c r="T623" s="825">
        <v>14820</v>
      </c>
      <c r="U623" s="825">
        <v>15070</v>
      </c>
      <c r="V623" s="825">
        <v>15310</v>
      </c>
      <c r="W623" s="822">
        <v>14840</v>
      </c>
      <c r="X623" s="760">
        <v>16380</v>
      </c>
      <c r="Y623" s="760">
        <v>19250</v>
      </c>
      <c r="Z623" s="760">
        <v>19120</v>
      </c>
      <c r="AA623" s="931">
        <v>23460</v>
      </c>
      <c r="AB623" s="760">
        <v>22060</v>
      </c>
      <c r="AC623" s="884">
        <v>16060</v>
      </c>
      <c r="AD623" s="748">
        <v>15430</v>
      </c>
      <c r="AE623" s="80" t="s">
        <v>229</v>
      </c>
      <c r="AF623" s="194">
        <v>37970</v>
      </c>
      <c r="AG623" s="303">
        <v>0.40637345272583619</v>
      </c>
      <c r="AH623" s="80" t="s">
        <v>97</v>
      </c>
      <c r="AI623" s="115">
        <v>860</v>
      </c>
      <c r="AJ623" s="115">
        <v>1340</v>
      </c>
      <c r="AK623" s="304">
        <v>3410</v>
      </c>
      <c r="AL623" s="832">
        <f t="shared" si="29"/>
        <v>15430</v>
      </c>
      <c r="AM623" s="63">
        <v>4</v>
      </c>
    </row>
    <row r="624" spans="1:39" x14ac:dyDescent="0.3">
      <c r="A624" s="268">
        <v>1242</v>
      </c>
      <c r="B624" s="268">
        <v>1017</v>
      </c>
      <c r="C624" s="358" t="s">
        <v>1430</v>
      </c>
      <c r="D624" s="191" t="s">
        <v>1445</v>
      </c>
      <c r="E624" s="64" t="s">
        <v>1446</v>
      </c>
      <c r="F624" s="799">
        <v>1996</v>
      </c>
      <c r="G624" s="799" t="s">
        <v>539</v>
      </c>
      <c r="H624" s="36" t="s">
        <v>73</v>
      </c>
      <c r="I624" s="37">
        <v>0.5</v>
      </c>
      <c r="J624" s="799" t="s">
        <v>205</v>
      </c>
      <c r="K624" s="324" t="s">
        <v>104</v>
      </c>
      <c r="L624" s="837" t="s">
        <v>636</v>
      </c>
      <c r="M624" s="837" t="s">
        <v>620</v>
      </c>
      <c r="N624" s="837" t="s">
        <v>620</v>
      </c>
      <c r="O624" s="837" t="s">
        <v>620</v>
      </c>
      <c r="P624" s="837" t="s">
        <v>637</v>
      </c>
      <c r="Q624" s="410" t="s">
        <v>637</v>
      </c>
      <c r="R624" s="38" t="s">
        <v>144</v>
      </c>
      <c r="S624" s="38" t="s">
        <v>145</v>
      </c>
      <c r="T624" s="833">
        <v>13580</v>
      </c>
      <c r="U624" s="833">
        <v>13330</v>
      </c>
      <c r="V624" s="833">
        <v>13690</v>
      </c>
      <c r="W624" s="820">
        <v>13300</v>
      </c>
      <c r="X624" s="838">
        <v>14750</v>
      </c>
      <c r="Y624" s="838">
        <v>13520</v>
      </c>
      <c r="Z624" s="838">
        <v>17220</v>
      </c>
      <c r="AA624" s="930">
        <v>19240</v>
      </c>
      <c r="AB624" s="838">
        <v>18990</v>
      </c>
      <c r="AC624" s="888">
        <v>12470</v>
      </c>
      <c r="AD624" s="749">
        <v>13940</v>
      </c>
      <c r="AE624" s="411" t="s">
        <v>229</v>
      </c>
      <c r="AF624" s="213">
        <v>37970</v>
      </c>
      <c r="AG624" s="315">
        <v>0.3671319462733737</v>
      </c>
      <c r="AH624" s="83" t="s">
        <v>97</v>
      </c>
      <c r="AI624" s="120">
        <v>760</v>
      </c>
      <c r="AJ624" s="120">
        <v>1160</v>
      </c>
      <c r="AK624" s="316">
        <v>3410</v>
      </c>
      <c r="AL624" s="832">
        <f t="shared" si="29"/>
        <v>6970</v>
      </c>
      <c r="AM624" s="121">
        <v>4</v>
      </c>
    </row>
    <row r="625" spans="1:39" x14ac:dyDescent="0.3">
      <c r="A625" s="33">
        <v>1241</v>
      </c>
      <c r="B625" s="33">
        <v>1016</v>
      </c>
      <c r="C625" s="359" t="s">
        <v>1430</v>
      </c>
      <c r="D625" s="353" t="s">
        <v>589</v>
      </c>
      <c r="E625" s="70" t="s">
        <v>1447</v>
      </c>
      <c r="F625" s="800">
        <v>1997</v>
      </c>
      <c r="G625" s="800" t="s">
        <v>539</v>
      </c>
      <c r="H625" s="52" t="s">
        <v>73</v>
      </c>
      <c r="I625" s="72">
        <v>0.5</v>
      </c>
      <c r="J625" s="800" t="s">
        <v>140</v>
      </c>
      <c r="K625" s="302" t="s">
        <v>104</v>
      </c>
      <c r="L625" s="835" t="s">
        <v>636</v>
      </c>
      <c r="M625" s="835" t="s">
        <v>620</v>
      </c>
      <c r="N625" s="835" t="s">
        <v>620</v>
      </c>
      <c r="O625" s="835" t="s">
        <v>620</v>
      </c>
      <c r="P625" s="835" t="s">
        <v>637</v>
      </c>
      <c r="Q625" s="410" t="s">
        <v>637</v>
      </c>
      <c r="R625" s="55" t="s">
        <v>144</v>
      </c>
      <c r="S625" s="55" t="s">
        <v>145</v>
      </c>
      <c r="T625" s="825">
        <v>10170</v>
      </c>
      <c r="U625" s="825">
        <v>10490</v>
      </c>
      <c r="V625" s="825">
        <v>9900</v>
      </c>
      <c r="W625" s="822">
        <v>10280</v>
      </c>
      <c r="X625" s="760">
        <v>10710</v>
      </c>
      <c r="Y625" s="760">
        <v>10060</v>
      </c>
      <c r="Z625" s="760">
        <v>12150</v>
      </c>
      <c r="AA625" s="931">
        <v>13710</v>
      </c>
      <c r="AB625" s="760">
        <v>14040</v>
      </c>
      <c r="AC625" s="884">
        <v>12780</v>
      </c>
      <c r="AD625" s="748">
        <v>11440</v>
      </c>
      <c r="AE625" s="80" t="s">
        <v>229</v>
      </c>
      <c r="AF625" s="194">
        <v>37970</v>
      </c>
      <c r="AG625" s="303">
        <v>0.30129049249407425</v>
      </c>
      <c r="AH625" s="80" t="s">
        <v>97</v>
      </c>
      <c r="AI625" s="115">
        <v>590</v>
      </c>
      <c r="AJ625" s="115">
        <v>1000</v>
      </c>
      <c r="AK625" s="304">
        <v>3410</v>
      </c>
      <c r="AL625" s="832">
        <f t="shared" si="29"/>
        <v>5720</v>
      </c>
      <c r="AM625" s="63">
        <v>4</v>
      </c>
    </row>
    <row r="626" spans="1:39" x14ac:dyDescent="0.3">
      <c r="A626" s="268">
        <v>1240</v>
      </c>
      <c r="B626" s="268">
        <v>1015</v>
      </c>
      <c r="C626" s="358" t="s">
        <v>1430</v>
      </c>
      <c r="D626" s="351" t="s">
        <v>1028</v>
      </c>
      <c r="E626" s="133" t="s">
        <v>1351</v>
      </c>
      <c r="F626" s="799">
        <v>1998</v>
      </c>
      <c r="G626" s="799" t="s">
        <v>539</v>
      </c>
      <c r="H626" s="36" t="s">
        <v>73</v>
      </c>
      <c r="I626" s="37">
        <v>2.35</v>
      </c>
      <c r="J626" s="799" t="s">
        <v>140</v>
      </c>
      <c r="K626" s="324" t="s">
        <v>104</v>
      </c>
      <c r="L626" s="837" t="s">
        <v>636</v>
      </c>
      <c r="M626" s="837" t="s">
        <v>620</v>
      </c>
      <c r="N626" s="837" t="s">
        <v>620</v>
      </c>
      <c r="O626" s="837" t="s">
        <v>620</v>
      </c>
      <c r="P626" s="837" t="s">
        <v>637</v>
      </c>
      <c r="Q626" s="410" t="s">
        <v>637</v>
      </c>
      <c r="R626" s="38" t="s">
        <v>144</v>
      </c>
      <c r="S626" s="38" t="s">
        <v>145</v>
      </c>
      <c r="T626" s="833">
        <v>13560</v>
      </c>
      <c r="U626" s="833">
        <v>14200</v>
      </c>
      <c r="V626" s="833">
        <v>13110</v>
      </c>
      <c r="W626" s="820">
        <v>13920</v>
      </c>
      <c r="X626" s="838">
        <v>15070</v>
      </c>
      <c r="Y626" s="838">
        <v>17070</v>
      </c>
      <c r="Z626" s="838">
        <v>17570</v>
      </c>
      <c r="AA626" s="930">
        <v>18230</v>
      </c>
      <c r="AB626" s="838">
        <v>20380</v>
      </c>
      <c r="AC626" s="888">
        <v>18260</v>
      </c>
      <c r="AD626" s="749">
        <v>18480</v>
      </c>
      <c r="AE626" s="411" t="s">
        <v>229</v>
      </c>
      <c r="AF626" s="213">
        <v>37970</v>
      </c>
      <c r="AG626" s="315">
        <v>0.48670002633658149</v>
      </c>
      <c r="AH626" s="83" t="s">
        <v>97</v>
      </c>
      <c r="AI626" s="120">
        <v>960</v>
      </c>
      <c r="AJ626" s="120">
        <v>1550</v>
      </c>
      <c r="AK626" s="316">
        <v>3410</v>
      </c>
      <c r="AL626" s="832">
        <f t="shared" si="29"/>
        <v>43428</v>
      </c>
      <c r="AM626" s="121">
        <v>4</v>
      </c>
    </row>
    <row r="627" spans="1:39" x14ac:dyDescent="0.3">
      <c r="A627" s="33">
        <v>1239</v>
      </c>
      <c r="B627" s="33">
        <v>1014</v>
      </c>
      <c r="C627" s="359" t="s">
        <v>1430</v>
      </c>
      <c r="D627" s="301" t="s">
        <v>1448</v>
      </c>
      <c r="E627" s="51" t="s">
        <v>1449</v>
      </c>
      <c r="F627" s="800">
        <v>1999</v>
      </c>
      <c r="G627" s="800" t="s">
        <v>539</v>
      </c>
      <c r="H627" s="52" t="s">
        <v>73</v>
      </c>
      <c r="I627" s="72">
        <v>0.35</v>
      </c>
      <c r="J627" s="800" t="s">
        <v>140</v>
      </c>
      <c r="K627" s="302" t="s">
        <v>104</v>
      </c>
      <c r="L627" s="835" t="s">
        <v>570</v>
      </c>
      <c r="M627" s="835" t="s">
        <v>587</v>
      </c>
      <c r="N627" s="835" t="s">
        <v>587</v>
      </c>
      <c r="O627" s="51" t="s">
        <v>620</v>
      </c>
      <c r="P627" s="51" t="s">
        <v>637</v>
      </c>
      <c r="Q627" s="410" t="s">
        <v>637</v>
      </c>
      <c r="R627" s="55" t="s">
        <v>144</v>
      </c>
      <c r="S627" s="55" t="s">
        <v>145</v>
      </c>
      <c r="T627" s="825">
        <v>12750</v>
      </c>
      <c r="U627" s="825">
        <v>13390</v>
      </c>
      <c r="V627" s="825">
        <v>13770</v>
      </c>
      <c r="W627" s="822">
        <v>13830</v>
      </c>
      <c r="X627" s="760">
        <v>13220</v>
      </c>
      <c r="Y627" s="760">
        <v>14040</v>
      </c>
      <c r="Z627" s="760">
        <v>16010</v>
      </c>
      <c r="AA627" s="931">
        <v>15570</v>
      </c>
      <c r="AB627" s="760">
        <v>20330</v>
      </c>
      <c r="AC627" s="884">
        <v>14220</v>
      </c>
      <c r="AD627" s="748">
        <v>17920</v>
      </c>
      <c r="AE627" s="80" t="s">
        <v>229</v>
      </c>
      <c r="AF627" s="194">
        <v>37970</v>
      </c>
      <c r="AG627" s="303">
        <v>0.47195154069001843</v>
      </c>
      <c r="AH627" s="80" t="s">
        <v>97</v>
      </c>
      <c r="AI627" s="115">
        <v>910</v>
      </c>
      <c r="AJ627" s="115">
        <v>1490</v>
      </c>
      <c r="AK627" s="304">
        <v>3410</v>
      </c>
      <c r="AL627" s="832">
        <f t="shared" si="29"/>
        <v>6272</v>
      </c>
      <c r="AM627" s="63">
        <v>4</v>
      </c>
    </row>
    <row r="628" spans="1:39" x14ac:dyDescent="0.3">
      <c r="A628" s="268">
        <v>1238</v>
      </c>
      <c r="B628" s="268">
        <v>1013</v>
      </c>
      <c r="C628" s="358" t="s">
        <v>1430</v>
      </c>
      <c r="D628" s="351" t="s">
        <v>750</v>
      </c>
      <c r="E628" s="35" t="s">
        <v>1450</v>
      </c>
      <c r="F628" s="799">
        <v>2000</v>
      </c>
      <c r="G628" s="799" t="s">
        <v>539</v>
      </c>
      <c r="H628" s="36" t="s">
        <v>73</v>
      </c>
      <c r="I628" s="37">
        <v>0.35</v>
      </c>
      <c r="J628" s="799" t="s">
        <v>140</v>
      </c>
      <c r="K628" s="324" t="s">
        <v>104</v>
      </c>
      <c r="L628" s="837" t="s">
        <v>570</v>
      </c>
      <c r="M628" s="837" t="s">
        <v>587</v>
      </c>
      <c r="N628" s="837" t="s">
        <v>587</v>
      </c>
      <c r="O628" s="35" t="s">
        <v>620</v>
      </c>
      <c r="P628" s="35" t="s">
        <v>637</v>
      </c>
      <c r="Q628" s="410" t="s">
        <v>637</v>
      </c>
      <c r="R628" s="38" t="s">
        <v>144</v>
      </c>
      <c r="S628" s="38" t="s">
        <v>145</v>
      </c>
      <c r="T628" s="833">
        <v>13570</v>
      </c>
      <c r="U628" s="833">
        <v>14430</v>
      </c>
      <c r="V628" s="833">
        <v>14610</v>
      </c>
      <c r="W628" s="820">
        <v>14400</v>
      </c>
      <c r="X628" s="838">
        <v>16300</v>
      </c>
      <c r="Y628" s="838">
        <v>17300</v>
      </c>
      <c r="Z628" s="838">
        <v>16880</v>
      </c>
      <c r="AA628" s="930">
        <v>18700</v>
      </c>
      <c r="AB628" s="838">
        <v>23500</v>
      </c>
      <c r="AC628" s="888">
        <v>16260</v>
      </c>
      <c r="AD628" s="749">
        <v>19310</v>
      </c>
      <c r="AE628" s="411" t="s">
        <v>229</v>
      </c>
      <c r="AF628" s="213">
        <v>37970</v>
      </c>
      <c r="AG628" s="315">
        <v>0.50855938899130892</v>
      </c>
      <c r="AH628" s="83" t="s">
        <v>97</v>
      </c>
      <c r="AI628" s="120">
        <v>1160</v>
      </c>
      <c r="AJ628" s="120">
        <v>1540</v>
      </c>
      <c r="AK628" s="316">
        <v>3410</v>
      </c>
      <c r="AL628" s="832">
        <f t="shared" si="29"/>
        <v>6758.5</v>
      </c>
      <c r="AM628" s="121">
        <v>4</v>
      </c>
    </row>
    <row r="629" spans="1:39" x14ac:dyDescent="0.3">
      <c r="A629" s="33">
        <v>1237</v>
      </c>
      <c r="B629" s="33">
        <v>1012</v>
      </c>
      <c r="C629" s="699" t="s">
        <v>1430</v>
      </c>
      <c r="D629" s="301" t="s">
        <v>752</v>
      </c>
      <c r="E629" s="70" t="s">
        <v>190</v>
      </c>
      <c r="F629" s="800">
        <v>2001</v>
      </c>
      <c r="G629" s="800" t="s">
        <v>539</v>
      </c>
      <c r="H629" s="52" t="s">
        <v>73</v>
      </c>
      <c r="I629" s="72">
        <v>2.0499999999999998</v>
      </c>
      <c r="J629" s="800" t="s">
        <v>205</v>
      </c>
      <c r="K629" s="302" t="s">
        <v>104</v>
      </c>
      <c r="L629" s="835" t="s">
        <v>570</v>
      </c>
      <c r="M629" s="835" t="s">
        <v>587</v>
      </c>
      <c r="N629" s="835" t="s">
        <v>587</v>
      </c>
      <c r="O629" s="835" t="s">
        <v>587</v>
      </c>
      <c r="P629" s="835" t="s">
        <v>629</v>
      </c>
      <c r="Q629" s="310" t="s">
        <v>629</v>
      </c>
      <c r="R629" s="55" t="s">
        <v>144</v>
      </c>
      <c r="S629" s="55" t="s">
        <v>145</v>
      </c>
      <c r="T629" s="825">
        <v>14090</v>
      </c>
      <c r="U629" s="825">
        <v>12500</v>
      </c>
      <c r="V629" s="825">
        <v>12860</v>
      </c>
      <c r="W629" s="822">
        <v>12550</v>
      </c>
      <c r="X629" s="760">
        <v>13300</v>
      </c>
      <c r="Y629" s="760">
        <v>15100</v>
      </c>
      <c r="Z629" s="760">
        <v>14290</v>
      </c>
      <c r="AA629" s="931">
        <v>18020</v>
      </c>
      <c r="AB629" s="819">
        <v>18640</v>
      </c>
      <c r="AC629" s="884">
        <v>15880</v>
      </c>
      <c r="AD629" s="746">
        <v>17520</v>
      </c>
      <c r="AE629" s="47" t="s">
        <v>229</v>
      </c>
      <c r="AF629" s="502">
        <v>17050</v>
      </c>
      <c r="AG629" s="503">
        <v>1.0275659824046921</v>
      </c>
      <c r="AH629" s="47" t="s">
        <v>1525</v>
      </c>
      <c r="AI629" s="143">
        <v>1000</v>
      </c>
      <c r="AJ629" s="143">
        <v>1420</v>
      </c>
      <c r="AK629" s="504">
        <v>1540</v>
      </c>
      <c r="AL629" s="832">
        <f t="shared" si="29"/>
        <v>35916</v>
      </c>
      <c r="AM629" s="63">
        <v>2</v>
      </c>
    </row>
    <row r="630" spans="1:39" ht="15" thickBot="1" x14ac:dyDescent="0.35">
      <c r="A630" s="305">
        <v>1234</v>
      </c>
      <c r="B630" s="305">
        <v>1009</v>
      </c>
      <c r="C630" s="368" t="s">
        <v>1430</v>
      </c>
      <c r="D630" s="306" t="s">
        <v>639</v>
      </c>
      <c r="E630" s="91" t="s">
        <v>1451</v>
      </c>
      <c r="F630" s="801">
        <v>2004</v>
      </c>
      <c r="G630" s="801" t="s">
        <v>539</v>
      </c>
      <c r="H630" s="92" t="s">
        <v>73</v>
      </c>
      <c r="I630" s="93">
        <v>0.6</v>
      </c>
      <c r="J630" s="801" t="s">
        <v>158</v>
      </c>
      <c r="K630" s="271" t="s">
        <v>104</v>
      </c>
      <c r="L630" s="841" t="s">
        <v>636</v>
      </c>
      <c r="M630" s="91" t="s">
        <v>620</v>
      </c>
      <c r="N630" s="91" t="s">
        <v>620</v>
      </c>
      <c r="O630" s="91" t="s">
        <v>620</v>
      </c>
      <c r="P630" s="91" t="s">
        <v>637</v>
      </c>
      <c r="Q630" s="410" t="s">
        <v>637</v>
      </c>
      <c r="R630" s="94" t="s">
        <v>144</v>
      </c>
      <c r="S630" s="94" t="s">
        <v>145</v>
      </c>
      <c r="T630" s="827">
        <v>18470</v>
      </c>
      <c r="U630" s="827">
        <v>20240</v>
      </c>
      <c r="V630" s="827">
        <v>19750</v>
      </c>
      <c r="W630" s="828">
        <v>19820</v>
      </c>
      <c r="X630" s="842">
        <v>17460</v>
      </c>
      <c r="Y630" s="842">
        <v>21850</v>
      </c>
      <c r="Z630" s="842">
        <v>20280</v>
      </c>
      <c r="AA630" s="935">
        <v>20950</v>
      </c>
      <c r="AB630" s="842">
        <v>21870</v>
      </c>
      <c r="AC630" s="842">
        <v>21330</v>
      </c>
      <c r="AD630" s="750">
        <v>21370</v>
      </c>
      <c r="AE630" s="246" t="s">
        <v>229</v>
      </c>
      <c r="AF630" s="241">
        <v>37970</v>
      </c>
      <c r="AG630" s="147">
        <v>0.56281274690545169</v>
      </c>
      <c r="AH630" s="100" t="s">
        <v>97</v>
      </c>
      <c r="AI630" s="126">
        <v>1330</v>
      </c>
      <c r="AJ630" s="126">
        <v>1650</v>
      </c>
      <c r="AK630" s="308">
        <v>3410</v>
      </c>
      <c r="AL630" s="829">
        <f t="shared" si="29"/>
        <v>12822</v>
      </c>
      <c r="AM630" s="127">
        <v>4</v>
      </c>
    </row>
    <row r="631" spans="1:39" x14ac:dyDescent="0.3">
      <c r="A631" s="103">
        <v>1262</v>
      </c>
      <c r="B631" s="700">
        <v>1035</v>
      </c>
      <c r="C631" s="644" t="s">
        <v>1452</v>
      </c>
      <c r="D631" s="701" t="s">
        <v>709</v>
      </c>
      <c r="E631" s="646" t="s">
        <v>231</v>
      </c>
      <c r="F631" s="1035">
        <v>2031</v>
      </c>
      <c r="G631" s="804" t="s">
        <v>539</v>
      </c>
      <c r="H631" s="702"/>
      <c r="I631" s="703">
        <v>0.5</v>
      </c>
      <c r="J631" s="804" t="s">
        <v>237</v>
      </c>
      <c r="K631" s="702" t="s">
        <v>104</v>
      </c>
      <c r="L631" s="1049" t="s">
        <v>583</v>
      </c>
      <c r="M631" s="843" t="s">
        <v>541</v>
      </c>
      <c r="N631" s="843" t="s">
        <v>541</v>
      </c>
      <c r="O631" s="843" t="s">
        <v>541</v>
      </c>
      <c r="P631" s="843" t="s">
        <v>542</v>
      </c>
      <c r="Q631" s="975" t="s">
        <v>542</v>
      </c>
      <c r="R631" s="702" t="s">
        <v>543</v>
      </c>
      <c r="S631" s="77" t="s">
        <v>858</v>
      </c>
      <c r="T631" s="825">
        <v>830</v>
      </c>
      <c r="U631" s="825">
        <v>800</v>
      </c>
      <c r="V631" s="825">
        <v>740</v>
      </c>
      <c r="W631" s="836">
        <v>830</v>
      </c>
      <c r="X631" s="759">
        <v>630</v>
      </c>
      <c r="Y631" s="759">
        <v>640</v>
      </c>
      <c r="Z631" s="759">
        <v>910</v>
      </c>
      <c r="AA631" s="929">
        <v>870</v>
      </c>
      <c r="AB631" s="977">
        <v>960</v>
      </c>
      <c r="AC631" s="887">
        <v>780</v>
      </c>
      <c r="AD631" s="754">
        <v>940</v>
      </c>
      <c r="AE631" s="704" t="s">
        <v>229</v>
      </c>
      <c r="AF631" s="409">
        <v>13640</v>
      </c>
      <c r="AG631" s="79">
        <v>6.89149560117302E-2</v>
      </c>
      <c r="AH631" s="86" t="s">
        <v>97</v>
      </c>
      <c r="AI631" s="181">
        <v>130</v>
      </c>
      <c r="AJ631" s="181">
        <v>80</v>
      </c>
      <c r="AK631" s="181">
        <v>1020</v>
      </c>
      <c r="AL631" s="832">
        <f t="shared" si="29"/>
        <v>470</v>
      </c>
      <c r="AM631" s="705">
        <v>2</v>
      </c>
    </row>
    <row r="632" spans="1:39" ht="15" thickBot="1" x14ac:dyDescent="0.35">
      <c r="A632" s="305">
        <v>1261</v>
      </c>
      <c r="B632" s="305">
        <v>1034</v>
      </c>
      <c r="C632" s="706" t="s">
        <v>1452</v>
      </c>
      <c r="D632" s="447" t="s">
        <v>711</v>
      </c>
      <c r="E632" s="707" t="s">
        <v>1453</v>
      </c>
      <c r="F632" s="946">
        <v>2030</v>
      </c>
      <c r="G632" s="801" t="s">
        <v>539</v>
      </c>
      <c r="H632" s="97"/>
      <c r="I632" s="93">
        <v>0.5</v>
      </c>
      <c r="J632" s="801" t="s">
        <v>237</v>
      </c>
      <c r="K632" s="92" t="s">
        <v>104</v>
      </c>
      <c r="L632" s="841" t="s">
        <v>583</v>
      </c>
      <c r="M632" s="841" t="s">
        <v>541</v>
      </c>
      <c r="N632" s="841" t="s">
        <v>541</v>
      </c>
      <c r="O632" s="841" t="s">
        <v>541</v>
      </c>
      <c r="P632" s="841" t="s">
        <v>542</v>
      </c>
      <c r="Q632" s="975" t="s">
        <v>542</v>
      </c>
      <c r="R632" s="97" t="s">
        <v>543</v>
      </c>
      <c r="S632" s="97" t="s">
        <v>858</v>
      </c>
      <c r="T632" s="827">
        <v>770</v>
      </c>
      <c r="U632" s="827">
        <v>750</v>
      </c>
      <c r="V632" s="827">
        <v>740</v>
      </c>
      <c r="W632" s="828">
        <v>810</v>
      </c>
      <c r="X632" s="842">
        <v>780</v>
      </c>
      <c r="Y632" s="842">
        <v>780</v>
      </c>
      <c r="Z632" s="842">
        <v>780</v>
      </c>
      <c r="AA632" s="935">
        <v>660</v>
      </c>
      <c r="AB632" s="862">
        <v>720</v>
      </c>
      <c r="AC632" s="861">
        <v>720</v>
      </c>
      <c r="AD632" s="126">
        <v>690</v>
      </c>
      <c r="AE632" s="92" t="s">
        <v>229</v>
      </c>
      <c r="AF632" s="772">
        <v>13640</v>
      </c>
      <c r="AG632" s="147">
        <v>5.0586510263929615E-2</v>
      </c>
      <c r="AH632" s="736" t="s">
        <v>97</v>
      </c>
      <c r="AI632" s="750">
        <v>50</v>
      </c>
      <c r="AJ632" s="750">
        <v>60</v>
      </c>
      <c r="AK632" s="750">
        <v>1020</v>
      </c>
      <c r="AL632" s="829">
        <f t="shared" si="29"/>
        <v>345</v>
      </c>
      <c r="AM632" s="127">
        <v>2</v>
      </c>
    </row>
    <row r="633" spans="1:39" x14ac:dyDescent="0.3">
      <c r="AI633" s="795"/>
    </row>
    <row r="634" spans="1:39" x14ac:dyDescent="0.3">
      <c r="Q634" s="709"/>
    </row>
    <row r="635" spans="1:39" x14ac:dyDescent="0.3">
      <c r="Q635" s="710"/>
      <c r="R635" s="711"/>
      <c r="S635" s="711"/>
      <c r="T635" s="711"/>
      <c r="U635" s="711"/>
      <c r="V635" s="711"/>
      <c r="W635" s="711"/>
      <c r="AF635" s="728"/>
    </row>
    <row r="636" spans="1:39" x14ac:dyDescent="0.3">
      <c r="C636" s="712" t="s">
        <v>1454</v>
      </c>
      <c r="D636" s="712"/>
      <c r="I636" s="729"/>
      <c r="R636" s="713"/>
      <c r="S636" s="713"/>
      <c r="T636" s="713"/>
      <c r="U636" s="713"/>
      <c r="V636" s="713"/>
      <c r="W636" s="713"/>
      <c r="AF636" s="714"/>
    </row>
    <row r="637" spans="1:39" x14ac:dyDescent="0.3">
      <c r="C637" t="s">
        <v>1456</v>
      </c>
      <c r="E637" s="715" t="s">
        <v>1457</v>
      </c>
      <c r="H637" s="712" t="s">
        <v>1455</v>
      </c>
      <c r="I637" s="729"/>
      <c r="R637" s="1050"/>
      <c r="S637" s="1050"/>
      <c r="T637" s="1050"/>
      <c r="U637" s="1050"/>
      <c r="V637" s="1050"/>
      <c r="W637" s="1050"/>
      <c r="AA637" s="708"/>
      <c r="AE637" s="796"/>
      <c r="AF637" s="797"/>
    </row>
    <row r="638" spans="1:39" x14ac:dyDescent="0.3">
      <c r="C638" t="s">
        <v>1458</v>
      </c>
      <c r="E638" s="715" t="s">
        <v>1459</v>
      </c>
      <c r="H638" s="717" t="s">
        <v>1460</v>
      </c>
      <c r="I638" s="1051"/>
      <c r="R638" s="1050"/>
      <c r="S638" s="1050"/>
      <c r="T638" s="1050"/>
      <c r="U638" s="1050"/>
      <c r="V638" s="1050"/>
      <c r="W638" s="1050"/>
      <c r="X638" s="708"/>
      <c r="Y638" s="708"/>
      <c r="Z638" s="708"/>
      <c r="AA638" s="708"/>
      <c r="AE638" s="796"/>
      <c r="AF638" s="797"/>
    </row>
    <row r="639" spans="1:39" x14ac:dyDescent="0.3">
      <c r="C639" t="s">
        <v>1461</v>
      </c>
      <c r="E639" s="715" t="s">
        <v>1462</v>
      </c>
      <c r="H639" s="718" t="s">
        <v>1463</v>
      </c>
      <c r="I639" s="730"/>
      <c r="R639" s="1050"/>
      <c r="S639" s="1050"/>
      <c r="T639" s="1050"/>
      <c r="U639" s="1050"/>
      <c r="V639" s="1050"/>
      <c r="W639" s="1050"/>
      <c r="AE639" s="796"/>
      <c r="AF639" s="797"/>
    </row>
    <row r="640" spans="1:39" x14ac:dyDescent="0.3">
      <c r="H640" s="1050" t="s">
        <v>1464</v>
      </c>
      <c r="I640" s="1051"/>
      <c r="R640" s="714"/>
      <c r="S640" s="713"/>
      <c r="T640" s="713"/>
      <c r="U640" s="713"/>
      <c r="V640" s="713"/>
      <c r="W640" s="713"/>
      <c r="AE640" s="798"/>
      <c r="AF640" s="714"/>
    </row>
    <row r="641" spans="3:32" x14ac:dyDescent="0.3">
      <c r="E641" s="715"/>
      <c r="H641" s="714" t="s">
        <v>539</v>
      </c>
      <c r="R641" s="1050"/>
      <c r="S641" s="1050"/>
      <c r="T641" s="1050"/>
      <c r="U641" s="1050"/>
      <c r="V641" s="1050"/>
      <c r="W641" s="1050"/>
      <c r="AE641" s="796"/>
      <c r="AF641" s="797"/>
    </row>
    <row r="642" spans="3:32" x14ac:dyDescent="0.3">
      <c r="C642" s="712" t="s">
        <v>1466</v>
      </c>
      <c r="D642" s="712"/>
      <c r="H642" s="717" t="s">
        <v>1465</v>
      </c>
      <c r="I642" s="798"/>
      <c r="AE642" s="798"/>
      <c r="AF642" s="797"/>
    </row>
    <row r="643" spans="3:32" x14ac:dyDescent="0.3">
      <c r="C643" s="719" t="s">
        <v>1467</v>
      </c>
      <c r="E643" s="719" t="s">
        <v>1468</v>
      </c>
      <c r="R643" s="711"/>
      <c r="S643" s="711"/>
      <c r="T643" s="711"/>
      <c r="U643" s="711"/>
      <c r="V643" s="711"/>
      <c r="W643" s="711"/>
      <c r="AE643" s="796"/>
      <c r="AF643" s="728"/>
    </row>
    <row r="644" spans="3:32" x14ac:dyDescent="0.3">
      <c r="C644" t="s">
        <v>1469</v>
      </c>
      <c r="E644" s="719" t="s">
        <v>1470</v>
      </c>
      <c r="H644" s="1050" t="s">
        <v>1471</v>
      </c>
      <c r="I644" s="1051"/>
      <c r="AF644" s="797"/>
    </row>
    <row r="645" spans="3:32" x14ac:dyDescent="0.3">
      <c r="C645" s="719" t="s">
        <v>1472</v>
      </c>
      <c r="E645" s="719" t="s">
        <v>1473</v>
      </c>
      <c r="R645" s="713"/>
      <c r="S645" s="713"/>
      <c r="T645" s="713"/>
      <c r="U645" s="713"/>
      <c r="V645" s="713"/>
      <c r="W645" s="713"/>
      <c r="X645" s="745"/>
      <c r="Y645" s="745"/>
      <c r="Z645" s="745"/>
      <c r="AA645" s="745"/>
      <c r="AB645" s="710"/>
      <c r="AC645" s="710"/>
      <c r="AD645" s="710"/>
      <c r="AF645" s="714"/>
    </row>
    <row r="646" spans="3:32" x14ac:dyDescent="0.3">
      <c r="C646" s="720" t="s">
        <v>1474</v>
      </c>
      <c r="E646" s="720" t="s">
        <v>1475</v>
      </c>
      <c r="H646" s="710" t="s">
        <v>1476</v>
      </c>
      <c r="I646" s="1052"/>
      <c r="R646" s="713"/>
      <c r="S646" s="713"/>
      <c r="T646" s="713"/>
      <c r="U646" s="713"/>
      <c r="V646" s="713"/>
      <c r="W646" s="713"/>
      <c r="X646" s="745"/>
      <c r="Y646" s="745"/>
      <c r="Z646" s="745"/>
      <c r="AA646" s="745"/>
      <c r="AB646" s="710"/>
      <c r="AC646" s="710"/>
      <c r="AD646" s="710"/>
      <c r="AF646" s="714"/>
    </row>
    <row r="647" spans="3:32" x14ac:dyDescent="0.3">
      <c r="C647" s="720" t="s">
        <v>1477</v>
      </c>
      <c r="E647" s="720" t="s">
        <v>1478</v>
      </c>
      <c r="H647" s="710" t="s">
        <v>1479</v>
      </c>
      <c r="R647" s="1050"/>
      <c r="S647" s="1050"/>
      <c r="T647" s="1050"/>
      <c r="U647" s="1050"/>
      <c r="V647" s="1050"/>
      <c r="W647" s="1050"/>
      <c r="X647" s="1053"/>
      <c r="Y647" s="1053"/>
      <c r="Z647" s="1053"/>
      <c r="AA647" s="1053"/>
      <c r="AB647" s="721"/>
      <c r="AC647" s="721"/>
      <c r="AD647" s="721"/>
      <c r="AF647" s="797"/>
    </row>
    <row r="648" spans="3:32" x14ac:dyDescent="0.3">
      <c r="C648" s="719"/>
      <c r="E648" s="719"/>
      <c r="H648" s="710" t="s">
        <v>1480</v>
      </c>
      <c r="R648" s="1050"/>
      <c r="S648" s="1050"/>
      <c r="T648" s="1050"/>
      <c r="U648" s="1050"/>
      <c r="V648" s="1050"/>
      <c r="W648" s="1050"/>
      <c r="X648" s="1053"/>
      <c r="Y648" s="1053"/>
      <c r="Z648" s="1053"/>
      <c r="AA648" s="1053"/>
      <c r="AB648" s="721"/>
      <c r="AC648" s="721"/>
      <c r="AD648" s="721"/>
      <c r="AF648" s="797"/>
    </row>
    <row r="649" spans="3:32" x14ac:dyDescent="0.3">
      <c r="C649" s="719" t="s">
        <v>1481</v>
      </c>
      <c r="E649" s="719" t="s">
        <v>1482</v>
      </c>
      <c r="R649" s="1050"/>
      <c r="S649" s="1050"/>
      <c r="T649" s="1050"/>
      <c r="U649" s="1050"/>
      <c r="V649" s="1050"/>
      <c r="W649" s="1050"/>
      <c r="X649" s="1053"/>
      <c r="Y649" s="1053"/>
      <c r="Z649" s="1053"/>
      <c r="AA649" s="1053"/>
      <c r="AB649" s="721"/>
      <c r="AC649" s="721"/>
      <c r="AD649" s="721"/>
      <c r="AF649" s="797"/>
    </row>
    <row r="650" spans="3:32" x14ac:dyDescent="0.3">
      <c r="C650" s="716" t="s">
        <v>1483</v>
      </c>
      <c r="E650" s="719" t="s">
        <v>1484</v>
      </c>
      <c r="R650" s="714"/>
      <c r="S650" s="713"/>
      <c r="T650" s="713"/>
      <c r="U650" s="713"/>
      <c r="V650" s="713"/>
      <c r="W650" s="713"/>
      <c r="X650" s="1053"/>
      <c r="Y650" s="1053"/>
      <c r="Z650" s="1053"/>
      <c r="AA650" s="1053"/>
      <c r="AB650" s="721"/>
      <c r="AC650" s="721"/>
      <c r="AD650" s="721"/>
      <c r="AF650" s="714"/>
    </row>
    <row r="651" spans="3:32" x14ac:dyDescent="0.3">
      <c r="C651" s="719"/>
      <c r="E651" s="719"/>
      <c r="R651" s="1050"/>
      <c r="S651" s="1050"/>
      <c r="T651" s="1050"/>
      <c r="U651" s="1050"/>
      <c r="V651" s="1050"/>
      <c r="W651" s="1050"/>
      <c r="X651" s="1053"/>
      <c r="Y651" s="1053"/>
      <c r="Z651" s="1053"/>
      <c r="AA651" s="1053"/>
      <c r="AB651" s="721"/>
      <c r="AC651" s="721"/>
      <c r="AD651" s="721"/>
      <c r="AF651" s="797"/>
    </row>
    <row r="652" spans="3:32" x14ac:dyDescent="0.3">
      <c r="C652" s="712" t="s">
        <v>1485</v>
      </c>
      <c r="D652" s="712"/>
      <c r="E652" s="715"/>
      <c r="R652" s="798"/>
      <c r="S652" s="798"/>
      <c r="T652" s="798"/>
      <c r="U652" s="798"/>
      <c r="V652" s="798"/>
      <c r="W652" s="798"/>
    </row>
    <row r="653" spans="3:32" x14ac:dyDescent="0.3">
      <c r="C653" t="s">
        <v>1469</v>
      </c>
      <c r="E653" s="719" t="s">
        <v>1470</v>
      </c>
      <c r="R653" s="798"/>
      <c r="S653" s="798"/>
      <c r="T653" s="798"/>
      <c r="U653" s="798"/>
      <c r="V653" s="798"/>
      <c r="W653" s="798"/>
      <c r="X653" s="745"/>
      <c r="Y653" s="745"/>
      <c r="Z653" s="745"/>
      <c r="AA653" s="745"/>
      <c r="AB653" s="710"/>
      <c r="AC653" s="710"/>
      <c r="AD653" s="710"/>
    </row>
    <row r="654" spans="3:32" x14ac:dyDescent="0.3">
      <c r="C654" s="719" t="s">
        <v>1472</v>
      </c>
      <c r="E654" s="719" t="s">
        <v>1473</v>
      </c>
      <c r="R654" s="798"/>
      <c r="S654" s="798"/>
      <c r="T654" s="798"/>
      <c r="U654" s="798"/>
      <c r="V654" s="798"/>
      <c r="W654" s="798"/>
      <c r="X654" s="722"/>
      <c r="Y654" s="722"/>
      <c r="Z654" s="722"/>
      <c r="AA654" s="722"/>
      <c r="AB654" s="723"/>
      <c r="AC654" s="723"/>
      <c r="AD654" s="723"/>
    </row>
    <row r="655" spans="3:32" x14ac:dyDescent="0.3">
      <c r="C655" s="719" t="s">
        <v>1486</v>
      </c>
      <c r="E655" s="719" t="s">
        <v>1487</v>
      </c>
      <c r="R655" s="724" t="s">
        <v>1488</v>
      </c>
      <c r="S655" s="724"/>
      <c r="T655" s="724"/>
      <c r="U655" s="724"/>
      <c r="V655" s="724"/>
      <c r="W655" s="724"/>
      <c r="X655" s="745"/>
      <c r="Y655" s="745"/>
      <c r="Z655" s="745"/>
      <c r="AA655" s="745"/>
      <c r="AB655" s="710"/>
      <c r="AC655" s="710"/>
      <c r="AD655" s="710"/>
    </row>
    <row r="656" spans="3:32" x14ac:dyDescent="0.3">
      <c r="E656" s="715"/>
      <c r="R656" s="713" t="s">
        <v>1455</v>
      </c>
      <c r="S656" s="713"/>
      <c r="T656" s="713"/>
      <c r="U656" s="713"/>
      <c r="V656" s="713"/>
      <c r="W656" s="713"/>
      <c r="X656" s="745"/>
      <c r="Y656" s="745"/>
      <c r="Z656" s="745"/>
      <c r="AA656" s="745"/>
      <c r="AB656" s="710"/>
      <c r="AC656" s="710"/>
      <c r="AD656" s="710"/>
    </row>
    <row r="657" spans="3:30" x14ac:dyDescent="0.3">
      <c r="C657" s="712" t="s">
        <v>1489</v>
      </c>
      <c r="D657" s="712"/>
      <c r="E657" s="715"/>
      <c r="R657" s="717" t="s">
        <v>1490</v>
      </c>
      <c r="S657" s="717"/>
      <c r="T657" s="717"/>
      <c r="U657" s="717"/>
      <c r="V657" s="717"/>
      <c r="W657" s="717"/>
      <c r="X657" s="1054"/>
      <c r="Y657" s="1054"/>
      <c r="Z657" s="1054"/>
      <c r="AA657" s="1054"/>
      <c r="AB657" s="725"/>
      <c r="AC657" s="725"/>
      <c r="AD657" s="725"/>
    </row>
    <row r="658" spans="3:30" x14ac:dyDescent="0.3">
      <c r="C658" t="s">
        <v>1469</v>
      </c>
      <c r="E658" s="719" t="s">
        <v>1470</v>
      </c>
      <c r="R658" s="717" t="s">
        <v>1491</v>
      </c>
      <c r="S658" s="717"/>
      <c r="T658" s="717"/>
      <c r="U658" s="717"/>
      <c r="V658" s="717"/>
      <c r="W658" s="717"/>
      <c r="X658" s="1054"/>
      <c r="Y658" s="1054"/>
      <c r="Z658" s="1054"/>
      <c r="AA658" s="1054"/>
      <c r="AB658" s="725"/>
      <c r="AC658" s="725"/>
      <c r="AD658" s="725"/>
    </row>
    <row r="659" spans="3:30" x14ac:dyDescent="0.3">
      <c r="C659" s="719" t="s">
        <v>1472</v>
      </c>
      <c r="E659" s="719" t="s">
        <v>1473</v>
      </c>
      <c r="R659" s="1050" t="s">
        <v>1492</v>
      </c>
      <c r="S659" s="1050"/>
      <c r="T659" s="1050"/>
      <c r="U659" s="1050"/>
      <c r="V659" s="1050"/>
      <c r="W659" s="1050"/>
      <c r="X659" s="1054"/>
      <c r="Y659" s="1054"/>
      <c r="Z659" s="1054"/>
      <c r="AA659" s="1054"/>
      <c r="AB659" s="725"/>
      <c r="AC659" s="725"/>
      <c r="AD659" s="725"/>
    </row>
    <row r="660" spans="3:30" x14ac:dyDescent="0.3">
      <c r="C660" s="719" t="s">
        <v>1493</v>
      </c>
      <c r="E660" s="715" t="s">
        <v>1494</v>
      </c>
      <c r="R660" s="714" t="s">
        <v>539</v>
      </c>
      <c r="S660" s="713"/>
      <c r="T660" s="713"/>
      <c r="U660" s="713"/>
      <c r="V660" s="713"/>
      <c r="W660" s="713"/>
      <c r="X660" s="1054"/>
      <c r="Y660" s="1054"/>
      <c r="Z660" s="1054"/>
      <c r="AA660" s="1054"/>
      <c r="AB660" s="725"/>
      <c r="AC660" s="725"/>
      <c r="AD660" s="725"/>
    </row>
    <row r="661" spans="3:30" x14ac:dyDescent="0.3">
      <c r="E661" s="715"/>
      <c r="R661" s="717" t="s">
        <v>1495</v>
      </c>
      <c r="S661" s="717"/>
      <c r="T661" s="717"/>
      <c r="U661" s="717"/>
      <c r="V661" s="717"/>
      <c r="W661" s="717"/>
      <c r="X661" s="1054"/>
      <c r="Y661" s="1054"/>
      <c r="Z661" s="1054"/>
      <c r="AA661" s="1054"/>
      <c r="AB661" s="725"/>
      <c r="AC661" s="725"/>
      <c r="AD661" s="725"/>
    </row>
    <row r="662" spans="3:30" x14ac:dyDescent="0.3">
      <c r="C662" s="712" t="s">
        <v>1496</v>
      </c>
      <c r="D662" s="712"/>
      <c r="R662" s="712"/>
      <c r="S662" s="712"/>
      <c r="T662" s="712"/>
      <c r="U662" s="712"/>
      <c r="V662" s="712"/>
      <c r="W662" s="712"/>
      <c r="X662" s="745"/>
      <c r="Y662" s="745"/>
      <c r="Z662" s="745"/>
      <c r="AA662" s="745"/>
      <c r="AB662" s="710"/>
      <c r="AC662" s="710"/>
      <c r="AD662" s="710"/>
    </row>
    <row r="663" spans="3:30" x14ac:dyDescent="0.3">
      <c r="C663" t="s">
        <v>1497</v>
      </c>
      <c r="E663" s="715" t="s">
        <v>1498</v>
      </c>
      <c r="R663" s="717" t="s">
        <v>1499</v>
      </c>
      <c r="S663" s="717"/>
      <c r="T663" s="717"/>
      <c r="U663" s="717"/>
      <c r="V663" s="717"/>
      <c r="W663" s="717"/>
      <c r="X663" s="726"/>
      <c r="Y663" s="726"/>
      <c r="Z663" s="726"/>
      <c r="AA663" s="726"/>
      <c r="AB663" s="725"/>
      <c r="AC663" s="725"/>
      <c r="AD663" s="725"/>
    </row>
    <row r="664" spans="3:30" x14ac:dyDescent="0.3">
      <c r="C664" t="s">
        <v>1500</v>
      </c>
      <c r="E664" s="715" t="s">
        <v>1501</v>
      </c>
    </row>
    <row r="665" spans="3:30" x14ac:dyDescent="0.3">
      <c r="E665" s="715"/>
      <c r="R665" s="724" t="s">
        <v>1502</v>
      </c>
      <c r="S665" s="724"/>
      <c r="T665" s="724"/>
      <c r="U665" s="724"/>
      <c r="V665" s="724"/>
      <c r="W665" s="724"/>
      <c r="X665" s="745"/>
      <c r="Y665" s="745"/>
      <c r="Z665" s="745"/>
      <c r="AA665" s="745"/>
      <c r="AB665" s="710"/>
      <c r="AC665" s="710"/>
      <c r="AD665" s="710"/>
    </row>
    <row r="666" spans="3:30" x14ac:dyDescent="0.3">
      <c r="C666" s="712" t="s">
        <v>1503</v>
      </c>
      <c r="D666" s="712"/>
      <c r="R666" s="713" t="s">
        <v>1455</v>
      </c>
      <c r="S666" s="713"/>
      <c r="T666" s="713"/>
      <c r="U666" s="713"/>
      <c r="V666" s="713"/>
      <c r="W666" s="713"/>
      <c r="X666" s="745"/>
      <c r="Y666" s="745"/>
      <c r="Z666" s="745"/>
      <c r="AA666" s="745"/>
      <c r="AB666" s="710"/>
      <c r="AC666" s="710"/>
      <c r="AD666" s="710"/>
    </row>
    <row r="667" spans="3:30" x14ac:dyDescent="0.3">
      <c r="C667" s="715" t="s">
        <v>1504</v>
      </c>
      <c r="D667" s="715"/>
      <c r="E667" s="715" t="s">
        <v>1505</v>
      </c>
      <c r="R667" s="717" t="s">
        <v>1506</v>
      </c>
      <c r="S667" s="717"/>
      <c r="T667" s="717"/>
      <c r="U667" s="717"/>
      <c r="V667" s="717"/>
      <c r="W667" s="717"/>
      <c r="X667" s="1054"/>
      <c r="Y667" s="1054"/>
      <c r="Z667" s="1054"/>
      <c r="AA667" s="1054"/>
      <c r="AB667" s="725"/>
      <c r="AC667" s="725"/>
      <c r="AD667" s="725"/>
    </row>
    <row r="668" spans="3:30" x14ac:dyDescent="0.3">
      <c r="C668" s="715"/>
      <c r="D668" s="715"/>
      <c r="R668" s="717" t="s">
        <v>1507</v>
      </c>
      <c r="S668" s="717"/>
      <c r="T668" s="717"/>
      <c r="U668" s="717"/>
      <c r="V668" s="717"/>
      <c r="W668" s="717"/>
      <c r="X668" s="1054"/>
      <c r="Y668" s="1054"/>
      <c r="Z668" s="1054"/>
      <c r="AA668" s="1054"/>
      <c r="AB668" s="725"/>
      <c r="AC668" s="725"/>
      <c r="AD668" s="725"/>
    </row>
    <row r="669" spans="3:30" x14ac:dyDescent="0.3">
      <c r="C669" s="712" t="s">
        <v>1508</v>
      </c>
      <c r="D669" s="712"/>
      <c r="R669" s="1050" t="s">
        <v>1509</v>
      </c>
      <c r="S669" s="1050"/>
      <c r="T669" s="1050"/>
      <c r="U669" s="1050"/>
      <c r="V669" s="1050"/>
      <c r="W669" s="1050"/>
      <c r="X669" s="1054"/>
      <c r="Y669" s="1054"/>
      <c r="Z669" s="1054"/>
      <c r="AA669" s="1054"/>
      <c r="AB669" s="725"/>
      <c r="AC669" s="725"/>
      <c r="AD669" s="725"/>
    </row>
    <row r="670" spans="3:30" x14ac:dyDescent="0.3">
      <c r="C670" t="s">
        <v>80</v>
      </c>
      <c r="E670" s="715" t="s">
        <v>1510</v>
      </c>
      <c r="R670" s="714" t="s">
        <v>539</v>
      </c>
      <c r="S670" s="713"/>
      <c r="T670" s="713"/>
      <c r="U670" s="713"/>
      <c r="V670" s="713"/>
      <c r="W670" s="713"/>
      <c r="X670" s="745"/>
      <c r="Y670" s="745"/>
      <c r="Z670" s="745"/>
      <c r="AA670" s="745"/>
      <c r="AB670" s="710"/>
      <c r="AC670" s="710"/>
      <c r="AD670" s="710"/>
    </row>
    <row r="671" spans="3:30" x14ac:dyDescent="0.3">
      <c r="C671" t="s">
        <v>1511</v>
      </c>
      <c r="E671" s="715" t="s">
        <v>1512</v>
      </c>
      <c r="R671" s="717" t="s">
        <v>1513</v>
      </c>
      <c r="S671" s="717"/>
      <c r="T671" s="717"/>
      <c r="U671" s="717"/>
      <c r="V671" s="717"/>
      <c r="W671" s="717"/>
      <c r="X671" s="1054"/>
      <c r="Y671" s="1054"/>
      <c r="Z671" s="1054"/>
      <c r="AA671" s="1054"/>
      <c r="AB671" s="725"/>
      <c r="AC671" s="725"/>
      <c r="AD671" s="725"/>
    </row>
    <row r="672" spans="3:30" x14ac:dyDescent="0.3">
      <c r="R672" s="712"/>
      <c r="S672" s="712"/>
      <c r="T672" s="712"/>
      <c r="U672" s="712"/>
      <c r="V672" s="712"/>
      <c r="W672" s="712"/>
      <c r="X672" s="745"/>
      <c r="Y672" s="745"/>
      <c r="Z672" s="745"/>
      <c r="AA672" s="745"/>
      <c r="AB672" s="710"/>
      <c r="AC672" s="710"/>
      <c r="AD672" s="710"/>
    </row>
    <row r="673" spans="3:30" x14ac:dyDescent="0.3">
      <c r="R673" s="717" t="s">
        <v>1514</v>
      </c>
      <c r="S673" s="717"/>
      <c r="T673" s="717"/>
      <c r="U673" s="717"/>
      <c r="V673" s="717"/>
      <c r="W673" s="717"/>
      <c r="X673" s="726"/>
      <c r="Y673" s="726"/>
      <c r="Z673" s="726"/>
      <c r="AA673" s="726"/>
      <c r="AB673" s="725"/>
      <c r="AC673" s="725"/>
      <c r="AD673" s="725"/>
    </row>
    <row r="674" spans="3:30" x14ac:dyDescent="0.3">
      <c r="R674" s="798"/>
      <c r="S674" s="798"/>
      <c r="T674" s="798"/>
      <c r="U674" s="798"/>
      <c r="V674" s="798"/>
      <c r="W674" s="798"/>
    </row>
    <row r="675" spans="3:30" x14ac:dyDescent="0.3">
      <c r="C675" s="712" t="s">
        <v>1515</v>
      </c>
      <c r="D675" s="712"/>
    </row>
    <row r="676" spans="3:30" x14ac:dyDescent="0.3">
      <c r="C676" t="s">
        <v>1516</v>
      </c>
      <c r="E676" s="715" t="s">
        <v>1517</v>
      </c>
    </row>
    <row r="677" spans="3:30" x14ac:dyDescent="0.3">
      <c r="C677" t="s">
        <v>1518</v>
      </c>
      <c r="E677" s="715" t="s">
        <v>1519</v>
      </c>
    </row>
    <row r="682" spans="3:30" x14ac:dyDescent="0.3">
      <c r="R682" s="708" t="s">
        <v>1520</v>
      </c>
      <c r="S682" s="708"/>
      <c r="T682" s="708"/>
      <c r="U682" s="708"/>
      <c r="V682" s="708"/>
      <c r="W682" s="708"/>
      <c r="X682" s="1055"/>
      <c r="Y682" s="1055"/>
      <c r="Z682" s="1055"/>
      <c r="AA682" s="1055"/>
      <c r="AB682" s="727"/>
      <c r="AC682" s="727"/>
      <c r="AD682" s="727"/>
    </row>
    <row r="683" spans="3:30" x14ac:dyDescent="0.3">
      <c r="R683" s="717" t="s">
        <v>1521</v>
      </c>
      <c r="S683" s="717"/>
      <c r="T683" s="717"/>
      <c r="U683" s="717"/>
      <c r="V683" s="717"/>
      <c r="W683" s="717"/>
    </row>
    <row r="684" spans="3:30" x14ac:dyDescent="0.3">
      <c r="R684" s="718" t="s">
        <v>1522</v>
      </c>
      <c r="S684" s="717"/>
      <c r="T684" s="717"/>
      <c r="U684" s="717"/>
      <c r="V684" s="717"/>
      <c r="W684" s="717"/>
      <c r="X684" s="708"/>
      <c r="Y684" s="708"/>
      <c r="Z684" s="708"/>
      <c r="AA684" s="708"/>
    </row>
    <row r="685" spans="3:30" x14ac:dyDescent="0.3">
      <c r="R685" s="717" t="s">
        <v>1523</v>
      </c>
      <c r="S685" s="717"/>
      <c r="T685" s="717"/>
      <c r="U685" s="717"/>
      <c r="V685" s="717"/>
      <c r="W685" s="717"/>
    </row>
    <row r="686" spans="3:30" x14ac:dyDescent="0.3">
      <c r="X686" s="745"/>
      <c r="Y686" s="745"/>
      <c r="Z686" s="745"/>
      <c r="AA686" s="745"/>
      <c r="AB686" s="710"/>
      <c r="AC686" s="710"/>
      <c r="AD686" s="710"/>
    </row>
    <row r="687" spans="3:30" x14ac:dyDescent="0.3">
      <c r="X687" s="745"/>
      <c r="Y687" s="745"/>
      <c r="Z687" s="745"/>
      <c r="AA687" s="745"/>
      <c r="AB687" s="710"/>
      <c r="AC687" s="710"/>
      <c r="AD687" s="710"/>
    </row>
    <row r="688" spans="3:30" x14ac:dyDescent="0.3">
      <c r="X688" s="1053"/>
      <c r="Y688" s="1053"/>
      <c r="Z688" s="1053"/>
      <c r="AA688" s="1053"/>
      <c r="AB688" s="721"/>
      <c r="AC688" s="721"/>
      <c r="AD688" s="721"/>
    </row>
    <row r="689" spans="18:30" x14ac:dyDescent="0.3">
      <c r="R689" s="717" t="s">
        <v>1521</v>
      </c>
      <c r="S689" s="717"/>
      <c r="T689" s="717"/>
      <c r="U689" s="717"/>
      <c r="V689" s="717"/>
      <c r="W689" s="717"/>
      <c r="X689" s="1053"/>
      <c r="Y689" s="1053"/>
      <c r="Z689" s="1053"/>
      <c r="AA689" s="1053"/>
      <c r="AB689" s="721"/>
      <c r="AC689" s="721"/>
      <c r="AD689" s="721"/>
    </row>
    <row r="690" spans="18:30" x14ac:dyDescent="0.3">
      <c r="R690" s="718" t="s">
        <v>1522</v>
      </c>
      <c r="S690" s="717"/>
      <c r="T690" s="717"/>
      <c r="U690" s="717"/>
      <c r="V690" s="717"/>
      <c r="W690" s="717"/>
      <c r="X690" s="1053"/>
      <c r="Y690" s="1053"/>
      <c r="Z690" s="1053"/>
      <c r="AA690" s="1053"/>
      <c r="AB690" s="721"/>
      <c r="AC690" s="721"/>
      <c r="AD690" s="721"/>
    </row>
    <row r="691" spans="18:30" x14ac:dyDescent="0.3">
      <c r="R691" s="717" t="s">
        <v>1523</v>
      </c>
      <c r="S691" s="717"/>
      <c r="T691" s="717"/>
      <c r="U691" s="717"/>
      <c r="V691" s="717"/>
      <c r="W691" s="717"/>
    </row>
  </sheetData>
  <sheetProtection algorithmName="SHA-512" hashValue="WVmKheMS96ATVfhOoJniuOo/5U20L8A++hhOd1bvd2Qk6TNYBh2F/dQMiS78+kViR0bOIaeKonzFRoDYXvt5/w==" saltValue="IeO/ZCHzs/A/Zf6aEFsPUw==" spinCount="100000" sheet="1" objects="1" scenarios="1"/>
  <pageMargins left="0.25" right="0.25" top="0.75" bottom="0.75" header="0.3" footer="0.3"/>
  <pageSetup paperSize="3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CEF5-5CEF-4B2C-8040-65C0E5E92696}">
  <dimension ref="B1:AM1004"/>
  <sheetViews>
    <sheetView tabSelected="1" zoomScale="115" zoomScaleNormal="115" workbookViewId="0">
      <selection activeCell="A9" sqref="A9"/>
    </sheetView>
  </sheetViews>
  <sheetFormatPr defaultColWidth="9.109375" defaultRowHeight="13.8" x14ac:dyDescent="0.25"/>
  <cols>
    <col min="1" max="1" width="9.109375" style="1077"/>
    <col min="2" max="6" width="9.33203125" style="1077" bestFit="1" customWidth="1"/>
    <col min="7" max="11" width="9.109375" style="1077"/>
    <col min="12" max="12" width="9.33203125" style="1077" bestFit="1" customWidth="1"/>
    <col min="13" max="17" width="9.109375" style="1077"/>
    <col min="18" max="21" width="9.33203125" style="1077" bestFit="1" customWidth="1"/>
    <col min="22" max="23" width="9.109375" style="1077"/>
    <col min="24" max="24" width="9.33203125" style="1077" bestFit="1" customWidth="1"/>
    <col min="25" max="36" width="9.109375" style="1077"/>
    <col min="37" max="39" width="9.33203125" style="1077" bestFit="1" customWidth="1"/>
    <col min="40" max="16384" width="9.109375" style="1077"/>
  </cols>
  <sheetData>
    <row r="1" spans="2:39" x14ac:dyDescent="0.25">
      <c r="Y1" s="1076" t="s">
        <v>1563</v>
      </c>
    </row>
    <row r="2" spans="2:39" x14ac:dyDescent="0.25">
      <c r="Y2" s="1078">
        <v>2028</v>
      </c>
    </row>
    <row r="5" spans="2:39" x14ac:dyDescent="0.25">
      <c r="B5" s="1056"/>
      <c r="C5" s="1056"/>
      <c r="D5" s="1057"/>
      <c r="E5" s="1057"/>
      <c r="F5" s="1056"/>
      <c r="G5" s="1056"/>
      <c r="H5" s="1056"/>
      <c r="I5" s="1056"/>
      <c r="J5" s="1056"/>
      <c r="K5" s="1056"/>
      <c r="L5" s="1056"/>
      <c r="M5" s="1057"/>
      <c r="N5" s="1056"/>
      <c r="O5" s="1056"/>
      <c r="P5" s="1056"/>
      <c r="Q5" s="1056"/>
      <c r="R5" s="1057"/>
      <c r="S5" s="1056"/>
      <c r="T5" s="1056"/>
      <c r="U5" s="1056"/>
      <c r="V5" s="1056"/>
      <c r="W5" s="1056"/>
      <c r="X5" s="1056"/>
      <c r="Y5" s="1056"/>
      <c r="Z5" s="1056"/>
      <c r="AA5" s="1058"/>
      <c r="AB5" s="1058"/>
      <c r="AC5" s="1056"/>
      <c r="AD5" s="1056"/>
      <c r="AE5" s="1058"/>
      <c r="AF5" s="1058"/>
      <c r="AG5" s="1056"/>
      <c r="AH5" s="1056"/>
      <c r="AI5" s="1056"/>
      <c r="AJ5" s="1056"/>
      <c r="AK5" s="1057"/>
      <c r="AL5" s="1057"/>
      <c r="AM5" s="1057"/>
    </row>
    <row r="6" spans="2:39" x14ac:dyDescent="0.25">
      <c r="B6" s="1059"/>
      <c r="C6" s="1060"/>
      <c r="D6" s="1060"/>
      <c r="E6" s="1061"/>
      <c r="F6" s="1059"/>
      <c r="G6" s="1059"/>
      <c r="H6" s="1059"/>
      <c r="I6" s="1071"/>
      <c r="J6" s="1071"/>
      <c r="K6" s="1071"/>
      <c r="L6" s="1062" t="s">
        <v>1527</v>
      </c>
      <c r="M6" s="1063"/>
      <c r="N6" s="1064"/>
      <c r="O6" s="1062" t="s">
        <v>1528</v>
      </c>
      <c r="P6" s="1063"/>
      <c r="Q6" s="1064"/>
      <c r="R6" s="1062" t="s">
        <v>1529</v>
      </c>
      <c r="S6" s="1063"/>
      <c r="T6" s="1063"/>
      <c r="U6" s="1063"/>
      <c r="V6" s="1063"/>
      <c r="W6" s="1063"/>
      <c r="X6" s="1063"/>
      <c r="Y6" s="1063"/>
      <c r="Z6" s="1063"/>
      <c r="AA6" s="1063"/>
      <c r="AB6" s="1063"/>
      <c r="AC6" s="1063"/>
      <c r="AD6" s="1063"/>
      <c r="AE6" s="1063"/>
      <c r="AF6" s="1063"/>
      <c r="AG6" s="1063"/>
      <c r="AH6" s="1063"/>
      <c r="AI6" s="1064"/>
      <c r="AJ6" s="1084" t="s">
        <v>1530</v>
      </c>
      <c r="AK6" s="1085"/>
      <c r="AL6" s="1085"/>
      <c r="AM6" s="1085"/>
    </row>
    <row r="7" spans="2:39" x14ac:dyDescent="0.25">
      <c r="B7" s="1065" t="s">
        <v>1531</v>
      </c>
      <c r="C7" s="1066" t="s">
        <v>1532</v>
      </c>
      <c r="D7" s="1066"/>
      <c r="E7" s="1067"/>
      <c r="F7" s="1065" t="s">
        <v>1533</v>
      </c>
      <c r="G7" s="1065" t="s">
        <v>1534</v>
      </c>
      <c r="H7" s="1065" t="s">
        <v>1535</v>
      </c>
      <c r="I7" s="1065" t="s">
        <v>1558</v>
      </c>
      <c r="J7" s="1065" t="s">
        <v>1560</v>
      </c>
      <c r="K7" s="1065" t="s">
        <v>1562</v>
      </c>
      <c r="L7" s="1068" t="s">
        <v>1536</v>
      </c>
      <c r="M7" s="1069" t="s">
        <v>1537</v>
      </c>
      <c r="N7" s="1070" t="s">
        <v>1538</v>
      </c>
      <c r="O7" s="1068" t="s">
        <v>1536</v>
      </c>
      <c r="P7" s="1069" t="s">
        <v>1539</v>
      </c>
      <c r="Q7" s="1070" t="s">
        <v>1538</v>
      </c>
      <c r="R7" s="1086" t="s">
        <v>1536</v>
      </c>
      <c r="S7" s="1087"/>
      <c r="T7" s="1088"/>
      <c r="U7" s="1089" t="s">
        <v>1540</v>
      </c>
      <c r="V7" s="1090"/>
      <c r="W7" s="1091"/>
      <c r="X7" s="1089" t="s">
        <v>1541</v>
      </c>
      <c r="Y7" s="1090"/>
      <c r="Z7" s="1091"/>
      <c r="AA7" s="1092" t="s">
        <v>1542</v>
      </c>
      <c r="AB7" s="1093"/>
      <c r="AC7" s="1093"/>
      <c r="AD7" s="1094"/>
      <c r="AE7" s="1092" t="s">
        <v>1543</v>
      </c>
      <c r="AF7" s="1093"/>
      <c r="AG7" s="1093"/>
      <c r="AH7" s="1094"/>
      <c r="AI7" s="1059" t="s">
        <v>1544</v>
      </c>
      <c r="AJ7" s="1079" t="s">
        <v>1545</v>
      </c>
      <c r="AK7" s="1079"/>
      <c r="AL7" s="1079"/>
      <c r="AM7" s="1079"/>
    </row>
    <row r="8" spans="2:39" x14ac:dyDescent="0.25">
      <c r="B8" s="1065" t="s">
        <v>1546</v>
      </c>
      <c r="C8" s="1072" t="s">
        <v>1547</v>
      </c>
      <c r="D8" s="1072" t="s">
        <v>1548</v>
      </c>
      <c r="E8" s="1072" t="s">
        <v>1549</v>
      </c>
      <c r="F8" s="1065" t="s">
        <v>1550</v>
      </c>
      <c r="G8" s="1065" t="s">
        <v>1550</v>
      </c>
      <c r="H8" s="1065" t="s">
        <v>1551</v>
      </c>
      <c r="I8" s="1065" t="s">
        <v>1559</v>
      </c>
      <c r="J8" s="1065" t="s">
        <v>1561</v>
      </c>
      <c r="K8" s="1065" t="s">
        <v>1559</v>
      </c>
      <c r="L8" s="1068" t="s">
        <v>1552</v>
      </c>
      <c r="M8" s="1069" t="s">
        <v>1552</v>
      </c>
      <c r="N8" s="1070" t="s">
        <v>1552</v>
      </c>
      <c r="O8" s="1068" t="s">
        <v>1552</v>
      </c>
      <c r="P8" s="1069" t="s">
        <v>1552</v>
      </c>
      <c r="Q8" s="1070" t="s">
        <v>1552</v>
      </c>
      <c r="R8" s="1068" t="s">
        <v>1553</v>
      </c>
      <c r="S8" s="1068" t="s">
        <v>1554</v>
      </c>
      <c r="T8" s="1068" t="s">
        <v>1535</v>
      </c>
      <c r="U8" s="1069" t="s">
        <v>1555</v>
      </c>
      <c r="V8" s="1069" t="s">
        <v>1554</v>
      </c>
      <c r="W8" s="1069" t="s">
        <v>1535</v>
      </c>
      <c r="X8" s="1069" t="s">
        <v>1555</v>
      </c>
      <c r="Y8" s="1069" t="s">
        <v>1554</v>
      </c>
      <c r="Z8" s="1069" t="s">
        <v>1535</v>
      </c>
      <c r="AA8" s="1073" t="s">
        <v>1556</v>
      </c>
      <c r="AB8" s="1073" t="s">
        <v>1557</v>
      </c>
      <c r="AC8" s="1070" t="s">
        <v>1554</v>
      </c>
      <c r="AD8" s="1074" t="s">
        <v>1535</v>
      </c>
      <c r="AE8" s="1073" t="s">
        <v>1556</v>
      </c>
      <c r="AF8" s="1073" t="s">
        <v>1557</v>
      </c>
      <c r="AG8" s="1070" t="s">
        <v>1554</v>
      </c>
      <c r="AH8" s="1074" t="s">
        <v>1535</v>
      </c>
      <c r="AI8" s="1065"/>
      <c r="AJ8" s="1080" t="s">
        <v>1524</v>
      </c>
      <c r="AK8" s="1080" t="s">
        <v>97</v>
      </c>
      <c r="AL8" s="1080" t="s">
        <v>80</v>
      </c>
      <c r="AM8" s="1080" t="s">
        <v>229</v>
      </c>
    </row>
    <row r="9" spans="2:39" x14ac:dyDescent="0.25">
      <c r="B9" s="1082">
        <f>Sheet1!F3</f>
        <v>484</v>
      </c>
      <c r="C9" s="1075" t="str">
        <f>Sheet1!C3</f>
        <v>I-4</v>
      </c>
      <c r="D9" s="1075" t="str">
        <f>_xlfn.TEXTBEFORE(Sheet1!E3, " to ")</f>
        <v>Seminole Co.</v>
      </c>
      <c r="E9" s="1075" t="str">
        <f>_xlfn.TEXTAFTER(Sheet1!E3, " to ")</f>
        <v>Dirksen Dr.</v>
      </c>
      <c r="F9" s="1075">
        <f>Sheet1!AM3</f>
        <v>6</v>
      </c>
      <c r="G9" s="1075"/>
      <c r="H9" s="1083" t="str">
        <f>Sheet1!AE3</f>
        <v>D</v>
      </c>
      <c r="I9" s="1075"/>
      <c r="J9" s="1075" t="str">
        <f>Sheet1!Q3</f>
        <v>UA_FWIS_6L</v>
      </c>
      <c r="K9" s="1075"/>
      <c r="L9" s="1075">
        <f>Sheet1!AF3</f>
        <v>113600</v>
      </c>
      <c r="M9" s="1075"/>
      <c r="N9" s="1075"/>
      <c r="O9" s="1075"/>
      <c r="P9" s="1075">
        <f>Sheet1!AK3</f>
        <v>10510</v>
      </c>
      <c r="Q9" s="1075"/>
      <c r="R9" s="1075">
        <f>Sheet1!AD3</f>
        <v>105000</v>
      </c>
      <c r="S9" s="1081">
        <f>Sheet1!AG3</f>
        <v>0.92429577464788737</v>
      </c>
      <c r="T9" s="1075" t="str">
        <f>Sheet1!AH3</f>
        <v>D</v>
      </c>
      <c r="U9" s="1075" t="str">
        <f>Sheet1!AI3</f>
        <v>-</v>
      </c>
      <c r="V9" s="1075"/>
      <c r="W9" s="1075"/>
      <c r="X9" s="1075" t="str">
        <f>Sheet1!AJ3</f>
        <v>-</v>
      </c>
      <c r="Y9" s="1075"/>
      <c r="Z9" s="1075"/>
      <c r="AA9" s="1075"/>
      <c r="AB9" s="1075"/>
      <c r="AC9" s="1075"/>
      <c r="AD9" s="1075"/>
      <c r="AE9" s="1075"/>
      <c r="AF9" s="1075"/>
      <c r="AG9" s="1075"/>
      <c r="AH9" s="1075"/>
      <c r="AI9" s="1075"/>
      <c r="AJ9" s="1075"/>
      <c r="AK9" s="1075" t="str">
        <f>IF(Sheet1!AE6="C",Sheet1!AK6,"-")</f>
        <v>-</v>
      </c>
      <c r="AL9" s="1075">
        <f>IF(Sheet1!AE6="D",Sheet1!AK6,"-")</f>
        <v>10510</v>
      </c>
      <c r="AM9" s="1075" t="str">
        <f>IF(Sheet1!AE3="E",Sheet1!AK3,"-")</f>
        <v>-</v>
      </c>
    </row>
    <row r="10" spans="2:39" x14ac:dyDescent="0.25">
      <c r="B10" s="1082">
        <f>Sheet1!F4</f>
        <v>484</v>
      </c>
      <c r="C10" s="1075" t="str">
        <f>Sheet1!C4</f>
        <v>I-4</v>
      </c>
      <c r="D10" s="1075" t="str">
        <f>_xlfn.TEXTBEFORE(Sheet1!E4, " to ")</f>
        <v>Dirksen Dr.</v>
      </c>
      <c r="E10" s="1075" t="str">
        <f>_xlfn.TEXTAFTER(Sheet1!E4, " to ")</f>
        <v>Saxon Blvd.</v>
      </c>
      <c r="F10" s="1075">
        <f>Sheet1!AM4</f>
        <v>6</v>
      </c>
      <c r="G10" s="1075"/>
      <c r="H10" s="1083" t="str">
        <f>Sheet1!AE4</f>
        <v>D</v>
      </c>
      <c r="I10" s="1075"/>
      <c r="J10" s="1075" t="str">
        <f>Sheet1!Q4</f>
        <v>UA_FWIS_6L</v>
      </c>
      <c r="K10" s="1075"/>
      <c r="L10" s="1075">
        <f>Sheet1!AF4</f>
        <v>113600</v>
      </c>
      <c r="M10" s="1075"/>
      <c r="N10" s="1075"/>
      <c r="O10" s="1075"/>
      <c r="P10" s="1075">
        <f>Sheet1!AK4</f>
        <v>10510</v>
      </c>
      <c r="Q10" s="1075"/>
      <c r="R10" s="1075">
        <f>Sheet1!AD4</f>
        <v>105000</v>
      </c>
      <c r="S10" s="1081">
        <f>Sheet1!AG4</f>
        <v>0.92429577464788737</v>
      </c>
      <c r="T10" s="1075" t="str">
        <f>Sheet1!AH4</f>
        <v>D</v>
      </c>
      <c r="U10" s="1075" t="str">
        <f>Sheet1!AI4</f>
        <v>-</v>
      </c>
      <c r="V10" s="1075"/>
      <c r="W10" s="1075"/>
      <c r="X10" s="1075" t="str">
        <f>Sheet1!AJ4</f>
        <v>-</v>
      </c>
      <c r="Y10" s="1075"/>
      <c r="Z10" s="1075"/>
      <c r="AA10" s="1075"/>
      <c r="AB10" s="1075"/>
      <c r="AC10" s="1075"/>
      <c r="AD10" s="1075"/>
      <c r="AE10" s="1075"/>
      <c r="AF10" s="1075"/>
      <c r="AG10" s="1075"/>
      <c r="AH10" s="1075"/>
      <c r="AI10" s="1075"/>
      <c r="AJ10" s="1075"/>
      <c r="AK10" s="1075" t="str">
        <f>IF(Sheet1!AE7="C",Sheet1!AK7,"-")</f>
        <v>-</v>
      </c>
      <c r="AL10" s="1075">
        <f>IF(Sheet1!AE7="D",Sheet1!AK7,"-")</f>
        <v>10510</v>
      </c>
      <c r="AM10" s="1075" t="str">
        <f>IF(Sheet1!AE4="E",Sheet1!AK4,"-")</f>
        <v>-</v>
      </c>
    </row>
    <row r="11" spans="2:39" x14ac:dyDescent="0.25">
      <c r="B11" s="1082">
        <f>Sheet1!F5</f>
        <v>1003</v>
      </c>
      <c r="C11" s="1075" t="str">
        <f>Sheet1!C5</f>
        <v>I-4</v>
      </c>
      <c r="D11" s="1075" t="str">
        <f>_xlfn.TEXTBEFORE(Sheet1!E5, " to ")</f>
        <v>Saxon Blvd.</v>
      </c>
      <c r="E11" s="1075" t="str">
        <f>_xlfn.TEXTAFTER(Sheet1!E5, " to ")</f>
        <v>SR 472</v>
      </c>
      <c r="F11" s="1075">
        <f>Sheet1!AM5</f>
        <v>6</v>
      </c>
      <c r="G11" s="1075"/>
      <c r="H11" s="1083" t="str">
        <f>Sheet1!AE5</f>
        <v>D</v>
      </c>
      <c r="I11" s="1075"/>
      <c r="J11" s="1075" t="str">
        <f>Sheet1!Q5</f>
        <v>UA_FWIS_6L</v>
      </c>
      <c r="K11" s="1075"/>
      <c r="L11" s="1075">
        <f>Sheet1!AF5</f>
        <v>113600</v>
      </c>
      <c r="M11" s="1075"/>
      <c r="N11" s="1075"/>
      <c r="O11" s="1075"/>
      <c r="P11" s="1075">
        <f>Sheet1!AK5</f>
        <v>10510</v>
      </c>
      <c r="Q11" s="1075"/>
      <c r="R11" s="1075">
        <f>Sheet1!AD5</f>
        <v>103000</v>
      </c>
      <c r="S11" s="1081">
        <f>Sheet1!AG5</f>
        <v>0.90669014084507038</v>
      </c>
      <c r="T11" s="1075" t="str">
        <f>Sheet1!AH5</f>
        <v>D</v>
      </c>
      <c r="U11" s="1075">
        <f>Sheet1!AI5</f>
        <v>7570</v>
      </c>
      <c r="V11" s="1075"/>
      <c r="W11" s="1075"/>
      <c r="X11" s="1075">
        <f>Sheet1!AJ5</f>
        <v>7505</v>
      </c>
      <c r="Y11" s="1075"/>
      <c r="Z11" s="1075"/>
      <c r="AA11" s="1075"/>
      <c r="AB11" s="1075"/>
      <c r="AC11" s="1075"/>
      <c r="AD11" s="1075"/>
      <c r="AE11" s="1075"/>
      <c r="AF11" s="1075"/>
      <c r="AG11" s="1075"/>
      <c r="AH11" s="1075"/>
      <c r="AI11" s="1075"/>
      <c r="AJ11" s="1075"/>
      <c r="AK11" s="1075">
        <f>IF(Sheet1!AE8="C",Sheet1!AK8,"-")</f>
        <v>8450</v>
      </c>
      <c r="AL11" s="1075" t="str">
        <f>IF(Sheet1!AE8="D",Sheet1!AK8,"-")</f>
        <v>-</v>
      </c>
      <c r="AM11" s="1075" t="str">
        <f>IF(Sheet1!AE5="E",Sheet1!AK5,"-")</f>
        <v>-</v>
      </c>
    </row>
    <row r="12" spans="2:39" x14ac:dyDescent="0.25">
      <c r="B12" s="1082">
        <f>Sheet1!F6</f>
        <v>485</v>
      </c>
      <c r="C12" s="1075" t="str">
        <f>Sheet1!C6</f>
        <v>I-4</v>
      </c>
      <c r="D12" s="1075" t="str">
        <f>_xlfn.TEXTBEFORE(Sheet1!E6, " to ")</f>
        <v>SR 472</v>
      </c>
      <c r="E12" s="1075" t="str">
        <f>_xlfn.TEXTAFTER(Sheet1!E6, " to ")</f>
        <v>Orange Camp Rd.</v>
      </c>
      <c r="F12" s="1075">
        <f>Sheet1!AM6</f>
        <v>6</v>
      </c>
      <c r="G12" s="1075"/>
      <c r="H12" s="1083" t="str">
        <f>Sheet1!AE6</f>
        <v>D</v>
      </c>
      <c r="I12" s="1075"/>
      <c r="J12" s="1075" t="str">
        <f>Sheet1!Q6</f>
        <v>UA_FWIS_6L</v>
      </c>
      <c r="K12" s="1075"/>
      <c r="L12" s="1075">
        <f>Sheet1!AF6</f>
        <v>113600</v>
      </c>
      <c r="M12" s="1075"/>
      <c r="N12" s="1075"/>
      <c r="O12" s="1075"/>
      <c r="P12" s="1075">
        <f>Sheet1!AK6</f>
        <v>10510</v>
      </c>
      <c r="Q12" s="1075"/>
      <c r="R12" s="1075">
        <f>Sheet1!AD6</f>
        <v>92500</v>
      </c>
      <c r="S12" s="1081">
        <f>Sheet1!AG6</f>
        <v>0.81426056338028174</v>
      </c>
      <c r="T12" s="1075" t="str">
        <f>Sheet1!AH6</f>
        <v>C</v>
      </c>
      <c r="U12" s="1075">
        <f>Sheet1!AI6</f>
        <v>5830</v>
      </c>
      <c r="V12" s="1075"/>
      <c r="W12" s="1075"/>
      <c r="X12" s="1075">
        <f>Sheet1!AJ6</f>
        <v>6640</v>
      </c>
      <c r="Y12" s="1075"/>
      <c r="Z12" s="1075"/>
      <c r="AA12" s="1075"/>
      <c r="AB12" s="1075"/>
      <c r="AC12" s="1075"/>
      <c r="AD12" s="1075"/>
      <c r="AE12" s="1075"/>
      <c r="AF12" s="1075"/>
      <c r="AG12" s="1075"/>
      <c r="AH12" s="1075"/>
      <c r="AI12" s="1075"/>
      <c r="AJ12" s="1075"/>
      <c r="AK12" s="1075" t="str">
        <f>IF(Sheet1!AE9="C",Sheet1!AK9,"-")</f>
        <v>-</v>
      </c>
      <c r="AL12" s="1075">
        <f>IF(Sheet1!AE9="D",Sheet1!AK9,"-")</f>
        <v>10510</v>
      </c>
      <c r="AM12" s="1075" t="str">
        <f>IF(Sheet1!AE6="E",Sheet1!AK6,"-")</f>
        <v>-</v>
      </c>
    </row>
    <row r="13" spans="2:39" x14ac:dyDescent="0.25">
      <c r="B13" s="1082">
        <f>Sheet1!F7</f>
        <v>497</v>
      </c>
      <c r="C13" s="1075" t="str">
        <f>Sheet1!C7</f>
        <v>I-4</v>
      </c>
      <c r="D13" s="1075" t="str">
        <f>_xlfn.TEXTBEFORE(Sheet1!E7, " to ")</f>
        <v>Orange Camp Rd.</v>
      </c>
      <c r="E13" s="1075" t="str">
        <f>_xlfn.TEXTAFTER(Sheet1!E7, " to ")</f>
        <v>SR 44</v>
      </c>
      <c r="F13" s="1075">
        <f>Sheet1!AM7</f>
        <v>6</v>
      </c>
      <c r="G13" s="1075"/>
      <c r="H13" s="1083" t="str">
        <f>Sheet1!AE7</f>
        <v>D</v>
      </c>
      <c r="I13" s="1075"/>
      <c r="J13" s="1075" t="str">
        <f>Sheet1!Q7</f>
        <v>UA_FWIS_6L</v>
      </c>
      <c r="K13" s="1075"/>
      <c r="L13" s="1075">
        <f>Sheet1!AF7</f>
        <v>113600</v>
      </c>
      <c r="M13" s="1075"/>
      <c r="N13" s="1075"/>
      <c r="O13" s="1075"/>
      <c r="P13" s="1075">
        <f>Sheet1!AK7</f>
        <v>10510</v>
      </c>
      <c r="Q13" s="1075"/>
      <c r="R13" s="1075">
        <f>Sheet1!AD7</f>
        <v>78000</v>
      </c>
      <c r="S13" s="1081">
        <f>Sheet1!AG7</f>
        <v>0.68661971830985913</v>
      </c>
      <c r="T13" s="1075" t="str">
        <f>Sheet1!AH7</f>
        <v>C</v>
      </c>
      <c r="U13" s="1075" t="str">
        <f>Sheet1!AI7</f>
        <v>-</v>
      </c>
      <c r="V13" s="1075"/>
      <c r="W13" s="1075"/>
      <c r="X13" s="1075" t="str">
        <f>Sheet1!AJ7</f>
        <v>-</v>
      </c>
      <c r="Y13" s="1075"/>
      <c r="Z13" s="1075"/>
      <c r="AA13" s="1075"/>
      <c r="AB13" s="1075"/>
      <c r="AC13" s="1075"/>
      <c r="AD13" s="1075"/>
      <c r="AE13" s="1075"/>
      <c r="AF13" s="1075"/>
      <c r="AG13" s="1075"/>
      <c r="AH13" s="1075"/>
      <c r="AI13" s="1075"/>
      <c r="AJ13" s="1075"/>
      <c r="AK13" s="1075">
        <f>IF(Sheet1!AE10="C",Sheet1!AK10,"-")</f>
        <v>7250</v>
      </c>
      <c r="AL13" s="1075" t="str">
        <f>IF(Sheet1!AE10="D",Sheet1!AK10,"-")</f>
        <v>-</v>
      </c>
      <c r="AM13" s="1075" t="str">
        <f>IF(Sheet1!AE7="E",Sheet1!AK7,"-")</f>
        <v>-</v>
      </c>
    </row>
    <row r="14" spans="2:39" x14ac:dyDescent="0.25">
      <c r="B14" s="1082">
        <f>Sheet1!F8</f>
        <v>486</v>
      </c>
      <c r="C14" s="1075" t="str">
        <f>Sheet1!C8</f>
        <v>I-4</v>
      </c>
      <c r="D14" s="1075" t="str">
        <f>_xlfn.TEXTBEFORE(Sheet1!E8, " to ")</f>
        <v>SR 44</v>
      </c>
      <c r="E14" s="1075" t="str">
        <f>_xlfn.TEXTAFTER(Sheet1!E8, " to ")</f>
        <v>US 92 Connector</v>
      </c>
      <c r="F14" s="1075">
        <f>Sheet1!AM8</f>
        <v>6</v>
      </c>
      <c r="G14" s="1075"/>
      <c r="H14" s="1083" t="str">
        <f>Sheet1!AE8</f>
        <v>C</v>
      </c>
      <c r="I14" s="1075"/>
      <c r="J14" s="1075" t="str">
        <f>Sheet1!Q8</f>
        <v>UA_FWIS_6L</v>
      </c>
      <c r="K14" s="1075"/>
      <c r="L14" s="1075">
        <f>Sheet1!AF8</f>
        <v>93900</v>
      </c>
      <c r="M14" s="1075"/>
      <c r="N14" s="1075"/>
      <c r="O14" s="1075"/>
      <c r="P14" s="1075">
        <f>Sheet1!AK8</f>
        <v>8450</v>
      </c>
      <c r="Q14" s="1075"/>
      <c r="R14" s="1075">
        <f>Sheet1!AD8</f>
        <v>59500</v>
      </c>
      <c r="S14" s="1081">
        <f>Sheet1!AG8</f>
        <v>0.63365282215122476</v>
      </c>
      <c r="T14" s="1075" t="str">
        <f>Sheet1!AH8</f>
        <v>B</v>
      </c>
      <c r="U14" s="1075" t="str">
        <f>Sheet1!AI8</f>
        <v>-</v>
      </c>
      <c r="V14" s="1075"/>
      <c r="W14" s="1075"/>
      <c r="X14" s="1075" t="str">
        <f>Sheet1!AJ8</f>
        <v>-</v>
      </c>
      <c r="Y14" s="1075"/>
      <c r="Z14" s="1075"/>
      <c r="AA14" s="1075"/>
      <c r="AB14" s="1075"/>
      <c r="AC14" s="1075"/>
      <c r="AD14" s="1075"/>
      <c r="AE14" s="1075"/>
      <c r="AF14" s="1075"/>
      <c r="AG14" s="1075"/>
      <c r="AH14" s="1075"/>
      <c r="AI14" s="1075"/>
      <c r="AJ14" s="1075"/>
      <c r="AK14" s="1075" t="str">
        <f>IF(Sheet1!AE11="C",Sheet1!AK11,"-")</f>
        <v>-</v>
      </c>
      <c r="AL14" s="1075">
        <f>IF(Sheet1!AE11="D",Sheet1!AK11,"-")</f>
        <v>10510</v>
      </c>
      <c r="AM14" s="1075" t="str">
        <f>IF(Sheet1!AE8="E",Sheet1!AK8,"-")</f>
        <v>-</v>
      </c>
    </row>
    <row r="15" spans="2:39" x14ac:dyDescent="0.25">
      <c r="B15" s="1082">
        <f>Sheet1!F9</f>
        <v>491</v>
      </c>
      <c r="C15" s="1075" t="str">
        <f>Sheet1!C9</f>
        <v>I-4</v>
      </c>
      <c r="D15" s="1075" t="str">
        <f>_xlfn.TEXTBEFORE(Sheet1!E9, " to ")</f>
        <v>US 92 Connector</v>
      </c>
      <c r="E15" s="1075" t="str">
        <f>_xlfn.TEXTAFTER(Sheet1!E9, " to ")</f>
        <v>I-95</v>
      </c>
      <c r="F15" s="1075">
        <f>Sheet1!AM9</f>
        <v>6</v>
      </c>
      <c r="G15" s="1075"/>
      <c r="H15" s="1083" t="str">
        <f>Sheet1!AE9</f>
        <v>D</v>
      </c>
      <c r="I15" s="1075"/>
      <c r="J15" s="1075" t="str">
        <f>Sheet1!Q9</f>
        <v>UA_FWIS_6L</v>
      </c>
      <c r="K15" s="1075"/>
      <c r="L15" s="1075">
        <f>Sheet1!AF9</f>
        <v>113600</v>
      </c>
      <c r="M15" s="1075"/>
      <c r="N15" s="1075"/>
      <c r="O15" s="1075"/>
      <c r="P15" s="1075">
        <f>Sheet1!AK9</f>
        <v>10510</v>
      </c>
      <c r="Q15" s="1075"/>
      <c r="R15" s="1075">
        <f>Sheet1!AD9</f>
        <v>51000</v>
      </c>
      <c r="S15" s="1081">
        <f>Sheet1!AG9</f>
        <v>0.448943661971831</v>
      </c>
      <c r="T15" s="1075" t="str">
        <f>Sheet1!AH9</f>
        <v>B</v>
      </c>
      <c r="U15" s="1075" t="str">
        <f>Sheet1!AI9</f>
        <v>-</v>
      </c>
      <c r="V15" s="1075"/>
      <c r="W15" s="1075"/>
      <c r="X15" s="1075" t="str">
        <f>Sheet1!AJ9</f>
        <v>-</v>
      </c>
      <c r="Y15" s="1075"/>
      <c r="Z15" s="1075"/>
      <c r="AA15" s="1075"/>
      <c r="AB15" s="1075"/>
      <c r="AC15" s="1075"/>
      <c r="AD15" s="1075"/>
      <c r="AE15" s="1075"/>
      <c r="AF15" s="1075"/>
      <c r="AG15" s="1075"/>
      <c r="AH15" s="1075"/>
      <c r="AI15" s="1075"/>
      <c r="AJ15" s="1075"/>
      <c r="AK15" s="1075" t="str">
        <f>IF(Sheet1!AE12="C",Sheet1!AK12,"-")</f>
        <v>-</v>
      </c>
      <c r="AL15" s="1075">
        <f>IF(Sheet1!AE12="D",Sheet1!AK12,"-")</f>
        <v>10510</v>
      </c>
      <c r="AM15" s="1075" t="str">
        <f>IF(Sheet1!AE9="E",Sheet1!AK9,"-")</f>
        <v>-</v>
      </c>
    </row>
    <row r="16" spans="2:39" x14ac:dyDescent="0.25">
      <c r="B16" s="1082" t="str">
        <f>Sheet1!F10</f>
        <v>0436-B</v>
      </c>
      <c r="C16" s="1075" t="str">
        <f>Sheet1!C10</f>
        <v>I-95</v>
      </c>
      <c r="D16" s="1075" t="str">
        <f>_xlfn.TEXTBEFORE(Sheet1!E10, " to ")</f>
        <v>Brevard Co.</v>
      </c>
      <c r="E16" s="1075" t="str">
        <f>_xlfn.TEXTAFTER(Sheet1!E10, " to ")</f>
        <v>SR 442/Indian River Blvd.</v>
      </c>
      <c r="F16" s="1075">
        <f>Sheet1!AM10</f>
        <v>6</v>
      </c>
      <c r="G16" s="1075"/>
      <c r="H16" s="1083" t="str">
        <f>Sheet1!AE10</f>
        <v>C</v>
      </c>
      <c r="I16" s="1075"/>
      <c r="J16" s="1075" t="str">
        <f>Sheet1!Q10</f>
        <v>RUA_FW_6L</v>
      </c>
      <c r="K16" s="1075"/>
      <c r="L16" s="1075">
        <f>Sheet1!AF10</f>
        <v>69000</v>
      </c>
      <c r="M16" s="1075"/>
      <c r="N16" s="1075"/>
      <c r="O16" s="1075"/>
      <c r="P16" s="1075">
        <f>Sheet1!AK10</f>
        <v>7250</v>
      </c>
      <c r="Q16" s="1075"/>
      <c r="R16" s="1075">
        <f>Sheet1!AD10</f>
        <v>32000</v>
      </c>
      <c r="S16" s="1081">
        <f>Sheet1!AG10</f>
        <v>0.46376811594202899</v>
      </c>
      <c r="T16" s="1075" t="str">
        <f>Sheet1!AH10</f>
        <v>B</v>
      </c>
      <c r="U16" s="1075" t="str">
        <f>Sheet1!AI10</f>
        <v>-</v>
      </c>
      <c r="V16" s="1075"/>
      <c r="W16" s="1075"/>
      <c r="X16" s="1075" t="str">
        <f>Sheet1!AJ10</f>
        <v>-</v>
      </c>
      <c r="Y16" s="1075"/>
      <c r="Z16" s="1075"/>
      <c r="AA16" s="1075"/>
      <c r="AB16" s="1075"/>
      <c r="AC16" s="1075"/>
      <c r="AD16" s="1075"/>
      <c r="AE16" s="1075"/>
      <c r="AF16" s="1075"/>
      <c r="AG16" s="1075"/>
      <c r="AH16" s="1075"/>
      <c r="AI16" s="1075"/>
      <c r="AJ16" s="1075"/>
      <c r="AK16" s="1075" t="str">
        <f>IF(Sheet1!AE13="C",Sheet1!AK13,"-")</f>
        <v>-</v>
      </c>
      <c r="AL16" s="1075">
        <f>IF(Sheet1!AE13="D",Sheet1!AK13,"-")</f>
        <v>10510</v>
      </c>
      <c r="AM16" s="1075" t="str">
        <f>IF(Sheet1!AE10="E",Sheet1!AK10,"-")</f>
        <v>-</v>
      </c>
    </row>
    <row r="17" spans="2:39" x14ac:dyDescent="0.25">
      <c r="B17" s="1082">
        <f>Sheet1!F11</f>
        <v>503</v>
      </c>
      <c r="C17" s="1075" t="str">
        <f>Sheet1!C11</f>
        <v>I-95</v>
      </c>
      <c r="D17" s="1075" t="str">
        <f>_xlfn.TEXTBEFORE(Sheet1!E11, " to ")</f>
        <v>SR 442/Indian River Blvd.</v>
      </c>
      <c r="E17" s="1075" t="str">
        <f>_xlfn.TEXTAFTER(Sheet1!E11, " to ")</f>
        <v>SR 44</v>
      </c>
      <c r="F17" s="1075">
        <f>Sheet1!AM11</f>
        <v>6</v>
      </c>
      <c r="G17" s="1075"/>
      <c r="H17" s="1083" t="str">
        <f>Sheet1!AE11</f>
        <v>D</v>
      </c>
      <c r="I17" s="1075"/>
      <c r="J17" s="1075" t="str">
        <f>Sheet1!Q11</f>
        <v>UA_FWIS_6L</v>
      </c>
      <c r="K17" s="1075"/>
      <c r="L17" s="1075">
        <f>Sheet1!AF11</f>
        <v>113600</v>
      </c>
      <c r="M17" s="1075"/>
      <c r="N17" s="1075"/>
      <c r="O17" s="1075"/>
      <c r="P17" s="1075">
        <f>Sheet1!AK11</f>
        <v>10510</v>
      </c>
      <c r="Q17" s="1075"/>
      <c r="R17" s="1075">
        <f>Sheet1!AD11</f>
        <v>46000</v>
      </c>
      <c r="S17" s="1081">
        <f>Sheet1!AG11</f>
        <v>0.40492957746478875</v>
      </c>
      <c r="T17" s="1075" t="str">
        <f>Sheet1!AH11</f>
        <v>B</v>
      </c>
      <c r="U17" s="1075" t="str">
        <f>Sheet1!AI11</f>
        <v>-</v>
      </c>
      <c r="V17" s="1075"/>
      <c r="W17" s="1075"/>
      <c r="X17" s="1075" t="str">
        <f>Sheet1!AJ11</f>
        <v>-</v>
      </c>
      <c r="Y17" s="1075"/>
      <c r="Z17" s="1075"/>
      <c r="AA17" s="1075"/>
      <c r="AB17" s="1075"/>
      <c r="AC17" s="1075"/>
      <c r="AD17" s="1075"/>
      <c r="AE17" s="1075"/>
      <c r="AF17" s="1075"/>
      <c r="AG17" s="1075"/>
      <c r="AH17" s="1075"/>
      <c r="AI17" s="1075"/>
      <c r="AJ17" s="1075"/>
      <c r="AK17" s="1075" t="str">
        <f>IF(Sheet1!AE14="C",Sheet1!AK14,"-")</f>
        <v>-</v>
      </c>
      <c r="AL17" s="1075">
        <f>IF(Sheet1!AE14="D",Sheet1!AK14,"-")</f>
        <v>10510</v>
      </c>
      <c r="AM17" s="1075" t="str">
        <f>IF(Sheet1!AE11="E",Sheet1!AK11,"-")</f>
        <v>-</v>
      </c>
    </row>
    <row r="18" spans="2:39" x14ac:dyDescent="0.25">
      <c r="B18" s="1082">
        <f>Sheet1!F12</f>
        <v>133</v>
      </c>
      <c r="C18" s="1075" t="str">
        <f>Sheet1!C12</f>
        <v>I-95</v>
      </c>
      <c r="D18" s="1075" t="str">
        <f>_xlfn.TEXTBEFORE(Sheet1!E12, " to ")</f>
        <v>SR 44</v>
      </c>
      <c r="E18" s="1075" t="str">
        <f>_xlfn.TEXTAFTER(Sheet1!E12, " to ")</f>
        <v>SR 421/Dunlawton Ave.</v>
      </c>
      <c r="F18" s="1075">
        <f>Sheet1!AM12</f>
        <v>6</v>
      </c>
      <c r="G18" s="1075"/>
      <c r="H18" s="1083" t="str">
        <f>Sheet1!AE12</f>
        <v>D</v>
      </c>
      <c r="I18" s="1075"/>
      <c r="J18" s="1075" t="str">
        <f>Sheet1!Q12</f>
        <v>UA_FWIS_6L</v>
      </c>
      <c r="K18" s="1075"/>
      <c r="L18" s="1075">
        <f>Sheet1!AF12</f>
        <v>113600</v>
      </c>
      <c r="M18" s="1075"/>
      <c r="N18" s="1075"/>
      <c r="O18" s="1075"/>
      <c r="P18" s="1075">
        <f>Sheet1!AK12</f>
        <v>10510</v>
      </c>
      <c r="Q18" s="1075"/>
      <c r="R18" s="1075">
        <f>Sheet1!AD12</f>
        <v>50700</v>
      </c>
      <c r="S18" s="1081">
        <f>Sheet1!AG12</f>
        <v>0.44630281690140844</v>
      </c>
      <c r="T18" s="1075" t="str">
        <f>Sheet1!AH12</f>
        <v>B</v>
      </c>
      <c r="U18" s="1075" t="str">
        <f>Sheet1!AI12</f>
        <v>-</v>
      </c>
      <c r="V18" s="1075"/>
      <c r="W18" s="1075"/>
      <c r="X18" s="1075" t="str">
        <f>Sheet1!AJ12</f>
        <v>-</v>
      </c>
      <c r="Y18" s="1075"/>
      <c r="Z18" s="1075"/>
      <c r="AA18" s="1075"/>
      <c r="AB18" s="1075"/>
      <c r="AC18" s="1075"/>
      <c r="AD18" s="1075"/>
      <c r="AE18" s="1075"/>
      <c r="AF18" s="1075"/>
      <c r="AG18" s="1075"/>
      <c r="AH18" s="1075"/>
      <c r="AI18" s="1075"/>
      <c r="AJ18" s="1075"/>
      <c r="AK18" s="1075" t="str">
        <f>IF(Sheet1!AE15="C",Sheet1!AK15,"-")</f>
        <v>-</v>
      </c>
      <c r="AL18" s="1075">
        <f>IF(Sheet1!AE15="D",Sheet1!AK15,"-")</f>
        <v>10510</v>
      </c>
      <c r="AM18" s="1075" t="str">
        <f>IF(Sheet1!AE12="E",Sheet1!AK12,"-")</f>
        <v>-</v>
      </c>
    </row>
    <row r="19" spans="2:39" x14ac:dyDescent="0.25">
      <c r="B19" s="1082">
        <f>Sheet1!F13</f>
        <v>494</v>
      </c>
      <c r="C19" s="1075" t="str">
        <f>Sheet1!C13</f>
        <v>I-95</v>
      </c>
      <c r="D19" s="1075" t="str">
        <f>_xlfn.TEXTBEFORE(Sheet1!E13, " to ")</f>
        <v>SR 421/Dunlawton Ave.</v>
      </c>
      <c r="E19" s="1075" t="str">
        <f>_xlfn.TEXTAFTER(Sheet1!E13, " to ")</f>
        <v>I-4/SR 400/Beville Rd.</v>
      </c>
      <c r="F19" s="1075">
        <f>Sheet1!AM13</f>
        <v>6</v>
      </c>
      <c r="G19" s="1075"/>
      <c r="H19" s="1083" t="str">
        <f>Sheet1!AE13</f>
        <v>D</v>
      </c>
      <c r="I19" s="1075"/>
      <c r="J19" s="1075" t="str">
        <f>Sheet1!Q13</f>
        <v>UA_FWIS_6L</v>
      </c>
      <c r="K19" s="1075"/>
      <c r="L19" s="1075">
        <f>Sheet1!AF13</f>
        <v>113600</v>
      </c>
      <c r="M19" s="1075"/>
      <c r="N19" s="1075"/>
      <c r="O19" s="1075"/>
      <c r="P19" s="1075">
        <f>Sheet1!AK13</f>
        <v>10510</v>
      </c>
      <c r="Q19" s="1075"/>
      <c r="R19" s="1075">
        <f>Sheet1!AD13</f>
        <v>81500</v>
      </c>
      <c r="S19" s="1081">
        <f>Sheet1!AG13</f>
        <v>0.71742957746478875</v>
      </c>
      <c r="T19" s="1075" t="str">
        <f>Sheet1!AH13</f>
        <v>C</v>
      </c>
      <c r="U19" s="1075" t="str">
        <f>Sheet1!AI13</f>
        <v>-</v>
      </c>
      <c r="V19" s="1075"/>
      <c r="W19" s="1075"/>
      <c r="X19" s="1075" t="str">
        <f>Sheet1!AJ13</f>
        <v>-</v>
      </c>
      <c r="Y19" s="1075"/>
      <c r="Z19" s="1075"/>
      <c r="AA19" s="1075"/>
      <c r="AB19" s="1075"/>
      <c r="AC19" s="1075"/>
      <c r="AD19" s="1075"/>
      <c r="AE19" s="1075"/>
      <c r="AF19" s="1075"/>
      <c r="AG19" s="1075"/>
      <c r="AH19" s="1075"/>
      <c r="AI19" s="1075"/>
      <c r="AJ19" s="1075"/>
      <c r="AK19" s="1075" t="str">
        <f>IF(Sheet1!AE16="C",Sheet1!AK16,"-")</f>
        <v>-</v>
      </c>
      <c r="AL19" s="1075">
        <f>IF(Sheet1!AE16="D",Sheet1!AK16,"-")</f>
        <v>12310</v>
      </c>
      <c r="AM19" s="1075" t="str">
        <f>IF(Sheet1!AE13="E",Sheet1!AK13,"-")</f>
        <v>-</v>
      </c>
    </row>
    <row r="20" spans="2:39" x14ac:dyDescent="0.25">
      <c r="B20" s="1082">
        <f>Sheet1!F14</f>
        <v>494</v>
      </c>
      <c r="C20" s="1075" t="str">
        <f>Sheet1!C14</f>
        <v>I-95</v>
      </c>
      <c r="D20" s="1075" t="str">
        <f>_xlfn.TEXTBEFORE(Sheet1!E14, " to ")</f>
        <v>I-4/SR 400/Beville Rd.</v>
      </c>
      <c r="E20" s="1075" t="str">
        <f>_xlfn.TEXTAFTER(Sheet1!E14, " to ")</f>
        <v>US 92/ISB</v>
      </c>
      <c r="F20" s="1075">
        <f>Sheet1!AM14</f>
        <v>6</v>
      </c>
      <c r="G20" s="1075"/>
      <c r="H20" s="1083" t="str">
        <f>Sheet1!AE14</f>
        <v>D</v>
      </c>
      <c r="I20" s="1075"/>
      <c r="J20" s="1075" t="str">
        <f>Sheet1!Q14</f>
        <v>UA_FWIS_6L + AUX</v>
      </c>
      <c r="K20" s="1075"/>
      <c r="L20" s="1075">
        <f>Sheet1!AF14</f>
        <v>113600</v>
      </c>
      <c r="M20" s="1075"/>
      <c r="N20" s="1075"/>
      <c r="O20" s="1075"/>
      <c r="P20" s="1075">
        <f>Sheet1!AK14</f>
        <v>10510</v>
      </c>
      <c r="Q20" s="1075"/>
      <c r="R20" s="1075">
        <f>Sheet1!AD14</f>
        <v>81500</v>
      </c>
      <c r="S20" s="1081">
        <f>Sheet1!AG14</f>
        <v>0.71742957746478875</v>
      </c>
      <c r="T20" s="1075" t="str">
        <f>Sheet1!AH14</f>
        <v>C</v>
      </c>
      <c r="U20" s="1075" t="str">
        <f>Sheet1!AI14</f>
        <v>-</v>
      </c>
      <c r="V20" s="1075"/>
      <c r="W20" s="1075"/>
      <c r="X20" s="1075" t="str">
        <f>Sheet1!AJ14</f>
        <v>-</v>
      </c>
      <c r="Y20" s="1075"/>
      <c r="Z20" s="1075"/>
      <c r="AA20" s="1075"/>
      <c r="AB20" s="1075"/>
      <c r="AC20" s="1075"/>
      <c r="AD20" s="1075"/>
      <c r="AE20" s="1075"/>
      <c r="AF20" s="1075"/>
      <c r="AG20" s="1075"/>
      <c r="AH20" s="1075"/>
      <c r="AI20" s="1075"/>
      <c r="AJ20" s="1075"/>
      <c r="AK20" s="1075" t="str">
        <f>IF(Sheet1!AE17="C",Sheet1!AK17,"-")</f>
        <v>-</v>
      </c>
      <c r="AL20" s="1075">
        <f>IF(Sheet1!AE17="D",Sheet1!AK17,"-")</f>
        <v>10510</v>
      </c>
      <c r="AM20" s="1075" t="str">
        <f>IF(Sheet1!AE14="E",Sheet1!AK14,"-")</f>
        <v>-</v>
      </c>
    </row>
    <row r="21" spans="2:39" x14ac:dyDescent="0.25">
      <c r="B21" s="1082">
        <f>Sheet1!F15</f>
        <v>494</v>
      </c>
      <c r="C21" s="1075" t="str">
        <f>Sheet1!C15</f>
        <v>I-95</v>
      </c>
      <c r="D21" s="1075" t="str">
        <f>_xlfn.TEXTBEFORE(Sheet1!E15, " to ")</f>
        <v>US 92/ISB</v>
      </c>
      <c r="E21" s="1075" t="str">
        <f>_xlfn.TEXTAFTER(Sheet1!E15, " to ")</f>
        <v>LPGA Blvd.</v>
      </c>
      <c r="F21" s="1075">
        <f>Sheet1!AM15</f>
        <v>6</v>
      </c>
      <c r="G21" s="1075"/>
      <c r="H21" s="1083" t="str">
        <f>Sheet1!AE15</f>
        <v>D</v>
      </c>
      <c r="I21" s="1075"/>
      <c r="J21" s="1075" t="str">
        <f>Sheet1!Q15</f>
        <v>UA_FWIS_6L</v>
      </c>
      <c r="K21" s="1075"/>
      <c r="L21" s="1075">
        <f>Sheet1!AF15</f>
        <v>113600</v>
      </c>
      <c r="M21" s="1075"/>
      <c r="N21" s="1075"/>
      <c r="O21" s="1075"/>
      <c r="P21" s="1075">
        <f>Sheet1!AK15</f>
        <v>10510</v>
      </c>
      <c r="Q21" s="1075"/>
      <c r="R21" s="1075">
        <f>Sheet1!AD15</f>
        <v>81500</v>
      </c>
      <c r="S21" s="1081">
        <f>Sheet1!AG15</f>
        <v>0.71742957746478875</v>
      </c>
      <c r="T21" s="1075" t="str">
        <f>Sheet1!AH15</f>
        <v>C</v>
      </c>
      <c r="U21" s="1075" t="str">
        <f>Sheet1!AI15</f>
        <v>-</v>
      </c>
      <c r="V21" s="1075"/>
      <c r="W21" s="1075"/>
      <c r="X21" s="1075" t="str">
        <f>Sheet1!AJ15</f>
        <v>-</v>
      </c>
      <c r="Y21" s="1075"/>
      <c r="Z21" s="1075"/>
      <c r="AA21" s="1075"/>
      <c r="AB21" s="1075"/>
      <c r="AC21" s="1075"/>
      <c r="AD21" s="1075"/>
      <c r="AE21" s="1075"/>
      <c r="AF21" s="1075"/>
      <c r="AG21" s="1075"/>
      <c r="AH21" s="1075"/>
      <c r="AI21" s="1075"/>
      <c r="AJ21" s="1075"/>
      <c r="AK21" s="1075" t="str">
        <f>IF(Sheet1!AE18="C",Sheet1!AK18,"-")</f>
        <v>-</v>
      </c>
      <c r="AL21" s="1075">
        <f>IF(Sheet1!AE18="D",Sheet1!AK18,"-")</f>
        <v>10510</v>
      </c>
      <c r="AM21" s="1075" t="str">
        <f>IF(Sheet1!AE15="E",Sheet1!AK15,"-")</f>
        <v>-</v>
      </c>
    </row>
    <row r="22" spans="2:39" x14ac:dyDescent="0.25">
      <c r="B22" s="1082">
        <f>Sheet1!F16</f>
        <v>534</v>
      </c>
      <c r="C22" s="1075" t="str">
        <f>Sheet1!C16</f>
        <v>I-95</v>
      </c>
      <c r="D22" s="1075" t="str">
        <f>_xlfn.TEXTBEFORE(Sheet1!E16, " to ")</f>
        <v>LPGA Blvd.</v>
      </c>
      <c r="E22" s="1075" t="str">
        <f>_xlfn.TEXTAFTER(Sheet1!E16, " to ")</f>
        <v>SR 40/Granada Blvd</v>
      </c>
      <c r="F22" s="1075">
        <f>Sheet1!AM16</f>
        <v>6</v>
      </c>
      <c r="G22" s="1075"/>
      <c r="H22" s="1083" t="str">
        <f>Sheet1!AE16</f>
        <v>D</v>
      </c>
      <c r="I22" s="1075"/>
      <c r="J22" s="1075" t="str">
        <f>Sheet1!Q16</f>
        <v>UA_FWIS_6L + AUX</v>
      </c>
      <c r="K22" s="1075"/>
      <c r="L22" s="1075">
        <f>Sheet1!AF16</f>
        <v>133600</v>
      </c>
      <c r="M22" s="1075"/>
      <c r="N22" s="1075"/>
      <c r="O22" s="1075"/>
      <c r="P22" s="1075">
        <f>Sheet1!AK16</f>
        <v>12310</v>
      </c>
      <c r="Q22" s="1075"/>
      <c r="R22" s="1075">
        <f>Sheet1!AD16</f>
        <v>83000</v>
      </c>
      <c r="S22" s="1081">
        <f>Sheet1!AG16</f>
        <v>0.62125748502994016</v>
      </c>
      <c r="T22" s="1075" t="str">
        <f>Sheet1!AH16</f>
        <v>C</v>
      </c>
      <c r="U22" s="1075" t="str">
        <f>Sheet1!AI16</f>
        <v>-</v>
      </c>
      <c r="V22" s="1075"/>
      <c r="W22" s="1075"/>
      <c r="X22" s="1075" t="str">
        <f>Sheet1!AJ16</f>
        <v>-</v>
      </c>
      <c r="Y22" s="1075"/>
      <c r="Z22" s="1075"/>
      <c r="AA22" s="1075"/>
      <c r="AB22" s="1075"/>
      <c r="AC22" s="1075"/>
      <c r="AD22" s="1075"/>
      <c r="AE22" s="1075"/>
      <c r="AF22" s="1075"/>
      <c r="AG22" s="1075"/>
      <c r="AH22" s="1075"/>
      <c r="AI22" s="1075"/>
      <c r="AJ22" s="1075"/>
      <c r="AK22" s="1075">
        <f>IF(Sheet1!AE19="C",Sheet1!AK19,"-")</f>
        <v>4270</v>
      </c>
      <c r="AL22" s="1075" t="str">
        <f>IF(Sheet1!AE19="D",Sheet1!AK19,"-")</f>
        <v>-</v>
      </c>
      <c r="AM22" s="1075" t="str">
        <f>IF(Sheet1!AE16="E",Sheet1!AK16,"-")</f>
        <v>-</v>
      </c>
    </row>
    <row r="23" spans="2:39" x14ac:dyDescent="0.25">
      <c r="B23" s="1082">
        <f>Sheet1!F17</f>
        <v>495</v>
      </c>
      <c r="C23" s="1075" t="str">
        <f>Sheet1!C17</f>
        <v>I-95</v>
      </c>
      <c r="D23" s="1075" t="str">
        <f>_xlfn.TEXTBEFORE(Sheet1!E17, " to ")</f>
        <v>SR 40/Granada Blvd</v>
      </c>
      <c r="E23" s="1075" t="str">
        <f>_xlfn.TEXTAFTER(Sheet1!E17, " to ")</f>
        <v>US 1</v>
      </c>
      <c r="F23" s="1075">
        <f>Sheet1!AM17</f>
        <v>6</v>
      </c>
      <c r="G23" s="1075"/>
      <c r="H23" s="1083" t="str">
        <f>Sheet1!AE17</f>
        <v>D</v>
      </c>
      <c r="I23" s="1075"/>
      <c r="J23" s="1075" t="str">
        <f>Sheet1!Q17</f>
        <v>UA_FWIS_6L</v>
      </c>
      <c r="K23" s="1075"/>
      <c r="L23" s="1075">
        <f>Sheet1!AF17</f>
        <v>113600</v>
      </c>
      <c r="M23" s="1075"/>
      <c r="N23" s="1075"/>
      <c r="O23" s="1075"/>
      <c r="P23" s="1075">
        <f>Sheet1!AK17</f>
        <v>10510</v>
      </c>
      <c r="Q23" s="1075"/>
      <c r="R23" s="1075">
        <f>Sheet1!AD17</f>
        <v>63500</v>
      </c>
      <c r="S23" s="1081">
        <f>Sheet1!AG17</f>
        <v>0.55897887323943662</v>
      </c>
      <c r="T23" s="1075" t="str">
        <f>Sheet1!AH17</f>
        <v>B</v>
      </c>
      <c r="U23" s="1075" t="str">
        <f>Sheet1!AI17</f>
        <v>-</v>
      </c>
      <c r="V23" s="1075"/>
      <c r="W23" s="1075"/>
      <c r="X23" s="1075" t="str">
        <f>Sheet1!AJ17</f>
        <v>-</v>
      </c>
      <c r="Y23" s="1075"/>
      <c r="Z23" s="1075"/>
      <c r="AA23" s="1075"/>
      <c r="AB23" s="1075"/>
      <c r="AC23" s="1075"/>
      <c r="AD23" s="1075"/>
      <c r="AE23" s="1075"/>
      <c r="AF23" s="1075"/>
      <c r="AG23" s="1075"/>
      <c r="AH23" s="1075"/>
      <c r="AI23" s="1075"/>
      <c r="AJ23" s="1075"/>
      <c r="AK23" s="1075">
        <f>IF(Sheet1!AE20="C",Sheet1!AK20,"-")</f>
        <v>4020</v>
      </c>
      <c r="AL23" s="1075" t="str">
        <f>IF(Sheet1!AE20="D",Sheet1!AK20,"-")</f>
        <v>-</v>
      </c>
      <c r="AM23" s="1075" t="str">
        <f>IF(Sheet1!AE17="E",Sheet1!AK17,"-")</f>
        <v>-</v>
      </c>
    </row>
    <row r="24" spans="2:39" x14ac:dyDescent="0.25">
      <c r="B24" s="1082">
        <f>Sheet1!F18</f>
        <v>496</v>
      </c>
      <c r="C24" s="1075" t="str">
        <f>Sheet1!C18</f>
        <v>I-95</v>
      </c>
      <c r="D24" s="1075" t="str">
        <f>_xlfn.TEXTBEFORE(Sheet1!E18, " to ")</f>
        <v>US 1</v>
      </c>
      <c r="E24" s="1075" t="str">
        <f>_xlfn.TEXTAFTER(Sheet1!E18, " to ")</f>
        <v>Flagler Co. Line/Old Dixie</v>
      </c>
      <c r="F24" s="1075">
        <f>Sheet1!AM18</f>
        <v>6</v>
      </c>
      <c r="G24" s="1075"/>
      <c r="H24" s="1083" t="str">
        <f>Sheet1!AE18</f>
        <v>D</v>
      </c>
      <c r="I24" s="1075"/>
      <c r="J24" s="1075" t="str">
        <f>Sheet1!Q18</f>
        <v>UA_FWIS_6L</v>
      </c>
      <c r="K24" s="1075"/>
      <c r="L24" s="1075">
        <f>Sheet1!AF18</f>
        <v>113600</v>
      </c>
      <c r="M24" s="1075"/>
      <c r="N24" s="1075"/>
      <c r="O24" s="1075"/>
      <c r="P24" s="1075">
        <f>Sheet1!AK18</f>
        <v>10510</v>
      </c>
      <c r="Q24" s="1075"/>
      <c r="R24" s="1075">
        <f>Sheet1!AD18</f>
        <v>80500</v>
      </c>
      <c r="S24" s="1081">
        <f>Sheet1!AG18</f>
        <v>0.70862676056338025</v>
      </c>
      <c r="T24" s="1075" t="str">
        <f>Sheet1!AH18</f>
        <v>C</v>
      </c>
      <c r="U24" s="1075" t="str">
        <f>Sheet1!AI18</f>
        <v>-</v>
      </c>
      <c r="V24" s="1075"/>
      <c r="W24" s="1075"/>
      <c r="X24" s="1075" t="str">
        <f>Sheet1!AJ18</f>
        <v>-</v>
      </c>
      <c r="Y24" s="1075"/>
      <c r="Z24" s="1075"/>
      <c r="AA24" s="1075"/>
      <c r="AB24" s="1075"/>
      <c r="AC24" s="1075"/>
      <c r="AD24" s="1075"/>
      <c r="AE24" s="1075"/>
      <c r="AF24" s="1075"/>
      <c r="AG24" s="1075"/>
      <c r="AH24" s="1075"/>
      <c r="AI24" s="1075"/>
      <c r="AJ24" s="1075"/>
      <c r="AK24" s="1075">
        <f>IF(Sheet1!AE21="C",Sheet1!AK21,"-")</f>
        <v>4020</v>
      </c>
      <c r="AL24" s="1075" t="str">
        <f>IF(Sheet1!AE21="D",Sheet1!AK21,"-")</f>
        <v>-</v>
      </c>
      <c r="AM24" s="1075" t="str">
        <f>IF(Sheet1!AE18="E",Sheet1!AK18,"-")</f>
        <v>-</v>
      </c>
    </row>
    <row r="25" spans="2:39" x14ac:dyDescent="0.25">
      <c r="B25" s="1082">
        <f>Sheet1!F19</f>
        <v>531</v>
      </c>
      <c r="C25" s="1075" t="str">
        <f>Sheet1!C19</f>
        <v>US 1</v>
      </c>
      <c r="D25" s="1075" t="str">
        <f>_xlfn.TEXTBEFORE(Sheet1!E19, " to ")</f>
        <v>Brevard Co.</v>
      </c>
      <c r="E25" s="1075" t="str">
        <f>_xlfn.TEXTAFTER(Sheet1!E19, " to ")</f>
        <v>Kennedy Pkwy.</v>
      </c>
      <c r="F25" s="1075">
        <f>Sheet1!AM19</f>
        <v>4</v>
      </c>
      <c r="G25" s="1075"/>
      <c r="H25" s="1083" t="str">
        <f>Sheet1!AE19</f>
        <v>C</v>
      </c>
      <c r="I25" s="1075"/>
      <c r="J25" s="1075" t="str">
        <f>Sheet1!Q19</f>
        <v>RUA_UFH_2W_4L_D_WL</v>
      </c>
      <c r="K25" s="1075"/>
      <c r="L25" s="1075">
        <f>Sheet1!AF19</f>
        <v>31200</v>
      </c>
      <c r="M25" s="1075"/>
      <c r="N25" s="1075"/>
      <c r="O25" s="1075"/>
      <c r="P25" s="1075">
        <f>Sheet1!AK19</f>
        <v>4270</v>
      </c>
      <c r="Q25" s="1075"/>
      <c r="R25" s="1075">
        <f>Sheet1!AD19</f>
        <v>4000</v>
      </c>
      <c r="S25" s="1081">
        <f>Sheet1!AG19</f>
        <v>0.12820512820512819</v>
      </c>
      <c r="T25" s="1075" t="str">
        <f>Sheet1!AH19</f>
        <v>B</v>
      </c>
      <c r="U25" s="1075" t="str">
        <f>Sheet1!AI19</f>
        <v>-</v>
      </c>
      <c r="V25" s="1075"/>
      <c r="W25" s="1075"/>
      <c r="X25" s="1075" t="str">
        <f>Sheet1!AJ19</f>
        <v>-</v>
      </c>
      <c r="Y25" s="1075"/>
      <c r="Z25" s="1075"/>
      <c r="AA25" s="1075"/>
      <c r="AB25" s="1075"/>
      <c r="AC25" s="1075"/>
      <c r="AD25" s="1075"/>
      <c r="AE25" s="1075"/>
      <c r="AF25" s="1075"/>
      <c r="AG25" s="1075"/>
      <c r="AH25" s="1075"/>
      <c r="AI25" s="1075"/>
      <c r="AJ25" s="1075"/>
      <c r="AK25" s="1075">
        <f>IF(Sheet1!AE22="C",Sheet1!AK22,"-")</f>
        <v>4020</v>
      </c>
      <c r="AL25" s="1075" t="str">
        <f>IF(Sheet1!AE22="D",Sheet1!AK22,"-")</f>
        <v>-</v>
      </c>
      <c r="AM25" s="1075" t="str">
        <f>IF(Sheet1!AE19="E",Sheet1!AK19,"-")</f>
        <v>-</v>
      </c>
    </row>
    <row r="26" spans="2:39" x14ac:dyDescent="0.25">
      <c r="B26" s="1082">
        <f>Sheet1!F20</f>
        <v>531</v>
      </c>
      <c r="C26" s="1075" t="str">
        <f>Sheet1!C20</f>
        <v>US 1</v>
      </c>
      <c r="D26" s="1075" t="str">
        <f>_xlfn.TEXTBEFORE(Sheet1!E20, " to ")</f>
        <v>Kennedy Pkwy.</v>
      </c>
      <c r="E26" s="1075" t="str">
        <f>_xlfn.TEXTAFTER(Sheet1!E20, " to ")</f>
        <v>Putnam Grove Rd.</v>
      </c>
      <c r="F26" s="1075">
        <f>Sheet1!AM20</f>
        <v>4</v>
      </c>
      <c r="G26" s="1075"/>
      <c r="H26" s="1083" t="str">
        <f>Sheet1!AE20</f>
        <v>C</v>
      </c>
      <c r="I26" s="1075"/>
      <c r="J26" s="1075" t="str">
        <f>Sheet1!Q20</f>
        <v>RDA_UFH_2W_4L_D_WL</v>
      </c>
      <c r="K26" s="1075"/>
      <c r="L26" s="1075">
        <f>Sheet1!AF20</f>
        <v>42300</v>
      </c>
      <c r="M26" s="1075"/>
      <c r="N26" s="1075"/>
      <c r="O26" s="1075"/>
      <c r="P26" s="1075">
        <f>Sheet1!AK20</f>
        <v>4020</v>
      </c>
      <c r="Q26" s="1075"/>
      <c r="R26" s="1075">
        <f>Sheet1!AD20</f>
        <v>4000</v>
      </c>
      <c r="S26" s="1081">
        <f>Sheet1!AG20</f>
        <v>9.4562647754137114E-2</v>
      </c>
      <c r="T26" s="1075" t="str">
        <f>Sheet1!AH20</f>
        <v>B</v>
      </c>
      <c r="U26" s="1075" t="str">
        <f>Sheet1!AI20</f>
        <v>-</v>
      </c>
      <c r="V26" s="1075"/>
      <c r="W26" s="1075"/>
      <c r="X26" s="1075" t="str">
        <f>Sheet1!AJ20</f>
        <v>-</v>
      </c>
      <c r="Y26" s="1075"/>
      <c r="Z26" s="1075"/>
      <c r="AA26" s="1075"/>
      <c r="AB26" s="1075"/>
      <c r="AC26" s="1075"/>
      <c r="AD26" s="1075"/>
      <c r="AE26" s="1075"/>
      <c r="AF26" s="1075"/>
      <c r="AG26" s="1075"/>
      <c r="AH26" s="1075"/>
      <c r="AI26" s="1075"/>
      <c r="AJ26" s="1075"/>
      <c r="AK26" s="1075" t="str">
        <f>IF(Sheet1!AE23="C",Sheet1!AK23,"-")</f>
        <v>-</v>
      </c>
      <c r="AL26" s="1075">
        <f>IF(Sheet1!AE23="D",Sheet1!AK23,"-")</f>
        <v>3580</v>
      </c>
      <c r="AM26" s="1075" t="str">
        <f>IF(Sheet1!AE20="E",Sheet1!AK20,"-")</f>
        <v>-</v>
      </c>
    </row>
    <row r="27" spans="2:39" x14ac:dyDescent="0.25">
      <c r="B27" s="1082">
        <f>Sheet1!F21</f>
        <v>531</v>
      </c>
      <c r="C27" s="1075" t="str">
        <f>Sheet1!C21</f>
        <v>US 1</v>
      </c>
      <c r="D27" s="1075" t="str">
        <f>_xlfn.TEXTBEFORE(Sheet1!E21, " to ")</f>
        <v>Putnam Grove Rd.</v>
      </c>
      <c r="E27" s="1075" t="str">
        <f>_xlfn.TEXTAFTER(Sheet1!E21, " to ")</f>
        <v>Halifax Ave.</v>
      </c>
      <c r="F27" s="1075">
        <f>Sheet1!AM21</f>
        <v>4</v>
      </c>
      <c r="G27" s="1075"/>
      <c r="H27" s="1083" t="str">
        <f>Sheet1!AE21</f>
        <v>C</v>
      </c>
      <c r="I27" s="1075"/>
      <c r="J27" s="1075" t="str">
        <f>Sheet1!Q21</f>
        <v>RDA_UFH_2W_4L_D_WL</v>
      </c>
      <c r="K27" s="1075"/>
      <c r="L27" s="1075">
        <f>Sheet1!AF21</f>
        <v>42300</v>
      </c>
      <c r="M27" s="1075"/>
      <c r="N27" s="1075"/>
      <c r="O27" s="1075"/>
      <c r="P27" s="1075">
        <f>Sheet1!AK21</f>
        <v>4020</v>
      </c>
      <c r="Q27" s="1075"/>
      <c r="R27" s="1075">
        <f>Sheet1!AD21</f>
        <v>4000</v>
      </c>
      <c r="S27" s="1081">
        <f>Sheet1!AG21</f>
        <v>9.4562647754137114E-2</v>
      </c>
      <c r="T27" s="1075" t="str">
        <f>Sheet1!AH21</f>
        <v>B</v>
      </c>
      <c r="U27" s="1075" t="str">
        <f>Sheet1!AI21</f>
        <v>-</v>
      </c>
      <c r="V27" s="1075"/>
      <c r="W27" s="1075"/>
      <c r="X27" s="1075" t="str">
        <f>Sheet1!AJ21</f>
        <v>-</v>
      </c>
      <c r="Y27" s="1075"/>
      <c r="Z27" s="1075"/>
      <c r="AA27" s="1075"/>
      <c r="AB27" s="1075"/>
      <c r="AC27" s="1075"/>
      <c r="AD27" s="1075"/>
      <c r="AE27" s="1075"/>
      <c r="AF27" s="1075"/>
      <c r="AG27" s="1075"/>
      <c r="AH27" s="1075"/>
      <c r="AI27" s="1075"/>
      <c r="AJ27" s="1075"/>
      <c r="AK27" s="1075" t="str">
        <f>IF(Sheet1!AE24="C",Sheet1!AK24,"-")</f>
        <v>-</v>
      </c>
      <c r="AL27" s="1075">
        <f>IF(Sheet1!AE24="D",Sheet1!AK24,"-")</f>
        <v>3580</v>
      </c>
      <c r="AM27" s="1075" t="str">
        <f>IF(Sheet1!AE21="E",Sheet1!AK21,"-")</f>
        <v>-</v>
      </c>
    </row>
    <row r="28" spans="2:39" x14ac:dyDescent="0.25">
      <c r="B28" s="1082">
        <f>Sheet1!F22</f>
        <v>9929</v>
      </c>
      <c r="C28" s="1075" t="str">
        <f>Sheet1!C22</f>
        <v>US 1</v>
      </c>
      <c r="D28" s="1075" t="str">
        <f>_xlfn.TEXTBEFORE(Sheet1!E22, " to ")</f>
        <v>Halifax Ave.</v>
      </c>
      <c r="E28" s="1075" t="str">
        <f>_xlfn.TEXTAFTER(Sheet1!E22, " to ")</f>
        <v>H.H. Birch Rd.</v>
      </c>
      <c r="F28" s="1075">
        <f>Sheet1!AM22</f>
        <v>4</v>
      </c>
      <c r="G28" s="1075"/>
      <c r="H28" s="1083" t="str">
        <f>Sheet1!AE22</f>
        <v>C</v>
      </c>
      <c r="I28" s="1075"/>
      <c r="J28" s="1075" t="str">
        <f>Sheet1!Q22</f>
        <v>RDA_UFH_2W_4L_D_WL</v>
      </c>
      <c r="K28" s="1075"/>
      <c r="L28" s="1075">
        <f>Sheet1!AF22</f>
        <v>42300</v>
      </c>
      <c r="M28" s="1075"/>
      <c r="N28" s="1075"/>
      <c r="O28" s="1075"/>
      <c r="P28" s="1075">
        <f>Sheet1!AK22</f>
        <v>4020</v>
      </c>
      <c r="Q28" s="1075"/>
      <c r="R28" s="1075">
        <f>Sheet1!AD22</f>
        <v>14600</v>
      </c>
      <c r="S28" s="1081">
        <f>Sheet1!AG22</f>
        <v>0.34515366430260047</v>
      </c>
      <c r="T28" s="1075" t="str">
        <f>Sheet1!AH22</f>
        <v>B</v>
      </c>
      <c r="U28" s="1075" t="str">
        <f>Sheet1!AI22</f>
        <v>-</v>
      </c>
      <c r="V28" s="1075"/>
      <c r="W28" s="1075"/>
      <c r="X28" s="1075" t="str">
        <f>Sheet1!AJ22</f>
        <v>-</v>
      </c>
      <c r="Y28" s="1075"/>
      <c r="Z28" s="1075"/>
      <c r="AA28" s="1075"/>
      <c r="AB28" s="1075"/>
      <c r="AC28" s="1075"/>
      <c r="AD28" s="1075"/>
      <c r="AE28" s="1075"/>
      <c r="AF28" s="1075"/>
      <c r="AG28" s="1075"/>
      <c r="AH28" s="1075"/>
      <c r="AI28" s="1075"/>
      <c r="AJ28" s="1075"/>
      <c r="AK28" s="1075" t="str">
        <f>IF(Sheet1!AE25="C",Sheet1!AK25,"-")</f>
        <v>-</v>
      </c>
      <c r="AL28" s="1075">
        <f>IF(Sheet1!AE25="D",Sheet1!AK25,"-")</f>
        <v>3580</v>
      </c>
      <c r="AM28" s="1075" t="str">
        <f>IF(Sheet1!AE22="E",Sheet1!AK22,"-")</f>
        <v>-</v>
      </c>
    </row>
    <row r="29" spans="2:39" x14ac:dyDescent="0.25">
      <c r="B29" s="1082">
        <f>Sheet1!F23</f>
        <v>9929</v>
      </c>
      <c r="C29" s="1075" t="str">
        <f>Sheet1!C23</f>
        <v>US 1</v>
      </c>
      <c r="D29" s="1075" t="str">
        <f>_xlfn.TEXTBEFORE(Sheet1!E23, " to ")</f>
        <v>H.H. Birch Rd.</v>
      </c>
      <c r="E29" s="1075" t="str">
        <f>_xlfn.TEXTAFTER(Sheet1!E23, " to ")</f>
        <v>Volco Rd.</v>
      </c>
      <c r="F29" s="1075">
        <f>Sheet1!AM23</f>
        <v>4</v>
      </c>
      <c r="G29" s="1075"/>
      <c r="H29" s="1083" t="str">
        <f>Sheet1!AE23</f>
        <v>D</v>
      </c>
      <c r="I29" s="1075"/>
      <c r="J29" s="1075" t="str">
        <f>Sheet1!Q23</f>
        <v>UA_SSAC1_2W_4L_D_WL</v>
      </c>
      <c r="K29" s="1075"/>
      <c r="L29" s="1075">
        <f>Sheet1!AF23</f>
        <v>39800</v>
      </c>
      <c r="M29" s="1075"/>
      <c r="N29" s="1075"/>
      <c r="O29" s="1075"/>
      <c r="P29" s="1075">
        <f>Sheet1!AK23</f>
        <v>3580</v>
      </c>
      <c r="Q29" s="1075"/>
      <c r="R29" s="1075">
        <f>Sheet1!AD23</f>
        <v>14600</v>
      </c>
      <c r="S29" s="1081">
        <f>Sheet1!AG23</f>
        <v>0.36683417085427134</v>
      </c>
      <c r="T29" s="1075" t="str">
        <f>Sheet1!AH23</f>
        <v>C</v>
      </c>
      <c r="U29" s="1075" t="str">
        <f>Sheet1!AI23</f>
        <v>-</v>
      </c>
      <c r="V29" s="1075"/>
      <c r="W29" s="1075"/>
      <c r="X29" s="1075" t="str">
        <f>Sheet1!AJ23</f>
        <v>-</v>
      </c>
      <c r="Y29" s="1075"/>
      <c r="Z29" s="1075"/>
      <c r="AA29" s="1075"/>
      <c r="AB29" s="1075"/>
      <c r="AC29" s="1075"/>
      <c r="AD29" s="1075"/>
      <c r="AE29" s="1075"/>
      <c r="AF29" s="1075"/>
      <c r="AG29" s="1075"/>
      <c r="AH29" s="1075"/>
      <c r="AI29" s="1075"/>
      <c r="AJ29" s="1075"/>
      <c r="AK29" s="1075" t="str">
        <f>IF(Sheet1!AE26="C",Sheet1!AK26,"-")</f>
        <v>-</v>
      </c>
      <c r="AL29" s="1075">
        <f>IF(Sheet1!AE26="D",Sheet1!AK26,"-")</f>
        <v>3580</v>
      </c>
      <c r="AM29" s="1075" t="str">
        <f>IF(Sheet1!AE23="E",Sheet1!AK23,"-")</f>
        <v>-</v>
      </c>
    </row>
    <row r="30" spans="2:39" x14ac:dyDescent="0.25">
      <c r="B30" s="1082">
        <f>Sheet1!F24</f>
        <v>27</v>
      </c>
      <c r="C30" s="1075" t="str">
        <f>Sheet1!C24</f>
        <v>US 1</v>
      </c>
      <c r="D30" s="1075" t="str">
        <f>_xlfn.TEXTBEFORE(Sheet1!E24, " to ")</f>
        <v>Volco Rd.</v>
      </c>
      <c r="E30" s="1075" t="str">
        <f>_xlfn.TEXTAFTER(Sheet1!E24, " to ")</f>
        <v>SR 442/Indian River Blvd.</v>
      </c>
      <c r="F30" s="1075">
        <f>Sheet1!AM24</f>
        <v>4</v>
      </c>
      <c r="G30" s="1075"/>
      <c r="H30" s="1083" t="str">
        <f>Sheet1!AE24</f>
        <v>D</v>
      </c>
      <c r="I30" s="1075"/>
      <c r="J30" s="1075" t="str">
        <f>Sheet1!Q24</f>
        <v>UA_SSAC1_2W_4L_D_WL</v>
      </c>
      <c r="K30" s="1075"/>
      <c r="L30" s="1075">
        <f>Sheet1!AF24</f>
        <v>39800</v>
      </c>
      <c r="M30" s="1075"/>
      <c r="N30" s="1075"/>
      <c r="O30" s="1075"/>
      <c r="P30" s="1075">
        <f>Sheet1!AK24</f>
        <v>3580</v>
      </c>
      <c r="Q30" s="1075"/>
      <c r="R30" s="1075">
        <f>Sheet1!AD24</f>
        <v>22500</v>
      </c>
      <c r="S30" s="1081">
        <f>Sheet1!AG24</f>
        <v>0.5653266331658291</v>
      </c>
      <c r="T30" s="1075" t="str">
        <f>Sheet1!AH24</f>
        <v>C</v>
      </c>
      <c r="U30" s="1075" t="str">
        <f>Sheet1!AI24</f>
        <v>-</v>
      </c>
      <c r="V30" s="1075"/>
      <c r="W30" s="1075"/>
      <c r="X30" s="1075" t="str">
        <f>Sheet1!AJ24</f>
        <v>-</v>
      </c>
      <c r="Y30" s="1075"/>
      <c r="Z30" s="1075"/>
      <c r="AA30" s="1075"/>
      <c r="AB30" s="1075"/>
      <c r="AC30" s="1075"/>
      <c r="AD30" s="1075"/>
      <c r="AE30" s="1075"/>
      <c r="AF30" s="1075"/>
      <c r="AG30" s="1075"/>
      <c r="AH30" s="1075"/>
      <c r="AI30" s="1075"/>
      <c r="AJ30" s="1075"/>
      <c r="AK30" s="1075" t="str">
        <f>IF(Sheet1!AE27="C",Sheet1!AK27,"-")</f>
        <v>-</v>
      </c>
      <c r="AL30" s="1075">
        <f>IF(Sheet1!AE27="D",Sheet1!AK27,"-")</f>
        <v>2920</v>
      </c>
      <c r="AM30" s="1075" t="str">
        <f>IF(Sheet1!AE24="E",Sheet1!AK24,"-")</f>
        <v>-</v>
      </c>
    </row>
    <row r="31" spans="2:39" x14ac:dyDescent="0.25">
      <c r="B31" s="1082">
        <f>Sheet1!F25</f>
        <v>5170</v>
      </c>
      <c r="C31" s="1075" t="str">
        <f>Sheet1!C25</f>
        <v>US 1</v>
      </c>
      <c r="D31" s="1075" t="str">
        <f>_xlfn.TEXTBEFORE(Sheet1!E25, " to ")</f>
        <v>SR 442/Indian River Blvd.</v>
      </c>
      <c r="E31" s="1075" t="str">
        <f>_xlfn.TEXTAFTER(Sheet1!E25, " to ")</f>
        <v>Park Ave.</v>
      </c>
      <c r="F31" s="1075">
        <f>Sheet1!AM25</f>
        <v>4</v>
      </c>
      <c r="G31" s="1075"/>
      <c r="H31" s="1083" t="str">
        <f>Sheet1!AE25</f>
        <v>D</v>
      </c>
      <c r="I31" s="1075"/>
      <c r="J31" s="1075" t="str">
        <f>Sheet1!Q25</f>
        <v>UA_SSAC1_2W_4L_D_WL</v>
      </c>
      <c r="K31" s="1075"/>
      <c r="L31" s="1075">
        <f>Sheet1!AF25</f>
        <v>39800</v>
      </c>
      <c r="M31" s="1075"/>
      <c r="N31" s="1075"/>
      <c r="O31" s="1075"/>
      <c r="P31" s="1075">
        <f>Sheet1!AK25</f>
        <v>3580</v>
      </c>
      <c r="Q31" s="1075"/>
      <c r="R31" s="1075">
        <f>Sheet1!AD25</f>
        <v>27500</v>
      </c>
      <c r="S31" s="1081">
        <f>Sheet1!AG25</f>
        <v>0.69095477386934678</v>
      </c>
      <c r="T31" s="1075" t="str">
        <f>Sheet1!AH25</f>
        <v>C</v>
      </c>
      <c r="U31" s="1075">
        <f>Sheet1!AI25</f>
        <v>1920</v>
      </c>
      <c r="V31" s="1075"/>
      <c r="W31" s="1075"/>
      <c r="X31" s="1075">
        <f>Sheet1!AJ25</f>
        <v>2200</v>
      </c>
      <c r="Y31" s="1075"/>
      <c r="Z31" s="1075"/>
      <c r="AA31" s="1075"/>
      <c r="AB31" s="1075"/>
      <c r="AC31" s="1075"/>
      <c r="AD31" s="1075"/>
      <c r="AE31" s="1075"/>
      <c r="AF31" s="1075"/>
      <c r="AG31" s="1075"/>
      <c r="AH31" s="1075"/>
      <c r="AI31" s="1075"/>
      <c r="AJ31" s="1075"/>
      <c r="AK31" s="1075" t="str">
        <f>IF(Sheet1!AE28="C",Sheet1!AK28,"-")</f>
        <v>-</v>
      </c>
      <c r="AL31" s="1075">
        <f>IF(Sheet1!AE28="D",Sheet1!AK28,"-")</f>
        <v>3580</v>
      </c>
      <c r="AM31" s="1075" t="str">
        <f>IF(Sheet1!AE25="E",Sheet1!AK25,"-")</f>
        <v>-</v>
      </c>
    </row>
    <row r="32" spans="2:39" x14ac:dyDescent="0.25">
      <c r="B32" s="1082">
        <f>Sheet1!F26</f>
        <v>5168</v>
      </c>
      <c r="C32" s="1075" t="str">
        <f>Sheet1!C26</f>
        <v>US 1</v>
      </c>
      <c r="D32" s="1075" t="str">
        <f>_xlfn.TEXTBEFORE(Sheet1!E26, " to ")</f>
        <v>Park Ave.</v>
      </c>
      <c r="E32" s="1075" t="str">
        <f>_xlfn.TEXTAFTER(Sheet1!E26, " to ")</f>
        <v>10th Ave.</v>
      </c>
      <c r="F32" s="1075">
        <f>Sheet1!AM26</f>
        <v>4</v>
      </c>
      <c r="G32" s="1075"/>
      <c r="H32" s="1083" t="str">
        <f>Sheet1!AE26</f>
        <v>D</v>
      </c>
      <c r="I32" s="1075"/>
      <c r="J32" s="1075" t="str">
        <f>Sheet1!Q26</f>
        <v>UA_SSAC1_2W_4L_D_WL</v>
      </c>
      <c r="K32" s="1075"/>
      <c r="L32" s="1075">
        <f>Sheet1!AF26</f>
        <v>39800</v>
      </c>
      <c r="M32" s="1075"/>
      <c r="N32" s="1075"/>
      <c r="O32" s="1075"/>
      <c r="P32" s="1075">
        <f>Sheet1!AK26</f>
        <v>3580</v>
      </c>
      <c r="Q32" s="1075"/>
      <c r="R32" s="1075">
        <f>Sheet1!AD26</f>
        <v>25000</v>
      </c>
      <c r="S32" s="1081">
        <f>Sheet1!AG26</f>
        <v>0.62814070351758799</v>
      </c>
      <c r="T32" s="1075" t="str">
        <f>Sheet1!AH26</f>
        <v>C</v>
      </c>
      <c r="U32" s="1075" t="str">
        <f>Sheet1!AI26</f>
        <v>-</v>
      </c>
      <c r="V32" s="1075"/>
      <c r="W32" s="1075"/>
      <c r="X32" s="1075" t="str">
        <f>Sheet1!AJ26</f>
        <v>-</v>
      </c>
      <c r="Y32" s="1075"/>
      <c r="Z32" s="1075"/>
      <c r="AA32" s="1075"/>
      <c r="AB32" s="1075"/>
      <c r="AC32" s="1075"/>
      <c r="AD32" s="1075"/>
      <c r="AE32" s="1075"/>
      <c r="AF32" s="1075"/>
      <c r="AG32" s="1075"/>
      <c r="AH32" s="1075"/>
      <c r="AI32" s="1075"/>
      <c r="AJ32" s="1075"/>
      <c r="AK32" s="1075" t="str">
        <f>IF(Sheet1!AE29="C",Sheet1!AK29,"-")</f>
        <v>-</v>
      </c>
      <c r="AL32" s="1075">
        <f>IF(Sheet1!AE29="D",Sheet1!AK29,"-")</f>
        <v>3580</v>
      </c>
      <c r="AM32" s="1075" t="str">
        <f>IF(Sheet1!AE26="E",Sheet1!AK26,"-")</f>
        <v>-</v>
      </c>
    </row>
    <row r="33" spans="2:39" x14ac:dyDescent="0.25">
      <c r="B33" s="1082">
        <f>Sheet1!F27</f>
        <v>5154</v>
      </c>
      <c r="C33" s="1075" t="str">
        <f>Sheet1!C27</f>
        <v>US 1</v>
      </c>
      <c r="D33" s="1075" t="str">
        <f>_xlfn.TEXTBEFORE(Sheet1!E27, " to ")</f>
        <v>10th Ave.</v>
      </c>
      <c r="E33" s="1075" t="str">
        <f>_xlfn.TEXTAFTER(Sheet1!E27, " to ")</f>
        <v>Canal St./Bus. SR 44</v>
      </c>
      <c r="F33" s="1075">
        <f>Sheet1!AM27</f>
        <v>4</v>
      </c>
      <c r="G33" s="1075"/>
      <c r="H33" s="1083" t="str">
        <f>Sheet1!AE27</f>
        <v>D</v>
      </c>
      <c r="I33" s="1075"/>
      <c r="J33" s="1075" t="str">
        <f>Sheet1!Q27</f>
        <v>UA_SSAC2_2W_4L_D_WL</v>
      </c>
      <c r="K33" s="1075"/>
      <c r="L33" s="1075">
        <f>Sheet1!AF27</f>
        <v>32400</v>
      </c>
      <c r="M33" s="1075"/>
      <c r="N33" s="1075"/>
      <c r="O33" s="1075"/>
      <c r="P33" s="1075">
        <f>Sheet1!AK27</f>
        <v>2920</v>
      </c>
      <c r="Q33" s="1075"/>
      <c r="R33" s="1075">
        <f>Sheet1!AD27</f>
        <v>22000</v>
      </c>
      <c r="S33" s="1081">
        <f>Sheet1!AG27</f>
        <v>0.67901234567901236</v>
      </c>
      <c r="T33" s="1075" t="str">
        <f>Sheet1!AH27</f>
        <v>D</v>
      </c>
      <c r="U33" s="1075" t="str">
        <f>Sheet1!AI27</f>
        <v>-</v>
      </c>
      <c r="V33" s="1075"/>
      <c r="W33" s="1075"/>
      <c r="X33" s="1075" t="str">
        <f>Sheet1!AJ27</f>
        <v>-</v>
      </c>
      <c r="Y33" s="1075"/>
      <c r="Z33" s="1075"/>
      <c r="AA33" s="1075"/>
      <c r="AB33" s="1075"/>
      <c r="AC33" s="1075"/>
      <c r="AD33" s="1075"/>
      <c r="AE33" s="1075"/>
      <c r="AF33" s="1075"/>
      <c r="AG33" s="1075"/>
      <c r="AH33" s="1075"/>
      <c r="AI33" s="1075"/>
      <c r="AJ33" s="1075"/>
      <c r="AK33" s="1075" t="str">
        <f>IF(Sheet1!AE30="C",Sheet1!AK30,"-")</f>
        <v>-</v>
      </c>
      <c r="AL33" s="1075">
        <f>IF(Sheet1!AE30="D",Sheet1!AK30,"-")</f>
        <v>5960</v>
      </c>
      <c r="AM33" s="1075" t="str">
        <f>IF(Sheet1!AE27="E",Sheet1!AK27,"-")</f>
        <v>-</v>
      </c>
    </row>
    <row r="34" spans="2:39" x14ac:dyDescent="0.25">
      <c r="B34" s="1082">
        <f>Sheet1!F28</f>
        <v>5155</v>
      </c>
      <c r="C34" s="1075" t="str">
        <f>Sheet1!C28</f>
        <v>US 1</v>
      </c>
      <c r="D34" s="1075" t="str">
        <f>_xlfn.TEXTBEFORE(Sheet1!E28, " to ")</f>
        <v>Canal St./Bus. SR 44</v>
      </c>
      <c r="E34" s="1075" t="str">
        <f>_xlfn.TEXTAFTER(Sheet1!E28, " to ")</f>
        <v>Turnbull Bay Rd.</v>
      </c>
      <c r="F34" s="1075">
        <f>Sheet1!AM28</f>
        <v>4</v>
      </c>
      <c r="G34" s="1075"/>
      <c r="H34" s="1083" t="str">
        <f>Sheet1!AE28</f>
        <v>D</v>
      </c>
      <c r="I34" s="1075"/>
      <c r="J34" s="1075" t="str">
        <f>Sheet1!Q28</f>
        <v>UA_SSAC1_2W_4L_D_WL</v>
      </c>
      <c r="K34" s="1075"/>
      <c r="L34" s="1075">
        <f>Sheet1!AF28</f>
        <v>39800</v>
      </c>
      <c r="M34" s="1075"/>
      <c r="N34" s="1075"/>
      <c r="O34" s="1075"/>
      <c r="P34" s="1075">
        <f>Sheet1!AK28</f>
        <v>3580</v>
      </c>
      <c r="Q34" s="1075"/>
      <c r="R34" s="1075">
        <f>Sheet1!AD28</f>
        <v>24000</v>
      </c>
      <c r="S34" s="1081">
        <f>Sheet1!AG28</f>
        <v>0.60301507537688437</v>
      </c>
      <c r="T34" s="1075" t="str">
        <f>Sheet1!AH28</f>
        <v>C</v>
      </c>
      <c r="U34" s="1075" t="str">
        <f>Sheet1!AI28</f>
        <v>-</v>
      </c>
      <c r="V34" s="1075"/>
      <c r="W34" s="1075"/>
      <c r="X34" s="1075" t="str">
        <f>Sheet1!AJ28</f>
        <v>-</v>
      </c>
      <c r="Y34" s="1075"/>
      <c r="Z34" s="1075"/>
      <c r="AA34" s="1075"/>
      <c r="AB34" s="1075"/>
      <c r="AC34" s="1075"/>
      <c r="AD34" s="1075"/>
      <c r="AE34" s="1075"/>
      <c r="AF34" s="1075"/>
      <c r="AG34" s="1075"/>
      <c r="AH34" s="1075"/>
      <c r="AI34" s="1075"/>
      <c r="AJ34" s="1075"/>
      <c r="AK34" s="1075" t="str">
        <f>IF(Sheet1!AE31="C",Sheet1!AK31,"-")</f>
        <v>-</v>
      </c>
      <c r="AL34" s="1075">
        <f>IF(Sheet1!AE31="D",Sheet1!AK31,"-")</f>
        <v>3580</v>
      </c>
      <c r="AM34" s="1075" t="str">
        <f>IF(Sheet1!AE28="E",Sheet1!AK28,"-")</f>
        <v>-</v>
      </c>
    </row>
    <row r="35" spans="2:39" x14ac:dyDescent="0.25">
      <c r="B35" s="1082">
        <f>Sheet1!F29</f>
        <v>5159</v>
      </c>
      <c r="C35" s="1075" t="str">
        <f>Sheet1!C29</f>
        <v>US 1</v>
      </c>
      <c r="D35" s="1075" t="str">
        <f>_xlfn.TEXTBEFORE(Sheet1!E29, " to ")</f>
        <v>Turnbull Bay Rd.</v>
      </c>
      <c r="E35" s="1075" t="str">
        <f>_xlfn.TEXTAFTER(Sheet1!E29, " to ")</f>
        <v>Art Center Ave.</v>
      </c>
      <c r="F35" s="1075">
        <f>Sheet1!AM29</f>
        <v>4</v>
      </c>
      <c r="G35" s="1075"/>
      <c r="H35" s="1083" t="str">
        <f>Sheet1!AE29</f>
        <v>D</v>
      </c>
      <c r="I35" s="1075"/>
      <c r="J35" s="1075" t="str">
        <f>Sheet1!Q29</f>
        <v>UA_SSAC1_2W_4L_D_WL</v>
      </c>
      <c r="K35" s="1075"/>
      <c r="L35" s="1075">
        <f>Sheet1!AF29</f>
        <v>39800</v>
      </c>
      <c r="M35" s="1075"/>
      <c r="N35" s="1075"/>
      <c r="O35" s="1075"/>
      <c r="P35" s="1075">
        <f>Sheet1!AK29</f>
        <v>3580</v>
      </c>
      <c r="Q35" s="1075"/>
      <c r="R35" s="1075">
        <f>Sheet1!AD29</f>
        <v>25000</v>
      </c>
      <c r="S35" s="1081">
        <f>Sheet1!AG29</f>
        <v>0.62814070351758799</v>
      </c>
      <c r="T35" s="1075" t="str">
        <f>Sheet1!AH29</f>
        <v>C</v>
      </c>
      <c r="U35" s="1075" t="str">
        <f>Sheet1!AI29</f>
        <v>-</v>
      </c>
      <c r="V35" s="1075"/>
      <c r="W35" s="1075"/>
      <c r="X35" s="1075" t="str">
        <f>Sheet1!AJ29</f>
        <v>-</v>
      </c>
      <c r="Y35" s="1075"/>
      <c r="Z35" s="1075"/>
      <c r="AA35" s="1075"/>
      <c r="AB35" s="1075"/>
      <c r="AC35" s="1075"/>
      <c r="AD35" s="1075"/>
      <c r="AE35" s="1075"/>
      <c r="AF35" s="1075"/>
      <c r="AG35" s="1075"/>
      <c r="AH35" s="1075"/>
      <c r="AI35" s="1075"/>
      <c r="AJ35" s="1075"/>
      <c r="AK35" s="1075" t="str">
        <f>IF(Sheet1!AE32="C",Sheet1!AK32,"-")</f>
        <v>-</v>
      </c>
      <c r="AL35" s="1075">
        <f>IF(Sheet1!AE32="D",Sheet1!AK32,"-")</f>
        <v>3580</v>
      </c>
      <c r="AM35" s="1075" t="str">
        <f>IF(Sheet1!AE29="E",Sheet1!AK29,"-")</f>
        <v>-</v>
      </c>
    </row>
    <row r="36" spans="2:39" x14ac:dyDescent="0.25">
      <c r="B36" s="1082">
        <f>Sheet1!F30</f>
        <v>13</v>
      </c>
      <c r="C36" s="1075" t="str">
        <f>Sheet1!C30</f>
        <v>US 1</v>
      </c>
      <c r="D36" s="1075" t="str">
        <f>_xlfn.TEXTBEFORE(Sheet1!E30, " to ")</f>
        <v>Art Center Ave.</v>
      </c>
      <c r="E36" s="1075" t="str">
        <f>_xlfn.TEXTAFTER(Sheet1!E30, " to ")</f>
        <v>SR 5A/Nova Rd.</v>
      </c>
      <c r="F36" s="1075">
        <f>Sheet1!AM30</f>
        <v>4</v>
      </c>
      <c r="G36" s="1075"/>
      <c r="H36" s="1083" t="str">
        <f>Sheet1!AE30</f>
        <v>D</v>
      </c>
      <c r="I36" s="1075"/>
      <c r="J36" s="1075" t="str">
        <f>Sheet1!Q30</f>
        <v>UA_UFH_2W_4L_D_WL</v>
      </c>
      <c r="K36" s="1075"/>
      <c r="L36" s="1075">
        <f>Sheet1!AF30</f>
        <v>66200</v>
      </c>
      <c r="M36" s="1075"/>
      <c r="N36" s="1075"/>
      <c r="O36" s="1075"/>
      <c r="P36" s="1075">
        <f>Sheet1!AK30</f>
        <v>5960</v>
      </c>
      <c r="Q36" s="1075"/>
      <c r="R36" s="1075">
        <f>Sheet1!AD30</f>
        <v>23500</v>
      </c>
      <c r="S36" s="1081">
        <f>Sheet1!AG30</f>
        <v>0.35498489425981872</v>
      </c>
      <c r="T36" s="1075" t="str">
        <f>Sheet1!AH30</f>
        <v>B</v>
      </c>
      <c r="U36" s="1075" t="str">
        <f>Sheet1!AI30</f>
        <v>-</v>
      </c>
      <c r="V36" s="1075"/>
      <c r="W36" s="1075"/>
      <c r="X36" s="1075" t="str">
        <f>Sheet1!AJ30</f>
        <v>-</v>
      </c>
      <c r="Y36" s="1075"/>
      <c r="Z36" s="1075"/>
      <c r="AA36" s="1075"/>
      <c r="AB36" s="1075"/>
      <c r="AC36" s="1075"/>
      <c r="AD36" s="1075"/>
      <c r="AE36" s="1075"/>
      <c r="AF36" s="1075"/>
      <c r="AG36" s="1075"/>
      <c r="AH36" s="1075"/>
      <c r="AI36" s="1075"/>
      <c r="AJ36" s="1075"/>
      <c r="AK36" s="1075" t="str">
        <f>IF(Sheet1!AE33="C",Sheet1!AK33,"-")</f>
        <v>-</v>
      </c>
      <c r="AL36" s="1075">
        <f>IF(Sheet1!AE33="D",Sheet1!AK33,"-")</f>
        <v>3580</v>
      </c>
      <c r="AM36" s="1075" t="str">
        <f>IF(Sheet1!AE30="E",Sheet1!AK30,"-")</f>
        <v>-</v>
      </c>
    </row>
    <row r="37" spans="2:39" x14ac:dyDescent="0.25">
      <c r="B37" s="1082">
        <f>Sheet1!F31</f>
        <v>152</v>
      </c>
      <c r="C37" s="1075" t="str">
        <f>Sheet1!C31</f>
        <v>US 1</v>
      </c>
      <c r="D37" s="1075" t="str">
        <f>_xlfn.TEXTBEFORE(Sheet1!E31, " to ")</f>
        <v>SR 5A/Nova Rd.</v>
      </c>
      <c r="E37" s="1075" t="str">
        <f>_xlfn.TEXTAFTER(Sheet1!E31, " to ")</f>
        <v>Commonwealth</v>
      </c>
      <c r="F37" s="1075">
        <f>Sheet1!AM31</f>
        <v>4</v>
      </c>
      <c r="G37" s="1075"/>
      <c r="H37" s="1083" t="str">
        <f>Sheet1!AE31</f>
        <v>D</v>
      </c>
      <c r="I37" s="1075"/>
      <c r="J37" s="1075" t="str">
        <f>Sheet1!Q31</f>
        <v>UA_SSAC1_2W_4L_D_WL</v>
      </c>
      <c r="K37" s="1075"/>
      <c r="L37" s="1075">
        <f>Sheet1!AF31</f>
        <v>39800</v>
      </c>
      <c r="M37" s="1075"/>
      <c r="N37" s="1075"/>
      <c r="O37" s="1075"/>
      <c r="P37" s="1075">
        <f>Sheet1!AK31</f>
        <v>3580</v>
      </c>
      <c r="Q37" s="1075"/>
      <c r="R37" s="1075">
        <f>Sheet1!AD31</f>
        <v>15700</v>
      </c>
      <c r="S37" s="1081">
        <f>Sheet1!AG31</f>
        <v>0.39447236180904521</v>
      </c>
      <c r="T37" s="1075" t="str">
        <f>Sheet1!AH31</f>
        <v>C</v>
      </c>
      <c r="U37" s="1075">
        <f>Sheet1!AI31</f>
        <v>1170</v>
      </c>
      <c r="V37" s="1075"/>
      <c r="W37" s="1075"/>
      <c r="X37" s="1075">
        <f>Sheet1!AJ31</f>
        <v>1350</v>
      </c>
      <c r="Y37" s="1075"/>
      <c r="Z37" s="1075"/>
      <c r="AA37" s="1075"/>
      <c r="AB37" s="1075"/>
      <c r="AC37" s="1075"/>
      <c r="AD37" s="1075"/>
      <c r="AE37" s="1075"/>
      <c r="AF37" s="1075"/>
      <c r="AG37" s="1075"/>
      <c r="AH37" s="1075"/>
      <c r="AI37" s="1075"/>
      <c r="AJ37" s="1075"/>
      <c r="AK37" s="1075" t="str">
        <f>IF(Sheet1!AE34="C",Sheet1!AK34,"-")</f>
        <v>-</v>
      </c>
      <c r="AL37" s="1075">
        <f>IF(Sheet1!AE34="D",Sheet1!AK34,"-")</f>
        <v>3580</v>
      </c>
      <c r="AM37" s="1075" t="str">
        <f>IF(Sheet1!AE31="E",Sheet1!AK31,"-")</f>
        <v>-</v>
      </c>
    </row>
    <row r="38" spans="2:39" x14ac:dyDescent="0.25">
      <c r="B38" s="1082">
        <f>Sheet1!F32</f>
        <v>5057</v>
      </c>
      <c r="C38" s="1075" t="str">
        <f>Sheet1!C32</f>
        <v>US 1</v>
      </c>
      <c r="D38" s="1075" t="str">
        <f>_xlfn.TEXTBEFORE(Sheet1!E32, " to ")</f>
        <v>Commonweath</v>
      </c>
      <c r="E38" s="1075" t="str">
        <f>_xlfn.TEXTAFTER(Sheet1!E32, " to ")</f>
        <v>SR 421/Dunlawton Ave.</v>
      </c>
      <c r="F38" s="1075">
        <f>Sheet1!AM32</f>
        <v>4</v>
      </c>
      <c r="G38" s="1075"/>
      <c r="H38" s="1083" t="str">
        <f>Sheet1!AE32</f>
        <v>D</v>
      </c>
      <c r="I38" s="1075"/>
      <c r="J38" s="1075" t="str">
        <f>Sheet1!Q32</f>
        <v>UA_SSAC1_2W_4L_D_WL</v>
      </c>
      <c r="K38" s="1075"/>
      <c r="L38" s="1075">
        <f>Sheet1!AF32</f>
        <v>39800</v>
      </c>
      <c r="M38" s="1075"/>
      <c r="N38" s="1075"/>
      <c r="O38" s="1075"/>
      <c r="P38" s="1075">
        <f>Sheet1!AK32</f>
        <v>3580</v>
      </c>
      <c r="Q38" s="1075"/>
      <c r="R38" s="1075">
        <f>Sheet1!AD32</f>
        <v>17600</v>
      </c>
      <c r="S38" s="1081">
        <f>Sheet1!AG32</f>
        <v>0.44221105527638194</v>
      </c>
      <c r="T38" s="1075" t="str">
        <f>Sheet1!AH32</f>
        <v>C</v>
      </c>
      <c r="U38" s="1075">
        <f>Sheet1!AI32</f>
        <v>1340</v>
      </c>
      <c r="V38" s="1075"/>
      <c r="W38" s="1075"/>
      <c r="X38" s="1075">
        <f>Sheet1!AJ32</f>
        <v>1440</v>
      </c>
      <c r="Y38" s="1075"/>
      <c r="Z38" s="1075"/>
      <c r="AA38" s="1075"/>
      <c r="AB38" s="1075"/>
      <c r="AC38" s="1075"/>
      <c r="AD38" s="1075"/>
      <c r="AE38" s="1075"/>
      <c r="AF38" s="1075"/>
      <c r="AG38" s="1075"/>
      <c r="AH38" s="1075"/>
      <c r="AI38" s="1075"/>
      <c r="AJ38" s="1075"/>
      <c r="AK38" s="1075" t="str">
        <f>IF(Sheet1!AE35="C",Sheet1!AK35,"-")</f>
        <v>-</v>
      </c>
      <c r="AL38" s="1075">
        <f>IF(Sheet1!AE35="D",Sheet1!AK35,"-")</f>
        <v>3580</v>
      </c>
      <c r="AM38" s="1075" t="str">
        <f>IF(Sheet1!AE32="E",Sheet1!AK32,"-")</f>
        <v>-</v>
      </c>
    </row>
    <row r="39" spans="2:39" x14ac:dyDescent="0.25">
      <c r="B39" s="1082">
        <f>Sheet1!F33</f>
        <v>213</v>
      </c>
      <c r="C39" s="1075" t="str">
        <f>Sheet1!C33</f>
        <v>US 1</v>
      </c>
      <c r="D39" s="1075" t="str">
        <f>_xlfn.TEXTBEFORE(Sheet1!E33, " to ")</f>
        <v>SR 421/Dunlawton Ave.</v>
      </c>
      <c r="E39" s="1075" t="str">
        <f>_xlfn.TEXTAFTER(Sheet1!E33, " to ")</f>
        <v>Reed Canal Rd.</v>
      </c>
      <c r="F39" s="1075">
        <f>Sheet1!AM33</f>
        <v>4</v>
      </c>
      <c r="G39" s="1075"/>
      <c r="H39" s="1083" t="str">
        <f>Sheet1!AE33</f>
        <v>D</v>
      </c>
      <c r="I39" s="1075"/>
      <c r="J39" s="1075" t="str">
        <f>Sheet1!Q33</f>
        <v>UA_SSAC1_2W_4L_D_WL</v>
      </c>
      <c r="K39" s="1075"/>
      <c r="L39" s="1075">
        <f>Sheet1!AF33</f>
        <v>39800</v>
      </c>
      <c r="M39" s="1075"/>
      <c r="N39" s="1075"/>
      <c r="O39" s="1075"/>
      <c r="P39" s="1075">
        <f>Sheet1!AK33</f>
        <v>3580</v>
      </c>
      <c r="Q39" s="1075"/>
      <c r="R39" s="1075">
        <f>Sheet1!AD33</f>
        <v>24000</v>
      </c>
      <c r="S39" s="1081">
        <f>Sheet1!AG33</f>
        <v>0.60301507537688437</v>
      </c>
      <c r="T39" s="1075" t="str">
        <f>Sheet1!AH33</f>
        <v>C</v>
      </c>
      <c r="U39" s="1075" t="str">
        <f>Sheet1!AI33</f>
        <v>-</v>
      </c>
      <c r="V39" s="1075"/>
      <c r="W39" s="1075"/>
      <c r="X39" s="1075" t="str">
        <f>Sheet1!AJ33</f>
        <v>-</v>
      </c>
      <c r="Y39" s="1075"/>
      <c r="Z39" s="1075"/>
      <c r="AA39" s="1075"/>
      <c r="AB39" s="1075"/>
      <c r="AC39" s="1075"/>
      <c r="AD39" s="1075"/>
      <c r="AE39" s="1075"/>
      <c r="AF39" s="1075"/>
      <c r="AG39" s="1075"/>
      <c r="AH39" s="1075"/>
      <c r="AI39" s="1075"/>
      <c r="AJ39" s="1075"/>
      <c r="AK39" s="1075" t="str">
        <f>IF(Sheet1!AE36="C",Sheet1!AK36,"-")</f>
        <v>-</v>
      </c>
      <c r="AL39" s="1075">
        <f>IF(Sheet1!AE36="D",Sheet1!AK36,"-")</f>
        <v>3580</v>
      </c>
      <c r="AM39" s="1075" t="str">
        <f>IF(Sheet1!AE33="E",Sheet1!AK33,"-")</f>
        <v>-</v>
      </c>
    </row>
    <row r="40" spans="2:39" x14ac:dyDescent="0.25">
      <c r="B40" s="1082">
        <f>Sheet1!F34</f>
        <v>5061</v>
      </c>
      <c r="C40" s="1075" t="str">
        <f>Sheet1!C34</f>
        <v>US 1</v>
      </c>
      <c r="D40" s="1075" t="str">
        <f>_xlfn.TEXTBEFORE(Sheet1!E34, " to ")</f>
        <v>Reed Canal Rd.</v>
      </c>
      <c r="E40" s="1075" t="str">
        <f>_xlfn.TEXTAFTER(Sheet1!E34, " to ")</f>
        <v>Big Tree Rd.</v>
      </c>
      <c r="F40" s="1075">
        <f>Sheet1!AM34</f>
        <v>4</v>
      </c>
      <c r="G40" s="1075"/>
      <c r="H40" s="1083" t="str">
        <f>Sheet1!AE34</f>
        <v>D</v>
      </c>
      <c r="I40" s="1075"/>
      <c r="J40" s="1075" t="str">
        <f>Sheet1!Q34</f>
        <v>UA_SSAC1_2W_4L_D_WL</v>
      </c>
      <c r="K40" s="1075"/>
      <c r="L40" s="1075">
        <f>Sheet1!AF34</f>
        <v>39800</v>
      </c>
      <c r="M40" s="1075"/>
      <c r="N40" s="1075"/>
      <c r="O40" s="1075"/>
      <c r="P40" s="1075">
        <f>Sheet1!AK34</f>
        <v>3580</v>
      </c>
      <c r="Q40" s="1075"/>
      <c r="R40" s="1075">
        <f>Sheet1!AD34</f>
        <v>23000</v>
      </c>
      <c r="S40" s="1081">
        <f>Sheet1!AG34</f>
        <v>0.57788944723618085</v>
      </c>
      <c r="T40" s="1075" t="str">
        <f>Sheet1!AH34</f>
        <v>C</v>
      </c>
      <c r="U40" s="1075" t="str">
        <f>Sheet1!AI34</f>
        <v>-</v>
      </c>
      <c r="V40" s="1075"/>
      <c r="W40" s="1075"/>
      <c r="X40" s="1075" t="str">
        <f>Sheet1!AJ34</f>
        <v>-</v>
      </c>
      <c r="Y40" s="1075"/>
      <c r="Z40" s="1075"/>
      <c r="AA40" s="1075"/>
      <c r="AB40" s="1075"/>
      <c r="AC40" s="1075"/>
      <c r="AD40" s="1075"/>
      <c r="AE40" s="1075"/>
      <c r="AF40" s="1075"/>
      <c r="AG40" s="1075"/>
      <c r="AH40" s="1075"/>
      <c r="AI40" s="1075"/>
      <c r="AJ40" s="1075"/>
      <c r="AK40" s="1075" t="str">
        <f>IF(Sheet1!AE37="C",Sheet1!AK37,"-")</f>
        <v>-</v>
      </c>
      <c r="AL40" s="1075">
        <f>IF(Sheet1!AE37="D",Sheet1!AK37,"-")</f>
        <v>3580</v>
      </c>
      <c r="AM40" s="1075" t="str">
        <f>IF(Sheet1!AE34="E",Sheet1!AK34,"-")</f>
        <v>-</v>
      </c>
    </row>
    <row r="41" spans="2:39" x14ac:dyDescent="0.25">
      <c r="B41" s="1082">
        <f>Sheet1!F35</f>
        <v>5063</v>
      </c>
      <c r="C41" s="1075" t="str">
        <f>Sheet1!C35</f>
        <v>US 1</v>
      </c>
      <c r="D41" s="1075" t="str">
        <f>_xlfn.TEXTBEFORE(Sheet1!E35, " to ")</f>
        <v>Big Tree Rd.</v>
      </c>
      <c r="E41" s="1075" t="str">
        <f>_xlfn.TEXTAFTER(Sheet1!E35, " to ")</f>
        <v>Bellewood Ave.</v>
      </c>
      <c r="F41" s="1075">
        <f>Sheet1!AM35</f>
        <v>4</v>
      </c>
      <c r="G41" s="1075"/>
      <c r="H41" s="1083" t="str">
        <f>Sheet1!AE35</f>
        <v>D</v>
      </c>
      <c r="I41" s="1075"/>
      <c r="J41" s="1075" t="str">
        <f>Sheet1!Q35</f>
        <v>UA_SSAC1_2W_4L_D_WL</v>
      </c>
      <c r="K41" s="1075"/>
      <c r="L41" s="1075">
        <f>Sheet1!AF35</f>
        <v>39800</v>
      </c>
      <c r="M41" s="1075"/>
      <c r="N41" s="1075"/>
      <c r="O41" s="1075"/>
      <c r="P41" s="1075">
        <f>Sheet1!AK35</f>
        <v>3580</v>
      </c>
      <c r="Q41" s="1075"/>
      <c r="R41" s="1075">
        <f>Sheet1!AD35</f>
        <v>23500</v>
      </c>
      <c r="S41" s="1081">
        <f>Sheet1!AG35</f>
        <v>0.59045226130653261</v>
      </c>
      <c r="T41" s="1075" t="str">
        <f>Sheet1!AH35</f>
        <v>C</v>
      </c>
      <c r="U41" s="1075" t="str">
        <f>Sheet1!AI35</f>
        <v>-</v>
      </c>
      <c r="V41" s="1075"/>
      <c r="W41" s="1075"/>
      <c r="X41" s="1075" t="str">
        <f>Sheet1!AJ35</f>
        <v>-</v>
      </c>
      <c r="Y41" s="1075"/>
      <c r="Z41" s="1075"/>
      <c r="AA41" s="1075"/>
      <c r="AB41" s="1075"/>
      <c r="AC41" s="1075"/>
      <c r="AD41" s="1075"/>
      <c r="AE41" s="1075"/>
      <c r="AF41" s="1075"/>
      <c r="AG41" s="1075"/>
      <c r="AH41" s="1075"/>
      <c r="AI41" s="1075"/>
      <c r="AJ41" s="1075"/>
      <c r="AK41" s="1075" t="str">
        <f>IF(Sheet1!AE38="C",Sheet1!AK38,"-")</f>
        <v>-</v>
      </c>
      <c r="AL41" s="1075">
        <f>IF(Sheet1!AE38="D",Sheet1!AK38,"-")</f>
        <v>3580</v>
      </c>
      <c r="AM41" s="1075" t="str">
        <f>IF(Sheet1!AE35="E",Sheet1!AK35,"-")</f>
        <v>-</v>
      </c>
    </row>
    <row r="42" spans="2:39" x14ac:dyDescent="0.25">
      <c r="B42" s="1082">
        <f>Sheet1!F36</f>
        <v>5063</v>
      </c>
      <c r="C42" s="1075" t="str">
        <f>Sheet1!C36</f>
        <v>US 1</v>
      </c>
      <c r="D42" s="1075" t="str">
        <f>_xlfn.TEXTBEFORE(Sheet1!E36, " to ")</f>
        <v>Bellewood Ave.</v>
      </c>
      <c r="E42" s="1075" t="str">
        <f>_xlfn.TEXTAFTER(Sheet1!E36, " to ")</f>
        <v>SR 400/Beville Rd</v>
      </c>
      <c r="F42" s="1075">
        <f>Sheet1!AM36</f>
        <v>4</v>
      </c>
      <c r="G42" s="1075"/>
      <c r="H42" s="1083" t="str">
        <f>Sheet1!AE36</f>
        <v>D</v>
      </c>
      <c r="I42" s="1075"/>
      <c r="J42" s="1075" t="str">
        <f>Sheet1!Q36</f>
        <v>UA_SSAC1_2W_4L_D_WL</v>
      </c>
      <c r="K42" s="1075"/>
      <c r="L42" s="1075">
        <f>Sheet1!AF36</f>
        <v>39800</v>
      </c>
      <c r="M42" s="1075"/>
      <c r="N42" s="1075"/>
      <c r="O42" s="1075"/>
      <c r="P42" s="1075">
        <f>Sheet1!AK36</f>
        <v>3580</v>
      </c>
      <c r="Q42" s="1075"/>
      <c r="R42" s="1075">
        <f>Sheet1!AD36</f>
        <v>23500</v>
      </c>
      <c r="S42" s="1081">
        <f>Sheet1!AG36</f>
        <v>0.59045226130653261</v>
      </c>
      <c r="T42" s="1075" t="str">
        <f>Sheet1!AH36</f>
        <v>C</v>
      </c>
      <c r="U42" s="1075" t="str">
        <f>Sheet1!AI36</f>
        <v>-</v>
      </c>
      <c r="V42" s="1075"/>
      <c r="W42" s="1075"/>
      <c r="X42" s="1075" t="str">
        <f>Sheet1!AJ36</f>
        <v>-</v>
      </c>
      <c r="Y42" s="1075"/>
      <c r="Z42" s="1075"/>
      <c r="AA42" s="1075"/>
      <c r="AB42" s="1075"/>
      <c r="AC42" s="1075"/>
      <c r="AD42" s="1075"/>
      <c r="AE42" s="1075"/>
      <c r="AF42" s="1075"/>
      <c r="AG42" s="1075"/>
      <c r="AH42" s="1075"/>
      <c r="AI42" s="1075"/>
      <c r="AJ42" s="1075"/>
      <c r="AK42" s="1075" t="str">
        <f>IF(Sheet1!AE39="C",Sheet1!AK39,"-")</f>
        <v>-</v>
      </c>
      <c r="AL42" s="1075">
        <f>IF(Sheet1!AE39="D",Sheet1!AK39,"-")</f>
        <v>2920</v>
      </c>
      <c r="AM42" s="1075" t="str">
        <f>IF(Sheet1!AE36="E",Sheet1!AK36,"-")</f>
        <v>-</v>
      </c>
    </row>
    <row r="43" spans="2:39" x14ac:dyDescent="0.25">
      <c r="B43" s="1082">
        <f>Sheet1!F37</f>
        <v>452</v>
      </c>
      <c r="C43" s="1075" t="str">
        <f>Sheet1!C37</f>
        <v>US 1</v>
      </c>
      <c r="D43" s="1075" t="str">
        <f>_xlfn.TEXTBEFORE(Sheet1!E37, " to ")</f>
        <v>SR 400/Beville Rd</v>
      </c>
      <c r="E43" s="1075" t="str">
        <f>_xlfn.TEXTAFTER(Sheet1!E37, " to ")</f>
        <v>Bellevue Ave.</v>
      </c>
      <c r="F43" s="1075">
        <f>Sheet1!AM37</f>
        <v>4</v>
      </c>
      <c r="G43" s="1075"/>
      <c r="H43" s="1083" t="str">
        <f>Sheet1!AE37</f>
        <v>D</v>
      </c>
      <c r="I43" s="1075"/>
      <c r="J43" s="1075" t="str">
        <f>Sheet1!Q37</f>
        <v>UA_SSAC1_2W_4L_D_WL</v>
      </c>
      <c r="K43" s="1075"/>
      <c r="L43" s="1075">
        <f>Sheet1!AF37</f>
        <v>39800</v>
      </c>
      <c r="M43" s="1075"/>
      <c r="N43" s="1075"/>
      <c r="O43" s="1075"/>
      <c r="P43" s="1075">
        <f>Sheet1!AK37</f>
        <v>3580</v>
      </c>
      <c r="Q43" s="1075"/>
      <c r="R43" s="1075">
        <f>Sheet1!AD37</f>
        <v>29000</v>
      </c>
      <c r="S43" s="1081">
        <f>Sheet1!AG37</f>
        <v>0.72864321608040206</v>
      </c>
      <c r="T43" s="1075" t="str">
        <f>Sheet1!AH37</f>
        <v>C</v>
      </c>
      <c r="U43" s="1075">
        <f>Sheet1!AI37</f>
        <v>2040</v>
      </c>
      <c r="V43" s="1075"/>
      <c r="W43" s="1075"/>
      <c r="X43" s="1075">
        <f>Sheet1!AJ37</f>
        <v>2350</v>
      </c>
      <c r="Y43" s="1075"/>
      <c r="Z43" s="1075"/>
      <c r="AA43" s="1075"/>
      <c r="AB43" s="1075"/>
      <c r="AC43" s="1075"/>
      <c r="AD43" s="1075"/>
      <c r="AE43" s="1075"/>
      <c r="AF43" s="1075"/>
      <c r="AG43" s="1075"/>
      <c r="AH43" s="1075"/>
      <c r="AI43" s="1075"/>
      <c r="AJ43" s="1075"/>
      <c r="AK43" s="1075" t="str">
        <f>IF(Sheet1!AE40="C",Sheet1!AK40,"-")</f>
        <v>-</v>
      </c>
      <c r="AL43" s="1075">
        <f>IF(Sheet1!AE40="D",Sheet1!AK40,"-")</f>
        <v>2920</v>
      </c>
      <c r="AM43" s="1075" t="str">
        <f>IF(Sheet1!AE37="E",Sheet1!AK37,"-")</f>
        <v>-</v>
      </c>
    </row>
    <row r="44" spans="2:39" x14ac:dyDescent="0.25">
      <c r="B44" s="1082">
        <f>Sheet1!F38</f>
        <v>5066</v>
      </c>
      <c r="C44" s="1075" t="str">
        <f>Sheet1!C38</f>
        <v>US 1</v>
      </c>
      <c r="D44" s="1075" t="str">
        <f>_xlfn.TEXTBEFORE(Sheet1!E38, " to ")</f>
        <v>Bellevue Ave.</v>
      </c>
      <c r="E44" s="1075" t="str">
        <f>_xlfn.TEXTAFTER(Sheet1!E38, " to ")</f>
        <v>Orange Ave.</v>
      </c>
      <c r="F44" s="1075">
        <f>Sheet1!AM38</f>
        <v>4</v>
      </c>
      <c r="G44" s="1075"/>
      <c r="H44" s="1083" t="str">
        <f>Sheet1!AE38</f>
        <v>D</v>
      </c>
      <c r="I44" s="1075"/>
      <c r="J44" s="1075" t="str">
        <f>Sheet1!Q38</f>
        <v>UA_SSAC1_2W_4L_D_WL</v>
      </c>
      <c r="K44" s="1075"/>
      <c r="L44" s="1075">
        <f>Sheet1!AF38</f>
        <v>39800</v>
      </c>
      <c r="M44" s="1075"/>
      <c r="N44" s="1075"/>
      <c r="O44" s="1075"/>
      <c r="P44" s="1075">
        <f>Sheet1!AK38</f>
        <v>3580</v>
      </c>
      <c r="Q44" s="1075"/>
      <c r="R44" s="1075">
        <f>Sheet1!AD38</f>
        <v>29500</v>
      </c>
      <c r="S44" s="1081">
        <f>Sheet1!AG38</f>
        <v>0.74120603015075381</v>
      </c>
      <c r="T44" s="1075" t="str">
        <f>Sheet1!AH38</f>
        <v>C</v>
      </c>
      <c r="U44" s="1075" t="str">
        <f>Sheet1!AI38</f>
        <v>-</v>
      </c>
      <c r="V44" s="1075"/>
      <c r="W44" s="1075"/>
      <c r="X44" s="1075" t="str">
        <f>Sheet1!AJ38</f>
        <v>-</v>
      </c>
      <c r="Y44" s="1075"/>
      <c r="Z44" s="1075"/>
      <c r="AA44" s="1075"/>
      <c r="AB44" s="1075"/>
      <c r="AC44" s="1075"/>
      <c r="AD44" s="1075"/>
      <c r="AE44" s="1075"/>
      <c r="AF44" s="1075"/>
      <c r="AG44" s="1075"/>
      <c r="AH44" s="1075"/>
      <c r="AI44" s="1075"/>
      <c r="AJ44" s="1075"/>
      <c r="AK44" s="1075" t="str">
        <f>IF(Sheet1!AE41="C",Sheet1!AK41,"-")</f>
        <v>-</v>
      </c>
      <c r="AL44" s="1075">
        <f>IF(Sheet1!AE41="D",Sheet1!AK41,"-")</f>
        <v>2920</v>
      </c>
      <c r="AM44" s="1075" t="str">
        <f>IF(Sheet1!AE38="E",Sheet1!AK38,"-")</f>
        <v>-</v>
      </c>
    </row>
    <row r="45" spans="2:39" x14ac:dyDescent="0.25">
      <c r="B45" s="1082">
        <f>Sheet1!F39</f>
        <v>5070</v>
      </c>
      <c r="C45" s="1075" t="str">
        <f>Sheet1!C39</f>
        <v>US 1</v>
      </c>
      <c r="D45" s="1075" t="str">
        <f>_xlfn.TEXTBEFORE(Sheet1!E39, " to ")</f>
        <v xml:space="preserve">Orange Ave. </v>
      </c>
      <c r="E45" s="1075" t="str">
        <f>_xlfn.TEXTAFTER(Sheet1!E39, " to ")</f>
        <v>US 92/ISB</v>
      </c>
      <c r="F45" s="1075">
        <f>Sheet1!AM39</f>
        <v>4</v>
      </c>
      <c r="G45" s="1075"/>
      <c r="H45" s="1083" t="str">
        <f>Sheet1!AE39</f>
        <v>D</v>
      </c>
      <c r="I45" s="1075"/>
      <c r="J45" s="1075" t="str">
        <f>Sheet1!Q39</f>
        <v>UA_SSAC2_2W_4L_D_WL</v>
      </c>
      <c r="K45" s="1075"/>
      <c r="L45" s="1075">
        <f>Sheet1!AF39</f>
        <v>32400</v>
      </c>
      <c r="M45" s="1075"/>
      <c r="N45" s="1075"/>
      <c r="O45" s="1075"/>
      <c r="P45" s="1075">
        <f>Sheet1!AK39</f>
        <v>2920</v>
      </c>
      <c r="Q45" s="1075"/>
      <c r="R45" s="1075">
        <f>Sheet1!AD39</f>
        <v>30000</v>
      </c>
      <c r="S45" s="1081">
        <f>Sheet1!AG39</f>
        <v>0.92592592592592593</v>
      </c>
      <c r="T45" s="1075" t="str">
        <f>Sheet1!AH39</f>
        <v>D</v>
      </c>
      <c r="U45" s="1075" t="str">
        <f>Sheet1!AI39</f>
        <v>-</v>
      </c>
      <c r="V45" s="1075"/>
      <c r="W45" s="1075"/>
      <c r="X45" s="1075" t="str">
        <f>Sheet1!AJ39</f>
        <v>-</v>
      </c>
      <c r="Y45" s="1075"/>
      <c r="Z45" s="1075"/>
      <c r="AA45" s="1075"/>
      <c r="AB45" s="1075"/>
      <c r="AC45" s="1075"/>
      <c r="AD45" s="1075"/>
      <c r="AE45" s="1075"/>
      <c r="AF45" s="1075"/>
      <c r="AG45" s="1075"/>
      <c r="AH45" s="1075"/>
      <c r="AI45" s="1075"/>
      <c r="AJ45" s="1075"/>
      <c r="AK45" s="1075" t="str">
        <f>IF(Sheet1!AE42="C",Sheet1!AK42,"-")</f>
        <v>-</v>
      </c>
      <c r="AL45" s="1075">
        <f>IF(Sheet1!AE42="D",Sheet1!AK42,"-")</f>
        <v>2920</v>
      </c>
      <c r="AM45" s="1075" t="str">
        <f>IF(Sheet1!AE39="E",Sheet1!AK39,"-")</f>
        <v>-</v>
      </c>
    </row>
    <row r="46" spans="2:39" x14ac:dyDescent="0.25">
      <c r="B46" s="1082">
        <f>Sheet1!F40</f>
        <v>5074</v>
      </c>
      <c r="C46" s="1075" t="str">
        <f>Sheet1!C40</f>
        <v>US 1</v>
      </c>
      <c r="D46" s="1075" t="str">
        <f>_xlfn.TEXTBEFORE(Sheet1!E40, " to ")</f>
        <v>US 92/ISB</v>
      </c>
      <c r="E46" s="1075" t="str">
        <f>_xlfn.TEXTAFTER(Sheet1!E40, " to ")</f>
        <v>Fairview/Main St.</v>
      </c>
      <c r="F46" s="1075">
        <f>Sheet1!AM40</f>
        <v>4</v>
      </c>
      <c r="G46" s="1075"/>
      <c r="H46" s="1083" t="str">
        <f>Sheet1!AE40</f>
        <v>D</v>
      </c>
      <c r="I46" s="1075"/>
      <c r="J46" s="1075" t="str">
        <f>Sheet1!Q40</f>
        <v>UA_SSAC2_2W_4L_D_WL</v>
      </c>
      <c r="K46" s="1075"/>
      <c r="L46" s="1075">
        <f>Sheet1!AF40</f>
        <v>32400</v>
      </c>
      <c r="M46" s="1075"/>
      <c r="N46" s="1075"/>
      <c r="O46" s="1075"/>
      <c r="P46" s="1075">
        <f>Sheet1!AK40</f>
        <v>2920</v>
      </c>
      <c r="Q46" s="1075"/>
      <c r="R46" s="1075">
        <f>Sheet1!AD40</f>
        <v>27000</v>
      </c>
      <c r="S46" s="1081">
        <f>Sheet1!AG40</f>
        <v>0.83333333333333337</v>
      </c>
      <c r="T46" s="1075" t="str">
        <f>Sheet1!AH40</f>
        <v>D</v>
      </c>
      <c r="U46" s="1075" t="str">
        <f>Sheet1!AI40</f>
        <v>-</v>
      </c>
      <c r="V46" s="1075"/>
      <c r="W46" s="1075"/>
      <c r="X46" s="1075" t="str">
        <f>Sheet1!AJ40</f>
        <v>-</v>
      </c>
      <c r="Y46" s="1075"/>
      <c r="Z46" s="1075"/>
      <c r="AA46" s="1075"/>
      <c r="AB46" s="1075"/>
      <c r="AC46" s="1075"/>
      <c r="AD46" s="1075"/>
      <c r="AE46" s="1075"/>
      <c r="AF46" s="1075"/>
      <c r="AG46" s="1075"/>
      <c r="AH46" s="1075"/>
      <c r="AI46" s="1075"/>
      <c r="AJ46" s="1075"/>
      <c r="AK46" s="1075" t="str">
        <f>IF(Sheet1!AE43="C",Sheet1!AK43,"-")</f>
        <v>-</v>
      </c>
      <c r="AL46" s="1075">
        <f>IF(Sheet1!AE43="D",Sheet1!AK43,"-")</f>
        <v>3580</v>
      </c>
      <c r="AM46" s="1075" t="str">
        <f>IF(Sheet1!AE40="E",Sheet1!AK40,"-")</f>
        <v>-</v>
      </c>
    </row>
    <row r="47" spans="2:39" x14ac:dyDescent="0.25">
      <c r="B47" s="1082">
        <f>Sheet1!F41</f>
        <v>5074</v>
      </c>
      <c r="C47" s="1075" t="str">
        <f>Sheet1!C41</f>
        <v>US 1</v>
      </c>
      <c r="D47" s="1075" t="str">
        <f>_xlfn.TEXTBEFORE(Sheet1!E41, " to ")</f>
        <v>Fairview/Main St.</v>
      </c>
      <c r="E47" s="1075" t="str">
        <f>_xlfn.TEXTAFTER(Sheet1!E41, " to ")</f>
        <v>SR 430/Mason Ave.</v>
      </c>
      <c r="F47" s="1075">
        <f>Sheet1!AM41</f>
        <v>4</v>
      </c>
      <c r="G47" s="1075"/>
      <c r="H47" s="1083" t="str">
        <f>Sheet1!AE41</f>
        <v>D</v>
      </c>
      <c r="I47" s="1075"/>
      <c r="J47" s="1075" t="str">
        <f>Sheet1!Q41</f>
        <v>UA_SSAC2_2W_4L_D_WL</v>
      </c>
      <c r="K47" s="1075"/>
      <c r="L47" s="1075">
        <f>Sheet1!AF41</f>
        <v>32400</v>
      </c>
      <c r="M47" s="1075"/>
      <c r="N47" s="1075"/>
      <c r="O47" s="1075"/>
      <c r="P47" s="1075">
        <f>Sheet1!AK41</f>
        <v>2920</v>
      </c>
      <c r="Q47" s="1075"/>
      <c r="R47" s="1075">
        <f>Sheet1!AD41</f>
        <v>27000</v>
      </c>
      <c r="S47" s="1081">
        <f>Sheet1!AG41</f>
        <v>0.83333333333333337</v>
      </c>
      <c r="T47" s="1075" t="str">
        <f>Sheet1!AH41</f>
        <v>D</v>
      </c>
      <c r="U47" s="1075" t="str">
        <f>Sheet1!AI41</f>
        <v>-</v>
      </c>
      <c r="V47" s="1075"/>
      <c r="W47" s="1075"/>
      <c r="X47" s="1075" t="str">
        <f>Sheet1!AJ41</f>
        <v>-</v>
      </c>
      <c r="Y47" s="1075"/>
      <c r="Z47" s="1075"/>
      <c r="AA47" s="1075"/>
      <c r="AB47" s="1075"/>
      <c r="AC47" s="1075"/>
      <c r="AD47" s="1075"/>
      <c r="AE47" s="1075"/>
      <c r="AF47" s="1075"/>
      <c r="AG47" s="1075"/>
      <c r="AH47" s="1075"/>
      <c r="AI47" s="1075"/>
      <c r="AJ47" s="1075"/>
      <c r="AK47" s="1075" t="str">
        <f>IF(Sheet1!AE44="C",Sheet1!AK44,"-")</f>
        <v>-</v>
      </c>
      <c r="AL47" s="1075">
        <f>IF(Sheet1!AE44="D",Sheet1!AK44,"-")</f>
        <v>3580</v>
      </c>
      <c r="AM47" s="1075" t="str">
        <f>IF(Sheet1!AE41="E",Sheet1!AK41,"-")</f>
        <v>-</v>
      </c>
    </row>
    <row r="48" spans="2:39" x14ac:dyDescent="0.25">
      <c r="B48" s="1082">
        <f>Sheet1!F42</f>
        <v>1018</v>
      </c>
      <c r="C48" s="1075" t="str">
        <f>Sheet1!C42</f>
        <v>US 1</v>
      </c>
      <c r="D48" s="1075" t="str">
        <f>_xlfn.TEXTBEFORE(Sheet1!E42, " to ")</f>
        <v>SR 430/Mason Ave.</v>
      </c>
      <c r="E48" s="1075" t="str">
        <f>_xlfn.TEXTAFTER(Sheet1!E42, " to ")</f>
        <v>LPGA Blvd.</v>
      </c>
      <c r="F48" s="1075">
        <f>Sheet1!AM42</f>
        <v>4</v>
      </c>
      <c r="G48" s="1075"/>
      <c r="H48" s="1083" t="str">
        <f>Sheet1!AE42</f>
        <v>D</v>
      </c>
      <c r="I48" s="1075"/>
      <c r="J48" s="1075" t="str">
        <f>Sheet1!Q42</f>
        <v>UA_SSAC2_2W_4L_D_WL</v>
      </c>
      <c r="K48" s="1075"/>
      <c r="L48" s="1075">
        <f>Sheet1!AF42</f>
        <v>32400</v>
      </c>
      <c r="M48" s="1075"/>
      <c r="N48" s="1075"/>
      <c r="O48" s="1075"/>
      <c r="P48" s="1075">
        <f>Sheet1!AK42</f>
        <v>2920</v>
      </c>
      <c r="Q48" s="1075"/>
      <c r="R48" s="1075">
        <f>Sheet1!AD42</f>
        <v>24000</v>
      </c>
      <c r="S48" s="1081">
        <f>Sheet1!AG42</f>
        <v>0.7407407407407407</v>
      </c>
      <c r="T48" s="1075" t="str">
        <f>Sheet1!AH42</f>
        <v>D</v>
      </c>
      <c r="U48" s="1075" t="str">
        <f>Sheet1!AI42</f>
        <v>-</v>
      </c>
      <c r="V48" s="1075"/>
      <c r="W48" s="1075"/>
      <c r="X48" s="1075" t="str">
        <f>Sheet1!AJ42</f>
        <v>-</v>
      </c>
      <c r="Y48" s="1075"/>
      <c r="Z48" s="1075"/>
      <c r="AA48" s="1075"/>
      <c r="AB48" s="1075"/>
      <c r="AC48" s="1075"/>
      <c r="AD48" s="1075"/>
      <c r="AE48" s="1075"/>
      <c r="AF48" s="1075"/>
      <c r="AG48" s="1075"/>
      <c r="AH48" s="1075"/>
      <c r="AI48" s="1075"/>
      <c r="AJ48" s="1075"/>
      <c r="AK48" s="1075" t="str">
        <f>IF(Sheet1!AE45="C",Sheet1!AK45,"-")</f>
        <v>-</v>
      </c>
      <c r="AL48" s="1075">
        <f>IF(Sheet1!AE45="D",Sheet1!AK45,"-")</f>
        <v>3580</v>
      </c>
      <c r="AM48" s="1075" t="str">
        <f>IF(Sheet1!AE42="E",Sheet1!AK42,"-")</f>
        <v>-</v>
      </c>
    </row>
    <row r="49" spans="2:39" x14ac:dyDescent="0.25">
      <c r="B49" s="1082">
        <f>Sheet1!F43</f>
        <v>1018</v>
      </c>
      <c r="C49" s="1075" t="str">
        <f>Sheet1!C43</f>
        <v>US 1</v>
      </c>
      <c r="D49" s="1075" t="str">
        <f>_xlfn.TEXTBEFORE(Sheet1!E43, " to ")</f>
        <v>LPGA Blvd.</v>
      </c>
      <c r="E49" s="1075" t="str">
        <f>_xlfn.TEXTAFTER(Sheet1!E43, " to ")</f>
        <v>Hand Ave.</v>
      </c>
      <c r="F49" s="1075">
        <f>Sheet1!AM43</f>
        <v>4</v>
      </c>
      <c r="G49" s="1075"/>
      <c r="H49" s="1083" t="str">
        <f>Sheet1!AE43</f>
        <v>D</v>
      </c>
      <c r="I49" s="1075"/>
      <c r="J49" s="1075" t="str">
        <f>Sheet1!Q43</f>
        <v>UA_SSAC1_2W_4L_D_WL</v>
      </c>
      <c r="K49" s="1075"/>
      <c r="L49" s="1075">
        <f>Sheet1!AF43</f>
        <v>39800</v>
      </c>
      <c r="M49" s="1075"/>
      <c r="N49" s="1075"/>
      <c r="O49" s="1075"/>
      <c r="P49" s="1075">
        <f>Sheet1!AK43</f>
        <v>3580</v>
      </c>
      <c r="Q49" s="1075"/>
      <c r="R49" s="1075">
        <f>Sheet1!AD43</f>
        <v>24000</v>
      </c>
      <c r="S49" s="1081">
        <f>Sheet1!AG43</f>
        <v>0.60301507537688437</v>
      </c>
      <c r="T49" s="1075" t="str">
        <f>Sheet1!AH43</f>
        <v>C</v>
      </c>
      <c r="U49" s="1075" t="str">
        <f>Sheet1!AI43</f>
        <v>-</v>
      </c>
      <c r="V49" s="1075"/>
      <c r="W49" s="1075"/>
      <c r="X49" s="1075" t="str">
        <f>Sheet1!AJ43</f>
        <v>-</v>
      </c>
      <c r="Y49" s="1075"/>
      <c r="Z49" s="1075"/>
      <c r="AA49" s="1075"/>
      <c r="AB49" s="1075"/>
      <c r="AC49" s="1075"/>
      <c r="AD49" s="1075"/>
      <c r="AE49" s="1075"/>
      <c r="AF49" s="1075"/>
      <c r="AG49" s="1075"/>
      <c r="AH49" s="1075"/>
      <c r="AI49" s="1075"/>
      <c r="AJ49" s="1075"/>
      <c r="AK49" s="1075" t="str">
        <f>IF(Sheet1!AE46="C",Sheet1!AK46,"-")</f>
        <v>-</v>
      </c>
      <c r="AL49" s="1075">
        <f>IF(Sheet1!AE46="D",Sheet1!AK46,"-")</f>
        <v>3580</v>
      </c>
      <c r="AM49" s="1075" t="str">
        <f>IF(Sheet1!AE43="E",Sheet1!AK43,"-")</f>
        <v>-</v>
      </c>
    </row>
    <row r="50" spans="2:39" x14ac:dyDescent="0.25">
      <c r="B50" s="1082">
        <f>Sheet1!F44</f>
        <v>5142</v>
      </c>
      <c r="C50" s="1075" t="str">
        <f>Sheet1!C44</f>
        <v>US 1</v>
      </c>
      <c r="D50" s="1075" t="str">
        <f>_xlfn.TEXTBEFORE(Sheet1!E44, " to ")</f>
        <v>Hand Ave.</v>
      </c>
      <c r="E50" s="1075" t="str">
        <f>_xlfn.TEXTAFTER(Sheet1!E44, " to ")</f>
        <v>SR 40/Granada Blvd.</v>
      </c>
      <c r="F50" s="1075">
        <f>Sheet1!AM44</f>
        <v>4</v>
      </c>
      <c r="G50" s="1075"/>
      <c r="H50" s="1083" t="str">
        <f>Sheet1!AE44</f>
        <v>D</v>
      </c>
      <c r="I50" s="1075"/>
      <c r="J50" s="1075" t="str">
        <f>Sheet1!Q44</f>
        <v>UA_SSAC1_2W_4L_D_WL</v>
      </c>
      <c r="K50" s="1075"/>
      <c r="L50" s="1075">
        <f>Sheet1!AF44</f>
        <v>39800</v>
      </c>
      <c r="M50" s="1075"/>
      <c r="N50" s="1075"/>
      <c r="O50" s="1075"/>
      <c r="P50" s="1075">
        <f>Sheet1!AK44</f>
        <v>3580</v>
      </c>
      <c r="Q50" s="1075"/>
      <c r="R50" s="1075">
        <f>Sheet1!AD44</f>
        <v>23000</v>
      </c>
      <c r="S50" s="1081">
        <f>Sheet1!AG44</f>
        <v>0.57788944723618085</v>
      </c>
      <c r="T50" s="1075" t="str">
        <f>Sheet1!AH44</f>
        <v>C</v>
      </c>
      <c r="U50" s="1075" t="str">
        <f>Sheet1!AI44</f>
        <v>-</v>
      </c>
      <c r="V50" s="1075"/>
      <c r="W50" s="1075"/>
      <c r="X50" s="1075" t="str">
        <f>Sheet1!AJ44</f>
        <v>-</v>
      </c>
      <c r="Y50" s="1075"/>
      <c r="Z50" s="1075"/>
      <c r="AA50" s="1075"/>
      <c r="AB50" s="1075"/>
      <c r="AC50" s="1075"/>
      <c r="AD50" s="1075"/>
      <c r="AE50" s="1075"/>
      <c r="AF50" s="1075"/>
      <c r="AG50" s="1075"/>
      <c r="AH50" s="1075"/>
      <c r="AI50" s="1075"/>
      <c r="AJ50" s="1075"/>
      <c r="AK50" s="1075" t="str">
        <f>IF(Sheet1!AE47="C",Sheet1!AK47,"-")</f>
        <v>-</v>
      </c>
      <c r="AL50" s="1075">
        <f>IF(Sheet1!AE47="D",Sheet1!AK47,"-")</f>
        <v>3580</v>
      </c>
      <c r="AM50" s="1075" t="str">
        <f>IF(Sheet1!AE44="E",Sheet1!AK44,"-")</f>
        <v>-</v>
      </c>
    </row>
    <row r="51" spans="2:39" x14ac:dyDescent="0.25">
      <c r="B51" s="1082">
        <f>Sheet1!F45</f>
        <v>1019</v>
      </c>
      <c r="C51" s="1075" t="str">
        <f>Sheet1!C45</f>
        <v>US 1</v>
      </c>
      <c r="D51" s="1075" t="str">
        <f>_xlfn.TEXTBEFORE(Sheet1!E45, " to ")</f>
        <v>SR 40/Granada Blvd.</v>
      </c>
      <c r="E51" s="1075" t="str">
        <f>_xlfn.TEXTAFTER(Sheet1!E45, " to ")</f>
        <v>SR 5A/Nova Rd.</v>
      </c>
      <c r="F51" s="1075">
        <f>Sheet1!AM45</f>
        <v>4</v>
      </c>
      <c r="G51" s="1075"/>
      <c r="H51" s="1083" t="str">
        <f>Sheet1!AE45</f>
        <v>D</v>
      </c>
      <c r="I51" s="1075"/>
      <c r="J51" s="1075" t="str">
        <f>Sheet1!Q45</f>
        <v>UA_SSAC1_2W_4L_D_WL</v>
      </c>
      <c r="K51" s="1075"/>
      <c r="L51" s="1075">
        <f>Sheet1!AF45</f>
        <v>39800</v>
      </c>
      <c r="M51" s="1075"/>
      <c r="N51" s="1075"/>
      <c r="O51" s="1075"/>
      <c r="P51" s="1075">
        <f>Sheet1!AK45</f>
        <v>3580</v>
      </c>
      <c r="Q51" s="1075"/>
      <c r="R51" s="1075">
        <f>Sheet1!AD45</f>
        <v>19500</v>
      </c>
      <c r="S51" s="1081">
        <f>Sheet1!AG45</f>
        <v>0.4899497487437186</v>
      </c>
      <c r="T51" s="1075" t="str">
        <f>Sheet1!AH45</f>
        <v>C</v>
      </c>
      <c r="U51" s="1075" t="str">
        <f>Sheet1!AI45</f>
        <v>-</v>
      </c>
      <c r="V51" s="1075"/>
      <c r="W51" s="1075"/>
      <c r="X51" s="1075" t="str">
        <f>Sheet1!AJ45</f>
        <v>-</v>
      </c>
      <c r="Y51" s="1075"/>
      <c r="Z51" s="1075"/>
      <c r="AA51" s="1075"/>
      <c r="AB51" s="1075"/>
      <c r="AC51" s="1075"/>
      <c r="AD51" s="1075"/>
      <c r="AE51" s="1075"/>
      <c r="AF51" s="1075"/>
      <c r="AG51" s="1075"/>
      <c r="AH51" s="1075"/>
      <c r="AI51" s="1075"/>
      <c r="AJ51" s="1075"/>
      <c r="AK51" s="1075" t="str">
        <f>IF(Sheet1!AE48="C",Sheet1!AK48,"-")</f>
        <v>-</v>
      </c>
      <c r="AL51" s="1075">
        <f>IF(Sheet1!AE48="D",Sheet1!AK48,"-")</f>
        <v>5960</v>
      </c>
      <c r="AM51" s="1075" t="str">
        <f>IF(Sheet1!AE45="E",Sheet1!AK45,"-")</f>
        <v>-</v>
      </c>
    </row>
    <row r="52" spans="2:39" x14ac:dyDescent="0.25">
      <c r="B52" s="1082">
        <f>Sheet1!F46</f>
        <v>100</v>
      </c>
      <c r="C52" s="1075" t="str">
        <f>Sheet1!C46</f>
        <v>US 1</v>
      </c>
      <c r="D52" s="1075" t="str">
        <f>_xlfn.TEXTBEFORE(Sheet1!E46, " to ")</f>
        <v>SR 5A/Nova Rd.</v>
      </c>
      <c r="E52" s="1075" t="str">
        <f>_xlfn.TEXTAFTER(Sheet1!E46, " to ")</f>
        <v>Airport Rd.</v>
      </c>
      <c r="F52" s="1075">
        <f>Sheet1!AM46</f>
        <v>4</v>
      </c>
      <c r="G52" s="1075"/>
      <c r="H52" s="1083" t="str">
        <f>Sheet1!AE46</f>
        <v>D</v>
      </c>
      <c r="I52" s="1075"/>
      <c r="J52" s="1075" t="str">
        <f>Sheet1!Q46</f>
        <v>UA_SSAC1_2W_4L_D_WL</v>
      </c>
      <c r="K52" s="1075"/>
      <c r="L52" s="1075">
        <f>Sheet1!AF46</f>
        <v>39800</v>
      </c>
      <c r="M52" s="1075"/>
      <c r="N52" s="1075"/>
      <c r="O52" s="1075"/>
      <c r="P52" s="1075">
        <f>Sheet1!AK46</f>
        <v>3580</v>
      </c>
      <c r="Q52" s="1075"/>
      <c r="R52" s="1075">
        <f>Sheet1!AD46</f>
        <v>31000</v>
      </c>
      <c r="S52" s="1081">
        <f>Sheet1!AG46</f>
        <v>0.77889447236180909</v>
      </c>
      <c r="T52" s="1075" t="str">
        <f>Sheet1!AH46</f>
        <v>C</v>
      </c>
      <c r="U52" s="1075" t="str">
        <f>Sheet1!AI46</f>
        <v>-</v>
      </c>
      <c r="V52" s="1075"/>
      <c r="W52" s="1075"/>
      <c r="X52" s="1075" t="str">
        <f>Sheet1!AJ46</f>
        <v>-</v>
      </c>
      <c r="Y52" s="1075"/>
      <c r="Z52" s="1075"/>
      <c r="AA52" s="1075"/>
      <c r="AB52" s="1075"/>
      <c r="AC52" s="1075"/>
      <c r="AD52" s="1075"/>
      <c r="AE52" s="1075"/>
      <c r="AF52" s="1075"/>
      <c r="AG52" s="1075"/>
      <c r="AH52" s="1075"/>
      <c r="AI52" s="1075"/>
      <c r="AJ52" s="1075"/>
      <c r="AK52" s="1075" t="str">
        <f>IF(Sheet1!AE49="C",Sheet1!AK49,"-")</f>
        <v>-</v>
      </c>
      <c r="AL52" s="1075">
        <f>IF(Sheet1!AE49="D",Sheet1!AK49,"-")</f>
        <v>3580</v>
      </c>
      <c r="AM52" s="1075" t="str">
        <f>IF(Sheet1!AE46="E",Sheet1!AK46,"-")</f>
        <v>-</v>
      </c>
    </row>
    <row r="53" spans="2:39" x14ac:dyDescent="0.25">
      <c r="B53" s="1082">
        <f>Sheet1!F47</f>
        <v>351</v>
      </c>
      <c r="C53" s="1075" t="str">
        <f>Sheet1!C47</f>
        <v>US 1</v>
      </c>
      <c r="D53" s="1075" t="str">
        <f>_xlfn.TEXTBEFORE(Sheet1!E47, " to ")</f>
        <v>Airport Rd.</v>
      </c>
      <c r="E53" s="1075" t="str">
        <f>_xlfn.TEXTAFTER(Sheet1!E47, " to ")</f>
        <v>I-95</v>
      </c>
      <c r="F53" s="1075">
        <f>Sheet1!AM47</f>
        <v>4</v>
      </c>
      <c r="G53" s="1075"/>
      <c r="H53" s="1083" t="str">
        <f>Sheet1!AE47</f>
        <v>D</v>
      </c>
      <c r="I53" s="1075"/>
      <c r="J53" s="1075" t="str">
        <f>Sheet1!Q47</f>
        <v>UA_SSAC1_2W_4L_D_WL</v>
      </c>
      <c r="K53" s="1075"/>
      <c r="L53" s="1075">
        <f>Sheet1!AF47</f>
        <v>39800</v>
      </c>
      <c r="M53" s="1075"/>
      <c r="N53" s="1075"/>
      <c r="O53" s="1075"/>
      <c r="P53" s="1075">
        <f>Sheet1!AK47</f>
        <v>3580</v>
      </c>
      <c r="Q53" s="1075"/>
      <c r="R53" s="1075">
        <f>Sheet1!AD47</f>
        <v>24500</v>
      </c>
      <c r="S53" s="1081">
        <f>Sheet1!AG47</f>
        <v>0.61557788944723613</v>
      </c>
      <c r="T53" s="1075" t="str">
        <f>Sheet1!AH47</f>
        <v>C</v>
      </c>
      <c r="U53" s="1075">
        <f>Sheet1!AI47</f>
        <v>2040</v>
      </c>
      <c r="V53" s="1075"/>
      <c r="W53" s="1075"/>
      <c r="X53" s="1075">
        <f>Sheet1!AJ47</f>
        <v>2330</v>
      </c>
      <c r="Y53" s="1075"/>
      <c r="Z53" s="1075"/>
      <c r="AA53" s="1075"/>
      <c r="AB53" s="1075"/>
      <c r="AC53" s="1075"/>
      <c r="AD53" s="1075"/>
      <c r="AE53" s="1075"/>
      <c r="AF53" s="1075"/>
      <c r="AG53" s="1075"/>
      <c r="AH53" s="1075"/>
      <c r="AI53" s="1075"/>
      <c r="AJ53" s="1075"/>
      <c r="AK53" s="1075" t="str">
        <f>IF(Sheet1!AE50="C",Sheet1!AK50,"-")</f>
        <v>-</v>
      </c>
      <c r="AL53" s="1075">
        <f>IF(Sheet1!AE50="D",Sheet1!AK50,"-")</f>
        <v>3580</v>
      </c>
      <c r="AM53" s="1075" t="str">
        <f>IF(Sheet1!AE47="E",Sheet1!AK47,"-")</f>
        <v>-</v>
      </c>
    </row>
    <row r="54" spans="2:39" x14ac:dyDescent="0.25">
      <c r="B54" s="1082">
        <f>Sheet1!F48</f>
        <v>536</v>
      </c>
      <c r="C54" s="1075" t="str">
        <f>Sheet1!C48</f>
        <v>US 1</v>
      </c>
      <c r="D54" s="1075" t="str">
        <f>_xlfn.TEXTBEFORE(Sheet1!E48, " to ")</f>
        <v>I-95.</v>
      </c>
      <c r="E54" s="1075" t="str">
        <f>_xlfn.TEXTAFTER(Sheet1!E48, " to ")</f>
        <v>Flagler Co Line</v>
      </c>
      <c r="F54" s="1075">
        <f>Sheet1!AM48</f>
        <v>4</v>
      </c>
      <c r="G54" s="1075"/>
      <c r="H54" s="1083" t="str">
        <f>Sheet1!AE48</f>
        <v>D</v>
      </c>
      <c r="I54" s="1075"/>
      <c r="J54" s="1075" t="str">
        <f>Sheet1!Q48</f>
        <v>UA_UFH_2W_4L_D_WL</v>
      </c>
      <c r="K54" s="1075"/>
      <c r="L54" s="1075">
        <f>Sheet1!AF48</f>
        <v>66200</v>
      </c>
      <c r="M54" s="1075"/>
      <c r="N54" s="1075"/>
      <c r="O54" s="1075"/>
      <c r="P54" s="1075">
        <f>Sheet1!AK48</f>
        <v>5960</v>
      </c>
      <c r="Q54" s="1075"/>
      <c r="R54" s="1075">
        <f>Sheet1!AD48</f>
        <v>17600</v>
      </c>
      <c r="S54" s="1081">
        <f>Sheet1!AG48</f>
        <v>0.26586102719033233</v>
      </c>
      <c r="T54" s="1075" t="str">
        <f>Sheet1!AH48</f>
        <v>B</v>
      </c>
      <c r="U54" s="1075" t="str">
        <f>Sheet1!AI48</f>
        <v>-</v>
      </c>
      <c r="V54" s="1075"/>
      <c r="W54" s="1075"/>
      <c r="X54" s="1075" t="str">
        <f>Sheet1!AJ48</f>
        <v>-</v>
      </c>
      <c r="Y54" s="1075"/>
      <c r="Z54" s="1075"/>
      <c r="AA54" s="1075"/>
      <c r="AB54" s="1075"/>
      <c r="AC54" s="1075"/>
      <c r="AD54" s="1075"/>
      <c r="AE54" s="1075"/>
      <c r="AF54" s="1075"/>
      <c r="AG54" s="1075"/>
      <c r="AH54" s="1075"/>
      <c r="AI54" s="1075"/>
      <c r="AJ54" s="1075"/>
      <c r="AK54" s="1075" t="str">
        <f>IF(Sheet1!AE51="C",Sheet1!AK51,"-")</f>
        <v>-</v>
      </c>
      <c r="AL54" s="1075">
        <f>IF(Sheet1!AE51="D",Sheet1!AK51,"-")</f>
        <v>3580</v>
      </c>
      <c r="AM54" s="1075" t="str">
        <f>IF(Sheet1!AE48="E",Sheet1!AK48,"-")</f>
        <v>-</v>
      </c>
    </row>
    <row r="55" spans="2:39" x14ac:dyDescent="0.25">
      <c r="B55" s="1082" t="str">
        <f>Sheet1!F49</f>
        <v>0040-S</v>
      </c>
      <c r="C55" s="1075" t="str">
        <f>Sheet1!C49</f>
        <v>US 17/92</v>
      </c>
      <c r="D55" s="1075" t="str">
        <f>_xlfn.TEXTBEFORE(Sheet1!E49, " to ")</f>
        <v>Seminole Co.</v>
      </c>
      <c r="E55" s="1075" t="str">
        <f>_xlfn.TEXTAFTER(Sheet1!E49, " to ")</f>
        <v>Barwick Rd.</v>
      </c>
      <c r="F55" s="1075">
        <f>Sheet1!AM49</f>
        <v>4</v>
      </c>
      <c r="G55" s="1075"/>
      <c r="H55" s="1083" t="str">
        <f>Sheet1!AE49</f>
        <v>D</v>
      </c>
      <c r="I55" s="1075"/>
      <c r="J55" s="1075" t="str">
        <f>Sheet1!Q49</f>
        <v>UA_SSAC1_2W_4L_D_WL</v>
      </c>
      <c r="K55" s="1075"/>
      <c r="L55" s="1075">
        <f>Sheet1!AF49</f>
        <v>39800</v>
      </c>
      <c r="M55" s="1075"/>
      <c r="N55" s="1075"/>
      <c r="O55" s="1075"/>
      <c r="P55" s="1075">
        <f>Sheet1!AK49</f>
        <v>3580</v>
      </c>
      <c r="Q55" s="1075"/>
      <c r="R55" s="1075">
        <f>Sheet1!AD49</f>
        <v>32000</v>
      </c>
      <c r="S55" s="1081">
        <f>Sheet1!AG49</f>
        <v>0.8040201005025126</v>
      </c>
      <c r="T55" s="1075" t="str">
        <f>Sheet1!AH49</f>
        <v>C</v>
      </c>
      <c r="U55" s="1075" t="str">
        <f>Sheet1!AI49</f>
        <v>-</v>
      </c>
      <c r="V55" s="1075"/>
      <c r="W55" s="1075"/>
      <c r="X55" s="1075" t="str">
        <f>Sheet1!AJ49</f>
        <v>-</v>
      </c>
      <c r="Y55" s="1075"/>
      <c r="Z55" s="1075"/>
      <c r="AA55" s="1075"/>
      <c r="AB55" s="1075"/>
      <c r="AC55" s="1075"/>
      <c r="AD55" s="1075"/>
      <c r="AE55" s="1075"/>
      <c r="AF55" s="1075"/>
      <c r="AG55" s="1075"/>
      <c r="AH55" s="1075"/>
      <c r="AI55" s="1075"/>
      <c r="AJ55" s="1075"/>
      <c r="AK55" s="1075" t="str">
        <f>IF(Sheet1!AE52="C",Sheet1!AK52,"-")</f>
        <v>-</v>
      </c>
      <c r="AL55" s="1075">
        <f>IF(Sheet1!AE52="D",Sheet1!AK52,"-")</f>
        <v>3580</v>
      </c>
      <c r="AM55" s="1075" t="str">
        <f>IF(Sheet1!AE49="E",Sheet1!AK49,"-")</f>
        <v>-</v>
      </c>
    </row>
    <row r="56" spans="2:39" x14ac:dyDescent="0.25">
      <c r="B56" s="1082" t="str">
        <f>Sheet1!F50</f>
        <v>0040-S</v>
      </c>
      <c r="C56" s="1075" t="str">
        <f>Sheet1!C50</f>
        <v>US 17/92</v>
      </c>
      <c r="D56" s="1075" t="str">
        <f>_xlfn.TEXTBEFORE(Sheet1!E50, " to ")</f>
        <v>Barwick Rd</v>
      </c>
      <c r="E56" s="1075" t="str">
        <f>_xlfn.TEXTAFTER(Sheet1!E50, " to ")</f>
        <v>Ft. Florida Rd.</v>
      </c>
      <c r="F56" s="1075">
        <f>Sheet1!AM50</f>
        <v>4</v>
      </c>
      <c r="G56" s="1075"/>
      <c r="H56" s="1083" t="str">
        <f>Sheet1!AE50</f>
        <v>D</v>
      </c>
      <c r="I56" s="1075"/>
      <c r="J56" s="1075" t="str">
        <f>Sheet1!Q50</f>
        <v>UA_SSAC1_2W_4L_D_WL</v>
      </c>
      <c r="K56" s="1075"/>
      <c r="L56" s="1075">
        <f>Sheet1!AF50</f>
        <v>39800</v>
      </c>
      <c r="M56" s="1075"/>
      <c r="N56" s="1075"/>
      <c r="O56" s="1075"/>
      <c r="P56" s="1075">
        <f>Sheet1!AK50</f>
        <v>3580</v>
      </c>
      <c r="Q56" s="1075"/>
      <c r="R56" s="1075">
        <f>Sheet1!AD50</f>
        <v>32000</v>
      </c>
      <c r="S56" s="1081">
        <f>Sheet1!AG50</f>
        <v>0.8040201005025126</v>
      </c>
      <c r="T56" s="1075" t="str">
        <f>Sheet1!AH50</f>
        <v>C</v>
      </c>
      <c r="U56" s="1075" t="str">
        <f>Sheet1!AI50</f>
        <v>-</v>
      </c>
      <c r="V56" s="1075"/>
      <c r="W56" s="1075"/>
      <c r="X56" s="1075" t="str">
        <f>Sheet1!AJ50</f>
        <v>-</v>
      </c>
      <c r="Y56" s="1075"/>
      <c r="Z56" s="1075"/>
      <c r="AA56" s="1075"/>
      <c r="AB56" s="1075"/>
      <c r="AC56" s="1075"/>
      <c r="AD56" s="1075"/>
      <c r="AE56" s="1075"/>
      <c r="AF56" s="1075"/>
      <c r="AG56" s="1075"/>
      <c r="AH56" s="1075"/>
      <c r="AI56" s="1075"/>
      <c r="AJ56" s="1075"/>
      <c r="AK56" s="1075" t="str">
        <f>IF(Sheet1!AE53="C",Sheet1!AK53,"-")</f>
        <v>-</v>
      </c>
      <c r="AL56" s="1075">
        <f>IF(Sheet1!AE53="D",Sheet1!AK53,"-")</f>
        <v>3580</v>
      </c>
      <c r="AM56" s="1075" t="str">
        <f>IF(Sheet1!AE50="E",Sheet1!AK50,"-")</f>
        <v>-</v>
      </c>
    </row>
    <row r="57" spans="2:39" x14ac:dyDescent="0.25">
      <c r="B57" s="1082">
        <f>Sheet1!F51</f>
        <v>101</v>
      </c>
      <c r="C57" s="1075" t="str">
        <f>Sheet1!C51</f>
        <v>US 17/92</v>
      </c>
      <c r="D57" s="1075" t="str">
        <f>_xlfn.TEXTBEFORE(Sheet1!E51, " to ")</f>
        <v>Ft. Florida Rd.</v>
      </c>
      <c r="E57" s="1075" t="str">
        <f>_xlfn.TEXTAFTER(Sheet1!E51, " to ")</f>
        <v>Dirksen Dr.</v>
      </c>
      <c r="F57" s="1075">
        <f>Sheet1!AM51</f>
        <v>4</v>
      </c>
      <c r="G57" s="1075"/>
      <c r="H57" s="1083" t="str">
        <f>Sheet1!AE51</f>
        <v>D</v>
      </c>
      <c r="I57" s="1075"/>
      <c r="J57" s="1075" t="str">
        <f>Sheet1!Q51</f>
        <v>UA_SSAC1_2W_4L_D_WL</v>
      </c>
      <c r="K57" s="1075"/>
      <c r="L57" s="1075">
        <f>Sheet1!AF51</f>
        <v>39800</v>
      </c>
      <c r="M57" s="1075"/>
      <c r="N57" s="1075"/>
      <c r="O57" s="1075"/>
      <c r="P57" s="1075">
        <f>Sheet1!AK51</f>
        <v>3580</v>
      </c>
      <c r="Q57" s="1075"/>
      <c r="R57" s="1075">
        <f>Sheet1!AD51</f>
        <v>31500</v>
      </c>
      <c r="S57" s="1081">
        <f>Sheet1!AG51</f>
        <v>0.79145728643216084</v>
      </c>
      <c r="T57" s="1075" t="str">
        <f>Sheet1!AH51</f>
        <v>C</v>
      </c>
      <c r="U57" s="1075">
        <f>Sheet1!AI51</f>
        <v>2280</v>
      </c>
      <c r="V57" s="1075"/>
      <c r="W57" s="1075"/>
      <c r="X57" s="1075">
        <f>Sheet1!AJ51</f>
        <v>2920</v>
      </c>
      <c r="Y57" s="1075"/>
      <c r="Z57" s="1075"/>
      <c r="AA57" s="1075"/>
      <c r="AB57" s="1075"/>
      <c r="AC57" s="1075"/>
      <c r="AD57" s="1075"/>
      <c r="AE57" s="1075"/>
      <c r="AF57" s="1075"/>
      <c r="AG57" s="1075"/>
      <c r="AH57" s="1075"/>
      <c r="AI57" s="1075"/>
      <c r="AJ57" s="1075"/>
      <c r="AK57" s="1075" t="str">
        <f>IF(Sheet1!AE54="C",Sheet1!AK54,"-")</f>
        <v>-</v>
      </c>
      <c r="AL57" s="1075">
        <f>IF(Sheet1!AE54="D",Sheet1!AK54,"-")</f>
        <v>3580</v>
      </c>
      <c r="AM57" s="1075" t="str">
        <f>IF(Sheet1!AE51="E",Sheet1!AK51,"-")</f>
        <v>-</v>
      </c>
    </row>
    <row r="58" spans="2:39" x14ac:dyDescent="0.25">
      <c r="B58" s="1082">
        <f>Sheet1!F52</f>
        <v>479.1</v>
      </c>
      <c r="C58" s="1075" t="str">
        <f>Sheet1!C52</f>
        <v>US 17/92</v>
      </c>
      <c r="D58" s="1075" t="str">
        <f>_xlfn.TEXTBEFORE(Sheet1!E52, " to ")</f>
        <v>Dirksen Dr.</v>
      </c>
      <c r="E58" s="1075" t="str">
        <f>_xlfn.TEXTAFTER(Sheet1!E52, " to ")</f>
        <v>Valencia Rd.</v>
      </c>
      <c r="F58" s="1075">
        <f>Sheet1!AM52</f>
        <v>4</v>
      </c>
      <c r="G58" s="1075"/>
      <c r="H58" s="1083" t="str">
        <f>Sheet1!AE52</f>
        <v>D</v>
      </c>
      <c r="I58" s="1075"/>
      <c r="J58" s="1075" t="str">
        <f>Sheet1!Q52</f>
        <v>UA_SSAC1_2W_4L_D_WL</v>
      </c>
      <c r="K58" s="1075"/>
      <c r="L58" s="1075">
        <f>Sheet1!AF52</f>
        <v>39800</v>
      </c>
      <c r="M58" s="1075"/>
      <c r="N58" s="1075"/>
      <c r="O58" s="1075"/>
      <c r="P58" s="1075">
        <f>Sheet1!AK52</f>
        <v>3580</v>
      </c>
      <c r="Q58" s="1075"/>
      <c r="R58" s="1075">
        <f>Sheet1!AD52</f>
        <v>23500</v>
      </c>
      <c r="S58" s="1081">
        <f>Sheet1!AG52</f>
        <v>0.59045226130653261</v>
      </c>
      <c r="T58" s="1075" t="str">
        <f>Sheet1!AH52</f>
        <v>C</v>
      </c>
      <c r="U58" s="1075" t="str">
        <f>Sheet1!AI52</f>
        <v>-</v>
      </c>
      <c r="V58" s="1075"/>
      <c r="W58" s="1075"/>
      <c r="X58" s="1075" t="str">
        <f>Sheet1!AJ52</f>
        <v>-</v>
      </c>
      <c r="Y58" s="1075"/>
      <c r="Z58" s="1075"/>
      <c r="AA58" s="1075"/>
      <c r="AB58" s="1075"/>
      <c r="AC58" s="1075"/>
      <c r="AD58" s="1075"/>
      <c r="AE58" s="1075"/>
      <c r="AF58" s="1075"/>
      <c r="AG58" s="1075"/>
      <c r="AH58" s="1075"/>
      <c r="AI58" s="1075"/>
      <c r="AJ58" s="1075"/>
      <c r="AK58" s="1075" t="str">
        <f>IF(Sheet1!AE55="C",Sheet1!AK55,"-")</f>
        <v>-</v>
      </c>
      <c r="AL58" s="1075">
        <f>IF(Sheet1!AE55="D",Sheet1!AK55,"-")</f>
        <v>3580</v>
      </c>
      <c r="AM58" s="1075" t="str">
        <f>IF(Sheet1!AE52="E",Sheet1!AK52,"-")</f>
        <v>-</v>
      </c>
    </row>
    <row r="59" spans="2:39" x14ac:dyDescent="0.25">
      <c r="B59" s="1082">
        <f>Sheet1!F53</f>
        <v>7</v>
      </c>
      <c r="C59" s="1075" t="str">
        <f>Sheet1!C53</f>
        <v>US 17/92</v>
      </c>
      <c r="D59" s="1075" t="str">
        <f>_xlfn.TEXTBEFORE(Sheet1!E53, " to ")</f>
        <v>Valencia Rd</v>
      </c>
      <c r="E59" s="1075" t="str">
        <f>_xlfn.TEXTAFTER(Sheet1!E53, " to ")</f>
        <v>Highbanks Rd.</v>
      </c>
      <c r="F59" s="1075">
        <f>Sheet1!AM53</f>
        <v>4</v>
      </c>
      <c r="G59" s="1075"/>
      <c r="H59" s="1083" t="str">
        <f>Sheet1!AE53</f>
        <v>D</v>
      </c>
      <c r="I59" s="1075"/>
      <c r="J59" s="1075" t="str">
        <f>Sheet1!Q53</f>
        <v>UA_SSAC1_2W_4L_D_WL</v>
      </c>
      <c r="K59" s="1075"/>
      <c r="L59" s="1075">
        <f>Sheet1!AF53</f>
        <v>39800</v>
      </c>
      <c r="M59" s="1075"/>
      <c r="N59" s="1075"/>
      <c r="O59" s="1075"/>
      <c r="P59" s="1075">
        <f>Sheet1!AK53</f>
        <v>3580</v>
      </c>
      <c r="Q59" s="1075"/>
      <c r="R59" s="1075">
        <f>Sheet1!AD53</f>
        <v>25500</v>
      </c>
      <c r="S59" s="1081">
        <f>Sheet1!AG53</f>
        <v>0.64070351758793975</v>
      </c>
      <c r="T59" s="1075" t="str">
        <f>Sheet1!AH53</f>
        <v>C</v>
      </c>
      <c r="U59" s="1075">
        <f>Sheet1!AI53</f>
        <v>1790</v>
      </c>
      <c r="V59" s="1075"/>
      <c r="W59" s="1075"/>
      <c r="X59" s="1075">
        <f>Sheet1!AJ53</f>
        <v>2410</v>
      </c>
      <c r="Y59" s="1075"/>
      <c r="Z59" s="1075"/>
      <c r="AA59" s="1075"/>
      <c r="AB59" s="1075"/>
      <c r="AC59" s="1075"/>
      <c r="AD59" s="1075"/>
      <c r="AE59" s="1075"/>
      <c r="AF59" s="1075"/>
      <c r="AG59" s="1075"/>
      <c r="AH59" s="1075"/>
      <c r="AI59" s="1075"/>
      <c r="AJ59" s="1075"/>
      <c r="AK59" s="1075" t="str">
        <f>IF(Sheet1!AE56="C",Sheet1!AK56,"-")</f>
        <v>-</v>
      </c>
      <c r="AL59" s="1075">
        <f>IF(Sheet1!AE56="D",Sheet1!AK56,"-")</f>
        <v>3580</v>
      </c>
      <c r="AM59" s="1075" t="str">
        <f>IF(Sheet1!AE53="E",Sheet1!AK53,"-")</f>
        <v>-</v>
      </c>
    </row>
    <row r="60" spans="2:39" x14ac:dyDescent="0.25">
      <c r="B60" s="1082">
        <f>Sheet1!F54</f>
        <v>8</v>
      </c>
      <c r="C60" s="1075" t="str">
        <f>Sheet1!C54</f>
        <v>US 17/92</v>
      </c>
      <c r="D60" s="1075" t="str">
        <f>_xlfn.TEXTBEFORE(Sheet1!E54, " to ")</f>
        <v>Highbanks Rd.</v>
      </c>
      <c r="E60" s="1075" t="str">
        <f>_xlfn.TEXTAFTER(Sheet1!E54, " to ")</f>
        <v>DeBary Plantation Blvd</v>
      </c>
      <c r="F60" s="1075">
        <f>Sheet1!AM54</f>
        <v>4</v>
      </c>
      <c r="G60" s="1075"/>
      <c r="H60" s="1083" t="str">
        <f>Sheet1!AE54</f>
        <v>D</v>
      </c>
      <c r="I60" s="1075"/>
      <c r="J60" s="1075" t="str">
        <f>Sheet1!Q54</f>
        <v>UA_SSAC1_2W_4L_D_WL</v>
      </c>
      <c r="K60" s="1075"/>
      <c r="L60" s="1075">
        <f>Sheet1!AF54</f>
        <v>39800</v>
      </c>
      <c r="M60" s="1075"/>
      <c r="N60" s="1075"/>
      <c r="O60" s="1075"/>
      <c r="P60" s="1075">
        <f>Sheet1!AK54</f>
        <v>3580</v>
      </c>
      <c r="Q60" s="1075"/>
      <c r="R60" s="1075">
        <f>Sheet1!AD54</f>
        <v>24000</v>
      </c>
      <c r="S60" s="1081">
        <f>Sheet1!AG54</f>
        <v>0.60301507537688437</v>
      </c>
      <c r="T60" s="1075" t="str">
        <f>Sheet1!AH54</f>
        <v>C</v>
      </c>
      <c r="U60" s="1075" t="str">
        <f>Sheet1!AI54</f>
        <v>-</v>
      </c>
      <c r="V60" s="1075"/>
      <c r="W60" s="1075"/>
      <c r="X60" s="1075" t="str">
        <f>Sheet1!AJ54</f>
        <v>-</v>
      </c>
      <c r="Y60" s="1075"/>
      <c r="Z60" s="1075"/>
      <c r="AA60" s="1075"/>
      <c r="AB60" s="1075"/>
      <c r="AC60" s="1075"/>
      <c r="AD60" s="1075"/>
      <c r="AE60" s="1075"/>
      <c r="AF60" s="1075"/>
      <c r="AG60" s="1075"/>
      <c r="AH60" s="1075"/>
      <c r="AI60" s="1075"/>
      <c r="AJ60" s="1075"/>
      <c r="AK60" s="1075" t="str">
        <f>IF(Sheet1!AE57="C",Sheet1!AK57,"-")</f>
        <v>-</v>
      </c>
      <c r="AL60" s="1075">
        <f>IF(Sheet1!AE57="D",Sheet1!AK57,"-")</f>
        <v>3580</v>
      </c>
      <c r="AM60" s="1075" t="str">
        <f>IF(Sheet1!AE54="E",Sheet1!AK54,"-")</f>
        <v>-</v>
      </c>
    </row>
    <row r="61" spans="2:39" x14ac:dyDescent="0.25">
      <c r="B61" s="1082">
        <f>Sheet1!F55</f>
        <v>509</v>
      </c>
      <c r="C61" s="1075" t="str">
        <f>Sheet1!C55</f>
        <v>US 17/92</v>
      </c>
      <c r="D61" s="1075" t="str">
        <f>_xlfn.TEXTBEFORE(Sheet1!E55, " to ")</f>
        <v>DeBary Plantation Blvd</v>
      </c>
      <c r="E61" s="1075" t="str">
        <f>_xlfn.TEXTAFTER(Sheet1!E55, " to ")</f>
        <v>Saxon Blvd.</v>
      </c>
      <c r="F61" s="1075">
        <f>Sheet1!AM55</f>
        <v>4</v>
      </c>
      <c r="G61" s="1075"/>
      <c r="H61" s="1083" t="str">
        <f>Sheet1!AE55</f>
        <v>D</v>
      </c>
      <c r="I61" s="1075"/>
      <c r="J61" s="1075" t="str">
        <f>Sheet1!Q55</f>
        <v>UA_SSAC1_2W_4L_D_WL</v>
      </c>
      <c r="K61" s="1075"/>
      <c r="L61" s="1075">
        <f>Sheet1!AF55</f>
        <v>39800</v>
      </c>
      <c r="M61" s="1075"/>
      <c r="N61" s="1075"/>
      <c r="O61" s="1075"/>
      <c r="P61" s="1075">
        <f>Sheet1!AK55</f>
        <v>3580</v>
      </c>
      <c r="Q61" s="1075"/>
      <c r="R61" s="1075">
        <f>Sheet1!AD55</f>
        <v>30500</v>
      </c>
      <c r="S61" s="1081">
        <f>Sheet1!AG55</f>
        <v>0.76633165829145733</v>
      </c>
      <c r="T61" s="1075" t="str">
        <f>Sheet1!AH55</f>
        <v>C</v>
      </c>
      <c r="U61" s="1075" t="str">
        <f>Sheet1!AI55</f>
        <v>-</v>
      </c>
      <c r="V61" s="1075"/>
      <c r="W61" s="1075"/>
      <c r="X61" s="1075" t="str">
        <f>Sheet1!AJ55</f>
        <v>-</v>
      </c>
      <c r="Y61" s="1075"/>
      <c r="Z61" s="1075"/>
      <c r="AA61" s="1075"/>
      <c r="AB61" s="1075"/>
      <c r="AC61" s="1075"/>
      <c r="AD61" s="1075"/>
      <c r="AE61" s="1075"/>
      <c r="AF61" s="1075"/>
      <c r="AG61" s="1075"/>
      <c r="AH61" s="1075"/>
      <c r="AI61" s="1075"/>
      <c r="AJ61" s="1075"/>
      <c r="AK61" s="1075" t="str">
        <f>IF(Sheet1!AE58="C",Sheet1!AK58,"-")</f>
        <v>-</v>
      </c>
      <c r="AL61" s="1075">
        <f>IF(Sheet1!AE58="D",Sheet1!AK58,"-")</f>
        <v>3580</v>
      </c>
      <c r="AM61" s="1075" t="str">
        <f>IF(Sheet1!AE55="E",Sheet1!AK55,"-")</f>
        <v>-</v>
      </c>
    </row>
    <row r="62" spans="2:39" x14ac:dyDescent="0.25">
      <c r="B62" s="1082">
        <f>Sheet1!F56</f>
        <v>539</v>
      </c>
      <c r="C62" s="1075" t="str">
        <f>Sheet1!C56</f>
        <v>US 17/92</v>
      </c>
      <c r="D62" s="1075" t="str">
        <f>_xlfn.TEXTBEFORE(Sheet1!E56, " to ")</f>
        <v>Saxon Blvd.</v>
      </c>
      <c r="E62" s="1075" t="str">
        <f>_xlfn.TEXTAFTER(Sheet1!E56, " to ")</f>
        <v>Enterprise Rd.</v>
      </c>
      <c r="F62" s="1075">
        <f>Sheet1!AM56</f>
        <v>4</v>
      </c>
      <c r="G62" s="1075"/>
      <c r="H62" s="1083" t="str">
        <f>Sheet1!AE56</f>
        <v>D</v>
      </c>
      <c r="I62" s="1075"/>
      <c r="J62" s="1075" t="str">
        <f>Sheet1!Q56</f>
        <v>UA_SSAC1_2W_4L_D_WL</v>
      </c>
      <c r="K62" s="1075"/>
      <c r="L62" s="1075">
        <f>Sheet1!AF56</f>
        <v>39800</v>
      </c>
      <c r="M62" s="1075"/>
      <c r="N62" s="1075"/>
      <c r="O62" s="1075"/>
      <c r="P62" s="1075">
        <f>Sheet1!AK56</f>
        <v>3580</v>
      </c>
      <c r="Q62" s="1075"/>
      <c r="R62" s="1075">
        <f>Sheet1!AD56</f>
        <v>23000</v>
      </c>
      <c r="S62" s="1081">
        <f>Sheet1!AG56</f>
        <v>0.57788944723618085</v>
      </c>
      <c r="T62" s="1075" t="str">
        <f>Sheet1!AH56</f>
        <v>C</v>
      </c>
      <c r="U62" s="1075" t="str">
        <f>Sheet1!AI56</f>
        <v>-</v>
      </c>
      <c r="V62" s="1075"/>
      <c r="W62" s="1075"/>
      <c r="X62" s="1075" t="str">
        <f>Sheet1!AJ56</f>
        <v>-</v>
      </c>
      <c r="Y62" s="1075"/>
      <c r="Z62" s="1075"/>
      <c r="AA62" s="1075"/>
      <c r="AB62" s="1075"/>
      <c r="AC62" s="1075"/>
      <c r="AD62" s="1075"/>
      <c r="AE62" s="1075"/>
      <c r="AF62" s="1075"/>
      <c r="AG62" s="1075"/>
      <c r="AH62" s="1075"/>
      <c r="AI62" s="1075"/>
      <c r="AJ62" s="1075"/>
      <c r="AK62" s="1075" t="str">
        <f>IF(Sheet1!AE59="C",Sheet1!AK59,"-")</f>
        <v>-</v>
      </c>
      <c r="AL62" s="1075">
        <f>IF(Sheet1!AE59="D",Sheet1!AK59,"-")</f>
        <v>3580</v>
      </c>
      <c r="AM62" s="1075" t="str">
        <f>IF(Sheet1!AE56="E",Sheet1!AK56,"-")</f>
        <v>-</v>
      </c>
    </row>
    <row r="63" spans="2:39" x14ac:dyDescent="0.25">
      <c r="B63" s="1082">
        <f>Sheet1!F57</f>
        <v>444</v>
      </c>
      <c r="C63" s="1075" t="str">
        <f>Sheet1!C57</f>
        <v>US 17/92</v>
      </c>
      <c r="D63" s="1075" t="str">
        <f>_xlfn.TEXTBEFORE(Sheet1!E57, " to ")</f>
        <v>Enterprise Rd.</v>
      </c>
      <c r="E63" s="1075" t="str">
        <f>_xlfn.TEXTAFTER(Sheet1!E57, " to ")</f>
        <v>Rhode Island Ave.</v>
      </c>
      <c r="F63" s="1075">
        <f>Sheet1!AM57</f>
        <v>4</v>
      </c>
      <c r="G63" s="1075"/>
      <c r="H63" s="1083" t="str">
        <f>Sheet1!AE57</f>
        <v>D</v>
      </c>
      <c r="I63" s="1075"/>
      <c r="J63" s="1075" t="str">
        <f>Sheet1!Q57</f>
        <v>UA_SSAC1_2W_4L_D_WL</v>
      </c>
      <c r="K63" s="1075"/>
      <c r="L63" s="1075">
        <f>Sheet1!AF57</f>
        <v>39800</v>
      </c>
      <c r="M63" s="1075"/>
      <c r="N63" s="1075"/>
      <c r="O63" s="1075"/>
      <c r="P63" s="1075">
        <f>Sheet1!AK57</f>
        <v>3580</v>
      </c>
      <c r="Q63" s="1075"/>
      <c r="R63" s="1075">
        <f>Sheet1!AD57</f>
        <v>31000</v>
      </c>
      <c r="S63" s="1081">
        <f>Sheet1!AG57</f>
        <v>0.77889447236180909</v>
      </c>
      <c r="T63" s="1075" t="str">
        <f>Sheet1!AH57</f>
        <v>C</v>
      </c>
      <c r="U63" s="1075" t="str">
        <f>Sheet1!AI57</f>
        <v>-</v>
      </c>
      <c r="V63" s="1075"/>
      <c r="W63" s="1075"/>
      <c r="X63" s="1075" t="str">
        <f>Sheet1!AJ57</f>
        <v>-</v>
      </c>
      <c r="Y63" s="1075"/>
      <c r="Z63" s="1075"/>
      <c r="AA63" s="1075"/>
      <c r="AB63" s="1075"/>
      <c r="AC63" s="1075"/>
      <c r="AD63" s="1075"/>
      <c r="AE63" s="1075"/>
      <c r="AF63" s="1075"/>
      <c r="AG63" s="1075"/>
      <c r="AH63" s="1075"/>
      <c r="AI63" s="1075"/>
      <c r="AJ63" s="1075"/>
      <c r="AK63" s="1075" t="str">
        <f>IF(Sheet1!AE60="C",Sheet1!AK60,"-")</f>
        <v>-</v>
      </c>
      <c r="AL63" s="1075">
        <f>IF(Sheet1!AE60="D",Sheet1!AK60,"-")</f>
        <v>3580</v>
      </c>
      <c r="AM63" s="1075" t="str">
        <f>IF(Sheet1!AE57="E",Sheet1!AK57,"-")</f>
        <v>-</v>
      </c>
    </row>
    <row r="64" spans="2:39" x14ac:dyDescent="0.25">
      <c r="B64" s="1082">
        <f>Sheet1!F58</f>
        <v>444</v>
      </c>
      <c r="C64" s="1075" t="str">
        <f>Sheet1!C58</f>
        <v>US 17/92</v>
      </c>
      <c r="D64" s="1075" t="str">
        <f>_xlfn.TEXTBEFORE(Sheet1!E58, " to ")</f>
        <v>Rhode Island Ave.</v>
      </c>
      <c r="E64" s="1075" t="str">
        <f>_xlfn.TEXTAFTER(Sheet1!E58, " to ")</f>
        <v>Graves Ave.</v>
      </c>
      <c r="F64" s="1075">
        <f>Sheet1!AM58</f>
        <v>4</v>
      </c>
      <c r="G64" s="1075"/>
      <c r="H64" s="1083" t="str">
        <f>Sheet1!AE58</f>
        <v>D</v>
      </c>
      <c r="I64" s="1075"/>
      <c r="J64" s="1075" t="str">
        <f>Sheet1!Q58</f>
        <v>UA_SSAC1_2W_4L_D_WL</v>
      </c>
      <c r="K64" s="1075"/>
      <c r="L64" s="1075">
        <f>Sheet1!AF58</f>
        <v>39800</v>
      </c>
      <c r="M64" s="1075"/>
      <c r="N64" s="1075"/>
      <c r="O64" s="1075"/>
      <c r="P64" s="1075">
        <f>Sheet1!AK58</f>
        <v>3580</v>
      </c>
      <c r="Q64" s="1075"/>
      <c r="R64" s="1075">
        <f>Sheet1!AD58</f>
        <v>31000</v>
      </c>
      <c r="S64" s="1081">
        <f>Sheet1!AG58</f>
        <v>0.77889447236180909</v>
      </c>
      <c r="T64" s="1075" t="str">
        <f>Sheet1!AH58</f>
        <v>C</v>
      </c>
      <c r="U64" s="1075" t="str">
        <f>Sheet1!AI58</f>
        <v>-</v>
      </c>
      <c r="V64" s="1075"/>
      <c r="W64" s="1075"/>
      <c r="X64" s="1075" t="str">
        <f>Sheet1!AJ58</f>
        <v>-</v>
      </c>
      <c r="Y64" s="1075"/>
      <c r="Z64" s="1075"/>
      <c r="AA64" s="1075"/>
      <c r="AB64" s="1075"/>
      <c r="AC64" s="1075"/>
      <c r="AD64" s="1075"/>
      <c r="AE64" s="1075"/>
      <c r="AF64" s="1075"/>
      <c r="AG64" s="1075"/>
      <c r="AH64" s="1075"/>
      <c r="AI64" s="1075"/>
      <c r="AJ64" s="1075"/>
      <c r="AK64" s="1075" t="str">
        <f>IF(Sheet1!AE61="C",Sheet1!AK61,"-")</f>
        <v>-</v>
      </c>
      <c r="AL64" s="1075">
        <f>IF(Sheet1!AE61="D",Sheet1!AK61,"-")</f>
        <v>5390</v>
      </c>
      <c r="AM64" s="1075" t="str">
        <f>IF(Sheet1!AE58="E",Sheet1!AK58,"-")</f>
        <v>-</v>
      </c>
    </row>
    <row r="65" spans="2:39" x14ac:dyDescent="0.25">
      <c r="B65" s="1082">
        <f>Sheet1!F59</f>
        <v>445</v>
      </c>
      <c r="C65" s="1075" t="str">
        <f>Sheet1!C59</f>
        <v>US 17/92</v>
      </c>
      <c r="D65" s="1075" t="str">
        <f>_xlfn.TEXTBEFORE(Sheet1!E59, " to ")</f>
        <v>Graves Ave.</v>
      </c>
      <c r="E65" s="1075" t="str">
        <f>_xlfn.TEXTAFTER(Sheet1!E59, " to ")</f>
        <v>New York Ave.</v>
      </c>
      <c r="F65" s="1075">
        <f>Sheet1!AM59</f>
        <v>4</v>
      </c>
      <c r="G65" s="1075"/>
      <c r="H65" s="1083" t="str">
        <f>Sheet1!AE59</f>
        <v>D</v>
      </c>
      <c r="I65" s="1075"/>
      <c r="J65" s="1075" t="str">
        <f>Sheet1!Q59</f>
        <v>UA_SSAC1_2W_4L_D_WL</v>
      </c>
      <c r="K65" s="1075"/>
      <c r="L65" s="1075">
        <f>Sheet1!AF59</f>
        <v>39800</v>
      </c>
      <c r="M65" s="1075"/>
      <c r="N65" s="1075"/>
      <c r="O65" s="1075"/>
      <c r="P65" s="1075">
        <f>Sheet1!AK59</f>
        <v>3580</v>
      </c>
      <c r="Q65" s="1075"/>
      <c r="R65" s="1075">
        <f>Sheet1!AD59</f>
        <v>33500</v>
      </c>
      <c r="S65" s="1081">
        <f>Sheet1!AG59</f>
        <v>0.84170854271356788</v>
      </c>
      <c r="T65" s="1075" t="str">
        <f>Sheet1!AH59</f>
        <v>C</v>
      </c>
      <c r="U65" s="1075" t="str">
        <f>Sheet1!AI59</f>
        <v>-</v>
      </c>
      <c r="V65" s="1075"/>
      <c r="W65" s="1075"/>
      <c r="X65" s="1075" t="str">
        <f>Sheet1!AJ59</f>
        <v>-</v>
      </c>
      <c r="Y65" s="1075"/>
      <c r="Z65" s="1075"/>
      <c r="AA65" s="1075"/>
      <c r="AB65" s="1075"/>
      <c r="AC65" s="1075"/>
      <c r="AD65" s="1075"/>
      <c r="AE65" s="1075"/>
      <c r="AF65" s="1075"/>
      <c r="AG65" s="1075"/>
      <c r="AH65" s="1075"/>
      <c r="AI65" s="1075"/>
      <c r="AJ65" s="1075"/>
      <c r="AK65" s="1075" t="str">
        <f>IF(Sheet1!AE62="C",Sheet1!AK62,"-")</f>
        <v>-</v>
      </c>
      <c r="AL65" s="1075" t="str">
        <f>IF(Sheet1!AE62="D",Sheet1!AK62,"-")</f>
        <v>-</v>
      </c>
      <c r="AM65" s="1075" t="str">
        <f>IF(Sheet1!AE59="E",Sheet1!AK59,"-")</f>
        <v>-</v>
      </c>
    </row>
    <row r="66" spans="2:39" x14ac:dyDescent="0.25">
      <c r="B66" s="1082">
        <f>Sheet1!F60</f>
        <v>445</v>
      </c>
      <c r="C66" s="1075" t="str">
        <f>Sheet1!C60</f>
        <v>US 17/92</v>
      </c>
      <c r="D66" s="1075" t="str">
        <f>_xlfn.TEXTBEFORE(Sheet1!E60, " to ")</f>
        <v>New York Ave</v>
      </c>
      <c r="E66" s="1075" t="str">
        <f>_xlfn.TEXTAFTER(Sheet1!E60, " to ")</f>
        <v>SR 472</v>
      </c>
      <c r="F66" s="1075">
        <f>Sheet1!AM60</f>
        <v>4</v>
      </c>
      <c r="G66" s="1075"/>
      <c r="H66" s="1083" t="str">
        <f>Sheet1!AE60</f>
        <v>D</v>
      </c>
      <c r="I66" s="1075"/>
      <c r="J66" s="1075" t="str">
        <f>Sheet1!Q60</f>
        <v>UA_SSAC1_2W_4L_D_WL</v>
      </c>
      <c r="K66" s="1075"/>
      <c r="L66" s="1075">
        <f>Sheet1!AF60</f>
        <v>39800</v>
      </c>
      <c r="M66" s="1075"/>
      <c r="N66" s="1075"/>
      <c r="O66" s="1075"/>
      <c r="P66" s="1075">
        <f>Sheet1!AK60</f>
        <v>3580</v>
      </c>
      <c r="Q66" s="1075"/>
      <c r="R66" s="1075">
        <f>Sheet1!AD60</f>
        <v>33500</v>
      </c>
      <c r="S66" s="1081">
        <f>Sheet1!AG60</f>
        <v>0.84170854271356788</v>
      </c>
      <c r="T66" s="1075" t="str">
        <f>Sheet1!AH60</f>
        <v>C</v>
      </c>
      <c r="U66" s="1075" t="str">
        <f>Sheet1!AI60</f>
        <v>-</v>
      </c>
      <c r="V66" s="1075"/>
      <c r="W66" s="1075"/>
      <c r="X66" s="1075" t="str">
        <f>Sheet1!AJ60</f>
        <v>-</v>
      </c>
      <c r="Y66" s="1075"/>
      <c r="Z66" s="1075"/>
      <c r="AA66" s="1075"/>
      <c r="AB66" s="1075"/>
      <c r="AC66" s="1075"/>
      <c r="AD66" s="1075"/>
      <c r="AE66" s="1075"/>
      <c r="AF66" s="1075"/>
      <c r="AG66" s="1075"/>
      <c r="AH66" s="1075"/>
      <c r="AI66" s="1075"/>
      <c r="AJ66" s="1075"/>
      <c r="AK66" s="1075" t="str">
        <f>IF(Sheet1!AE63="C",Sheet1!AK63,"-")</f>
        <v>-</v>
      </c>
      <c r="AL66" s="1075" t="str">
        <f>IF(Sheet1!AE63="D",Sheet1!AK63,"-")</f>
        <v>-</v>
      </c>
      <c r="AM66" s="1075" t="str">
        <f>IF(Sheet1!AE60="E",Sheet1!AK60,"-")</f>
        <v>-</v>
      </c>
    </row>
    <row r="67" spans="2:39" x14ac:dyDescent="0.25">
      <c r="B67" s="1082">
        <f>Sheet1!F61</f>
        <v>1004</v>
      </c>
      <c r="C67" s="1075" t="str">
        <f>Sheet1!C61</f>
        <v>US 17/92</v>
      </c>
      <c r="D67" s="1075" t="str">
        <f>_xlfn.TEXTBEFORE(Sheet1!E61, " to ")</f>
        <v>SR 472</v>
      </c>
      <c r="E67" s="1075" t="str">
        <f>_xlfn.TEXTAFTER(Sheet1!E61, " to ")</f>
        <v>SR 15A/Taylor Rd.</v>
      </c>
      <c r="F67" s="1075">
        <f>Sheet1!AM61</f>
        <v>6</v>
      </c>
      <c r="G67" s="1075"/>
      <c r="H67" s="1083" t="str">
        <f>Sheet1!AE61</f>
        <v>D</v>
      </c>
      <c r="I67" s="1075"/>
      <c r="J67" s="1075" t="str">
        <f>Sheet1!Q61</f>
        <v>UA_SSAC1_2W_6L_D_WL</v>
      </c>
      <c r="K67" s="1075"/>
      <c r="L67" s="1075">
        <f>Sheet1!AF61</f>
        <v>59900</v>
      </c>
      <c r="M67" s="1075"/>
      <c r="N67" s="1075"/>
      <c r="O67" s="1075"/>
      <c r="P67" s="1075">
        <f>Sheet1!AK61</f>
        <v>5390</v>
      </c>
      <c r="Q67" s="1075"/>
      <c r="R67" s="1075">
        <f>Sheet1!AD61</f>
        <v>52500</v>
      </c>
      <c r="S67" s="1081">
        <f>Sheet1!AG61</f>
        <v>0.87646076794657768</v>
      </c>
      <c r="T67" s="1075" t="str">
        <f>Sheet1!AH61</f>
        <v>C</v>
      </c>
      <c r="U67" s="1075" t="str">
        <f>Sheet1!AI61</f>
        <v>-</v>
      </c>
      <c r="V67" s="1075"/>
      <c r="W67" s="1075"/>
      <c r="X67" s="1075" t="str">
        <f>Sheet1!AJ61</f>
        <v>-</v>
      </c>
      <c r="Y67" s="1075"/>
      <c r="Z67" s="1075"/>
      <c r="AA67" s="1075"/>
      <c r="AB67" s="1075"/>
      <c r="AC67" s="1075"/>
      <c r="AD67" s="1075"/>
      <c r="AE67" s="1075"/>
      <c r="AF67" s="1075"/>
      <c r="AG67" s="1075"/>
      <c r="AH67" s="1075"/>
      <c r="AI67" s="1075"/>
      <c r="AJ67" s="1075"/>
      <c r="AK67" s="1075" t="str">
        <f>IF(Sheet1!AE64="C",Sheet1!AK64,"-")</f>
        <v>-</v>
      </c>
      <c r="AL67" s="1075" t="str">
        <f>IF(Sheet1!AE64="D",Sheet1!AK64,"-")</f>
        <v>-</v>
      </c>
      <c r="AM67" s="1075" t="str">
        <f>IF(Sheet1!AE61="E",Sheet1!AK61,"-")</f>
        <v>-</v>
      </c>
    </row>
    <row r="68" spans="2:39" x14ac:dyDescent="0.25">
      <c r="B68" s="1082">
        <f>Sheet1!F62</f>
        <v>1006</v>
      </c>
      <c r="C68" s="1075" t="str">
        <f>Sheet1!C62</f>
        <v>US 17/92</v>
      </c>
      <c r="D68" s="1075" t="str">
        <f>_xlfn.TEXTBEFORE(Sheet1!E62, " to ")</f>
        <v>SR 15A/Taylor Rd.</v>
      </c>
      <c r="E68" s="1075" t="str">
        <f>_xlfn.TEXTAFTER(Sheet1!E62, " to ")</f>
        <v>Beresford Ave.</v>
      </c>
      <c r="F68" s="1075">
        <f>Sheet1!AM62</f>
        <v>4</v>
      </c>
      <c r="G68" s="1075"/>
      <c r="H68" s="1083" t="str">
        <f>Sheet1!AE62</f>
        <v>E</v>
      </c>
      <c r="I68" s="1075"/>
      <c r="J68" s="1075" t="str">
        <f>Sheet1!Q62</f>
        <v>UA_SSAC1_2W_4L_D_WL</v>
      </c>
      <c r="K68" s="1075"/>
      <c r="L68" s="1075">
        <f>Sheet1!AF62</f>
        <v>42190</v>
      </c>
      <c r="M68" s="1075"/>
      <c r="N68" s="1075"/>
      <c r="O68" s="1075"/>
      <c r="P68" s="1075">
        <f>Sheet1!AK62</f>
        <v>3790</v>
      </c>
      <c r="Q68" s="1075"/>
      <c r="R68" s="1075">
        <f>Sheet1!AD62</f>
        <v>32000</v>
      </c>
      <c r="S68" s="1081">
        <f>Sheet1!AG62</f>
        <v>0.7584735719364778</v>
      </c>
      <c r="T68" s="1075" t="str">
        <f>Sheet1!AH62</f>
        <v>C</v>
      </c>
      <c r="U68" s="1075">
        <f>Sheet1!AI62</f>
        <v>1850</v>
      </c>
      <c r="V68" s="1075"/>
      <c r="W68" s="1075"/>
      <c r="X68" s="1075">
        <f>Sheet1!AJ62</f>
        <v>2660</v>
      </c>
      <c r="Y68" s="1075"/>
      <c r="Z68" s="1075"/>
      <c r="AA68" s="1075"/>
      <c r="AB68" s="1075"/>
      <c r="AC68" s="1075"/>
      <c r="AD68" s="1075"/>
      <c r="AE68" s="1075"/>
      <c r="AF68" s="1075"/>
      <c r="AG68" s="1075"/>
      <c r="AH68" s="1075"/>
      <c r="AI68" s="1075"/>
      <c r="AJ68" s="1075"/>
      <c r="AK68" s="1075" t="str">
        <f>IF(Sheet1!AE65="C",Sheet1!AK65,"-")</f>
        <v>-</v>
      </c>
      <c r="AL68" s="1075" t="str">
        <f>IF(Sheet1!AE65="D",Sheet1!AK65,"-")</f>
        <v>-</v>
      </c>
      <c r="AM68" s="1075">
        <f>IF(Sheet1!AE62="E",Sheet1!AK62,"-")</f>
        <v>3790</v>
      </c>
    </row>
    <row r="69" spans="2:39" x14ac:dyDescent="0.25">
      <c r="B69" s="1082">
        <f>Sheet1!F63</f>
        <v>5173</v>
      </c>
      <c r="C69" s="1075" t="str">
        <f>Sheet1!C63</f>
        <v>US 17/92</v>
      </c>
      <c r="D69" s="1075" t="str">
        <f>_xlfn.TEXTBEFORE(Sheet1!E63, " to ")</f>
        <v>Beresford Ave.</v>
      </c>
      <c r="E69" s="1075" t="str">
        <f>_xlfn.TEXTAFTER(Sheet1!E63, " to ")</f>
        <v>Euclid Ave.</v>
      </c>
      <c r="F69" s="1075">
        <f>Sheet1!AM63</f>
        <v>2</v>
      </c>
      <c r="G69" s="1075"/>
      <c r="H69" s="1083" t="str">
        <f>Sheet1!AE63</f>
        <v>E</v>
      </c>
      <c r="I69" s="1075"/>
      <c r="J69" s="1075" t="str">
        <f>Sheet1!Q63</f>
        <v>UA_SSAC2_2W_2L_D_WL</v>
      </c>
      <c r="K69" s="1075"/>
      <c r="L69" s="1075">
        <f>Sheet1!AF63</f>
        <v>16380</v>
      </c>
      <c r="M69" s="1075"/>
      <c r="N69" s="1075"/>
      <c r="O69" s="1075"/>
      <c r="P69" s="1075">
        <f>Sheet1!AK63</f>
        <v>1480</v>
      </c>
      <c r="Q69" s="1075"/>
      <c r="R69" s="1075">
        <f>Sheet1!AD63</f>
        <v>17900</v>
      </c>
      <c r="S69" s="1081">
        <f>Sheet1!AG63</f>
        <v>1.0927960927960927</v>
      </c>
      <c r="T69" s="1075" t="str">
        <f>Sheet1!AH63</f>
        <v>F</v>
      </c>
      <c r="U69" s="1075">
        <f>Sheet1!AI63</f>
        <v>1120</v>
      </c>
      <c r="V69" s="1075"/>
      <c r="W69" s="1075"/>
      <c r="X69" s="1075">
        <f>Sheet1!AJ63</f>
        <v>1510</v>
      </c>
      <c r="Y69" s="1075"/>
      <c r="Z69" s="1075"/>
      <c r="AA69" s="1075"/>
      <c r="AB69" s="1075"/>
      <c r="AC69" s="1075"/>
      <c r="AD69" s="1075"/>
      <c r="AE69" s="1075"/>
      <c r="AF69" s="1075"/>
      <c r="AG69" s="1075"/>
      <c r="AH69" s="1075"/>
      <c r="AI69" s="1075"/>
      <c r="AJ69" s="1075"/>
      <c r="AK69" s="1075" t="str">
        <f>IF(Sheet1!AE66="C",Sheet1!AK66,"-")</f>
        <v>-</v>
      </c>
      <c r="AL69" s="1075" t="str">
        <f>IF(Sheet1!AE66="D",Sheet1!AK66,"-")</f>
        <v>-</v>
      </c>
      <c r="AM69" s="1075">
        <f>IF(Sheet1!AE63="E",Sheet1!AK63,"-")</f>
        <v>1480</v>
      </c>
    </row>
    <row r="70" spans="2:39" x14ac:dyDescent="0.25">
      <c r="B70" s="1082">
        <f>Sheet1!F64</f>
        <v>5004</v>
      </c>
      <c r="C70" s="1075" t="str">
        <f>Sheet1!C64</f>
        <v>US 17/92</v>
      </c>
      <c r="D70" s="1075" t="str">
        <f>_xlfn.TEXTBEFORE(Sheet1!E64, " to ")</f>
        <v>Euclid Ave.</v>
      </c>
      <c r="E70" s="1075" t="str">
        <f>_xlfn.TEXTAFTER(Sheet1!E64, " to ")</f>
        <v>SR 44/New York Ave.</v>
      </c>
      <c r="F70" s="1075">
        <f>Sheet1!AM64</f>
        <v>2</v>
      </c>
      <c r="G70" s="1075"/>
      <c r="H70" s="1083" t="str">
        <f>Sheet1!AE64</f>
        <v>E</v>
      </c>
      <c r="I70" s="1075"/>
      <c r="J70" s="1075" t="str">
        <f>Sheet1!Q64</f>
        <v>UA_SSAC2_2W_2L_U_WL</v>
      </c>
      <c r="K70" s="1075"/>
      <c r="L70" s="1075">
        <f>Sheet1!AF64</f>
        <v>15600</v>
      </c>
      <c r="M70" s="1075"/>
      <c r="N70" s="1075"/>
      <c r="O70" s="1075"/>
      <c r="P70" s="1075">
        <f>Sheet1!AK64</f>
        <v>1410</v>
      </c>
      <c r="Q70" s="1075"/>
      <c r="R70" s="1075">
        <f>Sheet1!AD64</f>
        <v>12800</v>
      </c>
      <c r="S70" s="1081">
        <f>Sheet1!AG64</f>
        <v>0.82051282051282048</v>
      </c>
      <c r="T70" s="1075" t="str">
        <f>Sheet1!AH64</f>
        <v>D</v>
      </c>
      <c r="U70" s="1075" t="str">
        <f>Sheet1!AI64</f>
        <v>-</v>
      </c>
      <c r="V70" s="1075"/>
      <c r="W70" s="1075"/>
      <c r="X70" s="1075" t="str">
        <f>Sheet1!AJ64</f>
        <v>-</v>
      </c>
      <c r="Y70" s="1075"/>
      <c r="Z70" s="1075"/>
      <c r="AA70" s="1075"/>
      <c r="AB70" s="1075"/>
      <c r="AC70" s="1075"/>
      <c r="AD70" s="1075"/>
      <c r="AE70" s="1075"/>
      <c r="AF70" s="1075"/>
      <c r="AG70" s="1075"/>
      <c r="AH70" s="1075"/>
      <c r="AI70" s="1075"/>
      <c r="AJ70" s="1075"/>
      <c r="AK70" s="1075" t="str">
        <f>IF(Sheet1!AE67="C",Sheet1!AK67,"-")</f>
        <v>-</v>
      </c>
      <c r="AL70" s="1075" t="str">
        <f>IF(Sheet1!AE67="D",Sheet1!AK67,"-")</f>
        <v>-</v>
      </c>
      <c r="AM70" s="1075">
        <f>IF(Sheet1!AE64="E",Sheet1!AK64,"-")</f>
        <v>1410</v>
      </c>
    </row>
    <row r="71" spans="2:39" x14ac:dyDescent="0.25">
      <c r="B71" s="1082">
        <f>Sheet1!F65</f>
        <v>5008</v>
      </c>
      <c r="C71" s="1075" t="str">
        <f>Sheet1!C65</f>
        <v>US 17/92</v>
      </c>
      <c r="D71" s="1075" t="str">
        <f>_xlfn.TEXTBEFORE(Sheet1!E65, " to ")</f>
        <v>SR 44/New York Ave.</v>
      </c>
      <c r="E71" s="1075" t="str">
        <f>_xlfn.TEXTAFTER(Sheet1!E65, " to ")</f>
        <v>Plymouth Ave.</v>
      </c>
      <c r="F71" s="1075">
        <f>Sheet1!AM65</f>
        <v>2</v>
      </c>
      <c r="G71" s="1075"/>
      <c r="H71" s="1083" t="str">
        <f>Sheet1!AE65</f>
        <v>DeLand</v>
      </c>
      <c r="I71" s="1075"/>
      <c r="J71" s="1075" t="str">
        <f>Sheet1!Q65</f>
        <v>UA_SSAC2_2W_2L_U_WL</v>
      </c>
      <c r="K71" s="1075"/>
      <c r="L71" s="1075">
        <f>Sheet1!AF65</f>
        <v>19150</v>
      </c>
      <c r="M71" s="1075"/>
      <c r="N71" s="1075"/>
      <c r="O71" s="1075"/>
      <c r="P71" s="1075">
        <f>Sheet1!AK65</f>
        <v>1410</v>
      </c>
      <c r="Q71" s="1075"/>
      <c r="R71" s="1075">
        <f>Sheet1!AD65</f>
        <v>19100</v>
      </c>
      <c r="S71" s="1081">
        <f>Sheet1!AG65</f>
        <v>0.99738903394255873</v>
      </c>
      <c r="T71" s="1075" t="str">
        <f>Sheet1!AH65</f>
        <v>DeLand</v>
      </c>
      <c r="U71" s="1075" t="str">
        <f>Sheet1!AI65</f>
        <v>-</v>
      </c>
      <c r="V71" s="1075"/>
      <c r="W71" s="1075"/>
      <c r="X71" s="1075" t="str">
        <f>Sheet1!AJ65</f>
        <v>-</v>
      </c>
      <c r="Y71" s="1075"/>
      <c r="Z71" s="1075"/>
      <c r="AA71" s="1075"/>
      <c r="AB71" s="1075"/>
      <c r="AC71" s="1075"/>
      <c r="AD71" s="1075"/>
      <c r="AE71" s="1075"/>
      <c r="AF71" s="1075"/>
      <c r="AG71" s="1075"/>
      <c r="AH71" s="1075"/>
      <c r="AI71" s="1075"/>
      <c r="AJ71" s="1075"/>
      <c r="AK71" s="1075" t="str">
        <f>IF(Sheet1!AE68="C",Sheet1!AK68,"-")</f>
        <v>-</v>
      </c>
      <c r="AL71" s="1075">
        <f>IF(Sheet1!AE68="D",Sheet1!AK68,"-")</f>
        <v>3580</v>
      </c>
      <c r="AM71" s="1075" t="str">
        <f>IF(Sheet1!AE65="E",Sheet1!AK65,"-")</f>
        <v>-</v>
      </c>
    </row>
    <row r="72" spans="2:39" x14ac:dyDescent="0.25">
      <c r="B72" s="1082">
        <f>Sheet1!F66</f>
        <v>66</v>
      </c>
      <c r="C72" s="1075" t="str">
        <f>Sheet1!C66</f>
        <v>US 17/92</v>
      </c>
      <c r="D72" s="1075" t="str">
        <f>_xlfn.TEXTBEFORE(Sheet1!E66, " to ")</f>
        <v xml:space="preserve">Plymouth Ave. </v>
      </c>
      <c r="E72" s="1075" t="str">
        <f>_xlfn.TEXTAFTER(Sheet1!E66, " to ")</f>
        <v>US 92/ISB</v>
      </c>
      <c r="F72" s="1075">
        <f>Sheet1!AM66</f>
        <v>4</v>
      </c>
      <c r="G72" s="1075"/>
      <c r="H72" s="1083" t="str">
        <f>Sheet1!AE66</f>
        <v>E</v>
      </c>
      <c r="I72" s="1075"/>
      <c r="J72" s="1075" t="str">
        <f>Sheet1!Q66</f>
        <v>UA_SSAC1_2W_4L_D_WL</v>
      </c>
      <c r="K72" s="1075"/>
      <c r="L72" s="1075">
        <f>Sheet1!AF66</f>
        <v>42190</v>
      </c>
      <c r="M72" s="1075"/>
      <c r="N72" s="1075"/>
      <c r="O72" s="1075"/>
      <c r="P72" s="1075">
        <f>Sheet1!AK66</f>
        <v>3790</v>
      </c>
      <c r="Q72" s="1075"/>
      <c r="R72" s="1075">
        <f>Sheet1!AD66</f>
        <v>22000</v>
      </c>
      <c r="S72" s="1081">
        <f>Sheet1!AG66</f>
        <v>0.52145058070632855</v>
      </c>
      <c r="T72" s="1075" t="str">
        <f>Sheet1!AH66</f>
        <v>C</v>
      </c>
      <c r="U72" s="1075" t="str">
        <f>Sheet1!AI66</f>
        <v>-</v>
      </c>
      <c r="V72" s="1075"/>
      <c r="W72" s="1075"/>
      <c r="X72" s="1075" t="str">
        <f>Sheet1!AJ66</f>
        <v>-</v>
      </c>
      <c r="Y72" s="1075"/>
      <c r="Z72" s="1075"/>
      <c r="AA72" s="1075"/>
      <c r="AB72" s="1075"/>
      <c r="AC72" s="1075"/>
      <c r="AD72" s="1075"/>
      <c r="AE72" s="1075"/>
      <c r="AF72" s="1075"/>
      <c r="AG72" s="1075"/>
      <c r="AH72" s="1075"/>
      <c r="AI72" s="1075"/>
      <c r="AJ72" s="1075"/>
      <c r="AK72" s="1075" t="str">
        <f>IF(Sheet1!AE69="C",Sheet1!AK69,"-")</f>
        <v>-</v>
      </c>
      <c r="AL72" s="1075">
        <f>IF(Sheet1!AE69="D",Sheet1!AK69,"-")</f>
        <v>3580</v>
      </c>
      <c r="AM72" s="1075">
        <f>IF(Sheet1!AE66="E",Sheet1!AK66,"-")</f>
        <v>3790</v>
      </c>
    </row>
    <row r="73" spans="2:39" x14ac:dyDescent="0.25">
      <c r="B73" s="1082">
        <f>Sheet1!F67</f>
        <v>1000</v>
      </c>
      <c r="C73" s="1075" t="str">
        <f>Sheet1!C67</f>
        <v>US 17</v>
      </c>
      <c r="D73" s="1075" t="str">
        <f>_xlfn.TEXTBEFORE(Sheet1!E67, " to ")</f>
        <v>US 92</v>
      </c>
      <c r="E73" s="1075" t="str">
        <f>_xlfn.TEXTAFTER(Sheet1!E67, " to ")</f>
        <v>Mercers Fernery Rd.</v>
      </c>
      <c r="F73" s="1075">
        <f>Sheet1!AM67</f>
        <v>4</v>
      </c>
      <c r="G73" s="1075"/>
      <c r="H73" s="1083" t="str">
        <f>Sheet1!AE67</f>
        <v>E</v>
      </c>
      <c r="I73" s="1075"/>
      <c r="J73" s="1075" t="str">
        <f>Sheet1!Q67</f>
        <v>UA_SSAC1_2W_4L_D_WL</v>
      </c>
      <c r="K73" s="1075"/>
      <c r="L73" s="1075">
        <f>Sheet1!AF67</f>
        <v>42190</v>
      </c>
      <c r="M73" s="1075"/>
      <c r="N73" s="1075"/>
      <c r="O73" s="1075"/>
      <c r="P73" s="1075">
        <f>Sheet1!AK67</f>
        <v>3790</v>
      </c>
      <c r="Q73" s="1075"/>
      <c r="R73" s="1075">
        <f>Sheet1!AD67</f>
        <v>32000</v>
      </c>
      <c r="S73" s="1081">
        <f>Sheet1!AG67</f>
        <v>0.7584735719364778</v>
      </c>
      <c r="T73" s="1075" t="str">
        <f>Sheet1!AH67</f>
        <v>C</v>
      </c>
      <c r="U73" s="1075" t="str">
        <f>Sheet1!AI67</f>
        <v>-</v>
      </c>
      <c r="V73" s="1075"/>
      <c r="W73" s="1075"/>
      <c r="X73" s="1075" t="str">
        <f>Sheet1!AJ67</f>
        <v>-</v>
      </c>
      <c r="Y73" s="1075"/>
      <c r="Z73" s="1075"/>
      <c r="AA73" s="1075"/>
      <c r="AB73" s="1075"/>
      <c r="AC73" s="1075"/>
      <c r="AD73" s="1075"/>
      <c r="AE73" s="1075"/>
      <c r="AF73" s="1075"/>
      <c r="AG73" s="1075"/>
      <c r="AH73" s="1075"/>
      <c r="AI73" s="1075"/>
      <c r="AJ73" s="1075"/>
      <c r="AK73" s="1075" t="str">
        <f>IF(Sheet1!AE70="C",Sheet1!AK70,"-")</f>
        <v>-</v>
      </c>
      <c r="AL73" s="1075">
        <f>IF(Sheet1!AE70="D",Sheet1!AK70,"-")</f>
        <v>5960</v>
      </c>
      <c r="AM73" s="1075">
        <f>IF(Sheet1!AE67="E",Sheet1!AK67,"-")</f>
        <v>3790</v>
      </c>
    </row>
    <row r="74" spans="2:39" x14ac:dyDescent="0.25">
      <c r="B74" s="1082">
        <f>Sheet1!F68</f>
        <v>69</v>
      </c>
      <c r="C74" s="1075" t="str">
        <f>Sheet1!C68</f>
        <v>US 17</v>
      </c>
      <c r="D74" s="1075" t="str">
        <f>_xlfn.TEXTBEFORE(Sheet1!E68, " to ")</f>
        <v>Mercers Fernery Rd.</v>
      </c>
      <c r="E74" s="1075" t="str">
        <f>_xlfn.TEXTAFTER(Sheet1!E68, " to ")</f>
        <v>Glenwood Rd.</v>
      </c>
      <c r="F74" s="1075">
        <f>Sheet1!AM68</f>
        <v>4</v>
      </c>
      <c r="G74" s="1075"/>
      <c r="H74" s="1083" t="str">
        <f>Sheet1!AE68</f>
        <v>D</v>
      </c>
      <c r="I74" s="1075"/>
      <c r="J74" s="1075" t="str">
        <f>Sheet1!Q68</f>
        <v>UA_SSAC1_2W_4L_D_WL</v>
      </c>
      <c r="K74" s="1075"/>
      <c r="L74" s="1075">
        <f>Sheet1!AF68</f>
        <v>39800</v>
      </c>
      <c r="M74" s="1075"/>
      <c r="N74" s="1075"/>
      <c r="O74" s="1075"/>
      <c r="P74" s="1075">
        <f>Sheet1!AK68</f>
        <v>3580</v>
      </c>
      <c r="Q74" s="1075"/>
      <c r="R74" s="1075">
        <f>Sheet1!AD68</f>
        <v>22000</v>
      </c>
      <c r="S74" s="1081">
        <f>Sheet1!AG68</f>
        <v>0.55276381909547734</v>
      </c>
      <c r="T74" s="1075" t="str">
        <f>Sheet1!AH68</f>
        <v>C</v>
      </c>
      <c r="U74" s="1075">
        <f>Sheet1!AI68</f>
        <v>1170</v>
      </c>
      <c r="V74" s="1075"/>
      <c r="W74" s="1075"/>
      <c r="X74" s="1075">
        <f>Sheet1!AJ68</f>
        <v>1890</v>
      </c>
      <c r="Y74" s="1075"/>
      <c r="Z74" s="1075"/>
      <c r="AA74" s="1075"/>
      <c r="AB74" s="1075"/>
      <c r="AC74" s="1075"/>
      <c r="AD74" s="1075"/>
      <c r="AE74" s="1075"/>
      <c r="AF74" s="1075"/>
      <c r="AG74" s="1075"/>
      <c r="AH74" s="1075"/>
      <c r="AI74" s="1075"/>
      <c r="AJ74" s="1075"/>
      <c r="AK74" s="1075" t="str">
        <f>IF(Sheet1!AE71="C",Sheet1!AK71,"-")</f>
        <v>-</v>
      </c>
      <c r="AL74" s="1075">
        <f>IF(Sheet1!AE71="D",Sheet1!AK71,"-")</f>
        <v>2180</v>
      </c>
      <c r="AM74" s="1075" t="str">
        <f>IF(Sheet1!AE68="E",Sheet1!AK68,"-")</f>
        <v>-</v>
      </c>
    </row>
    <row r="75" spans="2:39" x14ac:dyDescent="0.25">
      <c r="B75" s="1082">
        <f>Sheet1!F69</f>
        <v>236</v>
      </c>
      <c r="C75" s="1075" t="str">
        <f>Sheet1!C69</f>
        <v>US 17</v>
      </c>
      <c r="D75" s="1075" t="str">
        <f>_xlfn.TEXTBEFORE(Sheet1!E69, " to ")</f>
        <v>Glenwood Rd.</v>
      </c>
      <c r="E75" s="1075" t="str">
        <f>_xlfn.TEXTAFTER(Sheet1!E69, " to ")</f>
        <v>SR 15A/CR 15A</v>
      </c>
      <c r="F75" s="1075">
        <f>Sheet1!AM69</f>
        <v>4</v>
      </c>
      <c r="G75" s="1075"/>
      <c r="H75" s="1083" t="str">
        <f>Sheet1!AE69</f>
        <v>D</v>
      </c>
      <c r="I75" s="1075"/>
      <c r="J75" s="1075" t="str">
        <f>Sheet1!Q69</f>
        <v>UA_SSAC1_2W_4L_D_WL</v>
      </c>
      <c r="K75" s="1075"/>
      <c r="L75" s="1075">
        <f>Sheet1!AF69</f>
        <v>39800</v>
      </c>
      <c r="M75" s="1075"/>
      <c r="N75" s="1075"/>
      <c r="O75" s="1075"/>
      <c r="P75" s="1075">
        <f>Sheet1!AK69</f>
        <v>3580</v>
      </c>
      <c r="Q75" s="1075"/>
      <c r="R75" s="1075">
        <f>Sheet1!AD69</f>
        <v>14600</v>
      </c>
      <c r="S75" s="1081">
        <f>Sheet1!AG69</f>
        <v>0.36683417085427134</v>
      </c>
      <c r="T75" s="1075" t="str">
        <f>Sheet1!AH69</f>
        <v>C</v>
      </c>
      <c r="U75" s="1075" t="str">
        <f>Sheet1!AI69</f>
        <v>-</v>
      </c>
      <c r="V75" s="1075"/>
      <c r="W75" s="1075"/>
      <c r="X75" s="1075" t="str">
        <f>Sheet1!AJ69</f>
        <v>-</v>
      </c>
      <c r="Y75" s="1075"/>
      <c r="Z75" s="1075"/>
      <c r="AA75" s="1075"/>
      <c r="AB75" s="1075"/>
      <c r="AC75" s="1075"/>
      <c r="AD75" s="1075"/>
      <c r="AE75" s="1075"/>
      <c r="AF75" s="1075"/>
      <c r="AG75" s="1075"/>
      <c r="AH75" s="1075"/>
      <c r="AI75" s="1075"/>
      <c r="AJ75" s="1075"/>
      <c r="AK75" s="1075" t="str">
        <f>IF(Sheet1!AE72="C",Sheet1!AK72,"-")</f>
        <v>-</v>
      </c>
      <c r="AL75" s="1075">
        <f>IF(Sheet1!AE72="D",Sheet1!AK72,"-")</f>
        <v>2180</v>
      </c>
      <c r="AM75" s="1075" t="str">
        <f>IF(Sheet1!AE69="E",Sheet1!AK69,"-")</f>
        <v>-</v>
      </c>
    </row>
    <row r="76" spans="2:39" x14ac:dyDescent="0.25">
      <c r="B76" s="1082">
        <f>Sheet1!F70</f>
        <v>476</v>
      </c>
      <c r="C76" s="1075" t="str">
        <f>Sheet1!C70</f>
        <v>US 17</v>
      </c>
      <c r="D76" s="1075" t="str">
        <f>_xlfn.TEXTBEFORE(Sheet1!E70, " to ")</f>
        <v>SR 15A/CR 15A</v>
      </c>
      <c r="E76" s="1075" t="str">
        <f>_xlfn.TEXTAFTER(Sheet1!E70, " to ")</f>
        <v>Reynolds Rd</v>
      </c>
      <c r="F76" s="1075">
        <f>Sheet1!AM70</f>
        <v>4</v>
      </c>
      <c r="G76" s="1075"/>
      <c r="H76" s="1083" t="str">
        <f>Sheet1!AE70</f>
        <v>D</v>
      </c>
      <c r="I76" s="1075"/>
      <c r="J76" s="1075" t="str">
        <f>Sheet1!Q70</f>
        <v>UA_UFH_2W_4L_D_WL</v>
      </c>
      <c r="K76" s="1075"/>
      <c r="L76" s="1075">
        <f>Sheet1!AF70</f>
        <v>66200</v>
      </c>
      <c r="M76" s="1075"/>
      <c r="N76" s="1075"/>
      <c r="O76" s="1075"/>
      <c r="P76" s="1075">
        <f>Sheet1!AK70</f>
        <v>5960</v>
      </c>
      <c r="Q76" s="1075"/>
      <c r="R76" s="1075">
        <f>Sheet1!AD70</f>
        <v>19600</v>
      </c>
      <c r="S76" s="1081">
        <f>Sheet1!AG70</f>
        <v>0.29607250755287007</v>
      </c>
      <c r="T76" s="1075" t="str">
        <f>Sheet1!AH70</f>
        <v>B</v>
      </c>
      <c r="U76" s="1075">
        <f>Sheet1!AI70</f>
        <v>1320</v>
      </c>
      <c r="V76" s="1075"/>
      <c r="W76" s="1075"/>
      <c r="X76" s="1075">
        <f>Sheet1!AJ70</f>
        <v>1680</v>
      </c>
      <c r="Y76" s="1075"/>
      <c r="Z76" s="1075"/>
      <c r="AA76" s="1075"/>
      <c r="AB76" s="1075"/>
      <c r="AC76" s="1075"/>
      <c r="AD76" s="1075"/>
      <c r="AE76" s="1075"/>
      <c r="AF76" s="1075"/>
      <c r="AG76" s="1075"/>
      <c r="AH76" s="1075"/>
      <c r="AI76" s="1075"/>
      <c r="AJ76" s="1075"/>
      <c r="AK76" s="1075" t="str">
        <f>IF(Sheet1!AE73="C",Sheet1!AK73,"-")</f>
        <v>-</v>
      </c>
      <c r="AL76" s="1075">
        <f>IF(Sheet1!AE73="D",Sheet1!AK73,"-")</f>
        <v>1620</v>
      </c>
      <c r="AM76" s="1075" t="str">
        <f>IF(Sheet1!AE70="E",Sheet1!AK70,"-")</f>
        <v>-</v>
      </c>
    </row>
    <row r="77" spans="2:39" x14ac:dyDescent="0.25">
      <c r="B77" s="1082">
        <f>Sheet1!F71</f>
        <v>519</v>
      </c>
      <c r="C77" s="1075" t="str">
        <f>Sheet1!C71</f>
        <v>US 17</v>
      </c>
      <c r="D77" s="1075" t="str">
        <f>_xlfn.TEXTBEFORE(Sheet1!E71, " to ")</f>
        <v>Reynolds Rd</v>
      </c>
      <c r="E77" s="1075" t="str">
        <f>_xlfn.TEXTAFTER(Sheet1!E71, " to ")</f>
        <v>Spring Garden Ranch Rd.</v>
      </c>
      <c r="F77" s="1075">
        <f>Sheet1!AM71</f>
        <v>2</v>
      </c>
      <c r="G77" s="1075"/>
      <c r="H77" s="1083" t="str">
        <f>Sheet1!AE71</f>
        <v>D</v>
      </c>
      <c r="I77" s="1075"/>
      <c r="J77" s="1075" t="str">
        <f>Sheet1!Q71</f>
        <v>UA_UFH_2W_2L_U_WL</v>
      </c>
      <c r="K77" s="1075"/>
      <c r="L77" s="1075">
        <f>Sheet1!AF71</f>
        <v>24200</v>
      </c>
      <c r="M77" s="1075"/>
      <c r="N77" s="1075"/>
      <c r="O77" s="1075"/>
      <c r="P77" s="1075">
        <f>Sheet1!AK71</f>
        <v>2180</v>
      </c>
      <c r="Q77" s="1075"/>
      <c r="R77" s="1075">
        <f>Sheet1!AD71</f>
        <v>11200</v>
      </c>
      <c r="S77" s="1081">
        <f>Sheet1!AG71</f>
        <v>0.46280991735537191</v>
      </c>
      <c r="T77" s="1075" t="str">
        <f>Sheet1!AH71</f>
        <v>B</v>
      </c>
      <c r="U77" s="1075" t="str">
        <f>Sheet1!AI71</f>
        <v>-</v>
      </c>
      <c r="V77" s="1075"/>
      <c r="W77" s="1075"/>
      <c r="X77" s="1075" t="str">
        <f>Sheet1!AJ71</f>
        <v>-</v>
      </c>
      <c r="Y77" s="1075"/>
      <c r="Z77" s="1075"/>
      <c r="AA77" s="1075"/>
      <c r="AB77" s="1075"/>
      <c r="AC77" s="1075"/>
      <c r="AD77" s="1075"/>
      <c r="AE77" s="1075"/>
      <c r="AF77" s="1075"/>
      <c r="AG77" s="1075"/>
      <c r="AH77" s="1075"/>
      <c r="AI77" s="1075"/>
      <c r="AJ77" s="1075"/>
      <c r="AK77" s="1075">
        <f>IF(Sheet1!AE74="C",Sheet1!AK74,"-")</f>
        <v>1490</v>
      </c>
      <c r="AL77" s="1075" t="str">
        <f>IF(Sheet1!AE74="D",Sheet1!AK74,"-")</f>
        <v>-</v>
      </c>
      <c r="AM77" s="1075" t="str">
        <f>IF(Sheet1!AE71="E",Sheet1!AK71,"-")</f>
        <v>-</v>
      </c>
    </row>
    <row r="78" spans="2:39" x14ac:dyDescent="0.25">
      <c r="B78" s="1082">
        <f>Sheet1!F72</f>
        <v>104</v>
      </c>
      <c r="C78" s="1075" t="str">
        <f>Sheet1!C72</f>
        <v>US 17</v>
      </c>
      <c r="D78" s="1075" t="str">
        <f>_xlfn.TEXTBEFORE(Sheet1!E72, " to ")</f>
        <v>Spring Garden Ranch Rd.</v>
      </c>
      <c r="E78" s="1075" t="str">
        <f>_xlfn.TEXTAFTER(Sheet1!E72, " to ")</f>
        <v>Lake Winona Rd.</v>
      </c>
      <c r="F78" s="1075">
        <f>Sheet1!AM72</f>
        <v>2</v>
      </c>
      <c r="G78" s="1075"/>
      <c r="H78" s="1083" t="str">
        <f>Sheet1!AE72</f>
        <v>D</v>
      </c>
      <c r="I78" s="1075"/>
      <c r="J78" s="1075" t="str">
        <f>Sheet1!Q72</f>
        <v>UA_UFH_2W_2L_U_WL</v>
      </c>
      <c r="K78" s="1075"/>
      <c r="L78" s="1075">
        <f>Sheet1!AF72</f>
        <v>24200</v>
      </c>
      <c r="M78" s="1075"/>
      <c r="N78" s="1075"/>
      <c r="O78" s="1075"/>
      <c r="P78" s="1075">
        <f>Sheet1!AK72</f>
        <v>2180</v>
      </c>
      <c r="Q78" s="1075"/>
      <c r="R78" s="1075">
        <f>Sheet1!AD72</f>
        <v>9400</v>
      </c>
      <c r="S78" s="1081">
        <f>Sheet1!AG72</f>
        <v>0.38842975206611569</v>
      </c>
      <c r="T78" s="1075" t="str">
        <f>Sheet1!AH72</f>
        <v>B</v>
      </c>
      <c r="U78" s="1075" t="str">
        <f>Sheet1!AI72</f>
        <v>-</v>
      </c>
      <c r="V78" s="1075"/>
      <c r="W78" s="1075"/>
      <c r="X78" s="1075" t="str">
        <f>Sheet1!AJ72</f>
        <v>-</v>
      </c>
      <c r="Y78" s="1075"/>
      <c r="Z78" s="1075"/>
      <c r="AA78" s="1075"/>
      <c r="AB78" s="1075"/>
      <c r="AC78" s="1075"/>
      <c r="AD78" s="1075"/>
      <c r="AE78" s="1075"/>
      <c r="AF78" s="1075"/>
      <c r="AG78" s="1075"/>
      <c r="AH78" s="1075"/>
      <c r="AI78" s="1075"/>
      <c r="AJ78" s="1075"/>
      <c r="AK78" s="1075">
        <f>IF(Sheet1!AE75="C",Sheet1!AK75,"-")</f>
        <v>1490</v>
      </c>
      <c r="AL78" s="1075" t="str">
        <f>IF(Sheet1!AE75="D",Sheet1!AK75,"-")</f>
        <v>-</v>
      </c>
      <c r="AM78" s="1075" t="str">
        <f>IF(Sheet1!AE72="E",Sheet1!AK72,"-")</f>
        <v>-</v>
      </c>
    </row>
    <row r="79" spans="2:39" x14ac:dyDescent="0.25">
      <c r="B79" s="1082">
        <f>Sheet1!F73</f>
        <v>104</v>
      </c>
      <c r="C79" s="1075" t="str">
        <f>Sheet1!C73</f>
        <v>US 17</v>
      </c>
      <c r="D79" s="1075" t="str">
        <f>_xlfn.TEXTBEFORE(Sheet1!E73, " to ")</f>
        <v>Lake Winona Rd.</v>
      </c>
      <c r="E79" s="1075" t="str">
        <f>_xlfn.TEXTAFTER(Sheet1!E73, " to ")</f>
        <v>SR 40</v>
      </c>
      <c r="F79" s="1075">
        <f>Sheet1!AM73</f>
        <v>2</v>
      </c>
      <c r="G79" s="1075"/>
      <c r="H79" s="1083" t="str">
        <f>Sheet1!AE73</f>
        <v>D</v>
      </c>
      <c r="I79" s="1075"/>
      <c r="J79" s="1075" t="str">
        <f>Sheet1!Q73</f>
        <v>RUA_UFH_2W_2L_U_WL</v>
      </c>
      <c r="K79" s="1075"/>
      <c r="L79" s="1075">
        <f>Sheet1!AF73</f>
        <v>18000</v>
      </c>
      <c r="M79" s="1075"/>
      <c r="N79" s="1075"/>
      <c r="O79" s="1075"/>
      <c r="P79" s="1075">
        <f>Sheet1!AK73</f>
        <v>1620</v>
      </c>
      <c r="Q79" s="1075"/>
      <c r="R79" s="1075">
        <f>Sheet1!AD73</f>
        <v>9400</v>
      </c>
      <c r="S79" s="1081">
        <f>Sheet1!AG73</f>
        <v>0.52222222222222225</v>
      </c>
      <c r="T79" s="1075" t="str">
        <f>Sheet1!AH73</f>
        <v>B</v>
      </c>
      <c r="U79" s="1075" t="str">
        <f>Sheet1!AI73</f>
        <v>-</v>
      </c>
      <c r="V79" s="1075"/>
      <c r="W79" s="1075"/>
      <c r="X79" s="1075" t="str">
        <f>Sheet1!AJ73</f>
        <v>-</v>
      </c>
      <c r="Y79" s="1075"/>
      <c r="Z79" s="1075"/>
      <c r="AA79" s="1075"/>
      <c r="AB79" s="1075"/>
      <c r="AC79" s="1075"/>
      <c r="AD79" s="1075"/>
      <c r="AE79" s="1075"/>
      <c r="AF79" s="1075"/>
      <c r="AG79" s="1075"/>
      <c r="AH79" s="1075"/>
      <c r="AI79" s="1075"/>
      <c r="AJ79" s="1075"/>
      <c r="AK79" s="1075">
        <f>IF(Sheet1!AE76="C",Sheet1!AK76,"-")</f>
        <v>1620</v>
      </c>
      <c r="AL79" s="1075" t="str">
        <f>IF(Sheet1!AE76="D",Sheet1!AK76,"-")</f>
        <v>-</v>
      </c>
      <c r="AM79" s="1075" t="str">
        <f>IF(Sheet1!AE73="E",Sheet1!AK73,"-")</f>
        <v>-</v>
      </c>
    </row>
    <row r="80" spans="2:39" x14ac:dyDescent="0.25">
      <c r="B80" s="1082">
        <f>Sheet1!F74</f>
        <v>448</v>
      </c>
      <c r="C80" s="1075" t="str">
        <f>Sheet1!C74</f>
        <v>US 17</v>
      </c>
      <c r="D80" s="1075" t="str">
        <f>_xlfn.TEXTBEFORE(Sheet1!E74, " to ")</f>
        <v>SR 40</v>
      </c>
      <c r="E80" s="1075" t="str">
        <f>_xlfn.TEXTAFTER(Sheet1!E74, " to ")</f>
        <v>Washington Ave.</v>
      </c>
      <c r="F80" s="1075">
        <f>Sheet1!AM74</f>
        <v>2</v>
      </c>
      <c r="G80" s="1075"/>
      <c r="H80" s="1083" t="str">
        <f>Sheet1!AE74</f>
        <v>C</v>
      </c>
      <c r="I80" s="1075"/>
      <c r="J80" s="1075" t="str">
        <f>Sheet1!Q74</f>
        <v>RDA_UFH_2W_2L_U_WL</v>
      </c>
      <c r="K80" s="1075"/>
      <c r="L80" s="1075">
        <f>Sheet1!AF74</f>
        <v>15700</v>
      </c>
      <c r="M80" s="1075"/>
      <c r="N80" s="1075"/>
      <c r="O80" s="1075"/>
      <c r="P80" s="1075">
        <f>Sheet1!AK74</f>
        <v>1490</v>
      </c>
      <c r="Q80" s="1075"/>
      <c r="R80" s="1075">
        <f>Sheet1!AD74</f>
        <v>7900</v>
      </c>
      <c r="S80" s="1081">
        <f>Sheet1!AG74</f>
        <v>0.50318471337579618</v>
      </c>
      <c r="T80" s="1075" t="str">
        <f>Sheet1!AH74</f>
        <v>B</v>
      </c>
      <c r="U80" s="1075">
        <f>Sheet1!AI74</f>
        <v>760</v>
      </c>
      <c r="V80" s="1075"/>
      <c r="W80" s="1075"/>
      <c r="X80" s="1075">
        <f>Sheet1!AJ74</f>
        <v>770</v>
      </c>
      <c r="Y80" s="1075"/>
      <c r="Z80" s="1075"/>
      <c r="AA80" s="1075"/>
      <c r="AB80" s="1075"/>
      <c r="AC80" s="1075"/>
      <c r="AD80" s="1075"/>
      <c r="AE80" s="1075"/>
      <c r="AF80" s="1075"/>
      <c r="AG80" s="1075"/>
      <c r="AH80" s="1075"/>
      <c r="AI80" s="1075"/>
      <c r="AJ80" s="1075"/>
      <c r="AK80" s="1075" t="str">
        <f>IF(Sheet1!AE77="C",Sheet1!AK77,"-")</f>
        <v>-</v>
      </c>
      <c r="AL80" s="1075">
        <f>IF(Sheet1!AE77="D",Sheet1!AK77,"-")</f>
        <v>3580</v>
      </c>
      <c r="AM80" s="1075" t="str">
        <f>IF(Sheet1!AE74="E",Sheet1!AK74,"-")</f>
        <v>-</v>
      </c>
    </row>
    <row r="81" spans="2:39" x14ac:dyDescent="0.25">
      <c r="B81" s="1082">
        <f>Sheet1!F75</f>
        <v>46</v>
      </c>
      <c r="C81" s="1075" t="str">
        <f>Sheet1!C75</f>
        <v>US 17</v>
      </c>
      <c r="D81" s="1075" t="str">
        <f>_xlfn.TEXTBEFORE(Sheet1!E75, " to ")</f>
        <v xml:space="preserve">Washington Ave. </v>
      </c>
      <c r="E81" s="1075" t="str">
        <f>_xlfn.TEXTAFTER(Sheet1!E75, " to ")</f>
        <v>CR 305/Lk George Rd</v>
      </c>
      <c r="F81" s="1075">
        <f>Sheet1!AM75</f>
        <v>2</v>
      </c>
      <c r="G81" s="1075"/>
      <c r="H81" s="1083" t="str">
        <f>Sheet1!AE75</f>
        <v>C</v>
      </c>
      <c r="I81" s="1075"/>
      <c r="J81" s="1075" t="str">
        <f>Sheet1!Q75</f>
        <v>RDA_UFH_2W_2L_U_WL</v>
      </c>
      <c r="K81" s="1075"/>
      <c r="L81" s="1075">
        <f>Sheet1!AF75</f>
        <v>15700</v>
      </c>
      <c r="M81" s="1075"/>
      <c r="N81" s="1075"/>
      <c r="O81" s="1075"/>
      <c r="P81" s="1075">
        <f>Sheet1!AK75</f>
        <v>1490</v>
      </c>
      <c r="Q81" s="1075"/>
      <c r="R81" s="1075">
        <f>Sheet1!AD75</f>
        <v>5900</v>
      </c>
      <c r="S81" s="1081">
        <f>Sheet1!AG75</f>
        <v>0.37579617834394907</v>
      </c>
      <c r="T81" s="1075" t="str">
        <f>Sheet1!AH75</f>
        <v>B</v>
      </c>
      <c r="U81" s="1075" t="str">
        <f>Sheet1!AI75</f>
        <v>-</v>
      </c>
      <c r="V81" s="1075"/>
      <c r="W81" s="1075"/>
      <c r="X81" s="1075" t="str">
        <f>Sheet1!AJ75</f>
        <v>-</v>
      </c>
      <c r="Y81" s="1075"/>
      <c r="Z81" s="1075"/>
      <c r="AA81" s="1075"/>
      <c r="AB81" s="1075"/>
      <c r="AC81" s="1075"/>
      <c r="AD81" s="1075"/>
      <c r="AE81" s="1075"/>
      <c r="AF81" s="1075"/>
      <c r="AG81" s="1075"/>
      <c r="AH81" s="1075"/>
      <c r="AI81" s="1075"/>
      <c r="AJ81" s="1075"/>
      <c r="AK81" s="1075" t="str">
        <f>IF(Sheet1!AE78="C",Sheet1!AK78,"-")</f>
        <v>-</v>
      </c>
      <c r="AL81" s="1075">
        <f>IF(Sheet1!AE78="D",Sheet1!AK78,"-")</f>
        <v>3580</v>
      </c>
      <c r="AM81" s="1075" t="str">
        <f>IF(Sheet1!AE75="E",Sheet1!AK75,"-")</f>
        <v>-</v>
      </c>
    </row>
    <row r="82" spans="2:39" x14ac:dyDescent="0.25">
      <c r="B82" s="1082">
        <f>Sheet1!F76</f>
        <v>280</v>
      </c>
      <c r="C82" s="1075" t="str">
        <f>Sheet1!C76</f>
        <v>US 17</v>
      </c>
      <c r="D82" s="1075" t="str">
        <f>_xlfn.TEXTBEFORE(Sheet1!E76, " to ")</f>
        <v>CR 305/Lk George Rd</v>
      </c>
      <c r="E82" s="1075" t="str">
        <f>_xlfn.TEXTAFTER(Sheet1!E76, " to ")</f>
        <v>Putnam County</v>
      </c>
      <c r="F82" s="1075">
        <f>Sheet1!AM76</f>
        <v>2</v>
      </c>
      <c r="G82" s="1075"/>
      <c r="H82" s="1083" t="str">
        <f>Sheet1!AE76</f>
        <v>C</v>
      </c>
      <c r="I82" s="1075"/>
      <c r="J82" s="1075" t="str">
        <f>Sheet1!Q76</f>
        <v>RUA_UFH_2W_2L_U_WL</v>
      </c>
      <c r="K82" s="1075"/>
      <c r="L82" s="1075">
        <f>Sheet1!AF76</f>
        <v>18000</v>
      </c>
      <c r="M82" s="1075"/>
      <c r="N82" s="1075"/>
      <c r="O82" s="1075"/>
      <c r="P82" s="1075">
        <f>Sheet1!AK76</f>
        <v>1620</v>
      </c>
      <c r="Q82" s="1075"/>
      <c r="R82" s="1075">
        <f>Sheet1!AD76</f>
        <v>6000</v>
      </c>
      <c r="S82" s="1081">
        <f>Sheet1!AG76</f>
        <v>0.33333333333333331</v>
      </c>
      <c r="T82" s="1075" t="str">
        <f>Sheet1!AH76</f>
        <v>B</v>
      </c>
      <c r="U82" s="1075">
        <f>Sheet1!AI76</f>
        <v>510</v>
      </c>
      <c r="V82" s="1075"/>
      <c r="W82" s="1075"/>
      <c r="X82" s="1075">
        <f>Sheet1!AJ76</f>
        <v>510</v>
      </c>
      <c r="Y82" s="1075"/>
      <c r="Z82" s="1075"/>
      <c r="AA82" s="1075"/>
      <c r="AB82" s="1075"/>
      <c r="AC82" s="1075"/>
      <c r="AD82" s="1075"/>
      <c r="AE82" s="1075"/>
      <c r="AF82" s="1075"/>
      <c r="AG82" s="1075"/>
      <c r="AH82" s="1075"/>
      <c r="AI82" s="1075"/>
      <c r="AJ82" s="1075"/>
      <c r="AK82" s="1075" t="str">
        <f>IF(Sheet1!AE79="C",Sheet1!AK79,"-")</f>
        <v>-</v>
      </c>
      <c r="AL82" s="1075">
        <f>IF(Sheet1!AE79="D",Sheet1!AK79,"-")</f>
        <v>3580</v>
      </c>
      <c r="AM82" s="1075" t="str">
        <f>IF(Sheet1!AE76="E",Sheet1!AK76,"-")</f>
        <v>-</v>
      </c>
    </row>
    <row r="83" spans="2:39" x14ac:dyDescent="0.25">
      <c r="B83" s="1082">
        <f>Sheet1!F77</f>
        <v>1001</v>
      </c>
      <c r="C83" s="1075" t="str">
        <f>Sheet1!C77</f>
        <v>US 92</v>
      </c>
      <c r="D83" s="1075" t="str">
        <f>_xlfn.TEXTBEFORE(Sheet1!E77, " to ")</f>
        <v>US 17</v>
      </c>
      <c r="E83" s="1075" t="str">
        <f>_xlfn.TEXTAFTER(Sheet1!E77, " to ")</f>
        <v>Jacobs Rd.</v>
      </c>
      <c r="F83" s="1075">
        <f>Sheet1!AM77</f>
        <v>4</v>
      </c>
      <c r="G83" s="1075"/>
      <c r="H83" s="1083" t="str">
        <f>Sheet1!AE77</f>
        <v>D</v>
      </c>
      <c r="I83" s="1075"/>
      <c r="J83" s="1075" t="str">
        <f>Sheet1!Q77</f>
        <v>UA_SSAC1_2W_4L_D_WL</v>
      </c>
      <c r="K83" s="1075"/>
      <c r="L83" s="1075">
        <f>Sheet1!AF77</f>
        <v>39800</v>
      </c>
      <c r="M83" s="1075"/>
      <c r="N83" s="1075"/>
      <c r="O83" s="1075"/>
      <c r="P83" s="1075">
        <f>Sheet1!AK77</f>
        <v>3580</v>
      </c>
      <c r="Q83" s="1075"/>
      <c r="R83" s="1075">
        <f>Sheet1!AD77</f>
        <v>26500</v>
      </c>
      <c r="S83" s="1081">
        <f>Sheet1!AG77</f>
        <v>0.66582914572864327</v>
      </c>
      <c r="T83" s="1075" t="str">
        <f>Sheet1!AH77</f>
        <v>C</v>
      </c>
      <c r="U83" s="1075" t="str">
        <f>Sheet1!AI77</f>
        <v>-</v>
      </c>
      <c r="V83" s="1075"/>
      <c r="W83" s="1075"/>
      <c r="X83" s="1075" t="str">
        <f>Sheet1!AJ77</f>
        <v>-</v>
      </c>
      <c r="Y83" s="1075"/>
      <c r="Z83" s="1075"/>
      <c r="AA83" s="1075"/>
      <c r="AB83" s="1075"/>
      <c r="AC83" s="1075"/>
      <c r="AD83" s="1075"/>
      <c r="AE83" s="1075"/>
      <c r="AF83" s="1075"/>
      <c r="AG83" s="1075"/>
      <c r="AH83" s="1075"/>
      <c r="AI83" s="1075"/>
      <c r="AJ83" s="1075"/>
      <c r="AK83" s="1075">
        <f>IF(Sheet1!AE80="C",Sheet1!AK80,"-")</f>
        <v>4270</v>
      </c>
      <c r="AL83" s="1075" t="str">
        <f>IF(Sheet1!AE80="D",Sheet1!AK80,"-")</f>
        <v>-</v>
      </c>
      <c r="AM83" s="1075" t="str">
        <f>IF(Sheet1!AE77="E",Sheet1!AK77,"-")</f>
        <v>-</v>
      </c>
    </row>
    <row r="84" spans="2:39" x14ac:dyDescent="0.25">
      <c r="B84" s="1082">
        <f>Sheet1!F78</f>
        <v>5</v>
      </c>
      <c r="C84" s="1075" t="str">
        <f>Sheet1!C78</f>
        <v>US 92</v>
      </c>
      <c r="D84" s="1075" t="str">
        <f>_xlfn.TEXTBEFORE(Sheet1!E78, " to ")</f>
        <v>Jacobs Rd.</v>
      </c>
      <c r="E84" s="1075" t="str">
        <f>_xlfn.TEXTAFTER(Sheet1!E78, " to ")</f>
        <v>Kepler Rd.</v>
      </c>
      <c r="F84" s="1075">
        <f>Sheet1!AM78</f>
        <v>4</v>
      </c>
      <c r="G84" s="1075"/>
      <c r="H84" s="1083" t="str">
        <f>Sheet1!AE78</f>
        <v>D</v>
      </c>
      <c r="I84" s="1075"/>
      <c r="J84" s="1075" t="str">
        <f>Sheet1!Q78</f>
        <v>UA_SSAC1_2W_4L_D_WL</v>
      </c>
      <c r="K84" s="1075"/>
      <c r="L84" s="1075">
        <f>Sheet1!AF78</f>
        <v>39800</v>
      </c>
      <c r="M84" s="1075"/>
      <c r="N84" s="1075"/>
      <c r="O84" s="1075"/>
      <c r="P84" s="1075">
        <f>Sheet1!AK78</f>
        <v>3580</v>
      </c>
      <c r="Q84" s="1075"/>
      <c r="R84" s="1075">
        <f>Sheet1!AD78</f>
        <v>24000</v>
      </c>
      <c r="S84" s="1081">
        <f>Sheet1!AG78</f>
        <v>0.60301507537688437</v>
      </c>
      <c r="T84" s="1075" t="str">
        <f>Sheet1!AH78</f>
        <v>C</v>
      </c>
      <c r="U84" s="1075">
        <f>Sheet1!AI78</f>
        <v>1580</v>
      </c>
      <c r="V84" s="1075"/>
      <c r="W84" s="1075"/>
      <c r="X84" s="1075">
        <f>Sheet1!AJ78</f>
        <v>1880</v>
      </c>
      <c r="Y84" s="1075"/>
      <c r="Z84" s="1075"/>
      <c r="AA84" s="1075"/>
      <c r="AB84" s="1075"/>
      <c r="AC84" s="1075"/>
      <c r="AD84" s="1075"/>
      <c r="AE84" s="1075"/>
      <c r="AF84" s="1075"/>
      <c r="AG84" s="1075"/>
      <c r="AH84" s="1075"/>
      <c r="AI84" s="1075"/>
      <c r="AJ84" s="1075"/>
      <c r="AK84" s="1075" t="str">
        <f>IF(Sheet1!AE81="C",Sheet1!AK81,"-")</f>
        <v>-</v>
      </c>
      <c r="AL84" s="1075">
        <f>IF(Sheet1!AE81="D",Sheet1!AK81,"-")</f>
        <v>3580</v>
      </c>
      <c r="AM84" s="1075" t="str">
        <f>IF(Sheet1!AE78="E",Sheet1!AK78,"-")</f>
        <v>-</v>
      </c>
    </row>
    <row r="85" spans="2:39" x14ac:dyDescent="0.25">
      <c r="B85" s="1082">
        <f>Sheet1!F79</f>
        <v>9925</v>
      </c>
      <c r="C85" s="1075" t="str">
        <f>Sheet1!C79</f>
        <v>US 92</v>
      </c>
      <c r="D85" s="1075" t="str">
        <f>_xlfn.TEXTBEFORE(Sheet1!E79, " to ")</f>
        <v>Kepler Rd.</v>
      </c>
      <c r="E85" s="1075" t="str">
        <f>_xlfn.TEXTAFTER(Sheet1!E79, " to ")</f>
        <v>Old Daytona Rd.</v>
      </c>
      <c r="F85" s="1075">
        <f>Sheet1!AM79</f>
        <v>4</v>
      </c>
      <c r="G85" s="1075"/>
      <c r="H85" s="1083" t="str">
        <f>Sheet1!AE79</f>
        <v>D</v>
      </c>
      <c r="I85" s="1075"/>
      <c r="J85" s="1075" t="str">
        <f>Sheet1!Q79</f>
        <v>UA_SSAC1_2W_4L_D_WL</v>
      </c>
      <c r="K85" s="1075"/>
      <c r="L85" s="1075">
        <f>Sheet1!AF79</f>
        <v>39800</v>
      </c>
      <c r="M85" s="1075"/>
      <c r="N85" s="1075"/>
      <c r="O85" s="1075"/>
      <c r="P85" s="1075">
        <f>Sheet1!AK79</f>
        <v>3580</v>
      </c>
      <c r="Q85" s="1075"/>
      <c r="R85" s="1075">
        <f>Sheet1!AD79</f>
        <v>15600</v>
      </c>
      <c r="S85" s="1081">
        <f>Sheet1!AG79</f>
        <v>0.39195979899497485</v>
      </c>
      <c r="T85" s="1075" t="str">
        <f>Sheet1!AH79</f>
        <v>C</v>
      </c>
      <c r="U85" s="1075" t="str">
        <f>Sheet1!AI79</f>
        <v>-</v>
      </c>
      <c r="V85" s="1075"/>
      <c r="W85" s="1075"/>
      <c r="X85" s="1075" t="str">
        <f>Sheet1!AJ79</f>
        <v>-</v>
      </c>
      <c r="Y85" s="1075"/>
      <c r="Z85" s="1075"/>
      <c r="AA85" s="1075"/>
      <c r="AB85" s="1075"/>
      <c r="AC85" s="1075"/>
      <c r="AD85" s="1075"/>
      <c r="AE85" s="1075"/>
      <c r="AF85" s="1075"/>
      <c r="AG85" s="1075"/>
      <c r="AH85" s="1075"/>
      <c r="AI85" s="1075"/>
      <c r="AJ85" s="1075"/>
      <c r="AK85" s="1075" t="str">
        <f>IF(Sheet1!AE82="C",Sheet1!AK82,"-")</f>
        <v>-</v>
      </c>
      <c r="AL85" s="1075">
        <f>IF(Sheet1!AE82="D",Sheet1!AK82,"-")</f>
        <v>3580</v>
      </c>
      <c r="AM85" s="1075" t="str">
        <f>IF(Sheet1!AE79="E",Sheet1!AK79,"-")</f>
        <v>-</v>
      </c>
    </row>
    <row r="86" spans="2:39" x14ac:dyDescent="0.25">
      <c r="B86" s="1082">
        <f>Sheet1!F80</f>
        <v>9925</v>
      </c>
      <c r="C86" s="1075" t="str">
        <f>Sheet1!C80</f>
        <v>US 92</v>
      </c>
      <c r="D86" s="1075" t="str">
        <f>_xlfn.TEXTBEFORE(Sheet1!E80, " to ")</f>
        <v>Old Daytona Rd.</v>
      </c>
      <c r="E86" s="1075" t="str">
        <f>_xlfn.TEXTAFTER(Sheet1!E80, " to ")</f>
        <v>Red John Dr.</v>
      </c>
      <c r="F86" s="1075">
        <f>Sheet1!AM80</f>
        <v>4</v>
      </c>
      <c r="G86" s="1075"/>
      <c r="H86" s="1083" t="str">
        <f>Sheet1!AE80</f>
        <v>C</v>
      </c>
      <c r="I86" s="1075"/>
      <c r="J86" s="1075" t="str">
        <f>Sheet1!Q80</f>
        <v>RUA_UFH_2W_4L_D_WL</v>
      </c>
      <c r="K86" s="1075"/>
      <c r="L86" s="1075">
        <f>Sheet1!AF80</f>
        <v>44900</v>
      </c>
      <c r="M86" s="1075"/>
      <c r="N86" s="1075"/>
      <c r="O86" s="1075"/>
      <c r="P86" s="1075">
        <f>Sheet1!AK80</f>
        <v>4270</v>
      </c>
      <c r="Q86" s="1075"/>
      <c r="R86" s="1075">
        <f>Sheet1!AD80</f>
        <v>15600</v>
      </c>
      <c r="S86" s="1081">
        <f>Sheet1!AG80</f>
        <v>0.34743875278396436</v>
      </c>
      <c r="T86" s="1075" t="str">
        <f>Sheet1!AH80</f>
        <v>B</v>
      </c>
      <c r="U86" s="1075" t="str">
        <f>Sheet1!AI80</f>
        <v>-</v>
      </c>
      <c r="V86" s="1075"/>
      <c r="W86" s="1075"/>
      <c r="X86" s="1075" t="str">
        <f>Sheet1!AJ80</f>
        <v>-</v>
      </c>
      <c r="Y86" s="1075"/>
      <c r="Z86" s="1075"/>
      <c r="AA86" s="1075"/>
      <c r="AB86" s="1075"/>
      <c r="AC86" s="1075"/>
      <c r="AD86" s="1075"/>
      <c r="AE86" s="1075"/>
      <c r="AF86" s="1075"/>
      <c r="AG86" s="1075"/>
      <c r="AH86" s="1075"/>
      <c r="AI86" s="1075"/>
      <c r="AJ86" s="1075"/>
      <c r="AK86" s="1075" t="str">
        <f>IF(Sheet1!AE83="C",Sheet1!AK83,"-")</f>
        <v>-</v>
      </c>
      <c r="AL86" s="1075">
        <f>IF(Sheet1!AE83="D",Sheet1!AK83,"-")</f>
        <v>3580</v>
      </c>
      <c r="AM86" s="1075" t="str">
        <f>IF(Sheet1!AE80="E",Sheet1!AK80,"-")</f>
        <v>-</v>
      </c>
    </row>
    <row r="87" spans="2:39" x14ac:dyDescent="0.25">
      <c r="B87" s="1082">
        <f>Sheet1!F81</f>
        <v>478.2</v>
      </c>
      <c r="C87" s="1075" t="str">
        <f>Sheet1!C81</f>
        <v>US 92</v>
      </c>
      <c r="D87" s="1075" t="str">
        <f>_xlfn.TEXTBEFORE(Sheet1!E81, " to ")</f>
        <v>Red John Dr.</v>
      </c>
      <c r="E87" s="1075" t="str">
        <f>_xlfn.TEXTAFTER(Sheet1!E81, " to ")</f>
        <v>I-4 EB Ramp</v>
      </c>
      <c r="F87" s="1075">
        <f>Sheet1!AM81</f>
        <v>4</v>
      </c>
      <c r="G87" s="1075"/>
      <c r="H87" s="1083" t="str">
        <f>Sheet1!AE81</f>
        <v>D</v>
      </c>
      <c r="I87" s="1075"/>
      <c r="J87" s="1075" t="str">
        <f>Sheet1!Q81</f>
        <v>UA_SSAC1_2W_4L_D_WL</v>
      </c>
      <c r="K87" s="1075"/>
      <c r="L87" s="1075">
        <f>Sheet1!AF81</f>
        <v>39800</v>
      </c>
      <c r="M87" s="1075"/>
      <c r="N87" s="1075"/>
      <c r="O87" s="1075"/>
      <c r="P87" s="1075">
        <f>Sheet1!AK81</f>
        <v>3580</v>
      </c>
      <c r="Q87" s="1075"/>
      <c r="R87" s="1075">
        <f>Sheet1!AD81</f>
        <v>18900</v>
      </c>
      <c r="S87" s="1081">
        <f>Sheet1!AG81</f>
        <v>0.47487437185929648</v>
      </c>
      <c r="T87" s="1075" t="str">
        <f>Sheet1!AH81</f>
        <v>C</v>
      </c>
      <c r="U87" s="1075" t="str">
        <f>Sheet1!AI81</f>
        <v>-</v>
      </c>
      <c r="V87" s="1075"/>
      <c r="W87" s="1075"/>
      <c r="X87" s="1075" t="str">
        <f>Sheet1!AJ81</f>
        <v>-</v>
      </c>
      <c r="Y87" s="1075"/>
      <c r="Z87" s="1075"/>
      <c r="AA87" s="1075"/>
      <c r="AB87" s="1075"/>
      <c r="AC87" s="1075"/>
      <c r="AD87" s="1075"/>
      <c r="AE87" s="1075"/>
      <c r="AF87" s="1075"/>
      <c r="AG87" s="1075"/>
      <c r="AH87" s="1075"/>
      <c r="AI87" s="1075"/>
      <c r="AJ87" s="1075"/>
      <c r="AK87" s="1075">
        <f>IF(Sheet1!AE84="C",Sheet1!AK84,"-")</f>
        <v>7090</v>
      </c>
      <c r="AL87" s="1075" t="str">
        <f>IF(Sheet1!AE84="D",Sheet1!AK84,"-")</f>
        <v>-</v>
      </c>
      <c r="AM87" s="1075" t="str">
        <f>IF(Sheet1!AE81="E",Sheet1!AK81,"-")</f>
        <v>-</v>
      </c>
    </row>
    <row r="88" spans="2:39" x14ac:dyDescent="0.25">
      <c r="B88" s="1082">
        <f>Sheet1!F82</f>
        <v>478.1</v>
      </c>
      <c r="C88" s="1075" t="str">
        <f>Sheet1!C82</f>
        <v>US 92</v>
      </c>
      <c r="D88" s="1075" t="str">
        <f>_xlfn.TEXTBEFORE(Sheet1!E82, " to ")</f>
        <v>I-4 EB Ramp</v>
      </c>
      <c r="E88" s="1075" t="str">
        <f>_xlfn.TEXTAFTER(Sheet1!E82, " to ")</f>
        <v>LPGA Blvd.</v>
      </c>
      <c r="F88" s="1075">
        <f>Sheet1!AM82</f>
        <v>4</v>
      </c>
      <c r="G88" s="1075"/>
      <c r="H88" s="1083" t="str">
        <f>Sheet1!AE82</f>
        <v>D</v>
      </c>
      <c r="I88" s="1075"/>
      <c r="J88" s="1075" t="str">
        <f>Sheet1!Q82</f>
        <v>UA_SSAC1_2W_4L_D_WL</v>
      </c>
      <c r="K88" s="1075"/>
      <c r="L88" s="1075">
        <f>Sheet1!AF82</f>
        <v>39800</v>
      </c>
      <c r="M88" s="1075"/>
      <c r="N88" s="1075"/>
      <c r="O88" s="1075"/>
      <c r="P88" s="1075">
        <f>Sheet1!AK82</f>
        <v>3580</v>
      </c>
      <c r="Q88" s="1075"/>
      <c r="R88" s="1075">
        <f>Sheet1!AD82</f>
        <v>18900</v>
      </c>
      <c r="S88" s="1081">
        <f>Sheet1!AG82</f>
        <v>0.47487437185929648</v>
      </c>
      <c r="T88" s="1075" t="str">
        <f>Sheet1!AH82</f>
        <v>C</v>
      </c>
      <c r="U88" s="1075" t="str">
        <f>Sheet1!AI82</f>
        <v>-</v>
      </c>
      <c r="V88" s="1075"/>
      <c r="W88" s="1075"/>
      <c r="X88" s="1075" t="str">
        <f>Sheet1!AJ82</f>
        <v>-</v>
      </c>
      <c r="Y88" s="1075"/>
      <c r="Z88" s="1075"/>
      <c r="AA88" s="1075"/>
      <c r="AB88" s="1075"/>
      <c r="AC88" s="1075"/>
      <c r="AD88" s="1075"/>
      <c r="AE88" s="1075"/>
      <c r="AF88" s="1075"/>
      <c r="AG88" s="1075"/>
      <c r="AH88" s="1075"/>
      <c r="AI88" s="1075"/>
      <c r="AJ88" s="1075"/>
      <c r="AK88" s="1075">
        <f>IF(Sheet1!AE85="C",Sheet1!AK85,"-")</f>
        <v>7090</v>
      </c>
      <c r="AL88" s="1075" t="str">
        <f>IF(Sheet1!AE85="D",Sheet1!AK85,"-")</f>
        <v>-</v>
      </c>
      <c r="AM88" s="1075" t="str">
        <f>IF(Sheet1!AE82="E",Sheet1!AK82,"-")</f>
        <v>-</v>
      </c>
    </row>
    <row r="89" spans="2:39" x14ac:dyDescent="0.25">
      <c r="B89" s="1082">
        <f>Sheet1!F83</f>
        <v>532</v>
      </c>
      <c r="C89" s="1075" t="str">
        <f>Sheet1!C83</f>
        <v>US 92</v>
      </c>
      <c r="D89" s="1075" t="str">
        <f>_xlfn.TEXTBEFORE(Sheet1!E83, " to ")</f>
        <v>LPGA Blvd.</v>
      </c>
      <c r="E89" s="1075" t="str">
        <f>_xlfn.TEXTAFTER(Sheet1!E83, " to ")</f>
        <v>I-95</v>
      </c>
      <c r="F89" s="1075">
        <f>Sheet1!AM83</f>
        <v>4</v>
      </c>
      <c r="G89" s="1075"/>
      <c r="H89" s="1083" t="str">
        <f>Sheet1!AE83</f>
        <v>D</v>
      </c>
      <c r="I89" s="1075"/>
      <c r="J89" s="1075" t="str">
        <f>Sheet1!Q83</f>
        <v>UA_SSAC1_2W_4L_D_WL</v>
      </c>
      <c r="K89" s="1075"/>
      <c r="L89" s="1075">
        <f>Sheet1!AF83</f>
        <v>39800</v>
      </c>
      <c r="M89" s="1075"/>
      <c r="N89" s="1075"/>
      <c r="O89" s="1075"/>
      <c r="P89" s="1075">
        <f>Sheet1!AK83</f>
        <v>3580</v>
      </c>
      <c r="Q89" s="1075"/>
      <c r="R89" s="1075">
        <f>Sheet1!AD83</f>
        <v>30000</v>
      </c>
      <c r="S89" s="1081">
        <f>Sheet1!AG83</f>
        <v>0.75376884422110557</v>
      </c>
      <c r="T89" s="1075" t="str">
        <f>Sheet1!AH83</f>
        <v>C</v>
      </c>
      <c r="U89" s="1075" t="str">
        <f>Sheet1!AI83</f>
        <v>-</v>
      </c>
      <c r="V89" s="1075"/>
      <c r="W89" s="1075"/>
      <c r="X89" s="1075" t="str">
        <f>Sheet1!AJ83</f>
        <v>-</v>
      </c>
      <c r="Y89" s="1075"/>
      <c r="Z89" s="1075"/>
      <c r="AA89" s="1075"/>
      <c r="AB89" s="1075"/>
      <c r="AC89" s="1075"/>
      <c r="AD89" s="1075"/>
      <c r="AE89" s="1075"/>
      <c r="AF89" s="1075"/>
      <c r="AG89" s="1075"/>
      <c r="AH89" s="1075"/>
      <c r="AI89" s="1075"/>
      <c r="AJ89" s="1075"/>
      <c r="AK89" s="1075" t="str">
        <f>IF(Sheet1!AE86="C",Sheet1!AK86,"-")</f>
        <v>-</v>
      </c>
      <c r="AL89" s="1075">
        <f>IF(Sheet1!AE86="D",Sheet1!AK86,"-")</f>
        <v>7210</v>
      </c>
      <c r="AM89" s="1075" t="str">
        <f>IF(Sheet1!AE83="E",Sheet1!AK83,"-")</f>
        <v>-</v>
      </c>
    </row>
    <row r="90" spans="2:39" x14ac:dyDescent="0.25">
      <c r="B90" s="1082">
        <f>Sheet1!F84</f>
        <v>508</v>
      </c>
      <c r="C90" s="1075" t="str">
        <f>Sheet1!C84</f>
        <v>US 92</v>
      </c>
      <c r="D90" s="1075" t="str">
        <f>_xlfn.TEXTBEFORE(Sheet1!E84, " to ")</f>
        <v>I-95</v>
      </c>
      <c r="E90" s="1075" t="str">
        <f>_xlfn.TEXTAFTER(Sheet1!E84, " to ")</f>
        <v>Williamson Blvd.</v>
      </c>
      <c r="F90" s="1075">
        <f>Sheet1!AM84</f>
        <v>8</v>
      </c>
      <c r="G90" s="1075"/>
      <c r="H90" s="1083" t="str">
        <f>Sheet1!AE84</f>
        <v>C</v>
      </c>
      <c r="I90" s="1075"/>
      <c r="J90" s="1075" t="str">
        <f>Sheet1!Q84</f>
        <v>UA_SSAC1_2W_8L_D_WL</v>
      </c>
      <c r="K90" s="1075"/>
      <c r="L90" s="1075">
        <f>Sheet1!AF84</f>
        <v>78800</v>
      </c>
      <c r="M90" s="1075"/>
      <c r="N90" s="1075"/>
      <c r="O90" s="1075"/>
      <c r="P90" s="1075">
        <f>Sheet1!AK84</f>
        <v>7090</v>
      </c>
      <c r="Q90" s="1075"/>
      <c r="R90" s="1075">
        <f>Sheet1!AD84</f>
        <v>39500</v>
      </c>
      <c r="S90" s="1081">
        <f>Sheet1!AG84</f>
        <v>0.50126903553299496</v>
      </c>
      <c r="T90" s="1075" t="str">
        <f>Sheet1!AH84</f>
        <v>C</v>
      </c>
      <c r="U90" s="1075">
        <f>Sheet1!AI84</f>
        <v>3180</v>
      </c>
      <c r="V90" s="1075"/>
      <c r="W90" s="1075"/>
      <c r="X90" s="1075">
        <f>Sheet1!AJ84</f>
        <v>3290</v>
      </c>
      <c r="Y90" s="1075"/>
      <c r="Z90" s="1075"/>
      <c r="AA90" s="1075"/>
      <c r="AB90" s="1075"/>
      <c r="AC90" s="1075"/>
      <c r="AD90" s="1075"/>
      <c r="AE90" s="1075"/>
      <c r="AF90" s="1075"/>
      <c r="AG90" s="1075"/>
      <c r="AH90" s="1075"/>
      <c r="AI90" s="1075"/>
      <c r="AJ90" s="1075"/>
      <c r="AK90" s="1075" t="str">
        <f>IF(Sheet1!AE87="C",Sheet1!AK87,"-")</f>
        <v>-</v>
      </c>
      <c r="AL90" s="1075">
        <f>IF(Sheet1!AE87="D",Sheet1!AK87,"-")</f>
        <v>5390</v>
      </c>
      <c r="AM90" s="1075" t="str">
        <f>IF(Sheet1!AE84="E",Sheet1!AK84,"-")</f>
        <v>-</v>
      </c>
    </row>
    <row r="91" spans="2:39" x14ac:dyDescent="0.25">
      <c r="B91" s="1082">
        <f>Sheet1!F85</f>
        <v>5172</v>
      </c>
      <c r="C91" s="1075" t="str">
        <f>Sheet1!C85</f>
        <v>US 92</v>
      </c>
      <c r="D91" s="1075" t="str">
        <f>_xlfn.TEXTBEFORE(Sheet1!E85, " to ")</f>
        <v>Williamson Blvd.</v>
      </c>
      <c r="E91" s="1075" t="str">
        <f>_xlfn.TEXTAFTER(Sheet1!E85, " to ")</f>
        <v>Bill France Blvd.</v>
      </c>
      <c r="F91" s="1075">
        <f>Sheet1!AM85</f>
        <v>8</v>
      </c>
      <c r="G91" s="1075"/>
      <c r="H91" s="1083" t="str">
        <f>Sheet1!AE85</f>
        <v>C</v>
      </c>
      <c r="I91" s="1075"/>
      <c r="J91" s="1075" t="str">
        <f>Sheet1!Q85</f>
        <v>UA_SSAC1_2W_8L_D_WL</v>
      </c>
      <c r="K91" s="1075"/>
      <c r="L91" s="1075">
        <f>Sheet1!AF85</f>
        <v>78800</v>
      </c>
      <c r="M91" s="1075"/>
      <c r="N91" s="1075"/>
      <c r="O91" s="1075"/>
      <c r="P91" s="1075">
        <f>Sheet1!AK85</f>
        <v>7090</v>
      </c>
      <c r="Q91" s="1075"/>
      <c r="R91" s="1075">
        <f>Sheet1!AD85</f>
        <v>45000</v>
      </c>
      <c r="S91" s="1081">
        <f>Sheet1!AG85</f>
        <v>0.57106598984771573</v>
      </c>
      <c r="T91" s="1075" t="str">
        <f>Sheet1!AH85</f>
        <v>C</v>
      </c>
      <c r="U91" s="1075" t="str">
        <f>Sheet1!AI85</f>
        <v>-</v>
      </c>
      <c r="V91" s="1075"/>
      <c r="W91" s="1075"/>
      <c r="X91" s="1075" t="str">
        <f>Sheet1!AJ85</f>
        <v>-</v>
      </c>
      <c r="Y91" s="1075"/>
      <c r="Z91" s="1075"/>
      <c r="AA91" s="1075"/>
      <c r="AB91" s="1075"/>
      <c r="AC91" s="1075"/>
      <c r="AD91" s="1075"/>
      <c r="AE91" s="1075"/>
      <c r="AF91" s="1075"/>
      <c r="AG91" s="1075"/>
      <c r="AH91" s="1075"/>
      <c r="AI91" s="1075"/>
      <c r="AJ91" s="1075"/>
      <c r="AK91" s="1075" t="str">
        <f>IF(Sheet1!AE88="C",Sheet1!AK88,"-")</f>
        <v>-</v>
      </c>
      <c r="AL91" s="1075">
        <f>IF(Sheet1!AE88="D",Sheet1!AK88,"-")</f>
        <v>3580</v>
      </c>
      <c r="AM91" s="1075" t="str">
        <f>IF(Sheet1!AE85="E",Sheet1!AK85,"-")</f>
        <v>-</v>
      </c>
    </row>
    <row r="92" spans="2:39" x14ac:dyDescent="0.25">
      <c r="B92" s="1082">
        <f>Sheet1!F86</f>
        <v>5094</v>
      </c>
      <c r="C92" s="1075" t="str">
        <f>Sheet1!C86</f>
        <v>US 92</v>
      </c>
      <c r="D92" s="1075" t="str">
        <f>_xlfn.TEXTBEFORE(Sheet1!E86, " to ")</f>
        <v>Bill France Blvd.</v>
      </c>
      <c r="E92" s="1075" t="str">
        <f>_xlfn.TEXTAFTER(Sheet1!E86, " to ")</f>
        <v>SR 483/Clyde Morris Blvd.</v>
      </c>
      <c r="F92" s="1075">
        <f>Sheet1!AM86</f>
        <v>8</v>
      </c>
      <c r="G92" s="1075"/>
      <c r="H92" s="1083" t="str">
        <f>Sheet1!AE86</f>
        <v>D</v>
      </c>
      <c r="I92" s="1075"/>
      <c r="J92" s="1075" t="str">
        <f>Sheet1!Q86</f>
        <v>UA_SSAC1_2W_8L_D_WL</v>
      </c>
      <c r="K92" s="1075"/>
      <c r="L92" s="1075">
        <f>Sheet1!AF86</f>
        <v>78800</v>
      </c>
      <c r="M92" s="1075"/>
      <c r="N92" s="1075"/>
      <c r="O92" s="1075"/>
      <c r="P92" s="1075">
        <f>Sheet1!AK86</f>
        <v>7210</v>
      </c>
      <c r="Q92" s="1075"/>
      <c r="R92" s="1075">
        <f>Sheet1!AD86</f>
        <v>39500</v>
      </c>
      <c r="S92" s="1081">
        <f>Sheet1!AG86</f>
        <v>0.50126903553299496</v>
      </c>
      <c r="T92" s="1075" t="str">
        <f>Sheet1!AH86</f>
        <v>C</v>
      </c>
      <c r="U92" s="1075">
        <f>Sheet1!AI86</f>
        <v>2620</v>
      </c>
      <c r="V92" s="1075"/>
      <c r="W92" s="1075"/>
      <c r="X92" s="1075">
        <f>Sheet1!AJ86</f>
        <v>3270</v>
      </c>
      <c r="Y92" s="1075"/>
      <c r="Z92" s="1075"/>
      <c r="AA92" s="1075"/>
      <c r="AB92" s="1075"/>
      <c r="AC92" s="1075"/>
      <c r="AD92" s="1075"/>
      <c r="AE92" s="1075"/>
      <c r="AF92" s="1075"/>
      <c r="AG92" s="1075"/>
      <c r="AH92" s="1075"/>
      <c r="AI92" s="1075"/>
      <c r="AJ92" s="1075"/>
      <c r="AK92" s="1075" t="str">
        <f>IF(Sheet1!AE89="C",Sheet1!AK89,"-")</f>
        <v>-</v>
      </c>
      <c r="AL92" s="1075">
        <f>IF(Sheet1!AE89="D",Sheet1!AK89,"-")</f>
        <v>3580</v>
      </c>
      <c r="AM92" s="1075" t="str">
        <f>IF(Sheet1!AE86="E",Sheet1!AK86,"-")</f>
        <v>-</v>
      </c>
    </row>
    <row r="93" spans="2:39" x14ac:dyDescent="0.25">
      <c r="B93" s="1082">
        <f>Sheet1!F87</f>
        <v>5096</v>
      </c>
      <c r="C93" s="1075" t="str">
        <f>Sheet1!C87</f>
        <v>US 92</v>
      </c>
      <c r="D93" s="1075" t="str">
        <f>_xlfn.TEXTBEFORE(Sheet1!E87, " to ")</f>
        <v>SR 483/Clyde Morris Blvd.</v>
      </c>
      <c r="E93" s="1075" t="str">
        <f>_xlfn.TEXTAFTER(Sheet1!E87, " to ")</f>
        <v>SR 5A/Nova Rd.</v>
      </c>
      <c r="F93" s="1075">
        <f>Sheet1!AM87</f>
        <v>6</v>
      </c>
      <c r="G93" s="1075"/>
      <c r="H93" s="1083" t="str">
        <f>Sheet1!AE87</f>
        <v>D</v>
      </c>
      <c r="I93" s="1075"/>
      <c r="J93" s="1075" t="str">
        <f>Sheet1!Q87</f>
        <v>UA_SSAC1_2W_6L_D_WL</v>
      </c>
      <c r="K93" s="1075"/>
      <c r="L93" s="1075">
        <f>Sheet1!AF87</f>
        <v>59900</v>
      </c>
      <c r="M93" s="1075"/>
      <c r="N93" s="1075"/>
      <c r="O93" s="1075"/>
      <c r="P93" s="1075">
        <f>Sheet1!AK87</f>
        <v>5390</v>
      </c>
      <c r="Q93" s="1075"/>
      <c r="R93" s="1075">
        <f>Sheet1!AD87</f>
        <v>36000</v>
      </c>
      <c r="S93" s="1081">
        <f>Sheet1!AG87</f>
        <v>0.60100166944908184</v>
      </c>
      <c r="T93" s="1075" t="str">
        <f>Sheet1!AH87</f>
        <v>C</v>
      </c>
      <c r="U93" s="1075">
        <f>Sheet1!AI87</f>
        <v>2570</v>
      </c>
      <c r="V93" s="1075"/>
      <c r="W93" s="1075"/>
      <c r="X93" s="1075">
        <f>Sheet1!AJ87</f>
        <v>2800</v>
      </c>
      <c r="Y93" s="1075"/>
      <c r="Z93" s="1075"/>
      <c r="AA93" s="1075"/>
      <c r="AB93" s="1075"/>
      <c r="AC93" s="1075"/>
      <c r="AD93" s="1075"/>
      <c r="AE93" s="1075"/>
      <c r="AF93" s="1075"/>
      <c r="AG93" s="1075"/>
      <c r="AH93" s="1075"/>
      <c r="AI93" s="1075"/>
      <c r="AJ93" s="1075"/>
      <c r="AK93" s="1075" t="str">
        <f>IF(Sheet1!AE90="C",Sheet1!AK90,"-")</f>
        <v>-</v>
      </c>
      <c r="AL93" s="1075">
        <f>IF(Sheet1!AE90="D",Sheet1!AK90,"-")</f>
        <v>2920</v>
      </c>
      <c r="AM93" s="1075" t="str">
        <f>IF(Sheet1!AE87="E",Sheet1!AK87,"-")</f>
        <v>-</v>
      </c>
    </row>
    <row r="94" spans="2:39" x14ac:dyDescent="0.25">
      <c r="B94" s="1082">
        <f>Sheet1!F88</f>
        <v>5099</v>
      </c>
      <c r="C94" s="1075" t="str">
        <f>Sheet1!C88</f>
        <v>US 92</v>
      </c>
      <c r="D94" s="1075" t="str">
        <f>_xlfn.TEXTBEFORE(Sheet1!E88, " to ")</f>
        <v>SR 5A/Nova Rd.</v>
      </c>
      <c r="E94" s="1075" t="str">
        <f>_xlfn.TEXTAFTER(Sheet1!E88, " to ")</f>
        <v>Martin Luther King Blvd.</v>
      </c>
      <c r="F94" s="1075">
        <f>Sheet1!AM88</f>
        <v>4</v>
      </c>
      <c r="G94" s="1075"/>
      <c r="H94" s="1083" t="str">
        <f>Sheet1!AE88</f>
        <v>D</v>
      </c>
      <c r="I94" s="1075"/>
      <c r="J94" s="1075" t="str">
        <f>Sheet1!Q88</f>
        <v>UA_SSAC1_2W_4L_D_WL</v>
      </c>
      <c r="K94" s="1075"/>
      <c r="L94" s="1075">
        <f>Sheet1!AF88</f>
        <v>39800</v>
      </c>
      <c r="M94" s="1075"/>
      <c r="N94" s="1075"/>
      <c r="O94" s="1075"/>
      <c r="P94" s="1075">
        <f>Sheet1!AK88</f>
        <v>3580</v>
      </c>
      <c r="Q94" s="1075"/>
      <c r="R94" s="1075">
        <f>Sheet1!AD88</f>
        <v>28000</v>
      </c>
      <c r="S94" s="1081">
        <f>Sheet1!AG88</f>
        <v>0.70351758793969854</v>
      </c>
      <c r="T94" s="1075" t="str">
        <f>Sheet1!AH88</f>
        <v>C</v>
      </c>
      <c r="U94" s="1075" t="str">
        <f>Sheet1!AI88</f>
        <v>-</v>
      </c>
      <c r="V94" s="1075"/>
      <c r="W94" s="1075"/>
      <c r="X94" s="1075" t="str">
        <f>Sheet1!AJ88</f>
        <v>-</v>
      </c>
      <c r="Y94" s="1075"/>
      <c r="Z94" s="1075"/>
      <c r="AA94" s="1075"/>
      <c r="AB94" s="1075"/>
      <c r="AC94" s="1075"/>
      <c r="AD94" s="1075"/>
      <c r="AE94" s="1075"/>
      <c r="AF94" s="1075"/>
      <c r="AG94" s="1075"/>
      <c r="AH94" s="1075"/>
      <c r="AI94" s="1075"/>
      <c r="AJ94" s="1075"/>
      <c r="AK94" s="1075" t="str">
        <f>IF(Sheet1!AE91="C",Sheet1!AK91,"-")</f>
        <v>-</v>
      </c>
      <c r="AL94" s="1075">
        <f>IF(Sheet1!AE91="D",Sheet1!AK91,"-")</f>
        <v>3580</v>
      </c>
      <c r="AM94" s="1075" t="str">
        <f>IF(Sheet1!AE88="E",Sheet1!AK88,"-")</f>
        <v>-</v>
      </c>
    </row>
    <row r="95" spans="2:39" x14ac:dyDescent="0.25">
      <c r="B95" s="1082">
        <f>Sheet1!F89</f>
        <v>5104</v>
      </c>
      <c r="C95" s="1075" t="str">
        <f>Sheet1!C89</f>
        <v>US 92</v>
      </c>
      <c r="D95" s="1075" t="str">
        <f>_xlfn.TEXTBEFORE(Sheet1!E89, " to ")</f>
        <v>Martin Luther King Blvd.</v>
      </c>
      <c r="E95" s="1075" t="str">
        <f>_xlfn.TEXTAFTER(Sheet1!E89, " to ")</f>
        <v>US 1</v>
      </c>
      <c r="F95" s="1075">
        <f>Sheet1!AM89</f>
        <v>4</v>
      </c>
      <c r="G95" s="1075"/>
      <c r="H95" s="1083" t="str">
        <f>Sheet1!AE89</f>
        <v>D</v>
      </c>
      <c r="I95" s="1075"/>
      <c r="J95" s="1075" t="str">
        <f>Sheet1!Q89</f>
        <v>UA_SSAC1_2W_4L_D_WL</v>
      </c>
      <c r="K95" s="1075"/>
      <c r="L95" s="1075">
        <f>Sheet1!AF89</f>
        <v>39800</v>
      </c>
      <c r="M95" s="1075"/>
      <c r="N95" s="1075"/>
      <c r="O95" s="1075"/>
      <c r="P95" s="1075">
        <f>Sheet1!AK89</f>
        <v>3580</v>
      </c>
      <c r="Q95" s="1075"/>
      <c r="R95" s="1075">
        <f>Sheet1!AD89</f>
        <v>22500</v>
      </c>
      <c r="S95" s="1081">
        <f>Sheet1!AG89</f>
        <v>0.5653266331658291</v>
      </c>
      <c r="T95" s="1075" t="str">
        <f>Sheet1!AH89</f>
        <v>C</v>
      </c>
      <c r="U95" s="1075">
        <f>Sheet1!AI89</f>
        <v>1410</v>
      </c>
      <c r="V95" s="1075"/>
      <c r="W95" s="1075"/>
      <c r="X95" s="1075">
        <f>Sheet1!AJ89</f>
        <v>1620</v>
      </c>
      <c r="Y95" s="1075"/>
      <c r="Z95" s="1075"/>
      <c r="AA95" s="1075"/>
      <c r="AB95" s="1075"/>
      <c r="AC95" s="1075"/>
      <c r="AD95" s="1075"/>
      <c r="AE95" s="1075"/>
      <c r="AF95" s="1075"/>
      <c r="AG95" s="1075"/>
      <c r="AH95" s="1075"/>
      <c r="AI95" s="1075"/>
      <c r="AJ95" s="1075"/>
      <c r="AK95" s="1075" t="str">
        <f>IF(Sheet1!AE92="C",Sheet1!AK92,"-")</f>
        <v>-</v>
      </c>
      <c r="AL95" s="1075">
        <f>IF(Sheet1!AE92="D",Sheet1!AK92,"-")</f>
        <v>2920</v>
      </c>
      <c r="AM95" s="1075" t="str">
        <f>IF(Sheet1!AE89="E",Sheet1!AK89,"-")</f>
        <v>-</v>
      </c>
    </row>
    <row r="96" spans="2:39" x14ac:dyDescent="0.25">
      <c r="B96" s="1082">
        <f>Sheet1!F90</f>
        <v>5105</v>
      </c>
      <c r="C96" s="1075" t="str">
        <f>Sheet1!C90</f>
        <v>US 92</v>
      </c>
      <c r="D96" s="1075" t="str">
        <f>_xlfn.TEXTBEFORE(Sheet1!E90, " to ")</f>
        <v>US 1</v>
      </c>
      <c r="E96" s="1075" t="str">
        <f>_xlfn.TEXTAFTER(Sheet1!E90, " to ")</f>
        <v>Beach St.</v>
      </c>
      <c r="F96" s="1075">
        <f>Sheet1!AM90</f>
        <v>4</v>
      </c>
      <c r="G96" s="1075"/>
      <c r="H96" s="1083" t="str">
        <f>Sheet1!AE90</f>
        <v>D</v>
      </c>
      <c r="I96" s="1075"/>
      <c r="J96" s="1075" t="str">
        <f>Sheet1!Q90</f>
        <v>UA_SSAC2_2W_4L_D_WL</v>
      </c>
      <c r="K96" s="1075"/>
      <c r="L96" s="1075">
        <f>Sheet1!AF90</f>
        <v>32400</v>
      </c>
      <c r="M96" s="1075"/>
      <c r="N96" s="1075"/>
      <c r="O96" s="1075"/>
      <c r="P96" s="1075">
        <f>Sheet1!AK90</f>
        <v>2920</v>
      </c>
      <c r="Q96" s="1075"/>
      <c r="R96" s="1075">
        <f>Sheet1!AD90</f>
        <v>15000</v>
      </c>
      <c r="S96" s="1081">
        <f>Sheet1!AG90</f>
        <v>0.46296296296296297</v>
      </c>
      <c r="T96" s="1075" t="str">
        <f>Sheet1!AH90</f>
        <v>D</v>
      </c>
      <c r="U96" s="1075" t="str">
        <f>Sheet1!AI90</f>
        <v>-</v>
      </c>
      <c r="V96" s="1075"/>
      <c r="W96" s="1075"/>
      <c r="X96" s="1075" t="str">
        <f>Sheet1!AJ90</f>
        <v>-</v>
      </c>
      <c r="Y96" s="1075"/>
      <c r="Z96" s="1075"/>
      <c r="AA96" s="1075"/>
      <c r="AB96" s="1075"/>
      <c r="AC96" s="1075"/>
      <c r="AD96" s="1075"/>
      <c r="AE96" s="1075"/>
      <c r="AF96" s="1075"/>
      <c r="AG96" s="1075"/>
      <c r="AH96" s="1075"/>
      <c r="AI96" s="1075"/>
      <c r="AJ96" s="1075"/>
      <c r="AK96" s="1075" t="str">
        <f>IF(Sheet1!AE93="C",Sheet1!AK93,"-")</f>
        <v>-</v>
      </c>
      <c r="AL96" s="1075">
        <f>IF(Sheet1!AE93="D",Sheet1!AK93,"-")</f>
        <v>2920</v>
      </c>
      <c r="AM96" s="1075" t="str">
        <f>IF(Sheet1!AE90="E",Sheet1!AK90,"-")</f>
        <v>-</v>
      </c>
    </row>
    <row r="97" spans="2:39" x14ac:dyDescent="0.25">
      <c r="B97" s="1082">
        <f>Sheet1!F91</f>
        <v>337</v>
      </c>
      <c r="C97" s="1075" t="str">
        <f>Sheet1!C91</f>
        <v>US 92</v>
      </c>
      <c r="D97" s="1075" t="str">
        <f>_xlfn.TEXTBEFORE(Sheet1!E91, " to ")</f>
        <v>Beach St.</v>
      </c>
      <c r="E97" s="1075" t="str">
        <f>_xlfn.TEXTAFTER(Sheet1!E91, " to ")</f>
        <v>SR 441/Peninsula Dr.</v>
      </c>
      <c r="F97" s="1075">
        <f>Sheet1!AM91</f>
        <v>4</v>
      </c>
      <c r="G97" s="1075"/>
      <c r="H97" s="1083" t="str">
        <f>Sheet1!AE91</f>
        <v>D</v>
      </c>
      <c r="I97" s="1075"/>
      <c r="J97" s="1075" t="str">
        <f>Sheet1!Q91</f>
        <v>UA_SSAC1_2W_4L_D_WL</v>
      </c>
      <c r="K97" s="1075"/>
      <c r="L97" s="1075">
        <f>Sheet1!AF91</f>
        <v>39800</v>
      </c>
      <c r="M97" s="1075"/>
      <c r="N97" s="1075"/>
      <c r="O97" s="1075"/>
      <c r="P97" s="1075">
        <f>Sheet1!AK91</f>
        <v>3580</v>
      </c>
      <c r="Q97" s="1075"/>
      <c r="R97" s="1075">
        <f>Sheet1!AD91</f>
        <v>22000</v>
      </c>
      <c r="S97" s="1081">
        <f>Sheet1!AG91</f>
        <v>0.55276381909547734</v>
      </c>
      <c r="T97" s="1075" t="str">
        <f>Sheet1!AH91</f>
        <v>C</v>
      </c>
      <c r="U97" s="1075" t="str">
        <f>Sheet1!AI91</f>
        <v>-</v>
      </c>
      <c r="V97" s="1075"/>
      <c r="W97" s="1075"/>
      <c r="X97" s="1075" t="str">
        <f>Sheet1!AJ91</f>
        <v>-</v>
      </c>
      <c r="Y97" s="1075"/>
      <c r="Z97" s="1075"/>
      <c r="AA97" s="1075"/>
      <c r="AB97" s="1075"/>
      <c r="AC97" s="1075"/>
      <c r="AD97" s="1075"/>
      <c r="AE97" s="1075"/>
      <c r="AF97" s="1075"/>
      <c r="AG97" s="1075"/>
      <c r="AH97" s="1075"/>
      <c r="AI97" s="1075"/>
      <c r="AJ97" s="1075"/>
      <c r="AK97" s="1075" t="str">
        <f>IF(Sheet1!AE94="C",Sheet1!AK94,"-")</f>
        <v>-</v>
      </c>
      <c r="AL97" s="1075">
        <f>IF(Sheet1!AE94="D",Sheet1!AK94,"-")</f>
        <v>2920</v>
      </c>
      <c r="AM97" s="1075" t="str">
        <f>IF(Sheet1!AE91="E",Sheet1!AK91,"-")</f>
        <v>-</v>
      </c>
    </row>
    <row r="98" spans="2:39" x14ac:dyDescent="0.25">
      <c r="B98" s="1082">
        <f>Sheet1!F92</f>
        <v>5109</v>
      </c>
      <c r="C98" s="1075" t="str">
        <f>Sheet1!C92</f>
        <v>US 92</v>
      </c>
      <c r="D98" s="1075" t="str">
        <f>_xlfn.TEXTBEFORE(Sheet1!E92, " to ")</f>
        <v>SR 441/Peninsula Dr.</v>
      </c>
      <c r="E98" s="1075" t="str">
        <f>_xlfn.TEXTAFTER(Sheet1!E92, " to ")</f>
        <v>SR A1A/Atlantic</v>
      </c>
      <c r="F98" s="1075">
        <f>Sheet1!AM92</f>
        <v>4</v>
      </c>
      <c r="G98" s="1075"/>
      <c r="H98" s="1083" t="str">
        <f>Sheet1!AE92</f>
        <v>D</v>
      </c>
      <c r="I98" s="1075"/>
      <c r="J98" s="1075" t="str">
        <f>Sheet1!Q92</f>
        <v>UA_SSAC2_2W_4L_D_WL</v>
      </c>
      <c r="K98" s="1075"/>
      <c r="L98" s="1075">
        <f>Sheet1!AF92</f>
        <v>32400</v>
      </c>
      <c r="M98" s="1075"/>
      <c r="N98" s="1075"/>
      <c r="O98" s="1075"/>
      <c r="P98" s="1075">
        <f>Sheet1!AK92</f>
        <v>2920</v>
      </c>
      <c r="Q98" s="1075"/>
      <c r="R98" s="1075">
        <f>Sheet1!AD92</f>
        <v>9200</v>
      </c>
      <c r="S98" s="1081">
        <f>Sheet1!AG92</f>
        <v>0.2839506172839506</v>
      </c>
      <c r="T98" s="1075" t="str">
        <f>Sheet1!AH92</f>
        <v>C</v>
      </c>
      <c r="U98" s="1075">
        <f>Sheet1!AI92</f>
        <v>480</v>
      </c>
      <c r="V98" s="1075"/>
      <c r="W98" s="1075"/>
      <c r="X98" s="1075">
        <f>Sheet1!AJ92</f>
        <v>740</v>
      </c>
      <c r="Y98" s="1075"/>
      <c r="Z98" s="1075"/>
      <c r="AA98" s="1075"/>
      <c r="AB98" s="1075"/>
      <c r="AC98" s="1075"/>
      <c r="AD98" s="1075"/>
      <c r="AE98" s="1075"/>
      <c r="AF98" s="1075"/>
      <c r="AG98" s="1075"/>
      <c r="AH98" s="1075"/>
      <c r="AI98" s="1075"/>
      <c r="AJ98" s="1075"/>
      <c r="AK98" s="1075" t="str">
        <f>IF(Sheet1!AE95="C",Sheet1!AK95,"-")</f>
        <v>-</v>
      </c>
      <c r="AL98" s="1075">
        <f>IF(Sheet1!AE95="D",Sheet1!AK95,"-")</f>
        <v>2920</v>
      </c>
      <c r="AM98" s="1075" t="str">
        <f>IF(Sheet1!AE92="E",Sheet1!AK92,"-")</f>
        <v>-</v>
      </c>
    </row>
    <row r="99" spans="2:39" x14ac:dyDescent="0.25">
      <c r="B99" s="1082">
        <f>Sheet1!F93</f>
        <v>427</v>
      </c>
      <c r="C99" s="1075" t="str">
        <f>Sheet1!C93</f>
        <v>SR A1A - Dunlawton Ave.</v>
      </c>
      <c r="D99" s="1075" t="str">
        <f>_xlfn.TEXTBEFORE(Sheet1!E93, " to ")</f>
        <v>US 1</v>
      </c>
      <c r="E99" s="1075" t="str">
        <f>_xlfn.TEXTAFTER(Sheet1!E93, " to ")</f>
        <v>SR A1A/Atlantic Ave.</v>
      </c>
      <c r="F99" s="1075">
        <f>Sheet1!AM93</f>
        <v>4</v>
      </c>
      <c r="G99" s="1075"/>
      <c r="H99" s="1083" t="str">
        <f>Sheet1!AE93</f>
        <v>D</v>
      </c>
      <c r="I99" s="1075"/>
      <c r="J99" s="1075" t="str">
        <f>Sheet1!Q93</f>
        <v>UA_SSAC2_2W_4L_D_WL</v>
      </c>
      <c r="K99" s="1075"/>
      <c r="L99" s="1075">
        <f>Sheet1!AF93</f>
        <v>32400</v>
      </c>
      <c r="M99" s="1075"/>
      <c r="N99" s="1075"/>
      <c r="O99" s="1075"/>
      <c r="P99" s="1075">
        <f>Sheet1!AK93</f>
        <v>2920</v>
      </c>
      <c r="Q99" s="1075"/>
      <c r="R99" s="1075">
        <f>Sheet1!AD93</f>
        <v>24500</v>
      </c>
      <c r="S99" s="1081">
        <f>Sheet1!AG93</f>
        <v>0.75617283950617287</v>
      </c>
      <c r="T99" s="1075" t="str">
        <f>Sheet1!AH93</f>
        <v>D</v>
      </c>
      <c r="U99" s="1075" t="str">
        <f>Sheet1!AI93</f>
        <v>-</v>
      </c>
      <c r="V99" s="1075"/>
      <c r="W99" s="1075"/>
      <c r="X99" s="1075" t="str">
        <f>Sheet1!AJ93</f>
        <v>-</v>
      </c>
      <c r="Y99" s="1075"/>
      <c r="Z99" s="1075"/>
      <c r="AA99" s="1075"/>
      <c r="AB99" s="1075"/>
      <c r="AC99" s="1075"/>
      <c r="AD99" s="1075"/>
      <c r="AE99" s="1075"/>
      <c r="AF99" s="1075"/>
      <c r="AG99" s="1075"/>
      <c r="AH99" s="1075"/>
      <c r="AI99" s="1075"/>
      <c r="AJ99" s="1075"/>
      <c r="AK99" s="1075" t="str">
        <f>IF(Sheet1!AE96="C",Sheet1!AK96,"-")</f>
        <v>-</v>
      </c>
      <c r="AL99" s="1075">
        <f>IF(Sheet1!AE96="D",Sheet1!AK96,"-")</f>
        <v>2920</v>
      </c>
      <c r="AM99" s="1075" t="str">
        <f>IF(Sheet1!AE93="E",Sheet1!AK93,"-")</f>
        <v>-</v>
      </c>
    </row>
    <row r="100" spans="2:39" x14ac:dyDescent="0.25">
      <c r="B100" s="1082">
        <f>Sheet1!F94</f>
        <v>477</v>
      </c>
      <c r="C100" s="1075" t="str">
        <f>Sheet1!C94</f>
        <v>SR A1A - Atlantic Ave. South</v>
      </c>
      <c r="D100" s="1075" t="str">
        <f>_xlfn.TEXTBEFORE(Sheet1!E94, " to ")</f>
        <v>SRA1A/Dunlawton Ave.</v>
      </c>
      <c r="E100" s="1075" t="str">
        <f>_xlfn.TEXTAFTER(Sheet1!E94, " to ")</f>
        <v>Van Ave.</v>
      </c>
      <c r="F100" s="1075">
        <f>Sheet1!AM94</f>
        <v>4</v>
      </c>
      <c r="G100" s="1075"/>
      <c r="H100" s="1083" t="str">
        <f>Sheet1!AE94</f>
        <v>D</v>
      </c>
      <c r="I100" s="1075"/>
      <c r="J100" s="1075" t="str">
        <f>Sheet1!Q94</f>
        <v>UA_SSAC2_2W_4L_D_WL</v>
      </c>
      <c r="K100" s="1075"/>
      <c r="L100" s="1075">
        <f>Sheet1!AF94</f>
        <v>32400</v>
      </c>
      <c r="M100" s="1075"/>
      <c r="N100" s="1075"/>
      <c r="O100" s="1075"/>
      <c r="P100" s="1075">
        <f>Sheet1!AK94</f>
        <v>2920</v>
      </c>
      <c r="Q100" s="1075"/>
      <c r="R100" s="1075">
        <f>Sheet1!AD94</f>
        <v>14200</v>
      </c>
      <c r="S100" s="1081">
        <f>Sheet1!AG94</f>
        <v>0.43827160493827161</v>
      </c>
      <c r="T100" s="1075" t="str">
        <f>Sheet1!AH94</f>
        <v>D</v>
      </c>
      <c r="U100" s="1075" t="str">
        <f>Sheet1!AI94</f>
        <v>-</v>
      </c>
      <c r="V100" s="1075"/>
      <c r="W100" s="1075"/>
      <c r="X100" s="1075" t="str">
        <f>Sheet1!AJ94</f>
        <v>-</v>
      </c>
      <c r="Y100" s="1075"/>
      <c r="Z100" s="1075"/>
      <c r="AA100" s="1075"/>
      <c r="AB100" s="1075"/>
      <c r="AC100" s="1075"/>
      <c r="AD100" s="1075"/>
      <c r="AE100" s="1075"/>
      <c r="AF100" s="1075"/>
      <c r="AG100" s="1075"/>
      <c r="AH100" s="1075"/>
      <c r="AI100" s="1075"/>
      <c r="AJ100" s="1075"/>
      <c r="AK100" s="1075" t="str">
        <f>IF(Sheet1!AE97="C",Sheet1!AK97,"-")</f>
        <v>-</v>
      </c>
      <c r="AL100" s="1075">
        <f>IF(Sheet1!AE97="D",Sheet1!AK97,"-")</f>
        <v>2920</v>
      </c>
      <c r="AM100" s="1075" t="str">
        <f>IF(Sheet1!AE94="E",Sheet1!AK94,"-")</f>
        <v>-</v>
      </c>
    </row>
    <row r="101" spans="2:39" x14ac:dyDescent="0.25">
      <c r="B101" s="1082">
        <f>Sheet1!F95</f>
        <v>5179</v>
      </c>
      <c r="C101" s="1075" t="str">
        <f>Sheet1!C95</f>
        <v>SR A1A - Atlantic Ave. South</v>
      </c>
      <c r="D101" s="1075" t="str">
        <f>_xlfn.TEXTBEFORE(Sheet1!E95, " to ")</f>
        <v>Van Ave.</v>
      </c>
      <c r="E101" s="1075" t="str">
        <f>_xlfn.TEXTAFTER(Sheet1!E95, " to ")</f>
        <v>Florida Shores</v>
      </c>
      <c r="F101" s="1075">
        <f>Sheet1!AM95</f>
        <v>4</v>
      </c>
      <c r="G101" s="1075"/>
      <c r="H101" s="1083" t="str">
        <f>Sheet1!AE95</f>
        <v>D</v>
      </c>
      <c r="I101" s="1075"/>
      <c r="J101" s="1075" t="str">
        <f>Sheet1!Q95</f>
        <v>UA_SSAC2_2W_4L_D_WL</v>
      </c>
      <c r="K101" s="1075"/>
      <c r="L101" s="1075">
        <f>Sheet1!AF95</f>
        <v>32400</v>
      </c>
      <c r="M101" s="1075"/>
      <c r="N101" s="1075"/>
      <c r="O101" s="1075"/>
      <c r="P101" s="1075">
        <f>Sheet1!AK95</f>
        <v>2920</v>
      </c>
      <c r="Q101" s="1075"/>
      <c r="R101" s="1075">
        <f>Sheet1!AD95</f>
        <v>13200</v>
      </c>
      <c r="S101" s="1081">
        <f>Sheet1!AG95</f>
        <v>0.40740740740740738</v>
      </c>
      <c r="T101" s="1075" t="str">
        <f>Sheet1!AH95</f>
        <v>D</v>
      </c>
      <c r="U101" s="1075">
        <f>Sheet1!AI95</f>
        <v>840</v>
      </c>
      <c r="V101" s="1075"/>
      <c r="W101" s="1075"/>
      <c r="X101" s="1075">
        <f>Sheet1!AJ95</f>
        <v>1120</v>
      </c>
      <c r="Y101" s="1075"/>
      <c r="Z101" s="1075"/>
      <c r="AA101" s="1075"/>
      <c r="AB101" s="1075"/>
      <c r="AC101" s="1075"/>
      <c r="AD101" s="1075"/>
      <c r="AE101" s="1075"/>
      <c r="AF101" s="1075"/>
      <c r="AG101" s="1075"/>
      <c r="AH101" s="1075"/>
      <c r="AI101" s="1075"/>
      <c r="AJ101" s="1075"/>
      <c r="AK101" s="1075" t="str">
        <f>IF(Sheet1!AE98="C",Sheet1!AK98,"-")</f>
        <v>-</v>
      </c>
      <c r="AL101" s="1075">
        <f>IF(Sheet1!AE98="D",Sheet1!AK98,"-")</f>
        <v>2920</v>
      </c>
      <c r="AM101" s="1075" t="str">
        <f>IF(Sheet1!AE95="E",Sheet1!AK95,"-")</f>
        <v>-</v>
      </c>
    </row>
    <row r="102" spans="2:39" x14ac:dyDescent="0.25">
      <c r="B102" s="1082">
        <f>Sheet1!F96</f>
        <v>436</v>
      </c>
      <c r="C102" s="1075" t="str">
        <f>Sheet1!C96</f>
        <v>SR A1A - Atlantic Ave. South</v>
      </c>
      <c r="D102" s="1075" t="str">
        <f>_xlfn.TEXTBEFORE(Sheet1!E96, " to ")</f>
        <v>Florida Shores</v>
      </c>
      <c r="E102" s="1075" t="str">
        <f>_xlfn.TEXTAFTER(Sheet1!E96, " to ")</f>
        <v>Silver Beach Ave.</v>
      </c>
      <c r="F102" s="1075">
        <f>Sheet1!AM96</f>
        <v>4</v>
      </c>
      <c r="G102" s="1075"/>
      <c r="H102" s="1083" t="str">
        <f>Sheet1!AE96</f>
        <v>D</v>
      </c>
      <c r="I102" s="1075"/>
      <c r="J102" s="1075" t="str">
        <f>Sheet1!Q96</f>
        <v>UA_SSAC2_2W_4L_D_WL</v>
      </c>
      <c r="K102" s="1075"/>
      <c r="L102" s="1075">
        <f>Sheet1!AF96</f>
        <v>32400</v>
      </c>
      <c r="M102" s="1075"/>
      <c r="N102" s="1075"/>
      <c r="O102" s="1075"/>
      <c r="P102" s="1075">
        <f>Sheet1!AK96</f>
        <v>2920</v>
      </c>
      <c r="Q102" s="1075"/>
      <c r="R102" s="1075">
        <f>Sheet1!AD96</f>
        <v>13100</v>
      </c>
      <c r="S102" s="1081">
        <f>Sheet1!AG96</f>
        <v>0.40432098765432101</v>
      </c>
      <c r="T102" s="1075" t="str">
        <f>Sheet1!AH96</f>
        <v>C</v>
      </c>
      <c r="U102" s="1075" t="str">
        <f>Sheet1!AI96</f>
        <v>-</v>
      </c>
      <c r="V102" s="1075"/>
      <c r="W102" s="1075"/>
      <c r="X102" s="1075" t="str">
        <f>Sheet1!AJ96</f>
        <v>-</v>
      </c>
      <c r="Y102" s="1075"/>
      <c r="Z102" s="1075"/>
      <c r="AA102" s="1075"/>
      <c r="AB102" s="1075"/>
      <c r="AC102" s="1075"/>
      <c r="AD102" s="1075"/>
      <c r="AE102" s="1075"/>
      <c r="AF102" s="1075"/>
      <c r="AG102" s="1075"/>
      <c r="AH102" s="1075"/>
      <c r="AI102" s="1075"/>
      <c r="AJ102" s="1075"/>
      <c r="AK102" s="1075" t="str">
        <f>IF(Sheet1!AE99="C",Sheet1!AK99,"-")</f>
        <v>-</v>
      </c>
      <c r="AL102" s="1075">
        <f>IF(Sheet1!AE99="D",Sheet1!AK99,"-")</f>
        <v>2920</v>
      </c>
      <c r="AM102" s="1075" t="str">
        <f>IF(Sheet1!AE96="E",Sheet1!AK96,"-")</f>
        <v>-</v>
      </c>
    </row>
    <row r="103" spans="2:39" x14ac:dyDescent="0.25">
      <c r="B103" s="1082">
        <f>Sheet1!F97</f>
        <v>5112</v>
      </c>
      <c r="C103" s="1075" t="str">
        <f>Sheet1!C97</f>
        <v>SR A1A - Atlantic Ave. South</v>
      </c>
      <c r="D103" s="1075" t="str">
        <f>_xlfn.TEXTBEFORE(Sheet1!E97, " to ")</f>
        <v>Silver Beach Ave.</v>
      </c>
      <c r="E103" s="1075" t="str">
        <f>_xlfn.TEXTAFTER(Sheet1!E97, " to ")</f>
        <v>US 92/ISB</v>
      </c>
      <c r="F103" s="1075">
        <f>Sheet1!AM97</f>
        <v>4</v>
      </c>
      <c r="G103" s="1075"/>
      <c r="H103" s="1083" t="str">
        <f>Sheet1!AE97</f>
        <v>D</v>
      </c>
      <c r="I103" s="1075"/>
      <c r="J103" s="1075" t="str">
        <f>Sheet1!Q97</f>
        <v>UA_SSAC2_2W_4L_D_WL</v>
      </c>
      <c r="K103" s="1075"/>
      <c r="L103" s="1075">
        <f>Sheet1!AF97</f>
        <v>32400</v>
      </c>
      <c r="M103" s="1075"/>
      <c r="N103" s="1075"/>
      <c r="O103" s="1075"/>
      <c r="P103" s="1075">
        <f>Sheet1!AK97</f>
        <v>2920</v>
      </c>
      <c r="Q103" s="1075"/>
      <c r="R103" s="1075">
        <f>Sheet1!AD97</f>
        <v>13800</v>
      </c>
      <c r="S103" s="1081">
        <f>Sheet1!AG97</f>
        <v>0.42592592592592593</v>
      </c>
      <c r="T103" s="1075" t="str">
        <f>Sheet1!AH97</f>
        <v>C</v>
      </c>
      <c r="U103" s="1075" t="str">
        <f>Sheet1!AI97</f>
        <v>-</v>
      </c>
      <c r="V103" s="1075"/>
      <c r="W103" s="1075"/>
      <c r="X103" s="1075" t="str">
        <f>Sheet1!AJ97</f>
        <v>-</v>
      </c>
      <c r="Y103" s="1075"/>
      <c r="Z103" s="1075"/>
      <c r="AA103" s="1075"/>
      <c r="AB103" s="1075"/>
      <c r="AC103" s="1075"/>
      <c r="AD103" s="1075"/>
      <c r="AE103" s="1075"/>
      <c r="AF103" s="1075"/>
      <c r="AG103" s="1075"/>
      <c r="AH103" s="1075"/>
      <c r="AI103" s="1075"/>
      <c r="AJ103" s="1075"/>
      <c r="AK103" s="1075" t="str">
        <f>IF(Sheet1!AE100="C",Sheet1!AK100,"-")</f>
        <v>-</v>
      </c>
      <c r="AL103" s="1075">
        <f>IF(Sheet1!AE100="D",Sheet1!AK100,"-")</f>
        <v>2920</v>
      </c>
      <c r="AM103" s="1075" t="str">
        <f>IF(Sheet1!AE97="E",Sheet1!AK97,"-")</f>
        <v>-</v>
      </c>
    </row>
    <row r="104" spans="2:39" x14ac:dyDescent="0.25">
      <c r="B104" s="1082">
        <f>Sheet1!F98</f>
        <v>5115</v>
      </c>
      <c r="C104" s="1075" t="str">
        <f>Sheet1!C98</f>
        <v>SR A1A - Atlantic Ave. North</v>
      </c>
      <c r="D104" s="1075" t="str">
        <f>_xlfn.TEXTBEFORE(Sheet1!E98, " to ")</f>
        <v>US 92/ISB</v>
      </c>
      <c r="E104" s="1075" t="str">
        <f>_xlfn.TEXTAFTER(Sheet1!E98, " to ")</f>
        <v>SR 430/Oakridge Blvd.</v>
      </c>
      <c r="F104" s="1075">
        <f>Sheet1!AM98</f>
        <v>4</v>
      </c>
      <c r="G104" s="1075"/>
      <c r="H104" s="1083" t="str">
        <f>Sheet1!AE98</f>
        <v>D</v>
      </c>
      <c r="I104" s="1075"/>
      <c r="J104" s="1075" t="str">
        <f>Sheet1!Q98</f>
        <v>UA_SSAC2_2W_4L_D_WL</v>
      </c>
      <c r="K104" s="1075"/>
      <c r="L104" s="1075">
        <f>Sheet1!AF98</f>
        <v>32400</v>
      </c>
      <c r="M104" s="1075"/>
      <c r="N104" s="1075"/>
      <c r="O104" s="1075"/>
      <c r="P104" s="1075">
        <f>Sheet1!AK98</f>
        <v>2920</v>
      </c>
      <c r="Q104" s="1075"/>
      <c r="R104" s="1075">
        <f>Sheet1!AD98</f>
        <v>19300</v>
      </c>
      <c r="S104" s="1081">
        <f>Sheet1!AG98</f>
        <v>0.59567901234567899</v>
      </c>
      <c r="T104" s="1075" t="str">
        <f>Sheet1!AH98</f>
        <v>D</v>
      </c>
      <c r="U104" s="1075" t="str">
        <f>Sheet1!AI98</f>
        <v>-</v>
      </c>
      <c r="V104" s="1075"/>
      <c r="W104" s="1075"/>
      <c r="X104" s="1075" t="str">
        <f>Sheet1!AJ98</f>
        <v>-</v>
      </c>
      <c r="Y104" s="1075"/>
      <c r="Z104" s="1075"/>
      <c r="AA104" s="1075"/>
      <c r="AB104" s="1075"/>
      <c r="AC104" s="1075"/>
      <c r="AD104" s="1075"/>
      <c r="AE104" s="1075"/>
      <c r="AF104" s="1075"/>
      <c r="AG104" s="1075"/>
      <c r="AH104" s="1075"/>
      <c r="AI104" s="1075"/>
      <c r="AJ104" s="1075"/>
      <c r="AK104" s="1075" t="str">
        <f>IF(Sheet1!AE101="C",Sheet1!AK101,"-")</f>
        <v>-</v>
      </c>
      <c r="AL104" s="1075">
        <f>IF(Sheet1!AE101="D",Sheet1!AK101,"-")</f>
        <v>2920</v>
      </c>
      <c r="AM104" s="1075" t="str">
        <f>IF(Sheet1!AE98="E",Sheet1!AK98,"-")</f>
        <v>-</v>
      </c>
    </row>
    <row r="105" spans="2:39" x14ac:dyDescent="0.25">
      <c r="B105" s="1082">
        <f>Sheet1!F99</f>
        <v>5117</v>
      </c>
      <c r="C105" s="1075" t="str">
        <f>Sheet1!C99</f>
        <v>SR A1A - Atlantic Ave. North</v>
      </c>
      <c r="D105" s="1075" t="str">
        <f>_xlfn.TEXTBEFORE(Sheet1!E99, " to ")</f>
        <v>SR430/Oakridge Blvd.</v>
      </c>
      <c r="E105" s="1075" t="str">
        <f>_xlfn.TEXTAFTER(Sheet1!E99, " to ")</f>
        <v>SR 430/Seabreeze Blvd.</v>
      </c>
      <c r="F105" s="1075">
        <f>Sheet1!AM99</f>
        <v>4</v>
      </c>
      <c r="G105" s="1075"/>
      <c r="H105" s="1083" t="str">
        <f>Sheet1!AE99</f>
        <v>D</v>
      </c>
      <c r="I105" s="1075"/>
      <c r="J105" s="1075" t="str">
        <f>Sheet1!Q99</f>
        <v>UA_SSAC2_2W_4L_D_WL</v>
      </c>
      <c r="K105" s="1075"/>
      <c r="L105" s="1075">
        <f>Sheet1!AF99</f>
        <v>32400</v>
      </c>
      <c r="M105" s="1075"/>
      <c r="N105" s="1075"/>
      <c r="O105" s="1075"/>
      <c r="P105" s="1075">
        <f>Sheet1!AK99</f>
        <v>2920</v>
      </c>
      <c r="Q105" s="1075"/>
      <c r="R105" s="1075">
        <f>Sheet1!AD99</f>
        <v>15200</v>
      </c>
      <c r="S105" s="1081">
        <f>Sheet1!AG99</f>
        <v>0.46913580246913578</v>
      </c>
      <c r="T105" s="1075" t="str">
        <f>Sheet1!AH99</f>
        <v>D</v>
      </c>
      <c r="U105" s="1075">
        <f>Sheet1!AI99</f>
        <v>880</v>
      </c>
      <c r="V105" s="1075"/>
      <c r="W105" s="1075"/>
      <c r="X105" s="1075">
        <f>Sheet1!AJ99</f>
        <v>1190</v>
      </c>
      <c r="Y105" s="1075"/>
      <c r="Z105" s="1075"/>
      <c r="AA105" s="1075"/>
      <c r="AB105" s="1075"/>
      <c r="AC105" s="1075"/>
      <c r="AD105" s="1075"/>
      <c r="AE105" s="1075"/>
      <c r="AF105" s="1075"/>
      <c r="AG105" s="1075"/>
      <c r="AH105" s="1075"/>
      <c r="AI105" s="1075"/>
      <c r="AJ105" s="1075"/>
      <c r="AK105" s="1075" t="str">
        <f>IF(Sheet1!AE102="C",Sheet1!AK102,"-")</f>
        <v>-</v>
      </c>
      <c r="AL105" s="1075">
        <f>IF(Sheet1!AE102="D",Sheet1!AK102,"-")</f>
        <v>2180</v>
      </c>
      <c r="AM105" s="1075" t="str">
        <f>IF(Sheet1!AE99="E",Sheet1!AK99,"-")</f>
        <v>-</v>
      </c>
    </row>
    <row r="106" spans="2:39" x14ac:dyDescent="0.25">
      <c r="B106" s="1082">
        <f>Sheet1!F100</f>
        <v>5121</v>
      </c>
      <c r="C106" s="1075" t="str">
        <f>Sheet1!C100</f>
        <v>SR A1A - Atlantic Ave. North</v>
      </c>
      <c r="D106" s="1075" t="str">
        <f>_xlfn.TEXTBEFORE(Sheet1!E100, " to ")</f>
        <v>SR430/Seabreeze Blvd.</v>
      </c>
      <c r="E106" s="1075" t="str">
        <f>_xlfn.TEXTAFTER(Sheet1!E100, " to ")</f>
        <v>Harvard Dr.</v>
      </c>
      <c r="F106" s="1075">
        <f>Sheet1!AM100</f>
        <v>4</v>
      </c>
      <c r="G106" s="1075"/>
      <c r="H106" s="1083" t="str">
        <f>Sheet1!AE100</f>
        <v>D</v>
      </c>
      <c r="I106" s="1075"/>
      <c r="J106" s="1075" t="str">
        <f>Sheet1!Q100</f>
        <v>UA_SSAC2_2W_4L_D_WL</v>
      </c>
      <c r="K106" s="1075"/>
      <c r="L106" s="1075">
        <f>Sheet1!AF100</f>
        <v>32400</v>
      </c>
      <c r="M106" s="1075"/>
      <c r="N106" s="1075"/>
      <c r="O106" s="1075"/>
      <c r="P106" s="1075">
        <f>Sheet1!AK100</f>
        <v>2920</v>
      </c>
      <c r="Q106" s="1075"/>
      <c r="R106" s="1075">
        <f>Sheet1!AD100</f>
        <v>18100</v>
      </c>
      <c r="S106" s="1081">
        <f>Sheet1!AG100</f>
        <v>0.55864197530864201</v>
      </c>
      <c r="T106" s="1075" t="str">
        <f>Sheet1!AH100</f>
        <v>D</v>
      </c>
      <c r="U106" s="1075" t="str">
        <f>Sheet1!AI100</f>
        <v>-</v>
      </c>
      <c r="V106" s="1075"/>
      <c r="W106" s="1075"/>
      <c r="X106" s="1075" t="str">
        <f>Sheet1!AJ100</f>
        <v>-</v>
      </c>
      <c r="Y106" s="1075"/>
      <c r="Z106" s="1075"/>
      <c r="AA106" s="1075"/>
      <c r="AB106" s="1075"/>
      <c r="AC106" s="1075"/>
      <c r="AD106" s="1075"/>
      <c r="AE106" s="1075"/>
      <c r="AF106" s="1075"/>
      <c r="AG106" s="1075"/>
      <c r="AH106" s="1075"/>
      <c r="AI106" s="1075"/>
      <c r="AJ106" s="1075"/>
      <c r="AK106" s="1075" t="str">
        <f>IF(Sheet1!AE103="C",Sheet1!AK103,"-")</f>
        <v>-</v>
      </c>
      <c r="AL106" s="1075">
        <f>IF(Sheet1!AE103="D",Sheet1!AK103,"-")</f>
        <v>2180</v>
      </c>
      <c r="AM106" s="1075" t="str">
        <f>IF(Sheet1!AE100="E",Sheet1!AK100,"-")</f>
        <v>-</v>
      </c>
    </row>
    <row r="107" spans="2:39" x14ac:dyDescent="0.25">
      <c r="B107" s="1082">
        <f>Sheet1!F101</f>
        <v>5121</v>
      </c>
      <c r="C107" s="1075" t="str">
        <f>Sheet1!C101</f>
        <v>SR A1A - Atlantic Ave. North</v>
      </c>
      <c r="D107" s="1075" t="str">
        <f>_xlfn.TEXTBEFORE(Sheet1!E101, " to ")</f>
        <v>Harvard Dr.</v>
      </c>
      <c r="E107" s="1075" t="str">
        <f>_xlfn.TEXTAFTER(Sheet1!E101, " to ")</f>
        <v>SR 40/Granada Blvd.</v>
      </c>
      <c r="F107" s="1075">
        <f>Sheet1!AM101</f>
        <v>4</v>
      </c>
      <c r="G107" s="1075"/>
      <c r="H107" s="1083" t="str">
        <f>Sheet1!AE101</f>
        <v>D</v>
      </c>
      <c r="I107" s="1075"/>
      <c r="J107" s="1075" t="str">
        <f>Sheet1!Q101</f>
        <v>UA_SSAC2_2W_4L_D_WL</v>
      </c>
      <c r="K107" s="1075"/>
      <c r="L107" s="1075">
        <f>Sheet1!AF101</f>
        <v>32400</v>
      </c>
      <c r="M107" s="1075"/>
      <c r="N107" s="1075"/>
      <c r="O107" s="1075"/>
      <c r="P107" s="1075">
        <f>Sheet1!AK101</f>
        <v>2920</v>
      </c>
      <c r="Q107" s="1075"/>
      <c r="R107" s="1075">
        <f>Sheet1!AD101</f>
        <v>18100</v>
      </c>
      <c r="S107" s="1081">
        <f>Sheet1!AG101</f>
        <v>0.55864197530864201</v>
      </c>
      <c r="T107" s="1075" t="str">
        <f>Sheet1!AH101</f>
        <v>D</v>
      </c>
      <c r="U107" s="1075" t="str">
        <f>Sheet1!AI101</f>
        <v>-</v>
      </c>
      <c r="V107" s="1075"/>
      <c r="W107" s="1075"/>
      <c r="X107" s="1075" t="str">
        <f>Sheet1!AJ101</f>
        <v>-</v>
      </c>
      <c r="Y107" s="1075"/>
      <c r="Z107" s="1075"/>
      <c r="AA107" s="1075"/>
      <c r="AB107" s="1075"/>
      <c r="AC107" s="1075"/>
      <c r="AD107" s="1075"/>
      <c r="AE107" s="1075"/>
      <c r="AF107" s="1075"/>
      <c r="AG107" s="1075"/>
      <c r="AH107" s="1075"/>
      <c r="AI107" s="1075"/>
      <c r="AJ107" s="1075"/>
      <c r="AK107" s="1075" t="str">
        <f>IF(Sheet1!AE104="C",Sheet1!AK104,"-")</f>
        <v>-</v>
      </c>
      <c r="AL107" s="1075">
        <f>IF(Sheet1!AE104="D",Sheet1!AK104,"-")</f>
        <v>2180</v>
      </c>
      <c r="AM107" s="1075" t="str">
        <f>IF(Sheet1!AE101="E",Sheet1!AK101,"-")</f>
        <v>-</v>
      </c>
    </row>
    <row r="108" spans="2:39" x14ac:dyDescent="0.25">
      <c r="B108" s="1082">
        <f>Sheet1!F102</f>
        <v>5125</v>
      </c>
      <c r="C108" s="1075" t="str">
        <f>Sheet1!C102</f>
        <v>SR A1A - Ocean Shore Blvd.</v>
      </c>
      <c r="D108" s="1075" t="str">
        <f>_xlfn.TEXTBEFORE(Sheet1!E102, " to ")</f>
        <v>SR 40/Granada Blvd.</v>
      </c>
      <c r="E108" s="1075" t="str">
        <f>_xlfn.TEXTAFTER(Sheet1!E102, " to ")</f>
        <v>Neptune Ave</v>
      </c>
      <c r="F108" s="1075">
        <f>Sheet1!AM102</f>
        <v>2</v>
      </c>
      <c r="G108" s="1075"/>
      <c r="H108" s="1083" t="str">
        <f>Sheet1!AE102</f>
        <v>D</v>
      </c>
      <c r="I108" s="1075"/>
      <c r="J108" s="1075" t="str">
        <f>Sheet1!Q102</f>
        <v>UA_UFH_2W_2L_U_WL</v>
      </c>
      <c r="K108" s="1075"/>
      <c r="L108" s="1075">
        <f>Sheet1!AF102</f>
        <v>24200</v>
      </c>
      <c r="M108" s="1075"/>
      <c r="N108" s="1075"/>
      <c r="O108" s="1075"/>
      <c r="P108" s="1075">
        <f>Sheet1!AK102</f>
        <v>2180</v>
      </c>
      <c r="Q108" s="1075"/>
      <c r="R108" s="1075">
        <f>Sheet1!AD102</f>
        <v>15500</v>
      </c>
      <c r="S108" s="1081">
        <f>Sheet1!AG102</f>
        <v>0.64049586776859502</v>
      </c>
      <c r="T108" s="1075" t="str">
        <f>Sheet1!AH102</f>
        <v>C</v>
      </c>
      <c r="U108" s="1075" t="str">
        <f>Sheet1!AI102</f>
        <v>-</v>
      </c>
      <c r="V108" s="1075"/>
      <c r="W108" s="1075"/>
      <c r="X108" s="1075" t="str">
        <f>Sheet1!AJ102</f>
        <v>-</v>
      </c>
      <c r="Y108" s="1075"/>
      <c r="Z108" s="1075"/>
      <c r="AA108" s="1075"/>
      <c r="AB108" s="1075"/>
      <c r="AC108" s="1075"/>
      <c r="AD108" s="1075"/>
      <c r="AE108" s="1075"/>
      <c r="AF108" s="1075"/>
      <c r="AG108" s="1075"/>
      <c r="AH108" s="1075"/>
      <c r="AI108" s="1075"/>
      <c r="AJ108" s="1075"/>
      <c r="AK108" s="1075" t="str">
        <f>IF(Sheet1!AE105="C",Sheet1!AK105,"-")</f>
        <v>-</v>
      </c>
      <c r="AL108" s="1075">
        <f>IF(Sheet1!AE105="D",Sheet1!AK105,"-")</f>
        <v>2180</v>
      </c>
      <c r="AM108" s="1075" t="str">
        <f>IF(Sheet1!AE102="E",Sheet1!AK102,"-")</f>
        <v>-</v>
      </c>
    </row>
    <row r="109" spans="2:39" x14ac:dyDescent="0.25">
      <c r="B109" s="1082">
        <f>Sheet1!F103</f>
        <v>5125</v>
      </c>
      <c r="C109" s="1075" t="str">
        <f>Sheet1!C103</f>
        <v>SR A1A - Ocean Shore Blvd.</v>
      </c>
      <c r="D109" s="1075" t="str">
        <f>_xlfn.TEXTBEFORE(Sheet1!E103, " to ")</f>
        <v>Neptune Ave</v>
      </c>
      <c r="E109" s="1075" t="str">
        <f>_xlfn.TEXTAFTER(Sheet1!E103, " to ")</f>
        <v>Ormond Mall</v>
      </c>
      <c r="F109" s="1075">
        <f>Sheet1!AM103</f>
        <v>2</v>
      </c>
      <c r="G109" s="1075"/>
      <c r="H109" s="1083" t="str">
        <f>Sheet1!AE103</f>
        <v>D</v>
      </c>
      <c r="I109" s="1075"/>
      <c r="J109" s="1075" t="str">
        <f>Sheet1!Q103</f>
        <v>UA_UFH_2W_2L_U_WL</v>
      </c>
      <c r="K109" s="1075"/>
      <c r="L109" s="1075">
        <f>Sheet1!AF103</f>
        <v>24200</v>
      </c>
      <c r="M109" s="1075"/>
      <c r="N109" s="1075"/>
      <c r="O109" s="1075"/>
      <c r="P109" s="1075">
        <f>Sheet1!AK103</f>
        <v>2180</v>
      </c>
      <c r="Q109" s="1075"/>
      <c r="R109" s="1075">
        <f>Sheet1!AD103</f>
        <v>15500</v>
      </c>
      <c r="S109" s="1081">
        <f>Sheet1!AG103</f>
        <v>0.64049586776859502</v>
      </c>
      <c r="T109" s="1075" t="str">
        <f>Sheet1!AH103</f>
        <v>C</v>
      </c>
      <c r="U109" s="1075" t="str">
        <f>Sheet1!AI103</f>
        <v>-</v>
      </c>
      <c r="V109" s="1075"/>
      <c r="W109" s="1075"/>
      <c r="X109" s="1075" t="str">
        <f>Sheet1!AJ103</f>
        <v>-</v>
      </c>
      <c r="Y109" s="1075"/>
      <c r="Z109" s="1075"/>
      <c r="AA109" s="1075"/>
      <c r="AB109" s="1075"/>
      <c r="AC109" s="1075"/>
      <c r="AD109" s="1075"/>
      <c r="AE109" s="1075"/>
      <c r="AF109" s="1075"/>
      <c r="AG109" s="1075"/>
      <c r="AH109" s="1075"/>
      <c r="AI109" s="1075"/>
      <c r="AJ109" s="1075"/>
      <c r="AK109" s="1075" t="str">
        <f>IF(Sheet1!AE106="C",Sheet1!AK106,"-")</f>
        <v>-</v>
      </c>
      <c r="AL109" s="1075">
        <f>IF(Sheet1!AE106="D",Sheet1!AK106,"-")</f>
        <v>3580</v>
      </c>
      <c r="AM109" s="1075" t="str">
        <f>IF(Sheet1!AE103="E",Sheet1!AK103,"-")</f>
        <v>-</v>
      </c>
    </row>
    <row r="110" spans="2:39" x14ac:dyDescent="0.25">
      <c r="B110" s="1082">
        <f>Sheet1!F104</f>
        <v>368</v>
      </c>
      <c r="C110" s="1075" t="str">
        <f>Sheet1!C104</f>
        <v>SR A1A - Ocean Shore Blvd.</v>
      </c>
      <c r="D110" s="1075" t="str">
        <f>_xlfn.TEXTBEFORE(Sheet1!E104, " to ")</f>
        <v>Ormond Mall</v>
      </c>
      <c r="E110" s="1075" t="str">
        <f>_xlfn.TEXTAFTER(Sheet1!E104, " to ")</f>
        <v>High Bridge Rd</v>
      </c>
      <c r="F110" s="1075">
        <f>Sheet1!AM104</f>
        <v>2</v>
      </c>
      <c r="G110" s="1075"/>
      <c r="H110" s="1083" t="str">
        <f>Sheet1!AE104</f>
        <v>D</v>
      </c>
      <c r="I110" s="1075"/>
      <c r="J110" s="1075" t="str">
        <f>Sheet1!Q104</f>
        <v>UA_UFH_2W_2L_U_WL</v>
      </c>
      <c r="K110" s="1075"/>
      <c r="L110" s="1075">
        <f>Sheet1!AF104</f>
        <v>24200</v>
      </c>
      <c r="M110" s="1075"/>
      <c r="N110" s="1075"/>
      <c r="O110" s="1075"/>
      <c r="P110" s="1075">
        <f>Sheet1!AK104</f>
        <v>2180</v>
      </c>
      <c r="Q110" s="1075"/>
      <c r="R110" s="1075">
        <f>Sheet1!AD104</f>
        <v>16300</v>
      </c>
      <c r="S110" s="1081">
        <f>Sheet1!AG104</f>
        <v>0.67355371900826444</v>
      </c>
      <c r="T110" s="1075" t="str">
        <f>Sheet1!AH104</f>
        <v>C</v>
      </c>
      <c r="U110" s="1075" t="str">
        <f>Sheet1!AI104</f>
        <v>-</v>
      </c>
      <c r="V110" s="1075"/>
      <c r="W110" s="1075"/>
      <c r="X110" s="1075" t="str">
        <f>Sheet1!AJ104</f>
        <v>-</v>
      </c>
      <c r="Y110" s="1075"/>
      <c r="Z110" s="1075"/>
      <c r="AA110" s="1075"/>
      <c r="AB110" s="1075"/>
      <c r="AC110" s="1075"/>
      <c r="AD110" s="1075"/>
      <c r="AE110" s="1075"/>
      <c r="AF110" s="1075"/>
      <c r="AG110" s="1075"/>
      <c r="AH110" s="1075"/>
      <c r="AI110" s="1075"/>
      <c r="AJ110" s="1075"/>
      <c r="AK110" s="1075" t="str">
        <f>IF(Sheet1!AE107="C",Sheet1!AK107,"-")</f>
        <v>-</v>
      </c>
      <c r="AL110" s="1075">
        <f>IF(Sheet1!AE107="D",Sheet1!AK107,"-")</f>
        <v>3580</v>
      </c>
      <c r="AM110" s="1075" t="str">
        <f>IF(Sheet1!AE104="E",Sheet1!AK104,"-")</f>
        <v>-</v>
      </c>
    </row>
    <row r="111" spans="2:39" x14ac:dyDescent="0.25">
      <c r="B111" s="1082">
        <f>Sheet1!F105</f>
        <v>368</v>
      </c>
      <c r="C111" s="1075" t="str">
        <f>Sheet1!C105</f>
        <v>SR A1A - Ocean Shore Blvd.</v>
      </c>
      <c r="D111" s="1075" t="e">
        <f>_xlfn.TEXTBEFORE(Sheet1!E105, " to ")</f>
        <v>#N/A</v>
      </c>
      <c r="E111" s="1075" t="e">
        <f>_xlfn.TEXTAFTER(Sheet1!E105, " to ")</f>
        <v>#N/A</v>
      </c>
      <c r="F111" s="1075">
        <f>Sheet1!AM105</f>
        <v>2</v>
      </c>
      <c r="G111" s="1075"/>
      <c r="H111" s="1083" t="str">
        <f>Sheet1!AE105</f>
        <v>D</v>
      </c>
      <c r="I111" s="1075"/>
      <c r="J111" s="1075" t="str">
        <f>Sheet1!Q105</f>
        <v>UA_UFH_2W_2L_U_WL</v>
      </c>
      <c r="K111" s="1075"/>
      <c r="L111" s="1075">
        <f>Sheet1!AF105</f>
        <v>24200</v>
      </c>
      <c r="M111" s="1075"/>
      <c r="N111" s="1075"/>
      <c r="O111" s="1075"/>
      <c r="P111" s="1075">
        <f>Sheet1!AK105</f>
        <v>2180</v>
      </c>
      <c r="Q111" s="1075"/>
      <c r="R111" s="1075">
        <f>Sheet1!AD105</f>
        <v>16300</v>
      </c>
      <c r="S111" s="1081">
        <f>Sheet1!AG105</f>
        <v>0.67355371900826444</v>
      </c>
      <c r="T111" s="1075" t="str">
        <f>Sheet1!AH105</f>
        <v>C</v>
      </c>
      <c r="U111" s="1075" t="str">
        <f>Sheet1!AI105</f>
        <v>-</v>
      </c>
      <c r="V111" s="1075"/>
      <c r="W111" s="1075"/>
      <c r="X111" s="1075" t="str">
        <f>Sheet1!AJ105</f>
        <v>-</v>
      </c>
      <c r="Y111" s="1075"/>
      <c r="Z111" s="1075"/>
      <c r="AA111" s="1075"/>
      <c r="AB111" s="1075"/>
      <c r="AC111" s="1075"/>
      <c r="AD111" s="1075"/>
      <c r="AE111" s="1075"/>
      <c r="AF111" s="1075"/>
      <c r="AG111" s="1075"/>
      <c r="AH111" s="1075"/>
      <c r="AI111" s="1075"/>
      <c r="AJ111" s="1075"/>
      <c r="AK111" s="1075" t="str">
        <f>IF(Sheet1!AE108="C",Sheet1!AK108,"-")</f>
        <v>-</v>
      </c>
      <c r="AL111" s="1075">
        <f>IF(Sheet1!AE108="D",Sheet1!AK108,"-")</f>
        <v>3580</v>
      </c>
      <c r="AM111" s="1075" t="str">
        <f>IF(Sheet1!AE105="E",Sheet1!AK105,"-")</f>
        <v>-</v>
      </c>
    </row>
    <row r="112" spans="2:39" x14ac:dyDescent="0.25">
      <c r="B112" s="1082">
        <f>Sheet1!F106</f>
        <v>458</v>
      </c>
      <c r="C112" s="1075" t="str">
        <f>Sheet1!C106</f>
        <v>SR 5A - Nova Rd.</v>
      </c>
      <c r="D112" s="1075" t="str">
        <f>_xlfn.TEXTBEFORE(Sheet1!E106, " to ")</f>
        <v>US 1.</v>
      </c>
      <c r="E112" s="1075" t="str">
        <f>_xlfn.TEXTAFTER(Sheet1!E106, " to ")</f>
        <v>Spruce Creek Rd</v>
      </c>
      <c r="F112" s="1075">
        <f>Sheet1!AM106</f>
        <v>4</v>
      </c>
      <c r="G112" s="1075"/>
      <c r="H112" s="1083" t="str">
        <f>Sheet1!AE106</f>
        <v>D</v>
      </c>
      <c r="I112" s="1075"/>
      <c r="J112" s="1075" t="str">
        <f>Sheet1!Q106</f>
        <v>UA_SSAC1_2W_4L_D_WL</v>
      </c>
      <c r="K112" s="1075"/>
      <c r="L112" s="1075">
        <f>Sheet1!AF106</f>
        <v>39800</v>
      </c>
      <c r="M112" s="1075"/>
      <c r="N112" s="1075"/>
      <c r="O112" s="1075"/>
      <c r="P112" s="1075">
        <f>Sheet1!AK106</f>
        <v>3580</v>
      </c>
      <c r="Q112" s="1075"/>
      <c r="R112" s="1075">
        <f>Sheet1!AD106</f>
        <v>18200</v>
      </c>
      <c r="S112" s="1081">
        <f>Sheet1!AG106</f>
        <v>0.457286432160804</v>
      </c>
      <c r="T112" s="1075" t="str">
        <f>Sheet1!AH106</f>
        <v>C</v>
      </c>
      <c r="U112" s="1075">
        <f>Sheet1!AI106</f>
        <v>1120</v>
      </c>
      <c r="V112" s="1075"/>
      <c r="W112" s="1075"/>
      <c r="X112" s="1075">
        <f>Sheet1!AJ106</f>
        <v>1450</v>
      </c>
      <c r="Y112" s="1075"/>
      <c r="Z112" s="1075"/>
      <c r="AA112" s="1075"/>
      <c r="AB112" s="1075"/>
      <c r="AC112" s="1075"/>
      <c r="AD112" s="1075"/>
      <c r="AE112" s="1075"/>
      <c r="AF112" s="1075"/>
      <c r="AG112" s="1075"/>
      <c r="AH112" s="1075"/>
      <c r="AI112" s="1075"/>
      <c r="AJ112" s="1075"/>
      <c r="AK112" s="1075" t="str">
        <f>IF(Sheet1!AE109="C",Sheet1!AK109,"-")</f>
        <v>-</v>
      </c>
      <c r="AL112" s="1075">
        <f>IF(Sheet1!AE109="D",Sheet1!AK109,"-")</f>
        <v>4490</v>
      </c>
      <c r="AM112" s="1075" t="str">
        <f>IF(Sheet1!AE106="E",Sheet1!AK106,"-")</f>
        <v>-</v>
      </c>
    </row>
    <row r="113" spans="2:39" x14ac:dyDescent="0.25">
      <c r="B113" s="1082">
        <f>Sheet1!F107</f>
        <v>1016</v>
      </c>
      <c r="C113" s="1075" t="str">
        <f>Sheet1!C107</f>
        <v>SR 5A - Nova Rd.</v>
      </c>
      <c r="D113" s="1075" t="str">
        <f>_xlfn.TEXTBEFORE(Sheet1!E107, " to ")</f>
        <v>Spruce Creek Rd.</v>
      </c>
      <c r="E113" s="1075" t="str">
        <f>_xlfn.TEXTAFTER(Sheet1!E107, " to ")</f>
        <v>SR 421/Dunlawton Ave.</v>
      </c>
      <c r="F113" s="1075">
        <f>Sheet1!AM107</f>
        <v>4</v>
      </c>
      <c r="G113" s="1075"/>
      <c r="H113" s="1083" t="str">
        <f>Sheet1!AE107</f>
        <v>D</v>
      </c>
      <c r="I113" s="1075"/>
      <c r="J113" s="1075" t="str">
        <f>Sheet1!Q107</f>
        <v>UA_SSAC1_2W_4L_D_WL</v>
      </c>
      <c r="K113" s="1075"/>
      <c r="L113" s="1075">
        <f>Sheet1!AF107</f>
        <v>39800</v>
      </c>
      <c r="M113" s="1075"/>
      <c r="N113" s="1075"/>
      <c r="O113" s="1075"/>
      <c r="P113" s="1075">
        <f>Sheet1!AK107</f>
        <v>3580</v>
      </c>
      <c r="Q113" s="1075"/>
      <c r="R113" s="1075">
        <f>Sheet1!AD107</f>
        <v>27000</v>
      </c>
      <c r="S113" s="1081">
        <f>Sheet1!AG107</f>
        <v>0.67839195979899503</v>
      </c>
      <c r="T113" s="1075" t="str">
        <f>Sheet1!AH107</f>
        <v>C</v>
      </c>
      <c r="U113" s="1075" t="str">
        <f>Sheet1!AI107</f>
        <v>-</v>
      </c>
      <c r="V113" s="1075"/>
      <c r="W113" s="1075"/>
      <c r="X113" s="1075" t="str">
        <f>Sheet1!AJ107</f>
        <v>-</v>
      </c>
      <c r="Y113" s="1075"/>
      <c r="Z113" s="1075"/>
      <c r="AA113" s="1075"/>
      <c r="AB113" s="1075"/>
      <c r="AC113" s="1075"/>
      <c r="AD113" s="1075"/>
      <c r="AE113" s="1075"/>
      <c r="AF113" s="1075"/>
      <c r="AG113" s="1075"/>
      <c r="AH113" s="1075"/>
      <c r="AI113" s="1075"/>
      <c r="AJ113" s="1075"/>
      <c r="AK113" s="1075" t="str">
        <f>IF(Sheet1!AE110="C",Sheet1!AK110,"-")</f>
        <v>-</v>
      </c>
      <c r="AL113" s="1075">
        <f>IF(Sheet1!AE110="D",Sheet1!AK110,"-")</f>
        <v>5390</v>
      </c>
      <c r="AM113" s="1075" t="str">
        <f>IF(Sheet1!AE107="E",Sheet1!AK107,"-")</f>
        <v>-</v>
      </c>
    </row>
    <row r="114" spans="2:39" x14ac:dyDescent="0.25">
      <c r="B114" s="1082">
        <f>Sheet1!F108</f>
        <v>1017.2</v>
      </c>
      <c r="C114" s="1075" t="str">
        <f>Sheet1!C108</f>
        <v>SR 5A - Nova Rd.</v>
      </c>
      <c r="D114" s="1075" t="str">
        <f>_xlfn.TEXTBEFORE(Sheet1!E108, " to ")</f>
        <v>SR 421/Dunlawton Ave.</v>
      </c>
      <c r="E114" s="1075" t="str">
        <f>_xlfn.TEXTAFTER(Sheet1!E108, " to ")</f>
        <v>Madeline Ave</v>
      </c>
      <c r="F114" s="1075">
        <f>Sheet1!AM108</f>
        <v>4</v>
      </c>
      <c r="G114" s="1075"/>
      <c r="H114" s="1083" t="str">
        <f>Sheet1!AE108</f>
        <v>D</v>
      </c>
      <c r="I114" s="1075"/>
      <c r="J114" s="1075" t="str">
        <f>Sheet1!Q108</f>
        <v>UA_SSAC1_2W_4L_D_WL</v>
      </c>
      <c r="K114" s="1075"/>
      <c r="L114" s="1075">
        <f>Sheet1!AF108</f>
        <v>39800</v>
      </c>
      <c r="M114" s="1075"/>
      <c r="N114" s="1075"/>
      <c r="O114" s="1075"/>
      <c r="P114" s="1075">
        <f>Sheet1!AK108</f>
        <v>3580</v>
      </c>
      <c r="Q114" s="1075"/>
      <c r="R114" s="1075">
        <f>Sheet1!AD108</f>
        <v>18000</v>
      </c>
      <c r="S114" s="1081">
        <f>Sheet1!AG108</f>
        <v>0.45226130653266333</v>
      </c>
      <c r="T114" s="1075" t="str">
        <f>Sheet1!AH108</f>
        <v>C</v>
      </c>
      <c r="U114" s="1075" t="str">
        <f>Sheet1!AI108</f>
        <v>-</v>
      </c>
      <c r="V114" s="1075"/>
      <c r="W114" s="1075"/>
      <c r="X114" s="1075" t="str">
        <f>Sheet1!AJ108</f>
        <v>-</v>
      </c>
      <c r="Y114" s="1075"/>
      <c r="Z114" s="1075"/>
      <c r="AA114" s="1075"/>
      <c r="AB114" s="1075"/>
      <c r="AC114" s="1075"/>
      <c r="AD114" s="1075"/>
      <c r="AE114" s="1075"/>
      <c r="AF114" s="1075"/>
      <c r="AG114" s="1075"/>
      <c r="AH114" s="1075"/>
      <c r="AI114" s="1075"/>
      <c r="AJ114" s="1075"/>
      <c r="AK114" s="1075" t="str">
        <f>IF(Sheet1!AE111="C",Sheet1!AK111,"-")</f>
        <v>-</v>
      </c>
      <c r="AL114" s="1075">
        <f>IF(Sheet1!AE111="D",Sheet1!AK111,"-")</f>
        <v>5390</v>
      </c>
      <c r="AM114" s="1075" t="str">
        <f>IF(Sheet1!AE108="E",Sheet1!AK108,"-")</f>
        <v>-</v>
      </c>
    </row>
    <row r="115" spans="2:39" x14ac:dyDescent="0.25">
      <c r="B115" s="1082">
        <f>Sheet1!F109</f>
        <v>363.2</v>
      </c>
      <c r="C115" s="1075" t="str">
        <f>Sheet1!C109</f>
        <v>SR 5A - Nova Rd.</v>
      </c>
      <c r="D115" s="1075" t="str">
        <f>_xlfn.TEXTBEFORE(Sheet1!E109, " to ")</f>
        <v>Madeline Ave.</v>
      </c>
      <c r="E115" s="1075" t="str">
        <f>_xlfn.TEXTAFTER(Sheet1!E109, " to ")</f>
        <v>Big Tree</v>
      </c>
      <c r="F115" s="1075">
        <f>Sheet1!AM109</f>
        <v>5</v>
      </c>
      <c r="G115" s="1075"/>
      <c r="H115" s="1083" t="str">
        <f>Sheet1!AE109</f>
        <v>D</v>
      </c>
      <c r="I115" s="1075"/>
      <c r="J115" s="1075" t="str">
        <f>Sheet1!Q109</f>
        <v>UA_SSAC1_2W_5L_D_WL</v>
      </c>
      <c r="K115" s="1075"/>
      <c r="L115" s="1075">
        <f>Sheet1!AF109</f>
        <v>49850</v>
      </c>
      <c r="M115" s="1075"/>
      <c r="N115" s="1075"/>
      <c r="O115" s="1075"/>
      <c r="P115" s="1075">
        <f>Sheet1!AK109</f>
        <v>4490</v>
      </c>
      <c r="Q115" s="1075"/>
      <c r="R115" s="1075">
        <f>Sheet1!AD109</f>
        <v>27000</v>
      </c>
      <c r="S115" s="1081">
        <f>Sheet1!AG109</f>
        <v>0.54162487462387165</v>
      </c>
      <c r="T115" s="1075" t="str">
        <f>Sheet1!AH109</f>
        <v>C</v>
      </c>
      <c r="U115" s="1075">
        <f>Sheet1!AI109</f>
        <v>2030</v>
      </c>
      <c r="V115" s="1075"/>
      <c r="W115" s="1075"/>
      <c r="X115" s="1075">
        <f>Sheet1!AJ109</f>
        <v>2270</v>
      </c>
      <c r="Y115" s="1075"/>
      <c r="Z115" s="1075"/>
      <c r="AA115" s="1075"/>
      <c r="AB115" s="1075"/>
      <c r="AC115" s="1075"/>
      <c r="AD115" s="1075"/>
      <c r="AE115" s="1075"/>
      <c r="AF115" s="1075"/>
      <c r="AG115" s="1075"/>
      <c r="AH115" s="1075"/>
      <c r="AI115" s="1075"/>
      <c r="AJ115" s="1075"/>
      <c r="AK115" s="1075" t="str">
        <f>IF(Sheet1!AE112="C",Sheet1!AK112,"-")</f>
        <v>-</v>
      </c>
      <c r="AL115" s="1075">
        <f>IF(Sheet1!AE112="D",Sheet1!AK112,"-")</f>
        <v>5390</v>
      </c>
      <c r="AM115" s="1075" t="str">
        <f>IF(Sheet1!AE109="E",Sheet1!AK109,"-")</f>
        <v>-</v>
      </c>
    </row>
    <row r="116" spans="2:39" x14ac:dyDescent="0.25">
      <c r="B116" s="1082">
        <f>Sheet1!F110</f>
        <v>363.1</v>
      </c>
      <c r="C116" s="1075" t="str">
        <f>Sheet1!C110</f>
        <v>SR 5A - Nova Rd.</v>
      </c>
      <c r="D116" s="1075" t="str">
        <f>_xlfn.TEXTBEFORE(Sheet1!E110, " to ")</f>
        <v>Big Tree</v>
      </c>
      <c r="E116" s="1075" t="str">
        <f>_xlfn.TEXTAFTER(Sheet1!E110, " to ")</f>
        <v>SR 400/Beville Rd.</v>
      </c>
      <c r="F116" s="1075">
        <f>Sheet1!AM110</f>
        <v>6</v>
      </c>
      <c r="G116" s="1075"/>
      <c r="H116" s="1083" t="str">
        <f>Sheet1!AE110</f>
        <v>D</v>
      </c>
      <c r="I116" s="1075"/>
      <c r="J116" s="1075" t="str">
        <f>Sheet1!Q110</f>
        <v>UA_SSAC1_2W_6L_D_WL</v>
      </c>
      <c r="K116" s="1075"/>
      <c r="L116" s="1075">
        <f>Sheet1!AF110</f>
        <v>59900</v>
      </c>
      <c r="M116" s="1075"/>
      <c r="N116" s="1075"/>
      <c r="O116" s="1075"/>
      <c r="P116" s="1075">
        <f>Sheet1!AK110</f>
        <v>5390</v>
      </c>
      <c r="Q116" s="1075"/>
      <c r="R116" s="1075">
        <f>Sheet1!AD110</f>
        <v>27000</v>
      </c>
      <c r="S116" s="1081">
        <f>Sheet1!AG110</f>
        <v>0.45075125208681133</v>
      </c>
      <c r="T116" s="1075" t="str">
        <f>Sheet1!AH110</f>
        <v>C</v>
      </c>
      <c r="U116" s="1075">
        <f>Sheet1!AI110</f>
        <v>2030</v>
      </c>
      <c r="V116" s="1075"/>
      <c r="W116" s="1075"/>
      <c r="X116" s="1075">
        <f>Sheet1!AJ110</f>
        <v>2270</v>
      </c>
      <c r="Y116" s="1075"/>
      <c r="Z116" s="1075"/>
      <c r="AA116" s="1075"/>
      <c r="AB116" s="1075"/>
      <c r="AC116" s="1075"/>
      <c r="AD116" s="1075"/>
      <c r="AE116" s="1075"/>
      <c r="AF116" s="1075"/>
      <c r="AG116" s="1075"/>
      <c r="AH116" s="1075"/>
      <c r="AI116" s="1075"/>
      <c r="AJ116" s="1075"/>
      <c r="AK116" s="1075" t="str">
        <f>IF(Sheet1!AE113="C",Sheet1!AK113,"-")</f>
        <v>-</v>
      </c>
      <c r="AL116" s="1075">
        <f>IF(Sheet1!AE113="D",Sheet1!AK113,"-")</f>
        <v>5390</v>
      </c>
      <c r="AM116" s="1075" t="str">
        <f>IF(Sheet1!AE110="E",Sheet1!AK110,"-")</f>
        <v>-</v>
      </c>
    </row>
    <row r="117" spans="2:39" x14ac:dyDescent="0.25">
      <c r="B117" s="1082">
        <f>Sheet1!F111</f>
        <v>348</v>
      </c>
      <c r="C117" s="1075" t="str">
        <f>Sheet1!C111</f>
        <v>SR 5A - Nova Rd.</v>
      </c>
      <c r="D117" s="1075" t="str">
        <f>_xlfn.TEXTBEFORE(Sheet1!E111, " to ")</f>
        <v>SR 400/Beville Rd.</v>
      </c>
      <c r="E117" s="1075" t="str">
        <f>_xlfn.TEXTAFTER(Sheet1!E111, " to ")</f>
        <v>Bellevue Ave.</v>
      </c>
      <c r="F117" s="1075">
        <f>Sheet1!AM111</f>
        <v>6</v>
      </c>
      <c r="G117" s="1075"/>
      <c r="H117" s="1083" t="str">
        <f>Sheet1!AE111</f>
        <v>D</v>
      </c>
      <c r="I117" s="1075"/>
      <c r="J117" s="1075" t="str">
        <f>Sheet1!Q111</f>
        <v>UA_SSAC1_2W_6L_D_WL</v>
      </c>
      <c r="K117" s="1075"/>
      <c r="L117" s="1075">
        <f>Sheet1!AF111</f>
        <v>59900</v>
      </c>
      <c r="M117" s="1075"/>
      <c r="N117" s="1075"/>
      <c r="O117" s="1075"/>
      <c r="P117" s="1075">
        <f>Sheet1!AK111</f>
        <v>5390</v>
      </c>
      <c r="Q117" s="1075"/>
      <c r="R117" s="1075">
        <f>Sheet1!AD111</f>
        <v>35000</v>
      </c>
      <c r="S117" s="1081">
        <f>Sheet1!AG111</f>
        <v>0.58430717863105175</v>
      </c>
      <c r="T117" s="1075" t="str">
        <f>Sheet1!AH111</f>
        <v>C</v>
      </c>
      <c r="U117" s="1075" t="str">
        <f>Sheet1!AI111</f>
        <v>-</v>
      </c>
      <c r="V117" s="1075"/>
      <c r="W117" s="1075"/>
      <c r="X117" s="1075" t="str">
        <f>Sheet1!AJ111</f>
        <v>-</v>
      </c>
      <c r="Y117" s="1075"/>
      <c r="Z117" s="1075"/>
      <c r="AA117" s="1075"/>
      <c r="AB117" s="1075"/>
      <c r="AC117" s="1075"/>
      <c r="AD117" s="1075"/>
      <c r="AE117" s="1075"/>
      <c r="AF117" s="1075"/>
      <c r="AG117" s="1075"/>
      <c r="AH117" s="1075"/>
      <c r="AI117" s="1075"/>
      <c r="AJ117" s="1075"/>
      <c r="AK117" s="1075" t="str">
        <f>IF(Sheet1!AE114="C",Sheet1!AK114,"-")</f>
        <v>-</v>
      </c>
      <c r="AL117" s="1075">
        <f>IF(Sheet1!AE114="D",Sheet1!AK114,"-")</f>
        <v>5390</v>
      </c>
      <c r="AM117" s="1075" t="str">
        <f>IF(Sheet1!AE111="E",Sheet1!AK111,"-")</f>
        <v>-</v>
      </c>
    </row>
    <row r="118" spans="2:39" x14ac:dyDescent="0.25">
      <c r="B118" s="1082">
        <f>Sheet1!F112</f>
        <v>5090</v>
      </c>
      <c r="C118" s="1075" t="str">
        <f>Sheet1!C112</f>
        <v>SR 5A - Nova Rd.</v>
      </c>
      <c r="D118" s="1075" t="str">
        <f>_xlfn.TEXTBEFORE(Sheet1!E112, " to ")</f>
        <v>Bellevue Ave.</v>
      </c>
      <c r="E118" s="1075" t="str">
        <f>_xlfn.TEXTAFTER(Sheet1!E112, " to ")</f>
        <v xml:space="preserve">US 92/ISB </v>
      </c>
      <c r="F118" s="1075">
        <f>Sheet1!AM112</f>
        <v>6</v>
      </c>
      <c r="G118" s="1075"/>
      <c r="H118" s="1083" t="str">
        <f>Sheet1!AE112</f>
        <v>D</v>
      </c>
      <c r="I118" s="1075"/>
      <c r="J118" s="1075" t="str">
        <f>Sheet1!Q112</f>
        <v>UA_SSAC1_2W_6L_D_WL</v>
      </c>
      <c r="K118" s="1075"/>
      <c r="L118" s="1075">
        <f>Sheet1!AF112</f>
        <v>59900</v>
      </c>
      <c r="M118" s="1075"/>
      <c r="N118" s="1075"/>
      <c r="O118" s="1075"/>
      <c r="P118" s="1075">
        <f>Sheet1!AK112</f>
        <v>5390</v>
      </c>
      <c r="Q118" s="1075"/>
      <c r="R118" s="1075">
        <f>Sheet1!AD112</f>
        <v>35000</v>
      </c>
      <c r="S118" s="1081">
        <f>Sheet1!AG112</f>
        <v>0.58430717863105175</v>
      </c>
      <c r="T118" s="1075" t="str">
        <f>Sheet1!AH112</f>
        <v>C</v>
      </c>
      <c r="U118" s="1075" t="str">
        <f>Sheet1!AI112</f>
        <v>-</v>
      </c>
      <c r="V118" s="1075"/>
      <c r="W118" s="1075"/>
      <c r="X118" s="1075" t="str">
        <f>Sheet1!AJ112</f>
        <v>-</v>
      </c>
      <c r="Y118" s="1075"/>
      <c r="Z118" s="1075"/>
      <c r="AA118" s="1075"/>
      <c r="AB118" s="1075"/>
      <c r="AC118" s="1075"/>
      <c r="AD118" s="1075"/>
      <c r="AE118" s="1075"/>
      <c r="AF118" s="1075"/>
      <c r="AG118" s="1075"/>
      <c r="AH118" s="1075"/>
      <c r="AI118" s="1075"/>
      <c r="AJ118" s="1075"/>
      <c r="AK118" s="1075" t="str">
        <f>IF(Sheet1!AE115="C",Sheet1!AK115,"-")</f>
        <v>-</v>
      </c>
      <c r="AL118" s="1075">
        <f>IF(Sheet1!AE115="D",Sheet1!AK115,"-")</f>
        <v>5390</v>
      </c>
      <c r="AM118" s="1075" t="str">
        <f>IF(Sheet1!AE112="E",Sheet1!AK112,"-")</f>
        <v>-</v>
      </c>
    </row>
    <row r="119" spans="2:39" x14ac:dyDescent="0.25">
      <c r="B119" s="1082">
        <f>Sheet1!F113</f>
        <v>5088</v>
      </c>
      <c r="C119" s="1075" t="str">
        <f>Sheet1!C113</f>
        <v>SR 5A - Nova Rd.</v>
      </c>
      <c r="D119" s="1075" t="str">
        <f>_xlfn.TEXTBEFORE(Sheet1!E113, " to ")</f>
        <v>US 92/ISB</v>
      </c>
      <c r="E119" s="1075" t="str">
        <f>_xlfn.TEXTAFTER(Sheet1!E113, " to ")</f>
        <v>SR 430/Mason Ave.</v>
      </c>
      <c r="F119" s="1075">
        <f>Sheet1!AM113</f>
        <v>6</v>
      </c>
      <c r="G119" s="1075"/>
      <c r="H119" s="1083" t="str">
        <f>Sheet1!AE113</f>
        <v>D</v>
      </c>
      <c r="I119" s="1075"/>
      <c r="J119" s="1075" t="str">
        <f>Sheet1!Q113</f>
        <v>UA_SSAC1_2W_6L_D_WL</v>
      </c>
      <c r="K119" s="1075"/>
      <c r="L119" s="1075">
        <f>Sheet1!AF113</f>
        <v>59900</v>
      </c>
      <c r="M119" s="1075"/>
      <c r="N119" s="1075"/>
      <c r="O119" s="1075"/>
      <c r="P119" s="1075">
        <f>Sheet1!AK113</f>
        <v>5390</v>
      </c>
      <c r="Q119" s="1075"/>
      <c r="R119" s="1075">
        <f>Sheet1!AD113</f>
        <v>34500</v>
      </c>
      <c r="S119" s="1081">
        <f>Sheet1!AG113</f>
        <v>0.57595993322203676</v>
      </c>
      <c r="T119" s="1075" t="str">
        <f>Sheet1!AH113</f>
        <v>C</v>
      </c>
      <c r="U119" s="1075" t="str">
        <f>Sheet1!AI113</f>
        <v>-</v>
      </c>
      <c r="V119" s="1075"/>
      <c r="W119" s="1075"/>
      <c r="X119" s="1075" t="str">
        <f>Sheet1!AJ113</f>
        <v>-</v>
      </c>
      <c r="Y119" s="1075"/>
      <c r="Z119" s="1075"/>
      <c r="AA119" s="1075"/>
      <c r="AB119" s="1075"/>
      <c r="AC119" s="1075"/>
      <c r="AD119" s="1075"/>
      <c r="AE119" s="1075"/>
      <c r="AF119" s="1075"/>
      <c r="AG119" s="1075"/>
      <c r="AH119" s="1075"/>
      <c r="AI119" s="1075"/>
      <c r="AJ119" s="1075"/>
      <c r="AK119" s="1075" t="str">
        <f>IF(Sheet1!AE116="C",Sheet1!AK116,"-")</f>
        <v>-</v>
      </c>
      <c r="AL119" s="1075">
        <f>IF(Sheet1!AE116="D",Sheet1!AK116,"-")</f>
        <v>5390</v>
      </c>
      <c r="AM119" s="1075" t="str">
        <f>IF(Sheet1!AE113="E",Sheet1!AK113,"-")</f>
        <v>-</v>
      </c>
    </row>
    <row r="120" spans="2:39" x14ac:dyDescent="0.25">
      <c r="B120" s="1082">
        <f>Sheet1!F114</f>
        <v>366</v>
      </c>
      <c r="C120" s="1075" t="str">
        <f>Sheet1!C114</f>
        <v>SR 5A - Nova Rd.</v>
      </c>
      <c r="D120" s="1075" t="str">
        <f>_xlfn.TEXTBEFORE(Sheet1!E114, " to ")</f>
        <v>SR 430/Mason Blvd</v>
      </c>
      <c r="E120" s="1075" t="str">
        <f>_xlfn.TEXTAFTER(Sheet1!E114, " to ")</f>
        <v>LPGA Blvd.</v>
      </c>
      <c r="F120" s="1075">
        <f>Sheet1!AM114</f>
        <v>6</v>
      </c>
      <c r="G120" s="1075"/>
      <c r="H120" s="1083" t="str">
        <f>Sheet1!AE114</f>
        <v>D</v>
      </c>
      <c r="I120" s="1075"/>
      <c r="J120" s="1075" t="str">
        <f>Sheet1!Q114</f>
        <v>UA_SSAC1_2W_6L_D_WL</v>
      </c>
      <c r="K120" s="1075"/>
      <c r="L120" s="1075">
        <f>Sheet1!AF114</f>
        <v>59900</v>
      </c>
      <c r="M120" s="1075"/>
      <c r="N120" s="1075"/>
      <c r="O120" s="1075"/>
      <c r="P120" s="1075">
        <f>Sheet1!AK114</f>
        <v>5390</v>
      </c>
      <c r="Q120" s="1075"/>
      <c r="R120" s="1075">
        <f>Sheet1!AD114</f>
        <v>31500</v>
      </c>
      <c r="S120" s="1081">
        <f>Sheet1!AG114</f>
        <v>0.52587646076794659</v>
      </c>
      <c r="T120" s="1075" t="str">
        <f>Sheet1!AH114</f>
        <v>C</v>
      </c>
      <c r="U120" s="1075" t="str">
        <f>Sheet1!AI114</f>
        <v>-</v>
      </c>
      <c r="V120" s="1075"/>
      <c r="W120" s="1075"/>
      <c r="X120" s="1075" t="str">
        <f>Sheet1!AJ114</f>
        <v>-</v>
      </c>
      <c r="Y120" s="1075"/>
      <c r="Z120" s="1075"/>
      <c r="AA120" s="1075"/>
      <c r="AB120" s="1075"/>
      <c r="AC120" s="1075"/>
      <c r="AD120" s="1075"/>
      <c r="AE120" s="1075"/>
      <c r="AF120" s="1075"/>
      <c r="AG120" s="1075"/>
      <c r="AH120" s="1075"/>
      <c r="AI120" s="1075"/>
      <c r="AJ120" s="1075"/>
      <c r="AK120" s="1075" t="str">
        <f>IF(Sheet1!AE117="C",Sheet1!AK117,"-")</f>
        <v>-</v>
      </c>
      <c r="AL120" s="1075">
        <f>IF(Sheet1!AE117="D",Sheet1!AK117,"-")</f>
        <v>5390</v>
      </c>
      <c r="AM120" s="1075" t="str">
        <f>IF(Sheet1!AE114="E",Sheet1!AK114,"-")</f>
        <v>-</v>
      </c>
    </row>
    <row r="121" spans="2:39" x14ac:dyDescent="0.25">
      <c r="B121" s="1082">
        <f>Sheet1!F115</f>
        <v>528</v>
      </c>
      <c r="C121" s="1075" t="str">
        <f>Sheet1!C115</f>
        <v>SR 5A - Nova Rd.</v>
      </c>
      <c r="D121" s="1075" t="str">
        <f>_xlfn.TEXTBEFORE(Sheet1!E115, " to ")</f>
        <v>LPGA Blvd.</v>
      </c>
      <c r="E121" s="1075" t="str">
        <f>_xlfn.TEXTAFTER(Sheet1!E115, " to ")</f>
        <v>Hand Ave.</v>
      </c>
      <c r="F121" s="1075">
        <f>Sheet1!AM115</f>
        <v>6</v>
      </c>
      <c r="G121" s="1075"/>
      <c r="H121" s="1083" t="str">
        <f>Sheet1!AE115</f>
        <v>D</v>
      </c>
      <c r="I121" s="1075"/>
      <c r="J121" s="1075" t="str">
        <f>Sheet1!Q115</f>
        <v>UA_SSAC1_2W_6L_D_WL</v>
      </c>
      <c r="K121" s="1075"/>
      <c r="L121" s="1075">
        <f>Sheet1!AF115</f>
        <v>59900</v>
      </c>
      <c r="M121" s="1075"/>
      <c r="N121" s="1075"/>
      <c r="O121" s="1075"/>
      <c r="P121" s="1075">
        <f>Sheet1!AK115</f>
        <v>5390</v>
      </c>
      <c r="Q121" s="1075"/>
      <c r="R121" s="1075">
        <f>Sheet1!AD115</f>
        <v>28000</v>
      </c>
      <c r="S121" s="1081">
        <f>Sheet1!AG115</f>
        <v>0.46744574290484142</v>
      </c>
      <c r="T121" s="1075" t="str">
        <f>Sheet1!AH115</f>
        <v>C</v>
      </c>
      <c r="U121" s="1075" t="str">
        <f>Sheet1!AI115</f>
        <v>-</v>
      </c>
      <c r="V121" s="1075"/>
      <c r="W121" s="1075"/>
      <c r="X121" s="1075" t="str">
        <f>Sheet1!AJ115</f>
        <v>-</v>
      </c>
      <c r="Y121" s="1075"/>
      <c r="Z121" s="1075"/>
      <c r="AA121" s="1075"/>
      <c r="AB121" s="1075"/>
      <c r="AC121" s="1075"/>
      <c r="AD121" s="1075"/>
      <c r="AE121" s="1075"/>
      <c r="AF121" s="1075"/>
      <c r="AG121" s="1075"/>
      <c r="AH121" s="1075"/>
      <c r="AI121" s="1075"/>
      <c r="AJ121" s="1075"/>
      <c r="AK121" s="1075" t="str">
        <f>IF(Sheet1!AE118="C",Sheet1!AK118,"-")</f>
        <v>-</v>
      </c>
      <c r="AL121" s="1075">
        <f>IF(Sheet1!AE118="D",Sheet1!AK118,"-")</f>
        <v>3580</v>
      </c>
      <c r="AM121" s="1075" t="str">
        <f>IF(Sheet1!AE115="E",Sheet1!AK115,"-")</f>
        <v>-</v>
      </c>
    </row>
    <row r="122" spans="2:39" x14ac:dyDescent="0.25">
      <c r="B122" s="1082">
        <f>Sheet1!F116</f>
        <v>510</v>
      </c>
      <c r="C122" s="1075" t="str">
        <f>Sheet1!C116</f>
        <v>SR 5A - Nova Rd.</v>
      </c>
      <c r="D122" s="1075" t="str">
        <f>_xlfn.TEXTBEFORE(Sheet1!E116, " to ")</f>
        <v>Hand Ave.</v>
      </c>
      <c r="E122" s="1075" t="str">
        <f>_xlfn.TEXTAFTER(Sheet1!E116, " to ")</f>
        <v>SR 40/Granada Ave</v>
      </c>
      <c r="F122" s="1075">
        <f>Sheet1!AM116</f>
        <v>6</v>
      </c>
      <c r="G122" s="1075"/>
      <c r="H122" s="1083" t="str">
        <f>Sheet1!AE116</f>
        <v>D</v>
      </c>
      <c r="I122" s="1075"/>
      <c r="J122" s="1075" t="str">
        <f>Sheet1!Q116</f>
        <v>UA_SSAC1_2W_6L_D_WL</v>
      </c>
      <c r="K122" s="1075"/>
      <c r="L122" s="1075">
        <f>Sheet1!AF116</f>
        <v>59900</v>
      </c>
      <c r="M122" s="1075"/>
      <c r="N122" s="1075"/>
      <c r="O122" s="1075"/>
      <c r="P122" s="1075">
        <f>Sheet1!AK116</f>
        <v>5390</v>
      </c>
      <c r="Q122" s="1075"/>
      <c r="R122" s="1075">
        <f>Sheet1!AD116</f>
        <v>27500</v>
      </c>
      <c r="S122" s="1081">
        <f>Sheet1!AG116</f>
        <v>0.45909849749582637</v>
      </c>
      <c r="T122" s="1075" t="str">
        <f>Sheet1!AH116</f>
        <v>C</v>
      </c>
      <c r="U122" s="1075" t="str">
        <f>Sheet1!AI116</f>
        <v>-</v>
      </c>
      <c r="V122" s="1075"/>
      <c r="W122" s="1075"/>
      <c r="X122" s="1075" t="str">
        <f>Sheet1!AJ116</f>
        <v>-</v>
      </c>
      <c r="Y122" s="1075"/>
      <c r="Z122" s="1075"/>
      <c r="AA122" s="1075"/>
      <c r="AB122" s="1075"/>
      <c r="AC122" s="1075"/>
      <c r="AD122" s="1075"/>
      <c r="AE122" s="1075"/>
      <c r="AF122" s="1075"/>
      <c r="AG122" s="1075"/>
      <c r="AH122" s="1075"/>
      <c r="AI122" s="1075"/>
      <c r="AJ122" s="1075"/>
      <c r="AK122" s="1075" t="str">
        <f>IF(Sheet1!AE119="C",Sheet1!AK119,"-")</f>
        <v>-</v>
      </c>
      <c r="AL122" s="1075">
        <f>IF(Sheet1!AE119="D",Sheet1!AK119,"-")</f>
        <v>2180</v>
      </c>
      <c r="AM122" s="1075" t="str">
        <f>IF(Sheet1!AE116="E",Sheet1!AK116,"-")</f>
        <v>-</v>
      </c>
    </row>
    <row r="123" spans="2:39" x14ac:dyDescent="0.25">
      <c r="B123" s="1082">
        <f>Sheet1!F117</f>
        <v>518</v>
      </c>
      <c r="C123" s="1075" t="str">
        <f>Sheet1!C117</f>
        <v>SR 5A - Nova Rd.</v>
      </c>
      <c r="D123" s="1075" t="str">
        <f>_xlfn.TEXTBEFORE(Sheet1!E117, " to ")</f>
        <v>SR 40/Granada Ave</v>
      </c>
      <c r="E123" s="1075" t="str">
        <f>_xlfn.TEXTAFTER(Sheet1!E117, " to ")</f>
        <v>Wilmette Ave.</v>
      </c>
      <c r="F123" s="1075">
        <f>Sheet1!AM117</f>
        <v>6</v>
      </c>
      <c r="G123" s="1075"/>
      <c r="H123" s="1083" t="str">
        <f>Sheet1!AE117</f>
        <v>D</v>
      </c>
      <c r="I123" s="1075"/>
      <c r="J123" s="1075" t="str">
        <f>Sheet1!Q117</f>
        <v>UA_SSAC1_2W_6L_D_WL</v>
      </c>
      <c r="K123" s="1075"/>
      <c r="L123" s="1075">
        <f>Sheet1!AF117</f>
        <v>59900</v>
      </c>
      <c r="M123" s="1075"/>
      <c r="N123" s="1075"/>
      <c r="O123" s="1075"/>
      <c r="P123" s="1075">
        <f>Sheet1!AK117</f>
        <v>5390</v>
      </c>
      <c r="Q123" s="1075"/>
      <c r="R123" s="1075">
        <f>Sheet1!AD117</f>
        <v>21500</v>
      </c>
      <c r="S123" s="1081">
        <f>Sheet1!AG117</f>
        <v>0.35893155258764609</v>
      </c>
      <c r="T123" s="1075" t="str">
        <f>Sheet1!AH117</f>
        <v>C</v>
      </c>
      <c r="U123" s="1075" t="str">
        <f>Sheet1!AI117</f>
        <v>-</v>
      </c>
      <c r="V123" s="1075"/>
      <c r="W123" s="1075"/>
      <c r="X123" s="1075" t="str">
        <f>Sheet1!AJ117</f>
        <v>-</v>
      </c>
      <c r="Y123" s="1075"/>
      <c r="Z123" s="1075"/>
      <c r="AA123" s="1075"/>
      <c r="AB123" s="1075"/>
      <c r="AC123" s="1075"/>
      <c r="AD123" s="1075"/>
      <c r="AE123" s="1075"/>
      <c r="AF123" s="1075"/>
      <c r="AG123" s="1075"/>
      <c r="AH123" s="1075"/>
      <c r="AI123" s="1075"/>
      <c r="AJ123" s="1075"/>
      <c r="AK123" s="1075">
        <f>IF(Sheet1!AE120="C",Sheet1!AK120,"-")</f>
        <v>620</v>
      </c>
      <c r="AL123" s="1075" t="str">
        <f>IF(Sheet1!AE120="D",Sheet1!AK120,"-")</f>
        <v>-</v>
      </c>
      <c r="AM123" s="1075" t="str">
        <f>IF(Sheet1!AE117="E",Sheet1!AK117,"-")</f>
        <v>-</v>
      </c>
    </row>
    <row r="124" spans="2:39" x14ac:dyDescent="0.25">
      <c r="B124" s="1082">
        <f>Sheet1!F118</f>
        <v>459</v>
      </c>
      <c r="C124" s="1075" t="str">
        <f>Sheet1!C118</f>
        <v>SR 5A - Nova Rd.</v>
      </c>
      <c r="D124" s="1075" t="str">
        <f>_xlfn.TEXTBEFORE(Sheet1!E118, " to ")</f>
        <v>Wilmette Ave.</v>
      </c>
      <c r="E124" s="1075" t="str">
        <f>_xlfn.TEXTAFTER(Sheet1!E118, " to ")</f>
        <v>US 1</v>
      </c>
      <c r="F124" s="1075">
        <f>Sheet1!AM118</f>
        <v>4</v>
      </c>
      <c r="G124" s="1075"/>
      <c r="H124" s="1083" t="str">
        <f>Sheet1!AE118</f>
        <v>D</v>
      </c>
      <c r="I124" s="1075"/>
      <c r="J124" s="1075" t="str">
        <f>Sheet1!Q118</f>
        <v>UA_SSAC1_2W_4L_D_WL</v>
      </c>
      <c r="K124" s="1075"/>
      <c r="L124" s="1075">
        <f>Sheet1!AF118</f>
        <v>39800</v>
      </c>
      <c r="M124" s="1075"/>
      <c r="N124" s="1075"/>
      <c r="O124" s="1075"/>
      <c r="P124" s="1075">
        <f>Sheet1!AK118</f>
        <v>3580</v>
      </c>
      <c r="Q124" s="1075"/>
      <c r="R124" s="1075">
        <f>Sheet1!AD118</f>
        <v>14400</v>
      </c>
      <c r="S124" s="1081">
        <f>Sheet1!AG118</f>
        <v>0.36180904522613067</v>
      </c>
      <c r="T124" s="1075" t="str">
        <f>Sheet1!AH118</f>
        <v>C</v>
      </c>
      <c r="U124" s="1075" t="str">
        <f>Sheet1!AI118</f>
        <v>-</v>
      </c>
      <c r="V124" s="1075"/>
      <c r="W124" s="1075"/>
      <c r="X124" s="1075" t="str">
        <f>Sheet1!AJ118</f>
        <v>-</v>
      </c>
      <c r="Y124" s="1075"/>
      <c r="Z124" s="1075"/>
      <c r="AA124" s="1075"/>
      <c r="AB124" s="1075"/>
      <c r="AC124" s="1075"/>
      <c r="AD124" s="1075"/>
      <c r="AE124" s="1075"/>
      <c r="AF124" s="1075"/>
      <c r="AG124" s="1075"/>
      <c r="AH124" s="1075"/>
      <c r="AI124" s="1075"/>
      <c r="AJ124" s="1075"/>
      <c r="AK124" s="1075">
        <f>IF(Sheet1!AE121="C",Sheet1!AK121,"-")</f>
        <v>620</v>
      </c>
      <c r="AL124" s="1075" t="str">
        <f>IF(Sheet1!AE121="D",Sheet1!AK121,"-")</f>
        <v>-</v>
      </c>
      <c r="AM124" s="1075" t="str">
        <f>IF(Sheet1!AE118="E",Sheet1!AK118,"-")</f>
        <v>-</v>
      </c>
    </row>
    <row r="125" spans="2:39" x14ac:dyDescent="0.25">
      <c r="B125" s="1082">
        <f>Sheet1!F119</f>
        <v>4</v>
      </c>
      <c r="C125" s="1075" t="str">
        <f>Sheet1!C119</f>
        <v>SR 11</v>
      </c>
      <c r="D125" s="1075" t="str">
        <f>_xlfn.TEXTBEFORE(Sheet1!E119, " to ")</f>
        <v>US 17</v>
      </c>
      <c r="E125" s="1075" t="str">
        <f>_xlfn.TEXTAFTER(Sheet1!E119, " to ")</f>
        <v>CR 15A</v>
      </c>
      <c r="F125" s="1075">
        <f>Sheet1!AM119</f>
        <v>2</v>
      </c>
      <c r="G125" s="1075"/>
      <c r="H125" s="1083" t="str">
        <f>Sheet1!AE119</f>
        <v>D</v>
      </c>
      <c r="I125" s="1075"/>
      <c r="J125" s="1075" t="str">
        <f>Sheet1!Q119</f>
        <v>UA_UFH_2W_2L_U_WL</v>
      </c>
      <c r="K125" s="1075"/>
      <c r="L125" s="1075">
        <f>Sheet1!AF119</f>
        <v>24200</v>
      </c>
      <c r="M125" s="1075"/>
      <c r="N125" s="1075"/>
      <c r="O125" s="1075"/>
      <c r="P125" s="1075">
        <f>Sheet1!AK119</f>
        <v>2180</v>
      </c>
      <c r="Q125" s="1075"/>
      <c r="R125" s="1075">
        <f>Sheet1!AD119</f>
        <v>6500</v>
      </c>
      <c r="S125" s="1081">
        <f>Sheet1!AG119</f>
        <v>0.26859504132231404</v>
      </c>
      <c r="T125" s="1075" t="str">
        <f>Sheet1!AH119</f>
        <v>B</v>
      </c>
      <c r="U125" s="1075" t="str">
        <f>Sheet1!AI119</f>
        <v>-</v>
      </c>
      <c r="V125" s="1075"/>
      <c r="W125" s="1075"/>
      <c r="X125" s="1075" t="str">
        <f>Sheet1!AJ119</f>
        <v>-</v>
      </c>
      <c r="Y125" s="1075"/>
      <c r="Z125" s="1075"/>
      <c r="AA125" s="1075"/>
      <c r="AB125" s="1075"/>
      <c r="AC125" s="1075"/>
      <c r="AD125" s="1075"/>
      <c r="AE125" s="1075"/>
      <c r="AF125" s="1075"/>
      <c r="AG125" s="1075"/>
      <c r="AH125" s="1075"/>
      <c r="AI125" s="1075"/>
      <c r="AJ125" s="1075"/>
      <c r="AK125" s="1075" t="str">
        <f>IF(Sheet1!AE122="C",Sheet1!AK122,"-")</f>
        <v>-</v>
      </c>
      <c r="AL125" s="1075">
        <f>IF(Sheet1!AE122="D",Sheet1!AK122,"-")</f>
        <v>3580</v>
      </c>
      <c r="AM125" s="1075" t="str">
        <f>IF(Sheet1!AE119="E",Sheet1!AK119,"-")</f>
        <v>-</v>
      </c>
    </row>
    <row r="126" spans="2:39" x14ac:dyDescent="0.25">
      <c r="B126" s="1082">
        <f>Sheet1!F120</f>
        <v>527</v>
      </c>
      <c r="C126" s="1075" t="str">
        <f>Sheet1!C120</f>
        <v>SR 11</v>
      </c>
      <c r="D126" s="1075" t="str">
        <f>_xlfn.TEXTBEFORE(Sheet1!E120, " to ")</f>
        <v>CR 15A</v>
      </c>
      <c r="E126" s="1075" t="str">
        <f>_xlfn.TEXTAFTER(Sheet1!E120, " to ")</f>
        <v>SR 40</v>
      </c>
      <c r="F126" s="1075">
        <f>Sheet1!AM120</f>
        <v>2</v>
      </c>
      <c r="G126" s="1075"/>
      <c r="H126" s="1083" t="str">
        <f>Sheet1!AE120</f>
        <v>C</v>
      </c>
      <c r="I126" s="1075"/>
      <c r="J126" s="1075" t="str">
        <f>Sheet1!Q120</f>
        <v>RUA_UFH_2W_2L_U_0L</v>
      </c>
      <c r="K126" s="1075"/>
      <c r="L126" s="1075">
        <f>Sheet1!AF120</f>
        <v>6450</v>
      </c>
      <c r="M126" s="1075"/>
      <c r="N126" s="1075"/>
      <c r="O126" s="1075"/>
      <c r="P126" s="1075">
        <f>Sheet1!AK120</f>
        <v>620</v>
      </c>
      <c r="Q126" s="1075"/>
      <c r="R126" s="1075">
        <f>Sheet1!AD120</f>
        <v>3900</v>
      </c>
      <c r="S126" s="1081">
        <f>Sheet1!AG120</f>
        <v>0.60465116279069764</v>
      </c>
      <c r="T126" s="1075" t="str">
        <f>Sheet1!AH120</f>
        <v>C</v>
      </c>
      <c r="U126" s="1075" t="str">
        <f>Sheet1!AI120</f>
        <v>-</v>
      </c>
      <c r="V126" s="1075"/>
      <c r="W126" s="1075"/>
      <c r="X126" s="1075" t="str">
        <f>Sheet1!AJ120</f>
        <v>-</v>
      </c>
      <c r="Y126" s="1075"/>
      <c r="Z126" s="1075"/>
      <c r="AA126" s="1075"/>
      <c r="AB126" s="1075"/>
      <c r="AC126" s="1075"/>
      <c r="AD126" s="1075"/>
      <c r="AE126" s="1075"/>
      <c r="AF126" s="1075"/>
      <c r="AG126" s="1075"/>
      <c r="AH126" s="1075"/>
      <c r="AI126" s="1075"/>
      <c r="AJ126" s="1075"/>
      <c r="AK126" s="1075" t="str">
        <f>IF(Sheet1!AE123="C",Sheet1!AK123,"-")</f>
        <v>-</v>
      </c>
      <c r="AL126" s="1075">
        <f>IF(Sheet1!AE123="D",Sheet1!AK123,"-")</f>
        <v>3580</v>
      </c>
      <c r="AM126" s="1075" t="str">
        <f>IF(Sheet1!AE120="E",Sheet1!AK120,"-")</f>
        <v>-</v>
      </c>
    </row>
    <row r="127" spans="2:39" x14ac:dyDescent="0.25">
      <c r="B127" s="1082" t="str">
        <f>Sheet1!F121</f>
        <v>0009-F</v>
      </c>
      <c r="C127" s="1075" t="str">
        <f>Sheet1!C121</f>
        <v>SR 11</v>
      </c>
      <c r="D127" s="1075" t="str">
        <f>_xlfn.TEXTBEFORE(Sheet1!E121, " to ")</f>
        <v>SR 40</v>
      </c>
      <c r="E127" s="1075" t="str">
        <f>_xlfn.TEXTAFTER(Sheet1!E121, " to ")</f>
        <v>Flagler Co. Line</v>
      </c>
      <c r="F127" s="1075">
        <f>Sheet1!AM121</f>
        <v>2</v>
      </c>
      <c r="G127" s="1075"/>
      <c r="H127" s="1083" t="str">
        <f>Sheet1!AE121</f>
        <v>C</v>
      </c>
      <c r="I127" s="1075"/>
      <c r="J127" s="1075" t="str">
        <f>Sheet1!Q121</f>
        <v>RUA_UFH_2W_2L_U_0L</v>
      </c>
      <c r="K127" s="1075"/>
      <c r="L127" s="1075">
        <f>Sheet1!AF121</f>
        <v>6450</v>
      </c>
      <c r="M127" s="1075"/>
      <c r="N127" s="1075"/>
      <c r="O127" s="1075"/>
      <c r="P127" s="1075">
        <f>Sheet1!AK121</f>
        <v>620</v>
      </c>
      <c r="Q127" s="1075"/>
      <c r="R127" s="1075">
        <f>Sheet1!AD121</f>
        <v>3500</v>
      </c>
      <c r="S127" s="1081">
        <f>Sheet1!AG121</f>
        <v>0.54263565891472865</v>
      </c>
      <c r="T127" s="1075" t="str">
        <f>Sheet1!AH121</f>
        <v>C</v>
      </c>
      <c r="U127" s="1075" t="str">
        <f>Sheet1!AI121</f>
        <v>-</v>
      </c>
      <c r="V127" s="1075"/>
      <c r="W127" s="1075"/>
      <c r="X127" s="1075" t="str">
        <f>Sheet1!AJ121</f>
        <v>-</v>
      </c>
      <c r="Y127" s="1075"/>
      <c r="Z127" s="1075"/>
      <c r="AA127" s="1075"/>
      <c r="AB127" s="1075"/>
      <c r="AC127" s="1075"/>
      <c r="AD127" s="1075"/>
      <c r="AE127" s="1075"/>
      <c r="AF127" s="1075"/>
      <c r="AG127" s="1075"/>
      <c r="AH127" s="1075"/>
      <c r="AI127" s="1075"/>
      <c r="AJ127" s="1075"/>
      <c r="AK127" s="1075" t="str">
        <f>IF(Sheet1!AE124="C",Sheet1!AK124,"-")</f>
        <v>-</v>
      </c>
      <c r="AL127" s="1075">
        <f>IF(Sheet1!AE124="D",Sheet1!AK124,"-")</f>
        <v>3580</v>
      </c>
      <c r="AM127" s="1075" t="str">
        <f>IF(Sheet1!AE121="E",Sheet1!AK121,"-")</f>
        <v>-</v>
      </c>
    </row>
    <row r="128" spans="2:39" x14ac:dyDescent="0.25">
      <c r="B128" s="1082">
        <f>Sheet1!F122</f>
        <v>1005</v>
      </c>
      <c r="C128" s="1075" t="str">
        <f>Sheet1!C122</f>
        <v>SR 15A</v>
      </c>
      <c r="D128" s="1075" t="str">
        <f>_xlfn.TEXTBEFORE(Sheet1!E122, " to ")</f>
        <v>US 17/92/Taylor</v>
      </c>
      <c r="E128" s="1075" t="str">
        <f>_xlfn.TEXTAFTER(Sheet1!E122, " to ")</f>
        <v>New Hampshire Ave.</v>
      </c>
      <c r="F128" s="1075">
        <f>Sheet1!AM122</f>
        <v>4</v>
      </c>
      <c r="G128" s="1075"/>
      <c r="H128" s="1083" t="str">
        <f>Sheet1!AE122</f>
        <v>D</v>
      </c>
      <c r="I128" s="1075"/>
      <c r="J128" s="1075" t="str">
        <f>Sheet1!Q122</f>
        <v>UA_SSAC1_2W_4L_D_WL</v>
      </c>
      <c r="K128" s="1075"/>
      <c r="L128" s="1075">
        <f>Sheet1!AF122</f>
        <v>39800</v>
      </c>
      <c r="M128" s="1075"/>
      <c r="N128" s="1075"/>
      <c r="O128" s="1075"/>
      <c r="P128" s="1075">
        <f>Sheet1!AK122</f>
        <v>3580</v>
      </c>
      <c r="Q128" s="1075"/>
      <c r="R128" s="1075">
        <f>Sheet1!AD122</f>
        <v>30500</v>
      </c>
      <c r="S128" s="1081">
        <f>Sheet1!AG122</f>
        <v>0.76633165829145733</v>
      </c>
      <c r="T128" s="1075" t="str">
        <f>Sheet1!AH122</f>
        <v>C</v>
      </c>
      <c r="U128" s="1075" t="str">
        <f>Sheet1!AI122</f>
        <v>-</v>
      </c>
      <c r="V128" s="1075"/>
      <c r="W128" s="1075"/>
      <c r="X128" s="1075" t="str">
        <f>Sheet1!AJ122</f>
        <v>-</v>
      </c>
      <c r="Y128" s="1075"/>
      <c r="Z128" s="1075"/>
      <c r="AA128" s="1075"/>
      <c r="AB128" s="1075"/>
      <c r="AC128" s="1075"/>
      <c r="AD128" s="1075"/>
      <c r="AE128" s="1075"/>
      <c r="AF128" s="1075"/>
      <c r="AG128" s="1075"/>
      <c r="AH128" s="1075"/>
      <c r="AI128" s="1075"/>
      <c r="AJ128" s="1075"/>
      <c r="AK128" s="1075" t="str">
        <f>IF(Sheet1!AE125="C",Sheet1!AK125,"-")</f>
        <v>-</v>
      </c>
      <c r="AL128" s="1075">
        <f>IF(Sheet1!AE125="D",Sheet1!AK125,"-")</f>
        <v>3580</v>
      </c>
      <c r="AM128" s="1075" t="str">
        <f>IF(Sheet1!AE122="E",Sheet1!AK122,"-")</f>
        <v>-</v>
      </c>
    </row>
    <row r="129" spans="2:39" x14ac:dyDescent="0.25">
      <c r="B129" s="1082">
        <f>Sheet1!F123</f>
        <v>6</v>
      </c>
      <c r="C129" s="1075" t="str">
        <f>Sheet1!C123</f>
        <v>SR 15A</v>
      </c>
      <c r="D129" s="1075" t="str">
        <f>_xlfn.TEXTBEFORE(Sheet1!E123, " to ")</f>
        <v>New Hampshire Ave.</v>
      </c>
      <c r="E129" s="1075" t="str">
        <f>_xlfn.TEXTAFTER(Sheet1!E123, " to ")</f>
        <v>Beresford Ave.</v>
      </c>
      <c r="F129" s="1075">
        <f>Sheet1!AM123</f>
        <v>4</v>
      </c>
      <c r="G129" s="1075"/>
      <c r="H129" s="1083" t="str">
        <f>Sheet1!AE123</f>
        <v>D</v>
      </c>
      <c r="I129" s="1075"/>
      <c r="J129" s="1075" t="str">
        <f>Sheet1!Q123</f>
        <v>UA_SSAC1_2W_4L_D_WL</v>
      </c>
      <c r="K129" s="1075"/>
      <c r="L129" s="1075">
        <f>Sheet1!AF123</f>
        <v>39800</v>
      </c>
      <c r="M129" s="1075"/>
      <c r="N129" s="1075"/>
      <c r="O129" s="1075"/>
      <c r="P129" s="1075">
        <f>Sheet1!AK123</f>
        <v>3580</v>
      </c>
      <c r="Q129" s="1075"/>
      <c r="R129" s="1075">
        <f>Sheet1!AD123</f>
        <v>28000</v>
      </c>
      <c r="S129" s="1081">
        <f>Sheet1!AG123</f>
        <v>0.70351758793969854</v>
      </c>
      <c r="T129" s="1075" t="str">
        <f>Sheet1!AH123</f>
        <v>C</v>
      </c>
      <c r="U129" s="1075">
        <f>Sheet1!AI123</f>
        <v>1760</v>
      </c>
      <c r="V129" s="1075"/>
      <c r="W129" s="1075"/>
      <c r="X129" s="1075">
        <f>Sheet1!AJ123</f>
        <v>2080</v>
      </c>
      <c r="Y129" s="1075"/>
      <c r="Z129" s="1075"/>
      <c r="AA129" s="1075"/>
      <c r="AB129" s="1075"/>
      <c r="AC129" s="1075"/>
      <c r="AD129" s="1075"/>
      <c r="AE129" s="1075"/>
      <c r="AF129" s="1075"/>
      <c r="AG129" s="1075"/>
      <c r="AH129" s="1075"/>
      <c r="AI129" s="1075"/>
      <c r="AJ129" s="1075"/>
      <c r="AK129" s="1075" t="str">
        <f>IF(Sheet1!AE126="C",Sheet1!AK126,"-")</f>
        <v>-</v>
      </c>
      <c r="AL129" s="1075">
        <f>IF(Sheet1!AE126="D",Sheet1!AK126,"-")</f>
        <v>3580</v>
      </c>
      <c r="AM129" s="1075" t="str">
        <f>IF(Sheet1!AE123="E",Sheet1!AK123,"-")</f>
        <v>-</v>
      </c>
    </row>
    <row r="130" spans="2:39" x14ac:dyDescent="0.25">
      <c r="B130" s="1082">
        <f>Sheet1!F124</f>
        <v>474</v>
      </c>
      <c r="C130" s="1075" t="str">
        <f>Sheet1!C124</f>
        <v>SR 15A</v>
      </c>
      <c r="D130" s="1075" t="str">
        <f>_xlfn.TEXTBEFORE(Sheet1!E124, " to ")</f>
        <v>Beresford Ave.</v>
      </c>
      <c r="E130" s="1075" t="str">
        <f>_xlfn.TEXTAFTER(Sheet1!E124, " to ")</f>
        <v>SR 44/New York Ave.</v>
      </c>
      <c r="F130" s="1075">
        <f>Sheet1!AM124</f>
        <v>4</v>
      </c>
      <c r="G130" s="1075"/>
      <c r="H130" s="1083" t="str">
        <f>Sheet1!AE124</f>
        <v>D</v>
      </c>
      <c r="I130" s="1075"/>
      <c r="J130" s="1075" t="str">
        <f>Sheet1!Q124</f>
        <v>UA_SSAC1_2W_4L_D_WL</v>
      </c>
      <c r="K130" s="1075"/>
      <c r="L130" s="1075">
        <f>Sheet1!AF124</f>
        <v>39800</v>
      </c>
      <c r="M130" s="1075"/>
      <c r="N130" s="1075"/>
      <c r="O130" s="1075"/>
      <c r="P130" s="1075">
        <f>Sheet1!AK124</f>
        <v>3580</v>
      </c>
      <c r="Q130" s="1075"/>
      <c r="R130" s="1075">
        <f>Sheet1!AD124</f>
        <v>26000</v>
      </c>
      <c r="S130" s="1081">
        <f>Sheet1!AG124</f>
        <v>0.65326633165829151</v>
      </c>
      <c r="T130" s="1075" t="str">
        <f>Sheet1!AH124</f>
        <v>C</v>
      </c>
      <c r="U130" s="1075" t="str">
        <f>Sheet1!AI124</f>
        <v>-</v>
      </c>
      <c r="V130" s="1075"/>
      <c r="W130" s="1075"/>
      <c r="X130" s="1075" t="str">
        <f>Sheet1!AJ124</f>
        <v>-</v>
      </c>
      <c r="Y130" s="1075"/>
      <c r="Z130" s="1075"/>
      <c r="AA130" s="1075"/>
      <c r="AB130" s="1075"/>
      <c r="AC130" s="1075"/>
      <c r="AD130" s="1075"/>
      <c r="AE130" s="1075"/>
      <c r="AF130" s="1075"/>
      <c r="AG130" s="1075"/>
      <c r="AH130" s="1075"/>
      <c r="AI130" s="1075"/>
      <c r="AJ130" s="1075"/>
      <c r="AK130" s="1075" t="str">
        <f>IF(Sheet1!AE127="C",Sheet1!AK127,"-")</f>
        <v>-</v>
      </c>
      <c r="AL130" s="1075">
        <f>IF(Sheet1!AE127="D",Sheet1!AK127,"-")</f>
        <v>3580</v>
      </c>
      <c r="AM130" s="1075" t="str">
        <f>IF(Sheet1!AE124="E",Sheet1!AK124,"-")</f>
        <v>-</v>
      </c>
    </row>
    <row r="131" spans="2:39" x14ac:dyDescent="0.25">
      <c r="B131" s="1082">
        <f>Sheet1!F125</f>
        <v>463</v>
      </c>
      <c r="C131" s="1075" t="str">
        <f>Sheet1!C125</f>
        <v>SR 15A</v>
      </c>
      <c r="D131" s="1075" t="str">
        <f>_xlfn.TEXTBEFORE(Sheet1!E125, " to ")</f>
        <v>SR 44/New York Ave.</v>
      </c>
      <c r="E131" s="1075" t="str">
        <f>_xlfn.TEXTAFTER(Sheet1!E125, " to ")</f>
        <v>Plymouth Ave.</v>
      </c>
      <c r="F131" s="1075">
        <f>Sheet1!AM125</f>
        <v>4</v>
      </c>
      <c r="G131" s="1075"/>
      <c r="H131" s="1083" t="str">
        <f>Sheet1!AE125</f>
        <v>D</v>
      </c>
      <c r="I131" s="1075"/>
      <c r="J131" s="1075" t="str">
        <f>Sheet1!Q125</f>
        <v>UA_SSAC1_2W_4L_D_WL</v>
      </c>
      <c r="K131" s="1075"/>
      <c r="L131" s="1075">
        <f>Sheet1!AF125</f>
        <v>39800</v>
      </c>
      <c r="M131" s="1075"/>
      <c r="N131" s="1075"/>
      <c r="O131" s="1075"/>
      <c r="P131" s="1075">
        <f>Sheet1!AK125</f>
        <v>3580</v>
      </c>
      <c r="Q131" s="1075"/>
      <c r="R131" s="1075">
        <f>Sheet1!AD125</f>
        <v>24000</v>
      </c>
      <c r="S131" s="1081">
        <f>Sheet1!AG125</f>
        <v>0.60301507537688437</v>
      </c>
      <c r="T131" s="1075" t="str">
        <f>Sheet1!AH125</f>
        <v>C</v>
      </c>
      <c r="U131" s="1075">
        <f>Sheet1!AI125</f>
        <v>1830</v>
      </c>
      <c r="V131" s="1075"/>
      <c r="W131" s="1075"/>
      <c r="X131" s="1075">
        <f>Sheet1!AJ125</f>
        <v>1940</v>
      </c>
      <c r="Y131" s="1075"/>
      <c r="Z131" s="1075"/>
      <c r="AA131" s="1075"/>
      <c r="AB131" s="1075"/>
      <c r="AC131" s="1075"/>
      <c r="AD131" s="1075"/>
      <c r="AE131" s="1075"/>
      <c r="AF131" s="1075"/>
      <c r="AG131" s="1075"/>
      <c r="AH131" s="1075"/>
      <c r="AI131" s="1075"/>
      <c r="AJ131" s="1075"/>
      <c r="AK131" s="1075" t="str">
        <f>IF(Sheet1!AE128="C",Sheet1!AK128,"-")</f>
        <v>-</v>
      </c>
      <c r="AL131" s="1075">
        <f>IF(Sheet1!AE128="D",Sheet1!AK128,"-")</f>
        <v>3580</v>
      </c>
      <c r="AM131" s="1075" t="str">
        <f>IF(Sheet1!AE125="E",Sheet1!AK125,"-")</f>
        <v>-</v>
      </c>
    </row>
    <row r="132" spans="2:39" x14ac:dyDescent="0.25">
      <c r="B132" s="1082">
        <f>Sheet1!F126</f>
        <v>537</v>
      </c>
      <c r="C132" s="1075" t="str">
        <f>Sheet1!C126</f>
        <v>SR 15A</v>
      </c>
      <c r="D132" s="1075" t="str">
        <f>_xlfn.TEXTBEFORE(Sheet1!E126, " to ")</f>
        <v>Plymouth Ave.</v>
      </c>
      <c r="E132" s="1075" t="str">
        <f>_xlfn.TEXTAFTER(Sheet1!E126, " to ")</f>
        <v>CR 92</v>
      </c>
      <c r="F132" s="1075">
        <f>Sheet1!AM126</f>
        <v>4</v>
      </c>
      <c r="G132" s="1075"/>
      <c r="H132" s="1083" t="str">
        <f>Sheet1!AE126</f>
        <v>D</v>
      </c>
      <c r="I132" s="1075"/>
      <c r="J132" s="1075" t="str">
        <f>Sheet1!Q126</f>
        <v>UA_SSAC1_2W_4L_D_WL</v>
      </c>
      <c r="K132" s="1075"/>
      <c r="L132" s="1075">
        <f>Sheet1!AF126</f>
        <v>39800</v>
      </c>
      <c r="M132" s="1075"/>
      <c r="N132" s="1075"/>
      <c r="O132" s="1075"/>
      <c r="P132" s="1075">
        <f>Sheet1!AK126</f>
        <v>3580</v>
      </c>
      <c r="Q132" s="1075"/>
      <c r="R132" s="1075">
        <f>Sheet1!AD126</f>
        <v>24000</v>
      </c>
      <c r="S132" s="1081">
        <f>Sheet1!AG126</f>
        <v>0.60301507537688437</v>
      </c>
      <c r="T132" s="1075" t="str">
        <f>Sheet1!AH126</f>
        <v>C</v>
      </c>
      <c r="U132" s="1075" t="str">
        <f>Sheet1!AI126</f>
        <v>-</v>
      </c>
      <c r="V132" s="1075"/>
      <c r="W132" s="1075"/>
      <c r="X132" s="1075" t="str">
        <f>Sheet1!AJ126</f>
        <v>-</v>
      </c>
      <c r="Y132" s="1075"/>
      <c r="Z132" s="1075"/>
      <c r="AA132" s="1075"/>
      <c r="AB132" s="1075"/>
      <c r="AC132" s="1075"/>
      <c r="AD132" s="1075"/>
      <c r="AE132" s="1075"/>
      <c r="AF132" s="1075"/>
      <c r="AG132" s="1075"/>
      <c r="AH132" s="1075"/>
      <c r="AI132" s="1075"/>
      <c r="AJ132" s="1075"/>
      <c r="AK132" s="1075">
        <f>IF(Sheet1!AE129="C",Sheet1!AK129,"-")</f>
        <v>1490</v>
      </c>
      <c r="AL132" s="1075" t="str">
        <f>IF(Sheet1!AE129="D",Sheet1!AK129,"-")</f>
        <v>-</v>
      </c>
      <c r="AM132" s="1075" t="str">
        <f>IF(Sheet1!AE126="E",Sheet1!AK126,"-")</f>
        <v>-</v>
      </c>
    </row>
    <row r="133" spans="2:39" x14ac:dyDescent="0.25">
      <c r="B133" s="1082">
        <f>Sheet1!F127</f>
        <v>465</v>
      </c>
      <c r="C133" s="1075" t="str">
        <f>Sheet1!C127</f>
        <v>SR 15A</v>
      </c>
      <c r="D133" s="1075" t="str">
        <f>_xlfn.TEXTBEFORE(Sheet1!E127, " to ")</f>
        <v>CR 92</v>
      </c>
      <c r="E133" s="1075" t="str">
        <f>_xlfn.TEXTAFTER(Sheet1!E127, " to ")</f>
        <v>Glenwood Rd.</v>
      </c>
      <c r="F133" s="1075">
        <f>Sheet1!AM127</f>
        <v>4</v>
      </c>
      <c r="G133" s="1075"/>
      <c r="H133" s="1083" t="str">
        <f>Sheet1!AE127</f>
        <v>D</v>
      </c>
      <c r="I133" s="1075"/>
      <c r="J133" s="1075" t="str">
        <f>Sheet1!Q127</f>
        <v>UA_SSAC1_2W_4L_D_WL</v>
      </c>
      <c r="K133" s="1075"/>
      <c r="L133" s="1075">
        <f>Sheet1!AF127</f>
        <v>39800</v>
      </c>
      <c r="M133" s="1075"/>
      <c r="N133" s="1075"/>
      <c r="O133" s="1075"/>
      <c r="P133" s="1075">
        <f>Sheet1!AK127</f>
        <v>3580</v>
      </c>
      <c r="Q133" s="1075"/>
      <c r="R133" s="1075">
        <f>Sheet1!AD127</f>
        <v>13600</v>
      </c>
      <c r="S133" s="1081">
        <f>Sheet1!AG127</f>
        <v>0.34170854271356782</v>
      </c>
      <c r="T133" s="1075" t="str">
        <f>Sheet1!AH127</f>
        <v>C</v>
      </c>
      <c r="U133" s="1075" t="str">
        <f>Sheet1!AI127</f>
        <v>-</v>
      </c>
      <c r="V133" s="1075"/>
      <c r="W133" s="1075"/>
      <c r="X133" s="1075" t="str">
        <f>Sheet1!AJ127</f>
        <v>-</v>
      </c>
      <c r="Y133" s="1075"/>
      <c r="Z133" s="1075"/>
      <c r="AA133" s="1075"/>
      <c r="AB133" s="1075"/>
      <c r="AC133" s="1075"/>
      <c r="AD133" s="1075"/>
      <c r="AE133" s="1075"/>
      <c r="AF133" s="1075"/>
      <c r="AG133" s="1075"/>
      <c r="AH133" s="1075"/>
      <c r="AI133" s="1075"/>
      <c r="AJ133" s="1075"/>
      <c r="AK133" s="1075">
        <f>IF(Sheet1!AE130="C",Sheet1!AK130,"-")</f>
        <v>1490</v>
      </c>
      <c r="AL133" s="1075" t="str">
        <f>IF(Sheet1!AE130="D",Sheet1!AK130,"-")</f>
        <v>-</v>
      </c>
      <c r="AM133" s="1075" t="str">
        <f>IF(Sheet1!AE127="E",Sheet1!AK127,"-")</f>
        <v>-</v>
      </c>
    </row>
    <row r="134" spans="2:39" x14ac:dyDescent="0.25">
      <c r="B134" s="1082">
        <f>Sheet1!F128</f>
        <v>466</v>
      </c>
      <c r="C134" s="1075" t="str">
        <f>Sheet1!C128</f>
        <v>SR 15A</v>
      </c>
      <c r="D134" s="1075" t="str">
        <f>_xlfn.TEXTBEFORE(Sheet1!E128, " to ")</f>
        <v>Glenwood Rd.</v>
      </c>
      <c r="E134" s="1075" t="str">
        <f>_xlfn.TEXTAFTER(Sheet1!E128, " to ")</f>
        <v>US 17</v>
      </c>
      <c r="F134" s="1075">
        <f>Sheet1!AM128</f>
        <v>4</v>
      </c>
      <c r="G134" s="1075"/>
      <c r="H134" s="1083" t="str">
        <f>Sheet1!AE128</f>
        <v>D</v>
      </c>
      <c r="I134" s="1075"/>
      <c r="J134" s="1075" t="str">
        <f>Sheet1!Q128</f>
        <v>UA_SSAC1_2W_4L_D_WL</v>
      </c>
      <c r="K134" s="1075"/>
      <c r="L134" s="1075">
        <f>Sheet1!AF128</f>
        <v>39800</v>
      </c>
      <c r="M134" s="1075"/>
      <c r="N134" s="1075"/>
      <c r="O134" s="1075"/>
      <c r="P134" s="1075">
        <f>Sheet1!AK128</f>
        <v>3580</v>
      </c>
      <c r="Q134" s="1075"/>
      <c r="R134" s="1075">
        <f>Sheet1!AD128</f>
        <v>12200</v>
      </c>
      <c r="S134" s="1081">
        <f>Sheet1!AG128</f>
        <v>0.30653266331658291</v>
      </c>
      <c r="T134" s="1075" t="str">
        <f>Sheet1!AH128</f>
        <v>C</v>
      </c>
      <c r="U134" s="1075" t="str">
        <f>Sheet1!AI128</f>
        <v>-</v>
      </c>
      <c r="V134" s="1075"/>
      <c r="W134" s="1075"/>
      <c r="X134" s="1075" t="str">
        <f>Sheet1!AJ128</f>
        <v>-</v>
      </c>
      <c r="Y134" s="1075"/>
      <c r="Z134" s="1075"/>
      <c r="AA134" s="1075"/>
      <c r="AB134" s="1075"/>
      <c r="AC134" s="1075"/>
      <c r="AD134" s="1075"/>
      <c r="AE134" s="1075"/>
      <c r="AF134" s="1075"/>
      <c r="AG134" s="1075"/>
      <c r="AH134" s="1075"/>
      <c r="AI134" s="1075"/>
      <c r="AJ134" s="1075"/>
      <c r="AK134" s="1075">
        <f>IF(Sheet1!AE131="C",Sheet1!AK131,"-")</f>
        <v>820</v>
      </c>
      <c r="AL134" s="1075" t="str">
        <f>IF(Sheet1!AE131="D",Sheet1!AK131,"-")</f>
        <v>-</v>
      </c>
      <c r="AM134" s="1075" t="str">
        <f>IF(Sheet1!AE128="E",Sheet1!AK128,"-")</f>
        <v>-</v>
      </c>
    </row>
    <row r="135" spans="2:39" x14ac:dyDescent="0.25">
      <c r="B135" s="1082">
        <f>Sheet1!F129</f>
        <v>533</v>
      </c>
      <c r="C135" s="1075" t="str">
        <f>Sheet1!C129</f>
        <v>SR 40</v>
      </c>
      <c r="D135" s="1075" t="str">
        <f>_xlfn.TEXTBEFORE(Sheet1!E129, " to ")</f>
        <v>Lake County</v>
      </c>
      <c r="E135" s="1075" t="str">
        <f>_xlfn.TEXTAFTER(Sheet1!E129, " to ")</f>
        <v>Emporia Rd.</v>
      </c>
      <c r="F135" s="1075">
        <f>Sheet1!AM129</f>
        <v>2</v>
      </c>
      <c r="G135" s="1075"/>
      <c r="H135" s="1083" t="str">
        <f>Sheet1!AE129</f>
        <v>C</v>
      </c>
      <c r="I135" s="1075"/>
      <c r="J135" s="1075" t="str">
        <f>Sheet1!Q129</f>
        <v>RDA_UFH_2W_2L_U_WL</v>
      </c>
      <c r="K135" s="1075"/>
      <c r="L135" s="1075">
        <f>Sheet1!AF129</f>
        <v>15700</v>
      </c>
      <c r="M135" s="1075"/>
      <c r="N135" s="1075"/>
      <c r="O135" s="1075"/>
      <c r="P135" s="1075">
        <f>Sheet1!AK129</f>
        <v>1490</v>
      </c>
      <c r="Q135" s="1075"/>
      <c r="R135" s="1075">
        <f>Sheet1!AD129</f>
        <v>8500</v>
      </c>
      <c r="S135" s="1081">
        <f>Sheet1!AG129</f>
        <v>0.54140127388535031</v>
      </c>
      <c r="T135" s="1075" t="str">
        <f>Sheet1!AH129</f>
        <v>B</v>
      </c>
      <c r="U135" s="1075" t="str">
        <f>Sheet1!AI129</f>
        <v>-</v>
      </c>
      <c r="V135" s="1075"/>
      <c r="W135" s="1075"/>
      <c r="X135" s="1075" t="str">
        <f>Sheet1!AJ129</f>
        <v>-</v>
      </c>
      <c r="Y135" s="1075"/>
      <c r="Z135" s="1075"/>
      <c r="AA135" s="1075"/>
      <c r="AB135" s="1075"/>
      <c r="AC135" s="1075"/>
      <c r="AD135" s="1075"/>
      <c r="AE135" s="1075"/>
      <c r="AF135" s="1075"/>
      <c r="AG135" s="1075"/>
      <c r="AH135" s="1075"/>
      <c r="AI135" s="1075"/>
      <c r="AJ135" s="1075"/>
      <c r="AK135" s="1075">
        <f>IF(Sheet1!AE132="C",Sheet1!AK132,"-")</f>
        <v>820</v>
      </c>
      <c r="AL135" s="1075" t="str">
        <f>IF(Sheet1!AE132="D",Sheet1!AK132,"-")</f>
        <v>-</v>
      </c>
      <c r="AM135" s="1075" t="str">
        <f>IF(Sheet1!AE129="E",Sheet1!AK129,"-")</f>
        <v>-</v>
      </c>
    </row>
    <row r="136" spans="2:39" x14ac:dyDescent="0.25">
      <c r="B136" s="1082">
        <f>Sheet1!F130</f>
        <v>344</v>
      </c>
      <c r="C136" s="1075" t="str">
        <f>Sheet1!C130</f>
        <v>SR 40</v>
      </c>
      <c r="D136" s="1075" t="str">
        <f>_xlfn.TEXTBEFORE(Sheet1!E130, " to ")</f>
        <v>Emporia Rd.</v>
      </c>
      <c r="E136" s="1075" t="str">
        <f>_xlfn.TEXTAFTER(Sheet1!E130, " to ")</f>
        <v>US 17</v>
      </c>
      <c r="F136" s="1075">
        <f>Sheet1!AM130</f>
        <v>2</v>
      </c>
      <c r="G136" s="1075"/>
      <c r="H136" s="1083" t="str">
        <f>Sheet1!AE130</f>
        <v>C</v>
      </c>
      <c r="I136" s="1075"/>
      <c r="J136" s="1075" t="str">
        <f>Sheet1!Q130</f>
        <v>RDA_UFH_2W_2L_U_WL</v>
      </c>
      <c r="K136" s="1075"/>
      <c r="L136" s="1075">
        <f>Sheet1!AF130</f>
        <v>15700</v>
      </c>
      <c r="M136" s="1075"/>
      <c r="N136" s="1075"/>
      <c r="O136" s="1075"/>
      <c r="P136" s="1075">
        <f>Sheet1!AK130</f>
        <v>1490</v>
      </c>
      <c r="Q136" s="1075"/>
      <c r="R136" s="1075">
        <f>Sheet1!AD130</f>
        <v>8600</v>
      </c>
      <c r="S136" s="1081">
        <f>Sheet1!AG130</f>
        <v>0.54777070063694266</v>
      </c>
      <c r="T136" s="1075" t="str">
        <f>Sheet1!AH130</f>
        <v>B</v>
      </c>
      <c r="U136" s="1075">
        <f>Sheet1!AI130</f>
        <v>550</v>
      </c>
      <c r="V136" s="1075"/>
      <c r="W136" s="1075"/>
      <c r="X136" s="1075">
        <f>Sheet1!AJ130</f>
        <v>660</v>
      </c>
      <c r="Y136" s="1075"/>
      <c r="Z136" s="1075"/>
      <c r="AA136" s="1075"/>
      <c r="AB136" s="1075"/>
      <c r="AC136" s="1075"/>
      <c r="AD136" s="1075"/>
      <c r="AE136" s="1075"/>
      <c r="AF136" s="1075"/>
      <c r="AG136" s="1075"/>
      <c r="AH136" s="1075"/>
      <c r="AI136" s="1075"/>
      <c r="AJ136" s="1075"/>
      <c r="AK136" s="1075">
        <f>IF(Sheet1!AE133="C",Sheet1!AK133,"-")</f>
        <v>4020</v>
      </c>
      <c r="AL136" s="1075" t="str">
        <f>IF(Sheet1!AE133="D",Sheet1!AK133,"-")</f>
        <v>-</v>
      </c>
      <c r="AM136" s="1075" t="str">
        <f>IF(Sheet1!AE130="E",Sheet1!AK130,"-")</f>
        <v>-</v>
      </c>
    </row>
    <row r="137" spans="2:39" x14ac:dyDescent="0.25">
      <c r="B137" s="1082">
        <f>Sheet1!F131</f>
        <v>530</v>
      </c>
      <c r="C137" s="1075" t="str">
        <f>Sheet1!C131</f>
        <v>SR 40</v>
      </c>
      <c r="D137" s="1075" t="str">
        <f>_xlfn.TEXTBEFORE(Sheet1!E131, " to ")</f>
        <v>US 17</v>
      </c>
      <c r="E137" s="1075" t="str">
        <f>_xlfn.TEXTAFTER(Sheet1!E131, " to ")</f>
        <v>SR 11</v>
      </c>
      <c r="F137" s="1075">
        <f>Sheet1!AM131</f>
        <v>2</v>
      </c>
      <c r="G137" s="1075"/>
      <c r="H137" s="1083" t="str">
        <f>Sheet1!AE131</f>
        <v>C</v>
      </c>
      <c r="I137" s="1075"/>
      <c r="J137" s="1075" t="str">
        <f>Sheet1!Q131</f>
        <v>RUA_UFH_2W_2L_U_WL</v>
      </c>
      <c r="K137" s="1075"/>
      <c r="L137" s="1075">
        <f>Sheet1!AF131</f>
        <v>8600</v>
      </c>
      <c r="M137" s="1075"/>
      <c r="N137" s="1075"/>
      <c r="O137" s="1075"/>
      <c r="P137" s="1075">
        <f>Sheet1!AK131</f>
        <v>820</v>
      </c>
      <c r="Q137" s="1075"/>
      <c r="R137" s="1075">
        <f>Sheet1!AD131</f>
        <v>6700</v>
      </c>
      <c r="S137" s="1081">
        <f>Sheet1!AG131</f>
        <v>0.77906976744186052</v>
      </c>
      <c r="T137" s="1075" t="str">
        <f>Sheet1!AH131</f>
        <v>C</v>
      </c>
      <c r="U137" s="1075" t="str">
        <f>Sheet1!AI131</f>
        <v>-</v>
      </c>
      <c r="V137" s="1075"/>
      <c r="W137" s="1075"/>
      <c r="X137" s="1075" t="str">
        <f>Sheet1!AJ131</f>
        <v>-</v>
      </c>
      <c r="Y137" s="1075"/>
      <c r="Z137" s="1075"/>
      <c r="AA137" s="1075"/>
      <c r="AB137" s="1075"/>
      <c r="AC137" s="1075"/>
      <c r="AD137" s="1075"/>
      <c r="AE137" s="1075"/>
      <c r="AF137" s="1075"/>
      <c r="AG137" s="1075"/>
      <c r="AH137" s="1075"/>
      <c r="AI137" s="1075"/>
      <c r="AJ137" s="1075"/>
      <c r="AK137" s="1075" t="str">
        <f>IF(Sheet1!AE134="C",Sheet1!AK134,"-")</f>
        <v>-</v>
      </c>
      <c r="AL137" s="1075">
        <f>IF(Sheet1!AE134="D",Sheet1!AK134,"-")</f>
        <v>3580</v>
      </c>
      <c r="AM137" s="1075" t="str">
        <f>IF(Sheet1!AE131="E",Sheet1!AK131,"-")</f>
        <v>-</v>
      </c>
    </row>
    <row r="138" spans="2:39" x14ac:dyDescent="0.25">
      <c r="B138" s="1082">
        <f>Sheet1!F132</f>
        <v>530</v>
      </c>
      <c r="C138" s="1075" t="str">
        <f>Sheet1!C132</f>
        <v>SR 40</v>
      </c>
      <c r="D138" s="1075" t="str">
        <f>_xlfn.TEXTBEFORE(Sheet1!E132, " to ")</f>
        <v>SR 11</v>
      </c>
      <c r="E138" s="1075" t="str">
        <f>_xlfn.TEXTAFTER(Sheet1!E132, " to ")</f>
        <v>Pinto Lane</v>
      </c>
      <c r="F138" s="1075">
        <f>Sheet1!AM132</f>
        <v>2</v>
      </c>
      <c r="G138" s="1075"/>
      <c r="H138" s="1083" t="str">
        <f>Sheet1!AE132</f>
        <v>C</v>
      </c>
      <c r="I138" s="1075"/>
      <c r="J138" s="1075" t="str">
        <f>Sheet1!Q132</f>
        <v>RUA_UFH_2W_2L_U_WL</v>
      </c>
      <c r="K138" s="1075"/>
      <c r="L138" s="1075">
        <f>Sheet1!AF132</f>
        <v>8600</v>
      </c>
      <c r="M138" s="1075"/>
      <c r="N138" s="1075"/>
      <c r="O138" s="1075"/>
      <c r="P138" s="1075">
        <f>Sheet1!AK132</f>
        <v>820</v>
      </c>
      <c r="Q138" s="1075"/>
      <c r="R138" s="1075">
        <f>Sheet1!AD132</f>
        <v>6700</v>
      </c>
      <c r="S138" s="1081">
        <f>Sheet1!AG132</f>
        <v>0.77906976744186052</v>
      </c>
      <c r="T138" s="1075" t="str">
        <f>Sheet1!AH132</f>
        <v>C</v>
      </c>
      <c r="U138" s="1075" t="str">
        <f>Sheet1!AI132</f>
        <v>-</v>
      </c>
      <c r="V138" s="1075"/>
      <c r="W138" s="1075"/>
      <c r="X138" s="1075" t="str">
        <f>Sheet1!AJ132</f>
        <v>-</v>
      </c>
      <c r="Y138" s="1075"/>
      <c r="Z138" s="1075"/>
      <c r="AA138" s="1075"/>
      <c r="AB138" s="1075"/>
      <c r="AC138" s="1075"/>
      <c r="AD138" s="1075"/>
      <c r="AE138" s="1075"/>
      <c r="AF138" s="1075"/>
      <c r="AG138" s="1075"/>
      <c r="AH138" s="1075"/>
      <c r="AI138" s="1075"/>
      <c r="AJ138" s="1075"/>
      <c r="AK138" s="1075" t="str">
        <f>IF(Sheet1!AE135="C",Sheet1!AK135,"-")</f>
        <v>-</v>
      </c>
      <c r="AL138" s="1075">
        <f>IF(Sheet1!AE135="D",Sheet1!AK135,"-")</f>
        <v>3580</v>
      </c>
      <c r="AM138" s="1075" t="str">
        <f>IF(Sheet1!AE132="E",Sheet1!AK132,"-")</f>
        <v>-</v>
      </c>
    </row>
    <row r="139" spans="2:39" x14ac:dyDescent="0.25">
      <c r="B139" s="1082">
        <f>Sheet1!F133</f>
        <v>523</v>
      </c>
      <c r="C139" s="1075" t="str">
        <f>Sheet1!C133</f>
        <v>SR 40</v>
      </c>
      <c r="D139" s="1075" t="str">
        <f>_xlfn.TEXTBEFORE(Sheet1!E133, " to ")</f>
        <v>Pinto Lane</v>
      </c>
      <c r="E139" s="1075" t="str">
        <f>_xlfn.TEXTAFTER(Sheet1!E133, " to ")</f>
        <v>Rima Ridge Rd (urban boundary)</v>
      </c>
      <c r="F139" s="1075">
        <f>Sheet1!AM133</f>
        <v>4</v>
      </c>
      <c r="G139" s="1075"/>
      <c r="H139" s="1083" t="str">
        <f>Sheet1!AE133</f>
        <v>C</v>
      </c>
      <c r="I139" s="1075"/>
      <c r="J139" s="1075" t="str">
        <f>Sheet1!Q133</f>
        <v>RDA_UFH_2W_4L_D_WL</v>
      </c>
      <c r="K139" s="1075"/>
      <c r="L139" s="1075">
        <f>Sheet1!AF133</f>
        <v>42300</v>
      </c>
      <c r="M139" s="1075"/>
      <c r="N139" s="1075"/>
      <c r="O139" s="1075"/>
      <c r="P139" s="1075">
        <f>Sheet1!AK133</f>
        <v>4020</v>
      </c>
      <c r="Q139" s="1075"/>
      <c r="R139" s="1075">
        <f>Sheet1!AD133</f>
        <v>13300</v>
      </c>
      <c r="S139" s="1081">
        <f>Sheet1!AG133</f>
        <v>0.31442080378250592</v>
      </c>
      <c r="T139" s="1075" t="str">
        <f>Sheet1!AH133</f>
        <v>B</v>
      </c>
      <c r="U139" s="1075" t="str">
        <f>Sheet1!AI133</f>
        <v>-</v>
      </c>
      <c r="V139" s="1075"/>
      <c r="W139" s="1075"/>
      <c r="X139" s="1075" t="str">
        <f>Sheet1!AJ133</f>
        <v>-</v>
      </c>
      <c r="Y139" s="1075"/>
      <c r="Z139" s="1075"/>
      <c r="AA139" s="1075"/>
      <c r="AB139" s="1075"/>
      <c r="AC139" s="1075"/>
      <c r="AD139" s="1075"/>
      <c r="AE139" s="1075"/>
      <c r="AF139" s="1075"/>
      <c r="AG139" s="1075"/>
      <c r="AH139" s="1075"/>
      <c r="AI139" s="1075"/>
      <c r="AJ139" s="1075"/>
      <c r="AK139" s="1075" t="str">
        <f>IF(Sheet1!AE136="C",Sheet1!AK136,"-")</f>
        <v>-</v>
      </c>
      <c r="AL139" s="1075">
        <f>IF(Sheet1!AE136="D",Sheet1!AK136,"-")</f>
        <v>3580</v>
      </c>
      <c r="AM139" s="1075" t="str">
        <f>IF(Sheet1!AE133="E",Sheet1!AK133,"-")</f>
        <v>-</v>
      </c>
    </row>
    <row r="140" spans="2:39" x14ac:dyDescent="0.25">
      <c r="B140" s="1082">
        <f>Sheet1!F134</f>
        <v>499</v>
      </c>
      <c r="C140" s="1075" t="str">
        <f>Sheet1!C134</f>
        <v>SR 40</v>
      </c>
      <c r="D140" s="1075" t="str">
        <f>_xlfn.TEXTBEFORE(Sheet1!E134, " to ")</f>
        <v>Rima Ridge Rd</v>
      </c>
      <c r="E140" s="1075" t="str">
        <f>_xlfn.TEXTAFTER(Sheet1!E134, " to ")</f>
        <v>Tymber Creek Rd.</v>
      </c>
      <c r="F140" s="1075">
        <f>Sheet1!AM134</f>
        <v>4</v>
      </c>
      <c r="G140" s="1075"/>
      <c r="H140" s="1083" t="str">
        <f>Sheet1!AE134</f>
        <v>D</v>
      </c>
      <c r="I140" s="1075"/>
      <c r="J140" s="1075" t="str">
        <f>Sheet1!Q134</f>
        <v>UA_SSAC1_2W_4L_D_WL</v>
      </c>
      <c r="K140" s="1075"/>
      <c r="L140" s="1075">
        <f>Sheet1!AF134</f>
        <v>39800</v>
      </c>
      <c r="M140" s="1075"/>
      <c r="N140" s="1075"/>
      <c r="O140" s="1075"/>
      <c r="P140" s="1075">
        <f>Sheet1!AK134</f>
        <v>3580</v>
      </c>
      <c r="Q140" s="1075"/>
      <c r="R140" s="1075">
        <f>Sheet1!AD134</f>
        <v>26500</v>
      </c>
      <c r="S140" s="1081">
        <f>Sheet1!AG134</f>
        <v>0.66582914572864327</v>
      </c>
      <c r="T140" s="1075" t="str">
        <f>Sheet1!AH134</f>
        <v>C</v>
      </c>
      <c r="U140" s="1075" t="str">
        <f>Sheet1!AI134</f>
        <v>-</v>
      </c>
      <c r="V140" s="1075"/>
      <c r="W140" s="1075"/>
      <c r="X140" s="1075" t="str">
        <f>Sheet1!AJ134</f>
        <v>-</v>
      </c>
      <c r="Y140" s="1075"/>
      <c r="Z140" s="1075"/>
      <c r="AA140" s="1075"/>
      <c r="AB140" s="1075"/>
      <c r="AC140" s="1075"/>
      <c r="AD140" s="1075"/>
      <c r="AE140" s="1075"/>
      <c r="AF140" s="1075"/>
      <c r="AG140" s="1075"/>
      <c r="AH140" s="1075"/>
      <c r="AI140" s="1075"/>
      <c r="AJ140" s="1075"/>
      <c r="AK140" s="1075" t="str">
        <f>IF(Sheet1!AE137="C",Sheet1!AK137,"-")</f>
        <v>-</v>
      </c>
      <c r="AL140" s="1075">
        <f>IF(Sheet1!AE137="D",Sheet1!AK137,"-")</f>
        <v>3580</v>
      </c>
      <c r="AM140" s="1075" t="str">
        <f>IF(Sheet1!AE134="E",Sheet1!AK134,"-")</f>
        <v>-</v>
      </c>
    </row>
    <row r="141" spans="2:39" x14ac:dyDescent="0.25">
      <c r="B141" s="1082">
        <f>Sheet1!F135</f>
        <v>499</v>
      </c>
      <c r="C141" s="1075" t="str">
        <f>Sheet1!C135</f>
        <v>SR 40</v>
      </c>
      <c r="D141" s="1075" t="str">
        <f>_xlfn.TEXTBEFORE(Sheet1!E135, " to ")</f>
        <v>Tymber Creek Rd.</v>
      </c>
      <c r="E141" s="1075" t="str">
        <f>_xlfn.TEXTAFTER(Sheet1!E135, " to ")</f>
        <v>I-95</v>
      </c>
      <c r="F141" s="1075">
        <f>Sheet1!AM135</f>
        <v>4</v>
      </c>
      <c r="G141" s="1075"/>
      <c r="H141" s="1083" t="str">
        <f>Sheet1!AE135</f>
        <v>D</v>
      </c>
      <c r="I141" s="1075"/>
      <c r="J141" s="1075" t="str">
        <f>Sheet1!Q135</f>
        <v>UA_SSAC1_2W_4L_D_WL</v>
      </c>
      <c r="K141" s="1075"/>
      <c r="L141" s="1075">
        <f>Sheet1!AF135</f>
        <v>39800</v>
      </c>
      <c r="M141" s="1075"/>
      <c r="N141" s="1075"/>
      <c r="O141" s="1075"/>
      <c r="P141" s="1075">
        <f>Sheet1!AK135</f>
        <v>3580</v>
      </c>
      <c r="Q141" s="1075"/>
      <c r="R141" s="1075">
        <f>Sheet1!AD135</f>
        <v>26500</v>
      </c>
      <c r="S141" s="1081">
        <f>Sheet1!AG135</f>
        <v>0.66582914572864327</v>
      </c>
      <c r="T141" s="1075" t="str">
        <f>Sheet1!AH135</f>
        <v>C</v>
      </c>
      <c r="U141" s="1075" t="str">
        <f>Sheet1!AI135</f>
        <v>-</v>
      </c>
      <c r="V141" s="1075"/>
      <c r="W141" s="1075"/>
      <c r="X141" s="1075" t="str">
        <f>Sheet1!AJ135</f>
        <v>-</v>
      </c>
      <c r="Y141" s="1075"/>
      <c r="Z141" s="1075"/>
      <c r="AA141" s="1075"/>
      <c r="AB141" s="1075"/>
      <c r="AC141" s="1075"/>
      <c r="AD141" s="1075"/>
      <c r="AE141" s="1075"/>
      <c r="AF141" s="1075"/>
      <c r="AG141" s="1075"/>
      <c r="AH141" s="1075"/>
      <c r="AI141" s="1075"/>
      <c r="AJ141" s="1075"/>
      <c r="AK141" s="1075" t="str">
        <f>IF(Sheet1!AE138="C",Sheet1!AK138,"-")</f>
        <v>-</v>
      </c>
      <c r="AL141" s="1075">
        <f>IF(Sheet1!AE138="D",Sheet1!AK138,"-")</f>
        <v>3580</v>
      </c>
      <c r="AM141" s="1075" t="str">
        <f>IF(Sheet1!AE135="E",Sheet1!AK135,"-")</f>
        <v>-</v>
      </c>
    </row>
    <row r="142" spans="2:39" x14ac:dyDescent="0.25">
      <c r="B142" s="1082">
        <f>Sheet1!F136</f>
        <v>522</v>
      </c>
      <c r="C142" s="1075" t="str">
        <f>Sheet1!C136</f>
        <v>SR 40</v>
      </c>
      <c r="D142" s="1075" t="str">
        <f>_xlfn.TEXTBEFORE(Sheet1!E136, " to ")</f>
        <v>I-95</v>
      </c>
      <c r="E142" s="1075" t="str">
        <f>_xlfn.TEXTAFTER(Sheet1!E136, " to ")</f>
        <v>Clyde Morris Blvd.</v>
      </c>
      <c r="F142" s="1075">
        <f>Sheet1!AM136</f>
        <v>4</v>
      </c>
      <c r="G142" s="1075"/>
      <c r="H142" s="1083" t="str">
        <f>Sheet1!AE136</f>
        <v>D</v>
      </c>
      <c r="I142" s="1075"/>
      <c r="J142" s="1075" t="str">
        <f>Sheet1!Q136</f>
        <v>UA_SSAC1_2W_4L_D_WL</v>
      </c>
      <c r="K142" s="1075"/>
      <c r="L142" s="1075">
        <f>Sheet1!AF136</f>
        <v>39800</v>
      </c>
      <c r="M142" s="1075"/>
      <c r="N142" s="1075"/>
      <c r="O142" s="1075"/>
      <c r="P142" s="1075">
        <f>Sheet1!AK136</f>
        <v>3580</v>
      </c>
      <c r="Q142" s="1075"/>
      <c r="R142" s="1075">
        <f>Sheet1!AD136</f>
        <v>36000</v>
      </c>
      <c r="S142" s="1081">
        <f>Sheet1!AG136</f>
        <v>0.90452261306532666</v>
      </c>
      <c r="T142" s="1075" t="str">
        <f>Sheet1!AH136</f>
        <v>C</v>
      </c>
      <c r="U142" s="1075" t="str">
        <f>Sheet1!AI136</f>
        <v>-</v>
      </c>
      <c r="V142" s="1075"/>
      <c r="W142" s="1075"/>
      <c r="X142" s="1075" t="str">
        <f>Sheet1!AJ136</f>
        <v>-</v>
      </c>
      <c r="Y142" s="1075"/>
      <c r="Z142" s="1075"/>
      <c r="AA142" s="1075"/>
      <c r="AB142" s="1075"/>
      <c r="AC142" s="1075"/>
      <c r="AD142" s="1075"/>
      <c r="AE142" s="1075"/>
      <c r="AF142" s="1075"/>
      <c r="AG142" s="1075"/>
      <c r="AH142" s="1075"/>
      <c r="AI142" s="1075"/>
      <c r="AJ142" s="1075"/>
      <c r="AK142" s="1075" t="str">
        <f>IF(Sheet1!AE139="C",Sheet1!AK139,"-")</f>
        <v>-</v>
      </c>
      <c r="AL142" s="1075">
        <f>IF(Sheet1!AE139="D",Sheet1!AK139,"-")</f>
        <v>2920</v>
      </c>
      <c r="AM142" s="1075" t="str">
        <f>IF(Sheet1!AE136="E",Sheet1!AK136,"-")</f>
        <v>-</v>
      </c>
    </row>
    <row r="143" spans="2:39" x14ac:dyDescent="0.25">
      <c r="B143" s="1082">
        <f>Sheet1!F137</f>
        <v>489</v>
      </c>
      <c r="C143" s="1075" t="str">
        <f>Sheet1!C137</f>
        <v>SR 40</v>
      </c>
      <c r="D143" s="1075" t="str">
        <f>_xlfn.TEXTBEFORE(Sheet1!E137, " to ")</f>
        <v>Clyde Morris Blvd.</v>
      </c>
      <c r="E143" s="1075" t="str">
        <f>_xlfn.TEXTAFTER(Sheet1!E137, " to ")</f>
        <v>SR 5A/Nova Rd.</v>
      </c>
      <c r="F143" s="1075">
        <f>Sheet1!AM137</f>
        <v>4</v>
      </c>
      <c r="G143" s="1075"/>
      <c r="H143" s="1083" t="str">
        <f>Sheet1!AE137</f>
        <v>D</v>
      </c>
      <c r="I143" s="1075"/>
      <c r="J143" s="1075" t="str">
        <f>Sheet1!Q137</f>
        <v>UA_SSAC1_2W_4L_D_WL</v>
      </c>
      <c r="K143" s="1075"/>
      <c r="L143" s="1075">
        <f>Sheet1!AF137</f>
        <v>39800</v>
      </c>
      <c r="M143" s="1075"/>
      <c r="N143" s="1075"/>
      <c r="O143" s="1075"/>
      <c r="P143" s="1075">
        <f>Sheet1!AK137</f>
        <v>3580</v>
      </c>
      <c r="Q143" s="1075"/>
      <c r="R143" s="1075">
        <f>Sheet1!AD137</f>
        <v>35500</v>
      </c>
      <c r="S143" s="1081">
        <f>Sheet1!AG137</f>
        <v>0.89195979899497491</v>
      </c>
      <c r="T143" s="1075" t="str">
        <f>Sheet1!AH137</f>
        <v>C</v>
      </c>
      <c r="U143" s="1075" t="str">
        <f>Sheet1!AI137</f>
        <v>-</v>
      </c>
      <c r="V143" s="1075"/>
      <c r="W143" s="1075"/>
      <c r="X143" s="1075" t="str">
        <f>Sheet1!AJ137</f>
        <v>-</v>
      </c>
      <c r="Y143" s="1075"/>
      <c r="Z143" s="1075"/>
      <c r="AA143" s="1075"/>
      <c r="AB143" s="1075"/>
      <c r="AC143" s="1075"/>
      <c r="AD143" s="1075"/>
      <c r="AE143" s="1075"/>
      <c r="AF143" s="1075"/>
      <c r="AG143" s="1075"/>
      <c r="AH143" s="1075"/>
      <c r="AI143" s="1075"/>
      <c r="AJ143" s="1075"/>
      <c r="AK143" s="1075" t="str">
        <f>IF(Sheet1!AE140="C",Sheet1!AK140,"-")</f>
        <v>-</v>
      </c>
      <c r="AL143" s="1075">
        <f>IF(Sheet1!AE140="D",Sheet1!AK140,"-")</f>
        <v>2920</v>
      </c>
      <c r="AM143" s="1075" t="str">
        <f>IF(Sheet1!AE137="E",Sheet1!AK137,"-")</f>
        <v>-</v>
      </c>
    </row>
    <row r="144" spans="2:39" x14ac:dyDescent="0.25">
      <c r="B144" s="1082">
        <f>Sheet1!F138</f>
        <v>1020</v>
      </c>
      <c r="C144" s="1075" t="str">
        <f>Sheet1!C138</f>
        <v>SR 40</v>
      </c>
      <c r="D144" s="1075" t="str">
        <f>_xlfn.TEXTBEFORE(Sheet1!E138, " to ")</f>
        <v>SR5A/Nova Rd.</v>
      </c>
      <c r="E144" s="1075" t="str">
        <f>_xlfn.TEXTAFTER(Sheet1!E138, " to ")</f>
        <v>US 1</v>
      </c>
      <c r="F144" s="1075">
        <f>Sheet1!AM138</f>
        <v>4</v>
      </c>
      <c r="G144" s="1075"/>
      <c r="H144" s="1083" t="str">
        <f>Sheet1!AE138</f>
        <v>D</v>
      </c>
      <c r="I144" s="1075"/>
      <c r="J144" s="1075" t="str">
        <f>Sheet1!Q138</f>
        <v>UA_SSAC1_2W_4L_D_WL</v>
      </c>
      <c r="K144" s="1075"/>
      <c r="L144" s="1075">
        <f>Sheet1!AF138</f>
        <v>39800</v>
      </c>
      <c r="M144" s="1075"/>
      <c r="N144" s="1075"/>
      <c r="O144" s="1075"/>
      <c r="P144" s="1075">
        <f>Sheet1!AK138</f>
        <v>3580</v>
      </c>
      <c r="Q144" s="1075"/>
      <c r="R144" s="1075">
        <f>Sheet1!AD138</f>
        <v>31000</v>
      </c>
      <c r="S144" s="1081">
        <f>Sheet1!AG138</f>
        <v>0.77889447236180909</v>
      </c>
      <c r="T144" s="1075" t="str">
        <f>Sheet1!AH138</f>
        <v>C</v>
      </c>
      <c r="U144" s="1075" t="str">
        <f>Sheet1!AI138</f>
        <v>-</v>
      </c>
      <c r="V144" s="1075"/>
      <c r="W144" s="1075"/>
      <c r="X144" s="1075" t="str">
        <f>Sheet1!AJ138</f>
        <v>-</v>
      </c>
      <c r="Y144" s="1075"/>
      <c r="Z144" s="1075"/>
      <c r="AA144" s="1075"/>
      <c r="AB144" s="1075"/>
      <c r="AC144" s="1075"/>
      <c r="AD144" s="1075"/>
      <c r="AE144" s="1075"/>
      <c r="AF144" s="1075"/>
      <c r="AG144" s="1075"/>
      <c r="AH144" s="1075"/>
      <c r="AI144" s="1075"/>
      <c r="AJ144" s="1075"/>
      <c r="AK144" s="1075">
        <f>IF(Sheet1!AE141="C",Sheet1!AK141,"-")</f>
        <v>1490</v>
      </c>
      <c r="AL144" s="1075" t="str">
        <f>IF(Sheet1!AE141="D",Sheet1!AK141,"-")</f>
        <v>-</v>
      </c>
      <c r="AM144" s="1075" t="str">
        <f>IF(Sheet1!AE138="E",Sheet1!AK138,"-")</f>
        <v>-</v>
      </c>
    </row>
    <row r="145" spans="2:39" x14ac:dyDescent="0.25">
      <c r="B145" s="1082">
        <f>Sheet1!F139</f>
        <v>171</v>
      </c>
      <c r="C145" s="1075" t="str">
        <f>Sheet1!C139</f>
        <v>SR 40</v>
      </c>
      <c r="D145" s="1075" t="str">
        <f>_xlfn.TEXTBEFORE(Sheet1!E139, " to ")</f>
        <v>US 1</v>
      </c>
      <c r="E145" s="1075" t="str">
        <f>_xlfn.TEXTAFTER(Sheet1!E139, " to ")</f>
        <v>Halifax Ave.</v>
      </c>
      <c r="F145" s="1075">
        <f>Sheet1!AM139</f>
        <v>4</v>
      </c>
      <c r="G145" s="1075"/>
      <c r="H145" s="1083" t="str">
        <f>Sheet1!AE139</f>
        <v>D</v>
      </c>
      <c r="I145" s="1075"/>
      <c r="J145" s="1075" t="str">
        <f>Sheet1!Q139</f>
        <v>UA_SSAC2_2W_4L_D_WL</v>
      </c>
      <c r="K145" s="1075"/>
      <c r="L145" s="1075">
        <f>Sheet1!AF139</f>
        <v>32400</v>
      </c>
      <c r="M145" s="1075"/>
      <c r="N145" s="1075"/>
      <c r="O145" s="1075"/>
      <c r="P145" s="1075">
        <f>Sheet1!AK139</f>
        <v>2920</v>
      </c>
      <c r="Q145" s="1075"/>
      <c r="R145" s="1075">
        <f>Sheet1!AD139</f>
        <v>35500</v>
      </c>
      <c r="S145" s="1081">
        <f>Sheet1!AG139</f>
        <v>1.095679012345679</v>
      </c>
      <c r="T145" s="1075" t="str">
        <f>Sheet1!AH139</f>
        <v>F</v>
      </c>
      <c r="U145" s="1075">
        <f>Sheet1!AI139</f>
        <v>3030</v>
      </c>
      <c r="V145" s="1075"/>
      <c r="W145" s="1075"/>
      <c r="X145" s="1075">
        <f>Sheet1!AJ139</f>
        <v>3380</v>
      </c>
      <c r="Y145" s="1075"/>
      <c r="Z145" s="1075"/>
      <c r="AA145" s="1075"/>
      <c r="AB145" s="1075"/>
      <c r="AC145" s="1075"/>
      <c r="AD145" s="1075"/>
      <c r="AE145" s="1075"/>
      <c r="AF145" s="1075"/>
      <c r="AG145" s="1075"/>
      <c r="AH145" s="1075"/>
      <c r="AI145" s="1075"/>
      <c r="AJ145" s="1075"/>
      <c r="AK145" s="1075" t="str">
        <f>IF(Sheet1!AE142="C",Sheet1!AK142,"-")</f>
        <v>-</v>
      </c>
      <c r="AL145" s="1075">
        <f>IF(Sheet1!AE142="D",Sheet1!AK142,"-")</f>
        <v>2180</v>
      </c>
      <c r="AM145" s="1075" t="str">
        <f>IF(Sheet1!AE139="E",Sheet1!AK139,"-")</f>
        <v>-</v>
      </c>
    </row>
    <row r="146" spans="2:39" x14ac:dyDescent="0.25">
      <c r="B146" s="1082">
        <f>Sheet1!F140</f>
        <v>5128</v>
      </c>
      <c r="C146" s="1075" t="str">
        <f>Sheet1!C140</f>
        <v>SR 40</v>
      </c>
      <c r="D146" s="1075" t="str">
        <f>_xlfn.TEXTBEFORE(Sheet1!E140, " to ")</f>
        <v>Halifax Ave.</v>
      </c>
      <c r="E146" s="1075" t="str">
        <f>_xlfn.TEXTAFTER(Sheet1!E140, " to ")</f>
        <v>SR A1A</v>
      </c>
      <c r="F146" s="1075">
        <f>Sheet1!AM140</f>
        <v>4</v>
      </c>
      <c r="G146" s="1075"/>
      <c r="H146" s="1083" t="str">
        <f>Sheet1!AE140</f>
        <v>D</v>
      </c>
      <c r="I146" s="1075"/>
      <c r="J146" s="1075" t="str">
        <f>Sheet1!Q140</f>
        <v>UA_SSAC2_2W_4L_D_WL</v>
      </c>
      <c r="K146" s="1075"/>
      <c r="L146" s="1075">
        <f>Sheet1!AF140</f>
        <v>32400</v>
      </c>
      <c r="M146" s="1075"/>
      <c r="N146" s="1075"/>
      <c r="O146" s="1075"/>
      <c r="P146" s="1075">
        <f>Sheet1!AK140</f>
        <v>2920</v>
      </c>
      <c r="Q146" s="1075"/>
      <c r="R146" s="1075">
        <f>Sheet1!AD140</f>
        <v>18500</v>
      </c>
      <c r="S146" s="1081">
        <f>Sheet1!AG140</f>
        <v>0.57098765432098764</v>
      </c>
      <c r="T146" s="1075" t="str">
        <f>Sheet1!AH140</f>
        <v>D</v>
      </c>
      <c r="U146" s="1075" t="str">
        <f>Sheet1!AI140</f>
        <v>-</v>
      </c>
      <c r="V146" s="1075"/>
      <c r="W146" s="1075"/>
      <c r="X146" s="1075" t="str">
        <f>Sheet1!AJ140</f>
        <v>-</v>
      </c>
      <c r="Y146" s="1075"/>
      <c r="Z146" s="1075"/>
      <c r="AA146" s="1075"/>
      <c r="AB146" s="1075"/>
      <c r="AC146" s="1075"/>
      <c r="AD146" s="1075"/>
      <c r="AE146" s="1075"/>
      <c r="AF146" s="1075"/>
      <c r="AG146" s="1075"/>
      <c r="AH146" s="1075"/>
      <c r="AI146" s="1075"/>
      <c r="AJ146" s="1075"/>
      <c r="AK146" s="1075" t="str">
        <f>IF(Sheet1!AE143="C",Sheet1!AK143,"-")</f>
        <v>-</v>
      </c>
      <c r="AL146" s="1075">
        <f>IF(Sheet1!AE143="D",Sheet1!AK143,"-")</f>
        <v>2180</v>
      </c>
      <c r="AM146" s="1075" t="str">
        <f>IF(Sheet1!AE140="E",Sheet1!AK140,"-")</f>
        <v>-</v>
      </c>
    </row>
    <row r="147" spans="2:39" x14ac:dyDescent="0.25">
      <c r="B147" s="1082">
        <f>Sheet1!F141</f>
        <v>1007</v>
      </c>
      <c r="C147" s="1075" t="str">
        <f>Sheet1!C141</f>
        <v>SR 44</v>
      </c>
      <c r="D147" s="1075" t="str">
        <f>_xlfn.TEXTBEFORE(Sheet1!E141, " to ")</f>
        <v>Lake Co.</v>
      </c>
      <c r="E147" s="1075" t="str">
        <f>_xlfn.TEXTAFTER(Sheet1!E141, " to ")</f>
        <v>Shell Rd.</v>
      </c>
      <c r="F147" s="1075">
        <f>Sheet1!AM141</f>
        <v>2</v>
      </c>
      <c r="G147" s="1075"/>
      <c r="H147" s="1083" t="str">
        <f>Sheet1!AE141</f>
        <v>C</v>
      </c>
      <c r="I147" s="1075"/>
      <c r="J147" s="1075" t="str">
        <f>Sheet1!Q141</f>
        <v>RDA_UFH_2W_2L_U_WL</v>
      </c>
      <c r="K147" s="1075"/>
      <c r="L147" s="1075">
        <f>Sheet1!AF141</f>
        <v>15700</v>
      </c>
      <c r="M147" s="1075"/>
      <c r="N147" s="1075"/>
      <c r="O147" s="1075"/>
      <c r="P147" s="1075">
        <f>Sheet1!AK141</f>
        <v>1490</v>
      </c>
      <c r="Q147" s="1075"/>
      <c r="R147" s="1075">
        <f>Sheet1!AD141</f>
        <v>11900</v>
      </c>
      <c r="S147" s="1081">
        <f>Sheet1!AG141</f>
        <v>0.7579617834394905</v>
      </c>
      <c r="T147" s="1075" t="str">
        <f>Sheet1!AH141</f>
        <v>C</v>
      </c>
      <c r="U147" s="1075" t="str">
        <f>Sheet1!AI141</f>
        <v>-</v>
      </c>
      <c r="V147" s="1075"/>
      <c r="W147" s="1075"/>
      <c r="X147" s="1075" t="str">
        <f>Sheet1!AJ141</f>
        <v>-</v>
      </c>
      <c r="Y147" s="1075"/>
      <c r="Z147" s="1075"/>
      <c r="AA147" s="1075"/>
      <c r="AB147" s="1075"/>
      <c r="AC147" s="1075"/>
      <c r="AD147" s="1075"/>
      <c r="AE147" s="1075"/>
      <c r="AF147" s="1075"/>
      <c r="AG147" s="1075"/>
      <c r="AH147" s="1075"/>
      <c r="AI147" s="1075"/>
      <c r="AJ147" s="1075"/>
      <c r="AK147" s="1075" t="str">
        <f>IF(Sheet1!AE144="C",Sheet1!AK144,"-")</f>
        <v>-</v>
      </c>
      <c r="AL147" s="1075">
        <f>IF(Sheet1!AE144="D",Sheet1!AK144,"-")</f>
        <v>2180</v>
      </c>
      <c r="AM147" s="1075" t="str">
        <f>IF(Sheet1!AE141="E",Sheet1!AK141,"-")</f>
        <v>-</v>
      </c>
    </row>
    <row r="148" spans="2:39" x14ac:dyDescent="0.25">
      <c r="B148" s="1082">
        <f>Sheet1!F142</f>
        <v>1007</v>
      </c>
      <c r="C148" s="1075" t="str">
        <f>Sheet1!C142</f>
        <v>SR 44</v>
      </c>
      <c r="D148" s="1075" t="str">
        <f>_xlfn.TEXTBEFORE(Sheet1!E142, " to ")</f>
        <v>Shell Rd.</v>
      </c>
      <c r="E148" s="1075" t="str">
        <f>_xlfn.TEXTAFTER(Sheet1!E142, " to ")</f>
        <v>Grand Ave.</v>
      </c>
      <c r="F148" s="1075">
        <f>Sheet1!AM142</f>
        <v>2</v>
      </c>
      <c r="G148" s="1075"/>
      <c r="H148" s="1083" t="str">
        <f>Sheet1!AE142</f>
        <v>D</v>
      </c>
      <c r="I148" s="1075"/>
      <c r="J148" s="1075" t="str">
        <f>Sheet1!Q142</f>
        <v>UA_UFH_2W_2L_U_WL</v>
      </c>
      <c r="K148" s="1075"/>
      <c r="L148" s="1075">
        <f>Sheet1!AF142</f>
        <v>24200</v>
      </c>
      <c r="M148" s="1075"/>
      <c r="N148" s="1075"/>
      <c r="O148" s="1075"/>
      <c r="P148" s="1075">
        <f>Sheet1!AK142</f>
        <v>2180</v>
      </c>
      <c r="Q148" s="1075"/>
      <c r="R148" s="1075">
        <f>Sheet1!AD142</f>
        <v>11900</v>
      </c>
      <c r="S148" s="1081">
        <f>Sheet1!AG142</f>
        <v>0.49173553719008267</v>
      </c>
      <c r="T148" s="1075" t="str">
        <f>Sheet1!AH142</f>
        <v>C</v>
      </c>
      <c r="U148" s="1075" t="str">
        <f>Sheet1!AI142</f>
        <v>-</v>
      </c>
      <c r="V148" s="1075"/>
      <c r="W148" s="1075"/>
      <c r="X148" s="1075" t="str">
        <f>Sheet1!AJ142</f>
        <v>-</v>
      </c>
      <c r="Y148" s="1075"/>
      <c r="Z148" s="1075"/>
      <c r="AA148" s="1075"/>
      <c r="AB148" s="1075"/>
      <c r="AC148" s="1075"/>
      <c r="AD148" s="1075"/>
      <c r="AE148" s="1075"/>
      <c r="AF148" s="1075"/>
      <c r="AG148" s="1075"/>
      <c r="AH148" s="1075"/>
      <c r="AI148" s="1075"/>
      <c r="AJ148" s="1075"/>
      <c r="AK148" s="1075" t="str">
        <f>IF(Sheet1!AE145="C",Sheet1!AK145,"-")</f>
        <v>-</v>
      </c>
      <c r="AL148" s="1075" t="str">
        <f>IF(Sheet1!AE145="D",Sheet1!AK145,"-")</f>
        <v>-</v>
      </c>
      <c r="AM148" s="1075" t="str">
        <f>IF(Sheet1!AE142="E",Sheet1!AK142,"-")</f>
        <v>-</v>
      </c>
    </row>
    <row r="149" spans="2:39" x14ac:dyDescent="0.25">
      <c r="B149" s="1082">
        <f>Sheet1!F143</f>
        <v>1007</v>
      </c>
      <c r="C149" s="1075" t="str">
        <f>Sheet1!C143</f>
        <v>SR 44</v>
      </c>
      <c r="D149" s="1075" t="str">
        <f>_xlfn.TEXTBEFORE(Sheet1!E143, " to ")</f>
        <v>Grand Ave.</v>
      </c>
      <c r="E149" s="1075" t="str">
        <f>_xlfn.TEXTAFTER(Sheet1!E143, " to ")</f>
        <v>Old New York/Hazen Rd.</v>
      </c>
      <c r="F149" s="1075">
        <f>Sheet1!AM143</f>
        <v>2</v>
      </c>
      <c r="G149" s="1075"/>
      <c r="H149" s="1083" t="str">
        <f>Sheet1!AE143</f>
        <v>D</v>
      </c>
      <c r="I149" s="1075"/>
      <c r="J149" s="1075" t="str">
        <f>Sheet1!Q143</f>
        <v>UA_UFH_2W_2L_U_WL</v>
      </c>
      <c r="K149" s="1075"/>
      <c r="L149" s="1075">
        <f>Sheet1!AF143</f>
        <v>24200</v>
      </c>
      <c r="M149" s="1075"/>
      <c r="N149" s="1075"/>
      <c r="O149" s="1075"/>
      <c r="P149" s="1075">
        <f>Sheet1!AK143</f>
        <v>2180</v>
      </c>
      <c r="Q149" s="1075"/>
      <c r="R149" s="1075">
        <f>Sheet1!AD143</f>
        <v>11900</v>
      </c>
      <c r="S149" s="1081">
        <f>Sheet1!AG143</f>
        <v>0.49173553719008267</v>
      </c>
      <c r="T149" s="1075" t="str">
        <f>Sheet1!AH143</f>
        <v>C</v>
      </c>
      <c r="U149" s="1075" t="str">
        <f>Sheet1!AI143</f>
        <v>-</v>
      </c>
      <c r="V149" s="1075"/>
      <c r="W149" s="1075"/>
      <c r="X149" s="1075" t="str">
        <f>Sheet1!AJ143</f>
        <v>-</v>
      </c>
      <c r="Y149" s="1075"/>
      <c r="Z149" s="1075"/>
      <c r="AA149" s="1075"/>
      <c r="AB149" s="1075"/>
      <c r="AC149" s="1075"/>
      <c r="AD149" s="1075"/>
      <c r="AE149" s="1075"/>
      <c r="AF149" s="1075"/>
      <c r="AG149" s="1075"/>
      <c r="AH149" s="1075"/>
      <c r="AI149" s="1075"/>
      <c r="AJ149" s="1075"/>
      <c r="AK149" s="1075" t="str">
        <f>IF(Sheet1!AE146="C",Sheet1!AK146,"-")</f>
        <v>-</v>
      </c>
      <c r="AL149" s="1075" t="str">
        <f>IF(Sheet1!AE146="D",Sheet1!AK146,"-")</f>
        <v>-</v>
      </c>
      <c r="AM149" s="1075" t="str">
        <f>IF(Sheet1!AE143="E",Sheet1!AK143,"-")</f>
        <v>-</v>
      </c>
    </row>
    <row r="150" spans="2:39" x14ac:dyDescent="0.25">
      <c r="B150" s="1082">
        <f>Sheet1!F144</f>
        <v>274</v>
      </c>
      <c r="C150" s="1075" t="str">
        <f>Sheet1!C144</f>
        <v>SR 44</v>
      </c>
      <c r="D150" s="1075" t="str">
        <f>_xlfn.TEXTBEFORE(Sheet1!E144, " to ")</f>
        <v>Old New York/Hazen Rd.</v>
      </c>
      <c r="E150" s="1075" t="str">
        <f>_xlfn.TEXTAFTER(Sheet1!E144, " to ")</f>
        <v>SR 15A/Spring Garden Ave.</v>
      </c>
      <c r="F150" s="1075">
        <f>Sheet1!AM144</f>
        <v>2</v>
      </c>
      <c r="G150" s="1075"/>
      <c r="H150" s="1083" t="str">
        <f>Sheet1!AE144</f>
        <v>D</v>
      </c>
      <c r="I150" s="1075"/>
      <c r="J150" s="1075" t="str">
        <f>Sheet1!Q144</f>
        <v>UA_UFH_2W_2L_U_WL</v>
      </c>
      <c r="K150" s="1075"/>
      <c r="L150" s="1075">
        <f>Sheet1!AF144</f>
        <v>24200</v>
      </c>
      <c r="M150" s="1075"/>
      <c r="N150" s="1075"/>
      <c r="O150" s="1075"/>
      <c r="P150" s="1075">
        <f>Sheet1!AK144</f>
        <v>2180</v>
      </c>
      <c r="Q150" s="1075"/>
      <c r="R150" s="1075">
        <f>Sheet1!AD144</f>
        <v>14600</v>
      </c>
      <c r="S150" s="1081">
        <f>Sheet1!AG144</f>
        <v>0.60330578512396693</v>
      </c>
      <c r="T150" s="1075" t="str">
        <f>Sheet1!AH144</f>
        <v>C</v>
      </c>
      <c r="U150" s="1075">
        <f>Sheet1!AI144</f>
        <v>900</v>
      </c>
      <c r="V150" s="1075"/>
      <c r="W150" s="1075"/>
      <c r="X150" s="1075">
        <f>Sheet1!AJ144</f>
        <v>1180</v>
      </c>
      <c r="Y150" s="1075"/>
      <c r="Z150" s="1075"/>
      <c r="AA150" s="1075"/>
      <c r="AB150" s="1075"/>
      <c r="AC150" s="1075"/>
      <c r="AD150" s="1075"/>
      <c r="AE150" s="1075"/>
      <c r="AF150" s="1075"/>
      <c r="AG150" s="1075"/>
      <c r="AH150" s="1075"/>
      <c r="AI150" s="1075"/>
      <c r="AJ150" s="1075"/>
      <c r="AK150" s="1075" t="str">
        <f>IF(Sheet1!AE147="C",Sheet1!AK147,"-")</f>
        <v>-</v>
      </c>
      <c r="AL150" s="1075" t="str">
        <f>IF(Sheet1!AE147="D",Sheet1!AK147,"-")</f>
        <v>-</v>
      </c>
      <c r="AM150" s="1075" t="str">
        <f>IF(Sheet1!AE144="E",Sheet1!AK144,"-")</f>
        <v>-</v>
      </c>
    </row>
    <row r="151" spans="2:39" x14ac:dyDescent="0.25">
      <c r="B151" s="1082">
        <f>Sheet1!F145</f>
        <v>447</v>
      </c>
      <c r="C151" s="1075" t="str">
        <f>Sheet1!C145</f>
        <v>SR 44</v>
      </c>
      <c r="D151" s="1075" t="str">
        <f>_xlfn.TEXTBEFORE(Sheet1!E145, " to ")</f>
        <v>SR 15A/Spring Garden Ave.</v>
      </c>
      <c r="E151" s="1075" t="str">
        <f>_xlfn.TEXTAFTER(Sheet1!E145, " to ")</f>
        <v>Stone St.</v>
      </c>
      <c r="F151" s="1075">
        <f>Sheet1!AM145</f>
        <v>2</v>
      </c>
      <c r="G151" s="1075"/>
      <c r="H151" s="1083" t="str">
        <f>Sheet1!AE145</f>
        <v>E</v>
      </c>
      <c r="I151" s="1075"/>
      <c r="J151" s="1075" t="str">
        <f>Sheet1!Q145</f>
        <v>UA_SSAC1_2W_2L_U_WL</v>
      </c>
      <c r="K151" s="1075"/>
      <c r="L151" s="1075">
        <f>Sheet1!AF145</f>
        <v>18939</v>
      </c>
      <c r="M151" s="1075"/>
      <c r="N151" s="1075"/>
      <c r="O151" s="1075"/>
      <c r="P151" s="1075">
        <f>Sheet1!AK145</f>
        <v>1712</v>
      </c>
      <c r="Q151" s="1075"/>
      <c r="R151" s="1075">
        <f>Sheet1!AD145</f>
        <v>10100</v>
      </c>
      <c r="S151" s="1081">
        <f>Sheet1!AG145</f>
        <v>0.53329109245472306</v>
      </c>
      <c r="T151" s="1075" t="str">
        <f>Sheet1!AH145</f>
        <v>C</v>
      </c>
      <c r="U151" s="1075" t="str">
        <f>Sheet1!AI145</f>
        <v>-</v>
      </c>
      <c r="V151" s="1075"/>
      <c r="W151" s="1075"/>
      <c r="X151" s="1075" t="str">
        <f>Sheet1!AJ145</f>
        <v>-</v>
      </c>
      <c r="Y151" s="1075"/>
      <c r="Z151" s="1075"/>
      <c r="AA151" s="1075"/>
      <c r="AB151" s="1075"/>
      <c r="AC151" s="1075"/>
      <c r="AD151" s="1075"/>
      <c r="AE151" s="1075"/>
      <c r="AF151" s="1075"/>
      <c r="AG151" s="1075"/>
      <c r="AH151" s="1075"/>
      <c r="AI151" s="1075"/>
      <c r="AJ151" s="1075"/>
      <c r="AK151" s="1075" t="str">
        <f>IF(Sheet1!AE148="C",Sheet1!AK148,"-")</f>
        <v>-</v>
      </c>
      <c r="AL151" s="1075" t="str">
        <f>IF(Sheet1!AE148="D",Sheet1!AK148,"-")</f>
        <v>-</v>
      </c>
      <c r="AM151" s="1075">
        <f>IF(Sheet1!AE145="E",Sheet1!AK145,"-")</f>
        <v>1712</v>
      </c>
    </row>
    <row r="152" spans="2:39" x14ac:dyDescent="0.25">
      <c r="B152" s="1082">
        <f>Sheet1!F146</f>
        <v>5012</v>
      </c>
      <c r="C152" s="1075" t="str">
        <f>Sheet1!C146</f>
        <v>SR 44</v>
      </c>
      <c r="D152" s="1075" t="str">
        <f>_xlfn.TEXTBEFORE(Sheet1!E146, " to ")</f>
        <v>Stone St.</v>
      </c>
      <c r="E152" s="1075" t="str">
        <f>_xlfn.TEXTAFTER(Sheet1!E146, " to ")</f>
        <v>Clara Ave.</v>
      </c>
      <c r="F152" s="1075">
        <f>Sheet1!AM146</f>
        <v>2</v>
      </c>
      <c r="G152" s="1075"/>
      <c r="H152" s="1083" t="str">
        <f>Sheet1!AE146</f>
        <v>E</v>
      </c>
      <c r="I152" s="1075"/>
      <c r="J152" s="1075" t="str">
        <f>Sheet1!Q146</f>
        <v>UA_SSAC1_2W_2L_U_WL</v>
      </c>
      <c r="K152" s="1075"/>
      <c r="L152" s="1075">
        <f>Sheet1!AF146</f>
        <v>18939</v>
      </c>
      <c r="M152" s="1075"/>
      <c r="N152" s="1075"/>
      <c r="O152" s="1075"/>
      <c r="P152" s="1075">
        <f>Sheet1!AK146</f>
        <v>1712</v>
      </c>
      <c r="Q152" s="1075"/>
      <c r="R152" s="1075">
        <f>Sheet1!AD146</f>
        <v>11300</v>
      </c>
      <c r="S152" s="1081">
        <f>Sheet1!AG146</f>
        <v>0.59665241037013572</v>
      </c>
      <c r="T152" s="1075" t="str">
        <f>Sheet1!AH146</f>
        <v>C</v>
      </c>
      <c r="U152" s="1075">
        <f>Sheet1!AI146</f>
        <v>730</v>
      </c>
      <c r="V152" s="1075"/>
      <c r="W152" s="1075"/>
      <c r="X152" s="1075">
        <f>Sheet1!AJ146</f>
        <v>910</v>
      </c>
      <c r="Y152" s="1075"/>
      <c r="Z152" s="1075"/>
      <c r="AA152" s="1075"/>
      <c r="AB152" s="1075"/>
      <c r="AC152" s="1075"/>
      <c r="AD152" s="1075"/>
      <c r="AE152" s="1075"/>
      <c r="AF152" s="1075"/>
      <c r="AG152" s="1075"/>
      <c r="AH152" s="1075"/>
      <c r="AI152" s="1075"/>
      <c r="AJ152" s="1075"/>
      <c r="AK152" s="1075" t="str">
        <f>IF(Sheet1!AE149="C",Sheet1!AK149,"-")</f>
        <v>-</v>
      </c>
      <c r="AL152" s="1075" t="str">
        <f>IF(Sheet1!AE149="D",Sheet1!AK149,"-")</f>
        <v>-</v>
      </c>
      <c r="AM152" s="1075">
        <f>IF(Sheet1!AE146="E",Sheet1!AK146,"-")</f>
        <v>1712</v>
      </c>
    </row>
    <row r="153" spans="2:39" x14ac:dyDescent="0.25">
      <c r="B153" s="1082">
        <f>Sheet1!F147</f>
        <v>5015</v>
      </c>
      <c r="C153" s="1075" t="str">
        <f>Sheet1!C147</f>
        <v>SR 44</v>
      </c>
      <c r="D153" s="1075" t="str">
        <f>_xlfn.TEXTBEFORE(Sheet1!E147, " to ")</f>
        <v>Clara Ave.</v>
      </c>
      <c r="E153" s="1075" t="str">
        <f>_xlfn.TEXTAFTER(Sheet1!E147, " to ")</f>
        <v>Amelia Ave.</v>
      </c>
      <c r="F153" s="1075">
        <f>Sheet1!AM147</f>
        <v>2</v>
      </c>
      <c r="G153" s="1075"/>
      <c r="H153" s="1083" t="str">
        <f>Sheet1!AE147</f>
        <v>E</v>
      </c>
      <c r="I153" s="1075"/>
      <c r="J153" s="1075" t="str">
        <f>Sheet1!Q147</f>
        <v>UA_SSAC2_2W_2L_U_WL</v>
      </c>
      <c r="K153" s="1075"/>
      <c r="L153" s="1075">
        <f>Sheet1!AF147</f>
        <v>14800</v>
      </c>
      <c r="M153" s="1075"/>
      <c r="N153" s="1075"/>
      <c r="O153" s="1075"/>
      <c r="P153" s="1075">
        <f>Sheet1!AK147</f>
        <v>1410</v>
      </c>
      <c r="Q153" s="1075"/>
      <c r="R153" s="1075">
        <f>Sheet1!AD147</f>
        <v>7500</v>
      </c>
      <c r="S153" s="1081">
        <f>Sheet1!AG147</f>
        <v>0.5067567567567568</v>
      </c>
      <c r="T153" s="1075" t="str">
        <f>Sheet1!AH147</f>
        <v>D</v>
      </c>
      <c r="U153" s="1075" t="str">
        <f>Sheet1!AI147</f>
        <v>-</v>
      </c>
      <c r="V153" s="1075"/>
      <c r="W153" s="1075"/>
      <c r="X153" s="1075" t="str">
        <f>Sheet1!AJ147</f>
        <v>-</v>
      </c>
      <c r="Y153" s="1075"/>
      <c r="Z153" s="1075"/>
      <c r="AA153" s="1075"/>
      <c r="AB153" s="1075"/>
      <c r="AC153" s="1075"/>
      <c r="AD153" s="1075"/>
      <c r="AE153" s="1075"/>
      <c r="AF153" s="1075"/>
      <c r="AG153" s="1075"/>
      <c r="AH153" s="1075"/>
      <c r="AI153" s="1075"/>
      <c r="AJ153" s="1075"/>
      <c r="AK153" s="1075" t="str">
        <f>IF(Sheet1!AE150="C",Sheet1!AK150,"-")</f>
        <v>-</v>
      </c>
      <c r="AL153" s="1075" t="str">
        <f>IF(Sheet1!AE150="D",Sheet1!AK150,"-")</f>
        <v>-</v>
      </c>
      <c r="AM153" s="1075">
        <f>IF(Sheet1!AE147="E",Sheet1!AK147,"-")</f>
        <v>1410</v>
      </c>
    </row>
    <row r="154" spans="2:39" x14ac:dyDescent="0.25">
      <c r="B154" s="1082">
        <f>Sheet1!F148</f>
        <v>80</v>
      </c>
      <c r="C154" s="1075" t="str">
        <f>Sheet1!C148</f>
        <v>SR 44</v>
      </c>
      <c r="D154" s="1075" t="str">
        <f>_xlfn.TEXTBEFORE(Sheet1!E148, " to ")</f>
        <v>Amelia Ave.</v>
      </c>
      <c r="E154" s="1075" t="str">
        <f>_xlfn.TEXTAFTER(Sheet1!E148, " to ")</f>
        <v>Hill Ave.</v>
      </c>
      <c r="F154" s="1075">
        <f>Sheet1!AM148</f>
        <v>2</v>
      </c>
      <c r="G154" s="1075"/>
      <c r="H154" s="1083" t="str">
        <f>Sheet1!AE148</f>
        <v>E</v>
      </c>
      <c r="I154" s="1075"/>
      <c r="J154" s="1075" t="str">
        <f>Sheet1!Q148</f>
        <v>UA_SSAC1_2W_2L_U_WL</v>
      </c>
      <c r="K154" s="1075"/>
      <c r="L154" s="1075">
        <f>Sheet1!AF148</f>
        <v>18939</v>
      </c>
      <c r="M154" s="1075"/>
      <c r="N154" s="1075"/>
      <c r="O154" s="1075"/>
      <c r="P154" s="1075">
        <f>Sheet1!AK148</f>
        <v>1712</v>
      </c>
      <c r="Q154" s="1075"/>
      <c r="R154" s="1075">
        <f>Sheet1!AD148</f>
        <v>11900</v>
      </c>
      <c r="S154" s="1081">
        <f>Sheet1!AG148</f>
        <v>0.62833306932784205</v>
      </c>
      <c r="T154" s="1075" t="str">
        <f>Sheet1!AH148</f>
        <v>C</v>
      </c>
      <c r="U154" s="1075" t="str">
        <f>Sheet1!AI148</f>
        <v>-</v>
      </c>
      <c r="V154" s="1075"/>
      <c r="W154" s="1075"/>
      <c r="X154" s="1075" t="str">
        <f>Sheet1!AJ148</f>
        <v>-</v>
      </c>
      <c r="Y154" s="1075"/>
      <c r="Z154" s="1075"/>
      <c r="AA154" s="1075"/>
      <c r="AB154" s="1075"/>
      <c r="AC154" s="1075"/>
      <c r="AD154" s="1075"/>
      <c r="AE154" s="1075"/>
      <c r="AF154" s="1075"/>
      <c r="AG154" s="1075"/>
      <c r="AH154" s="1075"/>
      <c r="AI154" s="1075"/>
      <c r="AJ154" s="1075"/>
      <c r="AK154" s="1075" t="str">
        <f>IF(Sheet1!AE151="C",Sheet1!AK151,"-")</f>
        <v>-</v>
      </c>
      <c r="AL154" s="1075" t="str">
        <f>IF(Sheet1!AE151="D",Sheet1!AK151,"-")</f>
        <v>-</v>
      </c>
      <c r="AM154" s="1075">
        <f>IF(Sheet1!AE148="E",Sheet1!AK148,"-")</f>
        <v>1712</v>
      </c>
    </row>
    <row r="155" spans="2:39" x14ac:dyDescent="0.25">
      <c r="B155" s="1082">
        <f>Sheet1!F149</f>
        <v>80</v>
      </c>
      <c r="C155" s="1075" t="str">
        <f>Sheet1!C149</f>
        <v>SR 44</v>
      </c>
      <c r="D155" s="1075" t="str">
        <f>_xlfn.TEXTBEFORE(Sheet1!E149, " to ")</f>
        <v>Hill Ave.</v>
      </c>
      <c r="E155" s="1075" t="str">
        <f>_xlfn.TEXTAFTER(Sheet1!E149, " to ")</f>
        <v>Blue Lake Ave.</v>
      </c>
      <c r="F155" s="1075">
        <f>Sheet1!AM149</f>
        <v>2</v>
      </c>
      <c r="G155" s="1075"/>
      <c r="H155" s="1083" t="str">
        <f>Sheet1!AE149</f>
        <v>DeLand</v>
      </c>
      <c r="I155" s="1075"/>
      <c r="J155" s="1075" t="str">
        <f>Sheet1!Q149</f>
        <v>UA_SSAC1_2W_2L_U_WL</v>
      </c>
      <c r="K155" s="1075"/>
      <c r="L155" s="1075">
        <f>Sheet1!AF149</f>
        <v>19800</v>
      </c>
      <c r="M155" s="1075"/>
      <c r="N155" s="1075"/>
      <c r="O155" s="1075"/>
      <c r="P155" s="1075">
        <f>Sheet1!AK149</f>
        <v>1712</v>
      </c>
      <c r="Q155" s="1075"/>
      <c r="R155" s="1075">
        <f>Sheet1!AD149</f>
        <v>11900</v>
      </c>
      <c r="S155" s="1081">
        <f>Sheet1!AG149</f>
        <v>0.60101010101010099</v>
      </c>
      <c r="T155" s="1075">
        <f>Sheet1!AH149</f>
        <v>0</v>
      </c>
      <c r="U155" s="1075" t="str">
        <f>Sheet1!AI149</f>
        <v>-</v>
      </c>
      <c r="V155" s="1075"/>
      <c r="W155" s="1075"/>
      <c r="X155" s="1075" t="str">
        <f>Sheet1!AJ149</f>
        <v>-</v>
      </c>
      <c r="Y155" s="1075"/>
      <c r="Z155" s="1075"/>
      <c r="AA155" s="1075"/>
      <c r="AB155" s="1075"/>
      <c r="AC155" s="1075"/>
      <c r="AD155" s="1075"/>
      <c r="AE155" s="1075"/>
      <c r="AF155" s="1075"/>
      <c r="AG155" s="1075"/>
      <c r="AH155" s="1075"/>
      <c r="AI155" s="1075"/>
      <c r="AJ155" s="1075"/>
      <c r="AK155" s="1075" t="str">
        <f>IF(Sheet1!AE152="C",Sheet1!AK152,"-")</f>
        <v>-</v>
      </c>
      <c r="AL155" s="1075">
        <f>IF(Sheet1!AE152="D",Sheet1!AK152,"-")</f>
        <v>3580</v>
      </c>
      <c r="AM155" s="1075" t="str">
        <f>IF(Sheet1!AE149="E",Sheet1!AK149,"-")</f>
        <v>-</v>
      </c>
    </row>
    <row r="156" spans="2:39" x14ac:dyDescent="0.25">
      <c r="B156" s="1082">
        <f>Sheet1!F150</f>
        <v>19</v>
      </c>
      <c r="C156" s="1075" t="str">
        <f>Sheet1!C150</f>
        <v>SR 44</v>
      </c>
      <c r="D156" s="1075" t="str">
        <f>_xlfn.TEXTBEFORE(Sheet1!E150, " to ")</f>
        <v>Blue Lake Ave.</v>
      </c>
      <c r="E156" s="1075" t="str">
        <f>_xlfn.TEXTAFTER(Sheet1!E150, " to ")</f>
        <v>Kepler Rd.</v>
      </c>
      <c r="F156" s="1075">
        <f>Sheet1!AM150</f>
        <v>2</v>
      </c>
      <c r="G156" s="1075"/>
      <c r="H156" s="1083" t="str">
        <f>Sheet1!AE150</f>
        <v>DeLand</v>
      </c>
      <c r="I156" s="1075"/>
      <c r="J156" s="1075" t="str">
        <f>Sheet1!Q150</f>
        <v>UA_SSAC1_2W_2L_U_WL</v>
      </c>
      <c r="K156" s="1075"/>
      <c r="L156" s="1075">
        <f>Sheet1!AF150</f>
        <v>20800</v>
      </c>
      <c r="M156" s="1075"/>
      <c r="N156" s="1075"/>
      <c r="O156" s="1075"/>
      <c r="P156" s="1075">
        <f>Sheet1!AK150</f>
        <v>1712</v>
      </c>
      <c r="Q156" s="1075"/>
      <c r="R156" s="1075">
        <f>Sheet1!AD150</f>
        <v>16700</v>
      </c>
      <c r="S156" s="1081">
        <f>Sheet1!AG150</f>
        <v>0.80288461538461542</v>
      </c>
      <c r="T156" s="1075">
        <f>Sheet1!AH150</f>
        <v>0</v>
      </c>
      <c r="U156" s="1075" t="str">
        <f>Sheet1!AI150</f>
        <v>-</v>
      </c>
      <c r="V156" s="1075"/>
      <c r="W156" s="1075"/>
      <c r="X156" s="1075" t="str">
        <f>Sheet1!AJ150</f>
        <v>-</v>
      </c>
      <c r="Y156" s="1075"/>
      <c r="Z156" s="1075"/>
      <c r="AA156" s="1075"/>
      <c r="AB156" s="1075"/>
      <c r="AC156" s="1075"/>
      <c r="AD156" s="1075"/>
      <c r="AE156" s="1075"/>
      <c r="AF156" s="1075"/>
      <c r="AG156" s="1075"/>
      <c r="AH156" s="1075"/>
      <c r="AI156" s="1075"/>
      <c r="AJ156" s="1075"/>
      <c r="AK156" s="1075" t="str">
        <f>IF(Sheet1!AE153="C",Sheet1!AK153,"-")</f>
        <v>-</v>
      </c>
      <c r="AL156" s="1075">
        <f>IF(Sheet1!AE153="D",Sheet1!AK153,"-")</f>
        <v>3580</v>
      </c>
      <c r="AM156" s="1075" t="str">
        <f>IF(Sheet1!AE150="E",Sheet1!AK150,"-")</f>
        <v>-</v>
      </c>
    </row>
    <row r="157" spans="2:39" x14ac:dyDescent="0.25">
      <c r="B157" s="1082">
        <f>Sheet1!F151</f>
        <v>259</v>
      </c>
      <c r="C157" s="1075" t="str">
        <f>Sheet1!C151</f>
        <v>SR 44</v>
      </c>
      <c r="D157" s="1075" t="str">
        <f>_xlfn.TEXTBEFORE(Sheet1!E151, " to ")</f>
        <v>Kepler Rd.</v>
      </c>
      <c r="E157" s="1075" t="str">
        <f>_xlfn.TEXTAFTER(Sheet1!E151, " to ")</f>
        <v>Summit Ave.</v>
      </c>
      <c r="F157" s="1075">
        <f>Sheet1!AM151</f>
        <v>2</v>
      </c>
      <c r="G157" s="1075"/>
      <c r="H157" s="1083" t="str">
        <f>Sheet1!AE151</f>
        <v>DeLand</v>
      </c>
      <c r="I157" s="1075"/>
      <c r="J157" s="1075" t="str">
        <f>Sheet1!Q151</f>
        <v>UA_SSAC1_2W_2L_U_WL</v>
      </c>
      <c r="K157" s="1075"/>
      <c r="L157" s="1075">
        <f>Sheet1!AF151</f>
        <v>19800</v>
      </c>
      <c r="M157" s="1075"/>
      <c r="N157" s="1075"/>
      <c r="O157" s="1075"/>
      <c r="P157" s="1075">
        <f>Sheet1!AK151</f>
        <v>1712</v>
      </c>
      <c r="Q157" s="1075"/>
      <c r="R157" s="1075">
        <f>Sheet1!AD151</f>
        <v>19200</v>
      </c>
      <c r="S157" s="1081">
        <f>Sheet1!AG151</f>
        <v>0.96969696969696972</v>
      </c>
      <c r="T157" s="1075">
        <f>Sheet1!AH151</f>
        <v>0</v>
      </c>
      <c r="U157" s="1075" t="str">
        <f>Sheet1!AI151</f>
        <v>-</v>
      </c>
      <c r="V157" s="1075"/>
      <c r="W157" s="1075"/>
      <c r="X157" s="1075" t="str">
        <f>Sheet1!AJ151</f>
        <v>-</v>
      </c>
      <c r="Y157" s="1075"/>
      <c r="Z157" s="1075"/>
      <c r="AA157" s="1075"/>
      <c r="AB157" s="1075"/>
      <c r="AC157" s="1075"/>
      <c r="AD157" s="1075"/>
      <c r="AE157" s="1075"/>
      <c r="AF157" s="1075"/>
      <c r="AG157" s="1075"/>
      <c r="AH157" s="1075"/>
      <c r="AI157" s="1075"/>
      <c r="AJ157" s="1075"/>
      <c r="AK157" s="1075">
        <f>IF(Sheet1!AE154="C",Sheet1!AK154,"-")</f>
        <v>4270</v>
      </c>
      <c r="AL157" s="1075" t="str">
        <f>IF(Sheet1!AE154="D",Sheet1!AK154,"-")</f>
        <v>-</v>
      </c>
      <c r="AM157" s="1075" t="str">
        <f>IF(Sheet1!AE151="E",Sheet1!AK151,"-")</f>
        <v>-</v>
      </c>
    </row>
    <row r="158" spans="2:39" x14ac:dyDescent="0.25">
      <c r="B158" s="1082">
        <f>Sheet1!F152</f>
        <v>538</v>
      </c>
      <c r="C158" s="1075" t="str">
        <f>Sheet1!C152</f>
        <v>SR 44</v>
      </c>
      <c r="D158" s="1075" t="str">
        <f>_xlfn.TEXTBEFORE(Sheet1!E152, " to ")</f>
        <v>Summit Ave.</v>
      </c>
      <c r="E158" s="1075" t="str">
        <f>_xlfn.TEXTAFTER(Sheet1!E152, " to ")</f>
        <v>I-4</v>
      </c>
      <c r="F158" s="1075">
        <f>Sheet1!AM152</f>
        <v>4</v>
      </c>
      <c r="G158" s="1075"/>
      <c r="H158" s="1083" t="str">
        <f>Sheet1!AE152</f>
        <v>D</v>
      </c>
      <c r="I158" s="1075"/>
      <c r="J158" s="1075" t="str">
        <f>Sheet1!Q152</f>
        <v>UA_SSAC1_2W_4L_D_WL</v>
      </c>
      <c r="K158" s="1075"/>
      <c r="L158" s="1075">
        <f>Sheet1!AF152</f>
        <v>39800</v>
      </c>
      <c r="M158" s="1075"/>
      <c r="N158" s="1075"/>
      <c r="O158" s="1075"/>
      <c r="P158" s="1075">
        <f>Sheet1!AK152</f>
        <v>3580</v>
      </c>
      <c r="Q158" s="1075"/>
      <c r="R158" s="1075">
        <f>Sheet1!AD152</f>
        <v>21000</v>
      </c>
      <c r="S158" s="1081">
        <f>Sheet1!AG152</f>
        <v>0.52763819095477382</v>
      </c>
      <c r="T158" s="1075" t="str">
        <f>Sheet1!AH152</f>
        <v>C</v>
      </c>
      <c r="U158" s="1075" t="str">
        <f>Sheet1!AI152</f>
        <v>-</v>
      </c>
      <c r="V158" s="1075"/>
      <c r="W158" s="1075"/>
      <c r="X158" s="1075" t="str">
        <f>Sheet1!AJ152</f>
        <v>-</v>
      </c>
      <c r="Y158" s="1075"/>
      <c r="Z158" s="1075"/>
      <c r="AA158" s="1075"/>
      <c r="AB158" s="1075"/>
      <c r="AC158" s="1075"/>
      <c r="AD158" s="1075"/>
      <c r="AE158" s="1075"/>
      <c r="AF158" s="1075"/>
      <c r="AG158" s="1075"/>
      <c r="AH158" s="1075"/>
      <c r="AI158" s="1075"/>
      <c r="AJ158" s="1075"/>
      <c r="AK158" s="1075">
        <f>IF(Sheet1!AE155="C",Sheet1!AK155,"-")</f>
        <v>4270</v>
      </c>
      <c r="AL158" s="1075" t="str">
        <f>IF(Sheet1!AE155="D",Sheet1!AK155,"-")</f>
        <v>-</v>
      </c>
      <c r="AM158" s="1075" t="str">
        <f>IF(Sheet1!AE152="E",Sheet1!AK152,"-")</f>
        <v>-</v>
      </c>
    </row>
    <row r="159" spans="2:39" x14ac:dyDescent="0.25">
      <c r="B159" s="1082">
        <f>Sheet1!F153</f>
        <v>480</v>
      </c>
      <c r="C159" s="1075" t="str">
        <f>Sheet1!C153</f>
        <v>SR 44</v>
      </c>
      <c r="D159" s="1075" t="str">
        <f>_xlfn.TEXTBEFORE(Sheet1!E153, " to ")</f>
        <v>I-4</v>
      </c>
      <c r="E159" s="1075" t="str">
        <f>_xlfn.TEXTAFTER(Sheet1!E153, " to ")</f>
        <v>Prevatt Ave.</v>
      </c>
      <c r="F159" s="1075">
        <f>Sheet1!AM153</f>
        <v>4</v>
      </c>
      <c r="G159" s="1075"/>
      <c r="H159" s="1083" t="str">
        <f>Sheet1!AE153</f>
        <v>D</v>
      </c>
      <c r="I159" s="1075"/>
      <c r="J159" s="1075" t="str">
        <f>Sheet1!Q153</f>
        <v>UA_SSAC1_2W_4L_D_WL</v>
      </c>
      <c r="K159" s="1075"/>
      <c r="L159" s="1075">
        <f>Sheet1!AF153</f>
        <v>39800</v>
      </c>
      <c r="M159" s="1075"/>
      <c r="N159" s="1075"/>
      <c r="O159" s="1075"/>
      <c r="P159" s="1075">
        <f>Sheet1!AK153</f>
        <v>3580</v>
      </c>
      <c r="Q159" s="1075"/>
      <c r="R159" s="1075">
        <f>Sheet1!AD153</f>
        <v>16500</v>
      </c>
      <c r="S159" s="1081">
        <f>Sheet1!AG153</f>
        <v>0.41457286432160806</v>
      </c>
      <c r="T159" s="1075" t="str">
        <f>Sheet1!AH153</f>
        <v>C</v>
      </c>
      <c r="U159" s="1075">
        <f>Sheet1!AI153</f>
        <v>1630</v>
      </c>
      <c r="V159" s="1075"/>
      <c r="W159" s="1075"/>
      <c r="X159" s="1075">
        <f>Sheet1!AJ153</f>
        <v>1820</v>
      </c>
      <c r="Y159" s="1075"/>
      <c r="Z159" s="1075"/>
      <c r="AA159" s="1075"/>
      <c r="AB159" s="1075"/>
      <c r="AC159" s="1075"/>
      <c r="AD159" s="1075"/>
      <c r="AE159" s="1075"/>
      <c r="AF159" s="1075"/>
      <c r="AG159" s="1075"/>
      <c r="AH159" s="1075"/>
      <c r="AI159" s="1075"/>
      <c r="AJ159" s="1075"/>
      <c r="AK159" s="1075">
        <f>IF(Sheet1!AE156="C",Sheet1!AK156,"-")</f>
        <v>4020</v>
      </c>
      <c r="AL159" s="1075" t="str">
        <f>IF(Sheet1!AE156="D",Sheet1!AK156,"-")</f>
        <v>-</v>
      </c>
      <c r="AM159" s="1075" t="str">
        <f>IF(Sheet1!AE153="E",Sheet1!AK153,"-")</f>
        <v>-</v>
      </c>
    </row>
    <row r="160" spans="2:39" x14ac:dyDescent="0.25">
      <c r="B160" s="1082">
        <f>Sheet1!F154</f>
        <v>41</v>
      </c>
      <c r="C160" s="1075" t="str">
        <f>Sheet1!C154</f>
        <v>SR 44</v>
      </c>
      <c r="D160" s="1075" t="str">
        <f>_xlfn.TEXTBEFORE(Sheet1!E154, " to ")</f>
        <v>Prevatt Ave.</v>
      </c>
      <c r="E160" s="1075" t="str">
        <f>_xlfn.TEXTAFTER(Sheet1!E154, " to ")</f>
        <v>Pioneer Tr.</v>
      </c>
      <c r="F160" s="1075">
        <f>Sheet1!AM154</f>
        <v>4</v>
      </c>
      <c r="G160" s="1075"/>
      <c r="H160" s="1083" t="str">
        <f>Sheet1!AE154</f>
        <v>C</v>
      </c>
      <c r="I160" s="1075"/>
      <c r="J160" s="1075" t="str">
        <f>Sheet1!Q154</f>
        <v>RUA_UFH_2W_4L_D_WL</v>
      </c>
      <c r="K160" s="1075"/>
      <c r="L160" s="1075">
        <f>Sheet1!AF154</f>
        <v>44900</v>
      </c>
      <c r="M160" s="1075"/>
      <c r="N160" s="1075"/>
      <c r="O160" s="1075"/>
      <c r="P160" s="1075">
        <f>Sheet1!AK154</f>
        <v>4270</v>
      </c>
      <c r="Q160" s="1075"/>
      <c r="R160" s="1075">
        <f>Sheet1!AD154</f>
        <v>19000</v>
      </c>
      <c r="S160" s="1081">
        <f>Sheet1!AG154</f>
        <v>0.42316258351893093</v>
      </c>
      <c r="T160" s="1075" t="str">
        <f>Sheet1!AH154</f>
        <v>B</v>
      </c>
      <c r="U160" s="1075">
        <f>Sheet1!AI154</f>
        <v>1510</v>
      </c>
      <c r="V160" s="1075"/>
      <c r="W160" s="1075"/>
      <c r="X160" s="1075">
        <f>Sheet1!AJ154</f>
        <v>1700</v>
      </c>
      <c r="Y160" s="1075"/>
      <c r="Z160" s="1075"/>
      <c r="AA160" s="1075"/>
      <c r="AB160" s="1075"/>
      <c r="AC160" s="1075"/>
      <c r="AD160" s="1075"/>
      <c r="AE160" s="1075"/>
      <c r="AF160" s="1075"/>
      <c r="AG160" s="1075"/>
      <c r="AH160" s="1075"/>
      <c r="AI160" s="1075"/>
      <c r="AJ160" s="1075"/>
      <c r="AK160" s="1075">
        <f>IF(Sheet1!AE157="C",Sheet1!AK157,"-")</f>
        <v>4020</v>
      </c>
      <c r="AL160" s="1075" t="str">
        <f>IF(Sheet1!AE157="D",Sheet1!AK157,"-")</f>
        <v>-</v>
      </c>
      <c r="AM160" s="1075" t="str">
        <f>IF(Sheet1!AE154="E",Sheet1!AK154,"-")</f>
        <v>-</v>
      </c>
    </row>
    <row r="161" spans="2:39" x14ac:dyDescent="0.25">
      <c r="B161" s="1082">
        <f>Sheet1!F155</f>
        <v>1011</v>
      </c>
      <c r="C161" s="1075" t="str">
        <f>Sheet1!C155</f>
        <v>SR 44</v>
      </c>
      <c r="D161" s="1075" t="str">
        <f>_xlfn.TEXTBEFORE(Sheet1!E155, " to ")</f>
        <v>Pioneer Tr.</v>
      </c>
      <c r="E161" s="1075" t="str">
        <f>_xlfn.TEXTAFTER(Sheet1!E155, " to ")</f>
        <v>SR 415/CR 415</v>
      </c>
      <c r="F161" s="1075">
        <f>Sheet1!AM155</f>
        <v>4</v>
      </c>
      <c r="G161" s="1075"/>
      <c r="H161" s="1083" t="str">
        <f>Sheet1!AE155</f>
        <v>C</v>
      </c>
      <c r="I161" s="1075"/>
      <c r="J161" s="1075" t="str">
        <f>Sheet1!Q155</f>
        <v>RUA_UFH_2W_4L_D_WL</v>
      </c>
      <c r="K161" s="1075"/>
      <c r="L161" s="1075">
        <f>Sheet1!AF155</f>
        <v>44900</v>
      </c>
      <c r="M161" s="1075"/>
      <c r="N161" s="1075"/>
      <c r="O161" s="1075"/>
      <c r="P161" s="1075">
        <f>Sheet1!AK155</f>
        <v>4270</v>
      </c>
      <c r="Q161" s="1075"/>
      <c r="R161" s="1075">
        <f>Sheet1!AD155</f>
        <v>14800</v>
      </c>
      <c r="S161" s="1081">
        <f>Sheet1!AG155</f>
        <v>0.32962138084632514</v>
      </c>
      <c r="T161" s="1075" t="str">
        <f>Sheet1!AH155</f>
        <v>B</v>
      </c>
      <c r="U161" s="1075" t="str">
        <f>Sheet1!AI155</f>
        <v>-</v>
      </c>
      <c r="V161" s="1075"/>
      <c r="W161" s="1075"/>
      <c r="X161" s="1075" t="str">
        <f>Sheet1!AJ155</f>
        <v>-</v>
      </c>
      <c r="Y161" s="1075"/>
      <c r="Z161" s="1075"/>
      <c r="AA161" s="1075"/>
      <c r="AB161" s="1075"/>
      <c r="AC161" s="1075"/>
      <c r="AD161" s="1075"/>
      <c r="AE161" s="1075"/>
      <c r="AF161" s="1075"/>
      <c r="AG161" s="1075"/>
      <c r="AH161" s="1075"/>
      <c r="AI161" s="1075"/>
      <c r="AJ161" s="1075"/>
      <c r="AK161" s="1075" t="str">
        <f>IF(Sheet1!AE158="C",Sheet1!AK158,"-")</f>
        <v>-</v>
      </c>
      <c r="AL161" s="1075">
        <f>IF(Sheet1!AE158="D",Sheet1!AK158,"-")</f>
        <v>3580</v>
      </c>
      <c r="AM161" s="1075" t="str">
        <f>IF(Sheet1!AE155="E",Sheet1!AK155,"-")</f>
        <v>-</v>
      </c>
    </row>
    <row r="162" spans="2:39" x14ac:dyDescent="0.25">
      <c r="B162" s="1082">
        <f>Sheet1!F156</f>
        <v>1012</v>
      </c>
      <c r="C162" s="1075" t="str">
        <f>Sheet1!C156</f>
        <v>SR 44</v>
      </c>
      <c r="D162" s="1075" t="str">
        <f>_xlfn.TEXTBEFORE(Sheet1!E156, " to ")</f>
        <v>SR 415/CR 415</v>
      </c>
      <c r="E162" s="1075" t="str">
        <f>_xlfn.TEXTAFTER(Sheet1!E156, " to ")</f>
        <v>Samsula Dr.</v>
      </c>
      <c r="F162" s="1075">
        <f>Sheet1!AM156</f>
        <v>4</v>
      </c>
      <c r="G162" s="1075"/>
      <c r="H162" s="1083" t="str">
        <f>Sheet1!AE156</f>
        <v>C</v>
      </c>
      <c r="I162" s="1075"/>
      <c r="J162" s="1075" t="str">
        <f>Sheet1!Q156</f>
        <v>RDA_UFH_2W_4L_D_WL</v>
      </c>
      <c r="K162" s="1075"/>
      <c r="L162" s="1075">
        <f>Sheet1!AF156</f>
        <v>42300</v>
      </c>
      <c r="M162" s="1075"/>
      <c r="N162" s="1075"/>
      <c r="O162" s="1075"/>
      <c r="P162" s="1075">
        <f>Sheet1!AK156</f>
        <v>4020</v>
      </c>
      <c r="Q162" s="1075"/>
      <c r="R162" s="1075">
        <f>Sheet1!AD156</f>
        <v>21000</v>
      </c>
      <c r="S162" s="1081">
        <f>Sheet1!AG156</f>
        <v>0.49645390070921985</v>
      </c>
      <c r="T162" s="1075" t="str">
        <f>Sheet1!AH156</f>
        <v>B</v>
      </c>
      <c r="U162" s="1075" t="str">
        <f>Sheet1!AI156</f>
        <v>-</v>
      </c>
      <c r="V162" s="1075"/>
      <c r="W162" s="1075"/>
      <c r="X162" s="1075" t="str">
        <f>Sheet1!AJ156</f>
        <v>-</v>
      </c>
      <c r="Y162" s="1075"/>
      <c r="Z162" s="1075"/>
      <c r="AA162" s="1075"/>
      <c r="AB162" s="1075"/>
      <c r="AC162" s="1075"/>
      <c r="AD162" s="1075"/>
      <c r="AE162" s="1075"/>
      <c r="AF162" s="1075"/>
      <c r="AG162" s="1075"/>
      <c r="AH162" s="1075"/>
      <c r="AI162" s="1075"/>
      <c r="AJ162" s="1075"/>
      <c r="AK162" s="1075" t="str">
        <f>IF(Sheet1!AE159="C",Sheet1!AK159,"-")</f>
        <v>-</v>
      </c>
      <c r="AL162" s="1075">
        <f>IF(Sheet1!AE159="D",Sheet1!AK159,"-")</f>
        <v>3580</v>
      </c>
      <c r="AM162" s="1075" t="str">
        <f>IF(Sheet1!AE156="E",Sheet1!AK156,"-")</f>
        <v>-</v>
      </c>
    </row>
    <row r="163" spans="2:39" x14ac:dyDescent="0.25">
      <c r="B163" s="1082">
        <f>Sheet1!F157</f>
        <v>423</v>
      </c>
      <c r="C163" s="1075" t="str">
        <f>Sheet1!C157</f>
        <v>SR 44</v>
      </c>
      <c r="D163" s="1075" t="str">
        <f>_xlfn.TEXTBEFORE(Sheet1!E157, " to ")</f>
        <v>Samsula Dr.</v>
      </c>
      <c r="E163" s="1075" t="str">
        <f>_xlfn.TEXTAFTER(Sheet1!E157, " to ")</f>
        <v>Airport Rd</v>
      </c>
      <c r="F163" s="1075">
        <f>Sheet1!AM157</f>
        <v>4</v>
      </c>
      <c r="G163" s="1075"/>
      <c r="H163" s="1083" t="str">
        <f>Sheet1!AE157</f>
        <v>C</v>
      </c>
      <c r="I163" s="1075"/>
      <c r="J163" s="1075" t="str">
        <f>Sheet1!Q157</f>
        <v>RDA_UFH_2W_4L_D_WL</v>
      </c>
      <c r="K163" s="1075"/>
      <c r="L163" s="1075">
        <f>Sheet1!AF157</f>
        <v>42300</v>
      </c>
      <c r="M163" s="1075"/>
      <c r="N163" s="1075"/>
      <c r="O163" s="1075"/>
      <c r="P163" s="1075">
        <f>Sheet1!AK157</f>
        <v>4020</v>
      </c>
      <c r="Q163" s="1075"/>
      <c r="R163" s="1075">
        <f>Sheet1!AD157</f>
        <v>15400</v>
      </c>
      <c r="S163" s="1081">
        <f>Sheet1!AG157</f>
        <v>0.36406619385342792</v>
      </c>
      <c r="T163" s="1075" t="str">
        <f>Sheet1!AH157</f>
        <v>B</v>
      </c>
      <c r="U163" s="1075">
        <f>Sheet1!AI157</f>
        <v>1140</v>
      </c>
      <c r="V163" s="1075"/>
      <c r="W163" s="1075"/>
      <c r="X163" s="1075">
        <f>Sheet1!AJ157</f>
        <v>1490</v>
      </c>
      <c r="Y163" s="1075"/>
      <c r="Z163" s="1075"/>
      <c r="AA163" s="1075"/>
      <c r="AB163" s="1075"/>
      <c r="AC163" s="1075"/>
      <c r="AD163" s="1075"/>
      <c r="AE163" s="1075"/>
      <c r="AF163" s="1075"/>
      <c r="AG163" s="1075"/>
      <c r="AH163" s="1075"/>
      <c r="AI163" s="1075"/>
      <c r="AJ163" s="1075"/>
      <c r="AK163" s="1075" t="str">
        <f>IF(Sheet1!AE160="C",Sheet1!AK160,"-")</f>
        <v>-</v>
      </c>
      <c r="AL163" s="1075">
        <f>IF(Sheet1!AE160="D",Sheet1!AK160,"-")</f>
        <v>3580</v>
      </c>
      <c r="AM163" s="1075" t="str">
        <f>IF(Sheet1!AE157="E",Sheet1!AK157,"-")</f>
        <v>-</v>
      </c>
    </row>
    <row r="164" spans="2:39" x14ac:dyDescent="0.25">
      <c r="B164" s="1082">
        <f>Sheet1!F158</f>
        <v>423</v>
      </c>
      <c r="C164" s="1075" t="str">
        <f>Sheet1!C158</f>
        <v>SR 44</v>
      </c>
      <c r="D164" s="1075" t="str">
        <f>_xlfn.TEXTBEFORE(Sheet1!E158, " to ")</f>
        <v>Airport Rd.</v>
      </c>
      <c r="E164" s="1075" t="str">
        <f>_xlfn.TEXTAFTER(Sheet1!E158, " to ")</f>
        <v>I-95</v>
      </c>
      <c r="F164" s="1075">
        <f>Sheet1!AM158</f>
        <v>4</v>
      </c>
      <c r="G164" s="1075"/>
      <c r="H164" s="1083" t="str">
        <f>Sheet1!AE158</f>
        <v>D</v>
      </c>
      <c r="I164" s="1075"/>
      <c r="J164" s="1075" t="str">
        <f>Sheet1!Q158</f>
        <v>UA_SSAC1_2W_4L_D_WL</v>
      </c>
      <c r="K164" s="1075"/>
      <c r="L164" s="1075">
        <f>Sheet1!AF158</f>
        <v>39800</v>
      </c>
      <c r="M164" s="1075"/>
      <c r="N164" s="1075"/>
      <c r="O164" s="1075"/>
      <c r="P164" s="1075">
        <f>Sheet1!AK158</f>
        <v>3580</v>
      </c>
      <c r="Q164" s="1075"/>
      <c r="R164" s="1075">
        <f>Sheet1!AD158</f>
        <v>15400</v>
      </c>
      <c r="S164" s="1081">
        <f>Sheet1!AG158</f>
        <v>0.38693467336683418</v>
      </c>
      <c r="T164" s="1075" t="str">
        <f>Sheet1!AH158</f>
        <v>C</v>
      </c>
      <c r="U164" s="1075">
        <f>Sheet1!AI158</f>
        <v>1140</v>
      </c>
      <c r="V164" s="1075"/>
      <c r="W164" s="1075"/>
      <c r="X164" s="1075">
        <f>Sheet1!AJ158</f>
        <v>1490</v>
      </c>
      <c r="Y164" s="1075"/>
      <c r="Z164" s="1075"/>
      <c r="AA164" s="1075"/>
      <c r="AB164" s="1075"/>
      <c r="AC164" s="1075"/>
      <c r="AD164" s="1075"/>
      <c r="AE164" s="1075"/>
      <c r="AF164" s="1075"/>
      <c r="AG164" s="1075"/>
      <c r="AH164" s="1075"/>
      <c r="AI164" s="1075"/>
      <c r="AJ164" s="1075"/>
      <c r="AK164" s="1075" t="str">
        <f>IF(Sheet1!AE161="C",Sheet1!AK161,"-")</f>
        <v>-</v>
      </c>
      <c r="AL164" s="1075">
        <f>IF(Sheet1!AE161="D",Sheet1!AK161,"-")</f>
        <v>3580</v>
      </c>
      <c r="AM164" s="1075" t="str">
        <f>IF(Sheet1!AE158="E",Sheet1!AK158,"-")</f>
        <v>-</v>
      </c>
    </row>
    <row r="165" spans="2:39" x14ac:dyDescent="0.25">
      <c r="B165" s="1082">
        <f>Sheet1!F159</f>
        <v>515</v>
      </c>
      <c r="C165" s="1075" t="str">
        <f>Sheet1!C159</f>
        <v>SR 44</v>
      </c>
      <c r="D165" s="1075" t="str">
        <f>_xlfn.TEXTBEFORE(Sheet1!E159, " to ")</f>
        <v>I-95</v>
      </c>
      <c r="E165" s="1075" t="str">
        <f>_xlfn.TEXTAFTER(Sheet1!E159, " to ")</f>
        <v>Mission Dr</v>
      </c>
      <c r="F165" s="1075">
        <f>Sheet1!AM159</f>
        <v>4</v>
      </c>
      <c r="G165" s="1075"/>
      <c r="H165" s="1083" t="str">
        <f>Sheet1!AE159</f>
        <v>D</v>
      </c>
      <c r="I165" s="1075"/>
      <c r="J165" s="1075" t="str">
        <f>Sheet1!Q159</f>
        <v>UA_SSAC1_2W_4L_D_WL</v>
      </c>
      <c r="K165" s="1075"/>
      <c r="L165" s="1075">
        <f>Sheet1!AF159</f>
        <v>39800</v>
      </c>
      <c r="M165" s="1075"/>
      <c r="N165" s="1075"/>
      <c r="O165" s="1075"/>
      <c r="P165" s="1075">
        <f>Sheet1!AK159</f>
        <v>3580</v>
      </c>
      <c r="Q165" s="1075"/>
      <c r="R165" s="1075">
        <f>Sheet1!AD159</f>
        <v>33500</v>
      </c>
      <c r="S165" s="1081">
        <f>Sheet1!AG159</f>
        <v>0.84170854271356788</v>
      </c>
      <c r="T165" s="1075" t="str">
        <f>Sheet1!AH159</f>
        <v>C</v>
      </c>
      <c r="U165" s="1075" t="str">
        <f>Sheet1!AI159</f>
        <v>-</v>
      </c>
      <c r="V165" s="1075"/>
      <c r="W165" s="1075"/>
      <c r="X165" s="1075" t="str">
        <f>Sheet1!AJ159</f>
        <v>-</v>
      </c>
      <c r="Y165" s="1075"/>
      <c r="Z165" s="1075"/>
      <c r="AA165" s="1075"/>
      <c r="AB165" s="1075"/>
      <c r="AC165" s="1075"/>
      <c r="AD165" s="1075"/>
      <c r="AE165" s="1075"/>
      <c r="AF165" s="1075"/>
      <c r="AG165" s="1075"/>
      <c r="AH165" s="1075"/>
      <c r="AI165" s="1075"/>
      <c r="AJ165" s="1075"/>
      <c r="AK165" s="1075" t="str">
        <f>IF(Sheet1!AE162="C",Sheet1!AK162,"-")</f>
        <v>-</v>
      </c>
      <c r="AL165" s="1075">
        <f>IF(Sheet1!AE162="D",Sheet1!AK162,"-")</f>
        <v>3580</v>
      </c>
      <c r="AM165" s="1075" t="str">
        <f>IF(Sheet1!AE159="E",Sheet1!AK159,"-")</f>
        <v>-</v>
      </c>
    </row>
    <row r="166" spans="2:39" x14ac:dyDescent="0.25">
      <c r="B166" s="1082">
        <f>Sheet1!F160</f>
        <v>514</v>
      </c>
      <c r="C166" s="1075" t="str">
        <f>Sheet1!C160</f>
        <v>SR 44</v>
      </c>
      <c r="D166" s="1075" t="str">
        <f>_xlfn.TEXTBEFORE(Sheet1!E160, " to ")</f>
        <v>Mission Dr.</v>
      </c>
      <c r="E166" s="1075" t="str">
        <f>_xlfn.TEXTAFTER(Sheet1!E160, " to ")</f>
        <v>Live Oak</v>
      </c>
      <c r="F166" s="1075">
        <f>Sheet1!AM160</f>
        <v>4</v>
      </c>
      <c r="G166" s="1075"/>
      <c r="H166" s="1083" t="str">
        <f>Sheet1!AE160</f>
        <v>D</v>
      </c>
      <c r="I166" s="1075"/>
      <c r="J166" s="1075" t="str">
        <f>Sheet1!Q160</f>
        <v>UA_SSAC1_2W_4L_D_WL</v>
      </c>
      <c r="K166" s="1075"/>
      <c r="L166" s="1075">
        <f>Sheet1!AF160</f>
        <v>39800</v>
      </c>
      <c r="M166" s="1075"/>
      <c r="N166" s="1075"/>
      <c r="O166" s="1075"/>
      <c r="P166" s="1075">
        <f>Sheet1!AK160</f>
        <v>3580</v>
      </c>
      <c r="Q166" s="1075"/>
      <c r="R166" s="1075">
        <f>Sheet1!AD160</f>
        <v>19700</v>
      </c>
      <c r="S166" s="1081">
        <f>Sheet1!AG160</f>
        <v>0.49497487437185927</v>
      </c>
      <c r="T166" s="1075" t="str">
        <f>Sheet1!AH160</f>
        <v>C</v>
      </c>
      <c r="U166" s="1075" t="str">
        <f>Sheet1!AI160</f>
        <v>-</v>
      </c>
      <c r="V166" s="1075"/>
      <c r="W166" s="1075"/>
      <c r="X166" s="1075" t="str">
        <f>Sheet1!AJ160</f>
        <v>-</v>
      </c>
      <c r="Y166" s="1075"/>
      <c r="Z166" s="1075"/>
      <c r="AA166" s="1075"/>
      <c r="AB166" s="1075"/>
      <c r="AC166" s="1075"/>
      <c r="AD166" s="1075"/>
      <c r="AE166" s="1075"/>
      <c r="AF166" s="1075"/>
      <c r="AG166" s="1075"/>
      <c r="AH166" s="1075"/>
      <c r="AI166" s="1075"/>
      <c r="AJ166" s="1075"/>
      <c r="AK166" s="1075" t="str">
        <f>IF(Sheet1!AE163="C",Sheet1!AK163,"-")</f>
        <v>-</v>
      </c>
      <c r="AL166" s="1075">
        <f>IF(Sheet1!AE163="D",Sheet1!AK163,"-")</f>
        <v>3580</v>
      </c>
      <c r="AM166" s="1075" t="str">
        <f>IF(Sheet1!AE160="E",Sheet1!AK160,"-")</f>
        <v>-</v>
      </c>
    </row>
    <row r="167" spans="2:39" x14ac:dyDescent="0.25">
      <c r="B167" s="1082">
        <f>Sheet1!F161</f>
        <v>207</v>
      </c>
      <c r="C167" s="1075" t="str">
        <f>Sheet1!C161</f>
        <v>SR 44/SR A1A/S Causeway</v>
      </c>
      <c r="D167" s="1075" t="str">
        <f>_xlfn.TEXTBEFORE(Sheet1!E161, " to ")</f>
        <v>Live Oak</v>
      </c>
      <c r="E167" s="1075" t="str">
        <f>_xlfn.TEXTAFTER(Sheet1!E161, " to ")</f>
        <v>Peninsula Ave.</v>
      </c>
      <c r="F167" s="1075">
        <f>Sheet1!AM161</f>
        <v>4</v>
      </c>
      <c r="G167" s="1075"/>
      <c r="H167" s="1083" t="str">
        <f>Sheet1!AE161</f>
        <v>D</v>
      </c>
      <c r="I167" s="1075"/>
      <c r="J167" s="1075" t="str">
        <f>Sheet1!Q161</f>
        <v>UA_SSAC1_2W_4L_D_WL</v>
      </c>
      <c r="K167" s="1075"/>
      <c r="L167" s="1075">
        <f>Sheet1!AF161</f>
        <v>39800</v>
      </c>
      <c r="M167" s="1075"/>
      <c r="N167" s="1075"/>
      <c r="O167" s="1075"/>
      <c r="P167" s="1075">
        <f>Sheet1!AK161</f>
        <v>3580</v>
      </c>
      <c r="Q167" s="1075"/>
      <c r="R167" s="1075">
        <f>Sheet1!AD161</f>
        <v>26500</v>
      </c>
      <c r="S167" s="1081">
        <f>Sheet1!AG161</f>
        <v>0.66582914572864327</v>
      </c>
      <c r="T167" s="1075" t="str">
        <f>Sheet1!AH161</f>
        <v>C</v>
      </c>
      <c r="U167" s="1075" t="str">
        <f>Sheet1!AI161</f>
        <v>-</v>
      </c>
      <c r="V167" s="1075"/>
      <c r="W167" s="1075"/>
      <c r="X167" s="1075" t="str">
        <f>Sheet1!AJ161</f>
        <v>-</v>
      </c>
      <c r="Y167" s="1075"/>
      <c r="Z167" s="1075"/>
      <c r="AA167" s="1075"/>
      <c r="AB167" s="1075"/>
      <c r="AC167" s="1075"/>
      <c r="AD167" s="1075"/>
      <c r="AE167" s="1075"/>
      <c r="AF167" s="1075"/>
      <c r="AG167" s="1075"/>
      <c r="AH167" s="1075"/>
      <c r="AI167" s="1075"/>
      <c r="AJ167" s="1075"/>
      <c r="AK167" s="1075" t="str">
        <f>IF(Sheet1!AE164="C",Sheet1!AK164,"-")</f>
        <v>-</v>
      </c>
      <c r="AL167" s="1075">
        <f>IF(Sheet1!AE164="D",Sheet1!AK164,"-")</f>
        <v>1600</v>
      </c>
      <c r="AM167" s="1075" t="str">
        <f>IF(Sheet1!AE161="E",Sheet1!AK161,"-")</f>
        <v>-</v>
      </c>
    </row>
    <row r="168" spans="2:39" x14ac:dyDescent="0.25">
      <c r="B168" s="1082">
        <f>Sheet1!F162</f>
        <v>5180</v>
      </c>
      <c r="C168" s="1075" t="str">
        <f>Sheet1!C162</f>
        <v>SR 44/SR A1A/S Causeway</v>
      </c>
      <c r="D168" s="1075" t="str">
        <f>_xlfn.TEXTBEFORE(Sheet1!E162, " to ")</f>
        <v>Peninsula Ave.</v>
      </c>
      <c r="E168" s="1075" t="str">
        <f>_xlfn.TEXTAFTER(Sheet1!E162, " to ")</f>
        <v>Saxon Dr.</v>
      </c>
      <c r="F168" s="1075">
        <f>Sheet1!AM162</f>
        <v>4</v>
      </c>
      <c r="G168" s="1075"/>
      <c r="H168" s="1083" t="str">
        <f>Sheet1!AE162</f>
        <v>D</v>
      </c>
      <c r="I168" s="1075"/>
      <c r="J168" s="1075" t="str">
        <f>Sheet1!Q162</f>
        <v>UA_SSAC1_2W_4L_D_WL</v>
      </c>
      <c r="K168" s="1075"/>
      <c r="L168" s="1075">
        <f>Sheet1!AF162</f>
        <v>39800</v>
      </c>
      <c r="M168" s="1075"/>
      <c r="N168" s="1075"/>
      <c r="O168" s="1075"/>
      <c r="P168" s="1075">
        <f>Sheet1!AK162</f>
        <v>3580</v>
      </c>
      <c r="Q168" s="1075"/>
      <c r="R168" s="1075">
        <f>Sheet1!AD162</f>
        <v>22000</v>
      </c>
      <c r="S168" s="1081">
        <f>Sheet1!AG162</f>
        <v>0.55276381909547734</v>
      </c>
      <c r="T168" s="1075" t="str">
        <f>Sheet1!AH162</f>
        <v>C</v>
      </c>
      <c r="U168" s="1075" t="str">
        <f>Sheet1!AI162</f>
        <v>-</v>
      </c>
      <c r="V168" s="1075"/>
      <c r="W168" s="1075"/>
      <c r="X168" s="1075" t="str">
        <f>Sheet1!AJ162</f>
        <v>-</v>
      </c>
      <c r="Y168" s="1075"/>
      <c r="Z168" s="1075"/>
      <c r="AA168" s="1075"/>
      <c r="AB168" s="1075"/>
      <c r="AC168" s="1075"/>
      <c r="AD168" s="1075"/>
      <c r="AE168" s="1075"/>
      <c r="AF168" s="1075"/>
      <c r="AG168" s="1075"/>
      <c r="AH168" s="1075"/>
      <c r="AI168" s="1075"/>
      <c r="AJ168" s="1075"/>
      <c r="AK168" s="1075" t="str">
        <f>IF(Sheet1!AE165="C",Sheet1!AK165,"-")</f>
        <v>-</v>
      </c>
      <c r="AL168" s="1075">
        <f>IF(Sheet1!AE165="D",Sheet1!AK165,"-")</f>
        <v>1600</v>
      </c>
      <c r="AM168" s="1075" t="str">
        <f>IF(Sheet1!AE162="E",Sheet1!AK162,"-")</f>
        <v>-</v>
      </c>
    </row>
    <row r="169" spans="2:39" x14ac:dyDescent="0.25">
      <c r="B169" s="1082">
        <f>Sheet1!F163</f>
        <v>5043</v>
      </c>
      <c r="C169" s="1075" t="str">
        <f>Sheet1!C163</f>
        <v>SR 44/SR A1A/3rd Ave/Atlantic</v>
      </c>
      <c r="D169" s="1075" t="str">
        <f>_xlfn.TEXTBEFORE(Sheet1!E163, " to ")</f>
        <v>Saxon Dr.</v>
      </c>
      <c r="E169" s="1075" t="str">
        <f>_xlfn.TEXTAFTER(Sheet1!E163, " to ")</f>
        <v>6th Ave</v>
      </c>
      <c r="F169" s="1075">
        <f>Sheet1!AM163</f>
        <v>4</v>
      </c>
      <c r="G169" s="1075"/>
      <c r="H169" s="1083" t="str">
        <f>Sheet1!AE163</f>
        <v>D</v>
      </c>
      <c r="I169" s="1075"/>
      <c r="J169" s="1075" t="str">
        <f>Sheet1!Q163</f>
        <v>UA_SSAC1_2W_4L_D_WL</v>
      </c>
      <c r="K169" s="1075"/>
      <c r="L169" s="1075">
        <f>Sheet1!AF163</f>
        <v>39800</v>
      </c>
      <c r="M169" s="1075"/>
      <c r="N169" s="1075"/>
      <c r="O169" s="1075"/>
      <c r="P169" s="1075">
        <f>Sheet1!AK163</f>
        <v>3580</v>
      </c>
      <c r="Q169" s="1075"/>
      <c r="R169" s="1075">
        <f>Sheet1!AD163</f>
        <v>12200</v>
      </c>
      <c r="S169" s="1081">
        <f>Sheet1!AG163</f>
        <v>0.30653266331658291</v>
      </c>
      <c r="T169" s="1075" t="str">
        <f>Sheet1!AH163</f>
        <v>C</v>
      </c>
      <c r="U169" s="1075">
        <f>Sheet1!AI163</f>
        <v>900</v>
      </c>
      <c r="V169" s="1075"/>
      <c r="W169" s="1075"/>
      <c r="X169" s="1075">
        <f>Sheet1!AJ163</f>
        <v>1030</v>
      </c>
      <c r="Y169" s="1075"/>
      <c r="Z169" s="1075"/>
      <c r="AA169" s="1075"/>
      <c r="AB169" s="1075"/>
      <c r="AC169" s="1075"/>
      <c r="AD169" s="1075"/>
      <c r="AE169" s="1075"/>
      <c r="AF169" s="1075"/>
      <c r="AG169" s="1075"/>
      <c r="AH169" s="1075"/>
      <c r="AI169" s="1075"/>
      <c r="AJ169" s="1075"/>
      <c r="AK169" s="1075">
        <f>IF(Sheet1!AE166="C",Sheet1!AK166,"-")</f>
        <v>1620</v>
      </c>
      <c r="AL169" s="1075" t="str">
        <f>IF(Sheet1!AE166="D",Sheet1!AK166,"-")</f>
        <v>-</v>
      </c>
      <c r="AM169" s="1075" t="str">
        <f>IF(Sheet1!AE163="E",Sheet1!AK163,"-")</f>
        <v>-</v>
      </c>
    </row>
    <row r="170" spans="2:39" x14ac:dyDescent="0.25">
      <c r="B170" s="1082">
        <f>Sheet1!F164</f>
        <v>516</v>
      </c>
      <c r="C170" s="1075" t="str">
        <f>Sheet1!C164</f>
        <v xml:space="preserve">SR 44 (Business) - Canal St. </v>
      </c>
      <c r="D170" s="1075" t="str">
        <f>_xlfn.TEXTBEFORE(Sheet1!E164, " to ")</f>
        <v>SR 44/Lytle St</v>
      </c>
      <c r="E170" s="1075" t="str">
        <f>_xlfn.TEXTAFTER(Sheet1!E164, " to ")</f>
        <v>Pioneer Trail</v>
      </c>
      <c r="F170" s="1075">
        <f>Sheet1!AM164</f>
        <v>2</v>
      </c>
      <c r="G170" s="1075"/>
      <c r="H170" s="1083" t="str">
        <f>Sheet1!AE164</f>
        <v>D</v>
      </c>
      <c r="I170" s="1075"/>
      <c r="J170" s="1075" t="str">
        <f>Sheet1!Q164</f>
        <v>UA_SSAC1_2W_2L_U_WL</v>
      </c>
      <c r="K170" s="1075"/>
      <c r="L170" s="1075">
        <f>Sheet1!AF164</f>
        <v>17700</v>
      </c>
      <c r="M170" s="1075"/>
      <c r="N170" s="1075"/>
      <c r="O170" s="1075"/>
      <c r="P170" s="1075">
        <f>Sheet1!AK164</f>
        <v>1600</v>
      </c>
      <c r="Q170" s="1075"/>
      <c r="R170" s="1075">
        <f>Sheet1!AD164</f>
        <v>12300</v>
      </c>
      <c r="S170" s="1081">
        <f>Sheet1!AG164</f>
        <v>0.69491525423728817</v>
      </c>
      <c r="T170" s="1075" t="str">
        <f>Sheet1!AH164</f>
        <v>C</v>
      </c>
      <c r="U170" s="1075">
        <f>Sheet1!AI164</f>
        <v>820</v>
      </c>
      <c r="V170" s="1075"/>
      <c r="W170" s="1075"/>
      <c r="X170" s="1075">
        <f>Sheet1!AJ164</f>
        <v>950</v>
      </c>
      <c r="Y170" s="1075"/>
      <c r="Z170" s="1075"/>
      <c r="AA170" s="1075"/>
      <c r="AB170" s="1075"/>
      <c r="AC170" s="1075"/>
      <c r="AD170" s="1075"/>
      <c r="AE170" s="1075"/>
      <c r="AF170" s="1075"/>
      <c r="AG170" s="1075"/>
      <c r="AH170" s="1075"/>
      <c r="AI170" s="1075"/>
      <c r="AJ170" s="1075"/>
      <c r="AK170" s="1075" t="str">
        <f>IF(Sheet1!AE167="C",Sheet1!AK167,"-")</f>
        <v>-</v>
      </c>
      <c r="AL170" s="1075">
        <f>IF(Sheet1!AE167="D",Sheet1!AK167,"-")</f>
        <v>5390</v>
      </c>
      <c r="AM170" s="1075" t="str">
        <f>IF(Sheet1!AE164="E",Sheet1!AK164,"-")</f>
        <v>-</v>
      </c>
    </row>
    <row r="171" spans="2:39" x14ac:dyDescent="0.25">
      <c r="B171" s="1082">
        <f>Sheet1!F165</f>
        <v>111</v>
      </c>
      <c r="C171" s="1075" t="str">
        <f>Sheet1!C165</f>
        <v xml:space="preserve">SR 44 (Business) - Canal St. </v>
      </c>
      <c r="D171" s="1075" t="str">
        <f>_xlfn.TEXTBEFORE(Sheet1!E165, " to ")</f>
        <v>Pioneer Tr.</v>
      </c>
      <c r="E171" s="1075" t="str">
        <f>_xlfn.TEXTAFTER(Sheet1!E165, " to ")</f>
        <v>US 1</v>
      </c>
      <c r="F171" s="1075">
        <f>Sheet1!AM165</f>
        <v>2</v>
      </c>
      <c r="G171" s="1075"/>
      <c r="H171" s="1083" t="str">
        <f>Sheet1!AE165</f>
        <v>D</v>
      </c>
      <c r="I171" s="1075"/>
      <c r="J171" s="1075" t="str">
        <f>Sheet1!Q165</f>
        <v>UA_SSAC1_2W_2L_U_WL</v>
      </c>
      <c r="K171" s="1075"/>
      <c r="L171" s="1075">
        <f>Sheet1!AF165</f>
        <v>17700</v>
      </c>
      <c r="M171" s="1075"/>
      <c r="N171" s="1075"/>
      <c r="O171" s="1075"/>
      <c r="P171" s="1075">
        <f>Sheet1!AK165</f>
        <v>1600</v>
      </c>
      <c r="Q171" s="1075"/>
      <c r="R171" s="1075">
        <f>Sheet1!AD165</f>
        <v>12900</v>
      </c>
      <c r="S171" s="1081">
        <f>Sheet1!AG165</f>
        <v>0.72881355932203384</v>
      </c>
      <c r="T171" s="1075" t="str">
        <f>Sheet1!AH165</f>
        <v>C</v>
      </c>
      <c r="U171" s="1075">
        <f>Sheet1!AI165</f>
        <v>840</v>
      </c>
      <c r="V171" s="1075"/>
      <c r="W171" s="1075"/>
      <c r="X171" s="1075">
        <f>Sheet1!AJ165</f>
        <v>1030</v>
      </c>
      <c r="Y171" s="1075"/>
      <c r="Z171" s="1075"/>
      <c r="AA171" s="1075"/>
      <c r="AB171" s="1075"/>
      <c r="AC171" s="1075"/>
      <c r="AD171" s="1075"/>
      <c r="AE171" s="1075"/>
      <c r="AF171" s="1075"/>
      <c r="AG171" s="1075"/>
      <c r="AH171" s="1075"/>
      <c r="AI171" s="1075"/>
      <c r="AJ171" s="1075"/>
      <c r="AK171" s="1075" t="str">
        <f>IF(Sheet1!AE168="C",Sheet1!AK168,"-")</f>
        <v>-</v>
      </c>
      <c r="AL171" s="1075">
        <f>IF(Sheet1!AE168="D",Sheet1!AK168,"-")</f>
        <v>3580</v>
      </c>
      <c r="AM171" s="1075" t="str">
        <f>IF(Sheet1!AE165="E",Sheet1!AK165,"-")</f>
        <v>-</v>
      </c>
    </row>
    <row r="172" spans="2:39" x14ac:dyDescent="0.25">
      <c r="B172" s="1082" t="str">
        <f>Sheet1!F166</f>
        <v>0416-B</v>
      </c>
      <c r="C172" s="1075" t="str">
        <f>Sheet1!C166</f>
        <v>SR 46</v>
      </c>
      <c r="D172" s="1075" t="str">
        <f>_xlfn.TEXTBEFORE(Sheet1!E166, " to ")</f>
        <v>Seminole Co.</v>
      </c>
      <c r="E172" s="1075" t="str">
        <f>_xlfn.TEXTAFTER(Sheet1!E166, " to ")</f>
        <v>Brevard Co.</v>
      </c>
      <c r="F172" s="1075">
        <f>Sheet1!AM166</f>
        <v>2</v>
      </c>
      <c r="G172" s="1075"/>
      <c r="H172" s="1083" t="str">
        <f>Sheet1!AE166</f>
        <v>C</v>
      </c>
      <c r="I172" s="1075"/>
      <c r="J172" s="1075" t="str">
        <f>Sheet1!Q166</f>
        <v>RUA_UFH_2W_2L_U_WL</v>
      </c>
      <c r="K172" s="1075"/>
      <c r="L172" s="1075">
        <f>Sheet1!AF166</f>
        <v>18000</v>
      </c>
      <c r="M172" s="1075"/>
      <c r="N172" s="1075"/>
      <c r="O172" s="1075"/>
      <c r="P172" s="1075">
        <f>Sheet1!AK166</f>
        <v>1620</v>
      </c>
      <c r="Q172" s="1075"/>
      <c r="R172" s="1075">
        <f>Sheet1!AD166</f>
        <v>7900</v>
      </c>
      <c r="S172" s="1081">
        <f>Sheet1!AG166</f>
        <v>0.43888888888888888</v>
      </c>
      <c r="T172" s="1075" t="str">
        <f>Sheet1!AH166</f>
        <v>B</v>
      </c>
      <c r="U172" s="1075" t="str">
        <f>Sheet1!AI166</f>
        <v>-</v>
      </c>
      <c r="V172" s="1075"/>
      <c r="W172" s="1075"/>
      <c r="X172" s="1075" t="str">
        <f>Sheet1!AJ166</f>
        <v>-</v>
      </c>
      <c r="Y172" s="1075"/>
      <c r="Z172" s="1075"/>
      <c r="AA172" s="1075"/>
      <c r="AB172" s="1075"/>
      <c r="AC172" s="1075"/>
      <c r="AD172" s="1075"/>
      <c r="AE172" s="1075"/>
      <c r="AF172" s="1075"/>
      <c r="AG172" s="1075"/>
      <c r="AH172" s="1075"/>
      <c r="AI172" s="1075"/>
      <c r="AJ172" s="1075"/>
      <c r="AK172" s="1075" t="str">
        <f>IF(Sheet1!AE169="C",Sheet1!AK169,"-")</f>
        <v>-</v>
      </c>
      <c r="AL172" s="1075">
        <f>IF(Sheet1!AE169="D",Sheet1!AK169,"-")</f>
        <v>3580</v>
      </c>
      <c r="AM172" s="1075" t="str">
        <f>IF(Sheet1!AE166="E",Sheet1!AK166,"-")</f>
        <v>-</v>
      </c>
    </row>
    <row r="173" spans="2:39" x14ac:dyDescent="0.25">
      <c r="B173" s="1082">
        <f>Sheet1!F167</f>
        <v>501</v>
      </c>
      <c r="C173" s="1075" t="str">
        <f>Sheet1!C167</f>
        <v>SR 400 - Beville Rd.</v>
      </c>
      <c r="D173" s="1075" t="str">
        <f>_xlfn.TEXTBEFORE(Sheet1!E167, " to ")</f>
        <v>I-95</v>
      </c>
      <c r="E173" s="1075" t="str">
        <f>_xlfn.TEXTAFTER(Sheet1!E167, " to ")</f>
        <v>Williamson Blvd.</v>
      </c>
      <c r="F173" s="1075">
        <f>Sheet1!AM167</f>
        <v>6</v>
      </c>
      <c r="G173" s="1075"/>
      <c r="H173" s="1083" t="str">
        <f>Sheet1!AE167</f>
        <v>D</v>
      </c>
      <c r="I173" s="1075"/>
      <c r="J173" s="1075" t="str">
        <f>Sheet1!Q167</f>
        <v>UA_SSAC1_2W_6L_D_WL</v>
      </c>
      <c r="K173" s="1075"/>
      <c r="L173" s="1075">
        <f>Sheet1!AF167</f>
        <v>59900</v>
      </c>
      <c r="M173" s="1075"/>
      <c r="N173" s="1075"/>
      <c r="O173" s="1075"/>
      <c r="P173" s="1075">
        <f>Sheet1!AK167</f>
        <v>5390</v>
      </c>
      <c r="Q173" s="1075"/>
      <c r="R173" s="1075">
        <f>Sheet1!AD167</f>
        <v>30500</v>
      </c>
      <c r="S173" s="1081">
        <f>Sheet1!AG167</f>
        <v>0.50918196994991649</v>
      </c>
      <c r="T173" s="1075" t="str">
        <f>Sheet1!AH167</f>
        <v>C</v>
      </c>
      <c r="U173" s="1075" t="str">
        <f>Sheet1!AI167</f>
        <v>-</v>
      </c>
      <c r="V173" s="1075"/>
      <c r="W173" s="1075"/>
      <c r="X173" s="1075" t="str">
        <f>Sheet1!AJ167</f>
        <v>-</v>
      </c>
      <c r="Y173" s="1075"/>
      <c r="Z173" s="1075"/>
      <c r="AA173" s="1075"/>
      <c r="AB173" s="1075"/>
      <c r="AC173" s="1075"/>
      <c r="AD173" s="1075"/>
      <c r="AE173" s="1075"/>
      <c r="AF173" s="1075"/>
      <c r="AG173" s="1075"/>
      <c r="AH173" s="1075"/>
      <c r="AI173" s="1075"/>
      <c r="AJ173" s="1075"/>
      <c r="AK173" s="1075" t="str">
        <f>IF(Sheet1!AE170="C",Sheet1!AK170,"-")</f>
        <v>-</v>
      </c>
      <c r="AL173" s="1075">
        <f>IF(Sheet1!AE170="D",Sheet1!AK170,"-")</f>
        <v>3580</v>
      </c>
      <c r="AM173" s="1075" t="str">
        <f>IF(Sheet1!AE167="E",Sheet1!AK167,"-")</f>
        <v>-</v>
      </c>
    </row>
    <row r="174" spans="2:39" x14ac:dyDescent="0.25">
      <c r="B174" s="1082">
        <f>Sheet1!F168</f>
        <v>5189</v>
      </c>
      <c r="C174" s="1075" t="str">
        <f>Sheet1!C168</f>
        <v>SR 400 - Beville Rd.</v>
      </c>
      <c r="D174" s="1075" t="str">
        <f>_xlfn.TEXTBEFORE(Sheet1!E168, " to ")</f>
        <v>Williamson Blvd.</v>
      </c>
      <c r="E174" s="1075" t="str">
        <f>_xlfn.TEXTAFTER(Sheet1!E168, " to ")</f>
        <v>SR 483/Clyde Morris Blvd.</v>
      </c>
      <c r="F174" s="1075">
        <f>Sheet1!AM168</f>
        <v>4</v>
      </c>
      <c r="G174" s="1075"/>
      <c r="H174" s="1083" t="str">
        <f>Sheet1!AE168</f>
        <v>D</v>
      </c>
      <c r="I174" s="1075"/>
      <c r="J174" s="1075" t="str">
        <f>Sheet1!Q168</f>
        <v>UA_SSAC1_2W_4L_D_WL</v>
      </c>
      <c r="K174" s="1075"/>
      <c r="L174" s="1075">
        <f>Sheet1!AF168</f>
        <v>39800</v>
      </c>
      <c r="M174" s="1075"/>
      <c r="N174" s="1075"/>
      <c r="O174" s="1075"/>
      <c r="P174" s="1075">
        <f>Sheet1!AK168</f>
        <v>3580</v>
      </c>
      <c r="Q174" s="1075"/>
      <c r="R174" s="1075">
        <f>Sheet1!AD168</f>
        <v>29500</v>
      </c>
      <c r="S174" s="1081">
        <f>Sheet1!AG168</f>
        <v>0.74120603015075381</v>
      </c>
      <c r="T174" s="1075" t="str">
        <f>Sheet1!AH168</f>
        <v>C</v>
      </c>
      <c r="U174" s="1075" t="str">
        <f>Sheet1!AI168</f>
        <v>-</v>
      </c>
      <c r="V174" s="1075"/>
      <c r="W174" s="1075"/>
      <c r="X174" s="1075" t="str">
        <f>Sheet1!AJ168</f>
        <v>-</v>
      </c>
      <c r="Y174" s="1075"/>
      <c r="Z174" s="1075"/>
      <c r="AA174" s="1075"/>
      <c r="AB174" s="1075"/>
      <c r="AC174" s="1075"/>
      <c r="AD174" s="1075"/>
      <c r="AE174" s="1075"/>
      <c r="AF174" s="1075"/>
      <c r="AG174" s="1075"/>
      <c r="AH174" s="1075"/>
      <c r="AI174" s="1075"/>
      <c r="AJ174" s="1075"/>
      <c r="AK174" s="1075" t="str">
        <f>IF(Sheet1!AE171="C",Sheet1!AK171,"-")</f>
        <v>-</v>
      </c>
      <c r="AL174" s="1075">
        <f>IF(Sheet1!AE171="D",Sheet1!AK171,"-")</f>
        <v>5960</v>
      </c>
      <c r="AM174" s="1075" t="str">
        <f>IF(Sheet1!AE168="E",Sheet1!AK168,"-")</f>
        <v>-</v>
      </c>
    </row>
    <row r="175" spans="2:39" x14ac:dyDescent="0.25">
      <c r="B175" s="1082">
        <f>Sheet1!F169</f>
        <v>511</v>
      </c>
      <c r="C175" s="1075" t="str">
        <f>Sheet1!C169</f>
        <v>SR 400 - Beville Rd.</v>
      </c>
      <c r="D175" s="1075" t="str">
        <f>_xlfn.TEXTBEFORE(Sheet1!E169, " to ")</f>
        <v>SR 483/Clyde Morris Blvd.</v>
      </c>
      <c r="E175" s="1075" t="str">
        <f>_xlfn.TEXTAFTER(Sheet1!E169, " to ")</f>
        <v>SR 5A/Nova Rd.</v>
      </c>
      <c r="F175" s="1075">
        <f>Sheet1!AM169</f>
        <v>4</v>
      </c>
      <c r="G175" s="1075"/>
      <c r="H175" s="1083" t="str">
        <f>Sheet1!AE169</f>
        <v>D</v>
      </c>
      <c r="I175" s="1075"/>
      <c r="J175" s="1075" t="str">
        <f>Sheet1!Q169</f>
        <v>UA_SSAC1_2W_4L_D_WL</v>
      </c>
      <c r="K175" s="1075"/>
      <c r="L175" s="1075">
        <f>Sheet1!AF169</f>
        <v>39800</v>
      </c>
      <c r="M175" s="1075"/>
      <c r="N175" s="1075"/>
      <c r="O175" s="1075"/>
      <c r="P175" s="1075">
        <f>Sheet1!AK169</f>
        <v>3580</v>
      </c>
      <c r="Q175" s="1075"/>
      <c r="R175" s="1075">
        <f>Sheet1!AD169</f>
        <v>34500</v>
      </c>
      <c r="S175" s="1081">
        <f>Sheet1!AG169</f>
        <v>0.86683417085427139</v>
      </c>
      <c r="T175" s="1075" t="str">
        <f>Sheet1!AH169</f>
        <v>C</v>
      </c>
      <c r="U175" s="1075" t="str">
        <f>Sheet1!AI169</f>
        <v>-</v>
      </c>
      <c r="V175" s="1075"/>
      <c r="W175" s="1075"/>
      <c r="X175" s="1075" t="str">
        <f>Sheet1!AJ169</f>
        <v>-</v>
      </c>
      <c r="Y175" s="1075"/>
      <c r="Z175" s="1075"/>
      <c r="AA175" s="1075"/>
      <c r="AB175" s="1075"/>
      <c r="AC175" s="1075"/>
      <c r="AD175" s="1075"/>
      <c r="AE175" s="1075"/>
      <c r="AF175" s="1075"/>
      <c r="AG175" s="1075"/>
      <c r="AH175" s="1075"/>
      <c r="AI175" s="1075"/>
      <c r="AJ175" s="1075"/>
      <c r="AK175" s="1075" t="str">
        <f>IF(Sheet1!AE172="C",Sheet1!AK172,"-")</f>
        <v>-</v>
      </c>
      <c r="AL175" s="1075">
        <f>IF(Sheet1!AE172="D",Sheet1!AK172,"-")</f>
        <v>3580</v>
      </c>
      <c r="AM175" s="1075" t="str">
        <f>IF(Sheet1!AE169="E",Sheet1!AK169,"-")</f>
        <v>-</v>
      </c>
    </row>
    <row r="176" spans="2:39" x14ac:dyDescent="0.25">
      <c r="B176" s="1082">
        <f>Sheet1!F170</f>
        <v>502</v>
      </c>
      <c r="C176" s="1075" t="str">
        <f>Sheet1!C170</f>
        <v>SR 400 - Beville Rd.</v>
      </c>
      <c r="D176" s="1075" t="str">
        <f>_xlfn.TEXTBEFORE(Sheet1!E170, " to ")</f>
        <v>SR 5A/Nova Rd.</v>
      </c>
      <c r="E176" s="1075" t="str">
        <f>_xlfn.TEXTAFTER(Sheet1!E170, " to ")</f>
        <v>US 1</v>
      </c>
      <c r="F176" s="1075">
        <f>Sheet1!AM170</f>
        <v>4</v>
      </c>
      <c r="G176" s="1075"/>
      <c r="H176" s="1083" t="str">
        <f>Sheet1!AE170</f>
        <v>D</v>
      </c>
      <c r="I176" s="1075"/>
      <c r="J176" s="1075" t="str">
        <f>Sheet1!Q170</f>
        <v>UA_SSAC1_2W_4L_D_WL</v>
      </c>
      <c r="K176" s="1075"/>
      <c r="L176" s="1075">
        <f>Sheet1!AF170</f>
        <v>39800</v>
      </c>
      <c r="M176" s="1075"/>
      <c r="N176" s="1075"/>
      <c r="O176" s="1075"/>
      <c r="P176" s="1075">
        <f>Sheet1!AK170</f>
        <v>3580</v>
      </c>
      <c r="Q176" s="1075"/>
      <c r="R176" s="1075">
        <f>Sheet1!AD170</f>
        <v>23500</v>
      </c>
      <c r="S176" s="1081">
        <f>Sheet1!AG170</f>
        <v>0.59045226130653261</v>
      </c>
      <c r="T176" s="1075" t="str">
        <f>Sheet1!AH170</f>
        <v>C</v>
      </c>
      <c r="U176" s="1075" t="str">
        <f>Sheet1!AI170</f>
        <v>-</v>
      </c>
      <c r="V176" s="1075"/>
      <c r="W176" s="1075"/>
      <c r="X176" s="1075" t="str">
        <f>Sheet1!AJ170</f>
        <v>-</v>
      </c>
      <c r="Y176" s="1075"/>
      <c r="Z176" s="1075"/>
      <c r="AA176" s="1075"/>
      <c r="AB176" s="1075"/>
      <c r="AC176" s="1075"/>
      <c r="AD176" s="1075"/>
      <c r="AE176" s="1075"/>
      <c r="AF176" s="1075"/>
      <c r="AG176" s="1075"/>
      <c r="AH176" s="1075"/>
      <c r="AI176" s="1075"/>
      <c r="AJ176" s="1075"/>
      <c r="AK176" s="1075" t="str">
        <f>IF(Sheet1!AE173="C",Sheet1!AK173,"-")</f>
        <v>-</v>
      </c>
      <c r="AL176" s="1075">
        <f>IF(Sheet1!AE173="D",Sheet1!AK173,"-")</f>
        <v>3580</v>
      </c>
      <c r="AM176" s="1075" t="str">
        <f>IF(Sheet1!AE170="E",Sheet1!AK170,"-")</f>
        <v>-</v>
      </c>
    </row>
    <row r="177" spans="2:39" x14ac:dyDescent="0.25">
      <c r="B177" s="1082">
        <f>Sheet1!F171</f>
        <v>25</v>
      </c>
      <c r="C177" s="1075" t="str">
        <f>Sheet1!C171</f>
        <v>SR 415</v>
      </c>
      <c r="D177" s="1075" t="str">
        <f>_xlfn.TEXTBEFORE(Sheet1!E171, " to ")</f>
        <v>Seminole Co.</v>
      </c>
      <c r="E177" s="1075" t="str">
        <f>_xlfn.TEXTAFTER(Sheet1!E171, " to ")</f>
        <v>Enterprise-Osteen Rd.</v>
      </c>
      <c r="F177" s="1075">
        <f>Sheet1!AM171</f>
        <v>4</v>
      </c>
      <c r="G177" s="1075"/>
      <c r="H177" s="1083" t="str">
        <f>Sheet1!AE171</f>
        <v>D</v>
      </c>
      <c r="I177" s="1075"/>
      <c r="J177" s="1075" t="str">
        <f>Sheet1!Q171</f>
        <v>UA_UFH_2W_4L_D_WL</v>
      </c>
      <c r="K177" s="1075"/>
      <c r="L177" s="1075">
        <f>Sheet1!AF171</f>
        <v>66200</v>
      </c>
      <c r="M177" s="1075"/>
      <c r="N177" s="1075"/>
      <c r="O177" s="1075"/>
      <c r="P177" s="1075">
        <f>Sheet1!AK171</f>
        <v>5960</v>
      </c>
      <c r="Q177" s="1075"/>
      <c r="R177" s="1075">
        <f>Sheet1!AD171</f>
        <v>23000</v>
      </c>
      <c r="S177" s="1081">
        <f>Sheet1!AG171</f>
        <v>0.34743202416918428</v>
      </c>
      <c r="T177" s="1075" t="str">
        <f>Sheet1!AH171</f>
        <v>D</v>
      </c>
      <c r="U177" s="1075" t="str">
        <f>Sheet1!AI171</f>
        <v>-</v>
      </c>
      <c r="V177" s="1075"/>
      <c r="W177" s="1075"/>
      <c r="X177" s="1075" t="str">
        <f>Sheet1!AJ171</f>
        <v>-</v>
      </c>
      <c r="Y177" s="1075"/>
      <c r="Z177" s="1075"/>
      <c r="AA177" s="1075"/>
      <c r="AB177" s="1075"/>
      <c r="AC177" s="1075"/>
      <c r="AD177" s="1075"/>
      <c r="AE177" s="1075"/>
      <c r="AF177" s="1075"/>
      <c r="AG177" s="1075"/>
      <c r="AH177" s="1075"/>
      <c r="AI177" s="1075"/>
      <c r="AJ177" s="1075"/>
      <c r="AK177" s="1075">
        <f>IF(Sheet1!AE174="C",Sheet1!AK174,"-")</f>
        <v>1620</v>
      </c>
      <c r="AL177" s="1075" t="str">
        <f>IF(Sheet1!AE174="D",Sheet1!AK174,"-")</f>
        <v>-</v>
      </c>
      <c r="AM177" s="1075" t="str">
        <f>IF(Sheet1!AE171="E",Sheet1!AK171,"-")</f>
        <v>-</v>
      </c>
    </row>
    <row r="178" spans="2:39" x14ac:dyDescent="0.25">
      <c r="B178" s="1082">
        <f>Sheet1!F172</f>
        <v>437</v>
      </c>
      <c r="C178" s="1075" t="str">
        <f>Sheet1!C172</f>
        <v>SR 415</v>
      </c>
      <c r="D178" s="1075" t="str">
        <f>_xlfn.TEXTBEFORE(Sheet1!E172, " to ")</f>
        <v>Enterprise-Osteen Rd.</v>
      </c>
      <c r="E178" s="1075" t="str">
        <f>_xlfn.TEXTAFTER(Sheet1!E172, " to ")</f>
        <v>Howland Blvd.</v>
      </c>
      <c r="F178" s="1075">
        <f>Sheet1!AM172</f>
        <v>4</v>
      </c>
      <c r="G178" s="1075"/>
      <c r="H178" s="1083" t="str">
        <f>Sheet1!AE172</f>
        <v>D</v>
      </c>
      <c r="I178" s="1075"/>
      <c r="J178" s="1075" t="str">
        <f>Sheet1!Q172</f>
        <v>UA_SSAC1_2W_4L_D_WL</v>
      </c>
      <c r="K178" s="1075"/>
      <c r="L178" s="1075">
        <f>Sheet1!AF172</f>
        <v>39800</v>
      </c>
      <c r="M178" s="1075"/>
      <c r="N178" s="1075"/>
      <c r="O178" s="1075"/>
      <c r="P178" s="1075">
        <f>Sheet1!AK172</f>
        <v>3580</v>
      </c>
      <c r="Q178" s="1075"/>
      <c r="R178" s="1075">
        <f>Sheet1!AD172</f>
        <v>20500</v>
      </c>
      <c r="S178" s="1081">
        <f>Sheet1!AG172</f>
        <v>0.51507537688442206</v>
      </c>
      <c r="T178" s="1075" t="str">
        <f>Sheet1!AH172</f>
        <v>C</v>
      </c>
      <c r="U178" s="1075">
        <f>Sheet1!AI172</f>
        <v>1500</v>
      </c>
      <c r="V178" s="1075"/>
      <c r="W178" s="1075"/>
      <c r="X178" s="1075">
        <f>Sheet1!AJ172</f>
        <v>1860</v>
      </c>
      <c r="Y178" s="1075"/>
      <c r="Z178" s="1075"/>
      <c r="AA178" s="1075"/>
      <c r="AB178" s="1075"/>
      <c r="AC178" s="1075"/>
      <c r="AD178" s="1075"/>
      <c r="AE178" s="1075"/>
      <c r="AF178" s="1075"/>
      <c r="AG178" s="1075"/>
      <c r="AH178" s="1075"/>
      <c r="AI178" s="1075"/>
      <c r="AJ178" s="1075"/>
      <c r="AK178" s="1075" t="str">
        <f>IF(Sheet1!AE175="C",Sheet1!AK175,"-")</f>
        <v>-</v>
      </c>
      <c r="AL178" s="1075">
        <f>IF(Sheet1!AE175="D",Sheet1!AK175,"-")</f>
        <v>5390</v>
      </c>
      <c r="AM178" s="1075" t="str">
        <f>IF(Sheet1!AE172="E",Sheet1!AK172,"-")</f>
        <v>-</v>
      </c>
    </row>
    <row r="179" spans="2:39" x14ac:dyDescent="0.25">
      <c r="B179" s="1082">
        <f>Sheet1!F173</f>
        <v>321</v>
      </c>
      <c r="C179" s="1075" t="str">
        <f>Sheet1!C173</f>
        <v>SR 415</v>
      </c>
      <c r="D179" s="1075" t="str">
        <f>_xlfn.TEXTBEFORE(Sheet1!E173, " to ")</f>
        <v>Howland Blvd.</v>
      </c>
      <c r="E179" s="1075" t="str">
        <f>_xlfn.TEXTAFTER(Sheet1!E173, " to ")</f>
        <v>Acorn Lake Rd</v>
      </c>
      <c r="F179" s="1075">
        <f>Sheet1!AM173</f>
        <v>4</v>
      </c>
      <c r="G179" s="1075"/>
      <c r="H179" s="1083" t="str">
        <f>Sheet1!AE173</f>
        <v>D</v>
      </c>
      <c r="I179" s="1075"/>
      <c r="J179" s="1075" t="str">
        <f>Sheet1!Q173</f>
        <v>UA_SSAC1_2W_4L_D_WL</v>
      </c>
      <c r="K179" s="1075"/>
      <c r="L179" s="1075">
        <f>Sheet1!AF173</f>
        <v>39800</v>
      </c>
      <c r="M179" s="1075"/>
      <c r="N179" s="1075"/>
      <c r="O179" s="1075"/>
      <c r="P179" s="1075">
        <f>Sheet1!AK173</f>
        <v>3580</v>
      </c>
      <c r="Q179" s="1075"/>
      <c r="R179" s="1075">
        <f>Sheet1!AD173</f>
        <v>8400</v>
      </c>
      <c r="S179" s="1081">
        <f>Sheet1!AG173</f>
        <v>0.21105527638190955</v>
      </c>
      <c r="T179" s="1075" t="str">
        <f>Sheet1!AH173</f>
        <v>C</v>
      </c>
      <c r="U179" s="1075" t="str">
        <f>Sheet1!AI173</f>
        <v>-</v>
      </c>
      <c r="V179" s="1075"/>
      <c r="W179" s="1075"/>
      <c r="X179" s="1075" t="str">
        <f>Sheet1!AJ173</f>
        <v>-</v>
      </c>
      <c r="Y179" s="1075"/>
      <c r="Z179" s="1075"/>
      <c r="AA179" s="1075"/>
      <c r="AB179" s="1075"/>
      <c r="AC179" s="1075"/>
      <c r="AD179" s="1075"/>
      <c r="AE179" s="1075"/>
      <c r="AF179" s="1075"/>
      <c r="AG179" s="1075"/>
      <c r="AH179" s="1075"/>
      <c r="AI179" s="1075"/>
      <c r="AJ179" s="1075"/>
      <c r="AK179" s="1075" t="str">
        <f>IF(Sheet1!AE176="C",Sheet1!AK176,"-")</f>
        <v>-</v>
      </c>
      <c r="AL179" s="1075">
        <f>IF(Sheet1!AE176="D",Sheet1!AK176,"-")</f>
        <v>5390</v>
      </c>
      <c r="AM179" s="1075" t="str">
        <f>IF(Sheet1!AE173="E",Sheet1!AK173,"-")</f>
        <v>-</v>
      </c>
    </row>
    <row r="180" spans="2:39" x14ac:dyDescent="0.25">
      <c r="B180" s="1082">
        <f>Sheet1!F174</f>
        <v>1009</v>
      </c>
      <c r="C180" s="1075" t="str">
        <f>Sheet1!C174</f>
        <v>SR 415</v>
      </c>
      <c r="D180" s="1075" t="str">
        <f>_xlfn.TEXTBEFORE(Sheet1!E174, " to ")</f>
        <v>Acorn Lake Rd</v>
      </c>
      <c r="E180" s="1075" t="str">
        <f>_xlfn.TEXTAFTER(Sheet1!E174, " to ")</f>
        <v>SR 44</v>
      </c>
      <c r="F180" s="1075">
        <f>Sheet1!AM174</f>
        <v>2</v>
      </c>
      <c r="G180" s="1075"/>
      <c r="H180" s="1083" t="str">
        <f>Sheet1!AE174</f>
        <v>C</v>
      </c>
      <c r="I180" s="1075"/>
      <c r="J180" s="1075" t="str">
        <f>Sheet1!Q174</f>
        <v>RUA_UFH_2W_2L_U_WL</v>
      </c>
      <c r="K180" s="1075"/>
      <c r="L180" s="1075">
        <f>Sheet1!AF174</f>
        <v>18000</v>
      </c>
      <c r="M180" s="1075"/>
      <c r="N180" s="1075"/>
      <c r="O180" s="1075"/>
      <c r="P180" s="1075">
        <f>Sheet1!AK174</f>
        <v>1620</v>
      </c>
      <c r="Q180" s="1075"/>
      <c r="R180" s="1075">
        <f>Sheet1!AD174</f>
        <v>11400</v>
      </c>
      <c r="S180" s="1081">
        <f>Sheet1!AG174</f>
        <v>0.6333333333333333</v>
      </c>
      <c r="T180" s="1075" t="str">
        <f>Sheet1!AH174</f>
        <v>C</v>
      </c>
      <c r="U180" s="1075" t="str">
        <f>Sheet1!AI174</f>
        <v>-</v>
      </c>
      <c r="V180" s="1075"/>
      <c r="W180" s="1075"/>
      <c r="X180" s="1075" t="str">
        <f>Sheet1!AJ174</f>
        <v>-</v>
      </c>
      <c r="Y180" s="1075"/>
      <c r="Z180" s="1075"/>
      <c r="AA180" s="1075"/>
      <c r="AB180" s="1075"/>
      <c r="AC180" s="1075"/>
      <c r="AD180" s="1075"/>
      <c r="AE180" s="1075"/>
      <c r="AF180" s="1075"/>
      <c r="AG180" s="1075"/>
      <c r="AH180" s="1075"/>
      <c r="AI180" s="1075"/>
      <c r="AJ180" s="1075"/>
      <c r="AK180" s="1075" t="str">
        <f>IF(Sheet1!AE177="C",Sheet1!AK177,"-")</f>
        <v>-</v>
      </c>
      <c r="AL180" s="1075">
        <f>IF(Sheet1!AE177="D",Sheet1!AK177,"-")</f>
        <v>3580</v>
      </c>
      <c r="AM180" s="1075" t="str">
        <f>IF(Sheet1!AE174="E",Sheet1!AK174,"-")</f>
        <v>-</v>
      </c>
    </row>
    <row r="181" spans="2:39" x14ac:dyDescent="0.25">
      <c r="B181" s="1082">
        <f>Sheet1!F175</f>
        <v>517</v>
      </c>
      <c r="C181" s="1075" t="str">
        <f>Sheet1!C175</f>
        <v>SR 421 - Dunlawton Ave.</v>
      </c>
      <c r="D181" s="1075" t="str">
        <f>_xlfn.TEXTBEFORE(Sheet1!E175, " to ")</f>
        <v>Williamson</v>
      </c>
      <c r="E181" s="1075" t="str">
        <f>_xlfn.TEXTAFTER(Sheet1!E175, " to ")</f>
        <v>Clyde Morris Blvd.</v>
      </c>
      <c r="F181" s="1075">
        <f>Sheet1!AM175</f>
        <v>6</v>
      </c>
      <c r="G181" s="1075"/>
      <c r="H181" s="1083" t="str">
        <f>Sheet1!AE175</f>
        <v>D</v>
      </c>
      <c r="I181" s="1075"/>
      <c r="J181" s="1075" t="str">
        <f>Sheet1!Q175</f>
        <v>UA_SSAC1_2W_6L_D_WL</v>
      </c>
      <c r="K181" s="1075"/>
      <c r="L181" s="1075">
        <f>Sheet1!AF175</f>
        <v>59900</v>
      </c>
      <c r="M181" s="1075"/>
      <c r="N181" s="1075"/>
      <c r="O181" s="1075"/>
      <c r="P181" s="1075">
        <f>Sheet1!AK175</f>
        <v>5390</v>
      </c>
      <c r="Q181" s="1075"/>
      <c r="R181" s="1075">
        <f>Sheet1!AD175</f>
        <v>52000</v>
      </c>
      <c r="S181" s="1081">
        <f>Sheet1!AG175</f>
        <v>0.86811352253756258</v>
      </c>
      <c r="T181" s="1075" t="str">
        <f>Sheet1!AH175</f>
        <v>C</v>
      </c>
      <c r="U181" s="1075" t="str">
        <f>Sheet1!AI175</f>
        <v>-</v>
      </c>
      <c r="V181" s="1075"/>
      <c r="W181" s="1075"/>
      <c r="X181" s="1075" t="str">
        <f>Sheet1!AJ175</f>
        <v>-</v>
      </c>
      <c r="Y181" s="1075"/>
      <c r="Z181" s="1075"/>
      <c r="AA181" s="1075"/>
      <c r="AB181" s="1075"/>
      <c r="AC181" s="1075"/>
      <c r="AD181" s="1075"/>
      <c r="AE181" s="1075"/>
      <c r="AF181" s="1075"/>
      <c r="AG181" s="1075"/>
      <c r="AH181" s="1075"/>
      <c r="AI181" s="1075"/>
      <c r="AJ181" s="1075"/>
      <c r="AK181" s="1075" t="str">
        <f>IF(Sheet1!AE178="C",Sheet1!AK178,"-")</f>
        <v>-</v>
      </c>
      <c r="AL181" s="1075">
        <f>IF(Sheet1!AE178="D",Sheet1!AK178,"-")</f>
        <v>3580</v>
      </c>
      <c r="AM181" s="1075" t="str">
        <f>IF(Sheet1!AE175="E",Sheet1!AK175,"-")</f>
        <v>-</v>
      </c>
    </row>
    <row r="182" spans="2:39" x14ac:dyDescent="0.25">
      <c r="B182" s="1082">
        <f>Sheet1!F176</f>
        <v>1014</v>
      </c>
      <c r="C182" s="1075" t="str">
        <f>Sheet1!C176</f>
        <v>SR 421 - Dunlawton Ave.</v>
      </c>
      <c r="D182" s="1075" t="str">
        <f>_xlfn.TEXTBEFORE(Sheet1!E176, " to ")</f>
        <v>Clyde Morris Blvd.</v>
      </c>
      <c r="E182" s="1075" t="str">
        <f>_xlfn.TEXTAFTER(Sheet1!E176, " to ")</f>
        <v>SR 5A/Nova Rd.</v>
      </c>
      <c r="F182" s="1075">
        <f>Sheet1!AM176</f>
        <v>6</v>
      </c>
      <c r="G182" s="1075"/>
      <c r="H182" s="1083" t="str">
        <f>Sheet1!AE176</f>
        <v>D</v>
      </c>
      <c r="I182" s="1075"/>
      <c r="J182" s="1075" t="str">
        <f>Sheet1!Q176</f>
        <v>UA_SSAC1_2W_6L_D_WL</v>
      </c>
      <c r="K182" s="1075"/>
      <c r="L182" s="1075">
        <f>Sheet1!AF176</f>
        <v>59900</v>
      </c>
      <c r="M182" s="1075"/>
      <c r="N182" s="1075"/>
      <c r="O182" s="1075"/>
      <c r="P182" s="1075">
        <f>Sheet1!AK176</f>
        <v>5390</v>
      </c>
      <c r="Q182" s="1075"/>
      <c r="R182" s="1075">
        <f>Sheet1!AD176</f>
        <v>39000</v>
      </c>
      <c r="S182" s="1081">
        <f>Sheet1!AG176</f>
        <v>0.6510851419031719</v>
      </c>
      <c r="T182" s="1075" t="str">
        <f>Sheet1!AH176</f>
        <v>C</v>
      </c>
      <c r="U182" s="1075" t="str">
        <f>Sheet1!AI176</f>
        <v>-</v>
      </c>
      <c r="V182" s="1075"/>
      <c r="W182" s="1075"/>
      <c r="X182" s="1075" t="str">
        <f>Sheet1!AJ176</f>
        <v>-</v>
      </c>
      <c r="Y182" s="1075"/>
      <c r="Z182" s="1075"/>
      <c r="AA182" s="1075"/>
      <c r="AB182" s="1075"/>
      <c r="AC182" s="1075"/>
      <c r="AD182" s="1075"/>
      <c r="AE182" s="1075"/>
      <c r="AF182" s="1075"/>
      <c r="AG182" s="1075"/>
      <c r="AH182" s="1075"/>
      <c r="AI182" s="1075"/>
      <c r="AJ182" s="1075"/>
      <c r="AK182" s="1075" t="str">
        <f>IF(Sheet1!AE179="C",Sheet1!AK179,"-")</f>
        <v>-</v>
      </c>
      <c r="AL182" s="1075">
        <f>IF(Sheet1!AE179="D",Sheet1!AK179,"-")</f>
        <v>2190</v>
      </c>
      <c r="AM182" s="1075" t="str">
        <f>IF(Sheet1!AE176="E",Sheet1!AK176,"-")</f>
        <v>-</v>
      </c>
    </row>
    <row r="183" spans="2:39" x14ac:dyDescent="0.25">
      <c r="B183" s="1082">
        <f>Sheet1!F177</f>
        <v>1015</v>
      </c>
      <c r="C183" s="1075" t="str">
        <f>Sheet1!C177</f>
        <v>SR 421 - Dunlawton Ave.</v>
      </c>
      <c r="D183" s="1075" t="str">
        <f>_xlfn.TEXTBEFORE(Sheet1!E177, " to ")</f>
        <v>SR5A/Nova Rd.</v>
      </c>
      <c r="E183" s="1075" t="str">
        <f>_xlfn.TEXTAFTER(Sheet1!E177, " to ")</f>
        <v>Spruce Creek Rd.</v>
      </c>
      <c r="F183" s="1075">
        <f>Sheet1!AM177</f>
        <v>4</v>
      </c>
      <c r="G183" s="1075"/>
      <c r="H183" s="1083" t="str">
        <f>Sheet1!AE177</f>
        <v>D</v>
      </c>
      <c r="I183" s="1075"/>
      <c r="J183" s="1075" t="str">
        <f>Sheet1!Q177</f>
        <v>UA_SSAC1_2W_4L_D_WL</v>
      </c>
      <c r="K183" s="1075"/>
      <c r="L183" s="1075">
        <f>Sheet1!AF177</f>
        <v>39800</v>
      </c>
      <c r="M183" s="1075"/>
      <c r="N183" s="1075"/>
      <c r="O183" s="1075"/>
      <c r="P183" s="1075">
        <f>Sheet1!AK177</f>
        <v>3580</v>
      </c>
      <c r="Q183" s="1075"/>
      <c r="R183" s="1075">
        <f>Sheet1!AD177</f>
        <v>32000</v>
      </c>
      <c r="S183" s="1081">
        <f>Sheet1!AG177</f>
        <v>0.8040201005025126</v>
      </c>
      <c r="T183" s="1075" t="str">
        <f>Sheet1!AH177</f>
        <v>C</v>
      </c>
      <c r="U183" s="1075" t="str">
        <f>Sheet1!AI177</f>
        <v>-</v>
      </c>
      <c r="V183" s="1075"/>
      <c r="W183" s="1075"/>
      <c r="X183" s="1075" t="str">
        <f>Sheet1!AJ177</f>
        <v>-</v>
      </c>
      <c r="Y183" s="1075"/>
      <c r="Z183" s="1075"/>
      <c r="AA183" s="1075"/>
      <c r="AB183" s="1075"/>
      <c r="AC183" s="1075"/>
      <c r="AD183" s="1075"/>
      <c r="AE183" s="1075"/>
      <c r="AF183" s="1075"/>
      <c r="AG183" s="1075"/>
      <c r="AH183" s="1075"/>
      <c r="AI183" s="1075"/>
      <c r="AJ183" s="1075"/>
      <c r="AK183" s="1075" t="str">
        <f>IF(Sheet1!AE180="C",Sheet1!AK180,"-")</f>
        <v>-</v>
      </c>
      <c r="AL183" s="1075">
        <f>IF(Sheet1!AE180="D",Sheet1!AK180,"-")</f>
        <v>2190</v>
      </c>
      <c r="AM183" s="1075" t="str">
        <f>IF(Sheet1!AE177="E",Sheet1!AK177,"-")</f>
        <v>-</v>
      </c>
    </row>
    <row r="184" spans="2:39" x14ac:dyDescent="0.25">
      <c r="B184" s="1082">
        <f>Sheet1!F178</f>
        <v>5181</v>
      </c>
      <c r="C184" s="1075" t="str">
        <f>Sheet1!C178</f>
        <v>SR 421 - Dunlawton Ave.</v>
      </c>
      <c r="D184" s="1075" t="str">
        <f>_xlfn.TEXTBEFORE(Sheet1!E178, " to ")</f>
        <v>Spruce Creek Rd.</v>
      </c>
      <c r="E184" s="1075" t="str">
        <f>_xlfn.TEXTAFTER(Sheet1!E178, " to ")</f>
        <v>US 1</v>
      </c>
      <c r="F184" s="1075">
        <f>Sheet1!AM178</f>
        <v>4</v>
      </c>
      <c r="G184" s="1075"/>
      <c r="H184" s="1083" t="str">
        <f>Sheet1!AE178</f>
        <v>D</v>
      </c>
      <c r="I184" s="1075"/>
      <c r="J184" s="1075" t="str">
        <f>Sheet1!Q178</f>
        <v>UA_SSAC1_2W_4L_D_WL</v>
      </c>
      <c r="K184" s="1075"/>
      <c r="L184" s="1075">
        <f>Sheet1!AF178</f>
        <v>39800</v>
      </c>
      <c r="M184" s="1075"/>
      <c r="N184" s="1075"/>
      <c r="O184" s="1075"/>
      <c r="P184" s="1075">
        <f>Sheet1!AK178</f>
        <v>3580</v>
      </c>
      <c r="Q184" s="1075"/>
      <c r="R184" s="1075">
        <f>Sheet1!AD178</f>
        <v>25500</v>
      </c>
      <c r="S184" s="1081">
        <f>Sheet1!AG178</f>
        <v>0.64070351758793975</v>
      </c>
      <c r="T184" s="1075" t="str">
        <f>Sheet1!AH178</f>
        <v>C</v>
      </c>
      <c r="U184" s="1075" t="str">
        <f>Sheet1!AI178</f>
        <v>-</v>
      </c>
      <c r="V184" s="1075"/>
      <c r="W184" s="1075"/>
      <c r="X184" s="1075" t="str">
        <f>Sheet1!AJ178</f>
        <v>-</v>
      </c>
      <c r="Y184" s="1075"/>
      <c r="Z184" s="1075"/>
      <c r="AA184" s="1075"/>
      <c r="AB184" s="1075"/>
      <c r="AC184" s="1075"/>
      <c r="AD184" s="1075"/>
      <c r="AE184" s="1075"/>
      <c r="AF184" s="1075"/>
      <c r="AG184" s="1075"/>
      <c r="AH184" s="1075"/>
      <c r="AI184" s="1075"/>
      <c r="AJ184" s="1075"/>
      <c r="AK184" s="1075" t="str">
        <f>IF(Sheet1!AE181="C",Sheet1!AK181,"-")</f>
        <v>-</v>
      </c>
      <c r="AL184" s="1075">
        <f>IF(Sheet1!AE181="D",Sheet1!AK181,"-")</f>
        <v>2920</v>
      </c>
      <c r="AM184" s="1075" t="str">
        <f>IF(Sheet1!AE178="E",Sheet1!AK178,"-")</f>
        <v>-</v>
      </c>
    </row>
    <row r="185" spans="2:39" x14ac:dyDescent="0.25">
      <c r="B185" s="1082">
        <f>Sheet1!F179</f>
        <v>5197</v>
      </c>
      <c r="C185" s="1075" t="str">
        <f>Sheet1!C179</f>
        <v>SR 430 - Mason Ave.</v>
      </c>
      <c r="D185" s="1075" t="str">
        <f>_xlfn.TEXTBEFORE(Sheet1!E179, " to ")</f>
        <v>SR 483/Clyde Morris Blvd.</v>
      </c>
      <c r="E185" s="1075" t="str">
        <f>_xlfn.TEXTAFTER(Sheet1!E179, " to ")</f>
        <v>SR 5A/Nova Rd.</v>
      </c>
      <c r="F185" s="1075">
        <f>Sheet1!AM179</f>
        <v>4</v>
      </c>
      <c r="G185" s="1075"/>
      <c r="H185" s="1083" t="str">
        <f>Sheet1!AE179</f>
        <v>D</v>
      </c>
      <c r="I185" s="1075"/>
      <c r="J185" s="1075" t="str">
        <f>Sheet1!Q179</f>
        <v>UA_SSAC2_2W_4L_U_0L</v>
      </c>
      <c r="K185" s="1075"/>
      <c r="L185" s="1075">
        <f>Sheet1!AF179</f>
        <v>24300</v>
      </c>
      <c r="M185" s="1075"/>
      <c r="N185" s="1075"/>
      <c r="O185" s="1075"/>
      <c r="P185" s="1075">
        <f>Sheet1!AK179</f>
        <v>2190</v>
      </c>
      <c r="Q185" s="1075"/>
      <c r="R185" s="1075">
        <f>Sheet1!AD179</f>
        <v>19600</v>
      </c>
      <c r="S185" s="1081">
        <f>Sheet1!AG179</f>
        <v>0.80658436213991769</v>
      </c>
      <c r="T185" s="1075" t="str">
        <f>Sheet1!AH179</f>
        <v>D</v>
      </c>
      <c r="U185" s="1075">
        <f>Sheet1!AI179</f>
        <v>1330</v>
      </c>
      <c r="V185" s="1075"/>
      <c r="W185" s="1075"/>
      <c r="X185" s="1075">
        <f>Sheet1!AJ179</f>
        <v>1480</v>
      </c>
      <c r="Y185" s="1075"/>
      <c r="Z185" s="1075"/>
      <c r="AA185" s="1075"/>
      <c r="AB185" s="1075"/>
      <c r="AC185" s="1075"/>
      <c r="AD185" s="1075"/>
      <c r="AE185" s="1075"/>
      <c r="AF185" s="1075"/>
      <c r="AG185" s="1075"/>
      <c r="AH185" s="1075"/>
      <c r="AI185" s="1075"/>
      <c r="AJ185" s="1075"/>
      <c r="AK185" s="1075" t="str">
        <f>IF(Sheet1!AE182="C",Sheet1!AK182,"-")</f>
        <v>-</v>
      </c>
      <c r="AL185" s="1075">
        <f>IF(Sheet1!AE182="D",Sheet1!AK182,"-")</f>
        <v>2150</v>
      </c>
      <c r="AM185" s="1075" t="str">
        <f>IF(Sheet1!AE179="E",Sheet1!AK179,"-")</f>
        <v>-</v>
      </c>
    </row>
    <row r="186" spans="2:39" x14ac:dyDescent="0.25">
      <c r="B186" s="1082">
        <f>Sheet1!F180</f>
        <v>5197</v>
      </c>
      <c r="C186" s="1075" t="str">
        <f>Sheet1!C180</f>
        <v>SR 430 - Mason Ave.</v>
      </c>
      <c r="D186" s="1075" t="str">
        <f>_xlfn.TEXTBEFORE(Sheet1!E180, " to ")</f>
        <v>SR 5A/Nova Rd.</v>
      </c>
      <c r="E186" s="1075" t="str">
        <f>_xlfn.TEXTAFTER(Sheet1!E180, " to ")</f>
        <v>US 1</v>
      </c>
      <c r="F186" s="1075">
        <f>Sheet1!AM180</f>
        <v>4</v>
      </c>
      <c r="G186" s="1075"/>
      <c r="H186" s="1083" t="str">
        <f>Sheet1!AE180</f>
        <v>D</v>
      </c>
      <c r="I186" s="1075"/>
      <c r="J186" s="1075" t="str">
        <f>Sheet1!Q180</f>
        <v>UA_SSAC2_2W_4L_U_0L</v>
      </c>
      <c r="K186" s="1075"/>
      <c r="L186" s="1075">
        <f>Sheet1!AF180</f>
        <v>24300</v>
      </c>
      <c r="M186" s="1075"/>
      <c r="N186" s="1075"/>
      <c r="O186" s="1075"/>
      <c r="P186" s="1075">
        <f>Sheet1!AK180</f>
        <v>2190</v>
      </c>
      <c r="Q186" s="1075"/>
      <c r="R186" s="1075">
        <f>Sheet1!AD180</f>
        <v>19600</v>
      </c>
      <c r="S186" s="1081">
        <f>Sheet1!AG180</f>
        <v>0.80658436213991769</v>
      </c>
      <c r="T186" s="1075" t="str">
        <f>Sheet1!AH180</f>
        <v>D</v>
      </c>
      <c r="U186" s="1075">
        <f>Sheet1!AI180</f>
        <v>1330</v>
      </c>
      <c r="V186" s="1075"/>
      <c r="W186" s="1075"/>
      <c r="X186" s="1075">
        <f>Sheet1!AJ180</f>
        <v>1480</v>
      </c>
      <c r="Y186" s="1075"/>
      <c r="Z186" s="1075"/>
      <c r="AA186" s="1075"/>
      <c r="AB186" s="1075"/>
      <c r="AC186" s="1075"/>
      <c r="AD186" s="1075"/>
      <c r="AE186" s="1075"/>
      <c r="AF186" s="1075"/>
      <c r="AG186" s="1075"/>
      <c r="AH186" s="1075"/>
      <c r="AI186" s="1075"/>
      <c r="AJ186" s="1075"/>
      <c r="AK186" s="1075" t="str">
        <f>IF(Sheet1!AE183="C",Sheet1!AK183,"-")</f>
        <v>-</v>
      </c>
      <c r="AL186" s="1075">
        <f>IF(Sheet1!AE183="D",Sheet1!AK183,"-")</f>
        <v>2150</v>
      </c>
      <c r="AM186" s="1075" t="str">
        <f>IF(Sheet1!AE180="E",Sheet1!AK180,"-")</f>
        <v>-</v>
      </c>
    </row>
    <row r="187" spans="2:39" x14ac:dyDescent="0.25">
      <c r="B187" s="1082">
        <f>Sheet1!F181</f>
        <v>5197</v>
      </c>
      <c r="C187" s="1075" t="str">
        <f>Sheet1!C181</f>
        <v>SR 430 - Mason Ave.</v>
      </c>
      <c r="D187" s="1075" t="str">
        <f>_xlfn.TEXTBEFORE(Sheet1!E181, " to ")</f>
        <v>US 1</v>
      </c>
      <c r="E187" s="1075" t="str">
        <f>_xlfn.TEXTAFTER(Sheet1!E181, " to ")</f>
        <v>Beach St.</v>
      </c>
      <c r="F187" s="1075">
        <f>Sheet1!AM181</f>
        <v>4</v>
      </c>
      <c r="G187" s="1075"/>
      <c r="H187" s="1083" t="str">
        <f>Sheet1!AE181</f>
        <v>D</v>
      </c>
      <c r="I187" s="1075"/>
      <c r="J187" s="1075" t="str">
        <f>Sheet1!Q181</f>
        <v>UA_SSAC2_2W_4L_D_WL</v>
      </c>
      <c r="K187" s="1075"/>
      <c r="L187" s="1075">
        <f>Sheet1!AF181</f>
        <v>32400</v>
      </c>
      <c r="M187" s="1075"/>
      <c r="N187" s="1075"/>
      <c r="O187" s="1075"/>
      <c r="P187" s="1075">
        <f>Sheet1!AK181</f>
        <v>2920</v>
      </c>
      <c r="Q187" s="1075"/>
      <c r="R187" s="1075">
        <f>Sheet1!AD181</f>
        <v>19600</v>
      </c>
      <c r="S187" s="1081">
        <f>Sheet1!AG181</f>
        <v>0.60493827160493829</v>
      </c>
      <c r="T187" s="1075" t="str">
        <f>Sheet1!AH181</f>
        <v>D</v>
      </c>
      <c r="U187" s="1075">
        <f>Sheet1!AI181</f>
        <v>1330</v>
      </c>
      <c r="V187" s="1075"/>
      <c r="W187" s="1075"/>
      <c r="X187" s="1075">
        <f>Sheet1!AJ181</f>
        <v>1480</v>
      </c>
      <c r="Y187" s="1075"/>
      <c r="Z187" s="1075"/>
      <c r="AA187" s="1075"/>
      <c r="AB187" s="1075"/>
      <c r="AC187" s="1075"/>
      <c r="AD187" s="1075"/>
      <c r="AE187" s="1075"/>
      <c r="AF187" s="1075"/>
      <c r="AG187" s="1075"/>
      <c r="AH187" s="1075"/>
      <c r="AI187" s="1075"/>
      <c r="AJ187" s="1075"/>
      <c r="AK187" s="1075" t="str">
        <f>IF(Sheet1!AE184="C",Sheet1!AK184,"-")</f>
        <v>-</v>
      </c>
      <c r="AL187" s="1075">
        <f>IF(Sheet1!AE184="D",Sheet1!AK184,"-")</f>
        <v>2150</v>
      </c>
      <c r="AM187" s="1075" t="str">
        <f>IF(Sheet1!AE181="E",Sheet1!AK181,"-")</f>
        <v>-</v>
      </c>
    </row>
    <row r="188" spans="2:39" x14ac:dyDescent="0.25">
      <c r="B188" s="1082" t="str">
        <f>Sheet1!F182</f>
        <v>5196E</v>
      </c>
      <c r="C188" s="1075" t="str">
        <f>Sheet1!C182</f>
        <v>SR 430 - Oakridge Blvd. - EB</v>
      </c>
      <c r="D188" s="1075" t="str">
        <f>_xlfn.TEXTBEFORE(Sheet1!E182, " to ")</f>
        <v>Beach St.</v>
      </c>
      <c r="E188" s="1075" t="str">
        <f>_xlfn.TEXTAFTER(Sheet1!E182, " to ")</f>
        <v>Peninsula Dr</v>
      </c>
      <c r="F188" s="1075">
        <f>Sheet1!AM182</f>
        <v>2</v>
      </c>
      <c r="G188" s="1075"/>
      <c r="H188" s="1083" t="str">
        <f>Sheet1!AE182</f>
        <v>D</v>
      </c>
      <c r="I188" s="1075"/>
      <c r="J188" s="1075" t="str">
        <f>Sheet1!Q182</f>
        <v>UA_SSAC1_1W_2L_D_WL</v>
      </c>
      <c r="K188" s="1075"/>
      <c r="L188" s="1075">
        <f>Sheet1!AF182</f>
        <v>23880</v>
      </c>
      <c r="M188" s="1075"/>
      <c r="N188" s="1075"/>
      <c r="O188" s="1075"/>
      <c r="P188" s="1075">
        <f>Sheet1!AK182</f>
        <v>2150</v>
      </c>
      <c r="Q188" s="1075"/>
      <c r="R188" s="1075">
        <f>Sheet1!AD182</f>
        <v>9200</v>
      </c>
      <c r="S188" s="1081">
        <f>Sheet1!AG182</f>
        <v>0.38525963149078729</v>
      </c>
      <c r="T188" s="1075" t="str">
        <f>Sheet1!AH182</f>
        <v>C</v>
      </c>
      <c r="U188" s="1075" t="str">
        <f>Sheet1!AI182</f>
        <v>-</v>
      </c>
      <c r="V188" s="1075"/>
      <c r="W188" s="1075"/>
      <c r="X188" s="1075" t="str">
        <f>Sheet1!AJ182</f>
        <v>-</v>
      </c>
      <c r="Y188" s="1075"/>
      <c r="Z188" s="1075"/>
      <c r="AA188" s="1075"/>
      <c r="AB188" s="1075"/>
      <c r="AC188" s="1075"/>
      <c r="AD188" s="1075"/>
      <c r="AE188" s="1075"/>
      <c r="AF188" s="1075"/>
      <c r="AG188" s="1075"/>
      <c r="AH188" s="1075"/>
      <c r="AI188" s="1075"/>
      <c r="AJ188" s="1075"/>
      <c r="AK188" s="1075" t="str">
        <f>IF(Sheet1!AE185="C",Sheet1!AK185,"-")</f>
        <v>-</v>
      </c>
      <c r="AL188" s="1075">
        <f>IF(Sheet1!AE185="D",Sheet1!AK185,"-")</f>
        <v>1750</v>
      </c>
      <c r="AM188" s="1075" t="str">
        <f>IF(Sheet1!AE182="E",Sheet1!AK182,"-")</f>
        <v>-</v>
      </c>
    </row>
    <row r="189" spans="2:39" x14ac:dyDescent="0.25">
      <c r="B189" s="1082">
        <f>Sheet1!F183</f>
        <v>5195</v>
      </c>
      <c r="C189" s="1075" t="str">
        <f>Sheet1!C183</f>
        <v>SR 430 - Oakridge Blvd. - EB</v>
      </c>
      <c r="D189" s="1075" t="str">
        <f>_xlfn.TEXTBEFORE(Sheet1!E183, " to ")</f>
        <v>Peninsula Dr</v>
      </c>
      <c r="E189" s="1075" t="str">
        <f>_xlfn.TEXTAFTER(Sheet1!E183, " to ")</f>
        <v>SR A1A/Atlantic</v>
      </c>
      <c r="F189" s="1075">
        <f>Sheet1!AM183</f>
        <v>2</v>
      </c>
      <c r="G189" s="1075"/>
      <c r="H189" s="1083" t="str">
        <f>Sheet1!AE183</f>
        <v>D</v>
      </c>
      <c r="I189" s="1075"/>
      <c r="J189" s="1075" t="str">
        <f>Sheet1!Q183</f>
        <v>UA_SSAC1_1W_2L_D_WL</v>
      </c>
      <c r="K189" s="1075"/>
      <c r="L189" s="1075">
        <f>Sheet1!AF183</f>
        <v>23880</v>
      </c>
      <c r="M189" s="1075"/>
      <c r="N189" s="1075"/>
      <c r="O189" s="1075"/>
      <c r="P189" s="1075">
        <f>Sheet1!AK183</f>
        <v>2150</v>
      </c>
      <c r="Q189" s="1075"/>
      <c r="R189" s="1075">
        <f>Sheet1!AD183</f>
        <v>4800</v>
      </c>
      <c r="S189" s="1081">
        <f>Sheet1!AG183</f>
        <v>0.20100502512562815</v>
      </c>
      <c r="T189" s="1075" t="str">
        <f>Sheet1!AH183</f>
        <v>C</v>
      </c>
      <c r="U189" s="1075" t="str">
        <f>Sheet1!AI183</f>
        <v>-</v>
      </c>
      <c r="V189" s="1075"/>
      <c r="W189" s="1075"/>
      <c r="X189" s="1075" t="str">
        <f>Sheet1!AJ183</f>
        <v>-</v>
      </c>
      <c r="Y189" s="1075"/>
      <c r="Z189" s="1075"/>
      <c r="AA189" s="1075"/>
      <c r="AB189" s="1075"/>
      <c r="AC189" s="1075"/>
      <c r="AD189" s="1075"/>
      <c r="AE189" s="1075"/>
      <c r="AF189" s="1075"/>
      <c r="AG189" s="1075"/>
      <c r="AH189" s="1075"/>
      <c r="AI189" s="1075"/>
      <c r="AJ189" s="1075"/>
      <c r="AK189" s="1075" t="str">
        <f>IF(Sheet1!AE186="C",Sheet1!AK186,"-")</f>
        <v>-</v>
      </c>
      <c r="AL189" s="1075">
        <f>IF(Sheet1!AE186="D",Sheet1!AK186,"-")</f>
        <v>1600</v>
      </c>
      <c r="AM189" s="1075" t="str">
        <f>IF(Sheet1!AE183="E",Sheet1!AK183,"-")</f>
        <v>-</v>
      </c>
    </row>
    <row r="190" spans="2:39" x14ac:dyDescent="0.25">
      <c r="B190" s="1082" t="str">
        <f>Sheet1!F184</f>
        <v>5196W</v>
      </c>
      <c r="C190" s="1075" t="str">
        <f>Sheet1!C184</f>
        <v>SR 430 - Seabreeze Bridge - WB</v>
      </c>
      <c r="D190" s="1075" t="str">
        <f>_xlfn.TEXTBEFORE(Sheet1!E184, " to ")</f>
        <v>Beach St.</v>
      </c>
      <c r="E190" s="1075" t="str">
        <f>_xlfn.TEXTAFTER(Sheet1!E184, " to ")</f>
        <v>Peninsula Dr</v>
      </c>
      <c r="F190" s="1075">
        <f>Sheet1!AM184</f>
        <v>2</v>
      </c>
      <c r="G190" s="1075"/>
      <c r="H190" s="1083" t="str">
        <f>Sheet1!AE184</f>
        <v>D</v>
      </c>
      <c r="I190" s="1075"/>
      <c r="J190" s="1075" t="str">
        <f>Sheet1!Q184</f>
        <v>UA_SSAC1_1W_2L_D_WL</v>
      </c>
      <c r="K190" s="1075"/>
      <c r="L190" s="1075">
        <f>Sheet1!AF184</f>
        <v>23880</v>
      </c>
      <c r="M190" s="1075"/>
      <c r="N190" s="1075"/>
      <c r="O190" s="1075"/>
      <c r="P190" s="1075">
        <f>Sheet1!AK184</f>
        <v>2150</v>
      </c>
      <c r="Q190" s="1075"/>
      <c r="R190" s="1075">
        <f>Sheet1!AD184</f>
        <v>9900</v>
      </c>
      <c r="S190" s="1081">
        <f>Sheet1!AG184</f>
        <v>0.41457286432160806</v>
      </c>
      <c r="T190" s="1075" t="str">
        <f>Sheet1!AH184</f>
        <v>C</v>
      </c>
      <c r="U190" s="1075" t="str">
        <f>Sheet1!AI184</f>
        <v>-</v>
      </c>
      <c r="V190" s="1075"/>
      <c r="W190" s="1075"/>
      <c r="X190" s="1075" t="str">
        <f>Sheet1!AJ184</f>
        <v>-</v>
      </c>
      <c r="Y190" s="1075"/>
      <c r="Z190" s="1075"/>
      <c r="AA190" s="1075"/>
      <c r="AB190" s="1075"/>
      <c r="AC190" s="1075"/>
      <c r="AD190" s="1075"/>
      <c r="AE190" s="1075"/>
      <c r="AF190" s="1075"/>
      <c r="AG190" s="1075"/>
      <c r="AH190" s="1075"/>
      <c r="AI190" s="1075"/>
      <c r="AJ190" s="1075"/>
      <c r="AK190" s="1075" t="str">
        <f>IF(Sheet1!AE187="C",Sheet1!AK187,"-")</f>
        <v>-</v>
      </c>
      <c r="AL190" s="1075">
        <f>IF(Sheet1!AE187="D",Sheet1!AK187,"-")</f>
        <v>1600</v>
      </c>
      <c r="AM190" s="1075" t="str">
        <f>IF(Sheet1!AE184="E",Sheet1!AK184,"-")</f>
        <v>-</v>
      </c>
    </row>
    <row r="191" spans="2:39" x14ac:dyDescent="0.25">
      <c r="B191" s="1082">
        <f>Sheet1!F185</f>
        <v>5191</v>
      </c>
      <c r="C191" s="1075" t="str">
        <f>Sheet1!C185</f>
        <v>SR 430 - Seabreeze Bridge - WB</v>
      </c>
      <c r="D191" s="1075" t="str">
        <f>_xlfn.TEXTBEFORE(Sheet1!E185, " to ")</f>
        <v>Peninsula Dr</v>
      </c>
      <c r="E191" s="1075" t="str">
        <f>_xlfn.TEXTAFTER(Sheet1!E185, " to ")</f>
        <v>SR A1A/Atlantic</v>
      </c>
      <c r="F191" s="1075">
        <f>Sheet1!AM185</f>
        <v>2</v>
      </c>
      <c r="G191" s="1075"/>
      <c r="H191" s="1083" t="str">
        <f>Sheet1!AE185</f>
        <v>D</v>
      </c>
      <c r="I191" s="1075"/>
      <c r="J191" s="1075" t="str">
        <f>Sheet1!Q185</f>
        <v>UA_SSAC2_1W_2L_D_WL</v>
      </c>
      <c r="K191" s="1075"/>
      <c r="L191" s="1075">
        <f>Sheet1!AF185</f>
        <v>19440</v>
      </c>
      <c r="M191" s="1075"/>
      <c r="N191" s="1075"/>
      <c r="O191" s="1075"/>
      <c r="P191" s="1075">
        <f>Sheet1!AK185</f>
        <v>1750</v>
      </c>
      <c r="Q191" s="1075"/>
      <c r="R191" s="1075">
        <f>Sheet1!AD185</f>
        <v>5800</v>
      </c>
      <c r="S191" s="1081">
        <f>Sheet1!AG185</f>
        <v>0.29835390946502055</v>
      </c>
      <c r="T191" s="1075" t="str">
        <f>Sheet1!AH185</f>
        <v>C</v>
      </c>
      <c r="U191" s="1075" t="str">
        <f>Sheet1!AI185</f>
        <v>-</v>
      </c>
      <c r="V191" s="1075"/>
      <c r="W191" s="1075"/>
      <c r="X191" s="1075" t="str">
        <f>Sheet1!AJ185</f>
        <v>-</v>
      </c>
      <c r="Y191" s="1075"/>
      <c r="Z191" s="1075"/>
      <c r="AA191" s="1075"/>
      <c r="AB191" s="1075"/>
      <c r="AC191" s="1075"/>
      <c r="AD191" s="1075"/>
      <c r="AE191" s="1075"/>
      <c r="AF191" s="1075"/>
      <c r="AG191" s="1075"/>
      <c r="AH191" s="1075"/>
      <c r="AI191" s="1075"/>
      <c r="AJ191" s="1075"/>
      <c r="AK191" s="1075" t="str">
        <f>IF(Sheet1!AE188="C",Sheet1!AK188,"-")</f>
        <v>-</v>
      </c>
      <c r="AL191" s="1075">
        <f>IF(Sheet1!AE188="D",Sheet1!AK188,"-")</f>
        <v>1600</v>
      </c>
      <c r="AM191" s="1075" t="str">
        <f>IF(Sheet1!AE185="E",Sheet1!AK185,"-")</f>
        <v>-</v>
      </c>
    </row>
    <row r="192" spans="2:39" x14ac:dyDescent="0.25">
      <c r="B192" s="1082">
        <f>Sheet1!F186</f>
        <v>5188</v>
      </c>
      <c r="C192" s="1075" t="str">
        <f>Sheet1!C186</f>
        <v>SR 441 - Peninsula Dr.</v>
      </c>
      <c r="D192" s="1075" t="str">
        <f>_xlfn.TEXTBEFORE(Sheet1!E186, " to ")</f>
        <v>SR A1A/Dunlawton</v>
      </c>
      <c r="E192" s="1075" t="str">
        <f>_xlfn.TEXTAFTER(Sheet1!E186, " to ")</f>
        <v>Florida Shores</v>
      </c>
      <c r="F192" s="1075">
        <f>Sheet1!AM186</f>
        <v>2</v>
      </c>
      <c r="G192" s="1075"/>
      <c r="H192" s="1083" t="str">
        <f>Sheet1!AE186</f>
        <v>D</v>
      </c>
      <c r="I192" s="1075"/>
      <c r="J192" s="1075" t="str">
        <f>Sheet1!Q186</f>
        <v>UA_SSAC1_2W_2L_U_WL</v>
      </c>
      <c r="K192" s="1075"/>
      <c r="L192" s="1075">
        <f>Sheet1!AF186</f>
        <v>17700</v>
      </c>
      <c r="M192" s="1075"/>
      <c r="N192" s="1075"/>
      <c r="O192" s="1075"/>
      <c r="P192" s="1075">
        <f>Sheet1!AK186</f>
        <v>1600</v>
      </c>
      <c r="Q192" s="1075"/>
      <c r="R192" s="1075">
        <f>Sheet1!AD186</f>
        <v>5800</v>
      </c>
      <c r="S192" s="1081">
        <f>Sheet1!AG186</f>
        <v>0.32768361581920902</v>
      </c>
      <c r="T192" s="1075" t="str">
        <f>Sheet1!AH186</f>
        <v>C</v>
      </c>
      <c r="U192" s="1075" t="str">
        <f>Sheet1!AI186</f>
        <v>-</v>
      </c>
      <c r="V192" s="1075"/>
      <c r="W192" s="1075"/>
      <c r="X192" s="1075" t="str">
        <f>Sheet1!AJ186</f>
        <v>-</v>
      </c>
      <c r="Y192" s="1075"/>
      <c r="Z192" s="1075"/>
      <c r="AA192" s="1075"/>
      <c r="AB192" s="1075"/>
      <c r="AC192" s="1075"/>
      <c r="AD192" s="1075"/>
      <c r="AE192" s="1075"/>
      <c r="AF192" s="1075"/>
      <c r="AG192" s="1075"/>
      <c r="AH192" s="1075"/>
      <c r="AI192" s="1075"/>
      <c r="AJ192" s="1075"/>
      <c r="AK192" s="1075" t="str">
        <f>IF(Sheet1!AE189="C",Sheet1!AK189,"-")</f>
        <v>-</v>
      </c>
      <c r="AL192" s="1075">
        <f>IF(Sheet1!AE189="D",Sheet1!AK189,"-")</f>
        <v>3580</v>
      </c>
      <c r="AM192" s="1075" t="str">
        <f>IF(Sheet1!AE186="E",Sheet1!AK186,"-")</f>
        <v>-</v>
      </c>
    </row>
    <row r="193" spans="2:39" x14ac:dyDescent="0.25">
      <c r="B193" s="1082">
        <f>Sheet1!F187</f>
        <v>5187</v>
      </c>
      <c r="C193" s="1075" t="str">
        <f>Sheet1!C187</f>
        <v>SR 441 - Peninsula Dr.</v>
      </c>
      <c r="D193" s="1075" t="str">
        <f>_xlfn.TEXTBEFORE(Sheet1!E187, " to ")</f>
        <v>Florida Shores</v>
      </c>
      <c r="E193" s="1075" t="str">
        <f>_xlfn.TEXTAFTER(Sheet1!E187, " to ")</f>
        <v>Silver Beach Ave.</v>
      </c>
      <c r="F193" s="1075">
        <f>Sheet1!AM187</f>
        <v>2</v>
      </c>
      <c r="G193" s="1075"/>
      <c r="H193" s="1083" t="str">
        <f>Sheet1!AE187</f>
        <v>D</v>
      </c>
      <c r="I193" s="1075"/>
      <c r="J193" s="1075" t="str">
        <f>Sheet1!Q187</f>
        <v>UA_SSAC1_2W_2L_U_WL</v>
      </c>
      <c r="K193" s="1075"/>
      <c r="L193" s="1075">
        <f>Sheet1!AF187</f>
        <v>17700</v>
      </c>
      <c r="M193" s="1075"/>
      <c r="N193" s="1075"/>
      <c r="O193" s="1075"/>
      <c r="P193" s="1075">
        <f>Sheet1!AK187</f>
        <v>1600</v>
      </c>
      <c r="Q193" s="1075"/>
      <c r="R193" s="1075">
        <f>Sheet1!AD187</f>
        <v>8400</v>
      </c>
      <c r="S193" s="1081">
        <f>Sheet1!AG187</f>
        <v>0.47457627118644069</v>
      </c>
      <c r="T193" s="1075" t="str">
        <f>Sheet1!AH187</f>
        <v>C</v>
      </c>
      <c r="U193" s="1075" t="str">
        <f>Sheet1!AI187</f>
        <v>-</v>
      </c>
      <c r="V193" s="1075"/>
      <c r="W193" s="1075"/>
      <c r="X193" s="1075" t="str">
        <f>Sheet1!AJ187</f>
        <v>-</v>
      </c>
      <c r="Y193" s="1075"/>
      <c r="Z193" s="1075"/>
      <c r="AA193" s="1075"/>
      <c r="AB193" s="1075"/>
      <c r="AC193" s="1075"/>
      <c r="AD193" s="1075"/>
      <c r="AE193" s="1075"/>
      <c r="AF193" s="1075"/>
      <c r="AG193" s="1075"/>
      <c r="AH193" s="1075"/>
      <c r="AI193" s="1075"/>
      <c r="AJ193" s="1075"/>
      <c r="AK193" s="1075" t="str">
        <f>IF(Sheet1!AE190="C",Sheet1!AK190,"-")</f>
        <v>-</v>
      </c>
      <c r="AL193" s="1075">
        <f>IF(Sheet1!AE190="D",Sheet1!AK190,"-")</f>
        <v>3580</v>
      </c>
      <c r="AM193" s="1075" t="str">
        <f>IF(Sheet1!AE187="E",Sheet1!AK187,"-")</f>
        <v>-</v>
      </c>
    </row>
    <row r="194" spans="2:39" x14ac:dyDescent="0.25">
      <c r="B194" s="1082">
        <f>Sheet1!F188</f>
        <v>5187</v>
      </c>
      <c r="C194" s="1075" t="str">
        <f>Sheet1!C188</f>
        <v>SR 441 - Peninsula Dr.</v>
      </c>
      <c r="D194" s="1075" t="str">
        <f>_xlfn.TEXTBEFORE(Sheet1!E188, " to ")</f>
        <v>Silver Beach Ave.</v>
      </c>
      <c r="E194" s="1075" t="str">
        <f>_xlfn.TEXTAFTER(Sheet1!E188, " to ")</f>
        <v>US 92/ISB</v>
      </c>
      <c r="F194" s="1075">
        <f>Sheet1!AM188</f>
        <v>2</v>
      </c>
      <c r="G194" s="1075"/>
      <c r="H194" s="1083" t="str">
        <f>Sheet1!AE188</f>
        <v>D</v>
      </c>
      <c r="I194" s="1075"/>
      <c r="J194" s="1075" t="str">
        <f>Sheet1!Q188</f>
        <v>UA_SSAC1_2W_2L_U_WL</v>
      </c>
      <c r="K194" s="1075"/>
      <c r="L194" s="1075">
        <f>Sheet1!AF188</f>
        <v>17700</v>
      </c>
      <c r="M194" s="1075"/>
      <c r="N194" s="1075"/>
      <c r="O194" s="1075"/>
      <c r="P194" s="1075">
        <f>Sheet1!AK188</f>
        <v>1600</v>
      </c>
      <c r="Q194" s="1075"/>
      <c r="R194" s="1075">
        <f>Sheet1!AD188</f>
        <v>8400</v>
      </c>
      <c r="S194" s="1081">
        <f>Sheet1!AG188</f>
        <v>0.47457627118644069</v>
      </c>
      <c r="T194" s="1075" t="str">
        <f>Sheet1!AH188</f>
        <v>C</v>
      </c>
      <c r="U194" s="1075" t="str">
        <f>Sheet1!AI188</f>
        <v>-</v>
      </c>
      <c r="V194" s="1075"/>
      <c r="W194" s="1075"/>
      <c r="X194" s="1075" t="str">
        <f>Sheet1!AJ188</f>
        <v>-</v>
      </c>
      <c r="Y194" s="1075"/>
      <c r="Z194" s="1075"/>
      <c r="AA194" s="1075"/>
      <c r="AB194" s="1075"/>
      <c r="AC194" s="1075"/>
      <c r="AD194" s="1075"/>
      <c r="AE194" s="1075"/>
      <c r="AF194" s="1075"/>
      <c r="AG194" s="1075"/>
      <c r="AH194" s="1075"/>
      <c r="AI194" s="1075"/>
      <c r="AJ194" s="1075"/>
      <c r="AK194" s="1075" t="str">
        <f>IF(Sheet1!AE191="C",Sheet1!AK191,"-")</f>
        <v>-</v>
      </c>
      <c r="AL194" s="1075">
        <f>IF(Sheet1!AE191="D",Sheet1!AK191,"-")</f>
        <v>5960</v>
      </c>
      <c r="AM194" s="1075" t="str">
        <f>IF(Sheet1!AE188="E",Sheet1!AK188,"-")</f>
        <v>-</v>
      </c>
    </row>
    <row r="195" spans="2:39" x14ac:dyDescent="0.25">
      <c r="B195" s="1082">
        <f>Sheet1!F189</f>
        <v>170</v>
      </c>
      <c r="C195" s="1075" t="str">
        <f>Sheet1!C189</f>
        <v>SR 442 - Indian River Blvd.</v>
      </c>
      <c r="D195" s="1075" t="str">
        <f>_xlfn.TEXTBEFORE(Sheet1!E189, " to ")</f>
        <v>I-95</v>
      </c>
      <c r="E195" s="1075" t="str">
        <f>_xlfn.TEXTAFTER(Sheet1!E189, " to ")</f>
        <v>Air Park Rd.</v>
      </c>
      <c r="F195" s="1075">
        <f>Sheet1!AM189</f>
        <v>4</v>
      </c>
      <c r="G195" s="1075"/>
      <c r="H195" s="1083" t="str">
        <f>Sheet1!AE189</f>
        <v>D</v>
      </c>
      <c r="I195" s="1075"/>
      <c r="J195" s="1075" t="str">
        <f>Sheet1!Q189</f>
        <v>UA_SSAC1_2W_4L_D_WL</v>
      </c>
      <c r="K195" s="1075"/>
      <c r="L195" s="1075">
        <f>Sheet1!AF189</f>
        <v>39800</v>
      </c>
      <c r="M195" s="1075"/>
      <c r="N195" s="1075"/>
      <c r="O195" s="1075"/>
      <c r="P195" s="1075">
        <f>Sheet1!AK189</f>
        <v>3580</v>
      </c>
      <c r="Q195" s="1075"/>
      <c r="R195" s="1075">
        <f>Sheet1!AD189</f>
        <v>13700</v>
      </c>
      <c r="S195" s="1081">
        <f>Sheet1!AG189</f>
        <v>0.34422110552763818</v>
      </c>
      <c r="T195" s="1075" t="str">
        <f>Sheet1!AH189</f>
        <v>C</v>
      </c>
      <c r="U195" s="1075" t="str">
        <f>Sheet1!AI189</f>
        <v>-</v>
      </c>
      <c r="V195" s="1075"/>
      <c r="W195" s="1075"/>
      <c r="X195" s="1075" t="str">
        <f>Sheet1!AJ189</f>
        <v>-</v>
      </c>
      <c r="Y195" s="1075"/>
      <c r="Z195" s="1075"/>
      <c r="AA195" s="1075"/>
      <c r="AB195" s="1075"/>
      <c r="AC195" s="1075"/>
      <c r="AD195" s="1075"/>
      <c r="AE195" s="1075"/>
      <c r="AF195" s="1075"/>
      <c r="AG195" s="1075"/>
      <c r="AH195" s="1075"/>
      <c r="AI195" s="1075"/>
      <c r="AJ195" s="1075"/>
      <c r="AK195" s="1075" t="str">
        <f>IF(Sheet1!AE192="C",Sheet1!AK192,"-")</f>
        <v>-</v>
      </c>
      <c r="AL195" s="1075">
        <f>IF(Sheet1!AE192="D",Sheet1!AK192,"-")</f>
        <v>3580</v>
      </c>
      <c r="AM195" s="1075" t="str">
        <f>IF(Sheet1!AE189="E",Sheet1!AK189,"-")</f>
        <v>-</v>
      </c>
    </row>
    <row r="196" spans="2:39" x14ac:dyDescent="0.25">
      <c r="B196" s="1082">
        <f>Sheet1!F190</f>
        <v>5190</v>
      </c>
      <c r="C196" s="1075" t="str">
        <f>Sheet1!C190</f>
        <v>SR 442 - Indian River Blvd.</v>
      </c>
      <c r="D196" s="1075" t="str">
        <f>_xlfn.TEXTBEFORE(Sheet1!E190, " to ")</f>
        <v>Air Park Rd.</v>
      </c>
      <c r="E196" s="1075" t="str">
        <f>_xlfn.TEXTAFTER(Sheet1!E190, " to ")</f>
        <v>US 1</v>
      </c>
      <c r="F196" s="1075">
        <f>Sheet1!AM190</f>
        <v>4</v>
      </c>
      <c r="G196" s="1075"/>
      <c r="H196" s="1083" t="str">
        <f>Sheet1!AE190</f>
        <v>D</v>
      </c>
      <c r="I196" s="1075"/>
      <c r="J196" s="1075" t="str">
        <f>Sheet1!Q190</f>
        <v>UA_SSAC1_2W_4L_D_WL</v>
      </c>
      <c r="K196" s="1075"/>
      <c r="L196" s="1075">
        <f>Sheet1!AF190</f>
        <v>39800</v>
      </c>
      <c r="M196" s="1075"/>
      <c r="N196" s="1075"/>
      <c r="O196" s="1075"/>
      <c r="P196" s="1075">
        <f>Sheet1!AK190</f>
        <v>3580</v>
      </c>
      <c r="Q196" s="1075"/>
      <c r="R196" s="1075">
        <f>Sheet1!AD190</f>
        <v>17500</v>
      </c>
      <c r="S196" s="1081">
        <f>Sheet1!AG190</f>
        <v>0.43969849246231157</v>
      </c>
      <c r="T196" s="1075" t="str">
        <f>Sheet1!AH190</f>
        <v>C</v>
      </c>
      <c r="U196" s="1075" t="str">
        <f>Sheet1!AI190</f>
        <v>-</v>
      </c>
      <c r="V196" s="1075"/>
      <c r="W196" s="1075"/>
      <c r="X196" s="1075" t="str">
        <f>Sheet1!AJ190</f>
        <v>-</v>
      </c>
      <c r="Y196" s="1075"/>
      <c r="Z196" s="1075"/>
      <c r="AA196" s="1075"/>
      <c r="AB196" s="1075"/>
      <c r="AC196" s="1075"/>
      <c r="AD196" s="1075"/>
      <c r="AE196" s="1075"/>
      <c r="AF196" s="1075"/>
      <c r="AG196" s="1075"/>
      <c r="AH196" s="1075"/>
      <c r="AI196" s="1075"/>
      <c r="AJ196" s="1075"/>
      <c r="AK196" s="1075" t="str">
        <f>IF(Sheet1!AE193="C",Sheet1!AK193,"-")</f>
        <v>-</v>
      </c>
      <c r="AL196" s="1075">
        <f>IF(Sheet1!AE193="D",Sheet1!AK193,"-")</f>
        <v>3400</v>
      </c>
      <c r="AM196" s="1075" t="str">
        <f>IF(Sheet1!AE190="E",Sheet1!AK190,"-")</f>
        <v>-</v>
      </c>
    </row>
    <row r="197" spans="2:39" x14ac:dyDescent="0.25">
      <c r="B197" s="1082">
        <f>Sheet1!F191</f>
        <v>472</v>
      </c>
      <c r="C197" s="1075" t="str">
        <f>Sheet1!C191</f>
        <v>SR 472</v>
      </c>
      <c r="D197" s="1075" t="str">
        <f>_xlfn.TEXTBEFORE(Sheet1!E191, " to ")</f>
        <v>US 17/92</v>
      </c>
      <c r="E197" s="1075" t="str">
        <f>_xlfn.TEXTAFTER(Sheet1!E191, " to ")</f>
        <v>CR 4101/MLK Blvd</v>
      </c>
      <c r="F197" s="1075">
        <f>Sheet1!AM191</f>
        <v>4</v>
      </c>
      <c r="G197" s="1075"/>
      <c r="H197" s="1083" t="str">
        <f>Sheet1!AE191</f>
        <v>D</v>
      </c>
      <c r="I197" s="1075"/>
      <c r="J197" s="1075" t="str">
        <f>Sheet1!Q191</f>
        <v>UA_UFH_2W_4L_D_WL</v>
      </c>
      <c r="K197" s="1075"/>
      <c r="L197" s="1075">
        <f>Sheet1!AF191</f>
        <v>66200</v>
      </c>
      <c r="M197" s="1075"/>
      <c r="N197" s="1075"/>
      <c r="O197" s="1075"/>
      <c r="P197" s="1075">
        <f>Sheet1!AK191</f>
        <v>5960</v>
      </c>
      <c r="Q197" s="1075"/>
      <c r="R197" s="1075">
        <f>Sheet1!AD191</f>
        <v>24000</v>
      </c>
      <c r="S197" s="1081">
        <f>Sheet1!AG191</f>
        <v>0.36253776435045315</v>
      </c>
      <c r="T197" s="1075" t="str">
        <f>Sheet1!AH191</f>
        <v>B</v>
      </c>
      <c r="U197" s="1075" t="str">
        <f>Sheet1!AI191</f>
        <v>-</v>
      </c>
      <c r="V197" s="1075"/>
      <c r="W197" s="1075"/>
      <c r="X197" s="1075" t="str">
        <f>Sheet1!AJ191</f>
        <v>-</v>
      </c>
      <c r="Y197" s="1075"/>
      <c r="Z197" s="1075"/>
      <c r="AA197" s="1075"/>
      <c r="AB197" s="1075"/>
      <c r="AC197" s="1075"/>
      <c r="AD197" s="1075"/>
      <c r="AE197" s="1075"/>
      <c r="AF197" s="1075"/>
      <c r="AG197" s="1075"/>
      <c r="AH197" s="1075"/>
      <c r="AI197" s="1075"/>
      <c r="AJ197" s="1075"/>
      <c r="AK197" s="1075" t="str">
        <f>IF(Sheet1!AE194="C",Sheet1!AK194,"-")</f>
        <v>-</v>
      </c>
      <c r="AL197" s="1075">
        <f>IF(Sheet1!AE194="D",Sheet1!AK194,"-")</f>
        <v>3580</v>
      </c>
      <c r="AM197" s="1075" t="str">
        <f>IF(Sheet1!AE191="E",Sheet1!AK191,"-")</f>
        <v>-</v>
      </c>
    </row>
    <row r="198" spans="2:39" x14ac:dyDescent="0.25">
      <c r="B198" s="1082">
        <f>Sheet1!F192</f>
        <v>535</v>
      </c>
      <c r="C198" s="1075" t="str">
        <f>Sheet1!C192</f>
        <v>SR 472</v>
      </c>
      <c r="D198" s="1075" t="str">
        <f>_xlfn.TEXTBEFORE(Sheet1!E192, " to ")</f>
        <v>CR 4101/MLK Blvd</v>
      </c>
      <c r="E198" s="1075" t="str">
        <f>_xlfn.TEXTAFTER(Sheet1!E192, " to ")</f>
        <v>I-4 (end of state road)</v>
      </c>
      <c r="F198" s="1075">
        <f>Sheet1!AM192</f>
        <v>4</v>
      </c>
      <c r="G198" s="1075"/>
      <c r="H198" s="1083" t="str">
        <f>Sheet1!AE192</f>
        <v>D</v>
      </c>
      <c r="I198" s="1075"/>
      <c r="J198" s="1075" t="str">
        <f>Sheet1!Q192</f>
        <v>UA_SSAC1_2W_4L_D_WL</v>
      </c>
      <c r="K198" s="1075"/>
      <c r="L198" s="1075">
        <f>Sheet1!AF192</f>
        <v>39800</v>
      </c>
      <c r="M198" s="1075"/>
      <c r="N198" s="1075"/>
      <c r="O198" s="1075"/>
      <c r="P198" s="1075">
        <f>Sheet1!AK192</f>
        <v>3580</v>
      </c>
      <c r="Q198" s="1075"/>
      <c r="R198" s="1075">
        <f>Sheet1!AD192</f>
        <v>32000</v>
      </c>
      <c r="S198" s="1081">
        <f>Sheet1!AG192</f>
        <v>0.8040201005025126</v>
      </c>
      <c r="T198" s="1075" t="str">
        <f>Sheet1!AH192</f>
        <v>C</v>
      </c>
      <c r="U198" s="1075">
        <f>Sheet1!AI192</f>
        <v>2300</v>
      </c>
      <c r="V198" s="1075"/>
      <c r="W198" s="1075"/>
      <c r="X198" s="1075">
        <f>Sheet1!AJ192</f>
        <v>2710</v>
      </c>
      <c r="Y198" s="1075"/>
      <c r="Z198" s="1075"/>
      <c r="AA198" s="1075"/>
      <c r="AB198" s="1075"/>
      <c r="AC198" s="1075"/>
      <c r="AD198" s="1075"/>
      <c r="AE198" s="1075"/>
      <c r="AF198" s="1075"/>
      <c r="AG198" s="1075"/>
      <c r="AH198" s="1075"/>
      <c r="AI198" s="1075"/>
      <c r="AJ198" s="1075"/>
      <c r="AK198" s="1075" t="str">
        <f>IF(Sheet1!AE195="C",Sheet1!AK195,"-")</f>
        <v>-</v>
      </c>
      <c r="AL198" s="1075">
        <f>IF(Sheet1!AE195="D",Sheet1!AK195,"-")</f>
        <v>3400</v>
      </c>
      <c r="AM198" s="1075" t="str">
        <f>IF(Sheet1!AE192="E",Sheet1!AK192,"-")</f>
        <v>-</v>
      </c>
    </row>
    <row r="199" spans="2:39" x14ac:dyDescent="0.25">
      <c r="B199" s="1082">
        <f>Sheet1!F193</f>
        <v>5193</v>
      </c>
      <c r="C199" s="1075" t="str">
        <f>Sheet1!C193</f>
        <v>SR 483 - Clyde Morris Blvd.</v>
      </c>
      <c r="D199" s="1075" t="str">
        <f>_xlfn.TEXTBEFORE(Sheet1!E193, " to ")</f>
        <v>SR 400/Beville Rd.</v>
      </c>
      <c r="E199" s="1075" t="str">
        <f>_xlfn.TEXTAFTER(Sheet1!E193, " to ")</f>
        <v>Aviation Ctr Pkwy/Bellevue</v>
      </c>
      <c r="F199" s="1075">
        <f>Sheet1!AM193</f>
        <v>4</v>
      </c>
      <c r="G199" s="1075"/>
      <c r="H199" s="1083" t="str">
        <f>Sheet1!AE193</f>
        <v>D</v>
      </c>
      <c r="I199" s="1075"/>
      <c r="J199" s="1075" t="str">
        <f>Sheet1!Q193</f>
        <v>UA_SSAC1_2W_4L_U_WL</v>
      </c>
      <c r="K199" s="1075"/>
      <c r="L199" s="1075">
        <f>Sheet1!AF193</f>
        <v>37800</v>
      </c>
      <c r="M199" s="1075"/>
      <c r="N199" s="1075"/>
      <c r="O199" s="1075"/>
      <c r="P199" s="1075">
        <f>Sheet1!AK193</f>
        <v>3400</v>
      </c>
      <c r="Q199" s="1075"/>
      <c r="R199" s="1075">
        <f>Sheet1!AD193</f>
        <v>33000</v>
      </c>
      <c r="S199" s="1081">
        <f>Sheet1!AG193</f>
        <v>0.87301587301587302</v>
      </c>
      <c r="T199" s="1075" t="str">
        <f>Sheet1!AH193</f>
        <v>C</v>
      </c>
      <c r="U199" s="1075" t="str">
        <f>Sheet1!AI193</f>
        <v>-</v>
      </c>
      <c r="V199" s="1075"/>
      <c r="W199" s="1075"/>
      <c r="X199" s="1075" t="str">
        <f>Sheet1!AJ193</f>
        <v>-</v>
      </c>
      <c r="Y199" s="1075"/>
      <c r="Z199" s="1075"/>
      <c r="AA199" s="1075"/>
      <c r="AB199" s="1075"/>
      <c r="AC199" s="1075"/>
      <c r="AD199" s="1075"/>
      <c r="AE199" s="1075"/>
      <c r="AF199" s="1075"/>
      <c r="AG199" s="1075"/>
      <c r="AH199" s="1075"/>
      <c r="AI199" s="1075"/>
      <c r="AJ199" s="1075"/>
      <c r="AK199" s="1075" t="str">
        <f>IF(Sheet1!AE196="C",Sheet1!AK196,"-")</f>
        <v>-</v>
      </c>
      <c r="AL199" s="1075" t="str">
        <f>IF(Sheet1!AE196="D",Sheet1!AK196,"-")</f>
        <v>-</v>
      </c>
      <c r="AM199" s="1075" t="str">
        <f>IF(Sheet1!AE193="E",Sheet1!AK193,"-")</f>
        <v>-</v>
      </c>
    </row>
    <row r="200" spans="2:39" x14ac:dyDescent="0.25">
      <c r="B200" s="1082">
        <f>Sheet1!F194</f>
        <v>5193</v>
      </c>
      <c r="C200" s="1075" t="str">
        <f>Sheet1!C194</f>
        <v>SR 483 - Clyde Morris Blvd.</v>
      </c>
      <c r="D200" s="1075" t="str">
        <f>_xlfn.TEXTBEFORE(Sheet1!E194, " to ")</f>
        <v>Aviation Ctr Pkwy/Bellevue</v>
      </c>
      <c r="E200" s="1075" t="str">
        <f>_xlfn.TEXTAFTER(Sheet1!E194, " to ")</f>
        <v>US 92/ISB</v>
      </c>
      <c r="F200" s="1075">
        <f>Sheet1!AM194</f>
        <v>4</v>
      </c>
      <c r="G200" s="1075"/>
      <c r="H200" s="1083" t="str">
        <f>Sheet1!AE194</f>
        <v>D</v>
      </c>
      <c r="I200" s="1075"/>
      <c r="J200" s="1075" t="str">
        <f>Sheet1!Q194</f>
        <v>UA_SSAC1_2W_4L_D_WL</v>
      </c>
      <c r="K200" s="1075"/>
      <c r="L200" s="1075">
        <f>Sheet1!AF194</f>
        <v>39800</v>
      </c>
      <c r="M200" s="1075"/>
      <c r="N200" s="1075"/>
      <c r="O200" s="1075"/>
      <c r="P200" s="1075">
        <f>Sheet1!AK194</f>
        <v>3580</v>
      </c>
      <c r="Q200" s="1075"/>
      <c r="R200" s="1075">
        <f>Sheet1!AD194</f>
        <v>33000</v>
      </c>
      <c r="S200" s="1081">
        <f>Sheet1!AG194</f>
        <v>0.82914572864321612</v>
      </c>
      <c r="T200" s="1075" t="str">
        <f>Sheet1!AH194</f>
        <v>C</v>
      </c>
      <c r="U200" s="1075" t="str">
        <f>Sheet1!AI194</f>
        <v>-</v>
      </c>
      <c r="V200" s="1075"/>
      <c r="W200" s="1075"/>
      <c r="X200" s="1075" t="str">
        <f>Sheet1!AJ194</f>
        <v>-</v>
      </c>
      <c r="Y200" s="1075"/>
      <c r="Z200" s="1075"/>
      <c r="AA200" s="1075"/>
      <c r="AB200" s="1075"/>
      <c r="AC200" s="1075"/>
      <c r="AD200" s="1075"/>
      <c r="AE200" s="1075"/>
      <c r="AF200" s="1075"/>
      <c r="AG200" s="1075"/>
      <c r="AH200" s="1075"/>
      <c r="AI200" s="1075"/>
      <c r="AJ200" s="1075"/>
      <c r="AK200" s="1075" t="str">
        <f>IF(Sheet1!AE197="C",Sheet1!AK197,"-")</f>
        <v>-</v>
      </c>
      <c r="AL200" s="1075" t="str">
        <f>IF(Sheet1!AE197="D",Sheet1!AK197,"-")</f>
        <v>-</v>
      </c>
      <c r="AM200" s="1075" t="str">
        <f>IF(Sheet1!AE194="E",Sheet1!AK194,"-")</f>
        <v>-</v>
      </c>
    </row>
    <row r="201" spans="2:39" x14ac:dyDescent="0.25">
      <c r="B201" s="1082">
        <f>Sheet1!F195</f>
        <v>5182</v>
      </c>
      <c r="C201" s="1075" t="str">
        <f>Sheet1!C195</f>
        <v>SR 483 - Clyde Morris Blvd.</v>
      </c>
      <c r="D201" s="1075" t="str">
        <f>_xlfn.TEXTBEFORE(Sheet1!E195, " to ")</f>
        <v>US 92/ISB</v>
      </c>
      <c r="E201" s="1075" t="str">
        <f>_xlfn.TEXTAFTER(Sheet1!E195, " to ")</f>
        <v>SR 430/Mason Ave.</v>
      </c>
      <c r="F201" s="1075">
        <f>Sheet1!AM195</f>
        <v>4</v>
      </c>
      <c r="G201" s="1075"/>
      <c r="H201" s="1083" t="str">
        <f>Sheet1!AE195</f>
        <v>D</v>
      </c>
      <c r="I201" s="1075"/>
      <c r="J201" s="1075" t="str">
        <f>Sheet1!Q195</f>
        <v>UA_SSAC1_2W_4L_U_WL</v>
      </c>
      <c r="K201" s="1075"/>
      <c r="L201" s="1075">
        <f>Sheet1!AF195</f>
        <v>37800</v>
      </c>
      <c r="M201" s="1075"/>
      <c r="N201" s="1075"/>
      <c r="O201" s="1075"/>
      <c r="P201" s="1075">
        <f>Sheet1!AK195</f>
        <v>3400</v>
      </c>
      <c r="Q201" s="1075"/>
      <c r="R201" s="1075">
        <f>Sheet1!AD195</f>
        <v>22000</v>
      </c>
      <c r="S201" s="1081">
        <f>Sheet1!AG195</f>
        <v>0.58201058201058198</v>
      </c>
      <c r="T201" s="1075" t="str">
        <f>Sheet1!AH195</f>
        <v>C</v>
      </c>
      <c r="U201" s="1075" t="str">
        <f>Sheet1!AI195</f>
        <v>-</v>
      </c>
      <c r="V201" s="1075"/>
      <c r="W201" s="1075"/>
      <c r="X201" s="1075" t="str">
        <f>Sheet1!AJ195</f>
        <v>-</v>
      </c>
      <c r="Y201" s="1075"/>
      <c r="Z201" s="1075"/>
      <c r="AA201" s="1075"/>
      <c r="AB201" s="1075"/>
      <c r="AC201" s="1075"/>
      <c r="AD201" s="1075"/>
      <c r="AE201" s="1075"/>
      <c r="AF201" s="1075"/>
      <c r="AG201" s="1075"/>
      <c r="AH201" s="1075"/>
      <c r="AI201" s="1075"/>
      <c r="AJ201" s="1075"/>
      <c r="AK201" s="1075" t="str">
        <f>IF(Sheet1!AE198="C",Sheet1!AK198,"-")</f>
        <v>-</v>
      </c>
      <c r="AL201" s="1075" t="str">
        <f>IF(Sheet1!AE198="D",Sheet1!AK198,"-")</f>
        <v>-</v>
      </c>
      <c r="AM201" s="1075" t="str">
        <f>IF(Sheet1!AE195="E",Sheet1!AK195,"-")</f>
        <v>-</v>
      </c>
    </row>
    <row r="202" spans="2:39" x14ac:dyDescent="0.25">
      <c r="B202" s="1082">
        <f>Sheet1!F196</f>
        <v>0</v>
      </c>
      <c r="C202" s="1075">
        <f>Sheet1!C196</f>
        <v>0</v>
      </c>
      <c r="D202" s="1075" t="e">
        <f>_xlfn.TEXTBEFORE(Sheet1!E196, " to ")</f>
        <v>#N/A</v>
      </c>
      <c r="E202" s="1075" t="e">
        <f>_xlfn.TEXTAFTER(Sheet1!E196, " to ")</f>
        <v>#N/A</v>
      </c>
      <c r="F202" s="1075">
        <f>Sheet1!AM196</f>
        <v>0</v>
      </c>
      <c r="G202" s="1075"/>
      <c r="H202" s="1083">
        <f>Sheet1!AE196</f>
        <v>0</v>
      </c>
      <c r="I202" s="1075"/>
      <c r="J202" s="1075">
        <f>Sheet1!Q196</f>
        <v>0</v>
      </c>
      <c r="K202" s="1075"/>
      <c r="L202" s="1075">
        <f>Sheet1!AF196</f>
        <v>0</v>
      </c>
      <c r="M202" s="1075"/>
      <c r="N202" s="1075"/>
      <c r="O202" s="1075"/>
      <c r="P202" s="1075">
        <f>Sheet1!AK196</f>
        <v>0</v>
      </c>
      <c r="Q202" s="1075"/>
      <c r="R202" s="1075">
        <f>Sheet1!AD196</f>
        <v>0</v>
      </c>
      <c r="S202" s="1081">
        <f>Sheet1!AG196</f>
        <v>0</v>
      </c>
      <c r="T202" s="1075">
        <f>Sheet1!AH196</f>
        <v>0</v>
      </c>
      <c r="U202" s="1075">
        <f>Sheet1!AI196</f>
        <v>0</v>
      </c>
      <c r="V202" s="1075"/>
      <c r="W202" s="1075"/>
      <c r="X202" s="1075">
        <f>Sheet1!AJ196</f>
        <v>0</v>
      </c>
      <c r="Y202" s="1075"/>
      <c r="Z202" s="1075"/>
      <c r="AA202" s="1075"/>
      <c r="AB202" s="1075"/>
      <c r="AC202" s="1075"/>
      <c r="AD202" s="1075"/>
      <c r="AE202" s="1075"/>
      <c r="AF202" s="1075"/>
      <c r="AG202" s="1075"/>
      <c r="AH202" s="1075"/>
      <c r="AI202" s="1075"/>
      <c r="AJ202" s="1075"/>
      <c r="AK202" s="1075" t="str">
        <f>IF(Sheet1!AE199="C",Sheet1!AK199,"-")</f>
        <v>-</v>
      </c>
      <c r="AL202" s="1075" t="str">
        <f>IF(Sheet1!AE199="D",Sheet1!AK199,"-")</f>
        <v>-</v>
      </c>
      <c r="AM202" s="1075" t="str">
        <f>IF(Sheet1!AE196="E",Sheet1!AK196,"-")</f>
        <v>-</v>
      </c>
    </row>
    <row r="203" spans="2:39" x14ac:dyDescent="0.25">
      <c r="B203" s="1082">
        <f>Sheet1!F197</f>
        <v>11</v>
      </c>
      <c r="C203" s="1075" t="str">
        <f>Sheet1!C197</f>
        <v>6th St.</v>
      </c>
      <c r="D203" s="1075" t="str">
        <f>_xlfn.TEXTBEFORE(Sheet1!E197, " to ")</f>
        <v>Derbyshire Rd.</v>
      </c>
      <c r="E203" s="1075" t="str">
        <f>_xlfn.TEXTAFTER(Sheet1!E197, " to ")</f>
        <v>SR 5A/Nova Rd</v>
      </c>
      <c r="F203" s="1075">
        <f>Sheet1!AM197</f>
        <v>2</v>
      </c>
      <c r="G203" s="1075"/>
      <c r="H203" s="1083" t="str">
        <f>Sheet1!AE197</f>
        <v>E</v>
      </c>
      <c r="I203" s="1075"/>
      <c r="J203" s="1075" t="str">
        <f>Sheet1!Q197</f>
        <v>UA_NSSRC2_2W_2L_U_0L</v>
      </c>
      <c r="K203" s="1075"/>
      <c r="L203" s="1075">
        <f>Sheet1!AF197</f>
        <v>13640</v>
      </c>
      <c r="M203" s="1075"/>
      <c r="N203" s="1075"/>
      <c r="O203" s="1075"/>
      <c r="P203" s="1075">
        <f>Sheet1!AK197</f>
        <v>1020</v>
      </c>
      <c r="Q203" s="1075"/>
      <c r="R203" s="1075">
        <f>Sheet1!AD197</f>
        <v>2530</v>
      </c>
      <c r="S203" s="1081">
        <f>Sheet1!AG197</f>
        <v>0.18548387096774194</v>
      </c>
      <c r="T203" s="1075" t="str">
        <f>Sheet1!AH197</f>
        <v>C</v>
      </c>
      <c r="U203" s="1075">
        <f>Sheet1!AI197</f>
        <v>130</v>
      </c>
      <c r="V203" s="1075"/>
      <c r="W203" s="1075"/>
      <c r="X203" s="1075">
        <f>Sheet1!AJ197</f>
        <v>220</v>
      </c>
      <c r="Y203" s="1075"/>
      <c r="Z203" s="1075"/>
      <c r="AA203" s="1075"/>
      <c r="AB203" s="1075"/>
      <c r="AC203" s="1075"/>
      <c r="AD203" s="1075"/>
      <c r="AE203" s="1075"/>
      <c r="AF203" s="1075"/>
      <c r="AG203" s="1075"/>
      <c r="AH203" s="1075"/>
      <c r="AI203" s="1075"/>
      <c r="AJ203" s="1075"/>
      <c r="AK203" s="1075" t="str">
        <f>IF(Sheet1!AE200="C",Sheet1!AK200,"-")</f>
        <v>-</v>
      </c>
      <c r="AL203" s="1075" t="str">
        <f>IF(Sheet1!AE200="D",Sheet1!AK200,"-")</f>
        <v>-</v>
      </c>
      <c r="AM203" s="1075">
        <f>IF(Sheet1!AE197="E",Sheet1!AK197,"-")</f>
        <v>1020</v>
      </c>
    </row>
    <row r="204" spans="2:39" x14ac:dyDescent="0.25">
      <c r="B204" s="1082">
        <f>Sheet1!F198</f>
        <v>31</v>
      </c>
      <c r="C204" s="1075" t="str">
        <f>Sheet1!C198</f>
        <v>13th St.</v>
      </c>
      <c r="D204" s="1075" t="str">
        <f>_xlfn.TEXTBEFORE(Sheet1!E198, " to ")</f>
        <v>Derbyshire Rd.</v>
      </c>
      <c r="E204" s="1075" t="str">
        <f>_xlfn.TEXTAFTER(Sheet1!E198, " to ")</f>
        <v>SR 5A/Nova Rd</v>
      </c>
      <c r="F204" s="1075">
        <f>Sheet1!AM198</f>
        <v>2</v>
      </c>
      <c r="G204" s="1075"/>
      <c r="H204" s="1083" t="str">
        <f>Sheet1!AE198</f>
        <v>E</v>
      </c>
      <c r="I204" s="1075"/>
      <c r="J204" s="1075" t="str">
        <f>Sheet1!Q198</f>
        <v>UA_NSSRC2_2W_2L_U_0L</v>
      </c>
      <c r="K204" s="1075"/>
      <c r="L204" s="1075">
        <f>Sheet1!AF198</f>
        <v>13640</v>
      </c>
      <c r="M204" s="1075"/>
      <c r="N204" s="1075"/>
      <c r="O204" s="1075"/>
      <c r="P204" s="1075">
        <f>Sheet1!AK198</f>
        <v>1020</v>
      </c>
      <c r="Q204" s="1075"/>
      <c r="R204" s="1075">
        <f>Sheet1!AD198</f>
        <v>1370</v>
      </c>
      <c r="S204" s="1081">
        <f>Sheet1!AG198</f>
        <v>0.10043988269794721</v>
      </c>
      <c r="T204" s="1075" t="str">
        <f>Sheet1!AH198</f>
        <v>C</v>
      </c>
      <c r="U204" s="1075">
        <f>Sheet1!AI198</f>
        <v>110</v>
      </c>
      <c r="V204" s="1075"/>
      <c r="W204" s="1075"/>
      <c r="X204" s="1075">
        <f>Sheet1!AJ198</f>
        <v>140</v>
      </c>
      <c r="Y204" s="1075"/>
      <c r="Z204" s="1075"/>
      <c r="AA204" s="1075"/>
      <c r="AB204" s="1075"/>
      <c r="AC204" s="1075"/>
      <c r="AD204" s="1075"/>
      <c r="AE204" s="1075"/>
      <c r="AF204" s="1075"/>
      <c r="AG204" s="1075"/>
      <c r="AH204" s="1075"/>
      <c r="AI204" s="1075"/>
      <c r="AJ204" s="1075"/>
      <c r="AK204" s="1075" t="str">
        <f>IF(Sheet1!AE201="C",Sheet1!AK201,"-")</f>
        <v>-</v>
      </c>
      <c r="AL204" s="1075" t="str">
        <f>IF(Sheet1!AE201="D",Sheet1!AK201,"-")</f>
        <v>-</v>
      </c>
      <c r="AM204" s="1075">
        <f>IF(Sheet1!AE198="E",Sheet1!AK198,"-")</f>
        <v>1020</v>
      </c>
    </row>
    <row r="205" spans="2:39" x14ac:dyDescent="0.25">
      <c r="B205" s="1082">
        <f>Sheet1!F199</f>
        <v>41</v>
      </c>
      <c r="C205" s="1075" t="str">
        <f>Sheet1!C199</f>
        <v>Adelle Ave.</v>
      </c>
      <c r="D205" s="1075" t="str">
        <f>_xlfn.TEXTBEFORE(Sheet1!E199, " to ")</f>
        <v>SR 15A</v>
      </c>
      <c r="E205" s="1075" t="str">
        <f>_xlfn.TEXTAFTER(Sheet1!E199, " to ")</f>
        <v>New Hampshire Ave</v>
      </c>
      <c r="F205" s="1075">
        <f>Sheet1!AM199</f>
        <v>2</v>
      </c>
      <c r="G205" s="1075"/>
      <c r="H205" s="1083" t="str">
        <f>Sheet1!AE199</f>
        <v>E</v>
      </c>
      <c r="I205" s="1075"/>
      <c r="J205" s="1075" t="str">
        <f>Sheet1!Q199</f>
        <v>UA_NSSRC2_2W_2L_U_0L</v>
      </c>
      <c r="K205" s="1075"/>
      <c r="L205" s="1075">
        <f>Sheet1!AF199</f>
        <v>13640</v>
      </c>
      <c r="M205" s="1075"/>
      <c r="N205" s="1075"/>
      <c r="O205" s="1075"/>
      <c r="P205" s="1075">
        <f>Sheet1!AK199</f>
        <v>1020</v>
      </c>
      <c r="Q205" s="1075"/>
      <c r="R205" s="1075">
        <f>Sheet1!AD199</f>
        <v>120</v>
      </c>
      <c r="S205" s="1081">
        <f>Sheet1!AG199</f>
        <v>8.7976539589442824E-3</v>
      </c>
      <c r="T205" s="1075" t="str">
        <f>Sheet1!AH199</f>
        <v>C</v>
      </c>
      <c r="U205" s="1075">
        <f>Sheet1!AI199</f>
        <v>10</v>
      </c>
      <c r="V205" s="1075"/>
      <c r="W205" s="1075"/>
      <c r="X205" s="1075">
        <f>Sheet1!AJ199</f>
        <v>10</v>
      </c>
      <c r="Y205" s="1075"/>
      <c r="Z205" s="1075"/>
      <c r="AA205" s="1075"/>
      <c r="AB205" s="1075"/>
      <c r="AC205" s="1075"/>
      <c r="AD205" s="1075"/>
      <c r="AE205" s="1075"/>
      <c r="AF205" s="1075"/>
      <c r="AG205" s="1075"/>
      <c r="AH205" s="1075"/>
      <c r="AI205" s="1075"/>
      <c r="AJ205" s="1075"/>
      <c r="AK205" s="1075" t="str">
        <f>IF(Sheet1!AE202="C",Sheet1!AK202,"-")</f>
        <v>-</v>
      </c>
      <c r="AL205" s="1075" t="str">
        <f>IF(Sheet1!AE202="D",Sheet1!AK202,"-")</f>
        <v>-</v>
      </c>
      <c r="AM205" s="1075">
        <f>IF(Sheet1!AE199="E",Sheet1!AK199,"-")</f>
        <v>1020</v>
      </c>
    </row>
    <row r="206" spans="2:39" x14ac:dyDescent="0.25">
      <c r="B206" s="1082">
        <f>Sheet1!F200</f>
        <v>43</v>
      </c>
      <c r="C206" s="1075" t="str">
        <f>Sheet1!C200</f>
        <v>Adelle Ave.</v>
      </c>
      <c r="D206" s="1075" t="str">
        <f>_xlfn.TEXTBEFORE(Sheet1!E200, " to ")</f>
        <v>New Hampshire Ave</v>
      </c>
      <c r="E206" s="1075" t="str">
        <f>_xlfn.TEXTAFTER(Sheet1!E200, " to ")</f>
        <v>Beresford Ave</v>
      </c>
      <c r="F206" s="1075">
        <f>Sheet1!AM200</f>
        <v>2</v>
      </c>
      <c r="G206" s="1075"/>
      <c r="H206" s="1083" t="str">
        <f>Sheet1!AE200</f>
        <v>E</v>
      </c>
      <c r="I206" s="1075"/>
      <c r="J206" s="1075" t="str">
        <f>Sheet1!Q200</f>
        <v>UA_NSSRC2_2W_2L_U_0L</v>
      </c>
      <c r="K206" s="1075"/>
      <c r="L206" s="1075">
        <f>Sheet1!AF200</f>
        <v>13640</v>
      </c>
      <c r="M206" s="1075"/>
      <c r="N206" s="1075"/>
      <c r="O206" s="1075"/>
      <c r="P206" s="1075">
        <f>Sheet1!AK200</f>
        <v>1020</v>
      </c>
      <c r="Q206" s="1075"/>
      <c r="R206" s="1075">
        <f>Sheet1!AD200</f>
        <v>2890</v>
      </c>
      <c r="S206" s="1081">
        <f>Sheet1!AG200</f>
        <v>0.21187683284457479</v>
      </c>
      <c r="T206" s="1075" t="str">
        <f>Sheet1!AH200</f>
        <v>C</v>
      </c>
      <c r="U206" s="1075">
        <f>Sheet1!AI200</f>
        <v>150</v>
      </c>
      <c r="V206" s="1075"/>
      <c r="W206" s="1075"/>
      <c r="X206" s="1075">
        <f>Sheet1!AJ200</f>
        <v>310</v>
      </c>
      <c r="Y206" s="1075"/>
      <c r="Z206" s="1075"/>
      <c r="AA206" s="1075"/>
      <c r="AB206" s="1075"/>
      <c r="AC206" s="1075"/>
      <c r="AD206" s="1075"/>
      <c r="AE206" s="1075"/>
      <c r="AF206" s="1075"/>
      <c r="AG206" s="1075"/>
      <c r="AH206" s="1075"/>
      <c r="AI206" s="1075"/>
      <c r="AJ206" s="1075"/>
      <c r="AK206" s="1075" t="str">
        <f>IF(Sheet1!AE203="C",Sheet1!AK203,"-")</f>
        <v>-</v>
      </c>
      <c r="AL206" s="1075" t="str">
        <f>IF(Sheet1!AE203="D",Sheet1!AK203,"-")</f>
        <v>-</v>
      </c>
      <c r="AM206" s="1075">
        <f>IF(Sheet1!AE200="E",Sheet1!AK200,"-")</f>
        <v>1020</v>
      </c>
    </row>
    <row r="207" spans="2:39" x14ac:dyDescent="0.25">
      <c r="B207" s="1082">
        <f>Sheet1!F201</f>
        <v>50</v>
      </c>
      <c r="C207" s="1075" t="str">
        <f>Sheet1!C201</f>
        <v>Air Park Rd.</v>
      </c>
      <c r="D207" s="1075" t="str">
        <f>_xlfn.TEXTBEFORE(Sheet1!E201, " to ")</f>
        <v>Ragis Rd.</v>
      </c>
      <c r="E207" s="1075" t="str">
        <f>_xlfn.TEXTAFTER(Sheet1!E201, " to ")</f>
        <v>SR 442</v>
      </c>
      <c r="F207" s="1075">
        <f>Sheet1!AM201</f>
        <v>2</v>
      </c>
      <c r="G207" s="1075"/>
      <c r="H207" s="1083" t="str">
        <f>Sheet1!AE201</f>
        <v>E</v>
      </c>
      <c r="I207" s="1075"/>
      <c r="J207" s="1075" t="str">
        <f>Sheet1!Q201</f>
        <v>UA_UFH_2W_2L_U_0L</v>
      </c>
      <c r="K207" s="1075"/>
      <c r="L207" s="1075">
        <f>Sheet1!AF201</f>
        <v>24450</v>
      </c>
      <c r="M207" s="1075"/>
      <c r="N207" s="1075"/>
      <c r="O207" s="1075"/>
      <c r="P207" s="1075">
        <f>Sheet1!AK201</f>
        <v>2200</v>
      </c>
      <c r="Q207" s="1075"/>
      <c r="R207" s="1075">
        <f>Sheet1!AD201</f>
        <v>2540</v>
      </c>
      <c r="S207" s="1081">
        <f>Sheet1!AG201</f>
        <v>0.10388548057259714</v>
      </c>
      <c r="T207" s="1075" t="str">
        <f>Sheet1!AH201</f>
        <v>B</v>
      </c>
      <c r="U207" s="1075">
        <f>Sheet1!AI201</f>
        <v>190</v>
      </c>
      <c r="V207" s="1075"/>
      <c r="W207" s="1075"/>
      <c r="X207" s="1075">
        <f>Sheet1!AJ201</f>
        <v>270</v>
      </c>
      <c r="Y207" s="1075"/>
      <c r="Z207" s="1075"/>
      <c r="AA207" s="1075"/>
      <c r="AB207" s="1075"/>
      <c r="AC207" s="1075"/>
      <c r="AD207" s="1075"/>
      <c r="AE207" s="1075"/>
      <c r="AF207" s="1075"/>
      <c r="AG207" s="1075"/>
      <c r="AH207" s="1075"/>
      <c r="AI207" s="1075"/>
      <c r="AJ207" s="1075"/>
      <c r="AK207" s="1075" t="str">
        <f>IF(Sheet1!AE204="C",Sheet1!AK204,"-")</f>
        <v>-</v>
      </c>
      <c r="AL207" s="1075" t="str">
        <f>IF(Sheet1!AE204="D",Sheet1!AK204,"-")</f>
        <v>-</v>
      </c>
      <c r="AM207" s="1075">
        <f>IF(Sheet1!AE201="E",Sheet1!AK201,"-")</f>
        <v>2200</v>
      </c>
    </row>
    <row r="208" spans="2:39" x14ac:dyDescent="0.25">
      <c r="B208" s="1082">
        <f>Sheet1!F202</f>
        <v>52</v>
      </c>
      <c r="C208" s="1075" t="str">
        <f>Sheet1!C202</f>
        <v>Air Park Rd.</v>
      </c>
      <c r="D208" s="1075" t="str">
        <f>_xlfn.TEXTBEFORE(Sheet1!E202, " to ")</f>
        <v>Park Ave.</v>
      </c>
      <c r="E208" s="1075" t="str">
        <f>_xlfn.TEXTAFTER(Sheet1!E202, " to ")</f>
        <v>Ragis Rd</v>
      </c>
      <c r="F208" s="1075">
        <f>Sheet1!AM202</f>
        <v>2</v>
      </c>
      <c r="G208" s="1075"/>
      <c r="H208" s="1083" t="str">
        <f>Sheet1!AE202</f>
        <v>E</v>
      </c>
      <c r="I208" s="1075"/>
      <c r="J208" s="1075" t="str">
        <f>Sheet1!Q202</f>
        <v>UA_UFH_2W_2L_U_0L</v>
      </c>
      <c r="K208" s="1075"/>
      <c r="L208" s="1075">
        <f>Sheet1!AF202</f>
        <v>24450</v>
      </c>
      <c r="M208" s="1075"/>
      <c r="N208" s="1075"/>
      <c r="O208" s="1075"/>
      <c r="P208" s="1075">
        <f>Sheet1!AK202</f>
        <v>2200</v>
      </c>
      <c r="Q208" s="1075"/>
      <c r="R208" s="1075">
        <f>Sheet1!AD202</f>
        <v>2730</v>
      </c>
      <c r="S208" s="1081">
        <f>Sheet1!AG202</f>
        <v>0.1116564417177914</v>
      </c>
      <c r="T208" s="1075" t="str">
        <f>Sheet1!AH202</f>
        <v>B</v>
      </c>
      <c r="U208" s="1075">
        <f>Sheet1!AI202</f>
        <v>230</v>
      </c>
      <c r="V208" s="1075"/>
      <c r="W208" s="1075"/>
      <c r="X208" s="1075">
        <f>Sheet1!AJ202</f>
        <v>280</v>
      </c>
      <c r="Y208" s="1075"/>
      <c r="Z208" s="1075"/>
      <c r="AA208" s="1075"/>
      <c r="AB208" s="1075"/>
      <c r="AC208" s="1075"/>
      <c r="AD208" s="1075"/>
      <c r="AE208" s="1075"/>
      <c r="AF208" s="1075"/>
      <c r="AG208" s="1075"/>
      <c r="AH208" s="1075"/>
      <c r="AI208" s="1075"/>
      <c r="AJ208" s="1075"/>
      <c r="AK208" s="1075" t="str">
        <f>IF(Sheet1!AE205="C",Sheet1!AK205,"-")</f>
        <v>-</v>
      </c>
      <c r="AL208" s="1075" t="str">
        <f>IF(Sheet1!AE205="D",Sheet1!AK205,"-")</f>
        <v>-</v>
      </c>
      <c r="AM208" s="1075">
        <f>IF(Sheet1!AE202="E",Sheet1!AK202,"-")</f>
        <v>2200</v>
      </c>
    </row>
    <row r="209" spans="2:39" x14ac:dyDescent="0.25">
      <c r="B209" s="1082">
        <f>Sheet1!F203</f>
        <v>60</v>
      </c>
      <c r="C209" s="1075" t="str">
        <f>Sheet1!C203</f>
        <v>Airport Rd. (OB)</v>
      </c>
      <c r="D209" s="1075" t="str">
        <f>_xlfn.TEXTBEFORE(Sheet1!E203, " to ")</f>
        <v>Tymber Creek Rd.</v>
      </c>
      <c r="E209" s="1075" t="str">
        <f>_xlfn.TEXTAFTER(Sheet1!E203, " to ")</f>
        <v>Pineland Tr.</v>
      </c>
      <c r="F209" s="1075">
        <f>Sheet1!AM203</f>
        <v>2</v>
      </c>
      <c r="G209" s="1075"/>
      <c r="H209" s="1083" t="str">
        <f>Sheet1!AE203</f>
        <v>E</v>
      </c>
      <c r="I209" s="1075"/>
      <c r="J209" s="1075" t="str">
        <f>Sheet1!Q203</f>
        <v>UA_UFH_2W_2L_U_0L</v>
      </c>
      <c r="K209" s="1075"/>
      <c r="L209" s="1075">
        <f>Sheet1!AF203</f>
        <v>24450</v>
      </c>
      <c r="M209" s="1075"/>
      <c r="N209" s="1075"/>
      <c r="O209" s="1075"/>
      <c r="P209" s="1075">
        <f>Sheet1!AK203</f>
        <v>2200</v>
      </c>
      <c r="Q209" s="1075"/>
      <c r="R209" s="1075">
        <f>Sheet1!AD203</f>
        <v>7030</v>
      </c>
      <c r="S209" s="1081">
        <f>Sheet1!AG203</f>
        <v>0.28752556237218813</v>
      </c>
      <c r="T209" s="1075" t="str">
        <f>Sheet1!AH203</f>
        <v>B</v>
      </c>
      <c r="U209" s="1075">
        <f>Sheet1!AI203</f>
        <v>690</v>
      </c>
      <c r="V209" s="1075"/>
      <c r="W209" s="1075"/>
      <c r="X209" s="1075">
        <f>Sheet1!AJ203</f>
        <v>650</v>
      </c>
      <c r="Y209" s="1075"/>
      <c r="Z209" s="1075"/>
      <c r="AA209" s="1075"/>
      <c r="AB209" s="1075"/>
      <c r="AC209" s="1075"/>
      <c r="AD209" s="1075"/>
      <c r="AE209" s="1075"/>
      <c r="AF209" s="1075"/>
      <c r="AG209" s="1075"/>
      <c r="AH209" s="1075"/>
      <c r="AI209" s="1075"/>
      <c r="AJ209" s="1075"/>
      <c r="AK209" s="1075" t="str">
        <f>IF(Sheet1!AE206="C",Sheet1!AK206,"-")</f>
        <v>-</v>
      </c>
      <c r="AL209" s="1075" t="str">
        <f>IF(Sheet1!AE206="D",Sheet1!AK206,"-")</f>
        <v>-</v>
      </c>
      <c r="AM209" s="1075">
        <f>IF(Sheet1!AE203="E",Sheet1!AK203,"-")</f>
        <v>2200</v>
      </c>
    </row>
    <row r="210" spans="2:39" x14ac:dyDescent="0.25">
      <c r="B210" s="1082">
        <f>Sheet1!F204</f>
        <v>62</v>
      </c>
      <c r="C210" s="1075" t="str">
        <f>Sheet1!C204</f>
        <v>Airport Rd. (OB)</v>
      </c>
      <c r="D210" s="1075" t="str">
        <f>_xlfn.TEXTBEFORE(Sheet1!E204, " to ")</f>
        <v>Pineland Tr.</v>
      </c>
      <c r="E210" s="1075" t="str">
        <f>_xlfn.TEXTAFTER(Sheet1!E204, " to ")</f>
        <v>Sunshine Blvd.</v>
      </c>
      <c r="F210" s="1075">
        <f>Sheet1!AM204</f>
        <v>2</v>
      </c>
      <c r="G210" s="1075"/>
      <c r="H210" s="1083" t="str">
        <f>Sheet1!AE204</f>
        <v>E</v>
      </c>
      <c r="I210" s="1075"/>
      <c r="J210" s="1075" t="str">
        <f>Sheet1!Q204</f>
        <v>UA_UFH_2W_2L_U_0L</v>
      </c>
      <c r="K210" s="1075"/>
      <c r="L210" s="1075">
        <f>Sheet1!AF204</f>
        <v>24450</v>
      </c>
      <c r="M210" s="1075"/>
      <c r="N210" s="1075"/>
      <c r="O210" s="1075"/>
      <c r="P210" s="1075">
        <f>Sheet1!AK204</f>
        <v>2200</v>
      </c>
      <c r="Q210" s="1075"/>
      <c r="R210" s="1075">
        <f>Sheet1!AD204</f>
        <v>5610</v>
      </c>
      <c r="S210" s="1081">
        <f>Sheet1!AG204</f>
        <v>0.2294478527607362</v>
      </c>
      <c r="T210" s="1075" t="str">
        <f>Sheet1!AH204</f>
        <v>B</v>
      </c>
      <c r="U210" s="1075">
        <f>Sheet1!AI204</f>
        <v>680</v>
      </c>
      <c r="V210" s="1075"/>
      <c r="W210" s="1075"/>
      <c r="X210" s="1075">
        <f>Sheet1!AJ204</f>
        <v>520</v>
      </c>
      <c r="Y210" s="1075"/>
      <c r="Z210" s="1075"/>
      <c r="AA210" s="1075"/>
      <c r="AB210" s="1075"/>
      <c r="AC210" s="1075"/>
      <c r="AD210" s="1075"/>
      <c r="AE210" s="1075"/>
      <c r="AF210" s="1075"/>
      <c r="AG210" s="1075"/>
      <c r="AH210" s="1075"/>
      <c r="AI210" s="1075"/>
      <c r="AJ210" s="1075"/>
      <c r="AK210" s="1075" t="str">
        <f>IF(Sheet1!AE207="C",Sheet1!AK207,"-")</f>
        <v>-</v>
      </c>
      <c r="AL210" s="1075" t="str">
        <f>IF(Sheet1!AE207="D",Sheet1!AK207,"-")</f>
        <v>-</v>
      </c>
      <c r="AM210" s="1075">
        <f>IF(Sheet1!AE204="E",Sheet1!AK204,"-")</f>
        <v>2200</v>
      </c>
    </row>
    <row r="211" spans="2:39" x14ac:dyDescent="0.25">
      <c r="B211" s="1082">
        <f>Sheet1!F205</f>
        <v>63</v>
      </c>
      <c r="C211" s="1075" t="str">
        <f>Sheet1!C205</f>
        <v>Airport Rd. (OB)</v>
      </c>
      <c r="D211" s="1075" t="str">
        <f>_xlfn.TEXTBEFORE(Sheet1!E205, " to ")</f>
        <v>Sunshine Blvd.</v>
      </c>
      <c r="E211" s="1075" t="str">
        <f>_xlfn.TEXTAFTER(Sheet1!E205, " to ")</f>
        <v>US 1</v>
      </c>
      <c r="F211" s="1075">
        <f>Sheet1!AM205</f>
        <v>2</v>
      </c>
      <c r="G211" s="1075"/>
      <c r="H211" s="1083" t="str">
        <f>Sheet1!AE205</f>
        <v>E</v>
      </c>
      <c r="I211" s="1075"/>
      <c r="J211" s="1075" t="str">
        <f>Sheet1!Q205</f>
        <v>UA_UFH_2W_2L_U_0L</v>
      </c>
      <c r="K211" s="1075"/>
      <c r="L211" s="1075">
        <f>Sheet1!AF205</f>
        <v>24450</v>
      </c>
      <c r="M211" s="1075"/>
      <c r="N211" s="1075"/>
      <c r="O211" s="1075"/>
      <c r="P211" s="1075">
        <f>Sheet1!AK205</f>
        <v>2200</v>
      </c>
      <c r="Q211" s="1075"/>
      <c r="R211" s="1075">
        <f>Sheet1!AD205</f>
        <v>8330</v>
      </c>
      <c r="S211" s="1081">
        <f>Sheet1!AG205</f>
        <v>0.34069529652351738</v>
      </c>
      <c r="T211" s="1075" t="str">
        <f>Sheet1!AH205</f>
        <v>B</v>
      </c>
      <c r="U211" s="1075">
        <f>Sheet1!AI205</f>
        <v>800</v>
      </c>
      <c r="V211" s="1075"/>
      <c r="W211" s="1075"/>
      <c r="X211" s="1075">
        <f>Sheet1!AJ205</f>
        <v>730</v>
      </c>
      <c r="Y211" s="1075"/>
      <c r="Z211" s="1075"/>
      <c r="AA211" s="1075"/>
      <c r="AB211" s="1075"/>
      <c r="AC211" s="1075"/>
      <c r="AD211" s="1075"/>
      <c r="AE211" s="1075"/>
      <c r="AF211" s="1075"/>
      <c r="AG211" s="1075"/>
      <c r="AH211" s="1075"/>
      <c r="AI211" s="1075"/>
      <c r="AJ211" s="1075"/>
      <c r="AK211" s="1075" t="str">
        <f>IF(Sheet1!AE208="C",Sheet1!AK208,"-")</f>
        <v>-</v>
      </c>
      <c r="AL211" s="1075" t="str">
        <f>IF(Sheet1!AE208="D",Sheet1!AK208,"-")</f>
        <v>-</v>
      </c>
      <c r="AM211" s="1075">
        <f>IF(Sheet1!AE205="E",Sheet1!AK205,"-")</f>
        <v>2200</v>
      </c>
    </row>
    <row r="212" spans="2:39" x14ac:dyDescent="0.25">
      <c r="B212" s="1082">
        <f>Sheet1!F206</f>
        <v>64</v>
      </c>
      <c r="C212" s="1075" t="str">
        <f>Sheet1!C206</f>
        <v>Airport Rd. (PO)</v>
      </c>
      <c r="D212" s="1075" t="str">
        <f>_xlfn.TEXTBEFORE(Sheet1!E206, " to ")</f>
        <v>Williamson Blvd</v>
      </c>
      <c r="E212" s="1075" t="str">
        <f>_xlfn.TEXTAFTER(Sheet1!E206, " to ")</f>
        <v>Pioneer Tr.</v>
      </c>
      <c r="F212" s="1075">
        <f>Sheet1!AM206</f>
        <v>2</v>
      </c>
      <c r="G212" s="1075"/>
      <c r="H212" s="1083" t="str">
        <f>Sheet1!AE206</f>
        <v>E</v>
      </c>
      <c r="I212" s="1075"/>
      <c r="J212" s="1075" t="str">
        <f>Sheet1!Q206</f>
        <v>UA_UFH_2W_2L_U_WL</v>
      </c>
      <c r="K212" s="1075"/>
      <c r="L212" s="1075">
        <f>Sheet1!AF206</f>
        <v>32600</v>
      </c>
      <c r="M212" s="1075"/>
      <c r="N212" s="1075"/>
      <c r="O212" s="1075"/>
      <c r="P212" s="1075">
        <f>Sheet1!AK206</f>
        <v>2930</v>
      </c>
      <c r="Q212" s="1075"/>
      <c r="R212" s="1075">
        <f>Sheet1!AD206</f>
        <v>7310</v>
      </c>
      <c r="S212" s="1081">
        <f>Sheet1!AG206</f>
        <v>0.22423312883435584</v>
      </c>
      <c r="T212" s="1075" t="str">
        <f>Sheet1!AH206</f>
        <v>B</v>
      </c>
      <c r="U212" s="1075">
        <f>Sheet1!AI206</f>
        <v>510</v>
      </c>
      <c r="V212" s="1075"/>
      <c r="W212" s="1075"/>
      <c r="X212" s="1075">
        <f>Sheet1!AJ206</f>
        <v>620</v>
      </c>
      <c r="Y212" s="1075"/>
      <c r="Z212" s="1075"/>
      <c r="AA212" s="1075"/>
      <c r="AB212" s="1075"/>
      <c r="AC212" s="1075"/>
      <c r="AD212" s="1075"/>
      <c r="AE212" s="1075"/>
      <c r="AF212" s="1075"/>
      <c r="AG212" s="1075"/>
      <c r="AH212" s="1075"/>
      <c r="AI212" s="1075"/>
      <c r="AJ212" s="1075"/>
      <c r="AK212" s="1075" t="str">
        <f>IF(Sheet1!AE209="C",Sheet1!AK209,"-")</f>
        <v>-</v>
      </c>
      <c r="AL212" s="1075" t="str">
        <f>IF(Sheet1!AE209="D",Sheet1!AK209,"-")</f>
        <v>-</v>
      </c>
      <c r="AM212" s="1075">
        <f>IF(Sheet1!AE206="E",Sheet1!AK206,"-")</f>
        <v>2930</v>
      </c>
    </row>
    <row r="213" spans="2:39" x14ac:dyDescent="0.25">
      <c r="B213" s="1082">
        <f>Sheet1!F207</f>
        <v>67</v>
      </c>
      <c r="C213" s="1075" t="str">
        <f>Sheet1!C207</f>
        <v>Airport Rd. (NSB)</v>
      </c>
      <c r="D213" s="1075" t="str">
        <f>_xlfn.TEXTBEFORE(Sheet1!E207, " to ")</f>
        <v>Pioneer Tr.</v>
      </c>
      <c r="E213" s="1075" t="str">
        <f>_xlfn.TEXTAFTER(Sheet1!E207, " to ")</f>
        <v>Luna Bella Ln</v>
      </c>
      <c r="F213" s="1075">
        <f>Sheet1!AM207</f>
        <v>2</v>
      </c>
      <c r="G213" s="1075"/>
      <c r="H213" s="1083" t="str">
        <f>Sheet1!AE207</f>
        <v>E</v>
      </c>
      <c r="I213" s="1075"/>
      <c r="J213" s="1075" t="str">
        <f>Sheet1!Q207</f>
        <v>UA_UFH_2W_2L_D_WL</v>
      </c>
      <c r="K213" s="1075"/>
      <c r="L213" s="1075">
        <f>Sheet1!AF207</f>
        <v>34230</v>
      </c>
      <c r="M213" s="1075"/>
      <c r="N213" s="1075"/>
      <c r="O213" s="1075"/>
      <c r="P213" s="1075">
        <f>Sheet1!AK207</f>
        <v>3080</v>
      </c>
      <c r="Q213" s="1075"/>
      <c r="R213" s="1075">
        <f>Sheet1!AD207</f>
        <v>4970</v>
      </c>
      <c r="S213" s="1081">
        <f>Sheet1!AG207</f>
        <v>0.14519427402862986</v>
      </c>
      <c r="T213" s="1075" t="str">
        <f>Sheet1!AH207</f>
        <v>B</v>
      </c>
      <c r="U213" s="1075">
        <f>Sheet1!AI207</f>
        <v>310</v>
      </c>
      <c r="V213" s="1075"/>
      <c r="W213" s="1075"/>
      <c r="X213" s="1075">
        <f>Sheet1!AJ207</f>
        <v>410</v>
      </c>
      <c r="Y213" s="1075"/>
      <c r="Z213" s="1075"/>
      <c r="AA213" s="1075"/>
      <c r="AB213" s="1075"/>
      <c r="AC213" s="1075"/>
      <c r="AD213" s="1075"/>
      <c r="AE213" s="1075"/>
      <c r="AF213" s="1075"/>
      <c r="AG213" s="1075"/>
      <c r="AH213" s="1075"/>
      <c r="AI213" s="1075"/>
      <c r="AJ213" s="1075"/>
      <c r="AK213" s="1075" t="str">
        <f>IF(Sheet1!AE210="C",Sheet1!AK210,"-")</f>
        <v>-</v>
      </c>
      <c r="AL213" s="1075" t="str">
        <f>IF(Sheet1!AE210="D",Sheet1!AK210,"-")</f>
        <v>-</v>
      </c>
      <c r="AM213" s="1075">
        <f>IF(Sheet1!AE207="E",Sheet1!AK207,"-")</f>
        <v>3080</v>
      </c>
    </row>
    <row r="214" spans="2:39" x14ac:dyDescent="0.25">
      <c r="B214" s="1082">
        <f>Sheet1!F208</f>
        <v>68</v>
      </c>
      <c r="C214" s="1075" t="str">
        <f>Sheet1!C208</f>
        <v>Airport Rd. (NSB)</v>
      </c>
      <c r="D214" s="1075" t="str">
        <f>_xlfn.TEXTBEFORE(Sheet1!E208, " to ")</f>
        <v>Luna Bella Ln</v>
      </c>
      <c r="E214" s="1075" t="str">
        <f>_xlfn.TEXTAFTER(Sheet1!E208, " to ")</f>
        <v>SR 44</v>
      </c>
      <c r="F214" s="1075">
        <f>Sheet1!AM208</f>
        <v>2</v>
      </c>
      <c r="G214" s="1075"/>
      <c r="H214" s="1083" t="str">
        <f>Sheet1!AE208</f>
        <v>E</v>
      </c>
      <c r="I214" s="1075"/>
      <c r="J214" s="1075" t="str">
        <f>Sheet1!Q208</f>
        <v>UA_UFH_2W_2L_D_WL</v>
      </c>
      <c r="K214" s="1075"/>
      <c r="L214" s="1075">
        <f>Sheet1!AF208</f>
        <v>34230</v>
      </c>
      <c r="M214" s="1075"/>
      <c r="N214" s="1075"/>
      <c r="O214" s="1075"/>
      <c r="P214" s="1075">
        <f>Sheet1!AK208</f>
        <v>3080</v>
      </c>
      <c r="Q214" s="1075"/>
      <c r="R214" s="1075">
        <f>Sheet1!AD208</f>
        <v>6790</v>
      </c>
      <c r="S214" s="1081">
        <f>Sheet1!AG208</f>
        <v>0.19836400817995911</v>
      </c>
      <c r="T214" s="1075" t="str">
        <f>Sheet1!AH208</f>
        <v>B</v>
      </c>
      <c r="U214" s="1075">
        <f>Sheet1!AI208</f>
        <v>480</v>
      </c>
      <c r="V214" s="1075"/>
      <c r="W214" s="1075"/>
      <c r="X214" s="1075">
        <f>Sheet1!AJ208</f>
        <v>530</v>
      </c>
      <c r="Y214" s="1075"/>
      <c r="Z214" s="1075"/>
      <c r="AA214" s="1075"/>
      <c r="AB214" s="1075"/>
      <c r="AC214" s="1075"/>
      <c r="AD214" s="1075"/>
      <c r="AE214" s="1075"/>
      <c r="AF214" s="1075"/>
      <c r="AG214" s="1075"/>
      <c r="AH214" s="1075"/>
      <c r="AI214" s="1075"/>
      <c r="AJ214" s="1075"/>
      <c r="AK214" s="1075" t="str">
        <f>IF(Sheet1!AE211="C",Sheet1!AK211,"-")</f>
        <v>-</v>
      </c>
      <c r="AL214" s="1075" t="str">
        <f>IF(Sheet1!AE211="D",Sheet1!AK211,"-")</f>
        <v>-</v>
      </c>
      <c r="AM214" s="1075">
        <f>IF(Sheet1!AE208="E",Sheet1!AK208,"-")</f>
        <v>3080</v>
      </c>
    </row>
    <row r="215" spans="2:39" x14ac:dyDescent="0.25">
      <c r="B215" s="1082">
        <f>Sheet1!F209</f>
        <v>73</v>
      </c>
      <c r="C215" s="1075" t="str">
        <f>Sheet1!C209</f>
        <v>Amelia Ave.</v>
      </c>
      <c r="D215" s="1075" t="str">
        <f>_xlfn.TEXTBEFORE(Sheet1!E209, " to ")</f>
        <v>SR 44</v>
      </c>
      <c r="E215" s="1075" t="str">
        <f>_xlfn.TEXTAFTER(Sheet1!E209, " to ")</f>
        <v xml:space="preserve">Ohio Ave. </v>
      </c>
      <c r="F215" s="1075">
        <f>Sheet1!AM209</f>
        <v>4</v>
      </c>
      <c r="G215" s="1075"/>
      <c r="H215" s="1083" t="str">
        <f>Sheet1!AE209</f>
        <v>E</v>
      </c>
      <c r="I215" s="1075"/>
      <c r="J215" s="1075" t="str">
        <f>Sheet1!Q209</f>
        <v>UA_NSSRC2_2W_4L_U_0L</v>
      </c>
      <c r="K215" s="1075"/>
      <c r="L215" s="1075">
        <f>Sheet1!AF209</f>
        <v>22820</v>
      </c>
      <c r="M215" s="1075"/>
      <c r="N215" s="1075"/>
      <c r="O215" s="1075"/>
      <c r="P215" s="1075">
        <f>Sheet1!AK209</f>
        <v>2060</v>
      </c>
      <c r="Q215" s="1075"/>
      <c r="R215" s="1075">
        <f>Sheet1!AD209</f>
        <v>8320</v>
      </c>
      <c r="S215" s="1081">
        <f>Sheet1!AG209</f>
        <v>0.36459246275197194</v>
      </c>
      <c r="T215" s="1075" t="str">
        <f>Sheet1!AH209</f>
        <v>C</v>
      </c>
      <c r="U215" s="1075">
        <f>Sheet1!AI209</f>
        <v>500</v>
      </c>
      <c r="V215" s="1075"/>
      <c r="W215" s="1075"/>
      <c r="X215" s="1075">
        <f>Sheet1!AJ209</f>
        <v>740</v>
      </c>
      <c r="Y215" s="1075"/>
      <c r="Z215" s="1075"/>
      <c r="AA215" s="1075"/>
      <c r="AB215" s="1075"/>
      <c r="AC215" s="1075"/>
      <c r="AD215" s="1075"/>
      <c r="AE215" s="1075"/>
      <c r="AF215" s="1075"/>
      <c r="AG215" s="1075"/>
      <c r="AH215" s="1075"/>
      <c r="AI215" s="1075"/>
      <c r="AJ215" s="1075"/>
      <c r="AK215" s="1075" t="str">
        <f>IF(Sheet1!AE212="C",Sheet1!AK212,"-")</f>
        <v>-</v>
      </c>
      <c r="AL215" s="1075" t="str">
        <f>IF(Sheet1!AE212="D",Sheet1!AK212,"-")</f>
        <v>-</v>
      </c>
      <c r="AM215" s="1075">
        <f>IF(Sheet1!AE209="E",Sheet1!AK209,"-")</f>
        <v>2060</v>
      </c>
    </row>
    <row r="216" spans="2:39" x14ac:dyDescent="0.25">
      <c r="B216" s="1082">
        <f>Sheet1!F210</f>
        <v>74</v>
      </c>
      <c r="C216" s="1075" t="str">
        <f>Sheet1!C210</f>
        <v>Amelia Ave.</v>
      </c>
      <c r="D216" s="1075" t="str">
        <f>_xlfn.TEXTBEFORE(Sheet1!E210, " to ")</f>
        <v>Ohio Ave.</v>
      </c>
      <c r="E216" s="1075" t="str">
        <f>_xlfn.TEXTAFTER(Sheet1!E210, " to ")</f>
        <v>Minnesota Ave.</v>
      </c>
      <c r="F216" s="1075">
        <f>Sheet1!AM210</f>
        <v>2</v>
      </c>
      <c r="G216" s="1075"/>
      <c r="H216" s="1083" t="str">
        <f>Sheet1!AE210</f>
        <v>E</v>
      </c>
      <c r="I216" s="1075"/>
      <c r="J216" s="1075" t="str">
        <f>Sheet1!Q210</f>
        <v>UA_NSSRC2_2W_2L_U_0L</v>
      </c>
      <c r="K216" s="1075"/>
      <c r="L216" s="1075">
        <f>Sheet1!AF210</f>
        <v>13640</v>
      </c>
      <c r="M216" s="1075"/>
      <c r="N216" s="1075"/>
      <c r="O216" s="1075"/>
      <c r="P216" s="1075">
        <f>Sheet1!AK210</f>
        <v>1020</v>
      </c>
      <c r="Q216" s="1075"/>
      <c r="R216" s="1075">
        <f>Sheet1!AD210</f>
        <v>9470</v>
      </c>
      <c r="S216" s="1081">
        <f>Sheet1!AG210</f>
        <v>0.69428152492668627</v>
      </c>
      <c r="T216" s="1075" t="str">
        <f>Sheet1!AH210</f>
        <v>D</v>
      </c>
      <c r="U216" s="1075">
        <f>Sheet1!AI210</f>
        <v>530</v>
      </c>
      <c r="V216" s="1075"/>
      <c r="W216" s="1075"/>
      <c r="X216" s="1075">
        <f>Sheet1!AJ210</f>
        <v>730</v>
      </c>
      <c r="Y216" s="1075"/>
      <c r="Z216" s="1075"/>
      <c r="AA216" s="1075"/>
      <c r="AB216" s="1075"/>
      <c r="AC216" s="1075"/>
      <c r="AD216" s="1075"/>
      <c r="AE216" s="1075"/>
      <c r="AF216" s="1075"/>
      <c r="AG216" s="1075"/>
      <c r="AH216" s="1075"/>
      <c r="AI216" s="1075"/>
      <c r="AJ216" s="1075"/>
      <c r="AK216" s="1075">
        <f>IF(Sheet1!AE213="C",Sheet1!AK213,"-")</f>
        <v>620</v>
      </c>
      <c r="AL216" s="1075" t="str">
        <f>IF(Sheet1!AE213="D",Sheet1!AK213,"-")</f>
        <v>-</v>
      </c>
      <c r="AM216" s="1075">
        <f>IF(Sheet1!AE210="E",Sheet1!AK210,"-")</f>
        <v>1020</v>
      </c>
    </row>
    <row r="217" spans="2:39" x14ac:dyDescent="0.25">
      <c r="B217" s="1082">
        <f>Sheet1!F211</f>
        <v>75</v>
      </c>
      <c r="C217" s="1075" t="str">
        <f>Sheet1!C211</f>
        <v>Amelia Ave.</v>
      </c>
      <c r="D217" s="1075" t="str">
        <f>_xlfn.TEXTBEFORE(Sheet1!E211, " to ")</f>
        <v>Minnesota Ave.</v>
      </c>
      <c r="E217" s="1075" t="str">
        <f>_xlfn.TEXTAFTER(Sheet1!E211, " to ")</f>
        <v>Plymouth Ave.</v>
      </c>
      <c r="F217" s="1075">
        <f>Sheet1!AM211</f>
        <v>2</v>
      </c>
      <c r="G217" s="1075"/>
      <c r="H217" s="1083" t="str">
        <f>Sheet1!AE211</f>
        <v>E</v>
      </c>
      <c r="I217" s="1075"/>
      <c r="J217" s="1075" t="str">
        <f>Sheet1!Q211</f>
        <v>UA_NSSRC2_2W_2L_U_WL</v>
      </c>
      <c r="K217" s="1075"/>
      <c r="L217" s="1075">
        <f>Sheet1!AF211</f>
        <v>14040</v>
      </c>
      <c r="M217" s="1075"/>
      <c r="N217" s="1075"/>
      <c r="O217" s="1075"/>
      <c r="P217" s="1075">
        <f>Sheet1!AK211</f>
        <v>1270</v>
      </c>
      <c r="Q217" s="1075"/>
      <c r="R217" s="1075">
        <f>Sheet1!AD211</f>
        <v>9850</v>
      </c>
      <c r="S217" s="1081">
        <f>Sheet1!AG211</f>
        <v>0.70156695156695159</v>
      </c>
      <c r="T217" s="1075" t="str">
        <f>Sheet1!AH211</f>
        <v>D</v>
      </c>
      <c r="U217" s="1075">
        <f>Sheet1!AI211</f>
        <v>550</v>
      </c>
      <c r="V217" s="1075"/>
      <c r="W217" s="1075"/>
      <c r="X217" s="1075">
        <f>Sheet1!AJ211</f>
        <v>800</v>
      </c>
      <c r="Y217" s="1075"/>
      <c r="Z217" s="1075"/>
      <c r="AA217" s="1075"/>
      <c r="AB217" s="1075"/>
      <c r="AC217" s="1075"/>
      <c r="AD217" s="1075"/>
      <c r="AE217" s="1075"/>
      <c r="AF217" s="1075"/>
      <c r="AG217" s="1075"/>
      <c r="AH217" s="1075"/>
      <c r="AI217" s="1075"/>
      <c r="AJ217" s="1075"/>
      <c r="AK217" s="1075">
        <f>IF(Sheet1!AE214="C",Sheet1!AK214,"-")</f>
        <v>620</v>
      </c>
      <c r="AL217" s="1075" t="str">
        <f>IF(Sheet1!AE214="D",Sheet1!AK214,"-")</f>
        <v>-</v>
      </c>
      <c r="AM217" s="1075">
        <f>IF(Sheet1!AE211="E",Sheet1!AK211,"-")</f>
        <v>1270</v>
      </c>
    </row>
    <row r="218" spans="2:39" x14ac:dyDescent="0.25">
      <c r="B218" s="1082">
        <f>Sheet1!F212</f>
        <v>77</v>
      </c>
      <c r="C218" s="1075" t="str">
        <f>Sheet1!C212</f>
        <v>Amelia Ave.</v>
      </c>
      <c r="D218" s="1075" t="str">
        <f>_xlfn.TEXTBEFORE(Sheet1!E212, " to ")</f>
        <v>Plymouth Ave.</v>
      </c>
      <c r="E218" s="1075" t="str">
        <f>_xlfn.TEXTAFTER(Sheet1!E212, " to ")</f>
        <v>US 92</v>
      </c>
      <c r="F218" s="1075">
        <f>Sheet1!AM212</f>
        <v>2</v>
      </c>
      <c r="G218" s="1075"/>
      <c r="H218" s="1083" t="str">
        <f>Sheet1!AE212</f>
        <v>E</v>
      </c>
      <c r="I218" s="1075"/>
      <c r="J218" s="1075" t="str">
        <f>Sheet1!Q212</f>
        <v>UA_NSSRC2_2W_2L_U_WL</v>
      </c>
      <c r="K218" s="1075"/>
      <c r="L218" s="1075">
        <f>Sheet1!AF212</f>
        <v>14040</v>
      </c>
      <c r="M218" s="1075"/>
      <c r="N218" s="1075"/>
      <c r="O218" s="1075"/>
      <c r="P218" s="1075">
        <f>Sheet1!AK212</f>
        <v>1270</v>
      </c>
      <c r="Q218" s="1075"/>
      <c r="R218" s="1075">
        <f>Sheet1!AD212</f>
        <v>5590</v>
      </c>
      <c r="S218" s="1081">
        <f>Sheet1!AG212</f>
        <v>0.39814814814814814</v>
      </c>
      <c r="T218" s="1075" t="str">
        <f>Sheet1!AH212</f>
        <v>C</v>
      </c>
      <c r="U218" s="1075">
        <f>Sheet1!AI212</f>
        <v>290</v>
      </c>
      <c r="V218" s="1075"/>
      <c r="W218" s="1075"/>
      <c r="X218" s="1075">
        <f>Sheet1!AJ212</f>
        <v>510</v>
      </c>
      <c r="Y218" s="1075"/>
      <c r="Z218" s="1075"/>
      <c r="AA218" s="1075"/>
      <c r="AB218" s="1075"/>
      <c r="AC218" s="1075"/>
      <c r="AD218" s="1075"/>
      <c r="AE218" s="1075"/>
      <c r="AF218" s="1075"/>
      <c r="AG218" s="1075"/>
      <c r="AH218" s="1075"/>
      <c r="AI218" s="1075"/>
      <c r="AJ218" s="1075"/>
      <c r="AK218" s="1075">
        <f>IF(Sheet1!AE215="C",Sheet1!AK215,"-")</f>
        <v>620</v>
      </c>
      <c r="AL218" s="1075" t="str">
        <f>IF(Sheet1!AE215="D",Sheet1!AK215,"-")</f>
        <v>-</v>
      </c>
      <c r="AM218" s="1075">
        <f>IF(Sheet1!AE212="E",Sheet1!AK212,"-")</f>
        <v>1270</v>
      </c>
    </row>
    <row r="219" spans="2:39" x14ac:dyDescent="0.25">
      <c r="B219" s="1082">
        <f>Sheet1!F213</f>
        <v>91</v>
      </c>
      <c r="C219" s="1075" t="str">
        <f>Sheet1!C213</f>
        <v>Ariel Rd.</v>
      </c>
      <c r="D219" s="1075" t="str">
        <f>_xlfn.TEXTBEFORE(Sheet1!E213, " to ")</f>
        <v>Beacon Light Rd.</v>
      </c>
      <c r="E219" s="1075" t="str">
        <f>_xlfn.TEXTAFTER(Sheet1!E213, " to ")</f>
        <v>US 1</v>
      </c>
      <c r="F219" s="1075">
        <f>Sheet1!AM213</f>
        <v>2</v>
      </c>
      <c r="G219" s="1075"/>
      <c r="H219" s="1083" t="str">
        <f>Sheet1!AE213</f>
        <v>C</v>
      </c>
      <c r="I219" s="1075"/>
      <c r="J219" s="1075" t="str">
        <f>Sheet1!Q213</f>
        <v>RUA_UFH_2W_2L_U_0L</v>
      </c>
      <c r="K219" s="1075"/>
      <c r="L219" s="1075">
        <f>Sheet1!AF213</f>
        <v>6450</v>
      </c>
      <c r="M219" s="1075"/>
      <c r="N219" s="1075"/>
      <c r="O219" s="1075"/>
      <c r="P219" s="1075">
        <f>Sheet1!AK213</f>
        <v>620</v>
      </c>
      <c r="Q219" s="1075"/>
      <c r="R219" s="1075">
        <f>Sheet1!AD213</f>
        <v>650</v>
      </c>
      <c r="S219" s="1081">
        <f>Sheet1!AG213</f>
        <v>0.10077519379844961</v>
      </c>
      <c r="T219" s="1075" t="str">
        <f>Sheet1!AH213</f>
        <v>B</v>
      </c>
      <c r="U219" s="1075">
        <f>Sheet1!AI213</f>
        <v>50</v>
      </c>
      <c r="V219" s="1075"/>
      <c r="W219" s="1075"/>
      <c r="X219" s="1075">
        <f>Sheet1!AJ213</f>
        <v>60</v>
      </c>
      <c r="Y219" s="1075"/>
      <c r="Z219" s="1075"/>
      <c r="AA219" s="1075"/>
      <c r="AB219" s="1075"/>
      <c r="AC219" s="1075"/>
      <c r="AD219" s="1075"/>
      <c r="AE219" s="1075"/>
      <c r="AF219" s="1075"/>
      <c r="AG219" s="1075"/>
      <c r="AH219" s="1075"/>
      <c r="AI219" s="1075"/>
      <c r="AJ219" s="1075"/>
      <c r="AK219" s="1075" t="str">
        <f>IF(Sheet1!AE216="C",Sheet1!AK216,"-")</f>
        <v>-</v>
      </c>
      <c r="AL219" s="1075" t="str">
        <f>IF(Sheet1!AE216="D",Sheet1!AK216,"-")</f>
        <v>-</v>
      </c>
      <c r="AM219" s="1075" t="str">
        <f>IF(Sheet1!AE213="E",Sheet1!AK213,"-")</f>
        <v>-</v>
      </c>
    </row>
    <row r="220" spans="2:39" x14ac:dyDescent="0.25">
      <c r="B220" s="1082">
        <f>Sheet1!F214</f>
        <v>100</v>
      </c>
      <c r="C220" s="1075" t="str">
        <f>Sheet1!C214</f>
        <v>Arredondo Grant Rd.</v>
      </c>
      <c r="D220" s="1075" t="str">
        <f>_xlfn.TEXTBEFORE(Sheet1!E214, " to ")</f>
        <v>Spring Garden Ranch Rd.</v>
      </c>
      <c r="E220" s="1075" t="str">
        <f>_xlfn.TEXTAFTER(Sheet1!E214, " to ")</f>
        <v>James St.</v>
      </c>
      <c r="F220" s="1075">
        <f>Sheet1!AM214</f>
        <v>2</v>
      </c>
      <c r="G220" s="1075"/>
      <c r="H220" s="1083" t="str">
        <f>Sheet1!AE214</f>
        <v>C</v>
      </c>
      <c r="I220" s="1075"/>
      <c r="J220" s="1075" t="str">
        <f>Sheet1!Q214</f>
        <v>RUA_UFH_2W_2L_U_0L</v>
      </c>
      <c r="K220" s="1075"/>
      <c r="L220" s="1075">
        <f>Sheet1!AF214</f>
        <v>6450</v>
      </c>
      <c r="M220" s="1075"/>
      <c r="N220" s="1075"/>
      <c r="O220" s="1075"/>
      <c r="P220" s="1075">
        <f>Sheet1!AK214</f>
        <v>620</v>
      </c>
      <c r="Q220" s="1075"/>
      <c r="R220" s="1075">
        <f>Sheet1!AD214</f>
        <v>1280</v>
      </c>
      <c r="S220" s="1081">
        <f>Sheet1!AG214</f>
        <v>0.19844961240310077</v>
      </c>
      <c r="T220" s="1075" t="str">
        <f>Sheet1!AH214</f>
        <v>B</v>
      </c>
      <c r="U220" s="1075">
        <f>Sheet1!AI214</f>
        <v>120</v>
      </c>
      <c r="V220" s="1075"/>
      <c r="W220" s="1075"/>
      <c r="X220" s="1075">
        <f>Sheet1!AJ214</f>
        <v>130</v>
      </c>
      <c r="Y220" s="1075"/>
      <c r="Z220" s="1075"/>
      <c r="AA220" s="1075"/>
      <c r="AB220" s="1075"/>
      <c r="AC220" s="1075"/>
      <c r="AD220" s="1075"/>
      <c r="AE220" s="1075"/>
      <c r="AF220" s="1075"/>
      <c r="AG220" s="1075"/>
      <c r="AH220" s="1075"/>
      <c r="AI220" s="1075"/>
      <c r="AJ220" s="1075"/>
      <c r="AK220" s="1075" t="str">
        <f>IF(Sheet1!AE217="C",Sheet1!AK217,"-")</f>
        <v>-</v>
      </c>
      <c r="AL220" s="1075" t="str">
        <f>IF(Sheet1!AE217="D",Sheet1!AK217,"-")</f>
        <v>-</v>
      </c>
      <c r="AM220" s="1075" t="str">
        <f>IF(Sheet1!AE214="E",Sheet1!AK214,"-")</f>
        <v>-</v>
      </c>
    </row>
    <row r="221" spans="2:39" x14ac:dyDescent="0.25">
      <c r="B221" s="1082">
        <f>Sheet1!F215</f>
        <v>101</v>
      </c>
      <c r="C221" s="1075" t="str">
        <f>Sheet1!C215</f>
        <v>Arredondo Grant Rd.</v>
      </c>
      <c r="D221" s="1075" t="str">
        <f>_xlfn.TEXTBEFORE(Sheet1!E215, " to ")</f>
        <v>James St.</v>
      </c>
      <c r="E221" s="1075" t="str">
        <f>_xlfn.TEXTAFTER(Sheet1!E215, " to ")</f>
        <v>SR 11</v>
      </c>
      <c r="F221" s="1075">
        <f>Sheet1!AM215</f>
        <v>2</v>
      </c>
      <c r="G221" s="1075"/>
      <c r="H221" s="1083" t="str">
        <f>Sheet1!AE215</f>
        <v>C</v>
      </c>
      <c r="I221" s="1075"/>
      <c r="J221" s="1075" t="str">
        <f>Sheet1!Q215</f>
        <v>RUA_UFH_2W_2L_U_0L</v>
      </c>
      <c r="K221" s="1075"/>
      <c r="L221" s="1075">
        <f>Sheet1!AF215</f>
        <v>6450</v>
      </c>
      <c r="M221" s="1075"/>
      <c r="N221" s="1075"/>
      <c r="O221" s="1075"/>
      <c r="P221" s="1075">
        <f>Sheet1!AK215</f>
        <v>620</v>
      </c>
      <c r="Q221" s="1075"/>
      <c r="R221" s="1075">
        <f>Sheet1!AD215</f>
        <v>890</v>
      </c>
      <c r="S221" s="1081">
        <f>Sheet1!AG215</f>
        <v>0.13798449612403102</v>
      </c>
      <c r="T221" s="1075" t="str">
        <f>Sheet1!AH215</f>
        <v>B</v>
      </c>
      <c r="U221" s="1075">
        <f>Sheet1!AI215</f>
        <v>70</v>
      </c>
      <c r="V221" s="1075"/>
      <c r="W221" s="1075"/>
      <c r="X221" s="1075">
        <f>Sheet1!AJ215</f>
        <v>100</v>
      </c>
      <c r="Y221" s="1075"/>
      <c r="Z221" s="1075"/>
      <c r="AA221" s="1075"/>
      <c r="AB221" s="1075"/>
      <c r="AC221" s="1075"/>
      <c r="AD221" s="1075"/>
      <c r="AE221" s="1075"/>
      <c r="AF221" s="1075"/>
      <c r="AG221" s="1075"/>
      <c r="AH221" s="1075"/>
      <c r="AI221" s="1075"/>
      <c r="AJ221" s="1075"/>
      <c r="AK221" s="1075" t="str">
        <f>IF(Sheet1!AE218="C",Sheet1!AK218,"-")</f>
        <v>-</v>
      </c>
      <c r="AL221" s="1075" t="str">
        <f>IF(Sheet1!AE218="D",Sheet1!AK218,"-")</f>
        <v>-</v>
      </c>
      <c r="AM221" s="1075" t="str">
        <f>IF(Sheet1!AE215="E",Sheet1!AK215,"-")</f>
        <v>-</v>
      </c>
    </row>
    <row r="222" spans="2:39" x14ac:dyDescent="0.25">
      <c r="B222" s="1082">
        <f>Sheet1!F216</f>
        <v>110</v>
      </c>
      <c r="C222" s="1075" t="str">
        <f>Sheet1!C216</f>
        <v>Atlantic Ave. (PI)</v>
      </c>
      <c r="D222" s="1075" t="str">
        <f>_xlfn.TEXTBEFORE(Sheet1!E216, " to ")</f>
        <v>Beach St.</v>
      </c>
      <c r="E222" s="1075" t="str">
        <f>_xlfn.TEXTAFTER(Sheet1!E216, " to ")</f>
        <v>Major St</v>
      </c>
      <c r="F222" s="1075">
        <f>Sheet1!AM216</f>
        <v>2</v>
      </c>
      <c r="G222" s="1075"/>
      <c r="H222" s="1083" t="str">
        <f>Sheet1!AE216</f>
        <v>E</v>
      </c>
      <c r="I222" s="1075"/>
      <c r="J222" s="1075" t="str">
        <f>Sheet1!Q216</f>
        <v>UA_NSSRC2_2W_2L_U_0L</v>
      </c>
      <c r="K222" s="1075"/>
      <c r="L222" s="1075">
        <f>Sheet1!AF216</f>
        <v>13640</v>
      </c>
      <c r="M222" s="1075"/>
      <c r="N222" s="1075"/>
      <c r="O222" s="1075"/>
      <c r="P222" s="1075">
        <f>Sheet1!AK216</f>
        <v>1020</v>
      </c>
      <c r="Q222" s="1075"/>
      <c r="R222" s="1075">
        <f>Sheet1!AD216</f>
        <v>3950</v>
      </c>
      <c r="S222" s="1081">
        <f>Sheet1!AG216</f>
        <v>0.28958944281524929</v>
      </c>
      <c r="T222" s="1075" t="str">
        <f>Sheet1!AH216</f>
        <v>C</v>
      </c>
      <c r="U222" s="1075">
        <f>Sheet1!AI216</f>
        <v>210</v>
      </c>
      <c r="V222" s="1075"/>
      <c r="W222" s="1075"/>
      <c r="X222" s="1075">
        <f>Sheet1!AJ216</f>
        <v>360</v>
      </c>
      <c r="Y222" s="1075"/>
      <c r="Z222" s="1075"/>
      <c r="AA222" s="1075"/>
      <c r="AB222" s="1075"/>
      <c r="AC222" s="1075"/>
      <c r="AD222" s="1075"/>
      <c r="AE222" s="1075"/>
      <c r="AF222" s="1075"/>
      <c r="AG222" s="1075"/>
      <c r="AH222" s="1075"/>
      <c r="AI222" s="1075"/>
      <c r="AJ222" s="1075"/>
      <c r="AK222" s="1075" t="str">
        <f>IF(Sheet1!AE219="C",Sheet1!AK219,"-")</f>
        <v>-</v>
      </c>
      <c r="AL222" s="1075" t="str">
        <f>IF(Sheet1!AE219="D",Sheet1!AK219,"-")</f>
        <v>-</v>
      </c>
      <c r="AM222" s="1075">
        <f>IF(Sheet1!AE216="E",Sheet1!AK216,"-")</f>
        <v>1020</v>
      </c>
    </row>
    <row r="223" spans="2:39" x14ac:dyDescent="0.25">
      <c r="B223" s="1082">
        <f>Sheet1!F217</f>
        <v>111</v>
      </c>
      <c r="C223" s="1075" t="str">
        <f>Sheet1!C217</f>
        <v>Atlantic Ave. (DBS)</v>
      </c>
      <c r="D223" s="1075" t="str">
        <f>_xlfn.TEXTBEFORE(Sheet1!E217, " to ")</f>
        <v>Major St</v>
      </c>
      <c r="E223" s="1075" t="str">
        <f>_xlfn.TEXTAFTER(Sheet1!E217, " to ")</f>
        <v>Marcelle Ave.</v>
      </c>
      <c r="F223" s="1075">
        <f>Sheet1!AM217</f>
        <v>2</v>
      </c>
      <c r="G223" s="1075"/>
      <c r="H223" s="1083" t="str">
        <f>Sheet1!AE217</f>
        <v>E</v>
      </c>
      <c r="I223" s="1075"/>
      <c r="J223" s="1075" t="str">
        <f>Sheet1!Q217</f>
        <v>UA_NSSRC2_2W_2L_U_0L</v>
      </c>
      <c r="K223" s="1075"/>
      <c r="L223" s="1075">
        <f>Sheet1!AF217</f>
        <v>13640</v>
      </c>
      <c r="M223" s="1075"/>
      <c r="N223" s="1075"/>
      <c r="O223" s="1075"/>
      <c r="P223" s="1075">
        <f>Sheet1!AK217</f>
        <v>1020</v>
      </c>
      <c r="Q223" s="1075"/>
      <c r="R223" s="1075">
        <f>Sheet1!AD217</f>
        <v>10920</v>
      </c>
      <c r="S223" s="1081">
        <f>Sheet1!AG217</f>
        <v>0.80058651026392957</v>
      </c>
      <c r="T223" s="1075" t="str">
        <f>Sheet1!AH217</f>
        <v>D</v>
      </c>
      <c r="U223" s="1075">
        <f>Sheet1!AI217</f>
        <v>660</v>
      </c>
      <c r="V223" s="1075"/>
      <c r="W223" s="1075"/>
      <c r="X223" s="1075">
        <f>Sheet1!AJ217</f>
        <v>880</v>
      </c>
      <c r="Y223" s="1075"/>
      <c r="Z223" s="1075"/>
      <c r="AA223" s="1075"/>
      <c r="AB223" s="1075"/>
      <c r="AC223" s="1075"/>
      <c r="AD223" s="1075"/>
      <c r="AE223" s="1075"/>
      <c r="AF223" s="1075"/>
      <c r="AG223" s="1075"/>
      <c r="AH223" s="1075"/>
      <c r="AI223" s="1075"/>
      <c r="AJ223" s="1075"/>
      <c r="AK223" s="1075" t="str">
        <f>IF(Sheet1!AE220="C",Sheet1!AK220,"-")</f>
        <v>-</v>
      </c>
      <c r="AL223" s="1075" t="str">
        <f>IF(Sheet1!AE220="D",Sheet1!AK220,"-")</f>
        <v>-</v>
      </c>
      <c r="AM223" s="1075">
        <f>IF(Sheet1!AE217="E",Sheet1!AK217,"-")</f>
        <v>1020</v>
      </c>
    </row>
    <row r="224" spans="2:39" x14ac:dyDescent="0.25">
      <c r="B224" s="1082">
        <f>Sheet1!F218</f>
        <v>113</v>
      </c>
      <c r="C224" s="1075" t="str">
        <f>Sheet1!C218</f>
        <v>Atlantic Ave. (DBS)</v>
      </c>
      <c r="D224" s="1075" t="str">
        <f>_xlfn.TEXTBEFORE(Sheet1!E218, " to ")</f>
        <v>Marcelle Ave.</v>
      </c>
      <c r="E224" s="1075" t="str">
        <f>_xlfn.TEXTAFTER(Sheet1!E218, " to ")</f>
        <v xml:space="preserve">Phillis Ave. </v>
      </c>
      <c r="F224" s="1075">
        <f>Sheet1!AM218</f>
        <v>2</v>
      </c>
      <c r="G224" s="1075"/>
      <c r="H224" s="1083" t="str">
        <f>Sheet1!AE218</f>
        <v>E</v>
      </c>
      <c r="I224" s="1075"/>
      <c r="J224" s="1075" t="str">
        <f>Sheet1!Q218</f>
        <v>UA_NSSRC2_2W_2L_D_WL</v>
      </c>
      <c r="K224" s="1075"/>
      <c r="L224" s="1075">
        <f>Sheet1!AF218</f>
        <v>14740</v>
      </c>
      <c r="M224" s="1075"/>
      <c r="N224" s="1075"/>
      <c r="O224" s="1075"/>
      <c r="P224" s="1075">
        <f>Sheet1!AK218</f>
        <v>1330</v>
      </c>
      <c r="Q224" s="1075"/>
      <c r="R224" s="1075">
        <f>Sheet1!AD218</f>
        <v>12760</v>
      </c>
      <c r="S224" s="1081">
        <f>Sheet1!AG218</f>
        <v>0.86567164179104472</v>
      </c>
      <c r="T224" s="1075" t="str">
        <f>Sheet1!AH218</f>
        <v>D</v>
      </c>
      <c r="U224" s="1075">
        <f>Sheet1!AI218</f>
        <v>700</v>
      </c>
      <c r="V224" s="1075"/>
      <c r="W224" s="1075"/>
      <c r="X224" s="1075">
        <f>Sheet1!AJ218</f>
        <v>1030</v>
      </c>
      <c r="Y224" s="1075"/>
      <c r="Z224" s="1075"/>
      <c r="AA224" s="1075"/>
      <c r="AB224" s="1075"/>
      <c r="AC224" s="1075"/>
      <c r="AD224" s="1075"/>
      <c r="AE224" s="1075"/>
      <c r="AF224" s="1075"/>
      <c r="AG224" s="1075"/>
      <c r="AH224" s="1075"/>
      <c r="AI224" s="1075"/>
      <c r="AJ224" s="1075"/>
      <c r="AK224" s="1075" t="str">
        <f>IF(Sheet1!AE221="C",Sheet1!AK221,"-")</f>
        <v>-</v>
      </c>
      <c r="AL224" s="1075" t="str">
        <f>IF(Sheet1!AE221="D",Sheet1!AK221,"-")</f>
        <v>-</v>
      </c>
      <c r="AM224" s="1075">
        <f>IF(Sheet1!AE218="E",Sheet1!AK218,"-")</f>
        <v>1330</v>
      </c>
    </row>
    <row r="225" spans="2:39" x14ac:dyDescent="0.25">
      <c r="B225" s="1082">
        <f>Sheet1!F219</f>
        <v>115</v>
      </c>
      <c r="C225" s="1075" t="str">
        <f>Sheet1!C219</f>
        <v>Atlantic Ave. (DBS)</v>
      </c>
      <c r="D225" s="1075" t="str">
        <f>_xlfn.TEXTBEFORE(Sheet1!E219, " to ")</f>
        <v>Phillis Ave.</v>
      </c>
      <c r="E225" s="1075" t="str">
        <f>_xlfn.TEXTAFTER(Sheet1!E219, " to ")</f>
        <v>SR A1A/Dunlawton Ave</v>
      </c>
      <c r="F225" s="1075">
        <f>Sheet1!AM219</f>
        <v>4</v>
      </c>
      <c r="G225" s="1075"/>
      <c r="H225" s="1083" t="str">
        <f>Sheet1!AE219</f>
        <v>E</v>
      </c>
      <c r="I225" s="1075"/>
      <c r="J225" s="1075" t="str">
        <f>Sheet1!Q219</f>
        <v>UA_NSSRC2_2W_2L_D_WL</v>
      </c>
      <c r="K225" s="1075"/>
      <c r="L225" s="1075">
        <f>Sheet1!AF219</f>
        <v>14740</v>
      </c>
      <c r="M225" s="1075"/>
      <c r="N225" s="1075"/>
      <c r="O225" s="1075"/>
      <c r="P225" s="1075">
        <f>Sheet1!AK219</f>
        <v>1330</v>
      </c>
      <c r="Q225" s="1075"/>
      <c r="R225" s="1075">
        <f>Sheet1!AD219</f>
        <v>11730</v>
      </c>
      <c r="S225" s="1081">
        <f>Sheet1!AG219</f>
        <v>0.79579375848032563</v>
      </c>
      <c r="T225" s="1075" t="str">
        <f>Sheet1!AH219</f>
        <v>D</v>
      </c>
      <c r="U225" s="1075">
        <f>Sheet1!AI219</f>
        <v>730</v>
      </c>
      <c r="V225" s="1075"/>
      <c r="W225" s="1075"/>
      <c r="X225" s="1075">
        <f>Sheet1!AJ219</f>
        <v>950</v>
      </c>
      <c r="Y225" s="1075"/>
      <c r="Z225" s="1075"/>
      <c r="AA225" s="1075"/>
      <c r="AB225" s="1075"/>
      <c r="AC225" s="1075"/>
      <c r="AD225" s="1075"/>
      <c r="AE225" s="1075"/>
      <c r="AF225" s="1075"/>
      <c r="AG225" s="1075"/>
      <c r="AH225" s="1075"/>
      <c r="AI225" s="1075"/>
      <c r="AJ225" s="1075"/>
      <c r="AK225" s="1075" t="str">
        <f>IF(Sheet1!AE222="C",Sheet1!AK222,"-")</f>
        <v>-</v>
      </c>
      <c r="AL225" s="1075" t="str">
        <f>IF(Sheet1!AE222="D",Sheet1!AK222,"-")</f>
        <v>-</v>
      </c>
      <c r="AM225" s="1075">
        <f>IF(Sheet1!AE219="E",Sheet1!AK219,"-")</f>
        <v>1330</v>
      </c>
    </row>
    <row r="226" spans="2:39" x14ac:dyDescent="0.25">
      <c r="B226" s="1082">
        <f>Sheet1!F220</f>
        <v>1872</v>
      </c>
      <c r="C226" s="1075" t="str">
        <f>Sheet1!C220</f>
        <v>Atlantic Ave/Turtle Mound Rd.</v>
      </c>
      <c r="D226" s="1075" t="str">
        <f>_xlfn.TEXTBEFORE(Sheet1!E220, " to ")</f>
        <v>Canaveral Nat'l Park</v>
      </c>
      <c r="E226" s="1075" t="str">
        <f>_xlfn.TEXTAFTER(Sheet1!E220, " to ")</f>
        <v>Turtle Mound Rd.</v>
      </c>
      <c r="F226" s="1075">
        <f>Sheet1!AM220</f>
        <v>2</v>
      </c>
      <c r="G226" s="1075"/>
      <c r="H226" s="1083" t="str">
        <f>Sheet1!AE220</f>
        <v>E</v>
      </c>
      <c r="I226" s="1075"/>
      <c r="J226" s="1075" t="str">
        <f>Sheet1!Q220</f>
        <v>UA_NSSRC2_2W_2L_U_0L</v>
      </c>
      <c r="K226" s="1075"/>
      <c r="L226" s="1075">
        <f>Sheet1!AF220</f>
        <v>13640</v>
      </c>
      <c r="M226" s="1075"/>
      <c r="N226" s="1075"/>
      <c r="O226" s="1075"/>
      <c r="P226" s="1075">
        <f>Sheet1!AK220</f>
        <v>1020</v>
      </c>
      <c r="Q226" s="1075"/>
      <c r="R226" s="1075">
        <f>Sheet1!AD220</f>
        <v>3230</v>
      </c>
      <c r="S226" s="1081">
        <f>Sheet1!AG220</f>
        <v>0.23680351906158359</v>
      </c>
      <c r="T226" s="1075" t="str">
        <f>Sheet1!AH220</f>
        <v>C</v>
      </c>
      <c r="U226" s="1075">
        <f>Sheet1!AI220</f>
        <v>180</v>
      </c>
      <c r="V226" s="1075"/>
      <c r="W226" s="1075"/>
      <c r="X226" s="1075">
        <f>Sheet1!AJ220</f>
        <v>300</v>
      </c>
      <c r="Y226" s="1075"/>
      <c r="Z226" s="1075"/>
      <c r="AA226" s="1075"/>
      <c r="AB226" s="1075"/>
      <c r="AC226" s="1075"/>
      <c r="AD226" s="1075"/>
      <c r="AE226" s="1075"/>
      <c r="AF226" s="1075"/>
      <c r="AG226" s="1075"/>
      <c r="AH226" s="1075"/>
      <c r="AI226" s="1075"/>
      <c r="AJ226" s="1075"/>
      <c r="AK226" s="1075" t="str">
        <f>IF(Sheet1!AE223="C",Sheet1!AK223,"-")</f>
        <v>-</v>
      </c>
      <c r="AL226" s="1075" t="str">
        <f>IF(Sheet1!AE223="D",Sheet1!AK223,"-")</f>
        <v>-</v>
      </c>
      <c r="AM226" s="1075">
        <f>IF(Sheet1!AE220="E",Sheet1!AK220,"-")</f>
        <v>1020</v>
      </c>
    </row>
    <row r="227" spans="2:39" x14ac:dyDescent="0.25">
      <c r="B227" s="1082">
        <f>Sheet1!F221</f>
        <v>116</v>
      </c>
      <c r="C227" s="1075" t="str">
        <f>Sheet1!C221</f>
        <v>Atlantic Ave/Turtle Mound Rd.</v>
      </c>
      <c r="D227" s="1075" t="str">
        <f>_xlfn.TEXTBEFORE(Sheet1!E221, " to ")</f>
        <v>Turtle Mound Rd.</v>
      </c>
      <c r="E227" s="1075" t="str">
        <f>_xlfn.TEXTAFTER(Sheet1!E221, " to ")</f>
        <v xml:space="preserve">Saxon Dr. </v>
      </c>
      <c r="F227" s="1075">
        <f>Sheet1!AM221</f>
        <v>2</v>
      </c>
      <c r="G227" s="1075"/>
      <c r="H227" s="1083" t="str">
        <f>Sheet1!AE221</f>
        <v>E</v>
      </c>
      <c r="I227" s="1075"/>
      <c r="J227" s="1075" t="str">
        <f>Sheet1!Q221</f>
        <v>UA_NSSRC1_2W_2L_U_WL</v>
      </c>
      <c r="K227" s="1075"/>
      <c r="L227" s="1075">
        <f>Sheet1!AF221</f>
        <v>17050</v>
      </c>
      <c r="M227" s="1075"/>
      <c r="N227" s="1075"/>
      <c r="O227" s="1075"/>
      <c r="P227" s="1075">
        <f>Sheet1!AK221</f>
        <v>1540</v>
      </c>
      <c r="Q227" s="1075"/>
      <c r="R227" s="1075">
        <f>Sheet1!AD221</f>
        <v>6720</v>
      </c>
      <c r="S227" s="1081">
        <f>Sheet1!AG221</f>
        <v>0.39413489736070384</v>
      </c>
      <c r="T227" s="1075" t="str">
        <f>Sheet1!AH221</f>
        <v>C</v>
      </c>
      <c r="U227" s="1075">
        <f>Sheet1!AI221</f>
        <v>420</v>
      </c>
      <c r="V227" s="1075"/>
      <c r="W227" s="1075"/>
      <c r="X227" s="1075">
        <f>Sheet1!AJ221</f>
        <v>560</v>
      </c>
      <c r="Y227" s="1075"/>
      <c r="Z227" s="1075"/>
      <c r="AA227" s="1075"/>
      <c r="AB227" s="1075"/>
      <c r="AC227" s="1075"/>
      <c r="AD227" s="1075"/>
      <c r="AE227" s="1075"/>
      <c r="AF227" s="1075"/>
      <c r="AG227" s="1075"/>
      <c r="AH227" s="1075"/>
      <c r="AI227" s="1075"/>
      <c r="AJ227" s="1075"/>
      <c r="AK227" s="1075" t="str">
        <f>IF(Sheet1!AE224="C",Sheet1!AK224,"-")</f>
        <v>-</v>
      </c>
      <c r="AL227" s="1075" t="str">
        <f>IF(Sheet1!AE224="D",Sheet1!AK224,"-")</f>
        <v>-</v>
      </c>
      <c r="AM227" s="1075">
        <f>IF(Sheet1!AE221="E",Sheet1!AK221,"-")</f>
        <v>1540</v>
      </c>
    </row>
    <row r="228" spans="2:39" x14ac:dyDescent="0.25">
      <c r="B228" s="1082">
        <f>Sheet1!F222</f>
        <v>118</v>
      </c>
      <c r="C228" s="1075" t="str">
        <f>Sheet1!C222</f>
        <v>Atlantic Ave/Turtle Mound Rd.</v>
      </c>
      <c r="D228" s="1075" t="str">
        <f>_xlfn.TEXTBEFORE(Sheet1!E222, " to ")</f>
        <v>Saxon Dr</v>
      </c>
      <c r="E228" s="1075" t="str">
        <f>_xlfn.TEXTAFTER(Sheet1!E222, " to ")</f>
        <v>Hiles Blvd.</v>
      </c>
      <c r="F228" s="1075">
        <f>Sheet1!AM222</f>
        <v>2</v>
      </c>
      <c r="G228" s="1075"/>
      <c r="H228" s="1083" t="str">
        <f>Sheet1!AE222</f>
        <v>E</v>
      </c>
      <c r="I228" s="1075"/>
      <c r="J228" s="1075" t="str">
        <f>Sheet1!Q222</f>
        <v>UA_NSSRC1_2W_2L_U_WL</v>
      </c>
      <c r="K228" s="1075"/>
      <c r="L228" s="1075">
        <f>Sheet1!AF222</f>
        <v>17050</v>
      </c>
      <c r="M228" s="1075"/>
      <c r="N228" s="1075"/>
      <c r="O228" s="1075"/>
      <c r="P228" s="1075">
        <f>Sheet1!AK222</f>
        <v>1540</v>
      </c>
      <c r="Q228" s="1075"/>
      <c r="R228" s="1075">
        <f>Sheet1!AD222</f>
        <v>7030</v>
      </c>
      <c r="S228" s="1081">
        <f>Sheet1!AG222</f>
        <v>0.41231671554252197</v>
      </c>
      <c r="T228" s="1075" t="str">
        <f>Sheet1!AH222</f>
        <v>C</v>
      </c>
      <c r="U228" s="1075">
        <f>Sheet1!AI222</f>
        <v>450</v>
      </c>
      <c r="V228" s="1075"/>
      <c r="W228" s="1075"/>
      <c r="X228" s="1075">
        <f>Sheet1!AJ222</f>
        <v>560</v>
      </c>
      <c r="Y228" s="1075"/>
      <c r="Z228" s="1075"/>
      <c r="AA228" s="1075"/>
      <c r="AB228" s="1075"/>
      <c r="AC228" s="1075"/>
      <c r="AD228" s="1075"/>
      <c r="AE228" s="1075"/>
      <c r="AF228" s="1075"/>
      <c r="AG228" s="1075"/>
      <c r="AH228" s="1075"/>
      <c r="AI228" s="1075"/>
      <c r="AJ228" s="1075"/>
      <c r="AK228" s="1075" t="str">
        <f>IF(Sheet1!AE225="C",Sheet1!AK225,"-")</f>
        <v>-</v>
      </c>
      <c r="AL228" s="1075" t="str">
        <f>IF(Sheet1!AE225="D",Sheet1!AK225,"-")</f>
        <v>-</v>
      </c>
      <c r="AM228" s="1075">
        <f>IF(Sheet1!AE222="E",Sheet1!AK222,"-")</f>
        <v>1540</v>
      </c>
    </row>
    <row r="229" spans="2:39" x14ac:dyDescent="0.25">
      <c r="B229" s="1082">
        <f>Sheet1!F223</f>
        <v>120</v>
      </c>
      <c r="C229" s="1075" t="str">
        <f>Sheet1!C223</f>
        <v>Atlantic Ave/Turtle Mound Rd.</v>
      </c>
      <c r="D229" s="1075" t="str">
        <f>_xlfn.TEXTBEFORE(Sheet1!E223, " to ")</f>
        <v>Hiles Blvd.</v>
      </c>
      <c r="E229" s="1075" t="str">
        <f>_xlfn.TEXTAFTER(Sheet1!E223, " to ")</f>
        <v>27th Ave.</v>
      </c>
      <c r="F229" s="1075">
        <f>Sheet1!AM223</f>
        <v>2</v>
      </c>
      <c r="G229" s="1075"/>
      <c r="H229" s="1083" t="str">
        <f>Sheet1!AE223</f>
        <v>E</v>
      </c>
      <c r="I229" s="1075"/>
      <c r="J229" s="1075" t="str">
        <f>Sheet1!Q223</f>
        <v>UA_NSSRC1_2W_2L_U_WL</v>
      </c>
      <c r="K229" s="1075"/>
      <c r="L229" s="1075">
        <f>Sheet1!AF223</f>
        <v>17050</v>
      </c>
      <c r="M229" s="1075"/>
      <c r="N229" s="1075"/>
      <c r="O229" s="1075"/>
      <c r="P229" s="1075">
        <f>Sheet1!AK223</f>
        <v>1540</v>
      </c>
      <c r="Q229" s="1075"/>
      <c r="R229" s="1075">
        <f>Sheet1!AD223</f>
        <v>13180</v>
      </c>
      <c r="S229" s="1081">
        <f>Sheet1!AG223</f>
        <v>0.77302052785923758</v>
      </c>
      <c r="T229" s="1075" t="str">
        <f>Sheet1!AH223</f>
        <v>C</v>
      </c>
      <c r="U229" s="1075">
        <f>Sheet1!AI223</f>
        <v>720</v>
      </c>
      <c r="V229" s="1075"/>
      <c r="W229" s="1075"/>
      <c r="X229" s="1075">
        <f>Sheet1!AJ223</f>
        <v>1010</v>
      </c>
      <c r="Y229" s="1075"/>
      <c r="Z229" s="1075"/>
      <c r="AA229" s="1075"/>
      <c r="AB229" s="1075"/>
      <c r="AC229" s="1075"/>
      <c r="AD229" s="1075"/>
      <c r="AE229" s="1075"/>
      <c r="AF229" s="1075"/>
      <c r="AG229" s="1075"/>
      <c r="AH229" s="1075"/>
      <c r="AI229" s="1075"/>
      <c r="AJ229" s="1075"/>
      <c r="AK229" s="1075" t="str">
        <f>IF(Sheet1!AE226="C",Sheet1!AK226,"-")</f>
        <v>-</v>
      </c>
      <c r="AL229" s="1075" t="str">
        <f>IF(Sheet1!AE226="D",Sheet1!AK226,"-")</f>
        <v>-</v>
      </c>
      <c r="AM229" s="1075">
        <f>IF(Sheet1!AE223="E",Sheet1!AK223,"-")</f>
        <v>1540</v>
      </c>
    </row>
    <row r="230" spans="2:39" x14ac:dyDescent="0.25">
      <c r="B230" s="1082">
        <f>Sheet1!F224</f>
        <v>122</v>
      </c>
      <c r="C230" s="1075" t="str">
        <f>Sheet1!C224</f>
        <v>Atlantic Ave/Turtle Mound Rd.</v>
      </c>
      <c r="D230" s="1075" t="str">
        <f>_xlfn.TEXTBEFORE(Sheet1!E224, " to ")</f>
        <v>27th Ave.</v>
      </c>
      <c r="E230" s="1075" t="str">
        <f>_xlfn.TEXTAFTER(Sheet1!E224, " to ")</f>
        <v>6th Ave.</v>
      </c>
      <c r="F230" s="1075">
        <f>Sheet1!AM224</f>
        <v>4</v>
      </c>
      <c r="G230" s="1075"/>
      <c r="H230" s="1083" t="str">
        <f>Sheet1!AE224</f>
        <v>E</v>
      </c>
      <c r="I230" s="1075"/>
      <c r="J230" s="1075" t="str">
        <f>Sheet1!Q224</f>
        <v>UA_NSSRC1_2W_4L_D_WL</v>
      </c>
      <c r="K230" s="1075"/>
      <c r="L230" s="1075">
        <f>Sheet1!AF224</f>
        <v>37970</v>
      </c>
      <c r="M230" s="1075"/>
      <c r="N230" s="1075"/>
      <c r="O230" s="1075"/>
      <c r="P230" s="1075">
        <f>Sheet1!AK224</f>
        <v>3410</v>
      </c>
      <c r="Q230" s="1075"/>
      <c r="R230" s="1075">
        <f>Sheet1!AD224</f>
        <v>14720</v>
      </c>
      <c r="S230" s="1081">
        <f>Sheet1!AG224</f>
        <v>0.38767447985251513</v>
      </c>
      <c r="T230" s="1075" t="str">
        <f>Sheet1!AH224</f>
        <v>C</v>
      </c>
      <c r="U230" s="1075">
        <f>Sheet1!AI224</f>
        <v>1100</v>
      </c>
      <c r="V230" s="1075"/>
      <c r="W230" s="1075"/>
      <c r="X230" s="1075">
        <f>Sheet1!AJ224</f>
        <v>1120</v>
      </c>
      <c r="Y230" s="1075"/>
      <c r="Z230" s="1075"/>
      <c r="AA230" s="1075"/>
      <c r="AB230" s="1075"/>
      <c r="AC230" s="1075"/>
      <c r="AD230" s="1075"/>
      <c r="AE230" s="1075"/>
      <c r="AF230" s="1075"/>
      <c r="AG230" s="1075"/>
      <c r="AH230" s="1075"/>
      <c r="AI230" s="1075"/>
      <c r="AJ230" s="1075"/>
      <c r="AK230" s="1075" t="str">
        <f>IF(Sheet1!AE227="C",Sheet1!AK227,"-")</f>
        <v>-</v>
      </c>
      <c r="AL230" s="1075" t="str">
        <f>IF(Sheet1!AE227="D",Sheet1!AK227,"-")</f>
        <v>-</v>
      </c>
      <c r="AM230" s="1075">
        <f>IF(Sheet1!AE224="E",Sheet1!AK224,"-")</f>
        <v>3410</v>
      </c>
    </row>
    <row r="231" spans="2:39" x14ac:dyDescent="0.25">
      <c r="B231" s="1082">
        <f>Sheet1!F225</f>
        <v>131</v>
      </c>
      <c r="C231" s="1075" t="str">
        <f>Sheet1!C225</f>
        <v>Beach/Riverside/Beach (OB)</v>
      </c>
      <c r="D231" s="1075" t="str">
        <f>_xlfn.TEXTBEFORE(Sheet1!E225, " to ")</f>
        <v>Division Ave.</v>
      </c>
      <c r="E231" s="1075" t="str">
        <f>_xlfn.TEXTAFTER(Sheet1!E225, " to ")</f>
        <v>SR 40</v>
      </c>
      <c r="F231" s="1075">
        <f>Sheet1!AM225</f>
        <v>2</v>
      </c>
      <c r="G231" s="1075"/>
      <c r="H231" s="1083" t="str">
        <f>Sheet1!AE225</f>
        <v>E</v>
      </c>
      <c r="I231" s="1075"/>
      <c r="J231" s="1075" t="str">
        <f>Sheet1!Q225</f>
        <v>UA_NSSRC2_2W_2L_U_0L</v>
      </c>
      <c r="K231" s="1075"/>
      <c r="L231" s="1075">
        <f>Sheet1!AF225</f>
        <v>13640</v>
      </c>
      <c r="M231" s="1075"/>
      <c r="N231" s="1075"/>
      <c r="O231" s="1075"/>
      <c r="P231" s="1075">
        <f>Sheet1!AK225</f>
        <v>1020</v>
      </c>
      <c r="Q231" s="1075"/>
      <c r="R231" s="1075">
        <f>Sheet1!AD225</f>
        <v>7410</v>
      </c>
      <c r="S231" s="1081">
        <f>Sheet1!AG225</f>
        <v>0.54325513196480935</v>
      </c>
      <c r="T231" s="1075" t="str">
        <f>Sheet1!AH225</f>
        <v>D</v>
      </c>
      <c r="U231" s="1075">
        <f>Sheet1!AI225</f>
        <v>520</v>
      </c>
      <c r="V231" s="1075"/>
      <c r="W231" s="1075"/>
      <c r="X231" s="1075">
        <f>Sheet1!AJ225</f>
        <v>640</v>
      </c>
      <c r="Y231" s="1075"/>
      <c r="Z231" s="1075"/>
      <c r="AA231" s="1075"/>
      <c r="AB231" s="1075"/>
      <c r="AC231" s="1075"/>
      <c r="AD231" s="1075"/>
      <c r="AE231" s="1075"/>
      <c r="AF231" s="1075"/>
      <c r="AG231" s="1075"/>
      <c r="AH231" s="1075"/>
      <c r="AI231" s="1075"/>
      <c r="AJ231" s="1075"/>
      <c r="AK231" s="1075" t="str">
        <f>IF(Sheet1!AE228="C",Sheet1!AK228,"-")</f>
        <v>-</v>
      </c>
      <c r="AL231" s="1075" t="str">
        <f>IF(Sheet1!AE228="D",Sheet1!AK228,"-")</f>
        <v>-</v>
      </c>
      <c r="AM231" s="1075">
        <f>IF(Sheet1!AE225="E",Sheet1!AK225,"-")</f>
        <v>1020</v>
      </c>
    </row>
    <row r="232" spans="2:39" x14ac:dyDescent="0.25">
      <c r="B232" s="1082">
        <f>Sheet1!F226</f>
        <v>132</v>
      </c>
      <c r="C232" s="1075" t="str">
        <f>Sheet1!C226</f>
        <v>Beach/Riverside/Beach (OB)</v>
      </c>
      <c r="D232" s="1075" t="str">
        <f>_xlfn.TEXTBEFORE(Sheet1!E226, " to ")</f>
        <v>SR 40</v>
      </c>
      <c r="E232" s="1075" t="str">
        <f>_xlfn.TEXTAFTER(Sheet1!E226, " to ")</f>
        <v>Wilmette Ave.</v>
      </c>
      <c r="F232" s="1075">
        <f>Sheet1!AM226</f>
        <v>2</v>
      </c>
      <c r="G232" s="1075"/>
      <c r="H232" s="1083" t="str">
        <f>Sheet1!AE226</f>
        <v>E</v>
      </c>
      <c r="I232" s="1075"/>
      <c r="J232" s="1075" t="str">
        <f>Sheet1!Q226</f>
        <v>UA_NSSRC2_2W_2L_U_0L</v>
      </c>
      <c r="K232" s="1075"/>
      <c r="L232" s="1075">
        <f>Sheet1!AF226</f>
        <v>16000</v>
      </c>
      <c r="M232" s="1075"/>
      <c r="N232" s="1075"/>
      <c r="O232" s="1075"/>
      <c r="P232" s="1075">
        <f>Sheet1!AK226</f>
        <v>1440</v>
      </c>
      <c r="Q232" s="1075"/>
      <c r="R232" s="1075">
        <f>Sheet1!AD226</f>
        <v>9280</v>
      </c>
      <c r="S232" s="1081">
        <f>Sheet1!AG226</f>
        <v>0.57999999999999996</v>
      </c>
      <c r="T232" s="1075" t="str">
        <f>Sheet1!AH226</f>
        <v>D</v>
      </c>
      <c r="U232" s="1075">
        <f>Sheet1!AI226</f>
        <v>710</v>
      </c>
      <c r="V232" s="1075"/>
      <c r="W232" s="1075"/>
      <c r="X232" s="1075">
        <f>Sheet1!AJ226</f>
        <v>800</v>
      </c>
      <c r="Y232" s="1075"/>
      <c r="Z232" s="1075"/>
      <c r="AA232" s="1075"/>
      <c r="AB232" s="1075"/>
      <c r="AC232" s="1075"/>
      <c r="AD232" s="1075"/>
      <c r="AE232" s="1075"/>
      <c r="AF232" s="1075"/>
      <c r="AG232" s="1075"/>
      <c r="AH232" s="1075"/>
      <c r="AI232" s="1075"/>
      <c r="AJ232" s="1075"/>
      <c r="AK232" s="1075">
        <f>IF(Sheet1!AE229="C",Sheet1!AK229,"-")</f>
        <v>620</v>
      </c>
      <c r="AL232" s="1075" t="str">
        <f>IF(Sheet1!AE229="D",Sheet1!AK229,"-")</f>
        <v>-</v>
      </c>
      <c r="AM232" s="1075">
        <f>IF(Sheet1!AE226="E",Sheet1!AK226,"-")</f>
        <v>1440</v>
      </c>
    </row>
    <row r="233" spans="2:39" x14ac:dyDescent="0.25">
      <c r="B233" s="1082">
        <f>Sheet1!F227</f>
        <v>135</v>
      </c>
      <c r="C233" s="1075" t="str">
        <f>Sheet1!C227</f>
        <v>Beach/Riverside/Beach (OB)</v>
      </c>
      <c r="D233" s="1075" t="str">
        <f>_xlfn.TEXTBEFORE(Sheet1!E227, " to ")</f>
        <v>Wilmette Ave.</v>
      </c>
      <c r="E233" s="1075" t="str">
        <f>_xlfn.TEXTAFTER(Sheet1!E227, " to ")</f>
        <v>Inglesa Ave.</v>
      </c>
      <c r="F233" s="1075">
        <f>Sheet1!AM227</f>
        <v>2</v>
      </c>
      <c r="G233" s="1075"/>
      <c r="H233" s="1083" t="str">
        <f>Sheet1!AE227</f>
        <v>E</v>
      </c>
      <c r="I233" s="1075"/>
      <c r="J233" s="1075" t="str">
        <f>Sheet1!Q227</f>
        <v>UA_NSSRC2_2W_2L_U_0L</v>
      </c>
      <c r="K233" s="1075"/>
      <c r="L233" s="1075">
        <f>Sheet1!AF227</f>
        <v>16000</v>
      </c>
      <c r="M233" s="1075"/>
      <c r="N233" s="1075"/>
      <c r="O233" s="1075"/>
      <c r="P233" s="1075">
        <f>Sheet1!AK227</f>
        <v>1440</v>
      </c>
      <c r="Q233" s="1075"/>
      <c r="R233" s="1075">
        <f>Sheet1!AD227</f>
        <v>6550</v>
      </c>
      <c r="S233" s="1081">
        <f>Sheet1!AG227</f>
        <v>0.40937499999999999</v>
      </c>
      <c r="T233" s="1075" t="str">
        <f>Sheet1!AH227</f>
        <v>D</v>
      </c>
      <c r="U233" s="1075">
        <f>Sheet1!AI227</f>
        <v>480</v>
      </c>
      <c r="V233" s="1075"/>
      <c r="W233" s="1075"/>
      <c r="X233" s="1075">
        <f>Sheet1!AJ227</f>
        <v>640</v>
      </c>
      <c r="Y233" s="1075"/>
      <c r="Z233" s="1075"/>
      <c r="AA233" s="1075"/>
      <c r="AB233" s="1075"/>
      <c r="AC233" s="1075"/>
      <c r="AD233" s="1075"/>
      <c r="AE233" s="1075"/>
      <c r="AF233" s="1075"/>
      <c r="AG233" s="1075"/>
      <c r="AH233" s="1075"/>
      <c r="AI233" s="1075"/>
      <c r="AJ233" s="1075"/>
      <c r="AK233" s="1075">
        <f>IF(Sheet1!AE230="C",Sheet1!AK230,"-")</f>
        <v>620</v>
      </c>
      <c r="AL233" s="1075" t="str">
        <f>IF(Sheet1!AE230="D",Sheet1!AK230,"-")</f>
        <v>-</v>
      </c>
      <c r="AM233" s="1075">
        <f>IF(Sheet1!AE227="E",Sheet1!AK227,"-")</f>
        <v>1440</v>
      </c>
    </row>
    <row r="234" spans="2:39" x14ac:dyDescent="0.25">
      <c r="B234" s="1082">
        <f>Sheet1!F228</f>
        <v>137</v>
      </c>
      <c r="C234" s="1075" t="str">
        <f>Sheet1!C228</f>
        <v>Beach/Riverside/Beach (OB)</v>
      </c>
      <c r="D234" s="1075" t="str">
        <f>_xlfn.TEXTBEFORE(Sheet1!E228, " to ")</f>
        <v>Inglesa Ave</v>
      </c>
      <c r="E234" s="1075" t="str">
        <f>_xlfn.TEXTAFTER(Sheet1!E228, " to ")</f>
        <v>Pine Tree Dr.</v>
      </c>
      <c r="F234" s="1075">
        <f>Sheet1!AM228</f>
        <v>2</v>
      </c>
      <c r="G234" s="1075"/>
      <c r="H234" s="1083" t="str">
        <f>Sheet1!AE228</f>
        <v>E</v>
      </c>
      <c r="I234" s="1075"/>
      <c r="J234" s="1075" t="str">
        <f>Sheet1!Q228</f>
        <v>UA_NSSRC2_2W_2L_U_0L</v>
      </c>
      <c r="K234" s="1075"/>
      <c r="L234" s="1075">
        <f>Sheet1!AF228</f>
        <v>16000</v>
      </c>
      <c r="M234" s="1075"/>
      <c r="N234" s="1075"/>
      <c r="O234" s="1075"/>
      <c r="P234" s="1075">
        <f>Sheet1!AK228</f>
        <v>1440</v>
      </c>
      <c r="Q234" s="1075"/>
      <c r="R234" s="1075">
        <f>Sheet1!AD228</f>
        <v>2890</v>
      </c>
      <c r="S234" s="1081">
        <f>Sheet1!AG228</f>
        <v>0.18062500000000001</v>
      </c>
      <c r="T234" s="1075" t="str">
        <f>Sheet1!AH228</f>
        <v>C</v>
      </c>
      <c r="U234" s="1075">
        <f>Sheet1!AI228</f>
        <v>180</v>
      </c>
      <c r="V234" s="1075"/>
      <c r="W234" s="1075"/>
      <c r="X234" s="1075">
        <f>Sheet1!AJ228</f>
        <v>290</v>
      </c>
      <c r="Y234" s="1075"/>
      <c r="Z234" s="1075"/>
      <c r="AA234" s="1075"/>
      <c r="AB234" s="1075"/>
      <c r="AC234" s="1075"/>
      <c r="AD234" s="1075"/>
      <c r="AE234" s="1075"/>
      <c r="AF234" s="1075"/>
      <c r="AG234" s="1075"/>
      <c r="AH234" s="1075"/>
      <c r="AI234" s="1075"/>
      <c r="AJ234" s="1075"/>
      <c r="AK234" s="1075" t="str">
        <f>IF(Sheet1!AE231="C",Sheet1!AK231,"-")</f>
        <v>-</v>
      </c>
      <c r="AL234" s="1075" t="str">
        <f>IF(Sheet1!AE231="D",Sheet1!AK231,"-")</f>
        <v>-</v>
      </c>
      <c r="AM234" s="1075">
        <f>IF(Sheet1!AE228="E",Sheet1!AK228,"-")</f>
        <v>1440</v>
      </c>
    </row>
    <row r="235" spans="2:39" x14ac:dyDescent="0.25">
      <c r="B235" s="1082">
        <f>Sheet1!F229</f>
        <v>140</v>
      </c>
      <c r="C235" s="1075" t="str">
        <f>Sheet1!C229</f>
        <v>Beacon Light Rd.</v>
      </c>
      <c r="D235" s="1075" t="str">
        <f>_xlfn.TEXTBEFORE(Sheet1!E229, " to ")</f>
        <v>Halifax Ave.</v>
      </c>
      <c r="E235" s="1075" t="str">
        <f>_xlfn.TEXTAFTER(Sheet1!E229, " to ")</f>
        <v>Ariel Rd.</v>
      </c>
      <c r="F235" s="1075">
        <f>Sheet1!AM229</f>
        <v>2</v>
      </c>
      <c r="G235" s="1075"/>
      <c r="H235" s="1083" t="str">
        <f>Sheet1!AE229</f>
        <v>C</v>
      </c>
      <c r="I235" s="1075"/>
      <c r="J235" s="1075" t="str">
        <f>Sheet1!Q229</f>
        <v>RUA_UFH_2W_2L_U_0L</v>
      </c>
      <c r="K235" s="1075"/>
      <c r="L235" s="1075">
        <f>Sheet1!AF229</f>
        <v>6450</v>
      </c>
      <c r="M235" s="1075"/>
      <c r="N235" s="1075"/>
      <c r="O235" s="1075"/>
      <c r="P235" s="1075">
        <f>Sheet1!AK229</f>
        <v>620</v>
      </c>
      <c r="Q235" s="1075"/>
      <c r="R235" s="1075">
        <f>Sheet1!AD229</f>
        <v>300</v>
      </c>
      <c r="S235" s="1081">
        <f>Sheet1!AG229</f>
        <v>4.6511627906976744E-2</v>
      </c>
      <c r="T235" s="1075" t="str">
        <f>Sheet1!AH229</f>
        <v>B</v>
      </c>
      <c r="U235" s="1075">
        <f>Sheet1!AI229</f>
        <v>20</v>
      </c>
      <c r="V235" s="1075"/>
      <c r="W235" s="1075"/>
      <c r="X235" s="1075">
        <f>Sheet1!AJ229</f>
        <v>30</v>
      </c>
      <c r="Y235" s="1075"/>
      <c r="Z235" s="1075"/>
      <c r="AA235" s="1075"/>
      <c r="AB235" s="1075"/>
      <c r="AC235" s="1075"/>
      <c r="AD235" s="1075"/>
      <c r="AE235" s="1075"/>
      <c r="AF235" s="1075"/>
      <c r="AG235" s="1075"/>
      <c r="AH235" s="1075"/>
      <c r="AI235" s="1075"/>
      <c r="AJ235" s="1075"/>
      <c r="AK235" s="1075" t="str">
        <f>IF(Sheet1!AE232="C",Sheet1!AK232,"-")</f>
        <v>-</v>
      </c>
      <c r="AL235" s="1075" t="str">
        <f>IF(Sheet1!AE232="D",Sheet1!AK232,"-")</f>
        <v>-</v>
      </c>
      <c r="AM235" s="1075" t="str">
        <f>IF(Sheet1!AE229="E",Sheet1!AK229,"-")</f>
        <v>-</v>
      </c>
    </row>
    <row r="236" spans="2:39" x14ac:dyDescent="0.25">
      <c r="B236" s="1082">
        <f>Sheet1!F230</f>
        <v>141</v>
      </c>
      <c r="C236" s="1075" t="str">
        <f>Sheet1!C230</f>
        <v>Beacon Light Rd.</v>
      </c>
      <c r="D236" s="1075" t="str">
        <f>_xlfn.TEXTBEFORE(Sheet1!E230, " to ")</f>
        <v>Ariel Rd.</v>
      </c>
      <c r="E236" s="1075" t="str">
        <f>_xlfn.TEXTAFTER(Sheet1!E230, " to ")</f>
        <v>Volco Rd.</v>
      </c>
      <c r="F236" s="1075">
        <f>Sheet1!AM230</f>
        <v>2</v>
      </c>
      <c r="G236" s="1075"/>
      <c r="H236" s="1083" t="str">
        <f>Sheet1!AE230</f>
        <v>C</v>
      </c>
      <c r="I236" s="1075"/>
      <c r="J236" s="1075" t="str">
        <f>Sheet1!Q230</f>
        <v>RUA_UFH_2W_2L_U_0L</v>
      </c>
      <c r="K236" s="1075"/>
      <c r="L236" s="1075">
        <f>Sheet1!AF230</f>
        <v>6450</v>
      </c>
      <c r="M236" s="1075"/>
      <c r="N236" s="1075"/>
      <c r="O236" s="1075"/>
      <c r="P236" s="1075">
        <f>Sheet1!AK230</f>
        <v>620</v>
      </c>
      <c r="Q236" s="1075"/>
      <c r="R236" s="1075">
        <f>Sheet1!AD230</f>
        <v>610</v>
      </c>
      <c r="S236" s="1081">
        <f>Sheet1!AG230</f>
        <v>9.4573643410852712E-2</v>
      </c>
      <c r="T236" s="1075" t="str">
        <f>Sheet1!AH230</f>
        <v>B</v>
      </c>
      <c r="U236" s="1075">
        <f>Sheet1!AI230</f>
        <v>40</v>
      </c>
      <c r="V236" s="1075"/>
      <c r="W236" s="1075"/>
      <c r="X236" s="1075">
        <f>Sheet1!AJ230</f>
        <v>60</v>
      </c>
      <c r="Y236" s="1075"/>
      <c r="Z236" s="1075"/>
      <c r="AA236" s="1075"/>
      <c r="AB236" s="1075"/>
      <c r="AC236" s="1075"/>
      <c r="AD236" s="1075"/>
      <c r="AE236" s="1075"/>
      <c r="AF236" s="1075"/>
      <c r="AG236" s="1075"/>
      <c r="AH236" s="1075"/>
      <c r="AI236" s="1075"/>
      <c r="AJ236" s="1075"/>
      <c r="AK236" s="1075" t="str">
        <f>IF(Sheet1!AE233="C",Sheet1!AK233,"-")</f>
        <v>-</v>
      </c>
      <c r="AL236" s="1075" t="str">
        <f>IF(Sheet1!AE233="D",Sheet1!AK233,"-")</f>
        <v>-</v>
      </c>
      <c r="AM236" s="1075" t="str">
        <f>IF(Sheet1!AE230="E",Sheet1!AK230,"-")</f>
        <v>-</v>
      </c>
    </row>
    <row r="237" spans="2:39" x14ac:dyDescent="0.25">
      <c r="B237" s="1082">
        <f>Sheet1!F231</f>
        <v>151</v>
      </c>
      <c r="C237" s="1075" t="str">
        <f>Sheet1!C231</f>
        <v>Bellevue Ave. Extension</v>
      </c>
      <c r="D237" s="1075" t="str">
        <f>_xlfn.TEXTBEFORE(Sheet1!E231, " to ")</f>
        <v xml:space="preserve">CR 415/Tomoka Farms Rd </v>
      </c>
      <c r="E237" s="1075" t="str">
        <f>_xlfn.TEXTAFTER(Sheet1!E231, " to ")</f>
        <v>Williamson Blvd.</v>
      </c>
      <c r="F237" s="1075">
        <f>Sheet1!AM231</f>
        <v>2</v>
      </c>
      <c r="G237" s="1075"/>
      <c r="H237" s="1083" t="str">
        <f>Sheet1!AE231</f>
        <v>E</v>
      </c>
      <c r="I237" s="1075"/>
      <c r="J237" s="1075" t="str">
        <f>Sheet1!Q231</f>
        <v>UA_NSSRC2_2W_2L_U_0L</v>
      </c>
      <c r="K237" s="1075"/>
      <c r="L237" s="1075">
        <f>Sheet1!AF231</f>
        <v>13640</v>
      </c>
      <c r="M237" s="1075"/>
      <c r="N237" s="1075"/>
      <c r="O237" s="1075"/>
      <c r="P237" s="1075">
        <f>Sheet1!AK231</f>
        <v>1020</v>
      </c>
      <c r="Q237" s="1075"/>
      <c r="R237" s="1075">
        <f>Sheet1!AD231</f>
        <v>6100</v>
      </c>
      <c r="S237" s="1081">
        <f>Sheet1!AG231</f>
        <v>0.4472140762463343</v>
      </c>
      <c r="T237" s="1075" t="str">
        <f>Sheet1!AH231</f>
        <v>D</v>
      </c>
      <c r="U237" s="1075">
        <f>Sheet1!AI231</f>
        <v>430</v>
      </c>
      <c r="V237" s="1075"/>
      <c r="W237" s="1075"/>
      <c r="X237" s="1075">
        <f>Sheet1!AJ231</f>
        <v>540</v>
      </c>
      <c r="Y237" s="1075"/>
      <c r="Z237" s="1075"/>
      <c r="AA237" s="1075"/>
      <c r="AB237" s="1075"/>
      <c r="AC237" s="1075"/>
      <c r="AD237" s="1075"/>
      <c r="AE237" s="1075"/>
      <c r="AF237" s="1075"/>
      <c r="AG237" s="1075"/>
      <c r="AH237" s="1075"/>
      <c r="AI237" s="1075"/>
      <c r="AJ237" s="1075"/>
      <c r="AK237" s="1075" t="str">
        <f>IF(Sheet1!AE234="C",Sheet1!AK234,"-")</f>
        <v>-</v>
      </c>
      <c r="AL237" s="1075" t="str">
        <f>IF(Sheet1!AE234="D",Sheet1!AK234,"-")</f>
        <v>-</v>
      </c>
      <c r="AM237" s="1075">
        <f>IF(Sheet1!AE231="E",Sheet1!AK231,"-")</f>
        <v>1020</v>
      </c>
    </row>
    <row r="238" spans="2:39" x14ac:dyDescent="0.25">
      <c r="B238" s="1082">
        <f>Sheet1!F232</f>
        <v>153</v>
      </c>
      <c r="C238" s="1075" t="str">
        <f>Sheet1!C232</f>
        <v>Bellevue Ave. Extension</v>
      </c>
      <c r="D238" s="1075" t="str">
        <f>_xlfn.TEXTBEFORE(Sheet1!E232, " to ")</f>
        <v>Williamson Blvd</v>
      </c>
      <c r="E238" s="1075" t="str">
        <f>_xlfn.TEXTAFTER(Sheet1!E232, " to ")</f>
        <v>SR 483/Clyde Morris Blvd.</v>
      </c>
      <c r="F238" s="1075">
        <f>Sheet1!AM232</f>
        <v>2</v>
      </c>
      <c r="G238" s="1075"/>
      <c r="H238" s="1083" t="str">
        <f>Sheet1!AE232</f>
        <v>E</v>
      </c>
      <c r="I238" s="1075"/>
      <c r="J238" s="1075" t="str">
        <f>Sheet1!Q232</f>
        <v>UA_NSSRC1_2W_2L_U_0L</v>
      </c>
      <c r="K238" s="1075"/>
      <c r="L238" s="1075">
        <f>Sheet1!AF232</f>
        <v>13640</v>
      </c>
      <c r="M238" s="1075"/>
      <c r="N238" s="1075"/>
      <c r="O238" s="1075"/>
      <c r="P238" s="1075">
        <f>Sheet1!AK232</f>
        <v>1230</v>
      </c>
      <c r="Q238" s="1075"/>
      <c r="R238" s="1075">
        <f>Sheet1!AD232</f>
        <v>3050</v>
      </c>
      <c r="S238" s="1081">
        <f>Sheet1!AG232</f>
        <v>0.22360703812316715</v>
      </c>
      <c r="T238" s="1075" t="str">
        <f>Sheet1!AH232</f>
        <v>C</v>
      </c>
      <c r="U238" s="1075">
        <f>Sheet1!AI232</f>
        <v>220</v>
      </c>
      <c r="V238" s="1075"/>
      <c r="W238" s="1075"/>
      <c r="X238" s="1075">
        <f>Sheet1!AJ232</f>
        <v>300</v>
      </c>
      <c r="Y238" s="1075"/>
      <c r="Z238" s="1075"/>
      <c r="AA238" s="1075"/>
      <c r="AB238" s="1075"/>
      <c r="AC238" s="1075"/>
      <c r="AD238" s="1075"/>
      <c r="AE238" s="1075"/>
      <c r="AF238" s="1075"/>
      <c r="AG238" s="1075"/>
      <c r="AH238" s="1075"/>
      <c r="AI238" s="1075"/>
      <c r="AJ238" s="1075"/>
      <c r="AK238" s="1075" t="str">
        <f>IF(Sheet1!AE235="C",Sheet1!AK235,"-")</f>
        <v>-</v>
      </c>
      <c r="AL238" s="1075" t="str">
        <f>IF(Sheet1!AE235="D",Sheet1!AK235,"-")</f>
        <v>-</v>
      </c>
      <c r="AM238" s="1075">
        <f>IF(Sheet1!AE232="E",Sheet1!AK232,"-")</f>
        <v>1230</v>
      </c>
    </row>
    <row r="239" spans="2:39" x14ac:dyDescent="0.25">
      <c r="B239" s="1082">
        <f>Sheet1!F233</f>
        <v>161</v>
      </c>
      <c r="C239" s="1075" t="str">
        <f>Sheet1!C233</f>
        <v>Beresford Ave.</v>
      </c>
      <c r="D239" s="1075" t="str">
        <f>_xlfn.TEXTBEFORE(Sheet1!E233, " to ")</f>
        <v>Beresford Rd.</v>
      </c>
      <c r="E239" s="1075" t="str">
        <f>_xlfn.TEXTAFTER(Sheet1!E233, " to ")</f>
        <v>Fatio Rd</v>
      </c>
      <c r="F239" s="1075">
        <f>Sheet1!AM233</f>
        <v>2</v>
      </c>
      <c r="G239" s="1075"/>
      <c r="H239" s="1083" t="str">
        <f>Sheet1!AE233</f>
        <v>E</v>
      </c>
      <c r="I239" s="1075"/>
      <c r="J239" s="1075" t="str">
        <f>Sheet1!Q233</f>
        <v>UA_NSSRC2_2W_2L_U_0L</v>
      </c>
      <c r="K239" s="1075"/>
      <c r="L239" s="1075">
        <f>Sheet1!AF233</f>
        <v>13640</v>
      </c>
      <c r="M239" s="1075"/>
      <c r="N239" s="1075"/>
      <c r="O239" s="1075"/>
      <c r="P239" s="1075">
        <f>Sheet1!AK233</f>
        <v>1020</v>
      </c>
      <c r="Q239" s="1075"/>
      <c r="R239" s="1075">
        <f>Sheet1!AD233</f>
        <v>2330</v>
      </c>
      <c r="S239" s="1081">
        <f>Sheet1!AG233</f>
        <v>0.17082111436950145</v>
      </c>
      <c r="T239" s="1075" t="str">
        <f>Sheet1!AH233</f>
        <v>C</v>
      </c>
      <c r="U239" s="1075">
        <f>Sheet1!AI233</f>
        <v>190</v>
      </c>
      <c r="V239" s="1075"/>
      <c r="W239" s="1075"/>
      <c r="X239" s="1075">
        <f>Sheet1!AJ233</f>
        <v>220</v>
      </c>
      <c r="Y239" s="1075"/>
      <c r="Z239" s="1075"/>
      <c r="AA239" s="1075"/>
      <c r="AB239" s="1075"/>
      <c r="AC239" s="1075"/>
      <c r="AD239" s="1075"/>
      <c r="AE239" s="1075"/>
      <c r="AF239" s="1075"/>
      <c r="AG239" s="1075"/>
      <c r="AH239" s="1075"/>
      <c r="AI239" s="1075"/>
      <c r="AJ239" s="1075"/>
      <c r="AK239" s="1075" t="str">
        <f>IF(Sheet1!AE236="C",Sheet1!AK236,"-")</f>
        <v>-</v>
      </c>
      <c r="AL239" s="1075" t="str">
        <f>IF(Sheet1!AE236="D",Sheet1!AK236,"-")</f>
        <v>-</v>
      </c>
      <c r="AM239" s="1075">
        <f>IF(Sheet1!AE233="E",Sheet1!AK233,"-")</f>
        <v>1020</v>
      </c>
    </row>
    <row r="240" spans="2:39" x14ac:dyDescent="0.25">
      <c r="B240" s="1082">
        <f>Sheet1!F234</f>
        <v>162</v>
      </c>
      <c r="C240" s="1075" t="str">
        <f>Sheet1!C234</f>
        <v>Beresford Ave.</v>
      </c>
      <c r="D240" s="1075" t="str">
        <f>_xlfn.TEXTBEFORE(Sheet1!E234, " to ")</f>
        <v>Fatio Rd.</v>
      </c>
      <c r="E240" s="1075" t="str">
        <f>_xlfn.TEXTAFTER(Sheet1!E234, " to ")</f>
        <v>SR 15A</v>
      </c>
      <c r="F240" s="1075">
        <f>Sheet1!AM234</f>
        <v>2</v>
      </c>
      <c r="G240" s="1075"/>
      <c r="H240" s="1083" t="str">
        <f>Sheet1!AE234</f>
        <v>E</v>
      </c>
      <c r="I240" s="1075"/>
      <c r="J240" s="1075" t="str">
        <f>Sheet1!Q234</f>
        <v>UA_NSSRC2_2W_2L_U_0L</v>
      </c>
      <c r="K240" s="1075"/>
      <c r="L240" s="1075">
        <f>Sheet1!AF234</f>
        <v>13640</v>
      </c>
      <c r="M240" s="1075"/>
      <c r="N240" s="1075"/>
      <c r="O240" s="1075"/>
      <c r="P240" s="1075">
        <f>Sheet1!AK234</f>
        <v>1020</v>
      </c>
      <c r="Q240" s="1075"/>
      <c r="R240" s="1075">
        <f>Sheet1!AD234</f>
        <v>4320</v>
      </c>
      <c r="S240" s="1081">
        <f>Sheet1!AG234</f>
        <v>0.31671554252199413</v>
      </c>
      <c r="T240" s="1075" t="str">
        <f>Sheet1!AH234</f>
        <v>C</v>
      </c>
      <c r="U240" s="1075">
        <f>Sheet1!AI234</f>
        <v>360</v>
      </c>
      <c r="V240" s="1075"/>
      <c r="W240" s="1075"/>
      <c r="X240" s="1075">
        <f>Sheet1!AJ234</f>
        <v>380</v>
      </c>
      <c r="Y240" s="1075"/>
      <c r="Z240" s="1075"/>
      <c r="AA240" s="1075"/>
      <c r="AB240" s="1075"/>
      <c r="AC240" s="1075"/>
      <c r="AD240" s="1075"/>
      <c r="AE240" s="1075"/>
      <c r="AF240" s="1075"/>
      <c r="AG240" s="1075"/>
      <c r="AH240" s="1075"/>
      <c r="AI240" s="1075"/>
      <c r="AJ240" s="1075"/>
      <c r="AK240" s="1075" t="str">
        <f>IF(Sheet1!AE237="C",Sheet1!AK237,"-")</f>
        <v>-</v>
      </c>
      <c r="AL240" s="1075" t="str">
        <f>IF(Sheet1!AE237="D",Sheet1!AK237,"-")</f>
        <v>-</v>
      </c>
      <c r="AM240" s="1075">
        <f>IF(Sheet1!AE234="E",Sheet1!AK234,"-")</f>
        <v>1020</v>
      </c>
    </row>
    <row r="241" spans="2:39" x14ac:dyDescent="0.25">
      <c r="B241" s="1082">
        <f>Sheet1!F235</f>
        <v>164</v>
      </c>
      <c r="C241" s="1075" t="str">
        <f>Sheet1!C235</f>
        <v>Beresford Ave.</v>
      </c>
      <c r="D241" s="1075" t="str">
        <f>_xlfn.TEXTBEFORE(Sheet1!E235, " to ")</f>
        <v>SR 15A</v>
      </c>
      <c r="E241" s="1075" t="str">
        <f>_xlfn.TEXTAFTER(Sheet1!E235, " to ")</f>
        <v>US 17/92</v>
      </c>
      <c r="F241" s="1075">
        <f>Sheet1!AM235</f>
        <v>2</v>
      </c>
      <c r="G241" s="1075"/>
      <c r="H241" s="1083" t="str">
        <f>Sheet1!AE235</f>
        <v>E</v>
      </c>
      <c r="I241" s="1075"/>
      <c r="J241" s="1075" t="str">
        <f>Sheet1!Q235</f>
        <v>UA_NSSRC2_2W_2L_U_0L</v>
      </c>
      <c r="K241" s="1075"/>
      <c r="L241" s="1075">
        <f>Sheet1!AF235</f>
        <v>13640</v>
      </c>
      <c r="M241" s="1075"/>
      <c r="N241" s="1075"/>
      <c r="O241" s="1075"/>
      <c r="P241" s="1075">
        <f>Sheet1!AK235</f>
        <v>1020</v>
      </c>
      <c r="Q241" s="1075"/>
      <c r="R241" s="1075">
        <f>Sheet1!AD235</f>
        <v>5220</v>
      </c>
      <c r="S241" s="1081">
        <f>Sheet1!AG235</f>
        <v>0.38269794721407624</v>
      </c>
      <c r="T241" s="1075" t="str">
        <f>Sheet1!AH235</f>
        <v>C</v>
      </c>
      <c r="U241" s="1075">
        <f>Sheet1!AI235</f>
        <v>270</v>
      </c>
      <c r="V241" s="1075"/>
      <c r="W241" s="1075"/>
      <c r="X241" s="1075">
        <f>Sheet1!AJ235</f>
        <v>430</v>
      </c>
      <c r="Y241" s="1075"/>
      <c r="Z241" s="1075"/>
      <c r="AA241" s="1075"/>
      <c r="AB241" s="1075"/>
      <c r="AC241" s="1075"/>
      <c r="AD241" s="1075"/>
      <c r="AE241" s="1075"/>
      <c r="AF241" s="1075"/>
      <c r="AG241" s="1075"/>
      <c r="AH241" s="1075"/>
      <c r="AI241" s="1075"/>
      <c r="AJ241" s="1075"/>
      <c r="AK241" s="1075" t="str">
        <f>IF(Sheet1!AE238="C",Sheet1!AK238,"-")</f>
        <v>-</v>
      </c>
      <c r="AL241" s="1075" t="str">
        <f>IF(Sheet1!AE238="D",Sheet1!AK238,"-")</f>
        <v>-</v>
      </c>
      <c r="AM241" s="1075">
        <f>IF(Sheet1!AE235="E",Sheet1!AK235,"-")</f>
        <v>1020</v>
      </c>
    </row>
    <row r="242" spans="2:39" x14ac:dyDescent="0.25">
      <c r="B242" s="1082">
        <f>Sheet1!F236</f>
        <v>165</v>
      </c>
      <c r="C242" s="1075" t="str">
        <f>Sheet1!C236</f>
        <v>Beresford Ave.</v>
      </c>
      <c r="D242" s="1075" t="str">
        <f>_xlfn.TEXTBEFORE(Sheet1!E236, " to ")</f>
        <v>US 17/92</v>
      </c>
      <c r="E242" s="1075" t="str">
        <f>_xlfn.TEXTAFTER(Sheet1!E236, " to ")</f>
        <v>Amelia Ave</v>
      </c>
      <c r="F242" s="1075">
        <f>Sheet1!AM236</f>
        <v>2</v>
      </c>
      <c r="G242" s="1075"/>
      <c r="H242" s="1083" t="str">
        <f>Sheet1!AE236</f>
        <v>E</v>
      </c>
      <c r="I242" s="1075"/>
      <c r="J242" s="1075" t="str">
        <f>Sheet1!Q236</f>
        <v>UA_NSSRC2_2W_2L_D_WL</v>
      </c>
      <c r="K242" s="1075"/>
      <c r="L242" s="1075">
        <f>Sheet1!AF236</f>
        <v>14740</v>
      </c>
      <c r="M242" s="1075"/>
      <c r="N242" s="1075"/>
      <c r="O242" s="1075"/>
      <c r="P242" s="1075">
        <f>Sheet1!AK236</f>
        <v>1330</v>
      </c>
      <c r="Q242" s="1075"/>
      <c r="R242" s="1075">
        <f>Sheet1!AD236</f>
        <v>10640</v>
      </c>
      <c r="S242" s="1081">
        <f>Sheet1!AG236</f>
        <v>0.72184531886024428</v>
      </c>
      <c r="T242" s="1075" t="str">
        <f>Sheet1!AH236</f>
        <v>D</v>
      </c>
      <c r="U242" s="1075">
        <f>Sheet1!AI236</f>
        <v>610</v>
      </c>
      <c r="V242" s="1075"/>
      <c r="W242" s="1075"/>
      <c r="X242" s="1075">
        <f>Sheet1!AJ236</f>
        <v>920</v>
      </c>
      <c r="Y242" s="1075"/>
      <c r="Z242" s="1075"/>
      <c r="AA242" s="1075"/>
      <c r="AB242" s="1075"/>
      <c r="AC242" s="1075"/>
      <c r="AD242" s="1075"/>
      <c r="AE242" s="1075"/>
      <c r="AF242" s="1075"/>
      <c r="AG242" s="1075"/>
      <c r="AH242" s="1075"/>
      <c r="AI242" s="1075"/>
      <c r="AJ242" s="1075"/>
      <c r="AK242" s="1075" t="str">
        <f>IF(Sheet1!AE239="C",Sheet1!AK239,"-")</f>
        <v>-</v>
      </c>
      <c r="AL242" s="1075" t="str">
        <f>IF(Sheet1!AE239="D",Sheet1!AK239,"-")</f>
        <v>-</v>
      </c>
      <c r="AM242" s="1075">
        <f>IF(Sheet1!AE236="E",Sheet1!AK236,"-")</f>
        <v>1330</v>
      </c>
    </row>
    <row r="243" spans="2:39" x14ac:dyDescent="0.25">
      <c r="B243" s="1082">
        <f>Sheet1!F237</f>
        <v>167</v>
      </c>
      <c r="C243" s="1075" t="str">
        <f>Sheet1!C237</f>
        <v>Beresford Ave.</v>
      </c>
      <c r="D243" s="1075" t="str">
        <f>_xlfn.TEXTBEFORE(Sheet1!E237, " to ")</f>
        <v>Amelia Ave.</v>
      </c>
      <c r="E243" s="1075" t="str">
        <f>_xlfn.TEXTAFTER(Sheet1!E237, " to ")</f>
        <v>Hill Ave.</v>
      </c>
      <c r="F243" s="1075">
        <f>Sheet1!AM237</f>
        <v>2</v>
      </c>
      <c r="G243" s="1075"/>
      <c r="H243" s="1083" t="str">
        <f>Sheet1!AE237</f>
        <v>E</v>
      </c>
      <c r="I243" s="1075"/>
      <c r="J243" s="1075" t="str">
        <f>Sheet1!Q237</f>
        <v>UA_NSSRC1_2W_2L_D_WL</v>
      </c>
      <c r="K243" s="1075"/>
      <c r="L243" s="1075">
        <f>Sheet1!AF237</f>
        <v>17900</v>
      </c>
      <c r="M243" s="1075"/>
      <c r="N243" s="1075"/>
      <c r="O243" s="1075"/>
      <c r="P243" s="1075">
        <f>Sheet1!AK237</f>
        <v>1620</v>
      </c>
      <c r="Q243" s="1075"/>
      <c r="R243" s="1075">
        <f>Sheet1!AD237</f>
        <v>7040</v>
      </c>
      <c r="S243" s="1081">
        <f>Sheet1!AG237</f>
        <v>0.39329608938547483</v>
      </c>
      <c r="T243" s="1075" t="str">
        <f>Sheet1!AH237</f>
        <v>C</v>
      </c>
      <c r="U243" s="1075">
        <f>Sheet1!AI237</f>
        <v>530</v>
      </c>
      <c r="V243" s="1075"/>
      <c r="W243" s="1075"/>
      <c r="X243" s="1075">
        <f>Sheet1!AJ237</f>
        <v>660</v>
      </c>
      <c r="Y243" s="1075"/>
      <c r="Z243" s="1075"/>
      <c r="AA243" s="1075"/>
      <c r="AB243" s="1075"/>
      <c r="AC243" s="1075"/>
      <c r="AD243" s="1075"/>
      <c r="AE243" s="1075"/>
      <c r="AF243" s="1075"/>
      <c r="AG243" s="1075"/>
      <c r="AH243" s="1075"/>
      <c r="AI243" s="1075"/>
      <c r="AJ243" s="1075"/>
      <c r="AK243" s="1075" t="str">
        <f>IF(Sheet1!AE240="C",Sheet1!AK240,"-")</f>
        <v>-</v>
      </c>
      <c r="AL243" s="1075" t="str">
        <f>IF(Sheet1!AE240="D",Sheet1!AK240,"-")</f>
        <v>-</v>
      </c>
      <c r="AM243" s="1075">
        <f>IF(Sheet1!AE237="E",Sheet1!AK237,"-")</f>
        <v>1620</v>
      </c>
    </row>
    <row r="244" spans="2:39" x14ac:dyDescent="0.25">
      <c r="B244" s="1082">
        <f>Sheet1!F238</f>
        <v>169</v>
      </c>
      <c r="C244" s="1075" t="str">
        <f>Sheet1!C238</f>
        <v>Beresford Ave.</v>
      </c>
      <c r="D244" s="1075" t="str">
        <f>_xlfn.TEXTBEFORE(Sheet1!E238, " to ")</f>
        <v>Hill Ave.</v>
      </c>
      <c r="E244" s="1075" t="str">
        <f>_xlfn.TEXTAFTER(Sheet1!E238, " to ")</f>
        <v>Blue Lake Ave.</v>
      </c>
      <c r="F244" s="1075">
        <f>Sheet1!AM238</f>
        <v>2</v>
      </c>
      <c r="G244" s="1075"/>
      <c r="H244" s="1083" t="str">
        <f>Sheet1!AE238</f>
        <v>E</v>
      </c>
      <c r="I244" s="1075"/>
      <c r="J244" s="1075" t="str">
        <f>Sheet1!Q238</f>
        <v>UA_NSSRC1_2W_2L_U_0L</v>
      </c>
      <c r="K244" s="1075"/>
      <c r="L244" s="1075">
        <f>Sheet1!AF238</f>
        <v>13640</v>
      </c>
      <c r="M244" s="1075"/>
      <c r="N244" s="1075"/>
      <c r="O244" s="1075"/>
      <c r="P244" s="1075">
        <f>Sheet1!AK238</f>
        <v>1230</v>
      </c>
      <c r="Q244" s="1075"/>
      <c r="R244" s="1075">
        <f>Sheet1!AD238</f>
        <v>4000</v>
      </c>
      <c r="S244" s="1081">
        <f>Sheet1!AG238</f>
        <v>0.2932551319648094</v>
      </c>
      <c r="T244" s="1075" t="str">
        <f>Sheet1!AH238</f>
        <v>C</v>
      </c>
      <c r="U244" s="1075">
        <f>Sheet1!AI238</f>
        <v>300</v>
      </c>
      <c r="V244" s="1075"/>
      <c r="W244" s="1075"/>
      <c r="X244" s="1075">
        <f>Sheet1!AJ238</f>
        <v>380</v>
      </c>
      <c r="Y244" s="1075"/>
      <c r="Z244" s="1075"/>
      <c r="AA244" s="1075"/>
      <c r="AB244" s="1075"/>
      <c r="AC244" s="1075"/>
      <c r="AD244" s="1075"/>
      <c r="AE244" s="1075"/>
      <c r="AF244" s="1075"/>
      <c r="AG244" s="1075"/>
      <c r="AH244" s="1075"/>
      <c r="AI244" s="1075"/>
      <c r="AJ244" s="1075"/>
      <c r="AK244" s="1075" t="str">
        <f>IF(Sheet1!AE241="C",Sheet1!AK241,"-")</f>
        <v>-</v>
      </c>
      <c r="AL244" s="1075" t="str">
        <f>IF(Sheet1!AE241="D",Sheet1!AK241,"-")</f>
        <v>-</v>
      </c>
      <c r="AM244" s="1075">
        <f>IF(Sheet1!AE238="E",Sheet1!AK238,"-")</f>
        <v>1230</v>
      </c>
    </row>
    <row r="245" spans="2:39" x14ac:dyDescent="0.25">
      <c r="B245" s="1082" t="str">
        <f>Sheet1!F239</f>
        <v>Future Rd-171</v>
      </c>
      <c r="C245" s="1075" t="str">
        <f>Sheet1!C239</f>
        <v>Beresford Ave.</v>
      </c>
      <c r="D245" s="1075" t="str">
        <f>_xlfn.TEXTBEFORE(Sheet1!E239, " to ")</f>
        <v>Blue Lake Ave.</v>
      </c>
      <c r="E245" s="1075" t="str">
        <f>_xlfn.TEXTAFTER(Sheet1!E239, " to ")</f>
        <v>MLK (Kepler Rd.)</v>
      </c>
      <c r="F245" s="1075">
        <f>Sheet1!AM239</f>
        <v>0</v>
      </c>
      <c r="G245" s="1075"/>
      <c r="H245" s="1083" t="str">
        <f>Sheet1!AE239</f>
        <v>E</v>
      </c>
      <c r="I245" s="1075"/>
      <c r="J245" s="1075" t="str">
        <f>Sheet1!Q239</f>
        <v>UA_NSSRC1_2W_2L_U_0L</v>
      </c>
      <c r="K245" s="1075"/>
      <c r="L245" s="1075">
        <f>Sheet1!AF239</f>
        <v>13640</v>
      </c>
      <c r="M245" s="1075"/>
      <c r="N245" s="1075"/>
      <c r="O245" s="1075"/>
      <c r="P245" s="1075">
        <f>Sheet1!AK239</f>
        <v>1230</v>
      </c>
      <c r="Q245" s="1075"/>
      <c r="R245" s="1075" t="str">
        <f>Sheet1!AD239</f>
        <v>-</v>
      </c>
      <c r="S245" s="1081" t="str">
        <f>Sheet1!AG239</f>
        <v>-</v>
      </c>
      <c r="T245" s="1075" t="str">
        <f>Sheet1!AH239</f>
        <v>-</v>
      </c>
      <c r="U245" s="1075" t="str">
        <f>Sheet1!AI239</f>
        <v>-</v>
      </c>
      <c r="V245" s="1075"/>
      <c r="W245" s="1075"/>
      <c r="X245" s="1075" t="str">
        <f>Sheet1!AJ239</f>
        <v>-</v>
      </c>
      <c r="Y245" s="1075"/>
      <c r="Z245" s="1075"/>
      <c r="AA245" s="1075"/>
      <c r="AB245" s="1075"/>
      <c r="AC245" s="1075"/>
      <c r="AD245" s="1075"/>
      <c r="AE245" s="1075"/>
      <c r="AF245" s="1075"/>
      <c r="AG245" s="1075"/>
      <c r="AH245" s="1075"/>
      <c r="AI245" s="1075"/>
      <c r="AJ245" s="1075"/>
      <c r="AK245" s="1075" t="str">
        <f>IF(Sheet1!AE242="C",Sheet1!AK242,"-")</f>
        <v>-</v>
      </c>
      <c r="AL245" s="1075" t="str">
        <f>IF(Sheet1!AE242="D",Sheet1!AK242,"-")</f>
        <v>-</v>
      </c>
      <c r="AM245" s="1075">
        <f>IF(Sheet1!AE239="E",Sheet1!AK239,"-")</f>
        <v>1230</v>
      </c>
    </row>
    <row r="246" spans="2:39" x14ac:dyDescent="0.25">
      <c r="B246" s="1082" t="str">
        <f>Sheet1!F240</f>
        <v>Future Rd-172</v>
      </c>
      <c r="C246" s="1075" t="str">
        <f>Sheet1!C240</f>
        <v>Beresford Ave.</v>
      </c>
      <c r="D246" s="1075" t="str">
        <f>_xlfn.TEXTBEFORE(Sheet1!E240, " to ")</f>
        <v>MLK (Kepler Rd.)</v>
      </c>
      <c r="E246" s="1075" t="str">
        <f>_xlfn.TEXTAFTER(Sheet1!E240, " to ")</f>
        <v>SR 44</v>
      </c>
      <c r="F246" s="1075">
        <f>Sheet1!AM240</f>
        <v>0</v>
      </c>
      <c r="G246" s="1075"/>
      <c r="H246" s="1083" t="str">
        <f>Sheet1!AE240</f>
        <v>E</v>
      </c>
      <c r="I246" s="1075"/>
      <c r="J246" s="1075" t="str">
        <f>Sheet1!Q240</f>
        <v>UA_NSSRC1_2W_2L_U_0L</v>
      </c>
      <c r="K246" s="1075"/>
      <c r="L246" s="1075">
        <f>Sheet1!AF240</f>
        <v>13640</v>
      </c>
      <c r="M246" s="1075"/>
      <c r="N246" s="1075"/>
      <c r="O246" s="1075"/>
      <c r="P246" s="1075">
        <f>Sheet1!AK240</f>
        <v>1230</v>
      </c>
      <c r="Q246" s="1075"/>
      <c r="R246" s="1075" t="str">
        <f>Sheet1!AD240</f>
        <v>-</v>
      </c>
      <c r="S246" s="1081" t="str">
        <f>Sheet1!AG240</f>
        <v>-</v>
      </c>
      <c r="T246" s="1075" t="str">
        <f>Sheet1!AH240</f>
        <v>-</v>
      </c>
      <c r="U246" s="1075" t="str">
        <f>Sheet1!AI240</f>
        <v>-</v>
      </c>
      <c r="V246" s="1075"/>
      <c r="W246" s="1075"/>
      <c r="X246" s="1075" t="str">
        <f>Sheet1!AJ240</f>
        <v>-</v>
      </c>
      <c r="Y246" s="1075"/>
      <c r="Z246" s="1075"/>
      <c r="AA246" s="1075"/>
      <c r="AB246" s="1075"/>
      <c r="AC246" s="1075"/>
      <c r="AD246" s="1075"/>
      <c r="AE246" s="1075"/>
      <c r="AF246" s="1075"/>
      <c r="AG246" s="1075"/>
      <c r="AH246" s="1075"/>
      <c r="AI246" s="1075"/>
      <c r="AJ246" s="1075"/>
      <c r="AK246" s="1075" t="str">
        <f>IF(Sheet1!AE243="C",Sheet1!AK243,"-")</f>
        <v>-</v>
      </c>
      <c r="AL246" s="1075" t="str">
        <f>IF(Sheet1!AE243="D",Sheet1!AK243,"-")</f>
        <v>-</v>
      </c>
      <c r="AM246" s="1075">
        <f>IF(Sheet1!AE240="E",Sheet1!AK240,"-")</f>
        <v>1230</v>
      </c>
    </row>
    <row r="247" spans="2:39" x14ac:dyDescent="0.25">
      <c r="B247" s="1082">
        <f>Sheet1!F241</f>
        <v>180</v>
      </c>
      <c r="C247" s="1075" t="str">
        <f>Sheet1!C241</f>
        <v>Beresford Rd.</v>
      </c>
      <c r="D247" s="1075" t="str">
        <f>_xlfn.TEXTBEFORE(Sheet1!E241, " to ")</f>
        <v>SR 15A</v>
      </c>
      <c r="E247" s="1075" t="str">
        <f>_xlfn.TEXTAFTER(Sheet1!E241, " to ")</f>
        <v>Spring Garden Ave.</v>
      </c>
      <c r="F247" s="1075">
        <f>Sheet1!AM241</f>
        <v>2</v>
      </c>
      <c r="G247" s="1075"/>
      <c r="H247" s="1083" t="str">
        <f>Sheet1!AE241</f>
        <v>E</v>
      </c>
      <c r="I247" s="1075"/>
      <c r="J247" s="1075" t="str">
        <f>Sheet1!Q241</f>
        <v>UA_NSSRC2_2W_2L_U_0L</v>
      </c>
      <c r="K247" s="1075"/>
      <c r="L247" s="1075">
        <f>Sheet1!AF241</f>
        <v>13640</v>
      </c>
      <c r="M247" s="1075"/>
      <c r="N247" s="1075"/>
      <c r="O247" s="1075"/>
      <c r="P247" s="1075">
        <f>Sheet1!AK241</f>
        <v>1020</v>
      </c>
      <c r="Q247" s="1075"/>
      <c r="R247" s="1075">
        <f>Sheet1!AD241</f>
        <v>530</v>
      </c>
      <c r="S247" s="1081">
        <f>Sheet1!AG241</f>
        <v>3.8856304985337244E-2</v>
      </c>
      <c r="T247" s="1075" t="str">
        <f>Sheet1!AH241</f>
        <v>C</v>
      </c>
      <c r="U247" s="1075">
        <f>Sheet1!AI241</f>
        <v>40</v>
      </c>
      <c r="V247" s="1075"/>
      <c r="W247" s="1075"/>
      <c r="X247" s="1075">
        <f>Sheet1!AJ241</f>
        <v>50</v>
      </c>
      <c r="Y247" s="1075"/>
      <c r="Z247" s="1075"/>
      <c r="AA247" s="1075"/>
      <c r="AB247" s="1075"/>
      <c r="AC247" s="1075"/>
      <c r="AD247" s="1075"/>
      <c r="AE247" s="1075"/>
      <c r="AF247" s="1075"/>
      <c r="AG247" s="1075"/>
      <c r="AH247" s="1075"/>
      <c r="AI247" s="1075"/>
      <c r="AJ247" s="1075"/>
      <c r="AK247" s="1075" t="str">
        <f>IF(Sheet1!AE244="C",Sheet1!AK244,"-")</f>
        <v>-</v>
      </c>
      <c r="AL247" s="1075" t="str">
        <f>IF(Sheet1!AE244="D",Sheet1!AK244,"-")</f>
        <v>-</v>
      </c>
      <c r="AM247" s="1075">
        <f>IF(Sheet1!AE241="E",Sheet1!AK241,"-")</f>
        <v>1020</v>
      </c>
    </row>
    <row r="248" spans="2:39" x14ac:dyDescent="0.25">
      <c r="B248" s="1082">
        <f>Sheet1!F242</f>
        <v>181</v>
      </c>
      <c r="C248" s="1075" t="str">
        <f>Sheet1!C242</f>
        <v>Beresford Rd.</v>
      </c>
      <c r="D248" s="1075" t="str">
        <f>_xlfn.TEXTBEFORE(Sheet1!E242, " to ")</f>
        <v>Spring Garden Ave.</v>
      </c>
      <c r="E248" s="1075" t="str">
        <f>_xlfn.TEXTAFTER(Sheet1!E242, " to ")</f>
        <v>Fatio Rd.</v>
      </c>
      <c r="F248" s="1075">
        <f>Sheet1!AM242</f>
        <v>2</v>
      </c>
      <c r="G248" s="1075"/>
      <c r="H248" s="1083" t="str">
        <f>Sheet1!AE242</f>
        <v>E</v>
      </c>
      <c r="I248" s="1075"/>
      <c r="J248" s="1075" t="str">
        <f>Sheet1!Q242</f>
        <v>UA_NSSRC2_2W_2L_U_0L</v>
      </c>
      <c r="K248" s="1075"/>
      <c r="L248" s="1075">
        <f>Sheet1!AF242</f>
        <v>13640</v>
      </c>
      <c r="M248" s="1075"/>
      <c r="N248" s="1075"/>
      <c r="O248" s="1075"/>
      <c r="P248" s="1075">
        <f>Sheet1!AK242</f>
        <v>1020</v>
      </c>
      <c r="Q248" s="1075"/>
      <c r="R248" s="1075">
        <f>Sheet1!AD242</f>
        <v>840</v>
      </c>
      <c r="S248" s="1081">
        <f>Sheet1!AG242</f>
        <v>6.1583577712609971E-2</v>
      </c>
      <c r="T248" s="1075" t="str">
        <f>Sheet1!AH242</f>
        <v>C</v>
      </c>
      <c r="U248" s="1075">
        <f>Sheet1!AI242</f>
        <v>60</v>
      </c>
      <c r="V248" s="1075"/>
      <c r="W248" s="1075"/>
      <c r="X248" s="1075">
        <f>Sheet1!AJ242</f>
        <v>90</v>
      </c>
      <c r="Y248" s="1075"/>
      <c r="Z248" s="1075"/>
      <c r="AA248" s="1075"/>
      <c r="AB248" s="1075"/>
      <c r="AC248" s="1075"/>
      <c r="AD248" s="1075"/>
      <c r="AE248" s="1075"/>
      <c r="AF248" s="1075"/>
      <c r="AG248" s="1075"/>
      <c r="AH248" s="1075"/>
      <c r="AI248" s="1075"/>
      <c r="AJ248" s="1075"/>
      <c r="AK248" s="1075" t="str">
        <f>IF(Sheet1!AE245="C",Sheet1!AK245,"-")</f>
        <v>-</v>
      </c>
      <c r="AL248" s="1075" t="str">
        <f>IF(Sheet1!AE245="D",Sheet1!AK245,"-")</f>
        <v>-</v>
      </c>
      <c r="AM248" s="1075">
        <f>IF(Sheet1!AE242="E",Sheet1!AK242,"-")</f>
        <v>1020</v>
      </c>
    </row>
    <row r="249" spans="2:39" x14ac:dyDescent="0.25">
      <c r="B249" s="1082">
        <f>Sheet1!F243</f>
        <v>182</v>
      </c>
      <c r="C249" s="1075" t="str">
        <f>Sheet1!C243</f>
        <v>Beresford Rd.</v>
      </c>
      <c r="D249" s="1075" t="str">
        <f>_xlfn.TEXTBEFORE(Sheet1!E243, " to ")</f>
        <v>Fatio Rd..</v>
      </c>
      <c r="E249" s="1075" t="str">
        <f>_xlfn.TEXTAFTER(Sheet1!E243, " to ")</f>
        <v>Beresford Ave</v>
      </c>
      <c r="F249" s="1075">
        <f>Sheet1!AM243</f>
        <v>2</v>
      </c>
      <c r="G249" s="1075"/>
      <c r="H249" s="1083" t="str">
        <f>Sheet1!AE243</f>
        <v>E</v>
      </c>
      <c r="I249" s="1075"/>
      <c r="J249" s="1075" t="str">
        <f>Sheet1!Q243</f>
        <v>UA_NSSRC2_2W_2L_U_0L</v>
      </c>
      <c r="K249" s="1075"/>
      <c r="L249" s="1075">
        <f>Sheet1!AF243</f>
        <v>13640</v>
      </c>
      <c r="M249" s="1075"/>
      <c r="N249" s="1075"/>
      <c r="O249" s="1075"/>
      <c r="P249" s="1075">
        <f>Sheet1!AK243</f>
        <v>1020</v>
      </c>
      <c r="Q249" s="1075"/>
      <c r="R249" s="1075">
        <f>Sheet1!AD243</f>
        <v>1910</v>
      </c>
      <c r="S249" s="1081">
        <f>Sheet1!AG243</f>
        <v>0.14002932551319647</v>
      </c>
      <c r="T249" s="1075" t="str">
        <f>Sheet1!AH243</f>
        <v>C</v>
      </c>
      <c r="U249" s="1075">
        <f>Sheet1!AI243</f>
        <v>160</v>
      </c>
      <c r="V249" s="1075"/>
      <c r="W249" s="1075"/>
      <c r="X249" s="1075">
        <f>Sheet1!AJ243</f>
        <v>200</v>
      </c>
      <c r="Y249" s="1075"/>
      <c r="Z249" s="1075"/>
      <c r="AA249" s="1075"/>
      <c r="AB249" s="1075"/>
      <c r="AC249" s="1075"/>
      <c r="AD249" s="1075"/>
      <c r="AE249" s="1075"/>
      <c r="AF249" s="1075"/>
      <c r="AG249" s="1075"/>
      <c r="AH249" s="1075"/>
      <c r="AI249" s="1075"/>
      <c r="AJ249" s="1075"/>
      <c r="AK249" s="1075" t="str">
        <f>IF(Sheet1!AE246="C",Sheet1!AK246,"-")</f>
        <v>-</v>
      </c>
      <c r="AL249" s="1075" t="str">
        <f>IF(Sheet1!AE246="D",Sheet1!AK246,"-")</f>
        <v>-</v>
      </c>
      <c r="AM249" s="1075">
        <f>IF(Sheet1!AE243="E",Sheet1!AK243,"-")</f>
        <v>1020</v>
      </c>
    </row>
    <row r="250" spans="2:39" x14ac:dyDescent="0.25">
      <c r="B250" s="1082">
        <f>Sheet1!F244</f>
        <v>183</v>
      </c>
      <c r="C250" s="1075" t="str">
        <f>Sheet1!C244</f>
        <v>Beresford Rd.</v>
      </c>
      <c r="D250" s="1075" t="str">
        <f>_xlfn.TEXTBEFORE(Sheet1!E244, " to ")</f>
        <v>Beresford Ave.</v>
      </c>
      <c r="E250" s="1075" t="str">
        <f>_xlfn.TEXTAFTER(Sheet1!E244, " to ")</f>
        <v>Old New York Ave.</v>
      </c>
      <c r="F250" s="1075">
        <f>Sheet1!AM244</f>
        <v>2</v>
      </c>
      <c r="G250" s="1075"/>
      <c r="H250" s="1083" t="str">
        <f>Sheet1!AE244</f>
        <v>E</v>
      </c>
      <c r="I250" s="1075"/>
      <c r="J250" s="1075" t="str">
        <f>Sheet1!Q244</f>
        <v>UA_NSSRC2_2W_2L_U_0L</v>
      </c>
      <c r="K250" s="1075"/>
      <c r="L250" s="1075">
        <f>Sheet1!AF244</f>
        <v>13640</v>
      </c>
      <c r="M250" s="1075"/>
      <c r="N250" s="1075"/>
      <c r="O250" s="1075"/>
      <c r="P250" s="1075">
        <f>Sheet1!AK244</f>
        <v>1020</v>
      </c>
      <c r="Q250" s="1075"/>
      <c r="R250" s="1075">
        <f>Sheet1!AD244</f>
        <v>3660</v>
      </c>
      <c r="S250" s="1081">
        <f>Sheet1!AG244</f>
        <v>0.26832844574780057</v>
      </c>
      <c r="T250" s="1075" t="str">
        <f>Sheet1!AH244</f>
        <v>C</v>
      </c>
      <c r="U250" s="1075">
        <f>Sheet1!AI244</f>
        <v>280</v>
      </c>
      <c r="V250" s="1075"/>
      <c r="W250" s="1075"/>
      <c r="X250" s="1075">
        <f>Sheet1!AJ244</f>
        <v>360</v>
      </c>
      <c r="Y250" s="1075"/>
      <c r="Z250" s="1075"/>
      <c r="AA250" s="1075"/>
      <c r="AB250" s="1075"/>
      <c r="AC250" s="1075"/>
      <c r="AD250" s="1075"/>
      <c r="AE250" s="1075"/>
      <c r="AF250" s="1075"/>
      <c r="AG250" s="1075"/>
      <c r="AH250" s="1075"/>
      <c r="AI250" s="1075"/>
      <c r="AJ250" s="1075"/>
      <c r="AK250" s="1075" t="str">
        <f>IF(Sheet1!AE247="C",Sheet1!AK247,"-")</f>
        <v>-</v>
      </c>
      <c r="AL250" s="1075" t="str">
        <f>IF(Sheet1!AE247="D",Sheet1!AK247,"-")</f>
        <v>-</v>
      </c>
      <c r="AM250" s="1075">
        <f>IF(Sheet1!AE244="E",Sheet1!AK244,"-")</f>
        <v>1020</v>
      </c>
    </row>
    <row r="251" spans="2:39" x14ac:dyDescent="0.25">
      <c r="B251" s="1082">
        <f>Sheet1!F245</f>
        <v>192</v>
      </c>
      <c r="C251" s="1075" t="str">
        <f>Sheet1!C245</f>
        <v>Big Tree Rd.</v>
      </c>
      <c r="D251" s="1075" t="str">
        <f>_xlfn.TEXTBEFORE(Sheet1!E245, " to ")</f>
        <v>Clyde Morris Blvd.</v>
      </c>
      <c r="E251" s="1075" t="str">
        <f>_xlfn.TEXTAFTER(Sheet1!E245, " to ")</f>
        <v>Nova Rd.</v>
      </c>
      <c r="F251" s="1075">
        <f>Sheet1!AM245</f>
        <v>2</v>
      </c>
      <c r="G251" s="1075"/>
      <c r="H251" s="1083" t="str">
        <f>Sheet1!AE245</f>
        <v>E</v>
      </c>
      <c r="I251" s="1075"/>
      <c r="J251" s="1075" t="str">
        <f>Sheet1!Q245</f>
        <v>UA_NSSRC2_2W_2L_U_0L</v>
      </c>
      <c r="K251" s="1075"/>
      <c r="L251" s="1075">
        <f>Sheet1!AF245</f>
        <v>13640</v>
      </c>
      <c r="M251" s="1075"/>
      <c r="N251" s="1075"/>
      <c r="O251" s="1075"/>
      <c r="P251" s="1075">
        <f>Sheet1!AK245</f>
        <v>1020</v>
      </c>
      <c r="Q251" s="1075"/>
      <c r="R251" s="1075">
        <f>Sheet1!AD245</f>
        <v>6480</v>
      </c>
      <c r="S251" s="1081">
        <f>Sheet1!AG245</f>
        <v>0.47507331378299122</v>
      </c>
      <c r="T251" s="1075" t="str">
        <f>Sheet1!AH245</f>
        <v>D</v>
      </c>
      <c r="U251" s="1075">
        <f>Sheet1!AI245</f>
        <v>420</v>
      </c>
      <c r="V251" s="1075"/>
      <c r="W251" s="1075"/>
      <c r="X251" s="1075">
        <f>Sheet1!AJ245</f>
        <v>570</v>
      </c>
      <c r="Y251" s="1075"/>
      <c r="Z251" s="1075"/>
      <c r="AA251" s="1075"/>
      <c r="AB251" s="1075"/>
      <c r="AC251" s="1075"/>
      <c r="AD251" s="1075"/>
      <c r="AE251" s="1075"/>
      <c r="AF251" s="1075"/>
      <c r="AG251" s="1075"/>
      <c r="AH251" s="1075"/>
      <c r="AI251" s="1075"/>
      <c r="AJ251" s="1075"/>
      <c r="AK251" s="1075" t="str">
        <f>IF(Sheet1!AE248="C",Sheet1!AK248,"-")</f>
        <v>-</v>
      </c>
      <c r="AL251" s="1075" t="str">
        <f>IF(Sheet1!AE248="D",Sheet1!AK248,"-")</f>
        <v>-</v>
      </c>
      <c r="AM251" s="1075">
        <f>IF(Sheet1!AE245="E",Sheet1!AK245,"-")</f>
        <v>1020</v>
      </c>
    </row>
    <row r="252" spans="2:39" x14ac:dyDescent="0.25">
      <c r="B252" s="1082">
        <f>Sheet1!F246</f>
        <v>193</v>
      </c>
      <c r="C252" s="1075" t="str">
        <f>Sheet1!C246</f>
        <v>Big Tree Rd.</v>
      </c>
      <c r="D252" s="1075" t="str">
        <f>_xlfn.TEXTBEFORE(Sheet1!E246, " to ")</f>
        <v>Nova Rd.</v>
      </c>
      <c r="E252" s="1075" t="str">
        <f>_xlfn.TEXTAFTER(Sheet1!E246, " to ")</f>
        <v>Magnolia Ave.</v>
      </c>
      <c r="F252" s="1075">
        <f>Sheet1!AM246</f>
        <v>2</v>
      </c>
      <c r="G252" s="1075"/>
      <c r="H252" s="1083" t="str">
        <f>Sheet1!AE246</f>
        <v>E</v>
      </c>
      <c r="I252" s="1075"/>
      <c r="J252" s="1075" t="str">
        <f>Sheet1!Q246</f>
        <v>UA_NSSRC2_2W_2L_D_WL</v>
      </c>
      <c r="K252" s="1075"/>
      <c r="L252" s="1075">
        <f>Sheet1!AF246</f>
        <v>14740</v>
      </c>
      <c r="M252" s="1075"/>
      <c r="N252" s="1075"/>
      <c r="O252" s="1075"/>
      <c r="P252" s="1075">
        <f>Sheet1!AK246</f>
        <v>1330</v>
      </c>
      <c r="Q252" s="1075"/>
      <c r="R252" s="1075">
        <f>Sheet1!AD246</f>
        <v>12250</v>
      </c>
      <c r="S252" s="1081">
        <f>Sheet1!AG246</f>
        <v>0.83107191316146545</v>
      </c>
      <c r="T252" s="1075" t="str">
        <f>Sheet1!AH246</f>
        <v>D</v>
      </c>
      <c r="U252" s="1075">
        <f>Sheet1!AI246</f>
        <v>820</v>
      </c>
      <c r="V252" s="1075"/>
      <c r="W252" s="1075"/>
      <c r="X252" s="1075">
        <f>Sheet1!AJ246</f>
        <v>1020</v>
      </c>
      <c r="Y252" s="1075"/>
      <c r="Z252" s="1075"/>
      <c r="AA252" s="1075"/>
      <c r="AB252" s="1075"/>
      <c r="AC252" s="1075"/>
      <c r="AD252" s="1075"/>
      <c r="AE252" s="1075"/>
      <c r="AF252" s="1075"/>
      <c r="AG252" s="1075"/>
      <c r="AH252" s="1075"/>
      <c r="AI252" s="1075"/>
      <c r="AJ252" s="1075"/>
      <c r="AK252" s="1075">
        <f>IF(Sheet1!AE249="C",Sheet1!AK249,"-")</f>
        <v>620</v>
      </c>
      <c r="AL252" s="1075" t="str">
        <f>IF(Sheet1!AE249="D",Sheet1!AK249,"-")</f>
        <v>-</v>
      </c>
      <c r="AM252" s="1075">
        <f>IF(Sheet1!AE246="E",Sheet1!AK246,"-")</f>
        <v>1330</v>
      </c>
    </row>
    <row r="253" spans="2:39" x14ac:dyDescent="0.25">
      <c r="B253" s="1082">
        <f>Sheet1!F247</f>
        <v>195</v>
      </c>
      <c r="C253" s="1075" t="str">
        <f>Sheet1!C247</f>
        <v>Big Tree Rd.</v>
      </c>
      <c r="D253" s="1075" t="str">
        <f>_xlfn.TEXTBEFORE(Sheet1!E247, " to ")</f>
        <v>Magnolia Ave.</v>
      </c>
      <c r="E253" s="1075" t="str">
        <f>_xlfn.TEXTAFTER(Sheet1!E247, " to ")</f>
        <v>Kenilworth Ave.</v>
      </c>
      <c r="F253" s="1075">
        <f>Sheet1!AM247</f>
        <v>3</v>
      </c>
      <c r="G253" s="1075"/>
      <c r="H253" s="1083" t="str">
        <f>Sheet1!AE247</f>
        <v>E</v>
      </c>
      <c r="I253" s="1075"/>
      <c r="J253" s="1075" t="str">
        <f>Sheet1!Q247</f>
        <v>UA_NSSRC2_2W_2L_D_WL</v>
      </c>
      <c r="K253" s="1075"/>
      <c r="L253" s="1075">
        <f>Sheet1!AF247</f>
        <v>14740</v>
      </c>
      <c r="M253" s="1075"/>
      <c r="N253" s="1075"/>
      <c r="O253" s="1075"/>
      <c r="P253" s="1075">
        <f>Sheet1!AK247</f>
        <v>1330</v>
      </c>
      <c r="Q253" s="1075"/>
      <c r="R253" s="1075">
        <f>Sheet1!AD247</f>
        <v>10560</v>
      </c>
      <c r="S253" s="1081">
        <f>Sheet1!AG247</f>
        <v>0.71641791044776115</v>
      </c>
      <c r="T253" s="1075" t="str">
        <f>Sheet1!AH247</f>
        <v>D</v>
      </c>
      <c r="U253" s="1075">
        <f>Sheet1!AI247</f>
        <v>750</v>
      </c>
      <c r="V253" s="1075"/>
      <c r="W253" s="1075"/>
      <c r="X253" s="1075">
        <f>Sheet1!AJ247</f>
        <v>710</v>
      </c>
      <c r="Y253" s="1075"/>
      <c r="Z253" s="1075"/>
      <c r="AA253" s="1075"/>
      <c r="AB253" s="1075"/>
      <c r="AC253" s="1075"/>
      <c r="AD253" s="1075"/>
      <c r="AE253" s="1075"/>
      <c r="AF253" s="1075"/>
      <c r="AG253" s="1075"/>
      <c r="AH253" s="1075"/>
      <c r="AI253" s="1075"/>
      <c r="AJ253" s="1075"/>
      <c r="AK253" s="1075">
        <f>IF(Sheet1!AE250="C",Sheet1!AK250,"-")</f>
        <v>620</v>
      </c>
      <c r="AL253" s="1075" t="str">
        <f>IF(Sheet1!AE250="D",Sheet1!AK250,"-")</f>
        <v>-</v>
      </c>
      <c r="AM253" s="1075">
        <f>IF(Sheet1!AE247="E",Sheet1!AK247,"-")</f>
        <v>1330</v>
      </c>
    </row>
    <row r="254" spans="2:39" x14ac:dyDescent="0.25">
      <c r="B254" s="1082">
        <f>Sheet1!F248</f>
        <v>196</v>
      </c>
      <c r="C254" s="1075" t="str">
        <f>Sheet1!C248</f>
        <v>Big Tree Rd.</v>
      </c>
      <c r="D254" s="1075" t="str">
        <f>_xlfn.TEXTBEFORE(Sheet1!E248, " to ")</f>
        <v>Kenilworth Ave.</v>
      </c>
      <c r="E254" s="1075" t="str">
        <f>_xlfn.TEXTAFTER(Sheet1!E248, " to ")</f>
        <v>US 1</v>
      </c>
      <c r="F254" s="1075">
        <f>Sheet1!AM248</f>
        <v>3</v>
      </c>
      <c r="G254" s="1075"/>
      <c r="H254" s="1083" t="str">
        <f>Sheet1!AE248</f>
        <v>E</v>
      </c>
      <c r="I254" s="1075"/>
      <c r="J254" s="1075" t="str">
        <f>Sheet1!Q248</f>
        <v>UA_NSSRC2_2W_2L_D_WL</v>
      </c>
      <c r="K254" s="1075"/>
      <c r="L254" s="1075">
        <f>Sheet1!AF248</f>
        <v>14740</v>
      </c>
      <c r="M254" s="1075"/>
      <c r="N254" s="1075"/>
      <c r="O254" s="1075"/>
      <c r="P254" s="1075">
        <f>Sheet1!AK248</f>
        <v>1330</v>
      </c>
      <c r="Q254" s="1075"/>
      <c r="R254" s="1075">
        <f>Sheet1!AD248</f>
        <v>7580</v>
      </c>
      <c r="S254" s="1081">
        <f>Sheet1!AG248</f>
        <v>0.51424694708276797</v>
      </c>
      <c r="T254" s="1075" t="str">
        <f>Sheet1!AH248</f>
        <v>D</v>
      </c>
      <c r="U254" s="1075">
        <f>Sheet1!AI248</f>
        <v>460</v>
      </c>
      <c r="V254" s="1075"/>
      <c r="W254" s="1075"/>
      <c r="X254" s="1075">
        <f>Sheet1!AJ248</f>
        <v>610</v>
      </c>
      <c r="Y254" s="1075"/>
      <c r="Z254" s="1075"/>
      <c r="AA254" s="1075"/>
      <c r="AB254" s="1075"/>
      <c r="AC254" s="1075"/>
      <c r="AD254" s="1075"/>
      <c r="AE254" s="1075"/>
      <c r="AF254" s="1075"/>
      <c r="AG254" s="1075"/>
      <c r="AH254" s="1075"/>
      <c r="AI254" s="1075"/>
      <c r="AJ254" s="1075"/>
      <c r="AK254" s="1075" t="str">
        <f>IF(Sheet1!AE251="C",Sheet1!AK251,"-")</f>
        <v>-</v>
      </c>
      <c r="AL254" s="1075" t="str">
        <f>IF(Sheet1!AE251="D",Sheet1!AK251,"-")</f>
        <v>-</v>
      </c>
      <c r="AM254" s="1075">
        <f>IF(Sheet1!AE248="E",Sheet1!AK248,"-")</f>
        <v>1330</v>
      </c>
    </row>
    <row r="255" spans="2:39" x14ac:dyDescent="0.25">
      <c r="B255" s="1082">
        <f>Sheet1!F249</f>
        <v>211</v>
      </c>
      <c r="C255" s="1075" t="str">
        <f>Sheet1!C249</f>
        <v>Blackburn Rd.</v>
      </c>
      <c r="D255" s="1075" t="str">
        <f>_xlfn.TEXTBEFORE(Sheet1!E249, " to ")</f>
        <v>CR 3</v>
      </c>
      <c r="E255" s="1075" t="str">
        <f>_xlfn.TEXTAFTER(Sheet1!E249, " to ")</f>
        <v>Emporia Rd</v>
      </c>
      <c r="F255" s="1075">
        <f>Sheet1!AM249</f>
        <v>2</v>
      </c>
      <c r="G255" s="1075"/>
      <c r="H255" s="1083" t="str">
        <f>Sheet1!AE249</f>
        <v>C</v>
      </c>
      <c r="I255" s="1075"/>
      <c r="J255" s="1075" t="str">
        <f>Sheet1!Q249</f>
        <v>RUA_UFH_2W_2L_U_0L</v>
      </c>
      <c r="K255" s="1075"/>
      <c r="L255" s="1075">
        <f>Sheet1!AF249</f>
        <v>6450</v>
      </c>
      <c r="M255" s="1075"/>
      <c r="N255" s="1075"/>
      <c r="O255" s="1075"/>
      <c r="P255" s="1075">
        <f>Sheet1!AK249</f>
        <v>620</v>
      </c>
      <c r="Q255" s="1075"/>
      <c r="R255" s="1075">
        <f>Sheet1!AD249</f>
        <v>740</v>
      </c>
      <c r="S255" s="1081">
        <f>Sheet1!AG249</f>
        <v>0.11472868217054263</v>
      </c>
      <c r="T255" s="1075" t="str">
        <f>Sheet1!AH249</f>
        <v>B</v>
      </c>
      <c r="U255" s="1075">
        <f>Sheet1!AI249</f>
        <v>70</v>
      </c>
      <c r="V255" s="1075"/>
      <c r="W255" s="1075"/>
      <c r="X255" s="1075">
        <f>Sheet1!AJ249</f>
        <v>70</v>
      </c>
      <c r="Y255" s="1075"/>
      <c r="Z255" s="1075"/>
      <c r="AA255" s="1075"/>
      <c r="AB255" s="1075"/>
      <c r="AC255" s="1075"/>
      <c r="AD255" s="1075"/>
      <c r="AE255" s="1075"/>
      <c r="AF255" s="1075"/>
      <c r="AG255" s="1075"/>
      <c r="AH255" s="1075"/>
      <c r="AI255" s="1075"/>
      <c r="AJ255" s="1075"/>
      <c r="AK255" s="1075" t="str">
        <f>IF(Sheet1!AE252="C",Sheet1!AK252,"-")</f>
        <v>-</v>
      </c>
      <c r="AL255" s="1075" t="str">
        <f>IF(Sheet1!AE252="D",Sheet1!AK252,"-")</f>
        <v>-</v>
      </c>
      <c r="AM255" s="1075" t="str">
        <f>IF(Sheet1!AE249="E",Sheet1!AK249,"-")</f>
        <v>-</v>
      </c>
    </row>
    <row r="256" spans="2:39" x14ac:dyDescent="0.25">
      <c r="B256" s="1082">
        <f>Sheet1!F250</f>
        <v>221</v>
      </c>
      <c r="C256" s="1075" t="str">
        <f>Sheet1!C250</f>
        <v>Blackwelder Rd.</v>
      </c>
      <c r="D256" s="1075" t="str">
        <f>_xlfn.TEXTBEFORE(Sheet1!E250, " to ")</f>
        <v>Lake Winona Rd.</v>
      </c>
      <c r="E256" s="1075" t="str">
        <f>_xlfn.TEXTAFTER(Sheet1!E250, " to ")</f>
        <v>SR 11</v>
      </c>
      <c r="F256" s="1075">
        <f>Sheet1!AM250</f>
        <v>2</v>
      </c>
      <c r="G256" s="1075"/>
      <c r="H256" s="1083" t="str">
        <f>Sheet1!AE250</f>
        <v>C</v>
      </c>
      <c r="I256" s="1075"/>
      <c r="J256" s="1075" t="str">
        <f>Sheet1!Q250</f>
        <v>RUA_UFH_2W_2L_U_0L</v>
      </c>
      <c r="K256" s="1075"/>
      <c r="L256" s="1075">
        <f>Sheet1!AF250</f>
        <v>6450</v>
      </c>
      <c r="M256" s="1075"/>
      <c r="N256" s="1075"/>
      <c r="O256" s="1075"/>
      <c r="P256" s="1075">
        <f>Sheet1!AK250</f>
        <v>620</v>
      </c>
      <c r="Q256" s="1075"/>
      <c r="R256" s="1075">
        <f>Sheet1!AD250</f>
        <v>220</v>
      </c>
      <c r="S256" s="1081">
        <f>Sheet1!AG250</f>
        <v>3.4108527131782945E-2</v>
      </c>
      <c r="T256" s="1075" t="str">
        <f>Sheet1!AH250</f>
        <v>B</v>
      </c>
      <c r="U256" s="1075">
        <f>Sheet1!AI250</f>
        <v>20</v>
      </c>
      <c r="V256" s="1075"/>
      <c r="W256" s="1075"/>
      <c r="X256" s="1075">
        <f>Sheet1!AJ250</f>
        <v>20</v>
      </c>
      <c r="Y256" s="1075"/>
      <c r="Z256" s="1075"/>
      <c r="AA256" s="1075"/>
      <c r="AB256" s="1075"/>
      <c r="AC256" s="1075"/>
      <c r="AD256" s="1075"/>
      <c r="AE256" s="1075"/>
      <c r="AF256" s="1075"/>
      <c r="AG256" s="1075"/>
      <c r="AH256" s="1075"/>
      <c r="AI256" s="1075"/>
      <c r="AJ256" s="1075"/>
      <c r="AK256" s="1075" t="str">
        <f>IF(Sheet1!AE253="C",Sheet1!AK253,"-")</f>
        <v>-</v>
      </c>
      <c r="AL256" s="1075" t="str">
        <f>IF(Sheet1!AE253="D",Sheet1!AK253,"-")</f>
        <v>-</v>
      </c>
      <c r="AM256" s="1075" t="str">
        <f>IF(Sheet1!AE250="E",Sheet1!AK250,"-")</f>
        <v>-</v>
      </c>
    </row>
    <row r="257" spans="2:39" x14ac:dyDescent="0.25">
      <c r="B257" s="1082" t="str">
        <f>Sheet1!F251</f>
        <v>Future Rd-230</v>
      </c>
      <c r="C257" s="1075" t="str">
        <f>Sheet1!C251</f>
        <v>Blue Lake Ave.</v>
      </c>
      <c r="D257" s="1075" t="str">
        <f>_xlfn.TEXTBEFORE(Sheet1!E251, " to ")</f>
        <v>SR 472</v>
      </c>
      <c r="E257" s="1075" t="str">
        <f>_xlfn.TEXTAFTER(Sheet1!E251, " to ")</f>
        <v>Orange Camp Rd</v>
      </c>
      <c r="F257" s="1075">
        <f>Sheet1!AM251</f>
        <v>2</v>
      </c>
      <c r="G257" s="1075"/>
      <c r="H257" s="1083" t="str">
        <f>Sheet1!AE251</f>
        <v>E</v>
      </c>
      <c r="I257" s="1075"/>
      <c r="J257" s="1075" t="str">
        <f>Sheet1!Q251</f>
        <v>UA_NSSRC1_2W_2L_U_WL</v>
      </c>
      <c r="K257" s="1075"/>
      <c r="L257" s="1075">
        <f>Sheet1!AF251</f>
        <v>17050</v>
      </c>
      <c r="M257" s="1075"/>
      <c r="N257" s="1075"/>
      <c r="O257" s="1075"/>
      <c r="P257" s="1075">
        <f>Sheet1!AK251</f>
        <v>1540</v>
      </c>
      <c r="Q257" s="1075"/>
      <c r="R257" s="1075" t="str">
        <f>Sheet1!AD251</f>
        <v>-</v>
      </c>
      <c r="S257" s="1081" t="str">
        <f>Sheet1!AG251</f>
        <v>-</v>
      </c>
      <c r="T257" s="1075" t="str">
        <f>Sheet1!AH251</f>
        <v>-</v>
      </c>
      <c r="U257" s="1075" t="str">
        <f>Sheet1!AI251</f>
        <v>-</v>
      </c>
      <c r="V257" s="1075"/>
      <c r="W257" s="1075"/>
      <c r="X257" s="1075" t="str">
        <f>Sheet1!AJ251</f>
        <v>-</v>
      </c>
      <c r="Y257" s="1075"/>
      <c r="Z257" s="1075"/>
      <c r="AA257" s="1075"/>
      <c r="AB257" s="1075"/>
      <c r="AC257" s="1075"/>
      <c r="AD257" s="1075"/>
      <c r="AE257" s="1075"/>
      <c r="AF257" s="1075"/>
      <c r="AG257" s="1075"/>
      <c r="AH257" s="1075"/>
      <c r="AI257" s="1075"/>
      <c r="AJ257" s="1075"/>
      <c r="AK257" s="1075" t="str">
        <f>IF(Sheet1!AE254="C",Sheet1!AK254,"-")</f>
        <v>-</v>
      </c>
      <c r="AL257" s="1075" t="str">
        <f>IF(Sheet1!AE254="D",Sheet1!AK254,"-")</f>
        <v>-</v>
      </c>
      <c r="AM257" s="1075">
        <f>IF(Sheet1!AE251="E",Sheet1!AK251,"-")</f>
        <v>1540</v>
      </c>
    </row>
    <row r="258" spans="2:39" x14ac:dyDescent="0.25">
      <c r="B258" s="1082">
        <f>Sheet1!F252</f>
        <v>231</v>
      </c>
      <c r="C258" s="1075" t="str">
        <f>Sheet1!C252</f>
        <v>Blue Lake Ave.</v>
      </c>
      <c r="D258" s="1075" t="str">
        <f>_xlfn.TEXTBEFORE(Sheet1!E252, " to ")</f>
        <v>Orange Camp Rd.</v>
      </c>
      <c r="E258" s="1075" t="str">
        <f>_xlfn.TEXTAFTER(Sheet1!E252, " to ")</f>
        <v>Taylor Rd.</v>
      </c>
      <c r="F258" s="1075">
        <f>Sheet1!AM252</f>
        <v>2</v>
      </c>
      <c r="G258" s="1075"/>
      <c r="H258" s="1083" t="str">
        <f>Sheet1!AE252</f>
        <v>E</v>
      </c>
      <c r="I258" s="1075"/>
      <c r="J258" s="1075" t="str">
        <f>Sheet1!Q252</f>
        <v>UA_NSSRC1_2W_2L_U_WL</v>
      </c>
      <c r="K258" s="1075"/>
      <c r="L258" s="1075">
        <f>Sheet1!AF252</f>
        <v>17050</v>
      </c>
      <c r="M258" s="1075"/>
      <c r="N258" s="1075"/>
      <c r="O258" s="1075"/>
      <c r="P258" s="1075">
        <f>Sheet1!AK252</f>
        <v>1540</v>
      </c>
      <c r="Q258" s="1075"/>
      <c r="R258" s="1075">
        <f>Sheet1!AD252</f>
        <v>5540</v>
      </c>
      <c r="S258" s="1081">
        <f>Sheet1!AG252</f>
        <v>0.32492668621700882</v>
      </c>
      <c r="T258" s="1075" t="str">
        <f>Sheet1!AH252</f>
        <v>C</v>
      </c>
      <c r="U258" s="1075">
        <f>Sheet1!AI252</f>
        <v>630</v>
      </c>
      <c r="V258" s="1075"/>
      <c r="W258" s="1075"/>
      <c r="X258" s="1075">
        <f>Sheet1!AJ252</f>
        <v>530</v>
      </c>
      <c r="Y258" s="1075"/>
      <c r="Z258" s="1075"/>
      <c r="AA258" s="1075"/>
      <c r="AB258" s="1075"/>
      <c r="AC258" s="1075"/>
      <c r="AD258" s="1075"/>
      <c r="AE258" s="1075"/>
      <c r="AF258" s="1075"/>
      <c r="AG258" s="1075"/>
      <c r="AH258" s="1075"/>
      <c r="AI258" s="1075"/>
      <c r="AJ258" s="1075"/>
      <c r="AK258" s="1075" t="str">
        <f>IF(Sheet1!AE255="C",Sheet1!AK255,"-")</f>
        <v>-</v>
      </c>
      <c r="AL258" s="1075" t="str">
        <f>IF(Sheet1!AE255="D",Sheet1!AK255,"-")</f>
        <v>-</v>
      </c>
      <c r="AM258" s="1075">
        <f>IF(Sheet1!AE252="E",Sheet1!AK252,"-")</f>
        <v>1540</v>
      </c>
    </row>
    <row r="259" spans="2:39" x14ac:dyDescent="0.25">
      <c r="B259" s="1082">
        <f>Sheet1!F253</f>
        <v>232</v>
      </c>
      <c r="C259" s="1075" t="str">
        <f>Sheet1!C253</f>
        <v>Blue Lake Ave.</v>
      </c>
      <c r="D259" s="1075" t="str">
        <f>_xlfn.TEXTBEFORE(Sheet1!E253, " to ")</f>
        <v>Taylor Rd.</v>
      </c>
      <c r="E259" s="1075" t="str">
        <f>_xlfn.TEXTAFTER(Sheet1!E253, " to ")</f>
        <v>Beresford Ave.</v>
      </c>
      <c r="F259" s="1075">
        <f>Sheet1!AM253</f>
        <v>2</v>
      </c>
      <c r="G259" s="1075"/>
      <c r="H259" s="1083" t="str">
        <f>Sheet1!AE253</f>
        <v>E</v>
      </c>
      <c r="I259" s="1075"/>
      <c r="J259" s="1075" t="str">
        <f>Sheet1!Q253</f>
        <v>UA_NSSRC1_2W_2L_U_0L</v>
      </c>
      <c r="K259" s="1075"/>
      <c r="L259" s="1075">
        <f>Sheet1!AF253</f>
        <v>13640</v>
      </c>
      <c r="M259" s="1075"/>
      <c r="N259" s="1075"/>
      <c r="O259" s="1075"/>
      <c r="P259" s="1075">
        <f>Sheet1!AK253</f>
        <v>1230</v>
      </c>
      <c r="Q259" s="1075"/>
      <c r="R259" s="1075">
        <f>Sheet1!AD253</f>
        <v>7670</v>
      </c>
      <c r="S259" s="1081">
        <f>Sheet1!AG253</f>
        <v>0.56231671554252194</v>
      </c>
      <c r="T259" s="1075" t="str">
        <f>Sheet1!AH253</f>
        <v>C</v>
      </c>
      <c r="U259" s="1075">
        <f>Sheet1!AI253</f>
        <v>600</v>
      </c>
      <c r="V259" s="1075"/>
      <c r="W259" s="1075"/>
      <c r="X259" s="1075">
        <f>Sheet1!AJ253</f>
        <v>730</v>
      </c>
      <c r="Y259" s="1075"/>
      <c r="Z259" s="1075"/>
      <c r="AA259" s="1075"/>
      <c r="AB259" s="1075"/>
      <c r="AC259" s="1075"/>
      <c r="AD259" s="1075"/>
      <c r="AE259" s="1075"/>
      <c r="AF259" s="1075"/>
      <c r="AG259" s="1075"/>
      <c r="AH259" s="1075"/>
      <c r="AI259" s="1075"/>
      <c r="AJ259" s="1075"/>
      <c r="AK259" s="1075" t="str">
        <f>IF(Sheet1!AE256="C",Sheet1!AK256,"-")</f>
        <v>-</v>
      </c>
      <c r="AL259" s="1075" t="str">
        <f>IF(Sheet1!AE256="D",Sheet1!AK256,"-")</f>
        <v>-</v>
      </c>
      <c r="AM259" s="1075">
        <f>IF(Sheet1!AE253="E",Sheet1!AK253,"-")</f>
        <v>1230</v>
      </c>
    </row>
    <row r="260" spans="2:39" x14ac:dyDescent="0.25">
      <c r="B260" s="1082">
        <f>Sheet1!F254</f>
        <v>234</v>
      </c>
      <c r="C260" s="1075" t="str">
        <f>Sheet1!C254</f>
        <v>Blue Lake Ave.</v>
      </c>
      <c r="D260" s="1075" t="str">
        <f>_xlfn.TEXTBEFORE(Sheet1!E254, " to ")</f>
        <v>Beresford Ave.</v>
      </c>
      <c r="E260" s="1075" t="str">
        <f>_xlfn.TEXTAFTER(Sheet1!E254, " to ")</f>
        <v>Voorhis Ave.</v>
      </c>
      <c r="F260" s="1075">
        <f>Sheet1!AM254</f>
        <v>2</v>
      </c>
      <c r="G260" s="1075"/>
      <c r="H260" s="1083" t="str">
        <f>Sheet1!AE254</f>
        <v>E</v>
      </c>
      <c r="I260" s="1075"/>
      <c r="J260" s="1075" t="str">
        <f>Sheet1!Q254</f>
        <v>UA_NSSRC2_2W_2L_U_0L</v>
      </c>
      <c r="K260" s="1075"/>
      <c r="L260" s="1075">
        <f>Sheet1!AF254</f>
        <v>13640</v>
      </c>
      <c r="M260" s="1075"/>
      <c r="N260" s="1075"/>
      <c r="O260" s="1075"/>
      <c r="P260" s="1075">
        <f>Sheet1!AK254</f>
        <v>1020</v>
      </c>
      <c r="Q260" s="1075"/>
      <c r="R260" s="1075">
        <f>Sheet1!AD254</f>
        <v>5320</v>
      </c>
      <c r="S260" s="1081">
        <f>Sheet1!AG254</f>
        <v>0.39002932551319647</v>
      </c>
      <c r="T260" s="1075" t="str">
        <f>Sheet1!AH254</f>
        <v>C</v>
      </c>
      <c r="U260" s="1075">
        <f>Sheet1!AI254</f>
        <v>410</v>
      </c>
      <c r="V260" s="1075"/>
      <c r="W260" s="1075"/>
      <c r="X260" s="1075">
        <f>Sheet1!AJ254</f>
        <v>540</v>
      </c>
      <c r="Y260" s="1075"/>
      <c r="Z260" s="1075"/>
      <c r="AA260" s="1075"/>
      <c r="AB260" s="1075"/>
      <c r="AC260" s="1075"/>
      <c r="AD260" s="1075"/>
      <c r="AE260" s="1075"/>
      <c r="AF260" s="1075"/>
      <c r="AG260" s="1075"/>
      <c r="AH260" s="1075"/>
      <c r="AI260" s="1075"/>
      <c r="AJ260" s="1075"/>
      <c r="AK260" s="1075" t="str">
        <f>IF(Sheet1!AE257="C",Sheet1!AK257,"-")</f>
        <v>-</v>
      </c>
      <c r="AL260" s="1075" t="str">
        <f>IF(Sheet1!AE257="D",Sheet1!AK257,"-")</f>
        <v>-</v>
      </c>
      <c r="AM260" s="1075">
        <f>IF(Sheet1!AE254="E",Sheet1!AK254,"-")</f>
        <v>1020</v>
      </c>
    </row>
    <row r="261" spans="2:39" x14ac:dyDescent="0.25">
      <c r="B261" s="1082">
        <f>Sheet1!F255</f>
        <v>235</v>
      </c>
      <c r="C261" s="1075" t="str">
        <f>Sheet1!C255</f>
        <v>Blue Lake Ave.</v>
      </c>
      <c r="D261" s="1075" t="str">
        <f>_xlfn.TEXTBEFORE(Sheet1!E255, " to ")</f>
        <v>Voorhis Ave.</v>
      </c>
      <c r="E261" s="1075" t="str">
        <f>_xlfn.TEXTAFTER(Sheet1!E255, " to ")</f>
        <v>SR 44</v>
      </c>
      <c r="F261" s="1075">
        <f>Sheet1!AM255</f>
        <v>2</v>
      </c>
      <c r="G261" s="1075"/>
      <c r="H261" s="1083" t="str">
        <f>Sheet1!AE255</f>
        <v>E</v>
      </c>
      <c r="I261" s="1075"/>
      <c r="J261" s="1075" t="str">
        <f>Sheet1!Q255</f>
        <v>UA_NSSRC2_2W_2L_U_0L</v>
      </c>
      <c r="K261" s="1075"/>
      <c r="L261" s="1075">
        <f>Sheet1!AF255</f>
        <v>13640</v>
      </c>
      <c r="M261" s="1075"/>
      <c r="N261" s="1075"/>
      <c r="O261" s="1075"/>
      <c r="P261" s="1075">
        <f>Sheet1!AK255</f>
        <v>1020</v>
      </c>
      <c r="Q261" s="1075"/>
      <c r="R261" s="1075">
        <f>Sheet1!AD255</f>
        <v>4180</v>
      </c>
      <c r="S261" s="1081">
        <f>Sheet1!AG255</f>
        <v>0.30645161290322581</v>
      </c>
      <c r="T261" s="1075" t="str">
        <f>Sheet1!AH255</f>
        <v>C</v>
      </c>
      <c r="U261" s="1075">
        <f>Sheet1!AI255</f>
        <v>330</v>
      </c>
      <c r="V261" s="1075"/>
      <c r="W261" s="1075"/>
      <c r="X261" s="1075">
        <f>Sheet1!AJ255</f>
        <v>410</v>
      </c>
      <c r="Y261" s="1075"/>
      <c r="Z261" s="1075"/>
      <c r="AA261" s="1075"/>
      <c r="AB261" s="1075"/>
      <c r="AC261" s="1075"/>
      <c r="AD261" s="1075"/>
      <c r="AE261" s="1075"/>
      <c r="AF261" s="1075"/>
      <c r="AG261" s="1075"/>
      <c r="AH261" s="1075"/>
      <c r="AI261" s="1075"/>
      <c r="AJ261" s="1075"/>
      <c r="AK261" s="1075" t="str">
        <f>IF(Sheet1!AE258="C",Sheet1!AK258,"-")</f>
        <v>-</v>
      </c>
      <c r="AL261" s="1075" t="str">
        <f>IF(Sheet1!AE258="D",Sheet1!AK258,"-")</f>
        <v>-</v>
      </c>
      <c r="AM261" s="1075">
        <f>IF(Sheet1!AE255="E",Sheet1!AK255,"-")</f>
        <v>1020</v>
      </c>
    </row>
    <row r="262" spans="2:39" x14ac:dyDescent="0.25">
      <c r="B262" s="1082">
        <f>Sheet1!F256</f>
        <v>236</v>
      </c>
      <c r="C262" s="1075" t="str">
        <f>Sheet1!C256</f>
        <v>Blue Lake Ave.</v>
      </c>
      <c r="D262" s="1075" t="str">
        <f>_xlfn.TEXTBEFORE(Sheet1!E256, " to ")</f>
        <v>SR 44</v>
      </c>
      <c r="E262" s="1075" t="str">
        <f>_xlfn.TEXTAFTER(Sheet1!E256, " to ")</f>
        <v>Minnesota Ave.</v>
      </c>
      <c r="F262" s="1075">
        <f>Sheet1!AM256</f>
        <v>2</v>
      </c>
      <c r="G262" s="1075"/>
      <c r="H262" s="1083" t="str">
        <f>Sheet1!AE256</f>
        <v>E</v>
      </c>
      <c r="I262" s="1075"/>
      <c r="J262" s="1075" t="str">
        <f>Sheet1!Q256</f>
        <v>UA_NSSRC2_2W_2L_U_0L</v>
      </c>
      <c r="K262" s="1075"/>
      <c r="L262" s="1075">
        <f>Sheet1!AF256</f>
        <v>13640</v>
      </c>
      <c r="M262" s="1075"/>
      <c r="N262" s="1075"/>
      <c r="O262" s="1075"/>
      <c r="P262" s="1075">
        <f>Sheet1!AK256</f>
        <v>1020</v>
      </c>
      <c r="Q262" s="1075"/>
      <c r="R262" s="1075">
        <f>Sheet1!AD256</f>
        <v>5780</v>
      </c>
      <c r="S262" s="1081">
        <f>Sheet1!AG256</f>
        <v>0.42375366568914957</v>
      </c>
      <c r="T262" s="1075" t="str">
        <f>Sheet1!AH256</f>
        <v>D</v>
      </c>
      <c r="U262" s="1075">
        <f>Sheet1!AI256</f>
        <v>440</v>
      </c>
      <c r="V262" s="1075"/>
      <c r="W262" s="1075"/>
      <c r="X262" s="1075">
        <f>Sheet1!AJ256</f>
        <v>530</v>
      </c>
      <c r="Y262" s="1075"/>
      <c r="Z262" s="1075"/>
      <c r="AA262" s="1075"/>
      <c r="AB262" s="1075"/>
      <c r="AC262" s="1075"/>
      <c r="AD262" s="1075"/>
      <c r="AE262" s="1075"/>
      <c r="AF262" s="1075"/>
      <c r="AG262" s="1075"/>
      <c r="AH262" s="1075"/>
      <c r="AI262" s="1075"/>
      <c r="AJ262" s="1075"/>
      <c r="AK262" s="1075">
        <f>IF(Sheet1!AE259="C",Sheet1!AK259,"-")</f>
        <v>620</v>
      </c>
      <c r="AL262" s="1075" t="str">
        <f>IF(Sheet1!AE259="D",Sheet1!AK259,"-")</f>
        <v>-</v>
      </c>
      <c r="AM262" s="1075">
        <f>IF(Sheet1!AE256="E",Sheet1!AK256,"-")</f>
        <v>1020</v>
      </c>
    </row>
    <row r="263" spans="2:39" x14ac:dyDescent="0.25">
      <c r="B263" s="1082">
        <f>Sheet1!F257</f>
        <v>237</v>
      </c>
      <c r="C263" s="1075" t="str">
        <f>Sheet1!C257</f>
        <v>Blue Lake Ave.</v>
      </c>
      <c r="D263" s="1075" t="str">
        <f>_xlfn.TEXTBEFORE(Sheet1!E257, " to ")</f>
        <v>Minnesota Ave.</v>
      </c>
      <c r="E263" s="1075" t="str">
        <f>_xlfn.TEXTAFTER(Sheet1!E257, " to ")</f>
        <v>Plymouth Ave.</v>
      </c>
      <c r="F263" s="1075">
        <f>Sheet1!AM257</f>
        <v>2</v>
      </c>
      <c r="G263" s="1075"/>
      <c r="H263" s="1083" t="str">
        <f>Sheet1!AE257</f>
        <v>E</v>
      </c>
      <c r="I263" s="1075"/>
      <c r="J263" s="1075" t="str">
        <f>Sheet1!Q257</f>
        <v>UA_NSSRC1_2W_2L_U_0L</v>
      </c>
      <c r="K263" s="1075"/>
      <c r="L263" s="1075">
        <f>Sheet1!AF257</f>
        <v>13640</v>
      </c>
      <c r="M263" s="1075"/>
      <c r="N263" s="1075"/>
      <c r="O263" s="1075"/>
      <c r="P263" s="1075">
        <f>Sheet1!AK257</f>
        <v>1230</v>
      </c>
      <c r="Q263" s="1075"/>
      <c r="R263" s="1075">
        <f>Sheet1!AD257</f>
        <v>7320</v>
      </c>
      <c r="S263" s="1081">
        <f>Sheet1!AG257</f>
        <v>0.53665689149560114</v>
      </c>
      <c r="T263" s="1075" t="str">
        <f>Sheet1!AH257</f>
        <v>C</v>
      </c>
      <c r="U263" s="1075">
        <f>Sheet1!AI257</f>
        <v>560</v>
      </c>
      <c r="V263" s="1075"/>
      <c r="W263" s="1075"/>
      <c r="X263" s="1075">
        <f>Sheet1!AJ257</f>
        <v>670</v>
      </c>
      <c r="Y263" s="1075"/>
      <c r="Z263" s="1075"/>
      <c r="AA263" s="1075"/>
      <c r="AB263" s="1075"/>
      <c r="AC263" s="1075"/>
      <c r="AD263" s="1075"/>
      <c r="AE263" s="1075"/>
      <c r="AF263" s="1075"/>
      <c r="AG263" s="1075"/>
      <c r="AH263" s="1075"/>
      <c r="AI263" s="1075"/>
      <c r="AJ263" s="1075"/>
      <c r="AK263" s="1075" t="str">
        <f>IF(Sheet1!AE260="C",Sheet1!AK260,"-")</f>
        <v>-</v>
      </c>
      <c r="AL263" s="1075" t="str">
        <f>IF(Sheet1!AE260="D",Sheet1!AK260,"-")</f>
        <v>-</v>
      </c>
      <c r="AM263" s="1075">
        <f>IF(Sheet1!AE257="E",Sheet1!AK257,"-")</f>
        <v>1230</v>
      </c>
    </row>
    <row r="264" spans="2:39" x14ac:dyDescent="0.25">
      <c r="B264" s="1082">
        <f>Sheet1!F258</f>
        <v>239</v>
      </c>
      <c r="C264" s="1075" t="str">
        <f>Sheet1!C258</f>
        <v>Blue Springs Av (West)</v>
      </c>
      <c r="D264" s="1075" t="str">
        <f>_xlfn.TEXTBEFORE(Sheet1!E258, " to ")</f>
        <v>Sparkman Dr</v>
      </c>
      <c r="E264" s="1075" t="str">
        <f>_xlfn.TEXTAFTER(Sheet1!E258, " to ")</f>
        <v>Lawton Dr</v>
      </c>
      <c r="F264" s="1075">
        <f>Sheet1!AM258</f>
        <v>2</v>
      </c>
      <c r="G264" s="1075"/>
      <c r="H264" s="1083" t="str">
        <f>Sheet1!AE258</f>
        <v>E</v>
      </c>
      <c r="I264" s="1075"/>
      <c r="J264" s="1075" t="str">
        <f>Sheet1!Q258</f>
        <v>UA_NSSRC2_2W_2L_U_0L</v>
      </c>
      <c r="K264" s="1075"/>
      <c r="L264" s="1075">
        <f>Sheet1!AF258</f>
        <v>13640</v>
      </c>
      <c r="M264" s="1075"/>
      <c r="N264" s="1075"/>
      <c r="O264" s="1075"/>
      <c r="P264" s="1075">
        <f>Sheet1!AK258</f>
        <v>1020</v>
      </c>
      <c r="Q264" s="1075"/>
      <c r="R264" s="1075">
        <f>Sheet1!AD258</f>
        <v>5140</v>
      </c>
      <c r="S264" s="1081">
        <f>Sheet1!AG258</f>
        <v>0.37683284457478006</v>
      </c>
      <c r="T264" s="1075" t="str">
        <f>Sheet1!AH258</f>
        <v>C</v>
      </c>
      <c r="U264" s="1075">
        <f>Sheet1!AI258</f>
        <v>460</v>
      </c>
      <c r="V264" s="1075"/>
      <c r="W264" s="1075"/>
      <c r="X264" s="1075">
        <f>Sheet1!AJ258</f>
        <v>460</v>
      </c>
      <c r="Y264" s="1075"/>
      <c r="Z264" s="1075"/>
      <c r="AA264" s="1075"/>
      <c r="AB264" s="1075"/>
      <c r="AC264" s="1075"/>
      <c r="AD264" s="1075"/>
      <c r="AE264" s="1075"/>
      <c r="AF264" s="1075"/>
      <c r="AG264" s="1075"/>
      <c r="AH264" s="1075"/>
      <c r="AI264" s="1075"/>
      <c r="AJ264" s="1075"/>
      <c r="AK264" s="1075" t="str">
        <f>IF(Sheet1!AE261="C",Sheet1!AK261,"-")</f>
        <v>-</v>
      </c>
      <c r="AL264" s="1075" t="str">
        <f>IF(Sheet1!AE261="D",Sheet1!AK261,"-")</f>
        <v>-</v>
      </c>
      <c r="AM264" s="1075">
        <f>IF(Sheet1!AE258="E",Sheet1!AK258,"-")</f>
        <v>1020</v>
      </c>
    </row>
    <row r="265" spans="2:39" x14ac:dyDescent="0.25">
      <c r="B265" s="1082">
        <f>Sheet1!F259</f>
        <v>240</v>
      </c>
      <c r="C265" s="1075" t="str">
        <f>Sheet1!C259</f>
        <v>Brownlee Rd.</v>
      </c>
      <c r="D265" s="1075" t="str">
        <f>_xlfn.TEXTBEFORE(Sheet1!E259, " to ")</f>
        <v>Raulerson Rd. #1</v>
      </c>
      <c r="E265" s="1075" t="str">
        <f>_xlfn.TEXTAFTER(Sheet1!E259, " to ")</f>
        <v>Raulerson Rd.</v>
      </c>
      <c r="F265" s="1075">
        <f>Sheet1!AM259</f>
        <v>2</v>
      </c>
      <c r="G265" s="1075"/>
      <c r="H265" s="1083" t="str">
        <f>Sheet1!AE259</f>
        <v>C</v>
      </c>
      <c r="I265" s="1075"/>
      <c r="J265" s="1075" t="str">
        <f>Sheet1!Q259</f>
        <v>RUA_UFH_2W_2L_U_0L</v>
      </c>
      <c r="K265" s="1075"/>
      <c r="L265" s="1075">
        <f>Sheet1!AF259</f>
        <v>6450</v>
      </c>
      <c r="M265" s="1075"/>
      <c r="N265" s="1075"/>
      <c r="O265" s="1075"/>
      <c r="P265" s="1075">
        <f>Sheet1!AK259</f>
        <v>620</v>
      </c>
      <c r="Q265" s="1075"/>
      <c r="R265" s="1075">
        <f>Sheet1!AD259</f>
        <v>200</v>
      </c>
      <c r="S265" s="1081">
        <f>Sheet1!AG259</f>
        <v>3.1007751937984496E-2</v>
      </c>
      <c r="T265" s="1075" t="str">
        <f>Sheet1!AH259</f>
        <v>B</v>
      </c>
      <c r="U265" s="1075">
        <f>Sheet1!AI259</f>
        <v>20</v>
      </c>
      <c r="V265" s="1075"/>
      <c r="W265" s="1075"/>
      <c r="X265" s="1075">
        <f>Sheet1!AJ259</f>
        <v>20</v>
      </c>
      <c r="Y265" s="1075"/>
      <c r="Z265" s="1075"/>
      <c r="AA265" s="1075"/>
      <c r="AB265" s="1075"/>
      <c r="AC265" s="1075"/>
      <c r="AD265" s="1075"/>
      <c r="AE265" s="1075"/>
      <c r="AF265" s="1075"/>
      <c r="AG265" s="1075"/>
      <c r="AH265" s="1075"/>
      <c r="AI265" s="1075"/>
      <c r="AJ265" s="1075"/>
      <c r="AK265" s="1075" t="str">
        <f>IF(Sheet1!AE262="C",Sheet1!AK262,"-")</f>
        <v>-</v>
      </c>
      <c r="AL265" s="1075" t="str">
        <f>IF(Sheet1!AE262="D",Sheet1!AK262,"-")</f>
        <v>-</v>
      </c>
      <c r="AM265" s="1075" t="str">
        <f>IF(Sheet1!AE259="E",Sheet1!AK259,"-")</f>
        <v>-</v>
      </c>
    </row>
    <row r="266" spans="2:39" x14ac:dyDescent="0.25">
      <c r="B266" s="1082">
        <f>Sheet1!F260</f>
        <v>245</v>
      </c>
      <c r="C266" s="1075" t="str">
        <f>Sheet1!C260</f>
        <v>Cardinal Blvd.</v>
      </c>
      <c r="D266" s="1075" t="str">
        <f>_xlfn.TEXTBEFORE(Sheet1!E260, " to ")</f>
        <v>SR 421/Dunlawton Ave.</v>
      </c>
      <c r="E266" s="1075" t="str">
        <f>_xlfn.TEXTAFTER(Sheet1!E260, " to ")</f>
        <v>Demotte Ave</v>
      </c>
      <c r="F266" s="1075">
        <f>Sheet1!AM260</f>
        <v>2</v>
      </c>
      <c r="G266" s="1075"/>
      <c r="H266" s="1083" t="str">
        <f>Sheet1!AE260</f>
        <v>E</v>
      </c>
      <c r="I266" s="1075"/>
      <c r="J266" s="1075" t="str">
        <f>Sheet1!Q260</f>
        <v>UA_NSSRC2_2W_2L_U_0L</v>
      </c>
      <c r="K266" s="1075"/>
      <c r="L266" s="1075">
        <f>Sheet1!AF260</f>
        <v>13640</v>
      </c>
      <c r="M266" s="1075"/>
      <c r="N266" s="1075"/>
      <c r="O266" s="1075"/>
      <c r="P266" s="1075">
        <f>Sheet1!AK260</f>
        <v>1020</v>
      </c>
      <c r="Q266" s="1075"/>
      <c r="R266" s="1075">
        <f>Sheet1!AD260</f>
        <v>1420</v>
      </c>
      <c r="S266" s="1081">
        <f>Sheet1!AG260</f>
        <v>0.10410557184750734</v>
      </c>
      <c r="T266" s="1075" t="str">
        <f>Sheet1!AH260</f>
        <v>C</v>
      </c>
      <c r="U266" s="1075">
        <f>Sheet1!AI260</f>
        <v>70</v>
      </c>
      <c r="V266" s="1075"/>
      <c r="W266" s="1075"/>
      <c r="X266" s="1075">
        <f>Sheet1!AJ260</f>
        <v>120</v>
      </c>
      <c r="Y266" s="1075"/>
      <c r="Z266" s="1075"/>
      <c r="AA266" s="1075"/>
      <c r="AB266" s="1075"/>
      <c r="AC266" s="1075"/>
      <c r="AD266" s="1075"/>
      <c r="AE266" s="1075"/>
      <c r="AF266" s="1075"/>
      <c r="AG266" s="1075"/>
      <c r="AH266" s="1075"/>
      <c r="AI266" s="1075"/>
      <c r="AJ266" s="1075"/>
      <c r="AK266" s="1075" t="str">
        <f>IF(Sheet1!AE263="C",Sheet1!AK263,"-")</f>
        <v>-</v>
      </c>
      <c r="AL266" s="1075" t="str">
        <f>IF(Sheet1!AE263="D",Sheet1!AK263,"-")</f>
        <v>-</v>
      </c>
      <c r="AM266" s="1075">
        <f>IF(Sheet1!AE260="E",Sheet1!AK260,"-")</f>
        <v>1020</v>
      </c>
    </row>
    <row r="267" spans="2:39" x14ac:dyDescent="0.25">
      <c r="B267" s="1082">
        <f>Sheet1!F261</f>
        <v>260</v>
      </c>
      <c r="C267" s="1075" t="str">
        <f>Sheet1!C261</f>
        <v>Cardinal Blvd.</v>
      </c>
      <c r="D267" s="1075" t="str">
        <f>_xlfn.TEXTBEFORE(Sheet1!E261, " to ")</f>
        <v>Demotte Ave.</v>
      </c>
      <c r="E267" s="1075" t="str">
        <f>_xlfn.TEXTAFTER(Sheet1!E261, " to ")</f>
        <v>Marcelle Ave</v>
      </c>
      <c r="F267" s="1075">
        <f>Sheet1!AM261</f>
        <v>2</v>
      </c>
      <c r="G267" s="1075"/>
      <c r="H267" s="1083" t="str">
        <f>Sheet1!AE261</f>
        <v>E</v>
      </c>
      <c r="I267" s="1075"/>
      <c r="J267" s="1075" t="str">
        <f>Sheet1!Q261</f>
        <v>UA_NSSRC2_2W_2L_U_0L</v>
      </c>
      <c r="K267" s="1075"/>
      <c r="L267" s="1075">
        <f>Sheet1!AF261</f>
        <v>13640</v>
      </c>
      <c r="M267" s="1075"/>
      <c r="N267" s="1075"/>
      <c r="O267" s="1075"/>
      <c r="P267" s="1075">
        <f>Sheet1!AK261</f>
        <v>1020</v>
      </c>
      <c r="Q267" s="1075"/>
      <c r="R267" s="1075">
        <f>Sheet1!AD261</f>
        <v>5590</v>
      </c>
      <c r="S267" s="1081">
        <f>Sheet1!AG261</f>
        <v>0.40982404692082114</v>
      </c>
      <c r="T267" s="1075" t="str">
        <f>Sheet1!AH261</f>
        <v>D</v>
      </c>
      <c r="U267" s="1075">
        <f>Sheet1!AI261</f>
        <v>340</v>
      </c>
      <c r="V267" s="1075"/>
      <c r="W267" s="1075"/>
      <c r="X267" s="1075">
        <f>Sheet1!AJ261</f>
        <v>460</v>
      </c>
      <c r="Y267" s="1075"/>
      <c r="Z267" s="1075"/>
      <c r="AA267" s="1075"/>
      <c r="AB267" s="1075"/>
      <c r="AC267" s="1075"/>
      <c r="AD267" s="1075"/>
      <c r="AE267" s="1075"/>
      <c r="AF267" s="1075"/>
      <c r="AG267" s="1075"/>
      <c r="AH267" s="1075"/>
      <c r="AI267" s="1075"/>
      <c r="AJ267" s="1075"/>
      <c r="AK267" s="1075" t="str">
        <f>IF(Sheet1!AE264="C",Sheet1!AK264,"-")</f>
        <v>-</v>
      </c>
      <c r="AL267" s="1075" t="str">
        <f>IF(Sheet1!AE264="D",Sheet1!AK264,"-")</f>
        <v>-</v>
      </c>
      <c r="AM267" s="1075">
        <f>IF(Sheet1!AE261="E",Sheet1!AK261,"-")</f>
        <v>1020</v>
      </c>
    </row>
    <row r="268" spans="2:39" x14ac:dyDescent="0.25">
      <c r="B268" s="1082">
        <f>Sheet1!F262</f>
        <v>261</v>
      </c>
      <c r="C268" s="1075" t="str">
        <f>Sheet1!C262</f>
        <v>Cardinal Blvd.</v>
      </c>
      <c r="D268" s="1075" t="str">
        <f>_xlfn.TEXTBEFORE(Sheet1!E262, " to ")</f>
        <v>Marcelle Ave</v>
      </c>
      <c r="E268" s="1075" t="str">
        <f>_xlfn.TEXTAFTER(Sheet1!E262, " to ")</f>
        <v>Major St.</v>
      </c>
      <c r="F268" s="1075">
        <f>Sheet1!AM262</f>
        <v>2</v>
      </c>
      <c r="G268" s="1075"/>
      <c r="H268" s="1083" t="str">
        <f>Sheet1!AE262</f>
        <v>E</v>
      </c>
      <c r="I268" s="1075"/>
      <c r="J268" s="1075" t="str">
        <f>Sheet1!Q262</f>
        <v>UA_NSSRC2_2W_2L_U_0L</v>
      </c>
      <c r="K268" s="1075"/>
      <c r="L268" s="1075">
        <f>Sheet1!AF262</f>
        <v>13640</v>
      </c>
      <c r="M268" s="1075"/>
      <c r="N268" s="1075"/>
      <c r="O268" s="1075"/>
      <c r="P268" s="1075">
        <f>Sheet1!AK262</f>
        <v>1020</v>
      </c>
      <c r="Q268" s="1075"/>
      <c r="R268" s="1075">
        <f>Sheet1!AD262</f>
        <v>900</v>
      </c>
      <c r="S268" s="1081">
        <f>Sheet1!AG262</f>
        <v>6.5982404692082108E-2</v>
      </c>
      <c r="T268" s="1075" t="str">
        <f>Sheet1!AH262</f>
        <v>C</v>
      </c>
      <c r="U268" s="1075">
        <f>Sheet1!AI262</f>
        <v>50</v>
      </c>
      <c r="V268" s="1075"/>
      <c r="W268" s="1075"/>
      <c r="X268" s="1075">
        <f>Sheet1!AJ262</f>
        <v>80</v>
      </c>
      <c r="Y268" s="1075"/>
      <c r="Z268" s="1075"/>
      <c r="AA268" s="1075"/>
      <c r="AB268" s="1075"/>
      <c r="AC268" s="1075"/>
      <c r="AD268" s="1075"/>
      <c r="AE268" s="1075"/>
      <c r="AF268" s="1075"/>
      <c r="AG268" s="1075"/>
      <c r="AH268" s="1075"/>
      <c r="AI268" s="1075"/>
      <c r="AJ268" s="1075"/>
      <c r="AK268" s="1075" t="str">
        <f>IF(Sheet1!AE265="C",Sheet1!AK265,"-")</f>
        <v>-</v>
      </c>
      <c r="AL268" s="1075" t="str">
        <f>IF(Sheet1!AE265="D",Sheet1!AK265,"-")</f>
        <v>-</v>
      </c>
      <c r="AM268" s="1075">
        <f>IF(Sheet1!AE262="E",Sheet1!AK262,"-")</f>
        <v>1020</v>
      </c>
    </row>
    <row r="269" spans="2:39" x14ac:dyDescent="0.25">
      <c r="B269" s="1082">
        <f>Sheet1!F263</f>
        <v>270</v>
      </c>
      <c r="C269" s="1075" t="str">
        <f>Sheet1!C263</f>
        <v>Carter Rd.</v>
      </c>
      <c r="D269" s="1075" t="str">
        <f>_xlfn.TEXTBEFORE(Sheet1!E263, " to ")</f>
        <v>SR 11</v>
      </c>
      <c r="E269" s="1075" t="str">
        <f>_xlfn.TEXTAFTER(Sheet1!E263, " to ")</f>
        <v>Marsh Rd.</v>
      </c>
      <c r="F269" s="1075">
        <f>Sheet1!AM263</f>
        <v>2</v>
      </c>
      <c r="G269" s="1075"/>
      <c r="H269" s="1083" t="str">
        <f>Sheet1!AE263</f>
        <v>E</v>
      </c>
      <c r="I269" s="1075"/>
      <c r="J269" s="1075" t="str">
        <f>Sheet1!Q263</f>
        <v>UA_NSSRC1_2W_2L_U_0L</v>
      </c>
      <c r="K269" s="1075"/>
      <c r="L269" s="1075">
        <f>Sheet1!AF263</f>
        <v>13640</v>
      </c>
      <c r="M269" s="1075"/>
      <c r="N269" s="1075"/>
      <c r="O269" s="1075"/>
      <c r="P269" s="1075">
        <f>Sheet1!AK263</f>
        <v>1230</v>
      </c>
      <c r="Q269" s="1075"/>
      <c r="R269" s="1075">
        <f>Sheet1!AD263</f>
        <v>1860</v>
      </c>
      <c r="S269" s="1081">
        <f>Sheet1!AG263</f>
        <v>0.13636363636363635</v>
      </c>
      <c r="T269" s="1075" t="str">
        <f>Sheet1!AH263</f>
        <v>C</v>
      </c>
      <c r="U269" s="1075">
        <f>Sheet1!AI263</f>
        <v>130</v>
      </c>
      <c r="V269" s="1075"/>
      <c r="W269" s="1075"/>
      <c r="X269" s="1075">
        <f>Sheet1!AJ263</f>
        <v>160</v>
      </c>
      <c r="Y269" s="1075"/>
      <c r="Z269" s="1075"/>
      <c r="AA269" s="1075"/>
      <c r="AB269" s="1075"/>
      <c r="AC269" s="1075"/>
      <c r="AD269" s="1075"/>
      <c r="AE269" s="1075"/>
      <c r="AF269" s="1075"/>
      <c r="AG269" s="1075"/>
      <c r="AH269" s="1075"/>
      <c r="AI269" s="1075"/>
      <c r="AJ269" s="1075"/>
      <c r="AK269" s="1075" t="str">
        <f>IF(Sheet1!AE266="C",Sheet1!AK266,"-")</f>
        <v>-</v>
      </c>
      <c r="AL269" s="1075" t="str">
        <f>IF(Sheet1!AE266="D",Sheet1!AK266,"-")</f>
        <v>-</v>
      </c>
      <c r="AM269" s="1075">
        <f>IF(Sheet1!AE263="E",Sheet1!AK263,"-")</f>
        <v>1230</v>
      </c>
    </row>
    <row r="270" spans="2:39" x14ac:dyDescent="0.25">
      <c r="B270" s="1082">
        <f>Sheet1!F264</f>
        <v>280</v>
      </c>
      <c r="C270" s="1075" t="str">
        <f>Sheet1!C264</f>
        <v>Cassadaga Rd.</v>
      </c>
      <c r="D270" s="1075" t="str">
        <f>_xlfn.TEXTBEFORE(Sheet1!E264, " to ")</f>
        <v>W. Volusia Bltwy.</v>
      </c>
      <c r="E270" s="1075" t="str">
        <f>_xlfn.TEXTAFTER(Sheet1!E264, " to ")</f>
        <v>Macy Ave.</v>
      </c>
      <c r="F270" s="1075">
        <f>Sheet1!AM264</f>
        <v>2</v>
      </c>
      <c r="G270" s="1075"/>
      <c r="H270" s="1083" t="str">
        <f>Sheet1!AE264</f>
        <v>E</v>
      </c>
      <c r="I270" s="1075"/>
      <c r="J270" s="1075" t="str">
        <f>Sheet1!Q264</f>
        <v>UA_NSSRC2_2W_2L_U_0L</v>
      </c>
      <c r="K270" s="1075"/>
      <c r="L270" s="1075">
        <f>Sheet1!AF264</f>
        <v>13640</v>
      </c>
      <c r="M270" s="1075"/>
      <c r="N270" s="1075"/>
      <c r="O270" s="1075"/>
      <c r="P270" s="1075">
        <f>Sheet1!AK264</f>
        <v>1020</v>
      </c>
      <c r="Q270" s="1075"/>
      <c r="R270" s="1075">
        <f>Sheet1!AD264</f>
        <v>2750</v>
      </c>
      <c r="S270" s="1081">
        <f>Sheet1!AG264</f>
        <v>0.20161290322580644</v>
      </c>
      <c r="T270" s="1075" t="str">
        <f>Sheet1!AH264</f>
        <v>C</v>
      </c>
      <c r="U270" s="1075">
        <f>Sheet1!AI264</f>
        <v>360</v>
      </c>
      <c r="V270" s="1075"/>
      <c r="W270" s="1075"/>
      <c r="X270" s="1075">
        <f>Sheet1!AJ264</f>
        <v>260</v>
      </c>
      <c r="Y270" s="1075"/>
      <c r="Z270" s="1075"/>
      <c r="AA270" s="1075"/>
      <c r="AB270" s="1075"/>
      <c r="AC270" s="1075"/>
      <c r="AD270" s="1075"/>
      <c r="AE270" s="1075"/>
      <c r="AF270" s="1075"/>
      <c r="AG270" s="1075"/>
      <c r="AH270" s="1075"/>
      <c r="AI270" s="1075"/>
      <c r="AJ270" s="1075"/>
      <c r="AK270" s="1075">
        <f>IF(Sheet1!AE267="C",Sheet1!AK267,"-")</f>
        <v>620</v>
      </c>
      <c r="AL270" s="1075" t="str">
        <f>IF(Sheet1!AE267="D",Sheet1!AK267,"-")</f>
        <v>-</v>
      </c>
      <c r="AM270" s="1075">
        <f>IF(Sheet1!AE264="E",Sheet1!AK264,"-")</f>
        <v>1020</v>
      </c>
    </row>
    <row r="271" spans="2:39" x14ac:dyDescent="0.25">
      <c r="B271" s="1082">
        <f>Sheet1!F265</f>
        <v>301</v>
      </c>
      <c r="C271" s="1075" t="str">
        <f>Sheet1!C265</f>
        <v>Clara Ave.</v>
      </c>
      <c r="D271" s="1075" t="str">
        <f>_xlfn.TEXTBEFORE(Sheet1!E265, " to ")</f>
        <v>SR 15A</v>
      </c>
      <c r="E271" s="1075" t="str">
        <f>_xlfn.TEXTAFTER(Sheet1!E265, " to ")</f>
        <v>New Hampshire Ave.</v>
      </c>
      <c r="F271" s="1075">
        <f>Sheet1!AM265</f>
        <v>2</v>
      </c>
      <c r="G271" s="1075"/>
      <c r="H271" s="1083" t="str">
        <f>Sheet1!AE265</f>
        <v>E</v>
      </c>
      <c r="I271" s="1075"/>
      <c r="J271" s="1075" t="str">
        <f>Sheet1!Q265</f>
        <v>UA_NSSRC2_2W_2L_U_0L</v>
      </c>
      <c r="K271" s="1075"/>
      <c r="L271" s="1075">
        <f>Sheet1!AF265</f>
        <v>13640</v>
      </c>
      <c r="M271" s="1075"/>
      <c r="N271" s="1075"/>
      <c r="O271" s="1075"/>
      <c r="P271" s="1075">
        <f>Sheet1!AK265</f>
        <v>1020</v>
      </c>
      <c r="Q271" s="1075"/>
      <c r="R271" s="1075">
        <f>Sheet1!AD265</f>
        <v>1840</v>
      </c>
      <c r="S271" s="1081">
        <f>Sheet1!AG265</f>
        <v>0.13489736070381231</v>
      </c>
      <c r="T271" s="1075" t="str">
        <f>Sheet1!AH265</f>
        <v>C</v>
      </c>
      <c r="U271" s="1075">
        <f>Sheet1!AI265</f>
        <v>120</v>
      </c>
      <c r="V271" s="1075"/>
      <c r="W271" s="1075"/>
      <c r="X271" s="1075">
        <f>Sheet1!AJ265</f>
        <v>160</v>
      </c>
      <c r="Y271" s="1075"/>
      <c r="Z271" s="1075"/>
      <c r="AA271" s="1075"/>
      <c r="AB271" s="1075"/>
      <c r="AC271" s="1075"/>
      <c r="AD271" s="1075"/>
      <c r="AE271" s="1075"/>
      <c r="AF271" s="1075"/>
      <c r="AG271" s="1075"/>
      <c r="AH271" s="1075"/>
      <c r="AI271" s="1075"/>
      <c r="AJ271" s="1075"/>
      <c r="AK271" s="1075" t="str">
        <f>IF(Sheet1!AE268="C",Sheet1!AK268,"-")</f>
        <v>-</v>
      </c>
      <c r="AL271" s="1075" t="str">
        <f>IF(Sheet1!AE268="D",Sheet1!AK268,"-")</f>
        <v>-</v>
      </c>
      <c r="AM271" s="1075">
        <f>IF(Sheet1!AE265="E",Sheet1!AK265,"-")</f>
        <v>1020</v>
      </c>
    </row>
    <row r="272" spans="2:39" x14ac:dyDescent="0.25">
      <c r="B272" s="1082">
        <f>Sheet1!F266</f>
        <v>303</v>
      </c>
      <c r="C272" s="1075" t="str">
        <f>Sheet1!C266</f>
        <v>Clara Ave.</v>
      </c>
      <c r="D272" s="1075" t="str">
        <f>_xlfn.TEXTBEFORE(Sheet1!E266, " to ")</f>
        <v>New Hampshire Ave.</v>
      </c>
      <c r="E272" s="1075" t="str">
        <f>_xlfn.TEXTAFTER(Sheet1!E266, " to ")</f>
        <v>Beresford Ave.</v>
      </c>
      <c r="F272" s="1075">
        <f>Sheet1!AM266</f>
        <v>2</v>
      </c>
      <c r="G272" s="1075"/>
      <c r="H272" s="1083" t="str">
        <f>Sheet1!AE266</f>
        <v>E</v>
      </c>
      <c r="I272" s="1075"/>
      <c r="J272" s="1075" t="str">
        <f>Sheet1!Q266</f>
        <v>UA_NSSRC2_2W_2L_U_0L</v>
      </c>
      <c r="K272" s="1075"/>
      <c r="L272" s="1075">
        <f>Sheet1!AF266</f>
        <v>13640</v>
      </c>
      <c r="M272" s="1075"/>
      <c r="N272" s="1075"/>
      <c r="O272" s="1075"/>
      <c r="P272" s="1075">
        <f>Sheet1!AK266</f>
        <v>1020</v>
      </c>
      <c r="Q272" s="1075"/>
      <c r="R272" s="1075">
        <f>Sheet1!AD266</f>
        <v>2800</v>
      </c>
      <c r="S272" s="1081">
        <f>Sheet1!AG266</f>
        <v>0.20527859237536658</v>
      </c>
      <c r="T272" s="1075" t="str">
        <f>Sheet1!AH266</f>
        <v>C</v>
      </c>
      <c r="U272" s="1075">
        <f>Sheet1!AI266</f>
        <v>170</v>
      </c>
      <c r="V272" s="1075"/>
      <c r="W272" s="1075"/>
      <c r="X272" s="1075">
        <f>Sheet1!AJ266</f>
        <v>260</v>
      </c>
      <c r="Y272" s="1075"/>
      <c r="Z272" s="1075"/>
      <c r="AA272" s="1075"/>
      <c r="AB272" s="1075"/>
      <c r="AC272" s="1075"/>
      <c r="AD272" s="1075"/>
      <c r="AE272" s="1075"/>
      <c r="AF272" s="1075"/>
      <c r="AG272" s="1075"/>
      <c r="AH272" s="1075"/>
      <c r="AI272" s="1075"/>
      <c r="AJ272" s="1075"/>
      <c r="AK272" s="1075" t="str">
        <f>IF(Sheet1!AE269="C",Sheet1!AK269,"-")</f>
        <v>-</v>
      </c>
      <c r="AL272" s="1075" t="str">
        <f>IF(Sheet1!AE269="D",Sheet1!AK269,"-")</f>
        <v>-</v>
      </c>
      <c r="AM272" s="1075">
        <f>IF(Sheet1!AE266="E",Sheet1!AK266,"-")</f>
        <v>1020</v>
      </c>
    </row>
    <row r="273" spans="2:39" x14ac:dyDescent="0.25">
      <c r="B273" s="1082">
        <f>Sheet1!F267</f>
        <v>311</v>
      </c>
      <c r="C273" s="1075" t="str">
        <f>Sheet1!C267</f>
        <v>Clifton Rd.</v>
      </c>
      <c r="D273" s="1075" t="str">
        <f>_xlfn.TEXTBEFORE(Sheet1!E267, " to ")</f>
        <v>Lake Winona Rd.</v>
      </c>
      <c r="E273" s="1075" t="str">
        <f>_xlfn.TEXTAFTER(Sheet1!E267, " to ")</f>
        <v>SR 11</v>
      </c>
      <c r="F273" s="1075">
        <f>Sheet1!AM267</f>
        <v>2</v>
      </c>
      <c r="G273" s="1075"/>
      <c r="H273" s="1083" t="str">
        <f>Sheet1!AE267</f>
        <v>C</v>
      </c>
      <c r="I273" s="1075"/>
      <c r="J273" s="1075" t="str">
        <f>Sheet1!Q267</f>
        <v>RUA_UFH_2W_2L_U_0L</v>
      </c>
      <c r="K273" s="1075"/>
      <c r="L273" s="1075">
        <f>Sheet1!AF267</f>
        <v>6450</v>
      </c>
      <c r="M273" s="1075"/>
      <c r="N273" s="1075"/>
      <c r="O273" s="1075"/>
      <c r="P273" s="1075">
        <f>Sheet1!AK267</f>
        <v>620</v>
      </c>
      <c r="Q273" s="1075"/>
      <c r="R273" s="1075">
        <f>Sheet1!AD267</f>
        <v>200</v>
      </c>
      <c r="S273" s="1081">
        <f>Sheet1!AG267</f>
        <v>3.1007751937984496E-2</v>
      </c>
      <c r="T273" s="1075" t="str">
        <f>Sheet1!AH267</f>
        <v>B</v>
      </c>
      <c r="U273" s="1075">
        <f>Sheet1!AI267</f>
        <v>20</v>
      </c>
      <c r="V273" s="1075"/>
      <c r="W273" s="1075"/>
      <c r="X273" s="1075">
        <f>Sheet1!AJ267</f>
        <v>20</v>
      </c>
      <c r="Y273" s="1075"/>
      <c r="Z273" s="1075"/>
      <c r="AA273" s="1075"/>
      <c r="AB273" s="1075"/>
      <c r="AC273" s="1075"/>
      <c r="AD273" s="1075"/>
      <c r="AE273" s="1075"/>
      <c r="AF273" s="1075"/>
      <c r="AG273" s="1075"/>
      <c r="AH273" s="1075"/>
      <c r="AI273" s="1075"/>
      <c r="AJ273" s="1075"/>
      <c r="AK273" s="1075" t="str">
        <f>IF(Sheet1!AE270="C",Sheet1!AK270,"-")</f>
        <v>-</v>
      </c>
      <c r="AL273" s="1075" t="str">
        <f>IF(Sheet1!AE270="D",Sheet1!AK270,"-")</f>
        <v>-</v>
      </c>
      <c r="AM273" s="1075" t="str">
        <f>IF(Sheet1!AE267="E",Sheet1!AK267,"-")</f>
        <v>-</v>
      </c>
    </row>
    <row r="274" spans="2:39" x14ac:dyDescent="0.25">
      <c r="B274" s="1082">
        <f>Sheet1!F268</f>
        <v>330</v>
      </c>
      <c r="C274" s="1075" t="str">
        <f>Sheet1!C268</f>
        <v>Clyde Morris Blvd.</v>
      </c>
      <c r="D274" s="1075" t="str">
        <f>_xlfn.TEXTBEFORE(Sheet1!E268, " to ")</f>
        <v>Taylor Rd.</v>
      </c>
      <c r="E274" s="1075" t="str">
        <f>_xlfn.TEXTAFTER(Sheet1!E268, " to ")</f>
        <v>SR 421/Dunlawton Ave</v>
      </c>
      <c r="F274" s="1075">
        <f>Sheet1!AM268</f>
        <v>2</v>
      </c>
      <c r="G274" s="1075"/>
      <c r="H274" s="1083" t="str">
        <f>Sheet1!AE268</f>
        <v>E</v>
      </c>
      <c r="I274" s="1075"/>
      <c r="J274" s="1075" t="str">
        <f>Sheet1!Q268</f>
        <v>UA_NSSRC1_2W_2L_U_WL</v>
      </c>
      <c r="K274" s="1075"/>
      <c r="L274" s="1075">
        <f>Sheet1!AF268</f>
        <v>17050</v>
      </c>
      <c r="M274" s="1075"/>
      <c r="N274" s="1075"/>
      <c r="O274" s="1075"/>
      <c r="P274" s="1075">
        <f>Sheet1!AK268</f>
        <v>1540</v>
      </c>
      <c r="Q274" s="1075"/>
      <c r="R274" s="1075">
        <f>Sheet1!AD268</f>
        <v>9150</v>
      </c>
      <c r="S274" s="1081">
        <f>Sheet1!AG268</f>
        <v>0.53665689149560114</v>
      </c>
      <c r="T274" s="1075" t="str">
        <f>Sheet1!AH268</f>
        <v>C</v>
      </c>
      <c r="U274" s="1075">
        <f>Sheet1!AI268</f>
        <v>970</v>
      </c>
      <c r="V274" s="1075"/>
      <c r="W274" s="1075"/>
      <c r="X274" s="1075">
        <f>Sheet1!AJ268</f>
        <v>890</v>
      </c>
      <c r="Y274" s="1075"/>
      <c r="Z274" s="1075"/>
      <c r="AA274" s="1075"/>
      <c r="AB274" s="1075"/>
      <c r="AC274" s="1075"/>
      <c r="AD274" s="1075"/>
      <c r="AE274" s="1075"/>
      <c r="AF274" s="1075"/>
      <c r="AG274" s="1075"/>
      <c r="AH274" s="1075"/>
      <c r="AI274" s="1075"/>
      <c r="AJ274" s="1075"/>
      <c r="AK274" s="1075" t="str">
        <f>IF(Sheet1!AE271="C",Sheet1!AK271,"-")</f>
        <v>-</v>
      </c>
      <c r="AL274" s="1075" t="str">
        <f>IF(Sheet1!AE271="D",Sheet1!AK271,"-")</f>
        <v>-</v>
      </c>
      <c r="AM274" s="1075">
        <f>IF(Sheet1!AE268="E",Sheet1!AK268,"-")</f>
        <v>1540</v>
      </c>
    </row>
    <row r="275" spans="2:39" x14ac:dyDescent="0.25">
      <c r="B275" s="1082">
        <f>Sheet1!F269</f>
        <v>332</v>
      </c>
      <c r="C275" s="1075" t="str">
        <f>Sheet1!C269</f>
        <v>Clyde Morris Blvd.</v>
      </c>
      <c r="D275" s="1075" t="str">
        <f>_xlfn.TEXTBEFORE(Sheet1!E269, " to ")</f>
        <v>SR 421/Dunlawton Ave.</v>
      </c>
      <c r="E275" s="1075" t="str">
        <f>_xlfn.TEXTAFTER(Sheet1!E269, " to ")</f>
        <v>Willow Run Blvd.</v>
      </c>
      <c r="F275" s="1075">
        <f>Sheet1!AM269</f>
        <v>4</v>
      </c>
      <c r="G275" s="1075"/>
      <c r="H275" s="1083" t="str">
        <f>Sheet1!AE269</f>
        <v>E</v>
      </c>
      <c r="I275" s="1075"/>
      <c r="J275" s="1075" t="str">
        <f>Sheet1!Q269</f>
        <v>UA_NSSRC1_2W_4L_D_WL</v>
      </c>
      <c r="K275" s="1075"/>
      <c r="L275" s="1075">
        <f>Sheet1!AF269</f>
        <v>37970</v>
      </c>
      <c r="M275" s="1075"/>
      <c r="N275" s="1075"/>
      <c r="O275" s="1075"/>
      <c r="P275" s="1075">
        <f>Sheet1!AK269</f>
        <v>3410</v>
      </c>
      <c r="Q275" s="1075"/>
      <c r="R275" s="1075">
        <f>Sheet1!AD269</f>
        <v>19360</v>
      </c>
      <c r="S275" s="1081">
        <f>Sheet1!AG269</f>
        <v>0.50987621806689487</v>
      </c>
      <c r="T275" s="1075" t="str">
        <f>Sheet1!AH269</f>
        <v>C</v>
      </c>
      <c r="U275" s="1075">
        <f>Sheet1!AI269</f>
        <v>1180</v>
      </c>
      <c r="V275" s="1075"/>
      <c r="W275" s="1075"/>
      <c r="X275" s="1075">
        <f>Sheet1!AJ269</f>
        <v>1520</v>
      </c>
      <c r="Y275" s="1075"/>
      <c r="Z275" s="1075"/>
      <c r="AA275" s="1075"/>
      <c r="AB275" s="1075"/>
      <c r="AC275" s="1075"/>
      <c r="AD275" s="1075"/>
      <c r="AE275" s="1075"/>
      <c r="AF275" s="1075"/>
      <c r="AG275" s="1075"/>
      <c r="AH275" s="1075"/>
      <c r="AI275" s="1075"/>
      <c r="AJ275" s="1075"/>
      <c r="AK275" s="1075" t="str">
        <f>IF(Sheet1!AE272="C",Sheet1!AK272,"-")</f>
        <v>-</v>
      </c>
      <c r="AL275" s="1075" t="str">
        <f>IF(Sheet1!AE272="D",Sheet1!AK272,"-")</f>
        <v>-</v>
      </c>
      <c r="AM275" s="1075">
        <f>IF(Sheet1!AE269="E",Sheet1!AK269,"-")</f>
        <v>3410</v>
      </c>
    </row>
    <row r="276" spans="2:39" x14ac:dyDescent="0.25">
      <c r="B276" s="1082">
        <f>Sheet1!F270</f>
        <v>333</v>
      </c>
      <c r="C276" s="1075" t="str">
        <f>Sheet1!C270</f>
        <v>Clyde Morris Blvd.</v>
      </c>
      <c r="D276" s="1075" t="str">
        <f>_xlfn.TEXTBEFORE(Sheet1!E270, " to ")</f>
        <v>Willow Run Blvd.</v>
      </c>
      <c r="E276" s="1075" t="str">
        <f>_xlfn.TEXTAFTER(Sheet1!E270, " to ")</f>
        <v>Madeline Ave.</v>
      </c>
      <c r="F276" s="1075">
        <f>Sheet1!AM270</f>
        <v>4</v>
      </c>
      <c r="G276" s="1075"/>
      <c r="H276" s="1083" t="str">
        <f>Sheet1!AE270</f>
        <v>E</v>
      </c>
      <c r="I276" s="1075"/>
      <c r="J276" s="1075" t="str">
        <f>Sheet1!Q270</f>
        <v>UA_NSSRC1_2W_4L_D_WL</v>
      </c>
      <c r="K276" s="1075"/>
      <c r="L276" s="1075">
        <f>Sheet1!AF270</f>
        <v>37970</v>
      </c>
      <c r="M276" s="1075"/>
      <c r="N276" s="1075"/>
      <c r="O276" s="1075"/>
      <c r="P276" s="1075">
        <f>Sheet1!AK270</f>
        <v>3410</v>
      </c>
      <c r="Q276" s="1075"/>
      <c r="R276" s="1075">
        <f>Sheet1!AD270</f>
        <v>23390</v>
      </c>
      <c r="S276" s="1081">
        <f>Sheet1!AG270</f>
        <v>0.61601264155912561</v>
      </c>
      <c r="T276" s="1075" t="str">
        <f>Sheet1!AH270</f>
        <v>C</v>
      </c>
      <c r="U276" s="1075">
        <f>Sheet1!AI270</f>
        <v>1400</v>
      </c>
      <c r="V276" s="1075"/>
      <c r="W276" s="1075"/>
      <c r="X276" s="1075">
        <f>Sheet1!AJ270</f>
        <v>1910</v>
      </c>
      <c r="Y276" s="1075"/>
      <c r="Z276" s="1075"/>
      <c r="AA276" s="1075"/>
      <c r="AB276" s="1075"/>
      <c r="AC276" s="1075"/>
      <c r="AD276" s="1075"/>
      <c r="AE276" s="1075"/>
      <c r="AF276" s="1075"/>
      <c r="AG276" s="1075"/>
      <c r="AH276" s="1075"/>
      <c r="AI276" s="1075"/>
      <c r="AJ276" s="1075"/>
      <c r="AK276" s="1075" t="str">
        <f>IF(Sheet1!AE273="C",Sheet1!AK273,"-")</f>
        <v>-</v>
      </c>
      <c r="AL276" s="1075" t="str">
        <f>IF(Sheet1!AE273="D",Sheet1!AK273,"-")</f>
        <v>-</v>
      </c>
      <c r="AM276" s="1075">
        <f>IF(Sheet1!AE270="E",Sheet1!AK270,"-")</f>
        <v>3410</v>
      </c>
    </row>
    <row r="277" spans="2:39" x14ac:dyDescent="0.25">
      <c r="B277" s="1082">
        <f>Sheet1!F271</f>
        <v>335</v>
      </c>
      <c r="C277" s="1075" t="str">
        <f>Sheet1!C271</f>
        <v>Clyde Morris Blvd.</v>
      </c>
      <c r="D277" s="1075" t="str">
        <f>_xlfn.TEXTBEFORE(Sheet1!E271, " to ")</f>
        <v>Madeline Ave.</v>
      </c>
      <c r="E277" s="1075" t="str">
        <f>_xlfn.TEXTAFTER(Sheet1!E271, " to ")</f>
        <v>Big Tree Rd.</v>
      </c>
      <c r="F277" s="1075">
        <f>Sheet1!AM271</f>
        <v>4</v>
      </c>
      <c r="G277" s="1075"/>
      <c r="H277" s="1083" t="str">
        <f>Sheet1!AE271</f>
        <v>E</v>
      </c>
      <c r="I277" s="1075"/>
      <c r="J277" s="1075" t="str">
        <f>Sheet1!Q271</f>
        <v>UA_NSSRC1_2W_4L_D_WL</v>
      </c>
      <c r="K277" s="1075"/>
      <c r="L277" s="1075">
        <f>Sheet1!AF271</f>
        <v>37970</v>
      </c>
      <c r="M277" s="1075"/>
      <c r="N277" s="1075"/>
      <c r="O277" s="1075"/>
      <c r="P277" s="1075">
        <f>Sheet1!AK271</f>
        <v>3410</v>
      </c>
      <c r="Q277" s="1075"/>
      <c r="R277" s="1075">
        <f>Sheet1!AD271</f>
        <v>21520</v>
      </c>
      <c r="S277" s="1081">
        <f>Sheet1!AG271</f>
        <v>0.56676323413220964</v>
      </c>
      <c r="T277" s="1075" t="str">
        <f>Sheet1!AH271</f>
        <v>C</v>
      </c>
      <c r="U277" s="1075">
        <f>Sheet1!AI271</f>
        <v>1250</v>
      </c>
      <c r="V277" s="1075"/>
      <c r="W277" s="1075"/>
      <c r="X277" s="1075">
        <f>Sheet1!AJ271</f>
        <v>1820</v>
      </c>
      <c r="Y277" s="1075"/>
      <c r="Z277" s="1075"/>
      <c r="AA277" s="1075"/>
      <c r="AB277" s="1075"/>
      <c r="AC277" s="1075"/>
      <c r="AD277" s="1075"/>
      <c r="AE277" s="1075"/>
      <c r="AF277" s="1075"/>
      <c r="AG277" s="1075"/>
      <c r="AH277" s="1075"/>
      <c r="AI277" s="1075"/>
      <c r="AJ277" s="1075"/>
      <c r="AK277" s="1075" t="str">
        <f>IF(Sheet1!AE274="C",Sheet1!AK274,"-")</f>
        <v>-</v>
      </c>
      <c r="AL277" s="1075" t="str">
        <f>IF(Sheet1!AE274="D",Sheet1!AK274,"-")</f>
        <v>-</v>
      </c>
      <c r="AM277" s="1075">
        <f>IF(Sheet1!AE271="E",Sheet1!AK271,"-")</f>
        <v>3410</v>
      </c>
    </row>
    <row r="278" spans="2:39" x14ac:dyDescent="0.25">
      <c r="B278" s="1082">
        <f>Sheet1!F272</f>
        <v>337</v>
      </c>
      <c r="C278" s="1075" t="str">
        <f>Sheet1!C272</f>
        <v>Clyde Morris Blvd.</v>
      </c>
      <c r="D278" s="1075" t="str">
        <f>_xlfn.TEXTBEFORE(Sheet1!E272, " to ")</f>
        <v>Big Tree Rd.</v>
      </c>
      <c r="E278" s="1075" t="str">
        <f>_xlfn.TEXTAFTER(Sheet1!E272, " to ")</f>
        <v>SR 400/Beville Rd.</v>
      </c>
      <c r="F278" s="1075">
        <f>Sheet1!AM272</f>
        <v>4</v>
      </c>
      <c r="G278" s="1075"/>
      <c r="H278" s="1083" t="str">
        <f>Sheet1!AE272</f>
        <v>E</v>
      </c>
      <c r="I278" s="1075"/>
      <c r="J278" s="1075" t="str">
        <f>Sheet1!Q272</f>
        <v>UA_NSSRC1_2W_4L_U_WL</v>
      </c>
      <c r="K278" s="1075"/>
      <c r="L278" s="1075">
        <f>Sheet1!AF272</f>
        <v>36070</v>
      </c>
      <c r="M278" s="1075"/>
      <c r="N278" s="1075"/>
      <c r="O278" s="1075"/>
      <c r="P278" s="1075">
        <f>Sheet1!AK272</f>
        <v>3240</v>
      </c>
      <c r="Q278" s="1075"/>
      <c r="R278" s="1075">
        <f>Sheet1!AD272</f>
        <v>20220</v>
      </c>
      <c r="S278" s="1081">
        <f>Sheet1!AG272</f>
        <v>0.56057665650124755</v>
      </c>
      <c r="T278" s="1075" t="str">
        <f>Sheet1!AH272</f>
        <v>C</v>
      </c>
      <c r="U278" s="1075">
        <f>Sheet1!AI272</f>
        <v>1220</v>
      </c>
      <c r="V278" s="1075"/>
      <c r="W278" s="1075"/>
      <c r="X278" s="1075">
        <f>Sheet1!AJ272</f>
        <v>1670</v>
      </c>
      <c r="Y278" s="1075"/>
      <c r="Z278" s="1075"/>
      <c r="AA278" s="1075"/>
      <c r="AB278" s="1075"/>
      <c r="AC278" s="1075"/>
      <c r="AD278" s="1075"/>
      <c r="AE278" s="1075"/>
      <c r="AF278" s="1075"/>
      <c r="AG278" s="1075"/>
      <c r="AH278" s="1075"/>
      <c r="AI278" s="1075"/>
      <c r="AJ278" s="1075"/>
      <c r="AK278" s="1075" t="str">
        <f>IF(Sheet1!AE275="C",Sheet1!AK275,"-")</f>
        <v>-</v>
      </c>
      <c r="AL278" s="1075" t="str">
        <f>IF(Sheet1!AE275="D",Sheet1!AK275,"-")</f>
        <v>-</v>
      </c>
      <c r="AM278" s="1075">
        <f>IF(Sheet1!AE272="E",Sheet1!AK272,"-")</f>
        <v>3240</v>
      </c>
    </row>
    <row r="279" spans="2:39" x14ac:dyDescent="0.25">
      <c r="B279" s="1082">
        <f>Sheet1!F273</f>
        <v>338</v>
      </c>
      <c r="C279" s="1075" t="str">
        <f>Sheet1!C273</f>
        <v>Clyde Morris Blvd.</v>
      </c>
      <c r="D279" s="1075" t="str">
        <f>_xlfn.TEXTBEFORE(Sheet1!E273, " to ")</f>
        <v>SR 430/Mason Ave.</v>
      </c>
      <c r="E279" s="1075" t="str">
        <f>_xlfn.TEXTAFTER(Sheet1!E273, " to ")</f>
        <v>Bill France Blvd.</v>
      </c>
      <c r="F279" s="1075">
        <f>Sheet1!AM273</f>
        <v>4</v>
      </c>
      <c r="G279" s="1075"/>
      <c r="H279" s="1083" t="str">
        <f>Sheet1!AE273</f>
        <v>E</v>
      </c>
      <c r="I279" s="1075"/>
      <c r="J279" s="1075" t="str">
        <f>Sheet1!Q273</f>
        <v>UA_NSSRC1_2W_4L_D_WL</v>
      </c>
      <c r="K279" s="1075"/>
      <c r="L279" s="1075">
        <f>Sheet1!AF273</f>
        <v>37970</v>
      </c>
      <c r="M279" s="1075"/>
      <c r="N279" s="1075"/>
      <c r="O279" s="1075"/>
      <c r="P279" s="1075">
        <f>Sheet1!AK273</f>
        <v>3410</v>
      </c>
      <c r="Q279" s="1075"/>
      <c r="R279" s="1075">
        <f>Sheet1!AD273</f>
        <v>14490</v>
      </c>
      <c r="S279" s="1081">
        <f>Sheet1!AG273</f>
        <v>0.3816170661048196</v>
      </c>
      <c r="T279" s="1075" t="str">
        <f>Sheet1!AH273</f>
        <v>C</v>
      </c>
      <c r="U279" s="1075">
        <f>Sheet1!AI273</f>
        <v>940</v>
      </c>
      <c r="V279" s="1075"/>
      <c r="W279" s="1075"/>
      <c r="X279" s="1075">
        <f>Sheet1!AJ273</f>
        <v>1140</v>
      </c>
      <c r="Y279" s="1075"/>
      <c r="Z279" s="1075"/>
      <c r="AA279" s="1075"/>
      <c r="AB279" s="1075"/>
      <c r="AC279" s="1075"/>
      <c r="AD279" s="1075"/>
      <c r="AE279" s="1075"/>
      <c r="AF279" s="1075"/>
      <c r="AG279" s="1075"/>
      <c r="AH279" s="1075"/>
      <c r="AI279" s="1075"/>
      <c r="AJ279" s="1075"/>
      <c r="AK279" s="1075" t="str">
        <f>IF(Sheet1!AE276="C",Sheet1!AK276,"-")</f>
        <v>-</v>
      </c>
      <c r="AL279" s="1075" t="str">
        <f>IF(Sheet1!AE276="D",Sheet1!AK276,"-")</f>
        <v>-</v>
      </c>
      <c r="AM279" s="1075">
        <f>IF(Sheet1!AE273="E",Sheet1!AK273,"-")</f>
        <v>3410</v>
      </c>
    </row>
    <row r="280" spans="2:39" x14ac:dyDescent="0.25">
      <c r="B280" s="1082">
        <f>Sheet1!F274</f>
        <v>341</v>
      </c>
      <c r="C280" s="1075" t="str">
        <f>Sheet1!C274</f>
        <v>Clyde Morris Blvd.</v>
      </c>
      <c r="D280" s="1075" t="str">
        <f>_xlfn.TEXTBEFORE(Sheet1!E274, " to ")</f>
        <v>Bill France Blvd.</v>
      </c>
      <c r="E280" s="1075" t="str">
        <f>_xlfn.TEXTAFTER(Sheet1!E274, " to ")</f>
        <v>LPGA Blvd.</v>
      </c>
      <c r="F280" s="1075">
        <f>Sheet1!AM274</f>
        <v>4</v>
      </c>
      <c r="G280" s="1075"/>
      <c r="H280" s="1083" t="str">
        <f>Sheet1!AE274</f>
        <v>E</v>
      </c>
      <c r="I280" s="1075"/>
      <c r="J280" s="1075" t="str">
        <f>Sheet1!Q274</f>
        <v>UA_NSSRC1_2W_4L_D_WL</v>
      </c>
      <c r="K280" s="1075"/>
      <c r="L280" s="1075">
        <f>Sheet1!AF274</f>
        <v>37970</v>
      </c>
      <c r="M280" s="1075"/>
      <c r="N280" s="1075"/>
      <c r="O280" s="1075"/>
      <c r="P280" s="1075">
        <f>Sheet1!AK274</f>
        <v>3410</v>
      </c>
      <c r="Q280" s="1075"/>
      <c r="R280" s="1075">
        <f>Sheet1!AD274</f>
        <v>15510</v>
      </c>
      <c r="S280" s="1081">
        <f>Sheet1!AG274</f>
        <v>0.40848037924677377</v>
      </c>
      <c r="T280" s="1075" t="str">
        <f>Sheet1!AH274</f>
        <v>C</v>
      </c>
      <c r="U280" s="1075">
        <f>Sheet1!AI274</f>
        <v>1060</v>
      </c>
      <c r="V280" s="1075"/>
      <c r="W280" s="1075"/>
      <c r="X280" s="1075">
        <f>Sheet1!AJ274</f>
        <v>1300</v>
      </c>
      <c r="Y280" s="1075"/>
      <c r="Z280" s="1075"/>
      <c r="AA280" s="1075"/>
      <c r="AB280" s="1075"/>
      <c r="AC280" s="1075"/>
      <c r="AD280" s="1075"/>
      <c r="AE280" s="1075"/>
      <c r="AF280" s="1075"/>
      <c r="AG280" s="1075"/>
      <c r="AH280" s="1075"/>
      <c r="AI280" s="1075"/>
      <c r="AJ280" s="1075"/>
      <c r="AK280" s="1075" t="str">
        <f>IF(Sheet1!AE277="C",Sheet1!AK277,"-")</f>
        <v>-</v>
      </c>
      <c r="AL280" s="1075" t="str">
        <f>IF(Sheet1!AE277="D",Sheet1!AK277,"-")</f>
        <v>-</v>
      </c>
      <c r="AM280" s="1075">
        <f>IF(Sheet1!AE274="E",Sheet1!AK274,"-")</f>
        <v>3410</v>
      </c>
    </row>
    <row r="281" spans="2:39" x14ac:dyDescent="0.25">
      <c r="B281" s="1082">
        <f>Sheet1!F275</f>
        <v>343</v>
      </c>
      <c r="C281" s="1075" t="str">
        <f>Sheet1!C275</f>
        <v>Clyde Morris Blvd.</v>
      </c>
      <c r="D281" s="1075" t="str">
        <f>_xlfn.TEXTBEFORE(Sheet1!E275, " to ")</f>
        <v>LPGA Blvd.</v>
      </c>
      <c r="E281" s="1075" t="str">
        <f>_xlfn.TEXTAFTER(Sheet1!E275, " to ")</f>
        <v>Hand Ave.</v>
      </c>
      <c r="F281" s="1075">
        <f>Sheet1!AM275</f>
        <v>4</v>
      </c>
      <c r="G281" s="1075"/>
      <c r="H281" s="1083" t="str">
        <f>Sheet1!AE275</f>
        <v>E</v>
      </c>
      <c r="I281" s="1075"/>
      <c r="J281" s="1075" t="str">
        <f>Sheet1!Q275</f>
        <v>UA_NSSRC1_2W_4L_D_WL</v>
      </c>
      <c r="K281" s="1075"/>
      <c r="L281" s="1075">
        <f>Sheet1!AF275</f>
        <v>37970</v>
      </c>
      <c r="M281" s="1075"/>
      <c r="N281" s="1075"/>
      <c r="O281" s="1075"/>
      <c r="P281" s="1075">
        <f>Sheet1!AK275</f>
        <v>3410</v>
      </c>
      <c r="Q281" s="1075"/>
      <c r="R281" s="1075">
        <f>Sheet1!AD275</f>
        <v>17180</v>
      </c>
      <c r="S281" s="1081">
        <f>Sheet1!AG275</f>
        <v>0.45246247037134579</v>
      </c>
      <c r="T281" s="1075" t="str">
        <f>Sheet1!AH275</f>
        <v>C</v>
      </c>
      <c r="U281" s="1075">
        <f>Sheet1!AI275</f>
        <v>1230</v>
      </c>
      <c r="V281" s="1075"/>
      <c r="W281" s="1075"/>
      <c r="X281" s="1075">
        <f>Sheet1!AJ275</f>
        <v>1460</v>
      </c>
      <c r="Y281" s="1075"/>
      <c r="Z281" s="1075"/>
      <c r="AA281" s="1075"/>
      <c r="AB281" s="1075"/>
      <c r="AC281" s="1075"/>
      <c r="AD281" s="1075"/>
      <c r="AE281" s="1075"/>
      <c r="AF281" s="1075"/>
      <c r="AG281" s="1075"/>
      <c r="AH281" s="1075"/>
      <c r="AI281" s="1075"/>
      <c r="AJ281" s="1075"/>
      <c r="AK281" s="1075" t="str">
        <f>IF(Sheet1!AE278="C",Sheet1!AK278,"-")</f>
        <v>-</v>
      </c>
      <c r="AL281" s="1075" t="str">
        <f>IF(Sheet1!AE278="D",Sheet1!AK278,"-")</f>
        <v>-</v>
      </c>
      <c r="AM281" s="1075">
        <f>IF(Sheet1!AE275="E",Sheet1!AK275,"-")</f>
        <v>3410</v>
      </c>
    </row>
    <row r="282" spans="2:39" x14ac:dyDescent="0.25">
      <c r="B282" s="1082">
        <f>Sheet1!F276</f>
        <v>348</v>
      </c>
      <c r="C282" s="1075" t="str">
        <f>Sheet1!C276</f>
        <v>Clyde Morris Blvd.</v>
      </c>
      <c r="D282" s="1075" t="str">
        <f>_xlfn.TEXTBEFORE(Sheet1!E276, " to ")</f>
        <v>Hand Ave</v>
      </c>
      <c r="E282" s="1075" t="str">
        <f>_xlfn.TEXTAFTER(Sheet1!E276, " to ")</f>
        <v>SR 40/Granada Blvd.</v>
      </c>
      <c r="F282" s="1075">
        <f>Sheet1!AM276</f>
        <v>4</v>
      </c>
      <c r="G282" s="1075"/>
      <c r="H282" s="1083" t="str">
        <f>Sheet1!AE276</f>
        <v>E</v>
      </c>
      <c r="I282" s="1075"/>
      <c r="J282" s="1075" t="str">
        <f>Sheet1!Q276</f>
        <v>UA_NSSRC2_2W_4L_D_WL</v>
      </c>
      <c r="K282" s="1075"/>
      <c r="L282" s="1075">
        <f>Sheet1!AF276</f>
        <v>30420</v>
      </c>
      <c r="M282" s="1075"/>
      <c r="N282" s="1075"/>
      <c r="O282" s="1075"/>
      <c r="P282" s="1075">
        <f>Sheet1!AK276</f>
        <v>2740</v>
      </c>
      <c r="Q282" s="1075"/>
      <c r="R282" s="1075">
        <f>Sheet1!AD276</f>
        <v>12570</v>
      </c>
      <c r="S282" s="1081">
        <f>Sheet1!AG276</f>
        <v>0.41321499013806706</v>
      </c>
      <c r="T282" s="1075" t="str">
        <f>Sheet1!AH276</f>
        <v>C</v>
      </c>
      <c r="U282" s="1075">
        <f>Sheet1!AI276</f>
        <v>880</v>
      </c>
      <c r="V282" s="1075"/>
      <c r="W282" s="1075"/>
      <c r="X282" s="1075">
        <f>Sheet1!AJ276</f>
        <v>1020</v>
      </c>
      <c r="Y282" s="1075"/>
      <c r="Z282" s="1075"/>
      <c r="AA282" s="1075"/>
      <c r="AB282" s="1075"/>
      <c r="AC282" s="1075"/>
      <c r="AD282" s="1075"/>
      <c r="AE282" s="1075"/>
      <c r="AF282" s="1075"/>
      <c r="AG282" s="1075"/>
      <c r="AH282" s="1075"/>
      <c r="AI282" s="1075"/>
      <c r="AJ282" s="1075"/>
      <c r="AK282" s="1075" t="str">
        <f>IF(Sheet1!AE279="C",Sheet1!AK279,"-")</f>
        <v>-</v>
      </c>
      <c r="AL282" s="1075" t="str">
        <f>IF(Sheet1!AE279="D",Sheet1!AK279,"-")</f>
        <v>-</v>
      </c>
      <c r="AM282" s="1075">
        <f>IF(Sheet1!AE276="E",Sheet1!AK276,"-")</f>
        <v>2740</v>
      </c>
    </row>
    <row r="283" spans="2:39" x14ac:dyDescent="0.25">
      <c r="B283" s="1082">
        <f>Sheet1!F277</f>
        <v>360</v>
      </c>
      <c r="C283" s="1075" t="str">
        <f>Sheet1!C277</f>
        <v>Commonwealth Blvd.</v>
      </c>
      <c r="D283" s="1075" t="str">
        <f>_xlfn.TEXTBEFORE(Sheet1!E277, " to ")</f>
        <v>Spruce Creek Rd.</v>
      </c>
      <c r="E283" s="1075" t="str">
        <f>_xlfn.TEXTAFTER(Sheet1!E277, " to ")</f>
        <v>Orange Ave.</v>
      </c>
      <c r="F283" s="1075">
        <f>Sheet1!AM277</f>
        <v>2</v>
      </c>
      <c r="G283" s="1075"/>
      <c r="H283" s="1083" t="str">
        <f>Sheet1!AE277</f>
        <v>E</v>
      </c>
      <c r="I283" s="1075"/>
      <c r="J283" s="1075" t="str">
        <f>Sheet1!Q277</f>
        <v>UA_NSSRC2_2W_2L_U_0L</v>
      </c>
      <c r="K283" s="1075"/>
      <c r="L283" s="1075">
        <f>Sheet1!AF277</f>
        <v>13640</v>
      </c>
      <c r="M283" s="1075"/>
      <c r="N283" s="1075"/>
      <c r="O283" s="1075"/>
      <c r="P283" s="1075">
        <f>Sheet1!AK277</f>
        <v>1020</v>
      </c>
      <c r="Q283" s="1075"/>
      <c r="R283" s="1075">
        <f>Sheet1!AD277</f>
        <v>5510</v>
      </c>
      <c r="S283" s="1081">
        <f>Sheet1!AG277</f>
        <v>0.4039589442815249</v>
      </c>
      <c r="T283" s="1075" t="str">
        <f>Sheet1!AH277</f>
        <v>C</v>
      </c>
      <c r="U283" s="1075">
        <f>Sheet1!AI277</f>
        <v>350</v>
      </c>
      <c r="V283" s="1075"/>
      <c r="W283" s="1075"/>
      <c r="X283" s="1075">
        <f>Sheet1!AJ277</f>
        <v>470</v>
      </c>
      <c r="Y283" s="1075"/>
      <c r="Z283" s="1075"/>
      <c r="AA283" s="1075"/>
      <c r="AB283" s="1075"/>
      <c r="AC283" s="1075"/>
      <c r="AD283" s="1075"/>
      <c r="AE283" s="1075"/>
      <c r="AF283" s="1075"/>
      <c r="AG283" s="1075"/>
      <c r="AH283" s="1075"/>
      <c r="AI283" s="1075"/>
      <c r="AJ283" s="1075"/>
      <c r="AK283" s="1075">
        <f>IF(Sheet1!AE280="C",Sheet1!AK280,"-")</f>
        <v>1230</v>
      </c>
      <c r="AL283" s="1075" t="str">
        <f>IF(Sheet1!AE280="D",Sheet1!AK280,"-")</f>
        <v>-</v>
      </c>
      <c r="AM283" s="1075">
        <f>IF(Sheet1!AE277="E",Sheet1!AK277,"-")</f>
        <v>1020</v>
      </c>
    </row>
    <row r="284" spans="2:39" x14ac:dyDescent="0.25">
      <c r="B284" s="1082">
        <f>Sheet1!F278</f>
        <v>361</v>
      </c>
      <c r="C284" s="1075" t="str">
        <f>Sheet1!C278</f>
        <v>Commonwealth Blvd.</v>
      </c>
      <c r="D284" s="1075" t="str">
        <f>_xlfn.TEXTBEFORE(Sheet1!E278, " to ")</f>
        <v>Orange Ave.</v>
      </c>
      <c r="E284" s="1075" t="str">
        <f>_xlfn.TEXTAFTER(Sheet1!E278, " to ")</f>
        <v>US 1</v>
      </c>
      <c r="F284" s="1075">
        <f>Sheet1!AM278</f>
        <v>2</v>
      </c>
      <c r="G284" s="1075"/>
      <c r="H284" s="1083" t="str">
        <f>Sheet1!AE278</f>
        <v>E</v>
      </c>
      <c r="I284" s="1075"/>
      <c r="J284" s="1075" t="str">
        <f>Sheet1!Q278</f>
        <v>UA_NSSRC2_2W_2L_U_0L</v>
      </c>
      <c r="K284" s="1075"/>
      <c r="L284" s="1075">
        <f>Sheet1!AF278</f>
        <v>13640</v>
      </c>
      <c r="M284" s="1075"/>
      <c r="N284" s="1075"/>
      <c r="O284" s="1075"/>
      <c r="P284" s="1075">
        <f>Sheet1!AK278</f>
        <v>1020</v>
      </c>
      <c r="Q284" s="1075"/>
      <c r="R284" s="1075">
        <f>Sheet1!AD278</f>
        <v>3830</v>
      </c>
      <c r="S284" s="1081">
        <f>Sheet1!AG278</f>
        <v>0.28079178885630496</v>
      </c>
      <c r="T284" s="1075" t="str">
        <f>Sheet1!AH278</f>
        <v>C</v>
      </c>
      <c r="U284" s="1075">
        <f>Sheet1!AI278</f>
        <v>230</v>
      </c>
      <c r="V284" s="1075"/>
      <c r="W284" s="1075"/>
      <c r="X284" s="1075">
        <f>Sheet1!AJ278</f>
        <v>330</v>
      </c>
      <c r="Y284" s="1075"/>
      <c r="Z284" s="1075"/>
      <c r="AA284" s="1075"/>
      <c r="AB284" s="1075"/>
      <c r="AC284" s="1075"/>
      <c r="AD284" s="1075"/>
      <c r="AE284" s="1075"/>
      <c r="AF284" s="1075"/>
      <c r="AG284" s="1075"/>
      <c r="AH284" s="1075"/>
      <c r="AI284" s="1075"/>
      <c r="AJ284" s="1075"/>
      <c r="AK284" s="1075">
        <f>IF(Sheet1!AE281="C",Sheet1!AK281,"-")</f>
        <v>1230</v>
      </c>
      <c r="AL284" s="1075" t="str">
        <f>IF(Sheet1!AE281="D",Sheet1!AK281,"-")</f>
        <v>-</v>
      </c>
      <c r="AM284" s="1075">
        <f>IF(Sheet1!AE278="E",Sheet1!AK278,"-")</f>
        <v>1020</v>
      </c>
    </row>
    <row r="285" spans="2:39" x14ac:dyDescent="0.25">
      <c r="B285" s="1082">
        <f>Sheet1!F279</f>
        <v>380</v>
      </c>
      <c r="C285" s="1075" t="str">
        <f>Sheet1!C279</f>
        <v>CR 3</v>
      </c>
      <c r="D285" s="1075" t="str">
        <f>_xlfn.TEXTBEFORE(Sheet1!E279, " to ")</f>
        <v>Ponce DeLeon Blvd.</v>
      </c>
      <c r="E285" s="1075" t="str">
        <f>_xlfn.TEXTAFTER(Sheet1!E279, " to ")</f>
        <v>Lake Winona Rd.</v>
      </c>
      <c r="F285" s="1075">
        <f>Sheet1!AM279</f>
        <v>2</v>
      </c>
      <c r="G285" s="1075"/>
      <c r="H285" s="1083" t="str">
        <f>Sheet1!AE279</f>
        <v>E</v>
      </c>
      <c r="I285" s="1075"/>
      <c r="J285" s="1075" t="str">
        <f>Sheet1!Q279</f>
        <v>UA_NSSRC1_2W_2L_U_0L</v>
      </c>
      <c r="K285" s="1075"/>
      <c r="L285" s="1075">
        <f>Sheet1!AF279</f>
        <v>13640</v>
      </c>
      <c r="M285" s="1075"/>
      <c r="N285" s="1075"/>
      <c r="O285" s="1075"/>
      <c r="P285" s="1075">
        <f>Sheet1!AK279</f>
        <v>1230</v>
      </c>
      <c r="Q285" s="1075"/>
      <c r="R285" s="1075">
        <f>Sheet1!AD279</f>
        <v>1200</v>
      </c>
      <c r="S285" s="1081">
        <f>Sheet1!AG279</f>
        <v>8.797653958944282E-2</v>
      </c>
      <c r="T285" s="1075" t="str">
        <f>Sheet1!AH279</f>
        <v>C</v>
      </c>
      <c r="U285" s="1075">
        <f>Sheet1!AI279</f>
        <v>70</v>
      </c>
      <c r="V285" s="1075"/>
      <c r="W285" s="1075"/>
      <c r="X285" s="1075">
        <f>Sheet1!AJ279</f>
        <v>110</v>
      </c>
      <c r="Y285" s="1075"/>
      <c r="Z285" s="1075"/>
      <c r="AA285" s="1075"/>
      <c r="AB285" s="1075"/>
      <c r="AC285" s="1075"/>
      <c r="AD285" s="1075"/>
      <c r="AE285" s="1075"/>
      <c r="AF285" s="1075"/>
      <c r="AG285" s="1075"/>
      <c r="AH285" s="1075"/>
      <c r="AI285" s="1075"/>
      <c r="AJ285" s="1075"/>
      <c r="AK285" s="1075">
        <f>IF(Sheet1!AE282="C",Sheet1!AK282,"-")</f>
        <v>1230</v>
      </c>
      <c r="AL285" s="1075" t="str">
        <f>IF(Sheet1!AE282="D",Sheet1!AK282,"-")</f>
        <v>-</v>
      </c>
      <c r="AM285" s="1075">
        <f>IF(Sheet1!AE279="E",Sheet1!AK279,"-")</f>
        <v>1230</v>
      </c>
    </row>
    <row r="286" spans="2:39" x14ac:dyDescent="0.25">
      <c r="B286" s="1082">
        <f>Sheet1!F280</f>
        <v>380</v>
      </c>
      <c r="C286" s="1075" t="str">
        <f>Sheet1!C280</f>
        <v>CR 3</v>
      </c>
      <c r="D286" s="1075" t="str">
        <f>_xlfn.TEXTBEFORE(Sheet1!E280, " to ")</f>
        <v>Lake Winona Rd.</v>
      </c>
      <c r="E286" s="1075" t="str">
        <f>_xlfn.TEXTAFTER(Sheet1!E280, " to ")</f>
        <v>SR 40</v>
      </c>
      <c r="F286" s="1075">
        <f>Sheet1!AM280</f>
        <v>2</v>
      </c>
      <c r="G286" s="1075"/>
      <c r="H286" s="1083" t="str">
        <f>Sheet1!AE280</f>
        <v>C</v>
      </c>
      <c r="I286" s="1075"/>
      <c r="J286" s="1075" t="str">
        <f>Sheet1!Q280</f>
        <v>RDA_UFH_2W_2L_U_0L</v>
      </c>
      <c r="K286" s="1075"/>
      <c r="L286" s="1075">
        <f>Sheet1!AF280</f>
        <v>11775</v>
      </c>
      <c r="M286" s="1075"/>
      <c r="N286" s="1075"/>
      <c r="O286" s="1075"/>
      <c r="P286" s="1075">
        <f>Sheet1!AK280</f>
        <v>1230</v>
      </c>
      <c r="Q286" s="1075"/>
      <c r="R286" s="1075">
        <f>Sheet1!AD280</f>
        <v>1200</v>
      </c>
      <c r="S286" s="1081">
        <f>Sheet1!AG280</f>
        <v>0.10191082802547771</v>
      </c>
      <c r="T286" s="1075" t="str">
        <f>Sheet1!AH280</f>
        <v>B</v>
      </c>
      <c r="U286" s="1075">
        <f>Sheet1!AI280</f>
        <v>70</v>
      </c>
      <c r="V286" s="1075"/>
      <c r="W286" s="1075"/>
      <c r="X286" s="1075">
        <f>Sheet1!AJ280</f>
        <v>110</v>
      </c>
      <c r="Y286" s="1075"/>
      <c r="Z286" s="1075"/>
      <c r="AA286" s="1075"/>
      <c r="AB286" s="1075"/>
      <c r="AC286" s="1075"/>
      <c r="AD286" s="1075"/>
      <c r="AE286" s="1075"/>
      <c r="AF286" s="1075"/>
      <c r="AG286" s="1075"/>
      <c r="AH286" s="1075"/>
      <c r="AI286" s="1075"/>
      <c r="AJ286" s="1075"/>
      <c r="AK286" s="1075">
        <f>IF(Sheet1!AE283="C",Sheet1!AK283,"-")</f>
        <v>1230</v>
      </c>
      <c r="AL286" s="1075" t="str">
        <f>IF(Sheet1!AE283="D",Sheet1!AK283,"-")</f>
        <v>-</v>
      </c>
      <c r="AM286" s="1075" t="str">
        <f>IF(Sheet1!AE280="E",Sheet1!AK280,"-")</f>
        <v>-</v>
      </c>
    </row>
    <row r="287" spans="2:39" x14ac:dyDescent="0.25">
      <c r="B287" s="1082">
        <f>Sheet1!F281</f>
        <v>382</v>
      </c>
      <c r="C287" s="1075" t="str">
        <f>Sheet1!C281</f>
        <v>CR 3</v>
      </c>
      <c r="D287" s="1075" t="str">
        <f>_xlfn.TEXTBEFORE(Sheet1!E281, " to ")</f>
        <v>SR 40</v>
      </c>
      <c r="E287" s="1075" t="str">
        <f>_xlfn.TEXTAFTER(Sheet1!E281, " to ")</f>
        <v>Emporia Rd</v>
      </c>
      <c r="F287" s="1075">
        <f>Sheet1!AM281</f>
        <v>2</v>
      </c>
      <c r="G287" s="1075"/>
      <c r="H287" s="1083" t="str">
        <f>Sheet1!AE281</f>
        <v>C</v>
      </c>
      <c r="I287" s="1075"/>
      <c r="J287" s="1075" t="str">
        <f>Sheet1!Q281</f>
        <v>RDA_UFH_2W_2L_U_0L</v>
      </c>
      <c r="K287" s="1075"/>
      <c r="L287" s="1075">
        <f>Sheet1!AF281</f>
        <v>11775</v>
      </c>
      <c r="M287" s="1075"/>
      <c r="N287" s="1075"/>
      <c r="O287" s="1075"/>
      <c r="P287" s="1075">
        <f>Sheet1!AK281</f>
        <v>1230</v>
      </c>
      <c r="Q287" s="1075"/>
      <c r="R287" s="1075">
        <f>Sheet1!AD281</f>
        <v>1460</v>
      </c>
      <c r="S287" s="1081">
        <f>Sheet1!AG281</f>
        <v>0.12399150743099788</v>
      </c>
      <c r="T287" s="1075" t="str">
        <f>Sheet1!AH281</f>
        <v>B</v>
      </c>
      <c r="U287" s="1075">
        <f>Sheet1!AI281</f>
        <v>100</v>
      </c>
      <c r="V287" s="1075"/>
      <c r="W287" s="1075"/>
      <c r="X287" s="1075">
        <f>Sheet1!AJ281</f>
        <v>120</v>
      </c>
      <c r="Y287" s="1075"/>
      <c r="Z287" s="1075"/>
      <c r="AA287" s="1075"/>
      <c r="AB287" s="1075"/>
      <c r="AC287" s="1075"/>
      <c r="AD287" s="1075"/>
      <c r="AE287" s="1075"/>
      <c r="AF287" s="1075"/>
      <c r="AG287" s="1075"/>
      <c r="AH287" s="1075"/>
      <c r="AI287" s="1075"/>
      <c r="AJ287" s="1075"/>
      <c r="AK287" s="1075" t="str">
        <f>IF(Sheet1!AE284="C",Sheet1!AK284,"-")</f>
        <v>-</v>
      </c>
      <c r="AL287" s="1075" t="str">
        <f>IF(Sheet1!AE284="D",Sheet1!AK284,"-")</f>
        <v>-</v>
      </c>
      <c r="AM287" s="1075" t="str">
        <f>IF(Sheet1!AE281="E",Sheet1!AK281,"-")</f>
        <v>-</v>
      </c>
    </row>
    <row r="288" spans="2:39" x14ac:dyDescent="0.25">
      <c r="B288" s="1082">
        <f>Sheet1!F282</f>
        <v>384</v>
      </c>
      <c r="C288" s="1075" t="str">
        <f>Sheet1!C282</f>
        <v>CR 3</v>
      </c>
      <c r="D288" s="1075" t="str">
        <f>_xlfn.TEXTBEFORE(Sheet1!E282, " to ")</f>
        <v>Emporia Rd</v>
      </c>
      <c r="E288" s="1075" t="str">
        <f>_xlfn.TEXTAFTER(Sheet1!E282, " to ")</f>
        <v>Washington Ave.</v>
      </c>
      <c r="F288" s="1075">
        <f>Sheet1!AM282</f>
        <v>2</v>
      </c>
      <c r="G288" s="1075"/>
      <c r="H288" s="1083" t="str">
        <f>Sheet1!AE282</f>
        <v>C</v>
      </c>
      <c r="I288" s="1075"/>
      <c r="J288" s="1075" t="str">
        <f>Sheet1!Q282</f>
        <v>RDA_UFH_2W_2L_U_0L</v>
      </c>
      <c r="K288" s="1075"/>
      <c r="L288" s="1075">
        <f>Sheet1!AF282</f>
        <v>11775</v>
      </c>
      <c r="M288" s="1075"/>
      <c r="N288" s="1075"/>
      <c r="O288" s="1075"/>
      <c r="P288" s="1075">
        <f>Sheet1!AK282</f>
        <v>1230</v>
      </c>
      <c r="Q288" s="1075"/>
      <c r="R288" s="1075">
        <f>Sheet1!AD282</f>
        <v>1920</v>
      </c>
      <c r="S288" s="1081">
        <f>Sheet1!AG282</f>
        <v>0.16305732484076432</v>
      </c>
      <c r="T288" s="1075" t="str">
        <f>Sheet1!AH282</f>
        <v>B</v>
      </c>
      <c r="U288" s="1075">
        <f>Sheet1!AI282</f>
        <v>130</v>
      </c>
      <c r="V288" s="1075"/>
      <c r="W288" s="1075"/>
      <c r="X288" s="1075">
        <f>Sheet1!AJ282</f>
        <v>200</v>
      </c>
      <c r="Y288" s="1075"/>
      <c r="Z288" s="1075"/>
      <c r="AA288" s="1075"/>
      <c r="AB288" s="1075"/>
      <c r="AC288" s="1075"/>
      <c r="AD288" s="1075"/>
      <c r="AE288" s="1075"/>
      <c r="AF288" s="1075"/>
      <c r="AG288" s="1075"/>
      <c r="AH288" s="1075"/>
      <c r="AI288" s="1075"/>
      <c r="AJ288" s="1075"/>
      <c r="AK288" s="1075" t="str">
        <f>IF(Sheet1!AE285="C",Sheet1!AK285,"-")</f>
        <v>-</v>
      </c>
      <c r="AL288" s="1075" t="str">
        <f>IF(Sheet1!AE285="D",Sheet1!AK285,"-")</f>
        <v>-</v>
      </c>
      <c r="AM288" s="1075" t="str">
        <f>IF(Sheet1!AE282="E",Sheet1!AK282,"-")</f>
        <v>-</v>
      </c>
    </row>
    <row r="289" spans="2:39" x14ac:dyDescent="0.25">
      <c r="B289" s="1082">
        <f>Sheet1!F283</f>
        <v>386</v>
      </c>
      <c r="C289" s="1075" t="str">
        <f>Sheet1!C283</f>
        <v>CR 3</v>
      </c>
      <c r="D289" s="1075" t="str">
        <f>_xlfn.TEXTBEFORE(Sheet1!E283, " to ")</f>
        <v>Washington Ave.</v>
      </c>
      <c r="E289" s="1075" t="str">
        <f>_xlfn.TEXTAFTER(Sheet1!E283, " to ")</f>
        <v>'US 17</v>
      </c>
      <c r="F289" s="1075">
        <f>Sheet1!AM283</f>
        <v>2</v>
      </c>
      <c r="G289" s="1075"/>
      <c r="H289" s="1083" t="str">
        <f>Sheet1!AE283</f>
        <v>C</v>
      </c>
      <c r="I289" s="1075"/>
      <c r="J289" s="1075" t="str">
        <f>Sheet1!Q283</f>
        <v>RDA_UFH_2W_2L_U_0L</v>
      </c>
      <c r="K289" s="1075"/>
      <c r="L289" s="1075">
        <f>Sheet1!AF283</f>
        <v>11775</v>
      </c>
      <c r="M289" s="1075"/>
      <c r="N289" s="1075"/>
      <c r="O289" s="1075"/>
      <c r="P289" s="1075">
        <f>Sheet1!AK283</f>
        <v>1230</v>
      </c>
      <c r="Q289" s="1075"/>
      <c r="R289" s="1075">
        <f>Sheet1!AD283</f>
        <v>1200</v>
      </c>
      <c r="S289" s="1081">
        <f>Sheet1!AG283</f>
        <v>0.10191082802547771</v>
      </c>
      <c r="T289" s="1075" t="str">
        <f>Sheet1!AH283</f>
        <v>B</v>
      </c>
      <c r="U289" s="1075">
        <f>Sheet1!AI283</f>
        <v>70</v>
      </c>
      <c r="V289" s="1075"/>
      <c r="W289" s="1075"/>
      <c r="X289" s="1075">
        <f>Sheet1!AJ283</f>
        <v>100</v>
      </c>
      <c r="Y289" s="1075"/>
      <c r="Z289" s="1075"/>
      <c r="AA289" s="1075"/>
      <c r="AB289" s="1075"/>
      <c r="AC289" s="1075"/>
      <c r="AD289" s="1075"/>
      <c r="AE289" s="1075"/>
      <c r="AF289" s="1075"/>
      <c r="AG289" s="1075"/>
      <c r="AH289" s="1075"/>
      <c r="AI289" s="1075"/>
      <c r="AJ289" s="1075"/>
      <c r="AK289" s="1075" t="str">
        <f>IF(Sheet1!AE286="C",Sheet1!AK286,"-")</f>
        <v>-</v>
      </c>
      <c r="AL289" s="1075" t="str">
        <f>IF(Sheet1!AE286="D",Sheet1!AK286,"-")</f>
        <v>-</v>
      </c>
      <c r="AM289" s="1075" t="str">
        <f>IF(Sheet1!AE283="E",Sheet1!AK283,"-")</f>
        <v>-</v>
      </c>
    </row>
    <row r="290" spans="2:39" x14ac:dyDescent="0.25">
      <c r="B290" s="1082">
        <f>Sheet1!F284</f>
        <v>440</v>
      </c>
      <c r="C290" s="1075" t="str">
        <f>Sheet1!C284</f>
        <v>CR 15A</v>
      </c>
      <c r="D290" s="1075" t="str">
        <f>_xlfn.TEXTBEFORE(Sheet1!E284, " to ")</f>
        <v>US 17</v>
      </c>
      <c r="E290" s="1075" t="str">
        <f>_xlfn.TEXTAFTER(Sheet1!E284, " to ")</f>
        <v>Airport Rd.</v>
      </c>
      <c r="F290" s="1075">
        <f>Sheet1!AM284</f>
        <v>2</v>
      </c>
      <c r="G290" s="1075"/>
      <c r="H290" s="1083" t="str">
        <f>Sheet1!AE284</f>
        <v>E</v>
      </c>
      <c r="I290" s="1075"/>
      <c r="J290" s="1075" t="str">
        <f>Sheet1!Q284</f>
        <v>UA_UFH_2W_2L_U_0L</v>
      </c>
      <c r="K290" s="1075"/>
      <c r="L290" s="1075">
        <f>Sheet1!AF284</f>
        <v>24450</v>
      </c>
      <c r="M290" s="1075"/>
      <c r="N290" s="1075"/>
      <c r="O290" s="1075"/>
      <c r="P290" s="1075">
        <f>Sheet1!AK284</f>
        <v>2200</v>
      </c>
      <c r="Q290" s="1075"/>
      <c r="R290" s="1075">
        <f>Sheet1!AD284</f>
        <v>5310</v>
      </c>
      <c r="S290" s="1081">
        <f>Sheet1!AG284</f>
        <v>0.21717791411042944</v>
      </c>
      <c r="T290" s="1075" t="str">
        <f>Sheet1!AH284</f>
        <v>B</v>
      </c>
      <c r="U290" s="1075">
        <f>Sheet1!AI284</f>
        <v>340</v>
      </c>
      <c r="V290" s="1075"/>
      <c r="W290" s="1075"/>
      <c r="X290" s="1075">
        <f>Sheet1!AJ284</f>
        <v>490</v>
      </c>
      <c r="Y290" s="1075"/>
      <c r="Z290" s="1075"/>
      <c r="AA290" s="1075"/>
      <c r="AB290" s="1075"/>
      <c r="AC290" s="1075"/>
      <c r="AD290" s="1075"/>
      <c r="AE290" s="1075"/>
      <c r="AF290" s="1075"/>
      <c r="AG290" s="1075"/>
      <c r="AH290" s="1075"/>
      <c r="AI290" s="1075"/>
      <c r="AJ290" s="1075"/>
      <c r="AK290" s="1075" t="str">
        <f>IF(Sheet1!AE287="C",Sheet1!AK287,"-")</f>
        <v>-</v>
      </c>
      <c r="AL290" s="1075" t="str">
        <f>IF(Sheet1!AE287="D",Sheet1!AK287,"-")</f>
        <v>-</v>
      </c>
      <c r="AM290" s="1075">
        <f>IF(Sheet1!AE284="E",Sheet1!AK284,"-")</f>
        <v>2200</v>
      </c>
    </row>
    <row r="291" spans="2:39" x14ac:dyDescent="0.25">
      <c r="B291" s="1082">
        <f>Sheet1!F285</f>
        <v>441</v>
      </c>
      <c r="C291" s="1075" t="str">
        <f>Sheet1!C285</f>
        <v>CR 15A</v>
      </c>
      <c r="D291" s="1075" t="str">
        <f>_xlfn.TEXTBEFORE(Sheet1!E285, " to ")</f>
        <v>Airport Rd.</v>
      </c>
      <c r="E291" s="1075" t="str">
        <f>_xlfn.TEXTAFTER(Sheet1!E285, " to ")</f>
        <v>SR 11</v>
      </c>
      <c r="F291" s="1075">
        <f>Sheet1!AM285</f>
        <v>2</v>
      </c>
      <c r="G291" s="1075"/>
      <c r="H291" s="1083" t="str">
        <f>Sheet1!AE285</f>
        <v>E</v>
      </c>
      <c r="I291" s="1075"/>
      <c r="J291" s="1075" t="str">
        <f>Sheet1!Q285</f>
        <v>UA_UFH_2W_2L_U_0L</v>
      </c>
      <c r="K291" s="1075"/>
      <c r="L291" s="1075">
        <f>Sheet1!AF285</f>
        <v>24450</v>
      </c>
      <c r="M291" s="1075"/>
      <c r="N291" s="1075"/>
      <c r="O291" s="1075"/>
      <c r="P291" s="1075">
        <f>Sheet1!AK285</f>
        <v>2200</v>
      </c>
      <c r="Q291" s="1075"/>
      <c r="R291" s="1075">
        <f>Sheet1!AD285</f>
        <v>2980</v>
      </c>
      <c r="S291" s="1081">
        <f>Sheet1!AG285</f>
        <v>0.12188139059304703</v>
      </c>
      <c r="T291" s="1075" t="str">
        <f>Sheet1!AH285</f>
        <v>B</v>
      </c>
      <c r="U291" s="1075">
        <f>Sheet1!AI285</f>
        <v>200</v>
      </c>
      <c r="V291" s="1075"/>
      <c r="W291" s="1075"/>
      <c r="X291" s="1075">
        <f>Sheet1!AJ285</f>
        <v>280</v>
      </c>
      <c r="Y291" s="1075"/>
      <c r="Z291" s="1075"/>
      <c r="AA291" s="1075"/>
      <c r="AB291" s="1075"/>
      <c r="AC291" s="1075"/>
      <c r="AD291" s="1075"/>
      <c r="AE291" s="1075"/>
      <c r="AF291" s="1075"/>
      <c r="AG291" s="1075"/>
      <c r="AH291" s="1075"/>
      <c r="AI291" s="1075"/>
      <c r="AJ291" s="1075"/>
      <c r="AK291" s="1075">
        <f>IF(Sheet1!AE288="C",Sheet1!AK288,"-")</f>
        <v>620</v>
      </c>
      <c r="AL291" s="1075" t="str">
        <f>IF(Sheet1!AE288="D",Sheet1!AK288,"-")</f>
        <v>-</v>
      </c>
      <c r="AM291" s="1075">
        <f>IF(Sheet1!AE285="E",Sheet1!AK285,"-")</f>
        <v>2200</v>
      </c>
    </row>
    <row r="292" spans="2:39" x14ac:dyDescent="0.25">
      <c r="B292" s="1082">
        <f>Sheet1!F286</f>
        <v>450</v>
      </c>
      <c r="C292" s="1075" t="str">
        <f>Sheet1!C286</f>
        <v>CR 92 (Intn'l Spdwy Blvd.)</v>
      </c>
      <c r="D292" s="1075" t="str">
        <f>_xlfn.TEXTBEFORE(Sheet1!E286, " to ")</f>
        <v>SR 15A</v>
      </c>
      <c r="E292" s="1075" t="str">
        <f>_xlfn.TEXTAFTER(Sheet1!E286, " to ")</f>
        <v>Stone St.</v>
      </c>
      <c r="F292" s="1075">
        <f>Sheet1!AM286</f>
        <v>4</v>
      </c>
      <c r="G292" s="1075"/>
      <c r="H292" s="1083" t="str">
        <f>Sheet1!AE286</f>
        <v>E</v>
      </c>
      <c r="I292" s="1075"/>
      <c r="J292" s="1075" t="str">
        <f>Sheet1!Q286</f>
        <v>UA_NSSRC1_2W_4L_D_WL</v>
      </c>
      <c r="K292" s="1075"/>
      <c r="L292" s="1075">
        <f>Sheet1!AF286</f>
        <v>37970</v>
      </c>
      <c r="M292" s="1075"/>
      <c r="N292" s="1075"/>
      <c r="O292" s="1075"/>
      <c r="P292" s="1075">
        <f>Sheet1!AK286</f>
        <v>3410</v>
      </c>
      <c r="Q292" s="1075"/>
      <c r="R292" s="1075">
        <f>Sheet1!AD286</f>
        <v>14000</v>
      </c>
      <c r="S292" s="1081">
        <f>Sheet1!AG286</f>
        <v>0.36871214116407691</v>
      </c>
      <c r="T292" s="1075" t="str">
        <f>Sheet1!AH286</f>
        <v>C</v>
      </c>
      <c r="U292" s="1075">
        <f>Sheet1!AI286</f>
        <v>790</v>
      </c>
      <c r="V292" s="1075"/>
      <c r="W292" s="1075"/>
      <c r="X292" s="1075">
        <f>Sheet1!AJ286</f>
        <v>1120</v>
      </c>
      <c r="Y292" s="1075"/>
      <c r="Z292" s="1075"/>
      <c r="AA292" s="1075"/>
      <c r="AB292" s="1075"/>
      <c r="AC292" s="1075"/>
      <c r="AD292" s="1075"/>
      <c r="AE292" s="1075"/>
      <c r="AF292" s="1075"/>
      <c r="AG292" s="1075"/>
      <c r="AH292" s="1075"/>
      <c r="AI292" s="1075"/>
      <c r="AJ292" s="1075"/>
      <c r="AK292" s="1075">
        <f>IF(Sheet1!AE289="C",Sheet1!AK289,"-")</f>
        <v>620</v>
      </c>
      <c r="AL292" s="1075" t="str">
        <f>IF(Sheet1!AE289="D",Sheet1!AK289,"-")</f>
        <v>-</v>
      </c>
      <c r="AM292" s="1075">
        <f>IF(Sheet1!AE286="E",Sheet1!AK286,"-")</f>
        <v>3410</v>
      </c>
    </row>
    <row r="293" spans="2:39" x14ac:dyDescent="0.25">
      <c r="B293" s="1082">
        <f>Sheet1!F287</f>
        <v>452</v>
      </c>
      <c r="C293" s="1075" t="str">
        <f>Sheet1!C287</f>
        <v>CR 92 (Intn'l Spdwy Blvd.)</v>
      </c>
      <c r="D293" s="1075" t="str">
        <f>_xlfn.TEXTBEFORE(Sheet1!E287, " to ")</f>
        <v>Stone St.</v>
      </c>
      <c r="E293" s="1075" t="str">
        <f>_xlfn.TEXTAFTER(Sheet1!E287, " to ")</f>
        <v>US 17/92</v>
      </c>
      <c r="F293" s="1075">
        <f>Sheet1!AM287</f>
        <v>4</v>
      </c>
      <c r="G293" s="1075"/>
      <c r="H293" s="1083" t="str">
        <f>Sheet1!AE287</f>
        <v>E</v>
      </c>
      <c r="I293" s="1075"/>
      <c r="J293" s="1075" t="str">
        <f>Sheet1!Q287</f>
        <v>UA_NSSRC1_2W_4L_D_WL</v>
      </c>
      <c r="K293" s="1075"/>
      <c r="L293" s="1075">
        <f>Sheet1!AF287</f>
        <v>37970</v>
      </c>
      <c r="M293" s="1075"/>
      <c r="N293" s="1075"/>
      <c r="O293" s="1075"/>
      <c r="P293" s="1075">
        <f>Sheet1!AK287</f>
        <v>3410</v>
      </c>
      <c r="Q293" s="1075"/>
      <c r="R293" s="1075">
        <f>Sheet1!AD287</f>
        <v>14960</v>
      </c>
      <c r="S293" s="1081">
        <f>Sheet1!AG287</f>
        <v>0.39399525941532787</v>
      </c>
      <c r="T293" s="1075" t="str">
        <f>Sheet1!AH287</f>
        <v>C</v>
      </c>
      <c r="U293" s="1075">
        <f>Sheet1!AI287</f>
        <v>800</v>
      </c>
      <c r="V293" s="1075"/>
      <c r="W293" s="1075"/>
      <c r="X293" s="1075">
        <f>Sheet1!AJ287</f>
        <v>1240</v>
      </c>
      <c r="Y293" s="1075"/>
      <c r="Z293" s="1075"/>
      <c r="AA293" s="1075"/>
      <c r="AB293" s="1075"/>
      <c r="AC293" s="1075"/>
      <c r="AD293" s="1075"/>
      <c r="AE293" s="1075"/>
      <c r="AF293" s="1075"/>
      <c r="AG293" s="1075"/>
      <c r="AH293" s="1075"/>
      <c r="AI293" s="1075"/>
      <c r="AJ293" s="1075"/>
      <c r="AK293" s="1075">
        <f>IF(Sheet1!AE290="C",Sheet1!AK290,"-")</f>
        <v>620</v>
      </c>
      <c r="AL293" s="1075" t="str">
        <f>IF(Sheet1!AE290="D",Sheet1!AK290,"-")</f>
        <v>-</v>
      </c>
      <c r="AM293" s="1075">
        <f>IF(Sheet1!AE287="E",Sheet1!AK287,"-")</f>
        <v>3410</v>
      </c>
    </row>
    <row r="294" spans="2:39" x14ac:dyDescent="0.25">
      <c r="B294" s="1082">
        <f>Sheet1!F288</f>
        <v>460</v>
      </c>
      <c r="C294" s="1075" t="str">
        <f>Sheet1!C288</f>
        <v>CR 305 (Bunnell Rd.)</v>
      </c>
      <c r="D294" s="1075" t="str">
        <f>_xlfn.TEXTBEFORE(Sheet1!E288, " to ")</f>
        <v>US 17</v>
      </c>
      <c r="E294" s="1075" t="str">
        <f>_xlfn.TEXTAFTER(Sheet1!E288, " to ")</f>
        <v>Cowart Rd.</v>
      </c>
      <c r="F294" s="1075">
        <f>Sheet1!AM288</f>
        <v>2</v>
      </c>
      <c r="G294" s="1075"/>
      <c r="H294" s="1083" t="str">
        <f>Sheet1!AE288</f>
        <v>C</v>
      </c>
      <c r="I294" s="1075"/>
      <c r="J294" s="1075" t="str">
        <f>Sheet1!Q288</f>
        <v>RUA_UFH_2W_2L_U_0L</v>
      </c>
      <c r="K294" s="1075"/>
      <c r="L294" s="1075">
        <f>Sheet1!AF288</f>
        <v>6450</v>
      </c>
      <c r="M294" s="1075"/>
      <c r="N294" s="1075"/>
      <c r="O294" s="1075"/>
      <c r="P294" s="1075">
        <f>Sheet1!AK288</f>
        <v>620</v>
      </c>
      <c r="Q294" s="1075"/>
      <c r="R294" s="1075">
        <f>Sheet1!AD288</f>
        <v>2140</v>
      </c>
      <c r="S294" s="1081">
        <f>Sheet1!AG288</f>
        <v>0.33178294573643413</v>
      </c>
      <c r="T294" s="1075" t="str">
        <f>Sheet1!AH288</f>
        <v>B</v>
      </c>
      <c r="U294" s="1075">
        <f>Sheet1!AI288</f>
        <v>200</v>
      </c>
      <c r="V294" s="1075"/>
      <c r="W294" s="1075"/>
      <c r="X294" s="1075">
        <f>Sheet1!AJ288</f>
        <v>210</v>
      </c>
      <c r="Y294" s="1075"/>
      <c r="Z294" s="1075"/>
      <c r="AA294" s="1075"/>
      <c r="AB294" s="1075"/>
      <c r="AC294" s="1075"/>
      <c r="AD294" s="1075"/>
      <c r="AE294" s="1075"/>
      <c r="AF294" s="1075"/>
      <c r="AG294" s="1075"/>
      <c r="AH294" s="1075"/>
      <c r="AI294" s="1075"/>
      <c r="AJ294" s="1075"/>
      <c r="AK294" s="1075">
        <f>IF(Sheet1!AE291="C",Sheet1!AK291,"-")</f>
        <v>620</v>
      </c>
      <c r="AL294" s="1075" t="str">
        <f>IF(Sheet1!AE291="D",Sheet1!AK291,"-")</f>
        <v>-</v>
      </c>
      <c r="AM294" s="1075" t="str">
        <f>IF(Sheet1!AE288="E",Sheet1!AK288,"-")</f>
        <v>-</v>
      </c>
    </row>
    <row r="295" spans="2:39" x14ac:dyDescent="0.25">
      <c r="B295" s="1082">
        <f>Sheet1!F289</f>
        <v>461</v>
      </c>
      <c r="C295" s="1075" t="str">
        <f>Sheet1!C289</f>
        <v>CR 305 (Bunnell Rd.)</v>
      </c>
      <c r="D295" s="1075" t="str">
        <f>_xlfn.TEXTBEFORE(Sheet1!E289, " to ")</f>
        <v>Cowart Rd.</v>
      </c>
      <c r="E295" s="1075" t="str">
        <f>_xlfn.TEXTAFTER(Sheet1!E289, " to ")</f>
        <v>Flagler Co.</v>
      </c>
      <c r="F295" s="1075">
        <f>Sheet1!AM289</f>
        <v>2</v>
      </c>
      <c r="G295" s="1075"/>
      <c r="H295" s="1083" t="str">
        <f>Sheet1!AE289</f>
        <v>C</v>
      </c>
      <c r="I295" s="1075"/>
      <c r="J295" s="1075" t="str">
        <f>Sheet1!Q289</f>
        <v>RUA_UFH_2W_2L_U_0L</v>
      </c>
      <c r="K295" s="1075"/>
      <c r="L295" s="1075">
        <f>Sheet1!AF289</f>
        <v>6450</v>
      </c>
      <c r="M295" s="1075"/>
      <c r="N295" s="1075"/>
      <c r="O295" s="1075"/>
      <c r="P295" s="1075">
        <f>Sheet1!AK289</f>
        <v>620</v>
      </c>
      <c r="Q295" s="1075"/>
      <c r="R295" s="1075">
        <f>Sheet1!AD289</f>
        <v>1630</v>
      </c>
      <c r="S295" s="1081">
        <f>Sheet1!AG289</f>
        <v>0.25271317829457363</v>
      </c>
      <c r="T295" s="1075" t="str">
        <f>Sheet1!AH289</f>
        <v>B</v>
      </c>
      <c r="U295" s="1075">
        <f>Sheet1!AI289</f>
        <v>160</v>
      </c>
      <c r="V295" s="1075"/>
      <c r="W295" s="1075"/>
      <c r="X295" s="1075">
        <f>Sheet1!AJ289</f>
        <v>170</v>
      </c>
      <c r="Y295" s="1075"/>
      <c r="Z295" s="1075"/>
      <c r="AA295" s="1075"/>
      <c r="AB295" s="1075"/>
      <c r="AC295" s="1075"/>
      <c r="AD295" s="1075"/>
      <c r="AE295" s="1075"/>
      <c r="AF295" s="1075"/>
      <c r="AG295" s="1075"/>
      <c r="AH295" s="1075"/>
      <c r="AI295" s="1075"/>
      <c r="AJ295" s="1075"/>
      <c r="AK295" s="1075">
        <f>IF(Sheet1!AE292="C",Sheet1!AK292,"-")</f>
        <v>620</v>
      </c>
      <c r="AL295" s="1075" t="str">
        <f>IF(Sheet1!AE292="D",Sheet1!AK292,"-")</f>
        <v>-</v>
      </c>
      <c r="AM295" s="1075" t="str">
        <f>IF(Sheet1!AE289="E",Sheet1!AK289,"-")</f>
        <v>-</v>
      </c>
    </row>
    <row r="296" spans="2:39" x14ac:dyDescent="0.25">
      <c r="B296" s="1082">
        <f>Sheet1!F290</f>
        <v>420</v>
      </c>
      <c r="C296" s="1075" t="str">
        <f>Sheet1!C290</f>
        <v>Cow Creek Rd.</v>
      </c>
      <c r="D296" s="1075" t="str">
        <f>_xlfn.TEXTBEFORE(Sheet1!E290, " to ")</f>
        <v>SR 442</v>
      </c>
      <c r="E296" s="1075" t="str">
        <f>_xlfn.TEXTAFTER(Sheet1!E290, " to ")</f>
        <v>Volco Rd.</v>
      </c>
      <c r="F296" s="1075">
        <f>Sheet1!AM290</f>
        <v>2</v>
      </c>
      <c r="G296" s="1075"/>
      <c r="H296" s="1083" t="str">
        <f>Sheet1!AE290</f>
        <v>C</v>
      </c>
      <c r="I296" s="1075"/>
      <c r="J296" s="1075" t="str">
        <f>Sheet1!Q290</f>
        <v>RUA_UFH_2W_2L_U_0L</v>
      </c>
      <c r="K296" s="1075"/>
      <c r="L296" s="1075">
        <f>Sheet1!AF290</f>
        <v>6450</v>
      </c>
      <c r="M296" s="1075"/>
      <c r="N296" s="1075"/>
      <c r="O296" s="1075"/>
      <c r="P296" s="1075">
        <f>Sheet1!AK290</f>
        <v>620</v>
      </c>
      <c r="Q296" s="1075"/>
      <c r="R296" s="1075">
        <f>Sheet1!AD290</f>
        <v>1000</v>
      </c>
      <c r="S296" s="1081">
        <f>Sheet1!AG290</f>
        <v>0.15503875968992248</v>
      </c>
      <c r="T296" s="1075" t="str">
        <f>Sheet1!AH290</f>
        <v>B</v>
      </c>
      <c r="U296" s="1075">
        <f>Sheet1!AI290</f>
        <v>70</v>
      </c>
      <c r="V296" s="1075"/>
      <c r="W296" s="1075"/>
      <c r="X296" s="1075">
        <f>Sheet1!AJ290</f>
        <v>90</v>
      </c>
      <c r="Y296" s="1075"/>
      <c r="Z296" s="1075"/>
      <c r="AA296" s="1075"/>
      <c r="AB296" s="1075"/>
      <c r="AC296" s="1075"/>
      <c r="AD296" s="1075"/>
      <c r="AE296" s="1075"/>
      <c r="AF296" s="1075"/>
      <c r="AG296" s="1075"/>
      <c r="AH296" s="1075"/>
      <c r="AI296" s="1075"/>
      <c r="AJ296" s="1075"/>
      <c r="AK296" s="1075">
        <f>IF(Sheet1!AE293="C",Sheet1!AK293,"-")</f>
        <v>620</v>
      </c>
      <c r="AL296" s="1075" t="str">
        <f>IF(Sheet1!AE293="D",Sheet1!AK293,"-")</f>
        <v>-</v>
      </c>
      <c r="AM296" s="1075" t="str">
        <f>IF(Sheet1!AE290="E",Sheet1!AK290,"-")</f>
        <v>-</v>
      </c>
    </row>
    <row r="297" spans="2:39" x14ac:dyDescent="0.25">
      <c r="B297" s="1082">
        <f>Sheet1!F291</f>
        <v>430</v>
      </c>
      <c r="C297" s="1075" t="str">
        <f>Sheet1!C291</f>
        <v>Cowart Rd.</v>
      </c>
      <c r="D297" s="1075" t="str">
        <f>_xlfn.TEXTBEFORE(Sheet1!E291, " to ")</f>
        <v>Bunnell Rd</v>
      </c>
      <c r="E297" s="1075" t="str">
        <f>_xlfn.TEXTAFTER(Sheet1!E291, " to ")</f>
        <v>Little Brown Church Rd.</v>
      </c>
      <c r="F297" s="1075">
        <f>Sheet1!AM291</f>
        <v>2</v>
      </c>
      <c r="G297" s="1075"/>
      <c r="H297" s="1083" t="str">
        <f>Sheet1!AE291</f>
        <v>C</v>
      </c>
      <c r="I297" s="1075"/>
      <c r="J297" s="1075" t="str">
        <f>Sheet1!Q291</f>
        <v>RUA_UFH_2W_2L_U_0L</v>
      </c>
      <c r="K297" s="1075"/>
      <c r="L297" s="1075">
        <f>Sheet1!AF291</f>
        <v>6450</v>
      </c>
      <c r="M297" s="1075"/>
      <c r="N297" s="1075"/>
      <c r="O297" s="1075"/>
      <c r="P297" s="1075">
        <f>Sheet1!AK291</f>
        <v>620</v>
      </c>
      <c r="Q297" s="1075"/>
      <c r="R297" s="1075">
        <f>Sheet1!AD291</f>
        <v>290</v>
      </c>
      <c r="S297" s="1081">
        <f>Sheet1!AG291</f>
        <v>4.4961240310077519E-2</v>
      </c>
      <c r="T297" s="1075" t="str">
        <f>Sheet1!AH291</f>
        <v>B</v>
      </c>
      <c r="U297" s="1075">
        <f>Sheet1!AI291</f>
        <v>20</v>
      </c>
      <c r="V297" s="1075"/>
      <c r="W297" s="1075"/>
      <c r="X297" s="1075">
        <f>Sheet1!AJ291</f>
        <v>20</v>
      </c>
      <c r="Y297" s="1075"/>
      <c r="Z297" s="1075"/>
      <c r="AA297" s="1075"/>
      <c r="AB297" s="1075"/>
      <c r="AC297" s="1075"/>
      <c r="AD297" s="1075"/>
      <c r="AE297" s="1075"/>
      <c r="AF297" s="1075"/>
      <c r="AG297" s="1075"/>
      <c r="AH297" s="1075"/>
      <c r="AI297" s="1075"/>
      <c r="AJ297" s="1075"/>
      <c r="AK297" s="1075" t="str">
        <f>IF(Sheet1!AE294="C",Sheet1!AK294,"-")</f>
        <v>-</v>
      </c>
      <c r="AL297" s="1075" t="str">
        <f>IF(Sheet1!AE294="D",Sheet1!AK294,"-")</f>
        <v>-</v>
      </c>
      <c r="AM297" s="1075" t="str">
        <f>IF(Sheet1!AE291="E",Sheet1!AK291,"-")</f>
        <v>-</v>
      </c>
    </row>
    <row r="298" spans="2:39" x14ac:dyDescent="0.25">
      <c r="B298" s="1082">
        <f>Sheet1!F292</f>
        <v>470</v>
      </c>
      <c r="C298" s="1075" t="str">
        <f>Sheet1!C292</f>
        <v>Daugharty Rd. (S. End)</v>
      </c>
      <c r="D298" s="1075" t="str">
        <f>_xlfn.TEXTBEFORE(Sheet1!E292, " to ")</f>
        <v>Marsh Rd.</v>
      </c>
      <c r="E298" s="1075" t="str">
        <f>_xlfn.TEXTAFTER(Sheet1!E292, " to ")</f>
        <v>SR 11</v>
      </c>
      <c r="F298" s="1075">
        <f>Sheet1!AM292</f>
        <v>2</v>
      </c>
      <c r="G298" s="1075"/>
      <c r="H298" s="1083" t="str">
        <f>Sheet1!AE292</f>
        <v>C</v>
      </c>
      <c r="I298" s="1075"/>
      <c r="J298" s="1075" t="str">
        <f>Sheet1!Q292</f>
        <v>RUA_UFH_2W_2L_U_0L</v>
      </c>
      <c r="K298" s="1075"/>
      <c r="L298" s="1075">
        <f>Sheet1!AF292</f>
        <v>6450</v>
      </c>
      <c r="M298" s="1075"/>
      <c r="N298" s="1075"/>
      <c r="O298" s="1075"/>
      <c r="P298" s="1075">
        <f>Sheet1!AK292</f>
        <v>620</v>
      </c>
      <c r="Q298" s="1075"/>
      <c r="R298" s="1075">
        <f>Sheet1!AD292</f>
        <v>530</v>
      </c>
      <c r="S298" s="1081">
        <f>Sheet1!AG292</f>
        <v>8.2170542635658914E-2</v>
      </c>
      <c r="T298" s="1075" t="str">
        <f>Sheet1!AH292</f>
        <v>B</v>
      </c>
      <c r="U298" s="1075">
        <f>Sheet1!AI292</f>
        <v>40</v>
      </c>
      <c r="V298" s="1075"/>
      <c r="W298" s="1075"/>
      <c r="X298" s="1075">
        <f>Sheet1!AJ292</f>
        <v>50</v>
      </c>
      <c r="Y298" s="1075"/>
      <c r="Z298" s="1075"/>
      <c r="AA298" s="1075"/>
      <c r="AB298" s="1075"/>
      <c r="AC298" s="1075"/>
      <c r="AD298" s="1075"/>
      <c r="AE298" s="1075"/>
      <c r="AF298" s="1075"/>
      <c r="AG298" s="1075"/>
      <c r="AH298" s="1075"/>
      <c r="AI298" s="1075"/>
      <c r="AJ298" s="1075"/>
      <c r="AK298" s="1075" t="str">
        <f>IF(Sheet1!AE295="C",Sheet1!AK295,"-")</f>
        <v>-</v>
      </c>
      <c r="AL298" s="1075" t="str">
        <f>IF(Sheet1!AE295="D",Sheet1!AK295,"-")</f>
        <v>-</v>
      </c>
      <c r="AM298" s="1075" t="str">
        <f>IF(Sheet1!AE292="E",Sheet1!AK292,"-")</f>
        <v>-</v>
      </c>
    </row>
    <row r="299" spans="2:39" x14ac:dyDescent="0.25">
      <c r="B299" s="1082">
        <f>Sheet1!F293</f>
        <v>472</v>
      </c>
      <c r="C299" s="1075" t="str">
        <f>Sheet1!C293</f>
        <v>Daugharty Rd.</v>
      </c>
      <c r="D299" s="1075" t="str">
        <f>_xlfn.TEXTBEFORE(Sheet1!E293, " to ")</f>
        <v>SR 11</v>
      </c>
      <c r="E299" s="1075" t="str">
        <f>_xlfn.TEXTAFTER(Sheet1!E293, " to ")</f>
        <v>Marsh Rd.</v>
      </c>
      <c r="F299" s="1075">
        <f>Sheet1!AM293</f>
        <v>2</v>
      </c>
      <c r="G299" s="1075"/>
      <c r="H299" s="1083" t="str">
        <f>Sheet1!AE293</f>
        <v>C</v>
      </c>
      <c r="I299" s="1075"/>
      <c r="J299" s="1075" t="str">
        <f>Sheet1!Q293</f>
        <v>RUA_UFH_2W_2L_U_0L</v>
      </c>
      <c r="K299" s="1075"/>
      <c r="L299" s="1075">
        <f>Sheet1!AF293</f>
        <v>6450</v>
      </c>
      <c r="M299" s="1075"/>
      <c r="N299" s="1075"/>
      <c r="O299" s="1075"/>
      <c r="P299" s="1075">
        <f>Sheet1!AK293</f>
        <v>620</v>
      </c>
      <c r="Q299" s="1075"/>
      <c r="R299" s="1075">
        <f>Sheet1!AD293</f>
        <v>870</v>
      </c>
      <c r="S299" s="1081">
        <f>Sheet1!AG293</f>
        <v>0.13488372093023257</v>
      </c>
      <c r="T299" s="1075" t="str">
        <f>Sheet1!AH293</f>
        <v>B</v>
      </c>
      <c r="U299" s="1075">
        <f>Sheet1!AI293</f>
        <v>70</v>
      </c>
      <c r="V299" s="1075"/>
      <c r="W299" s="1075"/>
      <c r="X299" s="1075">
        <f>Sheet1!AJ293</f>
        <v>80</v>
      </c>
      <c r="Y299" s="1075"/>
      <c r="Z299" s="1075"/>
      <c r="AA299" s="1075"/>
      <c r="AB299" s="1075"/>
      <c r="AC299" s="1075"/>
      <c r="AD299" s="1075"/>
      <c r="AE299" s="1075"/>
      <c r="AF299" s="1075"/>
      <c r="AG299" s="1075"/>
      <c r="AH299" s="1075"/>
      <c r="AI299" s="1075"/>
      <c r="AJ299" s="1075"/>
      <c r="AK299" s="1075" t="str">
        <f>IF(Sheet1!AE296="C",Sheet1!AK296,"-")</f>
        <v>-</v>
      </c>
      <c r="AL299" s="1075" t="str">
        <f>IF(Sheet1!AE296="D",Sheet1!AK296,"-")</f>
        <v>-</v>
      </c>
      <c r="AM299" s="1075" t="str">
        <f>IF(Sheet1!AE293="E",Sheet1!AK293,"-")</f>
        <v>-</v>
      </c>
    </row>
    <row r="300" spans="2:39" x14ac:dyDescent="0.25">
      <c r="B300" s="1082">
        <f>Sheet1!F294</f>
        <v>500</v>
      </c>
      <c r="C300" s="1075" t="str">
        <f>Sheet1!C294</f>
        <v>Demotte Ave.</v>
      </c>
      <c r="D300" s="1075" t="str">
        <f>_xlfn.TEXTBEFORE(Sheet1!E294, " to ")</f>
        <v>Peninsula Dr.</v>
      </c>
      <c r="E300" s="1075" t="str">
        <f>_xlfn.TEXTAFTER(Sheet1!E294, " to ")</f>
        <v>Cardinal Blvd</v>
      </c>
      <c r="F300" s="1075">
        <f>Sheet1!AM294</f>
        <v>2</v>
      </c>
      <c r="G300" s="1075"/>
      <c r="H300" s="1083" t="str">
        <f>Sheet1!AE294</f>
        <v>E</v>
      </c>
      <c r="I300" s="1075"/>
      <c r="J300" s="1075" t="str">
        <f>Sheet1!Q294</f>
        <v>UA_NSSRC2_2W_2L_U_0L</v>
      </c>
      <c r="K300" s="1075"/>
      <c r="L300" s="1075">
        <f>Sheet1!AF294</f>
        <v>13640</v>
      </c>
      <c r="M300" s="1075"/>
      <c r="N300" s="1075"/>
      <c r="O300" s="1075"/>
      <c r="P300" s="1075">
        <f>Sheet1!AK294</f>
        <v>1020</v>
      </c>
      <c r="Q300" s="1075"/>
      <c r="R300" s="1075">
        <f>Sheet1!AD294</f>
        <v>5040</v>
      </c>
      <c r="S300" s="1081">
        <f>Sheet1!AG294</f>
        <v>0.36950146627565983</v>
      </c>
      <c r="T300" s="1075" t="str">
        <f>Sheet1!AH294</f>
        <v>C</v>
      </c>
      <c r="U300" s="1075">
        <f>Sheet1!AI294</f>
        <v>340</v>
      </c>
      <c r="V300" s="1075"/>
      <c r="W300" s="1075"/>
      <c r="X300" s="1075">
        <f>Sheet1!AJ294</f>
        <v>490</v>
      </c>
      <c r="Y300" s="1075"/>
      <c r="Z300" s="1075"/>
      <c r="AA300" s="1075"/>
      <c r="AB300" s="1075"/>
      <c r="AC300" s="1075"/>
      <c r="AD300" s="1075"/>
      <c r="AE300" s="1075"/>
      <c r="AF300" s="1075"/>
      <c r="AG300" s="1075"/>
      <c r="AH300" s="1075"/>
      <c r="AI300" s="1075"/>
      <c r="AJ300" s="1075"/>
      <c r="AK300" s="1075" t="str">
        <f>IF(Sheet1!AE297="C",Sheet1!AK297,"-")</f>
        <v>-</v>
      </c>
      <c r="AL300" s="1075" t="str">
        <f>IF(Sheet1!AE297="D",Sheet1!AK297,"-")</f>
        <v>-</v>
      </c>
      <c r="AM300" s="1075">
        <f>IF(Sheet1!AE294="E",Sheet1!AK294,"-")</f>
        <v>1020</v>
      </c>
    </row>
    <row r="301" spans="2:39" x14ac:dyDescent="0.25">
      <c r="B301" s="1082">
        <f>Sheet1!F295</f>
        <v>511</v>
      </c>
      <c r="C301" s="1075" t="str">
        <f>Sheet1!C295</f>
        <v>Derbyshire Rd.</v>
      </c>
      <c r="D301" s="1075" t="str">
        <f>_xlfn.TEXTBEFORE(Sheet1!E295, " to ")</f>
        <v>SR 430/Mason Ave.</v>
      </c>
      <c r="E301" s="1075" t="str">
        <f>_xlfn.TEXTAFTER(Sheet1!E295, " to ")</f>
        <v>LPGA Blvd.</v>
      </c>
      <c r="F301" s="1075">
        <f>Sheet1!AM295</f>
        <v>2</v>
      </c>
      <c r="G301" s="1075"/>
      <c r="H301" s="1083" t="str">
        <f>Sheet1!AE295</f>
        <v>E</v>
      </c>
      <c r="I301" s="1075"/>
      <c r="J301" s="1075" t="str">
        <f>Sheet1!Q295</f>
        <v>UA_NSSRC2_2W_2L_U_0L</v>
      </c>
      <c r="K301" s="1075"/>
      <c r="L301" s="1075">
        <f>Sheet1!AF295</f>
        <v>13640</v>
      </c>
      <c r="M301" s="1075"/>
      <c r="N301" s="1075"/>
      <c r="O301" s="1075"/>
      <c r="P301" s="1075">
        <f>Sheet1!AK295</f>
        <v>1020</v>
      </c>
      <c r="Q301" s="1075"/>
      <c r="R301" s="1075">
        <f>Sheet1!AD295</f>
        <v>7920</v>
      </c>
      <c r="S301" s="1081">
        <f>Sheet1!AG295</f>
        <v>0.58064516129032262</v>
      </c>
      <c r="T301" s="1075" t="str">
        <f>Sheet1!AH295</f>
        <v>D</v>
      </c>
      <c r="U301" s="1075">
        <f>Sheet1!AI295</f>
        <v>470</v>
      </c>
      <c r="V301" s="1075"/>
      <c r="W301" s="1075"/>
      <c r="X301" s="1075">
        <f>Sheet1!AJ295</f>
        <v>650</v>
      </c>
      <c r="Y301" s="1075"/>
      <c r="Z301" s="1075"/>
      <c r="AA301" s="1075"/>
      <c r="AB301" s="1075"/>
      <c r="AC301" s="1075"/>
      <c r="AD301" s="1075"/>
      <c r="AE301" s="1075"/>
      <c r="AF301" s="1075"/>
      <c r="AG301" s="1075"/>
      <c r="AH301" s="1075"/>
      <c r="AI301" s="1075"/>
      <c r="AJ301" s="1075"/>
      <c r="AK301" s="1075" t="str">
        <f>IF(Sheet1!AE298="C",Sheet1!AK298,"-")</f>
        <v>-</v>
      </c>
      <c r="AL301" s="1075" t="str">
        <f>IF(Sheet1!AE298="D",Sheet1!AK298,"-")</f>
        <v>-</v>
      </c>
      <c r="AM301" s="1075">
        <f>IF(Sheet1!AE295="E",Sheet1!AK295,"-")</f>
        <v>1020</v>
      </c>
    </row>
    <row r="302" spans="2:39" x14ac:dyDescent="0.25">
      <c r="B302" s="1082">
        <f>Sheet1!F296</f>
        <v>512</v>
      </c>
      <c r="C302" s="1075" t="str">
        <f>Sheet1!C296</f>
        <v>Derbyshire Rd.</v>
      </c>
      <c r="D302" s="1075" t="str">
        <f>_xlfn.TEXTBEFORE(Sheet1!E296, " to ")</f>
        <v>LPGA Blvd.</v>
      </c>
      <c r="E302" s="1075" t="str">
        <f>_xlfn.TEXTAFTER(Sheet1!E296, " to ")</f>
        <v>Flomich St.</v>
      </c>
      <c r="F302" s="1075">
        <f>Sheet1!AM296</f>
        <v>2</v>
      </c>
      <c r="G302" s="1075"/>
      <c r="H302" s="1083" t="str">
        <f>Sheet1!AE296</f>
        <v>E</v>
      </c>
      <c r="I302" s="1075"/>
      <c r="J302" s="1075" t="str">
        <f>Sheet1!Q296</f>
        <v>UA_NSSRC2_2W_2L_U_0L</v>
      </c>
      <c r="K302" s="1075"/>
      <c r="L302" s="1075">
        <f>Sheet1!AF296</f>
        <v>13640</v>
      </c>
      <c r="M302" s="1075"/>
      <c r="N302" s="1075"/>
      <c r="O302" s="1075"/>
      <c r="P302" s="1075">
        <f>Sheet1!AK296</f>
        <v>1020</v>
      </c>
      <c r="Q302" s="1075"/>
      <c r="R302" s="1075">
        <f>Sheet1!AD296</f>
        <v>7710</v>
      </c>
      <c r="S302" s="1081">
        <f>Sheet1!AG296</f>
        <v>0.56524926686217014</v>
      </c>
      <c r="T302" s="1075" t="str">
        <f>Sheet1!AH296</f>
        <v>D</v>
      </c>
      <c r="U302" s="1075">
        <f>Sheet1!AI296</f>
        <v>450</v>
      </c>
      <c r="V302" s="1075"/>
      <c r="W302" s="1075"/>
      <c r="X302" s="1075">
        <f>Sheet1!AJ296</f>
        <v>640</v>
      </c>
      <c r="Y302" s="1075"/>
      <c r="Z302" s="1075"/>
      <c r="AA302" s="1075"/>
      <c r="AB302" s="1075"/>
      <c r="AC302" s="1075"/>
      <c r="AD302" s="1075"/>
      <c r="AE302" s="1075"/>
      <c r="AF302" s="1075"/>
      <c r="AG302" s="1075"/>
      <c r="AH302" s="1075"/>
      <c r="AI302" s="1075"/>
      <c r="AJ302" s="1075"/>
      <c r="AK302" s="1075" t="str">
        <f>IF(Sheet1!AE299="C",Sheet1!AK299,"-")</f>
        <v>-</v>
      </c>
      <c r="AL302" s="1075" t="str">
        <f>IF(Sheet1!AE299="D",Sheet1!AK299,"-")</f>
        <v>-</v>
      </c>
      <c r="AM302" s="1075">
        <f>IF(Sheet1!AE296="E",Sheet1!AK296,"-")</f>
        <v>1020</v>
      </c>
    </row>
    <row r="303" spans="2:39" x14ac:dyDescent="0.25">
      <c r="B303" s="1082">
        <f>Sheet1!F297</f>
        <v>520</v>
      </c>
      <c r="C303" s="1075" t="str">
        <f>Sheet1!C297</f>
        <v>Dirksen/DeBary/Doyle</v>
      </c>
      <c r="D303" s="1075" t="str">
        <f>_xlfn.TEXTBEFORE(Sheet1!E297, " to ")</f>
        <v>US 17/92</v>
      </c>
      <c r="E303" s="1075" t="str">
        <f>_xlfn.TEXTAFTER(Sheet1!E297, " to ")</f>
        <v>Sunrise Blvd.</v>
      </c>
      <c r="F303" s="1075">
        <f>Sheet1!AM297</f>
        <v>2</v>
      </c>
      <c r="G303" s="1075"/>
      <c r="H303" s="1083" t="str">
        <f>Sheet1!AE297</f>
        <v>E</v>
      </c>
      <c r="I303" s="1075"/>
      <c r="J303" s="1075" t="str">
        <f>Sheet1!Q297</f>
        <v>UA_NSSRC1_2W_2L_U_0L</v>
      </c>
      <c r="K303" s="1075"/>
      <c r="L303" s="1075">
        <f>Sheet1!AF297</f>
        <v>13640</v>
      </c>
      <c r="M303" s="1075"/>
      <c r="N303" s="1075"/>
      <c r="O303" s="1075"/>
      <c r="P303" s="1075">
        <f>Sheet1!AK297</f>
        <v>1230</v>
      </c>
      <c r="Q303" s="1075"/>
      <c r="R303" s="1075">
        <f>Sheet1!AD297</f>
        <v>8390</v>
      </c>
      <c r="S303" s="1081">
        <f>Sheet1!AG297</f>
        <v>0.61510263929618769</v>
      </c>
      <c r="T303" s="1075" t="str">
        <f>Sheet1!AH297</f>
        <v>C</v>
      </c>
      <c r="U303" s="1075">
        <f>Sheet1!AI297</f>
        <v>580</v>
      </c>
      <c r="V303" s="1075"/>
      <c r="W303" s="1075"/>
      <c r="X303" s="1075">
        <f>Sheet1!AJ297</f>
        <v>920</v>
      </c>
      <c r="Y303" s="1075"/>
      <c r="Z303" s="1075"/>
      <c r="AA303" s="1075"/>
      <c r="AB303" s="1075"/>
      <c r="AC303" s="1075"/>
      <c r="AD303" s="1075"/>
      <c r="AE303" s="1075"/>
      <c r="AF303" s="1075"/>
      <c r="AG303" s="1075"/>
      <c r="AH303" s="1075"/>
      <c r="AI303" s="1075"/>
      <c r="AJ303" s="1075"/>
      <c r="AK303" s="1075" t="str">
        <f>IF(Sheet1!AE300="C",Sheet1!AK300,"-")</f>
        <v>-</v>
      </c>
      <c r="AL303" s="1075" t="str">
        <f>IF(Sheet1!AE300="D",Sheet1!AK300,"-")</f>
        <v>-</v>
      </c>
      <c r="AM303" s="1075">
        <f>IF(Sheet1!AE297="E",Sheet1!AK297,"-")</f>
        <v>1230</v>
      </c>
    </row>
    <row r="304" spans="2:39" x14ac:dyDescent="0.25">
      <c r="B304" s="1082">
        <f>Sheet1!F298</f>
        <v>521</v>
      </c>
      <c r="C304" s="1075" t="str">
        <f>Sheet1!C298</f>
        <v>Dirksen/DeBary/Doyle</v>
      </c>
      <c r="D304" s="1075" t="str">
        <f>_xlfn.TEXTBEFORE(Sheet1!E298, " to ")</f>
        <v>Sunrise Blvd</v>
      </c>
      <c r="E304" s="1075" t="str">
        <f>_xlfn.TEXTAFTER(Sheet1!E298, " to ")</f>
        <v>WB I-4 Ramps</v>
      </c>
      <c r="F304" s="1075">
        <f>Sheet1!AM298</f>
        <v>4</v>
      </c>
      <c r="G304" s="1075"/>
      <c r="H304" s="1083" t="str">
        <f>Sheet1!AE298</f>
        <v>E</v>
      </c>
      <c r="I304" s="1075"/>
      <c r="J304" s="1075" t="str">
        <f>Sheet1!Q298</f>
        <v>UA_NSSRC1_2W_4L_D_WL</v>
      </c>
      <c r="K304" s="1075"/>
      <c r="L304" s="1075">
        <f>Sheet1!AF298</f>
        <v>37970</v>
      </c>
      <c r="M304" s="1075"/>
      <c r="N304" s="1075"/>
      <c r="O304" s="1075"/>
      <c r="P304" s="1075">
        <f>Sheet1!AK298</f>
        <v>3410</v>
      </c>
      <c r="Q304" s="1075"/>
      <c r="R304" s="1075">
        <f>Sheet1!AD298</f>
        <v>11950</v>
      </c>
      <c r="S304" s="1081">
        <f>Sheet1!AG298</f>
        <v>0.31472214906505136</v>
      </c>
      <c r="T304" s="1075" t="str">
        <f>Sheet1!AH298</f>
        <v>C</v>
      </c>
      <c r="U304" s="1075">
        <f>Sheet1!AI298</f>
        <v>800</v>
      </c>
      <c r="V304" s="1075"/>
      <c r="W304" s="1075"/>
      <c r="X304" s="1075">
        <f>Sheet1!AJ298</f>
        <v>1220</v>
      </c>
      <c r="Y304" s="1075"/>
      <c r="Z304" s="1075"/>
      <c r="AA304" s="1075"/>
      <c r="AB304" s="1075"/>
      <c r="AC304" s="1075"/>
      <c r="AD304" s="1075"/>
      <c r="AE304" s="1075"/>
      <c r="AF304" s="1075"/>
      <c r="AG304" s="1075"/>
      <c r="AH304" s="1075"/>
      <c r="AI304" s="1075"/>
      <c r="AJ304" s="1075"/>
      <c r="AK304" s="1075" t="str">
        <f>IF(Sheet1!AE301="C",Sheet1!AK301,"-")</f>
        <v>-</v>
      </c>
      <c r="AL304" s="1075" t="str">
        <f>IF(Sheet1!AE301="D",Sheet1!AK301,"-")</f>
        <v>-</v>
      </c>
      <c r="AM304" s="1075">
        <f>IF(Sheet1!AE298="E",Sheet1!AK298,"-")</f>
        <v>3410</v>
      </c>
    </row>
    <row r="305" spans="2:39" x14ac:dyDescent="0.25">
      <c r="B305" s="1082">
        <f>Sheet1!F299</f>
        <v>522</v>
      </c>
      <c r="C305" s="1075" t="str">
        <f>Sheet1!C299</f>
        <v>Dirksen/DeBary/Doyle</v>
      </c>
      <c r="D305" s="1075" t="str">
        <f>_xlfn.TEXTBEFORE(Sheet1!E299, " to ")</f>
        <v>WB I-4 Ramps</v>
      </c>
      <c r="E305" s="1075" t="str">
        <f>_xlfn.TEXTAFTER(Sheet1!E299, " to ")</f>
        <v>EB I-4 Ramps</v>
      </c>
      <c r="F305" s="1075">
        <f>Sheet1!AM299</f>
        <v>4</v>
      </c>
      <c r="G305" s="1075"/>
      <c r="H305" s="1083" t="str">
        <f>Sheet1!AE299</f>
        <v>E</v>
      </c>
      <c r="I305" s="1075"/>
      <c r="J305" s="1075" t="str">
        <f>Sheet1!Q299</f>
        <v>UA_NSSRC2_2W_4L_D_WL</v>
      </c>
      <c r="K305" s="1075"/>
      <c r="L305" s="1075">
        <f>Sheet1!AF299</f>
        <v>30420</v>
      </c>
      <c r="M305" s="1075"/>
      <c r="N305" s="1075"/>
      <c r="O305" s="1075"/>
      <c r="P305" s="1075">
        <f>Sheet1!AK299</f>
        <v>2740</v>
      </c>
      <c r="Q305" s="1075"/>
      <c r="R305" s="1075">
        <f>Sheet1!AD299</f>
        <v>20570</v>
      </c>
      <c r="S305" s="1081">
        <f>Sheet1!AG299</f>
        <v>0.67619986850756086</v>
      </c>
      <c r="T305" s="1075" t="str">
        <f>Sheet1!AH299</f>
        <v>D</v>
      </c>
      <c r="U305" s="1075">
        <f>Sheet1!AI299</f>
        <v>1770</v>
      </c>
      <c r="V305" s="1075"/>
      <c r="W305" s="1075"/>
      <c r="X305" s="1075">
        <f>Sheet1!AJ299</f>
        <v>1670</v>
      </c>
      <c r="Y305" s="1075"/>
      <c r="Z305" s="1075"/>
      <c r="AA305" s="1075"/>
      <c r="AB305" s="1075"/>
      <c r="AC305" s="1075"/>
      <c r="AD305" s="1075"/>
      <c r="AE305" s="1075"/>
      <c r="AF305" s="1075"/>
      <c r="AG305" s="1075"/>
      <c r="AH305" s="1075"/>
      <c r="AI305" s="1075"/>
      <c r="AJ305" s="1075"/>
      <c r="AK305" s="1075" t="str">
        <f>IF(Sheet1!AE302="C",Sheet1!AK302,"-")</f>
        <v>-</v>
      </c>
      <c r="AL305" s="1075" t="str">
        <f>IF(Sheet1!AE302="D",Sheet1!AK302,"-")</f>
        <v>-</v>
      </c>
      <c r="AM305" s="1075">
        <f>IF(Sheet1!AE299="E",Sheet1!AK299,"-")</f>
        <v>2740</v>
      </c>
    </row>
    <row r="306" spans="2:39" x14ac:dyDescent="0.25">
      <c r="B306" s="1082">
        <f>Sheet1!F300</f>
        <v>480</v>
      </c>
      <c r="C306" s="1075" t="str">
        <f>Sheet1!C300</f>
        <v>Dirksen/DeBary/Doyle</v>
      </c>
      <c r="D306" s="1075" t="str">
        <f>_xlfn.TEXTBEFORE(Sheet1!E300, " to ")</f>
        <v>I-4</v>
      </c>
      <c r="E306" s="1075" t="str">
        <f>_xlfn.TEXTAFTER(Sheet1!E300, " to ")</f>
        <v>Deltona Blvd.</v>
      </c>
      <c r="F306" s="1075">
        <f>Sheet1!AM300</f>
        <v>4</v>
      </c>
      <c r="G306" s="1075"/>
      <c r="H306" s="1083" t="str">
        <f>Sheet1!AE300</f>
        <v>E</v>
      </c>
      <c r="I306" s="1075"/>
      <c r="J306" s="1075" t="str">
        <f>Sheet1!Q300</f>
        <v>UA_NSSRC2_2W_4L_D_WL</v>
      </c>
      <c r="K306" s="1075"/>
      <c r="L306" s="1075">
        <f>Sheet1!AF300</f>
        <v>30420</v>
      </c>
      <c r="M306" s="1075"/>
      <c r="N306" s="1075"/>
      <c r="O306" s="1075"/>
      <c r="P306" s="1075">
        <f>Sheet1!AK300</f>
        <v>2740</v>
      </c>
      <c r="Q306" s="1075"/>
      <c r="R306" s="1075">
        <f>Sheet1!AD300</f>
        <v>20890</v>
      </c>
      <c r="S306" s="1081">
        <f>Sheet1!AG300</f>
        <v>0.68671926364234059</v>
      </c>
      <c r="T306" s="1075" t="str">
        <f>Sheet1!AH300</f>
        <v>D</v>
      </c>
      <c r="U306" s="1075">
        <f>Sheet1!AI300</f>
        <v>1700</v>
      </c>
      <c r="V306" s="1075"/>
      <c r="W306" s="1075"/>
      <c r="X306" s="1075">
        <f>Sheet1!AJ300</f>
        <v>1780</v>
      </c>
      <c r="Y306" s="1075"/>
      <c r="Z306" s="1075"/>
      <c r="AA306" s="1075"/>
      <c r="AB306" s="1075"/>
      <c r="AC306" s="1075"/>
      <c r="AD306" s="1075"/>
      <c r="AE306" s="1075"/>
      <c r="AF306" s="1075"/>
      <c r="AG306" s="1075"/>
      <c r="AH306" s="1075"/>
      <c r="AI306" s="1075"/>
      <c r="AJ306" s="1075"/>
      <c r="AK306" s="1075" t="str">
        <f>IF(Sheet1!AE303="C",Sheet1!AK303,"-")</f>
        <v>-</v>
      </c>
      <c r="AL306" s="1075" t="str">
        <f>IF(Sheet1!AE303="D",Sheet1!AK303,"-")</f>
        <v>-</v>
      </c>
      <c r="AM306" s="1075">
        <f>IF(Sheet1!AE300="E",Sheet1!AK300,"-")</f>
        <v>2740</v>
      </c>
    </row>
    <row r="307" spans="2:39" x14ac:dyDescent="0.25">
      <c r="B307" s="1082">
        <f>Sheet1!F301</f>
        <v>481</v>
      </c>
      <c r="C307" s="1075" t="str">
        <f>Sheet1!C301</f>
        <v>Dirksen/DeBary/Doyle</v>
      </c>
      <c r="D307" s="1075" t="str">
        <f>_xlfn.TEXTBEFORE(Sheet1!E301, " to ")</f>
        <v>Deltona Blvd.</v>
      </c>
      <c r="E307" s="1075" t="str">
        <f>_xlfn.TEXTAFTER(Sheet1!E301, " to ")</f>
        <v>Enterprise St.</v>
      </c>
      <c r="F307" s="1075">
        <f>Sheet1!AM301</f>
        <v>4</v>
      </c>
      <c r="G307" s="1075"/>
      <c r="H307" s="1083" t="str">
        <f>Sheet1!AE301</f>
        <v>E</v>
      </c>
      <c r="I307" s="1075"/>
      <c r="J307" s="1075" t="str">
        <f>Sheet1!Q301</f>
        <v>UA_NSSRC1_2W_4L_D_WL</v>
      </c>
      <c r="K307" s="1075"/>
      <c r="L307" s="1075">
        <f>Sheet1!AF301</f>
        <v>37970</v>
      </c>
      <c r="M307" s="1075"/>
      <c r="N307" s="1075"/>
      <c r="O307" s="1075"/>
      <c r="P307" s="1075">
        <f>Sheet1!AK301</f>
        <v>3410</v>
      </c>
      <c r="Q307" s="1075"/>
      <c r="R307" s="1075">
        <f>Sheet1!AD301</f>
        <v>20190</v>
      </c>
      <c r="S307" s="1081">
        <f>Sheet1!AG301</f>
        <v>0.5317355807216223</v>
      </c>
      <c r="T307" s="1075" t="str">
        <f>Sheet1!AH301</f>
        <v>C</v>
      </c>
      <c r="U307" s="1075">
        <f>Sheet1!AI301</f>
        <v>1470</v>
      </c>
      <c r="V307" s="1075"/>
      <c r="W307" s="1075"/>
      <c r="X307" s="1075">
        <f>Sheet1!AJ301</f>
        <v>1710</v>
      </c>
      <c r="Y307" s="1075"/>
      <c r="Z307" s="1075"/>
      <c r="AA307" s="1075"/>
      <c r="AB307" s="1075"/>
      <c r="AC307" s="1075"/>
      <c r="AD307" s="1075"/>
      <c r="AE307" s="1075"/>
      <c r="AF307" s="1075"/>
      <c r="AG307" s="1075"/>
      <c r="AH307" s="1075"/>
      <c r="AI307" s="1075"/>
      <c r="AJ307" s="1075"/>
      <c r="AK307" s="1075" t="str">
        <f>IF(Sheet1!AE304="C",Sheet1!AK304,"-")</f>
        <v>-</v>
      </c>
      <c r="AL307" s="1075" t="str">
        <f>IF(Sheet1!AE304="D",Sheet1!AK304,"-")</f>
        <v>-</v>
      </c>
      <c r="AM307" s="1075">
        <f>IF(Sheet1!AE301="E",Sheet1!AK301,"-")</f>
        <v>3410</v>
      </c>
    </row>
    <row r="308" spans="2:39" x14ac:dyDescent="0.25">
      <c r="B308" s="1082">
        <f>Sheet1!F302</f>
        <v>482</v>
      </c>
      <c r="C308" s="1075" t="str">
        <f>Sheet1!C302</f>
        <v>Dirksen/DeBary/Doyle</v>
      </c>
      <c r="D308" s="1075" t="str">
        <f>_xlfn.TEXTBEFORE(Sheet1!E302, " to ")</f>
        <v>Enterprise St.</v>
      </c>
      <c r="E308" s="1075" t="str">
        <f>_xlfn.TEXTAFTER(Sheet1!E302, " to ")</f>
        <v>Main St.</v>
      </c>
      <c r="F308" s="1075">
        <f>Sheet1!AM302</f>
        <v>4</v>
      </c>
      <c r="G308" s="1075"/>
      <c r="H308" s="1083" t="str">
        <f>Sheet1!AE302</f>
        <v>E</v>
      </c>
      <c r="I308" s="1075"/>
      <c r="J308" s="1075" t="str">
        <f>Sheet1!Q302</f>
        <v>UA_NSSRC1_2W_4L_D_WL</v>
      </c>
      <c r="K308" s="1075"/>
      <c r="L308" s="1075">
        <f>Sheet1!AF302</f>
        <v>37970</v>
      </c>
      <c r="M308" s="1075"/>
      <c r="N308" s="1075"/>
      <c r="O308" s="1075"/>
      <c r="P308" s="1075">
        <f>Sheet1!AK302</f>
        <v>3410</v>
      </c>
      <c r="Q308" s="1075"/>
      <c r="R308" s="1075">
        <f>Sheet1!AD302</f>
        <v>27710</v>
      </c>
      <c r="S308" s="1081">
        <f>Sheet1!AG302</f>
        <v>0.72978667368975503</v>
      </c>
      <c r="T308" s="1075" t="str">
        <f>Sheet1!AH302</f>
        <v>C</v>
      </c>
      <c r="U308" s="1075">
        <f>Sheet1!AI302</f>
        <v>2080</v>
      </c>
      <c r="V308" s="1075"/>
      <c r="W308" s="1075"/>
      <c r="X308" s="1075">
        <f>Sheet1!AJ302</f>
        <v>2410</v>
      </c>
      <c r="Y308" s="1075"/>
      <c r="Z308" s="1075"/>
      <c r="AA308" s="1075"/>
      <c r="AB308" s="1075"/>
      <c r="AC308" s="1075"/>
      <c r="AD308" s="1075"/>
      <c r="AE308" s="1075"/>
      <c r="AF308" s="1075"/>
      <c r="AG308" s="1075"/>
      <c r="AH308" s="1075"/>
      <c r="AI308" s="1075"/>
      <c r="AJ308" s="1075"/>
      <c r="AK308" s="1075" t="str">
        <f>IF(Sheet1!AE305="C",Sheet1!AK305,"-")</f>
        <v>-</v>
      </c>
      <c r="AL308" s="1075" t="str">
        <f>IF(Sheet1!AE305="D",Sheet1!AK305,"-")</f>
        <v>-</v>
      </c>
      <c r="AM308" s="1075">
        <f>IF(Sheet1!AE302="E",Sheet1!AK302,"-")</f>
        <v>3410</v>
      </c>
    </row>
    <row r="309" spans="2:39" x14ac:dyDescent="0.25">
      <c r="B309" s="1082">
        <f>Sheet1!F303</f>
        <v>484</v>
      </c>
      <c r="C309" s="1075" t="str">
        <f>Sheet1!C303</f>
        <v>Dirksen/DeBary/Doyle</v>
      </c>
      <c r="D309" s="1075" t="str">
        <f>_xlfn.TEXTBEFORE(Sheet1!E303, " to ")</f>
        <v>Main St.</v>
      </c>
      <c r="E309" s="1075" t="str">
        <f>_xlfn.TEXTAFTER(Sheet1!E303, " to ")</f>
        <v>Providence Blvd.</v>
      </c>
      <c r="F309" s="1075">
        <f>Sheet1!AM303</f>
        <v>4</v>
      </c>
      <c r="G309" s="1075"/>
      <c r="H309" s="1083" t="str">
        <f>Sheet1!AE303</f>
        <v>E</v>
      </c>
      <c r="I309" s="1075"/>
      <c r="J309" s="1075" t="str">
        <f>Sheet1!Q303</f>
        <v>UA_NSSRC1_2W_4L_D_WL</v>
      </c>
      <c r="K309" s="1075"/>
      <c r="L309" s="1075">
        <f>Sheet1!AF303</f>
        <v>37970</v>
      </c>
      <c r="M309" s="1075"/>
      <c r="N309" s="1075"/>
      <c r="O309" s="1075"/>
      <c r="P309" s="1075">
        <f>Sheet1!AK303</f>
        <v>3410</v>
      </c>
      <c r="Q309" s="1075"/>
      <c r="R309" s="1075">
        <f>Sheet1!AD303</f>
        <v>23430</v>
      </c>
      <c r="S309" s="1081">
        <f>Sheet1!AG303</f>
        <v>0.61706610481959445</v>
      </c>
      <c r="T309" s="1075" t="str">
        <f>Sheet1!AH303</f>
        <v>C</v>
      </c>
      <c r="U309" s="1075">
        <f>Sheet1!AI303</f>
        <v>1590</v>
      </c>
      <c r="V309" s="1075"/>
      <c r="W309" s="1075"/>
      <c r="X309" s="1075">
        <f>Sheet1!AJ303</f>
        <v>1930</v>
      </c>
      <c r="Y309" s="1075"/>
      <c r="Z309" s="1075"/>
      <c r="AA309" s="1075"/>
      <c r="AB309" s="1075"/>
      <c r="AC309" s="1075"/>
      <c r="AD309" s="1075"/>
      <c r="AE309" s="1075"/>
      <c r="AF309" s="1075"/>
      <c r="AG309" s="1075"/>
      <c r="AH309" s="1075"/>
      <c r="AI309" s="1075"/>
      <c r="AJ309" s="1075"/>
      <c r="AK309" s="1075" t="str">
        <f>IF(Sheet1!AE306="C",Sheet1!AK306,"-")</f>
        <v>-</v>
      </c>
      <c r="AL309" s="1075" t="str">
        <f>IF(Sheet1!AE306="D",Sheet1!AK306,"-")</f>
        <v>-</v>
      </c>
      <c r="AM309" s="1075">
        <f>IF(Sheet1!AE303="E",Sheet1!AK303,"-")</f>
        <v>3410</v>
      </c>
    </row>
    <row r="310" spans="2:39" x14ac:dyDescent="0.25">
      <c r="B310" s="1082">
        <f>Sheet1!F304</f>
        <v>485</v>
      </c>
      <c r="C310" s="1075" t="str">
        <f>Sheet1!C304</f>
        <v>Dirksen/DeBary/Doyle</v>
      </c>
      <c r="D310" s="1075" t="str">
        <f>_xlfn.TEXTBEFORE(Sheet1!E304, " to ")</f>
        <v>Providence Blvd.</v>
      </c>
      <c r="E310" s="1075" t="str">
        <f>_xlfn.TEXTAFTER(Sheet1!E304, " to ")</f>
        <v>Garfield Rd.</v>
      </c>
      <c r="F310" s="1075">
        <f>Sheet1!AM304</f>
        <v>2</v>
      </c>
      <c r="G310" s="1075"/>
      <c r="H310" s="1083" t="str">
        <f>Sheet1!AE304</f>
        <v>E</v>
      </c>
      <c r="I310" s="1075"/>
      <c r="J310" s="1075" t="str">
        <f>Sheet1!Q304</f>
        <v>UA_NSSRC1_2W_2L_U_WL</v>
      </c>
      <c r="K310" s="1075"/>
      <c r="L310" s="1075">
        <f>Sheet1!AF304</f>
        <v>28200</v>
      </c>
      <c r="M310" s="1075"/>
      <c r="N310" s="1075"/>
      <c r="O310" s="1075"/>
      <c r="P310" s="1075">
        <f>Sheet1!AK304</f>
        <v>1540</v>
      </c>
      <c r="Q310" s="1075"/>
      <c r="R310" s="1075">
        <f>Sheet1!AD304</f>
        <v>13110</v>
      </c>
      <c r="S310" s="1081">
        <f>Sheet1!AG304</f>
        <v>0.46489361702127657</v>
      </c>
      <c r="T310" s="1075" t="str">
        <f>Sheet1!AH304</f>
        <v>D</v>
      </c>
      <c r="U310" s="1075">
        <f>Sheet1!AI304</f>
        <v>790</v>
      </c>
      <c r="V310" s="1075"/>
      <c r="W310" s="1075"/>
      <c r="X310" s="1075">
        <f>Sheet1!AJ304</f>
        <v>1090</v>
      </c>
      <c r="Y310" s="1075"/>
      <c r="Z310" s="1075"/>
      <c r="AA310" s="1075"/>
      <c r="AB310" s="1075"/>
      <c r="AC310" s="1075"/>
      <c r="AD310" s="1075"/>
      <c r="AE310" s="1075"/>
      <c r="AF310" s="1075"/>
      <c r="AG310" s="1075"/>
      <c r="AH310" s="1075"/>
      <c r="AI310" s="1075"/>
      <c r="AJ310" s="1075"/>
      <c r="AK310" s="1075" t="str">
        <f>IF(Sheet1!AE307="C",Sheet1!AK307,"-")</f>
        <v>-</v>
      </c>
      <c r="AL310" s="1075" t="str">
        <f>IF(Sheet1!AE307="D",Sheet1!AK307,"-")</f>
        <v>-</v>
      </c>
      <c r="AM310" s="1075">
        <f>IF(Sheet1!AE304="E",Sheet1!AK304,"-")</f>
        <v>1540</v>
      </c>
    </row>
    <row r="311" spans="2:39" x14ac:dyDescent="0.25">
      <c r="B311" s="1082">
        <f>Sheet1!F305</f>
        <v>530</v>
      </c>
      <c r="C311" s="1075" t="str">
        <f>Sheet1!C305</f>
        <v>Dirksen/DeBary/Doyle</v>
      </c>
      <c r="D311" s="1075" t="str">
        <f>_xlfn.TEXTBEFORE(Sheet1!E305, " to ")</f>
        <v>Garfield Rd.</v>
      </c>
      <c r="E311" s="1075" t="str">
        <f>_xlfn.TEXTAFTER(Sheet1!E305, " to ")</f>
        <v>Saxon Blvd.</v>
      </c>
      <c r="F311" s="1075">
        <f>Sheet1!AM305</f>
        <v>2</v>
      </c>
      <c r="G311" s="1075"/>
      <c r="H311" s="1083" t="str">
        <f>Sheet1!AE305</f>
        <v>E</v>
      </c>
      <c r="I311" s="1075"/>
      <c r="J311" s="1075" t="str">
        <f>Sheet1!Q305</f>
        <v>UA_NSSRC1_2W_2L_U_0L</v>
      </c>
      <c r="K311" s="1075"/>
      <c r="L311" s="1075">
        <f>Sheet1!AF305</f>
        <v>28200</v>
      </c>
      <c r="M311" s="1075"/>
      <c r="N311" s="1075"/>
      <c r="O311" s="1075"/>
      <c r="P311" s="1075">
        <f>Sheet1!AK305</f>
        <v>1230</v>
      </c>
      <c r="Q311" s="1075"/>
      <c r="R311" s="1075">
        <f>Sheet1!AD305</f>
        <v>10340</v>
      </c>
      <c r="S311" s="1081">
        <f>Sheet1!AG305</f>
        <v>0.36666666666666664</v>
      </c>
      <c r="T311" s="1075" t="str">
        <f>Sheet1!AH305</f>
        <v>C</v>
      </c>
      <c r="U311" s="1075">
        <f>Sheet1!AI305</f>
        <v>760</v>
      </c>
      <c r="V311" s="1075"/>
      <c r="W311" s="1075"/>
      <c r="X311" s="1075">
        <f>Sheet1!AJ305</f>
        <v>920</v>
      </c>
      <c r="Y311" s="1075"/>
      <c r="Z311" s="1075"/>
      <c r="AA311" s="1075"/>
      <c r="AB311" s="1075"/>
      <c r="AC311" s="1075"/>
      <c r="AD311" s="1075"/>
      <c r="AE311" s="1075"/>
      <c r="AF311" s="1075"/>
      <c r="AG311" s="1075"/>
      <c r="AH311" s="1075"/>
      <c r="AI311" s="1075"/>
      <c r="AJ311" s="1075"/>
      <c r="AK311" s="1075" t="str">
        <f>IF(Sheet1!AE308="C",Sheet1!AK308,"-")</f>
        <v>-</v>
      </c>
      <c r="AL311" s="1075" t="str">
        <f>IF(Sheet1!AE308="D",Sheet1!AK308,"-")</f>
        <v>-</v>
      </c>
      <c r="AM311" s="1075">
        <f>IF(Sheet1!AE305="E",Sheet1!AK305,"-")</f>
        <v>1230</v>
      </c>
    </row>
    <row r="312" spans="2:39" x14ac:dyDescent="0.25">
      <c r="B312" s="1082">
        <f>Sheet1!F306</f>
        <v>531</v>
      </c>
      <c r="C312" s="1075" t="str">
        <f>Sheet1!C306</f>
        <v>Dirksen/DeBary/Doyle</v>
      </c>
      <c r="D312" s="1075" t="str">
        <f>_xlfn.TEXTBEFORE(Sheet1!E306, " to ")</f>
        <v>Saxon Blvd.</v>
      </c>
      <c r="E312" s="1075" t="str">
        <f>_xlfn.TEXTAFTER(Sheet1!E306, " to ")</f>
        <v>Courtland Blvd.</v>
      </c>
      <c r="F312" s="1075">
        <f>Sheet1!AM306</f>
        <v>2</v>
      </c>
      <c r="G312" s="1075"/>
      <c r="H312" s="1083" t="str">
        <f>Sheet1!AE306</f>
        <v>E</v>
      </c>
      <c r="I312" s="1075"/>
      <c r="J312" s="1075" t="str">
        <f>Sheet1!Q306</f>
        <v>UA_NSSRC1_2W_2L_U_0L</v>
      </c>
      <c r="K312" s="1075"/>
      <c r="L312" s="1075">
        <f>Sheet1!AF306</f>
        <v>28200</v>
      </c>
      <c r="M312" s="1075"/>
      <c r="N312" s="1075"/>
      <c r="O312" s="1075"/>
      <c r="P312" s="1075">
        <f>Sheet1!AK306</f>
        <v>1230</v>
      </c>
      <c r="Q312" s="1075"/>
      <c r="R312" s="1075">
        <f>Sheet1!AD306</f>
        <v>9200</v>
      </c>
      <c r="S312" s="1081">
        <f>Sheet1!AG306</f>
        <v>0.32624113475177308</v>
      </c>
      <c r="T312" s="1075" t="str">
        <f>Sheet1!AH306</f>
        <v>C</v>
      </c>
      <c r="U312" s="1075">
        <f>Sheet1!AI306</f>
        <v>590</v>
      </c>
      <c r="V312" s="1075"/>
      <c r="W312" s="1075"/>
      <c r="X312" s="1075">
        <f>Sheet1!AJ306</f>
        <v>790</v>
      </c>
      <c r="Y312" s="1075"/>
      <c r="Z312" s="1075"/>
      <c r="AA312" s="1075"/>
      <c r="AB312" s="1075"/>
      <c r="AC312" s="1075"/>
      <c r="AD312" s="1075"/>
      <c r="AE312" s="1075"/>
      <c r="AF312" s="1075"/>
      <c r="AG312" s="1075"/>
      <c r="AH312" s="1075"/>
      <c r="AI312" s="1075"/>
      <c r="AJ312" s="1075"/>
      <c r="AK312" s="1075" t="str">
        <f>IF(Sheet1!AE309="C",Sheet1!AK309,"-")</f>
        <v>-</v>
      </c>
      <c r="AL312" s="1075" t="str">
        <f>IF(Sheet1!AE309="D",Sheet1!AK309,"-")</f>
        <v>-</v>
      </c>
      <c r="AM312" s="1075">
        <f>IF(Sheet1!AE306="E",Sheet1!AK306,"-")</f>
        <v>1230</v>
      </c>
    </row>
    <row r="313" spans="2:39" x14ac:dyDescent="0.25">
      <c r="B313" s="1082">
        <f>Sheet1!F307</f>
        <v>533</v>
      </c>
      <c r="C313" s="1075" t="str">
        <f>Sheet1!C307</f>
        <v>Dirksen/DeBary/Doyle</v>
      </c>
      <c r="D313" s="1075" t="str">
        <f>_xlfn.TEXTBEFORE(Sheet1!E307, " to ")</f>
        <v>Courtland Blvd.</v>
      </c>
      <c r="E313" s="1075" t="str">
        <f>_xlfn.TEXTAFTER(Sheet1!E307, " to ")</f>
        <v>SR 415</v>
      </c>
      <c r="F313" s="1075">
        <f>Sheet1!AM307</f>
        <v>2</v>
      </c>
      <c r="G313" s="1075"/>
      <c r="H313" s="1083" t="str">
        <f>Sheet1!AE307</f>
        <v>E</v>
      </c>
      <c r="I313" s="1075"/>
      <c r="J313" s="1075" t="str">
        <f>Sheet1!Q307</f>
        <v>UA_NSSRC1_2W_2L_U_0L</v>
      </c>
      <c r="K313" s="1075"/>
      <c r="L313" s="1075">
        <f>Sheet1!AF307</f>
        <v>28200</v>
      </c>
      <c r="M313" s="1075"/>
      <c r="N313" s="1075"/>
      <c r="O313" s="1075"/>
      <c r="P313" s="1075">
        <f>Sheet1!AK307</f>
        <v>1230</v>
      </c>
      <c r="Q313" s="1075"/>
      <c r="R313" s="1075">
        <f>Sheet1!AD307</f>
        <v>7020</v>
      </c>
      <c r="S313" s="1081">
        <f>Sheet1!AG307</f>
        <v>0.24893617021276596</v>
      </c>
      <c r="T313" s="1075" t="str">
        <f>Sheet1!AH307</f>
        <v>C</v>
      </c>
      <c r="U313" s="1075">
        <f>Sheet1!AI307</f>
        <v>500</v>
      </c>
      <c r="V313" s="1075"/>
      <c r="W313" s="1075"/>
      <c r="X313" s="1075">
        <f>Sheet1!AJ307</f>
        <v>650</v>
      </c>
      <c r="Y313" s="1075"/>
      <c r="Z313" s="1075"/>
      <c r="AA313" s="1075"/>
      <c r="AB313" s="1075"/>
      <c r="AC313" s="1075"/>
      <c r="AD313" s="1075"/>
      <c r="AE313" s="1075"/>
      <c r="AF313" s="1075"/>
      <c r="AG313" s="1075"/>
      <c r="AH313" s="1075"/>
      <c r="AI313" s="1075"/>
      <c r="AJ313" s="1075"/>
      <c r="AK313" s="1075" t="str">
        <f>IF(Sheet1!AE310="C",Sheet1!AK310,"-")</f>
        <v>-</v>
      </c>
      <c r="AL313" s="1075" t="str">
        <f>IF(Sheet1!AE310="D",Sheet1!AK310,"-")</f>
        <v>-</v>
      </c>
      <c r="AM313" s="1075">
        <f>IF(Sheet1!AE307="E",Sheet1!AK307,"-")</f>
        <v>1230</v>
      </c>
    </row>
    <row r="314" spans="2:39" x14ac:dyDescent="0.25">
      <c r="B314" s="1082" t="str">
        <f>Sheet1!F308</f>
        <v>Future Road</v>
      </c>
      <c r="C314" s="1075" t="str">
        <f>Sheet1!C308</f>
        <v>Dunn/George Engram/Fairview/Main</v>
      </c>
      <c r="D314" s="1075" t="str">
        <f>_xlfn.TEXTBEFORE(Sheet1!E308, " to ")</f>
        <v>LPGA Blvd</v>
      </c>
      <c r="E314" s="1075" t="str">
        <f>_xlfn.TEXTAFTER(Sheet1!E308, " to ")</f>
        <v>Tomoka Farms Rd</v>
      </c>
      <c r="F314" s="1075">
        <f>Sheet1!AM308</f>
        <v>0</v>
      </c>
      <c r="G314" s="1075"/>
      <c r="H314" s="1083" t="str">
        <f>Sheet1!AE308</f>
        <v>E</v>
      </c>
      <c r="I314" s="1075"/>
      <c r="J314" s="1075" t="str">
        <f>Sheet1!Q308</f>
        <v>UA_NSSRC1_2W_2L_U_WL</v>
      </c>
      <c r="K314" s="1075"/>
      <c r="L314" s="1075">
        <f>Sheet1!AF308</f>
        <v>17050</v>
      </c>
      <c r="M314" s="1075"/>
      <c r="N314" s="1075"/>
      <c r="O314" s="1075"/>
      <c r="P314" s="1075">
        <f>Sheet1!AK308</f>
        <v>1540</v>
      </c>
      <c r="Q314" s="1075"/>
      <c r="R314" s="1075" t="str">
        <f>Sheet1!AD308</f>
        <v>-</v>
      </c>
      <c r="S314" s="1081" t="str">
        <f>Sheet1!AG308</f>
        <v>-</v>
      </c>
      <c r="T314" s="1075" t="str">
        <f>Sheet1!AH308</f>
        <v>-</v>
      </c>
      <c r="U314" s="1075" t="str">
        <f>Sheet1!AI308</f>
        <v>-</v>
      </c>
      <c r="V314" s="1075"/>
      <c r="W314" s="1075"/>
      <c r="X314" s="1075" t="str">
        <f>Sheet1!AJ308</f>
        <v>-</v>
      </c>
      <c r="Y314" s="1075"/>
      <c r="Z314" s="1075"/>
      <c r="AA314" s="1075"/>
      <c r="AB314" s="1075"/>
      <c r="AC314" s="1075"/>
      <c r="AD314" s="1075"/>
      <c r="AE314" s="1075"/>
      <c r="AF314" s="1075"/>
      <c r="AG314" s="1075"/>
      <c r="AH314" s="1075"/>
      <c r="AI314" s="1075"/>
      <c r="AJ314" s="1075"/>
      <c r="AK314" s="1075" t="str">
        <f>IF(Sheet1!AE311="C",Sheet1!AK311,"-")</f>
        <v>-</v>
      </c>
      <c r="AL314" s="1075" t="str">
        <f>IF(Sheet1!AE311="D",Sheet1!AK311,"-")</f>
        <v>-</v>
      </c>
      <c r="AM314" s="1075">
        <f>IF(Sheet1!AE308="E",Sheet1!AK308,"-")</f>
        <v>1540</v>
      </c>
    </row>
    <row r="315" spans="2:39" x14ac:dyDescent="0.25">
      <c r="B315" s="1082">
        <f>Sheet1!F309</f>
        <v>716</v>
      </c>
      <c r="C315" s="1075" t="str">
        <f>Sheet1!C309</f>
        <v>Dunn/George Engram/Fairview/Main</v>
      </c>
      <c r="D315" s="1075" t="str">
        <f>_xlfn.TEXTBEFORE(Sheet1!E309, " to ")</f>
        <v>Tomoka Farms Rd.</v>
      </c>
      <c r="E315" s="1075" t="str">
        <f>_xlfn.TEXTAFTER(Sheet1!E309, " to ")</f>
        <v>Williamson Blvd.</v>
      </c>
      <c r="F315" s="1075">
        <f>Sheet1!AM309</f>
        <v>2</v>
      </c>
      <c r="G315" s="1075"/>
      <c r="H315" s="1083" t="str">
        <f>Sheet1!AE309</f>
        <v>E</v>
      </c>
      <c r="I315" s="1075"/>
      <c r="J315" s="1075" t="str">
        <f>Sheet1!Q309</f>
        <v>UA_NSSRC1_2W_2L_U_WL</v>
      </c>
      <c r="K315" s="1075"/>
      <c r="L315" s="1075">
        <f>Sheet1!AF309</f>
        <v>17050</v>
      </c>
      <c r="M315" s="1075"/>
      <c r="N315" s="1075"/>
      <c r="O315" s="1075"/>
      <c r="P315" s="1075">
        <f>Sheet1!AK309</f>
        <v>1540</v>
      </c>
      <c r="Q315" s="1075"/>
      <c r="R315" s="1075">
        <f>Sheet1!AD309</f>
        <v>5230</v>
      </c>
      <c r="S315" s="1081">
        <f>Sheet1!AG309</f>
        <v>0.30674486803519063</v>
      </c>
      <c r="T315" s="1075" t="str">
        <f>Sheet1!AH309</f>
        <v>C</v>
      </c>
      <c r="U315" s="1075">
        <f>Sheet1!AI309</f>
        <v>310</v>
      </c>
      <c r="V315" s="1075"/>
      <c r="W315" s="1075"/>
      <c r="X315" s="1075">
        <f>Sheet1!AJ309</f>
        <v>480</v>
      </c>
      <c r="Y315" s="1075"/>
      <c r="Z315" s="1075"/>
      <c r="AA315" s="1075"/>
      <c r="AB315" s="1075"/>
      <c r="AC315" s="1075"/>
      <c r="AD315" s="1075"/>
      <c r="AE315" s="1075"/>
      <c r="AF315" s="1075"/>
      <c r="AG315" s="1075"/>
      <c r="AH315" s="1075"/>
      <c r="AI315" s="1075"/>
      <c r="AJ315" s="1075"/>
      <c r="AK315" s="1075" t="str">
        <f>IF(Sheet1!AE312="C",Sheet1!AK312,"-")</f>
        <v>-</v>
      </c>
      <c r="AL315" s="1075" t="str">
        <f>IF(Sheet1!AE312="D",Sheet1!AK312,"-")</f>
        <v>-</v>
      </c>
      <c r="AM315" s="1075">
        <f>IF(Sheet1!AE309="E",Sheet1!AK309,"-")</f>
        <v>1540</v>
      </c>
    </row>
    <row r="316" spans="2:39" x14ac:dyDescent="0.25">
      <c r="B316" s="1082">
        <f>Sheet1!F310</f>
        <v>717</v>
      </c>
      <c r="C316" s="1075" t="str">
        <f>Sheet1!C310</f>
        <v>Dunn/George Engram/Fairview/Main</v>
      </c>
      <c r="D316" s="1075" t="str">
        <f>_xlfn.TEXTBEFORE(Sheet1!E310, " to ")</f>
        <v>Williamson Blvd.</v>
      </c>
      <c r="E316" s="1075" t="str">
        <f>_xlfn.TEXTAFTER(Sheet1!E310, " to ")</f>
        <v>Bill France Blvd.</v>
      </c>
      <c r="F316" s="1075">
        <f>Sheet1!AM310</f>
        <v>2</v>
      </c>
      <c r="G316" s="1075"/>
      <c r="H316" s="1083" t="str">
        <f>Sheet1!AE310</f>
        <v>E</v>
      </c>
      <c r="I316" s="1075"/>
      <c r="J316" s="1075" t="str">
        <f>Sheet1!Q310</f>
        <v>UA_NSSRC1_2W_2L_U_WL</v>
      </c>
      <c r="K316" s="1075"/>
      <c r="L316" s="1075">
        <f>Sheet1!AF310</f>
        <v>17050</v>
      </c>
      <c r="M316" s="1075"/>
      <c r="N316" s="1075"/>
      <c r="O316" s="1075"/>
      <c r="P316" s="1075">
        <f>Sheet1!AK310</f>
        <v>1540</v>
      </c>
      <c r="Q316" s="1075"/>
      <c r="R316" s="1075">
        <f>Sheet1!AD310</f>
        <v>6690</v>
      </c>
      <c r="S316" s="1081">
        <f>Sheet1!AG310</f>
        <v>0.39237536656891497</v>
      </c>
      <c r="T316" s="1075" t="str">
        <f>Sheet1!AH310</f>
        <v>C</v>
      </c>
      <c r="U316" s="1075">
        <f>Sheet1!AI310</f>
        <v>350</v>
      </c>
      <c r="V316" s="1075"/>
      <c r="W316" s="1075"/>
      <c r="X316" s="1075">
        <f>Sheet1!AJ310</f>
        <v>600</v>
      </c>
      <c r="Y316" s="1075"/>
      <c r="Z316" s="1075"/>
      <c r="AA316" s="1075"/>
      <c r="AB316" s="1075"/>
      <c r="AC316" s="1075"/>
      <c r="AD316" s="1075"/>
      <c r="AE316" s="1075"/>
      <c r="AF316" s="1075"/>
      <c r="AG316" s="1075"/>
      <c r="AH316" s="1075"/>
      <c r="AI316" s="1075"/>
      <c r="AJ316" s="1075"/>
      <c r="AK316" s="1075" t="str">
        <f>IF(Sheet1!AE313="C",Sheet1!AK313,"-")</f>
        <v>-</v>
      </c>
      <c r="AL316" s="1075" t="str">
        <f>IF(Sheet1!AE313="D",Sheet1!AK313,"-")</f>
        <v>-</v>
      </c>
      <c r="AM316" s="1075">
        <f>IF(Sheet1!AE310="E",Sheet1!AK310,"-")</f>
        <v>1540</v>
      </c>
    </row>
    <row r="317" spans="2:39" x14ac:dyDescent="0.25">
      <c r="B317" s="1082">
        <f>Sheet1!F311</f>
        <v>718</v>
      </c>
      <c r="C317" s="1075" t="str">
        <f>Sheet1!C311</f>
        <v>Dunn/George Engram/Fairview/Main</v>
      </c>
      <c r="D317" s="1075" t="str">
        <f>_xlfn.TEXTBEFORE(Sheet1!E311, " to ")</f>
        <v>Bill France Blvd.</v>
      </c>
      <c r="E317" s="1075" t="str">
        <f>_xlfn.TEXTAFTER(Sheet1!E311, " to ")</f>
        <v>Clyde Morris Blvd.</v>
      </c>
      <c r="F317" s="1075">
        <f>Sheet1!AM311</f>
        <v>2</v>
      </c>
      <c r="G317" s="1075"/>
      <c r="H317" s="1083" t="str">
        <f>Sheet1!AE311</f>
        <v>E</v>
      </c>
      <c r="I317" s="1075"/>
      <c r="J317" s="1075" t="str">
        <f>Sheet1!Q311</f>
        <v>UA_NSSRC2_2W_2L_D_WL</v>
      </c>
      <c r="K317" s="1075"/>
      <c r="L317" s="1075">
        <f>Sheet1!AF311</f>
        <v>14740</v>
      </c>
      <c r="M317" s="1075"/>
      <c r="N317" s="1075"/>
      <c r="O317" s="1075"/>
      <c r="P317" s="1075">
        <f>Sheet1!AK311</f>
        <v>1330</v>
      </c>
      <c r="Q317" s="1075"/>
      <c r="R317" s="1075">
        <f>Sheet1!AD311</f>
        <v>11380</v>
      </c>
      <c r="S317" s="1081">
        <f>Sheet1!AG311</f>
        <v>0.77204884667571239</v>
      </c>
      <c r="T317" s="1075" t="str">
        <f>Sheet1!AH311</f>
        <v>D</v>
      </c>
      <c r="U317" s="1075">
        <f>Sheet1!AI311</f>
        <v>710</v>
      </c>
      <c r="V317" s="1075"/>
      <c r="W317" s="1075"/>
      <c r="X317" s="1075">
        <f>Sheet1!AJ311</f>
        <v>940</v>
      </c>
      <c r="Y317" s="1075"/>
      <c r="Z317" s="1075"/>
      <c r="AA317" s="1075"/>
      <c r="AB317" s="1075"/>
      <c r="AC317" s="1075"/>
      <c r="AD317" s="1075"/>
      <c r="AE317" s="1075"/>
      <c r="AF317" s="1075"/>
      <c r="AG317" s="1075"/>
      <c r="AH317" s="1075"/>
      <c r="AI317" s="1075"/>
      <c r="AJ317" s="1075"/>
      <c r="AK317" s="1075" t="str">
        <f>IF(Sheet1!AE314="C",Sheet1!AK314,"-")</f>
        <v>-</v>
      </c>
      <c r="AL317" s="1075" t="str">
        <f>IF(Sheet1!AE314="D",Sheet1!AK314,"-")</f>
        <v>-</v>
      </c>
      <c r="AM317" s="1075">
        <f>IF(Sheet1!AE311="E",Sheet1!AK311,"-")</f>
        <v>1330</v>
      </c>
    </row>
    <row r="318" spans="2:39" x14ac:dyDescent="0.25">
      <c r="B318" s="1082">
        <f>Sheet1!F312</f>
        <v>719</v>
      </c>
      <c r="C318" s="1075" t="str">
        <f>Sheet1!C312</f>
        <v>Dunn/George Engram/Fairview/Main</v>
      </c>
      <c r="D318" s="1075" t="str">
        <f>_xlfn.TEXTBEFORE(Sheet1!E312, " to ")</f>
        <v>Clyde Morris Blvd.</v>
      </c>
      <c r="E318" s="1075" t="str">
        <f>_xlfn.TEXTAFTER(Sheet1!E312, " to ")</f>
        <v>SR 5A/Nova Rd.</v>
      </c>
      <c r="F318" s="1075">
        <f>Sheet1!AM312</f>
        <v>4</v>
      </c>
      <c r="G318" s="1075"/>
      <c r="H318" s="1083" t="str">
        <f>Sheet1!AE312</f>
        <v>E</v>
      </c>
      <c r="I318" s="1075"/>
      <c r="J318" s="1075" t="str">
        <f>Sheet1!Q312</f>
        <v>UA_NSSRC1_2W_4L_D_WL</v>
      </c>
      <c r="K318" s="1075"/>
      <c r="L318" s="1075">
        <f>Sheet1!AF312</f>
        <v>37970</v>
      </c>
      <c r="M318" s="1075"/>
      <c r="N318" s="1075"/>
      <c r="O318" s="1075"/>
      <c r="P318" s="1075">
        <f>Sheet1!AK312</f>
        <v>3410</v>
      </c>
      <c r="Q318" s="1075"/>
      <c r="R318" s="1075">
        <f>Sheet1!AD312</f>
        <v>9140</v>
      </c>
      <c r="S318" s="1081">
        <f>Sheet1!AG312</f>
        <v>0.24071635501711877</v>
      </c>
      <c r="T318" s="1075" t="str">
        <f>Sheet1!AH312</f>
        <v>C</v>
      </c>
      <c r="U318" s="1075">
        <f>Sheet1!AI312</f>
        <v>590</v>
      </c>
      <c r="V318" s="1075"/>
      <c r="W318" s="1075"/>
      <c r="X318" s="1075">
        <f>Sheet1!AJ312</f>
        <v>760</v>
      </c>
      <c r="Y318" s="1075"/>
      <c r="Z318" s="1075"/>
      <c r="AA318" s="1075"/>
      <c r="AB318" s="1075"/>
      <c r="AC318" s="1075"/>
      <c r="AD318" s="1075"/>
      <c r="AE318" s="1075"/>
      <c r="AF318" s="1075"/>
      <c r="AG318" s="1075"/>
      <c r="AH318" s="1075"/>
      <c r="AI318" s="1075"/>
      <c r="AJ318" s="1075"/>
      <c r="AK318" s="1075" t="str">
        <f>IF(Sheet1!AE315="C",Sheet1!AK315,"-")</f>
        <v>-</v>
      </c>
      <c r="AL318" s="1075" t="str">
        <f>IF(Sheet1!AE315="D",Sheet1!AK315,"-")</f>
        <v>-</v>
      </c>
      <c r="AM318" s="1075">
        <f>IF(Sheet1!AE312="E",Sheet1!AK312,"-")</f>
        <v>3410</v>
      </c>
    </row>
    <row r="319" spans="2:39" x14ac:dyDescent="0.25">
      <c r="B319" s="1082">
        <f>Sheet1!F313</f>
        <v>720</v>
      </c>
      <c r="C319" s="1075" t="str">
        <f>Sheet1!C313</f>
        <v>Dunn/George Engram/Fairview/Main</v>
      </c>
      <c r="D319" s="1075" t="str">
        <f>_xlfn.TEXTBEFORE(Sheet1!E313, " to ")</f>
        <v>SR 5A/Nova Rd.</v>
      </c>
      <c r="E319" s="1075" t="str">
        <f>_xlfn.TEXTAFTER(Sheet1!E313, " to ")</f>
        <v>US 1</v>
      </c>
      <c r="F319" s="1075">
        <f>Sheet1!AM313</f>
        <v>4</v>
      </c>
      <c r="G319" s="1075"/>
      <c r="H319" s="1083" t="str">
        <f>Sheet1!AE313</f>
        <v>E</v>
      </c>
      <c r="I319" s="1075"/>
      <c r="J319" s="1075" t="str">
        <f>Sheet1!Q313</f>
        <v>UA_NSSRC2_2W_4L_D_WL</v>
      </c>
      <c r="K319" s="1075"/>
      <c r="L319" s="1075">
        <f>Sheet1!AF313</f>
        <v>30420</v>
      </c>
      <c r="M319" s="1075"/>
      <c r="N319" s="1075"/>
      <c r="O319" s="1075"/>
      <c r="P319" s="1075">
        <f>Sheet1!AK313</f>
        <v>2740</v>
      </c>
      <c r="Q319" s="1075"/>
      <c r="R319" s="1075">
        <f>Sheet1!AD313</f>
        <v>9080</v>
      </c>
      <c r="S319" s="1081">
        <f>Sheet1!AG313</f>
        <v>0.29848783694937542</v>
      </c>
      <c r="T319" s="1075" t="str">
        <f>Sheet1!AH313</f>
        <v>C</v>
      </c>
      <c r="U319" s="1075">
        <f>Sheet1!AI313</f>
        <v>540</v>
      </c>
      <c r="V319" s="1075"/>
      <c r="W319" s="1075"/>
      <c r="X319" s="1075">
        <f>Sheet1!AJ313</f>
        <v>760</v>
      </c>
      <c r="Y319" s="1075"/>
      <c r="Z319" s="1075"/>
      <c r="AA319" s="1075"/>
      <c r="AB319" s="1075"/>
      <c r="AC319" s="1075"/>
      <c r="AD319" s="1075"/>
      <c r="AE319" s="1075"/>
      <c r="AF319" s="1075"/>
      <c r="AG319" s="1075"/>
      <c r="AH319" s="1075"/>
      <c r="AI319" s="1075"/>
      <c r="AJ319" s="1075"/>
      <c r="AK319" s="1075">
        <f>IF(Sheet1!AE316="C",Sheet1!AK316,"-")</f>
        <v>620</v>
      </c>
      <c r="AL319" s="1075" t="str">
        <f>IF(Sheet1!AE316="D",Sheet1!AK316,"-")</f>
        <v>-</v>
      </c>
      <c r="AM319" s="1075">
        <f>IF(Sheet1!AE313="E",Sheet1!AK313,"-")</f>
        <v>2740</v>
      </c>
    </row>
    <row r="320" spans="2:39" x14ac:dyDescent="0.25">
      <c r="B320" s="1082">
        <f>Sheet1!F314</f>
        <v>631</v>
      </c>
      <c r="C320" s="1075" t="str">
        <f>Sheet1!C314</f>
        <v>Dunn/George Engram/Fairview/Main</v>
      </c>
      <c r="D320" s="1075" t="str">
        <f>_xlfn.TEXTBEFORE(Sheet1!E314, " to ")</f>
        <v>US 1</v>
      </c>
      <c r="E320" s="1075" t="str">
        <f>_xlfn.TEXTAFTER(Sheet1!E314, " to ")</f>
        <v>Beach St</v>
      </c>
      <c r="F320" s="1075">
        <f>Sheet1!AM314</f>
        <v>2</v>
      </c>
      <c r="G320" s="1075"/>
      <c r="H320" s="1083" t="str">
        <f>Sheet1!AE314</f>
        <v>E</v>
      </c>
      <c r="I320" s="1075"/>
      <c r="J320" s="1075" t="str">
        <f>Sheet1!Q314</f>
        <v>UA_NSSRC2_2W_2L_U_WL</v>
      </c>
      <c r="K320" s="1075"/>
      <c r="L320" s="1075">
        <f>Sheet1!AF314</f>
        <v>14040</v>
      </c>
      <c r="M320" s="1075"/>
      <c r="N320" s="1075"/>
      <c r="O320" s="1075"/>
      <c r="P320" s="1075">
        <f>Sheet1!AK314</f>
        <v>1270</v>
      </c>
      <c r="Q320" s="1075"/>
      <c r="R320" s="1075">
        <f>Sheet1!AD314</f>
        <v>5600</v>
      </c>
      <c r="S320" s="1081">
        <f>Sheet1!AG314</f>
        <v>0.39886039886039887</v>
      </c>
      <c r="T320" s="1075" t="str">
        <f>Sheet1!AH314</f>
        <v>C</v>
      </c>
      <c r="U320" s="1075">
        <f>Sheet1!AI314</f>
        <v>290</v>
      </c>
      <c r="V320" s="1075"/>
      <c r="W320" s="1075"/>
      <c r="X320" s="1075">
        <f>Sheet1!AJ314</f>
        <v>480</v>
      </c>
      <c r="Y320" s="1075"/>
      <c r="Z320" s="1075"/>
      <c r="AA320" s="1075"/>
      <c r="AB320" s="1075"/>
      <c r="AC320" s="1075"/>
      <c r="AD320" s="1075"/>
      <c r="AE320" s="1075"/>
      <c r="AF320" s="1075"/>
      <c r="AG320" s="1075"/>
      <c r="AH320" s="1075"/>
      <c r="AI320" s="1075"/>
      <c r="AJ320" s="1075"/>
      <c r="AK320" s="1075">
        <f>IF(Sheet1!AE317="C",Sheet1!AK317,"-")</f>
        <v>620</v>
      </c>
      <c r="AL320" s="1075" t="str">
        <f>IF(Sheet1!AE317="D",Sheet1!AK317,"-")</f>
        <v>-</v>
      </c>
      <c r="AM320" s="1075">
        <f>IF(Sheet1!AE314="E",Sheet1!AK314,"-")</f>
        <v>1270</v>
      </c>
    </row>
    <row r="321" spans="2:39" x14ac:dyDescent="0.25">
      <c r="B321" s="1082">
        <f>Sheet1!F315</f>
        <v>1170</v>
      </c>
      <c r="C321" s="1075" t="str">
        <f>Sheet1!C315</f>
        <v>Dunn/George Engram/Fairview/Main</v>
      </c>
      <c r="D321" s="1075" t="str">
        <f>_xlfn.TEXTBEFORE(Sheet1!E315, " to ")</f>
        <v>Beach St.</v>
      </c>
      <c r="E321" s="1075" t="str">
        <f>_xlfn.TEXTAFTER(Sheet1!E315, " to ")</f>
        <v>Peninsula Dr.</v>
      </c>
      <c r="F321" s="1075">
        <f>Sheet1!AM315</f>
        <v>2</v>
      </c>
      <c r="G321" s="1075"/>
      <c r="H321" s="1083" t="str">
        <f>Sheet1!AE315</f>
        <v>E</v>
      </c>
      <c r="I321" s="1075"/>
      <c r="J321" s="1075" t="str">
        <f>Sheet1!Q315</f>
        <v>UA_NSSRC2_2W_2L_U_WL</v>
      </c>
      <c r="K321" s="1075"/>
      <c r="L321" s="1075">
        <f>Sheet1!AF315</f>
        <v>14040</v>
      </c>
      <c r="M321" s="1075"/>
      <c r="N321" s="1075"/>
      <c r="O321" s="1075"/>
      <c r="P321" s="1075">
        <f>Sheet1!AK315</f>
        <v>1270</v>
      </c>
      <c r="Q321" s="1075"/>
      <c r="R321" s="1075">
        <f>Sheet1!AD315</f>
        <v>6210</v>
      </c>
      <c r="S321" s="1081">
        <f>Sheet1!AG315</f>
        <v>0.44230769230769229</v>
      </c>
      <c r="T321" s="1075" t="str">
        <f>Sheet1!AH315</f>
        <v>C</v>
      </c>
      <c r="U321" s="1075">
        <f>Sheet1!AI315</f>
        <v>320</v>
      </c>
      <c r="V321" s="1075"/>
      <c r="W321" s="1075"/>
      <c r="X321" s="1075">
        <f>Sheet1!AJ315</f>
        <v>530</v>
      </c>
      <c r="Y321" s="1075"/>
      <c r="Z321" s="1075"/>
      <c r="AA321" s="1075"/>
      <c r="AB321" s="1075"/>
      <c r="AC321" s="1075"/>
      <c r="AD321" s="1075"/>
      <c r="AE321" s="1075"/>
      <c r="AF321" s="1075"/>
      <c r="AG321" s="1075"/>
      <c r="AH321" s="1075"/>
      <c r="AI321" s="1075"/>
      <c r="AJ321" s="1075"/>
      <c r="AK321" s="1075" t="str">
        <f>IF(Sheet1!AE318="C",Sheet1!AK318,"-")</f>
        <v>-</v>
      </c>
      <c r="AL321" s="1075" t="str">
        <f>IF(Sheet1!AE318="D",Sheet1!AK318,"-")</f>
        <v>-</v>
      </c>
      <c r="AM321" s="1075">
        <f>IF(Sheet1!AE315="E",Sheet1!AK315,"-")</f>
        <v>1270</v>
      </c>
    </row>
    <row r="322" spans="2:39" x14ac:dyDescent="0.25">
      <c r="B322" s="1082">
        <f>Sheet1!F316</f>
        <v>560</v>
      </c>
      <c r="C322" s="1075" t="str">
        <f>Sheet1!C316</f>
        <v>Emporia Rd.</v>
      </c>
      <c r="D322" s="1075" t="str">
        <f>_xlfn.TEXTBEFORE(Sheet1!E316, " to ")</f>
        <v>SR 40</v>
      </c>
      <c r="E322" s="1075" t="str">
        <f>_xlfn.TEXTAFTER(Sheet1!E316, " to ")</f>
        <v>Peterson/Blackburn</v>
      </c>
      <c r="F322" s="1075">
        <f>Sheet1!AM316</f>
        <v>2</v>
      </c>
      <c r="G322" s="1075"/>
      <c r="H322" s="1083" t="str">
        <f>Sheet1!AE316</f>
        <v>C</v>
      </c>
      <c r="I322" s="1075"/>
      <c r="J322" s="1075" t="str">
        <f>Sheet1!Q316</f>
        <v>RUA_UFH_2W_2L_U_0L</v>
      </c>
      <c r="K322" s="1075"/>
      <c r="L322" s="1075">
        <f>Sheet1!AF316</f>
        <v>6450</v>
      </c>
      <c r="M322" s="1075"/>
      <c r="N322" s="1075"/>
      <c r="O322" s="1075"/>
      <c r="P322" s="1075">
        <f>Sheet1!AK316</f>
        <v>620</v>
      </c>
      <c r="Q322" s="1075"/>
      <c r="R322" s="1075">
        <f>Sheet1!AD316</f>
        <v>1110</v>
      </c>
      <c r="S322" s="1081">
        <f>Sheet1!AG316</f>
        <v>0.17209302325581396</v>
      </c>
      <c r="T322" s="1075" t="str">
        <f>Sheet1!AH316</f>
        <v>B</v>
      </c>
      <c r="U322" s="1075">
        <f>Sheet1!AI316</f>
        <v>70</v>
      </c>
      <c r="V322" s="1075"/>
      <c r="W322" s="1075"/>
      <c r="X322" s="1075">
        <f>Sheet1!AJ316</f>
        <v>110</v>
      </c>
      <c r="Y322" s="1075"/>
      <c r="Z322" s="1075"/>
      <c r="AA322" s="1075"/>
      <c r="AB322" s="1075"/>
      <c r="AC322" s="1075"/>
      <c r="AD322" s="1075"/>
      <c r="AE322" s="1075"/>
      <c r="AF322" s="1075"/>
      <c r="AG322" s="1075"/>
      <c r="AH322" s="1075"/>
      <c r="AI322" s="1075"/>
      <c r="AJ322" s="1075"/>
      <c r="AK322" s="1075" t="str">
        <f>IF(Sheet1!AE319="C",Sheet1!AK319,"-")</f>
        <v>-</v>
      </c>
      <c r="AL322" s="1075" t="str">
        <f>IF(Sheet1!AE319="D",Sheet1!AK319,"-")</f>
        <v>-</v>
      </c>
      <c r="AM322" s="1075" t="str">
        <f>IF(Sheet1!AE316="E",Sheet1!AK316,"-")</f>
        <v>-</v>
      </c>
    </row>
    <row r="323" spans="2:39" x14ac:dyDescent="0.25">
      <c r="B323" s="1082">
        <f>Sheet1!F317</f>
        <v>564</v>
      </c>
      <c r="C323" s="1075" t="str">
        <f>Sheet1!C317</f>
        <v>Emporia Rd.</v>
      </c>
      <c r="D323" s="1075" t="str">
        <f>_xlfn.TEXTBEFORE(Sheet1!E317, " to ")</f>
        <v>Peterson/Blackburn</v>
      </c>
      <c r="E323" s="1075" t="str">
        <f>_xlfn.TEXTAFTER(Sheet1!E317, " to ")</f>
        <v>US 17</v>
      </c>
      <c r="F323" s="1075">
        <f>Sheet1!AM317</f>
        <v>2</v>
      </c>
      <c r="G323" s="1075"/>
      <c r="H323" s="1083" t="str">
        <f>Sheet1!AE317</f>
        <v>C</v>
      </c>
      <c r="I323" s="1075"/>
      <c r="J323" s="1075" t="str">
        <f>Sheet1!Q317</f>
        <v>RUA_UFH_2W_2L_U_0L</v>
      </c>
      <c r="K323" s="1075"/>
      <c r="L323" s="1075">
        <f>Sheet1!AF317</f>
        <v>6450</v>
      </c>
      <c r="M323" s="1075"/>
      <c r="N323" s="1075"/>
      <c r="O323" s="1075"/>
      <c r="P323" s="1075">
        <f>Sheet1!AK317</f>
        <v>620</v>
      </c>
      <c r="Q323" s="1075"/>
      <c r="R323" s="1075">
        <f>Sheet1!AD317</f>
        <v>1720</v>
      </c>
      <c r="S323" s="1081">
        <f>Sheet1!AG317</f>
        <v>0.26666666666666666</v>
      </c>
      <c r="T323" s="1075" t="str">
        <f>Sheet1!AH317</f>
        <v>B</v>
      </c>
      <c r="U323" s="1075">
        <f>Sheet1!AI317</f>
        <v>150</v>
      </c>
      <c r="V323" s="1075"/>
      <c r="W323" s="1075"/>
      <c r="X323" s="1075">
        <f>Sheet1!AJ317</f>
        <v>130</v>
      </c>
      <c r="Y323" s="1075"/>
      <c r="Z323" s="1075"/>
      <c r="AA323" s="1075"/>
      <c r="AB323" s="1075"/>
      <c r="AC323" s="1075"/>
      <c r="AD323" s="1075"/>
      <c r="AE323" s="1075"/>
      <c r="AF323" s="1075"/>
      <c r="AG323" s="1075"/>
      <c r="AH323" s="1075"/>
      <c r="AI323" s="1075"/>
      <c r="AJ323" s="1075"/>
      <c r="AK323" s="1075" t="str">
        <f>IF(Sheet1!AE320="C",Sheet1!AK320,"-")</f>
        <v>-</v>
      </c>
      <c r="AL323" s="1075" t="str">
        <f>IF(Sheet1!AE320="D",Sheet1!AK320,"-")</f>
        <v>-</v>
      </c>
      <c r="AM323" s="1075" t="str">
        <f>IF(Sheet1!AE317="E",Sheet1!AK317,"-")</f>
        <v>-</v>
      </c>
    </row>
    <row r="324" spans="2:39" x14ac:dyDescent="0.25">
      <c r="B324" s="1082">
        <f>Sheet1!F318</f>
        <v>570</v>
      </c>
      <c r="C324" s="1075" t="str">
        <f>Sheet1!C318</f>
        <v>Enterprise Ave. (NSB)</v>
      </c>
      <c r="D324" s="1075" t="str">
        <f>_xlfn.TEXTBEFORE(Sheet1!E318, " to ")</f>
        <v>Pioneer Tr.</v>
      </c>
      <c r="E324" s="1075" t="str">
        <f>_xlfn.TEXTAFTER(Sheet1!E318, " to ")</f>
        <v>Halleck St.</v>
      </c>
      <c r="F324" s="1075">
        <f>Sheet1!AM318</f>
        <v>2</v>
      </c>
      <c r="G324" s="1075"/>
      <c r="H324" s="1083" t="str">
        <f>Sheet1!AE318</f>
        <v>E</v>
      </c>
      <c r="I324" s="1075"/>
      <c r="J324" s="1075" t="str">
        <f>Sheet1!Q318</f>
        <v>UA_NSSRC2_2W_2L_U_0L</v>
      </c>
      <c r="K324" s="1075"/>
      <c r="L324" s="1075">
        <f>Sheet1!AF318</f>
        <v>13640</v>
      </c>
      <c r="M324" s="1075"/>
      <c r="N324" s="1075"/>
      <c r="O324" s="1075"/>
      <c r="P324" s="1075">
        <f>Sheet1!AK318</f>
        <v>1020</v>
      </c>
      <c r="Q324" s="1075"/>
      <c r="R324" s="1075">
        <f>Sheet1!AD318</f>
        <v>9700</v>
      </c>
      <c r="S324" s="1081">
        <f>Sheet1!AG318</f>
        <v>0.71114369501466279</v>
      </c>
      <c r="T324" s="1075" t="str">
        <f>Sheet1!AH318</f>
        <v>D</v>
      </c>
      <c r="U324" s="1075">
        <f>Sheet1!AI318</f>
        <v>630</v>
      </c>
      <c r="V324" s="1075"/>
      <c r="W324" s="1075"/>
      <c r="X324" s="1075">
        <f>Sheet1!AJ318</f>
        <v>820</v>
      </c>
      <c r="Y324" s="1075"/>
      <c r="Z324" s="1075"/>
      <c r="AA324" s="1075"/>
      <c r="AB324" s="1075"/>
      <c r="AC324" s="1075"/>
      <c r="AD324" s="1075"/>
      <c r="AE324" s="1075"/>
      <c r="AF324" s="1075"/>
      <c r="AG324" s="1075"/>
      <c r="AH324" s="1075"/>
      <c r="AI324" s="1075"/>
      <c r="AJ324" s="1075"/>
      <c r="AK324" s="1075" t="str">
        <f>IF(Sheet1!AE321="C",Sheet1!AK321,"-")</f>
        <v>-</v>
      </c>
      <c r="AL324" s="1075" t="str">
        <f>IF(Sheet1!AE321="D",Sheet1!AK321,"-")</f>
        <v>-</v>
      </c>
      <c r="AM324" s="1075">
        <f>IF(Sheet1!AE318="E",Sheet1!AK318,"-")</f>
        <v>1020</v>
      </c>
    </row>
    <row r="325" spans="2:39" x14ac:dyDescent="0.25">
      <c r="B325" s="1082">
        <f>Sheet1!F319</f>
        <v>581</v>
      </c>
      <c r="C325" s="1075" t="str">
        <f>Sheet1!C319</f>
        <v>Enterprise Rd.</v>
      </c>
      <c r="D325" s="1075" t="str">
        <f>_xlfn.TEXTBEFORE(Sheet1!E319, " to ")</f>
        <v>DeBary Ave.</v>
      </c>
      <c r="E325" s="1075" t="str">
        <f>_xlfn.TEXTAFTER(Sheet1!E319, " to ")</f>
        <v xml:space="preserve">Deltona Blvd. </v>
      </c>
      <c r="F325" s="1075">
        <f>Sheet1!AM319</f>
        <v>2</v>
      </c>
      <c r="G325" s="1075"/>
      <c r="H325" s="1083" t="str">
        <f>Sheet1!AE319</f>
        <v>E</v>
      </c>
      <c r="I325" s="1075"/>
      <c r="J325" s="1075" t="str">
        <f>Sheet1!Q319</f>
        <v>UA_NSSRC2_2W_2L_U_WL</v>
      </c>
      <c r="K325" s="1075"/>
      <c r="L325" s="1075">
        <f>Sheet1!AF319</f>
        <v>14040</v>
      </c>
      <c r="M325" s="1075"/>
      <c r="N325" s="1075"/>
      <c r="O325" s="1075"/>
      <c r="P325" s="1075">
        <f>Sheet1!AK319</f>
        <v>1270</v>
      </c>
      <c r="Q325" s="1075"/>
      <c r="R325" s="1075">
        <f>Sheet1!AD319</f>
        <v>8610</v>
      </c>
      <c r="S325" s="1081">
        <f>Sheet1!AG319</f>
        <v>0.61324786324786329</v>
      </c>
      <c r="T325" s="1075" t="str">
        <f>Sheet1!AH319</f>
        <v>D</v>
      </c>
      <c r="U325" s="1075">
        <f>Sheet1!AI319</f>
        <v>650</v>
      </c>
      <c r="V325" s="1075"/>
      <c r="W325" s="1075"/>
      <c r="X325" s="1075">
        <f>Sheet1!AJ319</f>
        <v>730</v>
      </c>
      <c r="Y325" s="1075"/>
      <c r="Z325" s="1075"/>
      <c r="AA325" s="1075"/>
      <c r="AB325" s="1075"/>
      <c r="AC325" s="1075"/>
      <c r="AD325" s="1075"/>
      <c r="AE325" s="1075"/>
      <c r="AF325" s="1075"/>
      <c r="AG325" s="1075"/>
      <c r="AH325" s="1075"/>
      <c r="AI325" s="1075"/>
      <c r="AJ325" s="1075"/>
      <c r="AK325" s="1075" t="str">
        <f>IF(Sheet1!AE322="C",Sheet1!AK322,"-")</f>
        <v>-</v>
      </c>
      <c r="AL325" s="1075" t="str">
        <f>IF(Sheet1!AE322="D",Sheet1!AK322,"-")</f>
        <v>-</v>
      </c>
      <c r="AM325" s="1075">
        <f>IF(Sheet1!AE319="E",Sheet1!AK319,"-")</f>
        <v>1270</v>
      </c>
    </row>
    <row r="326" spans="2:39" x14ac:dyDescent="0.25">
      <c r="B326" s="1082">
        <f>Sheet1!F320</f>
        <v>582</v>
      </c>
      <c r="C326" s="1075" t="str">
        <f>Sheet1!C320</f>
        <v>Enterprise Rd.</v>
      </c>
      <c r="D326" s="1075" t="str">
        <f>_xlfn.TEXTBEFORE(Sheet1!E320, " to ")</f>
        <v>Deltona Blvd.</v>
      </c>
      <c r="E326" s="1075" t="str">
        <f>_xlfn.TEXTAFTER(Sheet1!E320, " to ")</f>
        <v>Highbanks Rd.</v>
      </c>
      <c r="F326" s="1075">
        <f>Sheet1!AM320</f>
        <v>4</v>
      </c>
      <c r="G326" s="1075"/>
      <c r="H326" s="1083" t="str">
        <f>Sheet1!AE320</f>
        <v>E</v>
      </c>
      <c r="I326" s="1075"/>
      <c r="J326" s="1075" t="str">
        <f>Sheet1!Q320</f>
        <v>UA_NSSRC2_2W_4L_D_WL</v>
      </c>
      <c r="K326" s="1075"/>
      <c r="L326" s="1075">
        <f>Sheet1!AF320</f>
        <v>30420</v>
      </c>
      <c r="M326" s="1075"/>
      <c r="N326" s="1075"/>
      <c r="O326" s="1075"/>
      <c r="P326" s="1075">
        <f>Sheet1!AK320</f>
        <v>2740</v>
      </c>
      <c r="Q326" s="1075"/>
      <c r="R326" s="1075">
        <f>Sheet1!AD320</f>
        <v>16870</v>
      </c>
      <c r="S326" s="1081">
        <f>Sheet1!AG320</f>
        <v>0.55456936226166997</v>
      </c>
      <c r="T326" s="1075" t="str">
        <f>Sheet1!AH320</f>
        <v>D</v>
      </c>
      <c r="U326" s="1075">
        <f>Sheet1!AI320</f>
        <v>1020</v>
      </c>
      <c r="V326" s="1075"/>
      <c r="W326" s="1075"/>
      <c r="X326" s="1075">
        <f>Sheet1!AJ320</f>
        <v>1380</v>
      </c>
      <c r="Y326" s="1075"/>
      <c r="Z326" s="1075"/>
      <c r="AA326" s="1075"/>
      <c r="AB326" s="1075"/>
      <c r="AC326" s="1075"/>
      <c r="AD326" s="1075"/>
      <c r="AE326" s="1075"/>
      <c r="AF326" s="1075"/>
      <c r="AG326" s="1075"/>
      <c r="AH326" s="1075"/>
      <c r="AI326" s="1075"/>
      <c r="AJ326" s="1075"/>
      <c r="AK326" s="1075" t="str">
        <f>IF(Sheet1!AE323="C",Sheet1!AK323,"-")</f>
        <v>-</v>
      </c>
      <c r="AL326" s="1075" t="str">
        <f>IF(Sheet1!AE323="D",Sheet1!AK323,"-")</f>
        <v>-</v>
      </c>
      <c r="AM326" s="1075">
        <f>IF(Sheet1!AE320="E",Sheet1!AK320,"-")</f>
        <v>2740</v>
      </c>
    </row>
    <row r="327" spans="2:39" x14ac:dyDescent="0.25">
      <c r="B327" s="1082">
        <f>Sheet1!F321</f>
        <v>584</v>
      </c>
      <c r="C327" s="1075" t="str">
        <f>Sheet1!C321</f>
        <v>Enterprise Rd.</v>
      </c>
      <c r="D327" s="1075" t="str">
        <f>_xlfn.TEXTBEFORE(Sheet1!E321, " to ")</f>
        <v>Highbanks Rd.</v>
      </c>
      <c r="E327" s="1075" t="str">
        <f>_xlfn.TEXTAFTER(Sheet1!E321, " to ")</f>
        <v>Saxon Blvd.</v>
      </c>
      <c r="F327" s="1075">
        <f>Sheet1!AM321</f>
        <v>4</v>
      </c>
      <c r="G327" s="1075"/>
      <c r="H327" s="1083" t="str">
        <f>Sheet1!AE321</f>
        <v>E</v>
      </c>
      <c r="I327" s="1075"/>
      <c r="J327" s="1075" t="str">
        <f>Sheet1!Q321</f>
        <v>UA_NSSRC1_2W_4L_D_WL</v>
      </c>
      <c r="K327" s="1075"/>
      <c r="L327" s="1075">
        <f>Sheet1!AF321</f>
        <v>37970</v>
      </c>
      <c r="M327" s="1075"/>
      <c r="N327" s="1075"/>
      <c r="O327" s="1075"/>
      <c r="P327" s="1075">
        <f>Sheet1!AK321</f>
        <v>3410</v>
      </c>
      <c r="Q327" s="1075"/>
      <c r="R327" s="1075">
        <f>Sheet1!AD321</f>
        <v>21120</v>
      </c>
      <c r="S327" s="1081">
        <f>Sheet1!AG321</f>
        <v>0.55622860152752174</v>
      </c>
      <c r="T327" s="1075" t="str">
        <f>Sheet1!AH321</f>
        <v>C</v>
      </c>
      <c r="U327" s="1075">
        <f>Sheet1!AI321</f>
        <v>1280</v>
      </c>
      <c r="V327" s="1075"/>
      <c r="W327" s="1075"/>
      <c r="X327" s="1075">
        <f>Sheet1!AJ321</f>
        <v>1760</v>
      </c>
      <c r="Y327" s="1075"/>
      <c r="Z327" s="1075"/>
      <c r="AA327" s="1075"/>
      <c r="AB327" s="1075"/>
      <c r="AC327" s="1075"/>
      <c r="AD327" s="1075"/>
      <c r="AE327" s="1075"/>
      <c r="AF327" s="1075"/>
      <c r="AG327" s="1075"/>
      <c r="AH327" s="1075"/>
      <c r="AI327" s="1075"/>
      <c r="AJ327" s="1075"/>
      <c r="AK327" s="1075" t="str">
        <f>IF(Sheet1!AE324="C",Sheet1!AK324,"-")</f>
        <v>-</v>
      </c>
      <c r="AL327" s="1075" t="str">
        <f>IF(Sheet1!AE324="D",Sheet1!AK324,"-")</f>
        <v>-</v>
      </c>
      <c r="AM327" s="1075">
        <f>IF(Sheet1!AE321="E",Sheet1!AK321,"-")</f>
        <v>3410</v>
      </c>
    </row>
    <row r="328" spans="2:39" x14ac:dyDescent="0.25">
      <c r="B328" s="1082">
        <f>Sheet1!F322</f>
        <v>585</v>
      </c>
      <c r="C328" s="1075" t="str">
        <f>Sheet1!C322</f>
        <v>Enterprise Rd.</v>
      </c>
      <c r="D328" s="1075" t="str">
        <f>_xlfn.TEXTBEFORE(Sheet1!E322, " to ")</f>
        <v>Saxon Blvd.</v>
      </c>
      <c r="E328" s="1075" t="str">
        <f>_xlfn.TEXTAFTER(Sheet1!E322, " to ")</f>
        <v>Harley Strickland Blvd.</v>
      </c>
      <c r="F328" s="1075">
        <f>Sheet1!AM322</f>
        <v>4</v>
      </c>
      <c r="G328" s="1075"/>
      <c r="H328" s="1083" t="str">
        <f>Sheet1!AE322</f>
        <v>E</v>
      </c>
      <c r="I328" s="1075"/>
      <c r="J328" s="1075" t="str">
        <f>Sheet1!Q322</f>
        <v>UA_NSSRC1_2W_4L_D_WL</v>
      </c>
      <c r="K328" s="1075"/>
      <c r="L328" s="1075">
        <f>Sheet1!AF322</f>
        <v>37970</v>
      </c>
      <c r="M328" s="1075"/>
      <c r="N328" s="1075"/>
      <c r="O328" s="1075"/>
      <c r="P328" s="1075">
        <f>Sheet1!AK322</f>
        <v>3410</v>
      </c>
      <c r="Q328" s="1075"/>
      <c r="R328" s="1075">
        <f>Sheet1!AD322</f>
        <v>23620</v>
      </c>
      <c r="S328" s="1081">
        <f>Sheet1!AG322</f>
        <v>0.62207005530682113</v>
      </c>
      <c r="T328" s="1075" t="str">
        <f>Sheet1!AH322</f>
        <v>C</v>
      </c>
      <c r="U328" s="1075">
        <f>Sheet1!AI322</f>
        <v>1390</v>
      </c>
      <c r="V328" s="1075"/>
      <c r="W328" s="1075"/>
      <c r="X328" s="1075">
        <f>Sheet1!AJ322</f>
        <v>1960</v>
      </c>
      <c r="Y328" s="1075"/>
      <c r="Z328" s="1075"/>
      <c r="AA328" s="1075"/>
      <c r="AB328" s="1075"/>
      <c r="AC328" s="1075"/>
      <c r="AD328" s="1075"/>
      <c r="AE328" s="1075"/>
      <c r="AF328" s="1075"/>
      <c r="AG328" s="1075"/>
      <c r="AH328" s="1075"/>
      <c r="AI328" s="1075"/>
      <c r="AJ328" s="1075"/>
      <c r="AK328" s="1075" t="str">
        <f>IF(Sheet1!AE325="C",Sheet1!AK325,"-")</f>
        <v>-</v>
      </c>
      <c r="AL328" s="1075" t="str">
        <f>IF(Sheet1!AE325="D",Sheet1!AK325,"-")</f>
        <v>-</v>
      </c>
      <c r="AM328" s="1075">
        <f>IF(Sheet1!AE322="E",Sheet1!AK322,"-")</f>
        <v>3410</v>
      </c>
    </row>
    <row r="329" spans="2:39" x14ac:dyDescent="0.25">
      <c r="B329" s="1082">
        <f>Sheet1!F323</f>
        <v>586</v>
      </c>
      <c r="C329" s="1075" t="str">
        <f>Sheet1!C323</f>
        <v>Enterprise Rd.</v>
      </c>
      <c r="D329" s="1075" t="str">
        <f>_xlfn.TEXTBEFORE(Sheet1!E323, " to ")</f>
        <v>Harley Strickland Blvd.</v>
      </c>
      <c r="E329" s="1075" t="str">
        <f>_xlfn.TEXTAFTER(Sheet1!E323, " to ")</f>
        <v>US 17/92</v>
      </c>
      <c r="F329" s="1075">
        <f>Sheet1!AM323</f>
        <v>4</v>
      </c>
      <c r="G329" s="1075"/>
      <c r="H329" s="1083" t="str">
        <f>Sheet1!AE323</f>
        <v>E</v>
      </c>
      <c r="I329" s="1075"/>
      <c r="J329" s="1075" t="str">
        <f>Sheet1!Q323</f>
        <v>UA_NSSRC2_2W_4L_D_WL</v>
      </c>
      <c r="K329" s="1075"/>
      <c r="L329" s="1075">
        <f>Sheet1!AF323</f>
        <v>30420</v>
      </c>
      <c r="M329" s="1075"/>
      <c r="N329" s="1075"/>
      <c r="O329" s="1075"/>
      <c r="P329" s="1075">
        <f>Sheet1!AK323</f>
        <v>2740</v>
      </c>
      <c r="Q329" s="1075"/>
      <c r="R329" s="1075">
        <f>Sheet1!AD323</f>
        <v>25680</v>
      </c>
      <c r="S329" s="1081">
        <f>Sheet1!AG323</f>
        <v>0.84418145956607493</v>
      </c>
      <c r="T329" s="1075" t="str">
        <f>Sheet1!AH323</f>
        <v>D</v>
      </c>
      <c r="U329" s="1075">
        <f>Sheet1!AI323</f>
        <v>1500</v>
      </c>
      <c r="V329" s="1075"/>
      <c r="W329" s="1075"/>
      <c r="X329" s="1075">
        <f>Sheet1!AJ323</f>
        <v>2070</v>
      </c>
      <c r="Y329" s="1075"/>
      <c r="Z329" s="1075"/>
      <c r="AA329" s="1075"/>
      <c r="AB329" s="1075"/>
      <c r="AC329" s="1075"/>
      <c r="AD329" s="1075"/>
      <c r="AE329" s="1075"/>
      <c r="AF329" s="1075"/>
      <c r="AG329" s="1075"/>
      <c r="AH329" s="1075"/>
      <c r="AI329" s="1075"/>
      <c r="AJ329" s="1075"/>
      <c r="AK329" s="1075" t="str">
        <f>IF(Sheet1!AE326="C",Sheet1!AK326,"-")</f>
        <v>-</v>
      </c>
      <c r="AL329" s="1075" t="str">
        <f>IF(Sheet1!AE326="D",Sheet1!AK326,"-")</f>
        <v>-</v>
      </c>
      <c r="AM329" s="1075">
        <f>IF(Sheet1!AE323="E",Sheet1!AK323,"-")</f>
        <v>2740</v>
      </c>
    </row>
    <row r="330" spans="2:39" x14ac:dyDescent="0.25">
      <c r="B330" s="1082">
        <f>Sheet1!F324</f>
        <v>600</v>
      </c>
      <c r="C330" s="1075" t="str">
        <f>Sheet1!C324</f>
        <v>Enterprise-Osteen Rd.</v>
      </c>
      <c r="D330" s="1075" t="str">
        <f>_xlfn.TEXTBEFORE(Sheet1!E324, " to ")</f>
        <v>Providence</v>
      </c>
      <c r="E330" s="1075" t="str">
        <f>_xlfn.TEXTAFTER(Sheet1!E324, " to ")</f>
        <v>Garfield Rd</v>
      </c>
      <c r="F330" s="1075">
        <f>Sheet1!AM324</f>
        <v>2</v>
      </c>
      <c r="G330" s="1075"/>
      <c r="H330" s="1083" t="str">
        <f>Sheet1!AE324</f>
        <v>E</v>
      </c>
      <c r="I330" s="1075"/>
      <c r="J330" s="1075" t="str">
        <f>Sheet1!Q324</f>
        <v>UA_NSSRC2_2W_2L_U_0L</v>
      </c>
      <c r="K330" s="1075"/>
      <c r="L330" s="1075">
        <f>Sheet1!AF324</f>
        <v>13640</v>
      </c>
      <c r="M330" s="1075"/>
      <c r="N330" s="1075"/>
      <c r="O330" s="1075"/>
      <c r="P330" s="1075">
        <f>Sheet1!AK324</f>
        <v>1020</v>
      </c>
      <c r="Q330" s="1075"/>
      <c r="R330" s="1075">
        <f>Sheet1!AD324</f>
        <v>3560</v>
      </c>
      <c r="S330" s="1081">
        <f>Sheet1!AG324</f>
        <v>0.26099706744868034</v>
      </c>
      <c r="T330" s="1075" t="str">
        <f>Sheet1!AH324</f>
        <v>C</v>
      </c>
      <c r="U330" s="1075">
        <f>Sheet1!AI324</f>
        <v>250</v>
      </c>
      <c r="V330" s="1075"/>
      <c r="W330" s="1075"/>
      <c r="X330" s="1075">
        <f>Sheet1!AJ324</f>
        <v>380</v>
      </c>
      <c r="Y330" s="1075"/>
      <c r="Z330" s="1075"/>
      <c r="AA330" s="1075"/>
      <c r="AB330" s="1075"/>
      <c r="AC330" s="1075"/>
      <c r="AD330" s="1075"/>
      <c r="AE330" s="1075"/>
      <c r="AF330" s="1075"/>
      <c r="AG330" s="1075"/>
      <c r="AH330" s="1075"/>
      <c r="AI330" s="1075"/>
      <c r="AJ330" s="1075"/>
      <c r="AK330" s="1075" t="str">
        <f>IF(Sheet1!AE327="C",Sheet1!AK327,"-")</f>
        <v>-</v>
      </c>
      <c r="AL330" s="1075" t="str">
        <f>IF(Sheet1!AE327="D",Sheet1!AK327,"-")</f>
        <v>-</v>
      </c>
      <c r="AM330" s="1075">
        <f>IF(Sheet1!AE324="E",Sheet1!AK324,"-")</f>
        <v>1020</v>
      </c>
    </row>
    <row r="331" spans="2:39" x14ac:dyDescent="0.25">
      <c r="B331" s="1082">
        <f>Sheet1!F325</f>
        <v>601</v>
      </c>
      <c r="C331" s="1075" t="str">
        <f>Sheet1!C325</f>
        <v>Enterprise-Osteen Rd.</v>
      </c>
      <c r="D331" s="1075" t="str">
        <f>_xlfn.TEXTBEFORE(Sheet1!E325, " to ")</f>
        <v>Garfield Rd</v>
      </c>
      <c r="E331" s="1075" t="str">
        <f>_xlfn.TEXTAFTER(Sheet1!E325, " to ")</f>
        <v>Reed Ellis Rd.</v>
      </c>
      <c r="F331" s="1075">
        <f>Sheet1!AM325</f>
        <v>2</v>
      </c>
      <c r="G331" s="1075"/>
      <c r="H331" s="1083" t="str">
        <f>Sheet1!AE325</f>
        <v>E</v>
      </c>
      <c r="I331" s="1075"/>
      <c r="J331" s="1075" t="str">
        <f>Sheet1!Q325</f>
        <v>UA_NSSRC2_2W_2L_U_0L</v>
      </c>
      <c r="K331" s="1075"/>
      <c r="L331" s="1075">
        <f>Sheet1!AF325</f>
        <v>13640</v>
      </c>
      <c r="M331" s="1075"/>
      <c r="N331" s="1075"/>
      <c r="O331" s="1075"/>
      <c r="P331" s="1075">
        <f>Sheet1!AK325</f>
        <v>1020</v>
      </c>
      <c r="Q331" s="1075"/>
      <c r="R331" s="1075">
        <f>Sheet1!AD325</f>
        <v>3020</v>
      </c>
      <c r="S331" s="1081">
        <f>Sheet1!AG325</f>
        <v>0.22140762463343108</v>
      </c>
      <c r="T331" s="1075" t="str">
        <f>Sheet1!AH325</f>
        <v>C</v>
      </c>
      <c r="U331" s="1075">
        <f>Sheet1!AI325</f>
        <v>220</v>
      </c>
      <c r="V331" s="1075"/>
      <c r="W331" s="1075"/>
      <c r="X331" s="1075">
        <f>Sheet1!AJ325</f>
        <v>330</v>
      </c>
      <c r="Y331" s="1075"/>
      <c r="Z331" s="1075"/>
      <c r="AA331" s="1075"/>
      <c r="AB331" s="1075"/>
      <c r="AC331" s="1075"/>
      <c r="AD331" s="1075"/>
      <c r="AE331" s="1075"/>
      <c r="AF331" s="1075"/>
      <c r="AG331" s="1075"/>
      <c r="AH331" s="1075"/>
      <c r="AI331" s="1075"/>
      <c r="AJ331" s="1075"/>
      <c r="AK331" s="1075" t="str">
        <f>IF(Sheet1!AE328="C",Sheet1!AK328,"-")</f>
        <v>-</v>
      </c>
      <c r="AL331" s="1075" t="str">
        <f>IF(Sheet1!AE328="D",Sheet1!AK328,"-")</f>
        <v>-</v>
      </c>
      <c r="AM331" s="1075">
        <f>IF(Sheet1!AE325="E",Sheet1!AK325,"-")</f>
        <v>1020</v>
      </c>
    </row>
    <row r="332" spans="2:39" x14ac:dyDescent="0.25">
      <c r="B332" s="1082">
        <f>Sheet1!F326</f>
        <v>602</v>
      </c>
      <c r="C332" s="1075" t="str">
        <f>Sheet1!C326</f>
        <v>Enterprise-Osteen Rd.</v>
      </c>
      <c r="D332" s="1075" t="str">
        <f>_xlfn.TEXTBEFORE(Sheet1!E326, " to ")</f>
        <v>Reed Ellis Rd.</v>
      </c>
      <c r="E332" s="1075" t="str">
        <f>_xlfn.TEXTAFTER(Sheet1!E326, " to ")</f>
        <v>SR 415</v>
      </c>
      <c r="F332" s="1075">
        <f>Sheet1!AM326</f>
        <v>2</v>
      </c>
      <c r="G332" s="1075"/>
      <c r="H332" s="1083" t="str">
        <f>Sheet1!AE326</f>
        <v>E</v>
      </c>
      <c r="I332" s="1075"/>
      <c r="J332" s="1075" t="str">
        <f>Sheet1!Q326</f>
        <v>UA_NSSRC2_2W_2L_U_0L</v>
      </c>
      <c r="K332" s="1075"/>
      <c r="L332" s="1075">
        <f>Sheet1!AF326</f>
        <v>13640</v>
      </c>
      <c r="M332" s="1075"/>
      <c r="N332" s="1075"/>
      <c r="O332" s="1075"/>
      <c r="P332" s="1075">
        <f>Sheet1!AK326</f>
        <v>1020</v>
      </c>
      <c r="Q332" s="1075"/>
      <c r="R332" s="1075">
        <f>Sheet1!AD326</f>
        <v>1300</v>
      </c>
      <c r="S332" s="1081">
        <f>Sheet1!AG326</f>
        <v>9.5307917888563048E-2</v>
      </c>
      <c r="T332" s="1075" t="str">
        <f>Sheet1!AH326</f>
        <v>C</v>
      </c>
      <c r="U332" s="1075">
        <f>Sheet1!AI326</f>
        <v>80</v>
      </c>
      <c r="V332" s="1075"/>
      <c r="W332" s="1075"/>
      <c r="X332" s="1075">
        <f>Sheet1!AJ326</f>
        <v>120</v>
      </c>
      <c r="Y332" s="1075"/>
      <c r="Z332" s="1075"/>
      <c r="AA332" s="1075"/>
      <c r="AB332" s="1075"/>
      <c r="AC332" s="1075"/>
      <c r="AD332" s="1075"/>
      <c r="AE332" s="1075"/>
      <c r="AF332" s="1075"/>
      <c r="AG332" s="1075"/>
      <c r="AH332" s="1075"/>
      <c r="AI332" s="1075"/>
      <c r="AJ332" s="1075"/>
      <c r="AK332" s="1075" t="str">
        <f>IF(Sheet1!AE329="C",Sheet1!AK329,"-")</f>
        <v>-</v>
      </c>
      <c r="AL332" s="1075" t="str">
        <f>IF(Sheet1!AE329="D",Sheet1!AK329,"-")</f>
        <v>-</v>
      </c>
      <c r="AM332" s="1075">
        <f>IF(Sheet1!AE326="E",Sheet1!AK326,"-")</f>
        <v>1020</v>
      </c>
    </row>
    <row r="333" spans="2:39" x14ac:dyDescent="0.25">
      <c r="B333" s="1082">
        <f>Sheet1!F327</f>
        <v>610</v>
      </c>
      <c r="C333" s="1075" t="str">
        <f>Sheet1!C327</f>
        <v>Euclid Ave.</v>
      </c>
      <c r="D333" s="1075" t="str">
        <f>_xlfn.TEXTBEFORE(Sheet1!E327, " to ")</f>
        <v>Grand</v>
      </c>
      <c r="E333" s="1075" t="str">
        <f>_xlfn.TEXTAFTER(Sheet1!E327, " to ")</f>
        <v>Fatio Rd.</v>
      </c>
      <c r="F333" s="1075">
        <f>Sheet1!AM327</f>
        <v>2</v>
      </c>
      <c r="G333" s="1075"/>
      <c r="H333" s="1083" t="str">
        <f>Sheet1!AE327</f>
        <v>E</v>
      </c>
      <c r="I333" s="1075"/>
      <c r="J333" s="1075" t="str">
        <f>Sheet1!Q327</f>
        <v>UA_NSSRC2_2W_2L_U_0L</v>
      </c>
      <c r="K333" s="1075"/>
      <c r="L333" s="1075">
        <f>Sheet1!AF327</f>
        <v>13640</v>
      </c>
      <c r="M333" s="1075"/>
      <c r="N333" s="1075"/>
      <c r="O333" s="1075"/>
      <c r="P333" s="1075">
        <f>Sheet1!AK327</f>
        <v>1020</v>
      </c>
      <c r="Q333" s="1075"/>
      <c r="R333" s="1075">
        <f>Sheet1!AD327</f>
        <v>1380</v>
      </c>
      <c r="S333" s="1081">
        <f>Sheet1!AG327</f>
        <v>0.10117302052785923</v>
      </c>
      <c r="T333" s="1075" t="str">
        <f>Sheet1!AH327</f>
        <v>C</v>
      </c>
      <c r="U333" s="1075">
        <f>Sheet1!AI327</f>
        <v>90</v>
      </c>
      <c r="V333" s="1075"/>
      <c r="W333" s="1075"/>
      <c r="X333" s="1075">
        <f>Sheet1!AJ327</f>
        <v>120</v>
      </c>
      <c r="Y333" s="1075"/>
      <c r="Z333" s="1075"/>
      <c r="AA333" s="1075"/>
      <c r="AB333" s="1075"/>
      <c r="AC333" s="1075"/>
      <c r="AD333" s="1075"/>
      <c r="AE333" s="1075"/>
      <c r="AF333" s="1075"/>
      <c r="AG333" s="1075"/>
      <c r="AH333" s="1075"/>
      <c r="AI333" s="1075"/>
      <c r="AJ333" s="1075"/>
      <c r="AK333" s="1075" t="str">
        <f>IF(Sheet1!AE330="C",Sheet1!AK330,"-")</f>
        <v>-</v>
      </c>
      <c r="AL333" s="1075" t="str">
        <f>IF(Sheet1!AE330="D",Sheet1!AK330,"-")</f>
        <v>-</v>
      </c>
      <c r="AM333" s="1075">
        <f>IF(Sheet1!AE327="E",Sheet1!AK327,"-")</f>
        <v>1020</v>
      </c>
    </row>
    <row r="334" spans="2:39" x14ac:dyDescent="0.25">
      <c r="B334" s="1082">
        <f>Sheet1!F328</f>
        <v>611</v>
      </c>
      <c r="C334" s="1075" t="str">
        <f>Sheet1!C328</f>
        <v>Euclid Ave.</v>
      </c>
      <c r="D334" s="1075" t="str">
        <f>_xlfn.TEXTBEFORE(Sheet1!E328, " to ")</f>
        <v>Fatio Rd.</v>
      </c>
      <c r="E334" s="1075" t="str">
        <f>_xlfn.TEXTAFTER(Sheet1!E328, " to ")</f>
        <v>Woodward Ave.</v>
      </c>
      <c r="F334" s="1075">
        <f>Sheet1!AM328</f>
        <v>2</v>
      </c>
      <c r="G334" s="1075"/>
      <c r="H334" s="1083" t="str">
        <f>Sheet1!AE328</f>
        <v>E</v>
      </c>
      <c r="I334" s="1075"/>
      <c r="J334" s="1075" t="str">
        <f>Sheet1!Q328</f>
        <v>UA_NSSRC2_2W_2L_U_0L</v>
      </c>
      <c r="K334" s="1075"/>
      <c r="L334" s="1075">
        <f>Sheet1!AF328</f>
        <v>13640</v>
      </c>
      <c r="M334" s="1075"/>
      <c r="N334" s="1075"/>
      <c r="O334" s="1075"/>
      <c r="P334" s="1075">
        <f>Sheet1!AK328</f>
        <v>1020</v>
      </c>
      <c r="Q334" s="1075"/>
      <c r="R334" s="1075">
        <f>Sheet1!AD328</f>
        <v>1610</v>
      </c>
      <c r="S334" s="1081">
        <f>Sheet1!AG328</f>
        <v>0.11803519061583578</v>
      </c>
      <c r="T334" s="1075" t="str">
        <f>Sheet1!AH328</f>
        <v>C</v>
      </c>
      <c r="U334" s="1075">
        <f>Sheet1!AI328</f>
        <v>110</v>
      </c>
      <c r="V334" s="1075"/>
      <c r="W334" s="1075"/>
      <c r="X334" s="1075">
        <f>Sheet1!AJ328</f>
        <v>140</v>
      </c>
      <c r="Y334" s="1075"/>
      <c r="Z334" s="1075"/>
      <c r="AA334" s="1075"/>
      <c r="AB334" s="1075"/>
      <c r="AC334" s="1075"/>
      <c r="AD334" s="1075"/>
      <c r="AE334" s="1075"/>
      <c r="AF334" s="1075"/>
      <c r="AG334" s="1075"/>
      <c r="AH334" s="1075"/>
      <c r="AI334" s="1075"/>
      <c r="AJ334" s="1075"/>
      <c r="AK334" s="1075" t="str">
        <f>IF(Sheet1!AE331="C",Sheet1!AK331,"-")</f>
        <v>-</v>
      </c>
      <c r="AL334" s="1075" t="str">
        <f>IF(Sheet1!AE331="D",Sheet1!AK331,"-")</f>
        <v>-</v>
      </c>
      <c r="AM334" s="1075">
        <f>IF(Sheet1!AE328="E",Sheet1!AK328,"-")</f>
        <v>1020</v>
      </c>
    </row>
    <row r="335" spans="2:39" x14ac:dyDescent="0.25">
      <c r="B335" s="1082">
        <f>Sheet1!F329</f>
        <v>612</v>
      </c>
      <c r="C335" s="1075" t="str">
        <f>Sheet1!C329</f>
        <v>Euclid Ave.</v>
      </c>
      <c r="D335" s="1075" t="str">
        <f>_xlfn.TEXTBEFORE(Sheet1!E329, " to ")</f>
        <v>Woodward Ave.</v>
      </c>
      <c r="E335" s="1075" t="str">
        <f>_xlfn.TEXTAFTER(Sheet1!E329, " to ")</f>
        <v>SR 15A</v>
      </c>
      <c r="F335" s="1075">
        <f>Sheet1!AM329</f>
        <v>2</v>
      </c>
      <c r="G335" s="1075"/>
      <c r="H335" s="1083" t="str">
        <f>Sheet1!AE329</f>
        <v>E</v>
      </c>
      <c r="I335" s="1075"/>
      <c r="J335" s="1075" t="str">
        <f>Sheet1!Q329</f>
        <v>UA_NSSRC2_2W_2L_U_0L</v>
      </c>
      <c r="K335" s="1075"/>
      <c r="L335" s="1075">
        <f>Sheet1!AF329</f>
        <v>13640</v>
      </c>
      <c r="M335" s="1075"/>
      <c r="N335" s="1075"/>
      <c r="O335" s="1075"/>
      <c r="P335" s="1075">
        <f>Sheet1!AK329</f>
        <v>1020</v>
      </c>
      <c r="Q335" s="1075"/>
      <c r="R335" s="1075">
        <f>Sheet1!AD329</f>
        <v>2620</v>
      </c>
      <c r="S335" s="1081">
        <f>Sheet1!AG329</f>
        <v>0.19208211143695014</v>
      </c>
      <c r="T335" s="1075" t="str">
        <f>Sheet1!AH329</f>
        <v>C</v>
      </c>
      <c r="U335" s="1075">
        <f>Sheet1!AI329</f>
        <v>200</v>
      </c>
      <c r="V335" s="1075"/>
      <c r="W335" s="1075"/>
      <c r="X335" s="1075">
        <f>Sheet1!AJ329</f>
        <v>240</v>
      </c>
      <c r="Y335" s="1075"/>
      <c r="Z335" s="1075"/>
      <c r="AA335" s="1075"/>
      <c r="AB335" s="1075"/>
      <c r="AC335" s="1075"/>
      <c r="AD335" s="1075"/>
      <c r="AE335" s="1075"/>
      <c r="AF335" s="1075"/>
      <c r="AG335" s="1075"/>
      <c r="AH335" s="1075"/>
      <c r="AI335" s="1075"/>
      <c r="AJ335" s="1075"/>
      <c r="AK335" s="1075" t="str">
        <f>IF(Sheet1!AE332="C",Sheet1!AK332,"-")</f>
        <v>-</v>
      </c>
      <c r="AL335" s="1075" t="str">
        <f>IF(Sheet1!AE332="D",Sheet1!AK332,"-")</f>
        <v>-</v>
      </c>
      <c r="AM335" s="1075">
        <f>IF(Sheet1!AE329="E",Sheet1!AK329,"-")</f>
        <v>1020</v>
      </c>
    </row>
    <row r="336" spans="2:39" x14ac:dyDescent="0.25">
      <c r="B336" s="1082">
        <f>Sheet1!F330</f>
        <v>613</v>
      </c>
      <c r="C336" s="1075" t="str">
        <f>Sheet1!C330</f>
        <v>Euclid Ave.</v>
      </c>
      <c r="D336" s="1075" t="str">
        <f>_xlfn.TEXTBEFORE(Sheet1!E330, " to ")</f>
        <v>SR 15A</v>
      </c>
      <c r="E336" s="1075" t="str">
        <f>_xlfn.TEXTAFTER(Sheet1!E330, " to ")</f>
        <v>Adelle Ave.</v>
      </c>
      <c r="F336" s="1075">
        <f>Sheet1!AM330</f>
        <v>2</v>
      </c>
      <c r="G336" s="1075"/>
      <c r="H336" s="1083" t="str">
        <f>Sheet1!AE330</f>
        <v>E</v>
      </c>
      <c r="I336" s="1075"/>
      <c r="J336" s="1075" t="str">
        <f>Sheet1!Q330</f>
        <v>UA_NSSRC2_2W_2L_U_0L</v>
      </c>
      <c r="K336" s="1075"/>
      <c r="L336" s="1075">
        <f>Sheet1!AF330</f>
        <v>13640</v>
      </c>
      <c r="M336" s="1075"/>
      <c r="N336" s="1075"/>
      <c r="O336" s="1075"/>
      <c r="P336" s="1075">
        <f>Sheet1!AK330</f>
        <v>1020</v>
      </c>
      <c r="Q336" s="1075"/>
      <c r="R336" s="1075">
        <f>Sheet1!AD330</f>
        <v>2930</v>
      </c>
      <c r="S336" s="1081">
        <f>Sheet1!AG330</f>
        <v>0.21480938416422288</v>
      </c>
      <c r="T336" s="1075" t="str">
        <f>Sheet1!AH330</f>
        <v>C</v>
      </c>
      <c r="U336" s="1075">
        <f>Sheet1!AI330</f>
        <v>200</v>
      </c>
      <c r="V336" s="1075"/>
      <c r="W336" s="1075"/>
      <c r="X336" s="1075">
        <f>Sheet1!AJ330</f>
        <v>260</v>
      </c>
      <c r="Y336" s="1075"/>
      <c r="Z336" s="1075"/>
      <c r="AA336" s="1075"/>
      <c r="AB336" s="1075"/>
      <c r="AC336" s="1075"/>
      <c r="AD336" s="1075"/>
      <c r="AE336" s="1075"/>
      <c r="AF336" s="1075"/>
      <c r="AG336" s="1075"/>
      <c r="AH336" s="1075"/>
      <c r="AI336" s="1075"/>
      <c r="AJ336" s="1075"/>
      <c r="AK336" s="1075" t="str">
        <f>IF(Sheet1!AE333="C",Sheet1!AK333,"-")</f>
        <v>-</v>
      </c>
      <c r="AL336" s="1075" t="str">
        <f>IF(Sheet1!AE333="D",Sheet1!AK333,"-")</f>
        <v>-</v>
      </c>
      <c r="AM336" s="1075">
        <f>IF(Sheet1!AE330="E",Sheet1!AK330,"-")</f>
        <v>1020</v>
      </c>
    </row>
    <row r="337" spans="2:39" x14ac:dyDescent="0.25">
      <c r="B337" s="1082">
        <f>Sheet1!F331</f>
        <v>614</v>
      </c>
      <c r="C337" s="1075" t="str">
        <f>Sheet1!C331</f>
        <v>Euclid Ave.</v>
      </c>
      <c r="D337" s="1075" t="str">
        <f>_xlfn.TEXTBEFORE(Sheet1!E331, " to ")</f>
        <v>Adelle Ave.</v>
      </c>
      <c r="E337" s="1075" t="str">
        <f>_xlfn.TEXTAFTER(Sheet1!E331, " to ")</f>
        <v>US 17/92</v>
      </c>
      <c r="F337" s="1075">
        <f>Sheet1!AM331</f>
        <v>2</v>
      </c>
      <c r="G337" s="1075"/>
      <c r="H337" s="1083" t="str">
        <f>Sheet1!AE331</f>
        <v>E</v>
      </c>
      <c r="I337" s="1075"/>
      <c r="J337" s="1075" t="str">
        <f>Sheet1!Q331</f>
        <v>UA_NSSRC2_2W_2L_U_0L</v>
      </c>
      <c r="K337" s="1075"/>
      <c r="L337" s="1075">
        <f>Sheet1!AF331</f>
        <v>13640</v>
      </c>
      <c r="M337" s="1075"/>
      <c r="N337" s="1075"/>
      <c r="O337" s="1075"/>
      <c r="P337" s="1075">
        <f>Sheet1!AK331</f>
        <v>1020</v>
      </c>
      <c r="Q337" s="1075"/>
      <c r="R337" s="1075">
        <f>Sheet1!AD331</f>
        <v>2260</v>
      </c>
      <c r="S337" s="1081">
        <f>Sheet1!AG331</f>
        <v>0.16568914956011729</v>
      </c>
      <c r="T337" s="1075" t="str">
        <f>Sheet1!AH331</f>
        <v>C</v>
      </c>
      <c r="U337" s="1075">
        <f>Sheet1!AI331</f>
        <v>130</v>
      </c>
      <c r="V337" s="1075"/>
      <c r="W337" s="1075"/>
      <c r="X337" s="1075">
        <f>Sheet1!AJ331</f>
        <v>200</v>
      </c>
      <c r="Y337" s="1075"/>
      <c r="Z337" s="1075"/>
      <c r="AA337" s="1075"/>
      <c r="AB337" s="1075"/>
      <c r="AC337" s="1075"/>
      <c r="AD337" s="1075"/>
      <c r="AE337" s="1075"/>
      <c r="AF337" s="1075"/>
      <c r="AG337" s="1075"/>
      <c r="AH337" s="1075"/>
      <c r="AI337" s="1075"/>
      <c r="AJ337" s="1075"/>
      <c r="AK337" s="1075" t="str">
        <f>IF(Sheet1!AE334="C",Sheet1!AK334,"-")</f>
        <v>-</v>
      </c>
      <c r="AL337" s="1075" t="str">
        <f>IF(Sheet1!AE334="D",Sheet1!AK334,"-")</f>
        <v>-</v>
      </c>
      <c r="AM337" s="1075">
        <f>IF(Sheet1!AE331="E",Sheet1!AK331,"-")</f>
        <v>1020</v>
      </c>
    </row>
    <row r="338" spans="2:39" x14ac:dyDescent="0.25">
      <c r="B338" s="1082">
        <f>Sheet1!F332</f>
        <v>650</v>
      </c>
      <c r="C338" s="1075" t="str">
        <f>Sheet1!C332</f>
        <v>Flomich St.</v>
      </c>
      <c r="D338" s="1075" t="str">
        <f>_xlfn.TEXTBEFORE(Sheet1!E332, " to ")</f>
        <v>Derbyshire Rd.</v>
      </c>
      <c r="E338" s="1075" t="str">
        <f>_xlfn.TEXTAFTER(Sheet1!E332, " to ")</f>
        <v>SR 5A/Nova Rd.</v>
      </c>
      <c r="F338" s="1075">
        <f>Sheet1!AM332</f>
        <v>2</v>
      </c>
      <c r="G338" s="1075"/>
      <c r="H338" s="1083" t="str">
        <f>Sheet1!AE332</f>
        <v>E</v>
      </c>
      <c r="I338" s="1075"/>
      <c r="J338" s="1075" t="str">
        <f>Sheet1!Q332</f>
        <v>UA_NSSRC2_2W_2L_U_0L</v>
      </c>
      <c r="K338" s="1075"/>
      <c r="L338" s="1075">
        <f>Sheet1!AF332</f>
        <v>13640</v>
      </c>
      <c r="M338" s="1075"/>
      <c r="N338" s="1075"/>
      <c r="O338" s="1075"/>
      <c r="P338" s="1075">
        <f>Sheet1!AK332</f>
        <v>1020</v>
      </c>
      <c r="Q338" s="1075"/>
      <c r="R338" s="1075">
        <f>Sheet1!AD332</f>
        <v>4970</v>
      </c>
      <c r="S338" s="1081">
        <f>Sheet1!AG332</f>
        <v>0.36436950146627567</v>
      </c>
      <c r="T338" s="1075" t="str">
        <f>Sheet1!AH332</f>
        <v>C</v>
      </c>
      <c r="U338" s="1075">
        <f>Sheet1!AI332</f>
        <v>270</v>
      </c>
      <c r="V338" s="1075"/>
      <c r="W338" s="1075"/>
      <c r="X338" s="1075">
        <f>Sheet1!AJ332</f>
        <v>430</v>
      </c>
      <c r="Y338" s="1075"/>
      <c r="Z338" s="1075"/>
      <c r="AA338" s="1075"/>
      <c r="AB338" s="1075"/>
      <c r="AC338" s="1075"/>
      <c r="AD338" s="1075"/>
      <c r="AE338" s="1075"/>
      <c r="AF338" s="1075"/>
      <c r="AG338" s="1075"/>
      <c r="AH338" s="1075"/>
      <c r="AI338" s="1075"/>
      <c r="AJ338" s="1075"/>
      <c r="AK338" s="1075" t="str">
        <f>IF(Sheet1!AE335="C",Sheet1!AK335,"-")</f>
        <v>-</v>
      </c>
      <c r="AL338" s="1075" t="str">
        <f>IF(Sheet1!AE335="D",Sheet1!AK335,"-")</f>
        <v>-</v>
      </c>
      <c r="AM338" s="1075">
        <f>IF(Sheet1!AE332="E",Sheet1!AK332,"-")</f>
        <v>1020</v>
      </c>
    </row>
    <row r="339" spans="2:39" x14ac:dyDescent="0.25">
      <c r="B339" s="1082">
        <f>Sheet1!F333</f>
        <v>690</v>
      </c>
      <c r="C339" s="1075" t="str">
        <f>Sheet1!C333</f>
        <v>French Ave.</v>
      </c>
      <c r="D339" s="1075" t="str">
        <f>_xlfn.TEXTBEFORE(Sheet1!E333, " to ")</f>
        <v>Beginning of road</v>
      </c>
      <c r="E339" s="1075" t="str">
        <f>_xlfn.TEXTAFTER(Sheet1!E333, " to ")</f>
        <v>Blue Springs Park</v>
      </c>
      <c r="F339" s="1075">
        <f>Sheet1!AM333</f>
        <v>2</v>
      </c>
      <c r="G339" s="1075"/>
      <c r="H339" s="1083" t="str">
        <f>Sheet1!AE333</f>
        <v>E</v>
      </c>
      <c r="I339" s="1075"/>
      <c r="J339" s="1075" t="str">
        <f>Sheet1!Q333</f>
        <v>UA_NSSRC2_2W_2L_U_0L</v>
      </c>
      <c r="K339" s="1075"/>
      <c r="L339" s="1075">
        <f>Sheet1!AF333</f>
        <v>13640</v>
      </c>
      <c r="M339" s="1075"/>
      <c r="N339" s="1075"/>
      <c r="O339" s="1075"/>
      <c r="P339" s="1075">
        <f>Sheet1!AK333</f>
        <v>1020</v>
      </c>
      <c r="Q339" s="1075"/>
      <c r="R339" s="1075">
        <f>Sheet1!AD333</f>
        <v>230</v>
      </c>
      <c r="S339" s="1081">
        <f>Sheet1!AG333</f>
        <v>1.6862170087976538E-2</v>
      </c>
      <c r="T339" s="1075" t="str">
        <f>Sheet1!AH333</f>
        <v>C</v>
      </c>
      <c r="U339" s="1075">
        <f>Sheet1!AI333</f>
        <v>10</v>
      </c>
      <c r="V339" s="1075"/>
      <c r="W339" s="1075"/>
      <c r="X339" s="1075">
        <f>Sheet1!AJ333</f>
        <v>30</v>
      </c>
      <c r="Y339" s="1075"/>
      <c r="Z339" s="1075"/>
      <c r="AA339" s="1075"/>
      <c r="AB339" s="1075"/>
      <c r="AC339" s="1075"/>
      <c r="AD339" s="1075"/>
      <c r="AE339" s="1075"/>
      <c r="AF339" s="1075"/>
      <c r="AG339" s="1075"/>
      <c r="AH339" s="1075"/>
      <c r="AI339" s="1075"/>
      <c r="AJ339" s="1075"/>
      <c r="AK339" s="1075" t="str">
        <f>IF(Sheet1!AE336="C",Sheet1!AK336,"-")</f>
        <v>-</v>
      </c>
      <c r="AL339" s="1075" t="str">
        <f>IF(Sheet1!AE336="D",Sheet1!AK336,"-")</f>
        <v>-</v>
      </c>
      <c r="AM339" s="1075">
        <f>IF(Sheet1!AE333="E",Sheet1!AK333,"-")</f>
        <v>1020</v>
      </c>
    </row>
    <row r="340" spans="2:39" x14ac:dyDescent="0.25">
      <c r="B340" s="1082">
        <f>Sheet1!F334</f>
        <v>691</v>
      </c>
      <c r="C340" s="1075" t="str">
        <f>Sheet1!C334</f>
        <v>French Ave.</v>
      </c>
      <c r="D340" s="1075" t="str">
        <f>_xlfn.TEXTBEFORE(Sheet1!E334, " to ")</f>
        <v>Blue Springs Park</v>
      </c>
      <c r="E340" s="1075" t="str">
        <f>_xlfn.TEXTAFTER(Sheet1!E334, " to ")</f>
        <v>Lawton Ave./Hamilton</v>
      </c>
      <c r="F340" s="1075">
        <f>Sheet1!AM334</f>
        <v>2</v>
      </c>
      <c r="G340" s="1075"/>
      <c r="H340" s="1083" t="str">
        <f>Sheet1!AE334</f>
        <v>E</v>
      </c>
      <c r="I340" s="1075"/>
      <c r="J340" s="1075" t="str">
        <f>Sheet1!Q334</f>
        <v>UA_NSSRC2_2W_2L_U_0L</v>
      </c>
      <c r="K340" s="1075"/>
      <c r="L340" s="1075">
        <f>Sheet1!AF334</f>
        <v>13640</v>
      </c>
      <c r="M340" s="1075"/>
      <c r="N340" s="1075"/>
      <c r="O340" s="1075"/>
      <c r="P340" s="1075">
        <f>Sheet1!AK334</f>
        <v>1020</v>
      </c>
      <c r="Q340" s="1075"/>
      <c r="R340" s="1075">
        <f>Sheet1!AD334</f>
        <v>1100</v>
      </c>
      <c r="S340" s="1081">
        <f>Sheet1!AG334</f>
        <v>8.0645161290322578E-2</v>
      </c>
      <c r="T340" s="1075" t="str">
        <f>Sheet1!AH334</f>
        <v>C</v>
      </c>
      <c r="U340" s="1075">
        <f>Sheet1!AI334</f>
        <v>50</v>
      </c>
      <c r="V340" s="1075"/>
      <c r="W340" s="1075"/>
      <c r="X340" s="1075">
        <f>Sheet1!AJ334</f>
        <v>130</v>
      </c>
      <c r="Y340" s="1075"/>
      <c r="Z340" s="1075"/>
      <c r="AA340" s="1075"/>
      <c r="AB340" s="1075"/>
      <c r="AC340" s="1075"/>
      <c r="AD340" s="1075"/>
      <c r="AE340" s="1075"/>
      <c r="AF340" s="1075"/>
      <c r="AG340" s="1075"/>
      <c r="AH340" s="1075"/>
      <c r="AI340" s="1075"/>
      <c r="AJ340" s="1075"/>
      <c r="AK340" s="1075" t="str">
        <f>IF(Sheet1!AE337="C",Sheet1!AK337,"-")</f>
        <v>-</v>
      </c>
      <c r="AL340" s="1075" t="str">
        <f>IF(Sheet1!AE337="D",Sheet1!AK337,"-")</f>
        <v>-</v>
      </c>
      <c r="AM340" s="1075">
        <f>IF(Sheet1!AE334="E",Sheet1!AK334,"-")</f>
        <v>1020</v>
      </c>
    </row>
    <row r="341" spans="2:39" x14ac:dyDescent="0.25">
      <c r="B341" s="1082">
        <f>Sheet1!F335</f>
        <v>700</v>
      </c>
      <c r="C341" s="1075" t="str">
        <f>Sheet1!C335</f>
        <v>Garfield Ave.</v>
      </c>
      <c r="D341" s="1075" t="str">
        <f>_xlfn.TEXTBEFORE(Sheet1!E335, " to ")</f>
        <v>SR 44</v>
      </c>
      <c r="E341" s="1075" t="str">
        <f>_xlfn.TEXTAFTER(Sheet1!E335, " to ")</f>
        <v>Plymouth Ave.</v>
      </c>
      <c r="F341" s="1075">
        <f>Sheet1!AM335</f>
        <v>2</v>
      </c>
      <c r="G341" s="1075"/>
      <c r="H341" s="1083" t="str">
        <f>Sheet1!AE335</f>
        <v>E</v>
      </c>
      <c r="I341" s="1075"/>
      <c r="J341" s="1075" t="str">
        <f>Sheet1!Q335</f>
        <v>UA_NSSRC2_2W_2L_U_0L</v>
      </c>
      <c r="K341" s="1075"/>
      <c r="L341" s="1075">
        <f>Sheet1!AF335</f>
        <v>13640</v>
      </c>
      <c r="M341" s="1075"/>
      <c r="N341" s="1075"/>
      <c r="O341" s="1075"/>
      <c r="P341" s="1075">
        <f>Sheet1!AK335</f>
        <v>1020</v>
      </c>
      <c r="Q341" s="1075"/>
      <c r="R341" s="1075">
        <f>Sheet1!AD335</f>
        <v>2130</v>
      </c>
      <c r="S341" s="1081">
        <f>Sheet1!AG335</f>
        <v>0.156158357771261</v>
      </c>
      <c r="T341" s="1075" t="str">
        <f>Sheet1!AH335</f>
        <v>C</v>
      </c>
      <c r="U341" s="1075">
        <f>Sheet1!AI335</f>
        <v>140</v>
      </c>
      <c r="V341" s="1075"/>
      <c r="W341" s="1075"/>
      <c r="X341" s="1075">
        <f>Sheet1!AJ335</f>
        <v>180</v>
      </c>
      <c r="Y341" s="1075"/>
      <c r="Z341" s="1075"/>
      <c r="AA341" s="1075"/>
      <c r="AB341" s="1075"/>
      <c r="AC341" s="1075"/>
      <c r="AD341" s="1075"/>
      <c r="AE341" s="1075"/>
      <c r="AF341" s="1075"/>
      <c r="AG341" s="1075"/>
      <c r="AH341" s="1075"/>
      <c r="AI341" s="1075"/>
      <c r="AJ341" s="1075"/>
      <c r="AK341" s="1075" t="str">
        <f>IF(Sheet1!AE338="C",Sheet1!AK338,"-")</f>
        <v>-</v>
      </c>
      <c r="AL341" s="1075" t="str">
        <f>IF(Sheet1!AE338="D",Sheet1!AK338,"-")</f>
        <v>-</v>
      </c>
      <c r="AM341" s="1075">
        <f>IF(Sheet1!AE335="E",Sheet1!AK335,"-")</f>
        <v>1020</v>
      </c>
    </row>
    <row r="342" spans="2:39" x14ac:dyDescent="0.25">
      <c r="B342" s="1082">
        <f>Sheet1!F336</f>
        <v>702</v>
      </c>
      <c r="C342" s="1075" t="str">
        <f>Sheet1!C336</f>
        <v>Garfield Ave.</v>
      </c>
      <c r="D342" s="1075" t="str">
        <f>_xlfn.TEXTBEFORE(Sheet1!E336, " to ")</f>
        <v>Plymouth Ave.</v>
      </c>
      <c r="E342" s="1075" t="str">
        <f>_xlfn.TEXTAFTER(Sheet1!E336, " to ")</f>
        <v>US 92</v>
      </c>
      <c r="F342" s="1075">
        <f>Sheet1!AM336</f>
        <v>2</v>
      </c>
      <c r="G342" s="1075"/>
      <c r="H342" s="1083" t="str">
        <f>Sheet1!AE336</f>
        <v>E</v>
      </c>
      <c r="I342" s="1075"/>
      <c r="J342" s="1075" t="str">
        <f>Sheet1!Q336</f>
        <v>UA_NSSRC2_2W_2L_U_0L</v>
      </c>
      <c r="K342" s="1075"/>
      <c r="L342" s="1075">
        <f>Sheet1!AF336</f>
        <v>13640</v>
      </c>
      <c r="M342" s="1075"/>
      <c r="N342" s="1075"/>
      <c r="O342" s="1075"/>
      <c r="P342" s="1075">
        <f>Sheet1!AK336</f>
        <v>1020</v>
      </c>
      <c r="Q342" s="1075"/>
      <c r="R342" s="1075">
        <f>Sheet1!AD336</f>
        <v>2550</v>
      </c>
      <c r="S342" s="1081">
        <f>Sheet1!AG336</f>
        <v>0.18695014662756598</v>
      </c>
      <c r="T342" s="1075" t="str">
        <f>Sheet1!AH336</f>
        <v>C</v>
      </c>
      <c r="U342" s="1075">
        <f>Sheet1!AI336</f>
        <v>160</v>
      </c>
      <c r="V342" s="1075"/>
      <c r="W342" s="1075"/>
      <c r="X342" s="1075">
        <f>Sheet1!AJ336</f>
        <v>220</v>
      </c>
      <c r="Y342" s="1075"/>
      <c r="Z342" s="1075"/>
      <c r="AA342" s="1075"/>
      <c r="AB342" s="1075"/>
      <c r="AC342" s="1075"/>
      <c r="AD342" s="1075"/>
      <c r="AE342" s="1075"/>
      <c r="AF342" s="1075"/>
      <c r="AG342" s="1075"/>
      <c r="AH342" s="1075"/>
      <c r="AI342" s="1075"/>
      <c r="AJ342" s="1075"/>
      <c r="AK342" s="1075" t="str">
        <f>IF(Sheet1!AE339="C",Sheet1!AK339,"-")</f>
        <v>-</v>
      </c>
      <c r="AL342" s="1075" t="str">
        <f>IF(Sheet1!AE339="D",Sheet1!AK339,"-")</f>
        <v>-</v>
      </c>
      <c r="AM342" s="1075">
        <f>IF(Sheet1!AE336="E",Sheet1!AK336,"-")</f>
        <v>1020</v>
      </c>
    </row>
    <row r="343" spans="2:39" x14ac:dyDescent="0.25">
      <c r="B343" s="1082">
        <f>Sheet1!F337</f>
        <v>711</v>
      </c>
      <c r="C343" s="1075" t="str">
        <f>Sheet1!C337</f>
        <v>Garfield Rd.</v>
      </c>
      <c r="D343" s="1075" t="str">
        <f>_xlfn.TEXTBEFORE(Sheet1!E337, " to ")</f>
        <v>Doyle Rd.</v>
      </c>
      <c r="E343" s="1075" t="str">
        <f>_xlfn.TEXTAFTER(Sheet1!E337, " to ")</f>
        <v>Enterprise-Osteen Rd</v>
      </c>
      <c r="F343" s="1075">
        <f>Sheet1!AM337</f>
        <v>2</v>
      </c>
      <c r="G343" s="1075"/>
      <c r="H343" s="1083" t="str">
        <f>Sheet1!AE337</f>
        <v>E</v>
      </c>
      <c r="I343" s="1075"/>
      <c r="J343" s="1075" t="str">
        <f>Sheet1!Q337</f>
        <v>UA_NSSRC1_2W_2L_U_0L</v>
      </c>
      <c r="K343" s="1075"/>
      <c r="L343" s="1075">
        <f>Sheet1!AF337</f>
        <v>13640</v>
      </c>
      <c r="M343" s="1075"/>
      <c r="N343" s="1075"/>
      <c r="O343" s="1075"/>
      <c r="P343" s="1075">
        <f>Sheet1!AK337</f>
        <v>1230</v>
      </c>
      <c r="Q343" s="1075"/>
      <c r="R343" s="1075">
        <f>Sheet1!AD337</f>
        <v>2040</v>
      </c>
      <c r="S343" s="1081">
        <f>Sheet1!AG337</f>
        <v>0.14956011730205279</v>
      </c>
      <c r="T343" s="1075" t="str">
        <f>Sheet1!AH337</f>
        <v>C</v>
      </c>
      <c r="U343" s="1075">
        <f>Sheet1!AI337</f>
        <v>140</v>
      </c>
      <c r="V343" s="1075"/>
      <c r="W343" s="1075"/>
      <c r="X343" s="1075">
        <f>Sheet1!AJ337</f>
        <v>210</v>
      </c>
      <c r="Y343" s="1075"/>
      <c r="Z343" s="1075"/>
      <c r="AA343" s="1075"/>
      <c r="AB343" s="1075"/>
      <c r="AC343" s="1075"/>
      <c r="AD343" s="1075"/>
      <c r="AE343" s="1075"/>
      <c r="AF343" s="1075"/>
      <c r="AG343" s="1075"/>
      <c r="AH343" s="1075"/>
      <c r="AI343" s="1075"/>
      <c r="AJ343" s="1075"/>
      <c r="AK343" s="1075" t="str">
        <f>IF(Sheet1!AE340="C",Sheet1!AK340,"-")</f>
        <v>-</v>
      </c>
      <c r="AL343" s="1075" t="str">
        <f>IF(Sheet1!AE340="D",Sheet1!AK340,"-")</f>
        <v>-</v>
      </c>
      <c r="AM343" s="1075">
        <f>IF(Sheet1!AE337="E",Sheet1!AK337,"-")</f>
        <v>1230</v>
      </c>
    </row>
    <row r="344" spans="2:39" x14ac:dyDescent="0.25">
      <c r="B344" s="1082">
        <f>Sheet1!F338</f>
        <v>730</v>
      </c>
      <c r="C344" s="1075" t="str">
        <f>Sheet1!C338</f>
        <v>Glencoe Rd.</v>
      </c>
      <c r="D344" s="1075" t="str">
        <f>_xlfn.TEXTBEFORE(Sheet1!E338, " to ")</f>
        <v>Taylor Rd.</v>
      </c>
      <c r="E344" s="1075" t="str">
        <f>_xlfn.TEXTAFTER(Sheet1!E338, " to ")</f>
        <v>Paige Ave.</v>
      </c>
      <c r="F344" s="1075">
        <f>Sheet1!AM338</f>
        <v>2</v>
      </c>
      <c r="G344" s="1075"/>
      <c r="H344" s="1083" t="str">
        <f>Sheet1!AE338</f>
        <v>E</v>
      </c>
      <c r="I344" s="1075"/>
      <c r="J344" s="1075" t="str">
        <f>Sheet1!Q338</f>
        <v>UA_NSSRC1_2W_2L_U_0L</v>
      </c>
      <c r="K344" s="1075"/>
      <c r="L344" s="1075">
        <f>Sheet1!AF338</f>
        <v>13640</v>
      </c>
      <c r="M344" s="1075"/>
      <c r="N344" s="1075"/>
      <c r="O344" s="1075"/>
      <c r="P344" s="1075">
        <f>Sheet1!AK338</f>
        <v>1230</v>
      </c>
      <c r="Q344" s="1075"/>
      <c r="R344" s="1075">
        <f>Sheet1!AD338</f>
        <v>2580</v>
      </c>
      <c r="S344" s="1081">
        <f>Sheet1!AG338</f>
        <v>0.18914956011730205</v>
      </c>
      <c r="T344" s="1075" t="str">
        <f>Sheet1!AH338</f>
        <v>C</v>
      </c>
      <c r="U344" s="1075">
        <f>Sheet1!AI338</f>
        <v>190</v>
      </c>
      <c r="V344" s="1075"/>
      <c r="W344" s="1075"/>
      <c r="X344" s="1075">
        <f>Sheet1!AJ338</f>
        <v>260</v>
      </c>
      <c r="Y344" s="1075"/>
      <c r="Z344" s="1075"/>
      <c r="AA344" s="1075"/>
      <c r="AB344" s="1075"/>
      <c r="AC344" s="1075"/>
      <c r="AD344" s="1075"/>
      <c r="AE344" s="1075"/>
      <c r="AF344" s="1075"/>
      <c r="AG344" s="1075"/>
      <c r="AH344" s="1075"/>
      <c r="AI344" s="1075"/>
      <c r="AJ344" s="1075"/>
      <c r="AK344" s="1075" t="str">
        <f>IF(Sheet1!AE341="C",Sheet1!AK341,"-")</f>
        <v>-</v>
      </c>
      <c r="AL344" s="1075" t="str">
        <f>IF(Sheet1!AE341="D",Sheet1!AK341,"-")</f>
        <v>-</v>
      </c>
      <c r="AM344" s="1075">
        <f>IF(Sheet1!AE338="E",Sheet1!AK338,"-")</f>
        <v>1230</v>
      </c>
    </row>
    <row r="345" spans="2:39" x14ac:dyDescent="0.25">
      <c r="B345" s="1082">
        <f>Sheet1!F339</f>
        <v>731</v>
      </c>
      <c r="C345" s="1075" t="str">
        <f>Sheet1!C339</f>
        <v>Glencoe Rd.</v>
      </c>
      <c r="D345" s="1075" t="str">
        <f>_xlfn.TEXTBEFORE(Sheet1!E339, " to ")</f>
        <v>Paige Ave.</v>
      </c>
      <c r="E345" s="1075" t="str">
        <f>_xlfn.TEXTAFTER(Sheet1!E339, " to ")</f>
        <v>SR 44</v>
      </c>
      <c r="F345" s="1075">
        <f>Sheet1!AM339</f>
        <v>2</v>
      </c>
      <c r="G345" s="1075"/>
      <c r="H345" s="1083" t="str">
        <f>Sheet1!AE339</f>
        <v>E</v>
      </c>
      <c r="I345" s="1075"/>
      <c r="J345" s="1075" t="str">
        <f>Sheet1!Q339</f>
        <v>UA_NSSRC2_2W_2L_U_0L</v>
      </c>
      <c r="K345" s="1075"/>
      <c r="L345" s="1075">
        <f>Sheet1!AF339</f>
        <v>13640</v>
      </c>
      <c r="M345" s="1075"/>
      <c r="N345" s="1075"/>
      <c r="O345" s="1075"/>
      <c r="P345" s="1075">
        <f>Sheet1!AK339</f>
        <v>1020</v>
      </c>
      <c r="Q345" s="1075"/>
      <c r="R345" s="1075">
        <f>Sheet1!AD339</f>
        <v>5150</v>
      </c>
      <c r="S345" s="1081">
        <f>Sheet1!AG339</f>
        <v>0.37756598240469208</v>
      </c>
      <c r="T345" s="1075" t="str">
        <f>Sheet1!AH339</f>
        <v>C</v>
      </c>
      <c r="U345" s="1075">
        <f>Sheet1!AI339</f>
        <v>360</v>
      </c>
      <c r="V345" s="1075"/>
      <c r="W345" s="1075"/>
      <c r="X345" s="1075">
        <f>Sheet1!AJ339</f>
        <v>440</v>
      </c>
      <c r="Y345" s="1075"/>
      <c r="Z345" s="1075"/>
      <c r="AA345" s="1075"/>
      <c r="AB345" s="1075"/>
      <c r="AC345" s="1075"/>
      <c r="AD345" s="1075"/>
      <c r="AE345" s="1075"/>
      <c r="AF345" s="1075"/>
      <c r="AG345" s="1075"/>
      <c r="AH345" s="1075"/>
      <c r="AI345" s="1075"/>
      <c r="AJ345" s="1075"/>
      <c r="AK345" s="1075" t="str">
        <f>IF(Sheet1!AE342="C",Sheet1!AK342,"-")</f>
        <v>-</v>
      </c>
      <c r="AL345" s="1075" t="str">
        <f>IF(Sheet1!AE342="D",Sheet1!AK342,"-")</f>
        <v>-</v>
      </c>
      <c r="AM345" s="1075">
        <f>IF(Sheet1!AE339="E",Sheet1!AK339,"-")</f>
        <v>1020</v>
      </c>
    </row>
    <row r="346" spans="2:39" x14ac:dyDescent="0.25">
      <c r="B346" s="1082">
        <f>Sheet1!F340</f>
        <v>732</v>
      </c>
      <c r="C346" s="1075" t="str">
        <f>Sheet1!C340</f>
        <v>Glencoe Rd.</v>
      </c>
      <c r="D346" s="1075" t="str">
        <f>_xlfn.TEXTBEFORE(Sheet1!E340, " to ")</f>
        <v>SR 44</v>
      </c>
      <c r="E346" s="1075" t="str">
        <f>_xlfn.TEXTAFTER(Sheet1!E340, " to ")</f>
        <v>Pioneer Tr.</v>
      </c>
      <c r="F346" s="1075">
        <f>Sheet1!AM340</f>
        <v>2</v>
      </c>
      <c r="G346" s="1075"/>
      <c r="H346" s="1083" t="str">
        <f>Sheet1!AE340</f>
        <v>E</v>
      </c>
      <c r="I346" s="1075"/>
      <c r="J346" s="1075" t="str">
        <f>Sheet1!Q340</f>
        <v>UA_NSSRC2_2W_2L_U_0L</v>
      </c>
      <c r="K346" s="1075"/>
      <c r="L346" s="1075">
        <f>Sheet1!AF340</f>
        <v>13640</v>
      </c>
      <c r="M346" s="1075"/>
      <c r="N346" s="1075"/>
      <c r="O346" s="1075"/>
      <c r="P346" s="1075">
        <f>Sheet1!AK340</f>
        <v>1020</v>
      </c>
      <c r="Q346" s="1075"/>
      <c r="R346" s="1075">
        <f>Sheet1!AD340</f>
        <v>2060</v>
      </c>
      <c r="S346" s="1081">
        <f>Sheet1!AG340</f>
        <v>0.15102639296187684</v>
      </c>
      <c r="T346" s="1075" t="str">
        <f>Sheet1!AH340</f>
        <v>C</v>
      </c>
      <c r="U346" s="1075">
        <f>Sheet1!AI340</f>
        <v>140</v>
      </c>
      <c r="V346" s="1075"/>
      <c r="W346" s="1075"/>
      <c r="X346" s="1075">
        <f>Sheet1!AJ340</f>
        <v>190</v>
      </c>
      <c r="Y346" s="1075"/>
      <c r="Z346" s="1075"/>
      <c r="AA346" s="1075"/>
      <c r="AB346" s="1075"/>
      <c r="AC346" s="1075"/>
      <c r="AD346" s="1075"/>
      <c r="AE346" s="1075"/>
      <c r="AF346" s="1075"/>
      <c r="AG346" s="1075"/>
      <c r="AH346" s="1075"/>
      <c r="AI346" s="1075"/>
      <c r="AJ346" s="1075"/>
      <c r="AK346" s="1075" t="str">
        <f>IF(Sheet1!AE343="C",Sheet1!AK343,"-")</f>
        <v>-</v>
      </c>
      <c r="AL346" s="1075" t="str">
        <f>IF(Sheet1!AE343="D",Sheet1!AK343,"-")</f>
        <v>-</v>
      </c>
      <c r="AM346" s="1075">
        <f>IF(Sheet1!AE340="E",Sheet1!AK340,"-")</f>
        <v>1020</v>
      </c>
    </row>
    <row r="347" spans="2:39" x14ac:dyDescent="0.25">
      <c r="B347" s="1082">
        <f>Sheet1!F341</f>
        <v>741</v>
      </c>
      <c r="C347" s="1075" t="str">
        <f>Sheet1!C341</f>
        <v>Glenwood Rd.</v>
      </c>
      <c r="D347" s="1075" t="str">
        <f>_xlfn.TEXTBEFORE(Sheet1!E341, " to ")</f>
        <v>Grand Ave.</v>
      </c>
      <c r="E347" s="1075" t="str">
        <f>_xlfn.TEXTAFTER(Sheet1!E341, " to ")</f>
        <v>SR 15A</v>
      </c>
      <c r="F347" s="1075">
        <f>Sheet1!AM341</f>
        <v>2</v>
      </c>
      <c r="G347" s="1075"/>
      <c r="H347" s="1083" t="str">
        <f>Sheet1!AE341</f>
        <v>E</v>
      </c>
      <c r="I347" s="1075"/>
      <c r="J347" s="1075" t="str">
        <f>Sheet1!Q341</f>
        <v>UA_NSSRC2_2W_2L_U_0L</v>
      </c>
      <c r="K347" s="1075"/>
      <c r="L347" s="1075">
        <f>Sheet1!AF341</f>
        <v>13640</v>
      </c>
      <c r="M347" s="1075"/>
      <c r="N347" s="1075"/>
      <c r="O347" s="1075"/>
      <c r="P347" s="1075">
        <f>Sheet1!AK341</f>
        <v>1020</v>
      </c>
      <c r="Q347" s="1075"/>
      <c r="R347" s="1075">
        <f>Sheet1!AD341</f>
        <v>4280</v>
      </c>
      <c r="S347" s="1081">
        <f>Sheet1!AG341</f>
        <v>0.31378299120234604</v>
      </c>
      <c r="T347" s="1075" t="str">
        <f>Sheet1!AH341</f>
        <v>C</v>
      </c>
      <c r="U347" s="1075">
        <f>Sheet1!AI341</f>
        <v>260</v>
      </c>
      <c r="V347" s="1075"/>
      <c r="W347" s="1075"/>
      <c r="X347" s="1075">
        <f>Sheet1!AJ341</f>
        <v>380</v>
      </c>
      <c r="Y347" s="1075"/>
      <c r="Z347" s="1075"/>
      <c r="AA347" s="1075"/>
      <c r="AB347" s="1075"/>
      <c r="AC347" s="1075"/>
      <c r="AD347" s="1075"/>
      <c r="AE347" s="1075"/>
      <c r="AF347" s="1075"/>
      <c r="AG347" s="1075"/>
      <c r="AH347" s="1075"/>
      <c r="AI347" s="1075"/>
      <c r="AJ347" s="1075"/>
      <c r="AK347" s="1075" t="str">
        <f>IF(Sheet1!AE344="C",Sheet1!AK344,"-")</f>
        <v>-</v>
      </c>
      <c r="AL347" s="1075" t="str">
        <f>IF(Sheet1!AE344="D",Sheet1!AK344,"-")</f>
        <v>-</v>
      </c>
      <c r="AM347" s="1075">
        <f>IF(Sheet1!AE341="E",Sheet1!AK341,"-")</f>
        <v>1020</v>
      </c>
    </row>
    <row r="348" spans="2:39" x14ac:dyDescent="0.25">
      <c r="B348" s="1082">
        <f>Sheet1!F342</f>
        <v>743</v>
      </c>
      <c r="C348" s="1075" t="str">
        <f>Sheet1!C342</f>
        <v>Glenwood Rd.</v>
      </c>
      <c r="D348" s="1075" t="str">
        <f>_xlfn.TEXTBEFORE(Sheet1!E342, " to ")</f>
        <v>SR 15A</v>
      </c>
      <c r="E348" s="1075" t="str">
        <f>_xlfn.TEXTAFTER(Sheet1!E342, " to ")</f>
        <v>US 17</v>
      </c>
      <c r="F348" s="1075">
        <f>Sheet1!AM342</f>
        <v>2</v>
      </c>
      <c r="G348" s="1075"/>
      <c r="H348" s="1083" t="str">
        <f>Sheet1!AE342</f>
        <v>E</v>
      </c>
      <c r="I348" s="1075"/>
      <c r="J348" s="1075" t="str">
        <f>Sheet1!Q342</f>
        <v>UA_NSSRC2_2W_2L_U_0L</v>
      </c>
      <c r="K348" s="1075"/>
      <c r="L348" s="1075">
        <f>Sheet1!AF342</f>
        <v>13640</v>
      </c>
      <c r="M348" s="1075"/>
      <c r="N348" s="1075"/>
      <c r="O348" s="1075"/>
      <c r="P348" s="1075">
        <f>Sheet1!AK342</f>
        <v>1020</v>
      </c>
      <c r="Q348" s="1075"/>
      <c r="R348" s="1075">
        <f>Sheet1!AD342</f>
        <v>1780</v>
      </c>
      <c r="S348" s="1081">
        <f>Sheet1!AG342</f>
        <v>0.13049853372434017</v>
      </c>
      <c r="T348" s="1075" t="str">
        <f>Sheet1!AH342</f>
        <v>C</v>
      </c>
      <c r="U348" s="1075">
        <f>Sheet1!AI342</f>
        <v>120</v>
      </c>
      <c r="V348" s="1075"/>
      <c r="W348" s="1075"/>
      <c r="X348" s="1075">
        <f>Sheet1!AJ342</f>
        <v>200</v>
      </c>
      <c r="Y348" s="1075"/>
      <c r="Z348" s="1075"/>
      <c r="AA348" s="1075"/>
      <c r="AB348" s="1075"/>
      <c r="AC348" s="1075"/>
      <c r="AD348" s="1075"/>
      <c r="AE348" s="1075"/>
      <c r="AF348" s="1075"/>
      <c r="AG348" s="1075"/>
      <c r="AH348" s="1075"/>
      <c r="AI348" s="1075"/>
      <c r="AJ348" s="1075"/>
      <c r="AK348" s="1075" t="str">
        <f>IF(Sheet1!AE345="C",Sheet1!AK345,"-")</f>
        <v>-</v>
      </c>
      <c r="AL348" s="1075" t="str">
        <f>IF(Sheet1!AE345="D",Sheet1!AK345,"-")</f>
        <v>-</v>
      </c>
      <c r="AM348" s="1075">
        <f>IF(Sheet1!AE342="E",Sheet1!AK342,"-")</f>
        <v>1020</v>
      </c>
    </row>
    <row r="349" spans="2:39" x14ac:dyDescent="0.25">
      <c r="B349" s="1082">
        <f>Sheet1!F343</f>
        <v>748</v>
      </c>
      <c r="C349" s="1075" t="str">
        <f>Sheet1!C343</f>
        <v xml:space="preserve">Grand Av/CR 4053 </v>
      </c>
      <c r="D349" s="1075" t="str">
        <f>_xlfn.TEXTBEFORE(Sheet1!E343, " to ")</f>
        <v>Old New York Ave.</v>
      </c>
      <c r="E349" s="1075" t="str">
        <f>_xlfn.TEXTAFTER(Sheet1!E343, " to ")</f>
        <v>SR 44</v>
      </c>
      <c r="F349" s="1075">
        <f>Sheet1!AM343</f>
        <v>2</v>
      </c>
      <c r="G349" s="1075"/>
      <c r="H349" s="1083" t="str">
        <f>Sheet1!AE343</f>
        <v>E</v>
      </c>
      <c r="I349" s="1075"/>
      <c r="J349" s="1075" t="str">
        <f>Sheet1!Q343</f>
        <v>UA_NSSRC2_2W_2L_U_0L</v>
      </c>
      <c r="K349" s="1075"/>
      <c r="L349" s="1075">
        <f>Sheet1!AF343</f>
        <v>13640</v>
      </c>
      <c r="M349" s="1075"/>
      <c r="N349" s="1075"/>
      <c r="O349" s="1075"/>
      <c r="P349" s="1075">
        <f>Sheet1!AK343</f>
        <v>1020</v>
      </c>
      <c r="Q349" s="1075"/>
      <c r="R349" s="1075">
        <f>Sheet1!AD343</f>
        <v>2250</v>
      </c>
      <c r="S349" s="1081">
        <f>Sheet1!AG343</f>
        <v>0.16495601173020527</v>
      </c>
      <c r="T349" s="1075" t="str">
        <f>Sheet1!AH343</f>
        <v>C</v>
      </c>
      <c r="U349" s="1075">
        <f>Sheet1!AI343</f>
        <v>170</v>
      </c>
      <c r="V349" s="1075"/>
      <c r="W349" s="1075"/>
      <c r="X349" s="1075">
        <f>Sheet1!AJ343</f>
        <v>240</v>
      </c>
      <c r="Y349" s="1075"/>
      <c r="Z349" s="1075"/>
      <c r="AA349" s="1075"/>
      <c r="AB349" s="1075"/>
      <c r="AC349" s="1075"/>
      <c r="AD349" s="1075"/>
      <c r="AE349" s="1075"/>
      <c r="AF349" s="1075"/>
      <c r="AG349" s="1075"/>
      <c r="AH349" s="1075"/>
      <c r="AI349" s="1075"/>
      <c r="AJ349" s="1075"/>
      <c r="AK349" s="1075" t="str">
        <f>IF(Sheet1!AE346="C",Sheet1!AK346,"-")</f>
        <v>-</v>
      </c>
      <c r="AL349" s="1075" t="str">
        <f>IF(Sheet1!AE346="D",Sheet1!AK346,"-")</f>
        <v>-</v>
      </c>
      <c r="AM349" s="1075">
        <f>IF(Sheet1!AE343="E",Sheet1!AK343,"-")</f>
        <v>1020</v>
      </c>
    </row>
    <row r="350" spans="2:39" x14ac:dyDescent="0.25">
      <c r="B350" s="1082">
        <f>Sheet1!F344</f>
        <v>750</v>
      </c>
      <c r="C350" s="1075" t="str">
        <f>Sheet1!C344</f>
        <v xml:space="preserve">Grand Av/CR 4053 </v>
      </c>
      <c r="D350" s="1075" t="str">
        <f>_xlfn.TEXTBEFORE(Sheet1!E344, " to ")</f>
        <v>SR 44</v>
      </c>
      <c r="E350" s="1075" t="str">
        <f>_xlfn.TEXTAFTER(Sheet1!E344, " to ")</f>
        <v>Minnesota Ave.</v>
      </c>
      <c r="F350" s="1075">
        <f>Sheet1!AM344</f>
        <v>2</v>
      </c>
      <c r="G350" s="1075"/>
      <c r="H350" s="1083" t="str">
        <f>Sheet1!AE344</f>
        <v>E</v>
      </c>
      <c r="I350" s="1075"/>
      <c r="J350" s="1075" t="str">
        <f>Sheet1!Q344</f>
        <v>UA_NSSRC2_2W_2L_U_0L</v>
      </c>
      <c r="K350" s="1075"/>
      <c r="L350" s="1075">
        <f>Sheet1!AF344</f>
        <v>13640</v>
      </c>
      <c r="M350" s="1075"/>
      <c r="N350" s="1075"/>
      <c r="O350" s="1075"/>
      <c r="P350" s="1075">
        <f>Sheet1!AK344</f>
        <v>1020</v>
      </c>
      <c r="Q350" s="1075"/>
      <c r="R350" s="1075">
        <f>Sheet1!AD344</f>
        <v>4400</v>
      </c>
      <c r="S350" s="1081">
        <f>Sheet1!AG344</f>
        <v>0.32258064516129031</v>
      </c>
      <c r="T350" s="1075" t="str">
        <f>Sheet1!AH344</f>
        <v>C</v>
      </c>
      <c r="U350" s="1075">
        <f>Sheet1!AI344</f>
        <v>310</v>
      </c>
      <c r="V350" s="1075"/>
      <c r="W350" s="1075"/>
      <c r="X350" s="1075">
        <f>Sheet1!AJ344</f>
        <v>470</v>
      </c>
      <c r="Y350" s="1075"/>
      <c r="Z350" s="1075"/>
      <c r="AA350" s="1075"/>
      <c r="AB350" s="1075"/>
      <c r="AC350" s="1075"/>
      <c r="AD350" s="1075"/>
      <c r="AE350" s="1075"/>
      <c r="AF350" s="1075"/>
      <c r="AG350" s="1075"/>
      <c r="AH350" s="1075"/>
      <c r="AI350" s="1075"/>
      <c r="AJ350" s="1075"/>
      <c r="AK350" s="1075" t="str">
        <f>IF(Sheet1!AE347="C",Sheet1!AK347,"-")</f>
        <v>-</v>
      </c>
      <c r="AL350" s="1075" t="str">
        <f>IF(Sheet1!AE347="D",Sheet1!AK347,"-")</f>
        <v>-</v>
      </c>
      <c r="AM350" s="1075">
        <f>IF(Sheet1!AE344="E",Sheet1!AK344,"-")</f>
        <v>1020</v>
      </c>
    </row>
    <row r="351" spans="2:39" x14ac:dyDescent="0.25">
      <c r="B351" s="1082">
        <f>Sheet1!F345</f>
        <v>751</v>
      </c>
      <c r="C351" s="1075" t="str">
        <f>Sheet1!C345</f>
        <v xml:space="preserve">Grand Av/CR 4053 </v>
      </c>
      <c r="D351" s="1075" t="str">
        <f>_xlfn.TEXTBEFORE(Sheet1!E345, " to ")</f>
        <v>Minnesota Ave.</v>
      </c>
      <c r="E351" s="1075" t="str">
        <f>_xlfn.TEXTAFTER(Sheet1!E345, " to ")</f>
        <v>Plymouth Ave.</v>
      </c>
      <c r="F351" s="1075">
        <f>Sheet1!AM345</f>
        <v>2</v>
      </c>
      <c r="G351" s="1075"/>
      <c r="H351" s="1083" t="str">
        <f>Sheet1!AE345</f>
        <v>E</v>
      </c>
      <c r="I351" s="1075"/>
      <c r="J351" s="1075" t="str">
        <f>Sheet1!Q345</f>
        <v>UA_NSSRC1_2W_2L_U_0L</v>
      </c>
      <c r="K351" s="1075"/>
      <c r="L351" s="1075">
        <f>Sheet1!AF345</f>
        <v>13640</v>
      </c>
      <c r="M351" s="1075"/>
      <c r="N351" s="1075"/>
      <c r="O351" s="1075"/>
      <c r="P351" s="1075">
        <f>Sheet1!AK345</f>
        <v>1230</v>
      </c>
      <c r="Q351" s="1075"/>
      <c r="R351" s="1075">
        <f>Sheet1!AD345</f>
        <v>1910</v>
      </c>
      <c r="S351" s="1081">
        <f>Sheet1!AG345</f>
        <v>0.14002932551319647</v>
      </c>
      <c r="T351" s="1075" t="str">
        <f>Sheet1!AH345</f>
        <v>C</v>
      </c>
      <c r="U351" s="1075">
        <f>Sheet1!AI345</f>
        <v>140</v>
      </c>
      <c r="V351" s="1075"/>
      <c r="W351" s="1075"/>
      <c r="X351" s="1075">
        <f>Sheet1!AJ345</f>
        <v>180</v>
      </c>
      <c r="Y351" s="1075"/>
      <c r="Z351" s="1075"/>
      <c r="AA351" s="1075"/>
      <c r="AB351" s="1075"/>
      <c r="AC351" s="1075"/>
      <c r="AD351" s="1075"/>
      <c r="AE351" s="1075"/>
      <c r="AF351" s="1075"/>
      <c r="AG351" s="1075"/>
      <c r="AH351" s="1075"/>
      <c r="AI351" s="1075"/>
      <c r="AJ351" s="1075"/>
      <c r="AK351" s="1075" t="str">
        <f>IF(Sheet1!AE348="C",Sheet1!AK348,"-")</f>
        <v>-</v>
      </c>
      <c r="AL351" s="1075" t="str">
        <f>IF(Sheet1!AE348="D",Sheet1!AK348,"-")</f>
        <v>-</v>
      </c>
      <c r="AM351" s="1075">
        <f>IF(Sheet1!AE345="E",Sheet1!AK345,"-")</f>
        <v>1230</v>
      </c>
    </row>
    <row r="352" spans="2:39" x14ac:dyDescent="0.25">
      <c r="B352" s="1082">
        <f>Sheet1!F346</f>
        <v>752</v>
      </c>
      <c r="C352" s="1075" t="str">
        <f>Sheet1!C346</f>
        <v xml:space="preserve">Grand Av/CR 4053 </v>
      </c>
      <c r="D352" s="1075" t="str">
        <f>_xlfn.TEXTBEFORE(Sheet1!E346, " to ")</f>
        <v>Plymouth Ave.</v>
      </c>
      <c r="E352" s="1075" t="str">
        <f>_xlfn.TEXTAFTER(Sheet1!E346, " to ")</f>
        <v>Glenwood Rd.</v>
      </c>
      <c r="F352" s="1075">
        <f>Sheet1!AM346</f>
        <v>2</v>
      </c>
      <c r="G352" s="1075"/>
      <c r="H352" s="1083" t="str">
        <f>Sheet1!AE346</f>
        <v>E</v>
      </c>
      <c r="I352" s="1075"/>
      <c r="J352" s="1075" t="str">
        <f>Sheet1!Q346</f>
        <v>UA_NSSRC1_2W_2L_U_0L</v>
      </c>
      <c r="K352" s="1075"/>
      <c r="L352" s="1075">
        <f>Sheet1!AF346</f>
        <v>13640</v>
      </c>
      <c r="M352" s="1075"/>
      <c r="N352" s="1075"/>
      <c r="O352" s="1075"/>
      <c r="P352" s="1075">
        <f>Sheet1!AK346</f>
        <v>1230</v>
      </c>
      <c r="Q352" s="1075"/>
      <c r="R352" s="1075">
        <f>Sheet1!AD346</f>
        <v>2840</v>
      </c>
      <c r="S352" s="1081">
        <f>Sheet1!AG346</f>
        <v>0.20821114369501467</v>
      </c>
      <c r="T352" s="1075" t="str">
        <f>Sheet1!AH346</f>
        <v>C</v>
      </c>
      <c r="U352" s="1075">
        <f>Sheet1!AI346</f>
        <v>210</v>
      </c>
      <c r="V352" s="1075"/>
      <c r="W352" s="1075"/>
      <c r="X352" s="1075">
        <f>Sheet1!AJ346</f>
        <v>260</v>
      </c>
      <c r="Y352" s="1075"/>
      <c r="Z352" s="1075"/>
      <c r="AA352" s="1075"/>
      <c r="AB352" s="1075"/>
      <c r="AC352" s="1075"/>
      <c r="AD352" s="1075"/>
      <c r="AE352" s="1075"/>
      <c r="AF352" s="1075"/>
      <c r="AG352" s="1075"/>
      <c r="AH352" s="1075"/>
      <c r="AI352" s="1075"/>
      <c r="AJ352" s="1075"/>
      <c r="AK352" s="1075" t="str">
        <f>IF(Sheet1!AE349="C",Sheet1!AK349,"-")</f>
        <v>-</v>
      </c>
      <c r="AL352" s="1075" t="str">
        <f>IF(Sheet1!AE349="D",Sheet1!AK349,"-")</f>
        <v>-</v>
      </c>
      <c r="AM352" s="1075">
        <f>IF(Sheet1!AE346="E",Sheet1!AK346,"-")</f>
        <v>1230</v>
      </c>
    </row>
    <row r="353" spans="2:39" x14ac:dyDescent="0.25">
      <c r="B353" s="1082">
        <f>Sheet1!F347</f>
        <v>754</v>
      </c>
      <c r="C353" s="1075" t="str">
        <f>Sheet1!C347</f>
        <v xml:space="preserve">Grand Av/CR 4053 </v>
      </c>
      <c r="D353" s="1075" t="str">
        <f>_xlfn.TEXTBEFORE(Sheet1!E347, " to ")</f>
        <v>Glenwood Rd.</v>
      </c>
      <c r="E353" s="1075" t="str">
        <f>_xlfn.TEXTAFTER(Sheet1!E347, " to ")</f>
        <v>Lemon St.</v>
      </c>
      <c r="F353" s="1075">
        <f>Sheet1!AM347</f>
        <v>2</v>
      </c>
      <c r="G353" s="1075"/>
      <c r="H353" s="1083" t="str">
        <f>Sheet1!AE347</f>
        <v>E</v>
      </c>
      <c r="I353" s="1075"/>
      <c r="J353" s="1075" t="str">
        <f>Sheet1!Q347</f>
        <v>UA_NSSRC2_2W_2L_D_WL</v>
      </c>
      <c r="K353" s="1075"/>
      <c r="L353" s="1075">
        <f>Sheet1!AF347</f>
        <v>14740</v>
      </c>
      <c r="M353" s="1075"/>
      <c r="N353" s="1075"/>
      <c r="O353" s="1075"/>
      <c r="P353" s="1075">
        <f>Sheet1!AK347</f>
        <v>1330</v>
      </c>
      <c r="Q353" s="1075"/>
      <c r="R353" s="1075">
        <f>Sheet1!AD347</f>
        <v>4130</v>
      </c>
      <c r="S353" s="1081">
        <f>Sheet1!AG347</f>
        <v>0.28018995929443691</v>
      </c>
      <c r="T353" s="1075" t="str">
        <f>Sheet1!AH347</f>
        <v>C</v>
      </c>
      <c r="U353" s="1075">
        <f>Sheet1!AI347</f>
        <v>280</v>
      </c>
      <c r="V353" s="1075"/>
      <c r="W353" s="1075"/>
      <c r="X353" s="1075">
        <f>Sheet1!AJ347</f>
        <v>380</v>
      </c>
      <c r="Y353" s="1075"/>
      <c r="Z353" s="1075"/>
      <c r="AA353" s="1075"/>
      <c r="AB353" s="1075"/>
      <c r="AC353" s="1075"/>
      <c r="AD353" s="1075"/>
      <c r="AE353" s="1075"/>
      <c r="AF353" s="1075"/>
      <c r="AG353" s="1075"/>
      <c r="AH353" s="1075"/>
      <c r="AI353" s="1075"/>
      <c r="AJ353" s="1075"/>
      <c r="AK353" s="1075" t="str">
        <f>IF(Sheet1!AE350="C",Sheet1!AK350,"-")</f>
        <v>-</v>
      </c>
      <c r="AL353" s="1075" t="str">
        <f>IF(Sheet1!AE350="D",Sheet1!AK350,"-")</f>
        <v>-</v>
      </c>
      <c r="AM353" s="1075">
        <f>IF(Sheet1!AE347="E",Sheet1!AK347,"-")</f>
        <v>1330</v>
      </c>
    </row>
    <row r="354" spans="2:39" x14ac:dyDescent="0.25">
      <c r="B354" s="1082">
        <f>Sheet1!F348</f>
        <v>756</v>
      </c>
      <c r="C354" s="1075" t="str">
        <f>Sheet1!C348</f>
        <v xml:space="preserve">Grand Av/CR 4053 </v>
      </c>
      <c r="D354" s="1075" t="str">
        <f>_xlfn.TEXTBEFORE(Sheet1!E348, " to ")</f>
        <v>Lemon St.</v>
      </c>
      <c r="E354" s="1075" t="str">
        <f>_xlfn.TEXTAFTER(Sheet1!E348, " to ")</f>
        <v>Retta St.</v>
      </c>
      <c r="F354" s="1075">
        <f>Sheet1!AM348</f>
        <v>2</v>
      </c>
      <c r="G354" s="1075"/>
      <c r="H354" s="1083" t="str">
        <f>Sheet1!AE348</f>
        <v>E</v>
      </c>
      <c r="I354" s="1075"/>
      <c r="J354" s="1075" t="str">
        <f>Sheet1!Q348</f>
        <v>UA_NSSRC1_2W_2L_U_0L</v>
      </c>
      <c r="K354" s="1075"/>
      <c r="L354" s="1075">
        <f>Sheet1!AF348</f>
        <v>13640</v>
      </c>
      <c r="M354" s="1075"/>
      <c r="N354" s="1075"/>
      <c r="O354" s="1075"/>
      <c r="P354" s="1075">
        <f>Sheet1!AK348</f>
        <v>1230</v>
      </c>
      <c r="Q354" s="1075"/>
      <c r="R354" s="1075">
        <f>Sheet1!AD348</f>
        <v>2340</v>
      </c>
      <c r="S354" s="1081">
        <f>Sheet1!AG348</f>
        <v>0.17155425219941348</v>
      </c>
      <c r="T354" s="1075" t="str">
        <f>Sheet1!AH348</f>
        <v>C</v>
      </c>
      <c r="U354" s="1075">
        <f>Sheet1!AI348</f>
        <v>160</v>
      </c>
      <c r="V354" s="1075"/>
      <c r="W354" s="1075"/>
      <c r="X354" s="1075">
        <f>Sheet1!AJ348</f>
        <v>220</v>
      </c>
      <c r="Y354" s="1075"/>
      <c r="Z354" s="1075"/>
      <c r="AA354" s="1075"/>
      <c r="AB354" s="1075"/>
      <c r="AC354" s="1075"/>
      <c r="AD354" s="1075"/>
      <c r="AE354" s="1075"/>
      <c r="AF354" s="1075"/>
      <c r="AG354" s="1075"/>
      <c r="AH354" s="1075"/>
      <c r="AI354" s="1075"/>
      <c r="AJ354" s="1075"/>
      <c r="AK354" s="1075" t="str">
        <f>IF(Sheet1!AE351="C",Sheet1!AK351,"-")</f>
        <v>-</v>
      </c>
      <c r="AL354" s="1075" t="str">
        <f>IF(Sheet1!AE351="D",Sheet1!AK351,"-")</f>
        <v>-</v>
      </c>
      <c r="AM354" s="1075">
        <f>IF(Sheet1!AE348="E",Sheet1!AK348,"-")</f>
        <v>1230</v>
      </c>
    </row>
    <row r="355" spans="2:39" x14ac:dyDescent="0.25">
      <c r="B355" s="1082">
        <f>Sheet1!F349</f>
        <v>775</v>
      </c>
      <c r="C355" s="1075" t="str">
        <f>Sheet1!C349</f>
        <v>Graves Av/CR 4145</v>
      </c>
      <c r="D355" s="1075" t="str">
        <f>_xlfn.TEXTBEFORE(Sheet1!E349, " to ")</f>
        <v>Veteran's Memorial Pkwy.</v>
      </c>
      <c r="E355" s="1075" t="str">
        <f>_xlfn.TEXTAFTER(Sheet1!E349, " to ")</f>
        <v>Kentucky Ave.</v>
      </c>
      <c r="F355" s="1075">
        <f>Sheet1!AM349</f>
        <v>2</v>
      </c>
      <c r="G355" s="1075"/>
      <c r="H355" s="1083" t="str">
        <f>Sheet1!AE349</f>
        <v>E</v>
      </c>
      <c r="I355" s="1075"/>
      <c r="J355" s="1075" t="str">
        <f>Sheet1!Q349</f>
        <v>UA_NSSRC1_2W_2L_D_WL</v>
      </c>
      <c r="K355" s="1075"/>
      <c r="L355" s="1075">
        <f>Sheet1!AF349</f>
        <v>17900</v>
      </c>
      <c r="M355" s="1075"/>
      <c r="N355" s="1075"/>
      <c r="O355" s="1075"/>
      <c r="P355" s="1075">
        <f>Sheet1!AK349</f>
        <v>1620</v>
      </c>
      <c r="Q355" s="1075"/>
      <c r="R355" s="1075">
        <f>Sheet1!AD349</f>
        <v>19750</v>
      </c>
      <c r="S355" s="1081">
        <f>Sheet1!AG349</f>
        <v>1.1033519553072626</v>
      </c>
      <c r="T355" s="1075" t="str">
        <f>Sheet1!AH349</f>
        <v>F</v>
      </c>
      <c r="U355" s="1075">
        <f>Sheet1!AI349</f>
        <v>1180</v>
      </c>
      <c r="V355" s="1075"/>
      <c r="W355" s="1075"/>
      <c r="X355" s="1075">
        <f>Sheet1!AJ349</f>
        <v>1640</v>
      </c>
      <c r="Y355" s="1075"/>
      <c r="Z355" s="1075"/>
      <c r="AA355" s="1075"/>
      <c r="AB355" s="1075"/>
      <c r="AC355" s="1075"/>
      <c r="AD355" s="1075"/>
      <c r="AE355" s="1075"/>
      <c r="AF355" s="1075"/>
      <c r="AG355" s="1075"/>
      <c r="AH355" s="1075"/>
      <c r="AI355" s="1075"/>
      <c r="AJ355" s="1075"/>
      <c r="AK355" s="1075" t="str">
        <f>IF(Sheet1!AE352="C",Sheet1!AK352,"-")</f>
        <v>-</v>
      </c>
      <c r="AL355" s="1075" t="str">
        <f>IF(Sheet1!AE352="D",Sheet1!AK352,"-")</f>
        <v>-</v>
      </c>
      <c r="AM355" s="1075">
        <f>IF(Sheet1!AE349="E",Sheet1!AK349,"-")</f>
        <v>1620</v>
      </c>
    </row>
    <row r="356" spans="2:39" x14ac:dyDescent="0.25">
      <c r="B356" s="1082" t="str">
        <f>Sheet1!F350</f>
        <v>900a</v>
      </c>
      <c r="C356" s="1075" t="str">
        <f>Sheet1!C350</f>
        <v>Graves Av/CR 4145</v>
      </c>
      <c r="D356" s="1075" t="str">
        <f>_xlfn.TEXTBEFORE(Sheet1!E350, " to ")</f>
        <v>Kentucky Ave.</v>
      </c>
      <c r="E356" s="1075" t="str">
        <f>_xlfn.TEXTAFTER(Sheet1!E350, " to ")</f>
        <v>Normandy Blvd.</v>
      </c>
      <c r="F356" s="1075">
        <f>Sheet1!AM350</f>
        <v>2</v>
      </c>
      <c r="G356" s="1075"/>
      <c r="H356" s="1083" t="str">
        <f>Sheet1!AE350</f>
        <v>E</v>
      </c>
      <c r="I356" s="1075"/>
      <c r="J356" s="1075" t="str">
        <f>Sheet1!Q350</f>
        <v>UA_NSSRC1_2W_2L_D_WL</v>
      </c>
      <c r="K356" s="1075"/>
      <c r="L356" s="1075">
        <f>Sheet1!AF350</f>
        <v>17900</v>
      </c>
      <c r="M356" s="1075"/>
      <c r="N356" s="1075"/>
      <c r="O356" s="1075"/>
      <c r="P356" s="1075">
        <f>Sheet1!AK350</f>
        <v>1620</v>
      </c>
      <c r="Q356" s="1075"/>
      <c r="R356" s="1075">
        <f>Sheet1!AD350</f>
        <v>16370</v>
      </c>
      <c r="S356" s="1081">
        <f>Sheet1!AG350</f>
        <v>0.91452513966480442</v>
      </c>
      <c r="T356" s="1075" t="str">
        <f>Sheet1!AH350</f>
        <v>C</v>
      </c>
      <c r="U356" s="1075">
        <f>Sheet1!AI350</f>
        <v>1000</v>
      </c>
      <c r="V356" s="1075"/>
      <c r="W356" s="1075"/>
      <c r="X356" s="1075">
        <f>Sheet1!AJ350</f>
        <v>1420</v>
      </c>
      <c r="Y356" s="1075"/>
      <c r="Z356" s="1075"/>
      <c r="AA356" s="1075"/>
      <c r="AB356" s="1075"/>
      <c r="AC356" s="1075"/>
      <c r="AD356" s="1075"/>
      <c r="AE356" s="1075"/>
      <c r="AF356" s="1075"/>
      <c r="AG356" s="1075"/>
      <c r="AH356" s="1075"/>
      <c r="AI356" s="1075"/>
      <c r="AJ356" s="1075"/>
      <c r="AK356" s="1075" t="str">
        <f>IF(Sheet1!AE353="C",Sheet1!AK353,"-")</f>
        <v>-</v>
      </c>
      <c r="AL356" s="1075" t="str">
        <f>IF(Sheet1!AE353="D",Sheet1!AK353,"-")</f>
        <v>-</v>
      </c>
      <c r="AM356" s="1075">
        <f>IF(Sheet1!AE350="E",Sheet1!AK350,"-")</f>
        <v>1620</v>
      </c>
    </row>
    <row r="357" spans="2:39" x14ac:dyDescent="0.25">
      <c r="B357" s="1082" t="str">
        <f>Sheet1!F351</f>
        <v>900b</v>
      </c>
      <c r="C357" s="1075" t="str">
        <f>Sheet1!C351</f>
        <v>Graves Av/CR 4145</v>
      </c>
      <c r="D357" s="1075" t="str">
        <f>_xlfn.TEXTBEFORE(Sheet1!E351, " to ")</f>
        <v>Normandy Blvd.</v>
      </c>
      <c r="E357" s="1075" t="str">
        <f>_xlfn.TEXTAFTER(Sheet1!E351, " to ")</f>
        <v>Howland Blvd.</v>
      </c>
      <c r="F357" s="1075">
        <f>Sheet1!AM351</f>
        <v>4</v>
      </c>
      <c r="G357" s="1075"/>
      <c r="H357" s="1083" t="str">
        <f>Sheet1!AE351</f>
        <v>E</v>
      </c>
      <c r="I357" s="1075"/>
      <c r="J357" s="1075" t="str">
        <f>Sheet1!Q351</f>
        <v>UA_NSSRC2_2W_4L_D_WL</v>
      </c>
      <c r="K357" s="1075"/>
      <c r="L357" s="1075">
        <f>Sheet1!AF351</f>
        <v>30420</v>
      </c>
      <c r="M357" s="1075"/>
      <c r="N357" s="1075"/>
      <c r="O357" s="1075"/>
      <c r="P357" s="1075">
        <f>Sheet1!AK351</f>
        <v>2740</v>
      </c>
      <c r="Q357" s="1075"/>
      <c r="R357" s="1075">
        <f>Sheet1!AD351</f>
        <v>18540</v>
      </c>
      <c r="S357" s="1081">
        <f>Sheet1!AG351</f>
        <v>0.60946745562130178</v>
      </c>
      <c r="T357" s="1075" t="str">
        <f>Sheet1!AH351</f>
        <v>D</v>
      </c>
      <c r="U357" s="1075">
        <f>Sheet1!AI351</f>
        <v>1240</v>
      </c>
      <c r="V357" s="1075"/>
      <c r="W357" s="1075"/>
      <c r="X357" s="1075">
        <f>Sheet1!AJ351</f>
        <v>1590</v>
      </c>
      <c r="Y357" s="1075"/>
      <c r="Z357" s="1075"/>
      <c r="AA357" s="1075"/>
      <c r="AB357" s="1075"/>
      <c r="AC357" s="1075"/>
      <c r="AD357" s="1075"/>
      <c r="AE357" s="1075"/>
      <c r="AF357" s="1075"/>
      <c r="AG357" s="1075"/>
      <c r="AH357" s="1075"/>
      <c r="AI357" s="1075"/>
      <c r="AJ357" s="1075"/>
      <c r="AK357" s="1075" t="str">
        <f>IF(Sheet1!AE354="C",Sheet1!AK354,"-")</f>
        <v>-</v>
      </c>
      <c r="AL357" s="1075" t="str">
        <f>IF(Sheet1!AE354="D",Sheet1!AK354,"-")</f>
        <v>-</v>
      </c>
      <c r="AM357" s="1075">
        <f>IF(Sheet1!AE351="E",Sheet1!AK351,"-")</f>
        <v>2740</v>
      </c>
    </row>
    <row r="358" spans="2:39" x14ac:dyDescent="0.25">
      <c r="B358" s="1082">
        <f>Sheet1!F352</f>
        <v>780</v>
      </c>
      <c r="C358" s="1075" t="str">
        <f>Sheet1!C352</f>
        <v>Greens Dairy Rd.</v>
      </c>
      <c r="D358" s="1075" t="str">
        <f>_xlfn.TEXTBEFORE(Sheet1!E352, " to ")</f>
        <v>SR 15A</v>
      </c>
      <c r="E358" s="1075" t="str">
        <f>_xlfn.TEXTAFTER(Sheet1!E352, " to ")</f>
        <v>Stone St.</v>
      </c>
      <c r="F358" s="1075">
        <f>Sheet1!AM352</f>
        <v>2</v>
      </c>
      <c r="G358" s="1075"/>
      <c r="H358" s="1083" t="str">
        <f>Sheet1!AE352</f>
        <v>E</v>
      </c>
      <c r="I358" s="1075"/>
      <c r="J358" s="1075" t="str">
        <f>Sheet1!Q352</f>
        <v>UA_NSSRC2_2W_2L_U_0L</v>
      </c>
      <c r="K358" s="1075"/>
      <c r="L358" s="1075">
        <f>Sheet1!AF352</f>
        <v>13640</v>
      </c>
      <c r="M358" s="1075"/>
      <c r="N358" s="1075"/>
      <c r="O358" s="1075"/>
      <c r="P358" s="1075">
        <f>Sheet1!AK352</f>
        <v>1020</v>
      </c>
      <c r="Q358" s="1075"/>
      <c r="R358" s="1075">
        <f>Sheet1!AD352</f>
        <v>160</v>
      </c>
      <c r="S358" s="1081">
        <f>Sheet1!AG352</f>
        <v>1.1730205278592375E-2</v>
      </c>
      <c r="T358" s="1075" t="str">
        <f>Sheet1!AH352</f>
        <v>C</v>
      </c>
      <c r="U358" s="1075">
        <f>Sheet1!AI352</f>
        <v>10</v>
      </c>
      <c r="V358" s="1075"/>
      <c r="W358" s="1075"/>
      <c r="X358" s="1075">
        <f>Sheet1!AJ352</f>
        <v>20</v>
      </c>
      <c r="Y358" s="1075"/>
      <c r="Z358" s="1075"/>
      <c r="AA358" s="1075"/>
      <c r="AB358" s="1075"/>
      <c r="AC358" s="1075"/>
      <c r="AD358" s="1075"/>
      <c r="AE358" s="1075"/>
      <c r="AF358" s="1075"/>
      <c r="AG358" s="1075"/>
      <c r="AH358" s="1075"/>
      <c r="AI358" s="1075"/>
      <c r="AJ358" s="1075"/>
      <c r="AK358" s="1075" t="str">
        <f>IF(Sheet1!AE355="C",Sheet1!AK355,"-")</f>
        <v>-</v>
      </c>
      <c r="AL358" s="1075" t="str">
        <f>IF(Sheet1!AE355="D",Sheet1!AK355,"-")</f>
        <v>-</v>
      </c>
      <c r="AM358" s="1075">
        <f>IF(Sheet1!AE352="E",Sheet1!AK352,"-")</f>
        <v>1020</v>
      </c>
    </row>
    <row r="359" spans="2:39" x14ac:dyDescent="0.25">
      <c r="B359" s="1082">
        <f>Sheet1!F353</f>
        <v>810</v>
      </c>
      <c r="C359" s="1075" t="str">
        <f>Sheet1!C353</f>
        <v>Halleck St. (NSB)</v>
      </c>
      <c r="D359" s="1075" t="str">
        <f>_xlfn.TEXTBEFORE(Sheet1!E353, " to ")</f>
        <v>Wayne Ave.</v>
      </c>
      <c r="E359" s="1075" t="str">
        <f>_xlfn.TEXTAFTER(Sheet1!E353, " to ")</f>
        <v>Enterprise Ave.</v>
      </c>
      <c r="F359" s="1075">
        <f>Sheet1!AM353</f>
        <v>2</v>
      </c>
      <c r="G359" s="1075"/>
      <c r="H359" s="1083" t="str">
        <f>Sheet1!AE353</f>
        <v>E</v>
      </c>
      <c r="I359" s="1075"/>
      <c r="J359" s="1075" t="str">
        <f>Sheet1!Q353</f>
        <v>UA_NSSRC2_2W_2L_U_0L</v>
      </c>
      <c r="K359" s="1075"/>
      <c r="L359" s="1075">
        <f>Sheet1!AF353</f>
        <v>13640</v>
      </c>
      <c r="M359" s="1075"/>
      <c r="N359" s="1075"/>
      <c r="O359" s="1075"/>
      <c r="P359" s="1075">
        <f>Sheet1!AK353</f>
        <v>1020</v>
      </c>
      <c r="Q359" s="1075"/>
      <c r="R359" s="1075">
        <f>Sheet1!AD353</f>
        <v>7320</v>
      </c>
      <c r="S359" s="1081">
        <f>Sheet1!AG353</f>
        <v>0.53665689149560114</v>
      </c>
      <c r="T359" s="1075" t="str">
        <f>Sheet1!AH353</f>
        <v>D</v>
      </c>
      <c r="U359" s="1075">
        <f>Sheet1!AI353</f>
        <v>450</v>
      </c>
      <c r="V359" s="1075"/>
      <c r="W359" s="1075"/>
      <c r="X359" s="1075">
        <f>Sheet1!AJ353</f>
        <v>630</v>
      </c>
      <c r="Y359" s="1075"/>
      <c r="Z359" s="1075"/>
      <c r="AA359" s="1075"/>
      <c r="AB359" s="1075"/>
      <c r="AC359" s="1075"/>
      <c r="AD359" s="1075"/>
      <c r="AE359" s="1075"/>
      <c r="AF359" s="1075"/>
      <c r="AG359" s="1075"/>
      <c r="AH359" s="1075"/>
      <c r="AI359" s="1075"/>
      <c r="AJ359" s="1075"/>
      <c r="AK359" s="1075" t="str">
        <f>IF(Sheet1!AE356="C",Sheet1!AK356,"-")</f>
        <v>-</v>
      </c>
      <c r="AL359" s="1075" t="str">
        <f>IF(Sheet1!AE356="D",Sheet1!AK356,"-")</f>
        <v>-</v>
      </c>
      <c r="AM359" s="1075">
        <f>IF(Sheet1!AE353="E",Sheet1!AK353,"-")</f>
        <v>1020</v>
      </c>
    </row>
    <row r="360" spans="2:39" x14ac:dyDescent="0.25">
      <c r="B360" s="1082">
        <f>Sheet1!F354</f>
        <v>830</v>
      </c>
      <c r="C360" s="1075" t="str">
        <f>Sheet1!C354</f>
        <v>Hand Ave.</v>
      </c>
      <c r="D360" s="1075" t="str">
        <f>_xlfn.TEXTBEFORE(Sheet1!E354, " to ")</f>
        <v>Williamson Blvd.</v>
      </c>
      <c r="E360" s="1075" t="str">
        <f>_xlfn.TEXTAFTER(Sheet1!E354, " to ")</f>
        <v>Clyde Morris Blvd.</v>
      </c>
      <c r="F360" s="1075">
        <f>Sheet1!AM354</f>
        <v>2</v>
      </c>
      <c r="G360" s="1075"/>
      <c r="H360" s="1083" t="str">
        <f>Sheet1!AE354</f>
        <v>E</v>
      </c>
      <c r="I360" s="1075"/>
      <c r="J360" s="1075" t="str">
        <f>Sheet1!Q354</f>
        <v>UA_NSSRC1_2W_2L_U_WL</v>
      </c>
      <c r="K360" s="1075"/>
      <c r="L360" s="1075">
        <f>Sheet1!AF354</f>
        <v>17050</v>
      </c>
      <c r="M360" s="1075"/>
      <c r="N360" s="1075"/>
      <c r="O360" s="1075"/>
      <c r="P360" s="1075">
        <f>Sheet1!AK354</f>
        <v>1540</v>
      </c>
      <c r="Q360" s="1075"/>
      <c r="R360" s="1075">
        <f>Sheet1!AD354</f>
        <v>9300</v>
      </c>
      <c r="S360" s="1081">
        <f>Sheet1!AG354</f>
        <v>0.54545454545454541</v>
      </c>
      <c r="T360" s="1075" t="str">
        <f>Sheet1!AH354</f>
        <v>A</v>
      </c>
      <c r="U360" s="1075">
        <f>Sheet1!AI354</f>
        <v>620</v>
      </c>
      <c r="V360" s="1075"/>
      <c r="W360" s="1075"/>
      <c r="X360" s="1075">
        <f>Sheet1!AJ354</f>
        <v>750</v>
      </c>
      <c r="Y360" s="1075"/>
      <c r="Z360" s="1075"/>
      <c r="AA360" s="1075"/>
      <c r="AB360" s="1075"/>
      <c r="AC360" s="1075"/>
      <c r="AD360" s="1075"/>
      <c r="AE360" s="1075"/>
      <c r="AF360" s="1075"/>
      <c r="AG360" s="1075"/>
      <c r="AH360" s="1075"/>
      <c r="AI360" s="1075"/>
      <c r="AJ360" s="1075"/>
      <c r="AK360" s="1075" t="str">
        <f>IF(Sheet1!AE357="C",Sheet1!AK357,"-")</f>
        <v>-</v>
      </c>
      <c r="AL360" s="1075" t="str">
        <f>IF(Sheet1!AE357="D",Sheet1!AK357,"-")</f>
        <v>-</v>
      </c>
      <c r="AM360" s="1075">
        <f>IF(Sheet1!AE354="E",Sheet1!AK354,"-")</f>
        <v>1540</v>
      </c>
    </row>
    <row r="361" spans="2:39" x14ac:dyDescent="0.25">
      <c r="B361" s="1082">
        <f>Sheet1!F355</f>
        <v>832</v>
      </c>
      <c r="C361" s="1075" t="str">
        <f>Sheet1!C355</f>
        <v>Hand Ave.</v>
      </c>
      <c r="D361" s="1075" t="str">
        <f>_xlfn.TEXTBEFORE(Sheet1!E355, " to ")</f>
        <v>Clyde Morris Blvd.</v>
      </c>
      <c r="E361" s="1075" t="str">
        <f>_xlfn.TEXTAFTER(Sheet1!E355, " to ")</f>
        <v>Shangri La Dr.</v>
      </c>
      <c r="F361" s="1075">
        <f>Sheet1!AM355</f>
        <v>2</v>
      </c>
      <c r="G361" s="1075"/>
      <c r="H361" s="1083" t="str">
        <f>Sheet1!AE355</f>
        <v>E</v>
      </c>
      <c r="I361" s="1075"/>
      <c r="J361" s="1075" t="str">
        <f>Sheet1!Q355</f>
        <v>UA_NSSRC1_2W_2L_U_WL</v>
      </c>
      <c r="K361" s="1075"/>
      <c r="L361" s="1075">
        <f>Sheet1!AF355</f>
        <v>17050</v>
      </c>
      <c r="M361" s="1075"/>
      <c r="N361" s="1075"/>
      <c r="O361" s="1075"/>
      <c r="P361" s="1075">
        <f>Sheet1!AK355</f>
        <v>1540</v>
      </c>
      <c r="Q361" s="1075"/>
      <c r="R361" s="1075">
        <f>Sheet1!AD355</f>
        <v>14880</v>
      </c>
      <c r="S361" s="1081">
        <f>Sheet1!AG355</f>
        <v>0.87272727272727268</v>
      </c>
      <c r="T361" s="1075" t="str">
        <f>Sheet1!AH355</f>
        <v>C</v>
      </c>
      <c r="U361" s="1075">
        <f>Sheet1!AI355</f>
        <v>1030</v>
      </c>
      <c r="V361" s="1075"/>
      <c r="W361" s="1075"/>
      <c r="X361" s="1075">
        <f>Sheet1!AJ355</f>
        <v>1200</v>
      </c>
      <c r="Y361" s="1075"/>
      <c r="Z361" s="1075"/>
      <c r="AA361" s="1075"/>
      <c r="AB361" s="1075"/>
      <c r="AC361" s="1075"/>
      <c r="AD361" s="1075"/>
      <c r="AE361" s="1075"/>
      <c r="AF361" s="1075"/>
      <c r="AG361" s="1075"/>
      <c r="AH361" s="1075"/>
      <c r="AI361" s="1075"/>
      <c r="AJ361" s="1075"/>
      <c r="AK361" s="1075" t="str">
        <f>IF(Sheet1!AE358="C",Sheet1!AK358,"-")</f>
        <v>-</v>
      </c>
      <c r="AL361" s="1075" t="str">
        <f>IF(Sheet1!AE358="D",Sheet1!AK358,"-")</f>
        <v>-</v>
      </c>
      <c r="AM361" s="1075">
        <f>IF(Sheet1!AE355="E",Sheet1!AK355,"-")</f>
        <v>1540</v>
      </c>
    </row>
    <row r="362" spans="2:39" x14ac:dyDescent="0.25">
      <c r="B362" s="1082">
        <f>Sheet1!F356</f>
        <v>833</v>
      </c>
      <c r="C362" s="1075" t="str">
        <f>Sheet1!C356</f>
        <v>Hand Ave.</v>
      </c>
      <c r="D362" s="1075" t="str">
        <f>_xlfn.TEXTBEFORE(Sheet1!E356, " to ")</f>
        <v>Shangri La Dr.</v>
      </c>
      <c r="E362" s="1075" t="str">
        <f>_xlfn.TEXTAFTER(Sheet1!E356, " to ")</f>
        <v>SR 5A/Nova Rd.</v>
      </c>
      <c r="F362" s="1075">
        <f>Sheet1!AM356</f>
        <v>4</v>
      </c>
      <c r="G362" s="1075"/>
      <c r="H362" s="1083" t="str">
        <f>Sheet1!AE356</f>
        <v>E</v>
      </c>
      <c r="I362" s="1075"/>
      <c r="J362" s="1075" t="str">
        <f>Sheet1!Q356</f>
        <v>UA_NSSRC1_2W_4L_D_WL</v>
      </c>
      <c r="K362" s="1075"/>
      <c r="L362" s="1075">
        <f>Sheet1!AF356</f>
        <v>37970</v>
      </c>
      <c r="M362" s="1075"/>
      <c r="N362" s="1075"/>
      <c r="O362" s="1075"/>
      <c r="P362" s="1075">
        <f>Sheet1!AK356</f>
        <v>3410</v>
      </c>
      <c r="Q362" s="1075"/>
      <c r="R362" s="1075">
        <f>Sheet1!AD356</f>
        <v>16250</v>
      </c>
      <c r="S362" s="1081">
        <f>Sheet1!AG356</f>
        <v>0.42796944956544641</v>
      </c>
      <c r="T362" s="1075" t="str">
        <f>Sheet1!AH356</f>
        <v>C</v>
      </c>
      <c r="U362" s="1075">
        <f>Sheet1!AI356</f>
        <v>1070</v>
      </c>
      <c r="V362" s="1075"/>
      <c r="W362" s="1075"/>
      <c r="X362" s="1075">
        <f>Sheet1!AJ356</f>
        <v>1350</v>
      </c>
      <c r="Y362" s="1075"/>
      <c r="Z362" s="1075"/>
      <c r="AA362" s="1075"/>
      <c r="AB362" s="1075"/>
      <c r="AC362" s="1075"/>
      <c r="AD362" s="1075"/>
      <c r="AE362" s="1075"/>
      <c r="AF362" s="1075"/>
      <c r="AG362" s="1075"/>
      <c r="AH362" s="1075"/>
      <c r="AI362" s="1075"/>
      <c r="AJ362" s="1075"/>
      <c r="AK362" s="1075">
        <f>IF(Sheet1!AE359="C",Sheet1!AK359,"-")</f>
        <v>1120</v>
      </c>
      <c r="AL362" s="1075" t="str">
        <f>IF(Sheet1!AE359="D",Sheet1!AK359,"-")</f>
        <v>-</v>
      </c>
      <c r="AM362" s="1075">
        <f>IF(Sheet1!AE356="E",Sheet1!AK356,"-")</f>
        <v>3410</v>
      </c>
    </row>
    <row r="363" spans="2:39" x14ac:dyDescent="0.25">
      <c r="B363" s="1082">
        <f>Sheet1!F357</f>
        <v>850</v>
      </c>
      <c r="C363" s="1075" t="str">
        <f>Sheet1!C357</f>
        <v>Hazen Rd.</v>
      </c>
      <c r="D363" s="1075" t="str">
        <f>_xlfn.TEXTBEFORE(Sheet1!E357, " to ")</f>
        <v>SR 44</v>
      </c>
      <c r="E363" s="1075" t="str">
        <f>_xlfn.TEXTAFTER(Sheet1!E357, " to ")</f>
        <v>Plymouth Ave.</v>
      </c>
      <c r="F363" s="1075">
        <f>Sheet1!AM357</f>
        <v>2</v>
      </c>
      <c r="G363" s="1075"/>
      <c r="H363" s="1083" t="str">
        <f>Sheet1!AE357</f>
        <v>E</v>
      </c>
      <c r="I363" s="1075"/>
      <c r="J363" s="1075" t="str">
        <f>Sheet1!Q357</f>
        <v>UA_NSSRC1_2W_2L_U_0L</v>
      </c>
      <c r="K363" s="1075"/>
      <c r="L363" s="1075">
        <f>Sheet1!AF357</f>
        <v>13640</v>
      </c>
      <c r="M363" s="1075"/>
      <c r="N363" s="1075"/>
      <c r="O363" s="1075"/>
      <c r="P363" s="1075">
        <f>Sheet1!AK357</f>
        <v>1230</v>
      </c>
      <c r="Q363" s="1075"/>
      <c r="R363" s="1075">
        <f>Sheet1!AD357</f>
        <v>1800</v>
      </c>
      <c r="S363" s="1081">
        <f>Sheet1!AG357</f>
        <v>0.13196480938416422</v>
      </c>
      <c r="T363" s="1075" t="str">
        <f>Sheet1!AH357</f>
        <v>C</v>
      </c>
      <c r="U363" s="1075">
        <f>Sheet1!AI357</f>
        <v>140</v>
      </c>
      <c r="V363" s="1075"/>
      <c r="W363" s="1075"/>
      <c r="X363" s="1075">
        <f>Sheet1!AJ357</f>
        <v>180</v>
      </c>
      <c r="Y363" s="1075"/>
      <c r="Z363" s="1075"/>
      <c r="AA363" s="1075"/>
      <c r="AB363" s="1075"/>
      <c r="AC363" s="1075"/>
      <c r="AD363" s="1075"/>
      <c r="AE363" s="1075"/>
      <c r="AF363" s="1075"/>
      <c r="AG363" s="1075"/>
      <c r="AH363" s="1075"/>
      <c r="AI363" s="1075"/>
      <c r="AJ363" s="1075"/>
      <c r="AK363" s="1075" t="str">
        <f>IF(Sheet1!AE360="C",Sheet1!AK360,"-")</f>
        <v>-</v>
      </c>
      <c r="AL363" s="1075" t="str">
        <f>IF(Sheet1!AE360="D",Sheet1!AK360,"-")</f>
        <v>-</v>
      </c>
      <c r="AM363" s="1075">
        <f>IF(Sheet1!AE357="E",Sheet1!AK357,"-")</f>
        <v>1230</v>
      </c>
    </row>
    <row r="364" spans="2:39" x14ac:dyDescent="0.25">
      <c r="B364" s="1082">
        <f>Sheet1!F358</f>
        <v>852</v>
      </c>
      <c r="C364" s="1075" t="str">
        <f>Sheet1!C358</f>
        <v>Hazen Rd.</v>
      </c>
      <c r="D364" s="1075" t="str">
        <f>_xlfn.TEXTBEFORE(Sheet1!E358, " to ")</f>
        <v>Plymouth Ave.</v>
      </c>
      <c r="E364" s="1075" t="str">
        <f>_xlfn.TEXTAFTER(Sheet1!E358, " to ")</f>
        <v>Mercers Fernery Rd.</v>
      </c>
      <c r="F364" s="1075">
        <f>Sheet1!AM358</f>
        <v>2</v>
      </c>
      <c r="G364" s="1075"/>
      <c r="H364" s="1083" t="str">
        <f>Sheet1!AE358</f>
        <v>E</v>
      </c>
      <c r="I364" s="1075"/>
      <c r="J364" s="1075" t="str">
        <f>Sheet1!Q358</f>
        <v>UA_NSSRC2_2W_2L_U_0L</v>
      </c>
      <c r="K364" s="1075"/>
      <c r="L364" s="1075">
        <f>Sheet1!AF358</f>
        <v>13640</v>
      </c>
      <c r="M364" s="1075"/>
      <c r="N364" s="1075"/>
      <c r="O364" s="1075"/>
      <c r="P364" s="1075">
        <f>Sheet1!AK358</f>
        <v>1020</v>
      </c>
      <c r="Q364" s="1075"/>
      <c r="R364" s="1075">
        <f>Sheet1!AD358</f>
        <v>920</v>
      </c>
      <c r="S364" s="1081">
        <f>Sheet1!AG358</f>
        <v>6.7448680351906154E-2</v>
      </c>
      <c r="T364" s="1075" t="str">
        <f>Sheet1!AH358</f>
        <v>C</v>
      </c>
      <c r="U364" s="1075">
        <f>Sheet1!AI358</f>
        <v>130</v>
      </c>
      <c r="V364" s="1075"/>
      <c r="W364" s="1075"/>
      <c r="X364" s="1075">
        <f>Sheet1!AJ358</f>
        <v>80</v>
      </c>
      <c r="Y364" s="1075"/>
      <c r="Z364" s="1075"/>
      <c r="AA364" s="1075"/>
      <c r="AB364" s="1075"/>
      <c r="AC364" s="1075"/>
      <c r="AD364" s="1075"/>
      <c r="AE364" s="1075"/>
      <c r="AF364" s="1075"/>
      <c r="AG364" s="1075"/>
      <c r="AH364" s="1075"/>
      <c r="AI364" s="1075"/>
      <c r="AJ364" s="1075"/>
      <c r="AK364" s="1075" t="str">
        <f>IF(Sheet1!AE361="C",Sheet1!AK361,"-")</f>
        <v>-</v>
      </c>
      <c r="AL364" s="1075" t="str">
        <f>IF(Sheet1!AE361="D",Sheet1!AK361,"-")</f>
        <v>-</v>
      </c>
      <c r="AM364" s="1075">
        <f>IF(Sheet1!AE358="E",Sheet1!AK358,"-")</f>
        <v>1020</v>
      </c>
    </row>
    <row r="365" spans="2:39" x14ac:dyDescent="0.25">
      <c r="B365" s="1082">
        <f>Sheet1!F359</f>
        <v>871</v>
      </c>
      <c r="C365" s="1075" t="str">
        <f>Sheet1!C359</f>
        <v>Highbridge Rd.</v>
      </c>
      <c r="D365" s="1075" t="str">
        <f>_xlfn.TEXTBEFORE(Sheet1!E359, " to ")</f>
        <v>Walter Boardman Ln.</v>
      </c>
      <c r="E365" s="1075" t="str">
        <f>_xlfn.TEXTAFTER(Sheet1!E359, " to ")</f>
        <v>John Anderson Dr.</v>
      </c>
      <c r="F365" s="1075">
        <f>Sheet1!AM359</f>
        <v>2</v>
      </c>
      <c r="G365" s="1075"/>
      <c r="H365" s="1083" t="str">
        <f>Sheet1!AE359</f>
        <v>C</v>
      </c>
      <c r="I365" s="1075"/>
      <c r="J365" s="1075" t="str">
        <f>Sheet1!Q359</f>
        <v>RDA_UFH_2W_2L_U_0L</v>
      </c>
      <c r="K365" s="1075"/>
      <c r="L365" s="1075">
        <f>Sheet1!AF359</f>
        <v>11775</v>
      </c>
      <c r="M365" s="1075"/>
      <c r="N365" s="1075"/>
      <c r="O365" s="1075"/>
      <c r="P365" s="1075">
        <f>Sheet1!AK359</f>
        <v>1120</v>
      </c>
      <c r="Q365" s="1075"/>
      <c r="R365" s="1075">
        <f>Sheet1!AD359</f>
        <v>3430</v>
      </c>
      <c r="S365" s="1081">
        <f>Sheet1!AG359</f>
        <v>0.29129511677282377</v>
      </c>
      <c r="T365" s="1075" t="str">
        <f>Sheet1!AH359</f>
        <v>A</v>
      </c>
      <c r="U365" s="1075">
        <f>Sheet1!AI359</f>
        <v>200</v>
      </c>
      <c r="V365" s="1075"/>
      <c r="W365" s="1075"/>
      <c r="X365" s="1075">
        <f>Sheet1!AJ359</f>
        <v>300</v>
      </c>
      <c r="Y365" s="1075"/>
      <c r="Z365" s="1075"/>
      <c r="AA365" s="1075"/>
      <c r="AB365" s="1075"/>
      <c r="AC365" s="1075"/>
      <c r="AD365" s="1075"/>
      <c r="AE365" s="1075"/>
      <c r="AF365" s="1075"/>
      <c r="AG365" s="1075"/>
      <c r="AH365" s="1075"/>
      <c r="AI365" s="1075"/>
      <c r="AJ365" s="1075"/>
      <c r="AK365" s="1075" t="str">
        <f>IF(Sheet1!AE362="C",Sheet1!AK362,"-")</f>
        <v>-</v>
      </c>
      <c r="AL365" s="1075" t="str">
        <f>IF(Sheet1!AE362="D",Sheet1!AK362,"-")</f>
        <v>-</v>
      </c>
      <c r="AM365" s="1075" t="str">
        <f>IF(Sheet1!AE359="E",Sheet1!AK359,"-")</f>
        <v>-</v>
      </c>
    </row>
    <row r="366" spans="2:39" x14ac:dyDescent="0.25">
      <c r="B366" s="1082">
        <f>Sheet1!F360</f>
        <v>872</v>
      </c>
      <c r="C366" s="1075" t="str">
        <f>Sheet1!C360</f>
        <v>Highbridge Rd.</v>
      </c>
      <c r="D366" s="1075" t="str">
        <f>_xlfn.TEXTBEFORE(Sheet1!E360, " to ")</f>
        <v>John Anderson Dr.</v>
      </c>
      <c r="E366" s="1075" t="str">
        <f>_xlfn.TEXTAFTER(Sheet1!E360, " to ")</f>
        <v>SR A1A</v>
      </c>
      <c r="F366" s="1075">
        <f>Sheet1!AM360</f>
        <v>2</v>
      </c>
      <c r="G366" s="1075"/>
      <c r="H366" s="1083" t="str">
        <f>Sheet1!AE360</f>
        <v>E</v>
      </c>
      <c r="I366" s="1075"/>
      <c r="J366" s="1075" t="str">
        <f>Sheet1!Q360</f>
        <v>UA_NSSRC2_2W_2L_U_0L</v>
      </c>
      <c r="K366" s="1075"/>
      <c r="L366" s="1075">
        <f>Sheet1!AF360</f>
        <v>13640</v>
      </c>
      <c r="M366" s="1075"/>
      <c r="N366" s="1075"/>
      <c r="O366" s="1075"/>
      <c r="P366" s="1075">
        <f>Sheet1!AK360</f>
        <v>1020</v>
      </c>
      <c r="Q366" s="1075"/>
      <c r="R366" s="1075">
        <f>Sheet1!AD360</f>
        <v>2970</v>
      </c>
      <c r="S366" s="1081">
        <f>Sheet1!AG360</f>
        <v>0.21774193548387097</v>
      </c>
      <c r="T366" s="1075" t="str">
        <f>Sheet1!AH360</f>
        <v>C</v>
      </c>
      <c r="U366" s="1075">
        <f>Sheet1!AI360</f>
        <v>160</v>
      </c>
      <c r="V366" s="1075"/>
      <c r="W366" s="1075"/>
      <c r="X366" s="1075">
        <f>Sheet1!AJ360</f>
        <v>260</v>
      </c>
      <c r="Y366" s="1075"/>
      <c r="Z366" s="1075"/>
      <c r="AA366" s="1075"/>
      <c r="AB366" s="1075"/>
      <c r="AC366" s="1075"/>
      <c r="AD366" s="1075"/>
      <c r="AE366" s="1075"/>
      <c r="AF366" s="1075"/>
      <c r="AG366" s="1075"/>
      <c r="AH366" s="1075"/>
      <c r="AI366" s="1075"/>
      <c r="AJ366" s="1075"/>
      <c r="AK366" s="1075" t="str">
        <f>IF(Sheet1!AE363="C",Sheet1!AK363,"-")</f>
        <v>-</v>
      </c>
      <c r="AL366" s="1075" t="str">
        <f>IF(Sheet1!AE363="D",Sheet1!AK363,"-")</f>
        <v>-</v>
      </c>
      <c r="AM366" s="1075">
        <f>IF(Sheet1!AE360="E",Sheet1!AK360,"-")</f>
        <v>1020</v>
      </c>
    </row>
    <row r="367" spans="2:39" x14ac:dyDescent="0.25">
      <c r="B367" s="1082">
        <f>Sheet1!F361</f>
        <v>878</v>
      </c>
      <c r="C367" s="1075" t="str">
        <f>Sheet1!C361</f>
        <v>Hill Ave.</v>
      </c>
      <c r="D367" s="1075" t="str">
        <f>_xlfn.TEXTBEFORE(Sheet1!E361, " to ")</f>
        <v>Taylor Rd.</v>
      </c>
      <c r="E367" s="1075" t="str">
        <f>_xlfn.TEXTAFTER(Sheet1!E361, " to ")</f>
        <v>Beresford Ave.</v>
      </c>
      <c r="F367" s="1075">
        <f>Sheet1!AM361</f>
        <v>2</v>
      </c>
      <c r="G367" s="1075"/>
      <c r="H367" s="1083" t="str">
        <f>Sheet1!AE361</f>
        <v>E</v>
      </c>
      <c r="I367" s="1075"/>
      <c r="J367" s="1075" t="str">
        <f>Sheet1!Q361</f>
        <v>UA_NSSRC2_2W_2L_U_0L</v>
      </c>
      <c r="K367" s="1075"/>
      <c r="L367" s="1075">
        <f>Sheet1!AF361</f>
        <v>13640</v>
      </c>
      <c r="M367" s="1075"/>
      <c r="N367" s="1075"/>
      <c r="O367" s="1075"/>
      <c r="P367" s="1075">
        <f>Sheet1!AK361</f>
        <v>1020</v>
      </c>
      <c r="Q367" s="1075"/>
      <c r="R367" s="1075">
        <f>Sheet1!AD361</f>
        <v>1090</v>
      </c>
      <c r="S367" s="1081">
        <f>Sheet1!AG361</f>
        <v>7.9912023460410556E-2</v>
      </c>
      <c r="T367" s="1075" t="str">
        <f>Sheet1!AH361</f>
        <v>C</v>
      </c>
      <c r="U367" s="1075">
        <f>Sheet1!AI361</f>
        <v>80</v>
      </c>
      <c r="V367" s="1075"/>
      <c r="W367" s="1075"/>
      <c r="X367" s="1075">
        <f>Sheet1!AJ361</f>
        <v>110</v>
      </c>
      <c r="Y367" s="1075"/>
      <c r="Z367" s="1075"/>
      <c r="AA367" s="1075"/>
      <c r="AB367" s="1075"/>
      <c r="AC367" s="1075"/>
      <c r="AD367" s="1075"/>
      <c r="AE367" s="1075"/>
      <c r="AF367" s="1075"/>
      <c r="AG367" s="1075"/>
      <c r="AH367" s="1075"/>
      <c r="AI367" s="1075"/>
      <c r="AJ367" s="1075"/>
      <c r="AK367" s="1075" t="str">
        <f>IF(Sheet1!AE364="C",Sheet1!AK364,"-")</f>
        <v>-</v>
      </c>
      <c r="AL367" s="1075" t="str">
        <f>IF(Sheet1!AE364="D",Sheet1!AK364,"-")</f>
        <v>-</v>
      </c>
      <c r="AM367" s="1075">
        <f>IF(Sheet1!AE361="E",Sheet1!AK361,"-")</f>
        <v>1020</v>
      </c>
    </row>
    <row r="368" spans="2:39" x14ac:dyDescent="0.25">
      <c r="B368" s="1082">
        <f>Sheet1!F362</f>
        <v>881</v>
      </c>
      <c r="C368" s="1075" t="str">
        <f>Sheet1!C362</f>
        <v>Hill Ave.</v>
      </c>
      <c r="D368" s="1075" t="str">
        <f>_xlfn.TEXTBEFORE(Sheet1!E362, " to ")</f>
        <v>Beresford Ave.</v>
      </c>
      <c r="E368" s="1075" t="str">
        <f>_xlfn.TEXTAFTER(Sheet1!E362, " to ")</f>
        <v>Voorhis Ave.</v>
      </c>
      <c r="F368" s="1075">
        <f>Sheet1!AM362</f>
        <v>2</v>
      </c>
      <c r="G368" s="1075"/>
      <c r="H368" s="1083" t="str">
        <f>Sheet1!AE362</f>
        <v>E</v>
      </c>
      <c r="I368" s="1075"/>
      <c r="J368" s="1075" t="str">
        <f>Sheet1!Q362</f>
        <v>UA_NSSRC2_2W_2L_U_0L</v>
      </c>
      <c r="K368" s="1075"/>
      <c r="L368" s="1075">
        <f>Sheet1!AF362</f>
        <v>13640</v>
      </c>
      <c r="M368" s="1075"/>
      <c r="N368" s="1075"/>
      <c r="O368" s="1075"/>
      <c r="P368" s="1075">
        <f>Sheet1!AK362</f>
        <v>1020</v>
      </c>
      <c r="Q368" s="1075"/>
      <c r="R368" s="1075">
        <f>Sheet1!AD362</f>
        <v>2480</v>
      </c>
      <c r="S368" s="1081">
        <f>Sheet1!AG362</f>
        <v>0.18181818181818182</v>
      </c>
      <c r="T368" s="1075" t="str">
        <f>Sheet1!AH362</f>
        <v>C</v>
      </c>
      <c r="U368" s="1075">
        <f>Sheet1!AI362</f>
        <v>230</v>
      </c>
      <c r="V368" s="1075"/>
      <c r="W368" s="1075"/>
      <c r="X368" s="1075">
        <f>Sheet1!AJ362</f>
        <v>240</v>
      </c>
      <c r="Y368" s="1075"/>
      <c r="Z368" s="1075"/>
      <c r="AA368" s="1075"/>
      <c r="AB368" s="1075"/>
      <c r="AC368" s="1075"/>
      <c r="AD368" s="1075"/>
      <c r="AE368" s="1075"/>
      <c r="AF368" s="1075"/>
      <c r="AG368" s="1075"/>
      <c r="AH368" s="1075"/>
      <c r="AI368" s="1075"/>
      <c r="AJ368" s="1075"/>
      <c r="AK368" s="1075">
        <f>IF(Sheet1!AE365="C",Sheet1!AK365,"-")</f>
        <v>1020</v>
      </c>
      <c r="AL368" s="1075" t="str">
        <f>IF(Sheet1!AE365="D",Sheet1!AK365,"-")</f>
        <v>-</v>
      </c>
      <c r="AM368" s="1075">
        <f>IF(Sheet1!AE362="E",Sheet1!AK362,"-")</f>
        <v>1020</v>
      </c>
    </row>
    <row r="369" spans="2:39" x14ac:dyDescent="0.25">
      <c r="B369" s="1082">
        <f>Sheet1!F363</f>
        <v>882</v>
      </c>
      <c r="C369" s="1075" t="str">
        <f>Sheet1!C363</f>
        <v>Hill Ave.</v>
      </c>
      <c r="D369" s="1075" t="str">
        <f>_xlfn.TEXTBEFORE(Sheet1!E363, " to ")</f>
        <v>Voorhis Ave.</v>
      </c>
      <c r="E369" s="1075" t="str">
        <f>_xlfn.TEXTAFTER(Sheet1!E363, " to ")</f>
        <v>SR 44</v>
      </c>
      <c r="F369" s="1075">
        <f>Sheet1!AM363</f>
        <v>2</v>
      </c>
      <c r="G369" s="1075"/>
      <c r="H369" s="1083" t="str">
        <f>Sheet1!AE363</f>
        <v>E</v>
      </c>
      <c r="I369" s="1075"/>
      <c r="J369" s="1075" t="str">
        <f>Sheet1!Q363</f>
        <v>UA_NSSRC2_2W_2L_U_0L</v>
      </c>
      <c r="K369" s="1075"/>
      <c r="L369" s="1075">
        <f>Sheet1!AF363</f>
        <v>13640</v>
      </c>
      <c r="M369" s="1075"/>
      <c r="N369" s="1075"/>
      <c r="O369" s="1075"/>
      <c r="P369" s="1075">
        <f>Sheet1!AK363</f>
        <v>1020</v>
      </c>
      <c r="Q369" s="1075"/>
      <c r="R369" s="1075">
        <f>Sheet1!AD363</f>
        <v>3160</v>
      </c>
      <c r="S369" s="1081">
        <f>Sheet1!AG363</f>
        <v>0.2316715542521994</v>
      </c>
      <c r="T369" s="1075" t="str">
        <f>Sheet1!AH363</f>
        <v>C</v>
      </c>
      <c r="U369" s="1075">
        <f>Sheet1!AI363</f>
        <v>270</v>
      </c>
      <c r="V369" s="1075"/>
      <c r="W369" s="1075"/>
      <c r="X369" s="1075">
        <f>Sheet1!AJ363</f>
        <v>290</v>
      </c>
      <c r="Y369" s="1075"/>
      <c r="Z369" s="1075"/>
      <c r="AA369" s="1075"/>
      <c r="AB369" s="1075"/>
      <c r="AC369" s="1075"/>
      <c r="AD369" s="1075"/>
      <c r="AE369" s="1075"/>
      <c r="AF369" s="1075"/>
      <c r="AG369" s="1075"/>
      <c r="AH369" s="1075"/>
      <c r="AI369" s="1075"/>
      <c r="AJ369" s="1075"/>
      <c r="AK369" s="1075">
        <f>IF(Sheet1!AE366="C",Sheet1!AK366,"-")</f>
        <v>1230</v>
      </c>
      <c r="AL369" s="1075" t="str">
        <f>IF(Sheet1!AE366="D",Sheet1!AK366,"-")</f>
        <v>-</v>
      </c>
      <c r="AM369" s="1075">
        <f>IF(Sheet1!AE363="E",Sheet1!AK363,"-")</f>
        <v>1020</v>
      </c>
    </row>
    <row r="370" spans="2:39" x14ac:dyDescent="0.25">
      <c r="B370" s="1082">
        <f>Sheet1!F364</f>
        <v>950</v>
      </c>
      <c r="C370" s="1075" t="str">
        <f>Sheet1!C364</f>
        <v>Hill Ave./Jacobs Rd.</v>
      </c>
      <c r="D370" s="1075" t="str">
        <f>_xlfn.TEXTBEFORE(Sheet1!E364, " to ")</f>
        <v>Plymouth Ave.</v>
      </c>
      <c r="E370" s="1075" t="str">
        <f>_xlfn.TEXTAFTER(Sheet1!E364, " to ")</f>
        <v>US 92</v>
      </c>
      <c r="F370" s="1075">
        <f>Sheet1!AM364</f>
        <v>2</v>
      </c>
      <c r="G370" s="1075"/>
      <c r="H370" s="1083" t="str">
        <f>Sheet1!AE364</f>
        <v>E</v>
      </c>
      <c r="I370" s="1075"/>
      <c r="J370" s="1075" t="str">
        <f>Sheet1!Q364</f>
        <v>UA_NSSRC1_2W_2L_U_0L</v>
      </c>
      <c r="K370" s="1075"/>
      <c r="L370" s="1075">
        <f>Sheet1!AF364</f>
        <v>13640</v>
      </c>
      <c r="M370" s="1075"/>
      <c r="N370" s="1075"/>
      <c r="O370" s="1075"/>
      <c r="P370" s="1075">
        <f>Sheet1!AK364</f>
        <v>1230</v>
      </c>
      <c r="Q370" s="1075"/>
      <c r="R370" s="1075">
        <f>Sheet1!AD364</f>
        <v>7470</v>
      </c>
      <c r="S370" s="1081">
        <f>Sheet1!AG364</f>
        <v>0.54765395894428148</v>
      </c>
      <c r="T370" s="1075" t="str">
        <f>Sheet1!AH364</f>
        <v>C</v>
      </c>
      <c r="U370" s="1075">
        <f>Sheet1!AI364</f>
        <v>570</v>
      </c>
      <c r="V370" s="1075"/>
      <c r="W370" s="1075"/>
      <c r="X370" s="1075">
        <f>Sheet1!AJ364</f>
        <v>680</v>
      </c>
      <c r="Y370" s="1075"/>
      <c r="Z370" s="1075"/>
      <c r="AA370" s="1075"/>
      <c r="AB370" s="1075"/>
      <c r="AC370" s="1075"/>
      <c r="AD370" s="1075"/>
      <c r="AE370" s="1075"/>
      <c r="AF370" s="1075"/>
      <c r="AG370" s="1075"/>
      <c r="AH370" s="1075"/>
      <c r="AI370" s="1075"/>
      <c r="AJ370" s="1075"/>
      <c r="AK370" s="1075" t="str">
        <f>IF(Sheet1!AE367="C",Sheet1!AK367,"-")</f>
        <v>-</v>
      </c>
      <c r="AL370" s="1075" t="str">
        <f>IF(Sheet1!AE367="D",Sheet1!AK367,"-")</f>
        <v>-</v>
      </c>
      <c r="AM370" s="1075">
        <f>IF(Sheet1!AE364="E",Sheet1!AK364,"-")</f>
        <v>1230</v>
      </c>
    </row>
    <row r="371" spans="2:39" x14ac:dyDescent="0.25">
      <c r="B371" s="1082">
        <f>Sheet1!F365</f>
        <v>890</v>
      </c>
      <c r="C371" s="1075" t="str">
        <f>Sheet1!C365</f>
        <v>Hontoon Rd.</v>
      </c>
      <c r="D371" s="1075" t="str">
        <f>_xlfn.TEXTBEFORE(Sheet1!E365, " to ")</f>
        <v>end of road</v>
      </c>
      <c r="E371" s="1075" t="str">
        <f>_xlfn.TEXTAFTER(Sheet1!E365, " to ")</f>
        <v>Botts Landing Rd.</v>
      </c>
      <c r="F371" s="1075">
        <f>Sheet1!AM365</f>
        <v>2</v>
      </c>
      <c r="G371" s="1075"/>
      <c r="H371" s="1083" t="str">
        <f>Sheet1!AE365</f>
        <v>C</v>
      </c>
      <c r="I371" s="1075"/>
      <c r="J371" s="1075" t="str">
        <f>Sheet1!Q365</f>
        <v>UA_NSSRC2_2W_2L_U_0L</v>
      </c>
      <c r="K371" s="1075"/>
      <c r="L371" s="1075">
        <f>Sheet1!AF365</f>
        <v>5260</v>
      </c>
      <c r="M371" s="1075"/>
      <c r="N371" s="1075"/>
      <c r="O371" s="1075"/>
      <c r="P371" s="1075">
        <f>Sheet1!AK365</f>
        <v>1020</v>
      </c>
      <c r="Q371" s="1075"/>
      <c r="R371" s="1075">
        <f>Sheet1!AD365</f>
        <v>1130</v>
      </c>
      <c r="S371" s="1081">
        <f>Sheet1!AG365</f>
        <v>0.21482889733840305</v>
      </c>
      <c r="T371" s="1075" t="str">
        <f>Sheet1!AH365</f>
        <v>C</v>
      </c>
      <c r="U371" s="1075">
        <f>Sheet1!AI365</f>
        <v>80</v>
      </c>
      <c r="V371" s="1075"/>
      <c r="W371" s="1075"/>
      <c r="X371" s="1075">
        <f>Sheet1!AJ365</f>
        <v>100</v>
      </c>
      <c r="Y371" s="1075"/>
      <c r="Z371" s="1075"/>
      <c r="AA371" s="1075"/>
      <c r="AB371" s="1075"/>
      <c r="AC371" s="1075"/>
      <c r="AD371" s="1075"/>
      <c r="AE371" s="1075"/>
      <c r="AF371" s="1075"/>
      <c r="AG371" s="1075"/>
      <c r="AH371" s="1075"/>
      <c r="AI371" s="1075"/>
      <c r="AJ371" s="1075"/>
      <c r="AK371" s="1075" t="str">
        <f>IF(Sheet1!AE368="C",Sheet1!AK368,"-")</f>
        <v>-</v>
      </c>
      <c r="AL371" s="1075" t="str">
        <f>IF(Sheet1!AE368="D",Sheet1!AK368,"-")</f>
        <v>-</v>
      </c>
      <c r="AM371" s="1075" t="str">
        <f>IF(Sheet1!AE365="E",Sheet1!AK365,"-")</f>
        <v>-</v>
      </c>
    </row>
    <row r="372" spans="2:39" x14ac:dyDescent="0.25">
      <c r="B372" s="1082">
        <f>Sheet1!F366</f>
        <v>891</v>
      </c>
      <c r="C372" s="1075" t="str">
        <f>Sheet1!C366</f>
        <v>Hontoon Rd.</v>
      </c>
      <c r="D372" s="1075" t="str">
        <f>_xlfn.TEXTBEFORE(Sheet1!E366, " to ")</f>
        <v>Botts Landing Rd.</v>
      </c>
      <c r="E372" s="1075" t="str">
        <f>_xlfn.TEXTAFTER(Sheet1!E366, " to ")</f>
        <v>Old New York Ave.</v>
      </c>
      <c r="F372" s="1075">
        <f>Sheet1!AM366</f>
        <v>2</v>
      </c>
      <c r="G372" s="1075"/>
      <c r="H372" s="1083" t="str">
        <f>Sheet1!AE366</f>
        <v>C</v>
      </c>
      <c r="I372" s="1075"/>
      <c r="J372" s="1075" t="str">
        <f>Sheet1!Q366</f>
        <v>UA_NSSRC1_2W_2L_U_0L</v>
      </c>
      <c r="K372" s="1075"/>
      <c r="L372" s="1075">
        <f>Sheet1!AF366</f>
        <v>12100</v>
      </c>
      <c r="M372" s="1075"/>
      <c r="N372" s="1075"/>
      <c r="O372" s="1075"/>
      <c r="P372" s="1075">
        <f>Sheet1!AK366</f>
        <v>1230</v>
      </c>
      <c r="Q372" s="1075"/>
      <c r="R372" s="1075">
        <f>Sheet1!AD366</f>
        <v>3560</v>
      </c>
      <c r="S372" s="1081">
        <f>Sheet1!AG366</f>
        <v>0.29421487603305785</v>
      </c>
      <c r="T372" s="1075" t="str">
        <f>Sheet1!AH366</f>
        <v>C</v>
      </c>
      <c r="U372" s="1075">
        <f>Sheet1!AI366</f>
        <v>240</v>
      </c>
      <c r="V372" s="1075"/>
      <c r="W372" s="1075"/>
      <c r="X372" s="1075">
        <f>Sheet1!AJ366</f>
        <v>290</v>
      </c>
      <c r="Y372" s="1075"/>
      <c r="Z372" s="1075"/>
      <c r="AA372" s="1075"/>
      <c r="AB372" s="1075"/>
      <c r="AC372" s="1075"/>
      <c r="AD372" s="1075"/>
      <c r="AE372" s="1075"/>
      <c r="AF372" s="1075"/>
      <c r="AG372" s="1075"/>
      <c r="AH372" s="1075"/>
      <c r="AI372" s="1075"/>
      <c r="AJ372" s="1075"/>
      <c r="AK372" s="1075" t="str">
        <f>IF(Sheet1!AE369="C",Sheet1!AK369,"-")</f>
        <v>-</v>
      </c>
      <c r="AL372" s="1075" t="str">
        <f>IF(Sheet1!AE369="D",Sheet1!AK369,"-")</f>
        <v>-</v>
      </c>
      <c r="AM372" s="1075" t="str">
        <f>IF(Sheet1!AE366="E",Sheet1!AK366,"-")</f>
        <v>-</v>
      </c>
    </row>
    <row r="373" spans="2:39" x14ac:dyDescent="0.25">
      <c r="B373" s="1082">
        <f>Sheet1!F367</f>
        <v>901</v>
      </c>
      <c r="C373" s="1075" t="str">
        <f>Sheet1!C367</f>
        <v>Howland Blvd.</v>
      </c>
      <c r="D373" s="1075" t="str">
        <f>_xlfn.TEXTBEFORE(Sheet1!E367, " to ")</f>
        <v>I-4/SR 472</v>
      </c>
      <c r="E373" s="1075" t="str">
        <f>_xlfn.TEXTAFTER(Sheet1!E367, " to ")</f>
        <v>Wolf Pack Run</v>
      </c>
      <c r="F373" s="1075">
        <f>Sheet1!AM367</f>
        <v>4</v>
      </c>
      <c r="G373" s="1075"/>
      <c r="H373" s="1083" t="str">
        <f>Sheet1!AE367</f>
        <v>E</v>
      </c>
      <c r="I373" s="1075"/>
      <c r="J373" s="1075" t="str">
        <f>Sheet1!Q367</f>
        <v>UA_NSSRC1_2W_4L_D_WL</v>
      </c>
      <c r="K373" s="1075"/>
      <c r="L373" s="1075">
        <f>Sheet1!AF367</f>
        <v>37970</v>
      </c>
      <c r="M373" s="1075"/>
      <c r="N373" s="1075"/>
      <c r="O373" s="1075"/>
      <c r="P373" s="1075">
        <f>Sheet1!AK367</f>
        <v>3410</v>
      </c>
      <c r="Q373" s="1075"/>
      <c r="R373" s="1075">
        <f>Sheet1!AD367</f>
        <v>31040</v>
      </c>
      <c r="S373" s="1081">
        <f>Sheet1!AG367</f>
        <v>0.81748749012378197</v>
      </c>
      <c r="T373" s="1075" t="str">
        <f>Sheet1!AH367</f>
        <v>C</v>
      </c>
      <c r="U373" s="1075">
        <f>Sheet1!AI367</f>
        <v>2060</v>
      </c>
      <c r="V373" s="1075"/>
      <c r="W373" s="1075"/>
      <c r="X373" s="1075">
        <f>Sheet1!AJ367</f>
        <v>2500</v>
      </c>
      <c r="Y373" s="1075"/>
      <c r="Z373" s="1075"/>
      <c r="AA373" s="1075"/>
      <c r="AB373" s="1075"/>
      <c r="AC373" s="1075"/>
      <c r="AD373" s="1075"/>
      <c r="AE373" s="1075"/>
      <c r="AF373" s="1075"/>
      <c r="AG373" s="1075"/>
      <c r="AH373" s="1075"/>
      <c r="AI373" s="1075"/>
      <c r="AJ373" s="1075"/>
      <c r="AK373" s="1075" t="str">
        <f>IF(Sheet1!AE370="C",Sheet1!AK370,"-")</f>
        <v>-</v>
      </c>
      <c r="AL373" s="1075" t="str">
        <f>IF(Sheet1!AE370="D",Sheet1!AK370,"-")</f>
        <v>-</v>
      </c>
      <c r="AM373" s="1075">
        <f>IF(Sheet1!AE367="E",Sheet1!AK367,"-")</f>
        <v>3410</v>
      </c>
    </row>
    <row r="374" spans="2:39" x14ac:dyDescent="0.25">
      <c r="B374" s="1082">
        <f>Sheet1!F368</f>
        <v>903</v>
      </c>
      <c r="C374" s="1075" t="str">
        <f>Sheet1!C368</f>
        <v>Howland Blvd.</v>
      </c>
      <c r="D374" s="1075" t="str">
        <f>_xlfn.TEXTBEFORE(Sheet1!E368, " to ")</f>
        <v>Wolf Pack Run</v>
      </c>
      <c r="E374" s="1075" t="str">
        <f>_xlfn.TEXTAFTER(Sheet1!E368, " to ")</f>
        <v>Catalina Blvd.</v>
      </c>
      <c r="F374" s="1075">
        <f>Sheet1!AM368</f>
        <v>4</v>
      </c>
      <c r="G374" s="1075"/>
      <c r="H374" s="1083" t="str">
        <f>Sheet1!AE368</f>
        <v>E</v>
      </c>
      <c r="I374" s="1075"/>
      <c r="J374" s="1075" t="str">
        <f>Sheet1!Q368</f>
        <v>UA_NSSRC1_2W_4L_D_WL</v>
      </c>
      <c r="K374" s="1075"/>
      <c r="L374" s="1075">
        <f>Sheet1!AF368</f>
        <v>37970</v>
      </c>
      <c r="M374" s="1075"/>
      <c r="N374" s="1075"/>
      <c r="O374" s="1075"/>
      <c r="P374" s="1075">
        <f>Sheet1!AK368</f>
        <v>3410</v>
      </c>
      <c r="Q374" s="1075"/>
      <c r="R374" s="1075">
        <f>Sheet1!AD368</f>
        <v>28510</v>
      </c>
      <c r="S374" s="1081">
        <f>Sheet1!AG368</f>
        <v>0.75085593889913094</v>
      </c>
      <c r="T374" s="1075" t="str">
        <f>Sheet1!AH368</f>
        <v>C</v>
      </c>
      <c r="U374" s="1075">
        <f>Sheet1!AI368</f>
        <v>1860</v>
      </c>
      <c r="V374" s="1075"/>
      <c r="W374" s="1075"/>
      <c r="X374" s="1075">
        <f>Sheet1!AJ368</f>
        <v>2310</v>
      </c>
      <c r="Y374" s="1075"/>
      <c r="Z374" s="1075"/>
      <c r="AA374" s="1075"/>
      <c r="AB374" s="1075"/>
      <c r="AC374" s="1075"/>
      <c r="AD374" s="1075"/>
      <c r="AE374" s="1075"/>
      <c r="AF374" s="1075"/>
      <c r="AG374" s="1075"/>
      <c r="AH374" s="1075"/>
      <c r="AI374" s="1075"/>
      <c r="AJ374" s="1075"/>
      <c r="AK374" s="1075" t="str">
        <f>IF(Sheet1!AE371="C",Sheet1!AK371,"-")</f>
        <v>-</v>
      </c>
      <c r="AL374" s="1075" t="str">
        <f>IF(Sheet1!AE371="D",Sheet1!AK371,"-")</f>
        <v>-</v>
      </c>
      <c r="AM374" s="1075">
        <f>IF(Sheet1!AE368="E",Sheet1!AK368,"-")</f>
        <v>3410</v>
      </c>
    </row>
    <row r="375" spans="2:39" x14ac:dyDescent="0.25">
      <c r="B375" s="1082">
        <f>Sheet1!F369</f>
        <v>905</v>
      </c>
      <c r="C375" s="1075" t="str">
        <f>Sheet1!C369</f>
        <v>Howland Blvd.</v>
      </c>
      <c r="D375" s="1075" t="str">
        <f>_xlfn.TEXTBEFORE(Sheet1!E369, " to ")</f>
        <v>Catalina Blvd.</v>
      </c>
      <c r="E375" s="1075" t="str">
        <f>_xlfn.TEXTAFTER(Sheet1!E369, " to ")</f>
        <v>Providence Blvd.</v>
      </c>
      <c r="F375" s="1075">
        <f>Sheet1!AM369</f>
        <v>4</v>
      </c>
      <c r="G375" s="1075"/>
      <c r="H375" s="1083" t="str">
        <f>Sheet1!AE369</f>
        <v>E</v>
      </c>
      <c r="I375" s="1075"/>
      <c r="J375" s="1075" t="str">
        <f>Sheet1!Q369</f>
        <v>UA_NSSRC1_2W_4L_D_WL</v>
      </c>
      <c r="K375" s="1075"/>
      <c r="L375" s="1075">
        <f>Sheet1!AF369</f>
        <v>37970</v>
      </c>
      <c r="M375" s="1075"/>
      <c r="N375" s="1075"/>
      <c r="O375" s="1075"/>
      <c r="P375" s="1075">
        <f>Sheet1!AK369</f>
        <v>3410</v>
      </c>
      <c r="Q375" s="1075"/>
      <c r="R375" s="1075">
        <f>Sheet1!AD369</f>
        <v>20570</v>
      </c>
      <c r="S375" s="1081">
        <f>Sheet1!AG369</f>
        <v>0.54174348169607589</v>
      </c>
      <c r="T375" s="1075" t="str">
        <f>Sheet1!AH369</f>
        <v>C</v>
      </c>
      <c r="U375" s="1075">
        <f>Sheet1!AI369</f>
        <v>1360</v>
      </c>
      <c r="V375" s="1075"/>
      <c r="W375" s="1075"/>
      <c r="X375" s="1075">
        <f>Sheet1!AJ369</f>
        <v>1670</v>
      </c>
      <c r="Y375" s="1075"/>
      <c r="Z375" s="1075"/>
      <c r="AA375" s="1075"/>
      <c r="AB375" s="1075"/>
      <c r="AC375" s="1075"/>
      <c r="AD375" s="1075"/>
      <c r="AE375" s="1075"/>
      <c r="AF375" s="1075"/>
      <c r="AG375" s="1075"/>
      <c r="AH375" s="1075"/>
      <c r="AI375" s="1075"/>
      <c r="AJ375" s="1075"/>
      <c r="AK375" s="1075" t="str">
        <f>IF(Sheet1!AE372="C",Sheet1!AK372,"-")</f>
        <v>-</v>
      </c>
      <c r="AL375" s="1075" t="str">
        <f>IF(Sheet1!AE372="D",Sheet1!AK372,"-")</f>
        <v>-</v>
      </c>
      <c r="AM375" s="1075">
        <f>IF(Sheet1!AE369="E",Sheet1!AK369,"-")</f>
        <v>3410</v>
      </c>
    </row>
    <row r="376" spans="2:39" x14ac:dyDescent="0.25">
      <c r="B376" s="1082">
        <f>Sheet1!F370</f>
        <v>906</v>
      </c>
      <c r="C376" s="1075" t="str">
        <f>Sheet1!C370</f>
        <v>Howland Blvd.</v>
      </c>
      <c r="D376" s="1075" t="str">
        <f>_xlfn.TEXTBEFORE(Sheet1!E370, " to ")</f>
        <v>Providence Blvd.</v>
      </c>
      <c r="E376" s="1075" t="str">
        <f>_xlfn.TEXTAFTER(Sheet1!E370, " to ")</f>
        <v>Elkcam Blvd.</v>
      </c>
      <c r="F376" s="1075">
        <f>Sheet1!AM370</f>
        <v>2</v>
      </c>
      <c r="G376" s="1075"/>
      <c r="H376" s="1083" t="str">
        <f>Sheet1!AE370</f>
        <v>E</v>
      </c>
      <c r="I376" s="1075"/>
      <c r="J376" s="1075" t="str">
        <f>Sheet1!Q370</f>
        <v>UA_NSSRC1_2W_2L_U_0L</v>
      </c>
      <c r="K376" s="1075"/>
      <c r="L376" s="1075">
        <f>Sheet1!AF370</f>
        <v>13640</v>
      </c>
      <c r="M376" s="1075"/>
      <c r="N376" s="1075"/>
      <c r="O376" s="1075"/>
      <c r="P376" s="1075">
        <f>Sheet1!AK370</f>
        <v>1230</v>
      </c>
      <c r="Q376" s="1075"/>
      <c r="R376" s="1075">
        <f>Sheet1!AD370</f>
        <v>13980</v>
      </c>
      <c r="S376" s="1081">
        <f>Sheet1!AG370</f>
        <v>1.0249266862170088</v>
      </c>
      <c r="T376" s="1075" t="str">
        <f>Sheet1!AH370</f>
        <v>E</v>
      </c>
      <c r="U376" s="1075">
        <f>Sheet1!AI370</f>
        <v>960</v>
      </c>
      <c r="V376" s="1075"/>
      <c r="W376" s="1075"/>
      <c r="X376" s="1075">
        <f>Sheet1!AJ370</f>
        <v>1100</v>
      </c>
      <c r="Y376" s="1075"/>
      <c r="Z376" s="1075"/>
      <c r="AA376" s="1075"/>
      <c r="AB376" s="1075"/>
      <c r="AC376" s="1075"/>
      <c r="AD376" s="1075"/>
      <c r="AE376" s="1075"/>
      <c r="AF376" s="1075"/>
      <c r="AG376" s="1075"/>
      <c r="AH376" s="1075"/>
      <c r="AI376" s="1075"/>
      <c r="AJ376" s="1075"/>
      <c r="AK376" s="1075" t="str">
        <f>IF(Sheet1!AE373="C",Sheet1!AK373,"-")</f>
        <v>-</v>
      </c>
      <c r="AL376" s="1075" t="str">
        <f>IF(Sheet1!AE373="D",Sheet1!AK373,"-")</f>
        <v>-</v>
      </c>
      <c r="AM376" s="1075">
        <f>IF(Sheet1!AE370="E",Sheet1!AK370,"-")</f>
        <v>1230</v>
      </c>
    </row>
    <row r="377" spans="2:39" x14ac:dyDescent="0.25">
      <c r="B377" s="1082">
        <f>Sheet1!F371</f>
        <v>908</v>
      </c>
      <c r="C377" s="1075" t="str">
        <f>Sheet1!C371</f>
        <v>Howland Blvd.</v>
      </c>
      <c r="D377" s="1075" t="str">
        <f>_xlfn.TEXTBEFORE(Sheet1!E371, " to ")</f>
        <v>Elkcam Blvd.</v>
      </c>
      <c r="E377" s="1075" t="str">
        <f>_xlfn.TEXTAFTER(Sheet1!E371, " to ")</f>
        <v>Lake Helen-Osteen Rd.</v>
      </c>
      <c r="F377" s="1075">
        <f>Sheet1!AM371</f>
        <v>4</v>
      </c>
      <c r="G377" s="1075"/>
      <c r="H377" s="1083" t="str">
        <f>Sheet1!AE371</f>
        <v>E</v>
      </c>
      <c r="I377" s="1075"/>
      <c r="J377" s="1075" t="str">
        <f>Sheet1!Q371</f>
        <v>UA_NSSRC1_2W_4L_D_WL</v>
      </c>
      <c r="K377" s="1075"/>
      <c r="L377" s="1075">
        <f>Sheet1!AF371</f>
        <v>37970</v>
      </c>
      <c r="M377" s="1075"/>
      <c r="N377" s="1075"/>
      <c r="O377" s="1075"/>
      <c r="P377" s="1075">
        <f>Sheet1!AK371</f>
        <v>3410</v>
      </c>
      <c r="Q377" s="1075"/>
      <c r="R377" s="1075">
        <f>Sheet1!AD371</f>
        <v>16110</v>
      </c>
      <c r="S377" s="1081">
        <f>Sheet1!AG371</f>
        <v>0.42428232815380562</v>
      </c>
      <c r="T377" s="1075" t="str">
        <f>Sheet1!AH371</f>
        <v>C</v>
      </c>
      <c r="U377" s="1075">
        <f>Sheet1!AI371</f>
        <v>950</v>
      </c>
      <c r="V377" s="1075"/>
      <c r="W377" s="1075"/>
      <c r="X377" s="1075">
        <f>Sheet1!AJ371</f>
        <v>1260</v>
      </c>
      <c r="Y377" s="1075"/>
      <c r="Z377" s="1075"/>
      <c r="AA377" s="1075"/>
      <c r="AB377" s="1075"/>
      <c r="AC377" s="1075"/>
      <c r="AD377" s="1075"/>
      <c r="AE377" s="1075"/>
      <c r="AF377" s="1075"/>
      <c r="AG377" s="1075"/>
      <c r="AH377" s="1075"/>
      <c r="AI377" s="1075"/>
      <c r="AJ377" s="1075"/>
      <c r="AK377" s="1075" t="str">
        <f>IF(Sheet1!AE374="C",Sheet1!AK374,"-")</f>
        <v>-</v>
      </c>
      <c r="AL377" s="1075" t="str">
        <f>IF(Sheet1!AE374="D",Sheet1!AK374,"-")</f>
        <v>-</v>
      </c>
      <c r="AM377" s="1075">
        <f>IF(Sheet1!AE371="E",Sheet1!AK371,"-")</f>
        <v>3410</v>
      </c>
    </row>
    <row r="378" spans="2:39" x14ac:dyDescent="0.25">
      <c r="B378" s="1082">
        <f>Sheet1!F372</f>
        <v>909</v>
      </c>
      <c r="C378" s="1075" t="str">
        <f>Sheet1!C372</f>
        <v>Howland Blvd.</v>
      </c>
      <c r="D378" s="1075" t="str">
        <f>_xlfn.TEXTBEFORE(Sheet1!E372, " to ")</f>
        <v>Lake Helen-Osteen Rd.</v>
      </c>
      <c r="E378" s="1075" t="str">
        <f>_xlfn.TEXTAFTER(Sheet1!E372, " to ")</f>
        <v>Newmark Dr.</v>
      </c>
      <c r="F378" s="1075">
        <f>Sheet1!AM372</f>
        <v>4</v>
      </c>
      <c r="G378" s="1075"/>
      <c r="H378" s="1083" t="str">
        <f>Sheet1!AE372</f>
        <v>E</v>
      </c>
      <c r="I378" s="1075"/>
      <c r="J378" s="1075" t="str">
        <f>Sheet1!Q372</f>
        <v>UA_NSSRC1_2W_4L_D_WL</v>
      </c>
      <c r="K378" s="1075"/>
      <c r="L378" s="1075">
        <f>Sheet1!AF372</f>
        <v>37970</v>
      </c>
      <c r="M378" s="1075"/>
      <c r="N378" s="1075"/>
      <c r="O378" s="1075"/>
      <c r="P378" s="1075">
        <f>Sheet1!AK372</f>
        <v>3410</v>
      </c>
      <c r="Q378" s="1075"/>
      <c r="R378" s="1075">
        <f>Sheet1!AD372</f>
        <v>22640</v>
      </c>
      <c r="S378" s="1081">
        <f>Sheet1!AG372</f>
        <v>0.59626020542533575</v>
      </c>
      <c r="T378" s="1075" t="str">
        <f>Sheet1!AH372</f>
        <v>C</v>
      </c>
      <c r="U378" s="1075">
        <f>Sheet1!AI372</f>
        <v>1470</v>
      </c>
      <c r="V378" s="1075"/>
      <c r="W378" s="1075"/>
      <c r="X378" s="1075">
        <f>Sheet1!AJ372</f>
        <v>1890</v>
      </c>
      <c r="Y378" s="1075"/>
      <c r="Z378" s="1075"/>
      <c r="AA378" s="1075"/>
      <c r="AB378" s="1075"/>
      <c r="AC378" s="1075"/>
      <c r="AD378" s="1075"/>
      <c r="AE378" s="1075"/>
      <c r="AF378" s="1075"/>
      <c r="AG378" s="1075"/>
      <c r="AH378" s="1075"/>
      <c r="AI378" s="1075"/>
      <c r="AJ378" s="1075"/>
      <c r="AK378" s="1075" t="str">
        <f>IF(Sheet1!AE375="C",Sheet1!AK375,"-")</f>
        <v>-</v>
      </c>
      <c r="AL378" s="1075" t="str">
        <f>IF(Sheet1!AE375="D",Sheet1!AK375,"-")</f>
        <v>-</v>
      </c>
      <c r="AM378" s="1075">
        <f>IF(Sheet1!AE372="E",Sheet1!AK372,"-")</f>
        <v>3410</v>
      </c>
    </row>
    <row r="379" spans="2:39" x14ac:dyDescent="0.25">
      <c r="B379" s="1082">
        <f>Sheet1!F373</f>
        <v>911</v>
      </c>
      <c r="C379" s="1075" t="str">
        <f>Sheet1!C373</f>
        <v>Howland Blvd.</v>
      </c>
      <c r="D379" s="1075" t="str">
        <f>_xlfn.TEXTBEFORE(Sheet1!E373, " to ")</f>
        <v>Newmark Dr.</v>
      </c>
      <c r="E379" s="1075" t="str">
        <f>_xlfn.TEXTAFTER(Sheet1!E373, " to ")</f>
        <v>Courtland Blvd.</v>
      </c>
      <c r="F379" s="1075">
        <f>Sheet1!AM373</f>
        <v>4</v>
      </c>
      <c r="G379" s="1075"/>
      <c r="H379" s="1083" t="str">
        <f>Sheet1!AE373</f>
        <v>E</v>
      </c>
      <c r="I379" s="1075"/>
      <c r="J379" s="1075" t="str">
        <f>Sheet1!Q373</f>
        <v>UA_NSSRC1_2W_4L_D_WL</v>
      </c>
      <c r="K379" s="1075"/>
      <c r="L379" s="1075">
        <f>Sheet1!AF373</f>
        <v>37970</v>
      </c>
      <c r="M379" s="1075"/>
      <c r="N379" s="1075"/>
      <c r="O379" s="1075"/>
      <c r="P379" s="1075">
        <f>Sheet1!AK373</f>
        <v>3410</v>
      </c>
      <c r="Q379" s="1075"/>
      <c r="R379" s="1075">
        <f>Sheet1!AD373</f>
        <v>19260</v>
      </c>
      <c r="S379" s="1081">
        <f>Sheet1!AG373</f>
        <v>0.50724255991572298</v>
      </c>
      <c r="T379" s="1075" t="str">
        <f>Sheet1!AH373</f>
        <v>C</v>
      </c>
      <c r="U379" s="1075">
        <f>Sheet1!AI373</f>
        <v>1310</v>
      </c>
      <c r="V379" s="1075"/>
      <c r="W379" s="1075"/>
      <c r="X379" s="1075">
        <f>Sheet1!AJ373</f>
        <v>1640</v>
      </c>
      <c r="Y379" s="1075"/>
      <c r="Z379" s="1075"/>
      <c r="AA379" s="1075"/>
      <c r="AB379" s="1075"/>
      <c r="AC379" s="1075"/>
      <c r="AD379" s="1075"/>
      <c r="AE379" s="1075"/>
      <c r="AF379" s="1075"/>
      <c r="AG379" s="1075"/>
      <c r="AH379" s="1075"/>
      <c r="AI379" s="1075"/>
      <c r="AJ379" s="1075"/>
      <c r="AK379" s="1075" t="str">
        <f>IF(Sheet1!AE376="C",Sheet1!AK376,"-")</f>
        <v>-</v>
      </c>
      <c r="AL379" s="1075" t="str">
        <f>IF(Sheet1!AE376="D",Sheet1!AK376,"-")</f>
        <v>-</v>
      </c>
      <c r="AM379" s="1075">
        <f>IF(Sheet1!AE373="E",Sheet1!AK373,"-")</f>
        <v>3410</v>
      </c>
    </row>
    <row r="380" spans="2:39" x14ac:dyDescent="0.25">
      <c r="B380" s="1082">
        <f>Sheet1!F374</f>
        <v>913</v>
      </c>
      <c r="C380" s="1075" t="str">
        <f>Sheet1!C374</f>
        <v>Howland Blvd.</v>
      </c>
      <c r="D380" s="1075" t="str">
        <f>_xlfn.TEXTBEFORE(Sheet1!E374, " to ")</f>
        <v>Courtland Blvd.</v>
      </c>
      <c r="E380" s="1075" t="str">
        <f>_xlfn.TEXTAFTER(Sheet1!E374, " to ")</f>
        <v xml:space="preserve"> Ft Smith Blvd.</v>
      </c>
      <c r="F380" s="1075">
        <f>Sheet1!AM374</f>
        <v>4</v>
      </c>
      <c r="G380" s="1075"/>
      <c r="H380" s="1083" t="str">
        <f>Sheet1!AE374</f>
        <v>E</v>
      </c>
      <c r="I380" s="1075"/>
      <c r="J380" s="1075" t="str">
        <f>Sheet1!Q374</f>
        <v>UA_NSSRC1_2W_4L_D_WL</v>
      </c>
      <c r="K380" s="1075"/>
      <c r="L380" s="1075">
        <f>Sheet1!AF374</f>
        <v>37970</v>
      </c>
      <c r="M380" s="1075"/>
      <c r="N380" s="1075"/>
      <c r="O380" s="1075"/>
      <c r="P380" s="1075">
        <f>Sheet1!AK374</f>
        <v>3410</v>
      </c>
      <c r="Q380" s="1075"/>
      <c r="R380" s="1075">
        <f>Sheet1!AD374</f>
        <v>15700</v>
      </c>
      <c r="S380" s="1081">
        <f>Sheet1!AG374</f>
        <v>0.41348432973400051</v>
      </c>
      <c r="T380" s="1075" t="str">
        <f>Sheet1!AH374</f>
        <v>C</v>
      </c>
      <c r="U380" s="1075">
        <f>Sheet1!AI374</f>
        <v>1280</v>
      </c>
      <c r="V380" s="1075"/>
      <c r="W380" s="1075"/>
      <c r="X380" s="1075">
        <f>Sheet1!AJ374</f>
        <v>1360</v>
      </c>
      <c r="Y380" s="1075"/>
      <c r="Z380" s="1075"/>
      <c r="AA380" s="1075"/>
      <c r="AB380" s="1075"/>
      <c r="AC380" s="1075"/>
      <c r="AD380" s="1075"/>
      <c r="AE380" s="1075"/>
      <c r="AF380" s="1075"/>
      <c r="AG380" s="1075"/>
      <c r="AH380" s="1075"/>
      <c r="AI380" s="1075"/>
      <c r="AJ380" s="1075"/>
      <c r="AK380" s="1075" t="str">
        <f>IF(Sheet1!AE377="C",Sheet1!AK377,"-")</f>
        <v>-</v>
      </c>
      <c r="AL380" s="1075" t="str">
        <f>IF(Sheet1!AE377="D",Sheet1!AK377,"-")</f>
        <v>-</v>
      </c>
      <c r="AM380" s="1075">
        <f>IF(Sheet1!AE374="E",Sheet1!AK374,"-")</f>
        <v>3410</v>
      </c>
    </row>
    <row r="381" spans="2:39" x14ac:dyDescent="0.25">
      <c r="B381" s="1082">
        <f>Sheet1!F375</f>
        <v>915</v>
      </c>
      <c r="C381" s="1075" t="str">
        <f>Sheet1!C375</f>
        <v>Howland Blvd.</v>
      </c>
      <c r="D381" s="1075" t="str">
        <f>_xlfn.TEXTBEFORE(Sheet1!E375, " to ")</f>
        <v>Ft Smith Blvd.</v>
      </c>
      <c r="E381" s="1075" t="str">
        <f>_xlfn.TEXTAFTER(Sheet1!E375, " to ")</f>
        <v>SR 415</v>
      </c>
      <c r="F381" s="1075">
        <f>Sheet1!AM375</f>
        <v>4</v>
      </c>
      <c r="G381" s="1075"/>
      <c r="H381" s="1083" t="str">
        <f>Sheet1!AE375</f>
        <v>E</v>
      </c>
      <c r="I381" s="1075"/>
      <c r="J381" s="1075" t="str">
        <f>Sheet1!Q375</f>
        <v>UA_NSSRC1_2W_4L_D_WL</v>
      </c>
      <c r="K381" s="1075"/>
      <c r="L381" s="1075">
        <f>Sheet1!AF375</f>
        <v>37970</v>
      </c>
      <c r="M381" s="1075"/>
      <c r="N381" s="1075"/>
      <c r="O381" s="1075"/>
      <c r="P381" s="1075">
        <f>Sheet1!AK375</f>
        <v>3410</v>
      </c>
      <c r="Q381" s="1075"/>
      <c r="R381" s="1075">
        <f>Sheet1!AD375</f>
        <v>17850</v>
      </c>
      <c r="S381" s="1081">
        <f>Sheet1!AG375</f>
        <v>0.47010797998419807</v>
      </c>
      <c r="T381" s="1075" t="str">
        <f>Sheet1!AH375</f>
        <v>C</v>
      </c>
      <c r="U381" s="1075">
        <f>Sheet1!AI375</f>
        <v>1230</v>
      </c>
      <c r="V381" s="1075"/>
      <c r="W381" s="1075"/>
      <c r="X381" s="1075">
        <f>Sheet1!AJ375</f>
        <v>1590</v>
      </c>
      <c r="Y381" s="1075"/>
      <c r="Z381" s="1075"/>
      <c r="AA381" s="1075"/>
      <c r="AB381" s="1075"/>
      <c r="AC381" s="1075"/>
      <c r="AD381" s="1075"/>
      <c r="AE381" s="1075"/>
      <c r="AF381" s="1075"/>
      <c r="AG381" s="1075"/>
      <c r="AH381" s="1075"/>
      <c r="AI381" s="1075"/>
      <c r="AJ381" s="1075"/>
      <c r="AK381" s="1075" t="str">
        <f>IF(Sheet1!AE378="C",Sheet1!AK378,"-")</f>
        <v>-</v>
      </c>
      <c r="AL381" s="1075" t="str">
        <f>IF(Sheet1!AE378="D",Sheet1!AK378,"-")</f>
        <v>-</v>
      </c>
      <c r="AM381" s="1075">
        <f>IF(Sheet1!AE375="E",Sheet1!AK375,"-")</f>
        <v>3410</v>
      </c>
    </row>
    <row r="382" spans="2:39" x14ac:dyDescent="0.25">
      <c r="B382" s="1082" t="str">
        <f>Sheet1!F376</f>
        <v>Future Road-2 lanes</v>
      </c>
      <c r="C382" s="1075" t="str">
        <f>Sheet1!C376</f>
        <v>I-4 Frontage Rd.</v>
      </c>
      <c r="D382" s="1075" t="str">
        <f>_xlfn.TEXTBEFORE(Sheet1!E376, " to ")</f>
        <v>Summit Ave.</v>
      </c>
      <c r="E382" s="1075" t="str">
        <f>_xlfn.TEXTAFTER(Sheet1!E376, " to ")</f>
        <v>Orange Camp Rd.</v>
      </c>
      <c r="F382" s="1075">
        <f>Sheet1!AM376</f>
        <v>0</v>
      </c>
      <c r="G382" s="1075"/>
      <c r="H382" s="1083" t="str">
        <f>Sheet1!AE376</f>
        <v>E</v>
      </c>
      <c r="I382" s="1075"/>
      <c r="J382" s="1075" t="str">
        <f>Sheet1!Q376</f>
        <v>UA_NSSRC1_2W_2L_U_0L</v>
      </c>
      <c r="K382" s="1075"/>
      <c r="L382" s="1075">
        <f>Sheet1!AF376</f>
        <v>13640</v>
      </c>
      <c r="M382" s="1075"/>
      <c r="N382" s="1075"/>
      <c r="O382" s="1075"/>
      <c r="P382" s="1075">
        <f>Sheet1!AK376</f>
        <v>1230</v>
      </c>
      <c r="Q382" s="1075"/>
      <c r="R382" s="1075" t="str">
        <f>Sheet1!AD376</f>
        <v>-</v>
      </c>
      <c r="S382" s="1081" t="str">
        <f>Sheet1!AG376</f>
        <v>-</v>
      </c>
      <c r="T382" s="1075" t="str">
        <f>Sheet1!AH376</f>
        <v>-</v>
      </c>
      <c r="U382" s="1075" t="str">
        <f>Sheet1!AI376</f>
        <v>-</v>
      </c>
      <c r="V382" s="1075"/>
      <c r="W382" s="1075"/>
      <c r="X382" s="1075" t="str">
        <f>Sheet1!AJ376</f>
        <v>-</v>
      </c>
      <c r="Y382" s="1075"/>
      <c r="Z382" s="1075"/>
      <c r="AA382" s="1075"/>
      <c r="AB382" s="1075"/>
      <c r="AC382" s="1075"/>
      <c r="AD382" s="1075"/>
      <c r="AE382" s="1075"/>
      <c r="AF382" s="1075"/>
      <c r="AG382" s="1075"/>
      <c r="AH382" s="1075"/>
      <c r="AI382" s="1075"/>
      <c r="AJ382" s="1075"/>
      <c r="AK382" s="1075" t="str">
        <f>IF(Sheet1!AE379="C",Sheet1!AK379,"-")</f>
        <v>-</v>
      </c>
      <c r="AL382" s="1075" t="str">
        <f>IF(Sheet1!AE379="D",Sheet1!AK379,"-")</f>
        <v>-</v>
      </c>
      <c r="AM382" s="1075">
        <f>IF(Sheet1!AE376="E",Sheet1!AK376,"-")</f>
        <v>1230</v>
      </c>
    </row>
    <row r="383" spans="2:39" x14ac:dyDescent="0.25">
      <c r="B383" s="1082" t="str">
        <f>Sheet1!F377</f>
        <v>Future Road-4 lanes</v>
      </c>
      <c r="C383" s="1075" t="str">
        <f>Sheet1!C377</f>
        <v>I-4 Frontage Rd.</v>
      </c>
      <c r="D383" s="1075" t="str">
        <f>_xlfn.TEXTBEFORE(Sheet1!E377, " to ")</f>
        <v>Orange Campe Rd.</v>
      </c>
      <c r="E383" s="1075" t="str">
        <f>_xlfn.TEXTAFTER(Sheet1!E377, " to ")</f>
        <v>Cassadaga Rd.</v>
      </c>
      <c r="F383" s="1075">
        <f>Sheet1!AM377</f>
        <v>0</v>
      </c>
      <c r="G383" s="1075"/>
      <c r="H383" s="1083" t="str">
        <f>Sheet1!AE377</f>
        <v>E</v>
      </c>
      <c r="I383" s="1075"/>
      <c r="J383" s="1075" t="str">
        <f>Sheet1!Q377</f>
        <v>UA_NSSRC1_2W_4L_D_WL</v>
      </c>
      <c r="K383" s="1075"/>
      <c r="L383" s="1075">
        <f>Sheet1!AF377</f>
        <v>37970</v>
      </c>
      <c r="M383" s="1075"/>
      <c r="N383" s="1075"/>
      <c r="O383" s="1075"/>
      <c r="P383" s="1075">
        <f>Sheet1!AK377</f>
        <v>3410</v>
      </c>
      <c r="Q383" s="1075"/>
      <c r="R383" s="1075" t="str">
        <f>Sheet1!AD377</f>
        <v>-</v>
      </c>
      <c r="S383" s="1081" t="str">
        <f>Sheet1!AG377</f>
        <v>-</v>
      </c>
      <c r="T383" s="1075" t="str">
        <f>Sheet1!AH377</f>
        <v>-</v>
      </c>
      <c r="U383" s="1075" t="str">
        <f>Sheet1!AI377</f>
        <v>-</v>
      </c>
      <c r="V383" s="1075"/>
      <c r="W383" s="1075"/>
      <c r="X383" s="1075" t="str">
        <f>Sheet1!AJ377</f>
        <v>-</v>
      </c>
      <c r="Y383" s="1075"/>
      <c r="Z383" s="1075"/>
      <c r="AA383" s="1075"/>
      <c r="AB383" s="1075"/>
      <c r="AC383" s="1075"/>
      <c r="AD383" s="1075"/>
      <c r="AE383" s="1075"/>
      <c r="AF383" s="1075"/>
      <c r="AG383" s="1075"/>
      <c r="AH383" s="1075"/>
      <c r="AI383" s="1075"/>
      <c r="AJ383" s="1075"/>
      <c r="AK383" s="1075" t="str">
        <f>IF(Sheet1!AE380="C",Sheet1!AK380,"-")</f>
        <v>-</v>
      </c>
      <c r="AL383" s="1075" t="str">
        <f>IF(Sheet1!AE380="D",Sheet1!AK380,"-")</f>
        <v>-</v>
      </c>
      <c r="AM383" s="1075">
        <f>IF(Sheet1!AE377="E",Sheet1!AK377,"-")</f>
        <v>3410</v>
      </c>
    </row>
    <row r="384" spans="2:39" x14ac:dyDescent="0.25">
      <c r="B384" s="1082" t="str">
        <f>Sheet1!F378</f>
        <v>Future Road-4 lanes</v>
      </c>
      <c r="C384" s="1075" t="str">
        <f>Sheet1!C378</f>
        <v>I-4 Frontage Rd.</v>
      </c>
      <c r="D384" s="1075" t="str">
        <f>_xlfn.TEXTBEFORE(Sheet1!E378, " to ")</f>
        <v>Cassadaga Rd.</v>
      </c>
      <c r="E384" s="1075" t="str">
        <f>_xlfn.TEXTAFTER(Sheet1!E378, " to ")</f>
        <v>SR 472</v>
      </c>
      <c r="F384" s="1075">
        <f>Sheet1!AM378</f>
        <v>0</v>
      </c>
      <c r="G384" s="1075"/>
      <c r="H384" s="1083" t="str">
        <f>Sheet1!AE378</f>
        <v>E</v>
      </c>
      <c r="I384" s="1075"/>
      <c r="J384" s="1075" t="str">
        <f>Sheet1!Q378</f>
        <v>UA_NSSRC1_2W_4L_D_WL</v>
      </c>
      <c r="K384" s="1075"/>
      <c r="L384" s="1075">
        <f>Sheet1!AF378</f>
        <v>37970</v>
      </c>
      <c r="M384" s="1075"/>
      <c r="N384" s="1075"/>
      <c r="O384" s="1075"/>
      <c r="P384" s="1075">
        <f>Sheet1!AK378</f>
        <v>3410</v>
      </c>
      <c r="Q384" s="1075"/>
      <c r="R384" s="1075" t="str">
        <f>Sheet1!AD378</f>
        <v>-</v>
      </c>
      <c r="S384" s="1081" t="str">
        <f>Sheet1!AG378</f>
        <v>-</v>
      </c>
      <c r="T384" s="1075" t="str">
        <f>Sheet1!AH378</f>
        <v>-</v>
      </c>
      <c r="U384" s="1075" t="str">
        <f>Sheet1!AI378</f>
        <v>-</v>
      </c>
      <c r="V384" s="1075"/>
      <c r="W384" s="1075"/>
      <c r="X384" s="1075" t="str">
        <f>Sheet1!AJ378</f>
        <v>-</v>
      </c>
      <c r="Y384" s="1075"/>
      <c r="Z384" s="1075"/>
      <c r="AA384" s="1075"/>
      <c r="AB384" s="1075"/>
      <c r="AC384" s="1075"/>
      <c r="AD384" s="1075"/>
      <c r="AE384" s="1075"/>
      <c r="AF384" s="1075"/>
      <c r="AG384" s="1075"/>
      <c r="AH384" s="1075"/>
      <c r="AI384" s="1075"/>
      <c r="AJ384" s="1075"/>
      <c r="AK384" s="1075" t="str">
        <f>IF(Sheet1!AE381="C",Sheet1!AK381,"-")</f>
        <v>-</v>
      </c>
      <c r="AL384" s="1075" t="str">
        <f>IF(Sheet1!AE381="D",Sheet1!AK381,"-")</f>
        <v>-</v>
      </c>
      <c r="AM384" s="1075">
        <f>IF(Sheet1!AE378="E",Sheet1!AK378,"-")</f>
        <v>3410</v>
      </c>
    </row>
    <row r="385" spans="2:39" x14ac:dyDescent="0.25">
      <c r="B385" s="1082">
        <f>Sheet1!F379</f>
        <v>935</v>
      </c>
      <c r="C385" s="1075" t="str">
        <f>Sheet1!C379</f>
        <v>Indian Lake Rd.</v>
      </c>
      <c r="D385" s="1075" t="str">
        <f>_xlfn.TEXTBEFORE(Sheet1!E379, " to ")</f>
        <v>Tiger Bay Rd.</v>
      </c>
      <c r="E385" s="1075" t="str">
        <f>_xlfn.TEXTAFTER(Sheet1!E379, " to ")</f>
        <v>US 92</v>
      </c>
      <c r="F385" s="1075">
        <f>Sheet1!AM379</f>
        <v>2</v>
      </c>
      <c r="G385" s="1075"/>
      <c r="H385" s="1083" t="str">
        <f>Sheet1!AE379</f>
        <v>E</v>
      </c>
      <c r="I385" s="1075"/>
      <c r="J385" s="1075" t="str">
        <f>Sheet1!Q379</f>
        <v>UA_NSSRC1_2W_2L_U_0L</v>
      </c>
      <c r="K385" s="1075"/>
      <c r="L385" s="1075">
        <f>Sheet1!AF379</f>
        <v>13640</v>
      </c>
      <c r="M385" s="1075"/>
      <c r="N385" s="1075"/>
      <c r="O385" s="1075"/>
      <c r="P385" s="1075">
        <f>Sheet1!AK379</f>
        <v>1230</v>
      </c>
      <c r="Q385" s="1075"/>
      <c r="R385" s="1075">
        <f>Sheet1!AD379</f>
        <v>5150</v>
      </c>
      <c r="S385" s="1081">
        <f>Sheet1!AG379</f>
        <v>0.37756598240469208</v>
      </c>
      <c r="T385" s="1075" t="str">
        <f>Sheet1!AH379</f>
        <v>C</v>
      </c>
      <c r="U385" s="1075">
        <f>Sheet1!AI379</f>
        <v>480</v>
      </c>
      <c r="V385" s="1075"/>
      <c r="W385" s="1075"/>
      <c r="X385" s="1075">
        <f>Sheet1!AJ379</f>
        <v>480</v>
      </c>
      <c r="Y385" s="1075"/>
      <c r="Z385" s="1075"/>
      <c r="AA385" s="1075"/>
      <c r="AB385" s="1075"/>
      <c r="AC385" s="1075"/>
      <c r="AD385" s="1075"/>
      <c r="AE385" s="1075"/>
      <c r="AF385" s="1075"/>
      <c r="AG385" s="1075"/>
      <c r="AH385" s="1075"/>
      <c r="AI385" s="1075"/>
      <c r="AJ385" s="1075"/>
      <c r="AK385" s="1075">
        <f>IF(Sheet1!AE382="C",Sheet1!AK382,"-")</f>
        <v>1120</v>
      </c>
      <c r="AL385" s="1075" t="str">
        <f>IF(Sheet1!AE382="D",Sheet1!AK382,"-")</f>
        <v>-</v>
      </c>
      <c r="AM385" s="1075">
        <f>IF(Sheet1!AE379="E",Sheet1!AK379,"-")</f>
        <v>1230</v>
      </c>
    </row>
    <row r="386" spans="2:39" x14ac:dyDescent="0.25">
      <c r="B386" s="1082">
        <f>Sheet1!F380</f>
        <v>972</v>
      </c>
      <c r="C386" s="1075" t="str">
        <f>Sheet1!C380</f>
        <v>John Anderson Dr.</v>
      </c>
      <c r="D386" s="1075" t="str">
        <f>_xlfn.TEXTBEFORE(Sheet1!E380, " to ")</f>
        <v>Halifax Dr</v>
      </c>
      <c r="E386" s="1075" t="str">
        <f>_xlfn.TEXTAFTER(Sheet1!E380, " to ")</f>
        <v>Lynnhurst</v>
      </c>
      <c r="F386" s="1075">
        <f>Sheet1!AM380</f>
        <v>2</v>
      </c>
      <c r="G386" s="1075"/>
      <c r="H386" s="1083" t="str">
        <f>Sheet1!AE380</f>
        <v>E</v>
      </c>
      <c r="I386" s="1075"/>
      <c r="J386" s="1075" t="str">
        <f>Sheet1!Q380</f>
        <v>UA_NSSRC2_2W_2L_U_0L</v>
      </c>
      <c r="K386" s="1075"/>
      <c r="L386" s="1075">
        <f>Sheet1!AF380</f>
        <v>13640</v>
      </c>
      <c r="M386" s="1075"/>
      <c r="N386" s="1075"/>
      <c r="O386" s="1075"/>
      <c r="P386" s="1075">
        <f>Sheet1!AK380</f>
        <v>1020</v>
      </c>
      <c r="Q386" s="1075"/>
      <c r="R386" s="1075">
        <f>Sheet1!AD380</f>
        <v>3630</v>
      </c>
      <c r="S386" s="1081">
        <f>Sheet1!AG380</f>
        <v>0.2661290322580645</v>
      </c>
      <c r="T386" s="1075" t="str">
        <f>Sheet1!AH380</f>
        <v>C</v>
      </c>
      <c r="U386" s="1075">
        <f>Sheet1!AI380</f>
        <v>290</v>
      </c>
      <c r="V386" s="1075"/>
      <c r="W386" s="1075"/>
      <c r="X386" s="1075">
        <f>Sheet1!AJ380</f>
        <v>300</v>
      </c>
      <c r="Y386" s="1075"/>
      <c r="Z386" s="1075"/>
      <c r="AA386" s="1075"/>
      <c r="AB386" s="1075"/>
      <c r="AC386" s="1075"/>
      <c r="AD386" s="1075"/>
      <c r="AE386" s="1075"/>
      <c r="AF386" s="1075"/>
      <c r="AG386" s="1075"/>
      <c r="AH386" s="1075"/>
      <c r="AI386" s="1075"/>
      <c r="AJ386" s="1075"/>
      <c r="AK386" s="1075" t="str">
        <f>IF(Sheet1!AE383="C",Sheet1!AK383,"-")</f>
        <v>-</v>
      </c>
      <c r="AL386" s="1075" t="str">
        <f>IF(Sheet1!AE383="D",Sheet1!AK383,"-")</f>
        <v>-</v>
      </c>
      <c r="AM386" s="1075">
        <f>IF(Sheet1!AE380="E",Sheet1!AK380,"-")</f>
        <v>1020</v>
      </c>
    </row>
    <row r="387" spans="2:39" x14ac:dyDescent="0.25">
      <c r="B387" s="1082">
        <f>Sheet1!F381</f>
        <v>974</v>
      </c>
      <c r="C387" s="1075" t="str">
        <f>Sheet1!C381</f>
        <v>John Anderson Dr.</v>
      </c>
      <c r="D387" s="1075" t="str">
        <f>_xlfn.TEXTBEFORE(Sheet1!E381, " to ")</f>
        <v>Lynnhurst</v>
      </c>
      <c r="E387" s="1075" t="str">
        <f>_xlfn.TEXTAFTER(Sheet1!E381, " to ")</f>
        <v>Highbridge Rd.</v>
      </c>
      <c r="F387" s="1075">
        <f>Sheet1!AM381</f>
        <v>2</v>
      </c>
      <c r="G387" s="1075"/>
      <c r="H387" s="1083" t="str">
        <f>Sheet1!AE381</f>
        <v>E</v>
      </c>
      <c r="I387" s="1075"/>
      <c r="J387" s="1075" t="str">
        <f>Sheet1!Q381</f>
        <v>UA_NSSRC2_2W_2L_U_0L</v>
      </c>
      <c r="K387" s="1075"/>
      <c r="L387" s="1075">
        <f>Sheet1!AF381</f>
        <v>13640</v>
      </c>
      <c r="M387" s="1075"/>
      <c r="N387" s="1075"/>
      <c r="O387" s="1075"/>
      <c r="P387" s="1075">
        <f>Sheet1!AK381</f>
        <v>1020</v>
      </c>
      <c r="Q387" s="1075"/>
      <c r="R387" s="1075">
        <f>Sheet1!AD381</f>
        <v>3930</v>
      </c>
      <c r="S387" s="1081">
        <f>Sheet1!AG381</f>
        <v>0.28812316715542524</v>
      </c>
      <c r="T387" s="1075" t="str">
        <f>Sheet1!AH381</f>
        <v>C</v>
      </c>
      <c r="U387" s="1075">
        <f>Sheet1!AI381</f>
        <v>290</v>
      </c>
      <c r="V387" s="1075"/>
      <c r="W387" s="1075"/>
      <c r="X387" s="1075">
        <f>Sheet1!AJ381</f>
        <v>340</v>
      </c>
      <c r="Y387" s="1075"/>
      <c r="Z387" s="1075"/>
      <c r="AA387" s="1075"/>
      <c r="AB387" s="1075"/>
      <c r="AC387" s="1075"/>
      <c r="AD387" s="1075"/>
      <c r="AE387" s="1075"/>
      <c r="AF387" s="1075"/>
      <c r="AG387" s="1075"/>
      <c r="AH387" s="1075"/>
      <c r="AI387" s="1075"/>
      <c r="AJ387" s="1075"/>
      <c r="AK387" s="1075" t="str">
        <f>IF(Sheet1!AE384="C",Sheet1!AK384,"-")</f>
        <v>-</v>
      </c>
      <c r="AL387" s="1075" t="str">
        <f>IF(Sheet1!AE384="D",Sheet1!AK384,"-")</f>
        <v>-</v>
      </c>
      <c r="AM387" s="1075">
        <f>IF(Sheet1!AE381="E",Sheet1!AK381,"-")</f>
        <v>1020</v>
      </c>
    </row>
    <row r="388" spans="2:39" x14ac:dyDescent="0.25">
      <c r="B388" s="1082">
        <f>Sheet1!F382</f>
        <v>990</v>
      </c>
      <c r="C388" s="1075" t="str">
        <f>Sheet1!C382</f>
        <v>John Anderson Hwy.</v>
      </c>
      <c r="D388" s="1075" t="str">
        <f>_xlfn.TEXTBEFORE(Sheet1!E382, " to ")</f>
        <v>Walter Boardman Lane</v>
      </c>
      <c r="E388" s="1075" t="str">
        <f>_xlfn.TEXTAFTER(Sheet1!E382, " to ")</f>
        <v>Flagler Co.</v>
      </c>
      <c r="F388" s="1075">
        <f>Sheet1!AM382</f>
        <v>2</v>
      </c>
      <c r="G388" s="1075"/>
      <c r="H388" s="1083" t="str">
        <f>Sheet1!AE382</f>
        <v>C</v>
      </c>
      <c r="I388" s="1075"/>
      <c r="J388" s="1075" t="str">
        <f>Sheet1!Q382</f>
        <v>RDA_UFH_2W_2L_U_0L</v>
      </c>
      <c r="K388" s="1075"/>
      <c r="L388" s="1075">
        <f>Sheet1!AF382</f>
        <v>11775</v>
      </c>
      <c r="M388" s="1075"/>
      <c r="N388" s="1075"/>
      <c r="O388" s="1075"/>
      <c r="P388" s="1075">
        <f>Sheet1!AK382</f>
        <v>1120</v>
      </c>
      <c r="Q388" s="1075"/>
      <c r="R388" s="1075">
        <f>Sheet1!AD382</f>
        <v>1440</v>
      </c>
      <c r="S388" s="1081">
        <f>Sheet1!AG382</f>
        <v>0.12229299363057325</v>
      </c>
      <c r="T388" s="1075" t="str">
        <f>Sheet1!AH382</f>
        <v>B</v>
      </c>
      <c r="U388" s="1075">
        <f>Sheet1!AI382</f>
        <v>90</v>
      </c>
      <c r="V388" s="1075"/>
      <c r="W388" s="1075"/>
      <c r="X388" s="1075">
        <f>Sheet1!AJ382</f>
        <v>140</v>
      </c>
      <c r="Y388" s="1075"/>
      <c r="Z388" s="1075"/>
      <c r="AA388" s="1075"/>
      <c r="AB388" s="1075"/>
      <c r="AC388" s="1075"/>
      <c r="AD388" s="1075"/>
      <c r="AE388" s="1075"/>
      <c r="AF388" s="1075"/>
      <c r="AG388" s="1075"/>
      <c r="AH388" s="1075"/>
      <c r="AI388" s="1075"/>
      <c r="AJ388" s="1075"/>
      <c r="AK388" s="1075" t="str">
        <f>IF(Sheet1!AE385="C",Sheet1!AK385,"-")</f>
        <v>-</v>
      </c>
      <c r="AL388" s="1075" t="str">
        <f>IF(Sheet1!AE385="D",Sheet1!AK385,"-")</f>
        <v>-</v>
      </c>
      <c r="AM388" s="1075" t="str">
        <f>IF(Sheet1!AE382="E",Sheet1!AK382,"-")</f>
        <v>-</v>
      </c>
    </row>
    <row r="389" spans="2:39" x14ac:dyDescent="0.25">
      <c r="B389" s="1082">
        <f>Sheet1!F383</f>
        <v>1000</v>
      </c>
      <c r="C389" s="1075" t="str">
        <f>Sheet1!C383</f>
        <v>Josephine St./10th St.</v>
      </c>
      <c r="D389" s="1075" t="str">
        <f>_xlfn.TEXTBEFORE(Sheet1!E383, " to ")</f>
        <v>Old Mission Rd.</v>
      </c>
      <c r="E389" s="1075" t="str">
        <f>_xlfn.TEXTAFTER(Sheet1!E383, " to ")</f>
        <v>Tatum Blvd.</v>
      </c>
      <c r="F389" s="1075">
        <f>Sheet1!AM383</f>
        <v>2</v>
      </c>
      <c r="G389" s="1075"/>
      <c r="H389" s="1083" t="str">
        <f>Sheet1!AE383</f>
        <v>E</v>
      </c>
      <c r="I389" s="1075"/>
      <c r="J389" s="1075" t="str">
        <f>Sheet1!Q383</f>
        <v>UA_NSSRC2_2W_2L_U_0L</v>
      </c>
      <c r="K389" s="1075"/>
      <c r="L389" s="1075">
        <f>Sheet1!AF383</f>
        <v>13640</v>
      </c>
      <c r="M389" s="1075"/>
      <c r="N389" s="1075"/>
      <c r="O389" s="1075"/>
      <c r="P389" s="1075">
        <f>Sheet1!AK383</f>
        <v>1020</v>
      </c>
      <c r="Q389" s="1075"/>
      <c r="R389" s="1075">
        <f>Sheet1!AD383</f>
        <v>6100</v>
      </c>
      <c r="S389" s="1081">
        <f>Sheet1!AG383</f>
        <v>0.4472140762463343</v>
      </c>
      <c r="T389" s="1075" t="str">
        <f>Sheet1!AH383</f>
        <v>D</v>
      </c>
      <c r="U389" s="1075">
        <f>Sheet1!AI383</f>
        <v>620</v>
      </c>
      <c r="V389" s="1075"/>
      <c r="W389" s="1075"/>
      <c r="X389" s="1075">
        <f>Sheet1!AJ383</f>
        <v>540</v>
      </c>
      <c r="Y389" s="1075"/>
      <c r="Z389" s="1075"/>
      <c r="AA389" s="1075"/>
      <c r="AB389" s="1075"/>
      <c r="AC389" s="1075"/>
      <c r="AD389" s="1075"/>
      <c r="AE389" s="1075"/>
      <c r="AF389" s="1075"/>
      <c r="AG389" s="1075"/>
      <c r="AH389" s="1075"/>
      <c r="AI389" s="1075"/>
      <c r="AJ389" s="1075"/>
      <c r="AK389" s="1075">
        <f>IF(Sheet1!AE386="C",Sheet1!AK386,"-")</f>
        <v>620</v>
      </c>
      <c r="AL389" s="1075" t="str">
        <f>IF(Sheet1!AE386="D",Sheet1!AK386,"-")</f>
        <v>-</v>
      </c>
      <c r="AM389" s="1075">
        <f>IF(Sheet1!AE383="E",Sheet1!AK383,"-")</f>
        <v>1020</v>
      </c>
    </row>
    <row r="390" spans="2:39" x14ac:dyDescent="0.25">
      <c r="B390" s="1082">
        <f>Sheet1!F384</f>
        <v>1002</v>
      </c>
      <c r="C390" s="1075" t="str">
        <f>Sheet1!C384</f>
        <v>Josephine St./10th St. (NSB)</v>
      </c>
      <c r="D390" s="1075" t="str">
        <f>_xlfn.TEXTBEFORE(Sheet1!E384, " to ")</f>
        <v>Tatum Blvd.</v>
      </c>
      <c r="E390" s="1075" t="str">
        <f>_xlfn.TEXTAFTER(Sheet1!E384, " to ")</f>
        <v>US 1</v>
      </c>
      <c r="F390" s="1075">
        <f>Sheet1!AM384</f>
        <v>2</v>
      </c>
      <c r="G390" s="1075"/>
      <c r="H390" s="1083" t="str">
        <f>Sheet1!AE384</f>
        <v>E</v>
      </c>
      <c r="I390" s="1075"/>
      <c r="J390" s="1075" t="str">
        <f>Sheet1!Q384</f>
        <v>UA_NSSRC2_2W_2L_U_WL</v>
      </c>
      <c r="K390" s="1075"/>
      <c r="L390" s="1075">
        <f>Sheet1!AF384</f>
        <v>14040</v>
      </c>
      <c r="M390" s="1075"/>
      <c r="N390" s="1075"/>
      <c r="O390" s="1075"/>
      <c r="P390" s="1075">
        <f>Sheet1!AK384</f>
        <v>1270</v>
      </c>
      <c r="Q390" s="1075"/>
      <c r="R390" s="1075" t="str">
        <f>Sheet1!AD384</f>
        <v>-</v>
      </c>
      <c r="S390" s="1081">
        <f>Sheet1!AG384</f>
        <v>0</v>
      </c>
      <c r="T390" s="1075" t="str">
        <f>Sheet1!AH384</f>
        <v>F</v>
      </c>
      <c r="U390" s="1075" t="str">
        <f>Sheet1!AI384</f>
        <v>-</v>
      </c>
      <c r="V390" s="1075"/>
      <c r="W390" s="1075"/>
      <c r="X390" s="1075" t="str">
        <f>Sheet1!AJ384</f>
        <v>-</v>
      </c>
      <c r="Y390" s="1075"/>
      <c r="Z390" s="1075"/>
      <c r="AA390" s="1075"/>
      <c r="AB390" s="1075"/>
      <c r="AC390" s="1075"/>
      <c r="AD390" s="1075"/>
      <c r="AE390" s="1075"/>
      <c r="AF390" s="1075"/>
      <c r="AG390" s="1075"/>
      <c r="AH390" s="1075"/>
      <c r="AI390" s="1075"/>
      <c r="AJ390" s="1075"/>
      <c r="AK390" s="1075" t="str">
        <f>IF(Sheet1!AE387="C",Sheet1!AK387,"-")</f>
        <v>-</v>
      </c>
      <c r="AL390" s="1075" t="str">
        <f>IF(Sheet1!AE387="D",Sheet1!AK387,"-")</f>
        <v>-</v>
      </c>
      <c r="AM390" s="1075">
        <f>IF(Sheet1!AE384="E",Sheet1!AK384,"-")</f>
        <v>1270</v>
      </c>
    </row>
    <row r="391" spans="2:39" x14ac:dyDescent="0.25">
      <c r="B391" s="1082">
        <f>Sheet1!F385</f>
        <v>1011</v>
      </c>
      <c r="C391" s="1075" t="str">
        <f>Sheet1!C385</f>
        <v xml:space="preserve">Kathy Dr. (N. Penin.) </v>
      </c>
      <c r="D391" s="1075" t="str">
        <f>_xlfn.TEXTBEFORE(Sheet1!E385, " to ")</f>
        <v>John Anderson Dr.</v>
      </c>
      <c r="E391" s="1075" t="str">
        <f>_xlfn.TEXTAFTER(Sheet1!E385, " to ")</f>
        <v>SR A1A</v>
      </c>
      <c r="F391" s="1075">
        <f>Sheet1!AM385</f>
        <v>2</v>
      </c>
      <c r="G391" s="1075"/>
      <c r="H391" s="1083" t="str">
        <f>Sheet1!AE385</f>
        <v>E</v>
      </c>
      <c r="I391" s="1075"/>
      <c r="J391" s="1075" t="str">
        <f>Sheet1!Q385</f>
        <v>UA_NSSRC2_2W_2L_U_0L</v>
      </c>
      <c r="K391" s="1075"/>
      <c r="L391" s="1075">
        <f>Sheet1!AF385</f>
        <v>13640</v>
      </c>
      <c r="M391" s="1075"/>
      <c r="N391" s="1075"/>
      <c r="O391" s="1075"/>
      <c r="P391" s="1075">
        <f>Sheet1!AK385</f>
        <v>1020</v>
      </c>
      <c r="Q391" s="1075"/>
      <c r="R391" s="1075">
        <f>Sheet1!AD385</f>
        <v>470</v>
      </c>
      <c r="S391" s="1081">
        <f>Sheet1!AG385</f>
        <v>3.44574780058651E-2</v>
      </c>
      <c r="T391" s="1075" t="str">
        <f>Sheet1!AH385</f>
        <v>C</v>
      </c>
      <c r="U391" s="1075">
        <f>Sheet1!AI385</f>
        <v>30</v>
      </c>
      <c r="V391" s="1075"/>
      <c r="W391" s="1075"/>
      <c r="X391" s="1075">
        <f>Sheet1!AJ385</f>
        <v>50</v>
      </c>
      <c r="Y391" s="1075"/>
      <c r="Z391" s="1075"/>
      <c r="AA391" s="1075"/>
      <c r="AB391" s="1075"/>
      <c r="AC391" s="1075"/>
      <c r="AD391" s="1075"/>
      <c r="AE391" s="1075"/>
      <c r="AF391" s="1075"/>
      <c r="AG391" s="1075"/>
      <c r="AH391" s="1075"/>
      <c r="AI391" s="1075"/>
      <c r="AJ391" s="1075"/>
      <c r="AK391" s="1075">
        <f>IF(Sheet1!AE388="C",Sheet1!AK388,"-")</f>
        <v>620</v>
      </c>
      <c r="AL391" s="1075" t="str">
        <f>IF(Sheet1!AE388="D",Sheet1!AK388,"-")</f>
        <v>-</v>
      </c>
      <c r="AM391" s="1075">
        <f>IF(Sheet1!AE385="E",Sheet1!AK385,"-")</f>
        <v>1020</v>
      </c>
    </row>
    <row r="392" spans="2:39" x14ac:dyDescent="0.25">
      <c r="B392" s="1082" t="str">
        <f>Sheet1!F386</f>
        <v> 798158</v>
      </c>
      <c r="C392" s="1075" t="str">
        <f>Sheet1!C386</f>
        <v>Kennedy Pkwy (Old SR 3)</v>
      </c>
      <c r="D392" s="1075" t="str">
        <f>_xlfn.TEXTBEFORE(Sheet1!E386, " to ")</f>
        <v>US 1</v>
      </c>
      <c r="E392" s="1075" t="str">
        <f>_xlfn.TEXTAFTER(Sheet1!E386, " to ")</f>
        <v>Park Entrance</v>
      </c>
      <c r="F392" s="1075">
        <f>Sheet1!AM386</f>
        <v>2</v>
      </c>
      <c r="G392" s="1075"/>
      <c r="H392" s="1083" t="str">
        <f>Sheet1!AE386</f>
        <v>C</v>
      </c>
      <c r="I392" s="1075"/>
      <c r="J392" s="1075" t="str">
        <f>Sheet1!Q386</f>
        <v>RUA_UFH_2W_2L_U_0L</v>
      </c>
      <c r="K392" s="1075"/>
      <c r="L392" s="1075">
        <f>Sheet1!AF386</f>
        <v>6450</v>
      </c>
      <c r="M392" s="1075"/>
      <c r="N392" s="1075"/>
      <c r="O392" s="1075"/>
      <c r="P392" s="1075">
        <f>Sheet1!AK386</f>
        <v>620</v>
      </c>
      <c r="Q392" s="1075"/>
      <c r="R392" s="1075">
        <f>Sheet1!AD386</f>
        <v>650</v>
      </c>
      <c r="S392" s="1081">
        <f>Sheet1!AG386</f>
        <v>0.10077519379844961</v>
      </c>
      <c r="T392" s="1075" t="str">
        <f>Sheet1!AH386</f>
        <v>B</v>
      </c>
      <c r="U392" s="1075" t="str">
        <f>Sheet1!AI386</f>
        <v>-</v>
      </c>
      <c r="V392" s="1075"/>
      <c r="W392" s="1075"/>
      <c r="X392" s="1075" t="str">
        <f>Sheet1!AJ386</f>
        <v>-</v>
      </c>
      <c r="Y392" s="1075"/>
      <c r="Z392" s="1075"/>
      <c r="AA392" s="1075"/>
      <c r="AB392" s="1075"/>
      <c r="AC392" s="1075"/>
      <c r="AD392" s="1075"/>
      <c r="AE392" s="1075"/>
      <c r="AF392" s="1075"/>
      <c r="AG392" s="1075"/>
      <c r="AH392" s="1075"/>
      <c r="AI392" s="1075"/>
      <c r="AJ392" s="1075"/>
      <c r="AK392" s="1075" t="str">
        <f>IF(Sheet1!AE389="C",Sheet1!AK389,"-")</f>
        <v>-</v>
      </c>
      <c r="AL392" s="1075" t="str">
        <f>IF(Sheet1!AE389="D",Sheet1!AK389,"-")</f>
        <v>-</v>
      </c>
      <c r="AM392" s="1075" t="str">
        <f>IF(Sheet1!AE386="E",Sheet1!AK386,"-")</f>
        <v>-</v>
      </c>
    </row>
    <row r="393" spans="2:39" x14ac:dyDescent="0.25">
      <c r="B393" s="1082">
        <f>Sheet1!F387</f>
        <v>1051</v>
      </c>
      <c r="C393" s="1075" t="str">
        <f>Sheet1!C387</f>
        <v>Kicklighter Rd.</v>
      </c>
      <c r="D393" s="1075" t="str">
        <f>_xlfn.TEXTBEFORE(Sheet1!E387, " to ")</f>
        <v>Macy Ave.</v>
      </c>
      <c r="E393" s="1075" t="str">
        <f>_xlfn.TEXTAFTER(Sheet1!E387, " to ")</f>
        <v>Lake Helen-Osteen/Prevatt</v>
      </c>
      <c r="F393" s="1075">
        <f>Sheet1!AM387</f>
        <v>2</v>
      </c>
      <c r="G393" s="1075"/>
      <c r="H393" s="1083" t="str">
        <f>Sheet1!AE387</f>
        <v>E</v>
      </c>
      <c r="I393" s="1075"/>
      <c r="J393" s="1075" t="str">
        <f>Sheet1!Q387</f>
        <v>UA_NSSRC2_2W_2L_U_0L</v>
      </c>
      <c r="K393" s="1075"/>
      <c r="L393" s="1075">
        <f>Sheet1!AF387</f>
        <v>13640</v>
      </c>
      <c r="M393" s="1075"/>
      <c r="N393" s="1075"/>
      <c r="O393" s="1075"/>
      <c r="P393" s="1075">
        <f>Sheet1!AK387</f>
        <v>1020</v>
      </c>
      <c r="Q393" s="1075"/>
      <c r="R393" s="1075">
        <f>Sheet1!AD387</f>
        <v>1970</v>
      </c>
      <c r="S393" s="1081">
        <f>Sheet1!AG387</f>
        <v>0.14442815249266863</v>
      </c>
      <c r="T393" s="1075" t="str">
        <f>Sheet1!AH387</f>
        <v>C</v>
      </c>
      <c r="U393" s="1075">
        <f>Sheet1!AI387</f>
        <v>410</v>
      </c>
      <c r="V393" s="1075"/>
      <c r="W393" s="1075"/>
      <c r="X393" s="1075">
        <f>Sheet1!AJ387</f>
        <v>200</v>
      </c>
      <c r="Y393" s="1075"/>
      <c r="Z393" s="1075"/>
      <c r="AA393" s="1075"/>
      <c r="AB393" s="1075"/>
      <c r="AC393" s="1075"/>
      <c r="AD393" s="1075"/>
      <c r="AE393" s="1075"/>
      <c r="AF393" s="1075"/>
      <c r="AG393" s="1075"/>
      <c r="AH393" s="1075"/>
      <c r="AI393" s="1075"/>
      <c r="AJ393" s="1075"/>
      <c r="AK393" s="1075" t="str">
        <f>IF(Sheet1!AE390="C",Sheet1!AK390,"-")</f>
        <v>-</v>
      </c>
      <c r="AL393" s="1075" t="str">
        <f>IF(Sheet1!AE390="D",Sheet1!AK390,"-")</f>
        <v>-</v>
      </c>
      <c r="AM393" s="1075">
        <f>IF(Sheet1!AE387="E",Sheet1!AK387,"-")</f>
        <v>1020</v>
      </c>
    </row>
    <row r="394" spans="2:39" x14ac:dyDescent="0.25">
      <c r="B394" s="1082">
        <f>Sheet1!F388</f>
        <v>1062</v>
      </c>
      <c r="C394" s="1075" t="str">
        <f>Sheet1!C388</f>
        <v>Lake George Rd.</v>
      </c>
      <c r="D394" s="1075" t="str">
        <f>_xlfn.TEXTBEFORE(Sheet1!E388, " to ")</f>
        <v>Bream Dr.</v>
      </c>
      <c r="E394" s="1075" t="str">
        <f>_xlfn.TEXTAFTER(Sheet1!E388, " to ")</f>
        <v>US 17</v>
      </c>
      <c r="F394" s="1075">
        <f>Sheet1!AM388</f>
        <v>2</v>
      </c>
      <c r="G394" s="1075"/>
      <c r="H394" s="1083" t="str">
        <f>Sheet1!AE388</f>
        <v>C</v>
      </c>
      <c r="I394" s="1075"/>
      <c r="J394" s="1075" t="str">
        <f>Sheet1!Q388</f>
        <v>RUA_UFH_2W_2L_U_0L</v>
      </c>
      <c r="K394" s="1075"/>
      <c r="L394" s="1075">
        <f>Sheet1!AF388</f>
        <v>6450</v>
      </c>
      <c r="M394" s="1075"/>
      <c r="N394" s="1075"/>
      <c r="O394" s="1075"/>
      <c r="P394" s="1075">
        <f>Sheet1!AK388</f>
        <v>620</v>
      </c>
      <c r="Q394" s="1075"/>
      <c r="R394" s="1075">
        <f>Sheet1!AD388</f>
        <v>750</v>
      </c>
      <c r="S394" s="1081">
        <f>Sheet1!AG388</f>
        <v>0.11627906976744186</v>
      </c>
      <c r="T394" s="1075" t="str">
        <f>Sheet1!AH388</f>
        <v>B</v>
      </c>
      <c r="U394" s="1075">
        <f>Sheet1!AI388</f>
        <v>50</v>
      </c>
      <c r="V394" s="1075"/>
      <c r="W394" s="1075"/>
      <c r="X394" s="1075">
        <f>Sheet1!AJ388</f>
        <v>60</v>
      </c>
      <c r="Y394" s="1075"/>
      <c r="Z394" s="1075"/>
      <c r="AA394" s="1075"/>
      <c r="AB394" s="1075"/>
      <c r="AC394" s="1075"/>
      <c r="AD394" s="1075"/>
      <c r="AE394" s="1075"/>
      <c r="AF394" s="1075"/>
      <c r="AG394" s="1075"/>
      <c r="AH394" s="1075"/>
      <c r="AI394" s="1075"/>
      <c r="AJ394" s="1075"/>
      <c r="AK394" s="1075" t="str">
        <f>IF(Sheet1!AE391="C",Sheet1!AK391,"-")</f>
        <v>-</v>
      </c>
      <c r="AL394" s="1075" t="str">
        <f>IF(Sheet1!AE391="D",Sheet1!AK391,"-")</f>
        <v>-</v>
      </c>
      <c r="AM394" s="1075" t="str">
        <f>IF(Sheet1!AE388="E",Sheet1!AK388,"-")</f>
        <v>-</v>
      </c>
    </row>
    <row r="395" spans="2:39" x14ac:dyDescent="0.25">
      <c r="B395" s="1082">
        <f>Sheet1!F389</f>
        <v>1070</v>
      </c>
      <c r="C395" s="1075" t="str">
        <f>Sheet1!C389</f>
        <v>Lake Helen-Osteen Rd.</v>
      </c>
      <c r="D395" s="1075" t="str">
        <f>_xlfn.TEXTBEFORE(Sheet1!E389, " to ")</f>
        <v>Howland Blvd.</v>
      </c>
      <c r="E395" s="1075" t="str">
        <f>_xlfn.TEXTAFTER(Sheet1!E389, " to ")</f>
        <v>Elkcam Blvd.</v>
      </c>
      <c r="F395" s="1075">
        <f>Sheet1!AM389</f>
        <v>2</v>
      </c>
      <c r="G395" s="1075"/>
      <c r="H395" s="1083" t="str">
        <f>Sheet1!AE389</f>
        <v>E</v>
      </c>
      <c r="I395" s="1075"/>
      <c r="J395" s="1075" t="str">
        <f>Sheet1!Q389</f>
        <v>UA_NSSRC2_2W_2L_U_0L</v>
      </c>
      <c r="K395" s="1075"/>
      <c r="L395" s="1075">
        <f>Sheet1!AF389</f>
        <v>13640</v>
      </c>
      <c r="M395" s="1075"/>
      <c r="N395" s="1075"/>
      <c r="O395" s="1075"/>
      <c r="P395" s="1075">
        <f>Sheet1!AK389</f>
        <v>1020</v>
      </c>
      <c r="Q395" s="1075"/>
      <c r="R395" s="1075">
        <f>Sheet1!AD389</f>
        <v>7970</v>
      </c>
      <c r="S395" s="1081">
        <f>Sheet1!AG389</f>
        <v>0.58431085043988273</v>
      </c>
      <c r="T395" s="1075" t="str">
        <f>Sheet1!AH389</f>
        <v>D</v>
      </c>
      <c r="U395" s="1075">
        <f>Sheet1!AI389</f>
        <v>570</v>
      </c>
      <c r="V395" s="1075"/>
      <c r="W395" s="1075"/>
      <c r="X395" s="1075">
        <f>Sheet1!AJ389</f>
        <v>730</v>
      </c>
      <c r="Y395" s="1075"/>
      <c r="Z395" s="1075"/>
      <c r="AA395" s="1075"/>
      <c r="AB395" s="1075"/>
      <c r="AC395" s="1075"/>
      <c r="AD395" s="1075"/>
      <c r="AE395" s="1075"/>
      <c r="AF395" s="1075"/>
      <c r="AG395" s="1075"/>
      <c r="AH395" s="1075"/>
      <c r="AI395" s="1075"/>
      <c r="AJ395" s="1075"/>
      <c r="AK395" s="1075" t="str">
        <f>IF(Sheet1!AE392="C",Sheet1!AK392,"-")</f>
        <v>-</v>
      </c>
      <c r="AL395" s="1075" t="str">
        <f>IF(Sheet1!AE392="D",Sheet1!AK392,"-")</f>
        <v>-</v>
      </c>
      <c r="AM395" s="1075">
        <f>IF(Sheet1!AE389="E",Sheet1!AK389,"-")</f>
        <v>1020</v>
      </c>
    </row>
    <row r="396" spans="2:39" x14ac:dyDescent="0.25">
      <c r="B396" s="1082">
        <f>Sheet1!F390</f>
        <v>1071</v>
      </c>
      <c r="C396" s="1075" t="str">
        <f>Sheet1!C390</f>
        <v>Lake Helen-Osteen Rd.</v>
      </c>
      <c r="D396" s="1075" t="str">
        <f>_xlfn.TEXTBEFORE(Sheet1!E390, " to ")</f>
        <v>Elkcam Blvd.</v>
      </c>
      <c r="E396" s="1075" t="str">
        <f>_xlfn.TEXTAFTER(Sheet1!E390, " to ")</f>
        <v>Haulover Blvd.</v>
      </c>
      <c r="F396" s="1075">
        <f>Sheet1!AM390</f>
        <v>2</v>
      </c>
      <c r="G396" s="1075"/>
      <c r="H396" s="1083" t="str">
        <f>Sheet1!AE390</f>
        <v>E</v>
      </c>
      <c r="I396" s="1075"/>
      <c r="J396" s="1075" t="str">
        <f>Sheet1!Q390</f>
        <v>UA_NSSRC1_2W_2L_U_0L</v>
      </c>
      <c r="K396" s="1075"/>
      <c r="L396" s="1075">
        <f>Sheet1!AF390</f>
        <v>13640</v>
      </c>
      <c r="M396" s="1075"/>
      <c r="N396" s="1075"/>
      <c r="O396" s="1075"/>
      <c r="P396" s="1075">
        <f>Sheet1!AK390</f>
        <v>1230</v>
      </c>
      <c r="Q396" s="1075"/>
      <c r="R396" s="1075">
        <f>Sheet1!AD390</f>
        <v>9470</v>
      </c>
      <c r="S396" s="1081">
        <f>Sheet1!AG390</f>
        <v>0.69428152492668627</v>
      </c>
      <c r="T396" s="1075" t="str">
        <f>Sheet1!AH390</f>
        <v>C</v>
      </c>
      <c r="U396" s="1075">
        <f>Sheet1!AI390</f>
        <v>690</v>
      </c>
      <c r="V396" s="1075"/>
      <c r="W396" s="1075"/>
      <c r="X396" s="1075">
        <f>Sheet1!AJ390</f>
        <v>820</v>
      </c>
      <c r="Y396" s="1075"/>
      <c r="Z396" s="1075"/>
      <c r="AA396" s="1075"/>
      <c r="AB396" s="1075"/>
      <c r="AC396" s="1075"/>
      <c r="AD396" s="1075"/>
      <c r="AE396" s="1075"/>
      <c r="AF396" s="1075"/>
      <c r="AG396" s="1075"/>
      <c r="AH396" s="1075"/>
      <c r="AI396" s="1075"/>
      <c r="AJ396" s="1075"/>
      <c r="AK396" s="1075" t="str">
        <f>IF(Sheet1!AE393="C",Sheet1!AK393,"-")</f>
        <v>-</v>
      </c>
      <c r="AL396" s="1075" t="str">
        <f>IF(Sheet1!AE393="D",Sheet1!AK393,"-")</f>
        <v>-</v>
      </c>
      <c r="AM396" s="1075">
        <f>IF(Sheet1!AE390="E",Sheet1!AK390,"-")</f>
        <v>1230</v>
      </c>
    </row>
    <row r="397" spans="2:39" x14ac:dyDescent="0.25">
      <c r="B397" s="1082">
        <f>Sheet1!F391</f>
        <v>1072</v>
      </c>
      <c r="C397" s="1075" t="str">
        <f>Sheet1!C391</f>
        <v>Lake Helen-Osteen Rd.</v>
      </c>
      <c r="D397" s="1075" t="str">
        <f>_xlfn.TEXTBEFORE(Sheet1!E391, " to ")</f>
        <v>Haulover Blvd.</v>
      </c>
      <c r="E397" s="1075" t="str">
        <f>_xlfn.TEXTAFTER(Sheet1!E391, " to ")</f>
        <v>Catalina Blvd.</v>
      </c>
      <c r="F397" s="1075">
        <f>Sheet1!AM391</f>
        <v>2</v>
      </c>
      <c r="G397" s="1075"/>
      <c r="H397" s="1083" t="str">
        <f>Sheet1!AE391</f>
        <v>E</v>
      </c>
      <c r="I397" s="1075"/>
      <c r="J397" s="1075" t="str">
        <f>Sheet1!Q391</f>
        <v>UA_NSSRC1_2W_2L_U_0L</v>
      </c>
      <c r="K397" s="1075"/>
      <c r="L397" s="1075">
        <f>Sheet1!AF391</f>
        <v>13640</v>
      </c>
      <c r="M397" s="1075"/>
      <c r="N397" s="1075"/>
      <c r="O397" s="1075"/>
      <c r="P397" s="1075">
        <f>Sheet1!AK391</f>
        <v>1230</v>
      </c>
      <c r="Q397" s="1075"/>
      <c r="R397" s="1075">
        <f>Sheet1!AD391</f>
        <v>12740</v>
      </c>
      <c r="S397" s="1081">
        <f>Sheet1!AG391</f>
        <v>0.93401759530791784</v>
      </c>
      <c r="T397" s="1075" t="str">
        <f>Sheet1!AH391</f>
        <v>D</v>
      </c>
      <c r="U397" s="1075">
        <f>Sheet1!AI391</f>
        <v>1040</v>
      </c>
      <c r="V397" s="1075"/>
      <c r="W397" s="1075"/>
      <c r="X397" s="1075">
        <f>Sheet1!AJ391</f>
        <v>1090</v>
      </c>
      <c r="Y397" s="1075"/>
      <c r="Z397" s="1075"/>
      <c r="AA397" s="1075"/>
      <c r="AB397" s="1075"/>
      <c r="AC397" s="1075"/>
      <c r="AD397" s="1075"/>
      <c r="AE397" s="1075"/>
      <c r="AF397" s="1075"/>
      <c r="AG397" s="1075"/>
      <c r="AH397" s="1075"/>
      <c r="AI397" s="1075"/>
      <c r="AJ397" s="1075"/>
      <c r="AK397" s="1075">
        <f>IF(Sheet1!AE394="C",Sheet1!AK394,"-")</f>
        <v>1540</v>
      </c>
      <c r="AL397" s="1075" t="str">
        <f>IF(Sheet1!AE394="D",Sheet1!AK394,"-")</f>
        <v>-</v>
      </c>
      <c r="AM397" s="1075">
        <f>IF(Sheet1!AE391="E",Sheet1!AK391,"-")</f>
        <v>1230</v>
      </c>
    </row>
    <row r="398" spans="2:39" x14ac:dyDescent="0.25">
      <c r="B398" s="1082">
        <f>Sheet1!F392</f>
        <v>1073</v>
      </c>
      <c r="C398" s="1075" t="str">
        <f>Sheet1!C392</f>
        <v>Lake Helen-Osteen Rd.</v>
      </c>
      <c r="D398" s="1075" t="str">
        <f>_xlfn.TEXTBEFORE(Sheet1!E392, " to ")</f>
        <v>Catalina Blvd.</v>
      </c>
      <c r="E398" s="1075" t="str">
        <f>_xlfn.TEXTAFTER(Sheet1!E392, " to ")</f>
        <v>Captain Dr</v>
      </c>
      <c r="F398" s="1075">
        <f>Sheet1!AM392</f>
        <v>2</v>
      </c>
      <c r="G398" s="1075"/>
      <c r="H398" s="1083" t="str">
        <f>Sheet1!AE392</f>
        <v>E</v>
      </c>
      <c r="I398" s="1075"/>
      <c r="J398" s="1075" t="str">
        <f>Sheet1!Q392</f>
        <v>UA_NSSRC1_2W_2L_U_0L</v>
      </c>
      <c r="K398" s="1075"/>
      <c r="L398" s="1075">
        <f>Sheet1!AF392</f>
        <v>13640</v>
      </c>
      <c r="M398" s="1075"/>
      <c r="N398" s="1075"/>
      <c r="O398" s="1075"/>
      <c r="P398" s="1075">
        <f>Sheet1!AK392</f>
        <v>1230</v>
      </c>
      <c r="Q398" s="1075"/>
      <c r="R398" s="1075">
        <f>Sheet1!AD392</f>
        <v>8480</v>
      </c>
      <c r="S398" s="1081">
        <f>Sheet1!AG392</f>
        <v>0.6217008797653959</v>
      </c>
      <c r="T398" s="1075" t="str">
        <f>Sheet1!AH392</f>
        <v>C</v>
      </c>
      <c r="U398" s="1075">
        <f>Sheet1!AI392</f>
        <v>700</v>
      </c>
      <c r="V398" s="1075"/>
      <c r="W398" s="1075"/>
      <c r="X398" s="1075">
        <f>Sheet1!AJ392</f>
        <v>750</v>
      </c>
      <c r="Y398" s="1075"/>
      <c r="Z398" s="1075"/>
      <c r="AA398" s="1075"/>
      <c r="AB398" s="1075"/>
      <c r="AC398" s="1075"/>
      <c r="AD398" s="1075"/>
      <c r="AE398" s="1075"/>
      <c r="AF398" s="1075"/>
      <c r="AG398" s="1075"/>
      <c r="AH398" s="1075"/>
      <c r="AI398" s="1075"/>
      <c r="AJ398" s="1075"/>
      <c r="AK398" s="1075" t="str">
        <f>IF(Sheet1!AE395="C",Sheet1!AK395,"-")</f>
        <v>-</v>
      </c>
      <c r="AL398" s="1075" t="str">
        <f>IF(Sheet1!AE395="D",Sheet1!AK395,"-")</f>
        <v>-</v>
      </c>
      <c r="AM398" s="1075">
        <f>IF(Sheet1!AE392="E",Sheet1!AK392,"-")</f>
        <v>1230</v>
      </c>
    </row>
    <row r="399" spans="2:39" x14ac:dyDescent="0.25">
      <c r="B399" s="1082">
        <f>Sheet1!F393</f>
        <v>1076</v>
      </c>
      <c r="C399" s="1075" t="str">
        <f>Sheet1!C393</f>
        <v>Lake Helen-Osteen Rd.</v>
      </c>
      <c r="D399" s="1075" t="str">
        <f>_xlfn.TEXTBEFORE(Sheet1!E393, " to ")</f>
        <v>Captain Dr.</v>
      </c>
      <c r="E399" s="1075" t="str">
        <f>_xlfn.TEXTAFTER(Sheet1!E393, " to ")</f>
        <v>Kicklighter Rd.</v>
      </c>
      <c r="F399" s="1075">
        <f>Sheet1!AM393</f>
        <v>2</v>
      </c>
      <c r="G399" s="1075"/>
      <c r="H399" s="1083" t="str">
        <f>Sheet1!AE393</f>
        <v>E</v>
      </c>
      <c r="I399" s="1075"/>
      <c r="J399" s="1075" t="str">
        <f>Sheet1!Q393</f>
        <v>UA_NSSRC1_2W_2L_U_0L</v>
      </c>
      <c r="K399" s="1075"/>
      <c r="L399" s="1075">
        <f>Sheet1!AF393</f>
        <v>13640</v>
      </c>
      <c r="M399" s="1075"/>
      <c r="N399" s="1075"/>
      <c r="O399" s="1075"/>
      <c r="P399" s="1075">
        <f>Sheet1!AK393</f>
        <v>1230</v>
      </c>
      <c r="Q399" s="1075"/>
      <c r="R399" s="1075">
        <f>Sheet1!AD393</f>
        <v>8940</v>
      </c>
      <c r="S399" s="1081">
        <f>Sheet1!AG393</f>
        <v>0.65542521994134895</v>
      </c>
      <c r="T399" s="1075" t="str">
        <f>Sheet1!AH393</f>
        <v>C</v>
      </c>
      <c r="U399" s="1075">
        <f>Sheet1!AI393</f>
        <v>1050</v>
      </c>
      <c r="V399" s="1075"/>
      <c r="W399" s="1075"/>
      <c r="X399" s="1075">
        <f>Sheet1!AJ393</f>
        <v>840</v>
      </c>
      <c r="Y399" s="1075"/>
      <c r="Z399" s="1075"/>
      <c r="AA399" s="1075"/>
      <c r="AB399" s="1075"/>
      <c r="AC399" s="1075"/>
      <c r="AD399" s="1075"/>
      <c r="AE399" s="1075"/>
      <c r="AF399" s="1075"/>
      <c r="AG399" s="1075"/>
      <c r="AH399" s="1075"/>
      <c r="AI399" s="1075"/>
      <c r="AJ399" s="1075"/>
      <c r="AK399" s="1075">
        <f>IF(Sheet1!AE396="C",Sheet1!AK396,"-")</f>
        <v>620</v>
      </c>
      <c r="AL399" s="1075" t="str">
        <f>IF(Sheet1!AE396="D",Sheet1!AK396,"-")</f>
        <v>-</v>
      </c>
      <c r="AM399" s="1075">
        <f>IF(Sheet1!AE393="E",Sheet1!AK393,"-")</f>
        <v>1230</v>
      </c>
    </row>
    <row r="400" spans="2:39" x14ac:dyDescent="0.25">
      <c r="B400" s="1082">
        <f>Sheet1!F394</f>
        <v>1520</v>
      </c>
      <c r="C400" s="1075" t="str">
        <f>Sheet1!C394</f>
        <v>Prevatt Ave.</v>
      </c>
      <c r="D400" s="1075" t="str">
        <f>_xlfn.TEXTBEFORE(Sheet1!E394, " to ")</f>
        <v>Kicklighter Rd</v>
      </c>
      <c r="E400" s="1075" t="str">
        <f>_xlfn.TEXTAFTER(Sheet1!E394, " to ")</f>
        <v>Lake Pearl Dr.</v>
      </c>
      <c r="F400" s="1075">
        <f>Sheet1!AM394</f>
        <v>2</v>
      </c>
      <c r="G400" s="1075"/>
      <c r="H400" s="1083" t="str">
        <f>Sheet1!AE394</f>
        <v>C</v>
      </c>
      <c r="I400" s="1075"/>
      <c r="J400" s="1075" t="str">
        <f>Sheet1!Q394</f>
        <v>UA_NSSRC1_2W_2L_U_WL</v>
      </c>
      <c r="K400" s="1075"/>
      <c r="L400" s="1075">
        <f>Sheet1!AF394</f>
        <v>15120</v>
      </c>
      <c r="M400" s="1075"/>
      <c r="N400" s="1075"/>
      <c r="O400" s="1075"/>
      <c r="P400" s="1075">
        <f>Sheet1!AK394</f>
        <v>1540</v>
      </c>
      <c r="Q400" s="1075"/>
      <c r="R400" s="1075">
        <f>Sheet1!AD394</f>
        <v>6150</v>
      </c>
      <c r="S400" s="1081">
        <f>Sheet1!AG394</f>
        <v>0.40674603174603174</v>
      </c>
      <c r="T400" s="1075" t="str">
        <f>Sheet1!AH394</f>
        <v>C</v>
      </c>
      <c r="U400" s="1075">
        <f>Sheet1!AI394</f>
        <v>590</v>
      </c>
      <c r="V400" s="1075"/>
      <c r="W400" s="1075"/>
      <c r="X400" s="1075">
        <f>Sheet1!AJ394</f>
        <v>530</v>
      </c>
      <c r="Y400" s="1075"/>
      <c r="Z400" s="1075"/>
      <c r="AA400" s="1075"/>
      <c r="AB400" s="1075"/>
      <c r="AC400" s="1075"/>
      <c r="AD400" s="1075"/>
      <c r="AE400" s="1075"/>
      <c r="AF400" s="1075"/>
      <c r="AG400" s="1075"/>
      <c r="AH400" s="1075"/>
      <c r="AI400" s="1075"/>
      <c r="AJ400" s="1075"/>
      <c r="AK400" s="1075">
        <f>IF(Sheet1!AE397="C",Sheet1!AK397,"-")</f>
        <v>620</v>
      </c>
      <c r="AL400" s="1075" t="str">
        <f>IF(Sheet1!AE397="D",Sheet1!AK397,"-")</f>
        <v>-</v>
      </c>
      <c r="AM400" s="1075" t="str">
        <f>IF(Sheet1!AE394="E",Sheet1!AK394,"-")</f>
        <v>-</v>
      </c>
    </row>
    <row r="401" spans="2:39" x14ac:dyDescent="0.25">
      <c r="B401" s="1082">
        <f>Sheet1!F395</f>
        <v>1523</v>
      </c>
      <c r="C401" s="1075" t="str">
        <f>Sheet1!C395</f>
        <v>Prevatt Ave.</v>
      </c>
      <c r="D401" s="1075" t="str">
        <f>_xlfn.TEXTBEFORE(Sheet1!E395, " to ")</f>
        <v>Lake Pearl Dr.</v>
      </c>
      <c r="E401" s="1075" t="str">
        <f>_xlfn.TEXTAFTER(Sheet1!E395, " to ")</f>
        <v>SR 44</v>
      </c>
      <c r="F401" s="1075">
        <f>Sheet1!AM395</f>
        <v>2</v>
      </c>
      <c r="G401" s="1075"/>
      <c r="H401" s="1083" t="str">
        <f>Sheet1!AE395</f>
        <v>E</v>
      </c>
      <c r="I401" s="1075"/>
      <c r="J401" s="1075" t="str">
        <f>Sheet1!Q395</f>
        <v>UA_NSSRC1_2W_2L_U_WL</v>
      </c>
      <c r="K401" s="1075"/>
      <c r="L401" s="1075">
        <f>Sheet1!AF395</f>
        <v>17050</v>
      </c>
      <c r="M401" s="1075"/>
      <c r="N401" s="1075"/>
      <c r="O401" s="1075"/>
      <c r="P401" s="1075">
        <f>Sheet1!AK395</f>
        <v>1540</v>
      </c>
      <c r="Q401" s="1075"/>
      <c r="R401" s="1075">
        <f>Sheet1!AD395</f>
        <v>7210</v>
      </c>
      <c r="S401" s="1081">
        <f>Sheet1!AG395</f>
        <v>0.42287390029325511</v>
      </c>
      <c r="T401" s="1075" t="str">
        <f>Sheet1!AH395</f>
        <v>C</v>
      </c>
      <c r="U401" s="1075">
        <f>Sheet1!AI395</f>
        <v>650</v>
      </c>
      <c r="V401" s="1075"/>
      <c r="W401" s="1075"/>
      <c r="X401" s="1075">
        <f>Sheet1!AJ395</f>
        <v>560</v>
      </c>
      <c r="Y401" s="1075"/>
      <c r="Z401" s="1075"/>
      <c r="AA401" s="1075"/>
      <c r="AB401" s="1075"/>
      <c r="AC401" s="1075"/>
      <c r="AD401" s="1075"/>
      <c r="AE401" s="1075"/>
      <c r="AF401" s="1075"/>
      <c r="AG401" s="1075"/>
      <c r="AH401" s="1075"/>
      <c r="AI401" s="1075"/>
      <c r="AJ401" s="1075"/>
      <c r="AK401" s="1075">
        <f>IF(Sheet1!AE398="C",Sheet1!AK398,"-")</f>
        <v>620</v>
      </c>
      <c r="AL401" s="1075" t="str">
        <f>IF(Sheet1!AE398="D",Sheet1!AK398,"-")</f>
        <v>-</v>
      </c>
      <c r="AM401" s="1075">
        <f>IF(Sheet1!AE395="E",Sheet1!AK395,"-")</f>
        <v>1540</v>
      </c>
    </row>
    <row r="402" spans="2:39" x14ac:dyDescent="0.25">
      <c r="B402" s="1082">
        <f>Sheet1!F396</f>
        <v>1080</v>
      </c>
      <c r="C402" s="1075" t="str">
        <f>Sheet1!C396</f>
        <v>Lake Winona Rd.</v>
      </c>
      <c r="D402" s="1075" t="str">
        <f>_xlfn.TEXTBEFORE(Sheet1!E396, " to ")</f>
        <v>CR 3</v>
      </c>
      <c r="E402" s="1075" t="str">
        <f>_xlfn.TEXTAFTER(Sheet1!E396, " to ")</f>
        <v>US 17</v>
      </c>
      <c r="F402" s="1075">
        <f>Sheet1!AM396</f>
        <v>2</v>
      </c>
      <c r="G402" s="1075"/>
      <c r="H402" s="1083" t="str">
        <f>Sheet1!AE396</f>
        <v>C</v>
      </c>
      <c r="I402" s="1075"/>
      <c r="J402" s="1075" t="str">
        <f>Sheet1!Q396</f>
        <v>RUA_UFH_2W_2L_U_0L</v>
      </c>
      <c r="K402" s="1075"/>
      <c r="L402" s="1075">
        <f>Sheet1!AF396</f>
        <v>6450</v>
      </c>
      <c r="M402" s="1075"/>
      <c r="N402" s="1075"/>
      <c r="O402" s="1075"/>
      <c r="P402" s="1075">
        <f>Sheet1!AK396</f>
        <v>620</v>
      </c>
      <c r="Q402" s="1075"/>
      <c r="R402" s="1075">
        <f>Sheet1!AD396</f>
        <v>280</v>
      </c>
      <c r="S402" s="1081">
        <f>Sheet1!AG396</f>
        <v>4.3410852713178294E-2</v>
      </c>
      <c r="T402" s="1075" t="str">
        <f>Sheet1!AH396</f>
        <v>B</v>
      </c>
      <c r="U402" s="1075">
        <f>Sheet1!AI396</f>
        <v>20</v>
      </c>
      <c r="V402" s="1075"/>
      <c r="W402" s="1075"/>
      <c r="X402" s="1075">
        <f>Sheet1!AJ396</f>
        <v>30</v>
      </c>
      <c r="Y402" s="1075"/>
      <c r="Z402" s="1075"/>
      <c r="AA402" s="1075"/>
      <c r="AB402" s="1075"/>
      <c r="AC402" s="1075"/>
      <c r="AD402" s="1075"/>
      <c r="AE402" s="1075"/>
      <c r="AF402" s="1075"/>
      <c r="AG402" s="1075"/>
      <c r="AH402" s="1075"/>
      <c r="AI402" s="1075"/>
      <c r="AJ402" s="1075"/>
      <c r="AK402" s="1075" t="str">
        <f>IF(Sheet1!AE399="C",Sheet1!AK399,"-")</f>
        <v>-</v>
      </c>
      <c r="AL402" s="1075" t="str">
        <f>IF(Sheet1!AE399="D",Sheet1!AK399,"-")</f>
        <v>-</v>
      </c>
      <c r="AM402" s="1075" t="str">
        <f>IF(Sheet1!AE396="E",Sheet1!AK396,"-")</f>
        <v>-</v>
      </c>
    </row>
    <row r="403" spans="2:39" x14ac:dyDescent="0.25">
      <c r="B403" s="1082">
        <f>Sheet1!F397</f>
        <v>1081</v>
      </c>
      <c r="C403" s="1075" t="str">
        <f>Sheet1!C397</f>
        <v>Lake Winona Rd.</v>
      </c>
      <c r="D403" s="1075" t="str">
        <f>_xlfn.TEXTBEFORE(Sheet1!E397, " to ")</f>
        <v>US 17</v>
      </c>
      <c r="E403" s="1075" t="str">
        <f>_xlfn.TEXTAFTER(Sheet1!E397, " to ")</f>
        <v>Blackwelder Rd.</v>
      </c>
      <c r="F403" s="1075">
        <f>Sheet1!AM397</f>
        <v>2</v>
      </c>
      <c r="G403" s="1075"/>
      <c r="H403" s="1083" t="str">
        <f>Sheet1!AE397</f>
        <v>C</v>
      </c>
      <c r="I403" s="1075"/>
      <c r="J403" s="1075" t="str">
        <f>Sheet1!Q397</f>
        <v>RUA_UFH_2W_2L_U_0L</v>
      </c>
      <c r="K403" s="1075"/>
      <c r="L403" s="1075">
        <f>Sheet1!AF397</f>
        <v>6450</v>
      </c>
      <c r="M403" s="1075"/>
      <c r="N403" s="1075"/>
      <c r="O403" s="1075"/>
      <c r="P403" s="1075">
        <f>Sheet1!AK397</f>
        <v>620</v>
      </c>
      <c r="Q403" s="1075"/>
      <c r="R403" s="1075">
        <f>Sheet1!AD397</f>
        <v>1070</v>
      </c>
      <c r="S403" s="1081">
        <f>Sheet1!AG397</f>
        <v>0.16589147286821707</v>
      </c>
      <c r="T403" s="1075" t="str">
        <f>Sheet1!AH397</f>
        <v>B</v>
      </c>
      <c r="U403" s="1075">
        <f>Sheet1!AI397</f>
        <v>80</v>
      </c>
      <c r="V403" s="1075"/>
      <c r="W403" s="1075"/>
      <c r="X403" s="1075">
        <f>Sheet1!AJ397</f>
        <v>90</v>
      </c>
      <c r="Y403" s="1075"/>
      <c r="Z403" s="1075"/>
      <c r="AA403" s="1075"/>
      <c r="AB403" s="1075"/>
      <c r="AC403" s="1075"/>
      <c r="AD403" s="1075"/>
      <c r="AE403" s="1075"/>
      <c r="AF403" s="1075"/>
      <c r="AG403" s="1075"/>
      <c r="AH403" s="1075"/>
      <c r="AI403" s="1075"/>
      <c r="AJ403" s="1075"/>
      <c r="AK403" s="1075" t="str">
        <f>IF(Sheet1!AE400="C",Sheet1!AK400,"-")</f>
        <v>-</v>
      </c>
      <c r="AL403" s="1075" t="str">
        <f>IF(Sheet1!AE400="D",Sheet1!AK400,"-")</f>
        <v>-</v>
      </c>
      <c r="AM403" s="1075" t="str">
        <f>IF(Sheet1!AE397="E",Sheet1!AK397,"-")</f>
        <v>-</v>
      </c>
    </row>
    <row r="404" spans="2:39" x14ac:dyDescent="0.25">
      <c r="B404" s="1082">
        <f>Sheet1!F398</f>
        <v>1082</v>
      </c>
      <c r="C404" s="1075" t="str">
        <f>Sheet1!C398</f>
        <v>Lake Winona Rd.</v>
      </c>
      <c r="D404" s="1075" t="str">
        <f>_xlfn.TEXTBEFORE(Sheet1!E398, " to ")</f>
        <v>Blackwelder Rd.</v>
      </c>
      <c r="E404" s="1075" t="str">
        <f>_xlfn.TEXTAFTER(Sheet1!E398, " to ")</f>
        <v>SR 40</v>
      </c>
      <c r="F404" s="1075">
        <f>Sheet1!AM398</f>
        <v>2</v>
      </c>
      <c r="G404" s="1075"/>
      <c r="H404" s="1083" t="str">
        <f>Sheet1!AE398</f>
        <v>C</v>
      </c>
      <c r="I404" s="1075"/>
      <c r="J404" s="1075" t="str">
        <f>Sheet1!Q398</f>
        <v>RUA_UFH_2W_2L_U_0L</v>
      </c>
      <c r="K404" s="1075"/>
      <c r="L404" s="1075">
        <f>Sheet1!AF398</f>
        <v>6450</v>
      </c>
      <c r="M404" s="1075"/>
      <c r="N404" s="1075"/>
      <c r="O404" s="1075"/>
      <c r="P404" s="1075">
        <f>Sheet1!AK398</f>
        <v>620</v>
      </c>
      <c r="Q404" s="1075"/>
      <c r="R404" s="1075">
        <f>Sheet1!AD398</f>
        <v>190</v>
      </c>
      <c r="S404" s="1081">
        <f>Sheet1!AG398</f>
        <v>2.9457364341085271E-2</v>
      </c>
      <c r="T404" s="1075" t="str">
        <f>Sheet1!AH398</f>
        <v>B</v>
      </c>
      <c r="U404" s="1075">
        <f>Sheet1!AI398</f>
        <v>20</v>
      </c>
      <c r="V404" s="1075"/>
      <c r="W404" s="1075"/>
      <c r="X404" s="1075">
        <f>Sheet1!AJ398</f>
        <v>20</v>
      </c>
      <c r="Y404" s="1075"/>
      <c r="Z404" s="1075"/>
      <c r="AA404" s="1075"/>
      <c r="AB404" s="1075"/>
      <c r="AC404" s="1075"/>
      <c r="AD404" s="1075"/>
      <c r="AE404" s="1075"/>
      <c r="AF404" s="1075"/>
      <c r="AG404" s="1075"/>
      <c r="AH404" s="1075"/>
      <c r="AI404" s="1075"/>
      <c r="AJ404" s="1075"/>
      <c r="AK404" s="1075">
        <f>IF(Sheet1!AE401="C",Sheet1!AK401,"-")</f>
        <v>1020</v>
      </c>
      <c r="AL404" s="1075" t="str">
        <f>IF(Sheet1!AE401="D",Sheet1!AK401,"-")</f>
        <v>-</v>
      </c>
      <c r="AM404" s="1075" t="str">
        <f>IF(Sheet1!AE398="E",Sheet1!AK398,"-")</f>
        <v>-</v>
      </c>
    </row>
    <row r="405" spans="2:39" x14ac:dyDescent="0.25">
      <c r="B405" s="1082">
        <f>Sheet1!F399</f>
        <v>1090</v>
      </c>
      <c r="C405" s="1075" t="str">
        <f>Sheet1!C399</f>
        <v>Children's Way/Lakeshore Dr.</v>
      </c>
      <c r="D405" s="1075" t="str">
        <f>_xlfn.TEXTBEFORE(Sheet1!E399, " to ")</f>
        <v>Main St.</v>
      </c>
      <c r="E405" s="1075" t="str">
        <f>_xlfn.TEXTAFTER(Sheet1!E399, " to ")</f>
        <v>Providence Blvd.</v>
      </c>
      <c r="F405" s="1075">
        <f>Sheet1!AM399</f>
        <v>2</v>
      </c>
      <c r="G405" s="1075"/>
      <c r="H405" s="1083" t="str">
        <f>Sheet1!AE399</f>
        <v>E</v>
      </c>
      <c r="I405" s="1075"/>
      <c r="J405" s="1075" t="str">
        <f>Sheet1!Q399</f>
        <v>UA_NSSRC2_2W_2L_U_0L</v>
      </c>
      <c r="K405" s="1075"/>
      <c r="L405" s="1075">
        <f>Sheet1!AF399</f>
        <v>13640</v>
      </c>
      <c r="M405" s="1075"/>
      <c r="N405" s="1075"/>
      <c r="O405" s="1075"/>
      <c r="P405" s="1075">
        <f>Sheet1!AK399</f>
        <v>1020</v>
      </c>
      <c r="Q405" s="1075"/>
      <c r="R405" s="1075">
        <f>Sheet1!AD399</f>
        <v>960</v>
      </c>
      <c r="S405" s="1081">
        <f>Sheet1!AG399</f>
        <v>7.0381231671554259E-2</v>
      </c>
      <c r="T405" s="1075" t="str">
        <f>Sheet1!AH399</f>
        <v>C</v>
      </c>
      <c r="U405" s="1075">
        <f>Sheet1!AI399</f>
        <v>60</v>
      </c>
      <c r="V405" s="1075"/>
      <c r="W405" s="1075"/>
      <c r="X405" s="1075">
        <f>Sheet1!AJ399</f>
        <v>110</v>
      </c>
      <c r="Y405" s="1075"/>
      <c r="Z405" s="1075"/>
      <c r="AA405" s="1075"/>
      <c r="AB405" s="1075"/>
      <c r="AC405" s="1075"/>
      <c r="AD405" s="1075"/>
      <c r="AE405" s="1075"/>
      <c r="AF405" s="1075"/>
      <c r="AG405" s="1075"/>
      <c r="AH405" s="1075"/>
      <c r="AI405" s="1075"/>
      <c r="AJ405" s="1075"/>
      <c r="AK405" s="1075">
        <f>IF(Sheet1!AE402="C",Sheet1!AK402,"-")</f>
        <v>1020</v>
      </c>
      <c r="AL405" s="1075" t="str">
        <f>IF(Sheet1!AE402="D",Sheet1!AK402,"-")</f>
        <v>-</v>
      </c>
      <c r="AM405" s="1075">
        <f>IF(Sheet1!AE399="E",Sheet1!AK399,"-")</f>
        <v>1020</v>
      </c>
    </row>
    <row r="406" spans="2:39" x14ac:dyDescent="0.25">
      <c r="B406" s="1082">
        <f>Sheet1!F400</f>
        <v>1092</v>
      </c>
      <c r="C406" s="1075" t="str">
        <f>Sheet1!C400</f>
        <v>Lakeshore Dr.</v>
      </c>
      <c r="D406" s="1075" t="str">
        <f>_xlfn.TEXTBEFORE(Sheet1!E400, " to ")</f>
        <v>Providence Blvd.</v>
      </c>
      <c r="E406" s="1075" t="str">
        <f>_xlfn.TEXTAFTER(Sheet1!E400, " to ")</f>
        <v>Garfield Rd</v>
      </c>
      <c r="F406" s="1075">
        <f>Sheet1!AM400</f>
        <v>2</v>
      </c>
      <c r="G406" s="1075"/>
      <c r="H406" s="1083" t="str">
        <f>Sheet1!AE400</f>
        <v>E</v>
      </c>
      <c r="I406" s="1075"/>
      <c r="J406" s="1075" t="str">
        <f>Sheet1!Q400</f>
        <v>UA_NSSRC2_2W_2L_U_0L</v>
      </c>
      <c r="K406" s="1075"/>
      <c r="L406" s="1075">
        <f>Sheet1!AF400</f>
        <v>13640</v>
      </c>
      <c r="M406" s="1075"/>
      <c r="N406" s="1075"/>
      <c r="O406" s="1075"/>
      <c r="P406" s="1075">
        <f>Sheet1!AK400</f>
        <v>1020</v>
      </c>
      <c r="Q406" s="1075"/>
      <c r="R406" s="1075">
        <f>Sheet1!AD400</f>
        <v>3180</v>
      </c>
      <c r="S406" s="1081">
        <f>Sheet1!AG400</f>
        <v>0.23313782991202345</v>
      </c>
      <c r="T406" s="1075" t="str">
        <f>Sheet1!AH400</f>
        <v>C</v>
      </c>
      <c r="U406" s="1075">
        <f>Sheet1!AI400</f>
        <v>180</v>
      </c>
      <c r="V406" s="1075"/>
      <c r="W406" s="1075"/>
      <c r="X406" s="1075">
        <f>Sheet1!AJ400</f>
        <v>300</v>
      </c>
      <c r="Y406" s="1075"/>
      <c r="Z406" s="1075"/>
      <c r="AA406" s="1075"/>
      <c r="AB406" s="1075"/>
      <c r="AC406" s="1075"/>
      <c r="AD406" s="1075"/>
      <c r="AE406" s="1075"/>
      <c r="AF406" s="1075"/>
      <c r="AG406" s="1075"/>
      <c r="AH406" s="1075"/>
      <c r="AI406" s="1075"/>
      <c r="AJ406" s="1075"/>
      <c r="AK406" s="1075">
        <f>IF(Sheet1!AE403="C",Sheet1!AK403,"-")</f>
        <v>620</v>
      </c>
      <c r="AL406" s="1075" t="str">
        <f>IF(Sheet1!AE403="D",Sheet1!AK403,"-")</f>
        <v>-</v>
      </c>
      <c r="AM406" s="1075">
        <f>IF(Sheet1!AE400="E",Sheet1!AK400,"-")</f>
        <v>1020</v>
      </c>
    </row>
    <row r="407" spans="2:39" x14ac:dyDescent="0.25">
      <c r="B407" s="1082">
        <f>Sheet1!F401</f>
        <v>1100</v>
      </c>
      <c r="C407" s="1075" t="str">
        <f>Sheet1!C401</f>
        <v>Lakeview Dr. (LH)</v>
      </c>
      <c r="D407" s="1075" t="str">
        <f>_xlfn.TEXTBEFORE(Sheet1!E401, " to ")</f>
        <v>Ohio Ave.</v>
      </c>
      <c r="E407" s="1075" t="str">
        <f>_xlfn.TEXTAFTER(Sheet1!E401, " to ")</f>
        <v>Main St.</v>
      </c>
      <c r="F407" s="1075">
        <f>Sheet1!AM401</f>
        <v>2</v>
      </c>
      <c r="G407" s="1075"/>
      <c r="H407" s="1083" t="str">
        <f>Sheet1!AE401</f>
        <v>C</v>
      </c>
      <c r="I407" s="1075"/>
      <c r="J407" s="1075" t="str">
        <f>Sheet1!Q401</f>
        <v>UA_NSSRC2_2W_2L_U_0L</v>
      </c>
      <c r="K407" s="1075"/>
      <c r="L407" s="1075">
        <f>Sheet1!AF401</f>
        <v>5260</v>
      </c>
      <c r="M407" s="1075"/>
      <c r="N407" s="1075"/>
      <c r="O407" s="1075"/>
      <c r="P407" s="1075">
        <f>Sheet1!AK401</f>
        <v>1020</v>
      </c>
      <c r="Q407" s="1075"/>
      <c r="R407" s="1075">
        <f>Sheet1!AD401</f>
        <v>3870</v>
      </c>
      <c r="S407" s="1081">
        <f>Sheet1!AG401</f>
        <v>0.73574144486692017</v>
      </c>
      <c r="T407" s="1075" t="str">
        <f>Sheet1!AH401</f>
        <v>C</v>
      </c>
      <c r="U407" s="1075">
        <f>Sheet1!AI401</f>
        <v>440</v>
      </c>
      <c r="V407" s="1075"/>
      <c r="W407" s="1075"/>
      <c r="X407" s="1075">
        <f>Sheet1!AJ401</f>
        <v>400</v>
      </c>
      <c r="Y407" s="1075"/>
      <c r="Z407" s="1075"/>
      <c r="AA407" s="1075"/>
      <c r="AB407" s="1075"/>
      <c r="AC407" s="1075"/>
      <c r="AD407" s="1075"/>
      <c r="AE407" s="1075"/>
      <c r="AF407" s="1075"/>
      <c r="AG407" s="1075"/>
      <c r="AH407" s="1075"/>
      <c r="AI407" s="1075"/>
      <c r="AJ407" s="1075"/>
      <c r="AK407" s="1075">
        <f>IF(Sheet1!AE404="C",Sheet1!AK404,"-")</f>
        <v>620</v>
      </c>
      <c r="AL407" s="1075" t="str">
        <f>IF(Sheet1!AE404="D",Sheet1!AK404,"-")</f>
        <v>-</v>
      </c>
      <c r="AM407" s="1075" t="str">
        <f>IF(Sheet1!AE401="E",Sheet1!AK401,"-")</f>
        <v>-</v>
      </c>
    </row>
    <row r="408" spans="2:39" x14ac:dyDescent="0.25">
      <c r="B408" s="1082">
        <f>Sheet1!F402</f>
        <v>1101</v>
      </c>
      <c r="C408" s="1075" t="str">
        <f>Sheet1!C402</f>
        <v>Lakeview Dr. (LH)</v>
      </c>
      <c r="D408" s="1075" t="str">
        <f>_xlfn.TEXTBEFORE(Sheet1!E402, " to ")</f>
        <v>Main St.</v>
      </c>
      <c r="E408" s="1075" t="str">
        <f>_xlfn.TEXTAFTER(Sheet1!E402, " to ")</f>
        <v>New York Ave.</v>
      </c>
      <c r="F408" s="1075">
        <f>Sheet1!AM402</f>
        <v>2</v>
      </c>
      <c r="G408" s="1075"/>
      <c r="H408" s="1083" t="str">
        <f>Sheet1!AE402</f>
        <v>C</v>
      </c>
      <c r="I408" s="1075"/>
      <c r="J408" s="1075" t="str">
        <f>Sheet1!Q402</f>
        <v>UA_NSSRC2_2W_2L_U_0L</v>
      </c>
      <c r="K408" s="1075"/>
      <c r="L408" s="1075">
        <f>Sheet1!AF402</f>
        <v>5260</v>
      </c>
      <c r="M408" s="1075"/>
      <c r="N408" s="1075"/>
      <c r="O408" s="1075"/>
      <c r="P408" s="1075">
        <f>Sheet1!AK402</f>
        <v>1020</v>
      </c>
      <c r="Q408" s="1075"/>
      <c r="R408" s="1075">
        <f>Sheet1!AD402</f>
        <v>1340</v>
      </c>
      <c r="S408" s="1081">
        <f>Sheet1!AG402</f>
        <v>0.25475285171102663</v>
      </c>
      <c r="T408" s="1075" t="str">
        <f>Sheet1!AH402</f>
        <v>C</v>
      </c>
      <c r="U408" s="1075">
        <f>Sheet1!AI402</f>
        <v>130</v>
      </c>
      <c r="V408" s="1075"/>
      <c r="W408" s="1075"/>
      <c r="X408" s="1075">
        <f>Sheet1!AJ402</f>
        <v>130</v>
      </c>
      <c r="Y408" s="1075"/>
      <c r="Z408" s="1075"/>
      <c r="AA408" s="1075"/>
      <c r="AB408" s="1075"/>
      <c r="AC408" s="1075"/>
      <c r="AD408" s="1075"/>
      <c r="AE408" s="1075"/>
      <c r="AF408" s="1075"/>
      <c r="AG408" s="1075"/>
      <c r="AH408" s="1075"/>
      <c r="AI408" s="1075"/>
      <c r="AJ408" s="1075"/>
      <c r="AK408" s="1075" t="str">
        <f>IF(Sheet1!AE405="C",Sheet1!AK405,"-")</f>
        <v>-</v>
      </c>
      <c r="AL408" s="1075" t="str">
        <f>IF(Sheet1!AE405="D",Sheet1!AK405,"-")</f>
        <v>-</v>
      </c>
      <c r="AM408" s="1075" t="str">
        <f>IF(Sheet1!AE402="E",Sheet1!AK402,"-")</f>
        <v>-</v>
      </c>
    </row>
    <row r="409" spans="2:39" x14ac:dyDescent="0.25">
      <c r="B409" s="1082">
        <f>Sheet1!F403</f>
        <v>1111</v>
      </c>
      <c r="C409" s="1075" t="str">
        <f>Sheet1!C403</f>
        <v>Lemon Bluff Rd.</v>
      </c>
      <c r="D409" s="1075" t="str">
        <f>_xlfn.TEXTBEFORE(Sheet1!E403, " to ")</f>
        <v>SR 415</v>
      </c>
      <c r="E409" s="1075" t="str">
        <f>_xlfn.TEXTAFTER(Sheet1!E403, " to ")</f>
        <v xml:space="preserve"> end of road</v>
      </c>
      <c r="F409" s="1075">
        <f>Sheet1!AM403</f>
        <v>2</v>
      </c>
      <c r="G409" s="1075"/>
      <c r="H409" s="1083" t="str">
        <f>Sheet1!AE403</f>
        <v>C</v>
      </c>
      <c r="I409" s="1075"/>
      <c r="J409" s="1075" t="str">
        <f>Sheet1!Q403</f>
        <v>RUA_UFH_2W_2L_U_0L</v>
      </c>
      <c r="K409" s="1075"/>
      <c r="L409" s="1075">
        <f>Sheet1!AF403</f>
        <v>6450</v>
      </c>
      <c r="M409" s="1075"/>
      <c r="N409" s="1075"/>
      <c r="O409" s="1075"/>
      <c r="P409" s="1075">
        <f>Sheet1!AK403</f>
        <v>620</v>
      </c>
      <c r="Q409" s="1075"/>
      <c r="R409" s="1075">
        <f>Sheet1!AD403</f>
        <v>990</v>
      </c>
      <c r="S409" s="1081">
        <f>Sheet1!AG403</f>
        <v>0.15348837209302327</v>
      </c>
      <c r="T409" s="1075" t="str">
        <f>Sheet1!AH403</f>
        <v>B</v>
      </c>
      <c r="U409" s="1075">
        <f>Sheet1!AI403</f>
        <v>70</v>
      </c>
      <c r="V409" s="1075"/>
      <c r="W409" s="1075"/>
      <c r="X409" s="1075">
        <f>Sheet1!AJ403</f>
        <v>90</v>
      </c>
      <c r="Y409" s="1075"/>
      <c r="Z409" s="1075"/>
      <c r="AA409" s="1075"/>
      <c r="AB409" s="1075"/>
      <c r="AC409" s="1075"/>
      <c r="AD409" s="1075"/>
      <c r="AE409" s="1075"/>
      <c r="AF409" s="1075"/>
      <c r="AG409" s="1075"/>
      <c r="AH409" s="1075"/>
      <c r="AI409" s="1075"/>
      <c r="AJ409" s="1075"/>
      <c r="AK409" s="1075" t="str">
        <f>IF(Sheet1!AE406="C",Sheet1!AK406,"-")</f>
        <v>-</v>
      </c>
      <c r="AL409" s="1075" t="str">
        <f>IF(Sheet1!AE406="D",Sheet1!AK406,"-")</f>
        <v>-</v>
      </c>
      <c r="AM409" s="1075" t="str">
        <f>IF(Sheet1!AE403="E",Sheet1!AK403,"-")</f>
        <v>-</v>
      </c>
    </row>
    <row r="410" spans="2:39" x14ac:dyDescent="0.25">
      <c r="B410" s="1082">
        <f>Sheet1!F404</f>
        <v>1120</v>
      </c>
      <c r="C410" s="1075" t="str">
        <f>Sheet1!C404</f>
        <v>Little Brown Church Rd.</v>
      </c>
      <c r="D410" s="1075" t="str">
        <f>_xlfn.TEXTBEFORE(Sheet1!E404, " to ")</f>
        <v>US 17</v>
      </c>
      <c r="E410" s="1075" t="str">
        <f>_xlfn.TEXTAFTER(Sheet1!E404, " to ")</f>
        <v>Cowart Rd.</v>
      </c>
      <c r="F410" s="1075">
        <f>Sheet1!AM404</f>
        <v>2</v>
      </c>
      <c r="G410" s="1075"/>
      <c r="H410" s="1083" t="str">
        <f>Sheet1!AE404</f>
        <v>C</v>
      </c>
      <c r="I410" s="1075"/>
      <c r="J410" s="1075" t="str">
        <f>Sheet1!Q404</f>
        <v>RUA_UFH_2W_2L_U_0L</v>
      </c>
      <c r="K410" s="1075"/>
      <c r="L410" s="1075">
        <f>Sheet1!AF404</f>
        <v>6450</v>
      </c>
      <c r="M410" s="1075"/>
      <c r="N410" s="1075"/>
      <c r="O410" s="1075"/>
      <c r="P410" s="1075">
        <f>Sheet1!AK404</f>
        <v>620</v>
      </c>
      <c r="Q410" s="1075"/>
      <c r="R410" s="1075">
        <f>Sheet1!AD404</f>
        <v>480</v>
      </c>
      <c r="S410" s="1081">
        <f>Sheet1!AG404</f>
        <v>7.441860465116279E-2</v>
      </c>
      <c r="T410" s="1075" t="str">
        <f>Sheet1!AH404</f>
        <v>B</v>
      </c>
      <c r="U410" s="1075">
        <f>Sheet1!AI404</f>
        <v>40</v>
      </c>
      <c r="V410" s="1075"/>
      <c r="W410" s="1075"/>
      <c r="X410" s="1075">
        <f>Sheet1!AJ404</f>
        <v>40</v>
      </c>
      <c r="Y410" s="1075"/>
      <c r="Z410" s="1075"/>
      <c r="AA410" s="1075"/>
      <c r="AB410" s="1075"/>
      <c r="AC410" s="1075"/>
      <c r="AD410" s="1075"/>
      <c r="AE410" s="1075"/>
      <c r="AF410" s="1075"/>
      <c r="AG410" s="1075"/>
      <c r="AH410" s="1075"/>
      <c r="AI410" s="1075"/>
      <c r="AJ410" s="1075"/>
      <c r="AK410" s="1075" t="str">
        <f>IF(Sheet1!AE407="C",Sheet1!AK407,"-")</f>
        <v>-</v>
      </c>
      <c r="AL410" s="1075" t="str">
        <f>IF(Sheet1!AE407="D",Sheet1!AK407,"-")</f>
        <v>-</v>
      </c>
      <c r="AM410" s="1075" t="str">
        <f>IF(Sheet1!AE404="E",Sheet1!AK404,"-")</f>
        <v>-</v>
      </c>
    </row>
    <row r="411" spans="2:39" x14ac:dyDescent="0.25">
      <c r="B411" s="1082" t="str">
        <f>Sheet1!F405</f>
        <v>Future Rd</v>
      </c>
      <c r="C411" s="1075" t="str">
        <f>Sheet1!C405</f>
        <v>LPGA Blvd. (DB)</v>
      </c>
      <c r="D411" s="1075" t="str">
        <f>_xlfn.TEXTBEFORE(Sheet1!E405, " to ")</f>
        <v>Tomoka Farms Rd.</v>
      </c>
      <c r="E411" s="1075" t="str">
        <f>_xlfn.TEXTAFTER(Sheet1!E405, " to ")</f>
        <v>US 92</v>
      </c>
      <c r="F411" s="1075">
        <f>Sheet1!AM405</f>
        <v>0</v>
      </c>
      <c r="G411" s="1075"/>
      <c r="H411" s="1083" t="str">
        <f>Sheet1!AE405</f>
        <v>-</v>
      </c>
      <c r="I411" s="1075"/>
      <c r="J411" s="1075" t="str">
        <f>Sheet1!Q405</f>
        <v>RDA_UFH_2W_2L_U_0L</v>
      </c>
      <c r="K411" s="1075"/>
      <c r="L411" s="1075">
        <f>Sheet1!AF405</f>
        <v>15700</v>
      </c>
      <c r="M411" s="1075"/>
      <c r="N411" s="1075"/>
      <c r="O411" s="1075"/>
      <c r="P411" s="1075">
        <f>Sheet1!AK405</f>
        <v>1120</v>
      </c>
      <c r="Q411" s="1075"/>
      <c r="R411" s="1075" t="str">
        <f>Sheet1!AD405</f>
        <v>-</v>
      </c>
      <c r="S411" s="1081" t="str">
        <f>Sheet1!AG405</f>
        <v>-</v>
      </c>
      <c r="T411" s="1075" t="str">
        <f>Sheet1!AH405</f>
        <v>-</v>
      </c>
      <c r="U411" s="1075" t="str">
        <f>Sheet1!AI405</f>
        <v>-</v>
      </c>
      <c r="V411" s="1075"/>
      <c r="W411" s="1075"/>
      <c r="X411" s="1075" t="str">
        <f>Sheet1!AJ405</f>
        <v>-</v>
      </c>
      <c r="Y411" s="1075"/>
      <c r="Z411" s="1075"/>
      <c r="AA411" s="1075"/>
      <c r="AB411" s="1075"/>
      <c r="AC411" s="1075"/>
      <c r="AD411" s="1075"/>
      <c r="AE411" s="1075"/>
      <c r="AF411" s="1075"/>
      <c r="AG411" s="1075"/>
      <c r="AH411" s="1075"/>
      <c r="AI411" s="1075"/>
      <c r="AJ411" s="1075"/>
      <c r="AK411" s="1075" t="str">
        <f>IF(Sheet1!AE408="C",Sheet1!AK408,"-")</f>
        <v>-</v>
      </c>
      <c r="AL411" s="1075" t="str">
        <f>IF(Sheet1!AE408="D",Sheet1!AK408,"-")</f>
        <v>-</v>
      </c>
      <c r="AM411" s="1075" t="str">
        <f>IF(Sheet1!AE405="E",Sheet1!AK405,"-")</f>
        <v>-</v>
      </c>
    </row>
    <row r="412" spans="2:39" x14ac:dyDescent="0.25">
      <c r="B412" s="1082">
        <f>Sheet1!F406</f>
        <v>1130</v>
      </c>
      <c r="C412" s="1075" t="str">
        <f>Sheet1!C406</f>
        <v>LPGA Blvd. (DB)</v>
      </c>
      <c r="D412" s="1075" t="str">
        <f>_xlfn.TEXTBEFORE(Sheet1!E406, " to ")</f>
        <v>US 92</v>
      </c>
      <c r="E412" s="1075" t="str">
        <f>_xlfn.TEXTAFTER(Sheet1!E406, " to ")</f>
        <v>International Golf Dr</v>
      </c>
      <c r="F412" s="1075">
        <f>Sheet1!AM406</f>
        <v>2</v>
      </c>
      <c r="G412" s="1075"/>
      <c r="H412" s="1083" t="str">
        <f>Sheet1!AE406</f>
        <v>E</v>
      </c>
      <c r="I412" s="1075"/>
      <c r="J412" s="1075" t="str">
        <f>Sheet1!Q406</f>
        <v>UA_NSSRC1_2W_2L_U_WL</v>
      </c>
      <c r="K412" s="1075"/>
      <c r="L412" s="1075">
        <f>Sheet1!AF406</f>
        <v>26900</v>
      </c>
      <c r="M412" s="1075"/>
      <c r="N412" s="1075"/>
      <c r="O412" s="1075"/>
      <c r="P412" s="1075">
        <f>Sheet1!AK406</f>
        <v>1540</v>
      </c>
      <c r="Q412" s="1075"/>
      <c r="R412" s="1075">
        <f>Sheet1!AD406</f>
        <v>7240</v>
      </c>
      <c r="S412" s="1081">
        <f>Sheet1!AG406</f>
        <v>0.26914498141263943</v>
      </c>
      <c r="T412" s="1075" t="str">
        <f>Sheet1!AH406</f>
        <v>C</v>
      </c>
      <c r="U412" s="1075">
        <f>Sheet1!AI406</f>
        <v>460</v>
      </c>
      <c r="V412" s="1075"/>
      <c r="W412" s="1075"/>
      <c r="X412" s="1075">
        <f>Sheet1!AJ406</f>
        <v>670</v>
      </c>
      <c r="Y412" s="1075"/>
      <c r="Z412" s="1075"/>
      <c r="AA412" s="1075"/>
      <c r="AB412" s="1075"/>
      <c r="AC412" s="1075"/>
      <c r="AD412" s="1075"/>
      <c r="AE412" s="1075"/>
      <c r="AF412" s="1075"/>
      <c r="AG412" s="1075"/>
      <c r="AH412" s="1075"/>
      <c r="AI412" s="1075"/>
      <c r="AJ412" s="1075"/>
      <c r="AK412" s="1075" t="str">
        <f>IF(Sheet1!AE409="C",Sheet1!AK409,"-")</f>
        <v>-</v>
      </c>
      <c r="AL412" s="1075" t="str">
        <f>IF(Sheet1!AE409="D",Sheet1!AK409,"-")</f>
        <v>-</v>
      </c>
      <c r="AM412" s="1075">
        <f>IF(Sheet1!AE406="E",Sheet1!AK406,"-")</f>
        <v>1540</v>
      </c>
    </row>
    <row r="413" spans="2:39" x14ac:dyDescent="0.25">
      <c r="B413" s="1082">
        <f>Sheet1!F407</f>
        <v>1131</v>
      </c>
      <c r="C413" s="1075" t="str">
        <f>Sheet1!C407</f>
        <v>LPGA Blvd. (DB)</v>
      </c>
      <c r="D413" s="1075" t="str">
        <f>_xlfn.TEXTBEFORE(Sheet1!E407, " to ")</f>
        <v xml:space="preserve">International Golf Dr </v>
      </c>
      <c r="E413" s="1075" t="str">
        <f>_xlfn.TEXTAFTER(Sheet1!E407, " to ")</f>
        <v>Tymber Creek Rd.</v>
      </c>
      <c r="F413" s="1075">
        <f>Sheet1!AM407</f>
        <v>2</v>
      </c>
      <c r="G413" s="1075"/>
      <c r="H413" s="1083" t="str">
        <f>Sheet1!AE407</f>
        <v>E</v>
      </c>
      <c r="I413" s="1075"/>
      <c r="J413" s="1075" t="str">
        <f>Sheet1!Q407</f>
        <v>UA_NSSRC1_2W_2L_U_WL</v>
      </c>
      <c r="K413" s="1075"/>
      <c r="L413" s="1075">
        <f>Sheet1!AF407</f>
        <v>26900</v>
      </c>
      <c r="M413" s="1075"/>
      <c r="N413" s="1075"/>
      <c r="O413" s="1075"/>
      <c r="P413" s="1075">
        <f>Sheet1!AK407</f>
        <v>1540</v>
      </c>
      <c r="Q413" s="1075"/>
      <c r="R413" s="1075">
        <f>Sheet1!AD407</f>
        <v>10950</v>
      </c>
      <c r="S413" s="1081">
        <f>Sheet1!AG407</f>
        <v>0.40706319702602228</v>
      </c>
      <c r="T413" s="1075" t="str">
        <f>Sheet1!AH407</f>
        <v>C</v>
      </c>
      <c r="U413" s="1075">
        <f>Sheet1!AI407</f>
        <v>730</v>
      </c>
      <c r="V413" s="1075"/>
      <c r="W413" s="1075"/>
      <c r="X413" s="1075">
        <f>Sheet1!AJ407</f>
        <v>900</v>
      </c>
      <c r="Y413" s="1075"/>
      <c r="Z413" s="1075"/>
      <c r="AA413" s="1075"/>
      <c r="AB413" s="1075"/>
      <c r="AC413" s="1075"/>
      <c r="AD413" s="1075"/>
      <c r="AE413" s="1075"/>
      <c r="AF413" s="1075"/>
      <c r="AG413" s="1075"/>
      <c r="AH413" s="1075"/>
      <c r="AI413" s="1075"/>
      <c r="AJ413" s="1075"/>
      <c r="AK413" s="1075" t="str">
        <f>IF(Sheet1!AE410="C",Sheet1!AK410,"-")</f>
        <v>-</v>
      </c>
      <c r="AL413" s="1075" t="str">
        <f>IF(Sheet1!AE410="D",Sheet1!AK410,"-")</f>
        <v>-</v>
      </c>
      <c r="AM413" s="1075">
        <f>IF(Sheet1!AE407="E",Sheet1!AK407,"-")</f>
        <v>1540</v>
      </c>
    </row>
    <row r="414" spans="2:39" x14ac:dyDescent="0.25">
      <c r="B414" s="1082">
        <f>Sheet1!F408</f>
        <v>1132</v>
      </c>
      <c r="C414" s="1075" t="str">
        <f>Sheet1!C408</f>
        <v>LPGA Blvd. (DB)</v>
      </c>
      <c r="D414" s="1075" t="str">
        <f>_xlfn.TEXTBEFORE(Sheet1!E408, " to ")</f>
        <v xml:space="preserve">Tymber Creek Rd </v>
      </c>
      <c r="E414" s="1075" t="str">
        <f>_xlfn.TEXTAFTER(Sheet1!E408, " to ")</f>
        <v>Tomoka Farms Rd.</v>
      </c>
      <c r="F414" s="1075">
        <f>Sheet1!AM408</f>
        <v>2</v>
      </c>
      <c r="G414" s="1075"/>
      <c r="H414" s="1083" t="str">
        <f>Sheet1!AE408</f>
        <v>E</v>
      </c>
      <c r="I414" s="1075"/>
      <c r="J414" s="1075" t="str">
        <f>Sheet1!Q408</f>
        <v>UA_NSSRC1_2W_2L_U_WL</v>
      </c>
      <c r="K414" s="1075"/>
      <c r="L414" s="1075">
        <f>Sheet1!AF408</f>
        <v>17050</v>
      </c>
      <c r="M414" s="1075"/>
      <c r="N414" s="1075"/>
      <c r="O414" s="1075"/>
      <c r="P414" s="1075">
        <f>Sheet1!AK408</f>
        <v>1540</v>
      </c>
      <c r="Q414" s="1075"/>
      <c r="R414" s="1075">
        <f>Sheet1!AD408</f>
        <v>13940</v>
      </c>
      <c r="S414" s="1081">
        <f>Sheet1!AG408</f>
        <v>0.81759530791788859</v>
      </c>
      <c r="T414" s="1075" t="str">
        <f>Sheet1!AH408</f>
        <v>C</v>
      </c>
      <c r="U414" s="1075">
        <f>Sheet1!AI408</f>
        <v>890</v>
      </c>
      <c r="V414" s="1075"/>
      <c r="W414" s="1075"/>
      <c r="X414" s="1075">
        <f>Sheet1!AJ408</f>
        <v>1130</v>
      </c>
      <c r="Y414" s="1075"/>
      <c r="Z414" s="1075"/>
      <c r="AA414" s="1075"/>
      <c r="AB414" s="1075"/>
      <c r="AC414" s="1075"/>
      <c r="AD414" s="1075"/>
      <c r="AE414" s="1075"/>
      <c r="AF414" s="1075"/>
      <c r="AG414" s="1075"/>
      <c r="AH414" s="1075"/>
      <c r="AI414" s="1075"/>
      <c r="AJ414" s="1075"/>
      <c r="AK414" s="1075" t="str">
        <f>IF(Sheet1!AE411="C",Sheet1!AK411,"-")</f>
        <v>-</v>
      </c>
      <c r="AL414" s="1075" t="str">
        <f>IF(Sheet1!AE411="D",Sheet1!AK411,"-")</f>
        <v>-</v>
      </c>
      <c r="AM414" s="1075">
        <f>IF(Sheet1!AE408="E",Sheet1!AK408,"-")</f>
        <v>1540</v>
      </c>
    </row>
    <row r="415" spans="2:39" x14ac:dyDescent="0.25">
      <c r="B415" s="1082" t="str">
        <f>Sheet1!F409</f>
        <v>1133a</v>
      </c>
      <c r="C415" s="1075" t="str">
        <f>Sheet1!C409</f>
        <v>LPGA Blvd. (DB)</v>
      </c>
      <c r="D415" s="1075" t="str">
        <f>_xlfn.TEXTBEFORE(Sheet1!E409, " to ")</f>
        <v>Tomoka Farms Rd</v>
      </c>
      <c r="E415" s="1075" t="str">
        <f>_xlfn.TEXTAFTER(Sheet1!E409, " to ")</f>
        <v>I-95</v>
      </c>
      <c r="F415" s="1075">
        <f>Sheet1!AM409</f>
        <v>4</v>
      </c>
      <c r="G415" s="1075"/>
      <c r="H415" s="1083" t="str">
        <f>Sheet1!AE409</f>
        <v>E</v>
      </c>
      <c r="I415" s="1075"/>
      <c r="J415" s="1075" t="str">
        <f>Sheet1!Q409</f>
        <v>UA_NSSRC1_2W_4L_D_WL</v>
      </c>
      <c r="K415" s="1075"/>
      <c r="L415" s="1075">
        <f>Sheet1!AF409</f>
        <v>37970</v>
      </c>
      <c r="M415" s="1075"/>
      <c r="N415" s="1075"/>
      <c r="O415" s="1075"/>
      <c r="P415" s="1075">
        <f>Sheet1!AK409</f>
        <v>3410</v>
      </c>
      <c r="Q415" s="1075"/>
      <c r="R415" s="1075">
        <f>Sheet1!AD409</f>
        <v>22340</v>
      </c>
      <c r="S415" s="1081">
        <f>Sheet1!AG409</f>
        <v>0.58835923097181986</v>
      </c>
      <c r="T415" s="1075" t="str">
        <f>Sheet1!AH409</f>
        <v>C</v>
      </c>
      <c r="U415" s="1075">
        <f>Sheet1!AI409</f>
        <v>1400</v>
      </c>
      <c r="V415" s="1075"/>
      <c r="W415" s="1075"/>
      <c r="X415" s="1075">
        <f>Sheet1!AJ409</f>
        <v>1800</v>
      </c>
      <c r="Y415" s="1075"/>
      <c r="Z415" s="1075"/>
      <c r="AA415" s="1075"/>
      <c r="AB415" s="1075"/>
      <c r="AC415" s="1075"/>
      <c r="AD415" s="1075"/>
      <c r="AE415" s="1075"/>
      <c r="AF415" s="1075"/>
      <c r="AG415" s="1075"/>
      <c r="AH415" s="1075"/>
      <c r="AI415" s="1075"/>
      <c r="AJ415" s="1075"/>
      <c r="AK415" s="1075" t="str">
        <f>IF(Sheet1!AE412="C",Sheet1!AK412,"-")</f>
        <v>-</v>
      </c>
      <c r="AL415" s="1075" t="str">
        <f>IF(Sheet1!AE412="D",Sheet1!AK412,"-")</f>
        <v>-</v>
      </c>
      <c r="AM415" s="1075">
        <f>IF(Sheet1!AE409="E",Sheet1!AK409,"-")</f>
        <v>3410</v>
      </c>
    </row>
    <row r="416" spans="2:39" x14ac:dyDescent="0.25">
      <c r="B416" s="1082" t="str">
        <f>Sheet1!F410</f>
        <v>1133b -NEW</v>
      </c>
      <c r="C416" s="1075" t="str">
        <f>Sheet1!C410</f>
        <v>LPGA Blvd. (DB)</v>
      </c>
      <c r="D416" s="1075" t="str">
        <f>_xlfn.TEXTBEFORE(Sheet1!E410, " to ")</f>
        <v>I-95</v>
      </c>
      <c r="E416" s="1075" t="str">
        <f>_xlfn.TEXTAFTER(Sheet1!E410, " to ")</f>
        <v>Technology/Outlet</v>
      </c>
      <c r="F416" s="1075">
        <f>Sheet1!AM410</f>
        <v>6</v>
      </c>
      <c r="G416" s="1075"/>
      <c r="H416" s="1083" t="str">
        <f>Sheet1!AE410</f>
        <v>E</v>
      </c>
      <c r="I416" s="1075"/>
      <c r="J416" s="1075" t="str">
        <f>Sheet1!Q410</f>
        <v>UA_NSSRC1_2W_6L_D_WL</v>
      </c>
      <c r="K416" s="1075"/>
      <c r="L416" s="1075">
        <f>Sheet1!AF410</f>
        <v>57140</v>
      </c>
      <c r="M416" s="1075"/>
      <c r="N416" s="1075"/>
      <c r="O416" s="1075"/>
      <c r="P416" s="1075">
        <f>Sheet1!AK410</f>
        <v>5140</v>
      </c>
      <c r="Q416" s="1075"/>
      <c r="R416" s="1075">
        <f>Sheet1!AD410</f>
        <v>38150</v>
      </c>
      <c r="S416" s="1081">
        <f>Sheet1!AG410</f>
        <v>0.66765838291914592</v>
      </c>
      <c r="T416" s="1075" t="str">
        <f>Sheet1!AH410</f>
        <v>C</v>
      </c>
      <c r="U416" s="1075">
        <f>Sheet1!AI410</f>
        <v>2580</v>
      </c>
      <c r="V416" s="1075"/>
      <c r="W416" s="1075"/>
      <c r="X416" s="1075">
        <f>Sheet1!AJ410</f>
        <v>2960</v>
      </c>
      <c r="Y416" s="1075"/>
      <c r="Z416" s="1075"/>
      <c r="AA416" s="1075"/>
      <c r="AB416" s="1075"/>
      <c r="AC416" s="1075"/>
      <c r="AD416" s="1075"/>
      <c r="AE416" s="1075"/>
      <c r="AF416" s="1075"/>
      <c r="AG416" s="1075"/>
      <c r="AH416" s="1075"/>
      <c r="AI416" s="1075"/>
      <c r="AJ416" s="1075"/>
      <c r="AK416" s="1075" t="str">
        <f>IF(Sheet1!AE413="C",Sheet1!AK413,"-")</f>
        <v>-</v>
      </c>
      <c r="AL416" s="1075" t="str">
        <f>IF(Sheet1!AE413="D",Sheet1!AK413,"-")</f>
        <v>-</v>
      </c>
      <c r="AM416" s="1075">
        <f>IF(Sheet1!AE410="E",Sheet1!AK410,"-")</f>
        <v>5140</v>
      </c>
    </row>
    <row r="417" spans="2:39" x14ac:dyDescent="0.25">
      <c r="B417" s="1082" t="str">
        <f>Sheet1!F411</f>
        <v>1133c -NEW</v>
      </c>
      <c r="C417" s="1075" t="str">
        <f>Sheet1!C411</f>
        <v>LPGA Blvd. (DB)</v>
      </c>
      <c r="D417" s="1075" t="str">
        <f>_xlfn.TEXTBEFORE(Sheet1!E411, " to ")</f>
        <v>Technology/Outlet</v>
      </c>
      <c r="E417" s="1075" t="str">
        <f>_xlfn.TEXTAFTER(Sheet1!E411, " to ")</f>
        <v>Williamson Blvd.</v>
      </c>
      <c r="F417" s="1075">
        <f>Sheet1!AM411</f>
        <v>6</v>
      </c>
      <c r="G417" s="1075"/>
      <c r="H417" s="1083" t="str">
        <f>Sheet1!AE411</f>
        <v>E</v>
      </c>
      <c r="I417" s="1075"/>
      <c r="J417" s="1075" t="str">
        <f>Sheet1!Q411</f>
        <v>UA_NSSRC1_2W_6L_D_WL</v>
      </c>
      <c r="K417" s="1075"/>
      <c r="L417" s="1075">
        <f>Sheet1!AF411</f>
        <v>57140</v>
      </c>
      <c r="M417" s="1075"/>
      <c r="N417" s="1075"/>
      <c r="O417" s="1075"/>
      <c r="P417" s="1075">
        <f>Sheet1!AK411</f>
        <v>5140</v>
      </c>
      <c r="Q417" s="1075"/>
      <c r="R417" s="1075">
        <f>Sheet1!AD411</f>
        <v>35470</v>
      </c>
      <c r="S417" s="1081">
        <f>Sheet1!AG411</f>
        <v>0.62075603780189015</v>
      </c>
      <c r="T417" s="1075" t="str">
        <f>Sheet1!AH411</f>
        <v>C</v>
      </c>
      <c r="U417" s="1075">
        <f>Sheet1!AI411</f>
        <v>2260</v>
      </c>
      <c r="V417" s="1075"/>
      <c r="W417" s="1075"/>
      <c r="X417" s="1075">
        <f>Sheet1!AJ411</f>
        <v>2730</v>
      </c>
      <c r="Y417" s="1075"/>
      <c r="Z417" s="1075"/>
      <c r="AA417" s="1075"/>
      <c r="AB417" s="1075"/>
      <c r="AC417" s="1075"/>
      <c r="AD417" s="1075"/>
      <c r="AE417" s="1075"/>
      <c r="AF417" s="1075"/>
      <c r="AG417" s="1075"/>
      <c r="AH417" s="1075"/>
      <c r="AI417" s="1075"/>
      <c r="AJ417" s="1075"/>
      <c r="AK417" s="1075" t="str">
        <f>IF(Sheet1!AE414="C",Sheet1!AK414,"-")</f>
        <v>-</v>
      </c>
      <c r="AL417" s="1075" t="str">
        <f>IF(Sheet1!AE414="D",Sheet1!AK414,"-")</f>
        <v>-</v>
      </c>
      <c r="AM417" s="1075">
        <f>IF(Sheet1!AE411="E",Sheet1!AK411,"-")</f>
        <v>5140</v>
      </c>
    </row>
    <row r="418" spans="2:39" x14ac:dyDescent="0.25">
      <c r="B418" s="1082">
        <f>Sheet1!F412</f>
        <v>1134</v>
      </c>
      <c r="C418" s="1075" t="str">
        <f>Sheet1!C412</f>
        <v>LPGA Blvd. (DB)</v>
      </c>
      <c r="D418" s="1075" t="str">
        <f>_xlfn.TEXTBEFORE(Sheet1!E412, " to ")</f>
        <v>Williamson Blvd.</v>
      </c>
      <c r="E418" s="1075" t="str">
        <f>_xlfn.TEXTAFTER(Sheet1!E412, " to ")</f>
        <v>Clyde Morris Blvd.</v>
      </c>
      <c r="F418" s="1075">
        <f>Sheet1!AM412</f>
        <v>4</v>
      </c>
      <c r="G418" s="1075"/>
      <c r="H418" s="1083" t="str">
        <f>Sheet1!AE412</f>
        <v>E</v>
      </c>
      <c r="I418" s="1075"/>
      <c r="J418" s="1075" t="str">
        <f>Sheet1!Q412</f>
        <v>UA_NSSRC1_2W_4L_D_WL</v>
      </c>
      <c r="K418" s="1075"/>
      <c r="L418" s="1075">
        <f>Sheet1!AF412</f>
        <v>37970</v>
      </c>
      <c r="M418" s="1075"/>
      <c r="N418" s="1075"/>
      <c r="O418" s="1075"/>
      <c r="P418" s="1075">
        <f>Sheet1!AK412</f>
        <v>3410</v>
      </c>
      <c r="Q418" s="1075"/>
      <c r="R418" s="1075">
        <f>Sheet1!AD412</f>
        <v>32290</v>
      </c>
      <c r="S418" s="1081">
        <f>Sheet1!AG412</f>
        <v>0.85040821701343161</v>
      </c>
      <c r="T418" s="1075" t="str">
        <f>Sheet1!AH412</f>
        <v>C</v>
      </c>
      <c r="U418" s="1075">
        <f>Sheet1!AI412</f>
        <v>2090</v>
      </c>
      <c r="V418" s="1075"/>
      <c r="W418" s="1075"/>
      <c r="X418" s="1075">
        <f>Sheet1!AJ412</f>
        <v>2530</v>
      </c>
      <c r="Y418" s="1075"/>
      <c r="Z418" s="1075"/>
      <c r="AA418" s="1075"/>
      <c r="AB418" s="1075"/>
      <c r="AC418" s="1075"/>
      <c r="AD418" s="1075"/>
      <c r="AE418" s="1075"/>
      <c r="AF418" s="1075"/>
      <c r="AG418" s="1075"/>
      <c r="AH418" s="1075"/>
      <c r="AI418" s="1075"/>
      <c r="AJ418" s="1075"/>
      <c r="AK418" s="1075" t="str">
        <f>IF(Sheet1!AE415="C",Sheet1!AK415,"-")</f>
        <v>-</v>
      </c>
      <c r="AL418" s="1075" t="str">
        <f>IF(Sheet1!AE415="D",Sheet1!AK415,"-")</f>
        <v>-</v>
      </c>
      <c r="AM418" s="1075">
        <f>IF(Sheet1!AE412="E",Sheet1!AK412,"-")</f>
        <v>3410</v>
      </c>
    </row>
    <row r="419" spans="2:39" x14ac:dyDescent="0.25">
      <c r="B419" s="1082">
        <f>Sheet1!F413</f>
        <v>1136</v>
      </c>
      <c r="C419" s="1075" t="str">
        <f>Sheet1!C413</f>
        <v>LPGA Blvd. (DB)</v>
      </c>
      <c r="D419" s="1075" t="str">
        <f>_xlfn.TEXTBEFORE(Sheet1!E413, " to ")</f>
        <v>Clyde Morris Blvd.</v>
      </c>
      <c r="E419" s="1075" t="str">
        <f>_xlfn.TEXTAFTER(Sheet1!E413, " to ")</f>
        <v>Jimmy Ann Dr.</v>
      </c>
      <c r="F419" s="1075">
        <f>Sheet1!AM413</f>
        <v>4</v>
      </c>
      <c r="G419" s="1075"/>
      <c r="H419" s="1083" t="str">
        <f>Sheet1!AE413</f>
        <v>E</v>
      </c>
      <c r="I419" s="1075"/>
      <c r="J419" s="1075" t="str">
        <f>Sheet1!Q413</f>
        <v>UA_NSSRC1_2W_4L_D_WL</v>
      </c>
      <c r="K419" s="1075"/>
      <c r="L419" s="1075">
        <f>Sheet1!AF413</f>
        <v>37970</v>
      </c>
      <c r="M419" s="1075"/>
      <c r="N419" s="1075"/>
      <c r="O419" s="1075"/>
      <c r="P419" s="1075">
        <f>Sheet1!AK413</f>
        <v>3410</v>
      </c>
      <c r="Q419" s="1075"/>
      <c r="R419" s="1075">
        <f>Sheet1!AD413</f>
        <v>22110</v>
      </c>
      <c r="S419" s="1081">
        <f>Sheet1!AG413</f>
        <v>0.58230181722412433</v>
      </c>
      <c r="T419" s="1075" t="str">
        <f>Sheet1!AH413</f>
        <v>C</v>
      </c>
      <c r="U419" s="1075">
        <f>Sheet1!AI413</f>
        <v>1350</v>
      </c>
      <c r="V419" s="1075"/>
      <c r="W419" s="1075"/>
      <c r="X419" s="1075">
        <f>Sheet1!AJ413</f>
        <v>1810</v>
      </c>
      <c r="Y419" s="1075"/>
      <c r="Z419" s="1075"/>
      <c r="AA419" s="1075"/>
      <c r="AB419" s="1075"/>
      <c r="AC419" s="1075"/>
      <c r="AD419" s="1075"/>
      <c r="AE419" s="1075"/>
      <c r="AF419" s="1075"/>
      <c r="AG419" s="1075"/>
      <c r="AH419" s="1075"/>
      <c r="AI419" s="1075"/>
      <c r="AJ419" s="1075"/>
      <c r="AK419" s="1075" t="str">
        <f>IF(Sheet1!AE416="C",Sheet1!AK416,"-")</f>
        <v>-</v>
      </c>
      <c r="AL419" s="1075" t="str">
        <f>IF(Sheet1!AE416="D",Sheet1!AK416,"-")</f>
        <v>-</v>
      </c>
      <c r="AM419" s="1075">
        <f>IF(Sheet1!AE413="E",Sheet1!AK413,"-")</f>
        <v>3410</v>
      </c>
    </row>
    <row r="420" spans="2:39" x14ac:dyDescent="0.25">
      <c r="B420" s="1082">
        <f>Sheet1!F414</f>
        <v>1137</v>
      </c>
      <c r="C420" s="1075" t="str">
        <f>Sheet1!C414</f>
        <v>LPGA Blvd. (DB)</v>
      </c>
      <c r="D420" s="1075" t="str">
        <f>_xlfn.TEXTBEFORE(Sheet1!E414, " to ")</f>
        <v>Jimmy Ann Dr.</v>
      </c>
      <c r="E420" s="1075" t="str">
        <f>_xlfn.TEXTAFTER(Sheet1!E414, " to ")</f>
        <v xml:space="preserve"> Derbyshire Rd.</v>
      </c>
      <c r="F420" s="1075">
        <f>Sheet1!AM414</f>
        <v>4</v>
      </c>
      <c r="G420" s="1075"/>
      <c r="H420" s="1083" t="str">
        <f>Sheet1!AE414</f>
        <v>E</v>
      </c>
      <c r="I420" s="1075"/>
      <c r="J420" s="1075" t="str">
        <f>Sheet1!Q414</f>
        <v>UA_NSSRC1_2W_4L_D_WL</v>
      </c>
      <c r="K420" s="1075"/>
      <c r="L420" s="1075">
        <f>Sheet1!AF414</f>
        <v>37970</v>
      </c>
      <c r="M420" s="1075"/>
      <c r="N420" s="1075"/>
      <c r="O420" s="1075"/>
      <c r="P420" s="1075">
        <f>Sheet1!AK414</f>
        <v>3410</v>
      </c>
      <c r="Q420" s="1075"/>
      <c r="R420" s="1075">
        <f>Sheet1!AD414</f>
        <v>25260</v>
      </c>
      <c r="S420" s="1081">
        <f>Sheet1!AG414</f>
        <v>0.66526204898604158</v>
      </c>
      <c r="T420" s="1075" t="str">
        <f>Sheet1!AH414</f>
        <v>C</v>
      </c>
      <c r="U420" s="1075">
        <f>Sheet1!AI414</f>
        <v>1610</v>
      </c>
      <c r="V420" s="1075"/>
      <c r="W420" s="1075"/>
      <c r="X420" s="1075">
        <f>Sheet1!AJ414</f>
        <v>2020</v>
      </c>
      <c r="Y420" s="1075"/>
      <c r="Z420" s="1075"/>
      <c r="AA420" s="1075"/>
      <c r="AB420" s="1075"/>
      <c r="AC420" s="1075"/>
      <c r="AD420" s="1075"/>
      <c r="AE420" s="1075"/>
      <c r="AF420" s="1075"/>
      <c r="AG420" s="1075"/>
      <c r="AH420" s="1075"/>
      <c r="AI420" s="1075"/>
      <c r="AJ420" s="1075"/>
      <c r="AK420" s="1075">
        <f>IF(Sheet1!AE417="C",Sheet1!AK417,"-")</f>
        <v>1020</v>
      </c>
      <c r="AL420" s="1075" t="str">
        <f>IF(Sheet1!AE417="D",Sheet1!AK417,"-")</f>
        <v>-</v>
      </c>
      <c r="AM420" s="1075">
        <f>IF(Sheet1!AE414="E",Sheet1!AK414,"-")</f>
        <v>3410</v>
      </c>
    </row>
    <row r="421" spans="2:39" x14ac:dyDescent="0.25">
      <c r="B421" s="1082">
        <f>Sheet1!F415</f>
        <v>1139</v>
      </c>
      <c r="C421" s="1075" t="str">
        <f>Sheet1!C415</f>
        <v>LPGA Blvd. (CO)</v>
      </c>
      <c r="D421" s="1075" t="str">
        <f>_xlfn.TEXTBEFORE(Sheet1!E415, " to ")</f>
        <v>Derbyshire Rd.</v>
      </c>
      <c r="E421" s="1075" t="str">
        <f>_xlfn.TEXTAFTER(Sheet1!E415, " to ")</f>
        <v>SR5A/Nova Rd.</v>
      </c>
      <c r="F421" s="1075">
        <f>Sheet1!AM415</f>
        <v>4</v>
      </c>
      <c r="G421" s="1075"/>
      <c r="H421" s="1083" t="str">
        <f>Sheet1!AE415</f>
        <v>E</v>
      </c>
      <c r="I421" s="1075"/>
      <c r="J421" s="1075" t="str">
        <f>Sheet1!Q415</f>
        <v>UA_NSSRC1_2W_4L_D_WL</v>
      </c>
      <c r="K421" s="1075"/>
      <c r="L421" s="1075">
        <f>Sheet1!AF415</f>
        <v>37970</v>
      </c>
      <c r="M421" s="1075"/>
      <c r="N421" s="1075"/>
      <c r="O421" s="1075"/>
      <c r="P421" s="1075">
        <f>Sheet1!AK415</f>
        <v>3410</v>
      </c>
      <c r="Q421" s="1075"/>
      <c r="R421" s="1075">
        <f>Sheet1!AD415</f>
        <v>19650</v>
      </c>
      <c r="S421" s="1081">
        <f>Sheet1!AG415</f>
        <v>0.51751382670529367</v>
      </c>
      <c r="T421" s="1075" t="str">
        <f>Sheet1!AH415</f>
        <v>C</v>
      </c>
      <c r="U421" s="1075">
        <f>Sheet1!AI415</f>
        <v>1240</v>
      </c>
      <c r="V421" s="1075"/>
      <c r="W421" s="1075"/>
      <c r="X421" s="1075">
        <f>Sheet1!AJ415</f>
        <v>1580</v>
      </c>
      <c r="Y421" s="1075"/>
      <c r="Z421" s="1075"/>
      <c r="AA421" s="1075"/>
      <c r="AB421" s="1075"/>
      <c r="AC421" s="1075"/>
      <c r="AD421" s="1075"/>
      <c r="AE421" s="1075"/>
      <c r="AF421" s="1075"/>
      <c r="AG421" s="1075"/>
      <c r="AH421" s="1075"/>
      <c r="AI421" s="1075"/>
      <c r="AJ421" s="1075"/>
      <c r="AK421" s="1075" t="str">
        <f>IF(Sheet1!AE418="C",Sheet1!AK418,"-")</f>
        <v>-</v>
      </c>
      <c r="AL421" s="1075" t="str">
        <f>IF(Sheet1!AE418="D",Sheet1!AK418,"-")</f>
        <v>-</v>
      </c>
      <c r="AM421" s="1075">
        <f>IF(Sheet1!AE415="E",Sheet1!AK415,"-")</f>
        <v>3410</v>
      </c>
    </row>
    <row r="422" spans="2:39" x14ac:dyDescent="0.25">
      <c r="B422" s="1082">
        <f>Sheet1!F416</f>
        <v>1141</v>
      </c>
      <c r="C422" s="1075" t="str">
        <f>Sheet1!C416</f>
        <v>LPGA Blvd. (HH)</v>
      </c>
      <c r="D422" s="1075" t="str">
        <f>_xlfn.TEXTBEFORE(Sheet1!E416, " to ")</f>
        <v>SR5A/Nova Rd.</v>
      </c>
      <c r="E422" s="1075" t="str">
        <f>_xlfn.TEXTAFTER(Sheet1!E416, " to ")</f>
        <v>US 1</v>
      </c>
      <c r="F422" s="1075">
        <f>Sheet1!AM416</f>
        <v>2</v>
      </c>
      <c r="G422" s="1075"/>
      <c r="H422" s="1083" t="str">
        <f>Sheet1!AE416</f>
        <v>E</v>
      </c>
      <c r="I422" s="1075"/>
      <c r="J422" s="1075" t="str">
        <f>Sheet1!Q416</f>
        <v>UA_NSSRC2_2W_2L_U_WL</v>
      </c>
      <c r="K422" s="1075"/>
      <c r="L422" s="1075">
        <f>Sheet1!AF416</f>
        <v>14040</v>
      </c>
      <c r="M422" s="1075"/>
      <c r="N422" s="1075"/>
      <c r="O422" s="1075"/>
      <c r="P422" s="1075">
        <f>Sheet1!AK416</f>
        <v>1270</v>
      </c>
      <c r="Q422" s="1075"/>
      <c r="R422" s="1075">
        <f>Sheet1!AD416</f>
        <v>10400</v>
      </c>
      <c r="S422" s="1081">
        <f>Sheet1!AG416</f>
        <v>0.7407407407407407</v>
      </c>
      <c r="T422" s="1075" t="str">
        <f>Sheet1!AH416</f>
        <v>D</v>
      </c>
      <c r="U422" s="1075">
        <f>Sheet1!AI416</f>
        <v>670</v>
      </c>
      <c r="V422" s="1075"/>
      <c r="W422" s="1075"/>
      <c r="X422" s="1075">
        <f>Sheet1!AJ416</f>
        <v>840</v>
      </c>
      <c r="Y422" s="1075"/>
      <c r="Z422" s="1075"/>
      <c r="AA422" s="1075"/>
      <c r="AB422" s="1075"/>
      <c r="AC422" s="1075"/>
      <c r="AD422" s="1075"/>
      <c r="AE422" s="1075"/>
      <c r="AF422" s="1075"/>
      <c r="AG422" s="1075"/>
      <c r="AH422" s="1075"/>
      <c r="AI422" s="1075"/>
      <c r="AJ422" s="1075"/>
      <c r="AK422" s="1075" t="str">
        <f>IF(Sheet1!AE419="C",Sheet1!AK419,"-")</f>
        <v>-</v>
      </c>
      <c r="AL422" s="1075" t="str">
        <f>IF(Sheet1!AE419="D",Sheet1!AK419,"-")</f>
        <v>-</v>
      </c>
      <c r="AM422" s="1075">
        <f>IF(Sheet1!AE416="E",Sheet1!AK416,"-")</f>
        <v>1270</v>
      </c>
    </row>
    <row r="423" spans="2:39" x14ac:dyDescent="0.25">
      <c r="B423" s="1082">
        <f>Sheet1!F417</f>
        <v>1150</v>
      </c>
      <c r="C423" s="1075" t="str">
        <f>Sheet1!C417</f>
        <v>Macy Ave.</v>
      </c>
      <c r="D423" s="1075" t="str">
        <f>_xlfn.TEXTBEFORE(Sheet1!E417, " to ")</f>
        <v>Ohio St.</v>
      </c>
      <c r="E423" s="1075" t="str">
        <f>_xlfn.TEXTAFTER(Sheet1!E417, " to ")</f>
        <v>Cassadaga Rd.</v>
      </c>
      <c r="F423" s="1075">
        <f>Sheet1!AM417</f>
        <v>2</v>
      </c>
      <c r="G423" s="1075"/>
      <c r="H423" s="1083" t="str">
        <f>Sheet1!AE417</f>
        <v>C</v>
      </c>
      <c r="I423" s="1075"/>
      <c r="J423" s="1075" t="str">
        <f>Sheet1!Q417</f>
        <v>UA_NSSRC2_2W_2L_U_0L</v>
      </c>
      <c r="K423" s="1075"/>
      <c r="L423" s="1075">
        <f>Sheet1!AF417</f>
        <v>5260</v>
      </c>
      <c r="M423" s="1075"/>
      <c r="N423" s="1075"/>
      <c r="O423" s="1075"/>
      <c r="P423" s="1075">
        <f>Sheet1!AK417</f>
        <v>1020</v>
      </c>
      <c r="Q423" s="1075"/>
      <c r="R423" s="1075">
        <f>Sheet1!AD417</f>
        <v>1680</v>
      </c>
      <c r="S423" s="1081">
        <f>Sheet1!AG417</f>
        <v>0.3193916349809886</v>
      </c>
      <c r="T423" s="1075" t="str">
        <f>Sheet1!AH417</f>
        <v>C</v>
      </c>
      <c r="U423" s="1075">
        <f>Sheet1!AI417</f>
        <v>300</v>
      </c>
      <c r="V423" s="1075"/>
      <c r="W423" s="1075"/>
      <c r="X423" s="1075">
        <f>Sheet1!AJ417</f>
        <v>170</v>
      </c>
      <c r="Y423" s="1075"/>
      <c r="Z423" s="1075"/>
      <c r="AA423" s="1075"/>
      <c r="AB423" s="1075"/>
      <c r="AC423" s="1075"/>
      <c r="AD423" s="1075"/>
      <c r="AE423" s="1075"/>
      <c r="AF423" s="1075"/>
      <c r="AG423" s="1075"/>
      <c r="AH423" s="1075"/>
      <c r="AI423" s="1075"/>
      <c r="AJ423" s="1075"/>
      <c r="AK423" s="1075" t="str">
        <f>IF(Sheet1!AE420="C",Sheet1!AK420,"-")</f>
        <v>-</v>
      </c>
      <c r="AL423" s="1075" t="str">
        <f>IF(Sheet1!AE420="D",Sheet1!AK420,"-")</f>
        <v>-</v>
      </c>
      <c r="AM423" s="1075" t="str">
        <f>IF(Sheet1!AE417="E",Sheet1!AK417,"-")</f>
        <v>-</v>
      </c>
    </row>
    <row r="424" spans="2:39" x14ac:dyDescent="0.25">
      <c r="B424" s="1082" t="str">
        <f>Sheet1!F418</f>
        <v>PO1304</v>
      </c>
      <c r="C424" s="1075" t="str">
        <f>Sheet1!C418</f>
        <v>Madeline Ave. (PO)</v>
      </c>
      <c r="D424" s="1075" t="str">
        <f>_xlfn.TEXTBEFORE(Sheet1!E418, " to ")</f>
        <v>Williamson Blvd.</v>
      </c>
      <c r="E424" s="1075" t="str">
        <f>_xlfn.TEXTAFTER(Sheet1!E418, " to ")</f>
        <v>Clyde Morris Blvd</v>
      </c>
      <c r="F424" s="1075">
        <f>Sheet1!AM418</f>
        <v>2</v>
      </c>
      <c r="G424" s="1075"/>
      <c r="H424" s="1083" t="str">
        <f>Sheet1!AE418</f>
        <v>E</v>
      </c>
      <c r="I424" s="1075"/>
      <c r="J424" s="1075" t="str">
        <f>Sheet1!Q418</f>
        <v>UA_NSSRC2_2W_2L_U_0L</v>
      </c>
      <c r="K424" s="1075"/>
      <c r="L424" s="1075">
        <f>Sheet1!AF418</f>
        <v>13640</v>
      </c>
      <c r="M424" s="1075"/>
      <c r="N424" s="1075"/>
      <c r="O424" s="1075"/>
      <c r="P424" s="1075">
        <f>Sheet1!AK418</f>
        <v>1020</v>
      </c>
      <c r="Q424" s="1075"/>
      <c r="R424" s="1075" t="str">
        <f>Sheet1!AD418</f>
        <v>-</v>
      </c>
      <c r="S424" s="1081" t="str">
        <f>Sheet1!AG418</f>
        <v>-</v>
      </c>
      <c r="T424" s="1075" t="str">
        <f>Sheet1!AH418</f>
        <v>-</v>
      </c>
      <c r="U424" s="1075" t="str">
        <f>Sheet1!AI418</f>
        <v>-</v>
      </c>
      <c r="V424" s="1075"/>
      <c r="W424" s="1075"/>
      <c r="X424" s="1075" t="str">
        <f>Sheet1!AJ418</f>
        <v>-</v>
      </c>
      <c r="Y424" s="1075"/>
      <c r="Z424" s="1075"/>
      <c r="AA424" s="1075"/>
      <c r="AB424" s="1075"/>
      <c r="AC424" s="1075"/>
      <c r="AD424" s="1075"/>
      <c r="AE424" s="1075"/>
      <c r="AF424" s="1075"/>
      <c r="AG424" s="1075"/>
      <c r="AH424" s="1075"/>
      <c r="AI424" s="1075"/>
      <c r="AJ424" s="1075"/>
      <c r="AK424" s="1075" t="str">
        <f>IF(Sheet1!AE421="C",Sheet1!AK421,"-")</f>
        <v>-</v>
      </c>
      <c r="AL424" s="1075">
        <f>IF(Sheet1!AE421="D",Sheet1!AK421,"-")</f>
        <v>1020</v>
      </c>
      <c r="AM424" s="1075">
        <f>IF(Sheet1!AE418="E",Sheet1!AK418,"-")</f>
        <v>1020</v>
      </c>
    </row>
    <row r="425" spans="2:39" x14ac:dyDescent="0.25">
      <c r="B425" s="1082">
        <f>Sheet1!F419</f>
        <v>1174</v>
      </c>
      <c r="C425" s="1075" t="str">
        <f>Sheet1!C419</f>
        <v>Main St. (Enterprise)</v>
      </c>
      <c r="D425" s="1075" t="str">
        <f>_xlfn.TEXTBEFORE(Sheet1!E419, " to ")</f>
        <v>Jacob Brock Ave</v>
      </c>
      <c r="E425" s="1075" t="str">
        <f>_xlfn.TEXTAFTER(Sheet1!E419, " to ")</f>
        <v>DeBary Ave.</v>
      </c>
      <c r="F425" s="1075">
        <f>Sheet1!AM419</f>
        <v>2</v>
      </c>
      <c r="G425" s="1075"/>
      <c r="H425" s="1083" t="str">
        <f>Sheet1!AE419</f>
        <v>E</v>
      </c>
      <c r="I425" s="1075"/>
      <c r="J425" s="1075" t="str">
        <f>Sheet1!Q419</f>
        <v>UA_NSSRC2_2W_2L_U_0L</v>
      </c>
      <c r="K425" s="1075"/>
      <c r="L425" s="1075">
        <f>Sheet1!AF419</f>
        <v>13640</v>
      </c>
      <c r="M425" s="1075"/>
      <c r="N425" s="1075"/>
      <c r="O425" s="1075"/>
      <c r="P425" s="1075">
        <f>Sheet1!AK419</f>
        <v>1020</v>
      </c>
      <c r="Q425" s="1075"/>
      <c r="R425" s="1075">
        <f>Sheet1!AD419</f>
        <v>2130</v>
      </c>
      <c r="S425" s="1081">
        <f>Sheet1!AG419</f>
        <v>0.156158357771261</v>
      </c>
      <c r="T425" s="1075" t="str">
        <f>Sheet1!AH419</f>
        <v>C</v>
      </c>
      <c r="U425" s="1075">
        <f>Sheet1!AI419</f>
        <v>230</v>
      </c>
      <c r="V425" s="1075"/>
      <c r="W425" s="1075"/>
      <c r="X425" s="1075">
        <f>Sheet1!AJ419</f>
        <v>250</v>
      </c>
      <c r="Y425" s="1075"/>
      <c r="Z425" s="1075"/>
      <c r="AA425" s="1075"/>
      <c r="AB425" s="1075"/>
      <c r="AC425" s="1075"/>
      <c r="AD425" s="1075"/>
      <c r="AE425" s="1075"/>
      <c r="AF425" s="1075"/>
      <c r="AG425" s="1075"/>
      <c r="AH425" s="1075"/>
      <c r="AI425" s="1075"/>
      <c r="AJ425" s="1075"/>
      <c r="AK425" s="1075" t="str">
        <f>IF(Sheet1!AE422="C",Sheet1!AK422,"-")</f>
        <v>-</v>
      </c>
      <c r="AL425" s="1075" t="str">
        <f>IF(Sheet1!AE422="D",Sheet1!AK422,"-")</f>
        <v>-</v>
      </c>
      <c r="AM425" s="1075">
        <f>IF(Sheet1!AE419="E",Sheet1!AK419,"-")</f>
        <v>1020</v>
      </c>
    </row>
    <row r="426" spans="2:39" x14ac:dyDescent="0.25">
      <c r="B426" s="1082">
        <f>Sheet1!F420</f>
        <v>1173</v>
      </c>
      <c r="C426" s="1075" t="str">
        <f>Sheet1!C420</f>
        <v>Main St. (Enterprise)</v>
      </c>
      <c r="D426" s="1075" t="str">
        <f>_xlfn.TEXTBEFORE(Sheet1!E420, " to ")</f>
        <v>DeBary Ave.</v>
      </c>
      <c r="E426" s="1075" t="str">
        <f>_xlfn.TEXTAFTER(Sheet1!E420, " to ")</f>
        <v>Lakeshore Dr.</v>
      </c>
      <c r="F426" s="1075">
        <f>Sheet1!AM420</f>
        <v>2</v>
      </c>
      <c r="G426" s="1075"/>
      <c r="H426" s="1083" t="str">
        <f>Sheet1!AE420</f>
        <v>E</v>
      </c>
      <c r="I426" s="1075"/>
      <c r="J426" s="1075" t="str">
        <f>Sheet1!Q420</f>
        <v>UA_NSSRC2_2W_2L_U_0L</v>
      </c>
      <c r="K426" s="1075"/>
      <c r="L426" s="1075">
        <f>Sheet1!AF420</f>
        <v>13640</v>
      </c>
      <c r="M426" s="1075"/>
      <c r="N426" s="1075"/>
      <c r="O426" s="1075"/>
      <c r="P426" s="1075">
        <f>Sheet1!AK420</f>
        <v>1020</v>
      </c>
      <c r="Q426" s="1075"/>
      <c r="R426" s="1075" t="str">
        <f>Sheet1!AD420</f>
        <v>-</v>
      </c>
      <c r="S426" s="1081" t="str">
        <f>Sheet1!AG420</f>
        <v>-</v>
      </c>
      <c r="T426" s="1075" t="str">
        <f>Sheet1!AH420</f>
        <v>-</v>
      </c>
      <c r="U426" s="1075" t="str">
        <f>Sheet1!AI420</f>
        <v>-</v>
      </c>
      <c r="V426" s="1075"/>
      <c r="W426" s="1075"/>
      <c r="X426" s="1075" t="str">
        <f>Sheet1!AJ420</f>
        <v>-</v>
      </c>
      <c r="Y426" s="1075"/>
      <c r="Z426" s="1075"/>
      <c r="AA426" s="1075"/>
      <c r="AB426" s="1075"/>
      <c r="AC426" s="1075"/>
      <c r="AD426" s="1075"/>
      <c r="AE426" s="1075"/>
      <c r="AF426" s="1075"/>
      <c r="AG426" s="1075"/>
      <c r="AH426" s="1075"/>
      <c r="AI426" s="1075"/>
      <c r="AJ426" s="1075"/>
      <c r="AK426" s="1075">
        <f>IF(Sheet1!AE423="C",Sheet1!AK423,"-")</f>
        <v>1120</v>
      </c>
      <c r="AL426" s="1075" t="str">
        <f>IF(Sheet1!AE423="D",Sheet1!AK423,"-")</f>
        <v>-</v>
      </c>
      <c r="AM426" s="1075">
        <f>IF(Sheet1!AE420="E",Sheet1!AK420,"-")</f>
        <v>1020</v>
      </c>
    </row>
    <row r="427" spans="2:39" x14ac:dyDescent="0.25">
      <c r="B427" s="1082">
        <f>Sheet1!F421</f>
        <v>1176</v>
      </c>
      <c r="C427" s="1075" t="str">
        <f>Sheet1!C421</f>
        <v>Main St. (Lake Helen)</v>
      </c>
      <c r="D427" s="1075" t="str">
        <f>_xlfn.TEXTBEFORE(Sheet1!E421, " to ")</f>
        <v>I-4</v>
      </c>
      <c r="E427" s="1075" t="str">
        <f>_xlfn.TEXTAFTER(Sheet1!E421, " to ")</f>
        <v>Lakeview Dr.</v>
      </c>
      <c r="F427" s="1075">
        <f>Sheet1!AM421</f>
        <v>2</v>
      </c>
      <c r="G427" s="1075"/>
      <c r="H427" s="1083" t="str">
        <f>Sheet1!AE421</f>
        <v>D</v>
      </c>
      <c r="I427" s="1075"/>
      <c r="J427" s="1075" t="str">
        <f>Sheet1!Q421</f>
        <v>UA_NSSRC2_2W_2L_U_0L</v>
      </c>
      <c r="K427" s="1075"/>
      <c r="L427" s="1075">
        <f>Sheet1!AF421</f>
        <v>10660</v>
      </c>
      <c r="M427" s="1075"/>
      <c r="N427" s="1075"/>
      <c r="O427" s="1075"/>
      <c r="P427" s="1075">
        <f>Sheet1!AK421</f>
        <v>1020</v>
      </c>
      <c r="Q427" s="1075"/>
      <c r="R427" s="1075">
        <f>Sheet1!AD421</f>
        <v>7770</v>
      </c>
      <c r="S427" s="1081">
        <f>Sheet1!AG421</f>
        <v>0.72889305816135086</v>
      </c>
      <c r="T427" s="1075" t="str">
        <f>Sheet1!AH421</f>
        <v>D</v>
      </c>
      <c r="U427" s="1075">
        <f>Sheet1!AI421</f>
        <v>860</v>
      </c>
      <c r="V427" s="1075"/>
      <c r="W427" s="1075"/>
      <c r="X427" s="1075">
        <f>Sheet1!AJ421</f>
        <v>680</v>
      </c>
      <c r="Y427" s="1075"/>
      <c r="Z427" s="1075"/>
      <c r="AA427" s="1075"/>
      <c r="AB427" s="1075"/>
      <c r="AC427" s="1075"/>
      <c r="AD427" s="1075"/>
      <c r="AE427" s="1075"/>
      <c r="AF427" s="1075"/>
      <c r="AG427" s="1075"/>
      <c r="AH427" s="1075"/>
      <c r="AI427" s="1075"/>
      <c r="AJ427" s="1075"/>
      <c r="AK427" s="1075" t="str">
        <f>IF(Sheet1!AE424="C",Sheet1!AK424,"-")</f>
        <v>-</v>
      </c>
      <c r="AL427" s="1075" t="str">
        <f>IF(Sheet1!AE424="D",Sheet1!AK424,"-")</f>
        <v>-</v>
      </c>
      <c r="AM427" s="1075" t="str">
        <f>IF(Sheet1!AE421="E",Sheet1!AK421,"-")</f>
        <v>-</v>
      </c>
    </row>
    <row r="428" spans="2:39" x14ac:dyDescent="0.25">
      <c r="B428" s="1082">
        <f>Sheet1!F422</f>
        <v>1180</v>
      </c>
      <c r="C428" s="1075" t="str">
        <f>Sheet1!C422</f>
        <v>Marsh Rd.</v>
      </c>
      <c r="D428" s="1075" t="str">
        <f>_xlfn.TEXTBEFORE(Sheet1!E422, " to ")</f>
        <v>US 92</v>
      </c>
      <c r="E428" s="1075" t="str">
        <f>_xlfn.TEXTAFTER(Sheet1!E422, " to ")</f>
        <v>Carter Rd.</v>
      </c>
      <c r="F428" s="1075">
        <f>Sheet1!AM422</f>
        <v>2</v>
      </c>
      <c r="G428" s="1075"/>
      <c r="H428" s="1083" t="str">
        <f>Sheet1!AE422</f>
        <v>E</v>
      </c>
      <c r="I428" s="1075"/>
      <c r="J428" s="1075" t="str">
        <f>Sheet1!Q422</f>
        <v>UA_NSSRC2_2W_2L_U_0L</v>
      </c>
      <c r="K428" s="1075"/>
      <c r="L428" s="1075">
        <f>Sheet1!AF422</f>
        <v>13640</v>
      </c>
      <c r="M428" s="1075"/>
      <c r="N428" s="1075"/>
      <c r="O428" s="1075"/>
      <c r="P428" s="1075">
        <f>Sheet1!AK422</f>
        <v>1020</v>
      </c>
      <c r="Q428" s="1075"/>
      <c r="R428" s="1075">
        <f>Sheet1!AD422</f>
        <v>3320</v>
      </c>
      <c r="S428" s="1081">
        <f>Sheet1!AG422</f>
        <v>0.24340175953079179</v>
      </c>
      <c r="T428" s="1075" t="str">
        <f>Sheet1!AH422</f>
        <v>C</v>
      </c>
      <c r="U428" s="1075">
        <f>Sheet1!AI422</f>
        <v>210</v>
      </c>
      <c r="V428" s="1075"/>
      <c r="W428" s="1075"/>
      <c r="X428" s="1075">
        <f>Sheet1!AJ422</f>
        <v>340</v>
      </c>
      <c r="Y428" s="1075"/>
      <c r="Z428" s="1075"/>
      <c r="AA428" s="1075"/>
      <c r="AB428" s="1075"/>
      <c r="AC428" s="1075"/>
      <c r="AD428" s="1075"/>
      <c r="AE428" s="1075"/>
      <c r="AF428" s="1075"/>
      <c r="AG428" s="1075"/>
      <c r="AH428" s="1075"/>
      <c r="AI428" s="1075"/>
      <c r="AJ428" s="1075"/>
      <c r="AK428" s="1075" t="str">
        <f>IF(Sheet1!AE425="C",Sheet1!AK425,"-")</f>
        <v>-</v>
      </c>
      <c r="AL428" s="1075" t="str">
        <f>IF(Sheet1!AE425="D",Sheet1!AK425,"-")</f>
        <v>-</v>
      </c>
      <c r="AM428" s="1075">
        <f>IF(Sheet1!AE422="E",Sheet1!AK422,"-")</f>
        <v>1020</v>
      </c>
    </row>
    <row r="429" spans="2:39" x14ac:dyDescent="0.25">
      <c r="B429" s="1082">
        <f>Sheet1!F423</f>
        <v>1183</v>
      </c>
      <c r="C429" s="1075" t="str">
        <f>Sheet1!C423</f>
        <v>Marsh Rd.</v>
      </c>
      <c r="D429" s="1075" t="str">
        <f>_xlfn.TEXTBEFORE(Sheet1!E423, " to ")</f>
        <v>Carter Rd.</v>
      </c>
      <c r="E429" s="1075" t="str">
        <f>_xlfn.TEXTAFTER(Sheet1!E423, " to ")</f>
        <v>Daugharty Rd.</v>
      </c>
      <c r="F429" s="1075">
        <f>Sheet1!AM423</f>
        <v>2</v>
      </c>
      <c r="G429" s="1075"/>
      <c r="H429" s="1083" t="str">
        <f>Sheet1!AE423</f>
        <v>C</v>
      </c>
      <c r="I429" s="1075"/>
      <c r="J429" s="1075" t="str">
        <f>Sheet1!Q423</f>
        <v>RDA_UFH_2W_2L_U_0L</v>
      </c>
      <c r="K429" s="1075"/>
      <c r="L429" s="1075">
        <f>Sheet1!AF423</f>
        <v>11775</v>
      </c>
      <c r="M429" s="1075"/>
      <c r="N429" s="1075"/>
      <c r="O429" s="1075"/>
      <c r="P429" s="1075">
        <f>Sheet1!AK423</f>
        <v>1120</v>
      </c>
      <c r="Q429" s="1075"/>
      <c r="R429" s="1075">
        <f>Sheet1!AD423</f>
        <v>1070</v>
      </c>
      <c r="S429" s="1081">
        <f>Sheet1!AG423</f>
        <v>9.0870488322717616E-2</v>
      </c>
      <c r="T429" s="1075" t="str">
        <f>Sheet1!AH423</f>
        <v>B</v>
      </c>
      <c r="U429" s="1075">
        <f>Sheet1!AI423</f>
        <v>80</v>
      </c>
      <c r="V429" s="1075"/>
      <c r="W429" s="1075"/>
      <c r="X429" s="1075">
        <f>Sheet1!AJ423</f>
        <v>100</v>
      </c>
      <c r="Y429" s="1075"/>
      <c r="Z429" s="1075"/>
      <c r="AA429" s="1075"/>
      <c r="AB429" s="1075"/>
      <c r="AC429" s="1075"/>
      <c r="AD429" s="1075"/>
      <c r="AE429" s="1075"/>
      <c r="AF429" s="1075"/>
      <c r="AG429" s="1075"/>
      <c r="AH429" s="1075"/>
      <c r="AI429" s="1075"/>
      <c r="AJ429" s="1075"/>
      <c r="AK429" s="1075" t="str">
        <f>IF(Sheet1!AE426="C",Sheet1!AK426,"-")</f>
        <v>-</v>
      </c>
      <c r="AL429" s="1075" t="str">
        <f>IF(Sheet1!AE426="D",Sheet1!AK426,"-")</f>
        <v>-</v>
      </c>
      <c r="AM429" s="1075" t="str">
        <f>IF(Sheet1!AE423="E",Sheet1!AK423,"-")</f>
        <v>-</v>
      </c>
    </row>
    <row r="430" spans="2:39" x14ac:dyDescent="0.25">
      <c r="B430" s="1082">
        <f>Sheet1!F424</f>
        <v>1190</v>
      </c>
      <c r="C430" s="1075" t="str">
        <f>Sheet1!C424</f>
        <v>Mason Ave.</v>
      </c>
      <c r="D430" s="1075" t="str">
        <f>_xlfn.TEXTBEFORE(Sheet1!E424, " to ")</f>
        <v>Williamson Blvd.</v>
      </c>
      <c r="E430" s="1075" t="str">
        <f>_xlfn.TEXTAFTER(Sheet1!E424, " to ")</f>
        <v>Fentress Blvd.</v>
      </c>
      <c r="F430" s="1075">
        <f>Sheet1!AM424</f>
        <v>2</v>
      </c>
      <c r="G430" s="1075"/>
      <c r="H430" s="1083" t="str">
        <f>Sheet1!AE424</f>
        <v>E</v>
      </c>
      <c r="I430" s="1075"/>
      <c r="J430" s="1075" t="str">
        <f>Sheet1!Q424</f>
        <v>UA_NSSRC1_2W_2L_D_WL</v>
      </c>
      <c r="K430" s="1075"/>
      <c r="L430" s="1075">
        <f>Sheet1!AF424</f>
        <v>17900</v>
      </c>
      <c r="M430" s="1075"/>
      <c r="N430" s="1075"/>
      <c r="O430" s="1075"/>
      <c r="P430" s="1075">
        <f>Sheet1!AK424</f>
        <v>1620</v>
      </c>
      <c r="Q430" s="1075"/>
      <c r="R430" s="1075">
        <f>Sheet1!AD424</f>
        <v>13370</v>
      </c>
      <c r="S430" s="1081">
        <f>Sheet1!AG424</f>
        <v>0.74692737430167599</v>
      </c>
      <c r="T430" s="1075" t="str">
        <f>Sheet1!AH424</f>
        <v>C</v>
      </c>
      <c r="U430" s="1075">
        <f>Sheet1!AI424</f>
        <v>720</v>
      </c>
      <c r="V430" s="1075"/>
      <c r="W430" s="1075"/>
      <c r="X430" s="1075">
        <f>Sheet1!AJ424</f>
        <v>1070</v>
      </c>
      <c r="Y430" s="1075"/>
      <c r="Z430" s="1075"/>
      <c r="AA430" s="1075"/>
      <c r="AB430" s="1075"/>
      <c r="AC430" s="1075"/>
      <c r="AD430" s="1075"/>
      <c r="AE430" s="1075"/>
      <c r="AF430" s="1075"/>
      <c r="AG430" s="1075"/>
      <c r="AH430" s="1075"/>
      <c r="AI430" s="1075"/>
      <c r="AJ430" s="1075"/>
      <c r="AK430" s="1075" t="str">
        <f>IF(Sheet1!AE427="C",Sheet1!AK427,"-")</f>
        <v>-</v>
      </c>
      <c r="AL430" s="1075" t="str">
        <f>IF(Sheet1!AE427="D",Sheet1!AK427,"-")</f>
        <v>-</v>
      </c>
      <c r="AM430" s="1075">
        <f>IF(Sheet1!AE424="E",Sheet1!AK424,"-")</f>
        <v>1620</v>
      </c>
    </row>
    <row r="431" spans="2:39" x14ac:dyDescent="0.25">
      <c r="B431" s="1082">
        <f>Sheet1!F425</f>
        <v>1191</v>
      </c>
      <c r="C431" s="1075" t="str">
        <f>Sheet1!C425</f>
        <v>Mason Ave.</v>
      </c>
      <c r="D431" s="1075" t="str">
        <f>_xlfn.TEXTBEFORE(Sheet1!E425, " to ")</f>
        <v>Fentress Blvd.</v>
      </c>
      <c r="E431" s="1075" t="str">
        <f>_xlfn.TEXTAFTER(Sheet1!E425, " to ")</f>
        <v>Bill France Blvd.</v>
      </c>
      <c r="F431" s="1075">
        <f>Sheet1!AM425</f>
        <v>2</v>
      </c>
      <c r="G431" s="1075"/>
      <c r="H431" s="1083" t="str">
        <f>Sheet1!AE425</f>
        <v>E</v>
      </c>
      <c r="I431" s="1075"/>
      <c r="J431" s="1075" t="str">
        <f>Sheet1!Q425</f>
        <v>UA_NSSRC1_2W_2L_D_WL</v>
      </c>
      <c r="K431" s="1075"/>
      <c r="L431" s="1075">
        <f>Sheet1!AF425</f>
        <v>17900</v>
      </c>
      <c r="M431" s="1075"/>
      <c r="N431" s="1075"/>
      <c r="O431" s="1075"/>
      <c r="P431" s="1075">
        <f>Sheet1!AK425</f>
        <v>1620</v>
      </c>
      <c r="Q431" s="1075"/>
      <c r="R431" s="1075">
        <f>Sheet1!AD425</f>
        <v>15890</v>
      </c>
      <c r="S431" s="1081">
        <f>Sheet1!AG425</f>
        <v>0.88770949720670389</v>
      </c>
      <c r="T431" s="1075" t="str">
        <f>Sheet1!AH425</f>
        <v>D</v>
      </c>
      <c r="U431" s="1075">
        <f>Sheet1!AI425</f>
        <v>860</v>
      </c>
      <c r="V431" s="1075"/>
      <c r="W431" s="1075"/>
      <c r="X431" s="1075">
        <f>Sheet1!AJ425</f>
        <v>1330</v>
      </c>
      <c r="Y431" s="1075"/>
      <c r="Z431" s="1075"/>
      <c r="AA431" s="1075"/>
      <c r="AB431" s="1075"/>
      <c r="AC431" s="1075"/>
      <c r="AD431" s="1075"/>
      <c r="AE431" s="1075"/>
      <c r="AF431" s="1075"/>
      <c r="AG431" s="1075"/>
      <c r="AH431" s="1075"/>
      <c r="AI431" s="1075"/>
      <c r="AJ431" s="1075"/>
      <c r="AK431" s="1075">
        <f>IF(Sheet1!AE428="C",Sheet1!AK428,"-")</f>
        <v>1120</v>
      </c>
      <c r="AL431" s="1075" t="str">
        <f>IF(Sheet1!AE428="D",Sheet1!AK428,"-")</f>
        <v>-</v>
      </c>
      <c r="AM431" s="1075">
        <f>IF(Sheet1!AE425="E",Sheet1!AK425,"-")</f>
        <v>1620</v>
      </c>
    </row>
    <row r="432" spans="2:39" x14ac:dyDescent="0.25">
      <c r="B432" s="1082">
        <f>Sheet1!F426</f>
        <v>1193</v>
      </c>
      <c r="C432" s="1075" t="str">
        <f>Sheet1!C426</f>
        <v>Mason Ave.</v>
      </c>
      <c r="D432" s="1075" t="str">
        <f>_xlfn.TEXTBEFORE(Sheet1!E426, " to ")</f>
        <v>Bill France Blvd.</v>
      </c>
      <c r="E432" s="1075" t="str">
        <f>_xlfn.TEXTAFTER(Sheet1!E426, " to ")</f>
        <v>Jimmy Ann Dr.</v>
      </c>
      <c r="F432" s="1075">
        <f>Sheet1!AM426</f>
        <v>4</v>
      </c>
      <c r="G432" s="1075"/>
      <c r="H432" s="1083" t="str">
        <f>Sheet1!AE426</f>
        <v>E</v>
      </c>
      <c r="I432" s="1075"/>
      <c r="J432" s="1075" t="str">
        <f>Sheet1!Q426</f>
        <v>UA_NSSRC1_2W_4L_D_WL</v>
      </c>
      <c r="K432" s="1075"/>
      <c r="L432" s="1075">
        <f>Sheet1!AF426</f>
        <v>37970</v>
      </c>
      <c r="M432" s="1075"/>
      <c r="N432" s="1075"/>
      <c r="O432" s="1075"/>
      <c r="P432" s="1075">
        <f>Sheet1!AK426</f>
        <v>3410</v>
      </c>
      <c r="Q432" s="1075"/>
      <c r="R432" s="1075">
        <f>Sheet1!AD426</f>
        <v>15080</v>
      </c>
      <c r="S432" s="1081">
        <f>Sheet1!AG426</f>
        <v>0.39715564919673424</v>
      </c>
      <c r="T432" s="1075" t="str">
        <f>Sheet1!AH426</f>
        <v>C</v>
      </c>
      <c r="U432" s="1075">
        <f>Sheet1!AI426</f>
        <v>810</v>
      </c>
      <c r="V432" s="1075"/>
      <c r="W432" s="1075"/>
      <c r="X432" s="1075">
        <f>Sheet1!AJ426</f>
        <v>1220</v>
      </c>
      <c r="Y432" s="1075"/>
      <c r="Z432" s="1075"/>
      <c r="AA432" s="1075"/>
      <c r="AB432" s="1075"/>
      <c r="AC432" s="1075"/>
      <c r="AD432" s="1075"/>
      <c r="AE432" s="1075"/>
      <c r="AF432" s="1075"/>
      <c r="AG432" s="1075"/>
      <c r="AH432" s="1075"/>
      <c r="AI432" s="1075"/>
      <c r="AJ432" s="1075"/>
      <c r="AK432" s="1075">
        <f>IF(Sheet1!AE429="C",Sheet1!AK429,"-")</f>
        <v>620</v>
      </c>
      <c r="AL432" s="1075" t="str">
        <f>IF(Sheet1!AE429="D",Sheet1!AK429,"-")</f>
        <v>-</v>
      </c>
      <c r="AM432" s="1075">
        <f>IF(Sheet1!AE426="E",Sheet1!AK426,"-")</f>
        <v>3410</v>
      </c>
    </row>
    <row r="433" spans="2:39" x14ac:dyDescent="0.25">
      <c r="B433" s="1082">
        <f>Sheet1!F427</f>
        <v>1194</v>
      </c>
      <c r="C433" s="1075" t="str">
        <f>Sheet1!C427</f>
        <v>Mason Ave.</v>
      </c>
      <c r="D433" s="1075" t="str">
        <f>_xlfn.TEXTBEFORE(Sheet1!E427, " to ")</f>
        <v>Jimmy Ann Dr.</v>
      </c>
      <c r="E433" s="1075" t="str">
        <f>_xlfn.TEXTAFTER(Sheet1!E427, " to ")</f>
        <v>SR 483/Clyde Morris Blvd</v>
      </c>
      <c r="F433" s="1075">
        <f>Sheet1!AM427</f>
        <v>4</v>
      </c>
      <c r="G433" s="1075"/>
      <c r="H433" s="1083" t="str">
        <f>Sheet1!AE427</f>
        <v>E</v>
      </c>
      <c r="I433" s="1075"/>
      <c r="J433" s="1075" t="str">
        <f>Sheet1!Q427</f>
        <v>UA_NSSRC1_2W_4L_D_WL</v>
      </c>
      <c r="K433" s="1075"/>
      <c r="L433" s="1075">
        <f>Sheet1!AF427</f>
        <v>37970</v>
      </c>
      <c r="M433" s="1075"/>
      <c r="N433" s="1075"/>
      <c r="O433" s="1075"/>
      <c r="P433" s="1075">
        <f>Sheet1!AK427</f>
        <v>3410</v>
      </c>
      <c r="Q433" s="1075"/>
      <c r="R433" s="1075">
        <f>Sheet1!AD427</f>
        <v>15540</v>
      </c>
      <c r="S433" s="1081">
        <f>Sheet1!AG427</f>
        <v>0.40927047669212535</v>
      </c>
      <c r="T433" s="1075" t="str">
        <f>Sheet1!AH427</f>
        <v>C</v>
      </c>
      <c r="U433" s="1075">
        <f>Sheet1!AI427</f>
        <v>800</v>
      </c>
      <c r="V433" s="1075"/>
      <c r="W433" s="1075"/>
      <c r="X433" s="1075">
        <f>Sheet1!AJ427</f>
        <v>1290</v>
      </c>
      <c r="Y433" s="1075"/>
      <c r="Z433" s="1075"/>
      <c r="AA433" s="1075"/>
      <c r="AB433" s="1075"/>
      <c r="AC433" s="1075"/>
      <c r="AD433" s="1075"/>
      <c r="AE433" s="1075"/>
      <c r="AF433" s="1075"/>
      <c r="AG433" s="1075"/>
      <c r="AH433" s="1075"/>
      <c r="AI433" s="1075"/>
      <c r="AJ433" s="1075"/>
      <c r="AK433" s="1075">
        <f>IF(Sheet1!AE430="C",Sheet1!AK430,"-")</f>
        <v>1120</v>
      </c>
      <c r="AL433" s="1075" t="str">
        <f>IF(Sheet1!AE430="D",Sheet1!AK430,"-")</f>
        <v>-</v>
      </c>
      <c r="AM433" s="1075">
        <f>IF(Sheet1!AE427="E",Sheet1!AK427,"-")</f>
        <v>3410</v>
      </c>
    </row>
    <row r="434" spans="2:39" x14ac:dyDescent="0.25">
      <c r="B434" s="1082">
        <f>Sheet1!F428</f>
        <v>1196</v>
      </c>
      <c r="C434" s="1075" t="str">
        <f>Sheet1!C428</f>
        <v>Maytown Rd.</v>
      </c>
      <c r="D434" s="1075" t="str">
        <f>_xlfn.TEXTBEFORE(Sheet1!E428, " to ")</f>
        <v>SR 415/New Smyrna Blvd.</v>
      </c>
      <c r="E434" s="1075" t="str">
        <f>_xlfn.TEXTAFTER(Sheet1!E428, " to ")</f>
        <v>Pell Rd.</v>
      </c>
      <c r="F434" s="1075">
        <f>Sheet1!AM428</f>
        <v>2</v>
      </c>
      <c r="G434" s="1075"/>
      <c r="H434" s="1083" t="str">
        <f>Sheet1!AE428</f>
        <v>C</v>
      </c>
      <c r="I434" s="1075"/>
      <c r="J434" s="1075" t="str">
        <f>Sheet1!Q428</f>
        <v>RDA_UFH_2W_2L_U_0L</v>
      </c>
      <c r="K434" s="1075"/>
      <c r="L434" s="1075">
        <f>Sheet1!AF428</f>
        <v>11775</v>
      </c>
      <c r="M434" s="1075"/>
      <c r="N434" s="1075"/>
      <c r="O434" s="1075"/>
      <c r="P434" s="1075">
        <f>Sheet1!AK428</f>
        <v>1120</v>
      </c>
      <c r="Q434" s="1075"/>
      <c r="R434" s="1075">
        <f>Sheet1!AD428</f>
        <v>3970</v>
      </c>
      <c r="S434" s="1081">
        <f>Sheet1!AG428</f>
        <v>0.33715498938428873</v>
      </c>
      <c r="T434" s="1075" t="str">
        <f>Sheet1!AH428</f>
        <v>B</v>
      </c>
      <c r="U434" s="1075">
        <f>Sheet1!AI428</f>
        <v>260</v>
      </c>
      <c r="V434" s="1075"/>
      <c r="W434" s="1075"/>
      <c r="X434" s="1075">
        <f>Sheet1!AJ428</f>
        <v>360</v>
      </c>
      <c r="Y434" s="1075"/>
      <c r="Z434" s="1075"/>
      <c r="AA434" s="1075"/>
      <c r="AB434" s="1075"/>
      <c r="AC434" s="1075"/>
      <c r="AD434" s="1075"/>
      <c r="AE434" s="1075"/>
      <c r="AF434" s="1075"/>
      <c r="AG434" s="1075"/>
      <c r="AH434" s="1075"/>
      <c r="AI434" s="1075"/>
      <c r="AJ434" s="1075"/>
      <c r="AK434" s="1075">
        <f>IF(Sheet1!AE431="C",Sheet1!AK431,"-")</f>
        <v>620</v>
      </c>
      <c r="AL434" s="1075" t="str">
        <f>IF(Sheet1!AE431="D",Sheet1!AK431,"-")</f>
        <v>-</v>
      </c>
      <c r="AM434" s="1075" t="str">
        <f>IF(Sheet1!AE428="E",Sheet1!AK428,"-")</f>
        <v>-</v>
      </c>
    </row>
    <row r="435" spans="2:39" x14ac:dyDescent="0.25">
      <c r="B435" s="1082">
        <f>Sheet1!F429</f>
        <v>1198</v>
      </c>
      <c r="C435" s="1075" t="str">
        <f>Sheet1!C429</f>
        <v>Maytown Rd.</v>
      </c>
      <c r="D435" s="1075" t="str">
        <f>_xlfn.TEXTBEFORE(Sheet1!E429, " to ")</f>
        <v>Pell Rd.</v>
      </c>
      <c r="E435" s="1075" t="str">
        <f>_xlfn.TEXTAFTER(Sheet1!E429, " to ")</f>
        <v>Beacon Light Rd.</v>
      </c>
      <c r="F435" s="1075">
        <f>Sheet1!AM429</f>
        <v>2</v>
      </c>
      <c r="G435" s="1075"/>
      <c r="H435" s="1083" t="str">
        <f>Sheet1!AE429</f>
        <v>C</v>
      </c>
      <c r="I435" s="1075"/>
      <c r="J435" s="1075" t="str">
        <f>Sheet1!Q429</f>
        <v>RUA_UFH_2W_2L_U_0L</v>
      </c>
      <c r="K435" s="1075"/>
      <c r="L435" s="1075">
        <f>Sheet1!AF429</f>
        <v>6450</v>
      </c>
      <c r="M435" s="1075"/>
      <c r="N435" s="1075"/>
      <c r="O435" s="1075"/>
      <c r="P435" s="1075">
        <f>Sheet1!AK429</f>
        <v>620</v>
      </c>
      <c r="Q435" s="1075"/>
      <c r="R435" s="1075">
        <f>Sheet1!AD429</f>
        <v>960</v>
      </c>
      <c r="S435" s="1081">
        <f>Sheet1!AG429</f>
        <v>0.14883720930232558</v>
      </c>
      <c r="T435" s="1075" t="str">
        <f>Sheet1!AH429</f>
        <v>B</v>
      </c>
      <c r="U435" s="1075">
        <f>Sheet1!AI429</f>
        <v>50</v>
      </c>
      <c r="V435" s="1075"/>
      <c r="W435" s="1075"/>
      <c r="X435" s="1075">
        <f>Sheet1!AJ429</f>
        <v>90</v>
      </c>
      <c r="Y435" s="1075"/>
      <c r="Z435" s="1075"/>
      <c r="AA435" s="1075"/>
      <c r="AB435" s="1075"/>
      <c r="AC435" s="1075"/>
      <c r="AD435" s="1075"/>
      <c r="AE435" s="1075"/>
      <c r="AF435" s="1075"/>
      <c r="AG435" s="1075"/>
      <c r="AH435" s="1075"/>
      <c r="AI435" s="1075"/>
      <c r="AJ435" s="1075"/>
      <c r="AK435" s="1075" t="str">
        <f>IF(Sheet1!AE432="C",Sheet1!AK432,"-")</f>
        <v>-</v>
      </c>
      <c r="AL435" s="1075" t="str">
        <f>IF(Sheet1!AE432="D",Sheet1!AK432,"-")</f>
        <v>-</v>
      </c>
      <c r="AM435" s="1075" t="str">
        <f>IF(Sheet1!AE429="E",Sheet1!AK429,"-")</f>
        <v>-</v>
      </c>
    </row>
    <row r="436" spans="2:39" x14ac:dyDescent="0.25">
      <c r="B436" s="1082">
        <f>Sheet1!F430</f>
        <v>790</v>
      </c>
      <c r="C436" s="1075" t="str">
        <f>Sheet1!C430</f>
        <v>Maytown Rd./Halifax Ave. (OH)</v>
      </c>
      <c r="D436" s="1075" t="str">
        <f>_xlfn.TEXTBEFORE(Sheet1!E430, " to ")</f>
        <v>Beacon Light Rd.</v>
      </c>
      <c r="E436" s="1075" t="str">
        <f>_xlfn.TEXTAFTER(Sheet1!E430, " to ")</f>
        <v>US 1</v>
      </c>
      <c r="F436" s="1075">
        <f>Sheet1!AM430</f>
        <v>2</v>
      </c>
      <c r="G436" s="1075"/>
      <c r="H436" s="1083" t="str">
        <f>Sheet1!AE430</f>
        <v>C</v>
      </c>
      <c r="I436" s="1075"/>
      <c r="J436" s="1075" t="str">
        <f>Sheet1!Q430</f>
        <v>RDA_UFH_2W_2L_U_0L</v>
      </c>
      <c r="K436" s="1075"/>
      <c r="L436" s="1075">
        <f>Sheet1!AF430</f>
        <v>11775</v>
      </c>
      <c r="M436" s="1075"/>
      <c r="N436" s="1075"/>
      <c r="O436" s="1075"/>
      <c r="P436" s="1075">
        <f>Sheet1!AK430</f>
        <v>1120</v>
      </c>
      <c r="Q436" s="1075"/>
      <c r="R436" s="1075">
        <f>Sheet1!AD430</f>
        <v>2030</v>
      </c>
      <c r="S436" s="1081">
        <f>Sheet1!AG430</f>
        <v>0.17239915074309978</v>
      </c>
      <c r="T436" s="1075" t="str">
        <f>Sheet1!AH430</f>
        <v>B</v>
      </c>
      <c r="U436" s="1075">
        <f>Sheet1!AI430</f>
        <v>110</v>
      </c>
      <c r="V436" s="1075"/>
      <c r="W436" s="1075"/>
      <c r="X436" s="1075">
        <f>Sheet1!AJ430</f>
        <v>180</v>
      </c>
      <c r="Y436" s="1075"/>
      <c r="Z436" s="1075"/>
      <c r="AA436" s="1075"/>
      <c r="AB436" s="1075"/>
      <c r="AC436" s="1075"/>
      <c r="AD436" s="1075"/>
      <c r="AE436" s="1075"/>
      <c r="AF436" s="1075"/>
      <c r="AG436" s="1075"/>
      <c r="AH436" s="1075"/>
      <c r="AI436" s="1075"/>
      <c r="AJ436" s="1075"/>
      <c r="AK436" s="1075" t="str">
        <f>IF(Sheet1!AE433="C",Sheet1!AK433,"-")</f>
        <v>-</v>
      </c>
      <c r="AL436" s="1075" t="str">
        <f>IF(Sheet1!AE433="D",Sheet1!AK433,"-")</f>
        <v>-</v>
      </c>
      <c r="AM436" s="1075" t="str">
        <f>IF(Sheet1!AE430="E",Sheet1!AK430,"-")</f>
        <v>-</v>
      </c>
    </row>
    <row r="437" spans="2:39" x14ac:dyDescent="0.25">
      <c r="B437" s="1082">
        <f>Sheet1!F431</f>
        <v>1200</v>
      </c>
      <c r="C437" s="1075" t="str">
        <f>Sheet1!C431</f>
        <v>McBride Rd.</v>
      </c>
      <c r="D437" s="1075" t="str">
        <f>_xlfn.TEXTBEFORE(Sheet1!E431, " to ")</f>
        <v>US 17</v>
      </c>
      <c r="E437" s="1075" t="str">
        <f>_xlfn.TEXTAFTER(Sheet1!E431, " to ")</f>
        <v>Lake George Rd.</v>
      </c>
      <c r="F437" s="1075">
        <f>Sheet1!AM431</f>
        <v>2</v>
      </c>
      <c r="G437" s="1075"/>
      <c r="H437" s="1083" t="str">
        <f>Sheet1!AE431</f>
        <v>C</v>
      </c>
      <c r="I437" s="1075"/>
      <c r="J437" s="1075" t="str">
        <f>Sheet1!Q431</f>
        <v>RUA_UFH_2W_2L_U_0L</v>
      </c>
      <c r="K437" s="1075"/>
      <c r="L437" s="1075">
        <f>Sheet1!AF431</f>
        <v>6450</v>
      </c>
      <c r="M437" s="1075"/>
      <c r="N437" s="1075"/>
      <c r="O437" s="1075"/>
      <c r="P437" s="1075">
        <f>Sheet1!AK431</f>
        <v>620</v>
      </c>
      <c r="Q437" s="1075"/>
      <c r="R437" s="1075">
        <f>Sheet1!AD431</f>
        <v>260</v>
      </c>
      <c r="S437" s="1081">
        <f>Sheet1!AG431</f>
        <v>4.0310077519379844E-2</v>
      </c>
      <c r="T437" s="1075" t="str">
        <f>Sheet1!AH431</f>
        <v>B</v>
      </c>
      <c r="U437" s="1075">
        <f>Sheet1!AI431</f>
        <v>20</v>
      </c>
      <c r="V437" s="1075"/>
      <c r="W437" s="1075"/>
      <c r="X437" s="1075">
        <f>Sheet1!AJ431</f>
        <v>30</v>
      </c>
      <c r="Y437" s="1075"/>
      <c r="Z437" s="1075"/>
      <c r="AA437" s="1075"/>
      <c r="AB437" s="1075"/>
      <c r="AC437" s="1075"/>
      <c r="AD437" s="1075"/>
      <c r="AE437" s="1075"/>
      <c r="AF437" s="1075"/>
      <c r="AG437" s="1075"/>
      <c r="AH437" s="1075"/>
      <c r="AI437" s="1075"/>
      <c r="AJ437" s="1075"/>
      <c r="AK437" s="1075" t="str">
        <f>IF(Sheet1!AE434="C",Sheet1!AK434,"-")</f>
        <v>-</v>
      </c>
      <c r="AL437" s="1075" t="str">
        <f>IF(Sheet1!AE434="D",Sheet1!AK434,"-")</f>
        <v>-</v>
      </c>
      <c r="AM437" s="1075" t="str">
        <f>IF(Sheet1!AE431="E",Sheet1!AK431,"-")</f>
        <v>-</v>
      </c>
    </row>
    <row r="438" spans="2:39" x14ac:dyDescent="0.25">
      <c r="B438" s="1082">
        <f>Sheet1!F432</f>
        <v>1210</v>
      </c>
      <c r="C438" s="1075" t="str">
        <f>Sheet1!C432</f>
        <v>McGregor Rd.</v>
      </c>
      <c r="D438" s="1075" t="str">
        <f>_xlfn.TEXTBEFORE(Sheet1!E432, " to ")</f>
        <v>Westside Con./Fatio</v>
      </c>
      <c r="E438" s="1075" t="str">
        <f>_xlfn.TEXTAFTER(Sheet1!E432, " to ")</f>
        <v>Spring Garden Ave.</v>
      </c>
      <c r="F438" s="1075">
        <f>Sheet1!AM432</f>
        <v>2</v>
      </c>
      <c r="G438" s="1075"/>
      <c r="H438" s="1083" t="str">
        <f>Sheet1!AE432</f>
        <v>E</v>
      </c>
      <c r="I438" s="1075"/>
      <c r="J438" s="1075" t="str">
        <f>Sheet1!Q432</f>
        <v>UA_NSSRC1_2W_2L_U_0L</v>
      </c>
      <c r="K438" s="1075"/>
      <c r="L438" s="1075">
        <f>Sheet1!AF432</f>
        <v>13640</v>
      </c>
      <c r="M438" s="1075"/>
      <c r="N438" s="1075"/>
      <c r="O438" s="1075"/>
      <c r="P438" s="1075">
        <f>Sheet1!AK432</f>
        <v>1230</v>
      </c>
      <c r="Q438" s="1075"/>
      <c r="R438" s="1075">
        <f>Sheet1!AD432</f>
        <v>2760</v>
      </c>
      <c r="S438" s="1081">
        <f>Sheet1!AG432</f>
        <v>0.20234604105571846</v>
      </c>
      <c r="T438" s="1075" t="str">
        <f>Sheet1!AH432</f>
        <v>C</v>
      </c>
      <c r="U438" s="1075">
        <f>Sheet1!AI432</f>
        <v>190</v>
      </c>
      <c r="V438" s="1075"/>
      <c r="W438" s="1075"/>
      <c r="X438" s="1075">
        <f>Sheet1!AJ432</f>
        <v>280</v>
      </c>
      <c r="Y438" s="1075"/>
      <c r="Z438" s="1075"/>
      <c r="AA438" s="1075"/>
      <c r="AB438" s="1075"/>
      <c r="AC438" s="1075"/>
      <c r="AD438" s="1075"/>
      <c r="AE438" s="1075"/>
      <c r="AF438" s="1075"/>
      <c r="AG438" s="1075"/>
      <c r="AH438" s="1075"/>
      <c r="AI438" s="1075"/>
      <c r="AJ438" s="1075"/>
      <c r="AK438" s="1075" t="str">
        <f>IF(Sheet1!AE435="C",Sheet1!AK435,"-")</f>
        <v>-</v>
      </c>
      <c r="AL438" s="1075" t="str">
        <f>IF(Sheet1!AE435="D",Sheet1!AK435,"-")</f>
        <v>-</v>
      </c>
      <c r="AM438" s="1075">
        <f>IF(Sheet1!AE432="E",Sheet1!AK432,"-")</f>
        <v>1230</v>
      </c>
    </row>
    <row r="439" spans="2:39" x14ac:dyDescent="0.25">
      <c r="B439" s="1082">
        <f>Sheet1!F433</f>
        <v>1211</v>
      </c>
      <c r="C439" s="1075" t="str">
        <f>Sheet1!C433</f>
        <v>McGregor Rd.</v>
      </c>
      <c r="D439" s="1075" t="str">
        <f>_xlfn.TEXTBEFORE(Sheet1!E433, " to ")</f>
        <v>Spring Garden Ave.</v>
      </c>
      <c r="E439" s="1075" t="str">
        <f>_xlfn.TEXTAFTER(Sheet1!E433, " to ")</f>
        <v xml:space="preserve"> US17/92</v>
      </c>
      <c r="F439" s="1075">
        <f>Sheet1!AM433</f>
        <v>2</v>
      </c>
      <c r="G439" s="1075"/>
      <c r="H439" s="1083" t="str">
        <f>Sheet1!AE433</f>
        <v>E</v>
      </c>
      <c r="I439" s="1075"/>
      <c r="J439" s="1075" t="str">
        <f>Sheet1!Q433</f>
        <v>UA_NSSRC1_2W_2L_U_0L</v>
      </c>
      <c r="K439" s="1075"/>
      <c r="L439" s="1075">
        <f>Sheet1!AF433</f>
        <v>13640</v>
      </c>
      <c r="M439" s="1075"/>
      <c r="N439" s="1075"/>
      <c r="O439" s="1075"/>
      <c r="P439" s="1075">
        <f>Sheet1!AK433</f>
        <v>1230</v>
      </c>
      <c r="Q439" s="1075"/>
      <c r="R439" s="1075">
        <f>Sheet1!AD433</f>
        <v>5180</v>
      </c>
      <c r="S439" s="1081">
        <f>Sheet1!AG433</f>
        <v>0.37976539589442815</v>
      </c>
      <c r="T439" s="1075" t="str">
        <f>Sheet1!AH433</f>
        <v>C</v>
      </c>
      <c r="U439" s="1075">
        <f>Sheet1!AI433</f>
        <v>330</v>
      </c>
      <c r="V439" s="1075"/>
      <c r="W439" s="1075"/>
      <c r="X439" s="1075">
        <f>Sheet1!AJ433</f>
        <v>510</v>
      </c>
      <c r="Y439" s="1075"/>
      <c r="Z439" s="1075"/>
      <c r="AA439" s="1075"/>
      <c r="AB439" s="1075"/>
      <c r="AC439" s="1075"/>
      <c r="AD439" s="1075"/>
      <c r="AE439" s="1075"/>
      <c r="AF439" s="1075"/>
      <c r="AG439" s="1075"/>
      <c r="AH439" s="1075"/>
      <c r="AI439" s="1075"/>
      <c r="AJ439" s="1075"/>
      <c r="AK439" s="1075" t="str">
        <f>IF(Sheet1!AE436="C",Sheet1!AK436,"-")</f>
        <v>-</v>
      </c>
      <c r="AL439" s="1075" t="str">
        <f>IF(Sheet1!AE436="D",Sheet1!AK436,"-")</f>
        <v>-</v>
      </c>
      <c r="AM439" s="1075">
        <f>IF(Sheet1!AE433="E",Sheet1!AK433,"-")</f>
        <v>1230</v>
      </c>
    </row>
    <row r="440" spans="2:39" x14ac:dyDescent="0.25">
      <c r="B440" s="1082">
        <f>Sheet1!F434</f>
        <v>1221</v>
      </c>
      <c r="C440" s="1075" t="str">
        <f>Sheet1!C434</f>
        <v>Mercers Fernery Rd.</v>
      </c>
      <c r="D440" s="1075" t="str">
        <f>_xlfn.TEXTBEFORE(Sheet1!E434, " to ")</f>
        <v>Glenwood Rd.</v>
      </c>
      <c r="E440" s="1075" t="str">
        <f>_xlfn.TEXTAFTER(Sheet1!E434, " to ")</f>
        <v>SR 15A</v>
      </c>
      <c r="F440" s="1075">
        <f>Sheet1!AM434</f>
        <v>2</v>
      </c>
      <c r="G440" s="1075"/>
      <c r="H440" s="1083" t="str">
        <f>Sheet1!AE434</f>
        <v>E</v>
      </c>
      <c r="I440" s="1075"/>
      <c r="J440" s="1075" t="str">
        <f>Sheet1!Q434</f>
        <v>UA_NSSRC2_2W_2L_U_0L</v>
      </c>
      <c r="K440" s="1075"/>
      <c r="L440" s="1075">
        <f>Sheet1!AF434</f>
        <v>13640</v>
      </c>
      <c r="M440" s="1075"/>
      <c r="N440" s="1075"/>
      <c r="O440" s="1075"/>
      <c r="P440" s="1075">
        <f>Sheet1!AK434</f>
        <v>1020</v>
      </c>
      <c r="Q440" s="1075"/>
      <c r="R440" s="1075">
        <f>Sheet1!AD434</f>
        <v>990</v>
      </c>
      <c r="S440" s="1081">
        <f>Sheet1!AG434</f>
        <v>7.2580645161290328E-2</v>
      </c>
      <c r="T440" s="1075" t="str">
        <f>Sheet1!AH434</f>
        <v>C</v>
      </c>
      <c r="U440" s="1075">
        <f>Sheet1!AI434</f>
        <v>60</v>
      </c>
      <c r="V440" s="1075"/>
      <c r="W440" s="1075"/>
      <c r="X440" s="1075">
        <f>Sheet1!AJ434</f>
        <v>90</v>
      </c>
      <c r="Y440" s="1075"/>
      <c r="Z440" s="1075"/>
      <c r="AA440" s="1075"/>
      <c r="AB440" s="1075"/>
      <c r="AC440" s="1075"/>
      <c r="AD440" s="1075"/>
      <c r="AE440" s="1075"/>
      <c r="AF440" s="1075"/>
      <c r="AG440" s="1075"/>
      <c r="AH440" s="1075"/>
      <c r="AI440" s="1075"/>
      <c r="AJ440" s="1075"/>
      <c r="AK440" s="1075" t="str">
        <f>IF(Sheet1!AE437="C",Sheet1!AK437,"-")</f>
        <v>-</v>
      </c>
      <c r="AL440" s="1075" t="str">
        <f>IF(Sheet1!AE437="D",Sheet1!AK437,"-")</f>
        <v>-</v>
      </c>
      <c r="AM440" s="1075">
        <f>IF(Sheet1!AE434="E",Sheet1!AK434,"-")</f>
        <v>1020</v>
      </c>
    </row>
    <row r="441" spans="2:39" x14ac:dyDescent="0.25">
      <c r="B441" s="1082">
        <f>Sheet1!F435</f>
        <v>1223</v>
      </c>
      <c r="C441" s="1075" t="str">
        <f>Sheet1!C435</f>
        <v>Mercers Fernery Rd.</v>
      </c>
      <c r="D441" s="1075" t="str">
        <f>_xlfn.TEXTBEFORE(Sheet1!E435, " to ")</f>
        <v>SR 15A</v>
      </c>
      <c r="E441" s="1075" t="str">
        <f>_xlfn.TEXTAFTER(Sheet1!E435, " to ")</f>
        <v>US 17</v>
      </c>
      <c r="F441" s="1075">
        <f>Sheet1!AM435</f>
        <v>2</v>
      </c>
      <c r="G441" s="1075"/>
      <c r="H441" s="1083" t="str">
        <f>Sheet1!AE435</f>
        <v>E</v>
      </c>
      <c r="I441" s="1075"/>
      <c r="J441" s="1075" t="str">
        <f>Sheet1!Q435</f>
        <v>UA_NSSRC2_2W_2L_U_0L</v>
      </c>
      <c r="K441" s="1075"/>
      <c r="L441" s="1075">
        <f>Sheet1!AF435</f>
        <v>13640</v>
      </c>
      <c r="M441" s="1075"/>
      <c r="N441" s="1075"/>
      <c r="O441" s="1075"/>
      <c r="P441" s="1075">
        <f>Sheet1!AK435</f>
        <v>1020</v>
      </c>
      <c r="Q441" s="1075"/>
      <c r="R441" s="1075">
        <f>Sheet1!AD435</f>
        <v>1560</v>
      </c>
      <c r="S441" s="1081">
        <f>Sheet1!AG435</f>
        <v>0.11436950146627566</v>
      </c>
      <c r="T441" s="1075" t="str">
        <f>Sheet1!AH435</f>
        <v>C</v>
      </c>
      <c r="U441" s="1075">
        <f>Sheet1!AI435</f>
        <v>90</v>
      </c>
      <c r="V441" s="1075"/>
      <c r="W441" s="1075"/>
      <c r="X441" s="1075">
        <f>Sheet1!AJ435</f>
        <v>140</v>
      </c>
      <c r="Y441" s="1075"/>
      <c r="Z441" s="1075"/>
      <c r="AA441" s="1075"/>
      <c r="AB441" s="1075"/>
      <c r="AC441" s="1075"/>
      <c r="AD441" s="1075"/>
      <c r="AE441" s="1075"/>
      <c r="AF441" s="1075"/>
      <c r="AG441" s="1075"/>
      <c r="AH441" s="1075"/>
      <c r="AI441" s="1075"/>
      <c r="AJ441" s="1075"/>
      <c r="AK441" s="1075" t="str">
        <f>IF(Sheet1!AE438="C",Sheet1!AK438,"-")</f>
        <v>-</v>
      </c>
      <c r="AL441" s="1075" t="str">
        <f>IF(Sheet1!AE438="D",Sheet1!AK438,"-")</f>
        <v>-</v>
      </c>
      <c r="AM441" s="1075">
        <f>IF(Sheet1!AE435="E",Sheet1!AK435,"-")</f>
        <v>1020</v>
      </c>
    </row>
    <row r="442" spans="2:39" x14ac:dyDescent="0.25">
      <c r="B442" s="1082">
        <f>Sheet1!F436</f>
        <v>1230</v>
      </c>
      <c r="C442" s="1075" t="str">
        <f>Sheet1!C436</f>
        <v>Midway Ave.</v>
      </c>
      <c r="D442" s="1075" t="str">
        <f>_xlfn.TEXTBEFORE(Sheet1!E436, " to ")</f>
        <v>Williamson Blvd.</v>
      </c>
      <c r="E442" s="1075" t="str">
        <f>_xlfn.TEXTAFTER(Sheet1!E436, " to ")</f>
        <v>US 92</v>
      </c>
      <c r="F442" s="1075">
        <f>Sheet1!AM436</f>
        <v>4</v>
      </c>
      <c r="G442" s="1075"/>
      <c r="H442" s="1083" t="str">
        <f>Sheet1!AE436</f>
        <v>E</v>
      </c>
      <c r="I442" s="1075"/>
      <c r="J442" s="1075" t="str">
        <f>Sheet1!Q436</f>
        <v>UA_NSSRC1_2W_4L_D_WL</v>
      </c>
      <c r="K442" s="1075"/>
      <c r="L442" s="1075">
        <f>Sheet1!AF436</f>
        <v>37970</v>
      </c>
      <c r="M442" s="1075"/>
      <c r="N442" s="1075"/>
      <c r="O442" s="1075"/>
      <c r="P442" s="1075">
        <f>Sheet1!AK436</f>
        <v>3410</v>
      </c>
      <c r="Q442" s="1075"/>
      <c r="R442" s="1075">
        <f>Sheet1!AD436</f>
        <v>2600</v>
      </c>
      <c r="S442" s="1081">
        <f>Sheet1!AG436</f>
        <v>6.8475111930471427E-2</v>
      </c>
      <c r="T442" s="1075" t="str">
        <f>Sheet1!AH436</f>
        <v>C</v>
      </c>
      <c r="U442" s="1075">
        <f>Sheet1!AI436</f>
        <v>150</v>
      </c>
      <c r="V442" s="1075"/>
      <c r="W442" s="1075"/>
      <c r="X442" s="1075">
        <f>Sheet1!AJ436</f>
        <v>240</v>
      </c>
      <c r="Y442" s="1075"/>
      <c r="Z442" s="1075"/>
      <c r="AA442" s="1075"/>
      <c r="AB442" s="1075"/>
      <c r="AC442" s="1075"/>
      <c r="AD442" s="1075"/>
      <c r="AE442" s="1075"/>
      <c r="AF442" s="1075"/>
      <c r="AG442" s="1075"/>
      <c r="AH442" s="1075"/>
      <c r="AI442" s="1075"/>
      <c r="AJ442" s="1075"/>
      <c r="AK442" s="1075" t="str">
        <f>IF(Sheet1!AE439="C",Sheet1!AK439,"-")</f>
        <v>-</v>
      </c>
      <c r="AL442" s="1075" t="str">
        <f>IF(Sheet1!AE439="D",Sheet1!AK439,"-")</f>
        <v>-</v>
      </c>
      <c r="AM442" s="1075">
        <f>IF(Sheet1!AE436="E",Sheet1!AK436,"-")</f>
        <v>3410</v>
      </c>
    </row>
    <row r="443" spans="2:39" x14ac:dyDescent="0.25">
      <c r="B443" s="1082">
        <f>Sheet1!F437</f>
        <v>1241</v>
      </c>
      <c r="C443" s="1075" t="str">
        <f>Sheet1!C437</f>
        <v>Minnesota Ave. (Orange City)</v>
      </c>
      <c r="D443" s="1075" t="str">
        <f>_xlfn.TEXTBEFORE(Sheet1!E437, " to ")</f>
        <v>Sparkman Ave.</v>
      </c>
      <c r="E443" s="1075" t="str">
        <f>_xlfn.TEXTAFTER(Sheet1!E437, " to ")</f>
        <v>US 17/92</v>
      </c>
      <c r="F443" s="1075">
        <f>Sheet1!AM437</f>
        <v>2</v>
      </c>
      <c r="G443" s="1075"/>
      <c r="H443" s="1083" t="str">
        <f>Sheet1!AE437</f>
        <v>E</v>
      </c>
      <c r="I443" s="1075"/>
      <c r="J443" s="1075" t="str">
        <f>Sheet1!Q437</f>
        <v>UA_NSSRC2_2W_2L_U_0L</v>
      </c>
      <c r="K443" s="1075"/>
      <c r="L443" s="1075">
        <f>Sheet1!AF437</f>
        <v>13640</v>
      </c>
      <c r="M443" s="1075"/>
      <c r="N443" s="1075"/>
      <c r="O443" s="1075"/>
      <c r="P443" s="1075">
        <f>Sheet1!AK437</f>
        <v>1020</v>
      </c>
      <c r="Q443" s="1075"/>
      <c r="R443" s="1075">
        <f>Sheet1!AD437</f>
        <v>2150</v>
      </c>
      <c r="S443" s="1081">
        <f>Sheet1!AG437</f>
        <v>0.15762463343108504</v>
      </c>
      <c r="T443" s="1075" t="str">
        <f>Sheet1!AH437</f>
        <v>C</v>
      </c>
      <c r="U443" s="1075">
        <f>Sheet1!AI437</f>
        <v>140</v>
      </c>
      <c r="V443" s="1075"/>
      <c r="W443" s="1075"/>
      <c r="X443" s="1075">
        <f>Sheet1!AJ437</f>
        <v>220</v>
      </c>
      <c r="Y443" s="1075"/>
      <c r="Z443" s="1075"/>
      <c r="AA443" s="1075"/>
      <c r="AB443" s="1075"/>
      <c r="AC443" s="1075"/>
      <c r="AD443" s="1075"/>
      <c r="AE443" s="1075"/>
      <c r="AF443" s="1075"/>
      <c r="AG443" s="1075"/>
      <c r="AH443" s="1075"/>
      <c r="AI443" s="1075"/>
      <c r="AJ443" s="1075"/>
      <c r="AK443" s="1075" t="str">
        <f>IF(Sheet1!AE440="C",Sheet1!AK440,"-")</f>
        <v>-</v>
      </c>
      <c r="AL443" s="1075" t="str">
        <f>IF(Sheet1!AE440="D",Sheet1!AK440,"-")</f>
        <v>-</v>
      </c>
      <c r="AM443" s="1075">
        <f>IF(Sheet1!AE437="E",Sheet1!AK437,"-")</f>
        <v>1020</v>
      </c>
    </row>
    <row r="444" spans="2:39" x14ac:dyDescent="0.25">
      <c r="B444" s="1082">
        <f>Sheet1!F438</f>
        <v>1242</v>
      </c>
      <c r="C444" s="1075" t="str">
        <f>Sheet1!C438</f>
        <v>Minnesota Ave. (Orange City)</v>
      </c>
      <c r="D444" s="1075" t="str">
        <f>_xlfn.TEXTBEFORE(Sheet1!E438, " to ")</f>
        <v>US 17/92</v>
      </c>
      <c r="E444" s="1075" t="str">
        <f>_xlfn.TEXTAFTER(Sheet1!E438, " to ")</f>
        <v>Leavitt Ave.</v>
      </c>
      <c r="F444" s="1075">
        <f>Sheet1!AM438</f>
        <v>2</v>
      </c>
      <c r="G444" s="1075"/>
      <c r="H444" s="1083" t="str">
        <f>Sheet1!AE438</f>
        <v>E</v>
      </c>
      <c r="I444" s="1075"/>
      <c r="J444" s="1075" t="str">
        <f>Sheet1!Q438</f>
        <v>UA_NSSRC2_2W_2L_U_0L</v>
      </c>
      <c r="K444" s="1075"/>
      <c r="L444" s="1075">
        <f>Sheet1!AF438</f>
        <v>13640</v>
      </c>
      <c r="M444" s="1075"/>
      <c r="N444" s="1075"/>
      <c r="O444" s="1075"/>
      <c r="P444" s="1075">
        <f>Sheet1!AK438</f>
        <v>1020</v>
      </c>
      <c r="Q444" s="1075"/>
      <c r="R444" s="1075">
        <f>Sheet1!AD438</f>
        <v>1500</v>
      </c>
      <c r="S444" s="1081">
        <f>Sheet1!AG438</f>
        <v>0.10997067448680352</v>
      </c>
      <c r="T444" s="1075" t="str">
        <f>Sheet1!AH438</f>
        <v>C</v>
      </c>
      <c r="U444" s="1075">
        <f>Sheet1!AI438</f>
        <v>90</v>
      </c>
      <c r="V444" s="1075"/>
      <c r="W444" s="1075"/>
      <c r="X444" s="1075">
        <f>Sheet1!AJ438</f>
        <v>140</v>
      </c>
      <c r="Y444" s="1075"/>
      <c r="Z444" s="1075"/>
      <c r="AA444" s="1075"/>
      <c r="AB444" s="1075"/>
      <c r="AC444" s="1075"/>
      <c r="AD444" s="1075"/>
      <c r="AE444" s="1075"/>
      <c r="AF444" s="1075"/>
      <c r="AG444" s="1075"/>
      <c r="AH444" s="1075"/>
      <c r="AI444" s="1075"/>
      <c r="AJ444" s="1075"/>
      <c r="AK444" s="1075" t="str">
        <f>IF(Sheet1!AE441="C",Sheet1!AK441,"-")</f>
        <v>-</v>
      </c>
      <c r="AL444" s="1075" t="str">
        <f>IF(Sheet1!AE441="D",Sheet1!AK441,"-")</f>
        <v>-</v>
      </c>
      <c r="AM444" s="1075">
        <f>IF(Sheet1!AE438="E",Sheet1!AK438,"-")</f>
        <v>1020</v>
      </c>
    </row>
    <row r="445" spans="2:39" x14ac:dyDescent="0.25">
      <c r="B445" s="1082">
        <f>Sheet1!F439</f>
        <v>1243</v>
      </c>
      <c r="C445" s="1075" t="str">
        <f>Sheet1!C439</f>
        <v>Minnesota Ave. (Orange City)</v>
      </c>
      <c r="D445" s="1075" t="str">
        <f>_xlfn.TEXTBEFORE(Sheet1!E439, " to ")</f>
        <v>Leavitt Ave.</v>
      </c>
      <c r="E445" s="1075" t="str">
        <f>_xlfn.TEXTAFTER(Sheet1!E439, " to ")</f>
        <v>SR 472</v>
      </c>
      <c r="F445" s="1075">
        <f>Sheet1!AM439</f>
        <v>2</v>
      </c>
      <c r="G445" s="1075"/>
      <c r="H445" s="1083" t="str">
        <f>Sheet1!AE439</f>
        <v>E</v>
      </c>
      <c r="I445" s="1075"/>
      <c r="J445" s="1075" t="str">
        <f>Sheet1!Q439</f>
        <v>UA_NSSRC2_2W_2L_U_0L</v>
      </c>
      <c r="K445" s="1075"/>
      <c r="L445" s="1075">
        <f>Sheet1!AF439</f>
        <v>13640</v>
      </c>
      <c r="M445" s="1075"/>
      <c r="N445" s="1075"/>
      <c r="O445" s="1075"/>
      <c r="P445" s="1075">
        <f>Sheet1!AK439</f>
        <v>1020</v>
      </c>
      <c r="Q445" s="1075"/>
      <c r="R445" s="1075">
        <f>Sheet1!AD439</f>
        <v>1470</v>
      </c>
      <c r="S445" s="1081">
        <f>Sheet1!AG439</f>
        <v>0.10777126099706745</v>
      </c>
      <c r="T445" s="1075" t="str">
        <f>Sheet1!AH439</f>
        <v>C</v>
      </c>
      <c r="U445" s="1075">
        <f>Sheet1!AI439</f>
        <v>90</v>
      </c>
      <c r="V445" s="1075"/>
      <c r="W445" s="1075"/>
      <c r="X445" s="1075">
        <f>Sheet1!AJ439</f>
        <v>150</v>
      </c>
      <c r="Y445" s="1075"/>
      <c r="Z445" s="1075"/>
      <c r="AA445" s="1075"/>
      <c r="AB445" s="1075"/>
      <c r="AC445" s="1075"/>
      <c r="AD445" s="1075"/>
      <c r="AE445" s="1075"/>
      <c r="AF445" s="1075"/>
      <c r="AG445" s="1075"/>
      <c r="AH445" s="1075"/>
      <c r="AI445" s="1075"/>
      <c r="AJ445" s="1075"/>
      <c r="AK445" s="1075" t="str">
        <f>IF(Sheet1!AE442="C",Sheet1!AK442,"-")</f>
        <v>-</v>
      </c>
      <c r="AL445" s="1075" t="str">
        <f>IF(Sheet1!AE442="D",Sheet1!AK442,"-")</f>
        <v>-</v>
      </c>
      <c r="AM445" s="1075">
        <f>IF(Sheet1!AE439="E",Sheet1!AK439,"-")</f>
        <v>1020</v>
      </c>
    </row>
    <row r="446" spans="2:39" x14ac:dyDescent="0.25">
      <c r="B446" s="1082">
        <f>Sheet1!F440</f>
        <v>1245</v>
      </c>
      <c r="C446" s="1075" t="str">
        <f>Sheet1!C440</f>
        <v>Minnesota Ave. (DeLand)</v>
      </c>
      <c r="D446" s="1075" t="str">
        <f>_xlfn.TEXTBEFORE(Sheet1!E440, " to ")</f>
        <v>Grand Ave.</v>
      </c>
      <c r="E446" s="1075" t="str">
        <f>_xlfn.TEXTAFTER(Sheet1!E440, " to ")</f>
        <v>SR 15A</v>
      </c>
      <c r="F446" s="1075">
        <f>Sheet1!AM440</f>
        <v>2</v>
      </c>
      <c r="G446" s="1075"/>
      <c r="H446" s="1083" t="str">
        <f>Sheet1!AE440</f>
        <v>E</v>
      </c>
      <c r="I446" s="1075"/>
      <c r="J446" s="1075" t="str">
        <f>Sheet1!Q440</f>
        <v>UA_NSSRC2_2W_2L_U_0L</v>
      </c>
      <c r="K446" s="1075"/>
      <c r="L446" s="1075">
        <f>Sheet1!AF440</f>
        <v>13640</v>
      </c>
      <c r="M446" s="1075"/>
      <c r="N446" s="1075"/>
      <c r="O446" s="1075"/>
      <c r="P446" s="1075">
        <f>Sheet1!AK440</f>
        <v>1020</v>
      </c>
      <c r="Q446" s="1075"/>
      <c r="R446" s="1075">
        <f>Sheet1!AD440</f>
        <v>4580</v>
      </c>
      <c r="S446" s="1081">
        <f>Sheet1!AG440</f>
        <v>0.33577712609970672</v>
      </c>
      <c r="T446" s="1075" t="str">
        <f>Sheet1!AH440</f>
        <v>C</v>
      </c>
      <c r="U446" s="1075">
        <f>Sheet1!AI440</f>
        <v>460</v>
      </c>
      <c r="V446" s="1075"/>
      <c r="W446" s="1075"/>
      <c r="X446" s="1075">
        <f>Sheet1!AJ440</f>
        <v>380</v>
      </c>
      <c r="Y446" s="1075"/>
      <c r="Z446" s="1075"/>
      <c r="AA446" s="1075"/>
      <c r="AB446" s="1075"/>
      <c r="AC446" s="1075"/>
      <c r="AD446" s="1075"/>
      <c r="AE446" s="1075"/>
      <c r="AF446" s="1075"/>
      <c r="AG446" s="1075"/>
      <c r="AH446" s="1075"/>
      <c r="AI446" s="1075"/>
      <c r="AJ446" s="1075"/>
      <c r="AK446" s="1075" t="str">
        <f>IF(Sheet1!AE443="C",Sheet1!AK443,"-")</f>
        <v>-</v>
      </c>
      <c r="AL446" s="1075" t="str">
        <f>IF(Sheet1!AE443="D",Sheet1!AK443,"-")</f>
        <v>-</v>
      </c>
      <c r="AM446" s="1075">
        <f>IF(Sheet1!AE440="E",Sheet1!AK440,"-")</f>
        <v>1020</v>
      </c>
    </row>
    <row r="447" spans="2:39" x14ac:dyDescent="0.25">
      <c r="B447" s="1082">
        <f>Sheet1!F441</f>
        <v>1247</v>
      </c>
      <c r="C447" s="1075" t="str">
        <f>Sheet1!C441</f>
        <v>Minnesota Ave. (DeLand)</v>
      </c>
      <c r="D447" s="1075" t="str">
        <f>_xlfn.TEXTBEFORE(Sheet1!E441, " to ")</f>
        <v>SR 15A</v>
      </c>
      <c r="E447" s="1075" t="str">
        <f>_xlfn.TEXTAFTER(Sheet1!E441, " to ")</f>
        <v>US 17/92</v>
      </c>
      <c r="F447" s="1075">
        <f>Sheet1!AM441</f>
        <v>2</v>
      </c>
      <c r="G447" s="1075"/>
      <c r="H447" s="1083" t="str">
        <f>Sheet1!AE441</f>
        <v>E</v>
      </c>
      <c r="I447" s="1075"/>
      <c r="J447" s="1075" t="str">
        <f>Sheet1!Q441</f>
        <v>UA_NSSRC2_2W_2L_U_0L</v>
      </c>
      <c r="K447" s="1075"/>
      <c r="L447" s="1075">
        <f>Sheet1!AF441</f>
        <v>13640</v>
      </c>
      <c r="M447" s="1075"/>
      <c r="N447" s="1075"/>
      <c r="O447" s="1075"/>
      <c r="P447" s="1075">
        <f>Sheet1!AK441</f>
        <v>1020</v>
      </c>
      <c r="Q447" s="1075"/>
      <c r="R447" s="1075">
        <f>Sheet1!AD441</f>
        <v>1030</v>
      </c>
      <c r="S447" s="1081">
        <f>Sheet1!AG441</f>
        <v>7.5513196480938419E-2</v>
      </c>
      <c r="T447" s="1075" t="str">
        <f>Sheet1!AH441</f>
        <v>C</v>
      </c>
      <c r="U447" s="1075">
        <f>Sheet1!AI441</f>
        <v>70</v>
      </c>
      <c r="V447" s="1075"/>
      <c r="W447" s="1075"/>
      <c r="X447" s="1075">
        <f>Sheet1!AJ441</f>
        <v>90</v>
      </c>
      <c r="Y447" s="1075"/>
      <c r="Z447" s="1075"/>
      <c r="AA447" s="1075"/>
      <c r="AB447" s="1075"/>
      <c r="AC447" s="1075"/>
      <c r="AD447" s="1075"/>
      <c r="AE447" s="1075"/>
      <c r="AF447" s="1075"/>
      <c r="AG447" s="1075"/>
      <c r="AH447" s="1075"/>
      <c r="AI447" s="1075"/>
      <c r="AJ447" s="1075"/>
      <c r="AK447" s="1075" t="str">
        <f>IF(Sheet1!AE444="C",Sheet1!AK444,"-")</f>
        <v>-</v>
      </c>
      <c r="AL447" s="1075" t="str">
        <f>IF(Sheet1!AE444="D",Sheet1!AK444,"-")</f>
        <v>-</v>
      </c>
      <c r="AM447" s="1075">
        <f>IF(Sheet1!AE441="E",Sheet1!AK441,"-")</f>
        <v>1020</v>
      </c>
    </row>
    <row r="448" spans="2:39" x14ac:dyDescent="0.25">
      <c r="B448" s="1082">
        <f>Sheet1!F442</f>
        <v>1249</v>
      </c>
      <c r="C448" s="1075" t="str">
        <f>Sheet1!C442</f>
        <v>Minnesota Ave. (DeLand)</v>
      </c>
      <c r="D448" s="1075" t="str">
        <f>_xlfn.TEXTBEFORE(Sheet1!E442, " to ")</f>
        <v>Amelia Ave.</v>
      </c>
      <c r="E448" s="1075" t="str">
        <f>_xlfn.TEXTAFTER(Sheet1!E442, " to ")</f>
        <v>Hill Ave</v>
      </c>
      <c r="F448" s="1075">
        <f>Sheet1!AM442</f>
        <v>2</v>
      </c>
      <c r="G448" s="1075"/>
      <c r="H448" s="1083" t="str">
        <f>Sheet1!AE442</f>
        <v>E</v>
      </c>
      <c r="I448" s="1075"/>
      <c r="J448" s="1075" t="str">
        <f>Sheet1!Q442</f>
        <v>UA_NSSRC2_2W_2L_U_0L</v>
      </c>
      <c r="K448" s="1075"/>
      <c r="L448" s="1075">
        <f>Sheet1!AF442</f>
        <v>13640</v>
      </c>
      <c r="M448" s="1075"/>
      <c r="N448" s="1075"/>
      <c r="O448" s="1075"/>
      <c r="P448" s="1075">
        <f>Sheet1!AK442</f>
        <v>1020</v>
      </c>
      <c r="Q448" s="1075"/>
      <c r="R448" s="1075">
        <f>Sheet1!AD442</f>
        <v>2370</v>
      </c>
      <c r="S448" s="1081">
        <f>Sheet1!AG442</f>
        <v>0.17375366568914957</v>
      </c>
      <c r="T448" s="1075" t="str">
        <f>Sheet1!AH442</f>
        <v>C</v>
      </c>
      <c r="U448" s="1075">
        <f>Sheet1!AI442</f>
        <v>230</v>
      </c>
      <c r="V448" s="1075"/>
      <c r="W448" s="1075"/>
      <c r="X448" s="1075">
        <f>Sheet1!AJ442</f>
        <v>210</v>
      </c>
      <c r="Y448" s="1075"/>
      <c r="Z448" s="1075"/>
      <c r="AA448" s="1075"/>
      <c r="AB448" s="1075"/>
      <c r="AC448" s="1075"/>
      <c r="AD448" s="1075"/>
      <c r="AE448" s="1075"/>
      <c r="AF448" s="1075"/>
      <c r="AG448" s="1075"/>
      <c r="AH448" s="1075"/>
      <c r="AI448" s="1075"/>
      <c r="AJ448" s="1075"/>
      <c r="AK448" s="1075" t="str">
        <f>IF(Sheet1!AE445="C",Sheet1!AK445,"-")</f>
        <v>-</v>
      </c>
      <c r="AL448" s="1075" t="str">
        <f>IF(Sheet1!AE445="D",Sheet1!AK445,"-")</f>
        <v>-</v>
      </c>
      <c r="AM448" s="1075">
        <f>IF(Sheet1!AE442="E",Sheet1!AK442,"-")</f>
        <v>1020</v>
      </c>
    </row>
    <row r="449" spans="2:39" x14ac:dyDescent="0.25">
      <c r="B449" s="1082">
        <f>Sheet1!F443</f>
        <v>1250</v>
      </c>
      <c r="C449" s="1075" t="str">
        <f>Sheet1!C443</f>
        <v>Minnesota Ave. (DeLand)</v>
      </c>
      <c r="D449" s="1075" t="str">
        <f>_xlfn.TEXTBEFORE(Sheet1!E443, " to ")</f>
        <v>Hill Ave.</v>
      </c>
      <c r="E449" s="1075" t="str">
        <f>_xlfn.TEXTAFTER(Sheet1!E443, " to ")</f>
        <v>Blue Lake Ave.</v>
      </c>
      <c r="F449" s="1075">
        <f>Sheet1!AM443</f>
        <v>2</v>
      </c>
      <c r="G449" s="1075"/>
      <c r="H449" s="1083" t="str">
        <f>Sheet1!AE443</f>
        <v>E</v>
      </c>
      <c r="I449" s="1075"/>
      <c r="J449" s="1075" t="str">
        <f>Sheet1!Q443</f>
        <v>UA_NSSRC2_2W_2L_U_0L</v>
      </c>
      <c r="K449" s="1075"/>
      <c r="L449" s="1075">
        <f>Sheet1!AF443</f>
        <v>13640</v>
      </c>
      <c r="M449" s="1075"/>
      <c r="N449" s="1075"/>
      <c r="O449" s="1075"/>
      <c r="P449" s="1075">
        <f>Sheet1!AK443</f>
        <v>1020</v>
      </c>
      <c r="Q449" s="1075"/>
      <c r="R449" s="1075">
        <f>Sheet1!AD443</f>
        <v>2260</v>
      </c>
      <c r="S449" s="1081">
        <f>Sheet1!AG443</f>
        <v>0.16568914956011729</v>
      </c>
      <c r="T449" s="1075" t="str">
        <f>Sheet1!AH443</f>
        <v>C</v>
      </c>
      <c r="U449" s="1075">
        <f>Sheet1!AI443</f>
        <v>190</v>
      </c>
      <c r="V449" s="1075"/>
      <c r="W449" s="1075"/>
      <c r="X449" s="1075">
        <f>Sheet1!AJ443</f>
        <v>230</v>
      </c>
      <c r="Y449" s="1075"/>
      <c r="Z449" s="1075"/>
      <c r="AA449" s="1075"/>
      <c r="AB449" s="1075"/>
      <c r="AC449" s="1075"/>
      <c r="AD449" s="1075"/>
      <c r="AE449" s="1075"/>
      <c r="AF449" s="1075"/>
      <c r="AG449" s="1075"/>
      <c r="AH449" s="1075"/>
      <c r="AI449" s="1075"/>
      <c r="AJ449" s="1075"/>
      <c r="AK449" s="1075" t="str">
        <f>IF(Sheet1!AE446="C",Sheet1!AK446,"-")</f>
        <v>-</v>
      </c>
      <c r="AL449" s="1075" t="str">
        <f>IF(Sheet1!AE446="D",Sheet1!AK446,"-")</f>
        <v>-</v>
      </c>
      <c r="AM449" s="1075">
        <f>IF(Sheet1!AE443="E",Sheet1!AK443,"-")</f>
        <v>1020</v>
      </c>
    </row>
    <row r="450" spans="2:39" x14ac:dyDescent="0.25">
      <c r="B450" s="1082">
        <f>Sheet1!F444</f>
        <v>1251</v>
      </c>
      <c r="C450" s="1075" t="str">
        <f>Sheet1!C444</f>
        <v>Minnesota Ave. (DeLand)</v>
      </c>
      <c r="D450" s="1075" t="str">
        <f>_xlfn.TEXTBEFORE(Sheet1!E444, " to ")</f>
        <v>Blue Lake Ave.</v>
      </c>
      <c r="E450" s="1075" t="str">
        <f>_xlfn.TEXTAFTER(Sheet1!E444, " to ")</f>
        <v>Kepler Rd.</v>
      </c>
      <c r="F450" s="1075">
        <f>Sheet1!AM444</f>
        <v>2</v>
      </c>
      <c r="G450" s="1075"/>
      <c r="H450" s="1083" t="str">
        <f>Sheet1!AE444</f>
        <v>E</v>
      </c>
      <c r="I450" s="1075"/>
      <c r="J450" s="1075" t="str">
        <f>Sheet1!Q444</f>
        <v>UA_NSSRC1_2W_2L_U_0L</v>
      </c>
      <c r="K450" s="1075"/>
      <c r="L450" s="1075">
        <f>Sheet1!AF444</f>
        <v>13640</v>
      </c>
      <c r="M450" s="1075"/>
      <c r="N450" s="1075"/>
      <c r="O450" s="1075"/>
      <c r="P450" s="1075">
        <f>Sheet1!AK444</f>
        <v>1230</v>
      </c>
      <c r="Q450" s="1075"/>
      <c r="R450" s="1075">
        <f>Sheet1!AD444</f>
        <v>4280</v>
      </c>
      <c r="S450" s="1081">
        <f>Sheet1!AG444</f>
        <v>0.31378299120234604</v>
      </c>
      <c r="T450" s="1075" t="str">
        <f>Sheet1!AH444</f>
        <v>C</v>
      </c>
      <c r="U450" s="1075">
        <f>Sheet1!AI444</f>
        <v>390</v>
      </c>
      <c r="V450" s="1075"/>
      <c r="W450" s="1075"/>
      <c r="X450" s="1075">
        <f>Sheet1!AJ444</f>
        <v>410</v>
      </c>
      <c r="Y450" s="1075"/>
      <c r="Z450" s="1075"/>
      <c r="AA450" s="1075"/>
      <c r="AB450" s="1075"/>
      <c r="AC450" s="1075"/>
      <c r="AD450" s="1075"/>
      <c r="AE450" s="1075"/>
      <c r="AF450" s="1075"/>
      <c r="AG450" s="1075"/>
      <c r="AH450" s="1075"/>
      <c r="AI450" s="1075"/>
      <c r="AJ450" s="1075"/>
      <c r="AK450" s="1075" t="str">
        <f>IF(Sheet1!AE447="C",Sheet1!AK447,"-")</f>
        <v>-</v>
      </c>
      <c r="AL450" s="1075" t="str">
        <f>IF(Sheet1!AE447="D",Sheet1!AK447,"-")</f>
        <v>-</v>
      </c>
      <c r="AM450" s="1075">
        <f>IF(Sheet1!AE444="E",Sheet1!AK444,"-")</f>
        <v>1230</v>
      </c>
    </row>
    <row r="451" spans="2:39" x14ac:dyDescent="0.25">
      <c r="B451" s="1082">
        <f>Sheet1!F445</f>
        <v>1270</v>
      </c>
      <c r="C451" s="1075" t="str">
        <f>Sheet1!C445</f>
        <v>New Hampshire Ave.</v>
      </c>
      <c r="D451" s="1075" t="str">
        <f>_xlfn.TEXTBEFORE(Sheet1!E445, " to ")</f>
        <v>SR 15A</v>
      </c>
      <c r="E451" s="1075" t="str">
        <f>_xlfn.TEXTAFTER(Sheet1!E445, " to ")</f>
        <v>Adelle Ave</v>
      </c>
      <c r="F451" s="1075">
        <f>Sheet1!AM445</f>
        <v>2</v>
      </c>
      <c r="G451" s="1075"/>
      <c r="H451" s="1083" t="str">
        <f>Sheet1!AE445</f>
        <v>E</v>
      </c>
      <c r="I451" s="1075"/>
      <c r="J451" s="1075" t="str">
        <f>Sheet1!Q445</f>
        <v>UA_NSSRC2_2W_2L_U_0L</v>
      </c>
      <c r="K451" s="1075"/>
      <c r="L451" s="1075">
        <f>Sheet1!AF445</f>
        <v>13640</v>
      </c>
      <c r="M451" s="1075"/>
      <c r="N451" s="1075"/>
      <c r="O451" s="1075"/>
      <c r="P451" s="1075">
        <f>Sheet1!AK445</f>
        <v>1020</v>
      </c>
      <c r="Q451" s="1075"/>
      <c r="R451" s="1075">
        <f>Sheet1!AD445</f>
        <v>2420</v>
      </c>
      <c r="S451" s="1081">
        <f>Sheet1!AG445</f>
        <v>0.17741935483870969</v>
      </c>
      <c r="T451" s="1075" t="str">
        <f>Sheet1!AH445</f>
        <v>C</v>
      </c>
      <c r="U451" s="1075">
        <f>Sheet1!AI445</f>
        <v>290</v>
      </c>
      <c r="V451" s="1075"/>
      <c r="W451" s="1075"/>
      <c r="X451" s="1075">
        <f>Sheet1!AJ445</f>
        <v>270</v>
      </c>
      <c r="Y451" s="1075"/>
      <c r="Z451" s="1075"/>
      <c r="AA451" s="1075"/>
      <c r="AB451" s="1075"/>
      <c r="AC451" s="1075"/>
      <c r="AD451" s="1075"/>
      <c r="AE451" s="1075"/>
      <c r="AF451" s="1075"/>
      <c r="AG451" s="1075"/>
      <c r="AH451" s="1075"/>
      <c r="AI451" s="1075"/>
      <c r="AJ451" s="1075"/>
      <c r="AK451" s="1075" t="str">
        <f>IF(Sheet1!AE448="C",Sheet1!AK448,"-")</f>
        <v>-</v>
      </c>
      <c r="AL451" s="1075" t="str">
        <f>IF(Sheet1!AE448="D",Sheet1!AK448,"-")</f>
        <v>-</v>
      </c>
      <c r="AM451" s="1075">
        <f>IF(Sheet1!AE445="E",Sheet1!AK445,"-")</f>
        <v>1020</v>
      </c>
    </row>
    <row r="452" spans="2:39" x14ac:dyDescent="0.25">
      <c r="B452" s="1082">
        <f>Sheet1!F446</f>
        <v>1271</v>
      </c>
      <c r="C452" s="1075" t="str">
        <f>Sheet1!C446</f>
        <v>New Hampshire Ave.</v>
      </c>
      <c r="D452" s="1075" t="str">
        <f>_xlfn.TEXTBEFORE(Sheet1!E446, " to ")</f>
        <v>Adelle Ave</v>
      </c>
      <c r="E452" s="1075" t="str">
        <f>_xlfn.TEXTAFTER(Sheet1!E446, " to ")</f>
        <v>Clara Ave.</v>
      </c>
      <c r="F452" s="1075">
        <f>Sheet1!AM446</f>
        <v>2</v>
      </c>
      <c r="G452" s="1075"/>
      <c r="H452" s="1083" t="str">
        <f>Sheet1!AE446</f>
        <v>E</v>
      </c>
      <c r="I452" s="1075"/>
      <c r="J452" s="1075" t="str">
        <f>Sheet1!Q446</f>
        <v>UA_NSSRC2_2W_2L_U_0L</v>
      </c>
      <c r="K452" s="1075"/>
      <c r="L452" s="1075">
        <f>Sheet1!AF446</f>
        <v>13640</v>
      </c>
      <c r="M452" s="1075"/>
      <c r="N452" s="1075"/>
      <c r="O452" s="1075"/>
      <c r="P452" s="1075">
        <f>Sheet1!AK446</f>
        <v>1020</v>
      </c>
      <c r="Q452" s="1075"/>
      <c r="R452" s="1075">
        <f>Sheet1!AD446</f>
        <v>4040</v>
      </c>
      <c r="S452" s="1081">
        <f>Sheet1!AG446</f>
        <v>0.29618768328445749</v>
      </c>
      <c r="T452" s="1075" t="str">
        <f>Sheet1!AH446</f>
        <v>C</v>
      </c>
      <c r="U452" s="1075">
        <f>Sheet1!AI446</f>
        <v>330</v>
      </c>
      <c r="V452" s="1075"/>
      <c r="W452" s="1075"/>
      <c r="X452" s="1075">
        <f>Sheet1!AJ446</f>
        <v>400</v>
      </c>
      <c r="Y452" s="1075"/>
      <c r="Z452" s="1075"/>
      <c r="AA452" s="1075"/>
      <c r="AB452" s="1075"/>
      <c r="AC452" s="1075"/>
      <c r="AD452" s="1075"/>
      <c r="AE452" s="1075"/>
      <c r="AF452" s="1075"/>
      <c r="AG452" s="1075"/>
      <c r="AH452" s="1075"/>
      <c r="AI452" s="1075"/>
      <c r="AJ452" s="1075"/>
      <c r="AK452" s="1075" t="str">
        <f>IF(Sheet1!AE449="C",Sheet1!AK449,"-")</f>
        <v>-</v>
      </c>
      <c r="AL452" s="1075" t="str">
        <f>IF(Sheet1!AE449="D",Sheet1!AK449,"-")</f>
        <v>-</v>
      </c>
      <c r="AM452" s="1075">
        <f>IF(Sheet1!AE446="E",Sheet1!AK446,"-")</f>
        <v>1020</v>
      </c>
    </row>
    <row r="453" spans="2:39" x14ac:dyDescent="0.25">
      <c r="B453" s="1082">
        <f>Sheet1!F447</f>
        <v>1272</v>
      </c>
      <c r="C453" s="1075" t="str">
        <f>Sheet1!C447</f>
        <v>New Hampshire Ave.</v>
      </c>
      <c r="D453" s="1075" t="str">
        <f>_xlfn.TEXTBEFORE(Sheet1!E447, " to ")</f>
        <v>Clara Ave.</v>
      </c>
      <c r="E453" s="1075" t="str">
        <f>_xlfn.TEXTAFTER(Sheet1!E447, " to ")</f>
        <v>US 17/92</v>
      </c>
      <c r="F453" s="1075">
        <f>Sheet1!AM447</f>
        <v>2</v>
      </c>
      <c r="G453" s="1075"/>
      <c r="H453" s="1083" t="str">
        <f>Sheet1!AE447</f>
        <v>E</v>
      </c>
      <c r="I453" s="1075"/>
      <c r="J453" s="1075" t="str">
        <f>Sheet1!Q447</f>
        <v>UA_NSSRC2_2W_2L_U_0L</v>
      </c>
      <c r="K453" s="1075"/>
      <c r="L453" s="1075">
        <f>Sheet1!AF447</f>
        <v>13640</v>
      </c>
      <c r="M453" s="1075"/>
      <c r="N453" s="1075"/>
      <c r="O453" s="1075"/>
      <c r="P453" s="1075">
        <f>Sheet1!AK447</f>
        <v>1020</v>
      </c>
      <c r="Q453" s="1075"/>
      <c r="R453" s="1075">
        <f>Sheet1!AD447</f>
        <v>3910</v>
      </c>
      <c r="S453" s="1081">
        <f>Sheet1!AG447</f>
        <v>0.2866568914956012</v>
      </c>
      <c r="T453" s="1075" t="str">
        <f>Sheet1!AH447</f>
        <v>C</v>
      </c>
      <c r="U453" s="1075">
        <f>Sheet1!AI447</f>
        <v>290</v>
      </c>
      <c r="V453" s="1075"/>
      <c r="W453" s="1075"/>
      <c r="X453" s="1075">
        <f>Sheet1!AJ447</f>
        <v>370</v>
      </c>
      <c r="Y453" s="1075"/>
      <c r="Z453" s="1075"/>
      <c r="AA453" s="1075"/>
      <c r="AB453" s="1075"/>
      <c r="AC453" s="1075"/>
      <c r="AD453" s="1075"/>
      <c r="AE453" s="1075"/>
      <c r="AF453" s="1075"/>
      <c r="AG453" s="1075"/>
      <c r="AH453" s="1075"/>
      <c r="AI453" s="1075"/>
      <c r="AJ453" s="1075"/>
      <c r="AK453" s="1075" t="str">
        <f>IF(Sheet1!AE450="C",Sheet1!AK450,"-")</f>
        <v>-</v>
      </c>
      <c r="AL453" s="1075" t="str">
        <f>IF(Sheet1!AE450="D",Sheet1!AK450,"-")</f>
        <v>-</v>
      </c>
      <c r="AM453" s="1075">
        <f>IF(Sheet1!AE447="E",Sheet1!AK447,"-")</f>
        <v>1020</v>
      </c>
    </row>
    <row r="454" spans="2:39" x14ac:dyDescent="0.25">
      <c r="B454" s="1082">
        <f>Sheet1!F448</f>
        <v>1281</v>
      </c>
      <c r="C454" s="1075" t="str">
        <f>Sheet1!C448</f>
        <v>New York Ave. (Orange City)</v>
      </c>
      <c r="D454" s="1075" t="str">
        <f>_xlfn.TEXTBEFORE(Sheet1!E448, " to ")</f>
        <v>Westside Pkwy/Hamilton Ave.</v>
      </c>
      <c r="E454" s="1075" t="str">
        <f>_xlfn.TEXTAFTER(Sheet1!E448, " to ")</f>
        <v>Sparkman Ave</v>
      </c>
      <c r="F454" s="1075">
        <f>Sheet1!AM448</f>
        <v>2</v>
      </c>
      <c r="G454" s="1075"/>
      <c r="H454" s="1083" t="str">
        <f>Sheet1!AE448</f>
        <v>E</v>
      </c>
      <c r="I454" s="1075"/>
      <c r="J454" s="1075" t="str">
        <f>Sheet1!Q448</f>
        <v>UA_NSSRC2_2W_2L_U_0L</v>
      </c>
      <c r="K454" s="1075"/>
      <c r="L454" s="1075">
        <f>Sheet1!AF448</f>
        <v>13640</v>
      </c>
      <c r="M454" s="1075"/>
      <c r="N454" s="1075"/>
      <c r="O454" s="1075"/>
      <c r="P454" s="1075">
        <f>Sheet1!AK448</f>
        <v>1020</v>
      </c>
      <c r="Q454" s="1075"/>
      <c r="R454" s="1075">
        <f>Sheet1!AD448</f>
        <v>5310</v>
      </c>
      <c r="S454" s="1081">
        <f>Sheet1!AG448</f>
        <v>0.38929618768328444</v>
      </c>
      <c r="T454" s="1075" t="str">
        <f>Sheet1!AH448</f>
        <v>C</v>
      </c>
      <c r="U454" s="1075">
        <f>Sheet1!AI448</f>
        <v>380</v>
      </c>
      <c r="V454" s="1075"/>
      <c r="W454" s="1075"/>
      <c r="X454" s="1075">
        <f>Sheet1!AJ448</f>
        <v>500</v>
      </c>
      <c r="Y454" s="1075"/>
      <c r="Z454" s="1075"/>
      <c r="AA454" s="1075"/>
      <c r="AB454" s="1075"/>
      <c r="AC454" s="1075"/>
      <c r="AD454" s="1075"/>
      <c r="AE454" s="1075"/>
      <c r="AF454" s="1075"/>
      <c r="AG454" s="1075"/>
      <c r="AH454" s="1075"/>
      <c r="AI454" s="1075"/>
      <c r="AJ454" s="1075"/>
      <c r="AK454" s="1075">
        <f>IF(Sheet1!AE451="C",Sheet1!AK451,"-")</f>
        <v>1020</v>
      </c>
      <c r="AL454" s="1075" t="str">
        <f>IF(Sheet1!AE451="D",Sheet1!AK451,"-")</f>
        <v>-</v>
      </c>
      <c r="AM454" s="1075">
        <f>IF(Sheet1!AE448="E",Sheet1!AK448,"-")</f>
        <v>1020</v>
      </c>
    </row>
    <row r="455" spans="2:39" x14ac:dyDescent="0.25">
      <c r="B455" s="1082">
        <f>Sheet1!F449</f>
        <v>1283</v>
      </c>
      <c r="C455" s="1075" t="str">
        <f>Sheet1!C449</f>
        <v>New York Ave. (Orange City)</v>
      </c>
      <c r="D455" s="1075" t="str">
        <f>_xlfn.TEXTBEFORE(Sheet1!E449, " to ")</f>
        <v>Sparkman Ave.</v>
      </c>
      <c r="E455" s="1075" t="str">
        <f>_xlfn.TEXTAFTER(Sheet1!E449, " to ")</f>
        <v>Carpenter Ave</v>
      </c>
      <c r="F455" s="1075">
        <f>Sheet1!AM449</f>
        <v>2</v>
      </c>
      <c r="G455" s="1075"/>
      <c r="H455" s="1083" t="str">
        <f>Sheet1!AE449</f>
        <v>E</v>
      </c>
      <c r="I455" s="1075"/>
      <c r="J455" s="1075" t="str">
        <f>Sheet1!Q449</f>
        <v>UA_NSSRC2_2W_2L_U_0L</v>
      </c>
      <c r="K455" s="1075"/>
      <c r="L455" s="1075">
        <f>Sheet1!AF449</f>
        <v>13640</v>
      </c>
      <c r="M455" s="1075"/>
      <c r="N455" s="1075"/>
      <c r="O455" s="1075"/>
      <c r="P455" s="1075">
        <f>Sheet1!AK449</f>
        <v>1020</v>
      </c>
      <c r="Q455" s="1075"/>
      <c r="R455" s="1075">
        <f>Sheet1!AD449</f>
        <v>5910</v>
      </c>
      <c r="S455" s="1081">
        <f>Sheet1!AG449</f>
        <v>0.43328445747800587</v>
      </c>
      <c r="T455" s="1075" t="str">
        <f>Sheet1!AH449</f>
        <v>D</v>
      </c>
      <c r="U455" s="1075">
        <f>Sheet1!AI449</f>
        <v>430</v>
      </c>
      <c r="V455" s="1075"/>
      <c r="W455" s="1075"/>
      <c r="X455" s="1075">
        <f>Sheet1!AJ449</f>
        <v>550</v>
      </c>
      <c r="Y455" s="1075"/>
      <c r="Z455" s="1075"/>
      <c r="AA455" s="1075"/>
      <c r="AB455" s="1075"/>
      <c r="AC455" s="1075"/>
      <c r="AD455" s="1075"/>
      <c r="AE455" s="1075"/>
      <c r="AF455" s="1075"/>
      <c r="AG455" s="1075"/>
      <c r="AH455" s="1075"/>
      <c r="AI455" s="1075"/>
      <c r="AJ455" s="1075"/>
      <c r="AK455" s="1075">
        <f>IF(Sheet1!AE452="C",Sheet1!AK452,"-")</f>
        <v>1020</v>
      </c>
      <c r="AL455" s="1075" t="str">
        <f>IF(Sheet1!AE452="D",Sheet1!AK452,"-")</f>
        <v>-</v>
      </c>
      <c r="AM455" s="1075">
        <f>IF(Sheet1!AE449="E",Sheet1!AK449,"-")</f>
        <v>1020</v>
      </c>
    </row>
    <row r="456" spans="2:39" x14ac:dyDescent="0.25">
      <c r="B456" s="1082">
        <f>Sheet1!F450</f>
        <v>1284</v>
      </c>
      <c r="C456" s="1075" t="str">
        <f>Sheet1!C450</f>
        <v>New York Ave. (Orange City)</v>
      </c>
      <c r="D456" s="1075" t="str">
        <f>_xlfn.TEXTBEFORE(Sheet1!E450, " to ")</f>
        <v>Carpenter Ave.</v>
      </c>
      <c r="E456" s="1075" t="str">
        <f>_xlfn.TEXTAFTER(Sheet1!E450, " to ")</f>
        <v>US 17/92</v>
      </c>
      <c r="F456" s="1075">
        <f>Sheet1!AM450</f>
        <v>2</v>
      </c>
      <c r="G456" s="1075"/>
      <c r="H456" s="1083" t="str">
        <f>Sheet1!AE450</f>
        <v>E</v>
      </c>
      <c r="I456" s="1075"/>
      <c r="J456" s="1075" t="str">
        <f>Sheet1!Q450</f>
        <v>UA_NSSRC2_2W_2L_U_0L</v>
      </c>
      <c r="K456" s="1075"/>
      <c r="L456" s="1075">
        <f>Sheet1!AF450</f>
        <v>13640</v>
      </c>
      <c r="M456" s="1075"/>
      <c r="N456" s="1075"/>
      <c r="O456" s="1075"/>
      <c r="P456" s="1075">
        <f>Sheet1!AK450</f>
        <v>1020</v>
      </c>
      <c r="Q456" s="1075"/>
      <c r="R456" s="1075">
        <f>Sheet1!AD450</f>
        <v>6880</v>
      </c>
      <c r="S456" s="1081">
        <f>Sheet1!AG450</f>
        <v>0.50439882697947214</v>
      </c>
      <c r="T456" s="1075" t="str">
        <f>Sheet1!AH450</f>
        <v>D</v>
      </c>
      <c r="U456" s="1075">
        <f>Sheet1!AI450</f>
        <v>530</v>
      </c>
      <c r="V456" s="1075"/>
      <c r="W456" s="1075"/>
      <c r="X456" s="1075">
        <f>Sheet1!AJ450</f>
        <v>580</v>
      </c>
      <c r="Y456" s="1075"/>
      <c r="Z456" s="1075"/>
      <c r="AA456" s="1075"/>
      <c r="AB456" s="1075"/>
      <c r="AC456" s="1075"/>
      <c r="AD456" s="1075"/>
      <c r="AE456" s="1075"/>
      <c r="AF456" s="1075"/>
      <c r="AG456" s="1075"/>
      <c r="AH456" s="1075"/>
      <c r="AI456" s="1075"/>
      <c r="AJ456" s="1075"/>
      <c r="AK456" s="1075" t="str">
        <f>IF(Sheet1!AE453="C",Sheet1!AK453,"-")</f>
        <v>-</v>
      </c>
      <c r="AL456" s="1075" t="str">
        <f>IF(Sheet1!AE453="D",Sheet1!AK453,"-")</f>
        <v>-</v>
      </c>
      <c r="AM456" s="1075">
        <f>IF(Sheet1!AE450="E",Sheet1!AK450,"-")</f>
        <v>1020</v>
      </c>
    </row>
    <row r="457" spans="2:39" x14ac:dyDescent="0.25">
      <c r="B457" s="1082">
        <f>Sheet1!F451</f>
        <v>1285</v>
      </c>
      <c r="C457" s="1075" t="str">
        <f>Sheet1!C451</f>
        <v>New York Ave. (Lake Helen)</v>
      </c>
      <c r="D457" s="1075" t="str">
        <f>_xlfn.TEXTBEFORE(Sheet1!E451, " to ")</f>
        <v>Summit Ave.</v>
      </c>
      <c r="E457" s="1075" t="str">
        <f>_xlfn.TEXTAFTER(Sheet1!E451, " to ")</f>
        <v>Lakeview Dr.</v>
      </c>
      <c r="F457" s="1075">
        <f>Sheet1!AM451</f>
        <v>2</v>
      </c>
      <c r="G457" s="1075"/>
      <c r="H457" s="1083" t="str">
        <f>Sheet1!AE451</f>
        <v>C</v>
      </c>
      <c r="I457" s="1075"/>
      <c r="J457" s="1075" t="str">
        <f>Sheet1!Q451</f>
        <v>UA_NSSRC2_2W_2L_U_0L</v>
      </c>
      <c r="K457" s="1075"/>
      <c r="L457" s="1075">
        <f>Sheet1!AF451</f>
        <v>5260</v>
      </c>
      <c r="M457" s="1075"/>
      <c r="N457" s="1075"/>
      <c r="O457" s="1075"/>
      <c r="P457" s="1075">
        <f>Sheet1!AK451</f>
        <v>1020</v>
      </c>
      <c r="Q457" s="1075"/>
      <c r="R457" s="1075">
        <f>Sheet1!AD451</f>
        <v>850</v>
      </c>
      <c r="S457" s="1081">
        <f>Sheet1!AG451</f>
        <v>0.16159695817490494</v>
      </c>
      <c r="T457" s="1075" t="str">
        <f>Sheet1!AH451</f>
        <v>C</v>
      </c>
      <c r="U457" s="1075">
        <f>Sheet1!AI451</f>
        <v>100</v>
      </c>
      <c r="V457" s="1075"/>
      <c r="W457" s="1075"/>
      <c r="X457" s="1075">
        <f>Sheet1!AJ451</f>
        <v>80</v>
      </c>
      <c r="Y457" s="1075"/>
      <c r="Z457" s="1075"/>
      <c r="AA457" s="1075"/>
      <c r="AB457" s="1075"/>
      <c r="AC457" s="1075"/>
      <c r="AD457" s="1075"/>
      <c r="AE457" s="1075"/>
      <c r="AF457" s="1075"/>
      <c r="AG457" s="1075"/>
      <c r="AH457" s="1075"/>
      <c r="AI457" s="1075"/>
      <c r="AJ457" s="1075"/>
      <c r="AK457" s="1075" t="str">
        <f>IF(Sheet1!AE454="C",Sheet1!AK454,"-")</f>
        <v>-</v>
      </c>
      <c r="AL457" s="1075" t="str">
        <f>IF(Sheet1!AE454="D",Sheet1!AK454,"-")</f>
        <v>-</v>
      </c>
      <c r="AM457" s="1075" t="str">
        <f>IF(Sheet1!AE451="E",Sheet1!AK451,"-")</f>
        <v>-</v>
      </c>
    </row>
    <row r="458" spans="2:39" x14ac:dyDescent="0.25">
      <c r="B458" s="1082">
        <f>Sheet1!F452</f>
        <v>1320</v>
      </c>
      <c r="C458" s="1075" t="str">
        <f>Sheet1!C452</f>
        <v>Ohio Ave. (LH)</v>
      </c>
      <c r="D458" s="1075" t="str">
        <f>_xlfn.TEXTBEFORE(Sheet1!E452, " to ")</f>
        <v>Macy Ave.</v>
      </c>
      <c r="E458" s="1075" t="str">
        <f>_xlfn.TEXTAFTER(Sheet1!E452, " to ")</f>
        <v>Lakeview Dr.</v>
      </c>
      <c r="F458" s="1075">
        <f>Sheet1!AM452</f>
        <v>2</v>
      </c>
      <c r="G458" s="1075"/>
      <c r="H458" s="1083" t="str">
        <f>Sheet1!AE452</f>
        <v>C</v>
      </c>
      <c r="I458" s="1075"/>
      <c r="J458" s="1075" t="str">
        <f>Sheet1!Q452</f>
        <v>UA_NSSRC2_2W_2L_U_0L</v>
      </c>
      <c r="K458" s="1075"/>
      <c r="L458" s="1075">
        <f>Sheet1!AF452</f>
        <v>5260</v>
      </c>
      <c r="M458" s="1075"/>
      <c r="N458" s="1075"/>
      <c r="O458" s="1075"/>
      <c r="P458" s="1075">
        <f>Sheet1!AK452</f>
        <v>1020</v>
      </c>
      <c r="Q458" s="1075"/>
      <c r="R458" s="1075">
        <f>Sheet1!AD452</f>
        <v>870</v>
      </c>
      <c r="S458" s="1081">
        <f>Sheet1!AG452</f>
        <v>0.16539923954372623</v>
      </c>
      <c r="T458" s="1075" t="str">
        <f>Sheet1!AH452</f>
        <v>C</v>
      </c>
      <c r="U458" s="1075">
        <f>Sheet1!AI452</f>
        <v>90</v>
      </c>
      <c r="V458" s="1075"/>
      <c r="W458" s="1075"/>
      <c r="X458" s="1075">
        <f>Sheet1!AJ452</f>
        <v>80</v>
      </c>
      <c r="Y458" s="1075"/>
      <c r="Z458" s="1075"/>
      <c r="AA458" s="1075"/>
      <c r="AB458" s="1075"/>
      <c r="AC458" s="1075"/>
      <c r="AD458" s="1075"/>
      <c r="AE458" s="1075"/>
      <c r="AF458" s="1075"/>
      <c r="AG458" s="1075"/>
      <c r="AH458" s="1075"/>
      <c r="AI458" s="1075"/>
      <c r="AJ458" s="1075"/>
      <c r="AK458" s="1075" t="str">
        <f>IF(Sheet1!AE455="C",Sheet1!AK455,"-")</f>
        <v>-</v>
      </c>
      <c r="AL458" s="1075" t="str">
        <f>IF(Sheet1!AE455="D",Sheet1!AK455,"-")</f>
        <v>-</v>
      </c>
      <c r="AM458" s="1075" t="str">
        <f>IF(Sheet1!AE452="E",Sheet1!AK452,"-")</f>
        <v>-</v>
      </c>
    </row>
    <row r="459" spans="2:39" x14ac:dyDescent="0.25">
      <c r="B459" s="1082">
        <f>Sheet1!F453</f>
        <v>1330</v>
      </c>
      <c r="C459" s="1075" t="str">
        <f>Sheet1!C453</f>
        <v>Old Dixie Hwy.</v>
      </c>
      <c r="D459" s="1075" t="str">
        <f>_xlfn.TEXTBEFORE(Sheet1!E453, " to ")</f>
        <v>Ingelsia</v>
      </c>
      <c r="E459" s="1075" t="str">
        <f>_xlfn.TEXTAFTER(Sheet1!E453, " to ")</f>
        <v xml:space="preserve"> Pine Tree Dr.</v>
      </c>
      <c r="F459" s="1075">
        <f>Sheet1!AM453</f>
        <v>2</v>
      </c>
      <c r="G459" s="1075"/>
      <c r="H459" s="1083" t="str">
        <f>Sheet1!AE453</f>
        <v>E</v>
      </c>
      <c r="I459" s="1075"/>
      <c r="J459" s="1075" t="str">
        <f>Sheet1!Q453</f>
        <v>UA_NSSRC2_2W_2L_U_0L</v>
      </c>
      <c r="K459" s="1075"/>
      <c r="L459" s="1075">
        <f>Sheet1!AF453</f>
        <v>13640</v>
      </c>
      <c r="M459" s="1075"/>
      <c r="N459" s="1075"/>
      <c r="O459" s="1075"/>
      <c r="P459" s="1075">
        <f>Sheet1!AK453</f>
        <v>1020</v>
      </c>
      <c r="Q459" s="1075"/>
      <c r="R459" s="1075">
        <f>Sheet1!AD453</f>
        <v>2370</v>
      </c>
      <c r="S459" s="1081">
        <f>Sheet1!AG453</f>
        <v>0.17375366568914957</v>
      </c>
      <c r="T459" s="1075" t="str">
        <f>Sheet1!AH453</f>
        <v>C</v>
      </c>
      <c r="U459" s="1075">
        <f>Sheet1!AI453</f>
        <v>150</v>
      </c>
      <c r="V459" s="1075"/>
      <c r="W459" s="1075"/>
      <c r="X459" s="1075">
        <f>Sheet1!AJ453</f>
        <v>220</v>
      </c>
      <c r="Y459" s="1075"/>
      <c r="Z459" s="1075"/>
      <c r="AA459" s="1075"/>
      <c r="AB459" s="1075"/>
      <c r="AC459" s="1075"/>
      <c r="AD459" s="1075"/>
      <c r="AE459" s="1075"/>
      <c r="AF459" s="1075"/>
      <c r="AG459" s="1075"/>
      <c r="AH459" s="1075"/>
      <c r="AI459" s="1075"/>
      <c r="AJ459" s="1075"/>
      <c r="AK459" s="1075" t="str">
        <f>IF(Sheet1!AE456="C",Sheet1!AK456,"-")</f>
        <v>-</v>
      </c>
      <c r="AL459" s="1075" t="str">
        <f>IF(Sheet1!AE456="D",Sheet1!AK456,"-")</f>
        <v>-</v>
      </c>
      <c r="AM459" s="1075">
        <f>IF(Sheet1!AE453="E",Sheet1!AK453,"-")</f>
        <v>1020</v>
      </c>
    </row>
    <row r="460" spans="2:39" x14ac:dyDescent="0.25">
      <c r="B460" s="1082">
        <f>Sheet1!F454</f>
        <v>1332</v>
      </c>
      <c r="C460" s="1075" t="str">
        <f>Sheet1!C454</f>
        <v>Old Dixie Hwy.</v>
      </c>
      <c r="D460" s="1075" t="str">
        <f>_xlfn.TEXTBEFORE(Sheet1!E454, " to ")</f>
        <v>Pine Tree Dr.</v>
      </c>
      <c r="E460" s="1075" t="str">
        <f>_xlfn.TEXTAFTER(Sheet1!E454, " to ")</f>
        <v>Walter Boardman Ln.</v>
      </c>
      <c r="F460" s="1075">
        <f>Sheet1!AM454</f>
        <v>2</v>
      </c>
      <c r="G460" s="1075"/>
      <c r="H460" s="1083" t="str">
        <f>Sheet1!AE454</f>
        <v>E</v>
      </c>
      <c r="I460" s="1075"/>
      <c r="J460" s="1075" t="str">
        <f>Sheet1!Q454</f>
        <v>UA_NSSRC1_2W_2L_U_0L</v>
      </c>
      <c r="K460" s="1075"/>
      <c r="L460" s="1075">
        <f>Sheet1!AF454</f>
        <v>20700</v>
      </c>
      <c r="M460" s="1075"/>
      <c r="N460" s="1075"/>
      <c r="O460" s="1075"/>
      <c r="P460" s="1075">
        <f>Sheet1!AK454</f>
        <v>1860</v>
      </c>
      <c r="Q460" s="1075"/>
      <c r="R460" s="1075">
        <f>Sheet1!AD454</f>
        <v>3410</v>
      </c>
      <c r="S460" s="1081">
        <f>Sheet1!AG454</f>
        <v>0.16473429951690821</v>
      </c>
      <c r="T460" s="1075" t="str">
        <f>Sheet1!AH454</f>
        <v>C</v>
      </c>
      <c r="U460" s="1075">
        <f>Sheet1!AI454</f>
        <v>220</v>
      </c>
      <c r="V460" s="1075"/>
      <c r="W460" s="1075"/>
      <c r="X460" s="1075">
        <f>Sheet1!AJ454</f>
        <v>290</v>
      </c>
      <c r="Y460" s="1075"/>
      <c r="Z460" s="1075"/>
      <c r="AA460" s="1075"/>
      <c r="AB460" s="1075"/>
      <c r="AC460" s="1075"/>
      <c r="AD460" s="1075"/>
      <c r="AE460" s="1075"/>
      <c r="AF460" s="1075"/>
      <c r="AG460" s="1075"/>
      <c r="AH460" s="1075"/>
      <c r="AI460" s="1075"/>
      <c r="AJ460" s="1075"/>
      <c r="AK460" s="1075" t="str">
        <f>IF(Sheet1!AE457="C",Sheet1!AK457,"-")</f>
        <v>-</v>
      </c>
      <c r="AL460" s="1075" t="str">
        <f>IF(Sheet1!AE457="D",Sheet1!AK457,"-")</f>
        <v>-</v>
      </c>
      <c r="AM460" s="1075">
        <f>IF(Sheet1!AE454="E",Sheet1!AK454,"-")</f>
        <v>1860</v>
      </c>
    </row>
    <row r="461" spans="2:39" x14ac:dyDescent="0.25">
      <c r="B461" s="1082">
        <f>Sheet1!F455</f>
        <v>1333</v>
      </c>
      <c r="C461" s="1075" t="str">
        <f>Sheet1!C455</f>
        <v>Old Dixie Hwy.</v>
      </c>
      <c r="D461" s="1075" t="str">
        <f>_xlfn.TEXTBEFORE(Sheet1!E455, " to ")</f>
        <v>Walter Boardman Ln.</v>
      </c>
      <c r="E461" s="1075" t="str">
        <f>_xlfn.TEXTAFTER(Sheet1!E455, " to ")</f>
        <v>Old Kings Rd.</v>
      </c>
      <c r="F461" s="1075">
        <f>Sheet1!AM455</f>
        <v>2</v>
      </c>
      <c r="G461" s="1075"/>
      <c r="H461" s="1083" t="str">
        <f>Sheet1!AE455</f>
        <v>E</v>
      </c>
      <c r="I461" s="1075"/>
      <c r="J461" s="1075" t="str">
        <f>Sheet1!Q455</f>
        <v>UA_NSSRC1_2W_2L_U_0L</v>
      </c>
      <c r="K461" s="1075"/>
      <c r="L461" s="1075">
        <f>Sheet1!AF455</f>
        <v>20700</v>
      </c>
      <c r="M461" s="1075"/>
      <c r="N461" s="1075"/>
      <c r="O461" s="1075"/>
      <c r="P461" s="1075">
        <f>Sheet1!AK455</f>
        <v>1860</v>
      </c>
      <c r="Q461" s="1075"/>
      <c r="R461" s="1075">
        <f>Sheet1!AD455</f>
        <v>5280</v>
      </c>
      <c r="S461" s="1081">
        <f>Sheet1!AG455</f>
        <v>0.25507246376811593</v>
      </c>
      <c r="T461" s="1075" t="str">
        <f>Sheet1!AH455</f>
        <v>C</v>
      </c>
      <c r="U461" s="1075">
        <f>Sheet1!AI455</f>
        <v>320</v>
      </c>
      <c r="V461" s="1075"/>
      <c r="W461" s="1075"/>
      <c r="X461" s="1075">
        <f>Sheet1!AJ455</f>
        <v>470</v>
      </c>
      <c r="Y461" s="1075"/>
      <c r="Z461" s="1075"/>
      <c r="AA461" s="1075"/>
      <c r="AB461" s="1075"/>
      <c r="AC461" s="1075"/>
      <c r="AD461" s="1075"/>
      <c r="AE461" s="1075"/>
      <c r="AF461" s="1075"/>
      <c r="AG461" s="1075"/>
      <c r="AH461" s="1075"/>
      <c r="AI461" s="1075"/>
      <c r="AJ461" s="1075"/>
      <c r="AK461" s="1075" t="str">
        <f>IF(Sheet1!AE458="C",Sheet1!AK458,"-")</f>
        <v>-</v>
      </c>
      <c r="AL461" s="1075" t="str">
        <f>IF(Sheet1!AE458="D",Sheet1!AK458,"-")</f>
        <v>-</v>
      </c>
      <c r="AM461" s="1075">
        <f>IF(Sheet1!AE455="E",Sheet1!AK455,"-")</f>
        <v>1860</v>
      </c>
    </row>
    <row r="462" spans="2:39" x14ac:dyDescent="0.25">
      <c r="B462" s="1082">
        <f>Sheet1!F456</f>
        <v>1334</v>
      </c>
      <c r="C462" s="1075" t="str">
        <f>Sheet1!C456</f>
        <v>Old Dixie Hwy.</v>
      </c>
      <c r="D462" s="1075" t="str">
        <f>_xlfn.TEXTBEFORE(Sheet1!E456, " to ")</f>
        <v>Old Kings Rd.</v>
      </c>
      <c r="E462" s="1075" t="str">
        <f>_xlfn.TEXTAFTER(Sheet1!E456, " to ")</f>
        <v>I-95</v>
      </c>
      <c r="F462" s="1075">
        <f>Sheet1!AM456</f>
        <v>2</v>
      </c>
      <c r="G462" s="1075"/>
      <c r="H462" s="1083" t="str">
        <f>Sheet1!AE456</f>
        <v>E</v>
      </c>
      <c r="I462" s="1075"/>
      <c r="J462" s="1075" t="str">
        <f>Sheet1!Q456</f>
        <v>UA_NSSRC1_2W_2L_U_0L</v>
      </c>
      <c r="K462" s="1075"/>
      <c r="L462" s="1075">
        <f>Sheet1!AF456</f>
        <v>20700</v>
      </c>
      <c r="M462" s="1075"/>
      <c r="N462" s="1075"/>
      <c r="O462" s="1075"/>
      <c r="P462" s="1075">
        <f>Sheet1!AK456</f>
        <v>1860</v>
      </c>
      <c r="Q462" s="1075"/>
      <c r="R462" s="1075">
        <f>Sheet1!AD456</f>
        <v>10090</v>
      </c>
      <c r="S462" s="1081">
        <f>Sheet1!AG456</f>
        <v>0.48743961352657006</v>
      </c>
      <c r="T462" s="1075" t="str">
        <f>Sheet1!AH456</f>
        <v>C</v>
      </c>
      <c r="U462" s="1075">
        <f>Sheet1!AI456</f>
        <v>650</v>
      </c>
      <c r="V462" s="1075"/>
      <c r="W462" s="1075"/>
      <c r="X462" s="1075">
        <f>Sheet1!AJ456</f>
        <v>840</v>
      </c>
      <c r="Y462" s="1075"/>
      <c r="Z462" s="1075"/>
      <c r="AA462" s="1075"/>
      <c r="AB462" s="1075"/>
      <c r="AC462" s="1075"/>
      <c r="AD462" s="1075"/>
      <c r="AE462" s="1075"/>
      <c r="AF462" s="1075"/>
      <c r="AG462" s="1075"/>
      <c r="AH462" s="1075"/>
      <c r="AI462" s="1075"/>
      <c r="AJ462" s="1075"/>
      <c r="AK462" s="1075">
        <f>IF(Sheet1!AE459="C",Sheet1!AK459,"-")</f>
        <v>1120</v>
      </c>
      <c r="AL462" s="1075" t="str">
        <f>IF(Sheet1!AE459="D",Sheet1!AK459,"-")</f>
        <v>-</v>
      </c>
      <c r="AM462" s="1075">
        <f>IF(Sheet1!AE456="E",Sheet1!AK456,"-")</f>
        <v>1860</v>
      </c>
    </row>
    <row r="463" spans="2:39" x14ac:dyDescent="0.25">
      <c r="B463" s="1082">
        <f>Sheet1!F457</f>
        <v>1340</v>
      </c>
      <c r="C463" s="1075" t="str">
        <f>Sheet1!C457</f>
        <v>Old Kings Rd.</v>
      </c>
      <c r="D463" s="1075" t="str">
        <f>_xlfn.TEXTBEFORE(Sheet1!E457, " to ")</f>
        <v>Old Dixie Hwy.</v>
      </c>
      <c r="E463" s="1075" t="str">
        <f>_xlfn.TEXTAFTER(Sheet1!E457, " to ")</f>
        <v>Flagler Co.</v>
      </c>
      <c r="F463" s="1075">
        <f>Sheet1!AM457</f>
        <v>2</v>
      </c>
      <c r="G463" s="1075"/>
      <c r="H463" s="1083" t="str">
        <f>Sheet1!AE457</f>
        <v>E</v>
      </c>
      <c r="I463" s="1075"/>
      <c r="J463" s="1075" t="str">
        <f>Sheet1!Q457</f>
        <v>UA_NSSRC1_2W_2L_U_0L</v>
      </c>
      <c r="K463" s="1075"/>
      <c r="L463" s="1075">
        <f>Sheet1!AF457</f>
        <v>22800</v>
      </c>
      <c r="M463" s="1075"/>
      <c r="N463" s="1075"/>
      <c r="O463" s="1075"/>
      <c r="P463" s="1075">
        <f>Sheet1!AK457</f>
        <v>2050</v>
      </c>
      <c r="Q463" s="1075"/>
      <c r="R463" s="1075">
        <f>Sheet1!AD457</f>
        <v>4170</v>
      </c>
      <c r="S463" s="1081">
        <f>Sheet1!AG457</f>
        <v>0.18289473684210528</v>
      </c>
      <c r="T463" s="1075" t="str">
        <f>Sheet1!AH457</f>
        <v>C</v>
      </c>
      <c r="U463" s="1075">
        <f>Sheet1!AI457</f>
        <v>250</v>
      </c>
      <c r="V463" s="1075"/>
      <c r="W463" s="1075"/>
      <c r="X463" s="1075">
        <f>Sheet1!AJ457</f>
        <v>360</v>
      </c>
      <c r="Y463" s="1075"/>
      <c r="Z463" s="1075"/>
      <c r="AA463" s="1075"/>
      <c r="AB463" s="1075"/>
      <c r="AC463" s="1075"/>
      <c r="AD463" s="1075"/>
      <c r="AE463" s="1075"/>
      <c r="AF463" s="1075"/>
      <c r="AG463" s="1075"/>
      <c r="AH463" s="1075"/>
      <c r="AI463" s="1075"/>
      <c r="AJ463" s="1075"/>
      <c r="AK463" s="1075">
        <f>IF(Sheet1!AE460="C",Sheet1!AK460,"-")</f>
        <v>1230</v>
      </c>
      <c r="AL463" s="1075" t="str">
        <f>IF(Sheet1!AE460="D",Sheet1!AK460,"-")</f>
        <v>-</v>
      </c>
      <c r="AM463" s="1075">
        <f>IF(Sheet1!AE457="E",Sheet1!AK457,"-")</f>
        <v>2050</v>
      </c>
    </row>
    <row r="464" spans="2:39" x14ac:dyDescent="0.25">
      <c r="B464" s="1082">
        <f>Sheet1!F458</f>
        <v>1356</v>
      </c>
      <c r="C464" s="1075" t="str">
        <f>Sheet1!C458</f>
        <v>Old Mission Rd.</v>
      </c>
      <c r="D464" s="1075" t="str">
        <f>_xlfn.TEXTBEFORE(Sheet1!E458, " to ")</f>
        <v>SR 44/Mission Dr.</v>
      </c>
      <c r="E464" s="1075" t="str">
        <f>_xlfn.TEXTAFTER(Sheet1!E458, " to ")</f>
        <v>Old Mission Rd</v>
      </c>
      <c r="F464" s="1075">
        <f>Sheet1!AM458</f>
        <v>2</v>
      </c>
      <c r="G464" s="1075"/>
      <c r="H464" s="1083" t="str">
        <f>Sheet1!AE458</f>
        <v>E</v>
      </c>
      <c r="I464" s="1075"/>
      <c r="J464" s="1075" t="str">
        <f>Sheet1!Q458</f>
        <v>UA_NSSRC1_2W_2L_U_0L</v>
      </c>
      <c r="K464" s="1075"/>
      <c r="L464" s="1075">
        <f>Sheet1!AF458</f>
        <v>13640</v>
      </c>
      <c r="M464" s="1075"/>
      <c r="N464" s="1075"/>
      <c r="O464" s="1075"/>
      <c r="P464" s="1075">
        <f>Sheet1!AK458</f>
        <v>1230</v>
      </c>
      <c r="Q464" s="1075"/>
      <c r="R464" s="1075">
        <f>Sheet1!AD458</f>
        <v>1260</v>
      </c>
      <c r="S464" s="1081">
        <f>Sheet1!AG458</f>
        <v>9.2375366568914957E-2</v>
      </c>
      <c r="T464" s="1075" t="str">
        <f>Sheet1!AH458</f>
        <v>C</v>
      </c>
      <c r="U464" s="1075">
        <f>Sheet1!AI458</f>
        <v>80</v>
      </c>
      <c r="V464" s="1075"/>
      <c r="W464" s="1075"/>
      <c r="X464" s="1075">
        <f>Sheet1!AJ458</f>
        <v>150</v>
      </c>
      <c r="Y464" s="1075"/>
      <c r="Z464" s="1075"/>
      <c r="AA464" s="1075"/>
      <c r="AB464" s="1075"/>
      <c r="AC464" s="1075"/>
      <c r="AD464" s="1075"/>
      <c r="AE464" s="1075"/>
      <c r="AF464" s="1075"/>
      <c r="AG464" s="1075"/>
      <c r="AH464" s="1075"/>
      <c r="AI464" s="1075"/>
      <c r="AJ464" s="1075"/>
      <c r="AK464" s="1075" t="str">
        <f>IF(Sheet1!AE461="C",Sheet1!AK461,"-")</f>
        <v>-</v>
      </c>
      <c r="AL464" s="1075" t="str">
        <f>IF(Sheet1!AE461="D",Sheet1!AK461,"-")</f>
        <v>-</v>
      </c>
      <c r="AM464" s="1075">
        <f>IF(Sheet1!AE458="E",Sheet1!AK458,"-")</f>
        <v>1230</v>
      </c>
    </row>
    <row r="465" spans="2:39" x14ac:dyDescent="0.25">
      <c r="B465" s="1082">
        <f>Sheet1!F459</f>
        <v>1360</v>
      </c>
      <c r="C465" s="1075" t="str">
        <f>Sheet1!C459</f>
        <v>Old New York Ave.</v>
      </c>
      <c r="D465" s="1075" t="str">
        <f>_xlfn.TEXTBEFORE(Sheet1!E459, " to ")</f>
        <v>SR 44</v>
      </c>
      <c r="E465" s="1075" t="str">
        <f>_xlfn.TEXTAFTER(Sheet1!E459, " to ")</f>
        <v>Hontoon Rd.</v>
      </c>
      <c r="F465" s="1075">
        <f>Sheet1!AM459</f>
        <v>2</v>
      </c>
      <c r="G465" s="1075"/>
      <c r="H465" s="1083" t="str">
        <f>Sheet1!AE459</f>
        <v>C</v>
      </c>
      <c r="I465" s="1075"/>
      <c r="J465" s="1075" t="str">
        <f>Sheet1!Q459</f>
        <v>RDA_UFH_2W_2L_U_0L</v>
      </c>
      <c r="K465" s="1075"/>
      <c r="L465" s="1075">
        <f>Sheet1!AF459</f>
        <v>11775</v>
      </c>
      <c r="M465" s="1075"/>
      <c r="N465" s="1075"/>
      <c r="O465" s="1075"/>
      <c r="P465" s="1075">
        <f>Sheet1!AK459</f>
        <v>1120</v>
      </c>
      <c r="Q465" s="1075"/>
      <c r="R465" s="1075">
        <f>Sheet1!AD459</f>
        <v>1310</v>
      </c>
      <c r="S465" s="1081">
        <f>Sheet1!AG459</f>
        <v>0.11125265392781317</v>
      </c>
      <c r="T465" s="1075" t="str">
        <f>Sheet1!AH459</f>
        <v>B</v>
      </c>
      <c r="U465" s="1075">
        <f>Sheet1!AI459</f>
        <v>70</v>
      </c>
      <c r="V465" s="1075"/>
      <c r="W465" s="1075"/>
      <c r="X465" s="1075">
        <f>Sheet1!AJ459</f>
        <v>120</v>
      </c>
      <c r="Y465" s="1075"/>
      <c r="Z465" s="1075"/>
      <c r="AA465" s="1075"/>
      <c r="AB465" s="1075"/>
      <c r="AC465" s="1075"/>
      <c r="AD465" s="1075"/>
      <c r="AE465" s="1075"/>
      <c r="AF465" s="1075"/>
      <c r="AG465" s="1075"/>
      <c r="AH465" s="1075"/>
      <c r="AI465" s="1075"/>
      <c r="AJ465" s="1075"/>
      <c r="AK465" s="1075" t="str">
        <f>IF(Sheet1!AE462="C",Sheet1!AK462,"-")</f>
        <v>-</v>
      </c>
      <c r="AL465" s="1075" t="str">
        <f>IF(Sheet1!AE462="D",Sheet1!AK462,"-")</f>
        <v>-</v>
      </c>
      <c r="AM465" s="1075" t="str">
        <f>IF(Sheet1!AE459="E",Sheet1!AK459,"-")</f>
        <v>-</v>
      </c>
    </row>
    <row r="466" spans="2:39" x14ac:dyDescent="0.25">
      <c r="B466" s="1082">
        <f>Sheet1!F460</f>
        <v>1361</v>
      </c>
      <c r="C466" s="1075" t="str">
        <f>Sheet1!C460</f>
        <v>Old New York Ave.</v>
      </c>
      <c r="D466" s="1075" t="str">
        <f>_xlfn.TEXTBEFORE(Sheet1!E460, " to ")</f>
        <v>Hontoon Rd.</v>
      </c>
      <c r="E466" s="1075" t="str">
        <f>_xlfn.TEXTAFTER(Sheet1!E460, " to ")</f>
        <v>Lakeview Dr.</v>
      </c>
      <c r="F466" s="1075">
        <f>Sheet1!AM460</f>
        <v>2</v>
      </c>
      <c r="G466" s="1075"/>
      <c r="H466" s="1083" t="str">
        <f>Sheet1!AE460</f>
        <v>C</v>
      </c>
      <c r="I466" s="1075"/>
      <c r="J466" s="1075" t="str">
        <f>Sheet1!Q460</f>
        <v>UA_NSSRC1_2W_2L_U_0L</v>
      </c>
      <c r="K466" s="1075"/>
      <c r="L466" s="1075">
        <f>Sheet1!AF460</f>
        <v>12100</v>
      </c>
      <c r="M466" s="1075"/>
      <c r="N466" s="1075"/>
      <c r="O466" s="1075"/>
      <c r="P466" s="1075">
        <f>Sheet1!AK460</f>
        <v>1230</v>
      </c>
      <c r="Q466" s="1075"/>
      <c r="R466" s="1075">
        <f>Sheet1!AD460</f>
        <v>4460</v>
      </c>
      <c r="S466" s="1081">
        <f>Sheet1!AG460</f>
        <v>0.36859504132231408</v>
      </c>
      <c r="T466" s="1075" t="str">
        <f>Sheet1!AH460</f>
        <v>C</v>
      </c>
      <c r="U466" s="1075">
        <f>Sheet1!AI460</f>
        <v>290</v>
      </c>
      <c r="V466" s="1075"/>
      <c r="W466" s="1075"/>
      <c r="X466" s="1075">
        <f>Sheet1!AJ460</f>
        <v>380</v>
      </c>
      <c r="Y466" s="1075"/>
      <c r="Z466" s="1075"/>
      <c r="AA466" s="1075"/>
      <c r="AB466" s="1075"/>
      <c r="AC466" s="1075"/>
      <c r="AD466" s="1075"/>
      <c r="AE466" s="1075"/>
      <c r="AF466" s="1075"/>
      <c r="AG466" s="1075"/>
      <c r="AH466" s="1075"/>
      <c r="AI466" s="1075"/>
      <c r="AJ466" s="1075"/>
      <c r="AK466" s="1075" t="str">
        <f>IF(Sheet1!AE463="C",Sheet1!AK463,"-")</f>
        <v>-</v>
      </c>
      <c r="AL466" s="1075" t="str">
        <f>IF(Sheet1!AE463="D",Sheet1!AK463,"-")</f>
        <v>-</v>
      </c>
      <c r="AM466" s="1075" t="str">
        <f>IF(Sheet1!AE460="E",Sheet1!AK460,"-")</f>
        <v>-</v>
      </c>
    </row>
    <row r="467" spans="2:39" x14ac:dyDescent="0.25">
      <c r="B467" s="1082">
        <f>Sheet1!F461</f>
        <v>1362</v>
      </c>
      <c r="C467" s="1075" t="str">
        <f>Sheet1!C461</f>
        <v>Old New York Ave.</v>
      </c>
      <c r="D467" s="1075" t="str">
        <f>_xlfn.TEXTBEFORE(Sheet1!E461, " to ")</f>
        <v>Lakeview Dr.</v>
      </c>
      <c r="E467" s="1075" t="str">
        <f>_xlfn.TEXTAFTER(Sheet1!E461, " to ")</f>
        <v>Grand Ave.</v>
      </c>
      <c r="F467" s="1075">
        <f>Sheet1!AM461</f>
        <v>2</v>
      </c>
      <c r="G467" s="1075"/>
      <c r="H467" s="1083" t="str">
        <f>Sheet1!AE461</f>
        <v>E</v>
      </c>
      <c r="I467" s="1075"/>
      <c r="J467" s="1075" t="str">
        <f>Sheet1!Q461</f>
        <v>UA_NSSRC1_2W_2L_U_0L</v>
      </c>
      <c r="K467" s="1075"/>
      <c r="L467" s="1075">
        <f>Sheet1!AF461</f>
        <v>13640</v>
      </c>
      <c r="M467" s="1075"/>
      <c r="N467" s="1075"/>
      <c r="O467" s="1075"/>
      <c r="P467" s="1075">
        <f>Sheet1!AK461</f>
        <v>1230</v>
      </c>
      <c r="Q467" s="1075"/>
      <c r="R467" s="1075">
        <f>Sheet1!AD461</f>
        <v>4950</v>
      </c>
      <c r="S467" s="1081">
        <f>Sheet1!AG461</f>
        <v>0.36290322580645162</v>
      </c>
      <c r="T467" s="1075" t="str">
        <f>Sheet1!AH461</f>
        <v>C</v>
      </c>
      <c r="U467" s="1075">
        <f>Sheet1!AI461</f>
        <v>310</v>
      </c>
      <c r="V467" s="1075"/>
      <c r="W467" s="1075"/>
      <c r="X467" s="1075">
        <f>Sheet1!AJ461</f>
        <v>420</v>
      </c>
      <c r="Y467" s="1075"/>
      <c r="Z467" s="1075"/>
      <c r="AA467" s="1075"/>
      <c r="AB467" s="1075"/>
      <c r="AC467" s="1075"/>
      <c r="AD467" s="1075"/>
      <c r="AE467" s="1075"/>
      <c r="AF467" s="1075"/>
      <c r="AG467" s="1075"/>
      <c r="AH467" s="1075"/>
      <c r="AI467" s="1075"/>
      <c r="AJ467" s="1075"/>
      <c r="AK467" s="1075" t="str">
        <f>IF(Sheet1!AE464="C",Sheet1!AK464,"-")</f>
        <v>-</v>
      </c>
      <c r="AL467" s="1075" t="str">
        <f>IF(Sheet1!AE464="D",Sheet1!AK464,"-")</f>
        <v>-</v>
      </c>
      <c r="AM467" s="1075">
        <f>IF(Sheet1!AE461="E",Sheet1!AK461,"-")</f>
        <v>1230</v>
      </c>
    </row>
    <row r="468" spans="2:39" x14ac:dyDescent="0.25">
      <c r="B468" s="1082">
        <f>Sheet1!F462</f>
        <v>1364</v>
      </c>
      <c r="C468" s="1075" t="str">
        <f>Sheet1!C462</f>
        <v>Old New York Ave.</v>
      </c>
      <c r="D468" s="1075" t="str">
        <f>_xlfn.TEXTBEFORE(Sheet1!E462, " to ")</f>
        <v>Grand Ave.</v>
      </c>
      <c r="E468" s="1075" t="str">
        <f>_xlfn.TEXTAFTER(Sheet1!E462, " to ")</f>
        <v>SR 44</v>
      </c>
      <c r="F468" s="1075">
        <f>Sheet1!AM462</f>
        <v>2</v>
      </c>
      <c r="G468" s="1075"/>
      <c r="H468" s="1083" t="str">
        <f>Sheet1!AE462</f>
        <v>E</v>
      </c>
      <c r="I468" s="1075"/>
      <c r="J468" s="1075" t="str">
        <f>Sheet1!Q462</f>
        <v>UA_NSSRC1_2W_2L_U_0L</v>
      </c>
      <c r="K468" s="1075"/>
      <c r="L468" s="1075">
        <f>Sheet1!AF462</f>
        <v>13640</v>
      </c>
      <c r="M468" s="1075"/>
      <c r="N468" s="1075"/>
      <c r="O468" s="1075"/>
      <c r="P468" s="1075">
        <f>Sheet1!AK462</f>
        <v>1230</v>
      </c>
      <c r="Q468" s="1075"/>
      <c r="R468" s="1075">
        <f>Sheet1!AD462</f>
        <v>2860</v>
      </c>
      <c r="S468" s="1081">
        <f>Sheet1!AG462</f>
        <v>0.20967741935483872</v>
      </c>
      <c r="T468" s="1075" t="str">
        <f>Sheet1!AH462</f>
        <v>C</v>
      </c>
      <c r="U468" s="1075">
        <f>Sheet1!AI462</f>
        <v>180</v>
      </c>
      <c r="V468" s="1075"/>
      <c r="W468" s="1075"/>
      <c r="X468" s="1075">
        <f>Sheet1!AJ462</f>
        <v>240</v>
      </c>
      <c r="Y468" s="1075"/>
      <c r="Z468" s="1075"/>
      <c r="AA468" s="1075"/>
      <c r="AB468" s="1075"/>
      <c r="AC468" s="1075"/>
      <c r="AD468" s="1075"/>
      <c r="AE468" s="1075"/>
      <c r="AF468" s="1075"/>
      <c r="AG468" s="1075"/>
      <c r="AH468" s="1075"/>
      <c r="AI468" s="1075"/>
      <c r="AJ468" s="1075"/>
      <c r="AK468" s="1075" t="str">
        <f>IF(Sheet1!AE465="C",Sheet1!AK465,"-")</f>
        <v>-</v>
      </c>
      <c r="AL468" s="1075" t="str">
        <f>IF(Sheet1!AE465="D",Sheet1!AK465,"-")</f>
        <v>-</v>
      </c>
      <c r="AM468" s="1075">
        <f>IF(Sheet1!AE462="E",Sheet1!AK462,"-")</f>
        <v>1230</v>
      </c>
    </row>
    <row r="469" spans="2:39" x14ac:dyDescent="0.25">
      <c r="B469" s="1082">
        <f>Sheet1!F463</f>
        <v>1374</v>
      </c>
      <c r="C469" s="1075" t="str">
        <f>Sheet1!C463</f>
        <v>Orange/Silver Beach  Ave.</v>
      </c>
      <c r="D469" s="1075" t="str">
        <f>_xlfn.TEXTBEFORE(Sheet1!E463, " to ")</f>
        <v>US 1</v>
      </c>
      <c r="E469" s="1075" t="str">
        <f>_xlfn.TEXTAFTER(Sheet1!E463, " to ")</f>
        <v>Beach St.</v>
      </c>
      <c r="F469" s="1075">
        <f>Sheet1!AM463</f>
        <v>4</v>
      </c>
      <c r="G469" s="1075"/>
      <c r="H469" s="1083" t="str">
        <f>Sheet1!AE463</f>
        <v>E</v>
      </c>
      <c r="I469" s="1075"/>
      <c r="J469" s="1075" t="str">
        <f>Sheet1!Q463</f>
        <v>UA_NSSRC2_2W_4L_D_WL</v>
      </c>
      <c r="K469" s="1075"/>
      <c r="L469" s="1075">
        <f>Sheet1!AF463</f>
        <v>30420</v>
      </c>
      <c r="M469" s="1075"/>
      <c r="N469" s="1075"/>
      <c r="O469" s="1075"/>
      <c r="P469" s="1075">
        <f>Sheet1!AK463</f>
        <v>2740</v>
      </c>
      <c r="Q469" s="1075"/>
      <c r="R469" s="1075" t="str">
        <f>Sheet1!AD463</f>
        <v>-</v>
      </c>
      <c r="S469" s="1081" t="str">
        <f>Sheet1!AG463</f>
        <v>-</v>
      </c>
      <c r="T469" s="1075" t="str">
        <f>Sheet1!AH463</f>
        <v>-</v>
      </c>
      <c r="U469" s="1075" t="str">
        <f>Sheet1!AI463</f>
        <v>-</v>
      </c>
      <c r="V469" s="1075"/>
      <c r="W469" s="1075"/>
      <c r="X469" s="1075" t="str">
        <f>Sheet1!AJ463</f>
        <v>-</v>
      </c>
      <c r="Y469" s="1075"/>
      <c r="Z469" s="1075"/>
      <c r="AA469" s="1075"/>
      <c r="AB469" s="1075"/>
      <c r="AC469" s="1075"/>
      <c r="AD469" s="1075"/>
      <c r="AE469" s="1075"/>
      <c r="AF469" s="1075"/>
      <c r="AG469" s="1075"/>
      <c r="AH469" s="1075"/>
      <c r="AI469" s="1075"/>
      <c r="AJ469" s="1075"/>
      <c r="AK469" s="1075" t="str">
        <f>IF(Sheet1!AE466="C",Sheet1!AK466,"-")</f>
        <v>-</v>
      </c>
      <c r="AL469" s="1075" t="str">
        <f>IF(Sheet1!AE466="D",Sheet1!AK466,"-")</f>
        <v>-</v>
      </c>
      <c r="AM469" s="1075">
        <f>IF(Sheet1!AE463="E",Sheet1!AK463,"-")</f>
        <v>2740</v>
      </c>
    </row>
    <row r="470" spans="2:39" x14ac:dyDescent="0.25">
      <c r="B470" s="1082">
        <f>Sheet1!F464</f>
        <v>1375</v>
      </c>
      <c r="C470" s="1075" t="str">
        <f>Sheet1!C464</f>
        <v>Orange/Silver Beach  Ave.</v>
      </c>
      <c r="D470" s="1075" t="str">
        <f>_xlfn.TEXTBEFORE(Sheet1!E464, " to ")</f>
        <v>Beach St.</v>
      </c>
      <c r="E470" s="1075" t="str">
        <f>_xlfn.TEXTAFTER(Sheet1!E464, " to ")</f>
        <v>City Island Pkwy.</v>
      </c>
      <c r="F470" s="1075">
        <f>Sheet1!AM464</f>
        <v>4</v>
      </c>
      <c r="G470" s="1075"/>
      <c r="H470" s="1083" t="str">
        <f>Sheet1!AE464</f>
        <v>E</v>
      </c>
      <c r="I470" s="1075"/>
      <c r="J470" s="1075" t="str">
        <f>Sheet1!Q464</f>
        <v>UA_NSSRC2_2W_4L_D_WL</v>
      </c>
      <c r="K470" s="1075"/>
      <c r="L470" s="1075">
        <f>Sheet1!AF464</f>
        <v>30420</v>
      </c>
      <c r="M470" s="1075"/>
      <c r="N470" s="1075"/>
      <c r="O470" s="1075"/>
      <c r="P470" s="1075">
        <f>Sheet1!AK464</f>
        <v>2740</v>
      </c>
      <c r="Q470" s="1075"/>
      <c r="R470" s="1075">
        <f>Sheet1!AD464</f>
        <v>9690</v>
      </c>
      <c r="S470" s="1081">
        <f>Sheet1!AG464</f>
        <v>0.31854043392504933</v>
      </c>
      <c r="T470" s="1075" t="str">
        <f>Sheet1!AH464</f>
        <v>C</v>
      </c>
      <c r="U470" s="1075">
        <f>Sheet1!AI464</f>
        <v>630</v>
      </c>
      <c r="V470" s="1075"/>
      <c r="W470" s="1075"/>
      <c r="X470" s="1075">
        <f>Sheet1!AJ464</f>
        <v>780</v>
      </c>
      <c r="Y470" s="1075"/>
      <c r="Z470" s="1075"/>
      <c r="AA470" s="1075"/>
      <c r="AB470" s="1075"/>
      <c r="AC470" s="1075"/>
      <c r="AD470" s="1075"/>
      <c r="AE470" s="1075"/>
      <c r="AF470" s="1075"/>
      <c r="AG470" s="1075"/>
      <c r="AH470" s="1075"/>
      <c r="AI470" s="1075"/>
      <c r="AJ470" s="1075"/>
      <c r="AK470" s="1075" t="str">
        <f>IF(Sheet1!AE467="C",Sheet1!AK467,"-")</f>
        <v>-</v>
      </c>
      <c r="AL470" s="1075" t="str">
        <f>IF(Sheet1!AE467="D",Sheet1!AK467,"-")</f>
        <v>-</v>
      </c>
      <c r="AM470" s="1075">
        <f>IF(Sheet1!AE464="E",Sheet1!AK464,"-")</f>
        <v>2740</v>
      </c>
    </row>
    <row r="471" spans="2:39" x14ac:dyDescent="0.25">
      <c r="B471" s="1082">
        <f>Sheet1!F465</f>
        <v>1710</v>
      </c>
      <c r="C471" s="1075" t="str">
        <f>Sheet1!C465</f>
        <v>Orange/Silver Beach  Ave.</v>
      </c>
      <c r="D471" s="1075" t="str">
        <f>_xlfn.TEXTBEFORE(Sheet1!E465, " to ")</f>
        <v>City Island Pkwy.</v>
      </c>
      <c r="E471" s="1075" t="str">
        <f>_xlfn.TEXTAFTER(Sheet1!E465, " to ")</f>
        <v>Peninsula Dr.</v>
      </c>
      <c r="F471" s="1075">
        <f>Sheet1!AM465</f>
        <v>2</v>
      </c>
      <c r="G471" s="1075"/>
      <c r="H471" s="1083" t="str">
        <f>Sheet1!AE465</f>
        <v>E</v>
      </c>
      <c r="I471" s="1075"/>
      <c r="J471" s="1075" t="str">
        <f>Sheet1!Q465</f>
        <v>UA_NSSRC2_2W_2L_U_WL</v>
      </c>
      <c r="K471" s="1075"/>
      <c r="L471" s="1075">
        <f>Sheet1!AF465</f>
        <v>14040</v>
      </c>
      <c r="M471" s="1075"/>
      <c r="N471" s="1075"/>
      <c r="O471" s="1075"/>
      <c r="P471" s="1075">
        <f>Sheet1!AK465</f>
        <v>1270</v>
      </c>
      <c r="Q471" s="1075"/>
      <c r="R471" s="1075">
        <f>Sheet1!AD465</f>
        <v>9240</v>
      </c>
      <c r="S471" s="1081">
        <f>Sheet1!AG465</f>
        <v>0.65811965811965811</v>
      </c>
      <c r="T471" s="1075" t="str">
        <f>Sheet1!AH465</f>
        <v>D</v>
      </c>
      <c r="U471" s="1075">
        <f>Sheet1!AI465</f>
        <v>600</v>
      </c>
      <c r="V471" s="1075"/>
      <c r="W471" s="1075"/>
      <c r="X471" s="1075">
        <f>Sheet1!AJ465</f>
        <v>740</v>
      </c>
      <c r="Y471" s="1075"/>
      <c r="Z471" s="1075"/>
      <c r="AA471" s="1075"/>
      <c r="AB471" s="1075"/>
      <c r="AC471" s="1075"/>
      <c r="AD471" s="1075"/>
      <c r="AE471" s="1075"/>
      <c r="AF471" s="1075"/>
      <c r="AG471" s="1075"/>
      <c r="AH471" s="1075"/>
      <c r="AI471" s="1075"/>
      <c r="AJ471" s="1075"/>
      <c r="AK471" s="1075" t="str">
        <f>IF(Sheet1!AE468="C",Sheet1!AK468,"-")</f>
        <v>-</v>
      </c>
      <c r="AL471" s="1075" t="str">
        <f>IF(Sheet1!AE468="D",Sheet1!AK468,"-")</f>
        <v>-</v>
      </c>
      <c r="AM471" s="1075">
        <f>IF(Sheet1!AE465="E",Sheet1!AK465,"-")</f>
        <v>1270</v>
      </c>
    </row>
    <row r="472" spans="2:39" x14ac:dyDescent="0.25">
      <c r="B472" s="1082">
        <f>Sheet1!F466</f>
        <v>1711</v>
      </c>
      <c r="C472" s="1075" t="str">
        <f>Sheet1!C466</f>
        <v>Orange/Silver Beach  Ave.</v>
      </c>
      <c r="D472" s="1075" t="str">
        <f>_xlfn.TEXTBEFORE(Sheet1!E466, " to ")</f>
        <v>Peninsula Dr.</v>
      </c>
      <c r="E472" s="1075" t="str">
        <f>_xlfn.TEXTAFTER(Sheet1!E466, " to ")</f>
        <v>SR A1A</v>
      </c>
      <c r="F472" s="1075">
        <f>Sheet1!AM466</f>
        <v>2</v>
      </c>
      <c r="G472" s="1075"/>
      <c r="H472" s="1083" t="str">
        <f>Sheet1!AE466</f>
        <v>E</v>
      </c>
      <c r="I472" s="1075"/>
      <c r="J472" s="1075" t="str">
        <f>Sheet1!Q466</f>
        <v>UA_NSSRC2_2W_2L_U_WL</v>
      </c>
      <c r="K472" s="1075"/>
      <c r="L472" s="1075">
        <f>Sheet1!AF466</f>
        <v>14040</v>
      </c>
      <c r="M472" s="1075"/>
      <c r="N472" s="1075"/>
      <c r="O472" s="1075"/>
      <c r="P472" s="1075">
        <f>Sheet1!AK466</f>
        <v>1270</v>
      </c>
      <c r="Q472" s="1075"/>
      <c r="R472" s="1075">
        <f>Sheet1!AD466</f>
        <v>4820</v>
      </c>
      <c r="S472" s="1081">
        <f>Sheet1!AG466</f>
        <v>0.34330484330484329</v>
      </c>
      <c r="T472" s="1075" t="str">
        <f>Sheet1!AH466</f>
        <v>C</v>
      </c>
      <c r="U472" s="1075">
        <f>Sheet1!AI466</f>
        <v>290</v>
      </c>
      <c r="V472" s="1075"/>
      <c r="W472" s="1075"/>
      <c r="X472" s="1075">
        <f>Sheet1!AJ466</f>
        <v>390</v>
      </c>
      <c r="Y472" s="1075"/>
      <c r="Z472" s="1075"/>
      <c r="AA472" s="1075"/>
      <c r="AB472" s="1075"/>
      <c r="AC472" s="1075"/>
      <c r="AD472" s="1075"/>
      <c r="AE472" s="1075"/>
      <c r="AF472" s="1075"/>
      <c r="AG472" s="1075"/>
      <c r="AH472" s="1075"/>
      <c r="AI472" s="1075"/>
      <c r="AJ472" s="1075"/>
      <c r="AK472" s="1075" t="str">
        <f>IF(Sheet1!AE469="C",Sheet1!AK469,"-")</f>
        <v>-</v>
      </c>
      <c r="AL472" s="1075" t="str">
        <f>IF(Sheet1!AE469="D",Sheet1!AK469,"-")</f>
        <v>-</v>
      </c>
      <c r="AM472" s="1075">
        <f>IF(Sheet1!AE466="E",Sheet1!AK466,"-")</f>
        <v>1270</v>
      </c>
    </row>
    <row r="473" spans="2:39" x14ac:dyDescent="0.25">
      <c r="B473" s="1082">
        <f>Sheet1!F467</f>
        <v>1380</v>
      </c>
      <c r="C473" s="1075" t="str">
        <f>Sheet1!C467</f>
        <v>Orange Camp Rd.</v>
      </c>
      <c r="D473" s="1075" t="str">
        <f>_xlfn.TEXTBEFORE(Sheet1!E467, " to ")</f>
        <v>US 17/92</v>
      </c>
      <c r="E473" s="1075" t="str">
        <f>_xlfn.TEXTAFTER(Sheet1!E467, " to ")</f>
        <v>Princeton</v>
      </c>
      <c r="F473" s="1075">
        <f>Sheet1!AM467</f>
        <v>2</v>
      </c>
      <c r="G473" s="1075"/>
      <c r="H473" s="1083" t="str">
        <f>Sheet1!AE467</f>
        <v>E</v>
      </c>
      <c r="I473" s="1075"/>
      <c r="J473" s="1075" t="str">
        <f>Sheet1!Q467</f>
        <v>UA_NSSRC2_2W_2L_U_WL</v>
      </c>
      <c r="K473" s="1075"/>
      <c r="L473" s="1075">
        <f>Sheet1!AF467</f>
        <v>14040</v>
      </c>
      <c r="M473" s="1075"/>
      <c r="N473" s="1075"/>
      <c r="O473" s="1075"/>
      <c r="P473" s="1075">
        <f>Sheet1!AK467</f>
        <v>1270</v>
      </c>
      <c r="Q473" s="1075"/>
      <c r="R473" s="1075">
        <f>Sheet1!AD467</f>
        <v>13600</v>
      </c>
      <c r="S473" s="1081">
        <f>Sheet1!AG467</f>
        <v>0.96866096866096862</v>
      </c>
      <c r="T473" s="1075" t="str">
        <f>Sheet1!AH467</f>
        <v>E</v>
      </c>
      <c r="U473" s="1075">
        <f>Sheet1!AI467</f>
        <v>820</v>
      </c>
      <c r="V473" s="1075"/>
      <c r="W473" s="1075"/>
      <c r="X473" s="1075">
        <f>Sheet1!AJ467</f>
        <v>1160</v>
      </c>
      <c r="Y473" s="1075"/>
      <c r="Z473" s="1075"/>
      <c r="AA473" s="1075"/>
      <c r="AB473" s="1075"/>
      <c r="AC473" s="1075"/>
      <c r="AD473" s="1075"/>
      <c r="AE473" s="1075"/>
      <c r="AF473" s="1075"/>
      <c r="AG473" s="1075"/>
      <c r="AH473" s="1075"/>
      <c r="AI473" s="1075"/>
      <c r="AJ473" s="1075"/>
      <c r="AK473" s="1075" t="str">
        <f>IF(Sheet1!AE470="C",Sheet1!AK470,"-")</f>
        <v>-</v>
      </c>
      <c r="AL473" s="1075" t="str">
        <f>IF(Sheet1!AE470="D",Sheet1!AK470,"-")</f>
        <v>-</v>
      </c>
      <c r="AM473" s="1075">
        <f>IF(Sheet1!AE467="E",Sheet1!AK467,"-")</f>
        <v>1270</v>
      </c>
    </row>
    <row r="474" spans="2:39" x14ac:dyDescent="0.25">
      <c r="B474" s="1082">
        <f>Sheet1!F468</f>
        <v>1382</v>
      </c>
      <c r="C474" s="1075" t="str">
        <f>Sheet1!C468</f>
        <v>Orange Camp Rd.</v>
      </c>
      <c r="D474" s="1075" t="str">
        <f>_xlfn.TEXTBEFORE(Sheet1!E468, " to ")</f>
        <v>Princeton.</v>
      </c>
      <c r="E474" s="1075" t="str">
        <f>_xlfn.TEXTAFTER(Sheet1!E468, " to ")</f>
        <v>Blue Lake Ave.</v>
      </c>
      <c r="F474" s="1075">
        <f>Sheet1!AM468</f>
        <v>2</v>
      </c>
      <c r="G474" s="1075"/>
      <c r="H474" s="1083" t="str">
        <f>Sheet1!AE468</f>
        <v>E</v>
      </c>
      <c r="I474" s="1075"/>
      <c r="J474" s="1075" t="str">
        <f>Sheet1!Q468</f>
        <v>UA_NSSRC1_2W_2L_U_WL</v>
      </c>
      <c r="K474" s="1075"/>
      <c r="L474" s="1075">
        <f>Sheet1!AF468</f>
        <v>17050</v>
      </c>
      <c r="M474" s="1075"/>
      <c r="N474" s="1075"/>
      <c r="O474" s="1075"/>
      <c r="P474" s="1075">
        <f>Sheet1!AK468</f>
        <v>1540</v>
      </c>
      <c r="Q474" s="1075"/>
      <c r="R474" s="1075">
        <f>Sheet1!AD468</f>
        <v>13560</v>
      </c>
      <c r="S474" s="1081">
        <f>Sheet1!AG468</f>
        <v>0.79530791788856303</v>
      </c>
      <c r="T474" s="1075" t="str">
        <f>Sheet1!AH468</f>
        <v>C</v>
      </c>
      <c r="U474" s="1075">
        <f>Sheet1!AI468</f>
        <v>860</v>
      </c>
      <c r="V474" s="1075"/>
      <c r="W474" s="1075"/>
      <c r="X474" s="1075">
        <f>Sheet1!AJ468</f>
        <v>1170</v>
      </c>
      <c r="Y474" s="1075"/>
      <c r="Z474" s="1075"/>
      <c r="AA474" s="1075"/>
      <c r="AB474" s="1075"/>
      <c r="AC474" s="1075"/>
      <c r="AD474" s="1075"/>
      <c r="AE474" s="1075"/>
      <c r="AF474" s="1075"/>
      <c r="AG474" s="1075"/>
      <c r="AH474" s="1075"/>
      <c r="AI474" s="1075"/>
      <c r="AJ474" s="1075"/>
      <c r="AK474" s="1075" t="str">
        <f>IF(Sheet1!AE471="C",Sheet1!AK471,"-")</f>
        <v>-</v>
      </c>
      <c r="AL474" s="1075" t="str">
        <f>IF(Sheet1!AE471="D",Sheet1!AK471,"-")</f>
        <v>-</v>
      </c>
      <c r="AM474" s="1075">
        <f>IF(Sheet1!AE468="E",Sheet1!AK468,"-")</f>
        <v>1540</v>
      </c>
    </row>
    <row r="475" spans="2:39" x14ac:dyDescent="0.25">
      <c r="B475" s="1082">
        <f>Sheet1!F469</f>
        <v>1384</v>
      </c>
      <c r="C475" s="1075" t="str">
        <f>Sheet1!C469</f>
        <v>Orange Camp Rd.</v>
      </c>
      <c r="D475" s="1075" t="str">
        <f>_xlfn.TEXTBEFORE(Sheet1!E469, " to ")</f>
        <v>Blue Lake Ave.</v>
      </c>
      <c r="E475" s="1075" t="str">
        <f>_xlfn.TEXTAFTER(Sheet1!E469, " to ")</f>
        <v>W Volusia Bltwy. (Dr MLK Jr)</v>
      </c>
      <c r="F475" s="1075">
        <f>Sheet1!AM469</f>
        <v>2</v>
      </c>
      <c r="G475" s="1075"/>
      <c r="H475" s="1083" t="str">
        <f>Sheet1!AE469</f>
        <v>E</v>
      </c>
      <c r="I475" s="1075"/>
      <c r="J475" s="1075" t="str">
        <f>Sheet1!Q469</f>
        <v>UA_NSSRC1_2W_2L_U_WL</v>
      </c>
      <c r="K475" s="1075"/>
      <c r="L475" s="1075">
        <f>Sheet1!AF469</f>
        <v>17050</v>
      </c>
      <c r="M475" s="1075"/>
      <c r="N475" s="1075"/>
      <c r="O475" s="1075"/>
      <c r="P475" s="1075">
        <f>Sheet1!AK469</f>
        <v>1540</v>
      </c>
      <c r="Q475" s="1075"/>
      <c r="R475" s="1075">
        <f>Sheet1!AD469</f>
        <v>14510</v>
      </c>
      <c r="S475" s="1081">
        <f>Sheet1!AG469</f>
        <v>0.85102639296187688</v>
      </c>
      <c r="T475" s="1075" t="str">
        <f>Sheet1!AH469</f>
        <v>C</v>
      </c>
      <c r="U475" s="1075">
        <f>Sheet1!AI469</f>
        <v>960</v>
      </c>
      <c r="V475" s="1075"/>
      <c r="W475" s="1075"/>
      <c r="X475" s="1075">
        <f>Sheet1!AJ469</f>
        <v>1220</v>
      </c>
      <c r="Y475" s="1075"/>
      <c r="Z475" s="1075"/>
      <c r="AA475" s="1075"/>
      <c r="AB475" s="1075"/>
      <c r="AC475" s="1075"/>
      <c r="AD475" s="1075"/>
      <c r="AE475" s="1075"/>
      <c r="AF475" s="1075"/>
      <c r="AG475" s="1075"/>
      <c r="AH475" s="1075"/>
      <c r="AI475" s="1075"/>
      <c r="AJ475" s="1075"/>
      <c r="AK475" s="1075" t="str">
        <f>IF(Sheet1!AE472="C",Sheet1!AK472,"-")</f>
        <v>-</v>
      </c>
      <c r="AL475" s="1075" t="str">
        <f>IF(Sheet1!AE472="D",Sheet1!AK472,"-")</f>
        <v>-</v>
      </c>
      <c r="AM475" s="1075">
        <f>IF(Sheet1!AE469="E",Sheet1!AK469,"-")</f>
        <v>1540</v>
      </c>
    </row>
    <row r="476" spans="2:39" x14ac:dyDescent="0.25">
      <c r="B476" s="1082">
        <f>Sheet1!F470</f>
        <v>1385</v>
      </c>
      <c r="C476" s="1075" t="str">
        <f>Sheet1!C470</f>
        <v>Orange Camp Rd.</v>
      </c>
      <c r="D476" s="1075" t="str">
        <f>_xlfn.TEXTBEFORE(Sheet1!E470, " to ")</f>
        <v>W Volusia Bltwy. (Dr MLK Jr)</v>
      </c>
      <c r="E476" s="1075" t="str">
        <f>_xlfn.TEXTAFTER(Sheet1!E470, " to ")</f>
        <v>I-4</v>
      </c>
      <c r="F476" s="1075">
        <f>Sheet1!AM470</f>
        <v>2</v>
      </c>
      <c r="G476" s="1075"/>
      <c r="H476" s="1083" t="str">
        <f>Sheet1!AE470</f>
        <v>E</v>
      </c>
      <c r="I476" s="1075"/>
      <c r="J476" s="1075" t="str">
        <f>Sheet1!Q470</f>
        <v>UA_NSSRC1_2W_2L_U_WL</v>
      </c>
      <c r="K476" s="1075"/>
      <c r="L476" s="1075">
        <f>Sheet1!AF470</f>
        <v>17050</v>
      </c>
      <c r="M476" s="1075"/>
      <c r="N476" s="1075"/>
      <c r="O476" s="1075"/>
      <c r="P476" s="1075">
        <f>Sheet1!AK470</f>
        <v>1540</v>
      </c>
      <c r="Q476" s="1075"/>
      <c r="R476" s="1075">
        <f>Sheet1!AD470</f>
        <v>14200</v>
      </c>
      <c r="S476" s="1081">
        <f>Sheet1!AG470</f>
        <v>0.83284457478005869</v>
      </c>
      <c r="T476" s="1075" t="str">
        <f>Sheet1!AH470</f>
        <v>C</v>
      </c>
      <c r="U476" s="1075">
        <f>Sheet1!AI470</f>
        <v>1300</v>
      </c>
      <c r="V476" s="1075"/>
      <c r="W476" s="1075"/>
      <c r="X476" s="1075">
        <f>Sheet1!AJ470</f>
        <v>1190</v>
      </c>
      <c r="Y476" s="1075"/>
      <c r="Z476" s="1075"/>
      <c r="AA476" s="1075"/>
      <c r="AB476" s="1075"/>
      <c r="AC476" s="1075"/>
      <c r="AD476" s="1075"/>
      <c r="AE476" s="1075"/>
      <c r="AF476" s="1075"/>
      <c r="AG476" s="1075"/>
      <c r="AH476" s="1075"/>
      <c r="AI476" s="1075"/>
      <c r="AJ476" s="1075"/>
      <c r="AK476" s="1075" t="str">
        <f>IF(Sheet1!AE473="C",Sheet1!AK473,"-")</f>
        <v>-</v>
      </c>
      <c r="AL476" s="1075" t="str">
        <f>IF(Sheet1!AE473="D",Sheet1!AK473,"-")</f>
        <v>-</v>
      </c>
      <c r="AM476" s="1075">
        <f>IF(Sheet1!AE470="E",Sheet1!AK470,"-")</f>
        <v>1540</v>
      </c>
    </row>
    <row r="477" spans="2:39" x14ac:dyDescent="0.25">
      <c r="B477" s="1082">
        <f>Sheet1!F471</f>
        <v>1391</v>
      </c>
      <c r="C477" s="1075" t="str">
        <f>Sheet1!C471</f>
        <v>Palm Dr.</v>
      </c>
      <c r="D477" s="1075" t="str">
        <f>_xlfn.TEXTBEFORE(Sheet1!E471, " to ")</f>
        <v>John Anderson Dr.</v>
      </c>
      <c r="E477" s="1075" t="str">
        <f>_xlfn.TEXTAFTER(Sheet1!E471, " to ")</f>
        <v>SR A1A</v>
      </c>
      <c r="F477" s="1075">
        <f>Sheet1!AM471</f>
        <v>2</v>
      </c>
      <c r="G477" s="1075"/>
      <c r="H477" s="1083" t="str">
        <f>Sheet1!AE471</f>
        <v>E</v>
      </c>
      <c r="I477" s="1075"/>
      <c r="J477" s="1075" t="str">
        <f>Sheet1!Q471</f>
        <v>UA_NSSRC2_2W_2L_U_0L</v>
      </c>
      <c r="K477" s="1075"/>
      <c r="L477" s="1075">
        <f>Sheet1!AF471</f>
        <v>13640</v>
      </c>
      <c r="M477" s="1075"/>
      <c r="N477" s="1075"/>
      <c r="O477" s="1075"/>
      <c r="P477" s="1075">
        <f>Sheet1!AK471</f>
        <v>1020</v>
      </c>
      <c r="Q477" s="1075"/>
      <c r="R477" s="1075">
        <f>Sheet1!AD471</f>
        <v>1690</v>
      </c>
      <c r="S477" s="1081">
        <f>Sheet1!AG471</f>
        <v>0.12390029325513197</v>
      </c>
      <c r="T477" s="1075" t="str">
        <f>Sheet1!AH471</f>
        <v>C</v>
      </c>
      <c r="U477" s="1075">
        <f>Sheet1!AI471</f>
        <v>110</v>
      </c>
      <c r="V477" s="1075"/>
      <c r="W477" s="1075"/>
      <c r="X477" s="1075">
        <f>Sheet1!AJ471</f>
        <v>130</v>
      </c>
      <c r="Y477" s="1075"/>
      <c r="Z477" s="1075"/>
      <c r="AA477" s="1075"/>
      <c r="AB477" s="1075"/>
      <c r="AC477" s="1075"/>
      <c r="AD477" s="1075"/>
      <c r="AE477" s="1075"/>
      <c r="AF477" s="1075"/>
      <c r="AG477" s="1075"/>
      <c r="AH477" s="1075"/>
      <c r="AI477" s="1075"/>
      <c r="AJ477" s="1075"/>
      <c r="AK477" s="1075" t="str">
        <f>IF(Sheet1!AE474="C",Sheet1!AK474,"-")</f>
        <v>-</v>
      </c>
      <c r="AL477" s="1075" t="str">
        <f>IF(Sheet1!AE474="D",Sheet1!AK474,"-")</f>
        <v>-</v>
      </c>
      <c r="AM477" s="1075">
        <f>IF(Sheet1!AE471="E",Sheet1!AK471,"-")</f>
        <v>1020</v>
      </c>
    </row>
    <row r="478" spans="2:39" x14ac:dyDescent="0.25">
      <c r="B478" s="1082">
        <f>Sheet1!F472</f>
        <v>1409</v>
      </c>
      <c r="C478" s="1075" t="str">
        <f>Sheet1!C472</f>
        <v>Park Ave.</v>
      </c>
      <c r="D478" s="1075" t="str">
        <f>_xlfn.TEXTBEFORE(Sheet1!E472, " to ")</f>
        <v>Old Mission Rd.</v>
      </c>
      <c r="E478" s="1075" t="str">
        <f>_xlfn.TEXTAFTER(Sheet1!E472, " to ")</f>
        <v>Air Park Rd.</v>
      </c>
      <c r="F478" s="1075">
        <f>Sheet1!AM472</f>
        <v>2</v>
      </c>
      <c r="G478" s="1075"/>
      <c r="H478" s="1083" t="str">
        <f>Sheet1!AE472</f>
        <v>E</v>
      </c>
      <c r="I478" s="1075"/>
      <c r="J478" s="1075" t="str">
        <f>Sheet1!Q472</f>
        <v>UA_NSSRC1_2W_2L_D_WL</v>
      </c>
      <c r="K478" s="1075"/>
      <c r="L478" s="1075">
        <f>Sheet1!AF472</f>
        <v>17900</v>
      </c>
      <c r="M478" s="1075"/>
      <c r="N478" s="1075"/>
      <c r="O478" s="1075"/>
      <c r="P478" s="1075">
        <f>Sheet1!AK472</f>
        <v>1620</v>
      </c>
      <c r="Q478" s="1075"/>
      <c r="R478" s="1075">
        <f>Sheet1!AD472</f>
        <v>4790</v>
      </c>
      <c r="S478" s="1081">
        <f>Sheet1!AG472</f>
        <v>0.26759776536312851</v>
      </c>
      <c r="T478" s="1075" t="str">
        <f>Sheet1!AH472</f>
        <v>C</v>
      </c>
      <c r="U478" s="1075">
        <f>Sheet1!AI472</f>
        <v>300</v>
      </c>
      <c r="V478" s="1075"/>
      <c r="W478" s="1075"/>
      <c r="X478" s="1075">
        <f>Sheet1!AJ472</f>
        <v>470</v>
      </c>
      <c r="Y478" s="1075"/>
      <c r="Z478" s="1075"/>
      <c r="AA478" s="1075"/>
      <c r="AB478" s="1075"/>
      <c r="AC478" s="1075"/>
      <c r="AD478" s="1075"/>
      <c r="AE478" s="1075"/>
      <c r="AF478" s="1075"/>
      <c r="AG478" s="1075"/>
      <c r="AH478" s="1075"/>
      <c r="AI478" s="1075"/>
      <c r="AJ478" s="1075"/>
      <c r="AK478" s="1075" t="str">
        <f>IF(Sheet1!AE475="C",Sheet1!AK475,"-")</f>
        <v>-</v>
      </c>
      <c r="AL478" s="1075" t="str">
        <f>IF(Sheet1!AE475="D",Sheet1!AK475,"-")</f>
        <v>-</v>
      </c>
      <c r="AM478" s="1075">
        <f>IF(Sheet1!AE472="E",Sheet1!AK472,"-")</f>
        <v>1620</v>
      </c>
    </row>
    <row r="479" spans="2:39" x14ac:dyDescent="0.25">
      <c r="B479" s="1082">
        <f>Sheet1!F473</f>
        <v>1413</v>
      </c>
      <c r="C479" s="1075" t="str">
        <f>Sheet1!C473</f>
        <v>Park Ave.</v>
      </c>
      <c r="D479" s="1075" t="str">
        <f>_xlfn.TEXTBEFORE(Sheet1!E473, " to ")</f>
        <v>Air Park Rd.</v>
      </c>
      <c r="E479" s="1075" t="str">
        <f>_xlfn.TEXTAFTER(Sheet1!E473, " to ")</f>
        <v>US 1</v>
      </c>
      <c r="F479" s="1075">
        <f>Sheet1!AM473</f>
        <v>2</v>
      </c>
      <c r="G479" s="1075"/>
      <c r="H479" s="1083" t="str">
        <f>Sheet1!AE473</f>
        <v>E</v>
      </c>
      <c r="I479" s="1075"/>
      <c r="J479" s="1075" t="str">
        <f>Sheet1!Q473</f>
        <v>UA_NSSRC2_2W_2L_D_WL</v>
      </c>
      <c r="K479" s="1075"/>
      <c r="L479" s="1075">
        <f>Sheet1!AF473</f>
        <v>14740</v>
      </c>
      <c r="M479" s="1075"/>
      <c r="N479" s="1075"/>
      <c r="O479" s="1075"/>
      <c r="P479" s="1075">
        <f>Sheet1!AK473</f>
        <v>1330</v>
      </c>
      <c r="Q479" s="1075"/>
      <c r="R479" s="1075">
        <f>Sheet1!AD473</f>
        <v>7460</v>
      </c>
      <c r="S479" s="1081">
        <f>Sheet1!AG473</f>
        <v>0.50610583446404345</v>
      </c>
      <c r="T479" s="1075" t="str">
        <f>Sheet1!AH473</f>
        <v>D</v>
      </c>
      <c r="U479" s="1075">
        <f>Sheet1!AI473</f>
        <v>560</v>
      </c>
      <c r="V479" s="1075"/>
      <c r="W479" s="1075"/>
      <c r="X479" s="1075">
        <f>Sheet1!AJ473</f>
        <v>670</v>
      </c>
      <c r="Y479" s="1075"/>
      <c r="Z479" s="1075"/>
      <c r="AA479" s="1075"/>
      <c r="AB479" s="1075"/>
      <c r="AC479" s="1075"/>
      <c r="AD479" s="1075"/>
      <c r="AE479" s="1075"/>
      <c r="AF479" s="1075"/>
      <c r="AG479" s="1075"/>
      <c r="AH479" s="1075"/>
      <c r="AI479" s="1075"/>
      <c r="AJ479" s="1075"/>
      <c r="AK479" s="1075" t="str">
        <f>IF(Sheet1!AE476="C",Sheet1!AK476,"-")</f>
        <v>-</v>
      </c>
      <c r="AL479" s="1075" t="str">
        <f>IF(Sheet1!AE476="D",Sheet1!AK476,"-")</f>
        <v>-</v>
      </c>
      <c r="AM479" s="1075">
        <f>IF(Sheet1!AE473="E",Sheet1!AK473,"-")</f>
        <v>1330</v>
      </c>
    </row>
    <row r="480" spans="2:39" x14ac:dyDescent="0.25">
      <c r="B480" s="1082">
        <f>Sheet1!F474</f>
        <v>1419</v>
      </c>
      <c r="C480" s="1075" t="str">
        <f>Sheet1!C474</f>
        <v>Peninsula Dr. - South (PI)</v>
      </c>
      <c r="D480" s="1075" t="str">
        <f>_xlfn.TEXTBEFORE(Sheet1!E474, " to ")</f>
        <v>Inlet Harbor Rd</v>
      </c>
      <c r="E480" s="1075" t="str">
        <f>_xlfn.TEXTAFTER(Sheet1!E474, " to ")</f>
        <v>Major St.</v>
      </c>
      <c r="F480" s="1075">
        <f>Sheet1!AM474</f>
        <v>2</v>
      </c>
      <c r="G480" s="1075"/>
      <c r="H480" s="1083" t="str">
        <f>Sheet1!AE474</f>
        <v>E</v>
      </c>
      <c r="I480" s="1075"/>
      <c r="J480" s="1075" t="str">
        <f>Sheet1!Q474</f>
        <v>UA_NSSRC2_2W_2L_U_0L</v>
      </c>
      <c r="K480" s="1075"/>
      <c r="L480" s="1075">
        <f>Sheet1!AF474</f>
        <v>13640</v>
      </c>
      <c r="M480" s="1075"/>
      <c r="N480" s="1075"/>
      <c r="O480" s="1075"/>
      <c r="P480" s="1075">
        <f>Sheet1!AK474</f>
        <v>1020</v>
      </c>
      <c r="Q480" s="1075"/>
      <c r="R480" s="1075">
        <f>Sheet1!AD474</f>
        <v>3160</v>
      </c>
      <c r="S480" s="1081">
        <f>Sheet1!AG474</f>
        <v>0.2316715542521994</v>
      </c>
      <c r="T480" s="1075" t="str">
        <f>Sheet1!AH474</f>
        <v>C</v>
      </c>
      <c r="U480" s="1075">
        <f>Sheet1!AI474</f>
        <v>190</v>
      </c>
      <c r="V480" s="1075"/>
      <c r="W480" s="1075"/>
      <c r="X480" s="1075">
        <f>Sheet1!AJ474</f>
        <v>270</v>
      </c>
      <c r="Y480" s="1075"/>
      <c r="Z480" s="1075"/>
      <c r="AA480" s="1075"/>
      <c r="AB480" s="1075"/>
      <c r="AC480" s="1075"/>
      <c r="AD480" s="1075"/>
      <c r="AE480" s="1075"/>
      <c r="AF480" s="1075"/>
      <c r="AG480" s="1075"/>
      <c r="AH480" s="1075"/>
      <c r="AI480" s="1075"/>
      <c r="AJ480" s="1075"/>
      <c r="AK480" s="1075">
        <f>IF(Sheet1!AE477="C",Sheet1!AK477,"-")</f>
        <v>620</v>
      </c>
      <c r="AL480" s="1075" t="str">
        <f>IF(Sheet1!AE477="D",Sheet1!AK477,"-")</f>
        <v>-</v>
      </c>
      <c r="AM480" s="1075">
        <f>IF(Sheet1!AE474="E",Sheet1!AK474,"-")</f>
        <v>1020</v>
      </c>
    </row>
    <row r="481" spans="2:39" x14ac:dyDescent="0.25">
      <c r="B481" s="1082">
        <f>Sheet1!F475</f>
        <v>1423</v>
      </c>
      <c r="C481" s="1075" t="str">
        <f>Sheet1!C475</f>
        <v>Peninsula Dr. - South</v>
      </c>
      <c r="D481" s="1075" t="str">
        <f>_xlfn.TEXTBEFORE(Sheet1!E475, " to ")</f>
        <v>Major St.</v>
      </c>
      <c r="E481" s="1075" t="str">
        <f>_xlfn.TEXTAFTER(Sheet1!E475, " to ")</f>
        <v>Marcelle Ave.</v>
      </c>
      <c r="F481" s="1075">
        <f>Sheet1!AM475</f>
        <v>2</v>
      </c>
      <c r="G481" s="1075"/>
      <c r="H481" s="1083" t="str">
        <f>Sheet1!AE475</f>
        <v>E</v>
      </c>
      <c r="I481" s="1075"/>
      <c r="J481" s="1075" t="str">
        <f>Sheet1!Q475</f>
        <v>UA_NSSRC2_2W_2L_U_0L</v>
      </c>
      <c r="K481" s="1075"/>
      <c r="L481" s="1075">
        <f>Sheet1!AF475</f>
        <v>13640</v>
      </c>
      <c r="M481" s="1075"/>
      <c r="N481" s="1075"/>
      <c r="O481" s="1075"/>
      <c r="P481" s="1075">
        <f>Sheet1!AK475</f>
        <v>1020</v>
      </c>
      <c r="Q481" s="1075"/>
      <c r="R481" s="1075">
        <f>Sheet1!AD475</f>
        <v>3390</v>
      </c>
      <c r="S481" s="1081">
        <f>Sheet1!AG475</f>
        <v>0.24853372434017595</v>
      </c>
      <c r="T481" s="1075" t="str">
        <f>Sheet1!AH475</f>
        <v>C</v>
      </c>
      <c r="U481" s="1075">
        <f>Sheet1!AI475</f>
        <v>180</v>
      </c>
      <c r="V481" s="1075"/>
      <c r="W481" s="1075"/>
      <c r="X481" s="1075">
        <f>Sheet1!AJ475</f>
        <v>290</v>
      </c>
      <c r="Y481" s="1075"/>
      <c r="Z481" s="1075"/>
      <c r="AA481" s="1075"/>
      <c r="AB481" s="1075"/>
      <c r="AC481" s="1075"/>
      <c r="AD481" s="1075"/>
      <c r="AE481" s="1075"/>
      <c r="AF481" s="1075"/>
      <c r="AG481" s="1075"/>
      <c r="AH481" s="1075"/>
      <c r="AI481" s="1075"/>
      <c r="AJ481" s="1075"/>
      <c r="AK481" s="1075" t="str">
        <f>IF(Sheet1!AE478="C",Sheet1!AK478,"-")</f>
        <v>-</v>
      </c>
      <c r="AL481" s="1075" t="str">
        <f>IF(Sheet1!AE478="D",Sheet1!AK478,"-")</f>
        <v>-</v>
      </c>
      <c r="AM481" s="1075">
        <f>IF(Sheet1!AE475="E",Sheet1!AK475,"-")</f>
        <v>1020</v>
      </c>
    </row>
    <row r="482" spans="2:39" x14ac:dyDescent="0.25">
      <c r="B482" s="1082">
        <f>Sheet1!F476</f>
        <v>1420</v>
      </c>
      <c r="C482" s="1075" t="str">
        <f>Sheet1!C476</f>
        <v>Peninsula Dr. - South</v>
      </c>
      <c r="D482" s="1075" t="str">
        <f>_xlfn.TEXTBEFORE(Sheet1!E476, " to ")</f>
        <v>Marcelle Ave</v>
      </c>
      <c r="E482" s="1075" t="str">
        <f>_xlfn.TEXTAFTER(Sheet1!E476, " to ")</f>
        <v>SR 421/Dunlawton Ave.</v>
      </c>
      <c r="F482" s="1075">
        <f>Sheet1!AM476</f>
        <v>2</v>
      </c>
      <c r="G482" s="1075"/>
      <c r="H482" s="1083" t="str">
        <f>Sheet1!AE476</f>
        <v>E</v>
      </c>
      <c r="I482" s="1075"/>
      <c r="J482" s="1075" t="str">
        <f>Sheet1!Q476</f>
        <v>UA_NSSRC2_2W_2L_U_0L</v>
      </c>
      <c r="K482" s="1075"/>
      <c r="L482" s="1075">
        <f>Sheet1!AF476</f>
        <v>13640</v>
      </c>
      <c r="M482" s="1075"/>
      <c r="N482" s="1075"/>
      <c r="O482" s="1075"/>
      <c r="P482" s="1075">
        <f>Sheet1!AK476</f>
        <v>1020</v>
      </c>
      <c r="Q482" s="1075"/>
      <c r="R482" s="1075">
        <f>Sheet1!AD476</f>
        <v>5860</v>
      </c>
      <c r="S482" s="1081">
        <f>Sheet1!AG476</f>
        <v>0.42961876832844575</v>
      </c>
      <c r="T482" s="1075" t="str">
        <f>Sheet1!AH476</f>
        <v>D</v>
      </c>
      <c r="U482" s="1075">
        <f>Sheet1!AI476</f>
        <v>340</v>
      </c>
      <c r="V482" s="1075"/>
      <c r="W482" s="1075"/>
      <c r="X482" s="1075">
        <f>Sheet1!AJ476</f>
        <v>490</v>
      </c>
      <c r="Y482" s="1075"/>
      <c r="Z482" s="1075"/>
      <c r="AA482" s="1075"/>
      <c r="AB482" s="1075"/>
      <c r="AC482" s="1075"/>
      <c r="AD482" s="1075"/>
      <c r="AE482" s="1075"/>
      <c r="AF482" s="1075"/>
      <c r="AG482" s="1075"/>
      <c r="AH482" s="1075"/>
      <c r="AI482" s="1075"/>
      <c r="AJ482" s="1075"/>
      <c r="AK482" s="1075" t="str">
        <f>IF(Sheet1!AE479="C",Sheet1!AK479,"-")</f>
        <v>-</v>
      </c>
      <c r="AL482" s="1075" t="str">
        <f>IF(Sheet1!AE479="D",Sheet1!AK479,"-")</f>
        <v>-</v>
      </c>
      <c r="AM482" s="1075">
        <f>IF(Sheet1!AE476="E",Sheet1!AK476,"-")</f>
        <v>1020</v>
      </c>
    </row>
    <row r="483" spans="2:39" x14ac:dyDescent="0.25">
      <c r="B483" s="1082">
        <f>Sheet1!F477</f>
        <v>1433</v>
      </c>
      <c r="C483" s="1075" t="str">
        <f>Sheet1!C477</f>
        <v>Peterson Rd.</v>
      </c>
      <c r="D483" s="1075" t="str">
        <f>_xlfn.TEXTBEFORE(Sheet1!E477, " to ")</f>
        <v>Riley Pridgeon Rd.</v>
      </c>
      <c r="E483" s="1075" t="str">
        <f>_xlfn.TEXTAFTER(Sheet1!E477, " to ")</f>
        <v>Emporia/Blackburn Rd.</v>
      </c>
      <c r="F483" s="1075">
        <f>Sheet1!AM477</f>
        <v>2</v>
      </c>
      <c r="G483" s="1075"/>
      <c r="H483" s="1083" t="str">
        <f>Sheet1!AE477</f>
        <v>C</v>
      </c>
      <c r="I483" s="1075"/>
      <c r="J483" s="1075" t="str">
        <f>Sheet1!Q477</f>
        <v>RUA_UFH_2W_2L_U_0L</v>
      </c>
      <c r="K483" s="1075"/>
      <c r="L483" s="1075">
        <f>Sheet1!AF477</f>
        <v>6450</v>
      </c>
      <c r="M483" s="1075"/>
      <c r="N483" s="1075"/>
      <c r="O483" s="1075"/>
      <c r="P483" s="1075">
        <f>Sheet1!AK477</f>
        <v>620</v>
      </c>
      <c r="Q483" s="1075"/>
      <c r="R483" s="1075">
        <f>Sheet1!AD477</f>
        <v>400</v>
      </c>
      <c r="S483" s="1081">
        <f>Sheet1!AG477</f>
        <v>6.2015503875968991E-2</v>
      </c>
      <c r="T483" s="1075" t="str">
        <f>Sheet1!AH477</f>
        <v>B</v>
      </c>
      <c r="U483" s="1075">
        <f>Sheet1!AI477</f>
        <v>30</v>
      </c>
      <c r="V483" s="1075"/>
      <c r="W483" s="1075"/>
      <c r="X483" s="1075">
        <f>Sheet1!AJ477</f>
        <v>30</v>
      </c>
      <c r="Y483" s="1075"/>
      <c r="Z483" s="1075"/>
      <c r="AA483" s="1075"/>
      <c r="AB483" s="1075"/>
      <c r="AC483" s="1075"/>
      <c r="AD483" s="1075"/>
      <c r="AE483" s="1075"/>
      <c r="AF483" s="1075"/>
      <c r="AG483" s="1075"/>
      <c r="AH483" s="1075"/>
      <c r="AI483" s="1075"/>
      <c r="AJ483" s="1075"/>
      <c r="AK483" s="1075" t="str">
        <f>IF(Sheet1!AE480="C",Sheet1!AK480,"-")</f>
        <v>-</v>
      </c>
      <c r="AL483" s="1075" t="str">
        <f>IF(Sheet1!AE480="D",Sheet1!AK480,"-")</f>
        <v>-</v>
      </c>
      <c r="AM483" s="1075" t="str">
        <f>IF(Sheet1!AE477="E",Sheet1!AK477,"-")</f>
        <v>-</v>
      </c>
    </row>
    <row r="484" spans="2:39" x14ac:dyDescent="0.25">
      <c r="B484" s="1082">
        <f>Sheet1!F478</f>
        <v>1451</v>
      </c>
      <c r="C484" s="1075" t="str">
        <f>Sheet1!C478</f>
        <v>Pineland Tr.</v>
      </c>
      <c r="D484" s="1075" t="str">
        <f>_xlfn.TEXTBEFORE(Sheet1!E478, " to ")</f>
        <v>Harmony Ave.</v>
      </c>
      <c r="E484" s="1075" t="str">
        <f>_xlfn.TEXTAFTER(Sheet1!E478, " to ")</f>
        <v>US 1</v>
      </c>
      <c r="F484" s="1075">
        <f>Sheet1!AM478</f>
        <v>2</v>
      </c>
      <c r="G484" s="1075"/>
      <c r="H484" s="1083" t="str">
        <f>Sheet1!AE478</f>
        <v>E</v>
      </c>
      <c r="I484" s="1075"/>
      <c r="J484" s="1075" t="str">
        <f>Sheet1!Q478</f>
        <v>UA_NSSRC1_2W_2L_U_0L</v>
      </c>
      <c r="K484" s="1075"/>
      <c r="L484" s="1075">
        <f>Sheet1!AF478</f>
        <v>13640</v>
      </c>
      <c r="M484" s="1075"/>
      <c r="N484" s="1075"/>
      <c r="O484" s="1075"/>
      <c r="P484" s="1075">
        <f>Sheet1!AK478</f>
        <v>1230</v>
      </c>
      <c r="Q484" s="1075"/>
      <c r="R484" s="1075" t="str">
        <f>Sheet1!AD478</f>
        <v>-</v>
      </c>
      <c r="S484" s="1081" t="str">
        <f>Sheet1!AG478</f>
        <v>-</v>
      </c>
      <c r="T484" s="1075" t="str">
        <f>Sheet1!AH478</f>
        <v>-</v>
      </c>
      <c r="U484" s="1075" t="str">
        <f>Sheet1!AI478</f>
        <v>-</v>
      </c>
      <c r="V484" s="1075"/>
      <c r="W484" s="1075"/>
      <c r="X484" s="1075" t="str">
        <f>Sheet1!AJ478</f>
        <v>-</v>
      </c>
      <c r="Y484" s="1075"/>
      <c r="Z484" s="1075"/>
      <c r="AA484" s="1075"/>
      <c r="AB484" s="1075"/>
      <c r="AC484" s="1075"/>
      <c r="AD484" s="1075"/>
      <c r="AE484" s="1075"/>
      <c r="AF484" s="1075"/>
      <c r="AG484" s="1075"/>
      <c r="AH484" s="1075"/>
      <c r="AI484" s="1075"/>
      <c r="AJ484" s="1075"/>
      <c r="AK484" s="1075">
        <f>IF(Sheet1!AE481="C",Sheet1!AK481,"-")</f>
        <v>1120</v>
      </c>
      <c r="AL484" s="1075" t="str">
        <f>IF(Sheet1!AE481="D",Sheet1!AK481,"-")</f>
        <v>-</v>
      </c>
      <c r="AM484" s="1075">
        <f>IF(Sheet1!AE478="E",Sheet1!AK478,"-")</f>
        <v>1230</v>
      </c>
    </row>
    <row r="485" spans="2:39" x14ac:dyDescent="0.25">
      <c r="B485" s="1082">
        <f>Sheet1!F479</f>
        <v>1440</v>
      </c>
      <c r="C485" s="1075" t="str">
        <f>Sheet1!C479</f>
        <v>Pine Tree Dr.</v>
      </c>
      <c r="D485" s="1075" t="str">
        <f>_xlfn.TEXTBEFORE(Sheet1!E479, " to ")</f>
        <v>US 1</v>
      </c>
      <c r="E485" s="1075" t="str">
        <f>_xlfn.TEXTAFTER(Sheet1!E479, " to ")</f>
        <v>Addison Dr</v>
      </c>
      <c r="F485" s="1075">
        <f>Sheet1!AM479</f>
        <v>2</v>
      </c>
      <c r="G485" s="1075"/>
      <c r="H485" s="1083" t="str">
        <f>Sheet1!AE479</f>
        <v>E</v>
      </c>
      <c r="I485" s="1075"/>
      <c r="J485" s="1075" t="str">
        <f>Sheet1!Q479</f>
        <v>UA_NSSRC2_2W_2L_U_0L</v>
      </c>
      <c r="K485" s="1075"/>
      <c r="L485" s="1075">
        <f>Sheet1!AF479</f>
        <v>13640</v>
      </c>
      <c r="M485" s="1075"/>
      <c r="N485" s="1075"/>
      <c r="O485" s="1075"/>
      <c r="P485" s="1075">
        <f>Sheet1!AK479</f>
        <v>1020</v>
      </c>
      <c r="Q485" s="1075"/>
      <c r="R485" s="1075">
        <f>Sheet1!AD479</f>
        <v>2570</v>
      </c>
      <c r="S485" s="1081">
        <f>Sheet1!AG479</f>
        <v>0.18841642228739003</v>
      </c>
      <c r="T485" s="1075" t="str">
        <f>Sheet1!AH479</f>
        <v>C</v>
      </c>
      <c r="U485" s="1075">
        <f>Sheet1!AI479</f>
        <v>180</v>
      </c>
      <c r="V485" s="1075"/>
      <c r="W485" s="1075"/>
      <c r="X485" s="1075">
        <f>Sheet1!AJ479</f>
        <v>240</v>
      </c>
      <c r="Y485" s="1075"/>
      <c r="Z485" s="1075"/>
      <c r="AA485" s="1075"/>
      <c r="AB485" s="1075"/>
      <c r="AC485" s="1075"/>
      <c r="AD485" s="1075"/>
      <c r="AE485" s="1075"/>
      <c r="AF485" s="1075"/>
      <c r="AG485" s="1075"/>
      <c r="AH485" s="1075"/>
      <c r="AI485" s="1075"/>
      <c r="AJ485" s="1075"/>
      <c r="AK485" s="1075" t="str">
        <f>IF(Sheet1!AE482="C",Sheet1!AK482,"-")</f>
        <v>-</v>
      </c>
      <c r="AL485" s="1075" t="str">
        <f>IF(Sheet1!AE482="D",Sheet1!AK482,"-")</f>
        <v>-</v>
      </c>
      <c r="AM485" s="1075">
        <f>IF(Sheet1!AE479="E",Sheet1!AK479,"-")</f>
        <v>1020</v>
      </c>
    </row>
    <row r="486" spans="2:39" x14ac:dyDescent="0.25">
      <c r="B486" s="1082">
        <f>Sheet1!F480</f>
        <v>1441</v>
      </c>
      <c r="C486" s="1075" t="str">
        <f>Sheet1!C480</f>
        <v>Pine Tree Dr.</v>
      </c>
      <c r="D486" s="1075" t="str">
        <f>_xlfn.TEXTBEFORE(Sheet1!E480, " to ")</f>
        <v>Addison Dr.</v>
      </c>
      <c r="E486" s="1075" t="str">
        <f>_xlfn.TEXTAFTER(Sheet1!E480, " to ")</f>
        <v>Old Dixie Hwy</v>
      </c>
      <c r="F486" s="1075">
        <f>Sheet1!AM480</f>
        <v>2</v>
      </c>
      <c r="G486" s="1075"/>
      <c r="H486" s="1083" t="str">
        <f>Sheet1!AE480</f>
        <v>E</v>
      </c>
      <c r="I486" s="1075"/>
      <c r="J486" s="1075" t="str">
        <f>Sheet1!Q480</f>
        <v>UA_NSSRC2_2W_2L_U_0L</v>
      </c>
      <c r="K486" s="1075"/>
      <c r="L486" s="1075">
        <f>Sheet1!AF480</f>
        <v>13640</v>
      </c>
      <c r="M486" s="1075"/>
      <c r="N486" s="1075"/>
      <c r="O486" s="1075"/>
      <c r="P486" s="1075">
        <f>Sheet1!AK480</f>
        <v>1020</v>
      </c>
      <c r="Q486" s="1075"/>
      <c r="R486" s="1075">
        <f>Sheet1!AD480</f>
        <v>1410</v>
      </c>
      <c r="S486" s="1081">
        <f>Sheet1!AG480</f>
        <v>0.10337243401759531</v>
      </c>
      <c r="T486" s="1075" t="str">
        <f>Sheet1!AH480</f>
        <v>C</v>
      </c>
      <c r="U486" s="1075">
        <f>Sheet1!AI480</f>
        <v>100</v>
      </c>
      <c r="V486" s="1075"/>
      <c r="W486" s="1075"/>
      <c r="X486" s="1075">
        <f>Sheet1!AJ480</f>
        <v>130</v>
      </c>
      <c r="Y486" s="1075"/>
      <c r="Z486" s="1075"/>
      <c r="AA486" s="1075"/>
      <c r="AB486" s="1075"/>
      <c r="AC486" s="1075"/>
      <c r="AD486" s="1075"/>
      <c r="AE486" s="1075"/>
      <c r="AF486" s="1075"/>
      <c r="AG486" s="1075"/>
      <c r="AH486" s="1075"/>
      <c r="AI486" s="1075"/>
      <c r="AJ486" s="1075"/>
      <c r="AK486" s="1075" t="str">
        <f>IF(Sheet1!AE483="C",Sheet1!AK483,"-")</f>
        <v>-</v>
      </c>
      <c r="AL486" s="1075" t="str">
        <f>IF(Sheet1!AE483="D",Sheet1!AK483,"-")</f>
        <v>-</v>
      </c>
      <c r="AM486" s="1075">
        <f>IF(Sheet1!AE480="E",Sheet1!AK480,"-")</f>
        <v>1020</v>
      </c>
    </row>
    <row r="487" spans="2:39" x14ac:dyDescent="0.25">
      <c r="B487" s="1082">
        <f>Sheet1!F481</f>
        <v>1461</v>
      </c>
      <c r="C487" s="1075" t="str">
        <f>Sheet1!C481</f>
        <v>Pioneer Tr.</v>
      </c>
      <c r="D487" s="1075" t="str">
        <f>_xlfn.TEXTBEFORE(Sheet1!E481, " to ")</f>
        <v>SR 44</v>
      </c>
      <c r="E487" s="1075" t="str">
        <f>_xlfn.TEXTAFTER(Sheet1!E481, " to ")</f>
        <v>Tomoka Farms Rd.</v>
      </c>
      <c r="F487" s="1075">
        <f>Sheet1!AM481</f>
        <v>2</v>
      </c>
      <c r="G487" s="1075"/>
      <c r="H487" s="1083" t="str">
        <f>Sheet1!AE481</f>
        <v>C</v>
      </c>
      <c r="I487" s="1075"/>
      <c r="J487" s="1075" t="str">
        <f>Sheet1!Q481</f>
        <v>RDA_UFH_2W_2L_U_0L</v>
      </c>
      <c r="K487" s="1075"/>
      <c r="L487" s="1075">
        <f>Sheet1!AF481</f>
        <v>11775</v>
      </c>
      <c r="M487" s="1075"/>
      <c r="N487" s="1075"/>
      <c r="O487" s="1075"/>
      <c r="P487" s="1075">
        <f>Sheet1!AK481</f>
        <v>1120</v>
      </c>
      <c r="Q487" s="1075"/>
      <c r="R487" s="1075">
        <f>Sheet1!AD481</f>
        <v>4730</v>
      </c>
      <c r="S487" s="1081">
        <f>Sheet1!AG481</f>
        <v>0.40169851380042465</v>
      </c>
      <c r="T487" s="1075" t="str">
        <f>Sheet1!AH481</f>
        <v>B</v>
      </c>
      <c r="U487" s="1075">
        <f>Sheet1!AI481</f>
        <v>420</v>
      </c>
      <c r="V487" s="1075"/>
      <c r="W487" s="1075"/>
      <c r="X487" s="1075">
        <f>Sheet1!AJ481</f>
        <v>430</v>
      </c>
      <c r="Y487" s="1075"/>
      <c r="Z487" s="1075"/>
      <c r="AA487" s="1075"/>
      <c r="AB487" s="1075"/>
      <c r="AC487" s="1075"/>
      <c r="AD487" s="1075"/>
      <c r="AE487" s="1075"/>
      <c r="AF487" s="1075"/>
      <c r="AG487" s="1075"/>
      <c r="AH487" s="1075"/>
      <c r="AI487" s="1075"/>
      <c r="AJ487" s="1075"/>
      <c r="AK487" s="1075" t="str">
        <f>IF(Sheet1!AE484="C",Sheet1!AK484,"-")</f>
        <v>-</v>
      </c>
      <c r="AL487" s="1075" t="str">
        <f>IF(Sheet1!AE484="D",Sheet1!AK484,"-")</f>
        <v>-</v>
      </c>
      <c r="AM487" s="1075" t="str">
        <f>IF(Sheet1!AE481="E",Sheet1!AK481,"-")</f>
        <v>-</v>
      </c>
    </row>
    <row r="488" spans="2:39" x14ac:dyDescent="0.25">
      <c r="B488" s="1082">
        <f>Sheet1!F482</f>
        <v>1464</v>
      </c>
      <c r="C488" s="1075" t="str">
        <f>Sheet1!C482</f>
        <v>Pioneer Tr.</v>
      </c>
      <c r="D488" s="1075" t="e">
        <f>_xlfn.TEXTBEFORE(Sheet1!E482, " to ")</f>
        <v>#N/A</v>
      </c>
      <c r="E488" s="1075" t="e">
        <f>_xlfn.TEXTAFTER(Sheet1!E482, " to ")</f>
        <v>#N/A</v>
      </c>
      <c r="F488" s="1075">
        <f>Sheet1!AM482</f>
        <v>2</v>
      </c>
      <c r="G488" s="1075"/>
      <c r="H488" s="1083" t="str">
        <f>Sheet1!AE482</f>
        <v>E</v>
      </c>
      <c r="I488" s="1075"/>
      <c r="J488" s="1075" t="str">
        <f>Sheet1!Q482</f>
        <v>UA_NSSRC1_2W_2L_U_0L</v>
      </c>
      <c r="K488" s="1075"/>
      <c r="L488" s="1075">
        <f>Sheet1!AF482</f>
        <v>13640</v>
      </c>
      <c r="M488" s="1075"/>
      <c r="N488" s="1075"/>
      <c r="O488" s="1075"/>
      <c r="P488" s="1075">
        <f>Sheet1!AK482</f>
        <v>1230</v>
      </c>
      <c r="Q488" s="1075"/>
      <c r="R488" s="1075">
        <f>Sheet1!AD482</f>
        <v>5700</v>
      </c>
      <c r="S488" s="1081">
        <f>Sheet1!AG482</f>
        <v>0.41788856304985339</v>
      </c>
      <c r="T488" s="1075" t="str">
        <f>Sheet1!AH482</f>
        <v>C</v>
      </c>
      <c r="U488" s="1075">
        <f>Sheet1!AI482</f>
        <v>540</v>
      </c>
      <c r="V488" s="1075"/>
      <c r="W488" s="1075"/>
      <c r="X488" s="1075">
        <f>Sheet1!AJ482</f>
        <v>500</v>
      </c>
      <c r="Y488" s="1075"/>
      <c r="Z488" s="1075"/>
      <c r="AA488" s="1075"/>
      <c r="AB488" s="1075"/>
      <c r="AC488" s="1075"/>
      <c r="AD488" s="1075"/>
      <c r="AE488" s="1075"/>
      <c r="AF488" s="1075"/>
      <c r="AG488" s="1075"/>
      <c r="AH488" s="1075"/>
      <c r="AI488" s="1075"/>
      <c r="AJ488" s="1075"/>
      <c r="AK488" s="1075" t="str">
        <f>IF(Sheet1!AE485="C",Sheet1!AK485,"-")</f>
        <v>-</v>
      </c>
      <c r="AL488" s="1075" t="str">
        <f>IF(Sheet1!AE485="D",Sheet1!AK485,"-")</f>
        <v>-</v>
      </c>
      <c r="AM488" s="1075">
        <f>IF(Sheet1!AE482="E",Sheet1!AK482,"-")</f>
        <v>1230</v>
      </c>
    </row>
    <row r="489" spans="2:39" x14ac:dyDescent="0.25">
      <c r="B489" s="1082">
        <f>Sheet1!F483</f>
        <v>1465</v>
      </c>
      <c r="C489" s="1075" t="str">
        <f>Sheet1!C483</f>
        <v>Pioneer Tr.</v>
      </c>
      <c r="D489" s="1075" t="str">
        <f>_xlfn.TEXTBEFORE(Sheet1!E483, " to ")</f>
        <v>Airport Rd.</v>
      </c>
      <c r="E489" s="1075" t="str">
        <f>_xlfn.TEXTAFTER(Sheet1!E483, " to ")</f>
        <v>Turnbull Bay Rd.</v>
      </c>
      <c r="F489" s="1075">
        <f>Sheet1!AM483</f>
        <v>2</v>
      </c>
      <c r="G489" s="1075"/>
      <c r="H489" s="1083" t="str">
        <f>Sheet1!AE483</f>
        <v>E</v>
      </c>
      <c r="I489" s="1075"/>
      <c r="J489" s="1075" t="str">
        <f>Sheet1!Q483</f>
        <v>UA_NSSRC1_2W_2L_U_0L</v>
      </c>
      <c r="K489" s="1075"/>
      <c r="L489" s="1075">
        <f>Sheet1!AF483</f>
        <v>13640</v>
      </c>
      <c r="M489" s="1075"/>
      <c r="N489" s="1075"/>
      <c r="O489" s="1075"/>
      <c r="P489" s="1075">
        <f>Sheet1!AK483</f>
        <v>1230</v>
      </c>
      <c r="Q489" s="1075"/>
      <c r="R489" s="1075">
        <f>Sheet1!AD483</f>
        <v>7380</v>
      </c>
      <c r="S489" s="1081">
        <f>Sheet1!AG483</f>
        <v>0.54105571847507328</v>
      </c>
      <c r="T489" s="1075" t="str">
        <f>Sheet1!AH483</f>
        <v>C</v>
      </c>
      <c r="U489" s="1075">
        <f>Sheet1!AI483</f>
        <v>490</v>
      </c>
      <c r="V489" s="1075"/>
      <c r="W489" s="1075"/>
      <c r="X489" s="1075">
        <f>Sheet1!AJ483</f>
        <v>670</v>
      </c>
      <c r="Y489" s="1075"/>
      <c r="Z489" s="1075"/>
      <c r="AA489" s="1075"/>
      <c r="AB489" s="1075"/>
      <c r="AC489" s="1075"/>
      <c r="AD489" s="1075"/>
      <c r="AE489" s="1075"/>
      <c r="AF489" s="1075"/>
      <c r="AG489" s="1075"/>
      <c r="AH489" s="1075"/>
      <c r="AI489" s="1075"/>
      <c r="AJ489" s="1075"/>
      <c r="AK489" s="1075" t="str">
        <f>IF(Sheet1!AE486="C",Sheet1!AK486,"-")</f>
        <v>-</v>
      </c>
      <c r="AL489" s="1075" t="str">
        <f>IF(Sheet1!AE486="D",Sheet1!AK486,"-")</f>
        <v>-</v>
      </c>
      <c r="AM489" s="1075">
        <f>IF(Sheet1!AE483="E",Sheet1!AK483,"-")</f>
        <v>1230</v>
      </c>
    </row>
    <row r="490" spans="2:39" x14ac:dyDescent="0.25">
      <c r="B490" s="1082">
        <f>Sheet1!F484</f>
        <v>1467</v>
      </c>
      <c r="C490" s="1075" t="str">
        <f>Sheet1!C484</f>
        <v>Pioneer Tr.</v>
      </c>
      <c r="D490" s="1075" t="str">
        <f>_xlfn.TEXTBEFORE(Sheet1!E484, " to ")</f>
        <v>Turnbull Bay Rd.</v>
      </c>
      <c r="E490" s="1075" t="str">
        <f>_xlfn.TEXTAFTER(Sheet1!E484, " to ")</f>
        <v>Sugar Mill Dr</v>
      </c>
      <c r="F490" s="1075">
        <f>Sheet1!AM484</f>
        <v>2</v>
      </c>
      <c r="G490" s="1075"/>
      <c r="H490" s="1083" t="str">
        <f>Sheet1!AE484</f>
        <v>E</v>
      </c>
      <c r="I490" s="1075"/>
      <c r="J490" s="1075" t="str">
        <f>Sheet1!Q484</f>
        <v>UA_NSSRC2_2W_2L_U_0L</v>
      </c>
      <c r="K490" s="1075"/>
      <c r="L490" s="1075">
        <f>Sheet1!AF484</f>
        <v>13640</v>
      </c>
      <c r="M490" s="1075"/>
      <c r="N490" s="1075"/>
      <c r="O490" s="1075"/>
      <c r="P490" s="1075">
        <f>Sheet1!AK484</f>
        <v>1020</v>
      </c>
      <c r="Q490" s="1075"/>
      <c r="R490" s="1075">
        <f>Sheet1!AD484</f>
        <v>6680</v>
      </c>
      <c r="S490" s="1081">
        <f>Sheet1!AG484</f>
        <v>0.48973607038123168</v>
      </c>
      <c r="T490" s="1075" t="str">
        <f>Sheet1!AH484</f>
        <v>D</v>
      </c>
      <c r="U490" s="1075">
        <f>Sheet1!AI484</f>
        <v>450</v>
      </c>
      <c r="V490" s="1075"/>
      <c r="W490" s="1075"/>
      <c r="X490" s="1075">
        <f>Sheet1!AJ484</f>
        <v>580</v>
      </c>
      <c r="Y490" s="1075"/>
      <c r="Z490" s="1075"/>
      <c r="AA490" s="1075"/>
      <c r="AB490" s="1075"/>
      <c r="AC490" s="1075"/>
      <c r="AD490" s="1075"/>
      <c r="AE490" s="1075"/>
      <c r="AF490" s="1075"/>
      <c r="AG490" s="1075"/>
      <c r="AH490" s="1075"/>
      <c r="AI490" s="1075"/>
      <c r="AJ490" s="1075"/>
      <c r="AK490" s="1075" t="str">
        <f>IF(Sheet1!AE487="C",Sheet1!AK487,"-")</f>
        <v>-</v>
      </c>
      <c r="AL490" s="1075" t="str">
        <f>IF(Sheet1!AE487="D",Sheet1!AK487,"-")</f>
        <v>-</v>
      </c>
      <c r="AM490" s="1075">
        <f>IF(Sheet1!AE484="E",Sheet1!AK484,"-")</f>
        <v>1020</v>
      </c>
    </row>
    <row r="491" spans="2:39" x14ac:dyDescent="0.25">
      <c r="B491" s="1082">
        <f>Sheet1!F485</f>
        <v>1471</v>
      </c>
      <c r="C491" s="1075" t="str">
        <f>Sheet1!C485</f>
        <v>Pioneer Tr.</v>
      </c>
      <c r="D491" s="1075" t="str">
        <f>_xlfn.TEXTBEFORE(Sheet1!E485, " to ")</f>
        <v>Sugar Mill Dr.</v>
      </c>
      <c r="E491" s="1075" t="str">
        <f>_xlfn.TEXTAFTER(Sheet1!E485, " to ")</f>
        <v>Williams Rd.</v>
      </c>
      <c r="F491" s="1075">
        <f>Sheet1!AM485</f>
        <v>2</v>
      </c>
      <c r="G491" s="1075"/>
      <c r="H491" s="1083" t="str">
        <f>Sheet1!AE485</f>
        <v>E</v>
      </c>
      <c r="I491" s="1075"/>
      <c r="J491" s="1075" t="str">
        <f>Sheet1!Q485</f>
        <v>UA_NSSRC1_2W_2L_U_0L</v>
      </c>
      <c r="K491" s="1075"/>
      <c r="L491" s="1075">
        <f>Sheet1!AF485</f>
        <v>13640</v>
      </c>
      <c r="M491" s="1075"/>
      <c r="N491" s="1075"/>
      <c r="O491" s="1075"/>
      <c r="P491" s="1075">
        <f>Sheet1!AK485</f>
        <v>1230</v>
      </c>
      <c r="Q491" s="1075"/>
      <c r="R491" s="1075">
        <f>Sheet1!AD485</f>
        <v>10090</v>
      </c>
      <c r="S491" s="1081">
        <f>Sheet1!AG485</f>
        <v>0.73973607038123168</v>
      </c>
      <c r="T491" s="1075" t="str">
        <f>Sheet1!AH485</f>
        <v>C</v>
      </c>
      <c r="U491" s="1075">
        <f>Sheet1!AI485</f>
        <v>710</v>
      </c>
      <c r="V491" s="1075"/>
      <c r="W491" s="1075"/>
      <c r="X491" s="1075">
        <f>Sheet1!AJ485</f>
        <v>830</v>
      </c>
      <c r="Y491" s="1075"/>
      <c r="Z491" s="1075"/>
      <c r="AA491" s="1075"/>
      <c r="AB491" s="1075"/>
      <c r="AC491" s="1075"/>
      <c r="AD491" s="1075"/>
      <c r="AE491" s="1075"/>
      <c r="AF491" s="1075"/>
      <c r="AG491" s="1075"/>
      <c r="AH491" s="1075"/>
      <c r="AI491" s="1075"/>
      <c r="AJ491" s="1075"/>
      <c r="AK491" s="1075" t="str">
        <f>IF(Sheet1!AE488="C",Sheet1!AK488,"-")</f>
        <v>-</v>
      </c>
      <c r="AL491" s="1075" t="str">
        <f>IF(Sheet1!AE488="D",Sheet1!AK488,"-")</f>
        <v>-</v>
      </c>
      <c r="AM491" s="1075">
        <f>IF(Sheet1!AE485="E",Sheet1!AK485,"-")</f>
        <v>1230</v>
      </c>
    </row>
    <row r="492" spans="2:39" x14ac:dyDescent="0.25">
      <c r="B492" s="1082">
        <f>Sheet1!F486</f>
        <v>1473</v>
      </c>
      <c r="C492" s="1075" t="str">
        <f>Sheet1!C486</f>
        <v>Pioneer Tr.</v>
      </c>
      <c r="D492" s="1075" t="str">
        <f>_xlfn.TEXTBEFORE(Sheet1!E486, " to ")</f>
        <v>Williams Rd.</v>
      </c>
      <c r="E492" s="1075" t="str">
        <f>_xlfn.TEXTAFTER(Sheet1!E486, " to ")</f>
        <v>Enterprise Ave</v>
      </c>
      <c r="F492" s="1075">
        <f>Sheet1!AM486</f>
        <v>2</v>
      </c>
      <c r="G492" s="1075"/>
      <c r="H492" s="1083" t="str">
        <f>Sheet1!AE486</f>
        <v>E</v>
      </c>
      <c r="I492" s="1075"/>
      <c r="J492" s="1075" t="str">
        <f>Sheet1!Q486</f>
        <v>UA_NSSRC1_2W_2L_U_0L</v>
      </c>
      <c r="K492" s="1075"/>
      <c r="L492" s="1075">
        <f>Sheet1!AF486</f>
        <v>13640</v>
      </c>
      <c r="M492" s="1075"/>
      <c r="N492" s="1075"/>
      <c r="O492" s="1075"/>
      <c r="P492" s="1075">
        <f>Sheet1!AK486</f>
        <v>1230</v>
      </c>
      <c r="Q492" s="1075"/>
      <c r="R492" s="1075">
        <f>Sheet1!AD486</f>
        <v>9860</v>
      </c>
      <c r="S492" s="1081">
        <f>Sheet1!AG486</f>
        <v>0.72287390029325516</v>
      </c>
      <c r="T492" s="1075" t="str">
        <f>Sheet1!AH486</f>
        <v>C</v>
      </c>
      <c r="U492" s="1075">
        <f>Sheet1!AI486</f>
        <v>710</v>
      </c>
      <c r="V492" s="1075"/>
      <c r="W492" s="1075"/>
      <c r="X492" s="1075">
        <f>Sheet1!AJ486</f>
        <v>840</v>
      </c>
      <c r="Y492" s="1075"/>
      <c r="Z492" s="1075"/>
      <c r="AA492" s="1075"/>
      <c r="AB492" s="1075"/>
      <c r="AC492" s="1075"/>
      <c r="AD492" s="1075"/>
      <c r="AE492" s="1075"/>
      <c r="AF492" s="1075"/>
      <c r="AG492" s="1075"/>
      <c r="AH492" s="1075"/>
      <c r="AI492" s="1075"/>
      <c r="AJ492" s="1075"/>
      <c r="AK492" s="1075" t="str">
        <f>IF(Sheet1!AE489="C",Sheet1!AK489,"-")</f>
        <v>-</v>
      </c>
      <c r="AL492" s="1075" t="str">
        <f>IF(Sheet1!AE489="D",Sheet1!AK489,"-")</f>
        <v>-</v>
      </c>
      <c r="AM492" s="1075">
        <f>IF(Sheet1!AE486="E",Sheet1!AK486,"-")</f>
        <v>1230</v>
      </c>
    </row>
    <row r="493" spans="2:39" x14ac:dyDescent="0.25">
      <c r="B493" s="1082">
        <f>Sheet1!F487</f>
        <v>1474</v>
      </c>
      <c r="C493" s="1075" t="str">
        <f>Sheet1!C487</f>
        <v>Pioneer Tr.</v>
      </c>
      <c r="D493" s="1075" t="str">
        <f>_xlfn.TEXTBEFORE(Sheet1!E487, " to ")</f>
        <v>Enterprise Ave.</v>
      </c>
      <c r="E493" s="1075" t="str">
        <f>_xlfn.TEXTAFTER(Sheet1!E487, " to ")</f>
        <v>Jungle Rd</v>
      </c>
      <c r="F493" s="1075">
        <f>Sheet1!AM487</f>
        <v>2</v>
      </c>
      <c r="G493" s="1075"/>
      <c r="H493" s="1083" t="str">
        <f>Sheet1!AE487</f>
        <v>E</v>
      </c>
      <c r="I493" s="1075"/>
      <c r="J493" s="1075" t="str">
        <f>Sheet1!Q487</f>
        <v>UA_NSSRC2_2W_2L_U_0L</v>
      </c>
      <c r="K493" s="1075"/>
      <c r="L493" s="1075">
        <f>Sheet1!AF487</f>
        <v>13640</v>
      </c>
      <c r="M493" s="1075"/>
      <c r="N493" s="1075"/>
      <c r="O493" s="1075"/>
      <c r="P493" s="1075">
        <f>Sheet1!AK487</f>
        <v>1020</v>
      </c>
      <c r="Q493" s="1075"/>
      <c r="R493" s="1075">
        <f>Sheet1!AD487</f>
        <v>8320</v>
      </c>
      <c r="S493" s="1081">
        <f>Sheet1!AG487</f>
        <v>0.60997067448680353</v>
      </c>
      <c r="T493" s="1075" t="str">
        <f>Sheet1!AH487</f>
        <v>D</v>
      </c>
      <c r="U493" s="1075">
        <f>Sheet1!AI487</f>
        <v>560</v>
      </c>
      <c r="V493" s="1075"/>
      <c r="W493" s="1075"/>
      <c r="X493" s="1075">
        <f>Sheet1!AJ487</f>
        <v>730</v>
      </c>
      <c r="Y493" s="1075"/>
      <c r="Z493" s="1075"/>
      <c r="AA493" s="1075"/>
      <c r="AB493" s="1075"/>
      <c r="AC493" s="1075"/>
      <c r="AD493" s="1075"/>
      <c r="AE493" s="1075"/>
      <c r="AF493" s="1075"/>
      <c r="AG493" s="1075"/>
      <c r="AH493" s="1075"/>
      <c r="AI493" s="1075"/>
      <c r="AJ493" s="1075"/>
      <c r="AK493" s="1075" t="str">
        <f>IF(Sheet1!AE490="C",Sheet1!AK490,"-")</f>
        <v>-</v>
      </c>
      <c r="AL493" s="1075" t="str">
        <f>IF(Sheet1!AE490="D",Sheet1!AK490,"-")</f>
        <v>-</v>
      </c>
      <c r="AM493" s="1075">
        <f>IF(Sheet1!AE487="E",Sheet1!AK487,"-")</f>
        <v>1020</v>
      </c>
    </row>
    <row r="494" spans="2:39" x14ac:dyDescent="0.25">
      <c r="B494" s="1082">
        <f>Sheet1!F488</f>
        <v>1475</v>
      </c>
      <c r="C494" s="1075" t="str">
        <f>Sheet1!C488</f>
        <v>Pioneer Tr.</v>
      </c>
      <c r="D494" s="1075" t="str">
        <f>_xlfn.TEXTBEFORE(Sheet1!E488, " to ")</f>
        <v>Jungle Rd</v>
      </c>
      <c r="E494" s="1075" t="str">
        <f>_xlfn.TEXTAFTER(Sheet1!E488, " to ")</f>
        <v>Canal St.</v>
      </c>
      <c r="F494" s="1075">
        <f>Sheet1!AM488</f>
        <v>2</v>
      </c>
      <c r="G494" s="1075"/>
      <c r="H494" s="1083" t="str">
        <f>Sheet1!AE488</f>
        <v>E</v>
      </c>
      <c r="I494" s="1075"/>
      <c r="J494" s="1075" t="str">
        <f>Sheet1!Q488</f>
        <v>UA_NSSRC2_2W_2L_U_0L</v>
      </c>
      <c r="K494" s="1075"/>
      <c r="L494" s="1075">
        <f>Sheet1!AF488</f>
        <v>13640</v>
      </c>
      <c r="M494" s="1075"/>
      <c r="N494" s="1075"/>
      <c r="O494" s="1075"/>
      <c r="P494" s="1075">
        <f>Sheet1!AK488</f>
        <v>1020</v>
      </c>
      <c r="Q494" s="1075"/>
      <c r="R494" s="1075">
        <f>Sheet1!AD488</f>
        <v>2900</v>
      </c>
      <c r="S494" s="1081">
        <f>Sheet1!AG488</f>
        <v>0.21260997067448681</v>
      </c>
      <c r="T494" s="1075" t="str">
        <f>Sheet1!AH488</f>
        <v>C</v>
      </c>
      <c r="U494" s="1075">
        <f>Sheet1!AI488</f>
        <v>190</v>
      </c>
      <c r="V494" s="1075"/>
      <c r="W494" s="1075"/>
      <c r="X494" s="1075">
        <f>Sheet1!AJ488</f>
        <v>270</v>
      </c>
      <c r="Y494" s="1075"/>
      <c r="Z494" s="1075"/>
      <c r="AA494" s="1075"/>
      <c r="AB494" s="1075"/>
      <c r="AC494" s="1075"/>
      <c r="AD494" s="1075"/>
      <c r="AE494" s="1075"/>
      <c r="AF494" s="1075"/>
      <c r="AG494" s="1075"/>
      <c r="AH494" s="1075"/>
      <c r="AI494" s="1075"/>
      <c r="AJ494" s="1075"/>
      <c r="AK494" s="1075" t="str">
        <f>IF(Sheet1!AE491="C",Sheet1!AK491,"-")</f>
        <v>-</v>
      </c>
      <c r="AL494" s="1075" t="str">
        <f>IF(Sheet1!AE491="D",Sheet1!AK491,"-")</f>
        <v>-</v>
      </c>
      <c r="AM494" s="1075">
        <f>IF(Sheet1!AE488="E",Sheet1!AK488,"-")</f>
        <v>1020</v>
      </c>
    </row>
    <row r="495" spans="2:39" x14ac:dyDescent="0.25">
      <c r="B495" s="1082">
        <f>Sheet1!F489</f>
        <v>1955</v>
      </c>
      <c r="C495" s="1075" t="str">
        <f>Sheet1!C489</f>
        <v>Wallace Rd.</v>
      </c>
      <c r="D495" s="1075" t="str">
        <f>_xlfn.TEXTBEFORE(Sheet1!E489, " to ")</f>
        <v>Canal St</v>
      </c>
      <c r="E495" s="1075" t="str">
        <f>_xlfn.TEXTAFTER(Sheet1!E489, " to ")</f>
        <v>SR 44</v>
      </c>
      <c r="F495" s="1075">
        <f>Sheet1!AM489</f>
        <v>3</v>
      </c>
      <c r="G495" s="1075"/>
      <c r="H495" s="1083" t="str">
        <f>Sheet1!AE489</f>
        <v>E</v>
      </c>
      <c r="I495" s="1075"/>
      <c r="J495" s="1075" t="str">
        <f>Sheet1!Q489</f>
        <v>UA_NSSRC2_2W_2L_D_WL</v>
      </c>
      <c r="K495" s="1075"/>
      <c r="L495" s="1075">
        <f>Sheet1!AF489</f>
        <v>14740</v>
      </c>
      <c r="M495" s="1075"/>
      <c r="N495" s="1075"/>
      <c r="O495" s="1075"/>
      <c r="P495" s="1075">
        <f>Sheet1!AK489</f>
        <v>1330</v>
      </c>
      <c r="Q495" s="1075"/>
      <c r="R495" s="1075">
        <f>Sheet1!AD489</f>
        <v>7680</v>
      </c>
      <c r="S495" s="1081">
        <f>Sheet1!AG489</f>
        <v>0.52103120759837174</v>
      </c>
      <c r="T495" s="1075" t="str">
        <f>Sheet1!AH489</f>
        <v>D</v>
      </c>
      <c r="U495" s="1075">
        <f>Sheet1!AI489</f>
        <v>500</v>
      </c>
      <c r="V495" s="1075"/>
      <c r="W495" s="1075"/>
      <c r="X495" s="1075">
        <f>Sheet1!AJ489</f>
        <v>640</v>
      </c>
      <c r="Y495" s="1075"/>
      <c r="Z495" s="1075"/>
      <c r="AA495" s="1075"/>
      <c r="AB495" s="1075"/>
      <c r="AC495" s="1075"/>
      <c r="AD495" s="1075"/>
      <c r="AE495" s="1075"/>
      <c r="AF495" s="1075"/>
      <c r="AG495" s="1075"/>
      <c r="AH495" s="1075"/>
      <c r="AI495" s="1075"/>
      <c r="AJ495" s="1075"/>
      <c r="AK495" s="1075" t="str">
        <f>IF(Sheet1!AE492="C",Sheet1!AK492,"-")</f>
        <v>-</v>
      </c>
      <c r="AL495" s="1075" t="str">
        <f>IF(Sheet1!AE492="D",Sheet1!AK492,"-")</f>
        <v>-</v>
      </c>
      <c r="AM495" s="1075">
        <f>IF(Sheet1!AE489="E",Sheet1!AK489,"-")</f>
        <v>1330</v>
      </c>
    </row>
    <row r="496" spans="2:39" x14ac:dyDescent="0.25">
      <c r="B496" s="1082">
        <f>Sheet1!F490</f>
        <v>1261</v>
      </c>
      <c r="C496" s="1075" t="str">
        <f>Sheet1!C490</f>
        <v>Mission Dr.</v>
      </c>
      <c r="D496" s="1075" t="str">
        <f>_xlfn.TEXTBEFORE(Sheet1!E490, " to ")</f>
        <v>SR 44</v>
      </c>
      <c r="E496" s="1075" t="str">
        <f>_xlfn.TEXTAFTER(Sheet1!E490, " to ")</f>
        <v>Old Mission Rd.</v>
      </c>
      <c r="F496" s="1075">
        <f>Sheet1!AM490</f>
        <v>4</v>
      </c>
      <c r="G496" s="1075"/>
      <c r="H496" s="1083" t="str">
        <f>Sheet1!AE490</f>
        <v>E</v>
      </c>
      <c r="I496" s="1075"/>
      <c r="J496" s="1075" t="str">
        <f>Sheet1!Q490</f>
        <v>UA_NSSRC1_2W_4L_D_WL</v>
      </c>
      <c r="K496" s="1075"/>
      <c r="L496" s="1075">
        <f>Sheet1!AF490</f>
        <v>37970</v>
      </c>
      <c r="M496" s="1075"/>
      <c r="N496" s="1075"/>
      <c r="O496" s="1075"/>
      <c r="P496" s="1075">
        <f>Sheet1!AK490</f>
        <v>3410</v>
      </c>
      <c r="Q496" s="1075"/>
      <c r="R496" s="1075">
        <f>Sheet1!AD490</f>
        <v>13960</v>
      </c>
      <c r="S496" s="1081">
        <f>Sheet1!AG490</f>
        <v>0.36765867790360812</v>
      </c>
      <c r="T496" s="1075" t="str">
        <f>Sheet1!AH490</f>
        <v>C</v>
      </c>
      <c r="U496" s="1075">
        <f>Sheet1!AI490</f>
        <v>1170</v>
      </c>
      <c r="V496" s="1075"/>
      <c r="W496" s="1075"/>
      <c r="X496" s="1075">
        <f>Sheet1!AJ490</f>
        <v>1260</v>
      </c>
      <c r="Y496" s="1075"/>
      <c r="Z496" s="1075"/>
      <c r="AA496" s="1075"/>
      <c r="AB496" s="1075"/>
      <c r="AC496" s="1075"/>
      <c r="AD496" s="1075"/>
      <c r="AE496" s="1075"/>
      <c r="AF496" s="1075"/>
      <c r="AG496" s="1075"/>
      <c r="AH496" s="1075"/>
      <c r="AI496" s="1075"/>
      <c r="AJ496" s="1075"/>
      <c r="AK496" s="1075" t="str">
        <f>IF(Sheet1!AE493="C",Sheet1!AK493,"-")</f>
        <v>-</v>
      </c>
      <c r="AL496" s="1075" t="str">
        <f>IF(Sheet1!AE493="D",Sheet1!AK493,"-")</f>
        <v>-</v>
      </c>
      <c r="AM496" s="1075">
        <f>IF(Sheet1!AE490="E",Sheet1!AK490,"-")</f>
        <v>3410</v>
      </c>
    </row>
    <row r="497" spans="2:39" x14ac:dyDescent="0.25">
      <c r="B497" s="1082">
        <f>Sheet1!F491</f>
        <v>1354</v>
      </c>
      <c r="C497" s="1075" t="str">
        <f>Sheet1!C491</f>
        <v>Old Mission Rd./Mission Rd.</v>
      </c>
      <c r="D497" s="1075" t="str">
        <f>_xlfn.TEXTBEFORE(Sheet1!E491, " to ")</f>
        <v>Old Mission Rd.</v>
      </c>
      <c r="E497" s="1075" t="str">
        <f>_xlfn.TEXTAFTER(Sheet1!E491, " to ")</f>
        <v>Josephine St.</v>
      </c>
      <c r="F497" s="1075">
        <f>Sheet1!AM491</f>
        <v>4</v>
      </c>
      <c r="G497" s="1075"/>
      <c r="H497" s="1083" t="str">
        <f>Sheet1!AE491</f>
        <v>E</v>
      </c>
      <c r="I497" s="1075"/>
      <c r="J497" s="1075" t="str">
        <f>Sheet1!Q491</f>
        <v>UA_NSSRC1_2W_4L_D_WL</v>
      </c>
      <c r="K497" s="1075"/>
      <c r="L497" s="1075">
        <f>Sheet1!AF491</f>
        <v>37970</v>
      </c>
      <c r="M497" s="1075"/>
      <c r="N497" s="1075"/>
      <c r="O497" s="1075"/>
      <c r="P497" s="1075">
        <f>Sheet1!AK491</f>
        <v>3410</v>
      </c>
      <c r="Q497" s="1075"/>
      <c r="R497" s="1075">
        <f>Sheet1!AD491</f>
        <v>13080</v>
      </c>
      <c r="S497" s="1081">
        <f>Sheet1!AG491</f>
        <v>0.34448248617329469</v>
      </c>
      <c r="T497" s="1075" t="str">
        <f>Sheet1!AH491</f>
        <v>C</v>
      </c>
      <c r="U497" s="1075">
        <f>Sheet1!AI491</f>
        <v>1100</v>
      </c>
      <c r="V497" s="1075"/>
      <c r="W497" s="1075"/>
      <c r="X497" s="1075">
        <f>Sheet1!AJ491</f>
        <v>1100</v>
      </c>
      <c r="Y497" s="1075"/>
      <c r="Z497" s="1075"/>
      <c r="AA497" s="1075"/>
      <c r="AB497" s="1075"/>
      <c r="AC497" s="1075"/>
      <c r="AD497" s="1075"/>
      <c r="AE497" s="1075"/>
      <c r="AF497" s="1075"/>
      <c r="AG497" s="1075"/>
      <c r="AH497" s="1075"/>
      <c r="AI497" s="1075"/>
      <c r="AJ497" s="1075"/>
      <c r="AK497" s="1075" t="str">
        <f>IF(Sheet1!AE494="C",Sheet1!AK494,"-")</f>
        <v>-</v>
      </c>
      <c r="AL497" s="1075" t="str">
        <f>IF(Sheet1!AE494="D",Sheet1!AK494,"-")</f>
        <v>-</v>
      </c>
      <c r="AM497" s="1075">
        <f>IF(Sheet1!AE491="E",Sheet1!AK491,"-")</f>
        <v>3410</v>
      </c>
    </row>
    <row r="498" spans="2:39" x14ac:dyDescent="0.25">
      <c r="B498" s="1082">
        <f>Sheet1!F492</f>
        <v>1353</v>
      </c>
      <c r="C498" s="1075" t="str">
        <f>Sheet1!C492</f>
        <v>Old Mission Rd.</v>
      </c>
      <c r="D498" s="1075" t="str">
        <f>_xlfn.TEXTBEFORE(Sheet1!E492, " to ")</f>
        <v>Josephine St.</v>
      </c>
      <c r="E498" s="1075" t="str">
        <f>_xlfn.TEXTAFTER(Sheet1!E492, " to ")</f>
        <v>Park Ave</v>
      </c>
      <c r="F498" s="1075">
        <f>Sheet1!AM492</f>
        <v>2</v>
      </c>
      <c r="G498" s="1075"/>
      <c r="H498" s="1083" t="str">
        <f>Sheet1!AE492</f>
        <v>E</v>
      </c>
      <c r="I498" s="1075"/>
      <c r="J498" s="1075" t="str">
        <f>Sheet1!Q492</f>
        <v>UA_NSSRC2_2W_2L_U_WL</v>
      </c>
      <c r="K498" s="1075"/>
      <c r="L498" s="1075">
        <f>Sheet1!AF492</f>
        <v>14040</v>
      </c>
      <c r="M498" s="1075"/>
      <c r="N498" s="1075"/>
      <c r="O498" s="1075"/>
      <c r="P498" s="1075">
        <f>Sheet1!AK492</f>
        <v>1270</v>
      </c>
      <c r="Q498" s="1075"/>
      <c r="R498" s="1075">
        <f>Sheet1!AD492</f>
        <v>8340</v>
      </c>
      <c r="S498" s="1081">
        <f>Sheet1!AG492</f>
        <v>0.59401709401709402</v>
      </c>
      <c r="T498" s="1075" t="str">
        <f>Sheet1!AH492</f>
        <v>D</v>
      </c>
      <c r="U498" s="1075">
        <f>Sheet1!AI492</f>
        <v>510</v>
      </c>
      <c r="V498" s="1075"/>
      <c r="W498" s="1075"/>
      <c r="X498" s="1075">
        <f>Sheet1!AJ492</f>
        <v>710</v>
      </c>
      <c r="Y498" s="1075"/>
      <c r="Z498" s="1075"/>
      <c r="AA498" s="1075"/>
      <c r="AB498" s="1075"/>
      <c r="AC498" s="1075"/>
      <c r="AD498" s="1075"/>
      <c r="AE498" s="1075"/>
      <c r="AF498" s="1075"/>
      <c r="AG498" s="1075"/>
      <c r="AH498" s="1075"/>
      <c r="AI498" s="1075"/>
      <c r="AJ498" s="1075"/>
      <c r="AK498" s="1075" t="str">
        <f>IF(Sheet1!AE495="C",Sheet1!AK495,"-")</f>
        <v>-</v>
      </c>
      <c r="AL498" s="1075" t="str">
        <f>IF(Sheet1!AE495="D",Sheet1!AK495,"-")</f>
        <v>-</v>
      </c>
      <c r="AM498" s="1075">
        <f>IF(Sheet1!AE492="E",Sheet1!AK492,"-")</f>
        <v>1270</v>
      </c>
    </row>
    <row r="499" spans="2:39" x14ac:dyDescent="0.25">
      <c r="B499" s="1082">
        <f>Sheet1!F493</f>
        <v>1351</v>
      </c>
      <c r="C499" s="1075" t="str">
        <f>Sheet1!C493</f>
        <v>Old Mission Rd.</v>
      </c>
      <c r="D499" s="1075" t="str">
        <f>_xlfn.TEXTBEFORE(Sheet1!E493, " to ")</f>
        <v>Park Ave.</v>
      </c>
      <c r="E499" s="1075" t="str">
        <f>_xlfn.TEXTAFTER(Sheet1!E493, " to ")</f>
        <v>SR 442</v>
      </c>
      <c r="F499" s="1075">
        <f>Sheet1!AM493</f>
        <v>2</v>
      </c>
      <c r="G499" s="1075"/>
      <c r="H499" s="1083" t="str">
        <f>Sheet1!AE493</f>
        <v>E</v>
      </c>
      <c r="I499" s="1075"/>
      <c r="J499" s="1075" t="str">
        <f>Sheet1!Q493</f>
        <v>UA_NSSRC1_2W_2L_U_0L</v>
      </c>
      <c r="K499" s="1075"/>
      <c r="L499" s="1075">
        <f>Sheet1!AF493</f>
        <v>13640</v>
      </c>
      <c r="M499" s="1075"/>
      <c r="N499" s="1075"/>
      <c r="O499" s="1075"/>
      <c r="P499" s="1075">
        <f>Sheet1!AK493</f>
        <v>1230</v>
      </c>
      <c r="Q499" s="1075"/>
      <c r="R499" s="1075">
        <f>Sheet1!AD493</f>
        <v>6000</v>
      </c>
      <c r="S499" s="1081">
        <f>Sheet1!AG493</f>
        <v>0.43988269794721407</v>
      </c>
      <c r="T499" s="1075" t="str">
        <f>Sheet1!AH493</f>
        <v>C</v>
      </c>
      <c r="U499" s="1075">
        <f>Sheet1!AI493</f>
        <v>390</v>
      </c>
      <c r="V499" s="1075"/>
      <c r="W499" s="1075"/>
      <c r="X499" s="1075">
        <f>Sheet1!AJ493</f>
        <v>540</v>
      </c>
      <c r="Y499" s="1075"/>
      <c r="Z499" s="1075"/>
      <c r="AA499" s="1075"/>
      <c r="AB499" s="1075"/>
      <c r="AC499" s="1075"/>
      <c r="AD499" s="1075"/>
      <c r="AE499" s="1075"/>
      <c r="AF499" s="1075"/>
      <c r="AG499" s="1075"/>
      <c r="AH499" s="1075"/>
      <c r="AI499" s="1075"/>
      <c r="AJ499" s="1075"/>
      <c r="AK499" s="1075" t="str">
        <f>IF(Sheet1!AE496="C",Sheet1!AK496,"-")</f>
        <v>-</v>
      </c>
      <c r="AL499" s="1075" t="str">
        <f>IF(Sheet1!AE496="D",Sheet1!AK496,"-")</f>
        <v>-</v>
      </c>
      <c r="AM499" s="1075">
        <f>IF(Sheet1!AE493="E",Sheet1!AK493,"-")</f>
        <v>1230</v>
      </c>
    </row>
    <row r="500" spans="2:39" x14ac:dyDescent="0.25">
      <c r="B500" s="1082">
        <f>Sheet1!F494</f>
        <v>1481</v>
      </c>
      <c r="C500" s="1075" t="str">
        <f>Sheet1!C494</f>
        <v xml:space="preserve">Plaza Dr. (N. Penin.) </v>
      </c>
      <c r="D500" s="1075" t="str">
        <f>_xlfn.TEXTBEFORE(Sheet1!E494, " to ")</f>
        <v xml:space="preserve">John Anderson Dr. </v>
      </c>
      <c r="E500" s="1075" t="str">
        <f>_xlfn.TEXTAFTER(Sheet1!E494, " to ")</f>
        <v>SR A1A</v>
      </c>
      <c r="F500" s="1075">
        <f>Sheet1!AM494</f>
        <v>2</v>
      </c>
      <c r="G500" s="1075"/>
      <c r="H500" s="1083" t="str">
        <f>Sheet1!AE494</f>
        <v>E</v>
      </c>
      <c r="I500" s="1075"/>
      <c r="J500" s="1075" t="str">
        <f>Sheet1!Q494</f>
        <v>UA_NSSRC2_2W_2L_U_0L</v>
      </c>
      <c r="K500" s="1075"/>
      <c r="L500" s="1075">
        <f>Sheet1!AF494</f>
        <v>13640</v>
      </c>
      <c r="M500" s="1075"/>
      <c r="N500" s="1075"/>
      <c r="O500" s="1075"/>
      <c r="P500" s="1075">
        <f>Sheet1!AK494</f>
        <v>1020</v>
      </c>
      <c r="Q500" s="1075"/>
      <c r="R500" s="1075">
        <f>Sheet1!AD494</f>
        <v>180</v>
      </c>
      <c r="S500" s="1081">
        <f>Sheet1!AG494</f>
        <v>1.2463343108504398E-2</v>
      </c>
      <c r="T500" s="1075" t="str">
        <f>Sheet1!AH494</f>
        <v>C</v>
      </c>
      <c r="U500" s="1075">
        <f>Sheet1!AI494</f>
        <v>10</v>
      </c>
      <c r="V500" s="1075"/>
      <c r="W500" s="1075"/>
      <c r="X500" s="1075">
        <f>Sheet1!AJ494</f>
        <v>20</v>
      </c>
      <c r="Y500" s="1075"/>
      <c r="Z500" s="1075"/>
      <c r="AA500" s="1075"/>
      <c r="AB500" s="1075"/>
      <c r="AC500" s="1075"/>
      <c r="AD500" s="1075"/>
      <c r="AE500" s="1075"/>
      <c r="AF500" s="1075"/>
      <c r="AG500" s="1075"/>
      <c r="AH500" s="1075"/>
      <c r="AI500" s="1075"/>
      <c r="AJ500" s="1075"/>
      <c r="AK500" s="1075" t="str">
        <f>IF(Sheet1!AE497="C",Sheet1!AK497,"-")</f>
        <v>-</v>
      </c>
      <c r="AL500" s="1075" t="str">
        <f>IF(Sheet1!AE497="D",Sheet1!AK497,"-")</f>
        <v>-</v>
      </c>
      <c r="AM500" s="1075">
        <f>IF(Sheet1!AE494="E",Sheet1!AK494,"-")</f>
        <v>1020</v>
      </c>
    </row>
    <row r="501" spans="2:39" x14ac:dyDescent="0.25">
      <c r="B501" s="1082">
        <f>Sheet1!F495</f>
        <v>1490</v>
      </c>
      <c r="C501" s="1075" t="str">
        <f>Sheet1!C495</f>
        <v>Plymouth Ave.</v>
      </c>
      <c r="D501" s="1075" t="str">
        <f>_xlfn.TEXTBEFORE(Sheet1!E495, " to ")</f>
        <v>Grand Ave.</v>
      </c>
      <c r="E501" s="1075" t="str">
        <f>_xlfn.TEXTAFTER(Sheet1!E495, " to ")</f>
        <v>Hazen Rd.</v>
      </c>
      <c r="F501" s="1075">
        <f>Sheet1!AM495</f>
        <v>2</v>
      </c>
      <c r="G501" s="1075"/>
      <c r="H501" s="1083" t="str">
        <f>Sheet1!AE495</f>
        <v>E</v>
      </c>
      <c r="I501" s="1075"/>
      <c r="J501" s="1075" t="str">
        <f>Sheet1!Q495</f>
        <v>UA_NSSRC1_2W_2L_U_0L</v>
      </c>
      <c r="K501" s="1075"/>
      <c r="L501" s="1075">
        <f>Sheet1!AF495</f>
        <v>13640</v>
      </c>
      <c r="M501" s="1075"/>
      <c r="N501" s="1075"/>
      <c r="O501" s="1075"/>
      <c r="P501" s="1075">
        <f>Sheet1!AK495</f>
        <v>1230</v>
      </c>
      <c r="Q501" s="1075"/>
      <c r="R501" s="1075">
        <f>Sheet1!AD495</f>
        <v>1180</v>
      </c>
      <c r="S501" s="1081">
        <f>Sheet1!AG495</f>
        <v>8.6510263929618775E-2</v>
      </c>
      <c r="T501" s="1075" t="str">
        <f>Sheet1!AH495</f>
        <v>C</v>
      </c>
      <c r="U501" s="1075">
        <f>Sheet1!AI495</f>
        <v>100</v>
      </c>
      <c r="V501" s="1075"/>
      <c r="W501" s="1075"/>
      <c r="X501" s="1075">
        <f>Sheet1!AJ495</f>
        <v>100</v>
      </c>
      <c r="Y501" s="1075"/>
      <c r="Z501" s="1075"/>
      <c r="AA501" s="1075"/>
      <c r="AB501" s="1075"/>
      <c r="AC501" s="1075"/>
      <c r="AD501" s="1075"/>
      <c r="AE501" s="1075"/>
      <c r="AF501" s="1075"/>
      <c r="AG501" s="1075"/>
      <c r="AH501" s="1075"/>
      <c r="AI501" s="1075"/>
      <c r="AJ501" s="1075"/>
      <c r="AK501" s="1075" t="str">
        <f>IF(Sheet1!AE498="C",Sheet1!AK498,"-")</f>
        <v>-</v>
      </c>
      <c r="AL501" s="1075" t="str">
        <f>IF(Sheet1!AE498="D",Sheet1!AK498,"-")</f>
        <v>-</v>
      </c>
      <c r="AM501" s="1075">
        <f>IF(Sheet1!AE495="E",Sheet1!AK495,"-")</f>
        <v>1230</v>
      </c>
    </row>
    <row r="502" spans="2:39" x14ac:dyDescent="0.25">
      <c r="B502" s="1082">
        <f>Sheet1!F496</f>
        <v>1491</v>
      </c>
      <c r="C502" s="1075" t="str">
        <f>Sheet1!C496</f>
        <v>Plymouth Ave.</v>
      </c>
      <c r="D502" s="1075" t="str">
        <f>_xlfn.TEXTBEFORE(Sheet1!E496, " to ")</f>
        <v>Hazen Rd.</v>
      </c>
      <c r="E502" s="1075" t="str">
        <f>_xlfn.TEXTAFTER(Sheet1!E496, " to ")</f>
        <v>SR 15A</v>
      </c>
      <c r="F502" s="1075">
        <f>Sheet1!AM496</f>
        <v>2</v>
      </c>
      <c r="G502" s="1075"/>
      <c r="H502" s="1083" t="str">
        <f>Sheet1!AE496</f>
        <v>E</v>
      </c>
      <c r="I502" s="1075"/>
      <c r="J502" s="1075" t="str">
        <f>Sheet1!Q496</f>
        <v>UA_NSSRC1_2W_2L_U_0L</v>
      </c>
      <c r="K502" s="1075"/>
      <c r="L502" s="1075">
        <f>Sheet1!AF496</f>
        <v>13640</v>
      </c>
      <c r="M502" s="1075"/>
      <c r="N502" s="1075"/>
      <c r="O502" s="1075"/>
      <c r="P502" s="1075">
        <f>Sheet1!AK496</f>
        <v>1230</v>
      </c>
      <c r="Q502" s="1075"/>
      <c r="R502" s="1075">
        <f>Sheet1!AD496</f>
        <v>5840</v>
      </c>
      <c r="S502" s="1081">
        <f>Sheet1!AG496</f>
        <v>0.42815249266862171</v>
      </c>
      <c r="T502" s="1075" t="str">
        <f>Sheet1!AH496</f>
        <v>C</v>
      </c>
      <c r="U502" s="1075">
        <f>Sheet1!AI496</f>
        <v>540</v>
      </c>
      <c r="V502" s="1075"/>
      <c r="W502" s="1075"/>
      <c r="X502" s="1075">
        <f>Sheet1!AJ496</f>
        <v>520</v>
      </c>
      <c r="Y502" s="1075"/>
      <c r="Z502" s="1075"/>
      <c r="AA502" s="1075"/>
      <c r="AB502" s="1075"/>
      <c r="AC502" s="1075"/>
      <c r="AD502" s="1075"/>
      <c r="AE502" s="1075"/>
      <c r="AF502" s="1075"/>
      <c r="AG502" s="1075"/>
      <c r="AH502" s="1075"/>
      <c r="AI502" s="1075"/>
      <c r="AJ502" s="1075"/>
      <c r="AK502" s="1075" t="str">
        <f>IF(Sheet1!AE499="C",Sheet1!AK499,"-")</f>
        <v>-</v>
      </c>
      <c r="AL502" s="1075" t="str">
        <f>IF(Sheet1!AE499="D",Sheet1!AK499,"-")</f>
        <v>-</v>
      </c>
      <c r="AM502" s="1075">
        <f>IF(Sheet1!AE496="E",Sheet1!AK496,"-")</f>
        <v>1230</v>
      </c>
    </row>
    <row r="503" spans="2:39" x14ac:dyDescent="0.25">
      <c r="B503" s="1082">
        <f>Sheet1!F497</f>
        <v>1493</v>
      </c>
      <c r="C503" s="1075" t="str">
        <f>Sheet1!C497</f>
        <v>Plymouth Ave.</v>
      </c>
      <c r="D503" s="1075" t="str">
        <f>_xlfn.TEXTBEFORE(Sheet1!E497, " to ")</f>
        <v>SR 15A</v>
      </c>
      <c r="E503" s="1075" t="str">
        <f>_xlfn.TEXTAFTER(Sheet1!E497, " to ")</f>
        <v>Stone St.</v>
      </c>
      <c r="F503" s="1075">
        <f>Sheet1!AM497</f>
        <v>2</v>
      </c>
      <c r="G503" s="1075"/>
      <c r="H503" s="1083" t="str">
        <f>Sheet1!AE497</f>
        <v>E</v>
      </c>
      <c r="I503" s="1075"/>
      <c r="J503" s="1075" t="str">
        <f>Sheet1!Q497</f>
        <v>UA_NSSRC2_2W_2L_U_0L</v>
      </c>
      <c r="K503" s="1075"/>
      <c r="L503" s="1075">
        <f>Sheet1!AF497</f>
        <v>13640</v>
      </c>
      <c r="M503" s="1075"/>
      <c r="N503" s="1075"/>
      <c r="O503" s="1075"/>
      <c r="P503" s="1075">
        <f>Sheet1!AK497</f>
        <v>1020</v>
      </c>
      <c r="Q503" s="1075"/>
      <c r="R503" s="1075">
        <f>Sheet1!AD497</f>
        <v>8370</v>
      </c>
      <c r="S503" s="1081">
        <f>Sheet1!AG497</f>
        <v>0.61363636363636365</v>
      </c>
      <c r="T503" s="1075" t="str">
        <f>Sheet1!AH497</f>
        <v>D</v>
      </c>
      <c r="U503" s="1075">
        <f>Sheet1!AI497</f>
        <v>600</v>
      </c>
      <c r="V503" s="1075"/>
      <c r="W503" s="1075"/>
      <c r="X503" s="1075">
        <f>Sheet1!AJ497</f>
        <v>680</v>
      </c>
      <c r="Y503" s="1075"/>
      <c r="Z503" s="1075"/>
      <c r="AA503" s="1075"/>
      <c r="AB503" s="1075"/>
      <c r="AC503" s="1075"/>
      <c r="AD503" s="1075"/>
      <c r="AE503" s="1075"/>
      <c r="AF503" s="1075"/>
      <c r="AG503" s="1075"/>
      <c r="AH503" s="1075"/>
      <c r="AI503" s="1075"/>
      <c r="AJ503" s="1075"/>
      <c r="AK503" s="1075" t="str">
        <f>IF(Sheet1!AE500="C",Sheet1!AK500,"-")</f>
        <v>-</v>
      </c>
      <c r="AL503" s="1075" t="str">
        <f>IF(Sheet1!AE500="D",Sheet1!AK500,"-")</f>
        <v>-</v>
      </c>
      <c r="AM503" s="1075">
        <f>IF(Sheet1!AE497="E",Sheet1!AK497,"-")</f>
        <v>1020</v>
      </c>
    </row>
    <row r="504" spans="2:39" x14ac:dyDescent="0.25">
      <c r="B504" s="1082">
        <f>Sheet1!F498</f>
        <v>1495</v>
      </c>
      <c r="C504" s="1075" t="str">
        <f>Sheet1!C498</f>
        <v>Plymouth Ave.</v>
      </c>
      <c r="D504" s="1075" t="str">
        <f>_xlfn.TEXTBEFORE(Sheet1!E498, " to ")</f>
        <v>Stone St.</v>
      </c>
      <c r="E504" s="1075" t="str">
        <f>_xlfn.TEXTAFTER(Sheet1!E498, " to ")</f>
        <v>Clara Ave</v>
      </c>
      <c r="F504" s="1075">
        <f>Sheet1!AM498</f>
        <v>2</v>
      </c>
      <c r="G504" s="1075"/>
      <c r="H504" s="1083" t="str">
        <f>Sheet1!AE498</f>
        <v>E</v>
      </c>
      <c r="I504" s="1075"/>
      <c r="J504" s="1075" t="str">
        <f>Sheet1!Q498</f>
        <v>UA_NSSRC2_2W_2L_U_0L</v>
      </c>
      <c r="K504" s="1075"/>
      <c r="L504" s="1075">
        <f>Sheet1!AF498</f>
        <v>13640</v>
      </c>
      <c r="M504" s="1075"/>
      <c r="N504" s="1075"/>
      <c r="O504" s="1075"/>
      <c r="P504" s="1075">
        <f>Sheet1!AK498</f>
        <v>1020</v>
      </c>
      <c r="Q504" s="1075"/>
      <c r="R504" s="1075">
        <f>Sheet1!AD498</f>
        <v>9250</v>
      </c>
      <c r="S504" s="1081">
        <f>Sheet1!AG498</f>
        <v>0.67815249266862165</v>
      </c>
      <c r="T504" s="1075" t="str">
        <f>Sheet1!AH498</f>
        <v>D</v>
      </c>
      <c r="U504" s="1075">
        <f>Sheet1!AI498</f>
        <v>600</v>
      </c>
      <c r="V504" s="1075"/>
      <c r="W504" s="1075"/>
      <c r="X504" s="1075">
        <f>Sheet1!AJ498</f>
        <v>770</v>
      </c>
      <c r="Y504" s="1075"/>
      <c r="Z504" s="1075"/>
      <c r="AA504" s="1075"/>
      <c r="AB504" s="1075"/>
      <c r="AC504" s="1075"/>
      <c r="AD504" s="1075"/>
      <c r="AE504" s="1075"/>
      <c r="AF504" s="1075"/>
      <c r="AG504" s="1075"/>
      <c r="AH504" s="1075"/>
      <c r="AI504" s="1075"/>
      <c r="AJ504" s="1075"/>
      <c r="AK504" s="1075" t="str">
        <f>IF(Sheet1!AE501="C",Sheet1!AK501,"-")</f>
        <v>-</v>
      </c>
      <c r="AL504" s="1075" t="str">
        <f>IF(Sheet1!AE501="D",Sheet1!AK501,"-")</f>
        <v>-</v>
      </c>
      <c r="AM504" s="1075">
        <f>IF(Sheet1!AE498="E",Sheet1!AK498,"-")</f>
        <v>1020</v>
      </c>
    </row>
    <row r="505" spans="2:39" x14ac:dyDescent="0.25">
      <c r="B505" s="1082">
        <f>Sheet1!F499</f>
        <v>1497</v>
      </c>
      <c r="C505" s="1075" t="str">
        <f>Sheet1!C499</f>
        <v>Plymouth Ave.</v>
      </c>
      <c r="D505" s="1075" t="str">
        <f>_xlfn.TEXTBEFORE(Sheet1!E499, " to ")</f>
        <v>Clara Ave.</v>
      </c>
      <c r="E505" s="1075" t="str">
        <f>_xlfn.TEXTAFTER(Sheet1!E499, " to ")</f>
        <v xml:space="preserve"> US 17/92</v>
      </c>
      <c r="F505" s="1075">
        <f>Sheet1!AM499</f>
        <v>2</v>
      </c>
      <c r="G505" s="1075"/>
      <c r="H505" s="1083" t="str">
        <f>Sheet1!AE499</f>
        <v>E</v>
      </c>
      <c r="I505" s="1075"/>
      <c r="J505" s="1075" t="str">
        <f>Sheet1!Q499</f>
        <v>UA_NSSRC2_2W_2L_U_WL</v>
      </c>
      <c r="K505" s="1075"/>
      <c r="L505" s="1075">
        <f>Sheet1!AF499</f>
        <v>14040</v>
      </c>
      <c r="M505" s="1075"/>
      <c r="N505" s="1075"/>
      <c r="O505" s="1075"/>
      <c r="P505" s="1075">
        <f>Sheet1!AK499</f>
        <v>1270</v>
      </c>
      <c r="Q505" s="1075"/>
      <c r="R505" s="1075">
        <f>Sheet1!AD499</f>
        <v>10990</v>
      </c>
      <c r="S505" s="1081">
        <f>Sheet1!AG499</f>
        <v>0.78276353276353272</v>
      </c>
      <c r="T505" s="1075" t="str">
        <f>Sheet1!AH499</f>
        <v>D</v>
      </c>
      <c r="U505" s="1075">
        <f>Sheet1!AI499</f>
        <v>700</v>
      </c>
      <c r="V505" s="1075"/>
      <c r="W505" s="1075"/>
      <c r="X505" s="1075">
        <f>Sheet1!AJ499</f>
        <v>940</v>
      </c>
      <c r="Y505" s="1075"/>
      <c r="Z505" s="1075"/>
      <c r="AA505" s="1075"/>
      <c r="AB505" s="1075"/>
      <c r="AC505" s="1075"/>
      <c r="AD505" s="1075"/>
      <c r="AE505" s="1075"/>
      <c r="AF505" s="1075"/>
      <c r="AG505" s="1075"/>
      <c r="AH505" s="1075"/>
      <c r="AI505" s="1075"/>
      <c r="AJ505" s="1075"/>
      <c r="AK505" s="1075" t="str">
        <f>IF(Sheet1!AE502="C",Sheet1!AK502,"-")</f>
        <v>-</v>
      </c>
      <c r="AL505" s="1075" t="str">
        <f>IF(Sheet1!AE502="D",Sheet1!AK502,"-")</f>
        <v>-</v>
      </c>
      <c r="AM505" s="1075">
        <f>IF(Sheet1!AE499="E",Sheet1!AK499,"-")</f>
        <v>1270</v>
      </c>
    </row>
    <row r="506" spans="2:39" x14ac:dyDescent="0.25">
      <c r="B506" s="1082">
        <f>Sheet1!F500</f>
        <v>1498</v>
      </c>
      <c r="C506" s="1075" t="str">
        <f>Sheet1!C500</f>
        <v>Plymouth Ave.</v>
      </c>
      <c r="D506" s="1075" t="str">
        <f>_xlfn.TEXTBEFORE(Sheet1!E500, " to ")</f>
        <v>US 17/92</v>
      </c>
      <c r="E506" s="1075" t="str">
        <f>_xlfn.TEXTAFTER(Sheet1!E500, " to ")</f>
        <v>Amelia Ave</v>
      </c>
      <c r="F506" s="1075">
        <f>Sheet1!AM500</f>
        <v>2</v>
      </c>
      <c r="G506" s="1075"/>
      <c r="H506" s="1083" t="str">
        <f>Sheet1!AE500</f>
        <v>E</v>
      </c>
      <c r="I506" s="1075"/>
      <c r="J506" s="1075" t="str">
        <f>Sheet1!Q500</f>
        <v>UA_NSSRC2_2W_2L_U_WL</v>
      </c>
      <c r="K506" s="1075"/>
      <c r="L506" s="1075">
        <f>Sheet1!AF500</f>
        <v>14040</v>
      </c>
      <c r="M506" s="1075"/>
      <c r="N506" s="1075"/>
      <c r="O506" s="1075"/>
      <c r="P506" s="1075">
        <f>Sheet1!AK500</f>
        <v>1270</v>
      </c>
      <c r="Q506" s="1075"/>
      <c r="R506" s="1075">
        <f>Sheet1!AD500</f>
        <v>7580</v>
      </c>
      <c r="S506" s="1081">
        <f>Sheet1!AG500</f>
        <v>0.53988603988603989</v>
      </c>
      <c r="T506" s="1075" t="str">
        <f>Sheet1!AH500</f>
        <v>D</v>
      </c>
      <c r="U506" s="1075">
        <f>Sheet1!AI500</f>
        <v>500</v>
      </c>
      <c r="V506" s="1075"/>
      <c r="W506" s="1075"/>
      <c r="X506" s="1075">
        <f>Sheet1!AJ500</f>
        <v>650</v>
      </c>
      <c r="Y506" s="1075"/>
      <c r="Z506" s="1075"/>
      <c r="AA506" s="1075"/>
      <c r="AB506" s="1075"/>
      <c r="AC506" s="1075"/>
      <c r="AD506" s="1075"/>
      <c r="AE506" s="1075"/>
      <c r="AF506" s="1075"/>
      <c r="AG506" s="1075"/>
      <c r="AH506" s="1075"/>
      <c r="AI506" s="1075"/>
      <c r="AJ506" s="1075"/>
      <c r="AK506" s="1075" t="str">
        <f>IF(Sheet1!AE503="C",Sheet1!AK503,"-")</f>
        <v>-</v>
      </c>
      <c r="AL506" s="1075" t="str">
        <f>IF(Sheet1!AE503="D",Sheet1!AK503,"-")</f>
        <v>-</v>
      </c>
      <c r="AM506" s="1075">
        <f>IF(Sheet1!AE500="E",Sheet1!AK500,"-")</f>
        <v>1270</v>
      </c>
    </row>
    <row r="507" spans="2:39" x14ac:dyDescent="0.25">
      <c r="B507" s="1082">
        <f>Sheet1!F501</f>
        <v>1500</v>
      </c>
      <c r="C507" s="1075" t="str">
        <f>Sheet1!C501</f>
        <v>Plymouth Ave.</v>
      </c>
      <c r="D507" s="1075" t="str">
        <f>_xlfn.TEXTBEFORE(Sheet1!E501, " to ")</f>
        <v>Amelia Ave.</v>
      </c>
      <c r="E507" s="1075" t="str">
        <f>_xlfn.TEXTAFTER(Sheet1!E501, " to ")</f>
        <v>Garfield Ave.</v>
      </c>
      <c r="F507" s="1075">
        <f>Sheet1!AM501</f>
        <v>2</v>
      </c>
      <c r="G507" s="1075"/>
      <c r="H507" s="1083" t="str">
        <f>Sheet1!AE501</f>
        <v>E</v>
      </c>
      <c r="I507" s="1075"/>
      <c r="J507" s="1075" t="str">
        <f>Sheet1!Q501</f>
        <v>UA_NSSRC2_2W_2L_U_0L</v>
      </c>
      <c r="K507" s="1075"/>
      <c r="L507" s="1075">
        <f>Sheet1!AF501</f>
        <v>13640</v>
      </c>
      <c r="M507" s="1075"/>
      <c r="N507" s="1075"/>
      <c r="O507" s="1075"/>
      <c r="P507" s="1075">
        <f>Sheet1!AK501</f>
        <v>1020</v>
      </c>
      <c r="Q507" s="1075"/>
      <c r="R507" s="1075">
        <f>Sheet1!AD501</f>
        <v>6290</v>
      </c>
      <c r="S507" s="1081">
        <f>Sheet1!AG501</f>
        <v>0.46114369501466274</v>
      </c>
      <c r="T507" s="1075" t="str">
        <f>Sheet1!AH501</f>
        <v>D</v>
      </c>
      <c r="U507" s="1075">
        <f>Sheet1!AI501</f>
        <v>450</v>
      </c>
      <c r="V507" s="1075"/>
      <c r="W507" s="1075"/>
      <c r="X507" s="1075">
        <f>Sheet1!AJ501</f>
        <v>540</v>
      </c>
      <c r="Y507" s="1075"/>
      <c r="Z507" s="1075"/>
      <c r="AA507" s="1075"/>
      <c r="AB507" s="1075"/>
      <c r="AC507" s="1075"/>
      <c r="AD507" s="1075"/>
      <c r="AE507" s="1075"/>
      <c r="AF507" s="1075"/>
      <c r="AG507" s="1075"/>
      <c r="AH507" s="1075"/>
      <c r="AI507" s="1075"/>
      <c r="AJ507" s="1075"/>
      <c r="AK507" s="1075" t="str">
        <f>IF(Sheet1!AE504="C",Sheet1!AK504,"-")</f>
        <v>-</v>
      </c>
      <c r="AL507" s="1075" t="str">
        <f>IF(Sheet1!AE504="D",Sheet1!AK504,"-")</f>
        <v>-</v>
      </c>
      <c r="AM507" s="1075">
        <f>IF(Sheet1!AE501="E",Sheet1!AK501,"-")</f>
        <v>1020</v>
      </c>
    </row>
    <row r="508" spans="2:39" x14ac:dyDescent="0.25">
      <c r="B508" s="1082">
        <f>Sheet1!F502</f>
        <v>1502</v>
      </c>
      <c r="C508" s="1075" t="str">
        <f>Sheet1!C502</f>
        <v>Plymouth Ave.</v>
      </c>
      <c r="D508" s="1075" t="str">
        <f>_xlfn.TEXTBEFORE(Sheet1!E502, " to ")</f>
        <v>Garfield Ave.</v>
      </c>
      <c r="E508" s="1075" t="str">
        <f>_xlfn.TEXTAFTER(Sheet1!E502, " to ")</f>
        <v>Blue Lake Rd./Jacobs Dairy Rd</v>
      </c>
      <c r="F508" s="1075">
        <f>Sheet1!AM502</f>
        <v>2</v>
      </c>
      <c r="G508" s="1075"/>
      <c r="H508" s="1083" t="str">
        <f>Sheet1!AE502</f>
        <v>E</v>
      </c>
      <c r="I508" s="1075"/>
      <c r="J508" s="1075" t="str">
        <f>Sheet1!Q502</f>
        <v>UA_NSSRC2_2W_2L_U_0L</v>
      </c>
      <c r="K508" s="1075"/>
      <c r="L508" s="1075">
        <f>Sheet1!AF502</f>
        <v>13640</v>
      </c>
      <c r="M508" s="1075"/>
      <c r="N508" s="1075"/>
      <c r="O508" s="1075"/>
      <c r="P508" s="1075">
        <f>Sheet1!AK502</f>
        <v>1020</v>
      </c>
      <c r="Q508" s="1075"/>
      <c r="R508" s="1075">
        <f>Sheet1!AD502</f>
        <v>5880</v>
      </c>
      <c r="S508" s="1081">
        <f>Sheet1!AG502</f>
        <v>0.4310850439882698</v>
      </c>
      <c r="T508" s="1075" t="str">
        <f>Sheet1!AH502</f>
        <v>D</v>
      </c>
      <c r="U508" s="1075">
        <f>Sheet1!AI502</f>
        <v>450</v>
      </c>
      <c r="V508" s="1075"/>
      <c r="W508" s="1075"/>
      <c r="X508" s="1075">
        <f>Sheet1!AJ502</f>
        <v>530</v>
      </c>
      <c r="Y508" s="1075"/>
      <c r="Z508" s="1075"/>
      <c r="AA508" s="1075"/>
      <c r="AB508" s="1075"/>
      <c r="AC508" s="1075"/>
      <c r="AD508" s="1075"/>
      <c r="AE508" s="1075"/>
      <c r="AF508" s="1075"/>
      <c r="AG508" s="1075"/>
      <c r="AH508" s="1075"/>
      <c r="AI508" s="1075"/>
      <c r="AJ508" s="1075"/>
      <c r="AK508" s="1075" t="str">
        <f>IF(Sheet1!AE505="C",Sheet1!AK505,"-")</f>
        <v>-</v>
      </c>
      <c r="AL508" s="1075" t="str">
        <f>IF(Sheet1!AE505="D",Sheet1!AK505,"-")</f>
        <v>-</v>
      </c>
      <c r="AM508" s="1075">
        <f>IF(Sheet1!AE502="E",Sheet1!AK502,"-")</f>
        <v>1020</v>
      </c>
    </row>
    <row r="509" spans="2:39" x14ac:dyDescent="0.25">
      <c r="B509" s="1082">
        <f>Sheet1!F503</f>
        <v>1511</v>
      </c>
      <c r="C509" s="1075" t="str">
        <f>Sheet1!C503</f>
        <v>Ponce DeLeon Blvd.</v>
      </c>
      <c r="D509" s="1075" t="str">
        <f>_xlfn.TEXTBEFORE(Sheet1!E503, " to ")</f>
        <v>CR 3</v>
      </c>
      <c r="E509" s="1075" t="str">
        <f>_xlfn.TEXTAFTER(Sheet1!E503, " to ")</f>
        <v>US 17</v>
      </c>
      <c r="F509" s="1075">
        <f>Sheet1!AM503</f>
        <v>2</v>
      </c>
      <c r="G509" s="1075"/>
      <c r="H509" s="1083" t="str">
        <f>Sheet1!AE503</f>
        <v>E</v>
      </c>
      <c r="I509" s="1075"/>
      <c r="J509" s="1075" t="str">
        <f>Sheet1!Q503</f>
        <v>UA_NSSRC2_2W_2L_U_0L</v>
      </c>
      <c r="K509" s="1075"/>
      <c r="L509" s="1075">
        <f>Sheet1!AF503</f>
        <v>13640</v>
      </c>
      <c r="M509" s="1075"/>
      <c r="N509" s="1075"/>
      <c r="O509" s="1075"/>
      <c r="P509" s="1075">
        <f>Sheet1!AK503</f>
        <v>1020</v>
      </c>
      <c r="Q509" s="1075"/>
      <c r="R509" s="1075">
        <f>Sheet1!AD503</f>
        <v>2650</v>
      </c>
      <c r="S509" s="1081">
        <f>Sheet1!AG503</f>
        <v>0.19428152492668621</v>
      </c>
      <c r="T509" s="1075" t="str">
        <f>Sheet1!AH503</f>
        <v>C</v>
      </c>
      <c r="U509" s="1075">
        <f>Sheet1!AI503</f>
        <v>180</v>
      </c>
      <c r="V509" s="1075"/>
      <c r="W509" s="1075"/>
      <c r="X509" s="1075">
        <f>Sheet1!AJ503</f>
        <v>220</v>
      </c>
      <c r="Y509" s="1075"/>
      <c r="Z509" s="1075"/>
      <c r="AA509" s="1075"/>
      <c r="AB509" s="1075"/>
      <c r="AC509" s="1075"/>
      <c r="AD509" s="1075"/>
      <c r="AE509" s="1075"/>
      <c r="AF509" s="1075"/>
      <c r="AG509" s="1075"/>
      <c r="AH509" s="1075"/>
      <c r="AI509" s="1075"/>
      <c r="AJ509" s="1075"/>
      <c r="AK509" s="1075" t="str">
        <f>IF(Sheet1!AE506="C",Sheet1!AK506,"-")</f>
        <v>-</v>
      </c>
      <c r="AL509" s="1075" t="str">
        <f>IF(Sheet1!AE506="D",Sheet1!AK506,"-")</f>
        <v>-</v>
      </c>
      <c r="AM509" s="1075">
        <f>IF(Sheet1!AE503="E",Sheet1!AK503,"-")</f>
        <v>1020</v>
      </c>
    </row>
    <row r="510" spans="2:39" x14ac:dyDescent="0.25">
      <c r="B510" s="1082">
        <f>Sheet1!F504</f>
        <v>1530</v>
      </c>
      <c r="C510" s="1075" t="str">
        <f>Sheet1!C504</f>
        <v>Providence Blvd.</v>
      </c>
      <c r="D510" s="1075" t="str">
        <f>_xlfn.TEXTBEFORE(Sheet1!E504, " to ")</f>
        <v>Doyle Rd.</v>
      </c>
      <c r="E510" s="1075" t="str">
        <f>_xlfn.TEXTAFTER(Sheet1!E504, " to ")</f>
        <v>Anderson Dr.</v>
      </c>
      <c r="F510" s="1075">
        <f>Sheet1!AM504</f>
        <v>2</v>
      </c>
      <c r="G510" s="1075"/>
      <c r="H510" s="1083" t="str">
        <f>Sheet1!AE504</f>
        <v>E</v>
      </c>
      <c r="I510" s="1075"/>
      <c r="J510" s="1075" t="str">
        <f>Sheet1!Q504</f>
        <v>UA_NSSRC2_2W_2L_U_0L</v>
      </c>
      <c r="K510" s="1075"/>
      <c r="L510" s="1075">
        <f>Sheet1!AF504</f>
        <v>13640</v>
      </c>
      <c r="M510" s="1075"/>
      <c r="N510" s="1075"/>
      <c r="O510" s="1075"/>
      <c r="P510" s="1075">
        <f>Sheet1!AK504</f>
        <v>1020</v>
      </c>
      <c r="Q510" s="1075"/>
      <c r="R510" s="1075">
        <f>Sheet1!AD504</f>
        <v>12140</v>
      </c>
      <c r="S510" s="1081">
        <f>Sheet1!AG504</f>
        <v>0.89002932551319647</v>
      </c>
      <c r="T510" s="1075" t="str">
        <f>Sheet1!AH504</f>
        <v>E</v>
      </c>
      <c r="U510" s="1075">
        <f>Sheet1!AI504</f>
        <v>830</v>
      </c>
      <c r="V510" s="1075"/>
      <c r="W510" s="1075"/>
      <c r="X510" s="1075">
        <f>Sheet1!AJ504</f>
        <v>960</v>
      </c>
      <c r="Y510" s="1075"/>
      <c r="Z510" s="1075"/>
      <c r="AA510" s="1075"/>
      <c r="AB510" s="1075"/>
      <c r="AC510" s="1075"/>
      <c r="AD510" s="1075"/>
      <c r="AE510" s="1075"/>
      <c r="AF510" s="1075"/>
      <c r="AG510" s="1075"/>
      <c r="AH510" s="1075"/>
      <c r="AI510" s="1075"/>
      <c r="AJ510" s="1075"/>
      <c r="AK510" s="1075" t="str">
        <f>IF(Sheet1!AE507="C",Sheet1!AK507,"-")</f>
        <v>-</v>
      </c>
      <c r="AL510" s="1075" t="str">
        <f>IF(Sheet1!AE507="D",Sheet1!AK507,"-")</f>
        <v>-</v>
      </c>
      <c r="AM510" s="1075">
        <f>IF(Sheet1!AE504="E",Sheet1!AK504,"-")</f>
        <v>1020</v>
      </c>
    </row>
    <row r="511" spans="2:39" x14ac:dyDescent="0.25">
      <c r="B511" s="1082">
        <f>Sheet1!F505</f>
        <v>1534</v>
      </c>
      <c r="C511" s="1075" t="str">
        <f>Sheet1!C505</f>
        <v>Providence Blvd.</v>
      </c>
      <c r="D511" s="1075" t="str">
        <f>_xlfn.TEXTBEFORE(Sheet1!E505, " to ")</f>
        <v>Anderson Dr.</v>
      </c>
      <c r="E511" s="1075" t="str">
        <f>_xlfn.TEXTAFTER(Sheet1!E505, " to ")</f>
        <v>Normandy Blvd.</v>
      </c>
      <c r="F511" s="1075">
        <f>Sheet1!AM505</f>
        <v>2</v>
      </c>
      <c r="G511" s="1075"/>
      <c r="H511" s="1083" t="str">
        <f>Sheet1!AE505</f>
        <v>E</v>
      </c>
      <c r="I511" s="1075"/>
      <c r="J511" s="1075" t="str">
        <f>Sheet1!Q505</f>
        <v>UA_NSSRC2_2W_2L_U_0L</v>
      </c>
      <c r="K511" s="1075"/>
      <c r="L511" s="1075">
        <f>Sheet1!AF505</f>
        <v>13640</v>
      </c>
      <c r="M511" s="1075"/>
      <c r="N511" s="1075"/>
      <c r="O511" s="1075"/>
      <c r="P511" s="1075">
        <f>Sheet1!AK505</f>
        <v>1020</v>
      </c>
      <c r="Q511" s="1075"/>
      <c r="R511" s="1075">
        <f>Sheet1!AD505</f>
        <v>11360</v>
      </c>
      <c r="S511" s="1081">
        <f>Sheet1!AG505</f>
        <v>0.83284457478005869</v>
      </c>
      <c r="T511" s="1075" t="str">
        <f>Sheet1!AH505</f>
        <v>E</v>
      </c>
      <c r="U511" s="1075">
        <f>Sheet1!AI505</f>
        <v>760</v>
      </c>
      <c r="V511" s="1075"/>
      <c r="W511" s="1075"/>
      <c r="X511" s="1075">
        <f>Sheet1!AJ505</f>
        <v>920</v>
      </c>
      <c r="Y511" s="1075"/>
      <c r="Z511" s="1075"/>
      <c r="AA511" s="1075"/>
      <c r="AB511" s="1075"/>
      <c r="AC511" s="1075"/>
      <c r="AD511" s="1075"/>
      <c r="AE511" s="1075"/>
      <c r="AF511" s="1075"/>
      <c r="AG511" s="1075"/>
      <c r="AH511" s="1075"/>
      <c r="AI511" s="1075"/>
      <c r="AJ511" s="1075"/>
      <c r="AK511" s="1075" t="str">
        <f>IF(Sheet1!AE508="C",Sheet1!AK508,"-")</f>
        <v>-</v>
      </c>
      <c r="AL511" s="1075" t="str">
        <f>IF(Sheet1!AE508="D",Sheet1!AK508,"-")</f>
        <v>-</v>
      </c>
      <c r="AM511" s="1075">
        <f>IF(Sheet1!AE505="E",Sheet1!AK505,"-")</f>
        <v>1020</v>
      </c>
    </row>
    <row r="512" spans="2:39" x14ac:dyDescent="0.25">
      <c r="B512" s="1082">
        <f>Sheet1!F506</f>
        <v>1535</v>
      </c>
      <c r="C512" s="1075" t="str">
        <f>Sheet1!C506</f>
        <v>Providence Blvd.</v>
      </c>
      <c r="D512" s="1075" t="str">
        <f>_xlfn.TEXTBEFORE(Sheet1!E506, " to ")</f>
        <v>Normandy Blvd</v>
      </c>
      <c r="E512" s="1075" t="str">
        <f>_xlfn.TEXTAFTER(Sheet1!E506, " to ")</f>
        <v>Saxon Blvd.</v>
      </c>
      <c r="F512" s="1075">
        <f>Sheet1!AM506</f>
        <v>2</v>
      </c>
      <c r="G512" s="1075"/>
      <c r="H512" s="1083" t="str">
        <f>Sheet1!AE506</f>
        <v>E</v>
      </c>
      <c r="I512" s="1075"/>
      <c r="J512" s="1075" t="str">
        <f>Sheet1!Q506</f>
        <v>UA_NSSRC2_2W_2L_U_0L</v>
      </c>
      <c r="K512" s="1075"/>
      <c r="L512" s="1075">
        <f>Sheet1!AF506</f>
        <v>13640</v>
      </c>
      <c r="M512" s="1075"/>
      <c r="N512" s="1075"/>
      <c r="O512" s="1075"/>
      <c r="P512" s="1075">
        <f>Sheet1!AK506</f>
        <v>1020</v>
      </c>
      <c r="Q512" s="1075"/>
      <c r="R512" s="1075">
        <f>Sheet1!AD506</f>
        <v>7180</v>
      </c>
      <c r="S512" s="1081">
        <f>Sheet1!AG506</f>
        <v>0.52639296187683282</v>
      </c>
      <c r="T512" s="1075" t="str">
        <f>Sheet1!AH506</f>
        <v>D</v>
      </c>
      <c r="U512" s="1075">
        <f>Sheet1!AI506</f>
        <v>410</v>
      </c>
      <c r="V512" s="1075"/>
      <c r="W512" s="1075"/>
      <c r="X512" s="1075">
        <f>Sheet1!AJ506</f>
        <v>590</v>
      </c>
      <c r="Y512" s="1075"/>
      <c r="Z512" s="1075"/>
      <c r="AA512" s="1075"/>
      <c r="AB512" s="1075"/>
      <c r="AC512" s="1075"/>
      <c r="AD512" s="1075"/>
      <c r="AE512" s="1075"/>
      <c r="AF512" s="1075"/>
      <c r="AG512" s="1075"/>
      <c r="AH512" s="1075"/>
      <c r="AI512" s="1075"/>
      <c r="AJ512" s="1075"/>
      <c r="AK512" s="1075" t="str">
        <f>IF(Sheet1!AE509="C",Sheet1!AK509,"-")</f>
        <v>-</v>
      </c>
      <c r="AL512" s="1075" t="str">
        <f>IF(Sheet1!AE509="D",Sheet1!AK509,"-")</f>
        <v>-</v>
      </c>
      <c r="AM512" s="1075">
        <f>IF(Sheet1!AE506="E",Sheet1!AK506,"-")</f>
        <v>1020</v>
      </c>
    </row>
    <row r="513" spans="2:39" x14ac:dyDescent="0.25">
      <c r="B513" s="1082">
        <f>Sheet1!F507</f>
        <v>1538</v>
      </c>
      <c r="C513" s="1075" t="str">
        <f>Sheet1!C507</f>
        <v>Providence Blvd.</v>
      </c>
      <c r="D513" s="1075" t="str">
        <f>_xlfn.TEXTBEFORE(Sheet1!E507, " to ")</f>
        <v>Saxon Blvd.</v>
      </c>
      <c r="E513" s="1075" t="str">
        <f>_xlfn.TEXTAFTER(Sheet1!E507, " to ")</f>
        <v>Tivoli Dr.</v>
      </c>
      <c r="F513" s="1075">
        <f>Sheet1!AM507</f>
        <v>2</v>
      </c>
      <c r="G513" s="1075"/>
      <c r="H513" s="1083" t="str">
        <f>Sheet1!AE507</f>
        <v>E</v>
      </c>
      <c r="I513" s="1075"/>
      <c r="J513" s="1075" t="str">
        <f>Sheet1!Q507</f>
        <v>UA_NSSRC2_2W_2L_D_WL</v>
      </c>
      <c r="K513" s="1075"/>
      <c r="L513" s="1075">
        <f>Sheet1!AF507</f>
        <v>14740</v>
      </c>
      <c r="M513" s="1075"/>
      <c r="N513" s="1075"/>
      <c r="O513" s="1075"/>
      <c r="P513" s="1075">
        <f>Sheet1!AK507</f>
        <v>1330</v>
      </c>
      <c r="Q513" s="1075"/>
      <c r="R513" s="1075">
        <f>Sheet1!AD507</f>
        <v>7750</v>
      </c>
      <c r="S513" s="1081">
        <f>Sheet1!AG507</f>
        <v>0.52578018995929443</v>
      </c>
      <c r="T513" s="1075" t="str">
        <f>Sheet1!AH507</f>
        <v>D</v>
      </c>
      <c r="U513" s="1075">
        <f>Sheet1!AI507</f>
        <v>410</v>
      </c>
      <c r="V513" s="1075"/>
      <c r="W513" s="1075"/>
      <c r="X513" s="1075">
        <f>Sheet1!AJ507</f>
        <v>680</v>
      </c>
      <c r="Y513" s="1075"/>
      <c r="Z513" s="1075"/>
      <c r="AA513" s="1075"/>
      <c r="AB513" s="1075"/>
      <c r="AC513" s="1075"/>
      <c r="AD513" s="1075"/>
      <c r="AE513" s="1075"/>
      <c r="AF513" s="1075"/>
      <c r="AG513" s="1075"/>
      <c r="AH513" s="1075"/>
      <c r="AI513" s="1075"/>
      <c r="AJ513" s="1075"/>
      <c r="AK513" s="1075" t="str">
        <f>IF(Sheet1!AE510="C",Sheet1!AK510,"-")</f>
        <v>-</v>
      </c>
      <c r="AL513" s="1075" t="str">
        <f>IF(Sheet1!AE510="D",Sheet1!AK510,"-")</f>
        <v>-</v>
      </c>
      <c r="AM513" s="1075">
        <f>IF(Sheet1!AE507="E",Sheet1!AK507,"-")</f>
        <v>1330</v>
      </c>
    </row>
    <row r="514" spans="2:39" x14ac:dyDescent="0.25">
      <c r="B514" s="1082">
        <f>Sheet1!F508</f>
        <v>1539</v>
      </c>
      <c r="C514" s="1075" t="str">
        <f>Sheet1!C508</f>
        <v>Providence Blvd.</v>
      </c>
      <c r="D514" s="1075" t="str">
        <f>_xlfn.TEXTBEFORE(Sheet1!E508, " to ")</f>
        <v>Tivoli Dr.</v>
      </c>
      <c r="E514" s="1075" t="str">
        <f>_xlfn.TEXTAFTER(Sheet1!E508, " to ")</f>
        <v>Ft Smith Blvd.</v>
      </c>
      <c r="F514" s="1075">
        <f>Sheet1!AM508</f>
        <v>4</v>
      </c>
      <c r="G514" s="1075"/>
      <c r="H514" s="1083" t="str">
        <f>Sheet1!AE508</f>
        <v>E</v>
      </c>
      <c r="I514" s="1075"/>
      <c r="J514" s="1075" t="str">
        <f>Sheet1!Q508</f>
        <v>UA_NSSRC2_2W_4L_D_WL</v>
      </c>
      <c r="K514" s="1075"/>
      <c r="L514" s="1075">
        <f>Sheet1!AF508</f>
        <v>30420</v>
      </c>
      <c r="M514" s="1075"/>
      <c r="N514" s="1075"/>
      <c r="O514" s="1075"/>
      <c r="P514" s="1075">
        <f>Sheet1!AK508</f>
        <v>2740</v>
      </c>
      <c r="Q514" s="1075"/>
      <c r="R514" s="1075">
        <f>Sheet1!AD508</f>
        <v>16960</v>
      </c>
      <c r="S514" s="1081">
        <f>Sheet1!AG508</f>
        <v>0.55752794214332679</v>
      </c>
      <c r="T514" s="1075" t="str">
        <f>Sheet1!AH508</f>
        <v>D</v>
      </c>
      <c r="U514" s="1075">
        <f>Sheet1!AI508</f>
        <v>940</v>
      </c>
      <c r="V514" s="1075"/>
      <c r="W514" s="1075"/>
      <c r="X514" s="1075">
        <f>Sheet1!AJ508</f>
        <v>1380</v>
      </c>
      <c r="Y514" s="1075"/>
      <c r="Z514" s="1075"/>
      <c r="AA514" s="1075"/>
      <c r="AB514" s="1075"/>
      <c r="AC514" s="1075"/>
      <c r="AD514" s="1075"/>
      <c r="AE514" s="1075"/>
      <c r="AF514" s="1075"/>
      <c r="AG514" s="1075"/>
      <c r="AH514" s="1075"/>
      <c r="AI514" s="1075"/>
      <c r="AJ514" s="1075"/>
      <c r="AK514" s="1075">
        <f>IF(Sheet1!AE511="C",Sheet1!AK511,"-")</f>
        <v>620</v>
      </c>
      <c r="AL514" s="1075" t="str">
        <f>IF(Sheet1!AE511="D",Sheet1!AK511,"-")</f>
        <v>-</v>
      </c>
      <c r="AM514" s="1075">
        <f>IF(Sheet1!AE508="E",Sheet1!AK508,"-")</f>
        <v>2740</v>
      </c>
    </row>
    <row r="515" spans="2:39" x14ac:dyDescent="0.25">
      <c r="B515" s="1082">
        <f>Sheet1!F509</f>
        <v>1541</v>
      </c>
      <c r="C515" s="1075" t="str">
        <f>Sheet1!C509</f>
        <v>Providence Blvd.</v>
      </c>
      <c r="D515" s="1075" t="str">
        <f>_xlfn.TEXTBEFORE(Sheet1!E509, " to ")</f>
        <v>Ft Smith Blvd.</v>
      </c>
      <c r="E515" s="1075" t="str">
        <f>_xlfn.TEXTAFTER(Sheet1!E509, " to ")</f>
        <v xml:space="preserve">Elkcam Blvd. </v>
      </c>
      <c r="F515" s="1075">
        <f>Sheet1!AM509</f>
        <v>2</v>
      </c>
      <c r="G515" s="1075"/>
      <c r="H515" s="1083" t="str">
        <f>Sheet1!AE509</f>
        <v>E</v>
      </c>
      <c r="I515" s="1075"/>
      <c r="J515" s="1075" t="str">
        <f>Sheet1!Q509</f>
        <v>UA_NSSRC2_2W_2L_U_0L</v>
      </c>
      <c r="K515" s="1075"/>
      <c r="L515" s="1075">
        <f>Sheet1!AF509</f>
        <v>13640</v>
      </c>
      <c r="M515" s="1075"/>
      <c r="N515" s="1075"/>
      <c r="O515" s="1075"/>
      <c r="P515" s="1075">
        <f>Sheet1!AK509</f>
        <v>1020</v>
      </c>
      <c r="Q515" s="1075"/>
      <c r="R515" s="1075">
        <f>Sheet1!AD509</f>
        <v>13360</v>
      </c>
      <c r="S515" s="1081">
        <f>Sheet1!AG509</f>
        <v>0.97947214076246336</v>
      </c>
      <c r="T515" s="1075" t="str">
        <f>Sheet1!AH509</f>
        <v>E</v>
      </c>
      <c r="U515" s="1075">
        <f>Sheet1!AI509</f>
        <v>910</v>
      </c>
      <c r="V515" s="1075"/>
      <c r="W515" s="1075"/>
      <c r="X515" s="1075">
        <f>Sheet1!AJ509</f>
        <v>1130</v>
      </c>
      <c r="Y515" s="1075"/>
      <c r="Z515" s="1075"/>
      <c r="AA515" s="1075"/>
      <c r="AB515" s="1075"/>
      <c r="AC515" s="1075"/>
      <c r="AD515" s="1075"/>
      <c r="AE515" s="1075"/>
      <c r="AF515" s="1075"/>
      <c r="AG515" s="1075"/>
      <c r="AH515" s="1075"/>
      <c r="AI515" s="1075"/>
      <c r="AJ515" s="1075"/>
      <c r="AK515" s="1075">
        <f>IF(Sheet1!AE512="C",Sheet1!AK512,"-")</f>
        <v>620</v>
      </c>
      <c r="AL515" s="1075" t="str">
        <f>IF(Sheet1!AE512="D",Sheet1!AK512,"-")</f>
        <v>-</v>
      </c>
      <c r="AM515" s="1075">
        <f>IF(Sheet1!AE509="E",Sheet1!AK509,"-")</f>
        <v>1020</v>
      </c>
    </row>
    <row r="516" spans="2:39" x14ac:dyDescent="0.25">
      <c r="B516" s="1082">
        <f>Sheet1!F510</f>
        <v>1542</v>
      </c>
      <c r="C516" s="1075" t="str">
        <f>Sheet1!C510</f>
        <v>Providence Blvd.</v>
      </c>
      <c r="D516" s="1075" t="str">
        <f>_xlfn.TEXTBEFORE(Sheet1!E510, " to ")</f>
        <v>Elkcam Blvd.</v>
      </c>
      <c r="E516" s="1075" t="str">
        <f>_xlfn.TEXTAFTER(Sheet1!E510, " to ")</f>
        <v>Howland Blvd.</v>
      </c>
      <c r="F516" s="1075">
        <f>Sheet1!AM510</f>
        <v>2</v>
      </c>
      <c r="G516" s="1075"/>
      <c r="H516" s="1083" t="str">
        <f>Sheet1!AE510</f>
        <v>E</v>
      </c>
      <c r="I516" s="1075"/>
      <c r="J516" s="1075" t="str">
        <f>Sheet1!Q510</f>
        <v>UA_NSSRC2_2W_2L_U_WL</v>
      </c>
      <c r="K516" s="1075"/>
      <c r="L516" s="1075">
        <f>Sheet1!AF510</f>
        <v>14040</v>
      </c>
      <c r="M516" s="1075"/>
      <c r="N516" s="1075"/>
      <c r="O516" s="1075"/>
      <c r="P516" s="1075">
        <f>Sheet1!AK510</f>
        <v>1270</v>
      </c>
      <c r="Q516" s="1075"/>
      <c r="R516" s="1075">
        <f>Sheet1!AD510</f>
        <v>9500</v>
      </c>
      <c r="S516" s="1081">
        <f>Sheet1!AG510</f>
        <v>0.6766381766381766</v>
      </c>
      <c r="T516" s="1075" t="str">
        <f>Sheet1!AH510</f>
        <v>D</v>
      </c>
      <c r="U516" s="1075">
        <f>Sheet1!AI510</f>
        <v>720</v>
      </c>
      <c r="V516" s="1075"/>
      <c r="W516" s="1075"/>
      <c r="X516" s="1075">
        <f>Sheet1!AJ510</f>
        <v>800</v>
      </c>
      <c r="Y516" s="1075"/>
      <c r="Z516" s="1075"/>
      <c r="AA516" s="1075"/>
      <c r="AB516" s="1075"/>
      <c r="AC516" s="1075"/>
      <c r="AD516" s="1075"/>
      <c r="AE516" s="1075"/>
      <c r="AF516" s="1075"/>
      <c r="AG516" s="1075"/>
      <c r="AH516" s="1075"/>
      <c r="AI516" s="1075"/>
      <c r="AJ516" s="1075"/>
      <c r="AK516" s="1075" t="str">
        <f>IF(Sheet1!AE513="C",Sheet1!AK513,"-")</f>
        <v>-</v>
      </c>
      <c r="AL516" s="1075" t="str">
        <f>IF(Sheet1!AE513="D",Sheet1!AK513,"-")</f>
        <v>-</v>
      </c>
      <c r="AM516" s="1075">
        <f>IF(Sheet1!AE510="E",Sheet1!AK510,"-")</f>
        <v>1270</v>
      </c>
    </row>
    <row r="517" spans="2:39" x14ac:dyDescent="0.25">
      <c r="B517" s="1082">
        <f>Sheet1!F511</f>
        <v>1550</v>
      </c>
      <c r="C517" s="1075" t="str">
        <f>Sheet1!C511</f>
        <v>Raulerson Rd. # 1</v>
      </c>
      <c r="D517" s="1075" t="str">
        <f>_xlfn.TEXTBEFORE(Sheet1!E511, " to ")</f>
        <v>US 17</v>
      </c>
      <c r="E517" s="1075" t="str">
        <f>_xlfn.TEXTAFTER(Sheet1!E511, " to ")</f>
        <v>Brownlee Rd.</v>
      </c>
      <c r="F517" s="1075">
        <f>Sheet1!AM511</f>
        <v>2</v>
      </c>
      <c r="G517" s="1075"/>
      <c r="H517" s="1083" t="str">
        <f>Sheet1!AE511</f>
        <v>C</v>
      </c>
      <c r="I517" s="1075"/>
      <c r="J517" s="1075" t="str">
        <f>Sheet1!Q511</f>
        <v>RUA_UFH_2W_2L_U_0L</v>
      </c>
      <c r="K517" s="1075"/>
      <c r="L517" s="1075">
        <f>Sheet1!AF511</f>
        <v>6450</v>
      </c>
      <c r="M517" s="1075"/>
      <c r="N517" s="1075"/>
      <c r="O517" s="1075"/>
      <c r="P517" s="1075">
        <f>Sheet1!AK511</f>
        <v>620</v>
      </c>
      <c r="Q517" s="1075"/>
      <c r="R517" s="1075">
        <f>Sheet1!AD511</f>
        <v>290</v>
      </c>
      <c r="S517" s="1081">
        <f>Sheet1!AG511</f>
        <v>4.4961240310077519E-2</v>
      </c>
      <c r="T517" s="1075" t="str">
        <f>Sheet1!AH511</f>
        <v>B</v>
      </c>
      <c r="U517" s="1075">
        <f>Sheet1!AI511</f>
        <v>20</v>
      </c>
      <c r="V517" s="1075"/>
      <c r="W517" s="1075"/>
      <c r="X517" s="1075">
        <f>Sheet1!AJ511</f>
        <v>30</v>
      </c>
      <c r="Y517" s="1075"/>
      <c r="Z517" s="1075"/>
      <c r="AA517" s="1075"/>
      <c r="AB517" s="1075"/>
      <c r="AC517" s="1075"/>
      <c r="AD517" s="1075"/>
      <c r="AE517" s="1075"/>
      <c r="AF517" s="1075"/>
      <c r="AG517" s="1075"/>
      <c r="AH517" s="1075"/>
      <c r="AI517" s="1075"/>
      <c r="AJ517" s="1075"/>
      <c r="AK517" s="1075" t="str">
        <f>IF(Sheet1!AE514="C",Sheet1!AK514,"-")</f>
        <v>-</v>
      </c>
      <c r="AL517" s="1075" t="str">
        <f>IF(Sheet1!AE514="D",Sheet1!AK514,"-")</f>
        <v>-</v>
      </c>
      <c r="AM517" s="1075" t="str">
        <f>IF(Sheet1!AE511="E",Sheet1!AK511,"-")</f>
        <v>-</v>
      </c>
    </row>
    <row r="518" spans="2:39" x14ac:dyDescent="0.25">
      <c r="B518" s="1082">
        <f>Sheet1!F512</f>
        <v>1552</v>
      </c>
      <c r="C518" s="1075" t="str">
        <f>Sheet1!C512</f>
        <v>Raulerson Rd.</v>
      </c>
      <c r="D518" s="1075" t="str">
        <f>_xlfn.TEXTBEFORE(Sheet1!E512, " to ")</f>
        <v>US 17</v>
      </c>
      <c r="E518" s="1075" t="str">
        <f>_xlfn.TEXTAFTER(Sheet1!E512, " to ")</f>
        <v>Bunnell Rd./CR 305</v>
      </c>
      <c r="F518" s="1075">
        <f>Sheet1!AM512</f>
        <v>2</v>
      </c>
      <c r="G518" s="1075"/>
      <c r="H518" s="1083" t="str">
        <f>Sheet1!AE512</f>
        <v>C</v>
      </c>
      <c r="I518" s="1075"/>
      <c r="J518" s="1075" t="str">
        <f>Sheet1!Q512</f>
        <v>RUA_UFH_2W_2L_U_0L</v>
      </c>
      <c r="K518" s="1075"/>
      <c r="L518" s="1075">
        <f>Sheet1!AF512</f>
        <v>6450</v>
      </c>
      <c r="M518" s="1075"/>
      <c r="N518" s="1075"/>
      <c r="O518" s="1075"/>
      <c r="P518" s="1075">
        <f>Sheet1!AK512</f>
        <v>620</v>
      </c>
      <c r="Q518" s="1075"/>
      <c r="R518" s="1075">
        <f>Sheet1!AD512</f>
        <v>500</v>
      </c>
      <c r="S518" s="1081">
        <f>Sheet1!AG512</f>
        <v>7.7519379844961239E-2</v>
      </c>
      <c r="T518" s="1075" t="str">
        <f>Sheet1!AH512</f>
        <v>B</v>
      </c>
      <c r="U518" s="1075">
        <f>Sheet1!AI512</f>
        <v>40</v>
      </c>
      <c r="V518" s="1075"/>
      <c r="W518" s="1075"/>
      <c r="X518" s="1075">
        <f>Sheet1!AJ512</f>
        <v>40</v>
      </c>
      <c r="Y518" s="1075"/>
      <c r="Z518" s="1075"/>
      <c r="AA518" s="1075"/>
      <c r="AB518" s="1075"/>
      <c r="AC518" s="1075"/>
      <c r="AD518" s="1075"/>
      <c r="AE518" s="1075"/>
      <c r="AF518" s="1075"/>
      <c r="AG518" s="1075"/>
      <c r="AH518" s="1075"/>
      <c r="AI518" s="1075"/>
      <c r="AJ518" s="1075"/>
      <c r="AK518" s="1075" t="str">
        <f>IF(Sheet1!AE515="C",Sheet1!AK515,"-")</f>
        <v>-</v>
      </c>
      <c r="AL518" s="1075" t="str">
        <f>IF(Sheet1!AE515="D",Sheet1!AK515,"-")</f>
        <v>-</v>
      </c>
      <c r="AM518" s="1075" t="str">
        <f>IF(Sheet1!AE512="E",Sheet1!AK512,"-")</f>
        <v>-</v>
      </c>
    </row>
    <row r="519" spans="2:39" x14ac:dyDescent="0.25">
      <c r="B519" s="1082">
        <f>Sheet1!F513</f>
        <v>1561</v>
      </c>
      <c r="C519" s="1075" t="str">
        <f>Sheet1!C513</f>
        <v>Reed Canal Rd.</v>
      </c>
      <c r="D519" s="1075" t="str">
        <f>_xlfn.TEXTBEFORE(Sheet1!E513, " to ")</f>
        <v>Clyde Morris Blvd.</v>
      </c>
      <c r="E519" s="1075" t="str">
        <f>_xlfn.TEXTAFTER(Sheet1!E513, " to ")</f>
        <v>SR5A/Nova Rd.</v>
      </c>
      <c r="F519" s="1075">
        <f>Sheet1!AM513</f>
        <v>2</v>
      </c>
      <c r="G519" s="1075"/>
      <c r="H519" s="1083" t="str">
        <f>Sheet1!AE513</f>
        <v>E</v>
      </c>
      <c r="I519" s="1075"/>
      <c r="J519" s="1075" t="str">
        <f>Sheet1!Q513</f>
        <v>UA_NSSRC2_2W_2L_U_0L</v>
      </c>
      <c r="K519" s="1075"/>
      <c r="L519" s="1075">
        <f>Sheet1!AF513</f>
        <v>13640</v>
      </c>
      <c r="M519" s="1075"/>
      <c r="N519" s="1075"/>
      <c r="O519" s="1075"/>
      <c r="P519" s="1075">
        <f>Sheet1!AK513</f>
        <v>1020</v>
      </c>
      <c r="Q519" s="1075"/>
      <c r="R519" s="1075">
        <f>Sheet1!AD513</f>
        <v>6460</v>
      </c>
      <c r="S519" s="1081">
        <f>Sheet1!AG513</f>
        <v>0.47360703812316718</v>
      </c>
      <c r="T519" s="1075" t="str">
        <f>Sheet1!AH513</f>
        <v>D</v>
      </c>
      <c r="U519" s="1075">
        <f>Sheet1!AI513</f>
        <v>680</v>
      </c>
      <c r="V519" s="1075"/>
      <c r="W519" s="1075"/>
      <c r="X519" s="1075">
        <f>Sheet1!AJ513</f>
        <v>600</v>
      </c>
      <c r="Y519" s="1075"/>
      <c r="Z519" s="1075"/>
      <c r="AA519" s="1075"/>
      <c r="AB519" s="1075"/>
      <c r="AC519" s="1075"/>
      <c r="AD519" s="1075"/>
      <c r="AE519" s="1075"/>
      <c r="AF519" s="1075"/>
      <c r="AG519" s="1075"/>
      <c r="AH519" s="1075"/>
      <c r="AI519" s="1075"/>
      <c r="AJ519" s="1075"/>
      <c r="AK519" s="1075" t="str">
        <f>IF(Sheet1!AE516="C",Sheet1!AK516,"-")</f>
        <v>-</v>
      </c>
      <c r="AL519" s="1075" t="str">
        <f>IF(Sheet1!AE516="D",Sheet1!AK516,"-")</f>
        <v>-</v>
      </c>
      <c r="AM519" s="1075">
        <f>IF(Sheet1!AE513="E",Sheet1!AK513,"-")</f>
        <v>1020</v>
      </c>
    </row>
    <row r="520" spans="2:39" x14ac:dyDescent="0.25">
      <c r="B520" s="1082">
        <f>Sheet1!F514</f>
        <v>1562</v>
      </c>
      <c r="C520" s="1075" t="str">
        <f>Sheet1!C514</f>
        <v>Reed Canal Rd.</v>
      </c>
      <c r="D520" s="1075" t="str">
        <f>_xlfn.TEXTBEFORE(Sheet1!E514, " to ")</f>
        <v>SR5A/Nova Rd.</v>
      </c>
      <c r="E520" s="1075" t="str">
        <f>_xlfn.TEXTAFTER(Sheet1!E514, " to ")</f>
        <v>Sauls St.</v>
      </c>
      <c r="F520" s="1075">
        <f>Sheet1!AM514</f>
        <v>2</v>
      </c>
      <c r="G520" s="1075"/>
      <c r="H520" s="1083" t="str">
        <f>Sheet1!AE514</f>
        <v>E</v>
      </c>
      <c r="I520" s="1075"/>
      <c r="J520" s="1075" t="str">
        <f>Sheet1!Q514</f>
        <v>UA_NSSRC2_2W_2L_U_0L</v>
      </c>
      <c r="K520" s="1075"/>
      <c r="L520" s="1075">
        <f>Sheet1!AF514</f>
        <v>13640</v>
      </c>
      <c r="M520" s="1075"/>
      <c r="N520" s="1075"/>
      <c r="O520" s="1075"/>
      <c r="P520" s="1075">
        <f>Sheet1!AK514</f>
        <v>1020</v>
      </c>
      <c r="Q520" s="1075"/>
      <c r="R520" s="1075">
        <f>Sheet1!AD514</f>
        <v>8890</v>
      </c>
      <c r="S520" s="1081">
        <f>Sheet1!AG514</f>
        <v>0.65175953079178883</v>
      </c>
      <c r="T520" s="1075" t="str">
        <f>Sheet1!AH514</f>
        <v>D</v>
      </c>
      <c r="U520" s="1075">
        <f>Sheet1!AI514</f>
        <v>510</v>
      </c>
      <c r="V520" s="1075"/>
      <c r="W520" s="1075"/>
      <c r="X520" s="1075">
        <f>Sheet1!AJ514</f>
        <v>730</v>
      </c>
      <c r="Y520" s="1075"/>
      <c r="Z520" s="1075"/>
      <c r="AA520" s="1075"/>
      <c r="AB520" s="1075"/>
      <c r="AC520" s="1075"/>
      <c r="AD520" s="1075"/>
      <c r="AE520" s="1075"/>
      <c r="AF520" s="1075"/>
      <c r="AG520" s="1075"/>
      <c r="AH520" s="1075"/>
      <c r="AI520" s="1075"/>
      <c r="AJ520" s="1075"/>
      <c r="AK520" s="1075" t="str">
        <f>IF(Sheet1!AE517="C",Sheet1!AK517,"-")</f>
        <v>-</v>
      </c>
      <c r="AL520" s="1075" t="str">
        <f>IF(Sheet1!AE517="D",Sheet1!AK517,"-")</f>
        <v>-</v>
      </c>
      <c r="AM520" s="1075">
        <f>IF(Sheet1!AE514="E",Sheet1!AK514,"-")</f>
        <v>1020</v>
      </c>
    </row>
    <row r="521" spans="2:39" x14ac:dyDescent="0.25">
      <c r="B521" s="1082">
        <f>Sheet1!F515</f>
        <v>1564</v>
      </c>
      <c r="C521" s="1075" t="str">
        <f>Sheet1!C515</f>
        <v>Reed Canal Rd.</v>
      </c>
      <c r="D521" s="1075" t="str">
        <f>_xlfn.TEXTBEFORE(Sheet1!E515, " to ")</f>
        <v>Sauls St.</v>
      </c>
      <c r="E521" s="1075" t="str">
        <f>_xlfn.TEXTAFTER(Sheet1!E515, " to ")</f>
        <v>US 1</v>
      </c>
      <c r="F521" s="1075">
        <f>Sheet1!AM515</f>
        <v>2</v>
      </c>
      <c r="G521" s="1075"/>
      <c r="H521" s="1083" t="str">
        <f>Sheet1!AE515</f>
        <v>E</v>
      </c>
      <c r="I521" s="1075"/>
      <c r="J521" s="1075" t="str">
        <f>Sheet1!Q515</f>
        <v>UA_NSSRC2_2W_2L_U_0L</v>
      </c>
      <c r="K521" s="1075"/>
      <c r="L521" s="1075">
        <f>Sheet1!AF515</f>
        <v>13640</v>
      </c>
      <c r="M521" s="1075"/>
      <c r="N521" s="1075"/>
      <c r="O521" s="1075"/>
      <c r="P521" s="1075">
        <f>Sheet1!AK515</f>
        <v>1020</v>
      </c>
      <c r="Q521" s="1075"/>
      <c r="R521" s="1075">
        <f>Sheet1!AD515</f>
        <v>8250</v>
      </c>
      <c r="S521" s="1081">
        <f>Sheet1!AG515</f>
        <v>0.60483870967741937</v>
      </c>
      <c r="T521" s="1075" t="str">
        <f>Sheet1!AH515</f>
        <v>D</v>
      </c>
      <c r="U521" s="1075">
        <f>Sheet1!AI515</f>
        <v>500</v>
      </c>
      <c r="V521" s="1075"/>
      <c r="W521" s="1075"/>
      <c r="X521" s="1075">
        <f>Sheet1!AJ515</f>
        <v>660</v>
      </c>
      <c r="Y521" s="1075"/>
      <c r="Z521" s="1075"/>
      <c r="AA521" s="1075"/>
      <c r="AB521" s="1075"/>
      <c r="AC521" s="1075"/>
      <c r="AD521" s="1075"/>
      <c r="AE521" s="1075"/>
      <c r="AF521" s="1075"/>
      <c r="AG521" s="1075"/>
      <c r="AH521" s="1075"/>
      <c r="AI521" s="1075"/>
      <c r="AJ521" s="1075"/>
      <c r="AK521" s="1075">
        <f>IF(Sheet1!AE518="C",Sheet1!AK518,"-")</f>
        <v>620</v>
      </c>
      <c r="AL521" s="1075" t="str">
        <f>IF(Sheet1!AE518="D",Sheet1!AK518,"-")</f>
        <v>-</v>
      </c>
      <c r="AM521" s="1075">
        <f>IF(Sheet1!AE515="E",Sheet1!AK515,"-")</f>
        <v>1020</v>
      </c>
    </row>
    <row r="522" spans="2:39" x14ac:dyDescent="0.25">
      <c r="B522" s="1082">
        <f>Sheet1!F516</f>
        <v>1571</v>
      </c>
      <c r="C522" s="1075" t="str">
        <f>Sheet1!C516</f>
        <v>Reed Ellis Rd.</v>
      </c>
      <c r="D522" s="1075" t="str">
        <f>_xlfn.TEXTBEFORE(Sheet1!E516, " to ")</f>
        <v>Enterprise-Osteen Rd.</v>
      </c>
      <c r="E522" s="1075" t="str">
        <f>_xlfn.TEXTAFTER(Sheet1!E516, " to ")</f>
        <v>SR 415</v>
      </c>
      <c r="F522" s="1075">
        <f>Sheet1!AM516</f>
        <v>2</v>
      </c>
      <c r="G522" s="1075"/>
      <c r="H522" s="1083" t="str">
        <f>Sheet1!AE516</f>
        <v>E</v>
      </c>
      <c r="I522" s="1075"/>
      <c r="J522" s="1075" t="str">
        <f>Sheet1!Q516</f>
        <v>UA_NSSRC1_2W_2L_U_0L</v>
      </c>
      <c r="K522" s="1075"/>
      <c r="L522" s="1075">
        <f>Sheet1!AF516</f>
        <v>13640</v>
      </c>
      <c r="M522" s="1075"/>
      <c r="N522" s="1075"/>
      <c r="O522" s="1075"/>
      <c r="P522" s="1075">
        <f>Sheet1!AK516</f>
        <v>1230</v>
      </c>
      <c r="Q522" s="1075"/>
      <c r="R522" s="1075">
        <f>Sheet1!AD516</f>
        <v>2780</v>
      </c>
      <c r="S522" s="1081">
        <f>Sheet1!AG516</f>
        <v>0.20381231671554254</v>
      </c>
      <c r="T522" s="1075" t="str">
        <f>Sheet1!AH516</f>
        <v>C</v>
      </c>
      <c r="U522" s="1075">
        <f>Sheet1!AI516</f>
        <v>230</v>
      </c>
      <c r="V522" s="1075"/>
      <c r="W522" s="1075"/>
      <c r="X522" s="1075">
        <f>Sheet1!AJ516</f>
        <v>330</v>
      </c>
      <c r="Y522" s="1075"/>
      <c r="Z522" s="1075"/>
      <c r="AA522" s="1075"/>
      <c r="AB522" s="1075"/>
      <c r="AC522" s="1075"/>
      <c r="AD522" s="1075"/>
      <c r="AE522" s="1075"/>
      <c r="AF522" s="1075"/>
      <c r="AG522" s="1075"/>
      <c r="AH522" s="1075"/>
      <c r="AI522" s="1075"/>
      <c r="AJ522" s="1075"/>
      <c r="AK522" s="1075" t="str">
        <f>IF(Sheet1!AE519="C",Sheet1!AK519,"-")</f>
        <v>-</v>
      </c>
      <c r="AL522" s="1075" t="str">
        <f>IF(Sheet1!AE519="D",Sheet1!AK519,"-")</f>
        <v>-</v>
      </c>
      <c r="AM522" s="1075">
        <f>IF(Sheet1!AE516="E",Sheet1!AK516,"-")</f>
        <v>1230</v>
      </c>
    </row>
    <row r="523" spans="2:39" x14ac:dyDescent="0.25">
      <c r="B523" s="1082">
        <f>Sheet1!F517</f>
        <v>1580</v>
      </c>
      <c r="C523" s="1075" t="str">
        <f>Sheet1!C517</f>
        <v>Retta St.</v>
      </c>
      <c r="D523" s="1075" t="str">
        <f>_xlfn.TEXTBEFORE(Sheet1!E517, " to ")</f>
        <v>Grand Ave.</v>
      </c>
      <c r="E523" s="1075" t="str">
        <f>_xlfn.TEXTAFTER(Sheet1!E517, " to ")</f>
        <v>US 17</v>
      </c>
      <c r="F523" s="1075">
        <f>Sheet1!AM517</f>
        <v>2</v>
      </c>
      <c r="G523" s="1075"/>
      <c r="H523" s="1083" t="str">
        <f>Sheet1!AE517</f>
        <v>E</v>
      </c>
      <c r="I523" s="1075"/>
      <c r="J523" s="1075" t="str">
        <f>Sheet1!Q517</f>
        <v>UA_NSSRC2_2W_2L_U_0L</v>
      </c>
      <c r="K523" s="1075"/>
      <c r="L523" s="1075">
        <f>Sheet1!AF517</f>
        <v>13640</v>
      </c>
      <c r="M523" s="1075"/>
      <c r="N523" s="1075"/>
      <c r="O523" s="1075"/>
      <c r="P523" s="1075">
        <f>Sheet1!AK517</f>
        <v>1020</v>
      </c>
      <c r="Q523" s="1075"/>
      <c r="R523" s="1075">
        <f>Sheet1!AD517</f>
        <v>770</v>
      </c>
      <c r="S523" s="1081">
        <f>Sheet1!AG517</f>
        <v>5.6451612903225805E-2</v>
      </c>
      <c r="T523" s="1075" t="str">
        <f>Sheet1!AH517</f>
        <v>C</v>
      </c>
      <c r="U523" s="1075">
        <f>Sheet1!AI517</f>
        <v>60</v>
      </c>
      <c r="V523" s="1075"/>
      <c r="W523" s="1075"/>
      <c r="X523" s="1075">
        <f>Sheet1!AJ517</f>
        <v>70</v>
      </c>
      <c r="Y523" s="1075"/>
      <c r="Z523" s="1075"/>
      <c r="AA523" s="1075"/>
      <c r="AB523" s="1075"/>
      <c r="AC523" s="1075"/>
      <c r="AD523" s="1075"/>
      <c r="AE523" s="1075"/>
      <c r="AF523" s="1075"/>
      <c r="AG523" s="1075"/>
      <c r="AH523" s="1075"/>
      <c r="AI523" s="1075"/>
      <c r="AJ523" s="1075"/>
      <c r="AK523" s="1075" t="str">
        <f>IF(Sheet1!AE520="C",Sheet1!AK520,"-")</f>
        <v>-</v>
      </c>
      <c r="AL523" s="1075" t="str">
        <f>IF(Sheet1!AE520="D",Sheet1!AK520,"-")</f>
        <v>-</v>
      </c>
      <c r="AM523" s="1075">
        <f>IF(Sheet1!AE517="E",Sheet1!AK517,"-")</f>
        <v>1020</v>
      </c>
    </row>
    <row r="524" spans="2:39" x14ac:dyDescent="0.25">
      <c r="B524" s="1082">
        <f>Sheet1!F518</f>
        <v>1590</v>
      </c>
      <c r="C524" s="1075" t="str">
        <f>Sheet1!C518</f>
        <v>Reynolds Rd.</v>
      </c>
      <c r="D524" s="1075" t="str">
        <f>_xlfn.TEXTBEFORE(Sheet1!E518, " to ")</f>
        <v>US 17</v>
      </c>
      <c r="E524" s="1075" t="str">
        <f>_xlfn.TEXTAFTER(Sheet1!E518, " to ")</f>
        <v>SR 11</v>
      </c>
      <c r="F524" s="1075">
        <f>Sheet1!AM518</f>
        <v>2</v>
      </c>
      <c r="G524" s="1075"/>
      <c r="H524" s="1083" t="str">
        <f>Sheet1!AE518</f>
        <v>C</v>
      </c>
      <c r="I524" s="1075"/>
      <c r="J524" s="1075" t="str">
        <f>Sheet1!Q518</f>
        <v>RUA_UFH_2W_2L_U_0L</v>
      </c>
      <c r="K524" s="1075"/>
      <c r="L524" s="1075">
        <f>Sheet1!AF518</f>
        <v>6450</v>
      </c>
      <c r="M524" s="1075"/>
      <c r="N524" s="1075"/>
      <c r="O524" s="1075"/>
      <c r="P524" s="1075">
        <f>Sheet1!AK518</f>
        <v>620</v>
      </c>
      <c r="Q524" s="1075"/>
      <c r="R524" s="1075">
        <f>Sheet1!AD518</f>
        <v>1070</v>
      </c>
      <c r="S524" s="1081">
        <f>Sheet1!AG518</f>
        <v>0.16589147286821707</v>
      </c>
      <c r="T524" s="1075" t="str">
        <f>Sheet1!AH518</f>
        <v>B</v>
      </c>
      <c r="U524" s="1075">
        <f>Sheet1!AI518</f>
        <v>80</v>
      </c>
      <c r="V524" s="1075"/>
      <c r="W524" s="1075"/>
      <c r="X524" s="1075">
        <f>Sheet1!AJ518</f>
        <v>110</v>
      </c>
      <c r="Y524" s="1075"/>
      <c r="Z524" s="1075"/>
      <c r="AA524" s="1075"/>
      <c r="AB524" s="1075"/>
      <c r="AC524" s="1075"/>
      <c r="AD524" s="1075"/>
      <c r="AE524" s="1075"/>
      <c r="AF524" s="1075"/>
      <c r="AG524" s="1075"/>
      <c r="AH524" s="1075"/>
      <c r="AI524" s="1075"/>
      <c r="AJ524" s="1075"/>
      <c r="AK524" s="1075" t="str">
        <f>IF(Sheet1!AE521="C",Sheet1!AK521,"-")</f>
        <v>-</v>
      </c>
      <c r="AL524" s="1075" t="str">
        <f>IF(Sheet1!AE521="D",Sheet1!AK521,"-")</f>
        <v>-</v>
      </c>
      <c r="AM524" s="1075" t="str">
        <f>IF(Sheet1!AE518="E",Sheet1!AK518,"-")</f>
        <v>-</v>
      </c>
    </row>
    <row r="525" spans="2:39" x14ac:dyDescent="0.25">
      <c r="B525" s="1082">
        <f>Sheet1!F519</f>
        <v>1598</v>
      </c>
      <c r="C525" s="1075" t="str">
        <f>Sheet1!C519</f>
        <v>Rhode Island Ave.</v>
      </c>
      <c r="D525" s="1075" t="str">
        <f>_xlfn.TEXTBEFORE(Sheet1!E519, " to ")</f>
        <v>Westside Connector</v>
      </c>
      <c r="E525" s="1075" t="str">
        <f>_xlfn.TEXTAFTER(Sheet1!E519, " to ")</f>
        <v>Sparkman Ave</v>
      </c>
      <c r="F525" s="1075">
        <f>Sheet1!AM519</f>
        <v>2</v>
      </c>
      <c r="G525" s="1075"/>
      <c r="H525" s="1083" t="str">
        <f>Sheet1!AE519</f>
        <v>E</v>
      </c>
      <c r="I525" s="1075"/>
      <c r="J525" s="1075" t="str">
        <f>Sheet1!Q519</f>
        <v>UA_NSSRC2_2W_2L_D_WL</v>
      </c>
      <c r="K525" s="1075"/>
      <c r="L525" s="1075">
        <f>Sheet1!AF519</f>
        <v>14740</v>
      </c>
      <c r="M525" s="1075"/>
      <c r="N525" s="1075"/>
      <c r="O525" s="1075"/>
      <c r="P525" s="1075">
        <f>Sheet1!AK519</f>
        <v>1330</v>
      </c>
      <c r="Q525" s="1075"/>
      <c r="R525" s="1075">
        <f>Sheet1!AD519</f>
        <v>6440</v>
      </c>
      <c r="S525" s="1081">
        <f>Sheet1!AG519</f>
        <v>0.43690637720488468</v>
      </c>
      <c r="T525" s="1075" t="str">
        <f>Sheet1!AH519</f>
        <v>C</v>
      </c>
      <c r="U525" s="1075">
        <f>Sheet1!AI519</f>
        <v>1250</v>
      </c>
      <c r="V525" s="1075"/>
      <c r="W525" s="1075"/>
      <c r="X525" s="1075">
        <f>Sheet1!AJ519</f>
        <v>810</v>
      </c>
      <c r="Y525" s="1075"/>
      <c r="Z525" s="1075"/>
      <c r="AA525" s="1075"/>
      <c r="AB525" s="1075"/>
      <c r="AC525" s="1075"/>
      <c r="AD525" s="1075"/>
      <c r="AE525" s="1075"/>
      <c r="AF525" s="1075"/>
      <c r="AG525" s="1075"/>
      <c r="AH525" s="1075"/>
      <c r="AI525" s="1075"/>
      <c r="AJ525" s="1075"/>
      <c r="AK525" s="1075" t="str">
        <f>IF(Sheet1!AE522="C",Sheet1!AK522,"-")</f>
        <v>-</v>
      </c>
      <c r="AL525" s="1075" t="str">
        <f>IF(Sheet1!AE522="D",Sheet1!AK522,"-")</f>
        <v>-</v>
      </c>
      <c r="AM525" s="1075">
        <f>IF(Sheet1!AE519="E",Sheet1!AK519,"-")</f>
        <v>1330</v>
      </c>
    </row>
    <row r="526" spans="2:39" x14ac:dyDescent="0.25">
      <c r="B526" s="1082">
        <f>Sheet1!F520</f>
        <v>1599</v>
      </c>
      <c r="C526" s="1075" t="str">
        <f>Sheet1!C520</f>
        <v>Rhode Island Ave.</v>
      </c>
      <c r="D526" s="1075" t="str">
        <f>_xlfn.TEXTBEFORE(Sheet1!E520, " to ")</f>
        <v>Sparkman Ave</v>
      </c>
      <c r="E526" s="1075" t="str">
        <f>_xlfn.TEXTAFTER(Sheet1!E520, " to ")</f>
        <v>Carpenter Ave</v>
      </c>
      <c r="F526" s="1075">
        <f>Sheet1!AM520</f>
        <v>2</v>
      </c>
      <c r="G526" s="1075"/>
      <c r="H526" s="1083" t="str">
        <f>Sheet1!AE520</f>
        <v>E</v>
      </c>
      <c r="I526" s="1075"/>
      <c r="J526" s="1075" t="str">
        <f>Sheet1!Q520</f>
        <v>UA_NSSRC2_2W_2L_D_WL</v>
      </c>
      <c r="K526" s="1075"/>
      <c r="L526" s="1075">
        <f>Sheet1!AF520</f>
        <v>14740</v>
      </c>
      <c r="M526" s="1075"/>
      <c r="N526" s="1075"/>
      <c r="O526" s="1075"/>
      <c r="P526" s="1075">
        <f>Sheet1!AK520</f>
        <v>1330</v>
      </c>
      <c r="Q526" s="1075"/>
      <c r="R526" s="1075">
        <f>Sheet1!AD520</f>
        <v>8210</v>
      </c>
      <c r="S526" s="1081">
        <f>Sheet1!AG520</f>
        <v>0.55698778833107188</v>
      </c>
      <c r="T526" s="1075" t="str">
        <f>Sheet1!AH520</f>
        <v>D</v>
      </c>
      <c r="U526" s="1075">
        <f>Sheet1!AI520</f>
        <v>1200</v>
      </c>
      <c r="V526" s="1075"/>
      <c r="W526" s="1075"/>
      <c r="X526" s="1075">
        <f>Sheet1!AJ520</f>
        <v>910</v>
      </c>
      <c r="Y526" s="1075"/>
      <c r="Z526" s="1075"/>
      <c r="AA526" s="1075"/>
      <c r="AB526" s="1075"/>
      <c r="AC526" s="1075"/>
      <c r="AD526" s="1075"/>
      <c r="AE526" s="1075"/>
      <c r="AF526" s="1075"/>
      <c r="AG526" s="1075"/>
      <c r="AH526" s="1075"/>
      <c r="AI526" s="1075"/>
      <c r="AJ526" s="1075"/>
      <c r="AK526" s="1075">
        <f>IF(Sheet1!AE523="C",Sheet1!AK523,"-")</f>
        <v>620</v>
      </c>
      <c r="AL526" s="1075" t="str">
        <f>IF(Sheet1!AE523="D",Sheet1!AK523,"-")</f>
        <v>-</v>
      </c>
      <c r="AM526" s="1075">
        <f>IF(Sheet1!AE520="E",Sheet1!AK520,"-")</f>
        <v>1330</v>
      </c>
    </row>
    <row r="527" spans="2:39" x14ac:dyDescent="0.25">
      <c r="B527" s="1082">
        <f>Sheet1!F521</f>
        <v>1600</v>
      </c>
      <c r="C527" s="1075" t="str">
        <f>Sheet1!C521</f>
        <v>Rhode Island Ave.</v>
      </c>
      <c r="D527" s="1075" t="str">
        <f>_xlfn.TEXTBEFORE(Sheet1!E521, " to ")</f>
        <v>Carpenter Ave</v>
      </c>
      <c r="E527" s="1075" t="str">
        <f>_xlfn.TEXTAFTER(Sheet1!E521, " to ")</f>
        <v>US 17/92</v>
      </c>
      <c r="F527" s="1075">
        <f>Sheet1!AM521</f>
        <v>2</v>
      </c>
      <c r="G527" s="1075"/>
      <c r="H527" s="1083" t="str">
        <f>Sheet1!AE521</f>
        <v>E</v>
      </c>
      <c r="I527" s="1075"/>
      <c r="J527" s="1075" t="str">
        <f>Sheet1!Q521</f>
        <v>UA_NSSRC2_2W_2L_D_WL</v>
      </c>
      <c r="K527" s="1075"/>
      <c r="L527" s="1075">
        <f>Sheet1!AF521</f>
        <v>14740</v>
      </c>
      <c r="M527" s="1075"/>
      <c r="N527" s="1075"/>
      <c r="O527" s="1075"/>
      <c r="P527" s="1075">
        <f>Sheet1!AK521</f>
        <v>1330</v>
      </c>
      <c r="Q527" s="1075"/>
      <c r="R527" s="1075">
        <f>Sheet1!AD521</f>
        <v>8030</v>
      </c>
      <c r="S527" s="1081">
        <f>Sheet1!AG521</f>
        <v>0.54477611940298509</v>
      </c>
      <c r="T527" s="1075" t="str">
        <f>Sheet1!AH521</f>
        <v>D</v>
      </c>
      <c r="U527" s="1075">
        <f>Sheet1!AI521</f>
        <v>1020</v>
      </c>
      <c r="V527" s="1075"/>
      <c r="W527" s="1075"/>
      <c r="X527" s="1075">
        <f>Sheet1!AJ521</f>
        <v>850</v>
      </c>
      <c r="Y527" s="1075"/>
      <c r="Z527" s="1075"/>
      <c r="AA527" s="1075"/>
      <c r="AB527" s="1075"/>
      <c r="AC527" s="1075"/>
      <c r="AD527" s="1075"/>
      <c r="AE527" s="1075"/>
      <c r="AF527" s="1075"/>
      <c r="AG527" s="1075"/>
      <c r="AH527" s="1075"/>
      <c r="AI527" s="1075"/>
      <c r="AJ527" s="1075"/>
      <c r="AK527" s="1075" t="str">
        <f>IF(Sheet1!AE524="C",Sheet1!AK524,"-")</f>
        <v>-</v>
      </c>
      <c r="AL527" s="1075" t="str">
        <f>IF(Sheet1!AE524="D",Sheet1!AK524,"-")</f>
        <v>-</v>
      </c>
      <c r="AM527" s="1075">
        <f>IF(Sheet1!AE521="E",Sheet1!AK521,"-")</f>
        <v>1330</v>
      </c>
    </row>
    <row r="528" spans="2:39" x14ac:dyDescent="0.25">
      <c r="B528" s="1082" t="str">
        <f>Sheet1!F522</f>
        <v>Future Rd</v>
      </c>
      <c r="C528" s="1075" t="str">
        <f>Sheet1!C522</f>
        <v>Rhode Island Ave.</v>
      </c>
      <c r="D528" s="1075" t="str">
        <f>_xlfn.TEXTBEFORE(Sheet1!E522, " to ")</f>
        <v>Veteran's Memorial Pkwy.</v>
      </c>
      <c r="E528" s="1075" t="str">
        <f>_xlfn.TEXTAFTER(Sheet1!E522, " to ")</f>
        <v>Normandy Blvd</v>
      </c>
      <c r="F528" s="1075">
        <f>Sheet1!AM522</f>
        <v>0</v>
      </c>
      <c r="G528" s="1075"/>
      <c r="H528" s="1083" t="str">
        <f>Sheet1!AE522</f>
        <v>E</v>
      </c>
      <c r="I528" s="1075"/>
      <c r="J528" s="1075" t="str">
        <f>Sheet1!Q522</f>
        <v>UA_NSSRC2_2W_2L_D_WL</v>
      </c>
      <c r="K528" s="1075"/>
      <c r="L528" s="1075">
        <f>Sheet1!AF522</f>
        <v>14740</v>
      </c>
      <c r="M528" s="1075"/>
      <c r="N528" s="1075"/>
      <c r="O528" s="1075"/>
      <c r="P528" s="1075">
        <f>Sheet1!AK522</f>
        <v>1330</v>
      </c>
      <c r="Q528" s="1075"/>
      <c r="R528" s="1075" t="str">
        <f>Sheet1!AD522</f>
        <v>-</v>
      </c>
      <c r="S528" s="1081" t="str">
        <f>Sheet1!AG522</f>
        <v>-</v>
      </c>
      <c r="T528" s="1075" t="str">
        <f>Sheet1!AH522</f>
        <v>F</v>
      </c>
      <c r="U528" s="1075" t="str">
        <f>Sheet1!AI522</f>
        <v>-</v>
      </c>
      <c r="V528" s="1075"/>
      <c r="W528" s="1075"/>
      <c r="X528" s="1075" t="str">
        <f>Sheet1!AJ522</f>
        <v>-</v>
      </c>
      <c r="Y528" s="1075"/>
      <c r="Z528" s="1075"/>
      <c r="AA528" s="1075"/>
      <c r="AB528" s="1075"/>
      <c r="AC528" s="1075"/>
      <c r="AD528" s="1075"/>
      <c r="AE528" s="1075"/>
      <c r="AF528" s="1075"/>
      <c r="AG528" s="1075"/>
      <c r="AH528" s="1075"/>
      <c r="AI528" s="1075"/>
      <c r="AJ528" s="1075"/>
      <c r="AK528" s="1075">
        <f>IF(Sheet1!AE525="C",Sheet1!AK525,"-")</f>
        <v>1120</v>
      </c>
      <c r="AL528" s="1075" t="str">
        <f>IF(Sheet1!AE525="D",Sheet1!AK525,"-")</f>
        <v>-</v>
      </c>
      <c r="AM528" s="1075">
        <f>IF(Sheet1!AE522="E",Sheet1!AK522,"-")</f>
        <v>1330</v>
      </c>
    </row>
    <row r="529" spans="2:39" x14ac:dyDescent="0.25">
      <c r="B529" s="1082">
        <f>Sheet1!F523</f>
        <v>1610</v>
      </c>
      <c r="C529" s="1075" t="str">
        <f>Sheet1!C523</f>
        <v>Riley Pridgeon Rd.</v>
      </c>
      <c r="D529" s="1075" t="str">
        <f>_xlfn.TEXTBEFORE(Sheet1!E523, " to ")</f>
        <v>Peterson Rd.</v>
      </c>
      <c r="E529" s="1075" t="str">
        <f>_xlfn.TEXTAFTER(Sheet1!E523, " to ")</f>
        <v>SR 40</v>
      </c>
      <c r="F529" s="1075">
        <f>Sheet1!AM523</f>
        <v>2</v>
      </c>
      <c r="G529" s="1075"/>
      <c r="H529" s="1083" t="str">
        <f>Sheet1!AE523</f>
        <v>C</v>
      </c>
      <c r="I529" s="1075"/>
      <c r="J529" s="1075" t="str">
        <f>Sheet1!Q523</f>
        <v>RUA_UFH_2W_2L_U_0L</v>
      </c>
      <c r="K529" s="1075"/>
      <c r="L529" s="1075">
        <f>Sheet1!AF523</f>
        <v>6450</v>
      </c>
      <c r="M529" s="1075"/>
      <c r="N529" s="1075"/>
      <c r="O529" s="1075"/>
      <c r="P529" s="1075">
        <f>Sheet1!AK523</f>
        <v>620</v>
      </c>
      <c r="Q529" s="1075"/>
      <c r="R529" s="1075">
        <f>Sheet1!AD523</f>
        <v>650</v>
      </c>
      <c r="S529" s="1081">
        <f>Sheet1!AG523</f>
        <v>0.10077519379844961</v>
      </c>
      <c r="T529" s="1075" t="str">
        <f>Sheet1!AH523</f>
        <v>B</v>
      </c>
      <c r="U529" s="1075">
        <f>Sheet1!AI523</f>
        <v>50</v>
      </c>
      <c r="V529" s="1075"/>
      <c r="W529" s="1075"/>
      <c r="X529" s="1075">
        <f>Sheet1!AJ523</f>
        <v>70</v>
      </c>
      <c r="Y529" s="1075"/>
      <c r="Z529" s="1075"/>
      <c r="AA529" s="1075"/>
      <c r="AB529" s="1075"/>
      <c r="AC529" s="1075"/>
      <c r="AD529" s="1075"/>
      <c r="AE529" s="1075"/>
      <c r="AF529" s="1075"/>
      <c r="AG529" s="1075"/>
      <c r="AH529" s="1075"/>
      <c r="AI529" s="1075"/>
      <c r="AJ529" s="1075"/>
      <c r="AK529" s="1075" t="str">
        <f>IF(Sheet1!AE526="C",Sheet1!AK526,"-")</f>
        <v>-</v>
      </c>
      <c r="AL529" s="1075" t="str">
        <f>IF(Sheet1!AE526="D",Sheet1!AK526,"-")</f>
        <v>-</v>
      </c>
      <c r="AM529" s="1075" t="str">
        <f>IF(Sheet1!AE523="E",Sheet1!AK523,"-")</f>
        <v>-</v>
      </c>
    </row>
    <row r="530" spans="2:39" x14ac:dyDescent="0.25">
      <c r="B530" s="1082">
        <f>Sheet1!F524</f>
        <v>1621</v>
      </c>
      <c r="C530" s="1075" t="str">
        <f>Sheet1!C524</f>
        <v>River Dr.</v>
      </c>
      <c r="D530" s="1075" t="str">
        <f>_xlfn.TEXTBEFORE(Sheet1!E524, " to ")</f>
        <v>John Anderson Dr.</v>
      </c>
      <c r="E530" s="1075" t="str">
        <f>_xlfn.TEXTAFTER(Sheet1!E524, " to ")</f>
        <v>SR A1A</v>
      </c>
      <c r="F530" s="1075">
        <f>Sheet1!AM524</f>
        <v>2</v>
      </c>
      <c r="G530" s="1075"/>
      <c r="H530" s="1083" t="str">
        <f>Sheet1!AE524</f>
        <v>E</v>
      </c>
      <c r="I530" s="1075"/>
      <c r="J530" s="1075" t="str">
        <f>Sheet1!Q524</f>
        <v>UA_NSSRC2_2W_2L_U_0L</v>
      </c>
      <c r="K530" s="1075"/>
      <c r="L530" s="1075">
        <f>Sheet1!AF524</f>
        <v>13640</v>
      </c>
      <c r="M530" s="1075"/>
      <c r="N530" s="1075"/>
      <c r="O530" s="1075"/>
      <c r="P530" s="1075">
        <f>Sheet1!AK524</f>
        <v>1020</v>
      </c>
      <c r="Q530" s="1075"/>
      <c r="R530" s="1075">
        <f>Sheet1!AD524</f>
        <v>310</v>
      </c>
      <c r="S530" s="1081">
        <f>Sheet1!AG524</f>
        <v>2.2727272727272728E-2</v>
      </c>
      <c r="T530" s="1075" t="str">
        <f>Sheet1!AH524</f>
        <v>C</v>
      </c>
      <c r="U530" s="1075">
        <f>Sheet1!AI524</f>
        <v>20</v>
      </c>
      <c r="V530" s="1075"/>
      <c r="W530" s="1075"/>
      <c r="X530" s="1075">
        <f>Sheet1!AJ524</f>
        <v>30</v>
      </c>
      <c r="Y530" s="1075"/>
      <c r="Z530" s="1075"/>
      <c r="AA530" s="1075"/>
      <c r="AB530" s="1075"/>
      <c r="AC530" s="1075"/>
      <c r="AD530" s="1075"/>
      <c r="AE530" s="1075"/>
      <c r="AF530" s="1075"/>
      <c r="AG530" s="1075"/>
      <c r="AH530" s="1075"/>
      <c r="AI530" s="1075"/>
      <c r="AJ530" s="1075"/>
      <c r="AK530" s="1075" t="str">
        <f>IF(Sheet1!AE527="C",Sheet1!AK527,"-")</f>
        <v>-</v>
      </c>
      <c r="AL530" s="1075" t="str">
        <f>IF(Sheet1!AE527="D",Sheet1!AK527,"-")</f>
        <v>-</v>
      </c>
      <c r="AM530" s="1075">
        <f>IF(Sheet1!AE524="E",Sheet1!AK524,"-")</f>
        <v>1020</v>
      </c>
    </row>
    <row r="531" spans="2:39" x14ac:dyDescent="0.25">
      <c r="B531" s="1082">
        <f>Sheet1!F525</f>
        <v>1651</v>
      </c>
      <c r="C531" s="1075" t="str">
        <f>Sheet1!C525</f>
        <v>Samsula Dr.</v>
      </c>
      <c r="D531" s="1075" t="str">
        <f>_xlfn.TEXTBEFORE(Sheet1!E525, " to ")</f>
        <v>Pioneer Tr.</v>
      </c>
      <c r="E531" s="1075" t="str">
        <f>_xlfn.TEXTAFTER(Sheet1!E525, " to ")</f>
        <v>SR 44</v>
      </c>
      <c r="F531" s="1075">
        <f>Sheet1!AM525</f>
        <v>2</v>
      </c>
      <c r="G531" s="1075"/>
      <c r="H531" s="1083" t="str">
        <f>Sheet1!AE525</f>
        <v>C</v>
      </c>
      <c r="I531" s="1075"/>
      <c r="J531" s="1075" t="str">
        <f>Sheet1!Q525</f>
        <v>RDA_UFH_2W_2L_U_0L</v>
      </c>
      <c r="K531" s="1075"/>
      <c r="L531" s="1075">
        <f>Sheet1!AF525</f>
        <v>11775</v>
      </c>
      <c r="M531" s="1075"/>
      <c r="N531" s="1075"/>
      <c r="O531" s="1075"/>
      <c r="P531" s="1075">
        <f>Sheet1!AK525</f>
        <v>1120</v>
      </c>
      <c r="Q531" s="1075"/>
      <c r="R531" s="1075">
        <f>Sheet1!AD525</f>
        <v>1200</v>
      </c>
      <c r="S531" s="1081">
        <f>Sheet1!AG525</f>
        <v>0.10191082802547771</v>
      </c>
      <c r="T531" s="1075" t="str">
        <f>Sheet1!AH525</f>
        <v>B</v>
      </c>
      <c r="U531" s="1075">
        <f>Sheet1!AI525</f>
        <v>100</v>
      </c>
      <c r="V531" s="1075"/>
      <c r="W531" s="1075"/>
      <c r="X531" s="1075">
        <f>Sheet1!AJ525</f>
        <v>100</v>
      </c>
      <c r="Y531" s="1075"/>
      <c r="Z531" s="1075"/>
      <c r="AA531" s="1075"/>
      <c r="AB531" s="1075"/>
      <c r="AC531" s="1075"/>
      <c r="AD531" s="1075"/>
      <c r="AE531" s="1075"/>
      <c r="AF531" s="1075"/>
      <c r="AG531" s="1075"/>
      <c r="AH531" s="1075"/>
      <c r="AI531" s="1075"/>
      <c r="AJ531" s="1075"/>
      <c r="AK531" s="1075" t="str">
        <f>IF(Sheet1!AE528="C",Sheet1!AK528,"-")</f>
        <v>-</v>
      </c>
      <c r="AL531" s="1075" t="str">
        <f>IF(Sheet1!AE528="D",Sheet1!AK528,"-")</f>
        <v>-</v>
      </c>
      <c r="AM531" s="1075" t="str">
        <f>IF(Sheet1!AE525="E",Sheet1!AK525,"-")</f>
        <v>-</v>
      </c>
    </row>
    <row r="532" spans="2:39" x14ac:dyDescent="0.25">
      <c r="B532" s="1082">
        <f>Sheet1!F526</f>
        <v>1661</v>
      </c>
      <c r="C532" s="1075" t="str">
        <f>Sheet1!C526</f>
        <v>Sandra Dr.</v>
      </c>
      <c r="D532" s="1075" t="str">
        <f>_xlfn.TEXTBEFORE(Sheet1!E526, " to ")</f>
        <v xml:space="preserve">John Anderson Dr. </v>
      </c>
      <c r="E532" s="1075" t="str">
        <f>_xlfn.TEXTAFTER(Sheet1!E526, " to ")</f>
        <v>SR A1A</v>
      </c>
      <c r="F532" s="1075">
        <f>Sheet1!AM526</f>
        <v>2</v>
      </c>
      <c r="G532" s="1075"/>
      <c r="H532" s="1083" t="str">
        <f>Sheet1!AE526</f>
        <v>E</v>
      </c>
      <c r="I532" s="1075"/>
      <c r="J532" s="1075" t="str">
        <f>Sheet1!Q526</f>
        <v>UA_NSSRC2_2W_2L_U_0L</v>
      </c>
      <c r="K532" s="1075"/>
      <c r="L532" s="1075">
        <f>Sheet1!AF526</f>
        <v>13640</v>
      </c>
      <c r="M532" s="1075"/>
      <c r="N532" s="1075"/>
      <c r="O532" s="1075"/>
      <c r="P532" s="1075">
        <f>Sheet1!AK526</f>
        <v>1020</v>
      </c>
      <c r="Q532" s="1075"/>
      <c r="R532" s="1075">
        <f>Sheet1!AD526</f>
        <v>240</v>
      </c>
      <c r="S532" s="1081">
        <f>Sheet1!AG526</f>
        <v>1.7595307917888565E-2</v>
      </c>
      <c r="T532" s="1075" t="str">
        <f>Sheet1!AH526</f>
        <v>C</v>
      </c>
      <c r="U532" s="1075">
        <f>Sheet1!AI526</f>
        <v>10</v>
      </c>
      <c r="V532" s="1075"/>
      <c r="W532" s="1075"/>
      <c r="X532" s="1075">
        <f>Sheet1!AJ526</f>
        <v>20</v>
      </c>
      <c r="Y532" s="1075"/>
      <c r="Z532" s="1075"/>
      <c r="AA532" s="1075"/>
      <c r="AB532" s="1075"/>
      <c r="AC532" s="1075"/>
      <c r="AD532" s="1075"/>
      <c r="AE532" s="1075"/>
      <c r="AF532" s="1075"/>
      <c r="AG532" s="1075"/>
      <c r="AH532" s="1075"/>
      <c r="AI532" s="1075"/>
      <c r="AJ532" s="1075"/>
      <c r="AK532" s="1075" t="str">
        <f>IF(Sheet1!AE529="C",Sheet1!AK529,"-")</f>
        <v>-</v>
      </c>
      <c r="AL532" s="1075" t="str">
        <f>IF(Sheet1!AE529="D",Sheet1!AK529,"-")</f>
        <v>-</v>
      </c>
      <c r="AM532" s="1075">
        <f>IF(Sheet1!AE526="E",Sheet1!AK526,"-")</f>
        <v>1020</v>
      </c>
    </row>
    <row r="533" spans="2:39" x14ac:dyDescent="0.25">
      <c r="B533" s="1082" t="str">
        <f>Sheet1!F527</f>
        <v>Future Rd</v>
      </c>
      <c r="C533" s="1075" t="str">
        <f>Sheet1!C527</f>
        <v>Saxon Blvd.</v>
      </c>
      <c r="D533" s="1075" t="str">
        <f>_xlfn.TEXTBEFORE(Sheet1!E527, " to ")</f>
        <v>Rail Station</v>
      </c>
      <c r="E533" s="1075" t="str">
        <f>_xlfn.TEXTAFTER(Sheet1!E527, " to ")</f>
        <v>Westside Connector</v>
      </c>
      <c r="F533" s="1075">
        <f>Sheet1!AM527</f>
        <v>0</v>
      </c>
      <c r="G533" s="1075"/>
      <c r="H533" s="1083" t="str">
        <f>Sheet1!AE527</f>
        <v>E</v>
      </c>
      <c r="I533" s="1075"/>
      <c r="J533" s="1075" t="str">
        <f>Sheet1!Q527</f>
        <v>UA_NSSRC1_2W_4L_D_WL</v>
      </c>
      <c r="K533" s="1075"/>
      <c r="L533" s="1075">
        <f>Sheet1!AF527</f>
        <v>37970</v>
      </c>
      <c r="M533" s="1075"/>
      <c r="N533" s="1075"/>
      <c r="O533" s="1075"/>
      <c r="P533" s="1075">
        <f>Sheet1!AK527</f>
        <v>3410</v>
      </c>
      <c r="Q533" s="1075"/>
      <c r="R533" s="1075" t="str">
        <f>Sheet1!AD527</f>
        <v>-</v>
      </c>
      <c r="S533" s="1081" t="str">
        <f>Sheet1!AG527</f>
        <v>-</v>
      </c>
      <c r="T533" s="1075" t="str">
        <f>Sheet1!AH527</f>
        <v>F</v>
      </c>
      <c r="U533" s="1075" t="str">
        <f>Sheet1!AI527</f>
        <v>-</v>
      </c>
      <c r="V533" s="1075"/>
      <c r="W533" s="1075"/>
      <c r="X533" s="1075" t="str">
        <f>Sheet1!AJ527</f>
        <v>-</v>
      </c>
      <c r="Y533" s="1075"/>
      <c r="Z533" s="1075"/>
      <c r="AA533" s="1075"/>
      <c r="AB533" s="1075"/>
      <c r="AC533" s="1075"/>
      <c r="AD533" s="1075"/>
      <c r="AE533" s="1075"/>
      <c r="AF533" s="1075"/>
      <c r="AG533" s="1075"/>
      <c r="AH533" s="1075"/>
      <c r="AI533" s="1075"/>
      <c r="AJ533" s="1075"/>
      <c r="AK533" s="1075" t="str">
        <f>IF(Sheet1!AE530="C",Sheet1!AK530,"-")</f>
        <v>-</v>
      </c>
      <c r="AL533" s="1075" t="str">
        <f>IF(Sheet1!AE530="D",Sheet1!AK530,"-")</f>
        <v>-</v>
      </c>
      <c r="AM533" s="1075">
        <f>IF(Sheet1!AE527="E",Sheet1!AK527,"-")</f>
        <v>3410</v>
      </c>
    </row>
    <row r="534" spans="2:39" x14ac:dyDescent="0.25">
      <c r="B534" s="1082" t="str">
        <f>Sheet1!F528</f>
        <v>Future Rd</v>
      </c>
      <c r="C534" s="1075" t="str">
        <f>Sheet1!C528</f>
        <v>Saxon Blvd.</v>
      </c>
      <c r="D534" s="1075" t="str">
        <f>_xlfn.TEXTBEFORE(Sheet1!E528, " to ")</f>
        <v>Westside Connector</v>
      </c>
      <c r="E534" s="1075" t="str">
        <f>_xlfn.TEXTAFTER(Sheet1!E528, " to ")</f>
        <v>US 17/92</v>
      </c>
      <c r="F534" s="1075">
        <f>Sheet1!AM528</f>
        <v>0</v>
      </c>
      <c r="G534" s="1075"/>
      <c r="H534" s="1083" t="str">
        <f>Sheet1!AE528</f>
        <v>E</v>
      </c>
      <c r="I534" s="1075"/>
      <c r="J534" s="1075" t="str">
        <f>Sheet1!Q528</f>
        <v>UA_NSSRC1_2W_4L_D_WL</v>
      </c>
      <c r="K534" s="1075"/>
      <c r="L534" s="1075">
        <f>Sheet1!AF528</f>
        <v>37970</v>
      </c>
      <c r="M534" s="1075"/>
      <c r="N534" s="1075"/>
      <c r="O534" s="1075"/>
      <c r="P534" s="1075">
        <f>Sheet1!AK528</f>
        <v>3410</v>
      </c>
      <c r="Q534" s="1075"/>
      <c r="R534" s="1075" t="str">
        <f>Sheet1!AD528</f>
        <v>-</v>
      </c>
      <c r="S534" s="1081" t="str">
        <f>Sheet1!AG528</f>
        <v>-</v>
      </c>
      <c r="T534" s="1075" t="str">
        <f>Sheet1!AH528</f>
        <v>F</v>
      </c>
      <c r="U534" s="1075" t="str">
        <f>Sheet1!AI528</f>
        <v>-</v>
      </c>
      <c r="V534" s="1075"/>
      <c r="W534" s="1075"/>
      <c r="X534" s="1075" t="str">
        <f>Sheet1!AJ528</f>
        <v>-</v>
      </c>
      <c r="Y534" s="1075"/>
      <c r="Z534" s="1075"/>
      <c r="AA534" s="1075"/>
      <c r="AB534" s="1075"/>
      <c r="AC534" s="1075"/>
      <c r="AD534" s="1075"/>
      <c r="AE534" s="1075"/>
      <c r="AF534" s="1075"/>
      <c r="AG534" s="1075"/>
      <c r="AH534" s="1075"/>
      <c r="AI534" s="1075"/>
      <c r="AJ534" s="1075"/>
      <c r="AK534" s="1075" t="str">
        <f>IF(Sheet1!AE531="C",Sheet1!AK531,"-")</f>
        <v>-</v>
      </c>
      <c r="AL534" s="1075" t="str">
        <f>IF(Sheet1!AE531="D",Sheet1!AK531,"-")</f>
        <v>-</v>
      </c>
      <c r="AM534" s="1075">
        <f>IF(Sheet1!AE528="E",Sheet1!AK528,"-")</f>
        <v>3410</v>
      </c>
    </row>
    <row r="535" spans="2:39" x14ac:dyDescent="0.25">
      <c r="B535" s="1082">
        <f>Sheet1!F529</f>
        <v>1671</v>
      </c>
      <c r="C535" s="1075" t="str">
        <f>Sheet1!C529</f>
        <v>Saxon Blvd.</v>
      </c>
      <c r="D535" s="1075" t="str">
        <f>_xlfn.TEXTBEFORE(Sheet1!E529, " to ")</f>
        <v>US 17/92</v>
      </c>
      <c r="E535" s="1075" t="str">
        <f>_xlfn.TEXTAFTER(Sheet1!E529, " to ")</f>
        <v>Enterprise Rd</v>
      </c>
      <c r="F535" s="1075">
        <f>Sheet1!AM529</f>
        <v>4</v>
      </c>
      <c r="G535" s="1075"/>
      <c r="H535" s="1083" t="str">
        <f>Sheet1!AE529</f>
        <v>E</v>
      </c>
      <c r="I535" s="1075"/>
      <c r="J535" s="1075" t="str">
        <f>Sheet1!Q529</f>
        <v>UA_NSSRC2_2W_4L_D_WL</v>
      </c>
      <c r="K535" s="1075"/>
      <c r="L535" s="1075">
        <f>Sheet1!AF529</f>
        <v>30420</v>
      </c>
      <c r="M535" s="1075"/>
      <c r="N535" s="1075"/>
      <c r="O535" s="1075"/>
      <c r="P535" s="1075">
        <f>Sheet1!AK529</f>
        <v>2740</v>
      </c>
      <c r="Q535" s="1075"/>
      <c r="R535" s="1075">
        <f>Sheet1!AD529</f>
        <v>16280</v>
      </c>
      <c r="S535" s="1081">
        <f>Sheet1!AG529</f>
        <v>0.53517422748191978</v>
      </c>
      <c r="T535" s="1075" t="str">
        <f>Sheet1!AH529</f>
        <v>D</v>
      </c>
      <c r="U535" s="1075">
        <f>Sheet1!AI529</f>
        <v>990</v>
      </c>
      <c r="V535" s="1075"/>
      <c r="W535" s="1075"/>
      <c r="X535" s="1075">
        <f>Sheet1!AJ529</f>
        <v>1330</v>
      </c>
      <c r="Y535" s="1075"/>
      <c r="Z535" s="1075"/>
      <c r="AA535" s="1075"/>
      <c r="AB535" s="1075"/>
      <c r="AC535" s="1075"/>
      <c r="AD535" s="1075"/>
      <c r="AE535" s="1075"/>
      <c r="AF535" s="1075"/>
      <c r="AG535" s="1075"/>
      <c r="AH535" s="1075"/>
      <c r="AI535" s="1075"/>
      <c r="AJ535" s="1075"/>
      <c r="AK535" s="1075" t="str">
        <f>IF(Sheet1!AE532="C",Sheet1!AK532,"-")</f>
        <v>-</v>
      </c>
      <c r="AL535" s="1075" t="str">
        <f>IF(Sheet1!AE532="D",Sheet1!AK532,"-")</f>
        <v>-</v>
      </c>
      <c r="AM535" s="1075">
        <f>IF(Sheet1!AE529="E",Sheet1!AK529,"-")</f>
        <v>2740</v>
      </c>
    </row>
    <row r="536" spans="2:39" x14ac:dyDescent="0.25">
      <c r="B536" s="1082">
        <f>Sheet1!F530</f>
        <v>1673</v>
      </c>
      <c r="C536" s="1075" t="str">
        <f>Sheet1!C530</f>
        <v>Saxon Blvd.</v>
      </c>
      <c r="D536" s="1075" t="str">
        <f>_xlfn.TEXTBEFORE(Sheet1!E530, " to ")</f>
        <v>Enterprise Rd.</v>
      </c>
      <c r="E536" s="1075" t="str">
        <f>_xlfn.TEXTAFTER(Sheet1!E530, " to ")</f>
        <v>Veterans Memorial Pkwy.</v>
      </c>
      <c r="F536" s="1075">
        <f>Sheet1!AM530</f>
        <v>6</v>
      </c>
      <c r="G536" s="1075"/>
      <c r="H536" s="1083" t="str">
        <f>Sheet1!AE530</f>
        <v>E</v>
      </c>
      <c r="I536" s="1075"/>
      <c r="J536" s="1075" t="str">
        <f>Sheet1!Q530</f>
        <v>UA_NSSRC1_2W_6L_D_WL</v>
      </c>
      <c r="K536" s="1075"/>
      <c r="L536" s="1075">
        <f>Sheet1!AF530</f>
        <v>57140</v>
      </c>
      <c r="M536" s="1075"/>
      <c r="N536" s="1075"/>
      <c r="O536" s="1075"/>
      <c r="P536" s="1075">
        <f>Sheet1!AK530</f>
        <v>5140</v>
      </c>
      <c r="Q536" s="1075"/>
      <c r="R536" s="1075">
        <f>Sheet1!AD530</f>
        <v>31050</v>
      </c>
      <c r="S536" s="1081">
        <f>Sheet1!AG530</f>
        <v>0.54340217010850544</v>
      </c>
      <c r="T536" s="1075" t="str">
        <f>Sheet1!AH530</f>
        <v>C</v>
      </c>
      <c r="U536" s="1075">
        <f>Sheet1!AI530</f>
        <v>1730</v>
      </c>
      <c r="V536" s="1075"/>
      <c r="W536" s="1075"/>
      <c r="X536" s="1075">
        <f>Sheet1!AJ530</f>
        <v>2480</v>
      </c>
      <c r="Y536" s="1075"/>
      <c r="Z536" s="1075"/>
      <c r="AA536" s="1075"/>
      <c r="AB536" s="1075"/>
      <c r="AC536" s="1075"/>
      <c r="AD536" s="1075"/>
      <c r="AE536" s="1075"/>
      <c r="AF536" s="1075"/>
      <c r="AG536" s="1075"/>
      <c r="AH536" s="1075"/>
      <c r="AI536" s="1075"/>
      <c r="AJ536" s="1075"/>
      <c r="AK536" s="1075" t="str">
        <f>IF(Sheet1!AE533="C",Sheet1!AK533,"-")</f>
        <v>-</v>
      </c>
      <c r="AL536" s="1075" t="str">
        <f>IF(Sheet1!AE533="D",Sheet1!AK533,"-")</f>
        <v>-</v>
      </c>
      <c r="AM536" s="1075">
        <f>IF(Sheet1!AE530="E",Sheet1!AK530,"-")</f>
        <v>5140</v>
      </c>
    </row>
    <row r="537" spans="2:39" x14ac:dyDescent="0.25">
      <c r="B537" s="1082">
        <f>Sheet1!F531</f>
        <v>1674</v>
      </c>
      <c r="C537" s="1075" t="str">
        <f>Sheet1!C531</f>
        <v>Saxon Blvd.</v>
      </c>
      <c r="D537" s="1075" t="str">
        <f>_xlfn.TEXTBEFORE(Sheet1!E531, " to ")</f>
        <v>VMP</v>
      </c>
      <c r="E537" s="1075" t="str">
        <f>_xlfn.TEXTAFTER(Sheet1!E531, " to ")</f>
        <v>FDOT Park &amp; Ride</v>
      </c>
      <c r="F537" s="1075">
        <f>Sheet1!AM531</f>
        <v>6</v>
      </c>
      <c r="G537" s="1075"/>
      <c r="H537" s="1083" t="str">
        <f>Sheet1!AE531</f>
        <v>E</v>
      </c>
      <c r="I537" s="1075"/>
      <c r="J537" s="1075" t="str">
        <f>Sheet1!Q531</f>
        <v>UA_NSSRC1_2W_6L_D_WL</v>
      </c>
      <c r="K537" s="1075"/>
      <c r="L537" s="1075">
        <f>Sheet1!AF531</f>
        <v>57140</v>
      </c>
      <c r="M537" s="1075"/>
      <c r="N537" s="1075"/>
      <c r="O537" s="1075"/>
      <c r="P537" s="1075">
        <f>Sheet1!AK531</f>
        <v>5140</v>
      </c>
      <c r="Q537" s="1075"/>
      <c r="R537" s="1075">
        <f>Sheet1!AD531</f>
        <v>43880</v>
      </c>
      <c r="S537" s="1081">
        <f>Sheet1!AG531</f>
        <v>0.767938396919846</v>
      </c>
      <c r="T537" s="1075" t="str">
        <f>Sheet1!AH531</f>
        <v>C</v>
      </c>
      <c r="U537" s="1075">
        <f>Sheet1!AI531</f>
        <v>2420</v>
      </c>
      <c r="V537" s="1075"/>
      <c r="W537" s="1075"/>
      <c r="X537" s="1075">
        <f>Sheet1!AJ531</f>
        <v>3360</v>
      </c>
      <c r="Y537" s="1075"/>
      <c r="Z537" s="1075"/>
      <c r="AA537" s="1075"/>
      <c r="AB537" s="1075"/>
      <c r="AC537" s="1075"/>
      <c r="AD537" s="1075"/>
      <c r="AE537" s="1075"/>
      <c r="AF537" s="1075"/>
      <c r="AG537" s="1075"/>
      <c r="AH537" s="1075"/>
      <c r="AI537" s="1075"/>
      <c r="AJ537" s="1075"/>
      <c r="AK537" s="1075" t="str">
        <f>IF(Sheet1!AE534="C",Sheet1!AK534,"-")</f>
        <v>-</v>
      </c>
      <c r="AL537" s="1075" t="str">
        <f>IF(Sheet1!AE534="D",Sheet1!AK534,"-")</f>
        <v>-</v>
      </c>
      <c r="AM537" s="1075">
        <f>IF(Sheet1!AE531="E",Sheet1!AK531,"-")</f>
        <v>5140</v>
      </c>
    </row>
    <row r="538" spans="2:39" x14ac:dyDescent="0.25">
      <c r="B538" s="1082">
        <f>Sheet1!F532</f>
        <v>1685</v>
      </c>
      <c r="C538" s="1075" t="str">
        <f>Sheet1!C532</f>
        <v>Saxon Blvd.</v>
      </c>
      <c r="D538" s="1075" t="str">
        <f>_xlfn.TEXTBEFORE(Sheet1!E532, " to ")</f>
        <v>FDOT Park &amp; Ride</v>
      </c>
      <c r="E538" s="1075" t="str">
        <f>_xlfn.TEXTAFTER(Sheet1!E532, " to ")</f>
        <v>I-4</v>
      </c>
      <c r="F538" s="1075">
        <f>Sheet1!AM532</f>
        <v>6</v>
      </c>
      <c r="G538" s="1075"/>
      <c r="H538" s="1083" t="str">
        <f>Sheet1!AE532</f>
        <v>E</v>
      </c>
      <c r="I538" s="1075"/>
      <c r="J538" s="1075" t="str">
        <f>Sheet1!Q532</f>
        <v>UA_NSSRC1_2W_6L_D_WL</v>
      </c>
      <c r="K538" s="1075"/>
      <c r="L538" s="1075">
        <f>Sheet1!AF532</f>
        <v>57140</v>
      </c>
      <c r="M538" s="1075"/>
      <c r="N538" s="1075"/>
      <c r="O538" s="1075"/>
      <c r="P538" s="1075">
        <f>Sheet1!AK532</f>
        <v>5140</v>
      </c>
      <c r="Q538" s="1075"/>
      <c r="R538" s="1075">
        <f>Sheet1!AD532</f>
        <v>35530</v>
      </c>
      <c r="S538" s="1081">
        <f>Sheet1!AG532</f>
        <v>0.62180609030451528</v>
      </c>
      <c r="T538" s="1075" t="str">
        <f>Sheet1!AH532</f>
        <v>C</v>
      </c>
      <c r="U538" s="1075">
        <f>Sheet1!AI532</f>
        <v>1940</v>
      </c>
      <c r="V538" s="1075"/>
      <c r="W538" s="1075"/>
      <c r="X538" s="1075">
        <f>Sheet1!AJ532</f>
        <v>2710</v>
      </c>
      <c r="Y538" s="1075"/>
      <c r="Z538" s="1075"/>
      <c r="AA538" s="1075"/>
      <c r="AB538" s="1075"/>
      <c r="AC538" s="1075"/>
      <c r="AD538" s="1075"/>
      <c r="AE538" s="1075"/>
      <c r="AF538" s="1075"/>
      <c r="AG538" s="1075"/>
      <c r="AH538" s="1075"/>
      <c r="AI538" s="1075"/>
      <c r="AJ538" s="1075"/>
      <c r="AK538" s="1075" t="str">
        <f>IF(Sheet1!AE535="C",Sheet1!AK535,"-")</f>
        <v>-</v>
      </c>
      <c r="AL538" s="1075" t="str">
        <f>IF(Sheet1!AE535="D",Sheet1!AK535,"-")</f>
        <v>-</v>
      </c>
      <c r="AM538" s="1075">
        <f>IF(Sheet1!AE532="E",Sheet1!AK532,"-")</f>
        <v>5140</v>
      </c>
    </row>
    <row r="539" spans="2:39" x14ac:dyDescent="0.25">
      <c r="B539" s="1082">
        <f>Sheet1!F533</f>
        <v>1675</v>
      </c>
      <c r="C539" s="1075" t="str">
        <f>Sheet1!C533</f>
        <v>Saxon Blvd.</v>
      </c>
      <c r="D539" s="1075" t="str">
        <f>_xlfn.TEXTBEFORE(Sheet1!E533, " to ")</f>
        <v>I-4</v>
      </c>
      <c r="E539" s="1075" t="str">
        <f>_xlfn.TEXTAFTER(Sheet1!E533, " to ")</f>
        <v>Finland Dr.</v>
      </c>
      <c r="F539" s="1075">
        <f>Sheet1!AM533</f>
        <v>5</v>
      </c>
      <c r="G539" s="1075"/>
      <c r="H539" s="1083" t="str">
        <f>Sheet1!AE533</f>
        <v>E</v>
      </c>
      <c r="I539" s="1075"/>
      <c r="J539" s="1075" t="str">
        <f>Sheet1!Q533</f>
        <v>UA_NSSRC1_2W_5L_D_WL</v>
      </c>
      <c r="K539" s="1075"/>
      <c r="L539" s="1075">
        <f>Sheet1!AF533</f>
        <v>47560</v>
      </c>
      <c r="M539" s="1075"/>
      <c r="N539" s="1075"/>
      <c r="O539" s="1075"/>
      <c r="P539" s="1075">
        <f>Sheet1!AK533</f>
        <v>4280</v>
      </c>
      <c r="Q539" s="1075"/>
      <c r="R539" s="1075">
        <f>Sheet1!AD533</f>
        <v>45100</v>
      </c>
      <c r="S539" s="1081">
        <f>Sheet1!AG533</f>
        <v>0.94827586206896552</v>
      </c>
      <c r="T539" s="1075" t="str">
        <f>Sheet1!AH533</f>
        <v>E</v>
      </c>
      <c r="U539" s="1075">
        <f>Sheet1!AI533</f>
        <v>2630</v>
      </c>
      <c r="V539" s="1075"/>
      <c r="W539" s="1075"/>
      <c r="X539" s="1075">
        <f>Sheet1!AJ533</f>
        <v>3580</v>
      </c>
      <c r="Y539" s="1075"/>
      <c r="Z539" s="1075"/>
      <c r="AA539" s="1075"/>
      <c r="AB539" s="1075"/>
      <c r="AC539" s="1075"/>
      <c r="AD539" s="1075"/>
      <c r="AE539" s="1075"/>
      <c r="AF539" s="1075"/>
      <c r="AG539" s="1075"/>
      <c r="AH539" s="1075"/>
      <c r="AI539" s="1075"/>
      <c r="AJ539" s="1075"/>
      <c r="AK539" s="1075" t="str">
        <f>IF(Sheet1!AE536="C",Sheet1!AK536,"-")</f>
        <v>-</v>
      </c>
      <c r="AL539" s="1075" t="str">
        <f>IF(Sheet1!AE536="D",Sheet1!AK536,"-")</f>
        <v>-</v>
      </c>
      <c r="AM539" s="1075">
        <f>IF(Sheet1!AE533="E",Sheet1!AK533,"-")</f>
        <v>4280</v>
      </c>
    </row>
    <row r="540" spans="2:39" x14ac:dyDescent="0.25">
      <c r="B540" s="1082">
        <f>Sheet1!F534</f>
        <v>1676</v>
      </c>
      <c r="C540" s="1075" t="str">
        <f>Sheet1!C534</f>
        <v>Saxon Blvd.</v>
      </c>
      <c r="D540" s="1075" t="str">
        <f>_xlfn.TEXTBEFORE(Sheet1!E534, " to ")</f>
        <v>Finland Dr.</v>
      </c>
      <c r="E540" s="1075" t="str">
        <f>_xlfn.TEXTAFTER(Sheet1!E534, " to ")</f>
        <v>Normandy Blvd.</v>
      </c>
      <c r="F540" s="1075">
        <f>Sheet1!AM534</f>
        <v>4</v>
      </c>
      <c r="G540" s="1075"/>
      <c r="H540" s="1083" t="str">
        <f>Sheet1!AE534</f>
        <v>E</v>
      </c>
      <c r="I540" s="1075"/>
      <c r="J540" s="1075" t="str">
        <f>Sheet1!Q534</f>
        <v>UA_NSSRC1_2W_4L_D_WL</v>
      </c>
      <c r="K540" s="1075"/>
      <c r="L540" s="1075">
        <f>Sheet1!AF534</f>
        <v>37970</v>
      </c>
      <c r="M540" s="1075"/>
      <c r="N540" s="1075"/>
      <c r="O540" s="1075"/>
      <c r="P540" s="1075">
        <f>Sheet1!AK534</f>
        <v>3410</v>
      </c>
      <c r="Q540" s="1075"/>
      <c r="R540" s="1075">
        <f>Sheet1!AD534</f>
        <v>38720</v>
      </c>
      <c r="S540" s="1081">
        <f>Sheet1!AG534</f>
        <v>1.0197524361337897</v>
      </c>
      <c r="T540" s="1075" t="str">
        <f>Sheet1!AH534</f>
        <v>F</v>
      </c>
      <c r="U540" s="1075">
        <f>Sheet1!AI534</f>
        <v>2160</v>
      </c>
      <c r="V540" s="1075"/>
      <c r="W540" s="1075"/>
      <c r="X540" s="1075">
        <f>Sheet1!AJ534</f>
        <v>3170</v>
      </c>
      <c r="Y540" s="1075"/>
      <c r="Z540" s="1075"/>
      <c r="AA540" s="1075"/>
      <c r="AB540" s="1075"/>
      <c r="AC540" s="1075"/>
      <c r="AD540" s="1075"/>
      <c r="AE540" s="1075"/>
      <c r="AF540" s="1075"/>
      <c r="AG540" s="1075"/>
      <c r="AH540" s="1075"/>
      <c r="AI540" s="1075"/>
      <c r="AJ540" s="1075"/>
      <c r="AK540" s="1075" t="str">
        <f>IF(Sheet1!AE537="C",Sheet1!AK537,"-")</f>
        <v>-</v>
      </c>
      <c r="AL540" s="1075" t="str">
        <f>IF(Sheet1!AE537="D",Sheet1!AK537,"-")</f>
        <v>-</v>
      </c>
      <c r="AM540" s="1075">
        <f>IF(Sheet1!AE534="E",Sheet1!AK534,"-")</f>
        <v>3410</v>
      </c>
    </row>
    <row r="541" spans="2:39" x14ac:dyDescent="0.25">
      <c r="B541" s="1082">
        <f>Sheet1!F535</f>
        <v>1677</v>
      </c>
      <c r="C541" s="1075" t="str">
        <f>Sheet1!C535</f>
        <v>Saxon Blvd.</v>
      </c>
      <c r="D541" s="1075" t="str">
        <f>_xlfn.TEXTBEFORE(Sheet1!E535, " to ")</f>
        <v>Normandy Blvd.</v>
      </c>
      <c r="E541" s="1075" t="str">
        <f>_xlfn.TEXTAFTER(Sheet1!E535, " to ")</f>
        <v>Tivoli Dr.</v>
      </c>
      <c r="F541" s="1075">
        <f>Sheet1!AM535</f>
        <v>4</v>
      </c>
      <c r="G541" s="1075"/>
      <c r="H541" s="1083" t="str">
        <f>Sheet1!AE535</f>
        <v>E</v>
      </c>
      <c r="I541" s="1075"/>
      <c r="J541" s="1075" t="str">
        <f>Sheet1!Q535</f>
        <v>UA_NSSRC1_2W_4L_D_WL</v>
      </c>
      <c r="K541" s="1075"/>
      <c r="L541" s="1075">
        <f>Sheet1!AF535</f>
        <v>37970</v>
      </c>
      <c r="M541" s="1075"/>
      <c r="N541" s="1075"/>
      <c r="O541" s="1075"/>
      <c r="P541" s="1075">
        <f>Sheet1!AK535</f>
        <v>3410</v>
      </c>
      <c r="Q541" s="1075"/>
      <c r="R541" s="1075">
        <f>Sheet1!AD535</f>
        <v>26190</v>
      </c>
      <c r="S541" s="1081">
        <f>Sheet1!AG535</f>
        <v>0.68975506979194101</v>
      </c>
      <c r="T541" s="1075" t="str">
        <f>Sheet1!AH535</f>
        <v>C</v>
      </c>
      <c r="U541" s="1075">
        <f>Sheet1!AI535</f>
        <v>1450</v>
      </c>
      <c r="V541" s="1075"/>
      <c r="W541" s="1075"/>
      <c r="X541" s="1075">
        <f>Sheet1!AJ535</f>
        <v>2150</v>
      </c>
      <c r="Y541" s="1075"/>
      <c r="Z541" s="1075"/>
      <c r="AA541" s="1075"/>
      <c r="AB541" s="1075"/>
      <c r="AC541" s="1075"/>
      <c r="AD541" s="1075"/>
      <c r="AE541" s="1075"/>
      <c r="AF541" s="1075"/>
      <c r="AG541" s="1075"/>
      <c r="AH541" s="1075"/>
      <c r="AI541" s="1075"/>
      <c r="AJ541" s="1075"/>
      <c r="AK541" s="1075" t="str">
        <f>IF(Sheet1!AE538="C",Sheet1!AK538,"-")</f>
        <v>-</v>
      </c>
      <c r="AL541" s="1075" t="str">
        <f>IF(Sheet1!AE538="D",Sheet1!AK538,"-")</f>
        <v>-</v>
      </c>
      <c r="AM541" s="1075">
        <f>IF(Sheet1!AE535="E",Sheet1!AK535,"-")</f>
        <v>3410</v>
      </c>
    </row>
    <row r="542" spans="2:39" x14ac:dyDescent="0.25">
      <c r="B542" s="1082">
        <f>Sheet1!F536</f>
        <v>1679</v>
      </c>
      <c r="C542" s="1075" t="str">
        <f>Sheet1!C536</f>
        <v>Saxon Blvd.</v>
      </c>
      <c r="D542" s="1075" t="str">
        <f>_xlfn.TEXTBEFORE(Sheet1!E536, " to ")</f>
        <v>Tivoli Dr.</v>
      </c>
      <c r="E542" s="1075" t="str">
        <f>_xlfn.TEXTAFTER(Sheet1!E536, " to ")</f>
        <v>Providence Blvd.</v>
      </c>
      <c r="F542" s="1075">
        <f>Sheet1!AM536</f>
        <v>2</v>
      </c>
      <c r="G542" s="1075"/>
      <c r="H542" s="1083" t="str">
        <f>Sheet1!AE536</f>
        <v>E</v>
      </c>
      <c r="I542" s="1075"/>
      <c r="J542" s="1075" t="str">
        <f>Sheet1!Q536</f>
        <v>UA_NSSRC2_2W_2L_U_0L</v>
      </c>
      <c r="K542" s="1075"/>
      <c r="L542" s="1075">
        <f>Sheet1!AF536</f>
        <v>13640</v>
      </c>
      <c r="M542" s="1075"/>
      <c r="N542" s="1075"/>
      <c r="O542" s="1075"/>
      <c r="P542" s="1075">
        <f>Sheet1!AK536</f>
        <v>1020</v>
      </c>
      <c r="Q542" s="1075"/>
      <c r="R542" s="1075">
        <f>Sheet1!AD536</f>
        <v>11690</v>
      </c>
      <c r="S542" s="1081">
        <f>Sheet1!AG536</f>
        <v>0.85703812316715544</v>
      </c>
      <c r="T542" s="1075" t="str">
        <f>Sheet1!AH536</f>
        <v>D</v>
      </c>
      <c r="U542" s="1075">
        <f>Sheet1!AI536</f>
        <v>720</v>
      </c>
      <c r="V542" s="1075"/>
      <c r="W542" s="1075"/>
      <c r="X542" s="1075">
        <f>Sheet1!AJ536</f>
        <v>970</v>
      </c>
      <c r="Y542" s="1075"/>
      <c r="Z542" s="1075"/>
      <c r="AA542" s="1075"/>
      <c r="AB542" s="1075"/>
      <c r="AC542" s="1075"/>
      <c r="AD542" s="1075"/>
      <c r="AE542" s="1075"/>
      <c r="AF542" s="1075"/>
      <c r="AG542" s="1075"/>
      <c r="AH542" s="1075"/>
      <c r="AI542" s="1075"/>
      <c r="AJ542" s="1075"/>
      <c r="AK542" s="1075" t="str">
        <f>IF(Sheet1!AE539="C",Sheet1!AK539,"-")</f>
        <v>-</v>
      </c>
      <c r="AL542" s="1075" t="str">
        <f>IF(Sheet1!AE539="D",Sheet1!AK539,"-")</f>
        <v>-</v>
      </c>
      <c r="AM542" s="1075">
        <f>IF(Sheet1!AE536="E",Sheet1!AK536,"-")</f>
        <v>1020</v>
      </c>
    </row>
    <row r="543" spans="2:39" x14ac:dyDescent="0.25">
      <c r="B543" s="1082">
        <f>Sheet1!F537</f>
        <v>1681</v>
      </c>
      <c r="C543" s="1075" t="str">
        <f>Sheet1!C537</f>
        <v>Saxon Blvd.</v>
      </c>
      <c r="D543" s="1075" t="str">
        <f>_xlfn.TEXTBEFORE(Sheet1!E537, " to ")</f>
        <v>Providence Blvd.</v>
      </c>
      <c r="E543" s="1075" t="str">
        <f>_xlfn.TEXTAFTER(Sheet1!E537, " to ")</f>
        <v>Normandy Blvd.</v>
      </c>
      <c r="F543" s="1075">
        <f>Sheet1!AM537</f>
        <v>2</v>
      </c>
      <c r="G543" s="1075"/>
      <c r="H543" s="1083" t="str">
        <f>Sheet1!AE537</f>
        <v>E</v>
      </c>
      <c r="I543" s="1075"/>
      <c r="J543" s="1075" t="str">
        <f>Sheet1!Q537</f>
        <v>UA_NSSRC2_2W_2L_U_0L</v>
      </c>
      <c r="K543" s="1075"/>
      <c r="L543" s="1075">
        <f>Sheet1!AF537</f>
        <v>13640</v>
      </c>
      <c r="M543" s="1075"/>
      <c r="N543" s="1075"/>
      <c r="O543" s="1075"/>
      <c r="P543" s="1075">
        <f>Sheet1!AK537</f>
        <v>1020</v>
      </c>
      <c r="Q543" s="1075"/>
      <c r="R543" s="1075">
        <f>Sheet1!AD537</f>
        <v>8050</v>
      </c>
      <c r="S543" s="1081">
        <f>Sheet1!AG537</f>
        <v>0.59017595307917892</v>
      </c>
      <c r="T543" s="1075" t="str">
        <f>Sheet1!AH537</f>
        <v>D</v>
      </c>
      <c r="U543" s="1075">
        <f>Sheet1!AI537</f>
        <v>490</v>
      </c>
      <c r="V543" s="1075"/>
      <c r="W543" s="1075"/>
      <c r="X543" s="1075">
        <f>Sheet1!AJ537</f>
        <v>680</v>
      </c>
      <c r="Y543" s="1075"/>
      <c r="Z543" s="1075"/>
      <c r="AA543" s="1075"/>
      <c r="AB543" s="1075"/>
      <c r="AC543" s="1075"/>
      <c r="AD543" s="1075"/>
      <c r="AE543" s="1075"/>
      <c r="AF543" s="1075"/>
      <c r="AG543" s="1075"/>
      <c r="AH543" s="1075"/>
      <c r="AI543" s="1075"/>
      <c r="AJ543" s="1075"/>
      <c r="AK543" s="1075" t="str">
        <f>IF(Sheet1!AE540="C",Sheet1!AK540,"-")</f>
        <v>-</v>
      </c>
      <c r="AL543" s="1075" t="str">
        <f>IF(Sheet1!AE540="D",Sheet1!AK540,"-")</f>
        <v>-</v>
      </c>
      <c r="AM543" s="1075">
        <f>IF(Sheet1!AE537="E",Sheet1!AK537,"-")</f>
        <v>1020</v>
      </c>
    </row>
    <row r="544" spans="2:39" x14ac:dyDescent="0.25">
      <c r="B544" s="1082">
        <f>Sheet1!F538</f>
        <v>1684</v>
      </c>
      <c r="C544" s="1075" t="str">
        <f>Sheet1!C538</f>
        <v>Saxon Blvd.</v>
      </c>
      <c r="D544" s="1075" t="str">
        <f>_xlfn.TEXTBEFORE(Sheet1!E538, " to ")</f>
        <v>Normandy Blvd.</v>
      </c>
      <c r="E544" s="1075" t="str">
        <f>_xlfn.TEXTAFTER(Sheet1!E538, " to ")</f>
        <v>Doyle Rd.</v>
      </c>
      <c r="F544" s="1075">
        <f>Sheet1!AM538</f>
        <v>2</v>
      </c>
      <c r="G544" s="1075"/>
      <c r="H544" s="1083" t="str">
        <f>Sheet1!AE538</f>
        <v>E</v>
      </c>
      <c r="I544" s="1075"/>
      <c r="J544" s="1075" t="str">
        <f>Sheet1!Q538</f>
        <v>UA_NSSRC1_2W_2L_U_0L</v>
      </c>
      <c r="K544" s="1075"/>
      <c r="L544" s="1075">
        <f>Sheet1!AF538</f>
        <v>13640</v>
      </c>
      <c r="M544" s="1075"/>
      <c r="N544" s="1075"/>
      <c r="O544" s="1075"/>
      <c r="P544" s="1075">
        <f>Sheet1!AK538</f>
        <v>1230</v>
      </c>
      <c r="Q544" s="1075"/>
      <c r="R544" s="1075">
        <f>Sheet1!AD538</f>
        <v>5350</v>
      </c>
      <c r="S544" s="1081">
        <f>Sheet1!AG538</f>
        <v>0.39222873900293254</v>
      </c>
      <c r="T544" s="1075" t="str">
        <f>Sheet1!AH538</f>
        <v>C</v>
      </c>
      <c r="U544" s="1075">
        <f>Sheet1!AI538</f>
        <v>460</v>
      </c>
      <c r="V544" s="1075"/>
      <c r="W544" s="1075"/>
      <c r="X544" s="1075">
        <f>Sheet1!AJ538</f>
        <v>520</v>
      </c>
      <c r="Y544" s="1075"/>
      <c r="Z544" s="1075"/>
      <c r="AA544" s="1075"/>
      <c r="AB544" s="1075"/>
      <c r="AC544" s="1075"/>
      <c r="AD544" s="1075"/>
      <c r="AE544" s="1075"/>
      <c r="AF544" s="1075"/>
      <c r="AG544" s="1075"/>
      <c r="AH544" s="1075"/>
      <c r="AI544" s="1075"/>
      <c r="AJ544" s="1075"/>
      <c r="AK544" s="1075" t="str">
        <f>IF(Sheet1!AE541="C",Sheet1!AK541,"-")</f>
        <v>-</v>
      </c>
      <c r="AL544" s="1075" t="str">
        <f>IF(Sheet1!AE541="D",Sheet1!AK541,"-")</f>
        <v>-</v>
      </c>
      <c r="AM544" s="1075">
        <f>IF(Sheet1!AE538="E",Sheet1!AK538,"-")</f>
        <v>1230</v>
      </c>
    </row>
    <row r="545" spans="2:39" x14ac:dyDescent="0.25">
      <c r="B545" s="1082">
        <f>Sheet1!F539</f>
        <v>1691</v>
      </c>
      <c r="C545" s="1075" t="str">
        <f>Sheet1!C539</f>
        <v>Saxon Dr. (NSB)</v>
      </c>
      <c r="D545" s="1075" t="str">
        <f>_xlfn.TEXTBEFORE(Sheet1!E539, " to ")</f>
        <v>CR A1A</v>
      </c>
      <c r="E545" s="1075" t="str">
        <f>_xlfn.TEXTAFTER(Sheet1!E539, " to ")</f>
        <v>Hiles Blvd.</v>
      </c>
      <c r="F545" s="1075">
        <f>Sheet1!AM539</f>
        <v>2</v>
      </c>
      <c r="G545" s="1075"/>
      <c r="H545" s="1083" t="str">
        <f>Sheet1!AE539</f>
        <v>E</v>
      </c>
      <c r="I545" s="1075"/>
      <c r="J545" s="1075" t="str">
        <f>Sheet1!Q539</f>
        <v>UA_NSSRC2_2W_2L_U_0L</v>
      </c>
      <c r="K545" s="1075"/>
      <c r="L545" s="1075">
        <f>Sheet1!AF539</f>
        <v>13640</v>
      </c>
      <c r="M545" s="1075"/>
      <c r="N545" s="1075"/>
      <c r="O545" s="1075"/>
      <c r="P545" s="1075">
        <f>Sheet1!AK539</f>
        <v>1020</v>
      </c>
      <c r="Q545" s="1075"/>
      <c r="R545" s="1075">
        <f>Sheet1!AD539</f>
        <v>840</v>
      </c>
      <c r="S545" s="1081">
        <f>Sheet1!AG539</f>
        <v>6.1583577712609971E-2</v>
      </c>
      <c r="T545" s="1075" t="str">
        <f>Sheet1!AH539</f>
        <v>C</v>
      </c>
      <c r="U545" s="1075">
        <f>Sheet1!AI539</f>
        <v>70</v>
      </c>
      <c r="V545" s="1075"/>
      <c r="W545" s="1075"/>
      <c r="X545" s="1075">
        <f>Sheet1!AJ539</f>
        <v>80</v>
      </c>
      <c r="Y545" s="1075"/>
      <c r="Z545" s="1075"/>
      <c r="AA545" s="1075"/>
      <c r="AB545" s="1075"/>
      <c r="AC545" s="1075"/>
      <c r="AD545" s="1075"/>
      <c r="AE545" s="1075"/>
      <c r="AF545" s="1075"/>
      <c r="AG545" s="1075"/>
      <c r="AH545" s="1075"/>
      <c r="AI545" s="1075"/>
      <c r="AJ545" s="1075"/>
      <c r="AK545" s="1075" t="str">
        <f>IF(Sheet1!AE542="C",Sheet1!AK542,"-")</f>
        <v>-</v>
      </c>
      <c r="AL545" s="1075" t="str">
        <f>IF(Sheet1!AE542="D",Sheet1!AK542,"-")</f>
        <v>-</v>
      </c>
      <c r="AM545" s="1075">
        <f>IF(Sheet1!AE539="E",Sheet1!AK539,"-")</f>
        <v>1020</v>
      </c>
    </row>
    <row r="546" spans="2:39" x14ac:dyDescent="0.25">
      <c r="B546" s="1082">
        <f>Sheet1!F540</f>
        <v>1693</v>
      </c>
      <c r="C546" s="1075" t="str">
        <f>Sheet1!C540</f>
        <v>Saxon Dr. (NSB)</v>
      </c>
      <c r="D546" s="1075" t="str">
        <f>_xlfn.TEXTBEFORE(Sheet1!E540, " to ")</f>
        <v>Hiles Blvd.</v>
      </c>
      <c r="E546" s="1075" t="str">
        <f>_xlfn.TEXTAFTER(Sheet1!E540, " to ")</f>
        <v>27th Ave.</v>
      </c>
      <c r="F546" s="1075">
        <f>Sheet1!AM540</f>
        <v>2</v>
      </c>
      <c r="G546" s="1075"/>
      <c r="H546" s="1083" t="str">
        <f>Sheet1!AE540</f>
        <v>E</v>
      </c>
      <c r="I546" s="1075"/>
      <c r="J546" s="1075" t="str">
        <f>Sheet1!Q540</f>
        <v>UA_NSSRC2_2W_2L_U_0L</v>
      </c>
      <c r="K546" s="1075"/>
      <c r="L546" s="1075">
        <f>Sheet1!AF540</f>
        <v>13640</v>
      </c>
      <c r="M546" s="1075"/>
      <c r="N546" s="1075"/>
      <c r="O546" s="1075"/>
      <c r="P546" s="1075">
        <f>Sheet1!AK540</f>
        <v>1020</v>
      </c>
      <c r="Q546" s="1075"/>
      <c r="R546" s="1075">
        <f>Sheet1!AD540</f>
        <v>2750</v>
      </c>
      <c r="S546" s="1081">
        <f>Sheet1!AG540</f>
        <v>0.20161290322580644</v>
      </c>
      <c r="T546" s="1075" t="str">
        <f>Sheet1!AH540</f>
        <v>C</v>
      </c>
      <c r="U546" s="1075">
        <f>Sheet1!AI540</f>
        <v>180</v>
      </c>
      <c r="V546" s="1075"/>
      <c r="W546" s="1075"/>
      <c r="X546" s="1075">
        <f>Sheet1!AJ540</f>
        <v>240</v>
      </c>
      <c r="Y546" s="1075"/>
      <c r="Z546" s="1075"/>
      <c r="AA546" s="1075"/>
      <c r="AB546" s="1075"/>
      <c r="AC546" s="1075"/>
      <c r="AD546" s="1075"/>
      <c r="AE546" s="1075"/>
      <c r="AF546" s="1075"/>
      <c r="AG546" s="1075"/>
      <c r="AH546" s="1075"/>
      <c r="AI546" s="1075"/>
      <c r="AJ546" s="1075"/>
      <c r="AK546" s="1075" t="str">
        <f>IF(Sheet1!AE543="C",Sheet1!AK543,"-")</f>
        <v>-</v>
      </c>
      <c r="AL546" s="1075" t="str">
        <f>IF(Sheet1!AE543="D",Sheet1!AK543,"-")</f>
        <v>-</v>
      </c>
      <c r="AM546" s="1075">
        <f>IF(Sheet1!AE540="E",Sheet1!AK540,"-")</f>
        <v>1020</v>
      </c>
    </row>
    <row r="547" spans="2:39" x14ac:dyDescent="0.25">
      <c r="B547" s="1082">
        <f>Sheet1!F541</f>
        <v>1695</v>
      </c>
      <c r="C547" s="1075" t="str">
        <f>Sheet1!C541</f>
        <v>Saxon Dr. (NSB)</v>
      </c>
      <c r="D547" s="1075" t="str">
        <f>_xlfn.TEXTBEFORE(Sheet1!E541, " to ")</f>
        <v xml:space="preserve">27th Ave. </v>
      </c>
      <c r="E547" s="1075" t="str">
        <f>_xlfn.TEXTAFTER(Sheet1!E541, " to ")</f>
        <v>3rd Ave/SR A1A</v>
      </c>
      <c r="F547" s="1075">
        <f>Sheet1!AM541</f>
        <v>2</v>
      </c>
      <c r="G547" s="1075"/>
      <c r="H547" s="1083" t="str">
        <f>Sheet1!AE541</f>
        <v>E</v>
      </c>
      <c r="I547" s="1075"/>
      <c r="J547" s="1075" t="str">
        <f>Sheet1!Q541</f>
        <v>UA_NSSRC2_2W_2L_U_0L</v>
      </c>
      <c r="K547" s="1075"/>
      <c r="L547" s="1075">
        <f>Sheet1!AF541</f>
        <v>13640</v>
      </c>
      <c r="M547" s="1075"/>
      <c r="N547" s="1075"/>
      <c r="O547" s="1075"/>
      <c r="P547" s="1075">
        <f>Sheet1!AK541</f>
        <v>1020</v>
      </c>
      <c r="Q547" s="1075"/>
      <c r="R547" s="1075">
        <f>Sheet1!AD541</f>
        <v>5930</v>
      </c>
      <c r="S547" s="1081">
        <f>Sheet1!AG541</f>
        <v>0.43475073313782991</v>
      </c>
      <c r="T547" s="1075" t="str">
        <f>Sheet1!AH541</f>
        <v>D</v>
      </c>
      <c r="U547" s="1075">
        <f>Sheet1!AI541</f>
        <v>410</v>
      </c>
      <c r="V547" s="1075"/>
      <c r="W547" s="1075"/>
      <c r="X547" s="1075">
        <f>Sheet1!AJ541</f>
        <v>500</v>
      </c>
      <c r="Y547" s="1075"/>
      <c r="Z547" s="1075"/>
      <c r="AA547" s="1075"/>
      <c r="AB547" s="1075"/>
      <c r="AC547" s="1075"/>
      <c r="AD547" s="1075"/>
      <c r="AE547" s="1075"/>
      <c r="AF547" s="1075"/>
      <c r="AG547" s="1075"/>
      <c r="AH547" s="1075"/>
      <c r="AI547" s="1075"/>
      <c r="AJ547" s="1075"/>
      <c r="AK547" s="1075" t="str">
        <f>IF(Sheet1!AE544="C",Sheet1!AK544,"-")</f>
        <v>-</v>
      </c>
      <c r="AL547" s="1075" t="str">
        <f>IF(Sheet1!AE544="D",Sheet1!AK544,"-")</f>
        <v>-</v>
      </c>
      <c r="AM547" s="1075">
        <f>IF(Sheet1!AE541="E",Sheet1!AK541,"-")</f>
        <v>1020</v>
      </c>
    </row>
    <row r="548" spans="2:39" x14ac:dyDescent="0.25">
      <c r="B548" s="1082">
        <f>Sheet1!F542</f>
        <v>1720</v>
      </c>
      <c r="C548" s="1075" t="str">
        <f>Sheet1!C542</f>
        <v>Sparkman Ave.</v>
      </c>
      <c r="D548" s="1075" t="str">
        <f>_xlfn.TEXTBEFORE(Sheet1!E542, " to ")</f>
        <v>Rhode Island Ave.</v>
      </c>
      <c r="E548" s="1075" t="str">
        <f>_xlfn.TEXTAFTER(Sheet1!E542, " to ")</f>
        <v>Blue Springs Ave.</v>
      </c>
      <c r="F548" s="1075">
        <f>Sheet1!AM542</f>
        <v>2</v>
      </c>
      <c r="G548" s="1075"/>
      <c r="H548" s="1083" t="str">
        <f>Sheet1!AE542</f>
        <v>E</v>
      </c>
      <c r="I548" s="1075"/>
      <c r="J548" s="1075" t="str">
        <f>Sheet1!Q542</f>
        <v>UA_NSSRC2_2W_2L_U_0L</v>
      </c>
      <c r="K548" s="1075"/>
      <c r="L548" s="1075">
        <f>Sheet1!AF542</f>
        <v>13640</v>
      </c>
      <c r="M548" s="1075"/>
      <c r="N548" s="1075"/>
      <c r="O548" s="1075"/>
      <c r="P548" s="1075">
        <f>Sheet1!AK542</f>
        <v>1020</v>
      </c>
      <c r="Q548" s="1075"/>
      <c r="R548" s="1075">
        <f>Sheet1!AD542</f>
        <v>2300</v>
      </c>
      <c r="S548" s="1081">
        <f>Sheet1!AG542</f>
        <v>0.16862170087976538</v>
      </c>
      <c r="T548" s="1075" t="str">
        <f>Sheet1!AH542</f>
        <v>C</v>
      </c>
      <c r="U548" s="1075">
        <f>Sheet1!AI542</f>
        <v>290</v>
      </c>
      <c r="V548" s="1075"/>
      <c r="W548" s="1075"/>
      <c r="X548" s="1075">
        <f>Sheet1!AJ542</f>
        <v>220</v>
      </c>
      <c r="Y548" s="1075"/>
      <c r="Z548" s="1075"/>
      <c r="AA548" s="1075"/>
      <c r="AB548" s="1075"/>
      <c r="AC548" s="1075"/>
      <c r="AD548" s="1075"/>
      <c r="AE548" s="1075"/>
      <c r="AF548" s="1075"/>
      <c r="AG548" s="1075"/>
      <c r="AH548" s="1075"/>
      <c r="AI548" s="1075"/>
      <c r="AJ548" s="1075"/>
      <c r="AK548" s="1075" t="str">
        <f>IF(Sheet1!AE545="C",Sheet1!AK545,"-")</f>
        <v>-</v>
      </c>
      <c r="AL548" s="1075" t="str">
        <f>IF(Sheet1!AE545="D",Sheet1!AK545,"-")</f>
        <v>-</v>
      </c>
      <c r="AM548" s="1075">
        <f>IF(Sheet1!AE542="E",Sheet1!AK542,"-")</f>
        <v>1020</v>
      </c>
    </row>
    <row r="549" spans="2:39" x14ac:dyDescent="0.25">
      <c r="B549" s="1082">
        <f>Sheet1!F543</f>
        <v>1721</v>
      </c>
      <c r="C549" s="1075" t="str">
        <f>Sheet1!C543</f>
        <v>Sparkman Ave.</v>
      </c>
      <c r="D549" s="1075" t="str">
        <f>_xlfn.TEXTBEFORE(Sheet1!E543, " to ")</f>
        <v>Blue Springs Ave.</v>
      </c>
      <c r="E549" s="1075" t="str">
        <f>_xlfn.TEXTAFTER(Sheet1!E543, " to ")</f>
        <v>French Ave.</v>
      </c>
      <c r="F549" s="1075">
        <f>Sheet1!AM543</f>
        <v>2</v>
      </c>
      <c r="G549" s="1075"/>
      <c r="H549" s="1083" t="str">
        <f>Sheet1!AE543</f>
        <v>E</v>
      </c>
      <c r="I549" s="1075"/>
      <c r="J549" s="1075" t="str">
        <f>Sheet1!Q543</f>
        <v>UA_NSSRC2_2W_2L_U_0L</v>
      </c>
      <c r="K549" s="1075"/>
      <c r="L549" s="1075">
        <f>Sheet1!AF543</f>
        <v>13640</v>
      </c>
      <c r="M549" s="1075"/>
      <c r="N549" s="1075"/>
      <c r="O549" s="1075"/>
      <c r="P549" s="1075">
        <f>Sheet1!AK543</f>
        <v>1020</v>
      </c>
      <c r="Q549" s="1075"/>
      <c r="R549" s="1075">
        <f>Sheet1!AD543</f>
        <v>2900</v>
      </c>
      <c r="S549" s="1081">
        <f>Sheet1!AG543</f>
        <v>0.21260997067448681</v>
      </c>
      <c r="T549" s="1075" t="str">
        <f>Sheet1!AH543</f>
        <v>C</v>
      </c>
      <c r="U549" s="1075">
        <f>Sheet1!AI543</f>
        <v>280</v>
      </c>
      <c r="V549" s="1075"/>
      <c r="W549" s="1075"/>
      <c r="X549" s="1075">
        <f>Sheet1!AJ543</f>
        <v>270</v>
      </c>
      <c r="Y549" s="1075"/>
      <c r="Z549" s="1075"/>
      <c r="AA549" s="1075"/>
      <c r="AB549" s="1075"/>
      <c r="AC549" s="1075"/>
      <c r="AD549" s="1075"/>
      <c r="AE549" s="1075"/>
      <c r="AF549" s="1075"/>
      <c r="AG549" s="1075"/>
      <c r="AH549" s="1075"/>
      <c r="AI549" s="1075"/>
      <c r="AJ549" s="1075"/>
      <c r="AK549" s="1075" t="str">
        <f>IF(Sheet1!AE546="C",Sheet1!AK546,"-")</f>
        <v>-</v>
      </c>
      <c r="AL549" s="1075" t="str">
        <f>IF(Sheet1!AE546="D",Sheet1!AK546,"-")</f>
        <v>-</v>
      </c>
      <c r="AM549" s="1075">
        <f>IF(Sheet1!AE543="E",Sheet1!AK543,"-")</f>
        <v>1020</v>
      </c>
    </row>
    <row r="550" spans="2:39" x14ac:dyDescent="0.25">
      <c r="B550" s="1082">
        <f>Sheet1!F544</f>
        <v>1722</v>
      </c>
      <c r="C550" s="1075" t="str">
        <f>Sheet1!C544</f>
        <v>Sparkman Ave.</v>
      </c>
      <c r="D550" s="1075" t="str">
        <f>_xlfn.TEXTBEFORE(Sheet1!E544, " to ")</f>
        <v>French Ave.</v>
      </c>
      <c r="E550" s="1075" t="str">
        <f>_xlfn.TEXTAFTER(Sheet1!E544, " to ")</f>
        <v>New York Ave. W.</v>
      </c>
      <c r="F550" s="1075">
        <f>Sheet1!AM544</f>
        <v>2</v>
      </c>
      <c r="G550" s="1075"/>
      <c r="H550" s="1083" t="str">
        <f>Sheet1!AE544</f>
        <v>E</v>
      </c>
      <c r="I550" s="1075"/>
      <c r="J550" s="1075" t="str">
        <f>Sheet1!Q544</f>
        <v>UA_NSSRC2_2W_2L_U_0L</v>
      </c>
      <c r="K550" s="1075"/>
      <c r="L550" s="1075">
        <f>Sheet1!AF544</f>
        <v>13640</v>
      </c>
      <c r="M550" s="1075"/>
      <c r="N550" s="1075"/>
      <c r="O550" s="1075"/>
      <c r="P550" s="1075">
        <f>Sheet1!AK544</f>
        <v>1020</v>
      </c>
      <c r="Q550" s="1075"/>
      <c r="R550" s="1075">
        <f>Sheet1!AD544</f>
        <v>1780</v>
      </c>
      <c r="S550" s="1081">
        <f>Sheet1!AG544</f>
        <v>0.13049853372434017</v>
      </c>
      <c r="T550" s="1075" t="str">
        <f>Sheet1!AH544</f>
        <v>C</v>
      </c>
      <c r="U550" s="1075">
        <f>Sheet1!AI544</f>
        <v>150</v>
      </c>
      <c r="V550" s="1075"/>
      <c r="W550" s="1075"/>
      <c r="X550" s="1075">
        <f>Sheet1!AJ544</f>
        <v>190</v>
      </c>
      <c r="Y550" s="1075"/>
      <c r="Z550" s="1075"/>
      <c r="AA550" s="1075"/>
      <c r="AB550" s="1075"/>
      <c r="AC550" s="1075"/>
      <c r="AD550" s="1075"/>
      <c r="AE550" s="1075"/>
      <c r="AF550" s="1075"/>
      <c r="AG550" s="1075"/>
      <c r="AH550" s="1075"/>
      <c r="AI550" s="1075"/>
      <c r="AJ550" s="1075"/>
      <c r="AK550" s="1075" t="str">
        <f>IF(Sheet1!AE547="C",Sheet1!AK547,"-")</f>
        <v>-</v>
      </c>
      <c r="AL550" s="1075" t="str">
        <f>IF(Sheet1!AE547="D",Sheet1!AK547,"-")</f>
        <v>-</v>
      </c>
      <c r="AM550" s="1075">
        <f>IF(Sheet1!AE544="E",Sheet1!AK544,"-")</f>
        <v>1020</v>
      </c>
    </row>
    <row r="551" spans="2:39" x14ac:dyDescent="0.25">
      <c r="B551" s="1082">
        <f>Sheet1!F545</f>
        <v>1723</v>
      </c>
      <c r="C551" s="1075" t="str">
        <f>Sheet1!C545</f>
        <v>Sparkman Ave.</v>
      </c>
      <c r="D551" s="1075" t="str">
        <f>_xlfn.TEXTBEFORE(Sheet1!E545, " to ")</f>
        <v>New York Ave. W.</v>
      </c>
      <c r="E551" s="1075" t="str">
        <f>_xlfn.TEXTAFTER(Sheet1!E545, " to ")</f>
        <v>Minnesota Ave.</v>
      </c>
      <c r="F551" s="1075">
        <f>Sheet1!AM545</f>
        <v>2</v>
      </c>
      <c r="G551" s="1075"/>
      <c r="H551" s="1083" t="str">
        <f>Sheet1!AE545</f>
        <v>E</v>
      </c>
      <c r="I551" s="1075"/>
      <c r="J551" s="1075" t="str">
        <f>Sheet1!Q545</f>
        <v>UA_NSSRC2_2W_2L_U_0L</v>
      </c>
      <c r="K551" s="1075"/>
      <c r="L551" s="1075">
        <f>Sheet1!AF545</f>
        <v>13640</v>
      </c>
      <c r="M551" s="1075"/>
      <c r="N551" s="1075"/>
      <c r="O551" s="1075"/>
      <c r="P551" s="1075">
        <f>Sheet1!AK545</f>
        <v>1020</v>
      </c>
      <c r="Q551" s="1075"/>
      <c r="R551" s="1075">
        <f>Sheet1!AD545</f>
        <v>1490</v>
      </c>
      <c r="S551" s="1081">
        <f>Sheet1!AG545</f>
        <v>0.1092375366568915</v>
      </c>
      <c r="T551" s="1075" t="str">
        <f>Sheet1!AH545</f>
        <v>C</v>
      </c>
      <c r="U551" s="1075">
        <f>Sheet1!AI545</f>
        <v>130</v>
      </c>
      <c r="V551" s="1075"/>
      <c r="W551" s="1075"/>
      <c r="X551" s="1075">
        <f>Sheet1!AJ545</f>
        <v>190</v>
      </c>
      <c r="Y551" s="1075"/>
      <c r="Z551" s="1075"/>
      <c r="AA551" s="1075"/>
      <c r="AB551" s="1075"/>
      <c r="AC551" s="1075"/>
      <c r="AD551" s="1075"/>
      <c r="AE551" s="1075"/>
      <c r="AF551" s="1075"/>
      <c r="AG551" s="1075"/>
      <c r="AH551" s="1075"/>
      <c r="AI551" s="1075"/>
      <c r="AJ551" s="1075"/>
      <c r="AK551" s="1075" t="str">
        <f>IF(Sheet1!AE548="C",Sheet1!AK548,"-")</f>
        <v>-</v>
      </c>
      <c r="AL551" s="1075" t="str">
        <f>IF(Sheet1!AE548="D",Sheet1!AK548,"-")</f>
        <v>-</v>
      </c>
      <c r="AM551" s="1075">
        <f>IF(Sheet1!AE545="E",Sheet1!AK545,"-")</f>
        <v>1020</v>
      </c>
    </row>
    <row r="552" spans="2:39" x14ac:dyDescent="0.25">
      <c r="B552" s="1082">
        <f>Sheet1!F546</f>
        <v>1731</v>
      </c>
      <c r="C552" s="1075" t="str">
        <f>Sheet1!C546</f>
        <v>Spring Garden Ave.</v>
      </c>
      <c r="D552" s="1075" t="str">
        <f>_xlfn.TEXTBEFORE(Sheet1!E546, " to ")</f>
        <v>McGregor Rd.</v>
      </c>
      <c r="E552" s="1075" t="str">
        <f>_xlfn.TEXTAFTER(Sheet1!E546, " to ")</f>
        <v>Beresford Rd. West</v>
      </c>
      <c r="F552" s="1075">
        <f>Sheet1!AM546</f>
        <v>2</v>
      </c>
      <c r="G552" s="1075"/>
      <c r="H552" s="1083" t="str">
        <f>Sheet1!AE546</f>
        <v>E</v>
      </c>
      <c r="I552" s="1075"/>
      <c r="J552" s="1075" t="str">
        <f>Sheet1!Q546</f>
        <v>UA_NSSRC2_2W_2L_U_0L</v>
      </c>
      <c r="K552" s="1075"/>
      <c r="L552" s="1075">
        <f>Sheet1!AF546</f>
        <v>13640</v>
      </c>
      <c r="M552" s="1075"/>
      <c r="N552" s="1075"/>
      <c r="O552" s="1075"/>
      <c r="P552" s="1075">
        <f>Sheet1!AK546</f>
        <v>1020</v>
      </c>
      <c r="Q552" s="1075"/>
      <c r="R552" s="1075">
        <f>Sheet1!AD546</f>
        <v>2530</v>
      </c>
      <c r="S552" s="1081">
        <f>Sheet1!AG546</f>
        <v>0.18548387096774194</v>
      </c>
      <c r="T552" s="1075" t="str">
        <f>Sheet1!AH546</f>
        <v>C</v>
      </c>
      <c r="U552" s="1075">
        <f>Sheet1!AI546</f>
        <v>200</v>
      </c>
      <c r="V552" s="1075"/>
      <c r="W552" s="1075"/>
      <c r="X552" s="1075">
        <f>Sheet1!AJ546</f>
        <v>250</v>
      </c>
      <c r="Y552" s="1075"/>
      <c r="Z552" s="1075"/>
      <c r="AA552" s="1075"/>
      <c r="AB552" s="1075"/>
      <c r="AC552" s="1075"/>
      <c r="AD552" s="1075"/>
      <c r="AE552" s="1075"/>
      <c r="AF552" s="1075"/>
      <c r="AG552" s="1075"/>
      <c r="AH552" s="1075"/>
      <c r="AI552" s="1075"/>
      <c r="AJ552" s="1075"/>
      <c r="AK552" s="1075">
        <f>IF(Sheet1!AE549="C",Sheet1!AK549,"-")</f>
        <v>620</v>
      </c>
      <c r="AL552" s="1075" t="str">
        <f>IF(Sheet1!AE549="D",Sheet1!AK549,"-")</f>
        <v>-</v>
      </c>
      <c r="AM552" s="1075">
        <f>IF(Sheet1!AE546="E",Sheet1!AK546,"-")</f>
        <v>1020</v>
      </c>
    </row>
    <row r="553" spans="2:39" x14ac:dyDescent="0.25">
      <c r="B553" s="1082">
        <f>Sheet1!F547</f>
        <v>1732</v>
      </c>
      <c r="C553" s="1075" t="str">
        <f>Sheet1!C547</f>
        <v>Spring Garden Ave.</v>
      </c>
      <c r="D553" s="1075" t="str">
        <f>_xlfn.TEXTBEFORE(Sheet1!E547, " to ")</f>
        <v>Beresford Rd. West</v>
      </c>
      <c r="E553" s="1075" t="str">
        <f>_xlfn.TEXTAFTER(Sheet1!E547, " to ")</f>
        <v>Beresford Ave.</v>
      </c>
      <c r="F553" s="1075">
        <f>Sheet1!AM547</f>
        <v>2</v>
      </c>
      <c r="G553" s="1075"/>
      <c r="H553" s="1083" t="str">
        <f>Sheet1!AE547</f>
        <v>E</v>
      </c>
      <c r="I553" s="1075"/>
      <c r="J553" s="1075" t="str">
        <f>Sheet1!Q547</f>
        <v>UA_NSSRC2_2W_2L_U_0L</v>
      </c>
      <c r="K553" s="1075"/>
      <c r="L553" s="1075">
        <f>Sheet1!AF547</f>
        <v>13640</v>
      </c>
      <c r="M553" s="1075"/>
      <c r="N553" s="1075"/>
      <c r="O553" s="1075"/>
      <c r="P553" s="1075">
        <f>Sheet1!AK547</f>
        <v>1020</v>
      </c>
      <c r="Q553" s="1075"/>
      <c r="R553" s="1075">
        <f>Sheet1!AD547</f>
        <v>2080</v>
      </c>
      <c r="S553" s="1081">
        <f>Sheet1!AG547</f>
        <v>0.15249266862170088</v>
      </c>
      <c r="T553" s="1075" t="str">
        <f>Sheet1!AH547</f>
        <v>C</v>
      </c>
      <c r="U553" s="1075">
        <f>Sheet1!AI547</f>
        <v>120</v>
      </c>
      <c r="V553" s="1075"/>
      <c r="W553" s="1075"/>
      <c r="X553" s="1075">
        <f>Sheet1!AJ547</f>
        <v>200</v>
      </c>
      <c r="Y553" s="1075"/>
      <c r="Z553" s="1075"/>
      <c r="AA553" s="1075"/>
      <c r="AB553" s="1075"/>
      <c r="AC553" s="1075"/>
      <c r="AD553" s="1075"/>
      <c r="AE553" s="1075"/>
      <c r="AF553" s="1075"/>
      <c r="AG553" s="1075"/>
      <c r="AH553" s="1075"/>
      <c r="AI553" s="1075"/>
      <c r="AJ553" s="1075"/>
      <c r="AK553" s="1075" t="str">
        <f>IF(Sheet1!AE550="C",Sheet1!AK550,"-")</f>
        <v>-</v>
      </c>
      <c r="AL553" s="1075" t="str">
        <f>IF(Sheet1!AE550="D",Sheet1!AK550,"-")</f>
        <v>-</v>
      </c>
      <c r="AM553" s="1075">
        <f>IF(Sheet1!AE547="E",Sheet1!AK547,"-")</f>
        <v>1020</v>
      </c>
    </row>
    <row r="554" spans="2:39" x14ac:dyDescent="0.25">
      <c r="B554" s="1082">
        <f>Sheet1!F548</f>
        <v>1740</v>
      </c>
      <c r="C554" s="1075" t="str">
        <f>Sheet1!C548</f>
        <v>Spring Garden Ranch Rd.</v>
      </c>
      <c r="D554" s="1075" t="str">
        <f>_xlfn.TEXTBEFORE(Sheet1!E548, " to ")</f>
        <v>US 17</v>
      </c>
      <c r="E554" s="1075" t="str">
        <f>_xlfn.TEXTAFTER(Sheet1!E548, " to ")</f>
        <v xml:space="preserve">Aragon Ave </v>
      </c>
      <c r="F554" s="1075">
        <f>Sheet1!AM548</f>
        <v>2</v>
      </c>
      <c r="G554" s="1075"/>
      <c r="H554" s="1083" t="str">
        <f>Sheet1!AE548</f>
        <v>E</v>
      </c>
      <c r="I554" s="1075"/>
      <c r="J554" s="1075" t="str">
        <f>Sheet1!Q548</f>
        <v>UA_NSSRC2_2W_2L_U_0L</v>
      </c>
      <c r="K554" s="1075"/>
      <c r="L554" s="1075">
        <f>Sheet1!AF548</f>
        <v>13640</v>
      </c>
      <c r="M554" s="1075"/>
      <c r="N554" s="1075"/>
      <c r="O554" s="1075"/>
      <c r="P554" s="1075">
        <f>Sheet1!AK548</f>
        <v>1020</v>
      </c>
      <c r="Q554" s="1075"/>
      <c r="R554" s="1075">
        <f>Sheet1!AD548</f>
        <v>3330</v>
      </c>
      <c r="S554" s="1081">
        <f>Sheet1!AG548</f>
        <v>0.24413489736070382</v>
      </c>
      <c r="T554" s="1075" t="str">
        <f>Sheet1!AH548</f>
        <v>C</v>
      </c>
      <c r="U554" s="1075">
        <f>Sheet1!AI548</f>
        <v>190</v>
      </c>
      <c r="V554" s="1075"/>
      <c r="W554" s="1075"/>
      <c r="X554" s="1075">
        <f>Sheet1!AJ548</f>
        <v>360</v>
      </c>
      <c r="Y554" s="1075"/>
      <c r="Z554" s="1075"/>
      <c r="AA554" s="1075"/>
      <c r="AB554" s="1075"/>
      <c r="AC554" s="1075"/>
      <c r="AD554" s="1075"/>
      <c r="AE554" s="1075"/>
      <c r="AF554" s="1075"/>
      <c r="AG554" s="1075"/>
      <c r="AH554" s="1075"/>
      <c r="AI554" s="1075"/>
      <c r="AJ554" s="1075"/>
      <c r="AK554" s="1075" t="str">
        <f>IF(Sheet1!AE551="C",Sheet1!AK551,"-")</f>
        <v>-</v>
      </c>
      <c r="AL554" s="1075" t="str">
        <f>IF(Sheet1!AE551="D",Sheet1!AK551,"-")</f>
        <v>-</v>
      </c>
      <c r="AM554" s="1075">
        <f>IF(Sheet1!AE548="E",Sheet1!AK548,"-")</f>
        <v>1020</v>
      </c>
    </row>
    <row r="555" spans="2:39" x14ac:dyDescent="0.25">
      <c r="B555" s="1082">
        <f>Sheet1!F549</f>
        <v>1742</v>
      </c>
      <c r="C555" s="1075" t="str">
        <f>Sheet1!C549</f>
        <v>Spring Garden Ranch Rd.</v>
      </c>
      <c r="D555" s="1075" t="str">
        <f>_xlfn.TEXTBEFORE(Sheet1!E549, " to ")</f>
        <v>Aragon Ave</v>
      </c>
      <c r="E555" s="1075" t="str">
        <f>_xlfn.TEXTAFTER(Sheet1!E549, " to ")</f>
        <v>Arrendondo Grant/East Ave</v>
      </c>
      <c r="F555" s="1075">
        <f>Sheet1!AM549</f>
        <v>2</v>
      </c>
      <c r="G555" s="1075"/>
      <c r="H555" s="1083" t="str">
        <f>Sheet1!AE549</f>
        <v>C</v>
      </c>
      <c r="I555" s="1075"/>
      <c r="J555" s="1075" t="str">
        <f>Sheet1!Q549</f>
        <v>RUA_UFH_2W_2L_U_0L</v>
      </c>
      <c r="K555" s="1075"/>
      <c r="L555" s="1075">
        <f>Sheet1!AF549</f>
        <v>6450</v>
      </c>
      <c r="M555" s="1075"/>
      <c r="N555" s="1075"/>
      <c r="O555" s="1075"/>
      <c r="P555" s="1075">
        <f>Sheet1!AK549</f>
        <v>620</v>
      </c>
      <c r="Q555" s="1075"/>
      <c r="R555" s="1075">
        <f>Sheet1!AD549</f>
        <v>580</v>
      </c>
      <c r="S555" s="1081">
        <f>Sheet1!AG549</f>
        <v>8.9922480620155038E-2</v>
      </c>
      <c r="T555" s="1075" t="str">
        <f>Sheet1!AH549</f>
        <v>B</v>
      </c>
      <c r="U555" s="1075">
        <f>Sheet1!AI549</f>
        <v>40</v>
      </c>
      <c r="V555" s="1075"/>
      <c r="W555" s="1075"/>
      <c r="X555" s="1075">
        <f>Sheet1!AJ549</f>
        <v>60</v>
      </c>
      <c r="Y555" s="1075"/>
      <c r="Z555" s="1075"/>
      <c r="AA555" s="1075"/>
      <c r="AB555" s="1075"/>
      <c r="AC555" s="1075"/>
      <c r="AD555" s="1075"/>
      <c r="AE555" s="1075"/>
      <c r="AF555" s="1075"/>
      <c r="AG555" s="1075"/>
      <c r="AH555" s="1075"/>
      <c r="AI555" s="1075"/>
      <c r="AJ555" s="1075"/>
      <c r="AK555" s="1075" t="str">
        <f>IF(Sheet1!AE552="C",Sheet1!AK552,"-")</f>
        <v>-</v>
      </c>
      <c r="AL555" s="1075" t="str">
        <f>IF(Sheet1!AE552="D",Sheet1!AK552,"-")</f>
        <v>-</v>
      </c>
      <c r="AM555" s="1075" t="str">
        <f>IF(Sheet1!AE549="E",Sheet1!AK549,"-")</f>
        <v>-</v>
      </c>
    </row>
    <row r="556" spans="2:39" x14ac:dyDescent="0.25">
      <c r="B556" s="1082">
        <f>Sheet1!F550</f>
        <v>1751</v>
      </c>
      <c r="C556" s="1075" t="str">
        <f>Sheet1!C550</f>
        <v>Spruce Creek Rd.</v>
      </c>
      <c r="D556" s="1075" t="str">
        <f>_xlfn.TEXTBEFORE(Sheet1!E550, " to ")</f>
        <v>Taylor Rd.</v>
      </c>
      <c r="E556" s="1075" t="str">
        <f>_xlfn.TEXTAFTER(Sheet1!E550, " to ")</f>
        <v>SR5A/Nova Rd.</v>
      </c>
      <c r="F556" s="1075">
        <f>Sheet1!AM550</f>
        <v>4</v>
      </c>
      <c r="G556" s="1075"/>
      <c r="H556" s="1083" t="str">
        <f>Sheet1!AE550</f>
        <v>E</v>
      </c>
      <c r="I556" s="1075"/>
      <c r="J556" s="1075" t="str">
        <f>Sheet1!Q550</f>
        <v>UA_NSSRC1_2W_4L_D_WL</v>
      </c>
      <c r="K556" s="1075"/>
      <c r="L556" s="1075">
        <f>Sheet1!AF550</f>
        <v>37970</v>
      </c>
      <c r="M556" s="1075"/>
      <c r="N556" s="1075"/>
      <c r="O556" s="1075"/>
      <c r="P556" s="1075">
        <f>Sheet1!AK550</f>
        <v>3410</v>
      </c>
      <c r="Q556" s="1075"/>
      <c r="R556" s="1075">
        <f>Sheet1!AD550</f>
        <v>14740</v>
      </c>
      <c r="S556" s="1081">
        <f>Sheet1!AG550</f>
        <v>0.38820121148274955</v>
      </c>
      <c r="T556" s="1075" t="str">
        <f>Sheet1!AH550</f>
        <v>C</v>
      </c>
      <c r="U556" s="1075">
        <f>Sheet1!AI550</f>
        <v>990</v>
      </c>
      <c r="V556" s="1075"/>
      <c r="W556" s="1075"/>
      <c r="X556" s="1075">
        <f>Sheet1!AJ550</f>
        <v>1310</v>
      </c>
      <c r="Y556" s="1075"/>
      <c r="Z556" s="1075"/>
      <c r="AA556" s="1075"/>
      <c r="AB556" s="1075"/>
      <c r="AC556" s="1075"/>
      <c r="AD556" s="1075"/>
      <c r="AE556" s="1075"/>
      <c r="AF556" s="1075"/>
      <c r="AG556" s="1075"/>
      <c r="AH556" s="1075"/>
      <c r="AI556" s="1075"/>
      <c r="AJ556" s="1075"/>
      <c r="AK556" s="1075" t="str">
        <f>IF(Sheet1!AE553="C",Sheet1!AK553,"-")</f>
        <v>-</v>
      </c>
      <c r="AL556" s="1075" t="str">
        <f>IF(Sheet1!AE553="D",Sheet1!AK553,"-")</f>
        <v>-</v>
      </c>
      <c r="AM556" s="1075">
        <f>IF(Sheet1!AE550="E",Sheet1!AK550,"-")</f>
        <v>3410</v>
      </c>
    </row>
    <row r="557" spans="2:39" x14ac:dyDescent="0.25">
      <c r="B557" s="1082">
        <f>Sheet1!F551</f>
        <v>1752</v>
      </c>
      <c r="C557" s="1075" t="str">
        <f>Sheet1!C551</f>
        <v>Spruce Creek Rd.</v>
      </c>
      <c r="D557" s="1075" t="str">
        <f>_xlfn.TEXTBEFORE(Sheet1!E551, " to ")</f>
        <v>SR5A/Nova Rd.</v>
      </c>
      <c r="E557" s="1075" t="str">
        <f>_xlfn.TEXTAFTER(Sheet1!E551, " to ")</f>
        <v>Commonwealth Blvd.</v>
      </c>
      <c r="F557" s="1075">
        <f>Sheet1!AM551</f>
        <v>2</v>
      </c>
      <c r="G557" s="1075"/>
      <c r="H557" s="1083" t="str">
        <f>Sheet1!AE551</f>
        <v>E</v>
      </c>
      <c r="I557" s="1075"/>
      <c r="J557" s="1075" t="str">
        <f>Sheet1!Q551</f>
        <v>UA_NSSRC2_2W_2L_U_0L</v>
      </c>
      <c r="K557" s="1075"/>
      <c r="L557" s="1075">
        <f>Sheet1!AF551</f>
        <v>13640</v>
      </c>
      <c r="M557" s="1075"/>
      <c r="N557" s="1075"/>
      <c r="O557" s="1075"/>
      <c r="P557" s="1075">
        <f>Sheet1!AK551</f>
        <v>1020</v>
      </c>
      <c r="Q557" s="1075"/>
      <c r="R557" s="1075">
        <f>Sheet1!AD551</f>
        <v>8500</v>
      </c>
      <c r="S557" s="1081">
        <f>Sheet1!AG551</f>
        <v>0.62316715542521994</v>
      </c>
      <c r="T557" s="1075" t="str">
        <f>Sheet1!AH551</f>
        <v>D</v>
      </c>
      <c r="U557" s="1075">
        <f>Sheet1!AI551</f>
        <v>560</v>
      </c>
      <c r="V557" s="1075"/>
      <c r="W557" s="1075"/>
      <c r="X557" s="1075">
        <f>Sheet1!AJ551</f>
        <v>760</v>
      </c>
      <c r="Y557" s="1075"/>
      <c r="Z557" s="1075"/>
      <c r="AA557" s="1075"/>
      <c r="AB557" s="1075"/>
      <c r="AC557" s="1075"/>
      <c r="AD557" s="1075"/>
      <c r="AE557" s="1075"/>
      <c r="AF557" s="1075"/>
      <c r="AG557" s="1075"/>
      <c r="AH557" s="1075"/>
      <c r="AI557" s="1075"/>
      <c r="AJ557" s="1075"/>
      <c r="AK557" s="1075" t="str">
        <f>IF(Sheet1!AE554="C",Sheet1!AK554,"-")</f>
        <v>-</v>
      </c>
      <c r="AL557" s="1075" t="str">
        <f>IF(Sheet1!AE554="D",Sheet1!AK554,"-")</f>
        <v>-</v>
      </c>
      <c r="AM557" s="1075">
        <f>IF(Sheet1!AE551="E",Sheet1!AK551,"-")</f>
        <v>1020</v>
      </c>
    </row>
    <row r="558" spans="2:39" x14ac:dyDescent="0.25">
      <c r="B558" s="1082">
        <f>Sheet1!F552</f>
        <v>1770</v>
      </c>
      <c r="C558" s="1075" t="str">
        <f>Sheet1!C552</f>
        <v>Stone St.</v>
      </c>
      <c r="D558" s="1075" t="str">
        <f>_xlfn.TEXTBEFORE(Sheet1!E552, " to ")</f>
        <v>Plymouth Ave</v>
      </c>
      <c r="E558" s="1075" t="str">
        <f>_xlfn.TEXTAFTER(Sheet1!E552, " to ")</f>
        <v>CR 92/ISB</v>
      </c>
      <c r="F558" s="1075">
        <f>Sheet1!AM552</f>
        <v>2</v>
      </c>
      <c r="G558" s="1075"/>
      <c r="H558" s="1083" t="str">
        <f>Sheet1!AE552</f>
        <v>E</v>
      </c>
      <c r="I558" s="1075"/>
      <c r="J558" s="1075" t="str">
        <f>Sheet1!Q552</f>
        <v>UA_NSSRC2_2W_2L_U_0L</v>
      </c>
      <c r="K558" s="1075"/>
      <c r="L558" s="1075">
        <f>Sheet1!AF552</f>
        <v>13640</v>
      </c>
      <c r="M558" s="1075"/>
      <c r="N558" s="1075"/>
      <c r="O558" s="1075"/>
      <c r="P558" s="1075">
        <f>Sheet1!AK552</f>
        <v>1020</v>
      </c>
      <c r="Q558" s="1075"/>
      <c r="R558" s="1075">
        <f>Sheet1!AD552</f>
        <v>4810</v>
      </c>
      <c r="S558" s="1081">
        <f>Sheet1!AG552</f>
        <v>0.3526392961876833</v>
      </c>
      <c r="T558" s="1075" t="str">
        <f>Sheet1!AH552</f>
        <v>C</v>
      </c>
      <c r="U558" s="1075">
        <f>Sheet1!AI552</f>
        <v>340</v>
      </c>
      <c r="V558" s="1075"/>
      <c r="W558" s="1075"/>
      <c r="X558" s="1075">
        <f>Sheet1!AJ552</f>
        <v>410</v>
      </c>
      <c r="Y558" s="1075"/>
      <c r="Z558" s="1075"/>
      <c r="AA558" s="1075"/>
      <c r="AB558" s="1075"/>
      <c r="AC558" s="1075"/>
      <c r="AD558" s="1075"/>
      <c r="AE558" s="1075"/>
      <c r="AF558" s="1075"/>
      <c r="AG558" s="1075"/>
      <c r="AH558" s="1075"/>
      <c r="AI558" s="1075"/>
      <c r="AJ558" s="1075"/>
      <c r="AK558" s="1075" t="str">
        <f>IF(Sheet1!AE555="C",Sheet1!AK555,"-")</f>
        <v>-</v>
      </c>
      <c r="AL558" s="1075" t="str">
        <f>IF(Sheet1!AE555="D",Sheet1!AK555,"-")</f>
        <v>-</v>
      </c>
      <c r="AM558" s="1075">
        <f>IF(Sheet1!AE552="E",Sheet1!AK552,"-")</f>
        <v>1020</v>
      </c>
    </row>
    <row r="559" spans="2:39" x14ac:dyDescent="0.25">
      <c r="B559" s="1082">
        <f>Sheet1!F553</f>
        <v>1773</v>
      </c>
      <c r="C559" s="1075" t="str">
        <f>Sheet1!C553</f>
        <v>Stone St.</v>
      </c>
      <c r="D559" s="1075" t="str">
        <f>_xlfn.TEXTBEFORE(Sheet1!E553, " to ")</f>
        <v xml:space="preserve">CR 92/ISB </v>
      </c>
      <c r="E559" s="1075" t="str">
        <f>_xlfn.TEXTAFTER(Sheet1!E553, " to ")</f>
        <v>Mercers Fernery Rd</v>
      </c>
      <c r="F559" s="1075">
        <f>Sheet1!AM553</f>
        <v>2</v>
      </c>
      <c r="G559" s="1075"/>
      <c r="H559" s="1083" t="str">
        <f>Sheet1!AE553</f>
        <v>E</v>
      </c>
      <c r="I559" s="1075"/>
      <c r="J559" s="1075" t="str">
        <f>Sheet1!Q553</f>
        <v>UA_NSSRC2_2W_2L_U_0L</v>
      </c>
      <c r="K559" s="1075"/>
      <c r="L559" s="1075">
        <f>Sheet1!AF553</f>
        <v>13640</v>
      </c>
      <c r="M559" s="1075"/>
      <c r="N559" s="1075"/>
      <c r="O559" s="1075"/>
      <c r="P559" s="1075">
        <f>Sheet1!AK553</f>
        <v>1020</v>
      </c>
      <c r="Q559" s="1075"/>
      <c r="R559" s="1075">
        <f>Sheet1!AD553</f>
        <v>590</v>
      </c>
      <c r="S559" s="1081">
        <f>Sheet1!AG553</f>
        <v>4.3255131964809387E-2</v>
      </c>
      <c r="T559" s="1075" t="str">
        <f>Sheet1!AH553</f>
        <v>C</v>
      </c>
      <c r="U559" s="1075">
        <f>Sheet1!AI553</f>
        <v>40</v>
      </c>
      <c r="V559" s="1075"/>
      <c r="W559" s="1075"/>
      <c r="X559" s="1075">
        <f>Sheet1!AJ553</f>
        <v>60</v>
      </c>
      <c r="Y559" s="1075"/>
      <c r="Z559" s="1075"/>
      <c r="AA559" s="1075"/>
      <c r="AB559" s="1075"/>
      <c r="AC559" s="1075"/>
      <c r="AD559" s="1075"/>
      <c r="AE559" s="1075"/>
      <c r="AF559" s="1075"/>
      <c r="AG559" s="1075"/>
      <c r="AH559" s="1075"/>
      <c r="AI559" s="1075"/>
      <c r="AJ559" s="1075"/>
      <c r="AK559" s="1075" t="str">
        <f>IF(Sheet1!AE556="C",Sheet1!AK556,"-")</f>
        <v>-</v>
      </c>
      <c r="AL559" s="1075" t="str">
        <f>IF(Sheet1!AE556="D",Sheet1!AK556,"-")</f>
        <v>-</v>
      </c>
      <c r="AM559" s="1075">
        <f>IF(Sheet1!AE553="E",Sheet1!AK553,"-")</f>
        <v>1020</v>
      </c>
    </row>
    <row r="560" spans="2:39" x14ac:dyDescent="0.25">
      <c r="B560" s="1082">
        <f>Sheet1!F554</f>
        <v>1781</v>
      </c>
      <c r="C560" s="1075" t="str">
        <f>Sheet1!C554</f>
        <v>Sugar Mill Dr.</v>
      </c>
      <c r="D560" s="1075" t="str">
        <f>_xlfn.TEXTBEFORE(Sheet1!E554, " to ")</f>
        <v>Pioneer Tr.</v>
      </c>
      <c r="E560" s="1075" t="str">
        <f>_xlfn.TEXTAFTER(Sheet1!E554, " to ")</f>
        <v>SR 44</v>
      </c>
      <c r="F560" s="1075">
        <f>Sheet1!AM554</f>
        <v>2</v>
      </c>
      <c r="G560" s="1075"/>
      <c r="H560" s="1083" t="str">
        <f>Sheet1!AE554</f>
        <v>E</v>
      </c>
      <c r="I560" s="1075"/>
      <c r="J560" s="1075" t="str">
        <f>Sheet1!Q554</f>
        <v>UA_NSSRC1_2W_2L_U_0L</v>
      </c>
      <c r="K560" s="1075"/>
      <c r="L560" s="1075">
        <f>Sheet1!AF554</f>
        <v>13640</v>
      </c>
      <c r="M560" s="1075"/>
      <c r="N560" s="1075"/>
      <c r="O560" s="1075"/>
      <c r="P560" s="1075">
        <f>Sheet1!AK554</f>
        <v>1230</v>
      </c>
      <c r="Q560" s="1075"/>
      <c r="R560" s="1075">
        <f>Sheet1!AD554</f>
        <v>3240</v>
      </c>
      <c r="S560" s="1081">
        <f>Sheet1!AG554</f>
        <v>0.23753665689149561</v>
      </c>
      <c r="T560" s="1075" t="str">
        <f>Sheet1!AH554</f>
        <v>C</v>
      </c>
      <c r="U560" s="1075">
        <f>Sheet1!AI554</f>
        <v>210</v>
      </c>
      <c r="V560" s="1075"/>
      <c r="W560" s="1075"/>
      <c r="X560" s="1075">
        <f>Sheet1!AJ554</f>
        <v>250</v>
      </c>
      <c r="Y560" s="1075"/>
      <c r="Z560" s="1075"/>
      <c r="AA560" s="1075"/>
      <c r="AB560" s="1075"/>
      <c r="AC560" s="1075"/>
      <c r="AD560" s="1075"/>
      <c r="AE560" s="1075"/>
      <c r="AF560" s="1075"/>
      <c r="AG560" s="1075"/>
      <c r="AH560" s="1075"/>
      <c r="AI560" s="1075"/>
      <c r="AJ560" s="1075"/>
      <c r="AK560" s="1075" t="str">
        <f>IF(Sheet1!AE557="C",Sheet1!AK557,"-")</f>
        <v>-</v>
      </c>
      <c r="AL560" s="1075" t="str">
        <f>IF(Sheet1!AE557="D",Sheet1!AK557,"-")</f>
        <v>-</v>
      </c>
      <c r="AM560" s="1075">
        <f>IF(Sheet1!AE554="E",Sheet1!AK554,"-")</f>
        <v>1230</v>
      </c>
    </row>
    <row r="561" spans="2:39" x14ac:dyDescent="0.25">
      <c r="B561" s="1082">
        <f>Sheet1!F555</f>
        <v>1791</v>
      </c>
      <c r="C561" s="1075" t="str">
        <f>Sheet1!C555</f>
        <v>Summit Ave.</v>
      </c>
      <c r="D561" s="1075" t="str">
        <f>_xlfn.TEXTBEFORE(Sheet1!E555, " to ")</f>
        <v>SR 44</v>
      </c>
      <c r="E561" s="1075" t="str">
        <f>_xlfn.TEXTAFTER(Sheet1!E555, " to ")</f>
        <v>Main St.</v>
      </c>
      <c r="F561" s="1075">
        <f>Sheet1!AM555</f>
        <v>2</v>
      </c>
      <c r="G561" s="1075"/>
      <c r="H561" s="1083" t="str">
        <f>Sheet1!AE555</f>
        <v>E</v>
      </c>
      <c r="I561" s="1075"/>
      <c r="J561" s="1075" t="str">
        <f>Sheet1!Q555</f>
        <v>UA_NSSRC1_2W_2L_U_0L</v>
      </c>
      <c r="K561" s="1075"/>
      <c r="L561" s="1075">
        <f>Sheet1!AF555</f>
        <v>13640</v>
      </c>
      <c r="M561" s="1075"/>
      <c r="N561" s="1075"/>
      <c r="O561" s="1075"/>
      <c r="P561" s="1075">
        <f>Sheet1!AK555</f>
        <v>1230</v>
      </c>
      <c r="Q561" s="1075"/>
      <c r="R561" s="1075">
        <f>Sheet1!AD555</f>
        <v>2250</v>
      </c>
      <c r="S561" s="1081">
        <f>Sheet1!AG555</f>
        <v>0.16495601173020527</v>
      </c>
      <c r="T561" s="1075" t="str">
        <f>Sheet1!AH555</f>
        <v>C</v>
      </c>
      <c r="U561" s="1075">
        <f>Sheet1!AI555</f>
        <v>230</v>
      </c>
      <c r="V561" s="1075"/>
      <c r="W561" s="1075"/>
      <c r="X561" s="1075">
        <f>Sheet1!AJ555</f>
        <v>200</v>
      </c>
      <c r="Y561" s="1075"/>
      <c r="Z561" s="1075"/>
      <c r="AA561" s="1075"/>
      <c r="AB561" s="1075"/>
      <c r="AC561" s="1075"/>
      <c r="AD561" s="1075"/>
      <c r="AE561" s="1075"/>
      <c r="AF561" s="1075"/>
      <c r="AG561" s="1075"/>
      <c r="AH561" s="1075"/>
      <c r="AI561" s="1075"/>
      <c r="AJ561" s="1075"/>
      <c r="AK561" s="1075" t="str">
        <f>IF(Sheet1!AE558="C",Sheet1!AK558,"-")</f>
        <v>-</v>
      </c>
      <c r="AL561" s="1075" t="str">
        <f>IF(Sheet1!AE558="D",Sheet1!AK558,"-")</f>
        <v>-</v>
      </c>
      <c r="AM561" s="1075">
        <f>IF(Sheet1!AE555="E",Sheet1!AK555,"-")</f>
        <v>1230</v>
      </c>
    </row>
    <row r="562" spans="2:39" x14ac:dyDescent="0.25">
      <c r="B562" s="1082">
        <f>Sheet1!F556</f>
        <v>1801</v>
      </c>
      <c r="C562" s="1075" t="str">
        <f>Sheet1!C556</f>
        <v>Surfside Dr.</v>
      </c>
      <c r="D562" s="1075" t="str">
        <f>_xlfn.TEXTBEFORE(Sheet1!E556, " to ")</f>
        <v>John Anderson Dr.</v>
      </c>
      <c r="E562" s="1075" t="str">
        <f>_xlfn.TEXTAFTER(Sheet1!E556, " to ")</f>
        <v>SR A1A</v>
      </c>
      <c r="F562" s="1075">
        <f>Sheet1!AM556</f>
        <v>2</v>
      </c>
      <c r="G562" s="1075"/>
      <c r="H562" s="1083" t="str">
        <f>Sheet1!AE556</f>
        <v>E</v>
      </c>
      <c r="I562" s="1075"/>
      <c r="J562" s="1075" t="str">
        <f>Sheet1!Q556</f>
        <v>UA_NSSRC2_2W_2L_U_0L</v>
      </c>
      <c r="K562" s="1075"/>
      <c r="L562" s="1075">
        <f>Sheet1!AF556</f>
        <v>13640</v>
      </c>
      <c r="M562" s="1075"/>
      <c r="N562" s="1075"/>
      <c r="O562" s="1075"/>
      <c r="P562" s="1075">
        <f>Sheet1!AK556</f>
        <v>1020</v>
      </c>
      <c r="Q562" s="1075"/>
      <c r="R562" s="1075">
        <f>Sheet1!AD556</f>
        <v>420</v>
      </c>
      <c r="S562" s="1081">
        <f>Sheet1!AG556</f>
        <v>3.0791788856304986E-2</v>
      </c>
      <c r="T562" s="1075" t="str">
        <f>Sheet1!AH556</f>
        <v>C</v>
      </c>
      <c r="U562" s="1075">
        <f>Sheet1!AI556</f>
        <v>30</v>
      </c>
      <c r="V562" s="1075"/>
      <c r="W562" s="1075"/>
      <c r="X562" s="1075">
        <f>Sheet1!AJ556</f>
        <v>40</v>
      </c>
      <c r="Y562" s="1075"/>
      <c r="Z562" s="1075"/>
      <c r="AA562" s="1075"/>
      <c r="AB562" s="1075"/>
      <c r="AC562" s="1075"/>
      <c r="AD562" s="1075"/>
      <c r="AE562" s="1075"/>
      <c r="AF562" s="1075"/>
      <c r="AG562" s="1075"/>
      <c r="AH562" s="1075"/>
      <c r="AI562" s="1075"/>
      <c r="AJ562" s="1075"/>
      <c r="AK562" s="1075" t="str">
        <f>IF(Sheet1!AE559="C",Sheet1!AK559,"-")</f>
        <v>-</v>
      </c>
      <c r="AL562" s="1075" t="str">
        <f>IF(Sheet1!AE559="D",Sheet1!AK559,"-")</f>
        <v>-</v>
      </c>
      <c r="AM562" s="1075">
        <f>IF(Sheet1!AE556="E",Sheet1!AK556,"-")</f>
        <v>1020</v>
      </c>
    </row>
    <row r="563" spans="2:39" x14ac:dyDescent="0.25">
      <c r="B563" s="1082">
        <f>Sheet1!F557</f>
        <v>1810</v>
      </c>
      <c r="C563" s="1075" t="str">
        <f>Sheet1!C557</f>
        <v>Taylor Rd. (CO)</v>
      </c>
      <c r="D563" s="1075" t="str">
        <f>_xlfn.TEXTBEFORE(Sheet1!E557, " to ")</f>
        <v>Tomoka Farms Rd.</v>
      </c>
      <c r="E563" s="1075" t="str">
        <f>_xlfn.TEXTAFTER(Sheet1!E557, " to ")</f>
        <v>Spruce Creek Blvd.</v>
      </c>
      <c r="F563" s="1075">
        <f>Sheet1!AM557</f>
        <v>2</v>
      </c>
      <c r="G563" s="1075"/>
      <c r="H563" s="1083" t="str">
        <f>Sheet1!AE557</f>
        <v>E</v>
      </c>
      <c r="I563" s="1075"/>
      <c r="J563" s="1075" t="str">
        <f>Sheet1!Q557</f>
        <v>UA_NSSRC1_2W_2L_U_WL</v>
      </c>
      <c r="K563" s="1075"/>
      <c r="L563" s="1075">
        <f>Sheet1!AF557</f>
        <v>17050</v>
      </c>
      <c r="M563" s="1075"/>
      <c r="N563" s="1075"/>
      <c r="O563" s="1075"/>
      <c r="P563" s="1075">
        <f>Sheet1!AK557</f>
        <v>1540</v>
      </c>
      <c r="Q563" s="1075"/>
      <c r="R563" s="1075">
        <f>Sheet1!AD557</f>
        <v>7790</v>
      </c>
      <c r="S563" s="1081">
        <f>Sheet1!AG557</f>
        <v>0.45689149560117304</v>
      </c>
      <c r="T563" s="1075" t="str">
        <f>Sheet1!AH557</f>
        <v>C</v>
      </c>
      <c r="U563" s="1075">
        <f>Sheet1!AI557</f>
        <v>500</v>
      </c>
      <c r="V563" s="1075"/>
      <c r="W563" s="1075"/>
      <c r="X563" s="1075">
        <f>Sheet1!AJ557</f>
        <v>650</v>
      </c>
      <c r="Y563" s="1075"/>
      <c r="Z563" s="1075"/>
      <c r="AA563" s="1075"/>
      <c r="AB563" s="1075"/>
      <c r="AC563" s="1075"/>
      <c r="AD563" s="1075"/>
      <c r="AE563" s="1075"/>
      <c r="AF563" s="1075"/>
      <c r="AG563" s="1075"/>
      <c r="AH563" s="1075"/>
      <c r="AI563" s="1075"/>
      <c r="AJ563" s="1075"/>
      <c r="AK563" s="1075" t="str">
        <f>IF(Sheet1!AE560="C",Sheet1!AK560,"-")</f>
        <v>-</v>
      </c>
      <c r="AL563" s="1075" t="str">
        <f>IF(Sheet1!AE560="D",Sheet1!AK560,"-")</f>
        <v>-</v>
      </c>
      <c r="AM563" s="1075">
        <f>IF(Sheet1!AE557="E",Sheet1!AK557,"-")</f>
        <v>1540</v>
      </c>
    </row>
    <row r="564" spans="2:39" x14ac:dyDescent="0.25">
      <c r="B564" s="1082">
        <f>Sheet1!F558</f>
        <v>1811</v>
      </c>
      <c r="C564" s="1075" t="str">
        <f>Sheet1!C558</f>
        <v>Taylor Rd. (CO)</v>
      </c>
      <c r="D564" s="1075" t="str">
        <f>_xlfn.TEXTBEFORE(Sheet1!E558, " to ")</f>
        <v>Spruce Creek Blvd.</v>
      </c>
      <c r="E564" s="1075" t="str">
        <f>_xlfn.TEXTAFTER(Sheet1!E558, " to ")</f>
        <v>Crane Lake Blvd.</v>
      </c>
      <c r="F564" s="1075">
        <f>Sheet1!AM558</f>
        <v>2</v>
      </c>
      <c r="G564" s="1075"/>
      <c r="H564" s="1083" t="str">
        <f>Sheet1!AE558</f>
        <v>E</v>
      </c>
      <c r="I564" s="1075"/>
      <c r="J564" s="1075" t="str">
        <f>Sheet1!Q558</f>
        <v>UA_NSSRC1_2W_2L_U_WL</v>
      </c>
      <c r="K564" s="1075"/>
      <c r="L564" s="1075">
        <f>Sheet1!AF558</f>
        <v>17050</v>
      </c>
      <c r="M564" s="1075"/>
      <c r="N564" s="1075"/>
      <c r="O564" s="1075"/>
      <c r="P564" s="1075">
        <f>Sheet1!AK558</f>
        <v>1540</v>
      </c>
      <c r="Q564" s="1075"/>
      <c r="R564" s="1075">
        <f>Sheet1!AD558</f>
        <v>10150</v>
      </c>
      <c r="S564" s="1081">
        <f>Sheet1!AG558</f>
        <v>0.59530791788856308</v>
      </c>
      <c r="T564" s="1075" t="str">
        <f>Sheet1!AH558</f>
        <v>C</v>
      </c>
      <c r="U564" s="1075">
        <f>Sheet1!AI558</f>
        <v>680</v>
      </c>
      <c r="V564" s="1075"/>
      <c r="W564" s="1075"/>
      <c r="X564" s="1075">
        <f>Sheet1!AJ558</f>
        <v>820</v>
      </c>
      <c r="Y564" s="1075"/>
      <c r="Z564" s="1075"/>
      <c r="AA564" s="1075"/>
      <c r="AB564" s="1075"/>
      <c r="AC564" s="1075"/>
      <c r="AD564" s="1075"/>
      <c r="AE564" s="1075"/>
      <c r="AF564" s="1075"/>
      <c r="AG564" s="1075"/>
      <c r="AH564" s="1075"/>
      <c r="AI564" s="1075"/>
      <c r="AJ564" s="1075"/>
      <c r="AK564" s="1075" t="str">
        <f>IF(Sheet1!AE561="C",Sheet1!AK561,"-")</f>
        <v>-</v>
      </c>
      <c r="AL564" s="1075" t="str">
        <f>IF(Sheet1!AE561="D",Sheet1!AK561,"-")</f>
        <v>-</v>
      </c>
      <c r="AM564" s="1075">
        <f>IF(Sheet1!AE558="E",Sheet1!AK558,"-")</f>
        <v>1540</v>
      </c>
    </row>
    <row r="565" spans="2:39" x14ac:dyDescent="0.25">
      <c r="B565" s="1082">
        <f>Sheet1!F559</f>
        <v>1812</v>
      </c>
      <c r="C565" s="1075" t="str">
        <f>Sheet1!C559</f>
        <v>Taylor Rd. (CO)</v>
      </c>
      <c r="D565" s="1075" t="str">
        <f>_xlfn.TEXTBEFORE(Sheet1!E559, " to ")</f>
        <v>Crane Lake Blvd.</v>
      </c>
      <c r="E565" s="1075" t="str">
        <f>_xlfn.TEXTAFTER(Sheet1!E559, " to ")</f>
        <v>Summertree Rd.</v>
      </c>
      <c r="F565" s="1075">
        <f>Sheet1!AM559</f>
        <v>2</v>
      </c>
      <c r="G565" s="1075"/>
      <c r="H565" s="1083" t="str">
        <f>Sheet1!AE559</f>
        <v>E</v>
      </c>
      <c r="I565" s="1075"/>
      <c r="J565" s="1075" t="str">
        <f>Sheet1!Q559</f>
        <v>UA_NSSRC1_2W_2L_U_WL</v>
      </c>
      <c r="K565" s="1075"/>
      <c r="L565" s="1075">
        <f>Sheet1!AF559</f>
        <v>17050</v>
      </c>
      <c r="M565" s="1075"/>
      <c r="N565" s="1075"/>
      <c r="O565" s="1075"/>
      <c r="P565" s="1075">
        <f>Sheet1!AK559</f>
        <v>1540</v>
      </c>
      <c r="Q565" s="1075"/>
      <c r="R565" s="1075">
        <f>Sheet1!AD559</f>
        <v>14840</v>
      </c>
      <c r="S565" s="1081">
        <f>Sheet1!AG559</f>
        <v>0.87038123167155423</v>
      </c>
      <c r="T565" s="1075" t="str">
        <f>Sheet1!AH559</f>
        <v>C</v>
      </c>
      <c r="U565" s="1075">
        <f>Sheet1!AI559</f>
        <v>990</v>
      </c>
      <c r="V565" s="1075"/>
      <c r="W565" s="1075"/>
      <c r="X565" s="1075">
        <f>Sheet1!AJ559</f>
        <v>1260</v>
      </c>
      <c r="Y565" s="1075"/>
      <c r="Z565" s="1075"/>
      <c r="AA565" s="1075"/>
      <c r="AB565" s="1075"/>
      <c r="AC565" s="1075"/>
      <c r="AD565" s="1075"/>
      <c r="AE565" s="1075"/>
      <c r="AF565" s="1075"/>
      <c r="AG565" s="1075"/>
      <c r="AH565" s="1075"/>
      <c r="AI565" s="1075"/>
      <c r="AJ565" s="1075"/>
      <c r="AK565" s="1075" t="str">
        <f>IF(Sheet1!AE562="C",Sheet1!AK562,"-")</f>
        <v>-</v>
      </c>
      <c r="AL565" s="1075" t="str">
        <f>IF(Sheet1!AE562="D",Sheet1!AK562,"-")</f>
        <v>-</v>
      </c>
      <c r="AM565" s="1075">
        <f>IF(Sheet1!AE559="E",Sheet1!AK559,"-")</f>
        <v>1540</v>
      </c>
    </row>
    <row r="566" spans="2:39" x14ac:dyDescent="0.25">
      <c r="B566" s="1082">
        <f>Sheet1!F560</f>
        <v>1813</v>
      </c>
      <c r="C566" s="1075" t="str">
        <f>Sheet1!C560</f>
        <v>Taylor Rd. (CO)</v>
      </c>
      <c r="D566" s="1075" t="str">
        <f>_xlfn.TEXTBEFORE(Sheet1!E560, " to ")</f>
        <v>Summertree Rd.</v>
      </c>
      <c r="E566" s="1075" t="str">
        <f>_xlfn.TEXTAFTER(Sheet1!E560, " to ")</f>
        <v>Williamson Blvd.</v>
      </c>
      <c r="F566" s="1075">
        <f>Sheet1!AM560</f>
        <v>4</v>
      </c>
      <c r="G566" s="1075"/>
      <c r="H566" s="1083" t="str">
        <f>Sheet1!AE560</f>
        <v>E</v>
      </c>
      <c r="I566" s="1075"/>
      <c r="J566" s="1075" t="str">
        <f>Sheet1!Q560</f>
        <v>UA_NSSRC1_2W_4L_D_WL</v>
      </c>
      <c r="K566" s="1075"/>
      <c r="L566" s="1075">
        <f>Sheet1!AF560</f>
        <v>37970</v>
      </c>
      <c r="M566" s="1075"/>
      <c r="N566" s="1075"/>
      <c r="O566" s="1075"/>
      <c r="P566" s="1075">
        <f>Sheet1!AK560</f>
        <v>3410</v>
      </c>
      <c r="Q566" s="1075"/>
      <c r="R566" s="1075">
        <f>Sheet1!AD560</f>
        <v>18120</v>
      </c>
      <c r="S566" s="1081">
        <f>Sheet1!AG560</f>
        <v>0.47721885699236238</v>
      </c>
      <c r="T566" s="1075" t="str">
        <f>Sheet1!AH560</f>
        <v>C</v>
      </c>
      <c r="U566" s="1075">
        <f>Sheet1!AI560</f>
        <v>1120</v>
      </c>
      <c r="V566" s="1075"/>
      <c r="W566" s="1075"/>
      <c r="X566" s="1075">
        <f>Sheet1!AJ560</f>
        <v>1450</v>
      </c>
      <c r="Y566" s="1075"/>
      <c r="Z566" s="1075"/>
      <c r="AA566" s="1075"/>
      <c r="AB566" s="1075"/>
      <c r="AC566" s="1075"/>
      <c r="AD566" s="1075"/>
      <c r="AE566" s="1075"/>
      <c r="AF566" s="1075"/>
      <c r="AG566" s="1075"/>
      <c r="AH566" s="1075"/>
      <c r="AI566" s="1075"/>
      <c r="AJ566" s="1075"/>
      <c r="AK566" s="1075" t="str">
        <f>IF(Sheet1!AE563="C",Sheet1!AK563,"-")</f>
        <v>-</v>
      </c>
      <c r="AL566" s="1075" t="str">
        <f>IF(Sheet1!AE563="D",Sheet1!AK563,"-")</f>
        <v>-</v>
      </c>
      <c r="AM566" s="1075">
        <f>IF(Sheet1!AE560="E",Sheet1!AK560,"-")</f>
        <v>3410</v>
      </c>
    </row>
    <row r="567" spans="2:39" x14ac:dyDescent="0.25">
      <c r="B567" s="1082">
        <f>Sheet1!F561</f>
        <v>1814</v>
      </c>
      <c r="C567" s="1075" t="str">
        <f>Sheet1!C561</f>
        <v>Taylor Rd. (CO)</v>
      </c>
      <c r="D567" s="1075" t="str">
        <f>_xlfn.TEXTBEFORE(Sheet1!E561, " to ")</f>
        <v>Williamson Blvd.</v>
      </c>
      <c r="E567" s="1075" t="str">
        <f>_xlfn.TEXTAFTER(Sheet1!E561, " to ")</f>
        <v>I-95 (at Dunlawton Ave.)</v>
      </c>
      <c r="F567" s="1075">
        <f>Sheet1!AM561</f>
        <v>5</v>
      </c>
      <c r="G567" s="1075"/>
      <c r="H567" s="1083" t="str">
        <f>Sheet1!AE561</f>
        <v>E</v>
      </c>
      <c r="I567" s="1075"/>
      <c r="J567" s="1075" t="str">
        <f>Sheet1!Q561</f>
        <v>UA_NSSRC1_2W_5L_D_WL</v>
      </c>
      <c r="K567" s="1075"/>
      <c r="L567" s="1075">
        <f>Sheet1!AF561</f>
        <v>47560</v>
      </c>
      <c r="M567" s="1075"/>
      <c r="N567" s="1075"/>
      <c r="O567" s="1075"/>
      <c r="P567" s="1075">
        <f>Sheet1!AK561</f>
        <v>4280</v>
      </c>
      <c r="Q567" s="1075"/>
      <c r="R567" s="1075">
        <f>Sheet1!AD561</f>
        <v>44340</v>
      </c>
      <c r="S567" s="1081">
        <f>Sheet1!AG561</f>
        <v>0.93229604709840197</v>
      </c>
      <c r="T567" s="1075" t="str">
        <f>Sheet1!AH561</f>
        <v>D</v>
      </c>
      <c r="U567" s="1075">
        <f>Sheet1!AI561</f>
        <v>2610</v>
      </c>
      <c r="V567" s="1075"/>
      <c r="W567" s="1075"/>
      <c r="X567" s="1075">
        <f>Sheet1!AJ561</f>
        <v>3580</v>
      </c>
      <c r="Y567" s="1075"/>
      <c r="Z567" s="1075"/>
      <c r="AA567" s="1075"/>
      <c r="AB567" s="1075"/>
      <c r="AC567" s="1075"/>
      <c r="AD567" s="1075"/>
      <c r="AE567" s="1075"/>
      <c r="AF567" s="1075"/>
      <c r="AG567" s="1075"/>
      <c r="AH567" s="1075"/>
      <c r="AI567" s="1075"/>
      <c r="AJ567" s="1075"/>
      <c r="AK567" s="1075" t="str">
        <f>IF(Sheet1!AE564="C",Sheet1!AK564,"-")</f>
        <v>-</v>
      </c>
      <c r="AL567" s="1075" t="str">
        <f>IF(Sheet1!AE564="D",Sheet1!AK564,"-")</f>
        <v>-</v>
      </c>
      <c r="AM567" s="1075">
        <f>IF(Sheet1!AE561="E",Sheet1!AK561,"-")</f>
        <v>4280</v>
      </c>
    </row>
    <row r="568" spans="2:39" x14ac:dyDescent="0.25">
      <c r="B568" s="1082">
        <f>Sheet1!F562</f>
        <v>1823</v>
      </c>
      <c r="C568" s="1075" t="str">
        <f>Sheet1!C562</f>
        <v>Taylor Rd. (PO)</v>
      </c>
      <c r="D568" s="1075" t="str">
        <f>_xlfn.TEXTBEFORE(Sheet1!E562, " to ")</f>
        <v>SR 421/Dunlawton Ave.</v>
      </c>
      <c r="E568" s="1075" t="str">
        <f>_xlfn.TEXTAFTER(Sheet1!E562, " to ")</f>
        <v>Clyde Morris Blvd.</v>
      </c>
      <c r="F568" s="1075">
        <f>Sheet1!AM562</f>
        <v>2</v>
      </c>
      <c r="G568" s="1075"/>
      <c r="H568" s="1083" t="str">
        <f>Sheet1!AE562</f>
        <v>E</v>
      </c>
      <c r="I568" s="1075"/>
      <c r="J568" s="1075" t="str">
        <f>Sheet1!Q562</f>
        <v>UA_NSSRC2_2W_2L_U_WL</v>
      </c>
      <c r="K568" s="1075"/>
      <c r="L568" s="1075">
        <f>Sheet1!AF562</f>
        <v>14040</v>
      </c>
      <c r="M568" s="1075"/>
      <c r="N568" s="1075"/>
      <c r="O568" s="1075"/>
      <c r="P568" s="1075">
        <f>Sheet1!AK562</f>
        <v>1270</v>
      </c>
      <c r="Q568" s="1075"/>
      <c r="R568" s="1075">
        <f>Sheet1!AD562</f>
        <v>12780</v>
      </c>
      <c r="S568" s="1081">
        <f>Sheet1!AG562</f>
        <v>0.91025641025641024</v>
      </c>
      <c r="T568" s="1075" t="str">
        <f>Sheet1!AH562</f>
        <v>D</v>
      </c>
      <c r="U568" s="1075">
        <f>Sheet1!AI562</f>
        <v>960</v>
      </c>
      <c r="V568" s="1075"/>
      <c r="W568" s="1075"/>
      <c r="X568" s="1075">
        <f>Sheet1!AJ562</f>
        <v>1160</v>
      </c>
      <c r="Y568" s="1075"/>
      <c r="Z568" s="1075"/>
      <c r="AA568" s="1075"/>
      <c r="AB568" s="1075"/>
      <c r="AC568" s="1075"/>
      <c r="AD568" s="1075"/>
      <c r="AE568" s="1075"/>
      <c r="AF568" s="1075"/>
      <c r="AG568" s="1075"/>
      <c r="AH568" s="1075"/>
      <c r="AI568" s="1075"/>
      <c r="AJ568" s="1075"/>
      <c r="AK568" s="1075" t="str">
        <f>IF(Sheet1!AE565="C",Sheet1!AK565,"-")</f>
        <v>-</v>
      </c>
      <c r="AL568" s="1075" t="str">
        <f>IF(Sheet1!AE565="D",Sheet1!AK565,"-")</f>
        <v>-</v>
      </c>
      <c r="AM568" s="1075">
        <f>IF(Sheet1!AE562="E",Sheet1!AK562,"-")</f>
        <v>1270</v>
      </c>
    </row>
    <row r="569" spans="2:39" x14ac:dyDescent="0.25">
      <c r="B569" s="1082">
        <f>Sheet1!F563</f>
        <v>1824</v>
      </c>
      <c r="C569" s="1075" t="str">
        <f>Sheet1!C563</f>
        <v>Taylor Rd. (PO)</v>
      </c>
      <c r="D569" s="1075" t="str">
        <f>_xlfn.TEXTBEFORE(Sheet1!E563, " to ")</f>
        <v>Clyde Morris Blvd.</v>
      </c>
      <c r="E569" s="1075" t="str">
        <f>_xlfn.TEXTAFTER(Sheet1!E563, " to ")</f>
        <v xml:space="preserve"> Hensel Rd</v>
      </c>
      <c r="F569" s="1075">
        <f>Sheet1!AM563</f>
        <v>4</v>
      </c>
      <c r="G569" s="1075"/>
      <c r="H569" s="1083" t="str">
        <f>Sheet1!AE563</f>
        <v>E</v>
      </c>
      <c r="I569" s="1075"/>
      <c r="J569" s="1075" t="str">
        <f>Sheet1!Q563</f>
        <v>UA_NSSRC1_2W_4L_D_WL</v>
      </c>
      <c r="K569" s="1075"/>
      <c r="L569" s="1075">
        <f>Sheet1!AF563</f>
        <v>37970</v>
      </c>
      <c r="M569" s="1075"/>
      <c r="N569" s="1075"/>
      <c r="O569" s="1075"/>
      <c r="P569" s="1075">
        <f>Sheet1!AK563</f>
        <v>3410</v>
      </c>
      <c r="Q569" s="1075"/>
      <c r="R569" s="1075">
        <f>Sheet1!AD563</f>
        <v>16970</v>
      </c>
      <c r="S569" s="1081">
        <f>Sheet1!AG563</f>
        <v>0.44693178825388463</v>
      </c>
      <c r="T569" s="1075" t="str">
        <f>Sheet1!AH563</f>
        <v>C</v>
      </c>
      <c r="U569" s="1075">
        <f>Sheet1!AI563</f>
        <v>1240</v>
      </c>
      <c r="V569" s="1075"/>
      <c r="W569" s="1075"/>
      <c r="X569" s="1075">
        <f>Sheet1!AJ563</f>
        <v>1570</v>
      </c>
      <c r="Y569" s="1075"/>
      <c r="Z569" s="1075"/>
      <c r="AA569" s="1075"/>
      <c r="AB569" s="1075"/>
      <c r="AC569" s="1075"/>
      <c r="AD569" s="1075"/>
      <c r="AE569" s="1075"/>
      <c r="AF569" s="1075"/>
      <c r="AG569" s="1075"/>
      <c r="AH569" s="1075"/>
      <c r="AI569" s="1075"/>
      <c r="AJ569" s="1075"/>
      <c r="AK569" s="1075" t="str">
        <f>IF(Sheet1!AE566="C",Sheet1!AK566,"-")</f>
        <v>-</v>
      </c>
      <c r="AL569" s="1075" t="str">
        <f>IF(Sheet1!AE566="D",Sheet1!AK566,"-")</f>
        <v>-</v>
      </c>
      <c r="AM569" s="1075">
        <f>IF(Sheet1!AE563="E",Sheet1!AK563,"-")</f>
        <v>3410</v>
      </c>
    </row>
    <row r="570" spans="2:39" x14ac:dyDescent="0.25">
      <c r="B570" s="1082">
        <f>Sheet1!F564</f>
        <v>1826</v>
      </c>
      <c r="C570" s="1075" t="str">
        <f>Sheet1!C564</f>
        <v>Taylor Rd. (PO)</v>
      </c>
      <c r="D570" s="1075" t="e">
        <f>_xlfn.TEXTBEFORE(Sheet1!E564, " to ")</f>
        <v>#N/A</v>
      </c>
      <c r="E570" s="1075" t="e">
        <f>_xlfn.TEXTAFTER(Sheet1!E564, " to ")</f>
        <v>#N/A</v>
      </c>
      <c r="F570" s="1075">
        <f>Sheet1!AM564</f>
        <v>4</v>
      </c>
      <c r="G570" s="1075"/>
      <c r="H570" s="1083" t="str">
        <f>Sheet1!AE564</f>
        <v>E</v>
      </c>
      <c r="I570" s="1075"/>
      <c r="J570" s="1075" t="str">
        <f>Sheet1!Q564</f>
        <v>UA_NSSRC1_2W_4L_D_WL</v>
      </c>
      <c r="K570" s="1075"/>
      <c r="L570" s="1075">
        <f>Sheet1!AF564</f>
        <v>37970</v>
      </c>
      <c r="M570" s="1075"/>
      <c r="N570" s="1075"/>
      <c r="O570" s="1075"/>
      <c r="P570" s="1075">
        <f>Sheet1!AK564</f>
        <v>3410</v>
      </c>
      <c r="Q570" s="1075"/>
      <c r="R570" s="1075">
        <f>Sheet1!AD564</f>
        <v>14800</v>
      </c>
      <c r="S570" s="1081">
        <f>Sheet1!AG564</f>
        <v>0.38978140637345271</v>
      </c>
      <c r="T570" s="1075" t="str">
        <f>Sheet1!AH564</f>
        <v>C</v>
      </c>
      <c r="U570" s="1075">
        <f>Sheet1!AI564</f>
        <v>1030</v>
      </c>
      <c r="V570" s="1075"/>
      <c r="W570" s="1075"/>
      <c r="X570" s="1075">
        <f>Sheet1!AJ564</f>
        <v>1400</v>
      </c>
      <c r="Y570" s="1075"/>
      <c r="Z570" s="1075"/>
      <c r="AA570" s="1075"/>
      <c r="AB570" s="1075"/>
      <c r="AC570" s="1075"/>
      <c r="AD570" s="1075"/>
      <c r="AE570" s="1075"/>
      <c r="AF570" s="1075"/>
      <c r="AG570" s="1075"/>
      <c r="AH570" s="1075"/>
      <c r="AI570" s="1075"/>
      <c r="AJ570" s="1075"/>
      <c r="AK570" s="1075" t="str">
        <f>IF(Sheet1!AE567="C",Sheet1!AK567,"-")</f>
        <v>-</v>
      </c>
      <c r="AL570" s="1075" t="str">
        <f>IF(Sheet1!AE567="D",Sheet1!AK567,"-")</f>
        <v>-</v>
      </c>
      <c r="AM570" s="1075">
        <f>IF(Sheet1!AE564="E",Sheet1!AK564,"-")</f>
        <v>3410</v>
      </c>
    </row>
    <row r="571" spans="2:39" x14ac:dyDescent="0.25">
      <c r="B571" s="1082">
        <f>Sheet1!F565</f>
        <v>1816</v>
      </c>
      <c r="C571" s="1075" t="str">
        <f>Sheet1!C565</f>
        <v>Taylor Rd. (DL)</v>
      </c>
      <c r="D571" s="1075" t="str">
        <f>_xlfn.TEXTBEFORE(Sheet1!E565, " to ")</f>
        <v>US 17/92</v>
      </c>
      <c r="E571" s="1075" t="str">
        <f>_xlfn.TEXTAFTER(Sheet1!E565, " to ")</f>
        <v>Stratford Dr.</v>
      </c>
      <c r="F571" s="1075">
        <f>Sheet1!AM565</f>
        <v>2</v>
      </c>
      <c r="G571" s="1075"/>
      <c r="H571" s="1083" t="str">
        <f>Sheet1!AE565</f>
        <v>E</v>
      </c>
      <c r="I571" s="1075"/>
      <c r="J571" s="1075" t="str">
        <f>Sheet1!Q565</f>
        <v>UA_NSSRC2_2W_2L_U_0L</v>
      </c>
      <c r="K571" s="1075"/>
      <c r="L571" s="1075">
        <f>Sheet1!AF565</f>
        <v>13640</v>
      </c>
      <c r="M571" s="1075"/>
      <c r="N571" s="1075"/>
      <c r="O571" s="1075"/>
      <c r="P571" s="1075">
        <f>Sheet1!AK565</f>
        <v>1020</v>
      </c>
      <c r="Q571" s="1075"/>
      <c r="R571" s="1075">
        <f>Sheet1!AD565</f>
        <v>8200</v>
      </c>
      <c r="S571" s="1081">
        <f>Sheet1!AG565</f>
        <v>0.60117302052785926</v>
      </c>
      <c r="T571" s="1075" t="str">
        <f>Sheet1!AH565</f>
        <v>D</v>
      </c>
      <c r="U571" s="1075">
        <f>Sheet1!AI565</f>
        <v>570</v>
      </c>
      <c r="V571" s="1075"/>
      <c r="W571" s="1075"/>
      <c r="X571" s="1075">
        <f>Sheet1!AJ565</f>
        <v>760</v>
      </c>
      <c r="Y571" s="1075"/>
      <c r="Z571" s="1075"/>
      <c r="AA571" s="1075"/>
      <c r="AB571" s="1075"/>
      <c r="AC571" s="1075"/>
      <c r="AD571" s="1075"/>
      <c r="AE571" s="1075"/>
      <c r="AF571" s="1075"/>
      <c r="AG571" s="1075"/>
      <c r="AH571" s="1075"/>
      <c r="AI571" s="1075"/>
      <c r="AJ571" s="1075"/>
      <c r="AK571" s="1075" t="str">
        <f>IF(Sheet1!AE568="C",Sheet1!AK568,"-")</f>
        <v>-</v>
      </c>
      <c r="AL571" s="1075" t="str">
        <f>IF(Sheet1!AE568="D",Sheet1!AK568,"-")</f>
        <v>-</v>
      </c>
      <c r="AM571" s="1075">
        <f>IF(Sheet1!AE565="E",Sheet1!AK565,"-")</f>
        <v>1020</v>
      </c>
    </row>
    <row r="572" spans="2:39" x14ac:dyDescent="0.25">
      <c r="B572" s="1082">
        <f>Sheet1!F566</f>
        <v>1818</v>
      </c>
      <c r="C572" s="1075" t="str">
        <f>Sheet1!C566</f>
        <v>Taylor Rd. (DL)</v>
      </c>
      <c r="D572" s="1075" t="str">
        <f>_xlfn.TEXTBEFORE(Sheet1!E566, " to ")</f>
        <v>Stratford Dr.</v>
      </c>
      <c r="E572" s="1075" t="str">
        <f>_xlfn.TEXTAFTER(Sheet1!E566, " to ")</f>
        <v>Blue Lake Ave.</v>
      </c>
      <c r="F572" s="1075">
        <f>Sheet1!AM566</f>
        <v>2</v>
      </c>
      <c r="G572" s="1075"/>
      <c r="H572" s="1083" t="str">
        <f>Sheet1!AE566</f>
        <v>E</v>
      </c>
      <c r="I572" s="1075"/>
      <c r="J572" s="1075" t="str">
        <f>Sheet1!Q566</f>
        <v>UA_NSSRC1_2W_2L_U_WL</v>
      </c>
      <c r="K572" s="1075"/>
      <c r="L572" s="1075">
        <f>Sheet1!AF566</f>
        <v>17050</v>
      </c>
      <c r="M572" s="1075"/>
      <c r="N572" s="1075"/>
      <c r="O572" s="1075"/>
      <c r="P572" s="1075">
        <f>Sheet1!AK566</f>
        <v>1540</v>
      </c>
      <c r="Q572" s="1075"/>
      <c r="R572" s="1075">
        <f>Sheet1!AD566</f>
        <v>7980</v>
      </c>
      <c r="S572" s="1081">
        <f>Sheet1!AG566</f>
        <v>0.46803519061583576</v>
      </c>
      <c r="T572" s="1075" t="str">
        <f>Sheet1!AH566</f>
        <v>C</v>
      </c>
      <c r="U572" s="1075">
        <f>Sheet1!AI566</f>
        <v>500</v>
      </c>
      <c r="V572" s="1075"/>
      <c r="W572" s="1075"/>
      <c r="X572" s="1075">
        <f>Sheet1!AJ566</f>
        <v>770</v>
      </c>
      <c r="Y572" s="1075"/>
      <c r="Z572" s="1075"/>
      <c r="AA572" s="1075"/>
      <c r="AB572" s="1075"/>
      <c r="AC572" s="1075"/>
      <c r="AD572" s="1075"/>
      <c r="AE572" s="1075"/>
      <c r="AF572" s="1075"/>
      <c r="AG572" s="1075"/>
      <c r="AH572" s="1075"/>
      <c r="AI572" s="1075"/>
      <c r="AJ572" s="1075"/>
      <c r="AK572" s="1075">
        <f>IF(Sheet1!AE569="C",Sheet1!AK569,"-")</f>
        <v>1120</v>
      </c>
      <c r="AL572" s="1075" t="str">
        <f>IF(Sheet1!AE569="D",Sheet1!AK569,"-")</f>
        <v>-</v>
      </c>
      <c r="AM572" s="1075">
        <f>IF(Sheet1!AE566="E",Sheet1!AK566,"-")</f>
        <v>1540</v>
      </c>
    </row>
    <row r="573" spans="2:39" x14ac:dyDescent="0.25">
      <c r="B573" s="1082">
        <f>Sheet1!F567</f>
        <v>1819</v>
      </c>
      <c r="C573" s="1075" t="str">
        <f>Sheet1!C567</f>
        <v>Taylor Rd. (DL)</v>
      </c>
      <c r="D573" s="1075" t="str">
        <f>_xlfn.TEXTBEFORE(Sheet1!E567, " to ")</f>
        <v>Blue Lake Ave.</v>
      </c>
      <c r="E573" s="1075" t="str">
        <f>_xlfn.TEXTAFTER(Sheet1!E567, " to ")</f>
        <v>Martin Luther King Bltwy.</v>
      </c>
      <c r="F573" s="1075">
        <f>Sheet1!AM567</f>
        <v>2</v>
      </c>
      <c r="G573" s="1075"/>
      <c r="H573" s="1083" t="str">
        <f>Sheet1!AE567</f>
        <v>E</v>
      </c>
      <c r="I573" s="1075"/>
      <c r="J573" s="1075" t="str">
        <f>Sheet1!Q567</f>
        <v>UA_NSSRC1_2W_2L_U_0L</v>
      </c>
      <c r="K573" s="1075"/>
      <c r="L573" s="1075">
        <f>Sheet1!AF567</f>
        <v>13640</v>
      </c>
      <c r="M573" s="1075"/>
      <c r="N573" s="1075"/>
      <c r="O573" s="1075"/>
      <c r="P573" s="1075">
        <f>Sheet1!AK567</f>
        <v>1230</v>
      </c>
      <c r="Q573" s="1075"/>
      <c r="R573" s="1075">
        <f>Sheet1!AD567</f>
        <v>7120</v>
      </c>
      <c r="S573" s="1081">
        <f>Sheet1!AG567</f>
        <v>0.52199413489736068</v>
      </c>
      <c r="T573" s="1075" t="str">
        <f>Sheet1!AH567</f>
        <v>C</v>
      </c>
      <c r="U573" s="1075">
        <f>Sheet1!AI567</f>
        <v>580</v>
      </c>
      <c r="V573" s="1075"/>
      <c r="W573" s="1075"/>
      <c r="X573" s="1075">
        <f>Sheet1!AJ567</f>
        <v>610</v>
      </c>
      <c r="Y573" s="1075"/>
      <c r="Z573" s="1075"/>
      <c r="AA573" s="1075"/>
      <c r="AB573" s="1075"/>
      <c r="AC573" s="1075"/>
      <c r="AD573" s="1075"/>
      <c r="AE573" s="1075"/>
      <c r="AF573" s="1075"/>
      <c r="AG573" s="1075"/>
      <c r="AH573" s="1075"/>
      <c r="AI573" s="1075"/>
      <c r="AJ573" s="1075"/>
      <c r="AK573" s="1075" t="str">
        <f>IF(Sheet1!AE570="C",Sheet1!AK570,"-")</f>
        <v>-</v>
      </c>
      <c r="AL573" s="1075" t="str">
        <f>IF(Sheet1!AE570="D",Sheet1!AK570,"-")</f>
        <v>-</v>
      </c>
      <c r="AM573" s="1075">
        <f>IF(Sheet1!AE567="E",Sheet1!AK567,"-")</f>
        <v>1230</v>
      </c>
    </row>
    <row r="574" spans="2:39" x14ac:dyDescent="0.25">
      <c r="B574" s="1082">
        <f>Sheet1!F568</f>
        <v>1821</v>
      </c>
      <c r="C574" s="1075" t="str">
        <f>Sheet1!C568</f>
        <v>Taylor Rd. (NSB)</v>
      </c>
      <c r="D574" s="1075" t="str">
        <f>_xlfn.TEXTBEFORE(Sheet1!E568, " to ")</f>
        <v>Glencoe Rd.</v>
      </c>
      <c r="E574" s="1075" t="str">
        <f>_xlfn.TEXTAFTER(Sheet1!E568, " to ")</f>
        <v>Mission Rd</v>
      </c>
      <c r="F574" s="1075">
        <f>Sheet1!AM568</f>
        <v>2</v>
      </c>
      <c r="G574" s="1075"/>
      <c r="H574" s="1083" t="str">
        <f>Sheet1!AE568</f>
        <v>E</v>
      </c>
      <c r="I574" s="1075"/>
      <c r="J574" s="1075" t="str">
        <f>Sheet1!Q568</f>
        <v>UA_NSSRC2_2W_2L_U_0L</v>
      </c>
      <c r="K574" s="1075"/>
      <c r="L574" s="1075">
        <f>Sheet1!AF568</f>
        <v>13640</v>
      </c>
      <c r="M574" s="1075"/>
      <c r="N574" s="1075"/>
      <c r="O574" s="1075"/>
      <c r="P574" s="1075">
        <f>Sheet1!AK568</f>
        <v>1020</v>
      </c>
      <c r="Q574" s="1075"/>
      <c r="R574" s="1075">
        <f>Sheet1!AD568</f>
        <v>2910</v>
      </c>
      <c r="S574" s="1081">
        <f>Sheet1!AG568</f>
        <v>0.21334310850439883</v>
      </c>
      <c r="T574" s="1075" t="str">
        <f>Sheet1!AH568</f>
        <v>C</v>
      </c>
      <c r="U574" s="1075">
        <f>Sheet1!AI568</f>
        <v>230</v>
      </c>
      <c r="V574" s="1075"/>
      <c r="W574" s="1075"/>
      <c r="X574" s="1075">
        <f>Sheet1!AJ568</f>
        <v>310</v>
      </c>
      <c r="Y574" s="1075"/>
      <c r="Z574" s="1075"/>
      <c r="AA574" s="1075"/>
      <c r="AB574" s="1075"/>
      <c r="AC574" s="1075"/>
      <c r="AD574" s="1075"/>
      <c r="AE574" s="1075"/>
      <c r="AF574" s="1075"/>
      <c r="AG574" s="1075"/>
      <c r="AH574" s="1075"/>
      <c r="AI574" s="1075"/>
      <c r="AJ574" s="1075"/>
      <c r="AK574" s="1075" t="str">
        <f>IF(Sheet1!AE571="C",Sheet1!AK571,"-")</f>
        <v>-</v>
      </c>
      <c r="AL574" s="1075" t="str">
        <f>IF(Sheet1!AE571="D",Sheet1!AK571,"-")</f>
        <v>-</v>
      </c>
      <c r="AM574" s="1075">
        <f>IF(Sheet1!AE568="E",Sheet1!AK568,"-")</f>
        <v>1020</v>
      </c>
    </row>
    <row r="575" spans="2:39" x14ac:dyDescent="0.25">
      <c r="B575" s="1082">
        <f>Sheet1!F569</f>
        <v>1840</v>
      </c>
      <c r="C575" s="1075" t="str">
        <f>Sheet1!C569</f>
        <v>Tomoka Farms Rd.</v>
      </c>
      <c r="D575" s="1075" t="str">
        <f>_xlfn.TEXTBEFORE(Sheet1!E569, " to ")</f>
        <v>SR 44</v>
      </c>
      <c r="E575" s="1075" t="str">
        <f>_xlfn.TEXTAFTER(Sheet1!E569, " to ")</f>
        <v>Pioneer Tr</v>
      </c>
      <c r="F575" s="1075">
        <f>Sheet1!AM569</f>
        <v>2</v>
      </c>
      <c r="G575" s="1075"/>
      <c r="H575" s="1083" t="str">
        <f>Sheet1!AE569</f>
        <v>C</v>
      </c>
      <c r="I575" s="1075"/>
      <c r="J575" s="1075" t="str">
        <f>Sheet1!Q569</f>
        <v>RDA_UFH_2W_2L_U_0L</v>
      </c>
      <c r="K575" s="1075"/>
      <c r="L575" s="1075">
        <f>Sheet1!AF569</f>
        <v>11775</v>
      </c>
      <c r="M575" s="1075"/>
      <c r="N575" s="1075"/>
      <c r="O575" s="1075"/>
      <c r="P575" s="1075">
        <f>Sheet1!AK569</f>
        <v>1120</v>
      </c>
      <c r="Q575" s="1075"/>
      <c r="R575" s="1075">
        <f>Sheet1!AD569</f>
        <v>6690</v>
      </c>
      <c r="S575" s="1081">
        <f>Sheet1!AG569</f>
        <v>0.5681528662420382</v>
      </c>
      <c r="T575" s="1075" t="str">
        <f>Sheet1!AH569</f>
        <v>B</v>
      </c>
      <c r="U575" s="1075">
        <f>Sheet1!AI569</f>
        <v>510</v>
      </c>
      <c r="V575" s="1075"/>
      <c r="W575" s="1075"/>
      <c r="X575" s="1075">
        <f>Sheet1!AJ569</f>
        <v>610</v>
      </c>
      <c r="Y575" s="1075"/>
      <c r="Z575" s="1075"/>
      <c r="AA575" s="1075"/>
      <c r="AB575" s="1075"/>
      <c r="AC575" s="1075"/>
      <c r="AD575" s="1075"/>
      <c r="AE575" s="1075"/>
      <c r="AF575" s="1075"/>
      <c r="AG575" s="1075"/>
      <c r="AH575" s="1075"/>
      <c r="AI575" s="1075"/>
      <c r="AJ575" s="1075"/>
      <c r="AK575" s="1075" t="str">
        <f>IF(Sheet1!AE572="C",Sheet1!AK572,"-")</f>
        <v>-</v>
      </c>
      <c r="AL575" s="1075" t="str">
        <f>IF(Sheet1!AE572="D",Sheet1!AK572,"-")</f>
        <v>-</v>
      </c>
      <c r="AM575" s="1075" t="str">
        <f>IF(Sheet1!AE569="E",Sheet1!AK569,"-")</f>
        <v>-</v>
      </c>
    </row>
    <row r="576" spans="2:39" x14ac:dyDescent="0.25">
      <c r="B576" s="1082">
        <f>Sheet1!F570</f>
        <v>1843</v>
      </c>
      <c r="C576" s="1075" t="str">
        <f>Sheet1!C570</f>
        <v>Tomoka Farms Rd.</v>
      </c>
      <c r="D576" s="1075" t="str">
        <f>_xlfn.TEXTBEFORE(Sheet1!E570, " to ")</f>
        <v>Pioneer Tr</v>
      </c>
      <c r="E576" s="1075" t="str">
        <f>_xlfn.TEXTAFTER(Sheet1!E570, " to ")</f>
        <v>Taylor Rd.</v>
      </c>
      <c r="F576" s="1075">
        <f>Sheet1!AM570</f>
        <v>2</v>
      </c>
      <c r="G576" s="1075"/>
      <c r="H576" s="1083" t="str">
        <f>Sheet1!AE570</f>
        <v>E</v>
      </c>
      <c r="I576" s="1075"/>
      <c r="J576" s="1075" t="str">
        <f>Sheet1!Q570</f>
        <v>UA_UFH_2W_2L_U_0L</v>
      </c>
      <c r="K576" s="1075"/>
      <c r="L576" s="1075">
        <f>Sheet1!AF570</f>
        <v>24450</v>
      </c>
      <c r="M576" s="1075"/>
      <c r="N576" s="1075"/>
      <c r="O576" s="1075"/>
      <c r="P576" s="1075">
        <f>Sheet1!AK570</f>
        <v>2200</v>
      </c>
      <c r="Q576" s="1075"/>
      <c r="R576" s="1075">
        <f>Sheet1!AD570</f>
        <v>11070</v>
      </c>
      <c r="S576" s="1081">
        <f>Sheet1!AG570</f>
        <v>0.45276073619631901</v>
      </c>
      <c r="T576" s="1075" t="str">
        <f>Sheet1!AH570</f>
        <v>C</v>
      </c>
      <c r="U576" s="1075">
        <f>Sheet1!AI570</f>
        <v>750</v>
      </c>
      <c r="V576" s="1075"/>
      <c r="W576" s="1075"/>
      <c r="X576" s="1075">
        <f>Sheet1!AJ570</f>
        <v>940</v>
      </c>
      <c r="Y576" s="1075"/>
      <c r="Z576" s="1075"/>
      <c r="AA576" s="1075"/>
      <c r="AB576" s="1075"/>
      <c r="AC576" s="1075"/>
      <c r="AD576" s="1075"/>
      <c r="AE576" s="1075"/>
      <c r="AF576" s="1075"/>
      <c r="AG576" s="1075"/>
      <c r="AH576" s="1075"/>
      <c r="AI576" s="1075"/>
      <c r="AJ576" s="1075"/>
      <c r="AK576" s="1075" t="str">
        <f>IF(Sheet1!AE573="C",Sheet1!AK573,"-")</f>
        <v>-</v>
      </c>
      <c r="AL576" s="1075" t="str">
        <f>IF(Sheet1!AE573="D",Sheet1!AK573,"-")</f>
        <v>-</v>
      </c>
      <c r="AM576" s="1075">
        <f>IF(Sheet1!AE570="E",Sheet1!AK570,"-")</f>
        <v>2200</v>
      </c>
    </row>
    <row r="577" spans="2:39" x14ac:dyDescent="0.25">
      <c r="B577" s="1082">
        <f>Sheet1!F571</f>
        <v>1844</v>
      </c>
      <c r="C577" s="1075" t="str">
        <f>Sheet1!C571</f>
        <v>Tomoka Farms Rd.</v>
      </c>
      <c r="D577" s="1075" t="str">
        <f>_xlfn.TEXTBEFORE(Sheet1!E571, " to ")</f>
        <v xml:space="preserve"> Taylor Rd.</v>
      </c>
      <c r="E577" s="1075" t="str">
        <f>_xlfn.TEXTAFTER(Sheet1!E571, " to ")</f>
        <v>Townwest Blvd</v>
      </c>
      <c r="F577" s="1075">
        <f>Sheet1!AM571</f>
        <v>2</v>
      </c>
      <c r="G577" s="1075"/>
      <c r="H577" s="1083" t="str">
        <f>Sheet1!AE571</f>
        <v>E</v>
      </c>
      <c r="I577" s="1075"/>
      <c r="J577" s="1075" t="str">
        <f>Sheet1!Q571</f>
        <v>UA_UFH_2W_2L_U_0L</v>
      </c>
      <c r="K577" s="1075"/>
      <c r="L577" s="1075">
        <f>Sheet1!AF571</f>
        <v>24450</v>
      </c>
      <c r="M577" s="1075"/>
      <c r="N577" s="1075"/>
      <c r="O577" s="1075"/>
      <c r="P577" s="1075">
        <f>Sheet1!AK571</f>
        <v>2200</v>
      </c>
      <c r="Q577" s="1075"/>
      <c r="R577" s="1075">
        <f>Sheet1!AD571</f>
        <v>7520</v>
      </c>
      <c r="S577" s="1081">
        <f>Sheet1!AG571</f>
        <v>0.30756646216768918</v>
      </c>
      <c r="T577" s="1075" t="str">
        <f>Sheet1!AH571</f>
        <v>B</v>
      </c>
      <c r="U577" s="1075">
        <f>Sheet1!AI571</f>
        <v>530</v>
      </c>
      <c r="V577" s="1075"/>
      <c r="W577" s="1075"/>
      <c r="X577" s="1075">
        <f>Sheet1!AJ571</f>
        <v>660</v>
      </c>
      <c r="Y577" s="1075"/>
      <c r="Z577" s="1075"/>
      <c r="AA577" s="1075"/>
      <c r="AB577" s="1075"/>
      <c r="AC577" s="1075"/>
      <c r="AD577" s="1075"/>
      <c r="AE577" s="1075"/>
      <c r="AF577" s="1075"/>
      <c r="AG577" s="1075"/>
      <c r="AH577" s="1075"/>
      <c r="AI577" s="1075"/>
      <c r="AJ577" s="1075"/>
      <c r="AK577" s="1075" t="str">
        <f>IF(Sheet1!AE574="C",Sheet1!AK574,"-")</f>
        <v>-</v>
      </c>
      <c r="AL577" s="1075" t="str">
        <f>IF(Sheet1!AE574="D",Sheet1!AK574,"-")</f>
        <v>-</v>
      </c>
      <c r="AM577" s="1075">
        <f>IF(Sheet1!AE571="E",Sheet1!AK571,"-")</f>
        <v>2200</v>
      </c>
    </row>
    <row r="578" spans="2:39" x14ac:dyDescent="0.25">
      <c r="B578" s="1082">
        <f>Sheet1!F572</f>
        <v>1845</v>
      </c>
      <c r="C578" s="1075" t="str">
        <f>Sheet1!C572</f>
        <v>Tomoka Farms Rd.</v>
      </c>
      <c r="D578" s="1075" t="str">
        <f>_xlfn.TEXTBEFORE(Sheet1!E572, " to ")</f>
        <v>Townwest Blvd</v>
      </c>
      <c r="E578" s="1075" t="str">
        <f>_xlfn.TEXTAFTER(Sheet1!E572, " to ")</f>
        <v>Shunz Rd.</v>
      </c>
      <c r="F578" s="1075">
        <f>Sheet1!AM572</f>
        <v>2</v>
      </c>
      <c r="G578" s="1075"/>
      <c r="H578" s="1083" t="str">
        <f>Sheet1!AE572</f>
        <v>E</v>
      </c>
      <c r="I578" s="1075"/>
      <c r="J578" s="1075" t="str">
        <f>Sheet1!Q572</f>
        <v>UA_UFH_2W_2L_U_0L</v>
      </c>
      <c r="K578" s="1075"/>
      <c r="L578" s="1075">
        <f>Sheet1!AF572</f>
        <v>24450</v>
      </c>
      <c r="M578" s="1075"/>
      <c r="N578" s="1075"/>
      <c r="O578" s="1075"/>
      <c r="P578" s="1075">
        <f>Sheet1!AK572</f>
        <v>2200</v>
      </c>
      <c r="Q578" s="1075"/>
      <c r="R578" s="1075">
        <f>Sheet1!AD572</f>
        <v>8220</v>
      </c>
      <c r="S578" s="1081">
        <f>Sheet1!AG572</f>
        <v>0.33619631901840491</v>
      </c>
      <c r="T578" s="1075" t="str">
        <f>Sheet1!AH572</f>
        <v>B</v>
      </c>
      <c r="U578" s="1075">
        <f>Sheet1!AI572</f>
        <v>610</v>
      </c>
      <c r="V578" s="1075"/>
      <c r="W578" s="1075"/>
      <c r="X578" s="1075">
        <f>Sheet1!AJ572</f>
        <v>700</v>
      </c>
      <c r="Y578" s="1075"/>
      <c r="Z578" s="1075"/>
      <c r="AA578" s="1075"/>
      <c r="AB578" s="1075"/>
      <c r="AC578" s="1075"/>
      <c r="AD578" s="1075"/>
      <c r="AE578" s="1075"/>
      <c r="AF578" s="1075"/>
      <c r="AG578" s="1075"/>
      <c r="AH578" s="1075"/>
      <c r="AI578" s="1075"/>
      <c r="AJ578" s="1075"/>
      <c r="AK578" s="1075" t="str">
        <f>IF(Sheet1!AE575="C",Sheet1!AK575,"-")</f>
        <v>-</v>
      </c>
      <c r="AL578" s="1075" t="str">
        <f>IF(Sheet1!AE575="D",Sheet1!AK575,"-")</f>
        <v>-</v>
      </c>
      <c r="AM578" s="1075">
        <f>IF(Sheet1!AE572="E",Sheet1!AK572,"-")</f>
        <v>2200</v>
      </c>
    </row>
    <row r="579" spans="2:39" x14ac:dyDescent="0.25">
      <c r="B579" s="1082">
        <f>Sheet1!F573</f>
        <v>1847</v>
      </c>
      <c r="C579" s="1075" t="str">
        <f>Sheet1!C573</f>
        <v>Tomoka Farms Rd.</v>
      </c>
      <c r="D579" s="1075" t="str">
        <f>_xlfn.TEXTBEFORE(Sheet1!E573, " to ")</f>
        <v>Shunz Rd.</v>
      </c>
      <c r="E579" s="1075" t="str">
        <f>_xlfn.TEXTAFTER(Sheet1!E573, " to ")</f>
        <v>US 92/ISB</v>
      </c>
      <c r="F579" s="1075">
        <f>Sheet1!AM573</f>
        <v>2</v>
      </c>
      <c r="G579" s="1075"/>
      <c r="H579" s="1083" t="str">
        <f>Sheet1!AE573</f>
        <v>E</v>
      </c>
      <c r="I579" s="1075"/>
      <c r="J579" s="1075" t="str">
        <f>Sheet1!Q573</f>
        <v>UA_UFH_2W_2L_U_0L</v>
      </c>
      <c r="K579" s="1075"/>
      <c r="L579" s="1075">
        <f>Sheet1!AF573</f>
        <v>24450</v>
      </c>
      <c r="M579" s="1075"/>
      <c r="N579" s="1075"/>
      <c r="O579" s="1075"/>
      <c r="P579" s="1075">
        <f>Sheet1!AK573</f>
        <v>2200</v>
      </c>
      <c r="Q579" s="1075"/>
      <c r="R579" s="1075">
        <f>Sheet1!AD573</f>
        <v>8670</v>
      </c>
      <c r="S579" s="1081">
        <f>Sheet1!AG573</f>
        <v>0.35460122699386504</v>
      </c>
      <c r="T579" s="1075" t="str">
        <f>Sheet1!AH573</f>
        <v>B</v>
      </c>
      <c r="U579" s="1075">
        <f>Sheet1!AI573</f>
        <v>690</v>
      </c>
      <c r="V579" s="1075"/>
      <c r="W579" s="1075"/>
      <c r="X579" s="1075">
        <f>Sheet1!AJ573</f>
        <v>770</v>
      </c>
      <c r="Y579" s="1075"/>
      <c r="Z579" s="1075"/>
      <c r="AA579" s="1075"/>
      <c r="AB579" s="1075"/>
      <c r="AC579" s="1075"/>
      <c r="AD579" s="1075"/>
      <c r="AE579" s="1075"/>
      <c r="AF579" s="1075"/>
      <c r="AG579" s="1075"/>
      <c r="AH579" s="1075"/>
      <c r="AI579" s="1075"/>
      <c r="AJ579" s="1075"/>
      <c r="AK579" s="1075" t="str">
        <f>IF(Sheet1!AE576="C",Sheet1!AK576,"-")</f>
        <v>-</v>
      </c>
      <c r="AL579" s="1075" t="str">
        <f>IF(Sheet1!AE576="D",Sheet1!AK576,"-")</f>
        <v>-</v>
      </c>
      <c r="AM579" s="1075">
        <f>IF(Sheet1!AE573="E",Sheet1!AK573,"-")</f>
        <v>2200</v>
      </c>
    </row>
    <row r="580" spans="2:39" x14ac:dyDescent="0.25">
      <c r="B580" s="1082">
        <f>Sheet1!F574</f>
        <v>1848</v>
      </c>
      <c r="C580" s="1075" t="str">
        <f>Sheet1!C574</f>
        <v>Tomoka Farms Rd.</v>
      </c>
      <c r="D580" s="1075" t="str">
        <f>_xlfn.TEXTBEFORE(Sheet1!E574, " to ")</f>
        <v>US 92/ISB</v>
      </c>
      <c r="E580" s="1075" t="str">
        <f>_xlfn.TEXTAFTER(Sheet1!E574, " to ")</f>
        <v>Dunn Ave.</v>
      </c>
      <c r="F580" s="1075">
        <f>Sheet1!AM574</f>
        <v>2</v>
      </c>
      <c r="G580" s="1075"/>
      <c r="H580" s="1083" t="str">
        <f>Sheet1!AE574</f>
        <v>E</v>
      </c>
      <c r="I580" s="1075"/>
      <c r="J580" s="1075" t="str">
        <f>Sheet1!Q574</f>
        <v>UA_UFH_2W_2L_U_0L</v>
      </c>
      <c r="K580" s="1075"/>
      <c r="L580" s="1075">
        <f>Sheet1!AF574</f>
        <v>24450</v>
      </c>
      <c r="M580" s="1075"/>
      <c r="N580" s="1075"/>
      <c r="O580" s="1075"/>
      <c r="P580" s="1075">
        <f>Sheet1!AK574</f>
        <v>2200</v>
      </c>
      <c r="Q580" s="1075"/>
      <c r="R580" s="1075">
        <f>Sheet1!AD574</f>
        <v>8710</v>
      </c>
      <c r="S580" s="1081">
        <f>Sheet1!AG574</f>
        <v>0.35623721881390591</v>
      </c>
      <c r="T580" s="1075" t="str">
        <f>Sheet1!AH574</f>
        <v>B</v>
      </c>
      <c r="U580" s="1075">
        <f>Sheet1!AI574</f>
        <v>540</v>
      </c>
      <c r="V580" s="1075"/>
      <c r="W580" s="1075"/>
      <c r="X580" s="1075">
        <f>Sheet1!AJ574</f>
        <v>800</v>
      </c>
      <c r="Y580" s="1075"/>
      <c r="Z580" s="1075"/>
      <c r="AA580" s="1075"/>
      <c r="AB580" s="1075"/>
      <c r="AC580" s="1075"/>
      <c r="AD580" s="1075"/>
      <c r="AE580" s="1075"/>
      <c r="AF580" s="1075"/>
      <c r="AG580" s="1075"/>
      <c r="AH580" s="1075"/>
      <c r="AI580" s="1075"/>
      <c r="AJ580" s="1075"/>
      <c r="AK580" s="1075" t="str">
        <f>IF(Sheet1!AE577="C",Sheet1!AK577,"-")</f>
        <v>-</v>
      </c>
      <c r="AL580" s="1075" t="str">
        <f>IF(Sheet1!AE577="D",Sheet1!AK577,"-")</f>
        <v>-</v>
      </c>
      <c r="AM580" s="1075">
        <f>IF(Sheet1!AE574="E",Sheet1!AK574,"-")</f>
        <v>2200</v>
      </c>
    </row>
    <row r="581" spans="2:39" x14ac:dyDescent="0.25">
      <c r="B581" s="1082">
        <f>Sheet1!F575</f>
        <v>1849</v>
      </c>
      <c r="C581" s="1075" t="str">
        <f>Sheet1!C575</f>
        <v>Tomoka Farms Rd.</v>
      </c>
      <c r="D581" s="1075" t="str">
        <f>_xlfn.TEXTBEFORE(Sheet1!E575, " to ")</f>
        <v>Dunn Ave.</v>
      </c>
      <c r="E581" s="1075" t="str">
        <f>_xlfn.TEXTAFTER(Sheet1!E575, " to ")</f>
        <v>LPGA Blvd.</v>
      </c>
      <c r="F581" s="1075">
        <f>Sheet1!AM575</f>
        <v>2</v>
      </c>
      <c r="G581" s="1075"/>
      <c r="H581" s="1083" t="str">
        <f>Sheet1!AE575</f>
        <v>E</v>
      </c>
      <c r="I581" s="1075"/>
      <c r="J581" s="1075" t="str">
        <f>Sheet1!Q575</f>
        <v>UA_UFH_2W_2L_U_0L</v>
      </c>
      <c r="K581" s="1075"/>
      <c r="L581" s="1075">
        <f>Sheet1!AF575</f>
        <v>24450</v>
      </c>
      <c r="M581" s="1075"/>
      <c r="N581" s="1075"/>
      <c r="O581" s="1075"/>
      <c r="P581" s="1075">
        <f>Sheet1!AK575</f>
        <v>2200</v>
      </c>
      <c r="Q581" s="1075"/>
      <c r="R581" s="1075">
        <f>Sheet1!AD575</f>
        <v>5710</v>
      </c>
      <c r="S581" s="1081">
        <f>Sheet1!AG575</f>
        <v>0.23353783231083844</v>
      </c>
      <c r="T581" s="1075" t="str">
        <f>Sheet1!AH575</f>
        <v>B</v>
      </c>
      <c r="U581" s="1075">
        <f>Sheet1!AI575</f>
        <v>390</v>
      </c>
      <c r="V581" s="1075"/>
      <c r="W581" s="1075"/>
      <c r="X581" s="1075">
        <f>Sheet1!AJ575</f>
        <v>500</v>
      </c>
      <c r="Y581" s="1075"/>
      <c r="Z581" s="1075"/>
      <c r="AA581" s="1075"/>
      <c r="AB581" s="1075"/>
      <c r="AC581" s="1075"/>
      <c r="AD581" s="1075"/>
      <c r="AE581" s="1075"/>
      <c r="AF581" s="1075"/>
      <c r="AG581" s="1075"/>
      <c r="AH581" s="1075"/>
      <c r="AI581" s="1075"/>
      <c r="AJ581" s="1075"/>
      <c r="AK581" s="1075" t="str">
        <f>IF(Sheet1!AE578="C",Sheet1!AK578,"-")</f>
        <v>-</v>
      </c>
      <c r="AL581" s="1075" t="str">
        <f>IF(Sheet1!AE578="D",Sheet1!AK578,"-")</f>
        <v>-</v>
      </c>
      <c r="AM581" s="1075">
        <f>IF(Sheet1!AE575="E",Sheet1!AK575,"-")</f>
        <v>2200</v>
      </c>
    </row>
    <row r="582" spans="2:39" x14ac:dyDescent="0.25">
      <c r="B582" s="1082">
        <f>Sheet1!F576</f>
        <v>1863</v>
      </c>
      <c r="C582" s="1075" t="str">
        <f>Sheet1!C576</f>
        <v>Turnbull Bay Rd.</v>
      </c>
      <c r="D582" s="1075" t="str">
        <f>_xlfn.TEXTBEFORE(Sheet1!E576, " to ")</f>
        <v>Pioneer Tr.</v>
      </c>
      <c r="E582" s="1075" t="str">
        <f>_xlfn.TEXTAFTER(Sheet1!E576, " to ")</f>
        <v>Williams Rd.</v>
      </c>
      <c r="F582" s="1075">
        <f>Sheet1!AM576</f>
        <v>2</v>
      </c>
      <c r="G582" s="1075"/>
      <c r="H582" s="1083" t="str">
        <f>Sheet1!AE576</f>
        <v>E</v>
      </c>
      <c r="I582" s="1075"/>
      <c r="J582" s="1075" t="str">
        <f>Sheet1!Q576</f>
        <v>UA_NSSRC1_2W_2L_U_0L</v>
      </c>
      <c r="K582" s="1075"/>
      <c r="L582" s="1075">
        <f>Sheet1!AF576</f>
        <v>13640</v>
      </c>
      <c r="M582" s="1075"/>
      <c r="N582" s="1075"/>
      <c r="O582" s="1075"/>
      <c r="P582" s="1075">
        <f>Sheet1!AK576</f>
        <v>1230</v>
      </c>
      <c r="Q582" s="1075"/>
      <c r="R582" s="1075">
        <f>Sheet1!AD576</f>
        <v>4240</v>
      </c>
      <c r="S582" s="1081">
        <f>Sheet1!AG576</f>
        <v>0.31085043988269795</v>
      </c>
      <c r="T582" s="1075" t="str">
        <f>Sheet1!AH576</f>
        <v>C</v>
      </c>
      <c r="U582" s="1075">
        <f>Sheet1!AI576</f>
        <v>300</v>
      </c>
      <c r="V582" s="1075"/>
      <c r="W582" s="1075"/>
      <c r="X582" s="1075">
        <f>Sheet1!AJ576</f>
        <v>370</v>
      </c>
      <c r="Y582" s="1075"/>
      <c r="Z582" s="1075"/>
      <c r="AA582" s="1075"/>
      <c r="AB582" s="1075"/>
      <c r="AC582" s="1075"/>
      <c r="AD582" s="1075"/>
      <c r="AE582" s="1075"/>
      <c r="AF582" s="1075"/>
      <c r="AG582" s="1075"/>
      <c r="AH582" s="1075"/>
      <c r="AI582" s="1075"/>
      <c r="AJ582" s="1075"/>
      <c r="AK582" s="1075" t="str">
        <f>IF(Sheet1!AE579="C",Sheet1!AK579,"-")</f>
        <v>-</v>
      </c>
      <c r="AL582" s="1075" t="str">
        <f>IF(Sheet1!AE579="D",Sheet1!AK579,"-")</f>
        <v>-</v>
      </c>
      <c r="AM582" s="1075">
        <f>IF(Sheet1!AE576="E",Sheet1!AK576,"-")</f>
        <v>1230</v>
      </c>
    </row>
    <row r="583" spans="2:39" x14ac:dyDescent="0.25">
      <c r="B583" s="1082">
        <f>Sheet1!F577</f>
        <v>1865</v>
      </c>
      <c r="C583" s="1075" t="str">
        <f>Sheet1!C577</f>
        <v>Turnbull Bay Rd.</v>
      </c>
      <c r="D583" s="1075" t="str">
        <f>_xlfn.TEXTBEFORE(Sheet1!E577, " to ")</f>
        <v>Williams Rd.</v>
      </c>
      <c r="E583" s="1075" t="str">
        <f>_xlfn.TEXTAFTER(Sheet1!E577, " to ")</f>
        <v>Industrial Park Ave.</v>
      </c>
      <c r="F583" s="1075">
        <f>Sheet1!AM577</f>
        <v>2</v>
      </c>
      <c r="G583" s="1075"/>
      <c r="H583" s="1083" t="str">
        <f>Sheet1!AE577</f>
        <v>E</v>
      </c>
      <c r="I583" s="1075"/>
      <c r="J583" s="1075" t="str">
        <f>Sheet1!Q577</f>
        <v>UA_NSSRC1_2W_2L_U_0L</v>
      </c>
      <c r="K583" s="1075"/>
      <c r="L583" s="1075">
        <f>Sheet1!AF577</f>
        <v>13640</v>
      </c>
      <c r="M583" s="1075"/>
      <c r="N583" s="1075"/>
      <c r="O583" s="1075"/>
      <c r="P583" s="1075">
        <f>Sheet1!AK577</f>
        <v>1230</v>
      </c>
      <c r="Q583" s="1075"/>
      <c r="R583" s="1075">
        <f>Sheet1!AD577</f>
        <v>3790</v>
      </c>
      <c r="S583" s="1081">
        <f>Sheet1!AG577</f>
        <v>0.27785923753665687</v>
      </c>
      <c r="T583" s="1075" t="str">
        <f>Sheet1!AH577</f>
        <v>C</v>
      </c>
      <c r="U583" s="1075">
        <f>Sheet1!AI577</f>
        <v>250</v>
      </c>
      <c r="V583" s="1075"/>
      <c r="W583" s="1075"/>
      <c r="X583" s="1075">
        <f>Sheet1!AJ577</f>
        <v>330</v>
      </c>
      <c r="Y583" s="1075"/>
      <c r="Z583" s="1075"/>
      <c r="AA583" s="1075"/>
      <c r="AB583" s="1075"/>
      <c r="AC583" s="1075"/>
      <c r="AD583" s="1075"/>
      <c r="AE583" s="1075"/>
      <c r="AF583" s="1075"/>
      <c r="AG583" s="1075"/>
      <c r="AH583" s="1075"/>
      <c r="AI583" s="1075"/>
      <c r="AJ583" s="1075"/>
      <c r="AK583" s="1075" t="str">
        <f>IF(Sheet1!AE580="C",Sheet1!AK580,"-")</f>
        <v>-</v>
      </c>
      <c r="AL583" s="1075" t="str">
        <f>IF(Sheet1!AE580="D",Sheet1!AK580,"-")</f>
        <v>-</v>
      </c>
      <c r="AM583" s="1075">
        <f>IF(Sheet1!AE577="E",Sheet1!AK577,"-")</f>
        <v>1230</v>
      </c>
    </row>
    <row r="584" spans="2:39" x14ac:dyDescent="0.25">
      <c r="B584" s="1082">
        <f>Sheet1!F578</f>
        <v>1867</v>
      </c>
      <c r="C584" s="1075" t="str">
        <f>Sheet1!C578</f>
        <v>Turnbull Bay Rd.</v>
      </c>
      <c r="D584" s="1075" t="str">
        <f>_xlfn.TEXTBEFORE(Sheet1!E578, " to ")</f>
        <v>Industrial Park Ave.</v>
      </c>
      <c r="E584" s="1075" t="str">
        <f>_xlfn.TEXTAFTER(Sheet1!E578, " to ")</f>
        <v>US 1</v>
      </c>
      <c r="F584" s="1075">
        <f>Sheet1!AM578</f>
        <v>2</v>
      </c>
      <c r="G584" s="1075"/>
      <c r="H584" s="1083" t="str">
        <f>Sheet1!AE578</f>
        <v>E</v>
      </c>
      <c r="I584" s="1075"/>
      <c r="J584" s="1075" t="str">
        <f>Sheet1!Q578</f>
        <v>UA_NSSRC2_2W_2L_U_0L</v>
      </c>
      <c r="K584" s="1075"/>
      <c r="L584" s="1075">
        <f>Sheet1!AF578</f>
        <v>13640</v>
      </c>
      <c r="M584" s="1075"/>
      <c r="N584" s="1075"/>
      <c r="O584" s="1075"/>
      <c r="P584" s="1075">
        <f>Sheet1!AK578</f>
        <v>1020</v>
      </c>
      <c r="Q584" s="1075"/>
      <c r="R584" s="1075">
        <f>Sheet1!AD578</f>
        <v>4870</v>
      </c>
      <c r="S584" s="1081">
        <f>Sheet1!AG578</f>
        <v>0.35703812316715544</v>
      </c>
      <c r="T584" s="1075" t="str">
        <f>Sheet1!AH578</f>
        <v>C</v>
      </c>
      <c r="U584" s="1075">
        <f>Sheet1!AI578</f>
        <v>350</v>
      </c>
      <c r="V584" s="1075"/>
      <c r="W584" s="1075"/>
      <c r="X584" s="1075">
        <f>Sheet1!AJ578</f>
        <v>390</v>
      </c>
      <c r="Y584" s="1075"/>
      <c r="Z584" s="1075"/>
      <c r="AA584" s="1075"/>
      <c r="AB584" s="1075"/>
      <c r="AC584" s="1075"/>
      <c r="AD584" s="1075"/>
      <c r="AE584" s="1075"/>
      <c r="AF584" s="1075"/>
      <c r="AG584" s="1075"/>
      <c r="AH584" s="1075"/>
      <c r="AI584" s="1075"/>
      <c r="AJ584" s="1075"/>
      <c r="AK584" s="1075" t="str">
        <f>IF(Sheet1!AE581="C",Sheet1!AK581,"-")</f>
        <v>-</v>
      </c>
      <c r="AL584" s="1075" t="str">
        <f>IF(Sheet1!AE581="D",Sheet1!AK581,"-")</f>
        <v>-</v>
      </c>
      <c r="AM584" s="1075">
        <f>IF(Sheet1!AE578="E",Sheet1!AK578,"-")</f>
        <v>1020</v>
      </c>
    </row>
    <row r="585" spans="2:39" x14ac:dyDescent="0.25">
      <c r="B585" s="1082" t="str">
        <f>Sheet1!F579</f>
        <v>NEW</v>
      </c>
      <c r="C585" s="1075" t="str">
        <f>Sheet1!C579</f>
        <v>Tymber Creek Rd.</v>
      </c>
      <c r="D585" s="1075" t="str">
        <f>_xlfn.TEXTBEFORE(Sheet1!E579, " to ")</f>
        <v>LPGA Blvd</v>
      </c>
      <c r="E585" s="1075" t="str">
        <f>_xlfn.TEXTAFTER(Sheet1!E579, " to ")</f>
        <v>Terminus</v>
      </c>
      <c r="F585" s="1075">
        <f>Sheet1!AM579</f>
        <v>4</v>
      </c>
      <c r="G585" s="1075"/>
      <c r="H585" s="1083" t="str">
        <f>Sheet1!AE579</f>
        <v>E</v>
      </c>
      <c r="I585" s="1075"/>
      <c r="J585" s="1075" t="str">
        <f>Sheet1!Q579</f>
        <v>UA_UFH_2W_4L_D_WL</v>
      </c>
      <c r="K585" s="1075"/>
      <c r="L585" s="1075">
        <f>Sheet1!AF579</f>
        <v>75300</v>
      </c>
      <c r="M585" s="1075"/>
      <c r="N585" s="1075"/>
      <c r="O585" s="1075"/>
      <c r="P585" s="1075">
        <f>Sheet1!AK579</f>
        <v>6780</v>
      </c>
      <c r="Q585" s="1075"/>
      <c r="R585" s="1075" t="str">
        <f>Sheet1!AD579</f>
        <v>-</v>
      </c>
      <c r="S585" s="1081" t="str">
        <f>Sheet1!AG579</f>
        <v>-</v>
      </c>
      <c r="T585" s="1075" t="str">
        <f>Sheet1!AH579</f>
        <v>-</v>
      </c>
      <c r="U585" s="1075" t="str">
        <f>Sheet1!AI579</f>
        <v>-</v>
      </c>
      <c r="V585" s="1075"/>
      <c r="W585" s="1075"/>
      <c r="X585" s="1075" t="str">
        <f>Sheet1!AJ579</f>
        <v>-</v>
      </c>
      <c r="Y585" s="1075"/>
      <c r="Z585" s="1075"/>
      <c r="AA585" s="1075"/>
      <c r="AB585" s="1075"/>
      <c r="AC585" s="1075"/>
      <c r="AD585" s="1075"/>
      <c r="AE585" s="1075"/>
      <c r="AF585" s="1075"/>
      <c r="AG585" s="1075"/>
      <c r="AH585" s="1075"/>
      <c r="AI585" s="1075"/>
      <c r="AJ585" s="1075"/>
      <c r="AK585" s="1075" t="str">
        <f>IF(Sheet1!AE582="C",Sheet1!AK582,"-")</f>
        <v>-</v>
      </c>
      <c r="AL585" s="1075" t="str">
        <f>IF(Sheet1!AE582="D",Sheet1!AK582,"-")</f>
        <v>-</v>
      </c>
      <c r="AM585" s="1075">
        <f>IF(Sheet1!AE579="E",Sheet1!AK579,"-")</f>
        <v>6780</v>
      </c>
    </row>
    <row r="586" spans="2:39" x14ac:dyDescent="0.25">
      <c r="B586" s="1082" t="str">
        <f>Sheet1!F580</f>
        <v>Future Rd</v>
      </c>
      <c r="C586" s="1075" t="str">
        <f>Sheet1!C580</f>
        <v>Tymber Creek Rd.</v>
      </c>
      <c r="D586" s="1075" t="str">
        <f>_xlfn.TEXTBEFORE(Sheet1!E580, " to ")</f>
        <v>Terminus</v>
      </c>
      <c r="E586" s="1075" t="str">
        <f>_xlfn.TEXTAFTER(Sheet1!E580, " to ")</f>
        <v xml:space="preserve">Riverbend Rd/Future Connection </v>
      </c>
      <c r="F586" s="1075">
        <f>Sheet1!AM580</f>
        <v>2</v>
      </c>
      <c r="G586" s="1075"/>
      <c r="H586" s="1083" t="str">
        <f>Sheet1!AE580</f>
        <v>E</v>
      </c>
      <c r="I586" s="1075"/>
      <c r="J586" s="1075" t="str">
        <f>Sheet1!Q580</f>
        <v>UA_UFH_2W_2L_D_WL</v>
      </c>
      <c r="K586" s="1075"/>
      <c r="L586" s="1075">
        <f>Sheet1!AF580</f>
        <v>34230</v>
      </c>
      <c r="M586" s="1075"/>
      <c r="N586" s="1075"/>
      <c r="O586" s="1075"/>
      <c r="P586" s="1075">
        <f>Sheet1!AK580</f>
        <v>3080</v>
      </c>
      <c r="Q586" s="1075"/>
      <c r="R586" s="1075" t="str">
        <f>Sheet1!AD580</f>
        <v>-</v>
      </c>
      <c r="S586" s="1081" t="str">
        <f>Sheet1!AG580</f>
        <v>-</v>
      </c>
      <c r="T586" s="1075" t="str">
        <f>Sheet1!AH580</f>
        <v>-</v>
      </c>
      <c r="U586" s="1075" t="str">
        <f>Sheet1!AI580</f>
        <v>-</v>
      </c>
      <c r="V586" s="1075"/>
      <c r="W586" s="1075"/>
      <c r="X586" s="1075" t="str">
        <f>Sheet1!AJ580</f>
        <v>-</v>
      </c>
      <c r="Y586" s="1075"/>
      <c r="Z586" s="1075"/>
      <c r="AA586" s="1075"/>
      <c r="AB586" s="1075"/>
      <c r="AC586" s="1075"/>
      <c r="AD586" s="1075"/>
      <c r="AE586" s="1075"/>
      <c r="AF586" s="1075"/>
      <c r="AG586" s="1075"/>
      <c r="AH586" s="1075"/>
      <c r="AI586" s="1075"/>
      <c r="AJ586" s="1075"/>
      <c r="AK586" s="1075" t="str">
        <f>IF(Sheet1!AE583="C",Sheet1!AK583,"-")</f>
        <v>-</v>
      </c>
      <c r="AL586" s="1075" t="str">
        <f>IF(Sheet1!AE583="D",Sheet1!AK583,"-")</f>
        <v>-</v>
      </c>
      <c r="AM586" s="1075">
        <f>IF(Sheet1!AE580="E",Sheet1!AK580,"-")</f>
        <v>3080</v>
      </c>
    </row>
    <row r="587" spans="2:39" x14ac:dyDescent="0.25">
      <c r="B587" s="1082">
        <f>Sheet1!F581</f>
        <v>1880</v>
      </c>
      <c r="C587" s="1075" t="str">
        <f>Sheet1!C581</f>
        <v>Tymber Creek Rd.</v>
      </c>
      <c r="D587" s="1075" t="str">
        <f>_xlfn.TEXTBEFORE(Sheet1!E581, " to ")</f>
        <v>Riverbend Rd.</v>
      </c>
      <c r="E587" s="1075" t="str">
        <f>_xlfn.TEXTAFTER(Sheet1!E581, " to ")</f>
        <v>SR 40</v>
      </c>
      <c r="F587" s="1075">
        <f>Sheet1!AM581</f>
        <v>2</v>
      </c>
      <c r="G587" s="1075"/>
      <c r="H587" s="1083" t="str">
        <f>Sheet1!AE581</f>
        <v>E</v>
      </c>
      <c r="I587" s="1075"/>
      <c r="J587" s="1075" t="str">
        <f>Sheet1!Q581</f>
        <v>UA_NSSRC2_2W_2L_U_0L</v>
      </c>
      <c r="K587" s="1075"/>
      <c r="L587" s="1075">
        <f>Sheet1!AF581</f>
        <v>13640</v>
      </c>
      <c r="M587" s="1075"/>
      <c r="N587" s="1075"/>
      <c r="O587" s="1075"/>
      <c r="P587" s="1075">
        <f>Sheet1!AK581</f>
        <v>1020</v>
      </c>
      <c r="Q587" s="1075"/>
      <c r="R587" s="1075">
        <f>Sheet1!AD581</f>
        <v>770</v>
      </c>
      <c r="S587" s="1081">
        <f>Sheet1!AG581</f>
        <v>5.6451612903225805E-2</v>
      </c>
      <c r="T587" s="1075" t="str">
        <f>Sheet1!AH581</f>
        <v>C</v>
      </c>
      <c r="U587" s="1075">
        <f>Sheet1!AI581</f>
        <v>60</v>
      </c>
      <c r="V587" s="1075"/>
      <c r="W587" s="1075"/>
      <c r="X587" s="1075">
        <f>Sheet1!AJ581</f>
        <v>70</v>
      </c>
      <c r="Y587" s="1075"/>
      <c r="Z587" s="1075"/>
      <c r="AA587" s="1075"/>
      <c r="AB587" s="1075"/>
      <c r="AC587" s="1075"/>
      <c r="AD587" s="1075"/>
      <c r="AE587" s="1075"/>
      <c r="AF587" s="1075"/>
      <c r="AG587" s="1075"/>
      <c r="AH587" s="1075"/>
      <c r="AI587" s="1075"/>
      <c r="AJ587" s="1075"/>
      <c r="AK587" s="1075" t="str">
        <f>IF(Sheet1!AE584="C",Sheet1!AK584,"-")</f>
        <v>-</v>
      </c>
      <c r="AL587" s="1075" t="str">
        <f>IF(Sheet1!AE584="D",Sheet1!AK584,"-")</f>
        <v>-</v>
      </c>
      <c r="AM587" s="1075">
        <f>IF(Sheet1!AE581="E",Sheet1!AK581,"-")</f>
        <v>1020</v>
      </c>
    </row>
    <row r="588" spans="2:39" x14ac:dyDescent="0.25">
      <c r="B588" s="1082">
        <f>Sheet1!F582</f>
        <v>1881</v>
      </c>
      <c r="C588" s="1075" t="str">
        <f>Sheet1!C582</f>
        <v>Tymber Creek Rd.</v>
      </c>
      <c r="D588" s="1075" t="str">
        <f>_xlfn.TEXTBEFORE(Sheet1!E582, " to ")</f>
        <v>SR 40</v>
      </c>
      <c r="E588" s="1075" t="str">
        <f>_xlfn.TEXTAFTER(Sheet1!E582, " to ")</f>
        <v>Tymber Run</v>
      </c>
      <c r="F588" s="1075">
        <f>Sheet1!AM582</f>
        <v>4</v>
      </c>
      <c r="G588" s="1075"/>
      <c r="H588" s="1083" t="str">
        <f>Sheet1!AE582</f>
        <v>E</v>
      </c>
      <c r="I588" s="1075"/>
      <c r="J588" s="1075" t="str">
        <f>Sheet1!Q582</f>
        <v>UA_NSSRC1_2W_4L_D_WL</v>
      </c>
      <c r="K588" s="1075"/>
      <c r="L588" s="1075">
        <f>Sheet1!AF582</f>
        <v>37970</v>
      </c>
      <c r="M588" s="1075"/>
      <c r="N588" s="1075"/>
      <c r="O588" s="1075"/>
      <c r="P588" s="1075">
        <f>Sheet1!AK582</f>
        <v>3410</v>
      </c>
      <c r="Q588" s="1075"/>
      <c r="R588" s="1075">
        <f>Sheet1!AD582</f>
        <v>10940</v>
      </c>
      <c r="S588" s="1081">
        <f>Sheet1!AG582</f>
        <v>0.2881222017382144</v>
      </c>
      <c r="T588" s="1075" t="str">
        <f>Sheet1!AH582</f>
        <v>C</v>
      </c>
      <c r="U588" s="1075">
        <f>Sheet1!AI582</f>
        <v>1060</v>
      </c>
      <c r="V588" s="1075"/>
      <c r="W588" s="1075"/>
      <c r="X588" s="1075">
        <f>Sheet1!AJ582</f>
        <v>940</v>
      </c>
      <c r="Y588" s="1075"/>
      <c r="Z588" s="1075"/>
      <c r="AA588" s="1075"/>
      <c r="AB588" s="1075"/>
      <c r="AC588" s="1075"/>
      <c r="AD588" s="1075"/>
      <c r="AE588" s="1075"/>
      <c r="AF588" s="1075"/>
      <c r="AG588" s="1075"/>
      <c r="AH588" s="1075"/>
      <c r="AI588" s="1075"/>
      <c r="AJ588" s="1075"/>
      <c r="AK588" s="1075" t="str">
        <f>IF(Sheet1!AE585="C",Sheet1!AK585,"-")</f>
        <v>-</v>
      </c>
      <c r="AL588" s="1075" t="str">
        <f>IF(Sheet1!AE585="D",Sheet1!AK585,"-")</f>
        <v>-</v>
      </c>
      <c r="AM588" s="1075">
        <f>IF(Sheet1!AE582="E",Sheet1!AK582,"-")</f>
        <v>3410</v>
      </c>
    </row>
    <row r="589" spans="2:39" x14ac:dyDescent="0.25">
      <c r="B589" s="1082">
        <f>Sheet1!F583</f>
        <v>1882</v>
      </c>
      <c r="C589" s="1075" t="str">
        <f>Sheet1!C583</f>
        <v>Tymber Creek Rd.</v>
      </c>
      <c r="D589" s="1075" t="str">
        <f>_xlfn.TEXTBEFORE(Sheet1!E583, " to ")</f>
        <v>Tymber Run</v>
      </c>
      <c r="E589" s="1075" t="str">
        <f>_xlfn.TEXTAFTER(Sheet1!E583, " to ")</f>
        <v>Airport Rd.</v>
      </c>
      <c r="F589" s="1075">
        <f>Sheet1!AM583</f>
        <v>2</v>
      </c>
      <c r="G589" s="1075"/>
      <c r="H589" s="1083" t="str">
        <f>Sheet1!AE583</f>
        <v>E</v>
      </c>
      <c r="I589" s="1075"/>
      <c r="J589" s="1075" t="str">
        <f>Sheet1!Q583</f>
        <v>UA_NSSRC1_2W_2L_U_WL</v>
      </c>
      <c r="K589" s="1075"/>
      <c r="L589" s="1075">
        <f>Sheet1!AF583</f>
        <v>17050</v>
      </c>
      <c r="M589" s="1075"/>
      <c r="N589" s="1075"/>
      <c r="O589" s="1075"/>
      <c r="P589" s="1075">
        <f>Sheet1!AK583</f>
        <v>1540</v>
      </c>
      <c r="Q589" s="1075"/>
      <c r="R589" s="1075">
        <f>Sheet1!AD583</f>
        <v>11220</v>
      </c>
      <c r="S589" s="1081">
        <f>Sheet1!AG583</f>
        <v>0.65806451612903227</v>
      </c>
      <c r="T589" s="1075" t="str">
        <f>Sheet1!AH583</f>
        <v>C</v>
      </c>
      <c r="U589" s="1075">
        <f>Sheet1!AI583</f>
        <v>1120</v>
      </c>
      <c r="V589" s="1075"/>
      <c r="W589" s="1075"/>
      <c r="X589" s="1075">
        <f>Sheet1!AJ583</f>
        <v>960</v>
      </c>
      <c r="Y589" s="1075"/>
      <c r="Z589" s="1075"/>
      <c r="AA589" s="1075"/>
      <c r="AB589" s="1075"/>
      <c r="AC589" s="1075"/>
      <c r="AD589" s="1075"/>
      <c r="AE589" s="1075"/>
      <c r="AF589" s="1075"/>
      <c r="AG589" s="1075"/>
      <c r="AH589" s="1075"/>
      <c r="AI589" s="1075"/>
      <c r="AJ589" s="1075"/>
      <c r="AK589" s="1075">
        <f>IF(Sheet1!AE586="C",Sheet1!AK586,"-")</f>
        <v>620</v>
      </c>
      <c r="AL589" s="1075" t="str">
        <f>IF(Sheet1!AE586="D",Sheet1!AK586,"-")</f>
        <v>-</v>
      </c>
      <c r="AM589" s="1075">
        <f>IF(Sheet1!AE583="E",Sheet1!AK583,"-")</f>
        <v>1540</v>
      </c>
    </row>
    <row r="590" spans="2:39" x14ac:dyDescent="0.25">
      <c r="B590" s="1082">
        <f>Sheet1!F584</f>
        <v>1883</v>
      </c>
      <c r="C590" s="1075" t="str">
        <f>Sheet1!C584</f>
        <v>Tymber Creek Rd.</v>
      </c>
      <c r="D590" s="1075" t="str">
        <f>_xlfn.TEXTBEFORE(Sheet1!E584, " to ")</f>
        <v>Airport Rd</v>
      </c>
      <c r="E590" s="1075" t="str">
        <f>_xlfn.TEXTAFTER(Sheet1!E584, " to ")</f>
        <v>Broadway Ave./US 1</v>
      </c>
      <c r="F590" s="1075">
        <f>Sheet1!AM584</f>
        <v>2</v>
      </c>
      <c r="G590" s="1075"/>
      <c r="H590" s="1083" t="str">
        <f>Sheet1!AE584</f>
        <v>E</v>
      </c>
      <c r="I590" s="1075"/>
      <c r="J590" s="1075" t="str">
        <f>Sheet1!Q584</f>
        <v>UA_NSSRC1_2W_2L_U_0L</v>
      </c>
      <c r="K590" s="1075"/>
      <c r="L590" s="1075">
        <f>Sheet1!AF584</f>
        <v>13640</v>
      </c>
      <c r="M590" s="1075"/>
      <c r="N590" s="1075"/>
      <c r="O590" s="1075"/>
      <c r="P590" s="1075">
        <f>Sheet1!AK584</f>
        <v>1230</v>
      </c>
      <c r="Q590" s="1075"/>
      <c r="R590" s="1075">
        <f>Sheet1!AD584</f>
        <v>2380</v>
      </c>
      <c r="S590" s="1081">
        <f>Sheet1!AG584</f>
        <v>0.1744868035190616</v>
      </c>
      <c r="T590" s="1075" t="str">
        <f>Sheet1!AH584</f>
        <v>C</v>
      </c>
      <c r="U590" s="1075">
        <f>Sheet1!AI584</f>
        <v>230</v>
      </c>
      <c r="V590" s="1075"/>
      <c r="W590" s="1075"/>
      <c r="X590" s="1075">
        <f>Sheet1!AJ584</f>
        <v>210</v>
      </c>
      <c r="Y590" s="1075"/>
      <c r="Z590" s="1075"/>
      <c r="AA590" s="1075"/>
      <c r="AB590" s="1075"/>
      <c r="AC590" s="1075"/>
      <c r="AD590" s="1075"/>
      <c r="AE590" s="1075"/>
      <c r="AF590" s="1075"/>
      <c r="AG590" s="1075"/>
      <c r="AH590" s="1075"/>
      <c r="AI590" s="1075"/>
      <c r="AJ590" s="1075"/>
      <c r="AK590" s="1075" t="str">
        <f>IF(Sheet1!AE587="C",Sheet1!AK587,"-")</f>
        <v>-</v>
      </c>
      <c r="AL590" s="1075" t="str">
        <f>IF(Sheet1!AE587="D",Sheet1!AK587,"-")</f>
        <v>-</v>
      </c>
      <c r="AM590" s="1075">
        <f>IF(Sheet1!AE584="E",Sheet1!AK584,"-")</f>
        <v>1230</v>
      </c>
    </row>
    <row r="591" spans="2:39" x14ac:dyDescent="0.25">
      <c r="B591" s="1082">
        <f>Sheet1!F585</f>
        <v>1890</v>
      </c>
      <c r="C591" s="1075" t="str">
        <f>Sheet1!C585</f>
        <v>Van Ave. (DBS)</v>
      </c>
      <c r="D591" s="1075" t="str">
        <f>_xlfn.TEXTBEFORE(Sheet1!E585, " to ")</f>
        <v>Peninsula Dr.</v>
      </c>
      <c r="E591" s="1075" t="str">
        <f>_xlfn.TEXTAFTER(Sheet1!E585, " to ")</f>
        <v>SR A1A</v>
      </c>
      <c r="F591" s="1075">
        <f>Sheet1!AM585</f>
        <v>2</v>
      </c>
      <c r="G591" s="1075"/>
      <c r="H591" s="1083" t="str">
        <f>Sheet1!AE585</f>
        <v>E</v>
      </c>
      <c r="I591" s="1075"/>
      <c r="J591" s="1075" t="str">
        <f>Sheet1!Q585</f>
        <v>UA_NSSRC2_2W_2L_U_0L</v>
      </c>
      <c r="K591" s="1075"/>
      <c r="L591" s="1075">
        <f>Sheet1!AF585</f>
        <v>13640</v>
      </c>
      <c r="M591" s="1075"/>
      <c r="N591" s="1075"/>
      <c r="O591" s="1075"/>
      <c r="P591" s="1075">
        <f>Sheet1!AK585</f>
        <v>1020</v>
      </c>
      <c r="Q591" s="1075"/>
      <c r="R591" s="1075" t="str">
        <f>Sheet1!AD585</f>
        <v>-</v>
      </c>
      <c r="S591" s="1081" t="str">
        <f>Sheet1!AG585</f>
        <v>-</v>
      </c>
      <c r="T591" s="1075" t="str">
        <f>Sheet1!AH585</f>
        <v>-</v>
      </c>
      <c r="U591" s="1075" t="str">
        <f>Sheet1!AI585</f>
        <v>-</v>
      </c>
      <c r="V591" s="1075"/>
      <c r="W591" s="1075"/>
      <c r="X591" s="1075" t="str">
        <f>Sheet1!AJ585</f>
        <v>-</v>
      </c>
      <c r="Y591" s="1075"/>
      <c r="Z591" s="1075"/>
      <c r="AA591" s="1075"/>
      <c r="AB591" s="1075"/>
      <c r="AC591" s="1075"/>
      <c r="AD591" s="1075"/>
      <c r="AE591" s="1075"/>
      <c r="AF591" s="1075"/>
      <c r="AG591" s="1075"/>
      <c r="AH591" s="1075"/>
      <c r="AI591" s="1075"/>
      <c r="AJ591" s="1075"/>
      <c r="AK591" s="1075" t="str">
        <f>IF(Sheet1!AE588="C",Sheet1!AK588,"-")</f>
        <v>-</v>
      </c>
      <c r="AL591" s="1075" t="str">
        <f>IF(Sheet1!AE588="D",Sheet1!AK588,"-")</f>
        <v>-</v>
      </c>
      <c r="AM591" s="1075">
        <f>IF(Sheet1!AE585="E",Sheet1!AK585,"-")</f>
        <v>1020</v>
      </c>
    </row>
    <row r="592" spans="2:39" x14ac:dyDescent="0.25">
      <c r="B592" s="1082">
        <f>Sheet1!F586</f>
        <v>1920</v>
      </c>
      <c r="C592" s="1075" t="str">
        <f>Sheet1!C586</f>
        <v>Volco Rd.</v>
      </c>
      <c r="D592" s="1075" t="str">
        <f>_xlfn.TEXTBEFORE(Sheet1!E586, " to ")</f>
        <v>Cow Creek Rd.</v>
      </c>
      <c r="E592" s="1075" t="str">
        <f>_xlfn.TEXTAFTER(Sheet1!E586, " to ")</f>
        <v>Beacon Light Rd.</v>
      </c>
      <c r="F592" s="1075">
        <f>Sheet1!AM586</f>
        <v>2</v>
      </c>
      <c r="G592" s="1075"/>
      <c r="H592" s="1083" t="str">
        <f>Sheet1!AE586</f>
        <v>C</v>
      </c>
      <c r="I592" s="1075"/>
      <c r="J592" s="1075" t="str">
        <f>Sheet1!Q586</f>
        <v>RUA_UFH_2W_2L_U_0L</v>
      </c>
      <c r="K592" s="1075"/>
      <c r="L592" s="1075">
        <f>Sheet1!AF586</f>
        <v>6450</v>
      </c>
      <c r="M592" s="1075"/>
      <c r="N592" s="1075"/>
      <c r="O592" s="1075"/>
      <c r="P592" s="1075">
        <f>Sheet1!AK586</f>
        <v>620</v>
      </c>
      <c r="Q592" s="1075"/>
      <c r="R592" s="1075">
        <f>Sheet1!AD586</f>
        <v>300</v>
      </c>
      <c r="S592" s="1081">
        <f>Sheet1!AG586</f>
        <v>4.6511627906976744E-2</v>
      </c>
      <c r="T592" s="1075" t="str">
        <f>Sheet1!AH586</f>
        <v>B</v>
      </c>
      <c r="U592" s="1075">
        <f>Sheet1!AI586</f>
        <v>20</v>
      </c>
      <c r="V592" s="1075"/>
      <c r="W592" s="1075"/>
      <c r="X592" s="1075">
        <f>Sheet1!AJ586</f>
        <v>30</v>
      </c>
      <c r="Y592" s="1075"/>
      <c r="Z592" s="1075"/>
      <c r="AA592" s="1075"/>
      <c r="AB592" s="1075"/>
      <c r="AC592" s="1075"/>
      <c r="AD592" s="1075"/>
      <c r="AE592" s="1075"/>
      <c r="AF592" s="1075"/>
      <c r="AG592" s="1075"/>
      <c r="AH592" s="1075"/>
      <c r="AI592" s="1075"/>
      <c r="AJ592" s="1075"/>
      <c r="AK592" s="1075" t="str">
        <f>IF(Sheet1!AE589="C",Sheet1!AK589,"-")</f>
        <v>-</v>
      </c>
      <c r="AL592" s="1075" t="str">
        <f>IF(Sheet1!AE589="D",Sheet1!AK589,"-")</f>
        <v>-</v>
      </c>
      <c r="AM592" s="1075" t="str">
        <f>IF(Sheet1!AE586="E",Sheet1!AK586,"-")</f>
        <v>-</v>
      </c>
    </row>
    <row r="593" spans="2:39" x14ac:dyDescent="0.25">
      <c r="B593" s="1082">
        <f>Sheet1!F587</f>
        <v>1921</v>
      </c>
      <c r="C593" s="1075" t="str">
        <f>Sheet1!C587</f>
        <v>Volco Rd.</v>
      </c>
      <c r="D593" s="1075" t="str">
        <f>_xlfn.TEXTBEFORE(Sheet1!E587, " to ")</f>
        <v>Beacon Light Rd.</v>
      </c>
      <c r="E593" s="1075" t="str">
        <f>_xlfn.TEXTAFTER(Sheet1!E587, " to ")</f>
        <v>35th St.</v>
      </c>
      <c r="F593" s="1075">
        <f>Sheet1!AM587</f>
        <v>2</v>
      </c>
      <c r="G593" s="1075"/>
      <c r="H593" s="1083" t="str">
        <f>Sheet1!AE587</f>
        <v>E</v>
      </c>
      <c r="I593" s="1075"/>
      <c r="J593" s="1075" t="str">
        <f>Sheet1!Q587</f>
        <v>UA_NSSRC1_2W_2L_U_0L</v>
      </c>
      <c r="K593" s="1075"/>
      <c r="L593" s="1075">
        <f>Sheet1!AF587</f>
        <v>13640</v>
      </c>
      <c r="M593" s="1075"/>
      <c r="N593" s="1075"/>
      <c r="O593" s="1075"/>
      <c r="P593" s="1075">
        <f>Sheet1!AK587</f>
        <v>1230</v>
      </c>
      <c r="Q593" s="1075"/>
      <c r="R593" s="1075">
        <f>Sheet1!AD587</f>
        <v>710</v>
      </c>
      <c r="S593" s="1081">
        <f>Sheet1!AG587</f>
        <v>5.2052785923753668E-2</v>
      </c>
      <c r="T593" s="1075" t="str">
        <f>Sheet1!AH587</f>
        <v>C</v>
      </c>
      <c r="U593" s="1075">
        <f>Sheet1!AI587</f>
        <v>50</v>
      </c>
      <c r="V593" s="1075"/>
      <c r="W593" s="1075"/>
      <c r="X593" s="1075">
        <f>Sheet1!AJ587</f>
        <v>70</v>
      </c>
      <c r="Y593" s="1075"/>
      <c r="Z593" s="1075"/>
      <c r="AA593" s="1075"/>
      <c r="AB593" s="1075"/>
      <c r="AC593" s="1075"/>
      <c r="AD593" s="1075"/>
      <c r="AE593" s="1075"/>
      <c r="AF593" s="1075"/>
      <c r="AG593" s="1075"/>
      <c r="AH593" s="1075"/>
      <c r="AI593" s="1075"/>
      <c r="AJ593" s="1075"/>
      <c r="AK593" s="1075" t="str">
        <f>IF(Sheet1!AE590="C",Sheet1!AK590,"-")</f>
        <v>-</v>
      </c>
      <c r="AL593" s="1075" t="str">
        <f>IF(Sheet1!AE590="D",Sheet1!AK590,"-")</f>
        <v>-</v>
      </c>
      <c r="AM593" s="1075">
        <f>IF(Sheet1!AE587="E",Sheet1!AK587,"-")</f>
        <v>1230</v>
      </c>
    </row>
    <row r="594" spans="2:39" x14ac:dyDescent="0.25">
      <c r="B594" s="1082">
        <f>Sheet1!F588</f>
        <v>1922</v>
      </c>
      <c r="C594" s="1075" t="str">
        <f>Sheet1!C588</f>
        <v>Volco Rd.</v>
      </c>
      <c r="D594" s="1075" t="str">
        <f>_xlfn.TEXTBEFORE(Sheet1!E588, " to ")</f>
        <v>35th St.</v>
      </c>
      <c r="E594" s="1075" t="str">
        <f>_xlfn.TEXTAFTER(Sheet1!E588, " to ")</f>
        <v>US 1</v>
      </c>
      <c r="F594" s="1075">
        <f>Sheet1!AM588</f>
        <v>2</v>
      </c>
      <c r="G594" s="1075"/>
      <c r="H594" s="1083" t="str">
        <f>Sheet1!AE588</f>
        <v>E</v>
      </c>
      <c r="I594" s="1075"/>
      <c r="J594" s="1075" t="str">
        <f>Sheet1!Q588</f>
        <v>UA_NSSRC2_2W_2L_U_0L</v>
      </c>
      <c r="K594" s="1075"/>
      <c r="L594" s="1075">
        <f>Sheet1!AF588</f>
        <v>13640</v>
      </c>
      <c r="M594" s="1075"/>
      <c r="N594" s="1075"/>
      <c r="O594" s="1075"/>
      <c r="P594" s="1075">
        <f>Sheet1!AK588</f>
        <v>1020</v>
      </c>
      <c r="Q594" s="1075"/>
      <c r="R594" s="1075">
        <f>Sheet1!AD588</f>
        <v>2220</v>
      </c>
      <c r="S594" s="1081">
        <f>Sheet1!AG588</f>
        <v>0.1627565982404692</v>
      </c>
      <c r="T594" s="1075" t="str">
        <f>Sheet1!AH588</f>
        <v>C</v>
      </c>
      <c r="U594" s="1075">
        <f>Sheet1!AI588</f>
        <v>170</v>
      </c>
      <c r="V594" s="1075"/>
      <c r="W594" s="1075"/>
      <c r="X594" s="1075">
        <f>Sheet1!AJ588</f>
        <v>190</v>
      </c>
      <c r="Y594" s="1075"/>
      <c r="Z594" s="1075"/>
      <c r="AA594" s="1075"/>
      <c r="AB594" s="1075"/>
      <c r="AC594" s="1075"/>
      <c r="AD594" s="1075"/>
      <c r="AE594" s="1075"/>
      <c r="AF594" s="1075"/>
      <c r="AG594" s="1075"/>
      <c r="AH594" s="1075"/>
      <c r="AI594" s="1075"/>
      <c r="AJ594" s="1075"/>
      <c r="AK594" s="1075" t="str">
        <f>IF(Sheet1!AE591="C",Sheet1!AK591,"-")</f>
        <v>-</v>
      </c>
      <c r="AL594" s="1075" t="str">
        <f>IF(Sheet1!AE591="D",Sheet1!AK591,"-")</f>
        <v>-</v>
      </c>
      <c r="AM594" s="1075">
        <f>IF(Sheet1!AE588="E",Sheet1!AK588,"-")</f>
        <v>1020</v>
      </c>
    </row>
    <row r="595" spans="2:39" x14ac:dyDescent="0.25">
      <c r="B595" s="1082">
        <f>Sheet1!F589</f>
        <v>1931</v>
      </c>
      <c r="C595" s="1075" t="str">
        <f>Sheet1!C589</f>
        <v>Voorhis Ave.</v>
      </c>
      <c r="D595" s="1075" t="str">
        <f>_xlfn.TEXTBEFORE(Sheet1!E589, " to ")</f>
        <v>US 17/92</v>
      </c>
      <c r="E595" s="1075" t="str">
        <f>_xlfn.TEXTAFTER(Sheet1!E589, " to ")</f>
        <v>Amelia Ave.</v>
      </c>
      <c r="F595" s="1075">
        <f>Sheet1!AM589</f>
        <v>2</v>
      </c>
      <c r="G595" s="1075"/>
      <c r="H595" s="1083" t="str">
        <f>Sheet1!AE589</f>
        <v>E</v>
      </c>
      <c r="I595" s="1075"/>
      <c r="J595" s="1075" t="str">
        <f>Sheet1!Q589</f>
        <v>UA_NSSRC2_2W_2L_U_0L</v>
      </c>
      <c r="K595" s="1075"/>
      <c r="L595" s="1075">
        <f>Sheet1!AF589</f>
        <v>13640</v>
      </c>
      <c r="M595" s="1075"/>
      <c r="N595" s="1075"/>
      <c r="O595" s="1075"/>
      <c r="P595" s="1075">
        <f>Sheet1!AK589</f>
        <v>1020</v>
      </c>
      <c r="Q595" s="1075"/>
      <c r="R595" s="1075">
        <f>Sheet1!AD589</f>
        <v>3700</v>
      </c>
      <c r="S595" s="1081">
        <f>Sheet1!AG589</f>
        <v>0.27126099706744866</v>
      </c>
      <c r="T595" s="1075" t="str">
        <f>Sheet1!AH589</f>
        <v>C</v>
      </c>
      <c r="U595" s="1075">
        <f>Sheet1!AI589</f>
        <v>220</v>
      </c>
      <c r="V595" s="1075"/>
      <c r="W595" s="1075"/>
      <c r="X595" s="1075">
        <f>Sheet1!AJ589</f>
        <v>320</v>
      </c>
      <c r="Y595" s="1075"/>
      <c r="Z595" s="1075"/>
      <c r="AA595" s="1075"/>
      <c r="AB595" s="1075"/>
      <c r="AC595" s="1075"/>
      <c r="AD595" s="1075"/>
      <c r="AE595" s="1075"/>
      <c r="AF595" s="1075"/>
      <c r="AG595" s="1075"/>
      <c r="AH595" s="1075"/>
      <c r="AI595" s="1075"/>
      <c r="AJ595" s="1075"/>
      <c r="AK595" s="1075" t="str">
        <f>IF(Sheet1!AE592="C",Sheet1!AK592,"-")</f>
        <v>-</v>
      </c>
      <c r="AL595" s="1075" t="str">
        <f>IF(Sheet1!AE592="D",Sheet1!AK592,"-")</f>
        <v>-</v>
      </c>
      <c r="AM595" s="1075">
        <f>IF(Sheet1!AE589="E",Sheet1!AK589,"-")</f>
        <v>1020</v>
      </c>
    </row>
    <row r="596" spans="2:39" x14ac:dyDescent="0.25">
      <c r="B596" s="1082">
        <f>Sheet1!F590</f>
        <v>1933</v>
      </c>
      <c r="C596" s="1075" t="str">
        <f>Sheet1!C590</f>
        <v>Voorhis Ave.</v>
      </c>
      <c r="D596" s="1075" t="str">
        <f>_xlfn.TEXTBEFORE(Sheet1!E590, " to ")</f>
        <v>Amelia Ave.</v>
      </c>
      <c r="E596" s="1075" t="str">
        <f>_xlfn.TEXTAFTER(Sheet1!E590, " to ")</f>
        <v>Hill Ave.</v>
      </c>
      <c r="F596" s="1075">
        <f>Sheet1!AM590</f>
        <v>2</v>
      </c>
      <c r="G596" s="1075"/>
      <c r="H596" s="1083" t="str">
        <f>Sheet1!AE590</f>
        <v>E</v>
      </c>
      <c r="I596" s="1075"/>
      <c r="J596" s="1075" t="str">
        <f>Sheet1!Q590</f>
        <v>UA_NSSRC2_2W_2L_U_0L</v>
      </c>
      <c r="K596" s="1075"/>
      <c r="L596" s="1075">
        <f>Sheet1!AF590</f>
        <v>13640</v>
      </c>
      <c r="M596" s="1075"/>
      <c r="N596" s="1075"/>
      <c r="O596" s="1075"/>
      <c r="P596" s="1075">
        <f>Sheet1!AK590</f>
        <v>1020</v>
      </c>
      <c r="Q596" s="1075"/>
      <c r="R596" s="1075">
        <f>Sheet1!AD590</f>
        <v>3580</v>
      </c>
      <c r="S596" s="1081">
        <f>Sheet1!AG590</f>
        <v>0.26246334310850439</v>
      </c>
      <c r="T596" s="1075" t="str">
        <f>Sheet1!AH590</f>
        <v>C</v>
      </c>
      <c r="U596" s="1075">
        <f>Sheet1!AI590</f>
        <v>280</v>
      </c>
      <c r="V596" s="1075"/>
      <c r="W596" s="1075"/>
      <c r="X596" s="1075">
        <f>Sheet1!AJ590</f>
        <v>320</v>
      </c>
      <c r="Y596" s="1075"/>
      <c r="Z596" s="1075"/>
      <c r="AA596" s="1075"/>
      <c r="AB596" s="1075"/>
      <c r="AC596" s="1075"/>
      <c r="AD596" s="1075"/>
      <c r="AE596" s="1075"/>
      <c r="AF596" s="1075"/>
      <c r="AG596" s="1075"/>
      <c r="AH596" s="1075"/>
      <c r="AI596" s="1075"/>
      <c r="AJ596" s="1075"/>
      <c r="AK596" s="1075">
        <f>IF(Sheet1!AE593="C",Sheet1!AK593,"-")</f>
        <v>1120</v>
      </c>
      <c r="AL596" s="1075" t="str">
        <f>IF(Sheet1!AE593="D",Sheet1!AK593,"-")</f>
        <v>-</v>
      </c>
      <c r="AM596" s="1075">
        <f>IF(Sheet1!AE590="E",Sheet1!AK590,"-")</f>
        <v>1020</v>
      </c>
    </row>
    <row r="597" spans="2:39" x14ac:dyDescent="0.25">
      <c r="B597" s="1082">
        <f>Sheet1!F591</f>
        <v>1934</v>
      </c>
      <c r="C597" s="1075" t="str">
        <f>Sheet1!C591</f>
        <v>Voorhis Ave.</v>
      </c>
      <c r="D597" s="1075" t="str">
        <f>_xlfn.TEXTBEFORE(Sheet1!E591, " to ")</f>
        <v>Hill Ave.</v>
      </c>
      <c r="E597" s="1075" t="str">
        <f>_xlfn.TEXTAFTER(Sheet1!E591, " to ")</f>
        <v>Blue Lake Ave.</v>
      </c>
      <c r="F597" s="1075">
        <f>Sheet1!AM591</f>
        <v>2</v>
      </c>
      <c r="G597" s="1075"/>
      <c r="H597" s="1083" t="str">
        <f>Sheet1!AE591</f>
        <v>E</v>
      </c>
      <c r="I597" s="1075"/>
      <c r="J597" s="1075" t="str">
        <f>Sheet1!Q591</f>
        <v>UA_NSSRC2_2W_2L_U_0L</v>
      </c>
      <c r="K597" s="1075"/>
      <c r="L597" s="1075">
        <f>Sheet1!AF591</f>
        <v>13640</v>
      </c>
      <c r="M597" s="1075"/>
      <c r="N597" s="1075"/>
      <c r="O597" s="1075"/>
      <c r="P597" s="1075">
        <f>Sheet1!AK591</f>
        <v>1020</v>
      </c>
      <c r="Q597" s="1075"/>
      <c r="R597" s="1075">
        <f>Sheet1!AD591</f>
        <v>3550</v>
      </c>
      <c r="S597" s="1081">
        <f>Sheet1!AG591</f>
        <v>0.26026392961876832</v>
      </c>
      <c r="T597" s="1075" t="str">
        <f>Sheet1!AH591</f>
        <v>C</v>
      </c>
      <c r="U597" s="1075">
        <f>Sheet1!AI591</f>
        <v>240</v>
      </c>
      <c r="V597" s="1075"/>
      <c r="W597" s="1075"/>
      <c r="X597" s="1075">
        <f>Sheet1!AJ591</f>
        <v>320</v>
      </c>
      <c r="Y597" s="1075"/>
      <c r="Z597" s="1075"/>
      <c r="AA597" s="1075"/>
      <c r="AB597" s="1075"/>
      <c r="AC597" s="1075"/>
      <c r="AD597" s="1075"/>
      <c r="AE597" s="1075"/>
      <c r="AF597" s="1075"/>
      <c r="AG597" s="1075"/>
      <c r="AH597" s="1075"/>
      <c r="AI597" s="1075"/>
      <c r="AJ597" s="1075"/>
      <c r="AK597" s="1075" t="str">
        <f>IF(Sheet1!AE594="C",Sheet1!AK594,"-")</f>
        <v>-</v>
      </c>
      <c r="AL597" s="1075" t="str">
        <f>IF(Sheet1!AE594="D",Sheet1!AK594,"-")</f>
        <v>-</v>
      </c>
      <c r="AM597" s="1075">
        <f>IF(Sheet1!AE591="E",Sheet1!AK591,"-")</f>
        <v>1020</v>
      </c>
    </row>
    <row r="598" spans="2:39" x14ac:dyDescent="0.25">
      <c r="B598" s="1082">
        <f>Sheet1!F592</f>
        <v>1935</v>
      </c>
      <c r="C598" s="1075" t="str">
        <f>Sheet1!C592</f>
        <v>Voorhis Ave.</v>
      </c>
      <c r="D598" s="1075" t="str">
        <f>_xlfn.TEXTBEFORE(Sheet1!E592, " to ")</f>
        <v>Blue Lake Ave.</v>
      </c>
      <c r="E598" s="1075" t="str">
        <f>_xlfn.TEXTAFTER(Sheet1!E592, " to ")</f>
        <v>SR 44</v>
      </c>
      <c r="F598" s="1075">
        <f>Sheet1!AM592</f>
        <v>2</v>
      </c>
      <c r="G598" s="1075"/>
      <c r="H598" s="1083" t="str">
        <f>Sheet1!AE592</f>
        <v>E</v>
      </c>
      <c r="I598" s="1075"/>
      <c r="J598" s="1075" t="str">
        <f>Sheet1!Q592</f>
        <v>UA_NSSRC2_2W_2L_U_0L</v>
      </c>
      <c r="K598" s="1075"/>
      <c r="L598" s="1075">
        <f>Sheet1!AF592</f>
        <v>13640</v>
      </c>
      <c r="M598" s="1075"/>
      <c r="N598" s="1075"/>
      <c r="O598" s="1075"/>
      <c r="P598" s="1075">
        <f>Sheet1!AK592</f>
        <v>1020</v>
      </c>
      <c r="Q598" s="1075"/>
      <c r="R598" s="1075">
        <f>Sheet1!AD592</f>
        <v>4160</v>
      </c>
      <c r="S598" s="1081">
        <f>Sheet1!AG592</f>
        <v>0.30498533724340177</v>
      </c>
      <c r="T598" s="1075" t="str">
        <f>Sheet1!AH592</f>
        <v>C</v>
      </c>
      <c r="U598" s="1075">
        <f>Sheet1!AI592</f>
        <v>280</v>
      </c>
      <c r="V598" s="1075"/>
      <c r="W598" s="1075"/>
      <c r="X598" s="1075">
        <f>Sheet1!AJ592</f>
        <v>350</v>
      </c>
      <c r="Y598" s="1075"/>
      <c r="Z598" s="1075"/>
      <c r="AA598" s="1075"/>
      <c r="AB598" s="1075"/>
      <c r="AC598" s="1075"/>
      <c r="AD598" s="1075"/>
      <c r="AE598" s="1075"/>
      <c r="AF598" s="1075"/>
      <c r="AG598" s="1075"/>
      <c r="AH598" s="1075"/>
      <c r="AI598" s="1075"/>
      <c r="AJ598" s="1075"/>
      <c r="AK598" s="1075" t="str">
        <f>IF(Sheet1!AE595="C",Sheet1!AK595,"-")</f>
        <v>-</v>
      </c>
      <c r="AL598" s="1075" t="str">
        <f>IF(Sheet1!AE595="D",Sheet1!AK595,"-")</f>
        <v>-</v>
      </c>
      <c r="AM598" s="1075">
        <f>IF(Sheet1!AE592="E",Sheet1!AK592,"-")</f>
        <v>1020</v>
      </c>
    </row>
    <row r="599" spans="2:39" x14ac:dyDescent="0.25">
      <c r="B599" s="1082">
        <f>Sheet1!F593</f>
        <v>1960</v>
      </c>
      <c r="C599" s="1075" t="str">
        <f>Sheet1!C593</f>
        <v>Walter Boardman Ln.</v>
      </c>
      <c r="D599" s="1075" t="str">
        <f>_xlfn.TEXTBEFORE(Sheet1!E593, " to ")</f>
        <v>Old Dixie Hwy.</v>
      </c>
      <c r="E599" s="1075" t="str">
        <f>_xlfn.TEXTAFTER(Sheet1!E593, " to ")</f>
        <v>Highbridge Rd.</v>
      </c>
      <c r="F599" s="1075">
        <f>Sheet1!AM593</f>
        <v>2</v>
      </c>
      <c r="G599" s="1075"/>
      <c r="H599" s="1083" t="str">
        <f>Sheet1!AE593</f>
        <v>C</v>
      </c>
      <c r="I599" s="1075"/>
      <c r="J599" s="1075" t="str">
        <f>Sheet1!Q593</f>
        <v>RDA_UFH_2W_2L_U_0L</v>
      </c>
      <c r="K599" s="1075"/>
      <c r="L599" s="1075">
        <f>Sheet1!AF593</f>
        <v>11775</v>
      </c>
      <c r="M599" s="1075"/>
      <c r="N599" s="1075"/>
      <c r="O599" s="1075"/>
      <c r="P599" s="1075">
        <f>Sheet1!AK593</f>
        <v>1120</v>
      </c>
      <c r="Q599" s="1075"/>
      <c r="R599" s="1075">
        <f>Sheet1!AD593</f>
        <v>4290</v>
      </c>
      <c r="S599" s="1081">
        <f>Sheet1!AG593</f>
        <v>0.36433121019108278</v>
      </c>
      <c r="T599" s="1075" t="str">
        <f>Sheet1!AH593</f>
        <v>B</v>
      </c>
      <c r="U599" s="1075">
        <f>Sheet1!AI593</f>
        <v>250</v>
      </c>
      <c r="V599" s="1075"/>
      <c r="W599" s="1075"/>
      <c r="X599" s="1075">
        <f>Sheet1!AJ593</f>
        <v>390</v>
      </c>
      <c r="Y599" s="1075"/>
      <c r="Z599" s="1075"/>
      <c r="AA599" s="1075"/>
      <c r="AB599" s="1075"/>
      <c r="AC599" s="1075"/>
      <c r="AD599" s="1075"/>
      <c r="AE599" s="1075"/>
      <c r="AF599" s="1075"/>
      <c r="AG599" s="1075"/>
      <c r="AH599" s="1075"/>
      <c r="AI599" s="1075"/>
      <c r="AJ599" s="1075"/>
      <c r="AK599" s="1075" t="str">
        <f>IF(Sheet1!AE596="C",Sheet1!AK596,"-")</f>
        <v>-</v>
      </c>
      <c r="AL599" s="1075" t="str">
        <f>IF(Sheet1!AE596="D",Sheet1!AK596,"-")</f>
        <v>-</v>
      </c>
      <c r="AM599" s="1075" t="str">
        <f>IF(Sheet1!AE593="E",Sheet1!AK593,"-")</f>
        <v>-</v>
      </c>
    </row>
    <row r="600" spans="2:39" x14ac:dyDescent="0.25">
      <c r="B600" s="1082">
        <f>Sheet1!F594</f>
        <v>1970</v>
      </c>
      <c r="C600" s="1075" t="str">
        <f>Sheet1!C594</f>
        <v>Wayne Ave. (NSB)</v>
      </c>
      <c r="D600" s="1075" t="str">
        <f>_xlfn.TEXTBEFORE(Sheet1!E594, " to ")</f>
        <v>Halleck St.</v>
      </c>
      <c r="E600" s="1075" t="str">
        <f>_xlfn.TEXTAFTER(Sheet1!E594, " to ")</f>
        <v>US 1</v>
      </c>
      <c r="F600" s="1075">
        <f>Sheet1!AM594</f>
        <v>2</v>
      </c>
      <c r="G600" s="1075"/>
      <c r="H600" s="1083" t="str">
        <f>Sheet1!AE594</f>
        <v>E</v>
      </c>
      <c r="I600" s="1075"/>
      <c r="J600" s="1075" t="str">
        <f>Sheet1!Q594</f>
        <v>UA_NSSRC2_2W_2L_U_0L</v>
      </c>
      <c r="K600" s="1075"/>
      <c r="L600" s="1075">
        <f>Sheet1!AF594</f>
        <v>13640</v>
      </c>
      <c r="M600" s="1075"/>
      <c r="N600" s="1075"/>
      <c r="O600" s="1075"/>
      <c r="P600" s="1075">
        <f>Sheet1!AK594</f>
        <v>1020</v>
      </c>
      <c r="Q600" s="1075"/>
      <c r="R600" s="1075">
        <f>Sheet1!AD594</f>
        <v>7250</v>
      </c>
      <c r="S600" s="1081">
        <f>Sheet1!AG594</f>
        <v>0.53152492668621698</v>
      </c>
      <c r="T600" s="1075" t="str">
        <f>Sheet1!AH594</f>
        <v>D</v>
      </c>
      <c r="U600" s="1075">
        <f>Sheet1!AI594</f>
        <v>460</v>
      </c>
      <c r="V600" s="1075"/>
      <c r="W600" s="1075"/>
      <c r="X600" s="1075">
        <f>Sheet1!AJ594</f>
        <v>620</v>
      </c>
      <c r="Y600" s="1075"/>
      <c r="Z600" s="1075"/>
      <c r="AA600" s="1075"/>
      <c r="AB600" s="1075"/>
      <c r="AC600" s="1075"/>
      <c r="AD600" s="1075"/>
      <c r="AE600" s="1075"/>
      <c r="AF600" s="1075"/>
      <c r="AG600" s="1075"/>
      <c r="AH600" s="1075"/>
      <c r="AI600" s="1075"/>
      <c r="AJ600" s="1075"/>
      <c r="AK600" s="1075" t="str">
        <f>IF(Sheet1!AE597="C",Sheet1!AK597,"-")</f>
        <v>-</v>
      </c>
      <c r="AL600" s="1075" t="str">
        <f>IF(Sheet1!AE597="D",Sheet1!AK597,"-")</f>
        <v>-</v>
      </c>
      <c r="AM600" s="1075">
        <f>IF(Sheet1!AE594="E",Sheet1!AK594,"-")</f>
        <v>1020</v>
      </c>
    </row>
    <row r="601" spans="2:39" x14ac:dyDescent="0.25">
      <c r="B601" s="1082" t="str">
        <f>Sheet1!F595</f>
        <v>Future Road-1974-</v>
      </c>
      <c r="C601" s="1075" t="str">
        <f>Sheet1!C595</f>
        <v>Westside Parkway (new)</v>
      </c>
      <c r="D601" s="1075" t="str">
        <f>_xlfn.TEXTBEFORE(Sheet1!E595, " to ")</f>
        <v>DeBary Plantation Blvd.</v>
      </c>
      <c r="E601" s="1075" t="str">
        <f>_xlfn.TEXTAFTER(Sheet1!E595, " to ")</f>
        <v>Rhode Island Ave.</v>
      </c>
      <c r="F601" s="1075">
        <f>Sheet1!AM595</f>
        <v>2</v>
      </c>
      <c r="G601" s="1075"/>
      <c r="H601" s="1083" t="str">
        <f>Sheet1!AE595</f>
        <v>-</v>
      </c>
      <c r="I601" s="1075"/>
      <c r="J601" s="1075" t="str">
        <f>Sheet1!Q595</f>
        <v>UA_NSSRC2_2W_2L_U_0L</v>
      </c>
      <c r="K601" s="1075"/>
      <c r="L601" s="1075">
        <f>Sheet1!AF595</f>
        <v>5260</v>
      </c>
      <c r="M601" s="1075"/>
      <c r="N601" s="1075"/>
      <c r="O601" s="1075"/>
      <c r="P601" s="1075">
        <f>Sheet1!AK595</f>
        <v>1020</v>
      </c>
      <c r="Q601" s="1075"/>
      <c r="R601" s="1075" t="str">
        <f>Sheet1!AD595</f>
        <v>-</v>
      </c>
      <c r="S601" s="1081" t="str">
        <f>Sheet1!AG595</f>
        <v>-</v>
      </c>
      <c r="T601" s="1075" t="str">
        <f>Sheet1!AH595</f>
        <v>-</v>
      </c>
      <c r="U601" s="1075" t="str">
        <f>Sheet1!AI595</f>
        <v>-</v>
      </c>
      <c r="V601" s="1075"/>
      <c r="W601" s="1075"/>
      <c r="X601" s="1075" t="str">
        <f>Sheet1!AJ595</f>
        <v>-</v>
      </c>
      <c r="Y601" s="1075"/>
      <c r="Z601" s="1075"/>
      <c r="AA601" s="1075"/>
      <c r="AB601" s="1075"/>
      <c r="AC601" s="1075"/>
      <c r="AD601" s="1075"/>
      <c r="AE601" s="1075"/>
      <c r="AF601" s="1075"/>
      <c r="AG601" s="1075"/>
      <c r="AH601" s="1075"/>
      <c r="AI601" s="1075"/>
      <c r="AJ601" s="1075"/>
      <c r="AK601" s="1075" t="str">
        <f>IF(Sheet1!AE598="C",Sheet1!AK598,"-")</f>
        <v>-</v>
      </c>
      <c r="AL601" s="1075" t="str">
        <f>IF(Sheet1!AE598="D",Sheet1!AK598,"-")</f>
        <v>-</v>
      </c>
      <c r="AM601" s="1075" t="str">
        <f>IF(Sheet1!AE595="E",Sheet1!AK595,"-")</f>
        <v>-</v>
      </c>
    </row>
    <row r="602" spans="2:39" x14ac:dyDescent="0.25">
      <c r="B602" s="1082" t="str">
        <f>Sheet1!F596</f>
        <v>Future Road-1975-</v>
      </c>
      <c r="C602" s="1075" t="str">
        <f>Sheet1!C596</f>
        <v>Westside Parkway (Lawton Ave.)</v>
      </c>
      <c r="D602" s="1075" t="str">
        <f>_xlfn.TEXTBEFORE(Sheet1!E596, " to ")</f>
        <v>Rhode Island Ave.</v>
      </c>
      <c r="E602" s="1075" t="str">
        <f>_xlfn.TEXTAFTER(Sheet1!E596, " to ")</f>
        <v>French Ave.</v>
      </c>
      <c r="F602" s="1075">
        <f>Sheet1!AM596</f>
        <v>0</v>
      </c>
      <c r="G602" s="1075"/>
      <c r="H602" s="1083" t="str">
        <f>Sheet1!AE596</f>
        <v>-</v>
      </c>
      <c r="I602" s="1075"/>
      <c r="J602" s="1075" t="str">
        <f>Sheet1!Q596</f>
        <v>UA_NSSRC2_2W_2L_U_0L</v>
      </c>
      <c r="K602" s="1075"/>
      <c r="L602" s="1075">
        <f>Sheet1!AF596</f>
        <v>5260</v>
      </c>
      <c r="M602" s="1075"/>
      <c r="N602" s="1075"/>
      <c r="O602" s="1075"/>
      <c r="P602" s="1075">
        <f>Sheet1!AK596</f>
        <v>1020</v>
      </c>
      <c r="Q602" s="1075"/>
      <c r="R602" s="1075" t="str">
        <f>Sheet1!AD596</f>
        <v>-</v>
      </c>
      <c r="S602" s="1081" t="str">
        <f>Sheet1!AG596</f>
        <v>-</v>
      </c>
      <c r="T602" s="1075" t="str">
        <f>Sheet1!AH596</f>
        <v>-</v>
      </c>
      <c r="U602" s="1075" t="str">
        <f>Sheet1!AI596</f>
        <v>-</v>
      </c>
      <c r="V602" s="1075"/>
      <c r="W602" s="1075"/>
      <c r="X602" s="1075" t="str">
        <f>Sheet1!AJ596</f>
        <v>-</v>
      </c>
      <c r="Y602" s="1075"/>
      <c r="Z602" s="1075"/>
      <c r="AA602" s="1075"/>
      <c r="AB602" s="1075"/>
      <c r="AC602" s="1075"/>
      <c r="AD602" s="1075"/>
      <c r="AE602" s="1075"/>
      <c r="AF602" s="1075"/>
      <c r="AG602" s="1075"/>
      <c r="AH602" s="1075"/>
      <c r="AI602" s="1075"/>
      <c r="AJ602" s="1075"/>
      <c r="AK602" s="1075" t="str">
        <f>IF(Sheet1!AE599="C",Sheet1!AK599,"-")</f>
        <v>-</v>
      </c>
      <c r="AL602" s="1075" t="str">
        <f>IF(Sheet1!AE599="D",Sheet1!AK599,"-")</f>
        <v>-</v>
      </c>
      <c r="AM602" s="1075" t="str">
        <f>IF(Sheet1!AE596="E",Sheet1!AK596,"-")</f>
        <v>-</v>
      </c>
    </row>
    <row r="603" spans="2:39" x14ac:dyDescent="0.25">
      <c r="B603" s="1082">
        <f>Sheet1!F597</f>
        <v>1976</v>
      </c>
      <c r="C603" s="1075" t="str">
        <f>Sheet1!C597</f>
        <v>Westside Parkway (Hamilton Ave.)</v>
      </c>
      <c r="D603" s="1075" t="str">
        <f>_xlfn.TEXTBEFORE(Sheet1!E597, " to ")</f>
        <v>French Ave.</v>
      </c>
      <c r="E603" s="1075" t="str">
        <f>_xlfn.TEXTAFTER(Sheet1!E597, " to ")</f>
        <v>Hamilton Ave. (north end)</v>
      </c>
      <c r="F603" s="1075">
        <f>Sheet1!AM597</f>
        <v>2</v>
      </c>
      <c r="G603" s="1075"/>
      <c r="H603" s="1083" t="str">
        <f>Sheet1!AE597</f>
        <v>E</v>
      </c>
      <c r="I603" s="1075"/>
      <c r="J603" s="1075" t="str">
        <f>Sheet1!Q597</f>
        <v>UA_NSSRC2_2W_2L_U_0L</v>
      </c>
      <c r="K603" s="1075"/>
      <c r="L603" s="1075">
        <f>Sheet1!AF597</f>
        <v>13640</v>
      </c>
      <c r="M603" s="1075"/>
      <c r="N603" s="1075"/>
      <c r="O603" s="1075"/>
      <c r="P603" s="1075">
        <f>Sheet1!AK597</f>
        <v>1020</v>
      </c>
      <c r="Q603" s="1075"/>
      <c r="R603" s="1075">
        <f>Sheet1!AD597</f>
        <v>2810</v>
      </c>
      <c r="S603" s="1081">
        <f>Sheet1!AG597</f>
        <v>0.2060117302052786</v>
      </c>
      <c r="T603" s="1075" t="str">
        <f>Sheet1!AH597</f>
        <v>C</v>
      </c>
      <c r="U603" s="1075">
        <f>Sheet1!AI597</f>
        <v>170</v>
      </c>
      <c r="V603" s="1075"/>
      <c r="W603" s="1075"/>
      <c r="X603" s="1075">
        <f>Sheet1!AJ597</f>
        <v>240</v>
      </c>
      <c r="Y603" s="1075"/>
      <c r="Z603" s="1075"/>
      <c r="AA603" s="1075"/>
      <c r="AB603" s="1075"/>
      <c r="AC603" s="1075"/>
      <c r="AD603" s="1075"/>
      <c r="AE603" s="1075"/>
      <c r="AF603" s="1075"/>
      <c r="AG603" s="1075"/>
      <c r="AH603" s="1075"/>
      <c r="AI603" s="1075"/>
      <c r="AJ603" s="1075"/>
      <c r="AK603" s="1075" t="str">
        <f>IF(Sheet1!AE600="C",Sheet1!AK600,"-")</f>
        <v>-</v>
      </c>
      <c r="AL603" s="1075" t="str">
        <f>IF(Sheet1!AE600="D",Sheet1!AK600,"-")</f>
        <v>-</v>
      </c>
      <c r="AM603" s="1075">
        <f>IF(Sheet1!AE597="E",Sheet1!AK597,"-")</f>
        <v>1020</v>
      </c>
    </row>
    <row r="604" spans="2:39" x14ac:dyDescent="0.25">
      <c r="B604" s="1082" t="str">
        <f>Sheet1!F598</f>
        <v>Future Road-1977-</v>
      </c>
      <c r="C604" s="1075" t="str">
        <f>Sheet1!C598</f>
        <v>Westside Parkway (new)</v>
      </c>
      <c r="D604" s="1075" t="str">
        <f>_xlfn.TEXTBEFORE(Sheet1!E598, " to ")</f>
        <v>Hamilton/Fatio.</v>
      </c>
      <c r="E604" s="1075" t="str">
        <f>_xlfn.TEXTAFTER(Sheet1!E598, " to ")</f>
        <v xml:space="preserve">McGregor Rd </v>
      </c>
      <c r="F604" s="1075">
        <f>Sheet1!AM598</f>
        <v>0</v>
      </c>
      <c r="G604" s="1075"/>
      <c r="H604" s="1083" t="str">
        <f>Sheet1!AE598</f>
        <v>-</v>
      </c>
      <c r="I604" s="1075"/>
      <c r="J604" s="1075" t="str">
        <f>Sheet1!Q598</f>
        <v>UA_NSSRC1_2W_2L_U_0L</v>
      </c>
      <c r="K604" s="1075"/>
      <c r="L604" s="1075">
        <f>Sheet1!AF598</f>
        <v>12100</v>
      </c>
      <c r="M604" s="1075"/>
      <c r="N604" s="1075"/>
      <c r="O604" s="1075"/>
      <c r="P604" s="1075">
        <f>Sheet1!AK598</f>
        <v>1230</v>
      </c>
      <c r="Q604" s="1075"/>
      <c r="R604" s="1075" t="str">
        <f>Sheet1!AD598</f>
        <v>-</v>
      </c>
      <c r="S604" s="1081" t="str">
        <f>Sheet1!AG598</f>
        <v>-</v>
      </c>
      <c r="T604" s="1075" t="str">
        <f>Sheet1!AH598</f>
        <v>-</v>
      </c>
      <c r="U604" s="1075" t="str">
        <f>Sheet1!AI598</f>
        <v>-</v>
      </c>
      <c r="V604" s="1075"/>
      <c r="W604" s="1075"/>
      <c r="X604" s="1075" t="str">
        <f>Sheet1!AJ598</f>
        <v>-</v>
      </c>
      <c r="Y604" s="1075"/>
      <c r="Z604" s="1075"/>
      <c r="AA604" s="1075"/>
      <c r="AB604" s="1075"/>
      <c r="AC604" s="1075"/>
      <c r="AD604" s="1075"/>
      <c r="AE604" s="1075"/>
      <c r="AF604" s="1075"/>
      <c r="AG604" s="1075"/>
      <c r="AH604" s="1075"/>
      <c r="AI604" s="1075"/>
      <c r="AJ604" s="1075"/>
      <c r="AK604" s="1075" t="str">
        <f>IF(Sheet1!AE601="C",Sheet1!AK601,"-")</f>
        <v>-</v>
      </c>
      <c r="AL604" s="1075" t="str">
        <f>IF(Sheet1!AE601="D",Sheet1!AK601,"-")</f>
        <v>-</v>
      </c>
      <c r="AM604" s="1075" t="str">
        <f>IF(Sheet1!AE598="E",Sheet1!AK598,"-")</f>
        <v>-</v>
      </c>
    </row>
    <row r="605" spans="2:39" x14ac:dyDescent="0.25">
      <c r="B605" s="1082">
        <f>Sheet1!F599</f>
        <v>1978</v>
      </c>
      <c r="C605" s="1075" t="str">
        <f>Sheet1!C599</f>
        <v>Westside Parkway (Fatio Rd.)</v>
      </c>
      <c r="D605" s="1075" t="str">
        <f>_xlfn.TEXTBEFORE(Sheet1!E599, " to ")</f>
        <v>McGregor Rd.</v>
      </c>
      <c r="E605" s="1075" t="str">
        <f>_xlfn.TEXTAFTER(Sheet1!E599, " to ")</f>
        <v>Beresford Ave.</v>
      </c>
      <c r="F605" s="1075">
        <f>Sheet1!AM599</f>
        <v>2</v>
      </c>
      <c r="G605" s="1075"/>
      <c r="H605" s="1083" t="str">
        <f>Sheet1!AE599</f>
        <v>E</v>
      </c>
      <c r="I605" s="1075"/>
      <c r="J605" s="1075" t="str">
        <f>Sheet1!Q599</f>
        <v>UA_NSSRC1_2W_2L_U_0L</v>
      </c>
      <c r="K605" s="1075"/>
      <c r="L605" s="1075">
        <f>Sheet1!AF599</f>
        <v>13640</v>
      </c>
      <c r="M605" s="1075"/>
      <c r="N605" s="1075"/>
      <c r="O605" s="1075"/>
      <c r="P605" s="1075">
        <f>Sheet1!AK599</f>
        <v>1230</v>
      </c>
      <c r="Q605" s="1075"/>
      <c r="R605" s="1075">
        <f>Sheet1!AD599</f>
        <v>2790</v>
      </c>
      <c r="S605" s="1081">
        <f>Sheet1!AG599</f>
        <v>0.20454545454545456</v>
      </c>
      <c r="T605" s="1075" t="str">
        <f>Sheet1!AH599</f>
        <v>C</v>
      </c>
      <c r="U605" s="1075">
        <f>Sheet1!AI599</f>
        <v>200</v>
      </c>
      <c r="V605" s="1075"/>
      <c r="W605" s="1075"/>
      <c r="X605" s="1075">
        <f>Sheet1!AJ599</f>
        <v>290</v>
      </c>
      <c r="Y605" s="1075"/>
      <c r="Z605" s="1075"/>
      <c r="AA605" s="1075"/>
      <c r="AB605" s="1075"/>
      <c r="AC605" s="1075"/>
      <c r="AD605" s="1075"/>
      <c r="AE605" s="1075"/>
      <c r="AF605" s="1075"/>
      <c r="AG605" s="1075"/>
      <c r="AH605" s="1075"/>
      <c r="AI605" s="1075"/>
      <c r="AJ605" s="1075"/>
      <c r="AK605" s="1075" t="str">
        <f>IF(Sheet1!AE602="C",Sheet1!AK602,"-")</f>
        <v>-</v>
      </c>
      <c r="AL605" s="1075" t="str">
        <f>IF(Sheet1!AE602="D",Sheet1!AK602,"-")</f>
        <v>-</v>
      </c>
      <c r="AM605" s="1075">
        <f>IF(Sheet1!AE599="E",Sheet1!AK599,"-")</f>
        <v>1230</v>
      </c>
    </row>
    <row r="606" spans="2:39" x14ac:dyDescent="0.25">
      <c r="B606" s="1082">
        <f>Sheet1!F600</f>
        <v>1979</v>
      </c>
      <c r="C606" s="1075" t="str">
        <f>Sheet1!C600</f>
        <v>Westside Parkway (new/Fatio)</v>
      </c>
      <c r="D606" s="1075" t="str">
        <f>_xlfn.TEXTBEFORE(Sheet1!E600, " to ")</f>
        <v>Beresford Ave.</v>
      </c>
      <c r="E606" s="1075" t="str">
        <f>_xlfn.TEXTAFTER(Sheet1!E600, " to ")</f>
        <v>ex. termini south of SR 44</v>
      </c>
      <c r="F606" s="1075">
        <f>Sheet1!AM600</f>
        <v>2</v>
      </c>
      <c r="G606" s="1075"/>
      <c r="H606" s="1083" t="str">
        <f>Sheet1!AE600</f>
        <v>E</v>
      </c>
      <c r="I606" s="1075"/>
      <c r="J606" s="1075" t="str">
        <f>Sheet1!Q600</f>
        <v>UA_NSSRC1_2W_2L_U_0L</v>
      </c>
      <c r="K606" s="1075"/>
      <c r="L606" s="1075">
        <f>Sheet1!AF600</f>
        <v>13640</v>
      </c>
      <c r="M606" s="1075"/>
      <c r="N606" s="1075"/>
      <c r="O606" s="1075"/>
      <c r="P606" s="1075">
        <f>Sheet1!AK600</f>
        <v>1230</v>
      </c>
      <c r="Q606" s="1075"/>
      <c r="R606" s="1075">
        <f>Sheet1!AD600</f>
        <v>100</v>
      </c>
      <c r="S606" s="1081">
        <f>Sheet1!AG600</f>
        <v>7.331378299120235E-3</v>
      </c>
      <c r="T606" s="1075" t="str">
        <f>Sheet1!AH600</f>
        <v>C</v>
      </c>
      <c r="U606" s="1075">
        <f>Sheet1!AI600</f>
        <v>10</v>
      </c>
      <c r="V606" s="1075"/>
      <c r="W606" s="1075"/>
      <c r="X606" s="1075">
        <f>Sheet1!AJ600</f>
        <v>10</v>
      </c>
      <c r="Y606" s="1075"/>
      <c r="Z606" s="1075"/>
      <c r="AA606" s="1075"/>
      <c r="AB606" s="1075"/>
      <c r="AC606" s="1075"/>
      <c r="AD606" s="1075"/>
      <c r="AE606" s="1075"/>
      <c r="AF606" s="1075"/>
      <c r="AG606" s="1075"/>
      <c r="AH606" s="1075"/>
      <c r="AI606" s="1075"/>
      <c r="AJ606" s="1075"/>
      <c r="AK606" s="1075" t="str">
        <f>IF(Sheet1!AE603="C",Sheet1!AK603,"-")</f>
        <v>-</v>
      </c>
      <c r="AL606" s="1075" t="str">
        <f>IF(Sheet1!AE603="D",Sheet1!AK603,"-")</f>
        <v>-</v>
      </c>
      <c r="AM606" s="1075">
        <f>IF(Sheet1!AE600="E",Sheet1!AK600,"-")</f>
        <v>1230</v>
      </c>
    </row>
    <row r="607" spans="2:39" x14ac:dyDescent="0.25">
      <c r="B607" s="1082">
        <f>Sheet1!F601</f>
        <v>1900</v>
      </c>
      <c r="C607" s="1075" t="str">
        <f>Sheet1!C601</f>
        <v>W. Volusia Bltwy (Veteran's Memorial Pkwy)</v>
      </c>
      <c r="D607" s="1075" t="str">
        <f>_xlfn.TEXTBEFORE(Sheet1!E601, " to ")</f>
        <v>Saxon Blvd.</v>
      </c>
      <c r="E607" s="1075" t="str">
        <f>_xlfn.TEXTAFTER(Sheet1!E601, " to ")</f>
        <v>Harley Strickland Blvd.</v>
      </c>
      <c r="F607" s="1075">
        <f>Sheet1!AM601</f>
        <v>4</v>
      </c>
      <c r="G607" s="1075"/>
      <c r="H607" s="1083" t="str">
        <f>Sheet1!AE601</f>
        <v>E</v>
      </c>
      <c r="I607" s="1075"/>
      <c r="J607" s="1075" t="str">
        <f>Sheet1!Q601</f>
        <v>UA_NSSRC1_2W_4L_D_WL</v>
      </c>
      <c r="K607" s="1075"/>
      <c r="L607" s="1075">
        <f>Sheet1!AF601</f>
        <v>37970</v>
      </c>
      <c r="M607" s="1075"/>
      <c r="N607" s="1075"/>
      <c r="O607" s="1075"/>
      <c r="P607" s="1075">
        <f>Sheet1!AK601</f>
        <v>3410</v>
      </c>
      <c r="Q607" s="1075"/>
      <c r="R607" s="1075">
        <f>Sheet1!AD601</f>
        <v>15790</v>
      </c>
      <c r="S607" s="1081">
        <f>Sheet1!AG601</f>
        <v>0.4158546220700553</v>
      </c>
      <c r="T607" s="1075" t="str">
        <f>Sheet1!AH601</f>
        <v>C</v>
      </c>
      <c r="U607" s="1075">
        <f>Sheet1!AI601</f>
        <v>880</v>
      </c>
      <c r="V607" s="1075"/>
      <c r="W607" s="1075"/>
      <c r="X607" s="1075">
        <f>Sheet1!AJ601</f>
        <v>1280</v>
      </c>
      <c r="Y607" s="1075"/>
      <c r="Z607" s="1075"/>
      <c r="AA607" s="1075"/>
      <c r="AB607" s="1075"/>
      <c r="AC607" s="1075"/>
      <c r="AD607" s="1075"/>
      <c r="AE607" s="1075"/>
      <c r="AF607" s="1075"/>
      <c r="AG607" s="1075"/>
      <c r="AH607" s="1075"/>
      <c r="AI607" s="1075"/>
      <c r="AJ607" s="1075"/>
      <c r="AK607" s="1075" t="str">
        <f>IF(Sheet1!AE604="C",Sheet1!AK604,"-")</f>
        <v>-</v>
      </c>
      <c r="AL607" s="1075" t="str">
        <f>IF(Sheet1!AE604="D",Sheet1!AK604,"-")</f>
        <v>-</v>
      </c>
      <c r="AM607" s="1075">
        <f>IF(Sheet1!AE601="E",Sheet1!AK601,"-")</f>
        <v>3410</v>
      </c>
    </row>
    <row r="608" spans="2:39" x14ac:dyDescent="0.25">
      <c r="B608" s="1082">
        <f>Sheet1!F602</f>
        <v>1901</v>
      </c>
      <c r="C608" s="1075" t="str">
        <f>Sheet1!C602</f>
        <v>W. Volusia Bltwy (Veteran's Memorial Pkwy)</v>
      </c>
      <c r="D608" s="1075" t="str">
        <f>_xlfn.TEXTBEFORE(Sheet1!E602, " to ")</f>
        <v>Harley Strickland Blvd.</v>
      </c>
      <c r="E608" s="1075" t="str">
        <f>_xlfn.TEXTAFTER(Sheet1!E602, " to ")</f>
        <v>Rhode Island Ave.</v>
      </c>
      <c r="F608" s="1075">
        <f>Sheet1!AM602</f>
        <v>2</v>
      </c>
      <c r="G608" s="1075"/>
      <c r="H608" s="1083" t="str">
        <f>Sheet1!AE602</f>
        <v>E</v>
      </c>
      <c r="I608" s="1075"/>
      <c r="J608" s="1075" t="str">
        <f>Sheet1!Q602</f>
        <v>UA_NSSRC1_2W_2L_U_WL</v>
      </c>
      <c r="K608" s="1075"/>
      <c r="L608" s="1075">
        <f>Sheet1!AF602</f>
        <v>17050</v>
      </c>
      <c r="M608" s="1075"/>
      <c r="N608" s="1075"/>
      <c r="O608" s="1075"/>
      <c r="P608" s="1075">
        <f>Sheet1!AK602</f>
        <v>1540</v>
      </c>
      <c r="Q608" s="1075"/>
      <c r="R608" s="1075">
        <f>Sheet1!AD602</f>
        <v>19440</v>
      </c>
      <c r="S608" s="1081">
        <f>Sheet1!AG602</f>
        <v>1.1401759530791788</v>
      </c>
      <c r="T608" s="1075" t="str">
        <f>Sheet1!AH602</f>
        <v>F</v>
      </c>
      <c r="U608" s="1075">
        <f>Sheet1!AI602</f>
        <v>980</v>
      </c>
      <c r="V608" s="1075"/>
      <c r="W608" s="1075"/>
      <c r="X608" s="1075">
        <f>Sheet1!AJ602</f>
        <v>1490</v>
      </c>
      <c r="Y608" s="1075"/>
      <c r="Z608" s="1075"/>
      <c r="AA608" s="1075"/>
      <c r="AB608" s="1075"/>
      <c r="AC608" s="1075"/>
      <c r="AD608" s="1075"/>
      <c r="AE608" s="1075"/>
      <c r="AF608" s="1075"/>
      <c r="AG608" s="1075"/>
      <c r="AH608" s="1075"/>
      <c r="AI608" s="1075"/>
      <c r="AJ608" s="1075"/>
      <c r="AK608" s="1075" t="str">
        <f>IF(Sheet1!AE605="C",Sheet1!AK605,"-")</f>
        <v>-</v>
      </c>
      <c r="AL608" s="1075" t="str">
        <f>IF(Sheet1!AE605="D",Sheet1!AK605,"-")</f>
        <v>-</v>
      </c>
      <c r="AM608" s="1075">
        <f>IF(Sheet1!AE602="E",Sheet1!AK602,"-")</f>
        <v>1540</v>
      </c>
    </row>
    <row r="609" spans="2:39" x14ac:dyDescent="0.25">
      <c r="B609" s="1082">
        <f>Sheet1!F603</f>
        <v>1902</v>
      </c>
      <c r="C609" s="1075" t="str">
        <f>Sheet1!C603</f>
        <v>W. Volusia Bltwy (Veteran's Memorial Pkwy)</v>
      </c>
      <c r="D609" s="1075" t="str">
        <f>_xlfn.TEXTBEFORE(Sheet1!E603, " to ")</f>
        <v>Rhode Island Ave.</v>
      </c>
      <c r="E609" s="1075" t="str">
        <f>_xlfn.TEXTAFTER(Sheet1!E603, " to ")</f>
        <v>Graves Ave.</v>
      </c>
      <c r="F609" s="1075">
        <f>Sheet1!AM603</f>
        <v>2</v>
      </c>
      <c r="G609" s="1075"/>
      <c r="H609" s="1083" t="str">
        <f>Sheet1!AE603</f>
        <v>E</v>
      </c>
      <c r="I609" s="1075"/>
      <c r="J609" s="1075" t="str">
        <f>Sheet1!Q603</f>
        <v>UA_NSSRC1_2W_2L_D_WL</v>
      </c>
      <c r="K609" s="1075"/>
      <c r="L609" s="1075">
        <f>Sheet1!AF603</f>
        <v>17900</v>
      </c>
      <c r="M609" s="1075"/>
      <c r="N609" s="1075"/>
      <c r="O609" s="1075"/>
      <c r="P609" s="1075">
        <f>Sheet1!AK603</f>
        <v>1620</v>
      </c>
      <c r="Q609" s="1075"/>
      <c r="R609" s="1075">
        <f>Sheet1!AD603</f>
        <v>14870</v>
      </c>
      <c r="S609" s="1081">
        <f>Sheet1!AG603</f>
        <v>0.83072625698324021</v>
      </c>
      <c r="T609" s="1075" t="str">
        <f>Sheet1!AH603</f>
        <v>C</v>
      </c>
      <c r="U609" s="1075">
        <f>Sheet1!AI603</f>
        <v>820</v>
      </c>
      <c r="V609" s="1075"/>
      <c r="W609" s="1075"/>
      <c r="X609" s="1075">
        <f>Sheet1!AJ603</f>
        <v>1200</v>
      </c>
      <c r="Y609" s="1075"/>
      <c r="Z609" s="1075"/>
      <c r="AA609" s="1075"/>
      <c r="AB609" s="1075"/>
      <c r="AC609" s="1075"/>
      <c r="AD609" s="1075"/>
      <c r="AE609" s="1075"/>
      <c r="AF609" s="1075"/>
      <c r="AG609" s="1075"/>
      <c r="AH609" s="1075"/>
      <c r="AI609" s="1075"/>
      <c r="AJ609" s="1075"/>
      <c r="AK609" s="1075" t="str">
        <f>IF(Sheet1!AE606="C",Sheet1!AK606,"-")</f>
        <v>-</v>
      </c>
      <c r="AL609" s="1075" t="str">
        <f>IF(Sheet1!AE606="D",Sheet1!AK606,"-")</f>
        <v>-</v>
      </c>
      <c r="AM609" s="1075">
        <f>IF(Sheet1!AE603="E",Sheet1!AK603,"-")</f>
        <v>1620</v>
      </c>
    </row>
    <row r="610" spans="2:39" x14ac:dyDescent="0.25">
      <c r="B610" s="1082">
        <f>Sheet1!F604</f>
        <v>1030</v>
      </c>
      <c r="C610" s="1075" t="str">
        <f>Sheet1!C604</f>
        <v>W. Volusia Bltwy (Veteran's Memorial Pkwy Extension/Kentucky)</v>
      </c>
      <c r="D610" s="1075" t="str">
        <f>_xlfn.TEXTBEFORE(Sheet1!E604, " to ")</f>
        <v>Graves Ave</v>
      </c>
      <c r="E610" s="1075" t="str">
        <f>_xlfn.TEXTAFTER(Sheet1!E604, " to ")</f>
        <v>SR 472</v>
      </c>
      <c r="F610" s="1075">
        <f>Sheet1!AM604</f>
        <v>2</v>
      </c>
      <c r="G610" s="1075"/>
      <c r="H610" s="1083" t="str">
        <f>Sheet1!AE604</f>
        <v>E</v>
      </c>
      <c r="I610" s="1075"/>
      <c r="J610" s="1075" t="str">
        <f>Sheet1!Q604</f>
        <v>UA_NSSRC1_2W_2L_U_WL</v>
      </c>
      <c r="K610" s="1075"/>
      <c r="L610" s="1075">
        <f>Sheet1!AF604</f>
        <v>17050</v>
      </c>
      <c r="M610" s="1075"/>
      <c r="N610" s="1075"/>
      <c r="O610" s="1075"/>
      <c r="P610" s="1075">
        <f>Sheet1!AK604</f>
        <v>1540</v>
      </c>
      <c r="Q610" s="1075"/>
      <c r="R610" s="1075">
        <f>Sheet1!AD604</f>
        <v>10830</v>
      </c>
      <c r="S610" s="1081">
        <f>Sheet1!AG604</f>
        <v>0.63519061583577707</v>
      </c>
      <c r="T610" s="1075" t="str">
        <f>Sheet1!AH604</f>
        <v>C</v>
      </c>
      <c r="U610" s="1075">
        <f>Sheet1!AI604</f>
        <v>690</v>
      </c>
      <c r="V610" s="1075"/>
      <c r="W610" s="1075"/>
      <c r="X610" s="1075">
        <f>Sheet1!AJ604</f>
        <v>910</v>
      </c>
      <c r="Y610" s="1075"/>
      <c r="Z610" s="1075"/>
      <c r="AA610" s="1075"/>
      <c r="AB610" s="1075"/>
      <c r="AC610" s="1075"/>
      <c r="AD610" s="1075"/>
      <c r="AE610" s="1075"/>
      <c r="AF610" s="1075"/>
      <c r="AG610" s="1075"/>
      <c r="AH610" s="1075"/>
      <c r="AI610" s="1075"/>
      <c r="AJ610" s="1075"/>
      <c r="AK610" s="1075" t="str">
        <f>IF(Sheet1!AE607="C",Sheet1!AK607,"-")</f>
        <v>-</v>
      </c>
      <c r="AL610" s="1075" t="str">
        <f>IF(Sheet1!AE607="D",Sheet1!AK607,"-")</f>
        <v>-</v>
      </c>
      <c r="AM610" s="1075">
        <f>IF(Sheet1!AE604="E",Sheet1!AK604,"-")</f>
        <v>1540</v>
      </c>
    </row>
    <row r="611" spans="2:39" x14ac:dyDescent="0.25">
      <c r="B611" s="1082">
        <f>Sheet1!F605</f>
        <v>1940</v>
      </c>
      <c r="C611" s="1075" t="str">
        <f>Sheet1!C605</f>
        <v>W. Volusia Bltwy (Dr MLK Jr)</v>
      </c>
      <c r="D611" s="1075" t="str">
        <f>_xlfn.TEXTBEFORE(Sheet1!E605, " to ")</f>
        <v>SR 472</v>
      </c>
      <c r="E611" s="1075" t="str">
        <f>_xlfn.TEXTAFTER(Sheet1!E605, " to ")</f>
        <v>Cassadaga Rd.</v>
      </c>
      <c r="F611" s="1075">
        <f>Sheet1!AM605</f>
        <v>2</v>
      </c>
      <c r="G611" s="1075"/>
      <c r="H611" s="1083" t="str">
        <f>Sheet1!AE605</f>
        <v>E</v>
      </c>
      <c r="I611" s="1075"/>
      <c r="J611" s="1075" t="str">
        <f>Sheet1!Q605</f>
        <v>UA_NSSRC1_2W_2L_U_WL</v>
      </c>
      <c r="K611" s="1075"/>
      <c r="L611" s="1075">
        <f>Sheet1!AF605</f>
        <v>17050</v>
      </c>
      <c r="M611" s="1075"/>
      <c r="N611" s="1075"/>
      <c r="O611" s="1075"/>
      <c r="P611" s="1075">
        <f>Sheet1!AK605</f>
        <v>1540</v>
      </c>
      <c r="Q611" s="1075"/>
      <c r="R611" s="1075">
        <f>Sheet1!AD605</f>
        <v>12780</v>
      </c>
      <c r="S611" s="1081">
        <f>Sheet1!AG605</f>
        <v>0.74956011730205274</v>
      </c>
      <c r="T611" s="1075" t="str">
        <f>Sheet1!AH605</f>
        <v>C</v>
      </c>
      <c r="U611" s="1075">
        <f>Sheet1!AI605</f>
        <v>910</v>
      </c>
      <c r="V611" s="1075"/>
      <c r="W611" s="1075"/>
      <c r="X611" s="1075">
        <f>Sheet1!AJ605</f>
        <v>1050</v>
      </c>
      <c r="Y611" s="1075"/>
      <c r="Z611" s="1075"/>
      <c r="AA611" s="1075"/>
      <c r="AB611" s="1075"/>
      <c r="AC611" s="1075"/>
      <c r="AD611" s="1075"/>
      <c r="AE611" s="1075"/>
      <c r="AF611" s="1075"/>
      <c r="AG611" s="1075"/>
      <c r="AH611" s="1075"/>
      <c r="AI611" s="1075"/>
      <c r="AJ611" s="1075"/>
      <c r="AK611" s="1075" t="str">
        <f>IF(Sheet1!AE608="C",Sheet1!AK608,"-")</f>
        <v>-</v>
      </c>
      <c r="AL611" s="1075" t="str">
        <f>IF(Sheet1!AE608="D",Sheet1!AK608,"-")</f>
        <v>-</v>
      </c>
      <c r="AM611" s="1075">
        <f>IF(Sheet1!AE605="E",Sheet1!AK605,"-")</f>
        <v>1540</v>
      </c>
    </row>
    <row r="612" spans="2:39" x14ac:dyDescent="0.25">
      <c r="B612" s="1082">
        <f>Sheet1!F606</f>
        <v>1942</v>
      </c>
      <c r="C612" s="1075" t="str">
        <f>Sheet1!C606</f>
        <v>W. Volusia Bltwy (Dr MLK Jr)</v>
      </c>
      <c r="D612" s="1075" t="str">
        <f>_xlfn.TEXTBEFORE(Sheet1!E606, " to ")</f>
        <v>Cassadaga Rd.</v>
      </c>
      <c r="E612" s="1075" t="str">
        <f>_xlfn.TEXTAFTER(Sheet1!E606, " to ")</f>
        <v>Orange Camp Rd.</v>
      </c>
      <c r="F612" s="1075">
        <f>Sheet1!AM606</f>
        <v>2</v>
      </c>
      <c r="G612" s="1075"/>
      <c r="H612" s="1083" t="str">
        <f>Sheet1!AE606</f>
        <v>E</v>
      </c>
      <c r="I612" s="1075"/>
      <c r="J612" s="1075" t="str">
        <f>Sheet1!Q606</f>
        <v>UA_NSSRC1_2W_2L_U_WL</v>
      </c>
      <c r="K612" s="1075"/>
      <c r="L612" s="1075">
        <f>Sheet1!AF606</f>
        <v>17050</v>
      </c>
      <c r="M612" s="1075"/>
      <c r="N612" s="1075"/>
      <c r="O612" s="1075"/>
      <c r="P612" s="1075">
        <f>Sheet1!AK606</f>
        <v>1540</v>
      </c>
      <c r="Q612" s="1075"/>
      <c r="R612" s="1075">
        <f>Sheet1!AD606</f>
        <v>11570</v>
      </c>
      <c r="S612" s="1081">
        <f>Sheet1!AG606</f>
        <v>0.67859237536656891</v>
      </c>
      <c r="T612" s="1075" t="str">
        <f>Sheet1!AH606</f>
        <v>C</v>
      </c>
      <c r="U612" s="1075">
        <f>Sheet1!AI606</f>
        <v>740</v>
      </c>
      <c r="V612" s="1075"/>
      <c r="W612" s="1075"/>
      <c r="X612" s="1075">
        <f>Sheet1!AJ606</f>
        <v>1000</v>
      </c>
      <c r="Y612" s="1075"/>
      <c r="Z612" s="1075"/>
      <c r="AA612" s="1075"/>
      <c r="AB612" s="1075"/>
      <c r="AC612" s="1075"/>
      <c r="AD612" s="1075"/>
      <c r="AE612" s="1075"/>
      <c r="AF612" s="1075"/>
      <c r="AG612" s="1075"/>
      <c r="AH612" s="1075"/>
      <c r="AI612" s="1075"/>
      <c r="AJ612" s="1075"/>
      <c r="AK612" s="1075" t="str">
        <f>IF(Sheet1!AE609="C",Sheet1!AK609,"-")</f>
        <v>-</v>
      </c>
      <c r="AL612" s="1075" t="str">
        <f>IF(Sheet1!AE609="D",Sheet1!AK609,"-")</f>
        <v>-</v>
      </c>
      <c r="AM612" s="1075">
        <f>IF(Sheet1!AE606="E",Sheet1!AK606,"-")</f>
        <v>1540</v>
      </c>
    </row>
    <row r="613" spans="2:39" x14ac:dyDescent="0.25">
      <c r="B613" s="1082">
        <f>Sheet1!F607</f>
        <v>1943</v>
      </c>
      <c r="C613" s="1075" t="str">
        <f>Sheet1!C607</f>
        <v>W. Volusia Bltwy (Dr MLK Jr)</v>
      </c>
      <c r="D613" s="1075" t="str">
        <f>_xlfn.TEXTBEFORE(Sheet1!E607, " to ")</f>
        <v>Orange Camp Rd.</v>
      </c>
      <c r="E613" s="1075" t="str">
        <f>_xlfn.TEXTAFTER(Sheet1!E607, " to ")</f>
        <v>Taylor Rd.</v>
      </c>
      <c r="F613" s="1075">
        <f>Sheet1!AM607</f>
        <v>2</v>
      </c>
      <c r="G613" s="1075"/>
      <c r="H613" s="1083" t="str">
        <f>Sheet1!AE607</f>
        <v>E</v>
      </c>
      <c r="I613" s="1075"/>
      <c r="J613" s="1075" t="str">
        <f>Sheet1!Q607</f>
        <v>UA_NSSRC1_2W_2L_U_WL</v>
      </c>
      <c r="K613" s="1075"/>
      <c r="L613" s="1075">
        <f>Sheet1!AF607</f>
        <v>17050</v>
      </c>
      <c r="M613" s="1075"/>
      <c r="N613" s="1075"/>
      <c r="O613" s="1075"/>
      <c r="P613" s="1075">
        <f>Sheet1!AK607</f>
        <v>1540</v>
      </c>
      <c r="Q613" s="1075"/>
      <c r="R613" s="1075">
        <f>Sheet1!AD607</f>
        <v>12840</v>
      </c>
      <c r="S613" s="1081">
        <f>Sheet1!AG607</f>
        <v>0.75307917888563047</v>
      </c>
      <c r="T613" s="1075" t="str">
        <f>Sheet1!AH607</f>
        <v>C</v>
      </c>
      <c r="U613" s="1075">
        <f>Sheet1!AI607</f>
        <v>1010</v>
      </c>
      <c r="V613" s="1075"/>
      <c r="W613" s="1075"/>
      <c r="X613" s="1075">
        <f>Sheet1!AJ607</f>
        <v>1050</v>
      </c>
      <c r="Y613" s="1075"/>
      <c r="Z613" s="1075"/>
      <c r="AA613" s="1075"/>
      <c r="AB613" s="1075"/>
      <c r="AC613" s="1075"/>
      <c r="AD613" s="1075"/>
      <c r="AE613" s="1075"/>
      <c r="AF613" s="1075"/>
      <c r="AG613" s="1075"/>
      <c r="AH613" s="1075"/>
      <c r="AI613" s="1075"/>
      <c r="AJ613" s="1075"/>
      <c r="AK613" s="1075" t="str">
        <f>IF(Sheet1!AE610="C",Sheet1!AK610,"-")</f>
        <v>-</v>
      </c>
      <c r="AL613" s="1075" t="str">
        <f>IF(Sheet1!AE610="D",Sheet1!AK610,"-")</f>
        <v>-</v>
      </c>
      <c r="AM613" s="1075">
        <f>IF(Sheet1!AE607="E",Sheet1!AK607,"-")</f>
        <v>1540</v>
      </c>
    </row>
    <row r="614" spans="2:39" x14ac:dyDescent="0.25">
      <c r="B614" s="1082">
        <f>Sheet1!F608</f>
        <v>1945</v>
      </c>
      <c r="C614" s="1075" t="str">
        <f>Sheet1!C608</f>
        <v>W. Volusia Bltwy (Dr MLK Jr)</v>
      </c>
      <c r="D614" s="1075" t="str">
        <f>_xlfn.TEXTBEFORE(Sheet1!E608, " to ")</f>
        <v>Taylor Rd.</v>
      </c>
      <c r="E614" s="1075" t="str">
        <f>_xlfn.TEXTAFTER(Sheet1!E608, " to ")</f>
        <v>Beresford Ave. Ext.</v>
      </c>
      <c r="F614" s="1075">
        <f>Sheet1!AM608</f>
        <v>2</v>
      </c>
      <c r="G614" s="1075"/>
      <c r="H614" s="1083" t="str">
        <f>Sheet1!AE608</f>
        <v>E</v>
      </c>
      <c r="I614" s="1075"/>
      <c r="J614" s="1075" t="str">
        <f>Sheet1!Q608</f>
        <v>UA_NSSRC1_2W_2L_U_WL</v>
      </c>
      <c r="K614" s="1075"/>
      <c r="L614" s="1075">
        <f>Sheet1!AF608</f>
        <v>17050</v>
      </c>
      <c r="M614" s="1075"/>
      <c r="N614" s="1075"/>
      <c r="O614" s="1075"/>
      <c r="P614" s="1075">
        <f>Sheet1!AK608</f>
        <v>1540</v>
      </c>
      <c r="Q614" s="1075"/>
      <c r="R614" s="1075">
        <f>Sheet1!AD608</f>
        <v>9600</v>
      </c>
      <c r="S614" s="1081">
        <f>Sheet1!AG608</f>
        <v>0.56304985337243407</v>
      </c>
      <c r="T614" s="1075" t="str">
        <f>Sheet1!AH608</f>
        <v>C</v>
      </c>
      <c r="U614" s="1075">
        <f>Sheet1!AI608</f>
        <v>660</v>
      </c>
      <c r="V614" s="1075"/>
      <c r="W614" s="1075"/>
      <c r="X614" s="1075">
        <f>Sheet1!AJ608</f>
        <v>770</v>
      </c>
      <c r="Y614" s="1075"/>
      <c r="Z614" s="1075"/>
      <c r="AA614" s="1075"/>
      <c r="AB614" s="1075"/>
      <c r="AC614" s="1075"/>
      <c r="AD614" s="1075"/>
      <c r="AE614" s="1075"/>
      <c r="AF614" s="1075"/>
      <c r="AG614" s="1075"/>
      <c r="AH614" s="1075"/>
      <c r="AI614" s="1075"/>
      <c r="AJ614" s="1075"/>
      <c r="AK614" s="1075" t="str">
        <f>IF(Sheet1!AE611="C",Sheet1!AK611,"-")</f>
        <v>-</v>
      </c>
      <c r="AL614" s="1075" t="str">
        <f>IF(Sheet1!AE611="D",Sheet1!AK611,"-")</f>
        <v>-</v>
      </c>
      <c r="AM614" s="1075">
        <f>IF(Sheet1!AE608="E",Sheet1!AK608,"-")</f>
        <v>1540</v>
      </c>
    </row>
    <row r="615" spans="2:39" x14ac:dyDescent="0.25">
      <c r="B615" s="1082">
        <f>Sheet1!F609</f>
        <v>1948</v>
      </c>
      <c r="C615" s="1075" t="str">
        <f>Sheet1!C609</f>
        <v>W. Volusia Bltwy (Kepler Rd)</v>
      </c>
      <c r="D615" s="1075" t="str">
        <f>_xlfn.TEXTBEFORE(Sheet1!E609, " to ")</f>
        <v>Beresford Ave. Ext.</v>
      </c>
      <c r="E615" s="1075" t="str">
        <f>_xlfn.TEXTAFTER(Sheet1!E609, " to ")</f>
        <v>SR 44</v>
      </c>
      <c r="F615" s="1075">
        <f>Sheet1!AM609</f>
        <v>2</v>
      </c>
      <c r="G615" s="1075"/>
      <c r="H615" s="1083" t="str">
        <f>Sheet1!AE609</f>
        <v>E</v>
      </c>
      <c r="I615" s="1075"/>
      <c r="J615" s="1075" t="str">
        <f>Sheet1!Q609</f>
        <v>UA_NSSRC1_2W_2L_U_WL</v>
      </c>
      <c r="K615" s="1075"/>
      <c r="L615" s="1075">
        <f>Sheet1!AF609</f>
        <v>17050</v>
      </c>
      <c r="M615" s="1075"/>
      <c r="N615" s="1075"/>
      <c r="O615" s="1075"/>
      <c r="P615" s="1075">
        <f>Sheet1!AK609</f>
        <v>1540</v>
      </c>
      <c r="Q615" s="1075"/>
      <c r="R615" s="1075">
        <f>Sheet1!AD609</f>
        <v>10080</v>
      </c>
      <c r="S615" s="1081">
        <f>Sheet1!AG609</f>
        <v>0.5912023460410557</v>
      </c>
      <c r="T615" s="1075" t="str">
        <f>Sheet1!AH609</f>
        <v>C</v>
      </c>
      <c r="U615" s="1075">
        <f>Sheet1!AI609</f>
        <v>690</v>
      </c>
      <c r="V615" s="1075"/>
      <c r="W615" s="1075"/>
      <c r="X615" s="1075">
        <f>Sheet1!AJ609</f>
        <v>810</v>
      </c>
      <c r="Y615" s="1075"/>
      <c r="Z615" s="1075"/>
      <c r="AA615" s="1075"/>
      <c r="AB615" s="1075"/>
      <c r="AC615" s="1075"/>
      <c r="AD615" s="1075"/>
      <c r="AE615" s="1075"/>
      <c r="AF615" s="1075"/>
      <c r="AG615" s="1075"/>
      <c r="AH615" s="1075"/>
      <c r="AI615" s="1075"/>
      <c r="AJ615" s="1075"/>
      <c r="AK615" s="1075" t="str">
        <f>IF(Sheet1!AE612="C",Sheet1!AK612,"-")</f>
        <v>-</v>
      </c>
      <c r="AL615" s="1075" t="str">
        <f>IF(Sheet1!AE612="D",Sheet1!AK612,"-")</f>
        <v>-</v>
      </c>
      <c r="AM615" s="1075">
        <f>IF(Sheet1!AE609="E",Sheet1!AK609,"-")</f>
        <v>1540</v>
      </c>
    </row>
    <row r="616" spans="2:39" x14ac:dyDescent="0.25">
      <c r="B616" s="1082">
        <f>Sheet1!F610</f>
        <v>1949</v>
      </c>
      <c r="C616" s="1075" t="str">
        <f>Sheet1!C610</f>
        <v>W. Volusia Bltwy (Kepler Rd)</v>
      </c>
      <c r="D616" s="1075" t="str">
        <f>_xlfn.TEXTBEFORE(Sheet1!E610, " to ")</f>
        <v>SR 44</v>
      </c>
      <c r="E616" s="1075" t="str">
        <f>_xlfn.TEXTAFTER(Sheet1!E610, " to ")</f>
        <v>Minnesota Ave.</v>
      </c>
      <c r="F616" s="1075">
        <f>Sheet1!AM610</f>
        <v>2</v>
      </c>
      <c r="G616" s="1075"/>
      <c r="H616" s="1083" t="str">
        <f>Sheet1!AE610</f>
        <v>E</v>
      </c>
      <c r="I616" s="1075"/>
      <c r="J616" s="1075" t="str">
        <f>Sheet1!Q610</f>
        <v>UA_NSSRC1_2W_2L_U_WL</v>
      </c>
      <c r="K616" s="1075"/>
      <c r="L616" s="1075">
        <f>Sheet1!AF610</f>
        <v>17050</v>
      </c>
      <c r="M616" s="1075"/>
      <c r="N616" s="1075"/>
      <c r="O616" s="1075"/>
      <c r="P616" s="1075">
        <f>Sheet1!AK610</f>
        <v>1540</v>
      </c>
      <c r="Q616" s="1075"/>
      <c r="R616" s="1075">
        <f>Sheet1!AD610</f>
        <v>15640</v>
      </c>
      <c r="S616" s="1081">
        <f>Sheet1!AG610</f>
        <v>0.9173020527859238</v>
      </c>
      <c r="T616" s="1075" t="str">
        <f>Sheet1!AH610</f>
        <v>D</v>
      </c>
      <c r="U616" s="1075">
        <f>Sheet1!AI610</f>
        <v>1270</v>
      </c>
      <c r="V616" s="1075"/>
      <c r="W616" s="1075"/>
      <c r="X616" s="1075">
        <f>Sheet1!AJ610</f>
        <v>1250</v>
      </c>
      <c r="Y616" s="1075"/>
      <c r="Z616" s="1075"/>
      <c r="AA616" s="1075"/>
      <c r="AB616" s="1075"/>
      <c r="AC616" s="1075"/>
      <c r="AD616" s="1075"/>
      <c r="AE616" s="1075"/>
      <c r="AF616" s="1075"/>
      <c r="AG616" s="1075"/>
      <c r="AH616" s="1075"/>
      <c r="AI616" s="1075"/>
      <c r="AJ616" s="1075"/>
      <c r="AK616" s="1075" t="str">
        <f>IF(Sheet1!AE613="C",Sheet1!AK613,"-")</f>
        <v>-</v>
      </c>
      <c r="AL616" s="1075" t="str">
        <f>IF(Sheet1!AE613="D",Sheet1!AK613,"-")</f>
        <v>-</v>
      </c>
      <c r="AM616" s="1075">
        <f>IF(Sheet1!AE610="E",Sheet1!AK610,"-")</f>
        <v>1540</v>
      </c>
    </row>
    <row r="617" spans="2:39" x14ac:dyDescent="0.25">
      <c r="B617" s="1082">
        <f>Sheet1!F611</f>
        <v>1951</v>
      </c>
      <c r="C617" s="1075" t="str">
        <f>Sheet1!C611</f>
        <v>W. Volusia Bltwy (Kepler Rd)</v>
      </c>
      <c r="D617" s="1075" t="str">
        <f>_xlfn.TEXTBEFORE(Sheet1!E611, " to ")</f>
        <v>Minnesota Ave.</v>
      </c>
      <c r="E617" s="1075" t="str">
        <f>_xlfn.TEXTAFTER(Sheet1!E611, " to ")</f>
        <v>US 92/ISB</v>
      </c>
      <c r="F617" s="1075">
        <f>Sheet1!AM611</f>
        <v>2</v>
      </c>
      <c r="G617" s="1075"/>
      <c r="H617" s="1083" t="str">
        <f>Sheet1!AE611</f>
        <v>E</v>
      </c>
      <c r="I617" s="1075"/>
      <c r="J617" s="1075" t="str">
        <f>Sheet1!Q611</f>
        <v>UA_NSSRC1_2W_2L_U_WL</v>
      </c>
      <c r="K617" s="1075"/>
      <c r="L617" s="1075">
        <f>Sheet1!AF611</f>
        <v>17050</v>
      </c>
      <c r="M617" s="1075"/>
      <c r="N617" s="1075"/>
      <c r="O617" s="1075"/>
      <c r="P617" s="1075">
        <f>Sheet1!AK611</f>
        <v>1540</v>
      </c>
      <c r="Q617" s="1075"/>
      <c r="R617" s="1075">
        <f>Sheet1!AD611</f>
        <v>13780</v>
      </c>
      <c r="S617" s="1081">
        <f>Sheet1!AG611</f>
        <v>0.80821114369501468</v>
      </c>
      <c r="T617" s="1075" t="str">
        <f>Sheet1!AH611</f>
        <v>C</v>
      </c>
      <c r="U617" s="1075">
        <f>Sheet1!AI611</f>
        <v>1040</v>
      </c>
      <c r="V617" s="1075"/>
      <c r="W617" s="1075"/>
      <c r="X617" s="1075">
        <f>Sheet1!AJ611</f>
        <v>1160</v>
      </c>
      <c r="Y617" s="1075"/>
      <c r="Z617" s="1075"/>
      <c r="AA617" s="1075"/>
      <c r="AB617" s="1075"/>
      <c r="AC617" s="1075"/>
      <c r="AD617" s="1075"/>
      <c r="AE617" s="1075"/>
      <c r="AF617" s="1075"/>
      <c r="AG617" s="1075"/>
      <c r="AH617" s="1075"/>
      <c r="AI617" s="1075"/>
      <c r="AJ617" s="1075"/>
      <c r="AK617" s="1075" t="str">
        <f>IF(Sheet1!AE614="C",Sheet1!AK614,"-")</f>
        <v>-</v>
      </c>
      <c r="AL617" s="1075" t="str">
        <f>IF(Sheet1!AE614="D",Sheet1!AK614,"-")</f>
        <v>-</v>
      </c>
      <c r="AM617" s="1075">
        <f>IF(Sheet1!AE611="E",Sheet1!AK611,"-")</f>
        <v>1540</v>
      </c>
    </row>
    <row r="618" spans="2:39" x14ac:dyDescent="0.25">
      <c r="B618" s="1082">
        <f>Sheet1!F612</f>
        <v>1040</v>
      </c>
      <c r="C618" s="1075" t="str">
        <f>Sheet1!C612</f>
        <v>Kepler Rd</v>
      </c>
      <c r="D618" s="1075" t="str">
        <f>_xlfn.TEXTBEFORE(Sheet1!E612, " to ")</f>
        <v>US 92/ISB</v>
      </c>
      <c r="E618" s="1075" t="str">
        <f>_xlfn.TEXTAFTER(Sheet1!E612, " to ")</f>
        <v>Northern terminus</v>
      </c>
      <c r="F618" s="1075">
        <f>Sheet1!AM612</f>
        <v>2</v>
      </c>
      <c r="G618" s="1075"/>
      <c r="H618" s="1083" t="str">
        <f>Sheet1!AE612</f>
        <v>E</v>
      </c>
      <c r="I618" s="1075"/>
      <c r="J618" s="1075" t="str">
        <f>Sheet1!Q612</f>
        <v>UA_NSSRC1_2W_2L_U_0L</v>
      </c>
      <c r="K618" s="1075"/>
      <c r="L618" s="1075">
        <f>Sheet1!AF612</f>
        <v>13640</v>
      </c>
      <c r="M618" s="1075"/>
      <c r="N618" s="1075"/>
      <c r="O618" s="1075"/>
      <c r="P618" s="1075">
        <f>Sheet1!AK612</f>
        <v>1230</v>
      </c>
      <c r="Q618" s="1075"/>
      <c r="R618" s="1075">
        <f>Sheet1!AD612</f>
        <v>1550</v>
      </c>
      <c r="S618" s="1081">
        <f>Sheet1!AG612</f>
        <v>0.11363636363636363</v>
      </c>
      <c r="T618" s="1075" t="str">
        <f>Sheet1!AH612</f>
        <v>C</v>
      </c>
      <c r="U618" s="1075">
        <f>Sheet1!AI612</f>
        <v>120</v>
      </c>
      <c r="V618" s="1075"/>
      <c r="W618" s="1075"/>
      <c r="X618" s="1075">
        <f>Sheet1!AJ612</f>
        <v>140</v>
      </c>
      <c r="Y618" s="1075"/>
      <c r="Z618" s="1075"/>
      <c r="AA618" s="1075"/>
      <c r="AB618" s="1075"/>
      <c r="AC618" s="1075"/>
      <c r="AD618" s="1075"/>
      <c r="AE618" s="1075"/>
      <c r="AF618" s="1075"/>
      <c r="AG618" s="1075"/>
      <c r="AH618" s="1075"/>
      <c r="AI618" s="1075"/>
      <c r="AJ618" s="1075"/>
      <c r="AK618" s="1075" t="str">
        <f>IF(Sheet1!AE615="C",Sheet1!AK615,"-")</f>
        <v>-</v>
      </c>
      <c r="AL618" s="1075" t="str">
        <f>IF(Sheet1!AE615="D",Sheet1!AK615,"-")</f>
        <v>-</v>
      </c>
      <c r="AM618" s="1075">
        <f>IF(Sheet1!AE612="E",Sheet1!AK612,"-")</f>
        <v>1230</v>
      </c>
    </row>
    <row r="619" spans="2:39" x14ac:dyDescent="0.25">
      <c r="B619" s="1082">
        <f>Sheet1!F613</f>
        <v>1980</v>
      </c>
      <c r="C619" s="1075" t="str">
        <f>Sheet1!C613</f>
        <v>Williams Rd.</v>
      </c>
      <c r="D619" s="1075" t="str">
        <f>_xlfn.TEXTBEFORE(Sheet1!E613, " to ")</f>
        <v>Pioneer Tr.</v>
      </c>
      <c r="E619" s="1075" t="str">
        <f>_xlfn.TEXTAFTER(Sheet1!E613, " to ")</f>
        <v>Mooneyham Dr.</v>
      </c>
      <c r="F619" s="1075">
        <f>Sheet1!AM613</f>
        <v>2</v>
      </c>
      <c r="G619" s="1075"/>
      <c r="H619" s="1083" t="str">
        <f>Sheet1!AE613</f>
        <v>E</v>
      </c>
      <c r="I619" s="1075"/>
      <c r="J619" s="1075" t="str">
        <f>Sheet1!Q613</f>
        <v>UA_NSSRC1_2W_2L_U_0L</v>
      </c>
      <c r="K619" s="1075"/>
      <c r="L619" s="1075">
        <f>Sheet1!AF613</f>
        <v>13640</v>
      </c>
      <c r="M619" s="1075"/>
      <c r="N619" s="1075"/>
      <c r="O619" s="1075"/>
      <c r="P619" s="1075">
        <f>Sheet1!AK613</f>
        <v>1230</v>
      </c>
      <c r="Q619" s="1075"/>
      <c r="R619" s="1075">
        <f>Sheet1!AD613</f>
        <v>2410</v>
      </c>
      <c r="S619" s="1081">
        <f>Sheet1!AG613</f>
        <v>0.17668621700879766</v>
      </c>
      <c r="T619" s="1075" t="str">
        <f>Sheet1!AH613</f>
        <v>C</v>
      </c>
      <c r="U619" s="1075">
        <f>Sheet1!AI613</f>
        <v>180</v>
      </c>
      <c r="V619" s="1075"/>
      <c r="W619" s="1075"/>
      <c r="X619" s="1075">
        <f>Sheet1!AJ613</f>
        <v>210</v>
      </c>
      <c r="Y619" s="1075"/>
      <c r="Z619" s="1075"/>
      <c r="AA619" s="1075"/>
      <c r="AB619" s="1075"/>
      <c r="AC619" s="1075"/>
      <c r="AD619" s="1075"/>
      <c r="AE619" s="1075"/>
      <c r="AF619" s="1075"/>
      <c r="AG619" s="1075"/>
      <c r="AH619" s="1075"/>
      <c r="AI619" s="1075"/>
      <c r="AJ619" s="1075"/>
      <c r="AK619" s="1075" t="str">
        <f>IF(Sheet1!AE616="C",Sheet1!AK616,"-")</f>
        <v>-</v>
      </c>
      <c r="AL619" s="1075" t="str">
        <f>IF(Sheet1!AE616="D",Sheet1!AK616,"-")</f>
        <v>-</v>
      </c>
      <c r="AM619" s="1075">
        <f>IF(Sheet1!AE613="E",Sheet1!AK613,"-")</f>
        <v>1230</v>
      </c>
    </row>
    <row r="620" spans="2:39" x14ac:dyDescent="0.25">
      <c r="B620" s="1082">
        <f>Sheet1!F614</f>
        <v>1981</v>
      </c>
      <c r="C620" s="1075" t="str">
        <f>Sheet1!C614</f>
        <v>Williams Rd.</v>
      </c>
      <c r="D620" s="1075" t="str">
        <f>_xlfn.TEXTBEFORE(Sheet1!E614, " to ")</f>
        <v>Mooneyham Dr.</v>
      </c>
      <c r="E620" s="1075" t="str">
        <f>_xlfn.TEXTAFTER(Sheet1!E614, " to ")</f>
        <v>Turnbull Bay Rd.</v>
      </c>
      <c r="F620" s="1075">
        <f>Sheet1!AM614</f>
        <v>2</v>
      </c>
      <c r="G620" s="1075"/>
      <c r="H620" s="1083" t="str">
        <f>Sheet1!AE614</f>
        <v>E</v>
      </c>
      <c r="I620" s="1075"/>
      <c r="J620" s="1075" t="str">
        <f>Sheet1!Q614</f>
        <v>UA_NSSRC2_2W_2L_U_0L</v>
      </c>
      <c r="K620" s="1075"/>
      <c r="L620" s="1075">
        <f>Sheet1!AF614</f>
        <v>13640</v>
      </c>
      <c r="M620" s="1075"/>
      <c r="N620" s="1075"/>
      <c r="O620" s="1075"/>
      <c r="P620" s="1075">
        <f>Sheet1!AK614</f>
        <v>1020</v>
      </c>
      <c r="Q620" s="1075"/>
      <c r="R620" s="1075">
        <f>Sheet1!AD614</f>
        <v>2160</v>
      </c>
      <c r="S620" s="1081">
        <f>Sheet1!AG614</f>
        <v>0.15835777126099707</v>
      </c>
      <c r="T620" s="1075" t="str">
        <f>Sheet1!AH614</f>
        <v>C</v>
      </c>
      <c r="U620" s="1075">
        <f>Sheet1!AI614</f>
        <v>160</v>
      </c>
      <c r="V620" s="1075"/>
      <c r="W620" s="1075"/>
      <c r="X620" s="1075">
        <f>Sheet1!AJ614</f>
        <v>190</v>
      </c>
      <c r="Y620" s="1075"/>
      <c r="Z620" s="1075"/>
      <c r="AA620" s="1075"/>
      <c r="AB620" s="1075"/>
      <c r="AC620" s="1075"/>
      <c r="AD620" s="1075"/>
      <c r="AE620" s="1075"/>
      <c r="AF620" s="1075"/>
      <c r="AG620" s="1075"/>
      <c r="AH620" s="1075"/>
      <c r="AI620" s="1075"/>
      <c r="AJ620" s="1075"/>
      <c r="AK620" s="1075" t="str">
        <f>IF(Sheet1!AE617="C",Sheet1!AK617,"-")</f>
        <v>-</v>
      </c>
      <c r="AL620" s="1075" t="str">
        <f>IF(Sheet1!AE617="D",Sheet1!AK617,"-")</f>
        <v>-</v>
      </c>
      <c r="AM620" s="1075">
        <f>IF(Sheet1!AE614="E",Sheet1!AK614,"-")</f>
        <v>1020</v>
      </c>
    </row>
    <row r="621" spans="2:39" x14ac:dyDescent="0.25">
      <c r="B621" s="1082" t="str">
        <f>Sheet1!F615</f>
        <v>1987- NEW</v>
      </c>
      <c r="C621" s="1075" t="str">
        <f>Sheet1!C615</f>
        <v>Williamson Blvd.</v>
      </c>
      <c r="D621" s="1075" t="str">
        <f>_xlfn.TEXTBEFORE(Sheet1!E615, " to ")</f>
        <v>Pioneer Trail</v>
      </c>
      <c r="E621" s="1075" t="str">
        <f>_xlfn.TEXTAFTER(Sheet1!E615, " to ")</f>
        <v>Oakwater Ln</v>
      </c>
      <c r="F621" s="1075">
        <f>Sheet1!AM615</f>
        <v>4</v>
      </c>
      <c r="G621" s="1075"/>
      <c r="H621" s="1083" t="str">
        <f>Sheet1!AE615</f>
        <v>E</v>
      </c>
      <c r="I621" s="1075"/>
      <c r="J621" s="1075" t="str">
        <f>Sheet1!Q615</f>
        <v>UA_NSSRC1_2W_4L_D_WL</v>
      </c>
      <c r="K621" s="1075"/>
      <c r="L621" s="1075">
        <f>Sheet1!AF615</f>
        <v>37970</v>
      </c>
      <c r="M621" s="1075"/>
      <c r="N621" s="1075"/>
      <c r="O621" s="1075"/>
      <c r="P621" s="1075">
        <f>Sheet1!AK615</f>
        <v>3410</v>
      </c>
      <c r="Q621" s="1075"/>
      <c r="R621" s="1075">
        <f>Sheet1!AD615</f>
        <v>3550</v>
      </c>
      <c r="S621" s="1081">
        <f>Sheet1!AG615</f>
        <v>9.3494864366605215E-2</v>
      </c>
      <c r="T621" s="1075" t="str">
        <f>Sheet1!AH615</f>
        <v>C</v>
      </c>
      <c r="U621" s="1075">
        <f>Sheet1!AI615</f>
        <v>220</v>
      </c>
      <c r="V621" s="1075"/>
      <c r="W621" s="1075"/>
      <c r="X621" s="1075">
        <f>Sheet1!AJ615</f>
        <v>300</v>
      </c>
      <c r="Y621" s="1075"/>
      <c r="Z621" s="1075"/>
      <c r="AA621" s="1075"/>
      <c r="AB621" s="1075"/>
      <c r="AC621" s="1075"/>
      <c r="AD621" s="1075"/>
      <c r="AE621" s="1075"/>
      <c r="AF621" s="1075"/>
      <c r="AG621" s="1075"/>
      <c r="AH621" s="1075"/>
      <c r="AI621" s="1075"/>
      <c r="AJ621" s="1075"/>
      <c r="AK621" s="1075" t="str">
        <f>IF(Sheet1!AE618="C",Sheet1!AK618,"-")</f>
        <v>-</v>
      </c>
      <c r="AL621" s="1075" t="str">
        <f>IF(Sheet1!AE618="D",Sheet1!AK618,"-")</f>
        <v>-</v>
      </c>
      <c r="AM621" s="1075">
        <f>IF(Sheet1!AE615="E",Sheet1!AK615,"-")</f>
        <v>3410</v>
      </c>
    </row>
    <row r="622" spans="2:39" x14ac:dyDescent="0.25">
      <c r="B622" s="1082">
        <f>Sheet1!F616</f>
        <v>1989</v>
      </c>
      <c r="C622" s="1075" t="str">
        <f>Sheet1!C616</f>
        <v>Williamson Blvd.</v>
      </c>
      <c r="D622" s="1075" t="str">
        <f>_xlfn.TEXTBEFORE(Sheet1!E616, " to ")</f>
        <v>Oakwater Ln</v>
      </c>
      <c r="E622" s="1075" t="str">
        <f>_xlfn.TEXTAFTER(Sheet1!E616, " to ")</f>
        <v>Airport Rd</v>
      </c>
      <c r="F622" s="1075">
        <f>Sheet1!AM616</f>
        <v>4</v>
      </c>
      <c r="G622" s="1075"/>
      <c r="H622" s="1083" t="str">
        <f>Sheet1!AE616</f>
        <v>E</v>
      </c>
      <c r="I622" s="1075"/>
      <c r="J622" s="1075" t="str">
        <f>Sheet1!Q616</f>
        <v>UA_NSSRC1_2W_4L_D_WL</v>
      </c>
      <c r="K622" s="1075"/>
      <c r="L622" s="1075">
        <f>Sheet1!AF616</f>
        <v>37970</v>
      </c>
      <c r="M622" s="1075"/>
      <c r="N622" s="1075"/>
      <c r="O622" s="1075"/>
      <c r="P622" s="1075">
        <f>Sheet1!AK616</f>
        <v>3410</v>
      </c>
      <c r="Q622" s="1075"/>
      <c r="R622" s="1075">
        <f>Sheet1!AD616</f>
        <v>6100</v>
      </c>
      <c r="S622" s="1081">
        <f>Sheet1!AG616</f>
        <v>0.16065314722149066</v>
      </c>
      <c r="T622" s="1075" t="str">
        <f>Sheet1!AH616</f>
        <v>C</v>
      </c>
      <c r="U622" s="1075">
        <f>Sheet1!AI616</f>
        <v>450</v>
      </c>
      <c r="V622" s="1075"/>
      <c r="W622" s="1075"/>
      <c r="X622" s="1075">
        <f>Sheet1!AJ616</f>
        <v>540</v>
      </c>
      <c r="Y622" s="1075"/>
      <c r="Z622" s="1075"/>
      <c r="AA622" s="1075"/>
      <c r="AB622" s="1075"/>
      <c r="AC622" s="1075"/>
      <c r="AD622" s="1075"/>
      <c r="AE622" s="1075"/>
      <c r="AF622" s="1075"/>
      <c r="AG622" s="1075"/>
      <c r="AH622" s="1075"/>
      <c r="AI622" s="1075"/>
      <c r="AJ622" s="1075"/>
      <c r="AK622" s="1075" t="str">
        <f>IF(Sheet1!AE619="C",Sheet1!AK619,"-")</f>
        <v>-</v>
      </c>
      <c r="AL622" s="1075" t="str">
        <f>IF(Sheet1!AE619="D",Sheet1!AK619,"-")</f>
        <v>-</v>
      </c>
      <c r="AM622" s="1075">
        <f>IF(Sheet1!AE616="E",Sheet1!AK616,"-")</f>
        <v>3410</v>
      </c>
    </row>
    <row r="623" spans="2:39" x14ac:dyDescent="0.25">
      <c r="B623" s="1082">
        <f>Sheet1!F617</f>
        <v>65</v>
      </c>
      <c r="C623" s="1075" t="str">
        <f>Sheet1!C617</f>
        <v>Williamson Blvd.</v>
      </c>
      <c r="D623" s="1075" t="str">
        <f>_xlfn.TEXTBEFORE(Sheet1!E617, " to ")</f>
        <v>Airport Rd</v>
      </c>
      <c r="E623" s="1075" t="str">
        <f>_xlfn.TEXTAFTER(Sheet1!E617, " to ")</f>
        <v>Spruce Creek Bridge</v>
      </c>
      <c r="F623" s="1075">
        <f>Sheet1!AM617</f>
        <v>4</v>
      </c>
      <c r="G623" s="1075"/>
      <c r="H623" s="1083" t="str">
        <f>Sheet1!AE617</f>
        <v>E</v>
      </c>
      <c r="I623" s="1075"/>
      <c r="J623" s="1075" t="str">
        <f>Sheet1!Q617</f>
        <v>UA_NSSRC1_2W_4L_D_WL</v>
      </c>
      <c r="K623" s="1075"/>
      <c r="L623" s="1075">
        <f>Sheet1!AF617</f>
        <v>37970</v>
      </c>
      <c r="M623" s="1075"/>
      <c r="N623" s="1075"/>
      <c r="O623" s="1075"/>
      <c r="P623" s="1075">
        <f>Sheet1!AK617</f>
        <v>3410</v>
      </c>
      <c r="Q623" s="1075"/>
      <c r="R623" s="1075">
        <f>Sheet1!AD617</f>
        <v>22550</v>
      </c>
      <c r="S623" s="1081">
        <f>Sheet1!AG617</f>
        <v>0.59388991308928096</v>
      </c>
      <c r="T623" s="1075" t="str">
        <f>Sheet1!AH617</f>
        <v>C</v>
      </c>
      <c r="U623" s="1075">
        <f>Sheet1!AI617</f>
        <v>1670</v>
      </c>
      <c r="V623" s="1075"/>
      <c r="W623" s="1075"/>
      <c r="X623" s="1075">
        <f>Sheet1!AJ617</f>
        <v>1940</v>
      </c>
      <c r="Y623" s="1075"/>
      <c r="Z623" s="1075"/>
      <c r="AA623" s="1075"/>
      <c r="AB623" s="1075"/>
      <c r="AC623" s="1075"/>
      <c r="AD623" s="1075"/>
      <c r="AE623" s="1075"/>
      <c r="AF623" s="1075"/>
      <c r="AG623" s="1075"/>
      <c r="AH623" s="1075"/>
      <c r="AI623" s="1075"/>
      <c r="AJ623" s="1075"/>
      <c r="AK623" s="1075" t="str">
        <f>IF(Sheet1!AE620="C",Sheet1!AK620,"-")</f>
        <v>-</v>
      </c>
      <c r="AL623" s="1075" t="str">
        <f>IF(Sheet1!AE620="D",Sheet1!AK620,"-")</f>
        <v>-</v>
      </c>
      <c r="AM623" s="1075">
        <f>IF(Sheet1!AE617="E",Sheet1!AK617,"-")</f>
        <v>3410</v>
      </c>
    </row>
    <row r="624" spans="2:39" x14ac:dyDescent="0.25">
      <c r="B624" s="1082">
        <f>Sheet1!F618</f>
        <v>66</v>
      </c>
      <c r="C624" s="1075" t="str">
        <f>Sheet1!C618</f>
        <v>Williamson Blvd.</v>
      </c>
      <c r="D624" s="1075" t="str">
        <f>_xlfn.TEXTBEFORE(Sheet1!E618, " to ")</f>
        <v>Spruce Creek Bridge.</v>
      </c>
      <c r="E624" s="1075" t="str">
        <f>_xlfn.TEXTAFTER(Sheet1!E618, " to ")</f>
        <v>Taylor Rd</v>
      </c>
      <c r="F624" s="1075">
        <f>Sheet1!AM618</f>
        <v>4</v>
      </c>
      <c r="G624" s="1075"/>
      <c r="H624" s="1083" t="str">
        <f>Sheet1!AE618</f>
        <v>E</v>
      </c>
      <c r="I624" s="1075"/>
      <c r="J624" s="1075" t="str">
        <f>Sheet1!Q618</f>
        <v>UA_NSSRC1_2W_4L_D_WL</v>
      </c>
      <c r="K624" s="1075"/>
      <c r="L624" s="1075">
        <f>Sheet1!AF618</f>
        <v>37970</v>
      </c>
      <c r="M624" s="1075"/>
      <c r="N624" s="1075"/>
      <c r="O624" s="1075"/>
      <c r="P624" s="1075">
        <f>Sheet1!AK618</f>
        <v>3410</v>
      </c>
      <c r="Q624" s="1075"/>
      <c r="R624" s="1075">
        <f>Sheet1!AD618</f>
        <v>25040</v>
      </c>
      <c r="S624" s="1081">
        <f>Sheet1!AG618</f>
        <v>0.65946800105346326</v>
      </c>
      <c r="T624" s="1075" t="str">
        <f>Sheet1!AH618</f>
        <v>C</v>
      </c>
      <c r="U624" s="1075">
        <f>Sheet1!AI618</f>
        <v>1660</v>
      </c>
      <c r="V624" s="1075"/>
      <c r="W624" s="1075"/>
      <c r="X624" s="1075">
        <f>Sheet1!AJ618</f>
        <v>2180</v>
      </c>
      <c r="Y624" s="1075"/>
      <c r="Z624" s="1075"/>
      <c r="AA624" s="1075"/>
      <c r="AB624" s="1075"/>
      <c r="AC624" s="1075"/>
      <c r="AD624" s="1075"/>
      <c r="AE624" s="1075"/>
      <c r="AF624" s="1075"/>
      <c r="AG624" s="1075"/>
      <c r="AH624" s="1075"/>
      <c r="AI624" s="1075"/>
      <c r="AJ624" s="1075"/>
      <c r="AK624" s="1075" t="str">
        <f>IF(Sheet1!AE621="C",Sheet1!AK621,"-")</f>
        <v>-</v>
      </c>
      <c r="AL624" s="1075" t="str">
        <f>IF(Sheet1!AE621="D",Sheet1!AK621,"-")</f>
        <v>-</v>
      </c>
      <c r="AM624" s="1075">
        <f>IF(Sheet1!AE618="E",Sheet1!AK618,"-")</f>
        <v>3410</v>
      </c>
    </row>
    <row r="625" spans="2:39" x14ac:dyDescent="0.25">
      <c r="B625" s="1082">
        <f>Sheet1!F619</f>
        <v>1990</v>
      </c>
      <c r="C625" s="1075" t="str">
        <f>Sheet1!C619</f>
        <v>Williamson Blvd.</v>
      </c>
      <c r="D625" s="1075" t="str">
        <f>_xlfn.TEXTBEFORE(Sheet1!E619, " to ")</f>
        <v>Taylor Rd.</v>
      </c>
      <c r="E625" s="1075" t="str">
        <f>_xlfn.TEXTAFTER(Sheet1!E619, " to ")</f>
        <v>Townwest Blvd</v>
      </c>
      <c r="F625" s="1075">
        <f>Sheet1!AM619</f>
        <v>4</v>
      </c>
      <c r="G625" s="1075"/>
      <c r="H625" s="1083" t="str">
        <f>Sheet1!AE619</f>
        <v>E</v>
      </c>
      <c r="I625" s="1075"/>
      <c r="J625" s="1075" t="str">
        <f>Sheet1!Q619</f>
        <v>UA_NSSRC1_2W_4L_D_WL</v>
      </c>
      <c r="K625" s="1075"/>
      <c r="L625" s="1075">
        <f>Sheet1!AF619</f>
        <v>37970</v>
      </c>
      <c r="M625" s="1075"/>
      <c r="N625" s="1075"/>
      <c r="O625" s="1075"/>
      <c r="P625" s="1075">
        <f>Sheet1!AK619</f>
        <v>3410</v>
      </c>
      <c r="Q625" s="1075"/>
      <c r="R625" s="1075">
        <f>Sheet1!AD619</f>
        <v>19440</v>
      </c>
      <c r="S625" s="1081">
        <f>Sheet1!AG619</f>
        <v>0.51198314458783245</v>
      </c>
      <c r="T625" s="1075" t="str">
        <f>Sheet1!AH619</f>
        <v>C</v>
      </c>
      <c r="U625" s="1075">
        <f>Sheet1!AI619</f>
        <v>1000</v>
      </c>
      <c r="V625" s="1075"/>
      <c r="W625" s="1075"/>
      <c r="X625" s="1075">
        <f>Sheet1!AJ619</f>
        <v>1630</v>
      </c>
      <c r="Y625" s="1075"/>
      <c r="Z625" s="1075"/>
      <c r="AA625" s="1075"/>
      <c r="AB625" s="1075"/>
      <c r="AC625" s="1075"/>
      <c r="AD625" s="1075"/>
      <c r="AE625" s="1075"/>
      <c r="AF625" s="1075"/>
      <c r="AG625" s="1075"/>
      <c r="AH625" s="1075"/>
      <c r="AI625" s="1075"/>
      <c r="AJ625" s="1075"/>
      <c r="AK625" s="1075" t="str">
        <f>IF(Sheet1!AE622="C",Sheet1!AK622,"-")</f>
        <v>-</v>
      </c>
      <c r="AL625" s="1075" t="str">
        <f>IF(Sheet1!AE622="D",Sheet1!AK622,"-")</f>
        <v>-</v>
      </c>
      <c r="AM625" s="1075">
        <f>IF(Sheet1!AE619="E",Sheet1!AK619,"-")</f>
        <v>3410</v>
      </c>
    </row>
    <row r="626" spans="2:39" x14ac:dyDescent="0.25">
      <c r="B626" s="1082">
        <f>Sheet1!F620</f>
        <v>1991</v>
      </c>
      <c r="C626" s="1075" t="str">
        <f>Sheet1!C620</f>
        <v>Williamson Blvd.</v>
      </c>
      <c r="D626" s="1075" t="str">
        <f>_xlfn.TEXTBEFORE(Sheet1!E620, " to ")</f>
        <v>Townwest Blvd</v>
      </c>
      <c r="E626" s="1075" t="str">
        <f>_xlfn.TEXTAFTER(Sheet1!E620, " to ")</f>
        <v xml:space="preserve">Willow Run Blvd. </v>
      </c>
      <c r="F626" s="1075">
        <f>Sheet1!AM620</f>
        <v>2</v>
      </c>
      <c r="G626" s="1075"/>
      <c r="H626" s="1083" t="str">
        <f>Sheet1!AE620</f>
        <v>E</v>
      </c>
      <c r="I626" s="1075"/>
      <c r="J626" s="1075" t="str">
        <f>Sheet1!Q620</f>
        <v>UA_NSSRC1_2W_2L_U_WL</v>
      </c>
      <c r="K626" s="1075"/>
      <c r="L626" s="1075">
        <f>Sheet1!AF620</f>
        <v>17050</v>
      </c>
      <c r="M626" s="1075"/>
      <c r="N626" s="1075"/>
      <c r="O626" s="1075"/>
      <c r="P626" s="1075">
        <f>Sheet1!AK620</f>
        <v>1540</v>
      </c>
      <c r="Q626" s="1075"/>
      <c r="R626" s="1075">
        <f>Sheet1!AD620</f>
        <v>17140</v>
      </c>
      <c r="S626" s="1081">
        <f>Sheet1!AG620</f>
        <v>1.0052785923753667</v>
      </c>
      <c r="T626" s="1075" t="str">
        <f>Sheet1!AH620</f>
        <v>F</v>
      </c>
      <c r="U626" s="1075">
        <f>Sheet1!AI620</f>
        <v>1070</v>
      </c>
      <c r="V626" s="1075"/>
      <c r="W626" s="1075"/>
      <c r="X626" s="1075">
        <f>Sheet1!AJ620</f>
        <v>1570</v>
      </c>
      <c r="Y626" s="1075"/>
      <c r="Z626" s="1075"/>
      <c r="AA626" s="1075"/>
      <c r="AB626" s="1075"/>
      <c r="AC626" s="1075"/>
      <c r="AD626" s="1075"/>
      <c r="AE626" s="1075"/>
      <c r="AF626" s="1075"/>
      <c r="AG626" s="1075"/>
      <c r="AH626" s="1075"/>
      <c r="AI626" s="1075"/>
      <c r="AJ626" s="1075"/>
      <c r="AK626" s="1075" t="str">
        <f>IF(Sheet1!AE623="C",Sheet1!AK623,"-")</f>
        <v>-</v>
      </c>
      <c r="AL626" s="1075" t="str">
        <f>IF(Sheet1!AE623="D",Sheet1!AK623,"-")</f>
        <v>-</v>
      </c>
      <c r="AM626" s="1075">
        <f>IF(Sheet1!AE620="E",Sheet1!AK620,"-")</f>
        <v>1540</v>
      </c>
    </row>
    <row r="627" spans="2:39" x14ac:dyDescent="0.25">
      <c r="B627" s="1082">
        <f>Sheet1!F621</f>
        <v>1992</v>
      </c>
      <c r="C627" s="1075" t="str">
        <f>Sheet1!C621</f>
        <v>Williamson Blvd.</v>
      </c>
      <c r="D627" s="1075" t="str">
        <f>_xlfn.TEXTBEFORE(Sheet1!E621, " to ")</f>
        <v>Madeline Ave.</v>
      </c>
      <c r="E627" s="1075" t="str">
        <f>_xlfn.TEXTAFTER(Sheet1!E621, " to ")</f>
        <v>Willow Run Blvd.</v>
      </c>
      <c r="F627" s="1075">
        <f>Sheet1!AM621</f>
        <v>2</v>
      </c>
      <c r="G627" s="1075"/>
      <c r="H627" s="1083" t="str">
        <f>Sheet1!AE621</f>
        <v>E</v>
      </c>
      <c r="I627" s="1075"/>
      <c r="J627" s="1075" t="str">
        <f>Sheet1!Q621</f>
        <v>UA_NSSRC1_2W_2L_U_WL</v>
      </c>
      <c r="K627" s="1075"/>
      <c r="L627" s="1075">
        <f>Sheet1!AF621</f>
        <v>17050</v>
      </c>
      <c r="M627" s="1075"/>
      <c r="N627" s="1075"/>
      <c r="O627" s="1075"/>
      <c r="P627" s="1075">
        <f>Sheet1!AK621</f>
        <v>1540</v>
      </c>
      <c r="Q627" s="1075"/>
      <c r="R627" s="1075">
        <f>Sheet1!AD621</f>
        <v>14840</v>
      </c>
      <c r="S627" s="1081">
        <f>Sheet1!AG621</f>
        <v>0.87038123167155423</v>
      </c>
      <c r="T627" s="1075" t="str">
        <f>Sheet1!AH621</f>
        <v>D</v>
      </c>
      <c r="U627" s="1075">
        <f>Sheet1!AI621</f>
        <v>870</v>
      </c>
      <c r="V627" s="1075"/>
      <c r="W627" s="1075"/>
      <c r="X627" s="1075">
        <f>Sheet1!AJ621</f>
        <v>1360</v>
      </c>
      <c r="Y627" s="1075"/>
      <c r="Z627" s="1075"/>
      <c r="AA627" s="1075"/>
      <c r="AB627" s="1075"/>
      <c r="AC627" s="1075"/>
      <c r="AD627" s="1075"/>
      <c r="AE627" s="1075"/>
      <c r="AF627" s="1075"/>
      <c r="AG627" s="1075"/>
      <c r="AH627" s="1075"/>
      <c r="AI627" s="1075"/>
      <c r="AJ627" s="1075"/>
      <c r="AK627" s="1075" t="str">
        <f>IF(Sheet1!AE624="C",Sheet1!AK624,"-")</f>
        <v>-</v>
      </c>
      <c r="AL627" s="1075" t="str">
        <f>IF(Sheet1!AE624="D",Sheet1!AK624,"-")</f>
        <v>-</v>
      </c>
      <c r="AM627" s="1075">
        <f>IF(Sheet1!AE621="E",Sheet1!AK621,"-")</f>
        <v>1540</v>
      </c>
    </row>
    <row r="628" spans="2:39" x14ac:dyDescent="0.25">
      <c r="B628" s="1082">
        <f>Sheet1!F622</f>
        <v>1993</v>
      </c>
      <c r="C628" s="1075" t="str">
        <f>Sheet1!C622</f>
        <v>Williamson Blvd.</v>
      </c>
      <c r="D628" s="1075" t="str">
        <f>_xlfn.TEXTBEFORE(Sheet1!E622, " to ")</f>
        <v>Madeline Ave.</v>
      </c>
      <c r="E628" s="1075" t="str">
        <f>_xlfn.TEXTAFTER(Sheet1!E622, " to ")</f>
        <v>SR400/Beville Rd.</v>
      </c>
      <c r="F628" s="1075">
        <f>Sheet1!AM622</f>
        <v>2</v>
      </c>
      <c r="G628" s="1075"/>
      <c r="H628" s="1083" t="str">
        <f>Sheet1!AE622</f>
        <v>E</v>
      </c>
      <c r="I628" s="1075"/>
      <c r="J628" s="1075" t="str">
        <f>Sheet1!Q622</f>
        <v>UA_NSSRC1_2W_2L_U_WL</v>
      </c>
      <c r="K628" s="1075"/>
      <c r="L628" s="1075">
        <f>Sheet1!AF622</f>
        <v>17050</v>
      </c>
      <c r="M628" s="1075"/>
      <c r="N628" s="1075"/>
      <c r="O628" s="1075"/>
      <c r="P628" s="1075">
        <f>Sheet1!AK622</f>
        <v>1540</v>
      </c>
      <c r="Q628" s="1075"/>
      <c r="R628" s="1075">
        <f>Sheet1!AD622</f>
        <v>14430</v>
      </c>
      <c r="S628" s="1081">
        <f>Sheet1!AG622</f>
        <v>0.84633431085043986</v>
      </c>
      <c r="T628" s="1075" t="str">
        <f>Sheet1!AH622</f>
        <v>D</v>
      </c>
      <c r="U628" s="1075">
        <f>Sheet1!AI622</f>
        <v>910</v>
      </c>
      <c r="V628" s="1075"/>
      <c r="W628" s="1075"/>
      <c r="X628" s="1075">
        <f>Sheet1!AJ622</f>
        <v>1280</v>
      </c>
      <c r="Y628" s="1075"/>
      <c r="Z628" s="1075"/>
      <c r="AA628" s="1075"/>
      <c r="AB628" s="1075"/>
      <c r="AC628" s="1075"/>
      <c r="AD628" s="1075"/>
      <c r="AE628" s="1075"/>
      <c r="AF628" s="1075"/>
      <c r="AG628" s="1075"/>
      <c r="AH628" s="1075"/>
      <c r="AI628" s="1075"/>
      <c r="AJ628" s="1075"/>
      <c r="AK628" s="1075" t="str">
        <f>IF(Sheet1!AE625="C",Sheet1!AK625,"-")</f>
        <v>-</v>
      </c>
      <c r="AL628" s="1075" t="str">
        <f>IF(Sheet1!AE625="D",Sheet1!AK625,"-")</f>
        <v>-</v>
      </c>
      <c r="AM628" s="1075">
        <f>IF(Sheet1!AE622="E",Sheet1!AK622,"-")</f>
        <v>1540</v>
      </c>
    </row>
    <row r="629" spans="2:39" x14ac:dyDescent="0.25">
      <c r="B629" s="1082">
        <f>Sheet1!F623</f>
        <v>1994</v>
      </c>
      <c r="C629" s="1075" t="str">
        <f>Sheet1!C623</f>
        <v>Williamson Blvd.</v>
      </c>
      <c r="D629" s="1075" t="str">
        <f>_xlfn.TEXTBEFORE(Sheet1!E623, " to ")</f>
        <v>SR400/Beville Rd.</v>
      </c>
      <c r="E629" s="1075" t="str">
        <f>_xlfn.TEXTAFTER(Sheet1!E623, " to ")</f>
        <v>Bellevue Ave. Ext.</v>
      </c>
      <c r="F629" s="1075">
        <f>Sheet1!AM623</f>
        <v>4</v>
      </c>
      <c r="G629" s="1075"/>
      <c r="H629" s="1083" t="str">
        <f>Sheet1!AE623</f>
        <v>E</v>
      </c>
      <c r="I629" s="1075"/>
      <c r="J629" s="1075" t="str">
        <f>Sheet1!Q623</f>
        <v>UA_NSSRC1_2W_4L_D_WL</v>
      </c>
      <c r="K629" s="1075"/>
      <c r="L629" s="1075">
        <f>Sheet1!AF623</f>
        <v>37970</v>
      </c>
      <c r="M629" s="1075"/>
      <c r="N629" s="1075"/>
      <c r="O629" s="1075"/>
      <c r="P629" s="1075">
        <f>Sheet1!AK623</f>
        <v>3410</v>
      </c>
      <c r="Q629" s="1075"/>
      <c r="R629" s="1075">
        <f>Sheet1!AD623</f>
        <v>15430</v>
      </c>
      <c r="S629" s="1081">
        <f>Sheet1!AG623</f>
        <v>0.40637345272583619</v>
      </c>
      <c r="T629" s="1075" t="str">
        <f>Sheet1!AH623</f>
        <v>C</v>
      </c>
      <c r="U629" s="1075">
        <f>Sheet1!AI623</f>
        <v>860</v>
      </c>
      <c r="V629" s="1075"/>
      <c r="W629" s="1075"/>
      <c r="X629" s="1075">
        <f>Sheet1!AJ623</f>
        <v>1340</v>
      </c>
      <c r="Y629" s="1075"/>
      <c r="Z629" s="1075"/>
      <c r="AA629" s="1075"/>
      <c r="AB629" s="1075"/>
      <c r="AC629" s="1075"/>
      <c r="AD629" s="1075"/>
      <c r="AE629" s="1075"/>
      <c r="AF629" s="1075"/>
      <c r="AG629" s="1075"/>
      <c r="AH629" s="1075"/>
      <c r="AI629" s="1075"/>
      <c r="AJ629" s="1075"/>
      <c r="AK629" s="1075" t="str">
        <f>IF(Sheet1!AE626="C",Sheet1!AK626,"-")</f>
        <v>-</v>
      </c>
      <c r="AL629" s="1075" t="str">
        <f>IF(Sheet1!AE626="D",Sheet1!AK626,"-")</f>
        <v>-</v>
      </c>
      <c r="AM629" s="1075">
        <f>IF(Sheet1!AE623="E",Sheet1!AK623,"-")</f>
        <v>3410</v>
      </c>
    </row>
    <row r="630" spans="2:39" x14ac:dyDescent="0.25">
      <c r="B630" s="1082">
        <f>Sheet1!F624</f>
        <v>1996</v>
      </c>
      <c r="C630" s="1075" t="str">
        <f>Sheet1!C624</f>
        <v>Williamson Blvd.</v>
      </c>
      <c r="D630" s="1075" t="str">
        <f>_xlfn.TEXTBEFORE(Sheet1!E624, " to ")</f>
        <v>Bellevue Ave. Ext.</v>
      </c>
      <c r="E630" s="1075" t="str">
        <f>_xlfn.TEXTAFTER(Sheet1!E624, " to ")</f>
        <v>Midway Ave.</v>
      </c>
      <c r="F630" s="1075">
        <f>Sheet1!AM624</f>
        <v>4</v>
      </c>
      <c r="G630" s="1075"/>
      <c r="H630" s="1083" t="str">
        <f>Sheet1!AE624</f>
        <v>E</v>
      </c>
      <c r="I630" s="1075"/>
      <c r="J630" s="1075" t="str">
        <f>Sheet1!Q624</f>
        <v>UA_NSSRC1_2W_4L_D_WL</v>
      </c>
      <c r="K630" s="1075"/>
      <c r="L630" s="1075">
        <f>Sheet1!AF624</f>
        <v>37970</v>
      </c>
      <c r="M630" s="1075"/>
      <c r="N630" s="1075"/>
      <c r="O630" s="1075"/>
      <c r="P630" s="1075">
        <f>Sheet1!AK624</f>
        <v>3410</v>
      </c>
      <c r="Q630" s="1075"/>
      <c r="R630" s="1075">
        <f>Sheet1!AD624</f>
        <v>13940</v>
      </c>
      <c r="S630" s="1081">
        <f>Sheet1!AG624</f>
        <v>0.3671319462733737</v>
      </c>
      <c r="T630" s="1075" t="str">
        <f>Sheet1!AH624</f>
        <v>C</v>
      </c>
      <c r="U630" s="1075">
        <f>Sheet1!AI624</f>
        <v>760</v>
      </c>
      <c r="V630" s="1075"/>
      <c r="W630" s="1075"/>
      <c r="X630" s="1075">
        <f>Sheet1!AJ624</f>
        <v>1160</v>
      </c>
      <c r="Y630" s="1075"/>
      <c r="Z630" s="1075"/>
      <c r="AA630" s="1075"/>
      <c r="AB630" s="1075"/>
      <c r="AC630" s="1075"/>
      <c r="AD630" s="1075"/>
      <c r="AE630" s="1075"/>
      <c r="AF630" s="1075"/>
      <c r="AG630" s="1075"/>
      <c r="AH630" s="1075"/>
      <c r="AI630" s="1075"/>
      <c r="AJ630" s="1075"/>
      <c r="AK630" s="1075" t="str">
        <f>IF(Sheet1!AE627="C",Sheet1!AK627,"-")</f>
        <v>-</v>
      </c>
      <c r="AL630" s="1075" t="str">
        <f>IF(Sheet1!AE627="D",Sheet1!AK627,"-")</f>
        <v>-</v>
      </c>
      <c r="AM630" s="1075">
        <f>IF(Sheet1!AE624="E",Sheet1!AK624,"-")</f>
        <v>3410</v>
      </c>
    </row>
    <row r="631" spans="2:39" x14ac:dyDescent="0.25">
      <c r="B631" s="1082">
        <f>Sheet1!F625</f>
        <v>1997</v>
      </c>
      <c r="C631" s="1075" t="str">
        <f>Sheet1!C625</f>
        <v>Williamson Blvd.</v>
      </c>
      <c r="D631" s="1075" t="str">
        <f>_xlfn.TEXTBEFORE(Sheet1!E625, " to ")</f>
        <v>Midway Ave.</v>
      </c>
      <c r="E631" s="1075" t="str">
        <f>_xlfn.TEXTAFTER(Sheet1!E625, " to ")</f>
        <v>US 92/ISB</v>
      </c>
      <c r="F631" s="1075">
        <f>Sheet1!AM625</f>
        <v>4</v>
      </c>
      <c r="G631" s="1075"/>
      <c r="H631" s="1083" t="str">
        <f>Sheet1!AE625</f>
        <v>E</v>
      </c>
      <c r="I631" s="1075"/>
      <c r="J631" s="1075" t="str">
        <f>Sheet1!Q625</f>
        <v>UA_NSSRC1_2W_4L_D_WL</v>
      </c>
      <c r="K631" s="1075"/>
      <c r="L631" s="1075">
        <f>Sheet1!AF625</f>
        <v>37970</v>
      </c>
      <c r="M631" s="1075"/>
      <c r="N631" s="1075"/>
      <c r="O631" s="1075"/>
      <c r="P631" s="1075">
        <f>Sheet1!AK625</f>
        <v>3410</v>
      </c>
      <c r="Q631" s="1075"/>
      <c r="R631" s="1075">
        <f>Sheet1!AD625</f>
        <v>11440</v>
      </c>
      <c r="S631" s="1081">
        <f>Sheet1!AG625</f>
        <v>0.30129049249407425</v>
      </c>
      <c r="T631" s="1075" t="str">
        <f>Sheet1!AH625</f>
        <v>C</v>
      </c>
      <c r="U631" s="1075">
        <f>Sheet1!AI625</f>
        <v>590</v>
      </c>
      <c r="V631" s="1075"/>
      <c r="W631" s="1075"/>
      <c r="X631" s="1075">
        <f>Sheet1!AJ625</f>
        <v>1000</v>
      </c>
      <c r="Y631" s="1075"/>
      <c r="Z631" s="1075"/>
      <c r="AA631" s="1075"/>
      <c r="AB631" s="1075"/>
      <c r="AC631" s="1075"/>
      <c r="AD631" s="1075"/>
      <c r="AE631" s="1075"/>
      <c r="AF631" s="1075"/>
      <c r="AG631" s="1075"/>
      <c r="AH631" s="1075"/>
      <c r="AI631" s="1075"/>
      <c r="AJ631" s="1075"/>
      <c r="AK631" s="1075" t="str">
        <f>IF(Sheet1!AE628="C",Sheet1!AK628,"-")</f>
        <v>-</v>
      </c>
      <c r="AL631" s="1075" t="str">
        <f>IF(Sheet1!AE628="D",Sheet1!AK628,"-")</f>
        <v>-</v>
      </c>
      <c r="AM631" s="1075">
        <f>IF(Sheet1!AE625="E",Sheet1!AK625,"-")</f>
        <v>3410</v>
      </c>
    </row>
    <row r="632" spans="2:39" x14ac:dyDescent="0.25">
      <c r="B632" s="1082">
        <f>Sheet1!F626</f>
        <v>1998</v>
      </c>
      <c r="C632" s="1075" t="str">
        <f>Sheet1!C626</f>
        <v>Williamson Blvd.</v>
      </c>
      <c r="D632" s="1075" t="str">
        <f>_xlfn.TEXTBEFORE(Sheet1!E626, " to ")</f>
        <v>US 92/ISB</v>
      </c>
      <c r="E632" s="1075" t="str">
        <f>_xlfn.TEXTAFTER(Sheet1!E626, " to ")</f>
        <v>Dunn Ave.</v>
      </c>
      <c r="F632" s="1075">
        <f>Sheet1!AM626</f>
        <v>4</v>
      </c>
      <c r="G632" s="1075"/>
      <c r="H632" s="1083" t="str">
        <f>Sheet1!AE626</f>
        <v>E</v>
      </c>
      <c r="I632" s="1075"/>
      <c r="J632" s="1075" t="str">
        <f>Sheet1!Q626</f>
        <v>UA_NSSRC1_2W_4L_D_WL</v>
      </c>
      <c r="K632" s="1075"/>
      <c r="L632" s="1075">
        <f>Sheet1!AF626</f>
        <v>37970</v>
      </c>
      <c r="M632" s="1075"/>
      <c r="N632" s="1075"/>
      <c r="O632" s="1075"/>
      <c r="P632" s="1075">
        <f>Sheet1!AK626</f>
        <v>3410</v>
      </c>
      <c r="Q632" s="1075"/>
      <c r="R632" s="1075">
        <f>Sheet1!AD626</f>
        <v>18480</v>
      </c>
      <c r="S632" s="1081">
        <f>Sheet1!AG626</f>
        <v>0.48670002633658149</v>
      </c>
      <c r="T632" s="1075" t="str">
        <f>Sheet1!AH626</f>
        <v>C</v>
      </c>
      <c r="U632" s="1075">
        <f>Sheet1!AI626</f>
        <v>960</v>
      </c>
      <c r="V632" s="1075"/>
      <c r="W632" s="1075"/>
      <c r="X632" s="1075">
        <f>Sheet1!AJ626</f>
        <v>1550</v>
      </c>
      <c r="Y632" s="1075"/>
      <c r="Z632" s="1075"/>
      <c r="AA632" s="1075"/>
      <c r="AB632" s="1075"/>
      <c r="AC632" s="1075"/>
      <c r="AD632" s="1075"/>
      <c r="AE632" s="1075"/>
      <c r="AF632" s="1075"/>
      <c r="AG632" s="1075"/>
      <c r="AH632" s="1075"/>
      <c r="AI632" s="1075"/>
      <c r="AJ632" s="1075"/>
      <c r="AK632" s="1075" t="str">
        <f>IF(Sheet1!AE629="C",Sheet1!AK629,"-")</f>
        <v>-</v>
      </c>
      <c r="AL632" s="1075" t="str">
        <f>IF(Sheet1!AE629="D",Sheet1!AK629,"-")</f>
        <v>-</v>
      </c>
      <c r="AM632" s="1075">
        <f>IF(Sheet1!AE626="E",Sheet1!AK626,"-")</f>
        <v>3410</v>
      </c>
    </row>
    <row r="633" spans="2:39" x14ac:dyDescent="0.25">
      <c r="B633" s="1082">
        <f>Sheet1!F627</f>
        <v>1999</v>
      </c>
      <c r="C633" s="1075" t="str">
        <f>Sheet1!C627</f>
        <v>Williamson Blvd.</v>
      </c>
      <c r="D633" s="1075" t="str">
        <f>_xlfn.TEXTBEFORE(Sheet1!E627, " to ")</f>
        <v>Dunn Ave.</v>
      </c>
      <c r="E633" s="1075" t="str">
        <f>_xlfn.TEXTAFTER(Sheet1!E627, " to ")</f>
        <v>Mason Ave.</v>
      </c>
      <c r="F633" s="1075">
        <f>Sheet1!AM627</f>
        <v>4</v>
      </c>
      <c r="G633" s="1075"/>
      <c r="H633" s="1083" t="str">
        <f>Sheet1!AE627</f>
        <v>E</v>
      </c>
      <c r="I633" s="1075"/>
      <c r="J633" s="1075" t="str">
        <f>Sheet1!Q627</f>
        <v>UA_NSSRC1_2W_4L_D_WL</v>
      </c>
      <c r="K633" s="1075"/>
      <c r="L633" s="1075">
        <f>Sheet1!AF627</f>
        <v>37970</v>
      </c>
      <c r="M633" s="1075"/>
      <c r="N633" s="1075"/>
      <c r="O633" s="1075"/>
      <c r="P633" s="1075">
        <f>Sheet1!AK627</f>
        <v>3410</v>
      </c>
      <c r="Q633" s="1075"/>
      <c r="R633" s="1075">
        <f>Sheet1!AD627</f>
        <v>17920</v>
      </c>
      <c r="S633" s="1081">
        <f>Sheet1!AG627</f>
        <v>0.47195154069001843</v>
      </c>
      <c r="T633" s="1075" t="str">
        <f>Sheet1!AH627</f>
        <v>C</v>
      </c>
      <c r="U633" s="1075">
        <f>Sheet1!AI627</f>
        <v>910</v>
      </c>
      <c r="V633" s="1075"/>
      <c r="W633" s="1075"/>
      <c r="X633" s="1075">
        <f>Sheet1!AJ627</f>
        <v>1490</v>
      </c>
      <c r="Y633" s="1075"/>
      <c r="Z633" s="1075"/>
      <c r="AA633" s="1075"/>
      <c r="AB633" s="1075"/>
      <c r="AC633" s="1075"/>
      <c r="AD633" s="1075"/>
      <c r="AE633" s="1075"/>
      <c r="AF633" s="1075"/>
      <c r="AG633" s="1075"/>
      <c r="AH633" s="1075"/>
      <c r="AI633" s="1075"/>
      <c r="AJ633" s="1075"/>
      <c r="AK633" s="1075" t="str">
        <f>IF(Sheet1!AE630="C",Sheet1!AK630,"-")</f>
        <v>-</v>
      </c>
      <c r="AL633" s="1075" t="str">
        <f>IF(Sheet1!AE630="D",Sheet1!AK630,"-")</f>
        <v>-</v>
      </c>
      <c r="AM633" s="1075">
        <f>IF(Sheet1!AE627="E",Sheet1!AK627,"-")</f>
        <v>3410</v>
      </c>
    </row>
    <row r="634" spans="2:39" x14ac:dyDescent="0.25">
      <c r="B634" s="1082">
        <f>Sheet1!F628</f>
        <v>2000</v>
      </c>
      <c r="C634" s="1075" t="str">
        <f>Sheet1!C628</f>
        <v>Williamson Blvd.</v>
      </c>
      <c r="D634" s="1075" t="str">
        <f>_xlfn.TEXTBEFORE(Sheet1!E628, " to ")</f>
        <v>Mason Ave.</v>
      </c>
      <c r="E634" s="1075" t="str">
        <f>_xlfn.TEXTAFTER(Sheet1!E628, " to ")</f>
        <v>LPGA Blvd.</v>
      </c>
      <c r="F634" s="1075">
        <f>Sheet1!AM628</f>
        <v>4</v>
      </c>
      <c r="G634" s="1075"/>
      <c r="H634" s="1083" t="str">
        <f>Sheet1!AE628</f>
        <v>E</v>
      </c>
      <c r="I634" s="1075"/>
      <c r="J634" s="1075" t="str">
        <f>Sheet1!Q628</f>
        <v>UA_NSSRC1_2W_4L_D_WL</v>
      </c>
      <c r="K634" s="1075"/>
      <c r="L634" s="1075">
        <f>Sheet1!AF628</f>
        <v>37970</v>
      </c>
      <c r="M634" s="1075"/>
      <c r="N634" s="1075"/>
      <c r="O634" s="1075"/>
      <c r="P634" s="1075">
        <f>Sheet1!AK628</f>
        <v>3410</v>
      </c>
      <c r="Q634" s="1075"/>
      <c r="R634" s="1075">
        <f>Sheet1!AD628</f>
        <v>19310</v>
      </c>
      <c r="S634" s="1081">
        <f>Sheet1!AG628</f>
        <v>0.50855938899130892</v>
      </c>
      <c r="T634" s="1075" t="str">
        <f>Sheet1!AH628</f>
        <v>C</v>
      </c>
      <c r="U634" s="1075">
        <f>Sheet1!AI628</f>
        <v>1160</v>
      </c>
      <c r="V634" s="1075"/>
      <c r="W634" s="1075"/>
      <c r="X634" s="1075">
        <f>Sheet1!AJ628</f>
        <v>1540</v>
      </c>
      <c r="Y634" s="1075"/>
      <c r="Z634" s="1075"/>
      <c r="AA634" s="1075"/>
      <c r="AB634" s="1075"/>
      <c r="AC634" s="1075"/>
      <c r="AD634" s="1075"/>
      <c r="AE634" s="1075"/>
      <c r="AF634" s="1075"/>
      <c r="AG634" s="1075"/>
      <c r="AH634" s="1075"/>
      <c r="AI634" s="1075"/>
      <c r="AJ634" s="1075"/>
      <c r="AK634" s="1075" t="str">
        <f>IF(Sheet1!AE631="C",Sheet1!AK631,"-")</f>
        <v>-</v>
      </c>
      <c r="AL634" s="1075" t="str">
        <f>IF(Sheet1!AE631="D",Sheet1!AK631,"-")</f>
        <v>-</v>
      </c>
      <c r="AM634" s="1075">
        <f>IF(Sheet1!AE628="E",Sheet1!AK628,"-")</f>
        <v>3410</v>
      </c>
    </row>
    <row r="635" spans="2:39" x14ac:dyDescent="0.25">
      <c r="B635" s="1082">
        <f>Sheet1!F629</f>
        <v>2001</v>
      </c>
      <c r="C635" s="1075" t="str">
        <f>Sheet1!C629</f>
        <v>Williamson Blvd.</v>
      </c>
      <c r="D635" s="1075" t="str">
        <f>_xlfn.TEXTBEFORE(Sheet1!E629, " to ")</f>
        <v>LPGA Blvd.</v>
      </c>
      <c r="E635" s="1075" t="str">
        <f>_xlfn.TEXTAFTER(Sheet1!E629, " to ")</f>
        <v>Hand Ave.</v>
      </c>
      <c r="F635" s="1075">
        <f>Sheet1!AM629</f>
        <v>2</v>
      </c>
      <c r="G635" s="1075"/>
      <c r="H635" s="1083" t="str">
        <f>Sheet1!AE629</f>
        <v>E</v>
      </c>
      <c r="I635" s="1075"/>
      <c r="J635" s="1075" t="str">
        <f>Sheet1!Q629</f>
        <v>UA_NSSRC1_2W_2L_U_WL</v>
      </c>
      <c r="K635" s="1075"/>
      <c r="L635" s="1075">
        <f>Sheet1!AF629</f>
        <v>17050</v>
      </c>
      <c r="M635" s="1075"/>
      <c r="N635" s="1075"/>
      <c r="O635" s="1075"/>
      <c r="P635" s="1075">
        <f>Sheet1!AK629</f>
        <v>1540</v>
      </c>
      <c r="Q635" s="1075"/>
      <c r="R635" s="1075">
        <f>Sheet1!AD629</f>
        <v>17520</v>
      </c>
      <c r="S635" s="1081">
        <f>Sheet1!AG629</f>
        <v>1.0275659824046921</v>
      </c>
      <c r="T635" s="1075" t="str">
        <f>Sheet1!AH629</f>
        <v>F</v>
      </c>
      <c r="U635" s="1075">
        <f>Sheet1!AI629</f>
        <v>1000</v>
      </c>
      <c r="V635" s="1075"/>
      <c r="W635" s="1075"/>
      <c r="X635" s="1075">
        <f>Sheet1!AJ629</f>
        <v>1420</v>
      </c>
      <c r="Y635" s="1075"/>
      <c r="Z635" s="1075"/>
      <c r="AA635" s="1075"/>
      <c r="AB635" s="1075"/>
      <c r="AC635" s="1075"/>
      <c r="AD635" s="1075"/>
      <c r="AE635" s="1075"/>
      <c r="AF635" s="1075"/>
      <c r="AG635" s="1075"/>
      <c r="AH635" s="1075"/>
      <c r="AI635" s="1075"/>
      <c r="AJ635" s="1075"/>
      <c r="AK635" s="1075" t="str">
        <f>IF(Sheet1!AE632="C",Sheet1!AK632,"-")</f>
        <v>-</v>
      </c>
      <c r="AL635" s="1075" t="str">
        <f>IF(Sheet1!AE632="D",Sheet1!AK632,"-")</f>
        <v>-</v>
      </c>
      <c r="AM635" s="1075">
        <f>IF(Sheet1!AE629="E",Sheet1!AK629,"-")</f>
        <v>1540</v>
      </c>
    </row>
    <row r="636" spans="2:39" x14ac:dyDescent="0.25">
      <c r="B636" s="1082">
        <f>Sheet1!F630</f>
        <v>2004</v>
      </c>
      <c r="C636" s="1075" t="str">
        <f>Sheet1!C630</f>
        <v>Williamson Blvd.</v>
      </c>
      <c r="D636" s="1075" t="str">
        <f>_xlfn.TEXTBEFORE(Sheet1!E630, " to ")</f>
        <v>Hand Ave.</v>
      </c>
      <c r="E636" s="1075" t="str">
        <f>_xlfn.TEXTAFTER(Sheet1!E630, " to ")</f>
        <v>SR 40</v>
      </c>
      <c r="F636" s="1075">
        <f>Sheet1!AM630</f>
        <v>4</v>
      </c>
      <c r="G636" s="1075"/>
      <c r="H636" s="1083" t="str">
        <f>Sheet1!AE630</f>
        <v>E</v>
      </c>
      <c r="I636" s="1075"/>
      <c r="J636" s="1075" t="str">
        <f>Sheet1!Q630</f>
        <v>UA_NSSRC1_2W_4L_D_WL</v>
      </c>
      <c r="K636" s="1075"/>
      <c r="L636" s="1075">
        <f>Sheet1!AF630</f>
        <v>37970</v>
      </c>
      <c r="M636" s="1075"/>
      <c r="N636" s="1075"/>
      <c r="O636" s="1075"/>
      <c r="P636" s="1075">
        <f>Sheet1!AK630</f>
        <v>3410</v>
      </c>
      <c r="Q636" s="1075"/>
      <c r="R636" s="1075">
        <f>Sheet1!AD630</f>
        <v>21370</v>
      </c>
      <c r="S636" s="1081">
        <f>Sheet1!AG630</f>
        <v>0.56281274690545169</v>
      </c>
      <c r="T636" s="1075" t="str">
        <f>Sheet1!AH630</f>
        <v>C</v>
      </c>
      <c r="U636" s="1075">
        <f>Sheet1!AI630</f>
        <v>1330</v>
      </c>
      <c r="V636" s="1075"/>
      <c r="W636" s="1075"/>
      <c r="X636" s="1075">
        <f>Sheet1!AJ630</f>
        <v>1650</v>
      </c>
      <c r="Y636" s="1075"/>
      <c r="Z636" s="1075"/>
      <c r="AA636" s="1075"/>
      <c r="AB636" s="1075"/>
      <c r="AC636" s="1075"/>
      <c r="AD636" s="1075"/>
      <c r="AE636" s="1075"/>
      <c r="AF636" s="1075"/>
      <c r="AG636" s="1075"/>
      <c r="AH636" s="1075"/>
      <c r="AI636" s="1075"/>
      <c r="AJ636" s="1075"/>
      <c r="AK636" s="1075" t="str">
        <f>IF(Sheet1!AE633="C",Sheet1!AK633,"-")</f>
        <v>-</v>
      </c>
      <c r="AL636" s="1075" t="str">
        <f>IF(Sheet1!AE633="D",Sheet1!AK633,"-")</f>
        <v>-</v>
      </c>
      <c r="AM636" s="1075">
        <f>IF(Sheet1!AE630="E",Sheet1!AK630,"-")</f>
        <v>3410</v>
      </c>
    </row>
    <row r="637" spans="2:39" x14ac:dyDescent="0.25">
      <c r="B637" s="1082">
        <f>Sheet1!F631</f>
        <v>2031</v>
      </c>
      <c r="C637" s="1075" t="str">
        <f>Sheet1!C631</f>
        <v>Woodward Ave.</v>
      </c>
      <c r="D637" s="1075" t="str">
        <f>_xlfn.TEXTBEFORE(Sheet1!E631, " to ")</f>
        <v>Beresford Ave.</v>
      </c>
      <c r="E637" s="1075" t="str">
        <f>_xlfn.TEXTAFTER(Sheet1!E631, " to ")</f>
        <v>Euclid Ave.</v>
      </c>
      <c r="F637" s="1075">
        <f>Sheet1!AM631</f>
        <v>2</v>
      </c>
      <c r="G637" s="1075"/>
      <c r="H637" s="1083" t="str">
        <f>Sheet1!AE631</f>
        <v>E</v>
      </c>
      <c r="I637" s="1075"/>
      <c r="J637" s="1075" t="str">
        <f>Sheet1!Q631</f>
        <v>UA_NSSRC2_2W_2L_U_0L</v>
      </c>
      <c r="K637" s="1075"/>
      <c r="L637" s="1075">
        <f>Sheet1!AF631</f>
        <v>13640</v>
      </c>
      <c r="M637" s="1075"/>
      <c r="N637" s="1075"/>
      <c r="O637" s="1075"/>
      <c r="P637" s="1075">
        <f>Sheet1!AK631</f>
        <v>1020</v>
      </c>
      <c r="Q637" s="1075"/>
      <c r="R637" s="1075">
        <f>Sheet1!AD631</f>
        <v>940</v>
      </c>
      <c r="S637" s="1081">
        <f>Sheet1!AG631</f>
        <v>6.89149560117302E-2</v>
      </c>
      <c r="T637" s="1075" t="str">
        <f>Sheet1!AH631</f>
        <v>C</v>
      </c>
      <c r="U637" s="1075">
        <f>Sheet1!AI631</f>
        <v>130</v>
      </c>
      <c r="V637" s="1075"/>
      <c r="W637" s="1075"/>
      <c r="X637" s="1075">
        <f>Sheet1!AJ631</f>
        <v>80</v>
      </c>
      <c r="Y637" s="1075"/>
      <c r="Z637" s="1075"/>
      <c r="AA637" s="1075"/>
      <c r="AB637" s="1075"/>
      <c r="AC637" s="1075"/>
      <c r="AD637" s="1075"/>
      <c r="AE637" s="1075"/>
      <c r="AF637" s="1075"/>
      <c r="AG637" s="1075"/>
      <c r="AH637" s="1075"/>
      <c r="AI637" s="1075"/>
      <c r="AJ637" s="1075"/>
      <c r="AK637" s="1075" t="str">
        <f>IF(Sheet1!AE634="C",Sheet1!AK634,"-")</f>
        <v>-</v>
      </c>
      <c r="AL637" s="1075" t="str">
        <f>IF(Sheet1!AE634="D",Sheet1!AK634,"-")</f>
        <v>-</v>
      </c>
      <c r="AM637" s="1075">
        <f>IF(Sheet1!AE631="E",Sheet1!AK631,"-")</f>
        <v>1020</v>
      </c>
    </row>
    <row r="638" spans="2:39" x14ac:dyDescent="0.25">
      <c r="B638" s="1082">
        <f>Sheet1!F632</f>
        <v>2030</v>
      </c>
      <c r="C638" s="1075" t="str">
        <f>Sheet1!C632</f>
        <v>Woodward Ave.</v>
      </c>
      <c r="D638" s="1075" t="str">
        <f>_xlfn.TEXTBEFORE(Sheet1!E632, " to ")</f>
        <v>Euclid Ave.</v>
      </c>
      <c r="E638" s="1075" t="str">
        <f>_xlfn.TEXTAFTER(Sheet1!E632, " to ")</f>
        <v>SR 44</v>
      </c>
      <c r="F638" s="1075">
        <f>Sheet1!AM632</f>
        <v>2</v>
      </c>
      <c r="G638" s="1075"/>
      <c r="H638" s="1083" t="str">
        <f>Sheet1!AE632</f>
        <v>E</v>
      </c>
      <c r="I638" s="1075"/>
      <c r="J638" s="1075" t="str">
        <f>Sheet1!Q632</f>
        <v>UA_NSSRC2_2W_2L_U_0L</v>
      </c>
      <c r="K638" s="1075"/>
      <c r="L638" s="1075">
        <f>Sheet1!AF632</f>
        <v>13640</v>
      </c>
      <c r="M638" s="1075"/>
      <c r="N638" s="1075"/>
      <c r="O638" s="1075"/>
      <c r="P638" s="1075">
        <f>Sheet1!AK632</f>
        <v>1020</v>
      </c>
      <c r="Q638" s="1075"/>
      <c r="R638" s="1075">
        <f>Sheet1!AD632</f>
        <v>690</v>
      </c>
      <c r="S638" s="1081">
        <f>Sheet1!AG632</f>
        <v>5.0586510263929615E-2</v>
      </c>
      <c r="T638" s="1075" t="str">
        <f>Sheet1!AH632</f>
        <v>C</v>
      </c>
      <c r="U638" s="1075">
        <f>Sheet1!AI632</f>
        <v>50</v>
      </c>
      <c r="V638" s="1075"/>
      <c r="W638" s="1075"/>
      <c r="X638" s="1075">
        <f>Sheet1!AJ632</f>
        <v>60</v>
      </c>
      <c r="Y638" s="1075"/>
      <c r="Z638" s="1075"/>
      <c r="AA638" s="1075"/>
      <c r="AB638" s="1075"/>
      <c r="AC638" s="1075"/>
      <c r="AD638" s="1075"/>
      <c r="AE638" s="1075"/>
      <c r="AF638" s="1075"/>
      <c r="AG638" s="1075"/>
      <c r="AH638" s="1075"/>
      <c r="AI638" s="1075"/>
      <c r="AJ638" s="1075"/>
      <c r="AK638" s="1075" t="str">
        <f>IF(Sheet1!AE635="C",Sheet1!AK635,"-")</f>
        <v>-</v>
      </c>
      <c r="AL638" s="1075" t="str">
        <f>IF(Sheet1!AE635="D",Sheet1!AK635,"-")</f>
        <v>-</v>
      </c>
      <c r="AM638" s="1075">
        <f>IF(Sheet1!AE632="E",Sheet1!AK632,"-")</f>
        <v>1020</v>
      </c>
    </row>
    <row r="639" spans="2:39" x14ac:dyDescent="0.25">
      <c r="B639" s="1082"/>
      <c r="C639" s="1075"/>
      <c r="D639" s="1075"/>
      <c r="E639" s="1075"/>
      <c r="F639" s="1075"/>
      <c r="G639" s="1075"/>
      <c r="H639" s="1075"/>
      <c r="I639" s="1075"/>
      <c r="J639" s="1075"/>
      <c r="K639" s="1075"/>
      <c r="L639" s="1075"/>
      <c r="M639" s="1075"/>
      <c r="N639" s="1075"/>
      <c r="O639" s="1075"/>
      <c r="P639" s="1075"/>
      <c r="Q639" s="1075"/>
      <c r="R639" s="1075"/>
      <c r="S639" s="1081"/>
      <c r="T639" s="1075"/>
      <c r="U639" s="1075"/>
      <c r="V639" s="1075"/>
      <c r="W639" s="1075"/>
      <c r="X639" s="1075"/>
      <c r="Y639" s="1075"/>
      <c r="Z639" s="1075"/>
      <c r="AA639" s="1075"/>
      <c r="AB639" s="1075"/>
      <c r="AC639" s="1075"/>
      <c r="AD639" s="1075"/>
      <c r="AE639" s="1075"/>
      <c r="AF639" s="1075"/>
      <c r="AG639" s="1075"/>
      <c r="AH639" s="1075"/>
      <c r="AI639" s="1075"/>
      <c r="AJ639" s="1075"/>
      <c r="AK639" s="1075"/>
      <c r="AL639" s="1075"/>
      <c r="AM639" s="1075"/>
    </row>
    <row r="640" spans="2:39" x14ac:dyDescent="0.25">
      <c r="B640" s="1082"/>
      <c r="C640" s="1075"/>
      <c r="D640" s="1075"/>
      <c r="E640" s="1075"/>
      <c r="F640" s="1075"/>
      <c r="G640" s="1075"/>
      <c r="H640" s="1075"/>
      <c r="I640" s="1075"/>
      <c r="J640" s="1075"/>
      <c r="K640" s="1075"/>
      <c r="L640" s="1075"/>
      <c r="M640" s="1075"/>
      <c r="N640" s="1075"/>
      <c r="O640" s="1075"/>
      <c r="P640" s="1075"/>
      <c r="Q640" s="1075"/>
      <c r="R640" s="1075"/>
      <c r="S640" s="1081"/>
      <c r="T640" s="1075"/>
      <c r="U640" s="1075"/>
      <c r="V640" s="1075"/>
      <c r="W640" s="1075"/>
      <c r="X640" s="1075"/>
      <c r="Y640" s="1075"/>
      <c r="Z640" s="1075"/>
      <c r="AA640" s="1075"/>
      <c r="AB640" s="1075"/>
      <c r="AC640" s="1075"/>
      <c r="AD640" s="1075"/>
      <c r="AE640" s="1075"/>
      <c r="AF640" s="1075"/>
      <c r="AG640" s="1075"/>
      <c r="AH640" s="1075"/>
      <c r="AI640" s="1075"/>
      <c r="AJ640" s="1075"/>
      <c r="AK640" s="1075"/>
      <c r="AL640" s="1075"/>
      <c r="AM640" s="1075"/>
    </row>
    <row r="641" spans="2:39" x14ac:dyDescent="0.25">
      <c r="B641" s="1082"/>
      <c r="C641" s="1075"/>
      <c r="D641" s="1075"/>
      <c r="E641" s="1075"/>
      <c r="F641" s="1075"/>
      <c r="G641" s="1075"/>
      <c r="H641" s="1075"/>
      <c r="I641" s="1075"/>
      <c r="J641" s="1075"/>
      <c r="K641" s="1075"/>
      <c r="L641" s="1075"/>
      <c r="M641" s="1075"/>
      <c r="N641" s="1075"/>
      <c r="O641" s="1075"/>
      <c r="P641" s="1075"/>
      <c r="Q641" s="1075"/>
      <c r="R641" s="1075"/>
      <c r="S641" s="1081"/>
      <c r="T641" s="1075"/>
      <c r="U641" s="1075"/>
      <c r="V641" s="1075"/>
      <c r="W641" s="1075"/>
      <c r="X641" s="1075"/>
      <c r="Y641" s="1075"/>
      <c r="Z641" s="1075"/>
      <c r="AA641" s="1075"/>
      <c r="AB641" s="1075"/>
      <c r="AC641" s="1075"/>
      <c r="AD641" s="1075"/>
      <c r="AE641" s="1075"/>
      <c r="AF641" s="1075"/>
      <c r="AG641" s="1075"/>
      <c r="AH641" s="1075"/>
      <c r="AI641" s="1075"/>
      <c r="AJ641" s="1075"/>
      <c r="AK641" s="1075"/>
      <c r="AL641" s="1075"/>
      <c r="AM641" s="1075"/>
    </row>
    <row r="642" spans="2:39" x14ac:dyDescent="0.25">
      <c r="B642" s="1082"/>
      <c r="C642" s="1075"/>
      <c r="D642" s="1075"/>
      <c r="E642" s="1075"/>
      <c r="F642" s="1075"/>
      <c r="G642" s="1075"/>
      <c r="H642" s="1075"/>
      <c r="I642" s="1075"/>
      <c r="J642" s="1075"/>
      <c r="K642" s="1075"/>
      <c r="L642" s="1075"/>
      <c r="M642" s="1075"/>
      <c r="N642" s="1075"/>
      <c r="O642" s="1075"/>
      <c r="P642" s="1075"/>
      <c r="Q642" s="1075"/>
      <c r="R642" s="1075"/>
      <c r="S642" s="1081"/>
      <c r="T642" s="1075"/>
      <c r="U642" s="1075"/>
      <c r="V642" s="1075"/>
      <c r="W642" s="1075"/>
      <c r="X642" s="1075"/>
      <c r="Y642" s="1075"/>
      <c r="Z642" s="1075"/>
      <c r="AA642" s="1075"/>
      <c r="AB642" s="1075"/>
      <c r="AC642" s="1075"/>
      <c r="AD642" s="1075"/>
      <c r="AE642" s="1075"/>
      <c r="AF642" s="1075"/>
      <c r="AG642" s="1075"/>
      <c r="AH642" s="1075"/>
      <c r="AI642" s="1075"/>
      <c r="AJ642" s="1075"/>
      <c r="AK642" s="1075"/>
      <c r="AL642" s="1075"/>
      <c r="AM642" s="1075"/>
    </row>
    <row r="643" spans="2:39" x14ac:dyDescent="0.25">
      <c r="B643" s="1082"/>
      <c r="C643" s="1075"/>
      <c r="D643" s="1075"/>
      <c r="E643" s="1075"/>
      <c r="F643" s="1075"/>
      <c r="G643" s="1075"/>
      <c r="H643" s="1075"/>
      <c r="I643" s="1075"/>
      <c r="J643" s="1075"/>
      <c r="K643" s="1075"/>
      <c r="L643" s="1075"/>
      <c r="M643" s="1075"/>
      <c r="N643" s="1075"/>
      <c r="O643" s="1075"/>
      <c r="P643" s="1075"/>
      <c r="Q643" s="1075"/>
      <c r="R643" s="1075"/>
      <c r="S643" s="1081"/>
      <c r="T643" s="1075"/>
      <c r="U643" s="1075"/>
      <c r="V643" s="1075"/>
      <c r="W643" s="1075"/>
      <c r="X643" s="1075"/>
      <c r="Y643" s="1075"/>
      <c r="Z643" s="1075"/>
      <c r="AA643" s="1075"/>
      <c r="AB643" s="1075"/>
      <c r="AC643" s="1075"/>
      <c r="AD643" s="1075"/>
      <c r="AE643" s="1075"/>
      <c r="AF643" s="1075"/>
      <c r="AG643" s="1075"/>
      <c r="AH643" s="1075"/>
      <c r="AI643" s="1075"/>
      <c r="AJ643" s="1075"/>
      <c r="AK643" s="1075"/>
      <c r="AL643" s="1075"/>
      <c r="AM643" s="1075"/>
    </row>
    <row r="644" spans="2:39" x14ac:dyDescent="0.25">
      <c r="B644" s="1082"/>
      <c r="C644" s="1075"/>
      <c r="D644" s="1075"/>
      <c r="E644" s="1075"/>
      <c r="F644" s="1075"/>
      <c r="G644" s="1075"/>
      <c r="H644" s="1075"/>
      <c r="I644" s="1075"/>
      <c r="J644" s="1075"/>
      <c r="K644" s="1075"/>
      <c r="L644" s="1075"/>
      <c r="M644" s="1075"/>
      <c r="N644" s="1075"/>
      <c r="O644" s="1075"/>
      <c r="P644" s="1075"/>
      <c r="Q644" s="1075"/>
      <c r="R644" s="1075"/>
      <c r="S644" s="1081"/>
      <c r="T644" s="1075"/>
      <c r="U644" s="1075"/>
      <c r="V644" s="1075"/>
      <c r="W644" s="1075"/>
      <c r="X644" s="1075"/>
      <c r="Y644" s="1075"/>
      <c r="Z644" s="1075"/>
      <c r="AA644" s="1075"/>
      <c r="AB644" s="1075"/>
      <c r="AC644" s="1075"/>
      <c r="AD644" s="1075"/>
      <c r="AE644" s="1075"/>
      <c r="AF644" s="1075"/>
      <c r="AG644" s="1075"/>
      <c r="AH644" s="1075"/>
      <c r="AI644" s="1075"/>
      <c r="AJ644" s="1075"/>
      <c r="AK644" s="1075"/>
      <c r="AL644" s="1075"/>
      <c r="AM644" s="1075"/>
    </row>
    <row r="645" spans="2:39" x14ac:dyDescent="0.25">
      <c r="B645" s="1082"/>
      <c r="C645" s="1075"/>
      <c r="D645" s="1075"/>
      <c r="E645" s="1075"/>
      <c r="F645" s="1075"/>
      <c r="G645" s="1075"/>
      <c r="H645" s="1075"/>
      <c r="I645" s="1075"/>
      <c r="J645" s="1075"/>
      <c r="K645" s="1075"/>
      <c r="L645" s="1075"/>
      <c r="M645" s="1075"/>
      <c r="N645" s="1075"/>
      <c r="O645" s="1075"/>
      <c r="P645" s="1075"/>
      <c r="Q645" s="1075"/>
      <c r="R645" s="1075"/>
      <c r="S645" s="1081"/>
      <c r="T645" s="1075"/>
      <c r="U645" s="1075"/>
      <c r="V645" s="1075"/>
      <c r="W645" s="1075"/>
      <c r="X645" s="1075"/>
      <c r="Y645" s="1075"/>
      <c r="Z645" s="1075"/>
      <c r="AA645" s="1075"/>
      <c r="AB645" s="1075"/>
      <c r="AC645" s="1075"/>
      <c r="AD645" s="1075"/>
      <c r="AE645" s="1075"/>
      <c r="AF645" s="1075"/>
      <c r="AG645" s="1075"/>
      <c r="AH645" s="1075"/>
      <c r="AI645" s="1075"/>
      <c r="AJ645" s="1075"/>
      <c r="AK645" s="1075"/>
      <c r="AL645" s="1075"/>
      <c r="AM645" s="1075"/>
    </row>
    <row r="646" spans="2:39" x14ac:dyDescent="0.25">
      <c r="B646" s="1082"/>
      <c r="C646" s="1075"/>
      <c r="D646" s="1075"/>
      <c r="E646" s="1075"/>
      <c r="F646" s="1075"/>
      <c r="G646" s="1075"/>
      <c r="H646" s="1075"/>
      <c r="I646" s="1075"/>
      <c r="J646" s="1075"/>
      <c r="K646" s="1075"/>
      <c r="L646" s="1075"/>
      <c r="M646" s="1075"/>
      <c r="N646" s="1075"/>
      <c r="O646" s="1075"/>
      <c r="P646" s="1075"/>
      <c r="Q646" s="1075"/>
      <c r="R646" s="1075"/>
      <c r="S646" s="1081"/>
      <c r="T646" s="1075"/>
      <c r="U646" s="1075"/>
      <c r="V646" s="1075"/>
      <c r="W646" s="1075"/>
      <c r="X646" s="1075"/>
      <c r="Y646" s="1075"/>
      <c r="Z646" s="1075"/>
      <c r="AA646" s="1075"/>
      <c r="AB646" s="1075"/>
      <c r="AC646" s="1075"/>
      <c r="AD646" s="1075"/>
      <c r="AE646" s="1075"/>
      <c r="AF646" s="1075"/>
      <c r="AG646" s="1075"/>
      <c r="AH646" s="1075"/>
      <c r="AI646" s="1075"/>
      <c r="AJ646" s="1075"/>
      <c r="AK646" s="1075"/>
      <c r="AL646" s="1075"/>
      <c r="AM646" s="1075"/>
    </row>
    <row r="647" spans="2:39" x14ac:dyDescent="0.25">
      <c r="B647" s="1082"/>
      <c r="C647" s="1075"/>
      <c r="D647" s="1075"/>
      <c r="E647" s="1075"/>
      <c r="F647" s="1075"/>
      <c r="G647" s="1075"/>
      <c r="H647" s="1075"/>
      <c r="I647" s="1075"/>
      <c r="J647" s="1075"/>
      <c r="K647" s="1075"/>
      <c r="L647" s="1075"/>
      <c r="M647" s="1075"/>
      <c r="N647" s="1075"/>
      <c r="O647" s="1075"/>
      <c r="P647" s="1075"/>
      <c r="Q647" s="1075"/>
      <c r="R647" s="1075"/>
      <c r="S647" s="1081"/>
      <c r="T647" s="1075"/>
      <c r="U647" s="1075"/>
      <c r="V647" s="1075"/>
      <c r="W647" s="1075"/>
      <c r="X647" s="1075"/>
      <c r="Y647" s="1075"/>
      <c r="Z647" s="1075"/>
      <c r="AA647" s="1075"/>
      <c r="AB647" s="1075"/>
      <c r="AC647" s="1075"/>
      <c r="AD647" s="1075"/>
      <c r="AE647" s="1075"/>
      <c r="AF647" s="1075"/>
      <c r="AG647" s="1075"/>
      <c r="AH647" s="1075"/>
      <c r="AI647" s="1075"/>
      <c r="AJ647" s="1075"/>
      <c r="AK647" s="1075"/>
      <c r="AL647" s="1075"/>
      <c r="AM647" s="1075"/>
    </row>
    <row r="648" spans="2:39" x14ac:dyDescent="0.25">
      <c r="B648" s="1082"/>
      <c r="C648" s="1075"/>
      <c r="D648" s="1075"/>
      <c r="E648" s="1075"/>
      <c r="F648" s="1075"/>
      <c r="G648" s="1075"/>
      <c r="H648" s="1075"/>
      <c r="I648" s="1075"/>
      <c r="J648" s="1075"/>
      <c r="K648" s="1075"/>
      <c r="L648" s="1075"/>
      <c r="M648" s="1075"/>
      <c r="N648" s="1075"/>
      <c r="O648" s="1075"/>
      <c r="P648" s="1075"/>
      <c r="Q648" s="1075"/>
      <c r="R648" s="1075"/>
      <c r="S648" s="1081"/>
      <c r="T648" s="1075"/>
      <c r="U648" s="1075"/>
      <c r="V648" s="1075"/>
      <c r="W648" s="1075"/>
      <c r="X648" s="1075"/>
      <c r="Y648" s="1075"/>
      <c r="Z648" s="1075"/>
      <c r="AA648" s="1075"/>
      <c r="AB648" s="1075"/>
      <c r="AC648" s="1075"/>
      <c r="AD648" s="1075"/>
      <c r="AE648" s="1075"/>
      <c r="AF648" s="1075"/>
      <c r="AG648" s="1075"/>
      <c r="AH648" s="1075"/>
      <c r="AI648" s="1075"/>
      <c r="AJ648" s="1075"/>
      <c r="AK648" s="1075"/>
      <c r="AL648" s="1075"/>
      <c r="AM648" s="1075"/>
    </row>
    <row r="649" spans="2:39" x14ac:dyDescent="0.25">
      <c r="B649" s="1082"/>
      <c r="C649" s="1075"/>
      <c r="D649" s="1075"/>
      <c r="E649" s="1075"/>
      <c r="F649" s="1075"/>
      <c r="G649" s="1075"/>
      <c r="H649" s="1075"/>
      <c r="I649" s="1075"/>
      <c r="J649" s="1075"/>
      <c r="K649" s="1075"/>
      <c r="L649" s="1075"/>
      <c r="M649" s="1075"/>
      <c r="N649" s="1075"/>
      <c r="O649" s="1075"/>
      <c r="P649" s="1075"/>
      <c r="Q649" s="1075"/>
      <c r="R649" s="1075"/>
      <c r="S649" s="1081"/>
      <c r="T649" s="1075"/>
      <c r="U649" s="1075"/>
      <c r="V649" s="1075"/>
      <c r="W649" s="1075"/>
      <c r="X649" s="1075"/>
      <c r="Y649" s="1075"/>
      <c r="Z649" s="1075"/>
      <c r="AA649" s="1075"/>
      <c r="AB649" s="1075"/>
      <c r="AC649" s="1075"/>
      <c r="AD649" s="1075"/>
      <c r="AE649" s="1075"/>
      <c r="AF649" s="1075"/>
      <c r="AG649" s="1075"/>
      <c r="AH649" s="1075"/>
      <c r="AI649" s="1075"/>
      <c r="AJ649" s="1075"/>
      <c r="AK649" s="1075"/>
      <c r="AL649" s="1075"/>
      <c r="AM649" s="1075"/>
    </row>
    <row r="650" spans="2:39" x14ac:dyDescent="0.25">
      <c r="B650" s="1082"/>
      <c r="C650" s="1075"/>
      <c r="D650" s="1075"/>
      <c r="E650" s="1075"/>
      <c r="F650" s="1075"/>
      <c r="G650" s="1075"/>
      <c r="H650" s="1075"/>
      <c r="I650" s="1075"/>
      <c r="J650" s="1075"/>
      <c r="K650" s="1075"/>
      <c r="L650" s="1075"/>
      <c r="M650" s="1075"/>
      <c r="N650" s="1075"/>
      <c r="O650" s="1075"/>
      <c r="P650" s="1075"/>
      <c r="Q650" s="1075"/>
      <c r="R650" s="1075"/>
      <c r="S650" s="1081"/>
      <c r="T650" s="1075"/>
      <c r="U650" s="1075"/>
      <c r="V650" s="1075"/>
      <c r="W650" s="1075"/>
      <c r="X650" s="1075"/>
      <c r="Y650" s="1075"/>
      <c r="Z650" s="1075"/>
      <c r="AA650" s="1075"/>
      <c r="AB650" s="1075"/>
      <c r="AC650" s="1075"/>
      <c r="AD650" s="1075"/>
      <c r="AE650" s="1075"/>
      <c r="AF650" s="1075"/>
      <c r="AG650" s="1075"/>
      <c r="AH650" s="1075"/>
      <c r="AI650" s="1075"/>
      <c r="AJ650" s="1075"/>
      <c r="AK650" s="1075"/>
      <c r="AL650" s="1075"/>
      <c r="AM650" s="1075"/>
    </row>
    <row r="651" spans="2:39" x14ac:dyDescent="0.25">
      <c r="B651" s="1082"/>
      <c r="C651" s="1075"/>
      <c r="D651" s="1075"/>
      <c r="E651" s="1075"/>
      <c r="F651" s="1075"/>
      <c r="G651" s="1075"/>
      <c r="H651" s="1075"/>
      <c r="I651" s="1075"/>
      <c r="J651" s="1075"/>
      <c r="K651" s="1075"/>
      <c r="L651" s="1075"/>
      <c r="M651" s="1075"/>
      <c r="N651" s="1075"/>
      <c r="O651" s="1075"/>
      <c r="P651" s="1075"/>
      <c r="Q651" s="1075"/>
      <c r="R651" s="1075"/>
      <c r="S651" s="1081"/>
      <c r="T651" s="1075"/>
      <c r="U651" s="1075"/>
      <c r="V651" s="1075"/>
      <c r="W651" s="1075"/>
      <c r="X651" s="1075"/>
      <c r="Y651" s="1075"/>
      <c r="Z651" s="1075"/>
      <c r="AA651" s="1075"/>
      <c r="AB651" s="1075"/>
      <c r="AC651" s="1075"/>
      <c r="AD651" s="1075"/>
      <c r="AE651" s="1075"/>
      <c r="AF651" s="1075"/>
      <c r="AG651" s="1075"/>
      <c r="AH651" s="1075"/>
      <c r="AI651" s="1075"/>
      <c r="AJ651" s="1075"/>
      <c r="AK651" s="1075"/>
      <c r="AL651" s="1075"/>
      <c r="AM651" s="1075"/>
    </row>
    <row r="652" spans="2:39" x14ac:dyDescent="0.25">
      <c r="B652" s="1082"/>
      <c r="C652" s="1075"/>
      <c r="D652" s="1075"/>
      <c r="E652" s="1075"/>
      <c r="F652" s="1075"/>
      <c r="G652" s="1075"/>
      <c r="H652" s="1075"/>
      <c r="I652" s="1075"/>
      <c r="J652" s="1075"/>
      <c r="K652" s="1075"/>
      <c r="L652" s="1075"/>
      <c r="M652" s="1075"/>
      <c r="N652" s="1075"/>
      <c r="O652" s="1075"/>
      <c r="P652" s="1075"/>
      <c r="Q652" s="1075"/>
      <c r="R652" s="1075"/>
      <c r="S652" s="1081"/>
      <c r="T652" s="1075"/>
      <c r="U652" s="1075"/>
      <c r="V652" s="1075"/>
      <c r="W652" s="1075"/>
      <c r="X652" s="1075"/>
      <c r="Y652" s="1075"/>
      <c r="Z652" s="1075"/>
      <c r="AA652" s="1075"/>
      <c r="AB652" s="1075"/>
      <c r="AC652" s="1075"/>
      <c r="AD652" s="1075"/>
      <c r="AE652" s="1075"/>
      <c r="AF652" s="1075"/>
      <c r="AG652" s="1075"/>
      <c r="AH652" s="1075"/>
      <c r="AI652" s="1075"/>
      <c r="AJ652" s="1075"/>
      <c r="AK652" s="1075"/>
      <c r="AL652" s="1075"/>
      <c r="AM652" s="1075"/>
    </row>
    <row r="653" spans="2:39" x14ac:dyDescent="0.25">
      <c r="B653" s="1082"/>
      <c r="C653" s="1075"/>
      <c r="D653" s="1075"/>
      <c r="E653" s="1075"/>
      <c r="F653" s="1075"/>
      <c r="G653" s="1075"/>
      <c r="H653" s="1075"/>
      <c r="I653" s="1075"/>
      <c r="J653" s="1075"/>
      <c r="K653" s="1075"/>
      <c r="L653" s="1075"/>
      <c r="M653" s="1075"/>
      <c r="N653" s="1075"/>
      <c r="O653" s="1075"/>
      <c r="P653" s="1075"/>
      <c r="Q653" s="1075"/>
      <c r="R653" s="1075"/>
      <c r="S653" s="1081"/>
      <c r="T653" s="1075"/>
      <c r="U653" s="1075"/>
      <c r="V653" s="1075"/>
      <c r="W653" s="1075"/>
      <c r="X653" s="1075"/>
      <c r="Y653" s="1075"/>
      <c r="Z653" s="1075"/>
      <c r="AA653" s="1075"/>
      <c r="AB653" s="1075"/>
      <c r="AC653" s="1075"/>
      <c r="AD653" s="1075"/>
      <c r="AE653" s="1075"/>
      <c r="AF653" s="1075"/>
      <c r="AG653" s="1075"/>
      <c r="AH653" s="1075"/>
      <c r="AI653" s="1075"/>
      <c r="AJ653" s="1075"/>
      <c r="AK653" s="1075"/>
      <c r="AL653" s="1075"/>
      <c r="AM653" s="1075"/>
    </row>
    <row r="654" spans="2:39" x14ac:dyDescent="0.25">
      <c r="B654" s="1082"/>
      <c r="C654" s="1075"/>
      <c r="D654" s="1075"/>
      <c r="E654" s="1075"/>
      <c r="F654" s="1075"/>
      <c r="G654" s="1075"/>
      <c r="H654" s="1075"/>
      <c r="I654" s="1075"/>
      <c r="J654" s="1075"/>
      <c r="K654" s="1075"/>
      <c r="L654" s="1075"/>
      <c r="M654" s="1075"/>
      <c r="N654" s="1075"/>
      <c r="O654" s="1075"/>
      <c r="P654" s="1075"/>
      <c r="Q654" s="1075"/>
      <c r="R654" s="1075"/>
      <c r="S654" s="1081"/>
      <c r="T654" s="1075"/>
      <c r="U654" s="1075"/>
      <c r="V654" s="1075"/>
      <c r="W654" s="1075"/>
      <c r="X654" s="1075"/>
      <c r="Y654" s="1075"/>
      <c r="Z654" s="1075"/>
      <c r="AA654" s="1075"/>
      <c r="AB654" s="1075"/>
      <c r="AC654" s="1075"/>
      <c r="AD654" s="1075"/>
      <c r="AE654" s="1075"/>
      <c r="AF654" s="1075"/>
      <c r="AG654" s="1075"/>
      <c r="AH654" s="1075"/>
      <c r="AI654" s="1075"/>
      <c r="AJ654" s="1075"/>
      <c r="AK654" s="1075"/>
      <c r="AL654" s="1075"/>
      <c r="AM654" s="1075"/>
    </row>
    <row r="655" spans="2:39" x14ac:dyDescent="0.25">
      <c r="B655" s="1082"/>
      <c r="C655" s="1075"/>
      <c r="D655" s="1075"/>
      <c r="E655" s="1075"/>
      <c r="F655" s="1075"/>
      <c r="G655" s="1075"/>
      <c r="H655" s="1075"/>
      <c r="I655" s="1075"/>
      <c r="J655" s="1075"/>
      <c r="K655" s="1075"/>
      <c r="L655" s="1075"/>
      <c r="M655" s="1075"/>
      <c r="N655" s="1075"/>
      <c r="O655" s="1075"/>
      <c r="P655" s="1075"/>
      <c r="Q655" s="1075"/>
      <c r="R655" s="1075"/>
      <c r="S655" s="1081"/>
      <c r="T655" s="1075"/>
      <c r="U655" s="1075"/>
      <c r="V655" s="1075"/>
      <c r="W655" s="1075"/>
      <c r="X655" s="1075"/>
      <c r="Y655" s="1075"/>
      <c r="Z655" s="1075"/>
      <c r="AA655" s="1075"/>
      <c r="AB655" s="1075"/>
      <c r="AC655" s="1075"/>
      <c r="AD655" s="1075"/>
      <c r="AE655" s="1075"/>
      <c r="AF655" s="1075"/>
      <c r="AG655" s="1075"/>
      <c r="AH655" s="1075"/>
      <c r="AI655" s="1075"/>
      <c r="AJ655" s="1075"/>
      <c r="AK655" s="1075"/>
      <c r="AL655" s="1075"/>
      <c r="AM655" s="1075"/>
    </row>
    <row r="656" spans="2:39" x14ac:dyDescent="0.25">
      <c r="B656" s="1082"/>
      <c r="C656" s="1075"/>
      <c r="D656" s="1075"/>
      <c r="E656" s="1075"/>
      <c r="F656" s="1075"/>
      <c r="G656" s="1075"/>
      <c r="H656" s="1075"/>
      <c r="I656" s="1075"/>
      <c r="J656" s="1075"/>
      <c r="K656" s="1075"/>
      <c r="L656" s="1075"/>
      <c r="M656" s="1075"/>
      <c r="N656" s="1075"/>
      <c r="O656" s="1075"/>
      <c r="P656" s="1075"/>
      <c r="Q656" s="1075"/>
      <c r="R656" s="1075"/>
      <c r="S656" s="1081"/>
      <c r="T656" s="1075"/>
      <c r="U656" s="1075"/>
      <c r="V656" s="1075"/>
      <c r="W656" s="1075"/>
      <c r="X656" s="1075"/>
      <c r="Y656" s="1075"/>
      <c r="Z656" s="1075"/>
      <c r="AA656" s="1075"/>
      <c r="AB656" s="1075"/>
      <c r="AC656" s="1075"/>
      <c r="AD656" s="1075"/>
      <c r="AE656" s="1075"/>
      <c r="AF656" s="1075"/>
      <c r="AG656" s="1075"/>
      <c r="AH656" s="1075"/>
      <c r="AI656" s="1075"/>
      <c r="AJ656" s="1075"/>
      <c r="AK656" s="1075"/>
      <c r="AL656" s="1075"/>
      <c r="AM656" s="1075"/>
    </row>
    <row r="657" spans="2:39" x14ac:dyDescent="0.25">
      <c r="B657" s="1082"/>
      <c r="C657" s="1075"/>
      <c r="D657" s="1075"/>
      <c r="E657" s="1075"/>
      <c r="F657" s="1075"/>
      <c r="G657" s="1075"/>
      <c r="H657" s="1075"/>
      <c r="I657" s="1075"/>
      <c r="J657" s="1075"/>
      <c r="K657" s="1075"/>
      <c r="L657" s="1075"/>
      <c r="M657" s="1075"/>
      <c r="N657" s="1075"/>
      <c r="O657" s="1075"/>
      <c r="P657" s="1075"/>
      <c r="Q657" s="1075"/>
      <c r="R657" s="1075"/>
      <c r="S657" s="1081"/>
      <c r="T657" s="1075"/>
      <c r="U657" s="1075"/>
      <c r="V657" s="1075"/>
      <c r="W657" s="1075"/>
      <c r="X657" s="1075"/>
      <c r="Y657" s="1075"/>
      <c r="Z657" s="1075"/>
      <c r="AA657" s="1075"/>
      <c r="AB657" s="1075"/>
      <c r="AC657" s="1075"/>
      <c r="AD657" s="1075"/>
      <c r="AE657" s="1075"/>
      <c r="AF657" s="1075"/>
      <c r="AG657" s="1075"/>
      <c r="AH657" s="1075"/>
      <c r="AI657" s="1075"/>
      <c r="AJ657" s="1075"/>
      <c r="AK657" s="1075"/>
      <c r="AL657" s="1075"/>
      <c r="AM657" s="1075"/>
    </row>
    <row r="658" spans="2:39" x14ac:dyDescent="0.25">
      <c r="B658" s="1082"/>
      <c r="C658" s="1075"/>
      <c r="D658" s="1075"/>
      <c r="E658" s="1075"/>
      <c r="F658" s="1075"/>
      <c r="G658" s="1075"/>
      <c r="H658" s="1075"/>
      <c r="I658" s="1075"/>
      <c r="J658" s="1075"/>
      <c r="K658" s="1075"/>
      <c r="L658" s="1075"/>
      <c r="M658" s="1075"/>
      <c r="N658" s="1075"/>
      <c r="O658" s="1075"/>
      <c r="P658" s="1075"/>
      <c r="Q658" s="1075"/>
      <c r="R658" s="1075"/>
      <c r="S658" s="1081"/>
      <c r="T658" s="1075"/>
      <c r="U658" s="1075"/>
      <c r="V658" s="1075"/>
      <c r="W658" s="1075"/>
      <c r="X658" s="1075"/>
      <c r="Y658" s="1075"/>
      <c r="Z658" s="1075"/>
      <c r="AA658" s="1075"/>
      <c r="AB658" s="1075"/>
      <c r="AC658" s="1075"/>
      <c r="AD658" s="1075"/>
      <c r="AE658" s="1075"/>
      <c r="AF658" s="1075"/>
      <c r="AG658" s="1075"/>
      <c r="AH658" s="1075"/>
      <c r="AI658" s="1075"/>
      <c r="AJ658" s="1075"/>
      <c r="AK658" s="1075"/>
      <c r="AL658" s="1075"/>
      <c r="AM658" s="1075"/>
    </row>
    <row r="659" spans="2:39" x14ac:dyDescent="0.25">
      <c r="B659" s="1082"/>
      <c r="C659" s="1075"/>
      <c r="D659" s="1075"/>
      <c r="E659" s="1075"/>
      <c r="F659" s="1075"/>
      <c r="G659" s="1075"/>
      <c r="H659" s="1075"/>
      <c r="I659" s="1075"/>
      <c r="J659" s="1075"/>
      <c r="K659" s="1075"/>
      <c r="L659" s="1075"/>
      <c r="M659" s="1075"/>
      <c r="N659" s="1075"/>
      <c r="O659" s="1075"/>
      <c r="P659" s="1075"/>
      <c r="Q659" s="1075"/>
      <c r="R659" s="1075"/>
      <c r="S659" s="1081"/>
      <c r="T659" s="1075"/>
      <c r="U659" s="1075"/>
      <c r="V659" s="1075"/>
      <c r="W659" s="1075"/>
      <c r="X659" s="1075"/>
      <c r="Y659" s="1075"/>
      <c r="Z659" s="1075"/>
      <c r="AA659" s="1075"/>
      <c r="AB659" s="1075"/>
      <c r="AC659" s="1075"/>
      <c r="AD659" s="1075"/>
      <c r="AE659" s="1075"/>
      <c r="AF659" s="1075"/>
      <c r="AG659" s="1075"/>
      <c r="AH659" s="1075"/>
      <c r="AI659" s="1075"/>
      <c r="AJ659" s="1075"/>
      <c r="AK659" s="1075"/>
      <c r="AL659" s="1075"/>
      <c r="AM659" s="1075"/>
    </row>
    <row r="660" spans="2:39" x14ac:dyDescent="0.25">
      <c r="B660" s="1082"/>
      <c r="C660" s="1075"/>
      <c r="D660" s="1075"/>
      <c r="E660" s="1075"/>
      <c r="F660" s="1075"/>
      <c r="G660" s="1075"/>
      <c r="H660" s="1075"/>
      <c r="I660" s="1075"/>
      <c r="J660" s="1075"/>
      <c r="K660" s="1075"/>
      <c r="L660" s="1075"/>
      <c r="M660" s="1075"/>
      <c r="N660" s="1075"/>
      <c r="O660" s="1075"/>
      <c r="P660" s="1075"/>
      <c r="Q660" s="1075"/>
      <c r="R660" s="1075"/>
      <c r="S660" s="1081"/>
      <c r="T660" s="1075"/>
      <c r="U660" s="1075"/>
      <c r="V660" s="1075"/>
      <c r="W660" s="1075"/>
      <c r="X660" s="1075"/>
      <c r="Y660" s="1075"/>
      <c r="Z660" s="1075"/>
      <c r="AA660" s="1075"/>
      <c r="AB660" s="1075"/>
      <c r="AC660" s="1075"/>
      <c r="AD660" s="1075"/>
      <c r="AE660" s="1075"/>
      <c r="AF660" s="1075"/>
      <c r="AG660" s="1075"/>
      <c r="AH660" s="1075"/>
      <c r="AI660" s="1075"/>
      <c r="AJ660" s="1075"/>
      <c r="AK660" s="1075"/>
      <c r="AL660" s="1075"/>
      <c r="AM660" s="1075"/>
    </row>
    <row r="661" spans="2:39" x14ac:dyDescent="0.25">
      <c r="B661" s="1082"/>
      <c r="C661" s="1075"/>
      <c r="D661" s="1075"/>
      <c r="E661" s="1075"/>
      <c r="F661" s="1075"/>
      <c r="G661" s="1075"/>
      <c r="H661" s="1075"/>
      <c r="I661" s="1075"/>
      <c r="J661" s="1075"/>
      <c r="K661" s="1075"/>
      <c r="L661" s="1075"/>
      <c r="M661" s="1075"/>
      <c r="N661" s="1075"/>
      <c r="O661" s="1075"/>
      <c r="P661" s="1075"/>
      <c r="Q661" s="1075"/>
      <c r="R661" s="1075"/>
      <c r="S661" s="1081"/>
      <c r="T661" s="1075"/>
      <c r="U661" s="1075"/>
      <c r="V661" s="1075"/>
      <c r="W661" s="1075"/>
      <c r="X661" s="1075"/>
      <c r="Y661" s="1075"/>
      <c r="Z661" s="1075"/>
      <c r="AA661" s="1075"/>
      <c r="AB661" s="1075"/>
      <c r="AC661" s="1075"/>
      <c r="AD661" s="1075"/>
      <c r="AE661" s="1075"/>
      <c r="AF661" s="1075"/>
      <c r="AG661" s="1075"/>
      <c r="AH661" s="1075"/>
      <c r="AI661" s="1075"/>
      <c r="AJ661" s="1075"/>
      <c r="AK661" s="1075"/>
      <c r="AL661" s="1075"/>
      <c r="AM661" s="1075"/>
    </row>
    <row r="662" spans="2:39" x14ac:dyDescent="0.25">
      <c r="B662" s="1082"/>
      <c r="C662" s="1075"/>
      <c r="D662" s="1075"/>
      <c r="E662" s="1075"/>
      <c r="F662" s="1075"/>
      <c r="G662" s="1075"/>
      <c r="H662" s="1075"/>
      <c r="I662" s="1075"/>
      <c r="J662" s="1075"/>
      <c r="K662" s="1075"/>
      <c r="L662" s="1075"/>
      <c r="M662" s="1075"/>
      <c r="N662" s="1075"/>
      <c r="O662" s="1075"/>
      <c r="P662" s="1075"/>
      <c r="Q662" s="1075"/>
      <c r="R662" s="1075"/>
      <c r="S662" s="1081"/>
      <c r="T662" s="1075"/>
      <c r="U662" s="1075"/>
      <c r="V662" s="1075"/>
      <c r="W662" s="1075"/>
      <c r="X662" s="1075"/>
      <c r="Y662" s="1075"/>
      <c r="Z662" s="1075"/>
      <c r="AA662" s="1075"/>
      <c r="AB662" s="1075"/>
      <c r="AC662" s="1075"/>
      <c r="AD662" s="1075"/>
      <c r="AE662" s="1075"/>
      <c r="AF662" s="1075"/>
      <c r="AG662" s="1075"/>
      <c r="AH662" s="1075"/>
      <c r="AI662" s="1075"/>
      <c r="AJ662" s="1075"/>
      <c r="AK662" s="1075"/>
      <c r="AL662" s="1075"/>
      <c r="AM662" s="1075"/>
    </row>
    <row r="663" spans="2:39" x14ac:dyDescent="0.25">
      <c r="B663" s="1082"/>
      <c r="C663" s="1075"/>
      <c r="D663" s="1075"/>
      <c r="E663" s="1075"/>
      <c r="F663" s="1075"/>
      <c r="G663" s="1075"/>
      <c r="H663" s="1075"/>
      <c r="I663" s="1075"/>
      <c r="J663" s="1075"/>
      <c r="K663" s="1075"/>
      <c r="L663" s="1075"/>
      <c r="M663" s="1075"/>
      <c r="N663" s="1075"/>
      <c r="O663" s="1075"/>
      <c r="P663" s="1075"/>
      <c r="Q663" s="1075"/>
      <c r="R663" s="1075"/>
      <c r="S663" s="1081"/>
      <c r="T663" s="1075"/>
      <c r="U663" s="1075"/>
      <c r="V663" s="1075"/>
      <c r="W663" s="1075"/>
      <c r="X663" s="1075"/>
      <c r="Y663" s="1075"/>
      <c r="Z663" s="1075"/>
      <c r="AA663" s="1075"/>
      <c r="AB663" s="1075"/>
      <c r="AC663" s="1075"/>
      <c r="AD663" s="1075"/>
      <c r="AE663" s="1075"/>
      <c r="AF663" s="1075"/>
      <c r="AG663" s="1075"/>
      <c r="AH663" s="1075"/>
      <c r="AI663" s="1075"/>
      <c r="AJ663" s="1075"/>
      <c r="AK663" s="1075"/>
      <c r="AL663" s="1075"/>
      <c r="AM663" s="1075"/>
    </row>
    <row r="664" spans="2:39" x14ac:dyDescent="0.25">
      <c r="B664" s="1082"/>
      <c r="C664" s="1075"/>
      <c r="D664" s="1075"/>
      <c r="E664" s="1075"/>
      <c r="F664" s="1075"/>
      <c r="G664" s="1075"/>
      <c r="H664" s="1075"/>
      <c r="I664" s="1075"/>
      <c r="J664" s="1075"/>
      <c r="K664" s="1075"/>
      <c r="L664" s="1075"/>
      <c r="M664" s="1075"/>
      <c r="N664" s="1075"/>
      <c r="O664" s="1075"/>
      <c r="P664" s="1075"/>
      <c r="Q664" s="1075"/>
      <c r="R664" s="1075"/>
      <c r="S664" s="1081"/>
      <c r="T664" s="1075"/>
      <c r="U664" s="1075"/>
      <c r="V664" s="1075"/>
      <c r="W664" s="1075"/>
      <c r="X664" s="1075"/>
      <c r="Y664" s="1075"/>
      <c r="Z664" s="1075"/>
      <c r="AA664" s="1075"/>
      <c r="AB664" s="1075"/>
      <c r="AC664" s="1075"/>
      <c r="AD664" s="1075"/>
      <c r="AE664" s="1075"/>
      <c r="AF664" s="1075"/>
      <c r="AG664" s="1075"/>
      <c r="AH664" s="1075"/>
      <c r="AI664" s="1075"/>
      <c r="AJ664" s="1075"/>
      <c r="AK664" s="1075"/>
      <c r="AL664" s="1075"/>
      <c r="AM664" s="1075"/>
    </row>
    <row r="665" spans="2:39" x14ac:dyDescent="0.25">
      <c r="B665" s="1082"/>
      <c r="C665" s="1075"/>
      <c r="D665" s="1075"/>
      <c r="E665" s="1075"/>
      <c r="F665" s="1075"/>
      <c r="G665" s="1075"/>
      <c r="H665" s="1075"/>
      <c r="I665" s="1075"/>
      <c r="J665" s="1075"/>
      <c r="K665" s="1075"/>
      <c r="L665" s="1075"/>
      <c r="M665" s="1075"/>
      <c r="N665" s="1075"/>
      <c r="O665" s="1075"/>
      <c r="P665" s="1075"/>
      <c r="Q665" s="1075"/>
      <c r="R665" s="1075"/>
      <c r="S665" s="1081"/>
      <c r="T665" s="1075"/>
      <c r="U665" s="1075"/>
      <c r="V665" s="1075"/>
      <c r="W665" s="1075"/>
      <c r="X665" s="1075"/>
      <c r="Y665" s="1075"/>
      <c r="Z665" s="1075"/>
      <c r="AA665" s="1075"/>
      <c r="AB665" s="1075"/>
      <c r="AC665" s="1075"/>
      <c r="AD665" s="1075"/>
      <c r="AE665" s="1075"/>
      <c r="AF665" s="1075"/>
      <c r="AG665" s="1075"/>
      <c r="AH665" s="1075"/>
      <c r="AI665" s="1075"/>
      <c r="AJ665" s="1075"/>
      <c r="AK665" s="1075"/>
      <c r="AL665" s="1075"/>
      <c r="AM665" s="1075"/>
    </row>
    <row r="666" spans="2:39" x14ac:dyDescent="0.25">
      <c r="B666" s="1082"/>
      <c r="C666" s="1075"/>
      <c r="D666" s="1075"/>
      <c r="E666" s="1075"/>
      <c r="F666" s="1075"/>
      <c r="G666" s="1075"/>
      <c r="H666" s="1075"/>
      <c r="I666" s="1075"/>
      <c r="J666" s="1075"/>
      <c r="K666" s="1075"/>
      <c r="L666" s="1075"/>
      <c r="M666" s="1075"/>
      <c r="N666" s="1075"/>
      <c r="O666" s="1075"/>
      <c r="P666" s="1075"/>
      <c r="Q666" s="1075"/>
      <c r="R666" s="1075"/>
      <c r="S666" s="1081"/>
      <c r="T666" s="1075"/>
      <c r="U666" s="1075"/>
      <c r="V666" s="1075"/>
      <c r="W666" s="1075"/>
      <c r="X666" s="1075"/>
      <c r="Y666" s="1075"/>
      <c r="Z666" s="1075"/>
      <c r="AA666" s="1075"/>
      <c r="AB666" s="1075"/>
      <c r="AC666" s="1075"/>
      <c r="AD666" s="1075"/>
      <c r="AE666" s="1075"/>
      <c r="AF666" s="1075"/>
      <c r="AG666" s="1075"/>
      <c r="AH666" s="1075"/>
      <c r="AI666" s="1075"/>
      <c r="AJ666" s="1075"/>
      <c r="AK666" s="1075"/>
      <c r="AL666" s="1075"/>
      <c r="AM666" s="1075"/>
    </row>
    <row r="667" spans="2:39" x14ac:dyDescent="0.25">
      <c r="B667" s="1082"/>
      <c r="C667" s="1075"/>
      <c r="D667" s="1075"/>
      <c r="E667" s="1075"/>
      <c r="F667" s="1075"/>
      <c r="G667" s="1075"/>
      <c r="H667" s="1075"/>
      <c r="I667" s="1075"/>
      <c r="J667" s="1075"/>
      <c r="K667" s="1075"/>
      <c r="L667" s="1075"/>
      <c r="M667" s="1075"/>
      <c r="N667" s="1075"/>
      <c r="O667" s="1075"/>
      <c r="P667" s="1075"/>
      <c r="Q667" s="1075"/>
      <c r="R667" s="1075"/>
      <c r="S667" s="1081"/>
      <c r="T667" s="1075"/>
      <c r="U667" s="1075"/>
      <c r="V667" s="1075"/>
      <c r="W667" s="1075"/>
      <c r="X667" s="1075"/>
      <c r="Y667" s="1075"/>
      <c r="Z667" s="1075"/>
      <c r="AA667" s="1075"/>
      <c r="AB667" s="1075"/>
      <c r="AC667" s="1075"/>
      <c r="AD667" s="1075"/>
      <c r="AE667" s="1075"/>
      <c r="AF667" s="1075"/>
      <c r="AG667" s="1075"/>
      <c r="AH667" s="1075"/>
      <c r="AI667" s="1075"/>
      <c r="AJ667" s="1075"/>
      <c r="AK667" s="1075"/>
      <c r="AL667" s="1075"/>
      <c r="AM667" s="1075"/>
    </row>
    <row r="668" spans="2:39" x14ac:dyDescent="0.25">
      <c r="B668" s="1082"/>
      <c r="C668" s="1075"/>
      <c r="D668" s="1075"/>
      <c r="E668" s="1075"/>
      <c r="F668" s="1075"/>
      <c r="G668" s="1075"/>
      <c r="H668" s="1075"/>
      <c r="I668" s="1075"/>
      <c r="J668" s="1075"/>
      <c r="K668" s="1075"/>
      <c r="L668" s="1075"/>
      <c r="M668" s="1075"/>
      <c r="N668" s="1075"/>
      <c r="O668" s="1075"/>
      <c r="P668" s="1075"/>
      <c r="Q668" s="1075"/>
      <c r="R668" s="1075"/>
      <c r="S668" s="1081"/>
      <c r="T668" s="1075"/>
      <c r="U668" s="1075"/>
      <c r="V668" s="1075"/>
      <c r="W668" s="1075"/>
      <c r="X668" s="1075"/>
      <c r="Y668" s="1075"/>
      <c r="Z668" s="1075"/>
      <c r="AA668" s="1075"/>
      <c r="AB668" s="1075"/>
      <c r="AC668" s="1075"/>
      <c r="AD668" s="1075"/>
      <c r="AE668" s="1075"/>
      <c r="AF668" s="1075"/>
      <c r="AG668" s="1075"/>
      <c r="AH668" s="1075"/>
      <c r="AI668" s="1075"/>
      <c r="AJ668" s="1075"/>
      <c r="AK668" s="1075"/>
      <c r="AL668" s="1075"/>
      <c r="AM668" s="1075"/>
    </row>
    <row r="669" spans="2:39" x14ac:dyDescent="0.25">
      <c r="B669" s="1082"/>
      <c r="C669" s="1075"/>
      <c r="D669" s="1075"/>
      <c r="E669" s="1075"/>
      <c r="F669" s="1075"/>
      <c r="G669" s="1075"/>
      <c r="H669" s="1075"/>
      <c r="I669" s="1075"/>
      <c r="J669" s="1075"/>
      <c r="K669" s="1075"/>
      <c r="L669" s="1075"/>
      <c r="M669" s="1075"/>
      <c r="N669" s="1075"/>
      <c r="O669" s="1075"/>
      <c r="P669" s="1075"/>
      <c r="Q669" s="1075"/>
      <c r="R669" s="1075"/>
      <c r="S669" s="1081"/>
      <c r="T669" s="1075"/>
      <c r="U669" s="1075"/>
      <c r="V669" s="1075"/>
      <c r="W669" s="1075"/>
      <c r="X669" s="1075"/>
      <c r="Y669" s="1075"/>
      <c r="Z669" s="1075"/>
      <c r="AA669" s="1075"/>
      <c r="AB669" s="1075"/>
      <c r="AC669" s="1075"/>
      <c r="AD669" s="1075"/>
      <c r="AE669" s="1075"/>
      <c r="AF669" s="1075"/>
      <c r="AG669" s="1075"/>
      <c r="AH669" s="1075"/>
      <c r="AI669" s="1075"/>
      <c r="AJ669" s="1075"/>
      <c r="AK669" s="1075"/>
      <c r="AL669" s="1075"/>
      <c r="AM669" s="1075"/>
    </row>
    <row r="670" spans="2:39" x14ac:dyDescent="0.25">
      <c r="B670" s="1082"/>
      <c r="C670" s="1075"/>
      <c r="D670" s="1075"/>
      <c r="E670" s="1075"/>
      <c r="F670" s="1075"/>
      <c r="G670" s="1075"/>
      <c r="H670" s="1075"/>
      <c r="I670" s="1075"/>
      <c r="J670" s="1075"/>
      <c r="K670" s="1075"/>
      <c r="L670" s="1075"/>
      <c r="M670" s="1075"/>
      <c r="N670" s="1075"/>
      <c r="O670" s="1075"/>
      <c r="P670" s="1075"/>
      <c r="Q670" s="1075"/>
      <c r="R670" s="1075"/>
      <c r="S670" s="1081"/>
      <c r="T670" s="1075"/>
      <c r="U670" s="1075"/>
      <c r="V670" s="1075"/>
      <c r="W670" s="1075"/>
      <c r="X670" s="1075"/>
      <c r="Y670" s="1075"/>
      <c r="Z670" s="1075"/>
      <c r="AA670" s="1075"/>
      <c r="AB670" s="1075"/>
      <c r="AC670" s="1075"/>
      <c r="AD670" s="1075"/>
      <c r="AE670" s="1075"/>
      <c r="AF670" s="1075"/>
      <c r="AG670" s="1075"/>
      <c r="AH670" s="1075"/>
      <c r="AI670" s="1075"/>
      <c r="AJ670" s="1075"/>
      <c r="AK670" s="1075"/>
      <c r="AL670" s="1075"/>
      <c r="AM670" s="1075"/>
    </row>
    <row r="671" spans="2:39" x14ac:dyDescent="0.25">
      <c r="B671" s="1082"/>
      <c r="C671" s="1075"/>
      <c r="D671" s="1075"/>
      <c r="E671" s="1075"/>
      <c r="F671" s="1075"/>
      <c r="G671" s="1075"/>
      <c r="H671" s="1075"/>
      <c r="I671" s="1075"/>
      <c r="J671" s="1075"/>
      <c r="K671" s="1075"/>
      <c r="L671" s="1075"/>
      <c r="M671" s="1075"/>
      <c r="N671" s="1075"/>
      <c r="O671" s="1075"/>
      <c r="P671" s="1075"/>
      <c r="Q671" s="1075"/>
      <c r="R671" s="1075"/>
      <c r="S671" s="1081"/>
      <c r="T671" s="1075"/>
      <c r="U671" s="1075"/>
      <c r="V671" s="1075"/>
      <c r="W671" s="1075"/>
      <c r="X671" s="1075"/>
      <c r="Y671" s="1075"/>
      <c r="Z671" s="1075"/>
      <c r="AA671" s="1075"/>
      <c r="AB671" s="1075"/>
      <c r="AC671" s="1075"/>
      <c r="AD671" s="1075"/>
      <c r="AE671" s="1075"/>
      <c r="AF671" s="1075"/>
      <c r="AG671" s="1075"/>
      <c r="AH671" s="1075"/>
      <c r="AI671" s="1075"/>
      <c r="AJ671" s="1075"/>
      <c r="AK671" s="1075"/>
      <c r="AL671" s="1075"/>
      <c r="AM671" s="1075"/>
    </row>
    <row r="672" spans="2:39" x14ac:dyDescent="0.25">
      <c r="B672" s="1082"/>
      <c r="C672" s="1075"/>
      <c r="D672" s="1075"/>
      <c r="E672" s="1075"/>
      <c r="F672" s="1075"/>
      <c r="G672" s="1075"/>
      <c r="H672" s="1075"/>
      <c r="I672" s="1075"/>
      <c r="J672" s="1075"/>
      <c r="K672" s="1075"/>
      <c r="L672" s="1075"/>
      <c r="M672" s="1075"/>
      <c r="N672" s="1075"/>
      <c r="O672" s="1075"/>
      <c r="P672" s="1075"/>
      <c r="Q672" s="1075"/>
      <c r="R672" s="1075"/>
      <c r="S672" s="1081"/>
      <c r="T672" s="1075"/>
      <c r="U672" s="1075"/>
      <c r="V672" s="1075"/>
      <c r="W672" s="1075"/>
      <c r="X672" s="1075"/>
      <c r="Y672" s="1075"/>
      <c r="Z672" s="1075"/>
      <c r="AA672" s="1075"/>
      <c r="AB672" s="1075"/>
      <c r="AC672" s="1075"/>
      <c r="AD672" s="1075"/>
      <c r="AE672" s="1075"/>
      <c r="AF672" s="1075"/>
      <c r="AG672" s="1075"/>
      <c r="AH672" s="1075"/>
      <c r="AI672" s="1075"/>
      <c r="AJ672" s="1075"/>
      <c r="AK672" s="1075"/>
      <c r="AL672" s="1075"/>
      <c r="AM672" s="1075"/>
    </row>
    <row r="673" spans="2:39" x14ac:dyDescent="0.25">
      <c r="B673" s="1082"/>
      <c r="C673" s="1075"/>
      <c r="D673" s="1075"/>
      <c r="E673" s="1075"/>
      <c r="F673" s="1075"/>
      <c r="G673" s="1075"/>
      <c r="H673" s="1075"/>
      <c r="I673" s="1075"/>
      <c r="J673" s="1075"/>
      <c r="K673" s="1075"/>
      <c r="L673" s="1075"/>
      <c r="M673" s="1075"/>
      <c r="N673" s="1075"/>
      <c r="O673" s="1075"/>
      <c r="P673" s="1075"/>
      <c r="Q673" s="1075"/>
      <c r="R673" s="1075"/>
      <c r="S673" s="1081"/>
      <c r="T673" s="1075"/>
      <c r="U673" s="1075"/>
      <c r="V673" s="1075"/>
      <c r="W673" s="1075"/>
      <c r="X673" s="1075"/>
      <c r="Y673" s="1075"/>
      <c r="Z673" s="1075"/>
      <c r="AA673" s="1075"/>
      <c r="AB673" s="1075"/>
      <c r="AC673" s="1075"/>
      <c r="AD673" s="1075"/>
      <c r="AE673" s="1075"/>
      <c r="AF673" s="1075"/>
      <c r="AG673" s="1075"/>
      <c r="AH673" s="1075"/>
      <c r="AI673" s="1075"/>
      <c r="AJ673" s="1075"/>
      <c r="AK673" s="1075"/>
      <c r="AL673" s="1075"/>
      <c r="AM673" s="1075"/>
    </row>
    <row r="674" spans="2:39" x14ac:dyDescent="0.25">
      <c r="B674" s="1082"/>
      <c r="C674" s="1075"/>
      <c r="D674" s="1075"/>
      <c r="E674" s="1075"/>
      <c r="F674" s="1075"/>
      <c r="G674" s="1075"/>
      <c r="H674" s="1075"/>
      <c r="I674" s="1075"/>
      <c r="J674" s="1075"/>
      <c r="K674" s="1075"/>
      <c r="L674" s="1075"/>
      <c r="M674" s="1075"/>
      <c r="N674" s="1075"/>
      <c r="O674" s="1075"/>
      <c r="P674" s="1075"/>
      <c r="Q674" s="1075"/>
      <c r="R674" s="1075"/>
      <c r="S674" s="1081"/>
      <c r="T674" s="1075"/>
      <c r="U674" s="1075"/>
      <c r="V674" s="1075"/>
      <c r="W674" s="1075"/>
      <c r="X674" s="1075"/>
      <c r="Y674" s="1075"/>
      <c r="Z674" s="1075"/>
      <c r="AA674" s="1075"/>
      <c r="AB674" s="1075"/>
      <c r="AC674" s="1075"/>
      <c r="AD674" s="1075"/>
      <c r="AE674" s="1075"/>
      <c r="AF674" s="1075"/>
      <c r="AG674" s="1075"/>
      <c r="AH674" s="1075"/>
      <c r="AI674" s="1075"/>
      <c r="AJ674" s="1075"/>
      <c r="AK674" s="1075"/>
      <c r="AL674" s="1075"/>
      <c r="AM674" s="1075"/>
    </row>
    <row r="675" spans="2:39" x14ac:dyDescent="0.25">
      <c r="B675" s="1082"/>
      <c r="C675" s="1075"/>
      <c r="D675" s="1075"/>
      <c r="E675" s="1075"/>
      <c r="F675" s="1075"/>
      <c r="G675" s="1075"/>
      <c r="H675" s="1075"/>
      <c r="I675" s="1075"/>
      <c r="J675" s="1075"/>
      <c r="K675" s="1075"/>
      <c r="L675" s="1075"/>
      <c r="M675" s="1075"/>
      <c r="N675" s="1075"/>
      <c r="O675" s="1075"/>
      <c r="P675" s="1075"/>
      <c r="Q675" s="1075"/>
      <c r="R675" s="1075"/>
      <c r="S675" s="1081"/>
      <c r="T675" s="1075"/>
      <c r="U675" s="1075"/>
      <c r="V675" s="1075"/>
      <c r="W675" s="1075"/>
      <c r="X675" s="1075"/>
      <c r="Y675" s="1075"/>
      <c r="Z675" s="1075"/>
      <c r="AA675" s="1075"/>
      <c r="AB675" s="1075"/>
      <c r="AC675" s="1075"/>
      <c r="AD675" s="1075"/>
      <c r="AE675" s="1075"/>
      <c r="AF675" s="1075"/>
      <c r="AG675" s="1075"/>
      <c r="AH675" s="1075"/>
      <c r="AI675" s="1075"/>
      <c r="AJ675" s="1075"/>
      <c r="AK675" s="1075"/>
      <c r="AL675" s="1075"/>
      <c r="AM675" s="1075"/>
    </row>
    <row r="676" spans="2:39" x14ac:dyDescent="0.25">
      <c r="B676" s="1082"/>
      <c r="C676" s="1075"/>
      <c r="D676" s="1075"/>
      <c r="E676" s="1075"/>
      <c r="F676" s="1075"/>
      <c r="G676" s="1075"/>
      <c r="H676" s="1075"/>
      <c r="I676" s="1075"/>
      <c r="J676" s="1075"/>
      <c r="K676" s="1075"/>
      <c r="L676" s="1075"/>
      <c r="M676" s="1075"/>
      <c r="N676" s="1075"/>
      <c r="O676" s="1075"/>
      <c r="P676" s="1075"/>
      <c r="Q676" s="1075"/>
      <c r="R676" s="1075"/>
      <c r="S676" s="1081"/>
      <c r="T676" s="1075"/>
      <c r="U676" s="1075"/>
      <c r="V676" s="1075"/>
      <c r="W676" s="1075"/>
      <c r="X676" s="1075"/>
      <c r="Y676" s="1075"/>
      <c r="Z676" s="1075"/>
      <c r="AA676" s="1075"/>
      <c r="AB676" s="1075"/>
      <c r="AC676" s="1075"/>
      <c r="AD676" s="1075"/>
      <c r="AE676" s="1075"/>
      <c r="AF676" s="1075"/>
      <c r="AG676" s="1075"/>
      <c r="AH676" s="1075"/>
      <c r="AI676" s="1075"/>
      <c r="AJ676" s="1075"/>
      <c r="AK676" s="1075"/>
      <c r="AL676" s="1075"/>
      <c r="AM676" s="1075"/>
    </row>
    <row r="677" spans="2:39" x14ac:dyDescent="0.25">
      <c r="B677" s="1082"/>
      <c r="C677" s="1075"/>
      <c r="D677" s="1075"/>
      <c r="E677" s="1075"/>
      <c r="F677" s="1075"/>
      <c r="G677" s="1075"/>
      <c r="H677" s="1075"/>
      <c r="I677" s="1075"/>
      <c r="J677" s="1075"/>
      <c r="K677" s="1075"/>
      <c r="L677" s="1075"/>
      <c r="M677" s="1075"/>
      <c r="N677" s="1075"/>
      <c r="O677" s="1075"/>
      <c r="P677" s="1075"/>
      <c r="Q677" s="1075"/>
      <c r="R677" s="1075"/>
      <c r="S677" s="1081"/>
      <c r="T677" s="1075"/>
      <c r="U677" s="1075"/>
      <c r="V677" s="1075"/>
      <c r="W677" s="1075"/>
      <c r="X677" s="1075"/>
      <c r="Y677" s="1075"/>
      <c r="Z677" s="1075"/>
      <c r="AA677" s="1075"/>
      <c r="AB677" s="1075"/>
      <c r="AC677" s="1075"/>
      <c r="AD677" s="1075"/>
      <c r="AE677" s="1075"/>
      <c r="AF677" s="1075"/>
      <c r="AG677" s="1075"/>
      <c r="AH677" s="1075"/>
      <c r="AI677" s="1075"/>
      <c r="AJ677" s="1075"/>
      <c r="AK677" s="1075"/>
      <c r="AL677" s="1075"/>
      <c r="AM677" s="1075"/>
    </row>
    <row r="678" spans="2:39" x14ac:dyDescent="0.25">
      <c r="B678" s="1082"/>
      <c r="C678" s="1075"/>
      <c r="D678" s="1075"/>
      <c r="E678" s="1075"/>
      <c r="F678" s="1075"/>
      <c r="G678" s="1075"/>
      <c r="H678" s="1075"/>
      <c r="I678" s="1075"/>
      <c r="J678" s="1075"/>
      <c r="K678" s="1075"/>
      <c r="L678" s="1075"/>
      <c r="M678" s="1075"/>
      <c r="N678" s="1075"/>
      <c r="O678" s="1075"/>
      <c r="P678" s="1075"/>
      <c r="Q678" s="1075"/>
      <c r="R678" s="1075"/>
      <c r="S678" s="1081"/>
      <c r="T678" s="1075"/>
      <c r="U678" s="1075"/>
      <c r="V678" s="1075"/>
      <c r="W678" s="1075"/>
      <c r="X678" s="1075"/>
      <c r="Y678" s="1075"/>
      <c r="Z678" s="1075"/>
      <c r="AA678" s="1075"/>
      <c r="AB678" s="1075"/>
      <c r="AC678" s="1075"/>
      <c r="AD678" s="1075"/>
      <c r="AE678" s="1075"/>
      <c r="AF678" s="1075"/>
      <c r="AG678" s="1075"/>
      <c r="AH678" s="1075"/>
      <c r="AI678" s="1075"/>
      <c r="AJ678" s="1075"/>
      <c r="AK678" s="1075"/>
      <c r="AL678" s="1075"/>
      <c r="AM678" s="1075"/>
    </row>
    <row r="679" spans="2:39" x14ac:dyDescent="0.25">
      <c r="B679" s="1082"/>
      <c r="C679" s="1075"/>
      <c r="D679" s="1075"/>
      <c r="E679" s="1075"/>
      <c r="F679" s="1075"/>
      <c r="G679" s="1075"/>
      <c r="H679" s="1075"/>
      <c r="I679" s="1075"/>
      <c r="J679" s="1075"/>
      <c r="K679" s="1075"/>
      <c r="L679" s="1075"/>
      <c r="M679" s="1075"/>
      <c r="N679" s="1075"/>
      <c r="O679" s="1075"/>
      <c r="P679" s="1075"/>
      <c r="Q679" s="1075"/>
      <c r="R679" s="1075"/>
      <c r="S679" s="1081"/>
      <c r="T679" s="1075"/>
      <c r="U679" s="1075"/>
      <c r="V679" s="1075"/>
      <c r="W679" s="1075"/>
      <c r="X679" s="1075"/>
      <c r="Y679" s="1075"/>
      <c r="Z679" s="1075"/>
      <c r="AA679" s="1075"/>
      <c r="AB679" s="1075"/>
      <c r="AC679" s="1075"/>
      <c r="AD679" s="1075"/>
      <c r="AE679" s="1075"/>
      <c r="AF679" s="1075"/>
      <c r="AG679" s="1075"/>
      <c r="AH679" s="1075"/>
      <c r="AI679" s="1075"/>
      <c r="AJ679" s="1075"/>
      <c r="AK679" s="1075"/>
      <c r="AL679" s="1075"/>
      <c r="AM679" s="1075"/>
    </row>
    <row r="680" spans="2:39" x14ac:dyDescent="0.25">
      <c r="B680" s="1082"/>
      <c r="C680" s="1075"/>
      <c r="D680" s="1075"/>
      <c r="E680" s="1075"/>
      <c r="F680" s="1075"/>
      <c r="G680" s="1075"/>
      <c r="H680" s="1075"/>
      <c r="I680" s="1075"/>
      <c r="J680" s="1075"/>
      <c r="K680" s="1075"/>
      <c r="L680" s="1075"/>
      <c r="M680" s="1075"/>
      <c r="N680" s="1075"/>
      <c r="O680" s="1075"/>
      <c r="P680" s="1075"/>
      <c r="Q680" s="1075"/>
      <c r="R680" s="1075"/>
      <c r="S680" s="1081"/>
      <c r="T680" s="1075"/>
      <c r="U680" s="1075"/>
      <c r="V680" s="1075"/>
      <c r="W680" s="1075"/>
      <c r="X680" s="1075"/>
      <c r="Y680" s="1075"/>
      <c r="Z680" s="1075"/>
      <c r="AA680" s="1075"/>
      <c r="AB680" s="1075"/>
      <c r="AC680" s="1075"/>
      <c r="AD680" s="1075"/>
      <c r="AE680" s="1075"/>
      <c r="AF680" s="1075"/>
      <c r="AG680" s="1075"/>
      <c r="AH680" s="1075"/>
      <c r="AI680" s="1075"/>
      <c r="AJ680" s="1075"/>
      <c r="AK680" s="1075"/>
      <c r="AL680" s="1075"/>
      <c r="AM680" s="1075"/>
    </row>
    <row r="681" spans="2:39" x14ac:dyDescent="0.25">
      <c r="B681" s="1082"/>
      <c r="C681" s="1075"/>
      <c r="D681" s="1075"/>
      <c r="E681" s="1075"/>
      <c r="F681" s="1075"/>
      <c r="G681" s="1075"/>
      <c r="H681" s="1075"/>
      <c r="I681" s="1075"/>
      <c r="J681" s="1075"/>
      <c r="K681" s="1075"/>
      <c r="L681" s="1075"/>
      <c r="M681" s="1075"/>
      <c r="N681" s="1075"/>
      <c r="O681" s="1075"/>
      <c r="P681" s="1075"/>
      <c r="Q681" s="1075"/>
      <c r="R681" s="1075"/>
      <c r="S681" s="1081"/>
      <c r="T681" s="1075"/>
      <c r="U681" s="1075"/>
      <c r="V681" s="1075"/>
      <c r="W681" s="1075"/>
      <c r="X681" s="1075"/>
      <c r="Y681" s="1075"/>
      <c r="Z681" s="1075"/>
      <c r="AA681" s="1075"/>
      <c r="AB681" s="1075"/>
      <c r="AC681" s="1075"/>
      <c r="AD681" s="1075"/>
      <c r="AE681" s="1075"/>
      <c r="AF681" s="1075"/>
      <c r="AG681" s="1075"/>
      <c r="AH681" s="1075"/>
      <c r="AI681" s="1075"/>
      <c r="AJ681" s="1075"/>
      <c r="AK681" s="1075"/>
      <c r="AL681" s="1075"/>
      <c r="AM681" s="1075"/>
    </row>
    <row r="682" spans="2:39" x14ac:dyDescent="0.25">
      <c r="B682" s="1082"/>
      <c r="C682" s="1075"/>
      <c r="D682" s="1075"/>
      <c r="E682" s="1075"/>
      <c r="F682" s="1075"/>
      <c r="G682" s="1075"/>
      <c r="H682" s="1075"/>
      <c r="I682" s="1075"/>
      <c r="J682" s="1075"/>
      <c r="K682" s="1075"/>
      <c r="L682" s="1075"/>
      <c r="M682" s="1075"/>
      <c r="N682" s="1075"/>
      <c r="O682" s="1075"/>
      <c r="P682" s="1075"/>
      <c r="Q682" s="1075"/>
      <c r="R682" s="1075"/>
      <c r="S682" s="1081"/>
      <c r="T682" s="1075"/>
      <c r="U682" s="1075"/>
      <c r="V682" s="1075"/>
      <c r="W682" s="1075"/>
      <c r="X682" s="1075"/>
      <c r="Y682" s="1075"/>
      <c r="Z682" s="1075"/>
      <c r="AA682" s="1075"/>
      <c r="AB682" s="1075"/>
      <c r="AC682" s="1075"/>
      <c r="AD682" s="1075"/>
      <c r="AE682" s="1075"/>
      <c r="AF682" s="1075"/>
      <c r="AG682" s="1075"/>
      <c r="AH682" s="1075"/>
      <c r="AI682" s="1075"/>
      <c r="AJ682" s="1075"/>
      <c r="AK682" s="1075"/>
      <c r="AL682" s="1075"/>
      <c r="AM682" s="1075"/>
    </row>
    <row r="683" spans="2:39" x14ac:dyDescent="0.25">
      <c r="B683" s="1082"/>
      <c r="C683" s="1075"/>
      <c r="D683" s="1075"/>
      <c r="E683" s="1075"/>
      <c r="F683" s="1075"/>
      <c r="G683" s="1075"/>
      <c r="H683" s="1075"/>
      <c r="I683" s="1075"/>
      <c r="J683" s="1075"/>
      <c r="K683" s="1075"/>
      <c r="L683" s="1075"/>
      <c r="M683" s="1075"/>
      <c r="N683" s="1075"/>
      <c r="O683" s="1075"/>
      <c r="P683" s="1075"/>
      <c r="Q683" s="1075"/>
      <c r="R683" s="1075"/>
      <c r="S683" s="1081"/>
      <c r="T683" s="1075"/>
      <c r="U683" s="1075"/>
      <c r="V683" s="1075"/>
      <c r="W683" s="1075"/>
      <c r="X683" s="1075"/>
      <c r="Y683" s="1075"/>
      <c r="Z683" s="1075"/>
      <c r="AA683" s="1075"/>
      <c r="AB683" s="1075"/>
      <c r="AC683" s="1075"/>
      <c r="AD683" s="1075"/>
      <c r="AE683" s="1075"/>
      <c r="AF683" s="1075"/>
      <c r="AG683" s="1075"/>
      <c r="AH683" s="1075"/>
      <c r="AI683" s="1075"/>
      <c r="AJ683" s="1075"/>
      <c r="AK683" s="1075"/>
      <c r="AL683" s="1075"/>
      <c r="AM683" s="1075"/>
    </row>
    <row r="684" spans="2:39" x14ac:dyDescent="0.25">
      <c r="B684" s="1082"/>
      <c r="C684" s="1075"/>
      <c r="D684" s="1075"/>
      <c r="E684" s="1075"/>
      <c r="F684" s="1075"/>
      <c r="G684" s="1075"/>
      <c r="H684" s="1075"/>
      <c r="I684" s="1075"/>
      <c r="J684" s="1075"/>
      <c r="K684" s="1075"/>
      <c r="L684" s="1075"/>
      <c r="M684" s="1075"/>
      <c r="N684" s="1075"/>
      <c r="O684" s="1075"/>
      <c r="P684" s="1075"/>
      <c r="Q684" s="1075"/>
      <c r="R684" s="1075"/>
      <c r="S684" s="1081"/>
      <c r="T684" s="1075"/>
      <c r="U684" s="1075"/>
      <c r="V684" s="1075"/>
      <c r="W684" s="1075"/>
      <c r="X684" s="1075"/>
      <c r="Y684" s="1075"/>
      <c r="Z684" s="1075"/>
      <c r="AA684" s="1075"/>
      <c r="AB684" s="1075"/>
      <c r="AC684" s="1075"/>
      <c r="AD684" s="1075"/>
      <c r="AE684" s="1075"/>
      <c r="AF684" s="1075"/>
      <c r="AG684" s="1075"/>
      <c r="AH684" s="1075"/>
      <c r="AI684" s="1075"/>
      <c r="AJ684" s="1075"/>
      <c r="AK684" s="1075"/>
      <c r="AL684" s="1075"/>
      <c r="AM684" s="1075"/>
    </row>
    <row r="685" spans="2:39" x14ac:dyDescent="0.25">
      <c r="B685" s="1082"/>
      <c r="C685" s="1075"/>
      <c r="D685" s="1075"/>
      <c r="E685" s="1075"/>
      <c r="F685" s="1075"/>
      <c r="G685" s="1075"/>
      <c r="H685" s="1075"/>
      <c r="I685" s="1075"/>
      <c r="J685" s="1075"/>
      <c r="K685" s="1075"/>
      <c r="L685" s="1075"/>
      <c r="M685" s="1075"/>
      <c r="N685" s="1075"/>
      <c r="O685" s="1075"/>
      <c r="P685" s="1075"/>
      <c r="Q685" s="1075"/>
      <c r="R685" s="1075"/>
      <c r="S685" s="1081"/>
      <c r="T685" s="1075"/>
      <c r="U685" s="1075"/>
      <c r="V685" s="1075"/>
      <c r="W685" s="1075"/>
      <c r="X685" s="1075"/>
      <c r="Y685" s="1075"/>
      <c r="Z685" s="1075"/>
      <c r="AA685" s="1075"/>
      <c r="AB685" s="1075"/>
      <c r="AC685" s="1075"/>
      <c r="AD685" s="1075"/>
      <c r="AE685" s="1075"/>
      <c r="AF685" s="1075"/>
      <c r="AG685" s="1075"/>
      <c r="AH685" s="1075"/>
      <c r="AI685" s="1075"/>
      <c r="AJ685" s="1075"/>
      <c r="AK685" s="1075"/>
      <c r="AL685" s="1075"/>
      <c r="AM685" s="1075"/>
    </row>
    <row r="686" spans="2:39" x14ac:dyDescent="0.25">
      <c r="B686" s="1082"/>
      <c r="C686" s="1075"/>
      <c r="D686" s="1075"/>
      <c r="E686" s="1075"/>
      <c r="F686" s="1075"/>
      <c r="G686" s="1075"/>
      <c r="H686" s="1075"/>
      <c r="I686" s="1075"/>
      <c r="J686" s="1075"/>
      <c r="K686" s="1075"/>
      <c r="L686" s="1075"/>
      <c r="M686" s="1075"/>
      <c r="N686" s="1075"/>
      <c r="O686" s="1075"/>
      <c r="P686" s="1075"/>
      <c r="Q686" s="1075"/>
      <c r="R686" s="1075"/>
      <c r="S686" s="1081"/>
      <c r="T686" s="1075"/>
      <c r="U686" s="1075"/>
      <c r="V686" s="1075"/>
      <c r="W686" s="1075"/>
      <c r="X686" s="1075"/>
      <c r="Y686" s="1075"/>
      <c r="Z686" s="1075"/>
      <c r="AA686" s="1075"/>
      <c r="AB686" s="1075"/>
      <c r="AC686" s="1075"/>
      <c r="AD686" s="1075"/>
      <c r="AE686" s="1075"/>
      <c r="AF686" s="1075"/>
      <c r="AG686" s="1075"/>
      <c r="AH686" s="1075"/>
      <c r="AI686" s="1075"/>
      <c r="AJ686" s="1075"/>
      <c r="AK686" s="1075"/>
      <c r="AL686" s="1075"/>
      <c r="AM686" s="1075"/>
    </row>
    <row r="687" spans="2:39" x14ac:dyDescent="0.25">
      <c r="B687" s="1082"/>
      <c r="C687" s="1075"/>
      <c r="D687" s="1075"/>
      <c r="E687" s="1075"/>
      <c r="F687" s="1075"/>
      <c r="G687" s="1075"/>
      <c r="H687" s="1075"/>
      <c r="I687" s="1075"/>
      <c r="J687" s="1075"/>
      <c r="K687" s="1075"/>
      <c r="L687" s="1075"/>
      <c r="M687" s="1075"/>
      <c r="N687" s="1075"/>
      <c r="O687" s="1075"/>
      <c r="P687" s="1075"/>
      <c r="Q687" s="1075"/>
      <c r="R687" s="1075"/>
      <c r="S687" s="1081"/>
      <c r="T687" s="1075"/>
      <c r="U687" s="1075"/>
      <c r="V687" s="1075"/>
      <c r="W687" s="1075"/>
      <c r="X687" s="1075"/>
      <c r="Y687" s="1075"/>
      <c r="Z687" s="1075"/>
      <c r="AA687" s="1075"/>
      <c r="AB687" s="1075"/>
      <c r="AC687" s="1075"/>
      <c r="AD687" s="1075"/>
      <c r="AE687" s="1075"/>
      <c r="AF687" s="1075"/>
      <c r="AG687" s="1075"/>
      <c r="AH687" s="1075"/>
      <c r="AI687" s="1075"/>
      <c r="AJ687" s="1075"/>
      <c r="AK687" s="1075"/>
      <c r="AL687" s="1075"/>
      <c r="AM687" s="1075"/>
    </row>
    <row r="688" spans="2:39" x14ac:dyDescent="0.25">
      <c r="B688" s="1082"/>
      <c r="C688" s="1075"/>
      <c r="D688" s="1075"/>
      <c r="E688" s="1075"/>
      <c r="F688" s="1075"/>
      <c r="G688" s="1075"/>
      <c r="H688" s="1075"/>
      <c r="I688" s="1075"/>
      <c r="J688" s="1075"/>
      <c r="K688" s="1075"/>
      <c r="L688" s="1075"/>
      <c r="M688" s="1075"/>
      <c r="N688" s="1075"/>
      <c r="O688" s="1075"/>
      <c r="P688" s="1075"/>
      <c r="Q688" s="1075"/>
      <c r="R688" s="1075"/>
      <c r="S688" s="1081"/>
      <c r="T688" s="1075"/>
      <c r="U688" s="1075"/>
      <c r="V688" s="1075"/>
      <c r="W688" s="1075"/>
      <c r="X688" s="1075"/>
      <c r="Y688" s="1075"/>
      <c r="Z688" s="1075"/>
      <c r="AA688" s="1075"/>
      <c r="AB688" s="1075"/>
      <c r="AC688" s="1075"/>
      <c r="AD688" s="1075"/>
      <c r="AE688" s="1075"/>
      <c r="AF688" s="1075"/>
      <c r="AG688" s="1075"/>
      <c r="AH688" s="1075"/>
      <c r="AI688" s="1075"/>
      <c r="AJ688" s="1075"/>
      <c r="AK688" s="1075"/>
      <c r="AL688" s="1075"/>
      <c r="AM688" s="1075"/>
    </row>
    <row r="689" spans="2:39" x14ac:dyDescent="0.25">
      <c r="B689" s="1082"/>
      <c r="C689" s="1075"/>
      <c r="D689" s="1075"/>
      <c r="E689" s="1075"/>
      <c r="F689" s="1075"/>
      <c r="G689" s="1075"/>
      <c r="H689" s="1075"/>
      <c r="I689" s="1075"/>
      <c r="J689" s="1075"/>
      <c r="K689" s="1075"/>
      <c r="L689" s="1075"/>
      <c r="M689" s="1075"/>
      <c r="N689" s="1075"/>
      <c r="O689" s="1075"/>
      <c r="P689" s="1075"/>
      <c r="Q689" s="1075"/>
      <c r="R689" s="1075"/>
      <c r="S689" s="1081"/>
      <c r="T689" s="1075"/>
      <c r="U689" s="1075"/>
      <c r="V689" s="1075"/>
      <c r="W689" s="1075"/>
      <c r="X689" s="1075"/>
      <c r="Y689" s="1075"/>
      <c r="Z689" s="1075"/>
      <c r="AA689" s="1075"/>
      <c r="AB689" s="1075"/>
      <c r="AC689" s="1075"/>
      <c r="AD689" s="1075"/>
      <c r="AE689" s="1075"/>
      <c r="AF689" s="1075"/>
      <c r="AG689" s="1075"/>
      <c r="AH689" s="1075"/>
      <c r="AI689" s="1075"/>
      <c r="AJ689" s="1075"/>
      <c r="AK689" s="1075"/>
      <c r="AL689" s="1075"/>
      <c r="AM689" s="1075"/>
    </row>
    <row r="690" spans="2:39" x14ac:dyDescent="0.25">
      <c r="B690" s="1082"/>
      <c r="C690" s="1075"/>
      <c r="D690" s="1075"/>
      <c r="E690" s="1075"/>
      <c r="F690" s="1075"/>
      <c r="G690" s="1075"/>
      <c r="H690" s="1075"/>
      <c r="I690" s="1075"/>
      <c r="J690" s="1075"/>
      <c r="K690" s="1075"/>
      <c r="L690" s="1075"/>
      <c r="M690" s="1075"/>
      <c r="N690" s="1075"/>
      <c r="O690" s="1075"/>
      <c r="P690" s="1075"/>
      <c r="Q690" s="1075"/>
      <c r="R690" s="1075"/>
      <c r="S690" s="1081"/>
      <c r="T690" s="1075"/>
      <c r="U690" s="1075"/>
      <c r="V690" s="1075"/>
      <c r="W690" s="1075"/>
      <c r="X690" s="1075"/>
      <c r="Y690" s="1075"/>
      <c r="Z690" s="1075"/>
      <c r="AA690" s="1075"/>
      <c r="AB690" s="1075"/>
      <c r="AC690" s="1075"/>
      <c r="AD690" s="1075"/>
      <c r="AE690" s="1075"/>
      <c r="AF690" s="1075"/>
      <c r="AG690" s="1075"/>
      <c r="AH690" s="1075"/>
      <c r="AI690" s="1075"/>
      <c r="AJ690" s="1075"/>
      <c r="AK690" s="1075"/>
      <c r="AL690" s="1075"/>
      <c r="AM690" s="1075"/>
    </row>
    <row r="691" spans="2:39" x14ac:dyDescent="0.25">
      <c r="B691" s="1082"/>
      <c r="C691" s="1075"/>
      <c r="D691" s="1075"/>
      <c r="E691" s="1075"/>
      <c r="F691" s="1075"/>
      <c r="G691" s="1075"/>
      <c r="H691" s="1075"/>
      <c r="I691" s="1075"/>
      <c r="J691" s="1075"/>
      <c r="K691" s="1075"/>
      <c r="L691" s="1075"/>
      <c r="M691" s="1075"/>
      <c r="N691" s="1075"/>
      <c r="O691" s="1075"/>
      <c r="P691" s="1075"/>
      <c r="Q691" s="1075"/>
      <c r="R691" s="1075"/>
      <c r="S691" s="1081"/>
      <c r="T691" s="1075"/>
      <c r="U691" s="1075"/>
      <c r="V691" s="1075"/>
      <c r="W691" s="1075"/>
      <c r="X691" s="1075"/>
      <c r="Y691" s="1075"/>
      <c r="Z691" s="1075"/>
      <c r="AA691" s="1075"/>
      <c r="AB691" s="1075"/>
      <c r="AC691" s="1075"/>
      <c r="AD691" s="1075"/>
      <c r="AE691" s="1075"/>
      <c r="AF691" s="1075"/>
      <c r="AG691" s="1075"/>
      <c r="AH691" s="1075"/>
      <c r="AI691" s="1075"/>
      <c r="AJ691" s="1075"/>
      <c r="AK691" s="1075"/>
      <c r="AL691" s="1075"/>
      <c r="AM691" s="1075"/>
    </row>
    <row r="692" spans="2:39" x14ac:dyDescent="0.25">
      <c r="B692" s="1082"/>
      <c r="C692" s="1075"/>
      <c r="D692" s="1075"/>
      <c r="E692" s="1075"/>
      <c r="F692" s="1075"/>
      <c r="G692" s="1075"/>
      <c r="H692" s="1075"/>
      <c r="I692" s="1075"/>
      <c r="J692" s="1075"/>
      <c r="K692" s="1075"/>
      <c r="L692" s="1075"/>
      <c r="M692" s="1075"/>
      <c r="N692" s="1075"/>
      <c r="O692" s="1075"/>
      <c r="P692" s="1075"/>
      <c r="Q692" s="1075"/>
      <c r="R692" s="1075"/>
      <c r="S692" s="1081"/>
      <c r="T692" s="1075"/>
      <c r="U692" s="1075"/>
      <c r="V692" s="1075"/>
      <c r="W692" s="1075"/>
      <c r="X692" s="1075"/>
      <c r="Y692" s="1075"/>
      <c r="Z692" s="1075"/>
      <c r="AA692" s="1075"/>
      <c r="AB692" s="1075"/>
      <c r="AC692" s="1075"/>
      <c r="AD692" s="1075"/>
      <c r="AE692" s="1075"/>
      <c r="AF692" s="1075"/>
      <c r="AG692" s="1075"/>
      <c r="AH692" s="1075"/>
      <c r="AI692" s="1075"/>
      <c r="AJ692" s="1075"/>
      <c r="AK692" s="1075"/>
      <c r="AL692" s="1075"/>
      <c r="AM692" s="1075"/>
    </row>
    <row r="693" spans="2:39" x14ac:dyDescent="0.25">
      <c r="B693" s="1082"/>
      <c r="C693" s="1075"/>
      <c r="D693" s="1075"/>
      <c r="E693" s="1075"/>
      <c r="F693" s="1075"/>
      <c r="G693" s="1075"/>
      <c r="H693" s="1075"/>
      <c r="I693" s="1075"/>
      <c r="J693" s="1075"/>
      <c r="K693" s="1075"/>
      <c r="L693" s="1075"/>
      <c r="M693" s="1075"/>
      <c r="N693" s="1075"/>
      <c r="O693" s="1075"/>
      <c r="P693" s="1075"/>
      <c r="Q693" s="1075"/>
      <c r="R693" s="1075"/>
      <c r="S693" s="1081"/>
      <c r="T693" s="1075"/>
      <c r="U693" s="1075"/>
      <c r="V693" s="1075"/>
      <c r="W693" s="1075"/>
      <c r="X693" s="1075"/>
      <c r="Y693" s="1075"/>
      <c r="Z693" s="1075"/>
      <c r="AA693" s="1075"/>
      <c r="AB693" s="1075"/>
      <c r="AC693" s="1075"/>
      <c r="AD693" s="1075"/>
      <c r="AE693" s="1075"/>
      <c r="AF693" s="1075"/>
      <c r="AG693" s="1075"/>
      <c r="AH693" s="1075"/>
      <c r="AI693" s="1075"/>
      <c r="AJ693" s="1075"/>
      <c r="AK693" s="1075"/>
      <c r="AL693" s="1075"/>
      <c r="AM693" s="1075"/>
    </row>
    <row r="694" spans="2:39" x14ac:dyDescent="0.25">
      <c r="B694" s="1082"/>
      <c r="C694" s="1075"/>
      <c r="D694" s="1075"/>
      <c r="E694" s="1075"/>
      <c r="F694" s="1075"/>
      <c r="G694" s="1075"/>
      <c r="H694" s="1075"/>
      <c r="I694" s="1075"/>
      <c r="J694" s="1075"/>
      <c r="K694" s="1075"/>
      <c r="L694" s="1075"/>
      <c r="M694" s="1075"/>
      <c r="N694" s="1075"/>
      <c r="O694" s="1075"/>
      <c r="P694" s="1075"/>
      <c r="Q694" s="1075"/>
      <c r="R694" s="1075"/>
      <c r="S694" s="1081"/>
      <c r="T694" s="1075"/>
      <c r="U694" s="1075"/>
      <c r="V694" s="1075"/>
      <c r="W694" s="1075"/>
      <c r="X694" s="1075"/>
      <c r="Y694" s="1075"/>
      <c r="Z694" s="1075"/>
      <c r="AA694" s="1075"/>
      <c r="AB694" s="1075"/>
      <c r="AC694" s="1075"/>
      <c r="AD694" s="1075"/>
      <c r="AE694" s="1075"/>
      <c r="AF694" s="1075"/>
      <c r="AG694" s="1075"/>
      <c r="AH694" s="1075"/>
      <c r="AI694" s="1075"/>
      <c r="AJ694" s="1075"/>
      <c r="AK694" s="1075"/>
      <c r="AL694" s="1075"/>
      <c r="AM694" s="1075"/>
    </row>
    <row r="695" spans="2:39" x14ac:dyDescent="0.25">
      <c r="B695" s="1082"/>
      <c r="C695" s="1075"/>
      <c r="D695" s="1075"/>
      <c r="E695" s="1075"/>
      <c r="F695" s="1075"/>
      <c r="G695" s="1075"/>
      <c r="H695" s="1075"/>
      <c r="I695" s="1075"/>
      <c r="J695" s="1075"/>
      <c r="K695" s="1075"/>
      <c r="L695" s="1075"/>
      <c r="M695" s="1075"/>
      <c r="N695" s="1075"/>
      <c r="O695" s="1075"/>
      <c r="P695" s="1075"/>
      <c r="Q695" s="1075"/>
      <c r="R695" s="1075"/>
      <c r="S695" s="1081"/>
      <c r="T695" s="1075"/>
      <c r="U695" s="1075"/>
      <c r="V695" s="1075"/>
      <c r="W695" s="1075"/>
      <c r="X695" s="1075"/>
      <c r="Y695" s="1075"/>
      <c r="Z695" s="1075"/>
      <c r="AA695" s="1075"/>
      <c r="AB695" s="1075"/>
      <c r="AC695" s="1075"/>
      <c r="AD695" s="1075"/>
      <c r="AE695" s="1075"/>
      <c r="AF695" s="1075"/>
      <c r="AG695" s="1075"/>
      <c r="AH695" s="1075"/>
      <c r="AI695" s="1075"/>
      <c r="AJ695" s="1075"/>
      <c r="AK695" s="1075"/>
      <c r="AL695" s="1075"/>
      <c r="AM695" s="1075"/>
    </row>
    <row r="696" spans="2:39" x14ac:dyDescent="0.25">
      <c r="B696" s="1082"/>
      <c r="C696" s="1075"/>
      <c r="D696" s="1075"/>
      <c r="E696" s="1075"/>
      <c r="F696" s="1075"/>
      <c r="G696" s="1075"/>
      <c r="H696" s="1075"/>
      <c r="I696" s="1075"/>
      <c r="J696" s="1075"/>
      <c r="K696" s="1075"/>
      <c r="L696" s="1075"/>
      <c r="M696" s="1075"/>
      <c r="N696" s="1075"/>
      <c r="O696" s="1075"/>
      <c r="P696" s="1075"/>
      <c r="Q696" s="1075"/>
      <c r="R696" s="1075"/>
      <c r="S696" s="1081"/>
      <c r="T696" s="1075"/>
      <c r="U696" s="1075"/>
      <c r="V696" s="1075"/>
      <c r="W696" s="1075"/>
      <c r="X696" s="1075"/>
      <c r="Y696" s="1075"/>
      <c r="Z696" s="1075"/>
      <c r="AA696" s="1075"/>
      <c r="AB696" s="1075"/>
      <c r="AC696" s="1075"/>
      <c r="AD696" s="1075"/>
      <c r="AE696" s="1075"/>
      <c r="AF696" s="1075"/>
      <c r="AG696" s="1075"/>
      <c r="AH696" s="1075"/>
      <c r="AI696" s="1075"/>
      <c r="AJ696" s="1075"/>
      <c r="AK696" s="1075"/>
      <c r="AL696" s="1075"/>
      <c r="AM696" s="1075"/>
    </row>
    <row r="697" spans="2:39" x14ac:dyDescent="0.25">
      <c r="B697" s="1082"/>
      <c r="C697" s="1075"/>
      <c r="D697" s="1075"/>
      <c r="E697" s="1075"/>
      <c r="F697" s="1075"/>
      <c r="G697" s="1075"/>
      <c r="H697" s="1075"/>
      <c r="I697" s="1075"/>
      <c r="J697" s="1075"/>
      <c r="K697" s="1075"/>
      <c r="L697" s="1075"/>
      <c r="M697" s="1075"/>
      <c r="N697" s="1075"/>
      <c r="O697" s="1075"/>
      <c r="P697" s="1075"/>
      <c r="Q697" s="1075"/>
      <c r="R697" s="1075"/>
      <c r="S697" s="1081"/>
      <c r="T697" s="1075"/>
      <c r="U697" s="1075"/>
      <c r="V697" s="1075"/>
      <c r="W697" s="1075"/>
      <c r="X697" s="1075"/>
      <c r="Y697" s="1075"/>
      <c r="Z697" s="1075"/>
      <c r="AA697" s="1075"/>
      <c r="AB697" s="1075"/>
      <c r="AC697" s="1075"/>
      <c r="AD697" s="1075"/>
      <c r="AE697" s="1075"/>
      <c r="AF697" s="1075"/>
      <c r="AG697" s="1075"/>
      <c r="AH697" s="1075"/>
      <c r="AI697" s="1075"/>
      <c r="AJ697" s="1075"/>
      <c r="AK697" s="1075"/>
      <c r="AL697" s="1075"/>
      <c r="AM697" s="1075"/>
    </row>
    <row r="698" spans="2:39" x14ac:dyDescent="0.25">
      <c r="B698" s="1082"/>
      <c r="C698" s="1075"/>
      <c r="D698" s="1075"/>
      <c r="E698" s="1075"/>
      <c r="F698" s="1075"/>
      <c r="G698" s="1075"/>
      <c r="H698" s="1075"/>
      <c r="I698" s="1075"/>
      <c r="J698" s="1075"/>
      <c r="K698" s="1075"/>
      <c r="L698" s="1075"/>
      <c r="M698" s="1075"/>
      <c r="N698" s="1075"/>
      <c r="O698" s="1075"/>
      <c r="P698" s="1075"/>
      <c r="Q698" s="1075"/>
      <c r="R698" s="1075"/>
      <c r="S698" s="1081"/>
      <c r="T698" s="1075"/>
      <c r="U698" s="1075"/>
      <c r="V698" s="1075"/>
      <c r="W698" s="1075"/>
      <c r="X698" s="1075"/>
      <c r="Y698" s="1075"/>
      <c r="Z698" s="1075"/>
      <c r="AA698" s="1075"/>
      <c r="AB698" s="1075"/>
      <c r="AC698" s="1075"/>
      <c r="AD698" s="1075"/>
      <c r="AE698" s="1075"/>
      <c r="AF698" s="1075"/>
      <c r="AG698" s="1075"/>
      <c r="AH698" s="1075"/>
      <c r="AI698" s="1075"/>
      <c r="AJ698" s="1075"/>
      <c r="AK698" s="1075"/>
      <c r="AL698" s="1075"/>
      <c r="AM698" s="1075"/>
    </row>
    <row r="699" spans="2:39" x14ac:dyDescent="0.25">
      <c r="B699" s="1082"/>
      <c r="C699" s="1075"/>
      <c r="D699" s="1075"/>
      <c r="E699" s="1075"/>
      <c r="F699" s="1075"/>
      <c r="G699" s="1075"/>
      <c r="H699" s="1075"/>
      <c r="I699" s="1075"/>
      <c r="J699" s="1075"/>
      <c r="K699" s="1075"/>
      <c r="L699" s="1075"/>
      <c r="M699" s="1075"/>
      <c r="N699" s="1075"/>
      <c r="O699" s="1075"/>
      <c r="P699" s="1075"/>
      <c r="Q699" s="1075"/>
      <c r="R699" s="1075"/>
      <c r="S699" s="1081"/>
      <c r="T699" s="1075"/>
      <c r="U699" s="1075"/>
      <c r="V699" s="1075"/>
      <c r="W699" s="1075"/>
      <c r="X699" s="1075"/>
      <c r="Y699" s="1075"/>
      <c r="Z699" s="1075"/>
      <c r="AA699" s="1075"/>
      <c r="AB699" s="1075"/>
      <c r="AC699" s="1075"/>
      <c r="AD699" s="1075"/>
      <c r="AE699" s="1075"/>
      <c r="AF699" s="1075"/>
      <c r="AG699" s="1075"/>
      <c r="AH699" s="1075"/>
      <c r="AI699" s="1075"/>
      <c r="AJ699" s="1075"/>
      <c r="AK699" s="1075"/>
      <c r="AL699" s="1075"/>
      <c r="AM699" s="1075"/>
    </row>
    <row r="700" spans="2:39" x14ac:dyDescent="0.25">
      <c r="B700" s="1082"/>
      <c r="C700" s="1075"/>
      <c r="D700" s="1075"/>
      <c r="E700" s="1075"/>
      <c r="F700" s="1075"/>
      <c r="G700" s="1075"/>
      <c r="H700" s="1075"/>
      <c r="I700" s="1075"/>
      <c r="J700" s="1075"/>
      <c r="K700" s="1075"/>
      <c r="L700" s="1075"/>
      <c r="M700" s="1075"/>
      <c r="N700" s="1075"/>
      <c r="O700" s="1075"/>
      <c r="P700" s="1075"/>
      <c r="Q700" s="1075"/>
      <c r="R700" s="1075"/>
      <c r="S700" s="1081"/>
      <c r="T700" s="1075"/>
      <c r="U700" s="1075"/>
      <c r="V700" s="1075"/>
      <c r="W700" s="1075"/>
      <c r="X700" s="1075"/>
      <c r="Y700" s="1075"/>
      <c r="Z700" s="1075"/>
      <c r="AA700" s="1075"/>
      <c r="AB700" s="1075"/>
      <c r="AC700" s="1075"/>
      <c r="AD700" s="1075"/>
      <c r="AE700" s="1075"/>
      <c r="AF700" s="1075"/>
      <c r="AG700" s="1075"/>
      <c r="AH700" s="1075"/>
      <c r="AI700" s="1075"/>
      <c r="AJ700" s="1075"/>
      <c r="AK700" s="1075"/>
      <c r="AL700" s="1075"/>
      <c r="AM700" s="1075"/>
    </row>
    <row r="701" spans="2:39" x14ac:dyDescent="0.25">
      <c r="B701" s="1082"/>
      <c r="C701" s="1075"/>
      <c r="D701" s="1075"/>
      <c r="E701" s="1075"/>
      <c r="F701" s="1075"/>
      <c r="G701" s="1075"/>
      <c r="H701" s="1075"/>
      <c r="I701" s="1075"/>
      <c r="J701" s="1075"/>
      <c r="K701" s="1075"/>
      <c r="L701" s="1075"/>
      <c r="M701" s="1075"/>
      <c r="N701" s="1075"/>
      <c r="O701" s="1075"/>
      <c r="P701" s="1075"/>
      <c r="Q701" s="1075"/>
      <c r="R701" s="1075"/>
      <c r="S701" s="1081"/>
      <c r="T701" s="1075"/>
      <c r="U701" s="1075"/>
      <c r="V701" s="1075"/>
      <c r="W701" s="1075"/>
      <c r="X701" s="1075"/>
      <c r="Y701" s="1075"/>
      <c r="Z701" s="1075"/>
      <c r="AA701" s="1075"/>
      <c r="AB701" s="1075"/>
      <c r="AC701" s="1075"/>
      <c r="AD701" s="1075"/>
      <c r="AE701" s="1075"/>
      <c r="AF701" s="1075"/>
      <c r="AG701" s="1075"/>
      <c r="AH701" s="1075"/>
      <c r="AI701" s="1075"/>
      <c r="AJ701" s="1075"/>
      <c r="AK701" s="1075"/>
      <c r="AL701" s="1075"/>
      <c r="AM701" s="1075"/>
    </row>
    <row r="702" spans="2:39" x14ac:dyDescent="0.25">
      <c r="B702" s="1082"/>
      <c r="C702" s="1075"/>
      <c r="D702" s="1075"/>
      <c r="E702" s="1075"/>
      <c r="F702" s="1075"/>
      <c r="G702" s="1075"/>
      <c r="H702" s="1075"/>
      <c r="I702" s="1075"/>
      <c r="J702" s="1075"/>
      <c r="K702" s="1075"/>
      <c r="L702" s="1075"/>
      <c r="M702" s="1075"/>
      <c r="N702" s="1075"/>
      <c r="O702" s="1075"/>
      <c r="P702" s="1075"/>
      <c r="Q702" s="1075"/>
      <c r="R702" s="1075"/>
      <c r="S702" s="1081"/>
      <c r="T702" s="1075"/>
      <c r="U702" s="1075"/>
      <c r="V702" s="1075"/>
      <c r="W702" s="1075"/>
      <c r="X702" s="1075"/>
      <c r="Y702" s="1075"/>
      <c r="Z702" s="1075"/>
      <c r="AA702" s="1075"/>
      <c r="AB702" s="1075"/>
      <c r="AC702" s="1075"/>
      <c r="AD702" s="1075"/>
      <c r="AE702" s="1075"/>
      <c r="AF702" s="1075"/>
      <c r="AG702" s="1075"/>
      <c r="AH702" s="1075"/>
      <c r="AI702" s="1075"/>
      <c r="AJ702" s="1075"/>
      <c r="AK702" s="1075"/>
      <c r="AL702" s="1075"/>
      <c r="AM702" s="1075"/>
    </row>
    <row r="703" spans="2:39" x14ac:dyDescent="0.25">
      <c r="B703" s="1082"/>
      <c r="C703" s="1075"/>
      <c r="D703" s="1075"/>
      <c r="E703" s="1075"/>
      <c r="F703" s="1075"/>
      <c r="G703" s="1075"/>
      <c r="H703" s="1075"/>
      <c r="I703" s="1075"/>
      <c r="J703" s="1075"/>
      <c r="K703" s="1075"/>
      <c r="L703" s="1075"/>
      <c r="M703" s="1075"/>
      <c r="N703" s="1075"/>
      <c r="O703" s="1075"/>
      <c r="P703" s="1075"/>
      <c r="Q703" s="1075"/>
      <c r="R703" s="1075"/>
      <c r="S703" s="1081"/>
      <c r="T703" s="1075"/>
      <c r="U703" s="1075"/>
      <c r="V703" s="1075"/>
      <c r="W703" s="1075"/>
      <c r="X703" s="1075"/>
      <c r="Y703" s="1075"/>
      <c r="Z703" s="1075"/>
      <c r="AA703" s="1075"/>
      <c r="AB703" s="1075"/>
      <c r="AC703" s="1075"/>
      <c r="AD703" s="1075"/>
      <c r="AE703" s="1075"/>
      <c r="AF703" s="1075"/>
      <c r="AG703" s="1075"/>
      <c r="AH703" s="1075"/>
      <c r="AI703" s="1075"/>
      <c r="AJ703" s="1075"/>
      <c r="AK703" s="1075"/>
      <c r="AL703" s="1075"/>
      <c r="AM703" s="1075"/>
    </row>
    <row r="704" spans="2:39" x14ac:dyDescent="0.25">
      <c r="B704" s="1082"/>
      <c r="C704" s="1075"/>
      <c r="D704" s="1075"/>
      <c r="E704" s="1075"/>
      <c r="F704" s="1075"/>
      <c r="G704" s="1075"/>
      <c r="H704" s="1075"/>
      <c r="I704" s="1075"/>
      <c r="J704" s="1075"/>
      <c r="K704" s="1075"/>
      <c r="L704" s="1075"/>
      <c r="M704" s="1075"/>
      <c r="N704" s="1075"/>
      <c r="O704" s="1075"/>
      <c r="P704" s="1075"/>
      <c r="Q704" s="1075"/>
      <c r="R704" s="1075"/>
      <c r="S704" s="1081"/>
      <c r="T704" s="1075"/>
      <c r="U704" s="1075"/>
      <c r="V704" s="1075"/>
      <c r="W704" s="1075"/>
      <c r="X704" s="1075"/>
      <c r="Y704" s="1075"/>
      <c r="Z704" s="1075"/>
      <c r="AA704" s="1075"/>
      <c r="AB704" s="1075"/>
      <c r="AC704" s="1075"/>
      <c r="AD704" s="1075"/>
      <c r="AE704" s="1075"/>
      <c r="AF704" s="1075"/>
      <c r="AG704" s="1075"/>
      <c r="AH704" s="1075"/>
      <c r="AI704" s="1075"/>
      <c r="AJ704" s="1075"/>
      <c r="AK704" s="1075"/>
      <c r="AL704" s="1075"/>
      <c r="AM704" s="1075"/>
    </row>
    <row r="705" spans="2:39" x14ac:dyDescent="0.25">
      <c r="B705" s="1082"/>
      <c r="C705" s="1075"/>
      <c r="D705" s="1075"/>
      <c r="E705" s="1075"/>
      <c r="F705" s="1075"/>
      <c r="G705" s="1075"/>
      <c r="H705" s="1075"/>
      <c r="I705" s="1075"/>
      <c r="J705" s="1075"/>
      <c r="K705" s="1075"/>
      <c r="L705" s="1075"/>
      <c r="M705" s="1075"/>
      <c r="N705" s="1075"/>
      <c r="O705" s="1075"/>
      <c r="P705" s="1075"/>
      <c r="Q705" s="1075"/>
      <c r="R705" s="1075"/>
      <c r="S705" s="1081"/>
      <c r="T705" s="1075"/>
      <c r="U705" s="1075"/>
      <c r="V705" s="1075"/>
      <c r="W705" s="1075"/>
      <c r="X705" s="1075"/>
      <c r="Y705" s="1075"/>
      <c r="Z705" s="1075"/>
      <c r="AA705" s="1075"/>
      <c r="AB705" s="1075"/>
      <c r="AC705" s="1075"/>
      <c r="AD705" s="1075"/>
      <c r="AE705" s="1075"/>
      <c r="AF705" s="1075"/>
      <c r="AG705" s="1075"/>
      <c r="AH705" s="1075"/>
      <c r="AI705" s="1075"/>
      <c r="AJ705" s="1075"/>
      <c r="AK705" s="1075"/>
      <c r="AL705" s="1075"/>
      <c r="AM705" s="1075"/>
    </row>
    <row r="706" spans="2:39" x14ac:dyDescent="0.25">
      <c r="B706" s="1082"/>
      <c r="C706" s="1075"/>
      <c r="D706" s="1075"/>
      <c r="E706" s="1075"/>
      <c r="F706" s="1075"/>
      <c r="G706" s="1075"/>
      <c r="H706" s="1075"/>
      <c r="I706" s="1075"/>
      <c r="J706" s="1075"/>
      <c r="K706" s="1075"/>
      <c r="L706" s="1075"/>
      <c r="M706" s="1075"/>
      <c r="N706" s="1075"/>
      <c r="O706" s="1075"/>
      <c r="P706" s="1075"/>
      <c r="Q706" s="1075"/>
      <c r="R706" s="1075"/>
      <c r="S706" s="1081"/>
      <c r="T706" s="1075"/>
      <c r="U706" s="1075"/>
      <c r="V706" s="1075"/>
      <c r="W706" s="1075"/>
      <c r="X706" s="1075"/>
      <c r="Y706" s="1075"/>
      <c r="Z706" s="1075"/>
      <c r="AA706" s="1075"/>
      <c r="AB706" s="1075"/>
      <c r="AC706" s="1075"/>
      <c r="AD706" s="1075"/>
      <c r="AE706" s="1075"/>
      <c r="AF706" s="1075"/>
      <c r="AG706" s="1075"/>
      <c r="AH706" s="1075"/>
      <c r="AI706" s="1075"/>
      <c r="AJ706" s="1075"/>
      <c r="AK706" s="1075"/>
      <c r="AL706" s="1075"/>
      <c r="AM706" s="1075"/>
    </row>
    <row r="707" spans="2:39" x14ac:dyDescent="0.25">
      <c r="B707" s="1082"/>
      <c r="C707" s="1075"/>
      <c r="D707" s="1075"/>
      <c r="E707" s="1075"/>
      <c r="F707" s="1075"/>
      <c r="G707" s="1075"/>
      <c r="H707" s="1075"/>
      <c r="I707" s="1075"/>
      <c r="J707" s="1075"/>
      <c r="K707" s="1075"/>
      <c r="L707" s="1075"/>
      <c r="M707" s="1075"/>
      <c r="N707" s="1075"/>
      <c r="O707" s="1075"/>
      <c r="P707" s="1075"/>
      <c r="Q707" s="1075"/>
      <c r="R707" s="1075"/>
      <c r="S707" s="1081"/>
      <c r="T707" s="1075"/>
      <c r="U707" s="1075"/>
      <c r="V707" s="1075"/>
      <c r="W707" s="1075"/>
      <c r="X707" s="1075"/>
      <c r="Y707" s="1075"/>
      <c r="Z707" s="1075"/>
      <c r="AA707" s="1075"/>
      <c r="AB707" s="1075"/>
      <c r="AC707" s="1075"/>
      <c r="AD707" s="1075"/>
      <c r="AE707" s="1075"/>
      <c r="AF707" s="1075"/>
      <c r="AG707" s="1075"/>
      <c r="AH707" s="1075"/>
      <c r="AI707" s="1075"/>
      <c r="AJ707" s="1075"/>
      <c r="AK707" s="1075"/>
      <c r="AL707" s="1075"/>
      <c r="AM707" s="1075"/>
    </row>
    <row r="708" spans="2:39" x14ac:dyDescent="0.25">
      <c r="B708" s="1082"/>
      <c r="C708" s="1075"/>
      <c r="D708" s="1075"/>
      <c r="E708" s="1075"/>
      <c r="F708" s="1075"/>
      <c r="G708" s="1075"/>
      <c r="H708" s="1075"/>
      <c r="I708" s="1075"/>
      <c r="J708" s="1075"/>
      <c r="K708" s="1075"/>
      <c r="L708" s="1075"/>
      <c r="M708" s="1075"/>
      <c r="N708" s="1075"/>
      <c r="O708" s="1075"/>
      <c r="P708" s="1075"/>
      <c r="Q708" s="1075"/>
      <c r="R708" s="1075"/>
      <c r="S708" s="1081"/>
      <c r="T708" s="1075"/>
      <c r="U708" s="1075"/>
      <c r="V708" s="1075"/>
      <c r="W708" s="1075"/>
      <c r="X708" s="1075"/>
      <c r="Y708" s="1075"/>
      <c r="Z708" s="1075"/>
      <c r="AA708" s="1075"/>
      <c r="AB708" s="1075"/>
      <c r="AC708" s="1075"/>
      <c r="AD708" s="1075"/>
      <c r="AE708" s="1075"/>
      <c r="AF708" s="1075"/>
      <c r="AG708" s="1075"/>
      <c r="AH708" s="1075"/>
      <c r="AI708" s="1075"/>
      <c r="AJ708" s="1075"/>
      <c r="AK708" s="1075"/>
      <c r="AL708" s="1075"/>
      <c r="AM708" s="1075"/>
    </row>
    <row r="709" spans="2:39" x14ac:dyDescent="0.25">
      <c r="B709" s="1082"/>
      <c r="C709" s="1075"/>
      <c r="D709" s="1075"/>
      <c r="E709" s="1075"/>
      <c r="F709" s="1075"/>
      <c r="G709" s="1075"/>
      <c r="H709" s="1075"/>
      <c r="I709" s="1075"/>
      <c r="J709" s="1075"/>
      <c r="K709" s="1075"/>
      <c r="L709" s="1075"/>
      <c r="M709" s="1075"/>
      <c r="N709" s="1075"/>
      <c r="O709" s="1075"/>
      <c r="P709" s="1075"/>
      <c r="Q709" s="1075"/>
      <c r="R709" s="1075"/>
      <c r="S709" s="1081"/>
      <c r="T709" s="1075"/>
      <c r="U709" s="1075"/>
      <c r="V709" s="1075"/>
      <c r="W709" s="1075"/>
      <c r="X709" s="1075"/>
      <c r="Y709" s="1075"/>
      <c r="Z709" s="1075"/>
      <c r="AA709" s="1075"/>
      <c r="AB709" s="1075"/>
      <c r="AC709" s="1075"/>
      <c r="AD709" s="1075"/>
      <c r="AE709" s="1075"/>
      <c r="AF709" s="1075"/>
      <c r="AG709" s="1075"/>
      <c r="AH709" s="1075"/>
      <c r="AI709" s="1075"/>
      <c r="AJ709" s="1075"/>
      <c r="AK709" s="1075"/>
      <c r="AL709" s="1075"/>
      <c r="AM709" s="1075"/>
    </row>
    <row r="710" spans="2:39" x14ac:dyDescent="0.25">
      <c r="B710" s="1082"/>
      <c r="C710" s="1075"/>
      <c r="D710" s="1075"/>
      <c r="E710" s="1075"/>
      <c r="F710" s="1075"/>
      <c r="G710" s="1075"/>
      <c r="H710" s="1075"/>
      <c r="I710" s="1075"/>
      <c r="J710" s="1075"/>
      <c r="K710" s="1075"/>
      <c r="L710" s="1075"/>
      <c r="M710" s="1075"/>
      <c r="N710" s="1075"/>
      <c r="O710" s="1075"/>
      <c r="P710" s="1075"/>
      <c r="Q710" s="1075"/>
      <c r="R710" s="1075"/>
      <c r="S710" s="1081"/>
      <c r="T710" s="1075"/>
      <c r="U710" s="1075"/>
      <c r="V710" s="1075"/>
      <c r="W710" s="1075"/>
      <c r="X710" s="1075"/>
      <c r="Y710" s="1075"/>
      <c r="Z710" s="1075"/>
      <c r="AA710" s="1075"/>
      <c r="AB710" s="1075"/>
      <c r="AC710" s="1075"/>
      <c r="AD710" s="1075"/>
      <c r="AE710" s="1075"/>
      <c r="AF710" s="1075"/>
      <c r="AG710" s="1075"/>
      <c r="AH710" s="1075"/>
      <c r="AI710" s="1075"/>
      <c r="AJ710" s="1075"/>
      <c r="AK710" s="1075"/>
      <c r="AL710" s="1075"/>
      <c r="AM710" s="1075"/>
    </row>
    <row r="711" spans="2:39" x14ac:dyDescent="0.25">
      <c r="B711" s="1082"/>
      <c r="C711" s="1075"/>
      <c r="D711" s="1075"/>
      <c r="E711" s="1075"/>
      <c r="F711" s="1075"/>
      <c r="G711" s="1075"/>
      <c r="H711" s="1075"/>
      <c r="I711" s="1075"/>
      <c r="J711" s="1075"/>
      <c r="K711" s="1075"/>
      <c r="L711" s="1075"/>
      <c r="M711" s="1075"/>
      <c r="N711" s="1075"/>
      <c r="O711" s="1075"/>
      <c r="P711" s="1075"/>
      <c r="Q711" s="1075"/>
      <c r="R711" s="1075"/>
      <c r="S711" s="1081"/>
      <c r="T711" s="1075"/>
      <c r="U711" s="1075"/>
      <c r="V711" s="1075"/>
      <c r="W711" s="1075"/>
      <c r="X711" s="1075"/>
      <c r="Y711" s="1075"/>
      <c r="Z711" s="1075"/>
      <c r="AA711" s="1075"/>
      <c r="AB711" s="1075"/>
      <c r="AC711" s="1075"/>
      <c r="AD711" s="1075"/>
      <c r="AE711" s="1075"/>
      <c r="AF711" s="1075"/>
      <c r="AG711" s="1075"/>
      <c r="AH711" s="1075"/>
      <c r="AI711" s="1075"/>
      <c r="AJ711" s="1075"/>
      <c r="AK711" s="1075"/>
      <c r="AL711" s="1075"/>
      <c r="AM711" s="1075"/>
    </row>
    <row r="712" spans="2:39" x14ac:dyDescent="0.25">
      <c r="B712" s="1082"/>
      <c r="C712" s="1075"/>
      <c r="D712" s="1075"/>
      <c r="E712" s="1075"/>
      <c r="F712" s="1075"/>
      <c r="G712" s="1075"/>
      <c r="H712" s="1075"/>
      <c r="I712" s="1075"/>
      <c r="J712" s="1075"/>
      <c r="K712" s="1075"/>
      <c r="L712" s="1075"/>
      <c r="M712" s="1075"/>
      <c r="N712" s="1075"/>
      <c r="O712" s="1075"/>
      <c r="P712" s="1075"/>
      <c r="Q712" s="1075"/>
      <c r="R712" s="1075"/>
      <c r="S712" s="1081"/>
      <c r="T712" s="1075"/>
      <c r="U712" s="1075"/>
      <c r="V712" s="1075"/>
      <c r="W712" s="1075"/>
      <c r="X712" s="1075"/>
      <c r="Y712" s="1075"/>
      <c r="Z712" s="1075"/>
      <c r="AA712" s="1075"/>
      <c r="AB712" s="1075"/>
      <c r="AC712" s="1075"/>
      <c r="AD712" s="1075"/>
      <c r="AE712" s="1075"/>
      <c r="AF712" s="1075"/>
      <c r="AG712" s="1075"/>
      <c r="AH712" s="1075"/>
      <c r="AI712" s="1075"/>
      <c r="AJ712" s="1075"/>
      <c r="AK712" s="1075"/>
      <c r="AL712" s="1075"/>
      <c r="AM712" s="1075"/>
    </row>
    <row r="713" spans="2:39" x14ac:dyDescent="0.25">
      <c r="B713" s="1082"/>
      <c r="C713" s="1075"/>
      <c r="D713" s="1075"/>
      <c r="E713" s="1075"/>
      <c r="F713" s="1075"/>
      <c r="G713" s="1075"/>
      <c r="H713" s="1075"/>
      <c r="I713" s="1075"/>
      <c r="J713" s="1075"/>
      <c r="K713" s="1075"/>
      <c r="L713" s="1075"/>
      <c r="M713" s="1075"/>
      <c r="N713" s="1075"/>
      <c r="O713" s="1075"/>
      <c r="P713" s="1075"/>
      <c r="Q713" s="1075"/>
      <c r="R713" s="1075"/>
      <c r="S713" s="1081"/>
      <c r="T713" s="1075"/>
      <c r="U713" s="1075"/>
      <c r="V713" s="1075"/>
      <c r="W713" s="1075"/>
      <c r="X713" s="1075"/>
      <c r="Y713" s="1075"/>
      <c r="Z713" s="1075"/>
      <c r="AA713" s="1075"/>
      <c r="AB713" s="1075"/>
      <c r="AC713" s="1075"/>
      <c r="AD713" s="1075"/>
      <c r="AE713" s="1075"/>
      <c r="AF713" s="1075"/>
      <c r="AG713" s="1075"/>
      <c r="AH713" s="1075"/>
      <c r="AI713" s="1075"/>
      <c r="AJ713" s="1075"/>
      <c r="AK713" s="1075"/>
      <c r="AL713" s="1075"/>
      <c r="AM713" s="1075"/>
    </row>
    <row r="714" spans="2:39" x14ac:dyDescent="0.25">
      <c r="B714" s="1082"/>
      <c r="C714" s="1075"/>
      <c r="D714" s="1075"/>
      <c r="E714" s="1075"/>
      <c r="F714" s="1075"/>
      <c r="G714" s="1075"/>
      <c r="H714" s="1075"/>
      <c r="I714" s="1075"/>
      <c r="J714" s="1075"/>
      <c r="K714" s="1075"/>
      <c r="L714" s="1075"/>
      <c r="M714" s="1075"/>
      <c r="N714" s="1075"/>
      <c r="O714" s="1075"/>
      <c r="P714" s="1075"/>
      <c r="Q714" s="1075"/>
      <c r="R714" s="1075"/>
      <c r="S714" s="1081"/>
      <c r="T714" s="1075"/>
      <c r="U714" s="1075"/>
      <c r="V714" s="1075"/>
      <c r="W714" s="1075"/>
      <c r="X714" s="1075"/>
      <c r="Y714" s="1075"/>
      <c r="Z714" s="1075"/>
      <c r="AA714" s="1075"/>
      <c r="AB714" s="1075"/>
      <c r="AC714" s="1075"/>
      <c r="AD714" s="1075"/>
      <c r="AE714" s="1075"/>
      <c r="AF714" s="1075"/>
      <c r="AG714" s="1075"/>
      <c r="AH714" s="1075"/>
      <c r="AI714" s="1075"/>
      <c r="AJ714" s="1075"/>
      <c r="AK714" s="1075"/>
      <c r="AL714" s="1075"/>
      <c r="AM714" s="1075"/>
    </row>
    <row r="715" spans="2:39" x14ac:dyDescent="0.25">
      <c r="B715" s="1082"/>
      <c r="C715" s="1075"/>
      <c r="D715" s="1075"/>
      <c r="E715" s="1075"/>
      <c r="F715" s="1075"/>
      <c r="G715" s="1075"/>
      <c r="H715" s="1075"/>
      <c r="I715" s="1075"/>
      <c r="J715" s="1075"/>
      <c r="K715" s="1075"/>
      <c r="L715" s="1075"/>
      <c r="M715" s="1075"/>
      <c r="N715" s="1075"/>
      <c r="O715" s="1075"/>
      <c r="P715" s="1075"/>
      <c r="Q715" s="1075"/>
      <c r="R715" s="1075"/>
      <c r="S715" s="1081"/>
      <c r="T715" s="1075"/>
      <c r="U715" s="1075"/>
      <c r="V715" s="1075"/>
      <c r="W715" s="1075"/>
      <c r="X715" s="1075"/>
      <c r="Y715" s="1075"/>
      <c r="Z715" s="1075"/>
      <c r="AA715" s="1075"/>
      <c r="AB715" s="1075"/>
      <c r="AC715" s="1075"/>
      <c r="AD715" s="1075"/>
      <c r="AE715" s="1075"/>
      <c r="AF715" s="1075"/>
      <c r="AG715" s="1075"/>
      <c r="AH715" s="1075"/>
      <c r="AI715" s="1075"/>
      <c r="AJ715" s="1075"/>
      <c r="AK715" s="1075"/>
      <c r="AL715" s="1075"/>
      <c r="AM715" s="1075"/>
    </row>
    <row r="716" spans="2:39" x14ac:dyDescent="0.25">
      <c r="B716" s="1082"/>
      <c r="C716" s="1075"/>
      <c r="D716" s="1075"/>
      <c r="E716" s="1075"/>
      <c r="F716" s="1075"/>
      <c r="G716" s="1075"/>
      <c r="H716" s="1075"/>
      <c r="I716" s="1075"/>
      <c r="J716" s="1075"/>
      <c r="K716" s="1075"/>
      <c r="L716" s="1075"/>
      <c r="M716" s="1075"/>
      <c r="N716" s="1075"/>
      <c r="O716" s="1075"/>
      <c r="P716" s="1075"/>
      <c r="Q716" s="1075"/>
      <c r="R716" s="1075"/>
      <c r="S716" s="1081"/>
      <c r="T716" s="1075"/>
      <c r="U716" s="1075"/>
      <c r="V716" s="1075"/>
      <c r="W716" s="1075"/>
      <c r="X716" s="1075"/>
      <c r="Y716" s="1075"/>
      <c r="Z716" s="1075"/>
      <c r="AA716" s="1075"/>
      <c r="AB716" s="1075"/>
      <c r="AC716" s="1075"/>
      <c r="AD716" s="1075"/>
      <c r="AE716" s="1075"/>
      <c r="AF716" s="1075"/>
      <c r="AG716" s="1075"/>
      <c r="AH716" s="1075"/>
      <c r="AI716" s="1075"/>
      <c r="AJ716" s="1075"/>
      <c r="AK716" s="1075"/>
      <c r="AL716" s="1075"/>
      <c r="AM716" s="1075"/>
    </row>
    <row r="717" spans="2:39" x14ac:dyDescent="0.25">
      <c r="B717" s="1082"/>
      <c r="C717" s="1075"/>
      <c r="D717" s="1075"/>
      <c r="E717" s="1075"/>
      <c r="F717" s="1075"/>
      <c r="G717" s="1075"/>
      <c r="H717" s="1075"/>
      <c r="I717" s="1075"/>
      <c r="J717" s="1075"/>
      <c r="K717" s="1075"/>
      <c r="L717" s="1075"/>
      <c r="M717" s="1075"/>
      <c r="N717" s="1075"/>
      <c r="O717" s="1075"/>
      <c r="P717" s="1075"/>
      <c r="Q717" s="1075"/>
      <c r="R717" s="1075"/>
      <c r="S717" s="1081"/>
      <c r="T717" s="1075"/>
      <c r="U717" s="1075"/>
      <c r="V717" s="1075"/>
      <c r="W717" s="1075"/>
      <c r="X717" s="1075"/>
      <c r="Y717" s="1075"/>
      <c r="Z717" s="1075"/>
      <c r="AA717" s="1075"/>
      <c r="AB717" s="1075"/>
      <c r="AC717" s="1075"/>
      <c r="AD717" s="1075"/>
      <c r="AE717" s="1075"/>
      <c r="AF717" s="1075"/>
      <c r="AG717" s="1075"/>
      <c r="AH717" s="1075"/>
      <c r="AI717" s="1075"/>
      <c r="AJ717" s="1075"/>
      <c r="AK717" s="1075"/>
      <c r="AL717" s="1075"/>
      <c r="AM717" s="1075"/>
    </row>
    <row r="718" spans="2:39" x14ac:dyDescent="0.25">
      <c r="B718" s="1082"/>
      <c r="C718" s="1075"/>
      <c r="D718" s="1075"/>
      <c r="E718" s="1075"/>
      <c r="F718" s="1075"/>
      <c r="G718" s="1075"/>
      <c r="H718" s="1075"/>
      <c r="I718" s="1075"/>
      <c r="J718" s="1075"/>
      <c r="K718" s="1075"/>
      <c r="L718" s="1075"/>
      <c r="M718" s="1075"/>
      <c r="N718" s="1075"/>
      <c r="O718" s="1075"/>
      <c r="P718" s="1075"/>
      <c r="Q718" s="1075"/>
      <c r="R718" s="1075"/>
      <c r="S718" s="1081"/>
      <c r="T718" s="1075"/>
      <c r="U718" s="1075"/>
      <c r="V718" s="1075"/>
      <c r="W718" s="1075"/>
      <c r="X718" s="1075"/>
      <c r="Y718" s="1075"/>
      <c r="Z718" s="1075"/>
      <c r="AA718" s="1075"/>
      <c r="AB718" s="1075"/>
      <c r="AC718" s="1075"/>
      <c r="AD718" s="1075"/>
      <c r="AE718" s="1075"/>
      <c r="AF718" s="1075"/>
      <c r="AG718" s="1075"/>
      <c r="AH718" s="1075"/>
      <c r="AI718" s="1075"/>
      <c r="AJ718" s="1075"/>
      <c r="AK718" s="1075"/>
      <c r="AL718" s="1075"/>
      <c r="AM718" s="1075"/>
    </row>
    <row r="719" spans="2:39" x14ac:dyDescent="0.25">
      <c r="B719" s="1082"/>
      <c r="C719" s="1075"/>
      <c r="D719" s="1075"/>
      <c r="E719" s="1075"/>
      <c r="F719" s="1075"/>
      <c r="G719" s="1075"/>
      <c r="H719" s="1075"/>
      <c r="I719" s="1075"/>
      <c r="J719" s="1075"/>
      <c r="K719" s="1075"/>
      <c r="L719" s="1075"/>
      <c r="M719" s="1075"/>
      <c r="N719" s="1075"/>
      <c r="O719" s="1075"/>
      <c r="P719" s="1075"/>
      <c r="Q719" s="1075"/>
      <c r="R719" s="1075"/>
      <c r="S719" s="1081"/>
      <c r="T719" s="1075"/>
      <c r="U719" s="1075"/>
      <c r="V719" s="1075"/>
      <c r="W719" s="1075"/>
      <c r="X719" s="1075"/>
      <c r="Y719" s="1075"/>
      <c r="Z719" s="1075"/>
      <c r="AA719" s="1075"/>
      <c r="AB719" s="1075"/>
      <c r="AC719" s="1075"/>
      <c r="AD719" s="1075"/>
      <c r="AE719" s="1075"/>
      <c r="AF719" s="1075"/>
      <c r="AG719" s="1075"/>
      <c r="AH719" s="1075"/>
      <c r="AI719" s="1075"/>
      <c r="AJ719" s="1075"/>
      <c r="AK719" s="1075"/>
      <c r="AL719" s="1075"/>
      <c r="AM719" s="1075"/>
    </row>
    <row r="720" spans="2:39" x14ac:dyDescent="0.25">
      <c r="B720" s="1082"/>
      <c r="C720" s="1075"/>
      <c r="D720" s="1075"/>
      <c r="E720" s="1075"/>
      <c r="F720" s="1075"/>
      <c r="G720" s="1075"/>
      <c r="H720" s="1075"/>
      <c r="I720" s="1075"/>
      <c r="J720" s="1075"/>
      <c r="K720" s="1075"/>
      <c r="L720" s="1075"/>
      <c r="M720" s="1075"/>
      <c r="N720" s="1075"/>
      <c r="O720" s="1075"/>
      <c r="P720" s="1075"/>
      <c r="Q720" s="1075"/>
      <c r="R720" s="1075"/>
      <c r="S720" s="1081"/>
      <c r="T720" s="1075"/>
      <c r="U720" s="1075"/>
      <c r="V720" s="1075"/>
      <c r="W720" s="1075"/>
      <c r="X720" s="1075"/>
      <c r="Y720" s="1075"/>
      <c r="Z720" s="1075"/>
      <c r="AA720" s="1075"/>
      <c r="AB720" s="1075"/>
      <c r="AC720" s="1075"/>
      <c r="AD720" s="1075"/>
      <c r="AE720" s="1075"/>
      <c r="AF720" s="1075"/>
      <c r="AG720" s="1075"/>
      <c r="AH720" s="1075"/>
      <c r="AI720" s="1075"/>
      <c r="AJ720" s="1075"/>
      <c r="AK720" s="1075"/>
      <c r="AL720" s="1075"/>
      <c r="AM720" s="1075"/>
    </row>
    <row r="721" spans="2:39" x14ac:dyDescent="0.25">
      <c r="B721" s="1082"/>
      <c r="C721" s="1075"/>
      <c r="D721" s="1075"/>
      <c r="E721" s="1075"/>
      <c r="F721" s="1075"/>
      <c r="G721" s="1075"/>
      <c r="H721" s="1075"/>
      <c r="I721" s="1075"/>
      <c r="J721" s="1075"/>
      <c r="K721" s="1075"/>
      <c r="L721" s="1075"/>
      <c r="M721" s="1075"/>
      <c r="N721" s="1075"/>
      <c r="O721" s="1075"/>
      <c r="P721" s="1075"/>
      <c r="Q721" s="1075"/>
      <c r="R721" s="1075"/>
      <c r="S721" s="1081"/>
      <c r="T721" s="1075"/>
      <c r="U721" s="1075"/>
      <c r="V721" s="1075"/>
      <c r="W721" s="1075"/>
      <c r="X721" s="1075"/>
      <c r="Y721" s="1075"/>
      <c r="Z721" s="1075"/>
      <c r="AA721" s="1075"/>
      <c r="AB721" s="1075"/>
      <c r="AC721" s="1075"/>
      <c r="AD721" s="1075"/>
      <c r="AE721" s="1075"/>
      <c r="AF721" s="1075"/>
      <c r="AG721" s="1075"/>
      <c r="AH721" s="1075"/>
      <c r="AI721" s="1075"/>
      <c r="AJ721" s="1075"/>
      <c r="AK721" s="1075"/>
      <c r="AL721" s="1075"/>
      <c r="AM721" s="1075"/>
    </row>
    <row r="722" spans="2:39" x14ac:dyDescent="0.25">
      <c r="B722" s="1082"/>
      <c r="C722" s="1075"/>
      <c r="D722" s="1075"/>
      <c r="E722" s="1075"/>
      <c r="F722" s="1075"/>
      <c r="G722" s="1075"/>
      <c r="H722" s="1075"/>
      <c r="I722" s="1075"/>
      <c r="J722" s="1075"/>
      <c r="K722" s="1075"/>
      <c r="L722" s="1075"/>
      <c r="M722" s="1075"/>
      <c r="N722" s="1075"/>
      <c r="O722" s="1075"/>
      <c r="P722" s="1075"/>
      <c r="Q722" s="1075"/>
      <c r="R722" s="1075"/>
      <c r="S722" s="1081"/>
      <c r="T722" s="1075"/>
      <c r="U722" s="1075"/>
      <c r="V722" s="1075"/>
      <c r="W722" s="1075"/>
      <c r="X722" s="1075"/>
      <c r="Y722" s="1075"/>
      <c r="Z722" s="1075"/>
      <c r="AA722" s="1075"/>
      <c r="AB722" s="1075"/>
      <c r="AC722" s="1075"/>
      <c r="AD722" s="1075"/>
      <c r="AE722" s="1075"/>
      <c r="AF722" s="1075"/>
      <c r="AG722" s="1075"/>
      <c r="AH722" s="1075"/>
      <c r="AI722" s="1075"/>
      <c r="AJ722" s="1075"/>
      <c r="AK722" s="1075"/>
      <c r="AL722" s="1075"/>
      <c r="AM722" s="1075"/>
    </row>
    <row r="723" spans="2:39" x14ac:dyDescent="0.25">
      <c r="B723" s="1082"/>
      <c r="C723" s="1075"/>
      <c r="D723" s="1075"/>
      <c r="E723" s="1075"/>
      <c r="F723" s="1075"/>
      <c r="G723" s="1075"/>
      <c r="H723" s="1075"/>
      <c r="I723" s="1075"/>
      <c r="J723" s="1075"/>
      <c r="K723" s="1075"/>
      <c r="L723" s="1075"/>
      <c r="M723" s="1075"/>
      <c r="N723" s="1075"/>
      <c r="O723" s="1075"/>
      <c r="P723" s="1075"/>
      <c r="Q723" s="1075"/>
      <c r="R723" s="1075"/>
      <c r="S723" s="1081"/>
      <c r="T723" s="1075"/>
      <c r="U723" s="1075"/>
      <c r="V723" s="1075"/>
      <c r="W723" s="1075"/>
      <c r="X723" s="1075"/>
      <c r="Y723" s="1075"/>
      <c r="Z723" s="1075"/>
      <c r="AA723" s="1075"/>
      <c r="AB723" s="1075"/>
      <c r="AC723" s="1075"/>
      <c r="AD723" s="1075"/>
      <c r="AE723" s="1075"/>
      <c r="AF723" s="1075"/>
      <c r="AG723" s="1075"/>
      <c r="AH723" s="1075"/>
      <c r="AI723" s="1075"/>
      <c r="AJ723" s="1075"/>
      <c r="AK723" s="1075"/>
      <c r="AL723" s="1075"/>
      <c r="AM723" s="1075"/>
    </row>
    <row r="724" spans="2:39" x14ac:dyDescent="0.25">
      <c r="B724" s="1082"/>
      <c r="C724" s="1075"/>
      <c r="D724" s="1075"/>
      <c r="E724" s="1075"/>
      <c r="F724" s="1075"/>
      <c r="G724" s="1075"/>
      <c r="H724" s="1075"/>
      <c r="I724" s="1075"/>
      <c r="J724" s="1075"/>
      <c r="K724" s="1075"/>
      <c r="L724" s="1075"/>
      <c r="M724" s="1075"/>
      <c r="N724" s="1075"/>
      <c r="O724" s="1075"/>
      <c r="P724" s="1075"/>
      <c r="Q724" s="1075"/>
      <c r="R724" s="1075"/>
      <c r="S724" s="1081"/>
      <c r="T724" s="1075"/>
      <c r="U724" s="1075"/>
      <c r="V724" s="1075"/>
      <c r="W724" s="1075"/>
      <c r="X724" s="1075"/>
      <c r="Y724" s="1075"/>
      <c r="Z724" s="1075"/>
      <c r="AA724" s="1075"/>
      <c r="AB724" s="1075"/>
      <c r="AC724" s="1075"/>
      <c r="AD724" s="1075"/>
      <c r="AE724" s="1075"/>
      <c r="AF724" s="1075"/>
      <c r="AG724" s="1075"/>
      <c r="AH724" s="1075"/>
      <c r="AI724" s="1075"/>
      <c r="AJ724" s="1075"/>
      <c r="AK724" s="1075"/>
      <c r="AL724" s="1075"/>
      <c r="AM724" s="1075"/>
    </row>
    <row r="725" spans="2:39" x14ac:dyDescent="0.25">
      <c r="B725" s="1082"/>
      <c r="C725" s="1075"/>
      <c r="D725" s="1075"/>
      <c r="E725" s="1075"/>
      <c r="F725" s="1075"/>
      <c r="G725" s="1075"/>
      <c r="H725" s="1075"/>
      <c r="I725" s="1075"/>
      <c r="J725" s="1075"/>
      <c r="K725" s="1075"/>
      <c r="L725" s="1075"/>
      <c r="M725" s="1075"/>
      <c r="N725" s="1075"/>
      <c r="O725" s="1075"/>
      <c r="P725" s="1075"/>
      <c r="Q725" s="1075"/>
      <c r="R725" s="1075"/>
      <c r="S725" s="1081"/>
      <c r="T725" s="1075"/>
      <c r="U725" s="1075"/>
      <c r="V725" s="1075"/>
      <c r="W725" s="1075"/>
      <c r="X725" s="1075"/>
      <c r="Y725" s="1075"/>
      <c r="Z725" s="1075"/>
      <c r="AA725" s="1075"/>
      <c r="AB725" s="1075"/>
      <c r="AC725" s="1075"/>
      <c r="AD725" s="1075"/>
      <c r="AE725" s="1075"/>
      <c r="AF725" s="1075"/>
      <c r="AG725" s="1075"/>
      <c r="AH725" s="1075"/>
      <c r="AI725" s="1075"/>
      <c r="AJ725" s="1075"/>
      <c r="AK725" s="1075"/>
      <c r="AL725" s="1075"/>
      <c r="AM725" s="1075"/>
    </row>
    <row r="726" spans="2:39" x14ac:dyDescent="0.25">
      <c r="B726" s="1082"/>
      <c r="C726" s="1075"/>
      <c r="D726" s="1075"/>
      <c r="E726" s="1075"/>
      <c r="F726" s="1075"/>
      <c r="G726" s="1075"/>
      <c r="H726" s="1075"/>
      <c r="I726" s="1075"/>
      <c r="J726" s="1075"/>
      <c r="K726" s="1075"/>
      <c r="L726" s="1075"/>
      <c r="M726" s="1075"/>
      <c r="N726" s="1075"/>
      <c r="O726" s="1075"/>
      <c r="P726" s="1075"/>
      <c r="Q726" s="1075"/>
      <c r="R726" s="1075"/>
      <c r="S726" s="1081"/>
      <c r="T726" s="1075"/>
      <c r="U726" s="1075"/>
      <c r="V726" s="1075"/>
      <c r="W726" s="1075"/>
      <c r="X726" s="1075"/>
      <c r="Y726" s="1075"/>
      <c r="Z726" s="1075"/>
      <c r="AA726" s="1075"/>
      <c r="AB726" s="1075"/>
      <c r="AC726" s="1075"/>
      <c r="AD726" s="1075"/>
      <c r="AE726" s="1075"/>
      <c r="AF726" s="1075"/>
      <c r="AG726" s="1075"/>
      <c r="AH726" s="1075"/>
      <c r="AI726" s="1075"/>
      <c r="AJ726" s="1075"/>
      <c r="AK726" s="1075"/>
      <c r="AL726" s="1075"/>
      <c r="AM726" s="1075"/>
    </row>
    <row r="727" spans="2:39" x14ac:dyDescent="0.25">
      <c r="B727" s="1082"/>
      <c r="C727" s="1075"/>
      <c r="D727" s="1075"/>
      <c r="E727" s="1075"/>
      <c r="F727" s="1075"/>
      <c r="G727" s="1075"/>
      <c r="H727" s="1075"/>
      <c r="I727" s="1075"/>
      <c r="J727" s="1075"/>
      <c r="K727" s="1075"/>
      <c r="L727" s="1075"/>
      <c r="M727" s="1075"/>
      <c r="N727" s="1075"/>
      <c r="O727" s="1075"/>
      <c r="P727" s="1075"/>
      <c r="Q727" s="1075"/>
      <c r="R727" s="1075"/>
      <c r="S727" s="1081"/>
      <c r="T727" s="1075"/>
      <c r="U727" s="1075"/>
      <c r="V727" s="1075"/>
      <c r="W727" s="1075"/>
      <c r="X727" s="1075"/>
      <c r="Y727" s="1075"/>
      <c r="Z727" s="1075"/>
      <c r="AA727" s="1075"/>
      <c r="AB727" s="1075"/>
      <c r="AC727" s="1075"/>
      <c r="AD727" s="1075"/>
      <c r="AE727" s="1075"/>
      <c r="AF727" s="1075"/>
      <c r="AG727" s="1075"/>
      <c r="AH727" s="1075"/>
      <c r="AI727" s="1075"/>
      <c r="AJ727" s="1075"/>
      <c r="AK727" s="1075"/>
      <c r="AL727" s="1075"/>
      <c r="AM727" s="1075"/>
    </row>
    <row r="728" spans="2:39" x14ac:dyDescent="0.25">
      <c r="B728" s="1082"/>
      <c r="C728" s="1075"/>
      <c r="D728" s="1075"/>
      <c r="E728" s="1075"/>
      <c r="F728" s="1075"/>
      <c r="G728" s="1075"/>
      <c r="H728" s="1075"/>
      <c r="I728" s="1075"/>
      <c r="J728" s="1075"/>
      <c r="K728" s="1075"/>
      <c r="L728" s="1075"/>
      <c r="M728" s="1075"/>
      <c r="N728" s="1075"/>
      <c r="O728" s="1075"/>
      <c r="P728" s="1075"/>
      <c r="Q728" s="1075"/>
      <c r="R728" s="1075"/>
      <c r="S728" s="1081"/>
      <c r="T728" s="1075"/>
      <c r="U728" s="1075"/>
      <c r="V728" s="1075"/>
      <c r="W728" s="1075"/>
      <c r="X728" s="1075"/>
      <c r="Y728" s="1075"/>
      <c r="Z728" s="1075"/>
      <c r="AA728" s="1075"/>
      <c r="AB728" s="1075"/>
      <c r="AC728" s="1075"/>
      <c r="AD728" s="1075"/>
      <c r="AE728" s="1075"/>
      <c r="AF728" s="1075"/>
      <c r="AG728" s="1075"/>
      <c r="AH728" s="1075"/>
      <c r="AI728" s="1075"/>
      <c r="AJ728" s="1075"/>
      <c r="AK728" s="1075"/>
      <c r="AL728" s="1075"/>
      <c r="AM728" s="1075"/>
    </row>
    <row r="729" spans="2:39" x14ac:dyDescent="0.25">
      <c r="B729" s="1082"/>
      <c r="C729" s="1075"/>
      <c r="D729" s="1075"/>
      <c r="E729" s="1075"/>
      <c r="F729" s="1075"/>
      <c r="G729" s="1075"/>
      <c r="H729" s="1075"/>
      <c r="I729" s="1075"/>
      <c r="J729" s="1075"/>
      <c r="K729" s="1075"/>
      <c r="L729" s="1075"/>
      <c r="M729" s="1075"/>
      <c r="N729" s="1075"/>
      <c r="O729" s="1075"/>
      <c r="P729" s="1075"/>
      <c r="Q729" s="1075"/>
      <c r="R729" s="1075"/>
      <c r="S729" s="1081"/>
      <c r="T729" s="1075"/>
      <c r="U729" s="1075"/>
      <c r="V729" s="1075"/>
      <c r="W729" s="1075"/>
      <c r="X729" s="1075"/>
      <c r="Y729" s="1075"/>
      <c r="Z729" s="1075"/>
      <c r="AA729" s="1075"/>
      <c r="AB729" s="1075"/>
      <c r="AC729" s="1075"/>
      <c r="AD729" s="1075"/>
      <c r="AE729" s="1075"/>
      <c r="AF729" s="1075"/>
      <c r="AG729" s="1075"/>
      <c r="AH729" s="1075"/>
      <c r="AI729" s="1075"/>
      <c r="AJ729" s="1075"/>
      <c r="AK729" s="1075"/>
      <c r="AL729" s="1075"/>
      <c r="AM729" s="1075"/>
    </row>
    <row r="730" spans="2:39" x14ac:dyDescent="0.25">
      <c r="B730" s="1082"/>
      <c r="C730" s="1075"/>
      <c r="D730" s="1075"/>
      <c r="E730" s="1075"/>
      <c r="F730" s="1075"/>
      <c r="G730" s="1075"/>
      <c r="H730" s="1075"/>
      <c r="I730" s="1075"/>
      <c r="J730" s="1075"/>
      <c r="K730" s="1075"/>
      <c r="L730" s="1075"/>
      <c r="M730" s="1075"/>
      <c r="N730" s="1075"/>
      <c r="O730" s="1075"/>
      <c r="P730" s="1075"/>
      <c r="Q730" s="1075"/>
      <c r="R730" s="1075"/>
      <c r="S730" s="1081"/>
      <c r="T730" s="1075"/>
      <c r="U730" s="1075"/>
      <c r="V730" s="1075"/>
      <c r="W730" s="1075"/>
      <c r="X730" s="1075"/>
      <c r="Y730" s="1075"/>
      <c r="Z730" s="1075"/>
      <c r="AA730" s="1075"/>
      <c r="AB730" s="1075"/>
      <c r="AC730" s="1075"/>
      <c r="AD730" s="1075"/>
      <c r="AE730" s="1075"/>
      <c r="AF730" s="1075"/>
      <c r="AG730" s="1075"/>
      <c r="AH730" s="1075"/>
      <c r="AI730" s="1075"/>
      <c r="AJ730" s="1075"/>
      <c r="AK730" s="1075"/>
      <c r="AL730" s="1075"/>
      <c r="AM730" s="1075"/>
    </row>
    <row r="731" spans="2:39" x14ac:dyDescent="0.25">
      <c r="B731" s="1082"/>
      <c r="C731" s="1075"/>
      <c r="D731" s="1075"/>
      <c r="E731" s="1075"/>
      <c r="F731" s="1075"/>
      <c r="G731" s="1075"/>
      <c r="H731" s="1075"/>
      <c r="I731" s="1075"/>
      <c r="J731" s="1075"/>
      <c r="K731" s="1075"/>
      <c r="L731" s="1075"/>
      <c r="M731" s="1075"/>
      <c r="N731" s="1075"/>
      <c r="O731" s="1075"/>
      <c r="P731" s="1075"/>
      <c r="Q731" s="1075"/>
      <c r="R731" s="1075"/>
      <c r="S731" s="1081"/>
      <c r="T731" s="1075"/>
      <c r="U731" s="1075"/>
      <c r="V731" s="1075"/>
      <c r="W731" s="1075"/>
      <c r="X731" s="1075"/>
      <c r="Y731" s="1075"/>
      <c r="Z731" s="1075"/>
      <c r="AA731" s="1075"/>
      <c r="AB731" s="1075"/>
      <c r="AC731" s="1075"/>
      <c r="AD731" s="1075"/>
      <c r="AE731" s="1075"/>
      <c r="AF731" s="1075"/>
      <c r="AG731" s="1075"/>
      <c r="AH731" s="1075"/>
      <c r="AI731" s="1075"/>
      <c r="AJ731" s="1075"/>
      <c r="AK731" s="1075"/>
      <c r="AL731" s="1075"/>
      <c r="AM731" s="1075"/>
    </row>
    <row r="732" spans="2:39" x14ac:dyDescent="0.25">
      <c r="B732" s="1082"/>
      <c r="C732" s="1075"/>
      <c r="D732" s="1075"/>
      <c r="E732" s="1075"/>
      <c r="F732" s="1075"/>
      <c r="G732" s="1075"/>
      <c r="H732" s="1075"/>
      <c r="I732" s="1075"/>
      <c r="J732" s="1075"/>
      <c r="K732" s="1075"/>
      <c r="L732" s="1075"/>
      <c r="M732" s="1075"/>
      <c r="N732" s="1075"/>
      <c r="O732" s="1075"/>
      <c r="P732" s="1075"/>
      <c r="Q732" s="1075"/>
      <c r="R732" s="1075"/>
      <c r="S732" s="1081"/>
      <c r="T732" s="1075"/>
      <c r="U732" s="1075"/>
      <c r="V732" s="1075"/>
      <c r="W732" s="1075"/>
      <c r="X732" s="1075"/>
      <c r="Y732" s="1075"/>
      <c r="Z732" s="1075"/>
      <c r="AA732" s="1075"/>
      <c r="AB732" s="1075"/>
      <c r="AC732" s="1075"/>
      <c r="AD732" s="1075"/>
      <c r="AE732" s="1075"/>
      <c r="AF732" s="1075"/>
      <c r="AG732" s="1075"/>
      <c r="AH732" s="1075"/>
      <c r="AI732" s="1075"/>
      <c r="AJ732" s="1075"/>
      <c r="AK732" s="1075"/>
      <c r="AL732" s="1075"/>
      <c r="AM732" s="1075"/>
    </row>
    <row r="733" spans="2:39" x14ac:dyDescent="0.25">
      <c r="B733" s="1082"/>
      <c r="C733" s="1075"/>
      <c r="D733" s="1075"/>
      <c r="E733" s="1075"/>
      <c r="F733" s="1075"/>
      <c r="G733" s="1075"/>
      <c r="H733" s="1075"/>
      <c r="I733" s="1075"/>
      <c r="J733" s="1075"/>
      <c r="K733" s="1075"/>
      <c r="L733" s="1075"/>
      <c r="M733" s="1075"/>
      <c r="N733" s="1075"/>
      <c r="O733" s="1075"/>
      <c r="P733" s="1075"/>
      <c r="Q733" s="1075"/>
      <c r="R733" s="1075"/>
      <c r="S733" s="1081"/>
      <c r="T733" s="1075"/>
      <c r="U733" s="1075"/>
      <c r="V733" s="1075"/>
      <c r="W733" s="1075"/>
      <c r="X733" s="1075"/>
      <c r="Y733" s="1075"/>
      <c r="Z733" s="1075"/>
      <c r="AA733" s="1075"/>
      <c r="AB733" s="1075"/>
      <c r="AC733" s="1075"/>
      <c r="AD733" s="1075"/>
      <c r="AE733" s="1075"/>
      <c r="AF733" s="1075"/>
      <c r="AG733" s="1075"/>
      <c r="AH733" s="1075"/>
      <c r="AI733" s="1075"/>
      <c r="AJ733" s="1075"/>
      <c r="AK733" s="1075"/>
      <c r="AL733" s="1075"/>
      <c r="AM733" s="1075"/>
    </row>
    <row r="734" spans="2:39" x14ac:dyDescent="0.25">
      <c r="B734" s="1082"/>
      <c r="C734" s="1075"/>
      <c r="D734" s="1075"/>
      <c r="E734" s="1075"/>
      <c r="F734" s="1075"/>
      <c r="G734" s="1075"/>
      <c r="H734" s="1075"/>
      <c r="I734" s="1075"/>
      <c r="J734" s="1075"/>
      <c r="K734" s="1075"/>
      <c r="L734" s="1075"/>
      <c r="M734" s="1075"/>
      <c r="N734" s="1075"/>
      <c r="O734" s="1075"/>
      <c r="P734" s="1075"/>
      <c r="Q734" s="1075"/>
      <c r="R734" s="1075"/>
      <c r="S734" s="1081"/>
      <c r="T734" s="1075"/>
      <c r="U734" s="1075"/>
      <c r="V734" s="1075"/>
      <c r="W734" s="1075"/>
      <c r="X734" s="1075"/>
      <c r="Y734" s="1075"/>
      <c r="Z734" s="1075"/>
      <c r="AA734" s="1075"/>
      <c r="AB734" s="1075"/>
      <c r="AC734" s="1075"/>
      <c r="AD734" s="1075"/>
      <c r="AE734" s="1075"/>
      <c r="AF734" s="1075"/>
      <c r="AG734" s="1075"/>
      <c r="AH734" s="1075"/>
      <c r="AI734" s="1075"/>
      <c r="AJ734" s="1075"/>
      <c r="AK734" s="1075"/>
      <c r="AL734" s="1075"/>
      <c r="AM734" s="1075"/>
    </row>
    <row r="735" spans="2:39" x14ac:dyDescent="0.25">
      <c r="B735" s="1082"/>
      <c r="C735" s="1075"/>
      <c r="D735" s="1075"/>
      <c r="E735" s="1075"/>
      <c r="F735" s="1075"/>
      <c r="G735" s="1075"/>
      <c r="H735" s="1075"/>
      <c r="I735" s="1075"/>
      <c r="J735" s="1075"/>
      <c r="K735" s="1075"/>
      <c r="L735" s="1075"/>
      <c r="M735" s="1075"/>
      <c r="N735" s="1075"/>
      <c r="O735" s="1075"/>
      <c r="P735" s="1075"/>
      <c r="Q735" s="1075"/>
      <c r="R735" s="1075"/>
      <c r="S735" s="1081"/>
      <c r="T735" s="1075"/>
      <c r="U735" s="1075"/>
      <c r="V735" s="1075"/>
      <c r="W735" s="1075"/>
      <c r="X735" s="1075"/>
      <c r="Y735" s="1075"/>
      <c r="Z735" s="1075"/>
      <c r="AA735" s="1075"/>
      <c r="AB735" s="1075"/>
      <c r="AC735" s="1075"/>
      <c r="AD735" s="1075"/>
      <c r="AE735" s="1075"/>
      <c r="AF735" s="1075"/>
      <c r="AG735" s="1075"/>
      <c r="AH735" s="1075"/>
      <c r="AI735" s="1075"/>
      <c r="AJ735" s="1075"/>
      <c r="AK735" s="1075"/>
      <c r="AL735" s="1075"/>
      <c r="AM735" s="1075"/>
    </row>
    <row r="736" spans="2:39" x14ac:dyDescent="0.25">
      <c r="B736" s="1082"/>
      <c r="C736" s="1075"/>
      <c r="D736" s="1075"/>
      <c r="E736" s="1075"/>
      <c r="F736" s="1075"/>
      <c r="G736" s="1075"/>
      <c r="H736" s="1075"/>
      <c r="I736" s="1075"/>
      <c r="J736" s="1075"/>
      <c r="K736" s="1075"/>
      <c r="L736" s="1075"/>
      <c r="M736" s="1075"/>
      <c r="N736" s="1075"/>
      <c r="O736" s="1075"/>
      <c r="P736" s="1075"/>
      <c r="Q736" s="1075"/>
      <c r="R736" s="1075"/>
      <c r="S736" s="1081"/>
      <c r="T736" s="1075"/>
      <c r="U736" s="1075"/>
      <c r="V736" s="1075"/>
      <c r="W736" s="1075"/>
      <c r="X736" s="1075"/>
      <c r="Y736" s="1075"/>
      <c r="Z736" s="1075"/>
      <c r="AA736" s="1075"/>
      <c r="AB736" s="1075"/>
      <c r="AC736" s="1075"/>
      <c r="AD736" s="1075"/>
      <c r="AE736" s="1075"/>
      <c r="AF736" s="1075"/>
      <c r="AG736" s="1075"/>
      <c r="AH736" s="1075"/>
      <c r="AI736" s="1075"/>
      <c r="AJ736" s="1075"/>
      <c r="AK736" s="1075"/>
      <c r="AL736" s="1075"/>
      <c r="AM736" s="1075"/>
    </row>
    <row r="737" spans="2:39" x14ac:dyDescent="0.25">
      <c r="B737" s="1082"/>
      <c r="C737" s="1075"/>
      <c r="D737" s="1075"/>
      <c r="E737" s="1075"/>
      <c r="F737" s="1075"/>
      <c r="G737" s="1075"/>
      <c r="H737" s="1075"/>
      <c r="I737" s="1075"/>
      <c r="J737" s="1075"/>
      <c r="K737" s="1075"/>
      <c r="L737" s="1075"/>
      <c r="M737" s="1075"/>
      <c r="N737" s="1075"/>
      <c r="O737" s="1075"/>
      <c r="P737" s="1075"/>
      <c r="Q737" s="1075"/>
      <c r="R737" s="1075"/>
      <c r="S737" s="1081"/>
      <c r="T737" s="1075"/>
      <c r="U737" s="1075"/>
      <c r="V737" s="1075"/>
      <c r="W737" s="1075"/>
      <c r="X737" s="1075"/>
      <c r="Y737" s="1075"/>
      <c r="Z737" s="1075"/>
      <c r="AA737" s="1075"/>
      <c r="AB737" s="1075"/>
      <c r="AC737" s="1075"/>
      <c r="AD737" s="1075"/>
      <c r="AE737" s="1075"/>
      <c r="AF737" s="1075"/>
      <c r="AG737" s="1075"/>
      <c r="AH737" s="1075"/>
      <c r="AI737" s="1075"/>
      <c r="AJ737" s="1075"/>
      <c r="AK737" s="1075"/>
      <c r="AL737" s="1075"/>
      <c r="AM737" s="1075"/>
    </row>
    <row r="738" spans="2:39" x14ac:dyDescent="0.25">
      <c r="B738" s="1082"/>
      <c r="C738" s="1075"/>
      <c r="D738" s="1075"/>
      <c r="E738" s="1075"/>
      <c r="F738" s="1075"/>
      <c r="G738" s="1075"/>
      <c r="H738" s="1075"/>
      <c r="I738" s="1075"/>
      <c r="J738" s="1075"/>
      <c r="K738" s="1075"/>
      <c r="L738" s="1075"/>
      <c r="M738" s="1075"/>
      <c r="N738" s="1075"/>
      <c r="O738" s="1075"/>
      <c r="P738" s="1075"/>
      <c r="Q738" s="1075"/>
      <c r="R738" s="1075"/>
      <c r="S738" s="1081"/>
      <c r="T738" s="1075"/>
      <c r="U738" s="1075"/>
      <c r="V738" s="1075"/>
      <c r="W738" s="1075"/>
      <c r="X738" s="1075"/>
      <c r="Y738" s="1075"/>
      <c r="Z738" s="1075"/>
      <c r="AA738" s="1075"/>
      <c r="AB738" s="1075"/>
      <c r="AC738" s="1075"/>
      <c r="AD738" s="1075"/>
      <c r="AE738" s="1075"/>
      <c r="AF738" s="1075"/>
      <c r="AG738" s="1075"/>
      <c r="AH738" s="1075"/>
      <c r="AI738" s="1075"/>
      <c r="AJ738" s="1075"/>
      <c r="AK738" s="1075"/>
      <c r="AL738" s="1075"/>
      <c r="AM738" s="1075"/>
    </row>
    <row r="739" spans="2:39" x14ac:dyDescent="0.25">
      <c r="B739" s="1082"/>
      <c r="C739" s="1075"/>
      <c r="D739" s="1075"/>
      <c r="E739" s="1075"/>
      <c r="F739" s="1075"/>
      <c r="G739" s="1075"/>
      <c r="H739" s="1075"/>
      <c r="I739" s="1075"/>
      <c r="J739" s="1075"/>
      <c r="K739" s="1075"/>
      <c r="L739" s="1075"/>
      <c r="M739" s="1075"/>
      <c r="N739" s="1075"/>
      <c r="O739" s="1075"/>
      <c r="P739" s="1075"/>
      <c r="Q739" s="1075"/>
      <c r="R739" s="1075"/>
      <c r="S739" s="1081"/>
      <c r="T739" s="1075"/>
      <c r="U739" s="1075"/>
      <c r="V739" s="1075"/>
      <c r="W739" s="1075"/>
      <c r="X739" s="1075"/>
      <c r="Y739" s="1075"/>
      <c r="Z739" s="1075"/>
      <c r="AA739" s="1075"/>
      <c r="AB739" s="1075"/>
      <c r="AC739" s="1075"/>
      <c r="AD739" s="1075"/>
      <c r="AE739" s="1075"/>
      <c r="AF739" s="1075"/>
      <c r="AG739" s="1075"/>
      <c r="AH739" s="1075"/>
      <c r="AI739" s="1075"/>
      <c r="AJ739" s="1075"/>
      <c r="AK739" s="1075"/>
      <c r="AL739" s="1075"/>
      <c r="AM739" s="1075"/>
    </row>
    <row r="740" spans="2:39" x14ac:dyDescent="0.25">
      <c r="B740" s="1082"/>
      <c r="C740" s="1075"/>
      <c r="D740" s="1075"/>
      <c r="E740" s="1075"/>
      <c r="F740" s="1075"/>
      <c r="G740" s="1075"/>
      <c r="H740" s="1075"/>
      <c r="I740" s="1075"/>
      <c r="J740" s="1075"/>
      <c r="K740" s="1075"/>
      <c r="L740" s="1075"/>
      <c r="M740" s="1075"/>
      <c r="N740" s="1075"/>
      <c r="O740" s="1075"/>
      <c r="P740" s="1075"/>
      <c r="Q740" s="1075"/>
      <c r="R740" s="1075"/>
      <c r="S740" s="1081"/>
      <c r="T740" s="1075"/>
      <c r="U740" s="1075"/>
      <c r="V740" s="1075"/>
      <c r="W740" s="1075"/>
      <c r="X740" s="1075"/>
      <c r="Y740" s="1075"/>
      <c r="Z740" s="1075"/>
      <c r="AA740" s="1075"/>
      <c r="AB740" s="1075"/>
      <c r="AC740" s="1075"/>
      <c r="AD740" s="1075"/>
      <c r="AE740" s="1075"/>
      <c r="AF740" s="1075"/>
      <c r="AG740" s="1075"/>
      <c r="AH740" s="1075"/>
      <c r="AI740" s="1075"/>
      <c r="AJ740" s="1075"/>
      <c r="AK740" s="1075"/>
      <c r="AL740" s="1075"/>
      <c r="AM740" s="1075"/>
    </row>
    <row r="741" spans="2:39" x14ac:dyDescent="0.25">
      <c r="B741" s="1082"/>
      <c r="C741" s="1075"/>
      <c r="D741" s="1075"/>
      <c r="E741" s="1075"/>
      <c r="F741" s="1075"/>
      <c r="G741" s="1075"/>
      <c r="H741" s="1075"/>
      <c r="I741" s="1075"/>
      <c r="J741" s="1075"/>
      <c r="K741" s="1075"/>
      <c r="L741" s="1075"/>
      <c r="M741" s="1075"/>
      <c r="N741" s="1075"/>
      <c r="O741" s="1075"/>
      <c r="P741" s="1075"/>
      <c r="Q741" s="1075"/>
      <c r="R741" s="1075"/>
      <c r="S741" s="1081"/>
      <c r="T741" s="1075"/>
      <c r="U741" s="1075"/>
      <c r="V741" s="1075"/>
      <c r="W741" s="1075"/>
      <c r="X741" s="1075"/>
      <c r="Y741" s="1075"/>
      <c r="Z741" s="1075"/>
      <c r="AA741" s="1075"/>
      <c r="AB741" s="1075"/>
      <c r="AC741" s="1075"/>
      <c r="AD741" s="1075"/>
      <c r="AE741" s="1075"/>
      <c r="AF741" s="1075"/>
      <c r="AG741" s="1075"/>
      <c r="AH741" s="1075"/>
      <c r="AI741" s="1075"/>
      <c r="AJ741" s="1075"/>
      <c r="AK741" s="1075"/>
      <c r="AL741" s="1075"/>
      <c r="AM741" s="1075"/>
    </row>
    <row r="742" spans="2:39" x14ac:dyDescent="0.25">
      <c r="B742" s="1082"/>
      <c r="C742" s="1075"/>
      <c r="D742" s="1075"/>
      <c r="E742" s="1075"/>
      <c r="F742" s="1075"/>
      <c r="G742" s="1075"/>
      <c r="H742" s="1075"/>
      <c r="I742" s="1075"/>
      <c r="J742" s="1075"/>
      <c r="K742" s="1075"/>
      <c r="L742" s="1075"/>
      <c r="M742" s="1075"/>
      <c r="N742" s="1075"/>
      <c r="O742" s="1075"/>
      <c r="P742" s="1075"/>
      <c r="Q742" s="1075"/>
      <c r="R742" s="1075"/>
      <c r="S742" s="1081"/>
      <c r="T742" s="1075"/>
      <c r="U742" s="1075"/>
      <c r="V742" s="1075"/>
      <c r="W742" s="1075"/>
      <c r="X742" s="1075"/>
      <c r="Y742" s="1075"/>
      <c r="Z742" s="1075"/>
      <c r="AA742" s="1075"/>
      <c r="AB742" s="1075"/>
      <c r="AC742" s="1075"/>
      <c r="AD742" s="1075"/>
      <c r="AE742" s="1075"/>
      <c r="AF742" s="1075"/>
      <c r="AG742" s="1075"/>
      <c r="AH742" s="1075"/>
      <c r="AI742" s="1075"/>
      <c r="AJ742" s="1075"/>
      <c r="AK742" s="1075"/>
      <c r="AL742" s="1075"/>
      <c r="AM742" s="1075"/>
    </row>
    <row r="743" spans="2:39" x14ac:dyDescent="0.25">
      <c r="B743" s="1082"/>
      <c r="C743" s="1075"/>
      <c r="D743" s="1075"/>
      <c r="E743" s="1075"/>
      <c r="F743" s="1075"/>
      <c r="G743" s="1075"/>
      <c r="H743" s="1075"/>
      <c r="I743" s="1075"/>
      <c r="J743" s="1075"/>
      <c r="K743" s="1075"/>
      <c r="L743" s="1075"/>
      <c r="M743" s="1075"/>
      <c r="N743" s="1075"/>
      <c r="O743" s="1075"/>
      <c r="P743" s="1075"/>
      <c r="Q743" s="1075"/>
      <c r="R743" s="1075"/>
      <c r="S743" s="1081"/>
      <c r="T743" s="1075"/>
      <c r="U743" s="1075"/>
      <c r="V743" s="1075"/>
      <c r="W743" s="1075"/>
      <c r="X743" s="1075"/>
      <c r="Y743" s="1075"/>
      <c r="Z743" s="1075"/>
      <c r="AA743" s="1075"/>
      <c r="AB743" s="1075"/>
      <c r="AC743" s="1075"/>
      <c r="AD743" s="1075"/>
      <c r="AE743" s="1075"/>
      <c r="AF743" s="1075"/>
      <c r="AG743" s="1075"/>
      <c r="AH743" s="1075"/>
      <c r="AI743" s="1075"/>
      <c r="AJ743" s="1075"/>
      <c r="AK743" s="1075"/>
      <c r="AL743" s="1075"/>
      <c r="AM743" s="1075"/>
    </row>
    <row r="744" spans="2:39" x14ac:dyDescent="0.25">
      <c r="B744" s="1082"/>
      <c r="C744" s="1075"/>
      <c r="D744" s="1075"/>
      <c r="E744" s="1075"/>
      <c r="F744" s="1075"/>
      <c r="G744" s="1075"/>
      <c r="H744" s="1075"/>
      <c r="I744" s="1075"/>
      <c r="J744" s="1075"/>
      <c r="K744" s="1075"/>
      <c r="L744" s="1075"/>
      <c r="M744" s="1075"/>
      <c r="N744" s="1075"/>
      <c r="O744" s="1075"/>
      <c r="P744" s="1075"/>
      <c r="Q744" s="1075"/>
      <c r="R744" s="1075"/>
      <c r="S744" s="1081"/>
      <c r="T744" s="1075"/>
      <c r="U744" s="1075"/>
      <c r="V744" s="1075"/>
      <c r="W744" s="1075"/>
      <c r="X744" s="1075"/>
      <c r="Y744" s="1075"/>
      <c r="Z744" s="1075"/>
      <c r="AA744" s="1075"/>
      <c r="AB744" s="1075"/>
      <c r="AC744" s="1075"/>
      <c r="AD744" s="1075"/>
      <c r="AE744" s="1075"/>
      <c r="AF744" s="1075"/>
      <c r="AG744" s="1075"/>
      <c r="AH744" s="1075"/>
      <c r="AI744" s="1075"/>
      <c r="AJ744" s="1075"/>
      <c r="AK744" s="1075"/>
      <c r="AL744" s="1075"/>
      <c r="AM744" s="1075"/>
    </row>
    <row r="745" spans="2:39" x14ac:dyDescent="0.25">
      <c r="B745" s="1082"/>
      <c r="C745" s="1075"/>
      <c r="D745" s="1075"/>
      <c r="E745" s="1075"/>
      <c r="F745" s="1075"/>
      <c r="G745" s="1075"/>
      <c r="H745" s="1075"/>
      <c r="I745" s="1075"/>
      <c r="J745" s="1075"/>
      <c r="K745" s="1075"/>
      <c r="L745" s="1075"/>
      <c r="M745" s="1075"/>
      <c r="N745" s="1075"/>
      <c r="O745" s="1075"/>
      <c r="P745" s="1075"/>
      <c r="Q745" s="1075"/>
      <c r="R745" s="1075"/>
      <c r="S745" s="1081"/>
      <c r="T745" s="1075"/>
      <c r="U745" s="1075"/>
      <c r="V745" s="1075"/>
      <c r="W745" s="1075"/>
      <c r="X745" s="1075"/>
      <c r="Y745" s="1075"/>
      <c r="Z745" s="1075"/>
      <c r="AA745" s="1075"/>
      <c r="AB745" s="1075"/>
      <c r="AC745" s="1075"/>
      <c r="AD745" s="1075"/>
      <c r="AE745" s="1075"/>
      <c r="AF745" s="1075"/>
      <c r="AG745" s="1075"/>
      <c r="AH745" s="1075"/>
      <c r="AI745" s="1075"/>
      <c r="AJ745" s="1075"/>
      <c r="AK745" s="1075"/>
      <c r="AL745" s="1075"/>
      <c r="AM745" s="1075"/>
    </row>
    <row r="746" spans="2:39" x14ac:dyDescent="0.25">
      <c r="B746" s="1082"/>
      <c r="C746" s="1075"/>
      <c r="D746" s="1075"/>
      <c r="E746" s="1075"/>
      <c r="F746" s="1075"/>
      <c r="G746" s="1075"/>
      <c r="H746" s="1075"/>
      <c r="I746" s="1075"/>
      <c r="J746" s="1075"/>
      <c r="K746" s="1075"/>
      <c r="L746" s="1075"/>
      <c r="M746" s="1075"/>
      <c r="N746" s="1075"/>
      <c r="O746" s="1075"/>
      <c r="P746" s="1075"/>
      <c r="Q746" s="1075"/>
      <c r="R746" s="1075"/>
      <c r="S746" s="1081"/>
      <c r="T746" s="1075"/>
      <c r="U746" s="1075"/>
      <c r="V746" s="1075"/>
      <c r="W746" s="1075"/>
      <c r="X746" s="1075"/>
      <c r="Y746" s="1075"/>
      <c r="Z746" s="1075"/>
      <c r="AA746" s="1075"/>
      <c r="AB746" s="1075"/>
      <c r="AC746" s="1075"/>
      <c r="AD746" s="1075"/>
      <c r="AE746" s="1075"/>
      <c r="AF746" s="1075"/>
      <c r="AG746" s="1075"/>
      <c r="AH746" s="1075"/>
      <c r="AI746" s="1075"/>
      <c r="AJ746" s="1075"/>
      <c r="AK746" s="1075"/>
      <c r="AL746" s="1075"/>
      <c r="AM746" s="1075"/>
    </row>
    <row r="747" spans="2:39" x14ac:dyDescent="0.25">
      <c r="B747" s="1082"/>
      <c r="C747" s="1075"/>
      <c r="D747" s="1075"/>
      <c r="E747" s="1075"/>
      <c r="F747" s="1075"/>
      <c r="G747" s="1075"/>
      <c r="H747" s="1075"/>
      <c r="I747" s="1075"/>
      <c r="J747" s="1075"/>
      <c r="K747" s="1075"/>
      <c r="L747" s="1075"/>
      <c r="M747" s="1075"/>
      <c r="N747" s="1075"/>
      <c r="O747" s="1075"/>
      <c r="P747" s="1075"/>
      <c r="Q747" s="1075"/>
      <c r="R747" s="1075"/>
      <c r="S747" s="1081"/>
      <c r="T747" s="1075"/>
      <c r="U747" s="1075"/>
      <c r="V747" s="1075"/>
      <c r="W747" s="1075"/>
      <c r="X747" s="1075"/>
      <c r="Y747" s="1075"/>
      <c r="Z747" s="1075"/>
      <c r="AA747" s="1075"/>
      <c r="AB747" s="1075"/>
      <c r="AC747" s="1075"/>
      <c r="AD747" s="1075"/>
      <c r="AE747" s="1075"/>
      <c r="AF747" s="1075"/>
      <c r="AG747" s="1075"/>
      <c r="AH747" s="1075"/>
      <c r="AI747" s="1075"/>
      <c r="AJ747" s="1075"/>
      <c r="AK747" s="1075"/>
      <c r="AL747" s="1075"/>
      <c r="AM747" s="1075"/>
    </row>
    <row r="748" spans="2:39" x14ac:dyDescent="0.25">
      <c r="B748" s="1082"/>
      <c r="C748" s="1075"/>
      <c r="D748" s="1075"/>
      <c r="E748" s="1075"/>
      <c r="F748" s="1075"/>
      <c r="G748" s="1075"/>
      <c r="H748" s="1075"/>
      <c r="I748" s="1075"/>
      <c r="J748" s="1075"/>
      <c r="K748" s="1075"/>
      <c r="L748" s="1075"/>
      <c r="M748" s="1075"/>
      <c r="N748" s="1075"/>
      <c r="O748" s="1075"/>
      <c r="P748" s="1075"/>
      <c r="Q748" s="1075"/>
      <c r="R748" s="1075"/>
      <c r="S748" s="1081"/>
      <c r="T748" s="1075"/>
      <c r="U748" s="1075"/>
      <c r="V748" s="1075"/>
      <c r="W748" s="1075"/>
      <c r="X748" s="1075"/>
      <c r="Y748" s="1075"/>
      <c r="Z748" s="1075"/>
      <c r="AA748" s="1075"/>
      <c r="AB748" s="1075"/>
      <c r="AC748" s="1075"/>
      <c r="AD748" s="1075"/>
      <c r="AE748" s="1075"/>
      <c r="AF748" s="1075"/>
      <c r="AG748" s="1075"/>
      <c r="AH748" s="1075"/>
      <c r="AI748" s="1075"/>
      <c r="AJ748" s="1075"/>
      <c r="AK748" s="1075"/>
      <c r="AL748" s="1075"/>
      <c r="AM748" s="1075"/>
    </row>
    <row r="749" spans="2:39" x14ac:dyDescent="0.25">
      <c r="B749" s="1082"/>
      <c r="C749" s="1075"/>
      <c r="D749" s="1075"/>
      <c r="E749" s="1075"/>
      <c r="F749" s="1075"/>
      <c r="G749" s="1075"/>
      <c r="H749" s="1075"/>
      <c r="I749" s="1075"/>
      <c r="J749" s="1075"/>
      <c r="K749" s="1075"/>
      <c r="L749" s="1075"/>
      <c r="M749" s="1075"/>
      <c r="N749" s="1075"/>
      <c r="O749" s="1075"/>
      <c r="P749" s="1075"/>
      <c r="Q749" s="1075"/>
      <c r="R749" s="1075"/>
      <c r="S749" s="1081"/>
      <c r="T749" s="1075"/>
      <c r="U749" s="1075"/>
      <c r="V749" s="1075"/>
      <c r="W749" s="1075"/>
      <c r="X749" s="1075"/>
      <c r="Y749" s="1075"/>
      <c r="Z749" s="1075"/>
      <c r="AA749" s="1075"/>
      <c r="AB749" s="1075"/>
      <c r="AC749" s="1075"/>
      <c r="AD749" s="1075"/>
      <c r="AE749" s="1075"/>
      <c r="AF749" s="1075"/>
      <c r="AG749" s="1075"/>
      <c r="AH749" s="1075"/>
      <c r="AI749" s="1075"/>
      <c r="AJ749" s="1075"/>
      <c r="AK749" s="1075"/>
      <c r="AL749" s="1075"/>
      <c r="AM749" s="1075"/>
    </row>
    <row r="750" spans="2:39" x14ac:dyDescent="0.25">
      <c r="B750" s="1082"/>
      <c r="C750" s="1075"/>
      <c r="D750" s="1075"/>
      <c r="E750" s="1075"/>
      <c r="F750" s="1075"/>
      <c r="G750" s="1075"/>
      <c r="H750" s="1075"/>
      <c r="I750" s="1075"/>
      <c r="J750" s="1075"/>
      <c r="K750" s="1075"/>
      <c r="L750" s="1075"/>
      <c r="M750" s="1075"/>
      <c r="N750" s="1075"/>
      <c r="O750" s="1075"/>
      <c r="P750" s="1075"/>
      <c r="Q750" s="1075"/>
      <c r="R750" s="1075"/>
      <c r="S750" s="1081"/>
      <c r="T750" s="1075"/>
      <c r="U750" s="1075"/>
      <c r="V750" s="1075"/>
      <c r="W750" s="1075"/>
      <c r="X750" s="1075"/>
      <c r="Y750" s="1075"/>
      <c r="Z750" s="1075"/>
      <c r="AA750" s="1075"/>
      <c r="AB750" s="1075"/>
      <c r="AC750" s="1075"/>
      <c r="AD750" s="1075"/>
      <c r="AE750" s="1075"/>
      <c r="AF750" s="1075"/>
      <c r="AG750" s="1075"/>
      <c r="AH750" s="1075"/>
      <c r="AI750" s="1075"/>
      <c r="AJ750" s="1075"/>
      <c r="AK750" s="1075"/>
      <c r="AL750" s="1075"/>
      <c r="AM750" s="1075"/>
    </row>
    <row r="751" spans="2:39" x14ac:dyDescent="0.25">
      <c r="B751" s="1082"/>
      <c r="C751" s="1075"/>
      <c r="D751" s="1075"/>
      <c r="E751" s="1075"/>
      <c r="F751" s="1075"/>
      <c r="G751" s="1075"/>
      <c r="H751" s="1075"/>
      <c r="I751" s="1075"/>
      <c r="J751" s="1075"/>
      <c r="K751" s="1075"/>
      <c r="L751" s="1075"/>
      <c r="M751" s="1075"/>
      <c r="N751" s="1075"/>
      <c r="O751" s="1075"/>
      <c r="P751" s="1075"/>
      <c r="Q751" s="1075"/>
      <c r="R751" s="1075"/>
      <c r="S751" s="1081"/>
      <c r="T751" s="1075"/>
      <c r="U751" s="1075"/>
      <c r="V751" s="1075"/>
      <c r="W751" s="1075"/>
      <c r="X751" s="1075"/>
      <c r="Y751" s="1075"/>
      <c r="Z751" s="1075"/>
      <c r="AA751" s="1075"/>
      <c r="AB751" s="1075"/>
      <c r="AC751" s="1075"/>
      <c r="AD751" s="1075"/>
      <c r="AE751" s="1075"/>
      <c r="AF751" s="1075"/>
      <c r="AG751" s="1075"/>
      <c r="AH751" s="1075"/>
      <c r="AI751" s="1075"/>
      <c r="AJ751" s="1075"/>
      <c r="AK751" s="1075"/>
      <c r="AL751" s="1075"/>
      <c r="AM751" s="1075"/>
    </row>
    <row r="752" spans="2:39" x14ac:dyDescent="0.25">
      <c r="B752" s="1082"/>
      <c r="C752" s="1075"/>
      <c r="D752" s="1075"/>
      <c r="E752" s="1075"/>
      <c r="F752" s="1075"/>
      <c r="G752" s="1075"/>
      <c r="H752" s="1075"/>
      <c r="I752" s="1075"/>
      <c r="J752" s="1075"/>
      <c r="K752" s="1075"/>
      <c r="L752" s="1075"/>
      <c r="M752" s="1075"/>
      <c r="N752" s="1075"/>
      <c r="O752" s="1075"/>
      <c r="P752" s="1075"/>
      <c r="Q752" s="1075"/>
      <c r="R752" s="1075"/>
      <c r="S752" s="1081"/>
      <c r="T752" s="1075"/>
      <c r="U752" s="1075"/>
      <c r="V752" s="1075"/>
      <c r="W752" s="1075"/>
      <c r="X752" s="1075"/>
      <c r="Y752" s="1075"/>
      <c r="Z752" s="1075"/>
      <c r="AA752" s="1075"/>
      <c r="AB752" s="1075"/>
      <c r="AC752" s="1075"/>
      <c r="AD752" s="1075"/>
      <c r="AE752" s="1075"/>
      <c r="AF752" s="1075"/>
      <c r="AG752" s="1075"/>
      <c r="AH752" s="1075"/>
      <c r="AI752" s="1075"/>
      <c r="AJ752" s="1075"/>
      <c r="AK752" s="1075"/>
      <c r="AL752" s="1075"/>
      <c r="AM752" s="1075"/>
    </row>
    <row r="753" spans="2:39" x14ac:dyDescent="0.25">
      <c r="B753" s="1082"/>
      <c r="C753" s="1075"/>
      <c r="D753" s="1075"/>
      <c r="E753" s="1075"/>
      <c r="F753" s="1075"/>
      <c r="G753" s="1075"/>
      <c r="H753" s="1075"/>
      <c r="I753" s="1075"/>
      <c r="J753" s="1075"/>
      <c r="K753" s="1075"/>
      <c r="L753" s="1075"/>
      <c r="M753" s="1075"/>
      <c r="N753" s="1075"/>
      <c r="O753" s="1075"/>
      <c r="P753" s="1075"/>
      <c r="Q753" s="1075"/>
      <c r="R753" s="1075"/>
      <c r="S753" s="1081"/>
      <c r="T753" s="1075"/>
      <c r="U753" s="1075"/>
      <c r="V753" s="1075"/>
      <c r="W753" s="1075"/>
      <c r="X753" s="1075"/>
      <c r="Y753" s="1075"/>
      <c r="Z753" s="1075"/>
      <c r="AA753" s="1075"/>
      <c r="AB753" s="1075"/>
      <c r="AC753" s="1075"/>
      <c r="AD753" s="1075"/>
      <c r="AE753" s="1075"/>
      <c r="AF753" s="1075"/>
      <c r="AG753" s="1075"/>
      <c r="AH753" s="1075"/>
      <c r="AI753" s="1075"/>
      <c r="AJ753" s="1075"/>
      <c r="AK753" s="1075"/>
      <c r="AL753" s="1075"/>
      <c r="AM753" s="1075"/>
    </row>
    <row r="754" spans="2:39" x14ac:dyDescent="0.25">
      <c r="B754" s="1082"/>
      <c r="C754" s="1075"/>
      <c r="D754" s="1075"/>
      <c r="E754" s="1075"/>
      <c r="F754" s="1075"/>
      <c r="G754" s="1075"/>
      <c r="H754" s="1075"/>
      <c r="I754" s="1075"/>
      <c r="J754" s="1075"/>
      <c r="K754" s="1075"/>
      <c r="L754" s="1075"/>
      <c r="M754" s="1075"/>
      <c r="N754" s="1075"/>
      <c r="O754" s="1075"/>
      <c r="P754" s="1075"/>
      <c r="Q754" s="1075"/>
      <c r="R754" s="1075"/>
      <c r="S754" s="1081"/>
      <c r="T754" s="1075"/>
      <c r="U754" s="1075"/>
      <c r="V754" s="1075"/>
      <c r="W754" s="1075"/>
      <c r="X754" s="1075"/>
      <c r="Y754" s="1075"/>
      <c r="Z754" s="1075"/>
      <c r="AA754" s="1075"/>
      <c r="AB754" s="1075"/>
      <c r="AC754" s="1075"/>
      <c r="AD754" s="1075"/>
      <c r="AE754" s="1075"/>
      <c r="AF754" s="1075"/>
      <c r="AG754" s="1075"/>
      <c r="AH754" s="1075"/>
      <c r="AI754" s="1075"/>
      <c r="AJ754" s="1075"/>
      <c r="AK754" s="1075"/>
      <c r="AL754" s="1075"/>
      <c r="AM754" s="1075"/>
    </row>
    <row r="755" spans="2:39" x14ac:dyDescent="0.25">
      <c r="B755" s="1082"/>
      <c r="C755" s="1075"/>
      <c r="D755" s="1075"/>
      <c r="E755" s="1075"/>
      <c r="F755" s="1075"/>
      <c r="G755" s="1075"/>
      <c r="H755" s="1075"/>
      <c r="I755" s="1075"/>
      <c r="J755" s="1075"/>
      <c r="K755" s="1075"/>
      <c r="L755" s="1075"/>
      <c r="M755" s="1075"/>
      <c r="N755" s="1075"/>
      <c r="O755" s="1075"/>
      <c r="P755" s="1075"/>
      <c r="Q755" s="1075"/>
      <c r="R755" s="1075"/>
      <c r="S755" s="1081"/>
      <c r="T755" s="1075"/>
      <c r="U755" s="1075"/>
      <c r="V755" s="1075"/>
      <c r="W755" s="1075"/>
      <c r="X755" s="1075"/>
      <c r="Y755" s="1075"/>
      <c r="Z755" s="1075"/>
      <c r="AA755" s="1075"/>
      <c r="AB755" s="1075"/>
      <c r="AC755" s="1075"/>
      <c r="AD755" s="1075"/>
      <c r="AE755" s="1075"/>
      <c r="AF755" s="1075"/>
      <c r="AG755" s="1075"/>
      <c r="AH755" s="1075"/>
      <c r="AI755" s="1075"/>
      <c r="AJ755" s="1075"/>
      <c r="AK755" s="1075"/>
      <c r="AL755" s="1075"/>
      <c r="AM755" s="1075"/>
    </row>
    <row r="756" spans="2:39" x14ac:dyDescent="0.25">
      <c r="B756" s="1082"/>
      <c r="C756" s="1075"/>
      <c r="D756" s="1075"/>
      <c r="E756" s="1075"/>
      <c r="F756" s="1075"/>
      <c r="G756" s="1075"/>
      <c r="H756" s="1075"/>
      <c r="I756" s="1075"/>
      <c r="J756" s="1075"/>
      <c r="K756" s="1075"/>
      <c r="L756" s="1075"/>
      <c r="M756" s="1075"/>
      <c r="N756" s="1075"/>
      <c r="O756" s="1075"/>
      <c r="P756" s="1075"/>
      <c r="Q756" s="1075"/>
      <c r="R756" s="1075"/>
      <c r="S756" s="1081"/>
      <c r="T756" s="1075"/>
      <c r="U756" s="1075"/>
      <c r="V756" s="1075"/>
      <c r="W756" s="1075"/>
      <c r="X756" s="1075"/>
      <c r="Y756" s="1075"/>
      <c r="Z756" s="1075"/>
      <c r="AA756" s="1075"/>
      <c r="AB756" s="1075"/>
      <c r="AC756" s="1075"/>
      <c r="AD756" s="1075"/>
      <c r="AE756" s="1075"/>
      <c r="AF756" s="1075"/>
      <c r="AG756" s="1075"/>
      <c r="AH756" s="1075"/>
      <c r="AI756" s="1075"/>
      <c r="AJ756" s="1075"/>
      <c r="AK756" s="1075"/>
      <c r="AL756" s="1075"/>
      <c r="AM756" s="1075"/>
    </row>
    <row r="757" spans="2:39" x14ac:dyDescent="0.25">
      <c r="B757" s="1082"/>
      <c r="C757" s="1075"/>
      <c r="D757" s="1075"/>
      <c r="E757" s="1075"/>
      <c r="F757" s="1075"/>
      <c r="G757" s="1075"/>
      <c r="H757" s="1075"/>
      <c r="I757" s="1075"/>
      <c r="J757" s="1075"/>
      <c r="K757" s="1075"/>
      <c r="L757" s="1075"/>
      <c r="M757" s="1075"/>
      <c r="N757" s="1075"/>
      <c r="O757" s="1075"/>
      <c r="P757" s="1075"/>
      <c r="Q757" s="1075"/>
      <c r="R757" s="1075"/>
      <c r="S757" s="1081"/>
      <c r="T757" s="1075"/>
      <c r="U757" s="1075"/>
      <c r="V757" s="1075"/>
      <c r="W757" s="1075"/>
      <c r="X757" s="1075"/>
      <c r="Y757" s="1075"/>
      <c r="Z757" s="1075"/>
      <c r="AA757" s="1075"/>
      <c r="AB757" s="1075"/>
      <c r="AC757" s="1075"/>
      <c r="AD757" s="1075"/>
      <c r="AE757" s="1075"/>
      <c r="AF757" s="1075"/>
      <c r="AG757" s="1075"/>
      <c r="AH757" s="1075"/>
      <c r="AI757" s="1075"/>
      <c r="AJ757" s="1075"/>
      <c r="AK757" s="1075"/>
      <c r="AL757" s="1075"/>
      <c r="AM757" s="1075"/>
    </row>
    <row r="758" spans="2:39" x14ac:dyDescent="0.25">
      <c r="B758" s="1082"/>
      <c r="C758" s="1075"/>
      <c r="D758" s="1075"/>
      <c r="E758" s="1075"/>
      <c r="F758" s="1075"/>
      <c r="G758" s="1075"/>
      <c r="H758" s="1075"/>
      <c r="I758" s="1075"/>
      <c r="J758" s="1075"/>
      <c r="K758" s="1075"/>
      <c r="L758" s="1075"/>
      <c r="M758" s="1075"/>
      <c r="N758" s="1075"/>
      <c r="O758" s="1075"/>
      <c r="P758" s="1075"/>
      <c r="Q758" s="1075"/>
      <c r="R758" s="1075"/>
      <c r="S758" s="1081"/>
      <c r="T758" s="1075"/>
      <c r="U758" s="1075"/>
      <c r="V758" s="1075"/>
      <c r="W758" s="1075"/>
      <c r="X758" s="1075"/>
      <c r="Y758" s="1075"/>
      <c r="Z758" s="1075"/>
      <c r="AA758" s="1075"/>
      <c r="AB758" s="1075"/>
      <c r="AC758" s="1075"/>
      <c r="AD758" s="1075"/>
      <c r="AE758" s="1075"/>
      <c r="AF758" s="1075"/>
      <c r="AG758" s="1075"/>
      <c r="AH758" s="1075"/>
      <c r="AI758" s="1075"/>
      <c r="AJ758" s="1075"/>
      <c r="AK758" s="1075"/>
      <c r="AL758" s="1075"/>
      <c r="AM758" s="1075"/>
    </row>
    <row r="759" spans="2:39" x14ac:dyDescent="0.25">
      <c r="B759" s="1082"/>
      <c r="C759" s="1075"/>
      <c r="D759" s="1075"/>
      <c r="E759" s="1075"/>
      <c r="F759" s="1075"/>
      <c r="G759" s="1075"/>
      <c r="H759" s="1075"/>
      <c r="I759" s="1075"/>
      <c r="J759" s="1075"/>
      <c r="K759" s="1075"/>
      <c r="L759" s="1075"/>
      <c r="M759" s="1075"/>
      <c r="N759" s="1075"/>
      <c r="O759" s="1075"/>
      <c r="P759" s="1075"/>
      <c r="Q759" s="1075"/>
      <c r="R759" s="1075"/>
      <c r="S759" s="1081"/>
      <c r="T759" s="1075"/>
      <c r="U759" s="1075"/>
      <c r="V759" s="1075"/>
      <c r="W759" s="1075"/>
      <c r="X759" s="1075"/>
      <c r="Y759" s="1075"/>
      <c r="Z759" s="1075"/>
      <c r="AA759" s="1075"/>
      <c r="AB759" s="1075"/>
      <c r="AC759" s="1075"/>
      <c r="AD759" s="1075"/>
      <c r="AE759" s="1075"/>
      <c r="AF759" s="1075"/>
      <c r="AG759" s="1075"/>
      <c r="AH759" s="1075"/>
      <c r="AI759" s="1075"/>
      <c r="AJ759" s="1075"/>
      <c r="AK759" s="1075"/>
      <c r="AL759" s="1075"/>
      <c r="AM759" s="1075"/>
    </row>
    <row r="760" spans="2:39" x14ac:dyDescent="0.25">
      <c r="B760" s="1082"/>
      <c r="C760" s="1075"/>
      <c r="D760" s="1075"/>
      <c r="E760" s="1075"/>
      <c r="F760" s="1075"/>
      <c r="G760" s="1075"/>
      <c r="H760" s="1075"/>
      <c r="I760" s="1075"/>
      <c r="J760" s="1075"/>
      <c r="K760" s="1075"/>
      <c r="L760" s="1075"/>
      <c r="M760" s="1075"/>
      <c r="N760" s="1075"/>
      <c r="O760" s="1075"/>
      <c r="P760" s="1075"/>
      <c r="Q760" s="1075"/>
      <c r="R760" s="1075"/>
      <c r="S760" s="1081"/>
      <c r="T760" s="1075"/>
      <c r="U760" s="1075"/>
      <c r="V760" s="1075"/>
      <c r="W760" s="1075"/>
      <c r="X760" s="1075"/>
      <c r="Y760" s="1075"/>
      <c r="Z760" s="1075"/>
      <c r="AA760" s="1075"/>
      <c r="AB760" s="1075"/>
      <c r="AC760" s="1075"/>
      <c r="AD760" s="1075"/>
      <c r="AE760" s="1075"/>
      <c r="AF760" s="1075"/>
      <c r="AG760" s="1075"/>
      <c r="AH760" s="1075"/>
      <c r="AI760" s="1075"/>
      <c r="AJ760" s="1075"/>
      <c r="AK760" s="1075"/>
      <c r="AL760" s="1075"/>
      <c r="AM760" s="1075"/>
    </row>
    <row r="761" spans="2:39" x14ac:dyDescent="0.25">
      <c r="B761" s="1082"/>
      <c r="C761" s="1075"/>
      <c r="D761" s="1075"/>
      <c r="E761" s="1075"/>
      <c r="F761" s="1075"/>
      <c r="G761" s="1075"/>
      <c r="H761" s="1075"/>
      <c r="I761" s="1075"/>
      <c r="J761" s="1075"/>
      <c r="K761" s="1075"/>
      <c r="L761" s="1075"/>
      <c r="M761" s="1075"/>
      <c r="N761" s="1075"/>
      <c r="O761" s="1075"/>
      <c r="P761" s="1075"/>
      <c r="Q761" s="1075"/>
      <c r="R761" s="1075"/>
      <c r="S761" s="1081"/>
      <c r="T761" s="1075"/>
      <c r="U761" s="1075"/>
      <c r="V761" s="1075"/>
      <c r="W761" s="1075"/>
      <c r="X761" s="1075"/>
      <c r="Y761" s="1075"/>
      <c r="Z761" s="1075"/>
      <c r="AA761" s="1075"/>
      <c r="AB761" s="1075"/>
      <c r="AC761" s="1075"/>
      <c r="AD761" s="1075"/>
      <c r="AE761" s="1075"/>
      <c r="AF761" s="1075"/>
      <c r="AG761" s="1075"/>
      <c r="AH761" s="1075"/>
      <c r="AI761" s="1075"/>
      <c r="AJ761" s="1075"/>
      <c r="AK761" s="1075"/>
      <c r="AL761" s="1075"/>
      <c r="AM761" s="1075"/>
    </row>
    <row r="762" spans="2:39" x14ac:dyDescent="0.25">
      <c r="B762" s="1082"/>
      <c r="C762" s="1075"/>
      <c r="D762" s="1075"/>
      <c r="E762" s="1075"/>
      <c r="F762" s="1075"/>
      <c r="G762" s="1075"/>
      <c r="H762" s="1075"/>
      <c r="I762" s="1075"/>
      <c r="J762" s="1075"/>
      <c r="K762" s="1075"/>
      <c r="L762" s="1075"/>
      <c r="M762" s="1075"/>
      <c r="N762" s="1075"/>
      <c r="O762" s="1075"/>
      <c r="P762" s="1075"/>
      <c r="Q762" s="1075"/>
      <c r="R762" s="1075"/>
      <c r="S762" s="1081"/>
      <c r="T762" s="1075"/>
      <c r="U762" s="1075"/>
      <c r="V762" s="1075"/>
      <c r="W762" s="1075"/>
      <c r="X762" s="1075"/>
      <c r="Y762" s="1075"/>
      <c r="Z762" s="1075"/>
      <c r="AA762" s="1075"/>
      <c r="AB762" s="1075"/>
      <c r="AC762" s="1075"/>
      <c r="AD762" s="1075"/>
      <c r="AE762" s="1075"/>
      <c r="AF762" s="1075"/>
      <c r="AG762" s="1075"/>
      <c r="AH762" s="1075"/>
      <c r="AI762" s="1075"/>
      <c r="AJ762" s="1075"/>
      <c r="AK762" s="1075"/>
      <c r="AL762" s="1075"/>
      <c r="AM762" s="1075"/>
    </row>
    <row r="763" spans="2:39" x14ac:dyDescent="0.25">
      <c r="B763" s="1082"/>
      <c r="C763" s="1075"/>
      <c r="D763" s="1075"/>
      <c r="E763" s="1075"/>
      <c r="F763" s="1075"/>
      <c r="G763" s="1075"/>
      <c r="H763" s="1075"/>
      <c r="I763" s="1075"/>
      <c r="J763" s="1075"/>
      <c r="K763" s="1075"/>
      <c r="L763" s="1075"/>
      <c r="M763" s="1075"/>
      <c r="N763" s="1075"/>
      <c r="O763" s="1075"/>
      <c r="P763" s="1075"/>
      <c r="Q763" s="1075"/>
      <c r="R763" s="1075"/>
      <c r="S763" s="1081"/>
      <c r="T763" s="1075"/>
      <c r="U763" s="1075"/>
      <c r="V763" s="1075"/>
      <c r="W763" s="1075"/>
      <c r="X763" s="1075"/>
      <c r="Y763" s="1075"/>
      <c r="Z763" s="1075"/>
      <c r="AA763" s="1075"/>
      <c r="AB763" s="1075"/>
      <c r="AC763" s="1075"/>
      <c r="AD763" s="1075"/>
      <c r="AE763" s="1075"/>
      <c r="AF763" s="1075"/>
      <c r="AG763" s="1075"/>
      <c r="AH763" s="1075"/>
      <c r="AI763" s="1075"/>
      <c r="AJ763" s="1075"/>
      <c r="AK763" s="1075"/>
      <c r="AL763" s="1075"/>
      <c r="AM763" s="1075"/>
    </row>
    <row r="764" spans="2:39" x14ac:dyDescent="0.25">
      <c r="B764" s="1082"/>
      <c r="C764" s="1075"/>
      <c r="D764" s="1075"/>
      <c r="E764" s="1075"/>
      <c r="F764" s="1075"/>
      <c r="G764" s="1075"/>
      <c r="H764" s="1075"/>
      <c r="I764" s="1075"/>
      <c r="J764" s="1075"/>
      <c r="K764" s="1075"/>
      <c r="L764" s="1075"/>
      <c r="M764" s="1075"/>
      <c r="N764" s="1075"/>
      <c r="O764" s="1075"/>
      <c r="P764" s="1075"/>
      <c r="Q764" s="1075"/>
      <c r="R764" s="1075"/>
      <c r="S764" s="1081"/>
      <c r="T764" s="1075"/>
      <c r="U764" s="1075"/>
      <c r="V764" s="1075"/>
      <c r="W764" s="1075"/>
      <c r="X764" s="1075"/>
      <c r="Y764" s="1075"/>
      <c r="Z764" s="1075"/>
      <c r="AA764" s="1075"/>
      <c r="AB764" s="1075"/>
      <c r="AC764" s="1075"/>
      <c r="AD764" s="1075"/>
      <c r="AE764" s="1075"/>
      <c r="AF764" s="1075"/>
      <c r="AG764" s="1075"/>
      <c r="AH764" s="1075"/>
      <c r="AI764" s="1075"/>
      <c r="AJ764" s="1075"/>
      <c r="AK764" s="1075"/>
      <c r="AL764" s="1075"/>
      <c r="AM764" s="1075"/>
    </row>
    <row r="765" spans="2:39" x14ac:dyDescent="0.25">
      <c r="B765" s="1082"/>
      <c r="C765" s="1075"/>
      <c r="D765" s="1075"/>
      <c r="E765" s="1075"/>
      <c r="F765" s="1075"/>
      <c r="G765" s="1075"/>
      <c r="H765" s="1075"/>
      <c r="I765" s="1075"/>
      <c r="J765" s="1075"/>
      <c r="K765" s="1075"/>
      <c r="L765" s="1075"/>
      <c r="M765" s="1075"/>
      <c r="N765" s="1075"/>
      <c r="O765" s="1075"/>
      <c r="P765" s="1075"/>
      <c r="Q765" s="1075"/>
      <c r="R765" s="1075"/>
      <c r="S765" s="1081"/>
      <c r="T765" s="1075"/>
      <c r="U765" s="1075"/>
      <c r="V765" s="1075"/>
      <c r="W765" s="1075"/>
      <c r="X765" s="1075"/>
      <c r="Y765" s="1075"/>
      <c r="Z765" s="1075"/>
      <c r="AA765" s="1075"/>
      <c r="AB765" s="1075"/>
      <c r="AC765" s="1075"/>
      <c r="AD765" s="1075"/>
      <c r="AE765" s="1075"/>
      <c r="AF765" s="1075"/>
      <c r="AG765" s="1075"/>
      <c r="AH765" s="1075"/>
      <c r="AI765" s="1075"/>
      <c r="AJ765" s="1075"/>
      <c r="AK765" s="1075"/>
      <c r="AL765" s="1075"/>
      <c r="AM765" s="1075"/>
    </row>
    <row r="766" spans="2:39" x14ac:dyDescent="0.25">
      <c r="B766" s="1082"/>
      <c r="C766" s="1075"/>
      <c r="D766" s="1075"/>
      <c r="E766" s="1075"/>
      <c r="F766" s="1075"/>
      <c r="G766" s="1075"/>
      <c r="H766" s="1075"/>
      <c r="I766" s="1075"/>
      <c r="J766" s="1075"/>
      <c r="K766" s="1075"/>
      <c r="L766" s="1075"/>
      <c r="M766" s="1075"/>
      <c r="N766" s="1075"/>
      <c r="O766" s="1075"/>
      <c r="P766" s="1075"/>
      <c r="Q766" s="1075"/>
      <c r="R766" s="1075"/>
      <c r="S766" s="1081"/>
      <c r="T766" s="1075"/>
      <c r="U766" s="1075"/>
      <c r="V766" s="1075"/>
      <c r="W766" s="1075"/>
      <c r="X766" s="1075"/>
      <c r="Y766" s="1075"/>
      <c r="Z766" s="1075"/>
      <c r="AA766" s="1075"/>
      <c r="AB766" s="1075"/>
      <c r="AC766" s="1075"/>
      <c r="AD766" s="1075"/>
      <c r="AE766" s="1075"/>
      <c r="AF766" s="1075"/>
      <c r="AG766" s="1075"/>
      <c r="AH766" s="1075"/>
      <c r="AI766" s="1075"/>
      <c r="AJ766" s="1075"/>
      <c r="AK766" s="1075"/>
      <c r="AL766" s="1075"/>
      <c r="AM766" s="1075"/>
    </row>
    <row r="767" spans="2:39" x14ac:dyDescent="0.25">
      <c r="B767" s="1082"/>
      <c r="C767" s="1075"/>
      <c r="D767" s="1075"/>
      <c r="E767" s="1075"/>
      <c r="F767" s="1075"/>
      <c r="G767" s="1075"/>
      <c r="H767" s="1075"/>
      <c r="I767" s="1075"/>
      <c r="J767" s="1075"/>
      <c r="K767" s="1075"/>
      <c r="L767" s="1075"/>
      <c r="M767" s="1075"/>
      <c r="N767" s="1075"/>
      <c r="O767" s="1075"/>
      <c r="P767" s="1075"/>
      <c r="Q767" s="1075"/>
      <c r="R767" s="1075"/>
      <c r="S767" s="1081"/>
      <c r="T767" s="1075"/>
      <c r="U767" s="1075"/>
      <c r="V767" s="1075"/>
      <c r="W767" s="1075"/>
      <c r="X767" s="1075"/>
      <c r="Y767" s="1075"/>
      <c r="Z767" s="1075"/>
      <c r="AA767" s="1075"/>
      <c r="AB767" s="1075"/>
      <c r="AC767" s="1075"/>
      <c r="AD767" s="1075"/>
      <c r="AE767" s="1075"/>
      <c r="AF767" s="1075"/>
      <c r="AG767" s="1075"/>
      <c r="AH767" s="1075"/>
      <c r="AI767" s="1075"/>
      <c r="AJ767" s="1075"/>
      <c r="AK767" s="1075"/>
      <c r="AL767" s="1075"/>
      <c r="AM767" s="1075"/>
    </row>
    <row r="768" spans="2:39" x14ac:dyDescent="0.25">
      <c r="B768" s="1082"/>
      <c r="C768" s="1075"/>
      <c r="D768" s="1075"/>
      <c r="E768" s="1075"/>
      <c r="F768" s="1075"/>
      <c r="G768" s="1075"/>
      <c r="H768" s="1075"/>
      <c r="I768" s="1075"/>
      <c r="J768" s="1075"/>
      <c r="K768" s="1075"/>
      <c r="L768" s="1075"/>
      <c r="M768" s="1075"/>
      <c r="N768" s="1075"/>
      <c r="O768" s="1075"/>
      <c r="P768" s="1075"/>
      <c r="Q768" s="1075"/>
      <c r="R768" s="1075"/>
      <c r="S768" s="1081"/>
      <c r="T768" s="1075"/>
      <c r="U768" s="1075"/>
      <c r="V768" s="1075"/>
      <c r="W768" s="1075"/>
      <c r="X768" s="1075"/>
      <c r="Y768" s="1075"/>
      <c r="Z768" s="1075"/>
      <c r="AA768" s="1075"/>
      <c r="AB768" s="1075"/>
      <c r="AC768" s="1075"/>
      <c r="AD768" s="1075"/>
      <c r="AE768" s="1075"/>
      <c r="AF768" s="1075"/>
      <c r="AG768" s="1075"/>
      <c r="AH768" s="1075"/>
      <c r="AI768" s="1075"/>
      <c r="AJ768" s="1075"/>
      <c r="AK768" s="1075"/>
      <c r="AL768" s="1075"/>
      <c r="AM768" s="1075"/>
    </row>
    <row r="769" spans="2:39" x14ac:dyDescent="0.25">
      <c r="B769" s="1082"/>
      <c r="C769" s="1075"/>
      <c r="D769" s="1075"/>
      <c r="E769" s="1075"/>
      <c r="F769" s="1075"/>
      <c r="G769" s="1075"/>
      <c r="H769" s="1075"/>
      <c r="I769" s="1075"/>
      <c r="J769" s="1075"/>
      <c r="K769" s="1075"/>
      <c r="L769" s="1075"/>
      <c r="M769" s="1075"/>
      <c r="N769" s="1075"/>
      <c r="O769" s="1075"/>
      <c r="P769" s="1075"/>
      <c r="Q769" s="1075"/>
      <c r="R769" s="1075"/>
      <c r="S769" s="1081"/>
      <c r="T769" s="1075"/>
      <c r="U769" s="1075"/>
      <c r="V769" s="1075"/>
      <c r="W769" s="1075"/>
      <c r="X769" s="1075"/>
      <c r="Y769" s="1075"/>
      <c r="Z769" s="1075"/>
      <c r="AA769" s="1075"/>
      <c r="AB769" s="1075"/>
      <c r="AC769" s="1075"/>
      <c r="AD769" s="1075"/>
      <c r="AE769" s="1075"/>
      <c r="AF769" s="1075"/>
      <c r="AG769" s="1075"/>
      <c r="AH769" s="1075"/>
      <c r="AI769" s="1075"/>
      <c r="AJ769" s="1075"/>
      <c r="AK769" s="1075"/>
      <c r="AL769" s="1075"/>
      <c r="AM769" s="1075"/>
    </row>
    <row r="770" spans="2:39" x14ac:dyDescent="0.25">
      <c r="B770" s="1082"/>
      <c r="C770" s="1075"/>
      <c r="D770" s="1075"/>
      <c r="E770" s="1075"/>
      <c r="F770" s="1075"/>
      <c r="G770" s="1075"/>
      <c r="H770" s="1075"/>
      <c r="I770" s="1075"/>
      <c r="J770" s="1075"/>
      <c r="K770" s="1075"/>
      <c r="L770" s="1075"/>
      <c r="M770" s="1075"/>
      <c r="N770" s="1075"/>
      <c r="O770" s="1075"/>
      <c r="P770" s="1075"/>
      <c r="Q770" s="1075"/>
      <c r="R770" s="1075"/>
      <c r="S770" s="1081"/>
      <c r="T770" s="1075"/>
      <c r="U770" s="1075"/>
      <c r="V770" s="1075"/>
      <c r="W770" s="1075"/>
      <c r="X770" s="1075"/>
      <c r="Y770" s="1075"/>
      <c r="Z770" s="1075"/>
      <c r="AA770" s="1075"/>
      <c r="AB770" s="1075"/>
      <c r="AC770" s="1075"/>
      <c r="AD770" s="1075"/>
      <c r="AE770" s="1075"/>
      <c r="AF770" s="1075"/>
      <c r="AG770" s="1075"/>
      <c r="AH770" s="1075"/>
      <c r="AI770" s="1075"/>
      <c r="AJ770" s="1075"/>
      <c r="AK770" s="1075"/>
      <c r="AL770" s="1075"/>
      <c r="AM770" s="1075"/>
    </row>
    <row r="771" spans="2:39" x14ac:dyDescent="0.25">
      <c r="B771" s="1082"/>
      <c r="C771" s="1075"/>
      <c r="D771" s="1075"/>
      <c r="E771" s="1075"/>
      <c r="F771" s="1075"/>
      <c r="G771" s="1075"/>
      <c r="H771" s="1075"/>
      <c r="I771" s="1075"/>
      <c r="J771" s="1075"/>
      <c r="K771" s="1075"/>
      <c r="L771" s="1075"/>
      <c r="M771" s="1075"/>
      <c r="N771" s="1075"/>
      <c r="O771" s="1075"/>
      <c r="P771" s="1075"/>
      <c r="Q771" s="1075"/>
      <c r="R771" s="1075"/>
      <c r="S771" s="1081"/>
      <c r="T771" s="1075"/>
      <c r="U771" s="1075"/>
      <c r="V771" s="1075"/>
      <c r="W771" s="1075"/>
      <c r="X771" s="1075"/>
      <c r="Y771" s="1075"/>
      <c r="Z771" s="1075"/>
      <c r="AA771" s="1075"/>
      <c r="AB771" s="1075"/>
      <c r="AC771" s="1075"/>
      <c r="AD771" s="1075"/>
      <c r="AE771" s="1075"/>
      <c r="AF771" s="1075"/>
      <c r="AG771" s="1075"/>
      <c r="AH771" s="1075"/>
      <c r="AI771" s="1075"/>
      <c r="AJ771" s="1075"/>
      <c r="AK771" s="1075"/>
      <c r="AL771" s="1075"/>
      <c r="AM771" s="1075"/>
    </row>
    <row r="772" spans="2:39" x14ac:dyDescent="0.25">
      <c r="B772" s="1082"/>
      <c r="C772" s="1075"/>
      <c r="D772" s="1075"/>
      <c r="E772" s="1075"/>
      <c r="F772" s="1075"/>
      <c r="G772" s="1075"/>
      <c r="H772" s="1075"/>
      <c r="I772" s="1075"/>
      <c r="J772" s="1075"/>
      <c r="K772" s="1075"/>
      <c r="L772" s="1075"/>
      <c r="M772" s="1075"/>
      <c r="N772" s="1075"/>
      <c r="O772" s="1075"/>
      <c r="P772" s="1075"/>
      <c r="Q772" s="1075"/>
      <c r="R772" s="1075"/>
      <c r="S772" s="1081"/>
      <c r="T772" s="1075"/>
      <c r="U772" s="1075"/>
      <c r="V772" s="1075"/>
      <c r="W772" s="1075"/>
      <c r="X772" s="1075"/>
      <c r="Y772" s="1075"/>
      <c r="Z772" s="1075"/>
      <c r="AA772" s="1075"/>
      <c r="AB772" s="1075"/>
      <c r="AC772" s="1075"/>
      <c r="AD772" s="1075"/>
      <c r="AE772" s="1075"/>
      <c r="AF772" s="1075"/>
      <c r="AG772" s="1075"/>
      <c r="AH772" s="1075"/>
      <c r="AI772" s="1075"/>
      <c r="AJ772" s="1075"/>
      <c r="AK772" s="1075"/>
      <c r="AL772" s="1075"/>
      <c r="AM772" s="1075"/>
    </row>
    <row r="773" spans="2:39" x14ac:dyDescent="0.25">
      <c r="B773" s="1082"/>
      <c r="C773" s="1075"/>
      <c r="D773" s="1075"/>
      <c r="E773" s="1075"/>
      <c r="F773" s="1075"/>
      <c r="G773" s="1075"/>
      <c r="H773" s="1075"/>
      <c r="I773" s="1075"/>
      <c r="J773" s="1075"/>
      <c r="K773" s="1075"/>
      <c r="L773" s="1075"/>
      <c r="M773" s="1075"/>
      <c r="N773" s="1075"/>
      <c r="O773" s="1075"/>
      <c r="P773" s="1075"/>
      <c r="Q773" s="1075"/>
      <c r="R773" s="1075"/>
      <c r="S773" s="1081"/>
      <c r="T773" s="1075"/>
      <c r="U773" s="1075"/>
      <c r="V773" s="1075"/>
      <c r="W773" s="1075"/>
      <c r="X773" s="1075"/>
      <c r="Y773" s="1075"/>
      <c r="Z773" s="1075"/>
      <c r="AA773" s="1075"/>
      <c r="AB773" s="1075"/>
      <c r="AC773" s="1075"/>
      <c r="AD773" s="1075"/>
      <c r="AE773" s="1075"/>
      <c r="AF773" s="1075"/>
      <c r="AG773" s="1075"/>
      <c r="AH773" s="1075"/>
      <c r="AI773" s="1075"/>
      <c r="AJ773" s="1075"/>
      <c r="AK773" s="1075"/>
      <c r="AL773" s="1075"/>
      <c r="AM773" s="1075"/>
    </row>
    <row r="774" spans="2:39" x14ac:dyDescent="0.25">
      <c r="B774" s="1082"/>
      <c r="C774" s="1075"/>
      <c r="D774" s="1075"/>
      <c r="E774" s="1075"/>
      <c r="F774" s="1075"/>
      <c r="G774" s="1075"/>
      <c r="H774" s="1075"/>
      <c r="I774" s="1075"/>
      <c r="J774" s="1075"/>
      <c r="K774" s="1075"/>
      <c r="L774" s="1075"/>
      <c r="M774" s="1075"/>
      <c r="N774" s="1075"/>
      <c r="O774" s="1075"/>
      <c r="P774" s="1075"/>
      <c r="Q774" s="1075"/>
      <c r="R774" s="1075"/>
      <c r="S774" s="1081"/>
      <c r="T774" s="1075"/>
      <c r="U774" s="1075"/>
      <c r="V774" s="1075"/>
      <c r="W774" s="1075"/>
      <c r="X774" s="1075"/>
      <c r="Y774" s="1075"/>
      <c r="Z774" s="1075"/>
      <c r="AA774" s="1075"/>
      <c r="AB774" s="1075"/>
      <c r="AC774" s="1075"/>
      <c r="AD774" s="1075"/>
      <c r="AE774" s="1075"/>
      <c r="AF774" s="1075"/>
      <c r="AG774" s="1075"/>
      <c r="AH774" s="1075"/>
      <c r="AI774" s="1075"/>
      <c r="AJ774" s="1075"/>
      <c r="AK774" s="1075"/>
      <c r="AL774" s="1075"/>
      <c r="AM774" s="1075"/>
    </row>
    <row r="775" spans="2:39" x14ac:dyDescent="0.25">
      <c r="B775" s="1082"/>
      <c r="C775" s="1075"/>
      <c r="D775" s="1075"/>
      <c r="E775" s="1075"/>
      <c r="F775" s="1075"/>
      <c r="G775" s="1075"/>
      <c r="H775" s="1075"/>
      <c r="I775" s="1075"/>
      <c r="J775" s="1075"/>
      <c r="K775" s="1075"/>
      <c r="L775" s="1075"/>
      <c r="M775" s="1075"/>
      <c r="N775" s="1075"/>
      <c r="O775" s="1075"/>
      <c r="P775" s="1075"/>
      <c r="Q775" s="1075"/>
      <c r="R775" s="1075"/>
      <c r="S775" s="1081"/>
      <c r="T775" s="1075"/>
      <c r="U775" s="1075"/>
      <c r="V775" s="1075"/>
      <c r="W775" s="1075"/>
      <c r="X775" s="1075"/>
      <c r="Y775" s="1075"/>
      <c r="Z775" s="1075"/>
      <c r="AA775" s="1075"/>
      <c r="AB775" s="1075"/>
      <c r="AC775" s="1075"/>
      <c r="AD775" s="1075"/>
      <c r="AE775" s="1075"/>
      <c r="AF775" s="1075"/>
      <c r="AG775" s="1075"/>
      <c r="AH775" s="1075"/>
      <c r="AI775" s="1075"/>
      <c r="AJ775" s="1075"/>
      <c r="AK775" s="1075"/>
      <c r="AL775" s="1075"/>
      <c r="AM775" s="1075"/>
    </row>
    <row r="776" spans="2:39" x14ac:dyDescent="0.25">
      <c r="B776" s="1082"/>
      <c r="C776" s="1075"/>
      <c r="D776" s="1075"/>
      <c r="E776" s="1075"/>
      <c r="F776" s="1075"/>
      <c r="G776" s="1075"/>
      <c r="H776" s="1075"/>
      <c r="I776" s="1075"/>
      <c r="J776" s="1075"/>
      <c r="K776" s="1075"/>
      <c r="L776" s="1075"/>
      <c r="M776" s="1075"/>
      <c r="N776" s="1075"/>
      <c r="O776" s="1075"/>
      <c r="P776" s="1075"/>
      <c r="Q776" s="1075"/>
      <c r="R776" s="1075"/>
      <c r="S776" s="1081"/>
      <c r="T776" s="1075"/>
      <c r="U776" s="1075"/>
      <c r="V776" s="1075"/>
      <c r="W776" s="1075"/>
      <c r="X776" s="1075"/>
      <c r="Y776" s="1075"/>
      <c r="Z776" s="1075"/>
      <c r="AA776" s="1075"/>
      <c r="AB776" s="1075"/>
      <c r="AC776" s="1075"/>
      <c r="AD776" s="1075"/>
      <c r="AE776" s="1075"/>
      <c r="AF776" s="1075"/>
      <c r="AG776" s="1075"/>
      <c r="AH776" s="1075"/>
      <c r="AI776" s="1075"/>
      <c r="AJ776" s="1075"/>
      <c r="AK776" s="1075"/>
      <c r="AL776" s="1075"/>
      <c r="AM776" s="1075"/>
    </row>
    <row r="777" spans="2:39" x14ac:dyDescent="0.25">
      <c r="B777" s="1082"/>
      <c r="C777" s="1075"/>
      <c r="D777" s="1075"/>
      <c r="E777" s="1075"/>
      <c r="F777" s="1075"/>
      <c r="G777" s="1075"/>
      <c r="H777" s="1075"/>
      <c r="I777" s="1075"/>
      <c r="J777" s="1075"/>
      <c r="K777" s="1075"/>
      <c r="L777" s="1075"/>
      <c r="M777" s="1075"/>
      <c r="N777" s="1075"/>
      <c r="O777" s="1075"/>
      <c r="P777" s="1075"/>
      <c r="Q777" s="1075"/>
      <c r="R777" s="1075"/>
      <c r="S777" s="1081"/>
      <c r="T777" s="1075"/>
      <c r="U777" s="1075"/>
      <c r="V777" s="1075"/>
      <c r="W777" s="1075"/>
      <c r="X777" s="1075"/>
      <c r="Y777" s="1075"/>
      <c r="Z777" s="1075"/>
      <c r="AA777" s="1075"/>
      <c r="AB777" s="1075"/>
      <c r="AC777" s="1075"/>
      <c r="AD777" s="1075"/>
      <c r="AE777" s="1075"/>
      <c r="AF777" s="1075"/>
      <c r="AG777" s="1075"/>
      <c r="AH777" s="1075"/>
      <c r="AI777" s="1075"/>
      <c r="AJ777" s="1075"/>
      <c r="AK777" s="1075"/>
      <c r="AL777" s="1075"/>
      <c r="AM777" s="1075"/>
    </row>
    <row r="778" spans="2:39" x14ac:dyDescent="0.25">
      <c r="B778" s="1082"/>
      <c r="C778" s="1075"/>
      <c r="D778" s="1075"/>
      <c r="E778" s="1075"/>
      <c r="F778" s="1075"/>
      <c r="G778" s="1075"/>
      <c r="H778" s="1075"/>
      <c r="I778" s="1075"/>
      <c r="J778" s="1075"/>
      <c r="K778" s="1075"/>
      <c r="L778" s="1075"/>
      <c r="M778" s="1075"/>
      <c r="N778" s="1075"/>
      <c r="O778" s="1075"/>
      <c r="P778" s="1075"/>
      <c r="Q778" s="1075"/>
      <c r="R778" s="1075"/>
      <c r="S778" s="1081"/>
      <c r="T778" s="1075"/>
      <c r="U778" s="1075"/>
      <c r="V778" s="1075"/>
      <c r="W778" s="1075"/>
      <c r="X778" s="1075"/>
      <c r="Y778" s="1075"/>
      <c r="Z778" s="1075"/>
      <c r="AA778" s="1075"/>
      <c r="AB778" s="1075"/>
      <c r="AC778" s="1075"/>
      <c r="AD778" s="1075"/>
      <c r="AE778" s="1075"/>
      <c r="AF778" s="1075"/>
      <c r="AG778" s="1075"/>
      <c r="AH778" s="1075"/>
      <c r="AI778" s="1075"/>
      <c r="AJ778" s="1075"/>
      <c r="AK778" s="1075"/>
      <c r="AL778" s="1075"/>
      <c r="AM778" s="1075"/>
    </row>
    <row r="779" spans="2:39" x14ac:dyDescent="0.25">
      <c r="B779" s="1082"/>
      <c r="C779" s="1075"/>
      <c r="D779" s="1075"/>
      <c r="E779" s="1075"/>
      <c r="F779" s="1075"/>
      <c r="G779" s="1075"/>
      <c r="H779" s="1075"/>
      <c r="I779" s="1075"/>
      <c r="J779" s="1075"/>
      <c r="K779" s="1075"/>
      <c r="L779" s="1075"/>
      <c r="M779" s="1075"/>
      <c r="N779" s="1075"/>
      <c r="O779" s="1075"/>
      <c r="P779" s="1075"/>
      <c r="Q779" s="1075"/>
      <c r="R779" s="1075"/>
      <c r="S779" s="1081"/>
      <c r="T779" s="1075"/>
      <c r="U779" s="1075"/>
      <c r="V779" s="1075"/>
      <c r="W779" s="1075"/>
      <c r="X779" s="1075"/>
      <c r="Y779" s="1075"/>
      <c r="Z779" s="1075"/>
      <c r="AA779" s="1075"/>
      <c r="AB779" s="1075"/>
      <c r="AC779" s="1075"/>
      <c r="AD779" s="1075"/>
      <c r="AE779" s="1075"/>
      <c r="AF779" s="1075"/>
      <c r="AG779" s="1075"/>
      <c r="AH779" s="1075"/>
      <c r="AI779" s="1075"/>
      <c r="AJ779" s="1075"/>
      <c r="AK779" s="1075"/>
      <c r="AL779" s="1075"/>
      <c r="AM779" s="1075"/>
    </row>
    <row r="780" spans="2:39" x14ac:dyDescent="0.25">
      <c r="B780" s="1082"/>
      <c r="C780" s="1075"/>
      <c r="D780" s="1075"/>
      <c r="E780" s="1075"/>
      <c r="F780" s="1075"/>
      <c r="G780" s="1075"/>
      <c r="H780" s="1075"/>
      <c r="I780" s="1075"/>
      <c r="J780" s="1075"/>
      <c r="K780" s="1075"/>
      <c r="L780" s="1075"/>
      <c r="M780" s="1075"/>
      <c r="N780" s="1075"/>
      <c r="O780" s="1075"/>
      <c r="P780" s="1075"/>
      <c r="Q780" s="1075"/>
      <c r="R780" s="1075"/>
      <c r="S780" s="1081"/>
      <c r="T780" s="1075"/>
      <c r="U780" s="1075"/>
      <c r="V780" s="1075"/>
      <c r="W780" s="1075"/>
      <c r="X780" s="1075"/>
      <c r="Y780" s="1075"/>
      <c r="Z780" s="1075"/>
      <c r="AA780" s="1075"/>
      <c r="AB780" s="1075"/>
      <c r="AC780" s="1075"/>
      <c r="AD780" s="1075"/>
      <c r="AE780" s="1075"/>
      <c r="AF780" s="1075"/>
      <c r="AG780" s="1075"/>
      <c r="AH780" s="1075"/>
      <c r="AI780" s="1075"/>
      <c r="AJ780" s="1075"/>
      <c r="AK780" s="1075"/>
      <c r="AL780" s="1075"/>
      <c r="AM780" s="1075"/>
    </row>
    <row r="781" spans="2:39" x14ac:dyDescent="0.25">
      <c r="B781" s="1082"/>
      <c r="C781" s="1075"/>
      <c r="D781" s="1075"/>
      <c r="E781" s="1075"/>
      <c r="F781" s="1075"/>
      <c r="G781" s="1075"/>
      <c r="H781" s="1075"/>
      <c r="I781" s="1075"/>
      <c r="J781" s="1075"/>
      <c r="K781" s="1075"/>
      <c r="L781" s="1075"/>
      <c r="M781" s="1075"/>
      <c r="N781" s="1075"/>
      <c r="O781" s="1075"/>
      <c r="P781" s="1075"/>
      <c r="Q781" s="1075"/>
      <c r="R781" s="1075"/>
      <c r="S781" s="1081"/>
      <c r="T781" s="1075"/>
      <c r="U781" s="1075"/>
      <c r="V781" s="1075"/>
      <c r="W781" s="1075"/>
      <c r="X781" s="1075"/>
      <c r="Y781" s="1075"/>
      <c r="Z781" s="1075"/>
      <c r="AA781" s="1075"/>
      <c r="AB781" s="1075"/>
      <c r="AC781" s="1075"/>
      <c r="AD781" s="1075"/>
      <c r="AE781" s="1075"/>
      <c r="AF781" s="1075"/>
      <c r="AG781" s="1075"/>
      <c r="AH781" s="1075"/>
      <c r="AI781" s="1075"/>
      <c r="AJ781" s="1075"/>
      <c r="AK781" s="1075"/>
      <c r="AL781" s="1075"/>
      <c r="AM781" s="1075"/>
    </row>
    <row r="782" spans="2:39" x14ac:dyDescent="0.25">
      <c r="B782" s="1082"/>
      <c r="C782" s="1075"/>
      <c r="D782" s="1075"/>
      <c r="E782" s="1075"/>
      <c r="F782" s="1075"/>
      <c r="G782" s="1075"/>
      <c r="H782" s="1075"/>
      <c r="I782" s="1075"/>
      <c r="J782" s="1075"/>
      <c r="K782" s="1075"/>
      <c r="L782" s="1075"/>
      <c r="M782" s="1075"/>
      <c r="N782" s="1075"/>
      <c r="O782" s="1075"/>
      <c r="P782" s="1075"/>
      <c r="Q782" s="1075"/>
      <c r="R782" s="1075"/>
      <c r="S782" s="1081"/>
      <c r="T782" s="1075"/>
      <c r="U782" s="1075"/>
      <c r="V782" s="1075"/>
      <c r="W782" s="1075"/>
      <c r="X782" s="1075"/>
      <c r="Y782" s="1075"/>
      <c r="Z782" s="1075"/>
      <c r="AA782" s="1075"/>
      <c r="AB782" s="1075"/>
      <c r="AC782" s="1075"/>
      <c r="AD782" s="1075"/>
      <c r="AE782" s="1075"/>
      <c r="AF782" s="1075"/>
      <c r="AG782" s="1075"/>
      <c r="AH782" s="1075"/>
      <c r="AI782" s="1075"/>
      <c r="AJ782" s="1075"/>
      <c r="AK782" s="1075"/>
      <c r="AL782" s="1075"/>
      <c r="AM782" s="1075"/>
    </row>
    <row r="783" spans="2:39" x14ac:dyDescent="0.25">
      <c r="B783" s="1082"/>
      <c r="C783" s="1075"/>
      <c r="D783" s="1075"/>
      <c r="E783" s="1075"/>
      <c r="F783" s="1075"/>
      <c r="G783" s="1075"/>
      <c r="H783" s="1075"/>
      <c r="I783" s="1075"/>
      <c r="J783" s="1075"/>
      <c r="K783" s="1075"/>
      <c r="L783" s="1075"/>
      <c r="M783" s="1075"/>
      <c r="N783" s="1075"/>
      <c r="O783" s="1075"/>
      <c r="P783" s="1075"/>
      <c r="Q783" s="1075"/>
      <c r="R783" s="1075"/>
      <c r="S783" s="1081"/>
      <c r="T783" s="1075"/>
      <c r="U783" s="1075"/>
      <c r="V783" s="1075"/>
      <c r="W783" s="1075"/>
      <c r="X783" s="1075"/>
      <c r="Y783" s="1075"/>
      <c r="Z783" s="1075"/>
      <c r="AA783" s="1075"/>
      <c r="AB783" s="1075"/>
      <c r="AC783" s="1075"/>
      <c r="AD783" s="1075"/>
      <c r="AE783" s="1075"/>
      <c r="AF783" s="1075"/>
      <c r="AG783" s="1075"/>
      <c r="AH783" s="1075"/>
      <c r="AI783" s="1075"/>
      <c r="AJ783" s="1075"/>
      <c r="AK783" s="1075"/>
      <c r="AL783" s="1075"/>
      <c r="AM783" s="1075"/>
    </row>
    <row r="784" spans="2:39" x14ac:dyDescent="0.25">
      <c r="B784" s="1082"/>
      <c r="C784" s="1075"/>
      <c r="D784" s="1075"/>
      <c r="E784" s="1075"/>
      <c r="F784" s="1075"/>
      <c r="G784" s="1075"/>
      <c r="H784" s="1075"/>
      <c r="I784" s="1075"/>
      <c r="J784" s="1075"/>
      <c r="K784" s="1075"/>
      <c r="L784" s="1075"/>
      <c r="M784" s="1075"/>
      <c r="N784" s="1075"/>
      <c r="O784" s="1075"/>
      <c r="P784" s="1075"/>
      <c r="Q784" s="1075"/>
      <c r="R784" s="1075"/>
      <c r="S784" s="1081"/>
      <c r="T784" s="1075"/>
      <c r="U784" s="1075"/>
      <c r="V784" s="1075"/>
      <c r="W784" s="1075"/>
      <c r="X784" s="1075"/>
      <c r="Y784" s="1075"/>
      <c r="Z784" s="1075"/>
      <c r="AA784" s="1075"/>
      <c r="AB784" s="1075"/>
      <c r="AC784" s="1075"/>
      <c r="AD784" s="1075"/>
      <c r="AE784" s="1075"/>
      <c r="AF784" s="1075"/>
      <c r="AG784" s="1075"/>
      <c r="AH784" s="1075"/>
      <c r="AI784" s="1075"/>
      <c r="AJ784" s="1075"/>
      <c r="AK784" s="1075"/>
      <c r="AL784" s="1075"/>
      <c r="AM784" s="1075"/>
    </row>
    <row r="785" spans="2:39" x14ac:dyDescent="0.25">
      <c r="B785" s="1082"/>
      <c r="C785" s="1075"/>
      <c r="D785" s="1075"/>
      <c r="E785" s="1075"/>
      <c r="F785" s="1075"/>
      <c r="G785" s="1075"/>
      <c r="H785" s="1075"/>
      <c r="I785" s="1075"/>
      <c r="J785" s="1075"/>
      <c r="K785" s="1075"/>
      <c r="L785" s="1075"/>
      <c r="M785" s="1075"/>
      <c r="N785" s="1075"/>
      <c r="O785" s="1075"/>
      <c r="P785" s="1075"/>
      <c r="Q785" s="1075"/>
      <c r="R785" s="1075"/>
      <c r="S785" s="1081"/>
      <c r="T785" s="1075"/>
      <c r="U785" s="1075"/>
      <c r="V785" s="1075"/>
      <c r="W785" s="1075"/>
      <c r="X785" s="1075"/>
      <c r="Y785" s="1075"/>
      <c r="Z785" s="1075"/>
      <c r="AA785" s="1075"/>
      <c r="AB785" s="1075"/>
      <c r="AC785" s="1075"/>
      <c r="AD785" s="1075"/>
      <c r="AE785" s="1075"/>
      <c r="AF785" s="1075"/>
      <c r="AG785" s="1075"/>
      <c r="AH785" s="1075"/>
      <c r="AI785" s="1075"/>
      <c r="AJ785" s="1075"/>
      <c r="AK785" s="1075"/>
      <c r="AL785" s="1075"/>
      <c r="AM785" s="1075"/>
    </row>
    <row r="786" spans="2:39" x14ac:dyDescent="0.25">
      <c r="B786" s="1082"/>
      <c r="C786" s="1075"/>
      <c r="D786" s="1075"/>
      <c r="E786" s="1075"/>
      <c r="F786" s="1075"/>
      <c r="G786" s="1075"/>
      <c r="H786" s="1075"/>
      <c r="I786" s="1075"/>
      <c r="J786" s="1075"/>
      <c r="K786" s="1075"/>
      <c r="L786" s="1075"/>
      <c r="M786" s="1075"/>
      <c r="N786" s="1075"/>
      <c r="O786" s="1075"/>
      <c r="P786" s="1075"/>
      <c r="Q786" s="1075"/>
      <c r="R786" s="1075"/>
      <c r="S786" s="1081"/>
      <c r="T786" s="1075"/>
      <c r="U786" s="1075"/>
      <c r="V786" s="1075"/>
      <c r="W786" s="1075"/>
      <c r="X786" s="1075"/>
      <c r="Y786" s="1075"/>
      <c r="Z786" s="1075"/>
      <c r="AA786" s="1075"/>
      <c r="AB786" s="1075"/>
      <c r="AC786" s="1075"/>
      <c r="AD786" s="1075"/>
      <c r="AE786" s="1075"/>
      <c r="AF786" s="1075"/>
      <c r="AG786" s="1075"/>
      <c r="AH786" s="1075"/>
      <c r="AI786" s="1075"/>
      <c r="AJ786" s="1075"/>
      <c r="AK786" s="1075"/>
      <c r="AL786" s="1075"/>
      <c r="AM786" s="1075"/>
    </row>
    <row r="787" spans="2:39" x14ac:dyDescent="0.25">
      <c r="B787" s="1082"/>
      <c r="C787" s="1075"/>
      <c r="D787" s="1075"/>
      <c r="E787" s="1075"/>
      <c r="F787" s="1075"/>
      <c r="G787" s="1075"/>
      <c r="H787" s="1075"/>
      <c r="I787" s="1075"/>
      <c r="J787" s="1075"/>
      <c r="K787" s="1075"/>
      <c r="L787" s="1075"/>
      <c r="M787" s="1075"/>
      <c r="N787" s="1075"/>
      <c r="O787" s="1075"/>
      <c r="P787" s="1075"/>
      <c r="Q787" s="1075"/>
      <c r="R787" s="1075"/>
      <c r="S787" s="1081"/>
      <c r="T787" s="1075"/>
      <c r="U787" s="1075"/>
      <c r="V787" s="1075"/>
      <c r="W787" s="1075"/>
      <c r="X787" s="1075"/>
      <c r="Y787" s="1075"/>
      <c r="Z787" s="1075"/>
      <c r="AA787" s="1075"/>
      <c r="AB787" s="1075"/>
      <c r="AC787" s="1075"/>
      <c r="AD787" s="1075"/>
      <c r="AE787" s="1075"/>
      <c r="AF787" s="1075"/>
      <c r="AG787" s="1075"/>
      <c r="AH787" s="1075"/>
      <c r="AI787" s="1075"/>
      <c r="AJ787" s="1075"/>
      <c r="AK787" s="1075"/>
      <c r="AL787" s="1075"/>
      <c r="AM787" s="1075"/>
    </row>
    <row r="788" spans="2:39" x14ac:dyDescent="0.25">
      <c r="B788" s="1082"/>
      <c r="C788" s="1075"/>
      <c r="D788" s="1075"/>
      <c r="E788" s="1075"/>
      <c r="F788" s="1075"/>
      <c r="G788" s="1075"/>
      <c r="H788" s="1075"/>
      <c r="I788" s="1075"/>
      <c r="J788" s="1075"/>
      <c r="K788" s="1075"/>
      <c r="L788" s="1075"/>
      <c r="M788" s="1075"/>
      <c r="N788" s="1075"/>
      <c r="O788" s="1075"/>
      <c r="P788" s="1075"/>
      <c r="Q788" s="1075"/>
      <c r="R788" s="1075"/>
      <c r="S788" s="1081"/>
      <c r="T788" s="1075"/>
      <c r="U788" s="1075"/>
      <c r="V788" s="1075"/>
      <c r="W788" s="1075"/>
      <c r="X788" s="1075"/>
      <c r="Y788" s="1075"/>
      <c r="Z788" s="1075"/>
      <c r="AA788" s="1075"/>
      <c r="AB788" s="1075"/>
      <c r="AC788" s="1075"/>
      <c r="AD788" s="1075"/>
      <c r="AE788" s="1075"/>
      <c r="AF788" s="1075"/>
      <c r="AG788" s="1075"/>
      <c r="AH788" s="1075"/>
      <c r="AI788" s="1075"/>
      <c r="AJ788" s="1075"/>
      <c r="AK788" s="1075"/>
      <c r="AL788" s="1075"/>
      <c r="AM788" s="1075"/>
    </row>
    <row r="789" spans="2:39" x14ac:dyDescent="0.25">
      <c r="B789" s="1082"/>
      <c r="C789" s="1075"/>
      <c r="D789" s="1075"/>
      <c r="E789" s="1075"/>
      <c r="F789" s="1075"/>
      <c r="G789" s="1075"/>
      <c r="H789" s="1075"/>
      <c r="I789" s="1075"/>
      <c r="J789" s="1075"/>
      <c r="K789" s="1075"/>
      <c r="L789" s="1075"/>
      <c r="M789" s="1075"/>
      <c r="N789" s="1075"/>
      <c r="O789" s="1075"/>
      <c r="P789" s="1075"/>
      <c r="Q789" s="1075"/>
      <c r="R789" s="1075"/>
      <c r="S789" s="1081"/>
      <c r="T789" s="1075"/>
      <c r="U789" s="1075"/>
      <c r="V789" s="1075"/>
      <c r="W789" s="1075"/>
      <c r="X789" s="1075"/>
      <c r="Y789" s="1075"/>
      <c r="Z789" s="1075"/>
      <c r="AA789" s="1075"/>
      <c r="AB789" s="1075"/>
      <c r="AC789" s="1075"/>
      <c r="AD789" s="1075"/>
      <c r="AE789" s="1075"/>
      <c r="AF789" s="1075"/>
      <c r="AG789" s="1075"/>
      <c r="AH789" s="1075"/>
      <c r="AI789" s="1075"/>
      <c r="AJ789" s="1075"/>
      <c r="AK789" s="1075"/>
      <c r="AL789" s="1075"/>
      <c r="AM789" s="1075"/>
    </row>
    <row r="790" spans="2:39" x14ac:dyDescent="0.25">
      <c r="B790" s="1082"/>
      <c r="C790" s="1075"/>
      <c r="D790" s="1075"/>
      <c r="E790" s="1075"/>
      <c r="F790" s="1075"/>
      <c r="G790" s="1075"/>
      <c r="H790" s="1075"/>
      <c r="I790" s="1075"/>
      <c r="J790" s="1075"/>
      <c r="K790" s="1075"/>
      <c r="L790" s="1075"/>
      <c r="M790" s="1075"/>
      <c r="N790" s="1075"/>
      <c r="O790" s="1075"/>
      <c r="P790" s="1075"/>
      <c r="Q790" s="1075"/>
      <c r="R790" s="1075"/>
      <c r="S790" s="1081"/>
      <c r="T790" s="1075"/>
      <c r="U790" s="1075"/>
      <c r="V790" s="1075"/>
      <c r="W790" s="1075"/>
      <c r="X790" s="1075"/>
      <c r="Y790" s="1075"/>
      <c r="Z790" s="1075"/>
      <c r="AA790" s="1075"/>
      <c r="AB790" s="1075"/>
      <c r="AC790" s="1075"/>
      <c r="AD790" s="1075"/>
      <c r="AE790" s="1075"/>
      <c r="AF790" s="1075"/>
      <c r="AG790" s="1075"/>
      <c r="AH790" s="1075"/>
      <c r="AI790" s="1075"/>
      <c r="AJ790" s="1075"/>
      <c r="AK790" s="1075"/>
      <c r="AL790" s="1075"/>
      <c r="AM790" s="1075"/>
    </row>
    <row r="791" spans="2:39" x14ac:dyDescent="0.25">
      <c r="B791" s="1082"/>
      <c r="C791" s="1075"/>
      <c r="D791" s="1075"/>
      <c r="E791" s="1075"/>
      <c r="F791" s="1075"/>
      <c r="G791" s="1075"/>
      <c r="H791" s="1075"/>
      <c r="I791" s="1075"/>
      <c r="J791" s="1075"/>
      <c r="K791" s="1075"/>
      <c r="L791" s="1075"/>
      <c r="M791" s="1075"/>
      <c r="N791" s="1075"/>
      <c r="O791" s="1075"/>
      <c r="P791" s="1075"/>
      <c r="Q791" s="1075"/>
      <c r="R791" s="1075"/>
      <c r="S791" s="1081"/>
      <c r="T791" s="1075"/>
      <c r="U791" s="1075"/>
      <c r="V791" s="1075"/>
      <c r="W791" s="1075"/>
      <c r="X791" s="1075"/>
      <c r="Y791" s="1075"/>
      <c r="Z791" s="1075"/>
      <c r="AA791" s="1075"/>
      <c r="AB791" s="1075"/>
      <c r="AC791" s="1075"/>
      <c r="AD791" s="1075"/>
      <c r="AE791" s="1075"/>
      <c r="AF791" s="1075"/>
      <c r="AG791" s="1075"/>
      <c r="AH791" s="1075"/>
      <c r="AI791" s="1075"/>
      <c r="AJ791" s="1075"/>
      <c r="AK791" s="1075"/>
      <c r="AL791" s="1075"/>
      <c r="AM791" s="1075"/>
    </row>
    <row r="792" spans="2:39" x14ac:dyDescent="0.25">
      <c r="B792" s="1082"/>
      <c r="C792" s="1075"/>
      <c r="D792" s="1075"/>
      <c r="E792" s="1075"/>
      <c r="F792" s="1075"/>
      <c r="G792" s="1075"/>
      <c r="H792" s="1075"/>
      <c r="I792" s="1075"/>
      <c r="J792" s="1075"/>
      <c r="K792" s="1075"/>
      <c r="L792" s="1075"/>
      <c r="M792" s="1075"/>
      <c r="N792" s="1075"/>
      <c r="O792" s="1075"/>
      <c r="P792" s="1075"/>
      <c r="Q792" s="1075"/>
      <c r="R792" s="1075"/>
      <c r="S792" s="1081"/>
      <c r="T792" s="1075"/>
      <c r="U792" s="1075"/>
      <c r="V792" s="1075"/>
      <c r="W792" s="1075"/>
      <c r="X792" s="1075"/>
      <c r="Y792" s="1075"/>
      <c r="Z792" s="1075"/>
      <c r="AA792" s="1075"/>
      <c r="AB792" s="1075"/>
      <c r="AC792" s="1075"/>
      <c r="AD792" s="1075"/>
      <c r="AE792" s="1075"/>
      <c r="AF792" s="1075"/>
      <c r="AG792" s="1075"/>
      <c r="AH792" s="1075"/>
      <c r="AI792" s="1075"/>
      <c r="AJ792" s="1075"/>
      <c r="AK792" s="1075"/>
      <c r="AL792" s="1075"/>
      <c r="AM792" s="1075"/>
    </row>
    <row r="793" spans="2:39" x14ac:dyDescent="0.25">
      <c r="B793" s="1082"/>
      <c r="C793" s="1075"/>
      <c r="D793" s="1075"/>
      <c r="E793" s="1075"/>
      <c r="F793" s="1075"/>
      <c r="G793" s="1075"/>
      <c r="H793" s="1075"/>
      <c r="I793" s="1075"/>
      <c r="J793" s="1075"/>
      <c r="K793" s="1075"/>
      <c r="L793" s="1075"/>
      <c r="M793" s="1075"/>
      <c r="N793" s="1075"/>
      <c r="O793" s="1075"/>
      <c r="P793" s="1075"/>
      <c r="Q793" s="1075"/>
      <c r="R793" s="1075"/>
      <c r="S793" s="1081"/>
      <c r="T793" s="1075"/>
      <c r="U793" s="1075"/>
      <c r="V793" s="1075"/>
      <c r="W793" s="1075"/>
      <c r="X793" s="1075"/>
      <c r="Y793" s="1075"/>
      <c r="Z793" s="1075"/>
      <c r="AA793" s="1075"/>
      <c r="AB793" s="1075"/>
      <c r="AC793" s="1075"/>
      <c r="AD793" s="1075"/>
      <c r="AE793" s="1075"/>
      <c r="AF793" s="1075"/>
      <c r="AG793" s="1075"/>
      <c r="AH793" s="1075"/>
      <c r="AI793" s="1075"/>
      <c r="AJ793" s="1075"/>
      <c r="AK793" s="1075"/>
      <c r="AL793" s="1075"/>
      <c r="AM793" s="1075"/>
    </row>
    <row r="794" spans="2:39" x14ac:dyDescent="0.25">
      <c r="B794" s="1082"/>
      <c r="C794" s="1075"/>
      <c r="D794" s="1075"/>
      <c r="E794" s="1075"/>
      <c r="F794" s="1075"/>
      <c r="G794" s="1075"/>
      <c r="H794" s="1075"/>
      <c r="I794" s="1075"/>
      <c r="J794" s="1075"/>
      <c r="K794" s="1075"/>
      <c r="L794" s="1075"/>
      <c r="M794" s="1075"/>
      <c r="N794" s="1075"/>
      <c r="O794" s="1075"/>
      <c r="P794" s="1075"/>
      <c r="Q794" s="1075"/>
      <c r="R794" s="1075"/>
      <c r="S794" s="1081"/>
      <c r="T794" s="1075"/>
      <c r="U794" s="1075"/>
      <c r="V794" s="1075"/>
      <c r="W794" s="1075"/>
      <c r="X794" s="1075"/>
      <c r="Y794" s="1075"/>
      <c r="Z794" s="1075"/>
      <c r="AA794" s="1075"/>
      <c r="AB794" s="1075"/>
      <c r="AC794" s="1075"/>
      <c r="AD794" s="1075"/>
      <c r="AE794" s="1075"/>
      <c r="AF794" s="1075"/>
      <c r="AG794" s="1075"/>
      <c r="AH794" s="1075"/>
      <c r="AI794" s="1075"/>
      <c r="AJ794" s="1075"/>
      <c r="AK794" s="1075"/>
      <c r="AL794" s="1075"/>
      <c r="AM794" s="1075"/>
    </row>
    <row r="795" spans="2:39" x14ac:dyDescent="0.25">
      <c r="B795" s="1082"/>
      <c r="C795" s="1075"/>
      <c r="D795" s="1075"/>
      <c r="E795" s="1075"/>
      <c r="F795" s="1075"/>
      <c r="G795" s="1075"/>
      <c r="H795" s="1075"/>
      <c r="I795" s="1075"/>
      <c r="J795" s="1075"/>
      <c r="K795" s="1075"/>
      <c r="L795" s="1075"/>
      <c r="M795" s="1075"/>
      <c r="N795" s="1075"/>
      <c r="O795" s="1075"/>
      <c r="P795" s="1075"/>
      <c r="Q795" s="1075"/>
      <c r="R795" s="1075"/>
      <c r="S795" s="1081"/>
      <c r="T795" s="1075"/>
      <c r="U795" s="1075"/>
      <c r="V795" s="1075"/>
      <c r="W795" s="1075"/>
      <c r="X795" s="1075"/>
      <c r="Y795" s="1075"/>
      <c r="Z795" s="1075"/>
      <c r="AA795" s="1075"/>
      <c r="AB795" s="1075"/>
      <c r="AC795" s="1075"/>
      <c r="AD795" s="1075"/>
      <c r="AE795" s="1075"/>
      <c r="AF795" s="1075"/>
      <c r="AG795" s="1075"/>
      <c r="AH795" s="1075"/>
      <c r="AI795" s="1075"/>
      <c r="AJ795" s="1075"/>
      <c r="AK795" s="1075"/>
      <c r="AL795" s="1075"/>
      <c r="AM795" s="1075"/>
    </row>
    <row r="796" spans="2:39" x14ac:dyDescent="0.25">
      <c r="B796" s="1082"/>
      <c r="C796" s="1075"/>
      <c r="D796" s="1075"/>
      <c r="E796" s="1075"/>
      <c r="F796" s="1075"/>
      <c r="G796" s="1075"/>
      <c r="H796" s="1075"/>
      <c r="I796" s="1075"/>
      <c r="J796" s="1075"/>
      <c r="K796" s="1075"/>
      <c r="L796" s="1075"/>
      <c r="M796" s="1075"/>
      <c r="N796" s="1075"/>
      <c r="O796" s="1075"/>
      <c r="P796" s="1075"/>
      <c r="Q796" s="1075"/>
      <c r="R796" s="1075"/>
      <c r="S796" s="1081"/>
      <c r="T796" s="1075"/>
      <c r="U796" s="1075"/>
      <c r="V796" s="1075"/>
      <c r="W796" s="1075"/>
      <c r="X796" s="1075"/>
      <c r="Y796" s="1075"/>
      <c r="Z796" s="1075"/>
      <c r="AA796" s="1075"/>
      <c r="AB796" s="1075"/>
      <c r="AC796" s="1075"/>
      <c r="AD796" s="1075"/>
      <c r="AE796" s="1075"/>
      <c r="AF796" s="1075"/>
      <c r="AG796" s="1075"/>
      <c r="AH796" s="1075"/>
      <c r="AI796" s="1075"/>
      <c r="AJ796" s="1075"/>
      <c r="AK796" s="1075"/>
      <c r="AL796" s="1075"/>
      <c r="AM796" s="1075"/>
    </row>
    <row r="797" spans="2:39" x14ac:dyDescent="0.25">
      <c r="B797" s="1082"/>
      <c r="C797" s="1075"/>
      <c r="D797" s="1075"/>
      <c r="E797" s="1075"/>
      <c r="F797" s="1075"/>
      <c r="G797" s="1075"/>
      <c r="H797" s="1075"/>
      <c r="I797" s="1075"/>
      <c r="J797" s="1075"/>
      <c r="K797" s="1075"/>
      <c r="L797" s="1075"/>
      <c r="M797" s="1075"/>
      <c r="N797" s="1075"/>
      <c r="O797" s="1075"/>
      <c r="P797" s="1075"/>
      <c r="Q797" s="1075"/>
      <c r="R797" s="1075"/>
      <c r="S797" s="1081"/>
      <c r="T797" s="1075"/>
      <c r="U797" s="1075"/>
      <c r="V797" s="1075"/>
      <c r="W797" s="1075"/>
      <c r="X797" s="1075"/>
      <c r="Y797" s="1075"/>
      <c r="Z797" s="1075"/>
      <c r="AA797" s="1075"/>
      <c r="AB797" s="1075"/>
      <c r="AC797" s="1075"/>
      <c r="AD797" s="1075"/>
      <c r="AE797" s="1075"/>
      <c r="AF797" s="1075"/>
      <c r="AG797" s="1075"/>
      <c r="AH797" s="1075"/>
      <c r="AI797" s="1075"/>
      <c r="AJ797" s="1075"/>
      <c r="AK797" s="1075"/>
      <c r="AL797" s="1075"/>
      <c r="AM797" s="1075"/>
    </row>
    <row r="798" spans="2:39" x14ac:dyDescent="0.25">
      <c r="B798" s="1082"/>
      <c r="C798" s="1075"/>
      <c r="D798" s="1075"/>
      <c r="E798" s="1075"/>
      <c r="F798" s="1075"/>
      <c r="G798" s="1075"/>
      <c r="H798" s="1075"/>
      <c r="I798" s="1075"/>
      <c r="J798" s="1075"/>
      <c r="K798" s="1075"/>
      <c r="L798" s="1075"/>
      <c r="M798" s="1075"/>
      <c r="N798" s="1075"/>
      <c r="O798" s="1075"/>
      <c r="P798" s="1075"/>
      <c r="Q798" s="1075"/>
      <c r="R798" s="1075"/>
      <c r="S798" s="1081"/>
      <c r="T798" s="1075"/>
      <c r="U798" s="1075"/>
      <c r="V798" s="1075"/>
      <c r="W798" s="1075"/>
      <c r="X798" s="1075"/>
      <c r="Y798" s="1075"/>
      <c r="Z798" s="1075"/>
      <c r="AA798" s="1075"/>
      <c r="AB798" s="1075"/>
      <c r="AC798" s="1075"/>
      <c r="AD798" s="1075"/>
      <c r="AE798" s="1075"/>
      <c r="AF798" s="1075"/>
      <c r="AG798" s="1075"/>
      <c r="AH798" s="1075"/>
      <c r="AI798" s="1075"/>
      <c r="AJ798" s="1075"/>
      <c r="AK798" s="1075"/>
      <c r="AL798" s="1075"/>
      <c r="AM798" s="1075"/>
    </row>
    <row r="799" spans="2:39" x14ac:dyDescent="0.25">
      <c r="B799" s="1082"/>
      <c r="C799" s="1075"/>
      <c r="D799" s="1075"/>
      <c r="E799" s="1075"/>
      <c r="F799" s="1075"/>
      <c r="G799" s="1075"/>
      <c r="H799" s="1075"/>
      <c r="I799" s="1075"/>
      <c r="J799" s="1075"/>
      <c r="K799" s="1075"/>
      <c r="L799" s="1075"/>
      <c r="M799" s="1075"/>
      <c r="N799" s="1075"/>
      <c r="O799" s="1075"/>
      <c r="P799" s="1075"/>
      <c r="Q799" s="1075"/>
      <c r="R799" s="1075"/>
      <c r="S799" s="1081"/>
      <c r="T799" s="1075"/>
      <c r="U799" s="1075"/>
      <c r="V799" s="1075"/>
      <c r="W799" s="1075"/>
      <c r="X799" s="1075"/>
      <c r="Y799" s="1075"/>
      <c r="Z799" s="1075"/>
      <c r="AA799" s="1075"/>
      <c r="AB799" s="1075"/>
      <c r="AC799" s="1075"/>
      <c r="AD799" s="1075"/>
      <c r="AE799" s="1075"/>
      <c r="AF799" s="1075"/>
      <c r="AG799" s="1075"/>
      <c r="AH799" s="1075"/>
      <c r="AI799" s="1075"/>
      <c r="AJ799" s="1075"/>
      <c r="AK799" s="1075"/>
      <c r="AL799" s="1075"/>
      <c r="AM799" s="1075"/>
    </row>
    <row r="800" spans="2:39" x14ac:dyDescent="0.25">
      <c r="B800" s="1082"/>
      <c r="C800" s="1075"/>
      <c r="D800" s="1075"/>
      <c r="E800" s="1075"/>
      <c r="F800" s="1075"/>
      <c r="G800" s="1075"/>
      <c r="H800" s="1075"/>
      <c r="I800" s="1075"/>
      <c r="J800" s="1075"/>
      <c r="K800" s="1075"/>
      <c r="L800" s="1075"/>
      <c r="M800" s="1075"/>
      <c r="N800" s="1075"/>
      <c r="O800" s="1075"/>
      <c r="P800" s="1075"/>
      <c r="Q800" s="1075"/>
      <c r="R800" s="1075"/>
      <c r="S800" s="1081"/>
      <c r="T800" s="1075"/>
      <c r="U800" s="1075"/>
      <c r="V800" s="1075"/>
      <c r="W800" s="1075"/>
      <c r="X800" s="1075"/>
      <c r="Y800" s="1075"/>
      <c r="Z800" s="1075"/>
      <c r="AA800" s="1075"/>
      <c r="AB800" s="1075"/>
      <c r="AC800" s="1075"/>
      <c r="AD800" s="1075"/>
      <c r="AE800" s="1075"/>
      <c r="AF800" s="1075"/>
      <c r="AG800" s="1075"/>
      <c r="AH800" s="1075"/>
      <c r="AI800" s="1075"/>
      <c r="AJ800" s="1075"/>
      <c r="AK800" s="1075"/>
      <c r="AL800" s="1075"/>
      <c r="AM800" s="1075"/>
    </row>
    <row r="801" spans="2:39" x14ac:dyDescent="0.25">
      <c r="B801" s="1082"/>
      <c r="C801" s="1075"/>
      <c r="D801" s="1075"/>
      <c r="E801" s="1075"/>
      <c r="F801" s="1075"/>
      <c r="G801" s="1075"/>
      <c r="H801" s="1075"/>
      <c r="I801" s="1075"/>
      <c r="J801" s="1075"/>
      <c r="K801" s="1075"/>
      <c r="L801" s="1075"/>
      <c r="M801" s="1075"/>
      <c r="N801" s="1075"/>
      <c r="O801" s="1075"/>
      <c r="P801" s="1075"/>
      <c r="Q801" s="1075"/>
      <c r="R801" s="1075"/>
      <c r="S801" s="1081"/>
      <c r="T801" s="1075"/>
      <c r="U801" s="1075"/>
      <c r="V801" s="1075"/>
      <c r="W801" s="1075"/>
      <c r="X801" s="1075"/>
      <c r="Y801" s="1075"/>
      <c r="Z801" s="1075"/>
      <c r="AA801" s="1075"/>
      <c r="AB801" s="1075"/>
      <c r="AC801" s="1075"/>
      <c r="AD801" s="1075"/>
      <c r="AE801" s="1075"/>
      <c r="AF801" s="1075"/>
      <c r="AG801" s="1075"/>
      <c r="AH801" s="1075"/>
      <c r="AI801" s="1075"/>
      <c r="AJ801" s="1075"/>
      <c r="AK801" s="1075"/>
      <c r="AL801" s="1075"/>
      <c r="AM801" s="1075"/>
    </row>
    <row r="802" spans="2:39" x14ac:dyDescent="0.25">
      <c r="B802" s="1082"/>
      <c r="C802" s="1075"/>
      <c r="D802" s="1075"/>
      <c r="E802" s="1075"/>
      <c r="F802" s="1075"/>
      <c r="G802" s="1075"/>
      <c r="H802" s="1075"/>
      <c r="I802" s="1075"/>
      <c r="J802" s="1075"/>
      <c r="K802" s="1075"/>
      <c r="L802" s="1075"/>
      <c r="M802" s="1075"/>
      <c r="N802" s="1075"/>
      <c r="O802" s="1075"/>
      <c r="P802" s="1075"/>
      <c r="Q802" s="1075"/>
      <c r="R802" s="1075"/>
      <c r="S802" s="1081"/>
      <c r="T802" s="1075"/>
      <c r="U802" s="1075"/>
      <c r="V802" s="1075"/>
      <c r="W802" s="1075"/>
      <c r="X802" s="1075"/>
      <c r="Y802" s="1075"/>
      <c r="Z802" s="1075"/>
      <c r="AA802" s="1075"/>
      <c r="AB802" s="1075"/>
      <c r="AC802" s="1075"/>
      <c r="AD802" s="1075"/>
      <c r="AE802" s="1075"/>
      <c r="AF802" s="1075"/>
      <c r="AG802" s="1075"/>
      <c r="AH802" s="1075"/>
      <c r="AI802" s="1075"/>
      <c r="AJ802" s="1075"/>
      <c r="AK802" s="1075"/>
      <c r="AL802" s="1075"/>
      <c r="AM802" s="1075"/>
    </row>
    <row r="803" spans="2:39" x14ac:dyDescent="0.25">
      <c r="B803" s="1082"/>
      <c r="C803" s="1075"/>
      <c r="D803" s="1075"/>
      <c r="E803" s="1075"/>
      <c r="F803" s="1075"/>
      <c r="G803" s="1075"/>
      <c r="H803" s="1075"/>
      <c r="I803" s="1075"/>
      <c r="J803" s="1075"/>
      <c r="K803" s="1075"/>
      <c r="L803" s="1075"/>
      <c r="M803" s="1075"/>
      <c r="N803" s="1075"/>
      <c r="O803" s="1075"/>
      <c r="P803" s="1075"/>
      <c r="Q803" s="1075"/>
      <c r="R803" s="1075"/>
      <c r="S803" s="1081"/>
      <c r="T803" s="1075"/>
      <c r="U803" s="1075"/>
      <c r="V803" s="1075"/>
      <c r="W803" s="1075"/>
      <c r="X803" s="1075"/>
      <c r="Y803" s="1075"/>
      <c r="Z803" s="1075"/>
      <c r="AA803" s="1075"/>
      <c r="AB803" s="1075"/>
      <c r="AC803" s="1075"/>
      <c r="AD803" s="1075"/>
      <c r="AE803" s="1075"/>
      <c r="AF803" s="1075"/>
      <c r="AG803" s="1075"/>
      <c r="AH803" s="1075"/>
      <c r="AI803" s="1075"/>
      <c r="AJ803" s="1075"/>
      <c r="AK803" s="1075"/>
      <c r="AL803" s="1075"/>
      <c r="AM803" s="1075"/>
    </row>
    <row r="804" spans="2:39" x14ac:dyDescent="0.25">
      <c r="B804" s="1082"/>
      <c r="C804" s="1075"/>
      <c r="D804" s="1075"/>
      <c r="E804" s="1075"/>
      <c r="F804" s="1075"/>
      <c r="G804" s="1075"/>
      <c r="H804" s="1075"/>
      <c r="I804" s="1075"/>
      <c r="J804" s="1075"/>
      <c r="K804" s="1075"/>
      <c r="L804" s="1075"/>
      <c r="M804" s="1075"/>
      <c r="N804" s="1075"/>
      <c r="O804" s="1075"/>
      <c r="P804" s="1075"/>
      <c r="Q804" s="1075"/>
      <c r="R804" s="1075"/>
      <c r="S804" s="1081"/>
      <c r="T804" s="1075"/>
      <c r="U804" s="1075"/>
      <c r="V804" s="1075"/>
      <c r="W804" s="1075"/>
      <c r="X804" s="1075"/>
      <c r="Y804" s="1075"/>
      <c r="Z804" s="1075"/>
      <c r="AA804" s="1075"/>
      <c r="AB804" s="1075"/>
      <c r="AC804" s="1075"/>
      <c r="AD804" s="1075"/>
      <c r="AE804" s="1075"/>
      <c r="AF804" s="1075"/>
      <c r="AG804" s="1075"/>
      <c r="AH804" s="1075"/>
      <c r="AI804" s="1075"/>
      <c r="AJ804" s="1075"/>
      <c r="AK804" s="1075"/>
      <c r="AL804" s="1075"/>
      <c r="AM804" s="1075"/>
    </row>
    <row r="805" spans="2:39" x14ac:dyDescent="0.25">
      <c r="B805" s="1082"/>
      <c r="C805" s="1075"/>
      <c r="D805" s="1075"/>
      <c r="E805" s="1075"/>
      <c r="F805" s="1075"/>
      <c r="G805" s="1075"/>
      <c r="H805" s="1075"/>
      <c r="I805" s="1075"/>
      <c r="J805" s="1075"/>
      <c r="K805" s="1075"/>
      <c r="L805" s="1075"/>
      <c r="M805" s="1075"/>
      <c r="N805" s="1075"/>
      <c r="O805" s="1075"/>
      <c r="P805" s="1075"/>
      <c r="Q805" s="1075"/>
      <c r="R805" s="1075"/>
      <c r="S805" s="1081"/>
      <c r="T805" s="1075"/>
      <c r="U805" s="1075"/>
      <c r="V805" s="1075"/>
      <c r="W805" s="1075"/>
      <c r="X805" s="1075"/>
      <c r="Y805" s="1075"/>
      <c r="Z805" s="1075"/>
      <c r="AA805" s="1075"/>
      <c r="AB805" s="1075"/>
      <c r="AC805" s="1075"/>
      <c r="AD805" s="1075"/>
      <c r="AE805" s="1075"/>
      <c r="AF805" s="1075"/>
      <c r="AG805" s="1075"/>
      <c r="AH805" s="1075"/>
      <c r="AI805" s="1075"/>
      <c r="AJ805" s="1075"/>
      <c r="AK805" s="1075"/>
      <c r="AL805" s="1075"/>
      <c r="AM805" s="1075"/>
    </row>
    <row r="806" spans="2:39" x14ac:dyDescent="0.25">
      <c r="B806" s="1082"/>
      <c r="C806" s="1075"/>
      <c r="D806" s="1075"/>
      <c r="E806" s="1075"/>
      <c r="F806" s="1075"/>
      <c r="G806" s="1075"/>
      <c r="H806" s="1075"/>
      <c r="I806" s="1075"/>
      <c r="J806" s="1075"/>
      <c r="K806" s="1075"/>
      <c r="L806" s="1075"/>
      <c r="M806" s="1075"/>
      <c r="N806" s="1075"/>
      <c r="O806" s="1075"/>
      <c r="P806" s="1075"/>
      <c r="Q806" s="1075"/>
      <c r="R806" s="1075"/>
      <c r="S806" s="1081"/>
      <c r="T806" s="1075"/>
      <c r="U806" s="1075"/>
      <c r="V806" s="1075"/>
      <c r="W806" s="1075"/>
      <c r="X806" s="1075"/>
      <c r="Y806" s="1075"/>
      <c r="Z806" s="1075"/>
      <c r="AA806" s="1075"/>
      <c r="AB806" s="1075"/>
      <c r="AC806" s="1075"/>
      <c r="AD806" s="1075"/>
      <c r="AE806" s="1075"/>
      <c r="AF806" s="1075"/>
      <c r="AG806" s="1075"/>
      <c r="AH806" s="1075"/>
      <c r="AI806" s="1075"/>
      <c r="AJ806" s="1075"/>
      <c r="AK806" s="1075"/>
      <c r="AL806" s="1075"/>
      <c r="AM806" s="1075"/>
    </row>
    <row r="807" spans="2:39" x14ac:dyDescent="0.25">
      <c r="B807" s="1082"/>
      <c r="C807" s="1075"/>
      <c r="D807" s="1075"/>
      <c r="E807" s="1075"/>
      <c r="F807" s="1075"/>
      <c r="G807" s="1075"/>
      <c r="H807" s="1075"/>
      <c r="I807" s="1075"/>
      <c r="J807" s="1075"/>
      <c r="K807" s="1075"/>
      <c r="L807" s="1075"/>
      <c r="M807" s="1075"/>
      <c r="N807" s="1075"/>
      <c r="O807" s="1075"/>
      <c r="P807" s="1075"/>
      <c r="Q807" s="1075"/>
      <c r="R807" s="1075"/>
      <c r="S807" s="1081"/>
      <c r="T807" s="1075"/>
      <c r="U807" s="1075"/>
      <c r="V807" s="1075"/>
      <c r="W807" s="1075"/>
      <c r="X807" s="1075"/>
      <c r="Y807" s="1075"/>
      <c r="Z807" s="1075"/>
      <c r="AA807" s="1075"/>
      <c r="AB807" s="1075"/>
      <c r="AC807" s="1075"/>
      <c r="AD807" s="1075"/>
      <c r="AE807" s="1075"/>
      <c r="AF807" s="1075"/>
      <c r="AG807" s="1075"/>
      <c r="AH807" s="1075"/>
      <c r="AI807" s="1075"/>
      <c r="AJ807" s="1075"/>
      <c r="AK807" s="1075"/>
      <c r="AL807" s="1075"/>
      <c r="AM807" s="1075"/>
    </row>
    <row r="808" spans="2:39" x14ac:dyDescent="0.25">
      <c r="B808" s="1082"/>
      <c r="C808" s="1075"/>
      <c r="D808" s="1075"/>
      <c r="E808" s="1075"/>
      <c r="F808" s="1075"/>
      <c r="G808" s="1075"/>
      <c r="H808" s="1075"/>
      <c r="I808" s="1075"/>
      <c r="J808" s="1075"/>
      <c r="K808" s="1075"/>
      <c r="L808" s="1075"/>
      <c r="M808" s="1075"/>
      <c r="N808" s="1075"/>
      <c r="O808" s="1075"/>
      <c r="P808" s="1075"/>
      <c r="Q808" s="1075"/>
      <c r="R808" s="1075"/>
      <c r="S808" s="1081"/>
      <c r="T808" s="1075"/>
      <c r="U808" s="1075"/>
      <c r="V808" s="1075"/>
      <c r="W808" s="1075"/>
      <c r="X808" s="1075"/>
      <c r="Y808" s="1075"/>
      <c r="Z808" s="1075"/>
      <c r="AA808" s="1075"/>
      <c r="AB808" s="1075"/>
      <c r="AC808" s="1075"/>
      <c r="AD808" s="1075"/>
      <c r="AE808" s="1075"/>
      <c r="AF808" s="1075"/>
      <c r="AG808" s="1075"/>
      <c r="AH808" s="1075"/>
      <c r="AI808" s="1075"/>
      <c r="AJ808" s="1075"/>
      <c r="AK808" s="1075"/>
      <c r="AL808" s="1075"/>
      <c r="AM808" s="1075"/>
    </row>
    <row r="809" spans="2:39" x14ac:dyDescent="0.25">
      <c r="B809" s="1082"/>
      <c r="C809" s="1075"/>
      <c r="D809" s="1075"/>
      <c r="E809" s="1075"/>
      <c r="F809" s="1075"/>
      <c r="G809" s="1075"/>
      <c r="H809" s="1075"/>
      <c r="I809" s="1075"/>
      <c r="J809" s="1075"/>
      <c r="K809" s="1075"/>
      <c r="L809" s="1075"/>
      <c r="M809" s="1075"/>
      <c r="N809" s="1075"/>
      <c r="O809" s="1075"/>
      <c r="P809" s="1075"/>
      <c r="Q809" s="1075"/>
      <c r="R809" s="1075"/>
      <c r="S809" s="1081"/>
      <c r="T809" s="1075"/>
      <c r="U809" s="1075"/>
      <c r="V809" s="1075"/>
      <c r="W809" s="1075"/>
      <c r="X809" s="1075"/>
      <c r="Y809" s="1075"/>
      <c r="Z809" s="1075"/>
      <c r="AA809" s="1075"/>
      <c r="AB809" s="1075"/>
      <c r="AC809" s="1075"/>
      <c r="AD809" s="1075"/>
      <c r="AE809" s="1075"/>
      <c r="AF809" s="1075"/>
      <c r="AG809" s="1075"/>
      <c r="AH809" s="1075"/>
      <c r="AI809" s="1075"/>
      <c r="AJ809" s="1075"/>
      <c r="AK809" s="1075"/>
      <c r="AL809" s="1075"/>
      <c r="AM809" s="1075"/>
    </row>
    <row r="810" spans="2:39" x14ac:dyDescent="0.25">
      <c r="B810" s="1082"/>
      <c r="C810" s="1075"/>
      <c r="D810" s="1075"/>
      <c r="E810" s="1075"/>
      <c r="F810" s="1075"/>
      <c r="G810" s="1075"/>
      <c r="H810" s="1075"/>
      <c r="I810" s="1075"/>
      <c r="J810" s="1075"/>
      <c r="K810" s="1075"/>
      <c r="L810" s="1075"/>
      <c r="M810" s="1075"/>
      <c r="N810" s="1075"/>
      <c r="O810" s="1075"/>
      <c r="P810" s="1075"/>
      <c r="Q810" s="1075"/>
      <c r="R810" s="1075"/>
      <c r="S810" s="1081"/>
      <c r="T810" s="1075"/>
      <c r="U810" s="1075"/>
      <c r="V810" s="1075"/>
      <c r="W810" s="1075"/>
      <c r="X810" s="1075"/>
      <c r="Y810" s="1075"/>
      <c r="Z810" s="1075"/>
      <c r="AA810" s="1075"/>
      <c r="AB810" s="1075"/>
      <c r="AC810" s="1075"/>
      <c r="AD810" s="1075"/>
      <c r="AE810" s="1075"/>
      <c r="AF810" s="1075"/>
      <c r="AG810" s="1075"/>
      <c r="AH810" s="1075"/>
      <c r="AI810" s="1075"/>
      <c r="AJ810" s="1075"/>
      <c r="AK810" s="1075"/>
      <c r="AL810" s="1075"/>
      <c r="AM810" s="1075"/>
    </row>
    <row r="811" spans="2:39" x14ac:dyDescent="0.25">
      <c r="B811" s="1082"/>
      <c r="C811" s="1075"/>
      <c r="D811" s="1075"/>
      <c r="E811" s="1075"/>
      <c r="F811" s="1075"/>
      <c r="G811" s="1075"/>
      <c r="H811" s="1075"/>
      <c r="I811" s="1075"/>
      <c r="J811" s="1075"/>
      <c r="K811" s="1075"/>
      <c r="L811" s="1075"/>
      <c r="M811" s="1075"/>
      <c r="N811" s="1075"/>
      <c r="O811" s="1075"/>
      <c r="P811" s="1075"/>
      <c r="Q811" s="1075"/>
      <c r="R811" s="1075"/>
      <c r="S811" s="1081"/>
      <c r="T811" s="1075"/>
      <c r="U811" s="1075"/>
      <c r="V811" s="1075"/>
      <c r="W811" s="1075"/>
      <c r="X811" s="1075"/>
      <c r="Y811" s="1075"/>
      <c r="Z811" s="1075"/>
      <c r="AA811" s="1075"/>
      <c r="AB811" s="1075"/>
      <c r="AC811" s="1075"/>
      <c r="AD811" s="1075"/>
      <c r="AE811" s="1075"/>
      <c r="AF811" s="1075"/>
      <c r="AG811" s="1075"/>
      <c r="AH811" s="1075"/>
      <c r="AI811" s="1075"/>
      <c r="AJ811" s="1075"/>
      <c r="AK811" s="1075"/>
      <c r="AL811" s="1075"/>
      <c r="AM811" s="1075"/>
    </row>
    <row r="812" spans="2:39" x14ac:dyDescent="0.25">
      <c r="B812" s="1082"/>
      <c r="C812" s="1075"/>
      <c r="D812" s="1075"/>
      <c r="E812" s="1075"/>
      <c r="F812" s="1075"/>
      <c r="G812" s="1075"/>
      <c r="H812" s="1075"/>
      <c r="I812" s="1075"/>
      <c r="J812" s="1075"/>
      <c r="K812" s="1075"/>
      <c r="L812" s="1075"/>
      <c r="M812" s="1075"/>
      <c r="N812" s="1075"/>
      <c r="O812" s="1075"/>
      <c r="P812" s="1075"/>
      <c r="Q812" s="1075"/>
      <c r="R812" s="1075"/>
      <c r="S812" s="1081"/>
      <c r="T812" s="1075"/>
      <c r="U812" s="1075"/>
      <c r="V812" s="1075"/>
      <c r="W812" s="1075"/>
      <c r="X812" s="1075"/>
      <c r="Y812" s="1075"/>
      <c r="Z812" s="1075"/>
      <c r="AA812" s="1075"/>
      <c r="AB812" s="1075"/>
      <c r="AC812" s="1075"/>
      <c r="AD812" s="1075"/>
      <c r="AE812" s="1075"/>
      <c r="AF812" s="1075"/>
      <c r="AG812" s="1075"/>
      <c r="AH812" s="1075"/>
      <c r="AI812" s="1075"/>
      <c r="AJ812" s="1075"/>
      <c r="AK812" s="1075"/>
      <c r="AL812" s="1075"/>
      <c r="AM812" s="1075"/>
    </row>
    <row r="813" spans="2:39" x14ac:dyDescent="0.25">
      <c r="B813" s="1082"/>
      <c r="C813" s="1075"/>
      <c r="D813" s="1075"/>
      <c r="E813" s="1075"/>
      <c r="F813" s="1075"/>
      <c r="G813" s="1075"/>
      <c r="H813" s="1075"/>
      <c r="I813" s="1075"/>
      <c r="J813" s="1075"/>
      <c r="K813" s="1075"/>
      <c r="L813" s="1075"/>
      <c r="M813" s="1075"/>
      <c r="N813" s="1075"/>
      <c r="O813" s="1075"/>
      <c r="P813" s="1075"/>
      <c r="Q813" s="1075"/>
      <c r="R813" s="1075"/>
      <c r="S813" s="1081"/>
      <c r="T813" s="1075"/>
      <c r="U813" s="1075"/>
      <c r="V813" s="1075"/>
      <c r="W813" s="1075"/>
      <c r="X813" s="1075"/>
      <c r="Y813" s="1075"/>
      <c r="Z813" s="1075"/>
      <c r="AA813" s="1075"/>
      <c r="AB813" s="1075"/>
      <c r="AC813" s="1075"/>
      <c r="AD813" s="1075"/>
      <c r="AE813" s="1075"/>
      <c r="AF813" s="1075"/>
      <c r="AG813" s="1075"/>
      <c r="AH813" s="1075"/>
      <c r="AI813" s="1075"/>
      <c r="AJ813" s="1075"/>
      <c r="AK813" s="1075"/>
      <c r="AL813" s="1075"/>
      <c r="AM813" s="1075"/>
    </row>
    <row r="814" spans="2:39" x14ac:dyDescent="0.25">
      <c r="B814" s="1082"/>
      <c r="C814" s="1075"/>
      <c r="D814" s="1075"/>
      <c r="E814" s="1075"/>
      <c r="F814" s="1075"/>
      <c r="G814" s="1075"/>
      <c r="H814" s="1075"/>
      <c r="I814" s="1075"/>
      <c r="J814" s="1075"/>
      <c r="K814" s="1075"/>
      <c r="L814" s="1075"/>
      <c r="M814" s="1075"/>
      <c r="N814" s="1075"/>
      <c r="O814" s="1075"/>
      <c r="P814" s="1075"/>
      <c r="Q814" s="1075"/>
      <c r="R814" s="1075"/>
      <c r="S814" s="1081"/>
      <c r="T814" s="1075"/>
      <c r="U814" s="1075"/>
      <c r="V814" s="1075"/>
      <c r="W814" s="1075"/>
      <c r="X814" s="1075"/>
      <c r="Y814" s="1075"/>
      <c r="Z814" s="1075"/>
      <c r="AA814" s="1075"/>
      <c r="AB814" s="1075"/>
      <c r="AC814" s="1075"/>
      <c r="AD814" s="1075"/>
      <c r="AE814" s="1075"/>
      <c r="AF814" s="1075"/>
      <c r="AG814" s="1075"/>
      <c r="AH814" s="1075"/>
      <c r="AI814" s="1075"/>
      <c r="AJ814" s="1075"/>
      <c r="AK814" s="1075"/>
      <c r="AL814" s="1075"/>
      <c r="AM814" s="1075"/>
    </row>
    <row r="815" spans="2:39" x14ac:dyDescent="0.25">
      <c r="B815" s="1082"/>
      <c r="C815" s="1075"/>
      <c r="D815" s="1075"/>
      <c r="E815" s="1075"/>
      <c r="F815" s="1075"/>
      <c r="G815" s="1075"/>
      <c r="H815" s="1075"/>
      <c r="I815" s="1075"/>
      <c r="J815" s="1075"/>
      <c r="K815" s="1075"/>
      <c r="L815" s="1075"/>
      <c r="M815" s="1075"/>
      <c r="N815" s="1075"/>
      <c r="O815" s="1075"/>
      <c r="P815" s="1075"/>
      <c r="Q815" s="1075"/>
      <c r="R815" s="1075"/>
      <c r="S815" s="1081"/>
      <c r="T815" s="1075"/>
      <c r="U815" s="1075"/>
      <c r="V815" s="1075"/>
      <c r="W815" s="1075"/>
      <c r="X815" s="1075"/>
      <c r="Y815" s="1075"/>
      <c r="Z815" s="1075"/>
      <c r="AA815" s="1075"/>
      <c r="AB815" s="1075"/>
      <c r="AC815" s="1075"/>
      <c r="AD815" s="1075"/>
      <c r="AE815" s="1075"/>
      <c r="AF815" s="1075"/>
      <c r="AG815" s="1075"/>
      <c r="AH815" s="1075"/>
      <c r="AI815" s="1075"/>
      <c r="AJ815" s="1075"/>
      <c r="AK815" s="1075"/>
      <c r="AL815" s="1075"/>
      <c r="AM815" s="1075"/>
    </row>
    <row r="816" spans="2:39" x14ac:dyDescent="0.25">
      <c r="B816" s="1082"/>
      <c r="C816" s="1075"/>
      <c r="D816" s="1075"/>
      <c r="E816" s="1075"/>
      <c r="F816" s="1075"/>
      <c r="G816" s="1075"/>
      <c r="H816" s="1075"/>
      <c r="I816" s="1075"/>
      <c r="J816" s="1075"/>
      <c r="K816" s="1075"/>
      <c r="L816" s="1075"/>
      <c r="M816" s="1075"/>
      <c r="N816" s="1075"/>
      <c r="O816" s="1075"/>
      <c r="P816" s="1075"/>
      <c r="Q816" s="1075"/>
      <c r="R816" s="1075"/>
      <c r="S816" s="1081"/>
      <c r="T816" s="1075"/>
      <c r="U816" s="1075"/>
      <c r="V816" s="1075"/>
      <c r="W816" s="1075"/>
      <c r="X816" s="1075"/>
      <c r="Y816" s="1075"/>
      <c r="Z816" s="1075"/>
      <c r="AA816" s="1075"/>
      <c r="AB816" s="1075"/>
      <c r="AC816" s="1075"/>
      <c r="AD816" s="1075"/>
      <c r="AE816" s="1075"/>
      <c r="AF816" s="1075"/>
      <c r="AG816" s="1075"/>
      <c r="AH816" s="1075"/>
      <c r="AI816" s="1075"/>
      <c r="AJ816" s="1075"/>
      <c r="AK816" s="1075"/>
      <c r="AL816" s="1075"/>
      <c r="AM816" s="1075"/>
    </row>
    <row r="817" spans="2:39" x14ac:dyDescent="0.25">
      <c r="B817" s="1082"/>
      <c r="C817" s="1075"/>
      <c r="D817" s="1075"/>
      <c r="E817" s="1075"/>
      <c r="F817" s="1075"/>
      <c r="G817" s="1075"/>
      <c r="H817" s="1075"/>
      <c r="I817" s="1075"/>
      <c r="J817" s="1075"/>
      <c r="K817" s="1075"/>
      <c r="L817" s="1075"/>
      <c r="M817" s="1075"/>
      <c r="N817" s="1075"/>
      <c r="O817" s="1075"/>
      <c r="P817" s="1075"/>
      <c r="Q817" s="1075"/>
      <c r="R817" s="1075"/>
      <c r="S817" s="1081"/>
      <c r="T817" s="1075"/>
      <c r="U817" s="1075"/>
      <c r="V817" s="1075"/>
      <c r="W817" s="1075"/>
      <c r="X817" s="1075"/>
      <c r="Y817" s="1075"/>
      <c r="Z817" s="1075"/>
      <c r="AA817" s="1075"/>
      <c r="AB817" s="1075"/>
      <c r="AC817" s="1075"/>
      <c r="AD817" s="1075"/>
      <c r="AE817" s="1075"/>
      <c r="AF817" s="1075"/>
      <c r="AG817" s="1075"/>
      <c r="AH817" s="1075"/>
      <c r="AI817" s="1075"/>
      <c r="AJ817" s="1075"/>
      <c r="AK817" s="1075"/>
      <c r="AL817" s="1075"/>
      <c r="AM817" s="1075"/>
    </row>
    <row r="818" spans="2:39" x14ac:dyDescent="0.25">
      <c r="B818" s="1082"/>
      <c r="C818" s="1075"/>
      <c r="D818" s="1075"/>
      <c r="E818" s="1075"/>
      <c r="F818" s="1075"/>
      <c r="G818" s="1075"/>
      <c r="H818" s="1075"/>
      <c r="I818" s="1075"/>
      <c r="J818" s="1075"/>
      <c r="K818" s="1075"/>
      <c r="L818" s="1075"/>
      <c r="M818" s="1075"/>
      <c r="N818" s="1075"/>
      <c r="O818" s="1075"/>
      <c r="P818" s="1075"/>
      <c r="Q818" s="1075"/>
      <c r="R818" s="1075"/>
      <c r="S818" s="1081"/>
      <c r="T818" s="1075"/>
      <c r="U818" s="1075"/>
      <c r="V818" s="1075"/>
      <c r="W818" s="1075"/>
      <c r="X818" s="1075"/>
      <c r="Y818" s="1075"/>
      <c r="Z818" s="1075"/>
      <c r="AA818" s="1075"/>
      <c r="AB818" s="1075"/>
      <c r="AC818" s="1075"/>
      <c r="AD818" s="1075"/>
      <c r="AE818" s="1075"/>
      <c r="AF818" s="1075"/>
      <c r="AG818" s="1075"/>
      <c r="AH818" s="1075"/>
      <c r="AI818" s="1075"/>
      <c r="AJ818" s="1075"/>
      <c r="AK818" s="1075"/>
      <c r="AL818" s="1075"/>
      <c r="AM818" s="1075"/>
    </row>
    <row r="819" spans="2:39" x14ac:dyDescent="0.25">
      <c r="B819" s="1082"/>
      <c r="C819" s="1075"/>
      <c r="D819" s="1075"/>
      <c r="E819" s="1075"/>
      <c r="F819" s="1075"/>
      <c r="G819" s="1075"/>
      <c r="H819" s="1075"/>
      <c r="I819" s="1075"/>
      <c r="J819" s="1075"/>
      <c r="K819" s="1075"/>
      <c r="L819" s="1075"/>
      <c r="M819" s="1075"/>
      <c r="N819" s="1075"/>
      <c r="O819" s="1075"/>
      <c r="P819" s="1075"/>
      <c r="Q819" s="1075"/>
      <c r="R819" s="1075"/>
      <c r="S819" s="1081"/>
      <c r="T819" s="1075"/>
      <c r="U819" s="1075"/>
      <c r="V819" s="1075"/>
      <c r="W819" s="1075"/>
      <c r="X819" s="1075"/>
      <c r="Y819" s="1075"/>
      <c r="Z819" s="1075"/>
      <c r="AA819" s="1075"/>
      <c r="AB819" s="1075"/>
      <c r="AC819" s="1075"/>
      <c r="AD819" s="1075"/>
      <c r="AE819" s="1075"/>
      <c r="AF819" s="1075"/>
      <c r="AG819" s="1075"/>
      <c r="AH819" s="1075"/>
      <c r="AI819" s="1075"/>
      <c r="AJ819" s="1075"/>
      <c r="AK819" s="1075"/>
      <c r="AL819" s="1075"/>
      <c r="AM819" s="1075"/>
    </row>
    <row r="820" spans="2:39" x14ac:dyDescent="0.25">
      <c r="B820" s="1082"/>
      <c r="C820" s="1075"/>
      <c r="D820" s="1075"/>
      <c r="E820" s="1075"/>
      <c r="F820" s="1075"/>
      <c r="G820" s="1075"/>
      <c r="H820" s="1075"/>
      <c r="I820" s="1075"/>
      <c r="J820" s="1075"/>
      <c r="K820" s="1075"/>
      <c r="L820" s="1075"/>
      <c r="M820" s="1075"/>
      <c r="N820" s="1075"/>
      <c r="O820" s="1075"/>
      <c r="P820" s="1075"/>
      <c r="Q820" s="1075"/>
      <c r="R820" s="1075"/>
      <c r="S820" s="1081"/>
      <c r="T820" s="1075"/>
      <c r="U820" s="1075"/>
      <c r="V820" s="1075"/>
      <c r="W820" s="1075"/>
      <c r="X820" s="1075"/>
      <c r="Y820" s="1075"/>
      <c r="Z820" s="1075"/>
      <c r="AA820" s="1075"/>
      <c r="AB820" s="1075"/>
      <c r="AC820" s="1075"/>
      <c r="AD820" s="1075"/>
      <c r="AE820" s="1075"/>
      <c r="AF820" s="1075"/>
      <c r="AG820" s="1075"/>
      <c r="AH820" s="1075"/>
      <c r="AI820" s="1075"/>
      <c r="AJ820" s="1075"/>
      <c r="AK820" s="1075"/>
      <c r="AL820" s="1075"/>
      <c r="AM820" s="1075"/>
    </row>
    <row r="821" spans="2:39" x14ac:dyDescent="0.25">
      <c r="B821" s="1082"/>
      <c r="C821" s="1075"/>
      <c r="D821" s="1075"/>
      <c r="E821" s="1075"/>
      <c r="F821" s="1075"/>
      <c r="G821" s="1075"/>
      <c r="H821" s="1075"/>
      <c r="I821" s="1075"/>
      <c r="J821" s="1075"/>
      <c r="K821" s="1075"/>
      <c r="L821" s="1075"/>
      <c r="M821" s="1075"/>
      <c r="N821" s="1075"/>
      <c r="O821" s="1075"/>
      <c r="P821" s="1075"/>
      <c r="Q821" s="1075"/>
      <c r="R821" s="1075"/>
      <c r="S821" s="1081"/>
      <c r="T821" s="1075"/>
      <c r="U821" s="1075"/>
      <c r="V821" s="1075"/>
      <c r="W821" s="1075"/>
      <c r="X821" s="1075"/>
      <c r="Y821" s="1075"/>
      <c r="Z821" s="1075"/>
      <c r="AA821" s="1075"/>
      <c r="AB821" s="1075"/>
      <c r="AC821" s="1075"/>
      <c r="AD821" s="1075"/>
      <c r="AE821" s="1075"/>
      <c r="AF821" s="1075"/>
      <c r="AG821" s="1075"/>
      <c r="AH821" s="1075"/>
      <c r="AI821" s="1075"/>
      <c r="AJ821" s="1075"/>
      <c r="AK821" s="1075"/>
      <c r="AL821" s="1075"/>
      <c r="AM821" s="1075"/>
    </row>
    <row r="822" spans="2:39" x14ac:dyDescent="0.25">
      <c r="B822" s="1082"/>
      <c r="C822" s="1075"/>
      <c r="D822" s="1075"/>
      <c r="E822" s="1075"/>
      <c r="F822" s="1075"/>
      <c r="G822" s="1075"/>
      <c r="H822" s="1075"/>
      <c r="I822" s="1075"/>
      <c r="J822" s="1075"/>
      <c r="K822" s="1075"/>
      <c r="L822" s="1075"/>
      <c r="M822" s="1075"/>
      <c r="N822" s="1075"/>
      <c r="O822" s="1075"/>
      <c r="P822" s="1075"/>
      <c r="Q822" s="1075"/>
      <c r="R822" s="1075"/>
      <c r="S822" s="1081"/>
      <c r="T822" s="1075"/>
      <c r="U822" s="1075"/>
      <c r="V822" s="1075"/>
      <c r="W822" s="1075"/>
      <c r="X822" s="1075"/>
      <c r="Y822" s="1075"/>
      <c r="Z822" s="1075"/>
      <c r="AA822" s="1075"/>
      <c r="AB822" s="1075"/>
      <c r="AC822" s="1075"/>
      <c r="AD822" s="1075"/>
      <c r="AE822" s="1075"/>
      <c r="AF822" s="1075"/>
      <c r="AG822" s="1075"/>
      <c r="AH822" s="1075"/>
      <c r="AI822" s="1075"/>
      <c r="AJ822" s="1075"/>
      <c r="AK822" s="1075"/>
      <c r="AL822" s="1075"/>
      <c r="AM822" s="1075"/>
    </row>
    <row r="823" spans="2:39" x14ac:dyDescent="0.25">
      <c r="B823" s="1082"/>
      <c r="C823" s="1075"/>
      <c r="D823" s="1075"/>
      <c r="E823" s="1075"/>
      <c r="F823" s="1075"/>
      <c r="G823" s="1075"/>
      <c r="H823" s="1075"/>
      <c r="I823" s="1075"/>
      <c r="J823" s="1075"/>
      <c r="K823" s="1075"/>
      <c r="L823" s="1075"/>
      <c r="M823" s="1075"/>
      <c r="N823" s="1075"/>
      <c r="O823" s="1075"/>
      <c r="P823" s="1075"/>
      <c r="Q823" s="1075"/>
      <c r="R823" s="1075"/>
      <c r="S823" s="1081"/>
      <c r="T823" s="1075"/>
      <c r="U823" s="1075"/>
      <c r="V823" s="1075"/>
      <c r="W823" s="1075"/>
      <c r="X823" s="1075"/>
      <c r="Y823" s="1075"/>
      <c r="Z823" s="1075"/>
      <c r="AA823" s="1075"/>
      <c r="AB823" s="1075"/>
      <c r="AC823" s="1075"/>
      <c r="AD823" s="1075"/>
      <c r="AE823" s="1075"/>
      <c r="AF823" s="1075"/>
      <c r="AG823" s="1075"/>
      <c r="AH823" s="1075"/>
      <c r="AI823" s="1075"/>
      <c r="AJ823" s="1075"/>
      <c r="AK823" s="1075"/>
      <c r="AL823" s="1075"/>
      <c r="AM823" s="1075"/>
    </row>
    <row r="824" spans="2:39" x14ac:dyDescent="0.25">
      <c r="B824" s="1082"/>
      <c r="C824" s="1075"/>
      <c r="D824" s="1075"/>
      <c r="E824" s="1075"/>
      <c r="F824" s="1075"/>
      <c r="G824" s="1075"/>
      <c r="H824" s="1075"/>
      <c r="I824" s="1075"/>
      <c r="J824" s="1075"/>
      <c r="K824" s="1075"/>
      <c r="L824" s="1075"/>
      <c r="M824" s="1075"/>
      <c r="N824" s="1075"/>
      <c r="O824" s="1075"/>
      <c r="P824" s="1075"/>
      <c r="Q824" s="1075"/>
      <c r="R824" s="1075"/>
      <c r="S824" s="1081"/>
      <c r="T824" s="1075"/>
      <c r="U824" s="1075"/>
      <c r="V824" s="1075"/>
      <c r="W824" s="1075"/>
      <c r="X824" s="1075"/>
      <c r="Y824" s="1075"/>
      <c r="Z824" s="1075"/>
      <c r="AA824" s="1075"/>
      <c r="AB824" s="1075"/>
      <c r="AC824" s="1075"/>
      <c r="AD824" s="1075"/>
      <c r="AE824" s="1075"/>
      <c r="AF824" s="1075"/>
      <c r="AG824" s="1075"/>
      <c r="AH824" s="1075"/>
      <c r="AI824" s="1075"/>
      <c r="AJ824" s="1075"/>
      <c r="AK824" s="1075"/>
      <c r="AL824" s="1075"/>
      <c r="AM824" s="1075"/>
    </row>
    <row r="825" spans="2:39" x14ac:dyDescent="0.25">
      <c r="B825" s="1082"/>
      <c r="C825" s="1075"/>
      <c r="D825" s="1075"/>
      <c r="E825" s="1075"/>
      <c r="F825" s="1075"/>
      <c r="G825" s="1075"/>
      <c r="H825" s="1075"/>
      <c r="I825" s="1075"/>
      <c r="J825" s="1075"/>
      <c r="K825" s="1075"/>
      <c r="L825" s="1075"/>
      <c r="M825" s="1075"/>
      <c r="N825" s="1075"/>
      <c r="O825" s="1075"/>
      <c r="P825" s="1075"/>
      <c r="Q825" s="1075"/>
      <c r="R825" s="1075"/>
      <c r="S825" s="1081"/>
      <c r="T825" s="1075"/>
      <c r="U825" s="1075"/>
      <c r="V825" s="1075"/>
      <c r="W825" s="1075"/>
      <c r="X825" s="1075"/>
      <c r="Y825" s="1075"/>
      <c r="Z825" s="1075"/>
      <c r="AA825" s="1075"/>
      <c r="AB825" s="1075"/>
      <c r="AC825" s="1075"/>
      <c r="AD825" s="1075"/>
      <c r="AE825" s="1075"/>
      <c r="AF825" s="1075"/>
      <c r="AG825" s="1075"/>
      <c r="AH825" s="1075"/>
      <c r="AI825" s="1075"/>
      <c r="AJ825" s="1075"/>
      <c r="AK825" s="1075"/>
      <c r="AL825" s="1075"/>
      <c r="AM825" s="1075"/>
    </row>
    <row r="826" spans="2:39" x14ac:dyDescent="0.25">
      <c r="B826" s="1082"/>
      <c r="C826" s="1075"/>
      <c r="D826" s="1075"/>
      <c r="E826" s="1075"/>
      <c r="F826" s="1075"/>
      <c r="G826" s="1075"/>
      <c r="H826" s="1075"/>
      <c r="I826" s="1075"/>
      <c r="J826" s="1075"/>
      <c r="K826" s="1075"/>
      <c r="L826" s="1075"/>
      <c r="M826" s="1075"/>
      <c r="N826" s="1075"/>
      <c r="O826" s="1075"/>
      <c r="P826" s="1075"/>
      <c r="Q826" s="1075"/>
      <c r="R826" s="1075"/>
      <c r="S826" s="1081"/>
      <c r="T826" s="1075"/>
      <c r="U826" s="1075"/>
      <c r="V826" s="1075"/>
      <c r="W826" s="1075"/>
      <c r="X826" s="1075"/>
      <c r="Y826" s="1075"/>
      <c r="Z826" s="1075"/>
      <c r="AA826" s="1075"/>
      <c r="AB826" s="1075"/>
      <c r="AC826" s="1075"/>
      <c r="AD826" s="1075"/>
      <c r="AE826" s="1075"/>
      <c r="AF826" s="1075"/>
      <c r="AG826" s="1075"/>
      <c r="AH826" s="1075"/>
      <c r="AI826" s="1075"/>
      <c r="AJ826" s="1075"/>
      <c r="AK826" s="1075"/>
      <c r="AL826" s="1075"/>
      <c r="AM826" s="1075"/>
    </row>
    <row r="827" spans="2:39" x14ac:dyDescent="0.25">
      <c r="B827" s="1082"/>
      <c r="C827" s="1075"/>
      <c r="D827" s="1075"/>
      <c r="E827" s="1075"/>
      <c r="F827" s="1075"/>
      <c r="G827" s="1075"/>
      <c r="H827" s="1075"/>
      <c r="I827" s="1075"/>
      <c r="J827" s="1075"/>
      <c r="K827" s="1075"/>
      <c r="L827" s="1075"/>
      <c r="M827" s="1075"/>
      <c r="N827" s="1075"/>
      <c r="O827" s="1075"/>
      <c r="P827" s="1075"/>
      <c r="Q827" s="1075"/>
      <c r="R827" s="1075"/>
      <c r="S827" s="1081"/>
      <c r="T827" s="1075"/>
      <c r="U827" s="1075"/>
      <c r="V827" s="1075"/>
      <c r="W827" s="1075"/>
      <c r="X827" s="1075"/>
      <c r="Y827" s="1075"/>
      <c r="Z827" s="1075"/>
      <c r="AA827" s="1075"/>
      <c r="AB827" s="1075"/>
      <c r="AC827" s="1075"/>
      <c r="AD827" s="1075"/>
      <c r="AE827" s="1075"/>
      <c r="AF827" s="1075"/>
      <c r="AG827" s="1075"/>
      <c r="AH827" s="1075"/>
      <c r="AI827" s="1075"/>
      <c r="AJ827" s="1075"/>
      <c r="AK827" s="1075"/>
      <c r="AL827" s="1075"/>
      <c r="AM827" s="1075"/>
    </row>
    <row r="828" spans="2:39" x14ac:dyDescent="0.25">
      <c r="B828" s="1082"/>
      <c r="C828" s="1075"/>
      <c r="D828" s="1075"/>
      <c r="E828" s="1075"/>
      <c r="F828" s="1075"/>
      <c r="G828" s="1075"/>
      <c r="H828" s="1075"/>
      <c r="I828" s="1075"/>
      <c r="J828" s="1075"/>
      <c r="K828" s="1075"/>
      <c r="L828" s="1075"/>
      <c r="M828" s="1075"/>
      <c r="N828" s="1075"/>
      <c r="O828" s="1075"/>
      <c r="P828" s="1075"/>
      <c r="Q828" s="1075"/>
      <c r="R828" s="1075"/>
      <c r="S828" s="1081"/>
      <c r="T828" s="1075"/>
      <c r="U828" s="1075"/>
      <c r="V828" s="1075"/>
      <c r="W828" s="1075"/>
      <c r="X828" s="1075"/>
      <c r="Y828" s="1075"/>
      <c r="Z828" s="1075"/>
      <c r="AA828" s="1075"/>
      <c r="AB828" s="1075"/>
      <c r="AC828" s="1075"/>
      <c r="AD828" s="1075"/>
      <c r="AE828" s="1075"/>
      <c r="AF828" s="1075"/>
      <c r="AG828" s="1075"/>
      <c r="AH828" s="1075"/>
      <c r="AI828" s="1075"/>
      <c r="AJ828" s="1075"/>
      <c r="AK828" s="1075"/>
      <c r="AL828" s="1075"/>
      <c r="AM828" s="1075"/>
    </row>
    <row r="829" spans="2:39" x14ac:dyDescent="0.25">
      <c r="B829" s="1082"/>
      <c r="C829" s="1075"/>
      <c r="D829" s="1075"/>
      <c r="E829" s="1075"/>
      <c r="F829" s="1075"/>
      <c r="G829" s="1075"/>
      <c r="H829" s="1075"/>
      <c r="I829" s="1075"/>
      <c r="J829" s="1075"/>
      <c r="K829" s="1075"/>
      <c r="L829" s="1075"/>
      <c r="M829" s="1075"/>
      <c r="N829" s="1075"/>
      <c r="O829" s="1075"/>
      <c r="P829" s="1075"/>
      <c r="Q829" s="1075"/>
      <c r="R829" s="1075"/>
      <c r="S829" s="1081"/>
      <c r="T829" s="1075"/>
      <c r="U829" s="1075"/>
      <c r="V829" s="1075"/>
      <c r="W829" s="1075"/>
      <c r="X829" s="1075"/>
      <c r="Y829" s="1075"/>
      <c r="Z829" s="1075"/>
      <c r="AA829" s="1075"/>
      <c r="AB829" s="1075"/>
      <c r="AC829" s="1075"/>
      <c r="AD829" s="1075"/>
      <c r="AE829" s="1075"/>
      <c r="AF829" s="1075"/>
      <c r="AG829" s="1075"/>
      <c r="AH829" s="1075"/>
      <c r="AI829" s="1075"/>
      <c r="AJ829" s="1075"/>
      <c r="AK829" s="1075"/>
      <c r="AL829" s="1075"/>
      <c r="AM829" s="1075"/>
    </row>
    <row r="830" spans="2:39" x14ac:dyDescent="0.25">
      <c r="B830" s="1082"/>
      <c r="C830" s="1075"/>
      <c r="D830" s="1075"/>
      <c r="E830" s="1075"/>
      <c r="F830" s="1075"/>
      <c r="G830" s="1075"/>
      <c r="H830" s="1075"/>
      <c r="I830" s="1075"/>
      <c r="J830" s="1075"/>
      <c r="K830" s="1075"/>
      <c r="L830" s="1075"/>
      <c r="M830" s="1075"/>
      <c r="N830" s="1075"/>
      <c r="O830" s="1075"/>
      <c r="P830" s="1075"/>
      <c r="Q830" s="1075"/>
      <c r="R830" s="1075"/>
      <c r="S830" s="1081"/>
      <c r="T830" s="1075"/>
      <c r="U830" s="1075"/>
      <c r="V830" s="1075"/>
      <c r="W830" s="1075"/>
      <c r="X830" s="1075"/>
      <c r="Y830" s="1075"/>
      <c r="Z830" s="1075"/>
      <c r="AA830" s="1075"/>
      <c r="AB830" s="1075"/>
      <c r="AC830" s="1075"/>
      <c r="AD830" s="1075"/>
      <c r="AE830" s="1075"/>
      <c r="AF830" s="1075"/>
      <c r="AG830" s="1075"/>
      <c r="AH830" s="1075"/>
      <c r="AI830" s="1075"/>
      <c r="AJ830" s="1075"/>
      <c r="AK830" s="1075"/>
      <c r="AL830" s="1075"/>
      <c r="AM830" s="1075"/>
    </row>
    <row r="831" spans="2:39" x14ac:dyDescent="0.25">
      <c r="B831" s="1082"/>
      <c r="C831" s="1075"/>
      <c r="D831" s="1075"/>
      <c r="E831" s="1075"/>
      <c r="F831" s="1075"/>
      <c r="G831" s="1075"/>
      <c r="H831" s="1075"/>
      <c r="I831" s="1075"/>
      <c r="J831" s="1075"/>
      <c r="K831" s="1075"/>
      <c r="L831" s="1075"/>
      <c r="M831" s="1075"/>
      <c r="N831" s="1075"/>
      <c r="O831" s="1075"/>
      <c r="P831" s="1075"/>
      <c r="Q831" s="1075"/>
      <c r="R831" s="1075"/>
      <c r="S831" s="1081"/>
      <c r="T831" s="1075"/>
      <c r="U831" s="1075"/>
      <c r="V831" s="1075"/>
      <c r="W831" s="1075"/>
      <c r="X831" s="1075"/>
      <c r="Y831" s="1075"/>
      <c r="Z831" s="1075"/>
      <c r="AA831" s="1075"/>
      <c r="AB831" s="1075"/>
      <c r="AC831" s="1075"/>
      <c r="AD831" s="1075"/>
      <c r="AE831" s="1075"/>
      <c r="AF831" s="1075"/>
      <c r="AG831" s="1075"/>
      <c r="AH831" s="1075"/>
      <c r="AI831" s="1075"/>
      <c r="AJ831" s="1075"/>
      <c r="AK831" s="1075"/>
      <c r="AL831" s="1075"/>
      <c r="AM831" s="1075"/>
    </row>
    <row r="832" spans="2:39" x14ac:dyDescent="0.25">
      <c r="B832" s="1082"/>
      <c r="C832" s="1075"/>
      <c r="D832" s="1075"/>
      <c r="E832" s="1075"/>
      <c r="F832" s="1075"/>
      <c r="G832" s="1075"/>
      <c r="H832" s="1075"/>
      <c r="I832" s="1075"/>
      <c r="J832" s="1075"/>
      <c r="K832" s="1075"/>
      <c r="L832" s="1075"/>
      <c r="M832" s="1075"/>
      <c r="N832" s="1075"/>
      <c r="O832" s="1075"/>
      <c r="P832" s="1075"/>
      <c r="Q832" s="1075"/>
      <c r="R832" s="1075"/>
      <c r="S832" s="1081"/>
      <c r="T832" s="1075"/>
      <c r="U832" s="1075"/>
      <c r="V832" s="1075"/>
      <c r="W832" s="1075"/>
      <c r="X832" s="1075"/>
      <c r="Y832" s="1075"/>
      <c r="Z832" s="1075"/>
      <c r="AA832" s="1075"/>
      <c r="AB832" s="1075"/>
      <c r="AC832" s="1075"/>
      <c r="AD832" s="1075"/>
      <c r="AE832" s="1075"/>
      <c r="AF832" s="1075"/>
      <c r="AG832" s="1075"/>
      <c r="AH832" s="1075"/>
      <c r="AI832" s="1075"/>
      <c r="AJ832" s="1075"/>
      <c r="AK832" s="1075"/>
      <c r="AL832" s="1075"/>
      <c r="AM832" s="1075"/>
    </row>
    <row r="833" spans="2:39" x14ac:dyDescent="0.25">
      <c r="B833" s="1082"/>
      <c r="C833" s="1075"/>
      <c r="D833" s="1075"/>
      <c r="E833" s="1075"/>
      <c r="F833" s="1075"/>
      <c r="G833" s="1075"/>
      <c r="H833" s="1075"/>
      <c r="I833" s="1075"/>
      <c r="J833" s="1075"/>
      <c r="K833" s="1075"/>
      <c r="L833" s="1075"/>
      <c r="M833" s="1075"/>
      <c r="N833" s="1075"/>
      <c r="O833" s="1075"/>
      <c r="P833" s="1075"/>
      <c r="Q833" s="1075"/>
      <c r="R833" s="1075"/>
      <c r="S833" s="1081"/>
      <c r="T833" s="1075"/>
      <c r="U833" s="1075"/>
      <c r="V833" s="1075"/>
      <c r="W833" s="1075"/>
      <c r="X833" s="1075"/>
      <c r="Y833" s="1075"/>
      <c r="Z833" s="1075"/>
      <c r="AA833" s="1075"/>
      <c r="AB833" s="1075"/>
      <c r="AC833" s="1075"/>
      <c r="AD833" s="1075"/>
      <c r="AE833" s="1075"/>
      <c r="AF833" s="1075"/>
      <c r="AG833" s="1075"/>
      <c r="AH833" s="1075"/>
      <c r="AI833" s="1075"/>
      <c r="AJ833" s="1075"/>
      <c r="AK833" s="1075"/>
      <c r="AL833" s="1075"/>
      <c r="AM833" s="1075"/>
    </row>
    <row r="834" spans="2:39" x14ac:dyDescent="0.25">
      <c r="B834" s="1082"/>
      <c r="C834" s="1075"/>
      <c r="D834" s="1075"/>
      <c r="E834" s="1075"/>
      <c r="F834" s="1075"/>
      <c r="G834" s="1075"/>
      <c r="H834" s="1075"/>
      <c r="I834" s="1075"/>
      <c r="J834" s="1075"/>
      <c r="K834" s="1075"/>
      <c r="L834" s="1075"/>
      <c r="M834" s="1075"/>
      <c r="N834" s="1075"/>
      <c r="O834" s="1075"/>
      <c r="P834" s="1075"/>
      <c r="Q834" s="1075"/>
      <c r="R834" s="1075"/>
      <c r="S834" s="1081"/>
      <c r="T834" s="1075"/>
      <c r="U834" s="1075"/>
      <c r="V834" s="1075"/>
      <c r="W834" s="1075"/>
      <c r="X834" s="1075"/>
      <c r="Y834" s="1075"/>
      <c r="Z834" s="1075"/>
      <c r="AA834" s="1075"/>
      <c r="AB834" s="1075"/>
      <c r="AC834" s="1075"/>
      <c r="AD834" s="1075"/>
      <c r="AE834" s="1075"/>
      <c r="AF834" s="1075"/>
      <c r="AG834" s="1075"/>
      <c r="AH834" s="1075"/>
      <c r="AI834" s="1075"/>
      <c r="AJ834" s="1075"/>
      <c r="AK834" s="1075"/>
      <c r="AL834" s="1075"/>
      <c r="AM834" s="1075"/>
    </row>
    <row r="835" spans="2:39" x14ac:dyDescent="0.25">
      <c r="B835" s="1082"/>
      <c r="C835" s="1075"/>
      <c r="D835" s="1075"/>
      <c r="E835" s="1075"/>
      <c r="F835" s="1075"/>
      <c r="G835" s="1075"/>
      <c r="H835" s="1075"/>
      <c r="I835" s="1075"/>
      <c r="J835" s="1075"/>
      <c r="K835" s="1075"/>
      <c r="L835" s="1075"/>
      <c r="M835" s="1075"/>
      <c r="N835" s="1075"/>
      <c r="O835" s="1075"/>
      <c r="P835" s="1075"/>
      <c r="Q835" s="1075"/>
      <c r="R835" s="1075"/>
      <c r="S835" s="1081"/>
      <c r="T835" s="1075"/>
      <c r="U835" s="1075"/>
      <c r="V835" s="1075"/>
      <c r="W835" s="1075"/>
      <c r="X835" s="1075"/>
      <c r="Y835" s="1075"/>
      <c r="Z835" s="1075"/>
      <c r="AA835" s="1075"/>
      <c r="AB835" s="1075"/>
      <c r="AC835" s="1075"/>
      <c r="AD835" s="1075"/>
      <c r="AE835" s="1075"/>
      <c r="AF835" s="1075"/>
      <c r="AG835" s="1075"/>
      <c r="AH835" s="1075"/>
      <c r="AI835" s="1075"/>
      <c r="AJ835" s="1075"/>
      <c r="AK835" s="1075"/>
      <c r="AL835" s="1075"/>
      <c r="AM835" s="1075"/>
    </row>
    <row r="836" spans="2:39" x14ac:dyDescent="0.25">
      <c r="B836" s="1082"/>
      <c r="C836" s="1075"/>
      <c r="D836" s="1075"/>
      <c r="E836" s="1075"/>
      <c r="F836" s="1075"/>
      <c r="G836" s="1075"/>
      <c r="H836" s="1075"/>
      <c r="I836" s="1075"/>
      <c r="J836" s="1075"/>
      <c r="K836" s="1075"/>
      <c r="L836" s="1075"/>
      <c r="M836" s="1075"/>
      <c r="N836" s="1075"/>
      <c r="O836" s="1075"/>
      <c r="P836" s="1075"/>
      <c r="Q836" s="1075"/>
      <c r="R836" s="1075"/>
      <c r="S836" s="1081"/>
      <c r="T836" s="1075"/>
      <c r="U836" s="1075"/>
      <c r="V836" s="1075"/>
      <c r="W836" s="1075"/>
      <c r="X836" s="1075"/>
      <c r="Y836" s="1075"/>
      <c r="Z836" s="1075"/>
      <c r="AA836" s="1075"/>
      <c r="AB836" s="1075"/>
      <c r="AC836" s="1075"/>
      <c r="AD836" s="1075"/>
      <c r="AE836" s="1075"/>
      <c r="AF836" s="1075"/>
      <c r="AG836" s="1075"/>
      <c r="AH836" s="1075"/>
      <c r="AI836" s="1075"/>
      <c r="AJ836" s="1075"/>
      <c r="AK836" s="1075"/>
      <c r="AL836" s="1075"/>
      <c r="AM836" s="1075"/>
    </row>
    <row r="837" spans="2:39" x14ac:dyDescent="0.25">
      <c r="B837" s="1082"/>
      <c r="C837" s="1075"/>
      <c r="D837" s="1075"/>
      <c r="E837" s="1075"/>
      <c r="F837" s="1075"/>
      <c r="G837" s="1075"/>
      <c r="H837" s="1075"/>
      <c r="I837" s="1075"/>
      <c r="J837" s="1075"/>
      <c r="K837" s="1075"/>
      <c r="L837" s="1075"/>
      <c r="M837" s="1075"/>
      <c r="N837" s="1075"/>
      <c r="O837" s="1075"/>
      <c r="P837" s="1075"/>
      <c r="Q837" s="1075"/>
      <c r="R837" s="1075"/>
      <c r="S837" s="1081"/>
      <c r="T837" s="1075"/>
      <c r="U837" s="1075"/>
      <c r="V837" s="1075"/>
      <c r="W837" s="1075"/>
      <c r="X837" s="1075"/>
      <c r="Y837" s="1075"/>
      <c r="Z837" s="1075"/>
      <c r="AA837" s="1075"/>
      <c r="AB837" s="1075"/>
      <c r="AC837" s="1075"/>
      <c r="AD837" s="1075"/>
      <c r="AE837" s="1075"/>
      <c r="AF837" s="1075"/>
      <c r="AG837" s="1075"/>
      <c r="AH837" s="1075"/>
      <c r="AI837" s="1075"/>
      <c r="AJ837" s="1075"/>
      <c r="AK837" s="1075"/>
      <c r="AL837" s="1075"/>
      <c r="AM837" s="1075"/>
    </row>
    <row r="838" spans="2:39" x14ac:dyDescent="0.25">
      <c r="B838" s="1082"/>
      <c r="C838" s="1075"/>
      <c r="D838" s="1075"/>
      <c r="E838" s="1075"/>
      <c r="F838" s="1075"/>
      <c r="G838" s="1075"/>
      <c r="H838" s="1075"/>
      <c r="I838" s="1075"/>
      <c r="J838" s="1075"/>
      <c r="K838" s="1075"/>
      <c r="L838" s="1075"/>
      <c r="M838" s="1075"/>
      <c r="N838" s="1075"/>
      <c r="O838" s="1075"/>
      <c r="P838" s="1075"/>
      <c r="Q838" s="1075"/>
      <c r="R838" s="1075"/>
      <c r="S838" s="1081"/>
      <c r="T838" s="1075"/>
      <c r="U838" s="1075"/>
      <c r="V838" s="1075"/>
      <c r="W838" s="1075"/>
      <c r="X838" s="1075"/>
      <c r="Y838" s="1075"/>
      <c r="Z838" s="1075"/>
      <c r="AA838" s="1075"/>
      <c r="AB838" s="1075"/>
      <c r="AC838" s="1075"/>
      <c r="AD838" s="1075"/>
      <c r="AE838" s="1075"/>
      <c r="AF838" s="1075"/>
      <c r="AG838" s="1075"/>
      <c r="AH838" s="1075"/>
      <c r="AI838" s="1075"/>
      <c r="AJ838" s="1075"/>
      <c r="AK838" s="1075"/>
      <c r="AL838" s="1075"/>
      <c r="AM838" s="1075"/>
    </row>
    <row r="839" spans="2:39" x14ac:dyDescent="0.25">
      <c r="B839" s="1082"/>
      <c r="C839" s="1075"/>
      <c r="D839" s="1075"/>
      <c r="E839" s="1075"/>
      <c r="F839" s="1075"/>
      <c r="G839" s="1075"/>
      <c r="H839" s="1075"/>
      <c r="I839" s="1075"/>
      <c r="J839" s="1075"/>
      <c r="K839" s="1075"/>
      <c r="L839" s="1075"/>
      <c r="M839" s="1075"/>
      <c r="N839" s="1075"/>
      <c r="O839" s="1075"/>
      <c r="P839" s="1075"/>
      <c r="Q839" s="1075"/>
      <c r="R839" s="1075"/>
      <c r="S839" s="1081"/>
      <c r="T839" s="1075"/>
      <c r="U839" s="1075"/>
      <c r="V839" s="1075"/>
      <c r="W839" s="1075"/>
      <c r="X839" s="1075"/>
      <c r="Y839" s="1075"/>
      <c r="Z839" s="1075"/>
      <c r="AA839" s="1075"/>
      <c r="AB839" s="1075"/>
      <c r="AC839" s="1075"/>
      <c r="AD839" s="1075"/>
      <c r="AE839" s="1075"/>
      <c r="AF839" s="1075"/>
      <c r="AG839" s="1075"/>
      <c r="AH839" s="1075"/>
      <c r="AI839" s="1075"/>
      <c r="AJ839" s="1075"/>
      <c r="AK839" s="1075"/>
      <c r="AL839" s="1075"/>
      <c r="AM839" s="1075"/>
    </row>
    <row r="840" spans="2:39" x14ac:dyDescent="0.25">
      <c r="B840" s="1082"/>
      <c r="C840" s="1075"/>
      <c r="D840" s="1075"/>
      <c r="E840" s="1075"/>
      <c r="F840" s="1075"/>
      <c r="G840" s="1075"/>
      <c r="H840" s="1075"/>
      <c r="I840" s="1075"/>
      <c r="J840" s="1075"/>
      <c r="K840" s="1075"/>
      <c r="L840" s="1075"/>
      <c r="M840" s="1075"/>
      <c r="N840" s="1075"/>
      <c r="O840" s="1075"/>
      <c r="P840" s="1075"/>
      <c r="Q840" s="1075"/>
      <c r="R840" s="1075"/>
      <c r="S840" s="1081"/>
      <c r="T840" s="1075"/>
      <c r="U840" s="1075"/>
      <c r="V840" s="1075"/>
      <c r="W840" s="1075"/>
      <c r="X840" s="1075"/>
      <c r="Y840" s="1075"/>
      <c r="Z840" s="1075"/>
      <c r="AA840" s="1075"/>
      <c r="AB840" s="1075"/>
      <c r="AC840" s="1075"/>
      <c r="AD840" s="1075"/>
      <c r="AE840" s="1075"/>
      <c r="AF840" s="1075"/>
      <c r="AG840" s="1075"/>
      <c r="AH840" s="1075"/>
      <c r="AI840" s="1075"/>
      <c r="AJ840" s="1075"/>
      <c r="AK840" s="1075"/>
      <c r="AL840" s="1075"/>
      <c r="AM840" s="1075"/>
    </row>
    <row r="841" spans="2:39" x14ac:dyDescent="0.25">
      <c r="B841" s="1082"/>
      <c r="C841" s="1075"/>
      <c r="D841" s="1075"/>
      <c r="E841" s="1075"/>
      <c r="F841" s="1075"/>
      <c r="G841" s="1075"/>
      <c r="H841" s="1075"/>
      <c r="I841" s="1075"/>
      <c r="J841" s="1075"/>
      <c r="K841" s="1075"/>
      <c r="L841" s="1075"/>
      <c r="M841" s="1075"/>
      <c r="N841" s="1075"/>
      <c r="O841" s="1075"/>
      <c r="P841" s="1075"/>
      <c r="Q841" s="1075"/>
      <c r="R841" s="1075"/>
      <c r="S841" s="1081"/>
      <c r="T841" s="1075"/>
      <c r="U841" s="1075"/>
      <c r="V841" s="1075"/>
      <c r="W841" s="1075"/>
      <c r="X841" s="1075"/>
      <c r="Y841" s="1075"/>
      <c r="Z841" s="1075"/>
      <c r="AA841" s="1075"/>
      <c r="AB841" s="1075"/>
      <c r="AC841" s="1075"/>
      <c r="AD841" s="1075"/>
      <c r="AE841" s="1075"/>
      <c r="AF841" s="1075"/>
      <c r="AG841" s="1075"/>
      <c r="AH841" s="1075"/>
      <c r="AI841" s="1075"/>
      <c r="AJ841" s="1075"/>
      <c r="AK841" s="1075"/>
      <c r="AL841" s="1075"/>
      <c r="AM841" s="1075"/>
    </row>
    <row r="842" spans="2:39" x14ac:dyDescent="0.25">
      <c r="B842" s="1082"/>
      <c r="C842" s="1075"/>
      <c r="D842" s="1075"/>
      <c r="E842" s="1075"/>
      <c r="F842" s="1075"/>
      <c r="G842" s="1075"/>
      <c r="H842" s="1075"/>
      <c r="I842" s="1075"/>
      <c r="J842" s="1075"/>
      <c r="K842" s="1075"/>
      <c r="L842" s="1075"/>
      <c r="M842" s="1075"/>
      <c r="N842" s="1075"/>
      <c r="O842" s="1075"/>
      <c r="P842" s="1075"/>
      <c r="Q842" s="1075"/>
      <c r="R842" s="1075"/>
      <c r="S842" s="1081"/>
      <c r="T842" s="1075"/>
      <c r="U842" s="1075"/>
      <c r="V842" s="1075"/>
      <c r="W842" s="1075"/>
      <c r="X842" s="1075"/>
      <c r="Y842" s="1075"/>
      <c r="Z842" s="1075"/>
      <c r="AA842" s="1075"/>
      <c r="AB842" s="1075"/>
      <c r="AC842" s="1075"/>
      <c r="AD842" s="1075"/>
      <c r="AE842" s="1075"/>
      <c r="AF842" s="1075"/>
      <c r="AG842" s="1075"/>
      <c r="AH842" s="1075"/>
      <c r="AI842" s="1075"/>
      <c r="AJ842" s="1075"/>
      <c r="AK842" s="1075"/>
      <c r="AL842" s="1075"/>
      <c r="AM842" s="1075"/>
    </row>
    <row r="843" spans="2:39" x14ac:dyDescent="0.25">
      <c r="B843" s="1082"/>
      <c r="C843" s="1075"/>
      <c r="D843" s="1075"/>
      <c r="E843" s="1075"/>
      <c r="F843" s="1075"/>
      <c r="G843" s="1075"/>
      <c r="H843" s="1075"/>
      <c r="I843" s="1075"/>
      <c r="J843" s="1075"/>
      <c r="K843" s="1075"/>
      <c r="L843" s="1075"/>
      <c r="M843" s="1075"/>
      <c r="N843" s="1075"/>
      <c r="O843" s="1075"/>
      <c r="P843" s="1075"/>
      <c r="Q843" s="1075"/>
      <c r="R843" s="1075"/>
      <c r="S843" s="1081"/>
      <c r="T843" s="1075"/>
      <c r="U843" s="1075"/>
      <c r="V843" s="1075"/>
      <c r="W843" s="1075"/>
      <c r="X843" s="1075"/>
      <c r="Y843" s="1075"/>
      <c r="Z843" s="1075"/>
      <c r="AA843" s="1075"/>
      <c r="AB843" s="1075"/>
      <c r="AC843" s="1075"/>
      <c r="AD843" s="1075"/>
      <c r="AE843" s="1075"/>
      <c r="AF843" s="1075"/>
      <c r="AG843" s="1075"/>
      <c r="AH843" s="1075"/>
      <c r="AI843" s="1075"/>
      <c r="AJ843" s="1075"/>
      <c r="AK843" s="1075"/>
      <c r="AL843" s="1075"/>
      <c r="AM843" s="1075"/>
    </row>
    <row r="844" spans="2:39" x14ac:dyDescent="0.25">
      <c r="B844" s="1082"/>
      <c r="C844" s="1075"/>
      <c r="D844" s="1075"/>
      <c r="E844" s="1075"/>
      <c r="F844" s="1075"/>
      <c r="G844" s="1075"/>
      <c r="H844" s="1075"/>
      <c r="I844" s="1075"/>
      <c r="J844" s="1075"/>
      <c r="K844" s="1075"/>
      <c r="L844" s="1075"/>
      <c r="M844" s="1075"/>
      <c r="N844" s="1075"/>
      <c r="O844" s="1075"/>
      <c r="P844" s="1075"/>
      <c r="Q844" s="1075"/>
      <c r="R844" s="1075"/>
      <c r="S844" s="1081"/>
      <c r="T844" s="1075"/>
      <c r="U844" s="1075"/>
      <c r="V844" s="1075"/>
      <c r="W844" s="1075"/>
      <c r="X844" s="1075"/>
      <c r="Y844" s="1075"/>
      <c r="Z844" s="1075"/>
      <c r="AA844" s="1075"/>
      <c r="AB844" s="1075"/>
      <c r="AC844" s="1075"/>
      <c r="AD844" s="1075"/>
      <c r="AE844" s="1075"/>
      <c r="AF844" s="1075"/>
      <c r="AG844" s="1075"/>
      <c r="AH844" s="1075"/>
      <c r="AI844" s="1075"/>
      <c r="AJ844" s="1075"/>
      <c r="AK844" s="1075"/>
      <c r="AL844" s="1075"/>
      <c r="AM844" s="1075"/>
    </row>
    <row r="845" spans="2:39" x14ac:dyDescent="0.25">
      <c r="B845" s="1082"/>
      <c r="C845" s="1075"/>
      <c r="D845" s="1075"/>
      <c r="E845" s="1075"/>
      <c r="F845" s="1075"/>
      <c r="G845" s="1075"/>
      <c r="H845" s="1075"/>
      <c r="I845" s="1075"/>
      <c r="J845" s="1075"/>
      <c r="K845" s="1075"/>
      <c r="L845" s="1075"/>
      <c r="M845" s="1075"/>
      <c r="N845" s="1075"/>
      <c r="O845" s="1075"/>
      <c r="P845" s="1075"/>
      <c r="Q845" s="1075"/>
      <c r="R845" s="1075"/>
      <c r="S845" s="1081"/>
      <c r="T845" s="1075"/>
      <c r="U845" s="1075"/>
      <c r="V845" s="1075"/>
      <c r="W845" s="1075"/>
      <c r="X845" s="1075"/>
      <c r="Y845" s="1075"/>
      <c r="Z845" s="1075"/>
      <c r="AA845" s="1075"/>
      <c r="AB845" s="1075"/>
      <c r="AC845" s="1075"/>
      <c r="AD845" s="1075"/>
      <c r="AE845" s="1075"/>
      <c r="AF845" s="1075"/>
      <c r="AG845" s="1075"/>
      <c r="AH845" s="1075"/>
      <c r="AI845" s="1075"/>
      <c r="AJ845" s="1075"/>
      <c r="AK845" s="1075"/>
      <c r="AL845" s="1075"/>
      <c r="AM845" s="1075"/>
    </row>
    <row r="846" spans="2:39" x14ac:dyDescent="0.25">
      <c r="B846" s="1082"/>
      <c r="C846" s="1075"/>
      <c r="D846" s="1075"/>
      <c r="E846" s="1075"/>
      <c r="F846" s="1075"/>
      <c r="G846" s="1075"/>
      <c r="H846" s="1075"/>
      <c r="I846" s="1075"/>
      <c r="J846" s="1075"/>
      <c r="K846" s="1075"/>
      <c r="L846" s="1075"/>
      <c r="M846" s="1075"/>
      <c r="N846" s="1075"/>
      <c r="O846" s="1075"/>
      <c r="P846" s="1075"/>
      <c r="Q846" s="1075"/>
      <c r="R846" s="1075"/>
      <c r="S846" s="1081"/>
      <c r="T846" s="1075"/>
      <c r="U846" s="1075"/>
      <c r="V846" s="1075"/>
      <c r="W846" s="1075"/>
      <c r="X846" s="1075"/>
      <c r="Y846" s="1075"/>
      <c r="Z846" s="1075"/>
      <c r="AA846" s="1075"/>
      <c r="AB846" s="1075"/>
      <c r="AC846" s="1075"/>
      <c r="AD846" s="1075"/>
      <c r="AE846" s="1075"/>
      <c r="AF846" s="1075"/>
      <c r="AG846" s="1075"/>
      <c r="AH846" s="1075"/>
      <c r="AI846" s="1075"/>
      <c r="AJ846" s="1075"/>
      <c r="AK846" s="1075"/>
      <c r="AL846" s="1075"/>
      <c r="AM846" s="1075"/>
    </row>
    <row r="847" spans="2:39" x14ac:dyDescent="0.25">
      <c r="B847" s="1082"/>
      <c r="C847" s="1075"/>
      <c r="D847" s="1075"/>
      <c r="E847" s="1075"/>
      <c r="F847" s="1075"/>
      <c r="G847" s="1075"/>
      <c r="H847" s="1075"/>
      <c r="I847" s="1075"/>
      <c r="J847" s="1075"/>
      <c r="K847" s="1075"/>
      <c r="L847" s="1075"/>
      <c r="M847" s="1075"/>
      <c r="N847" s="1075"/>
      <c r="O847" s="1075"/>
      <c r="P847" s="1075"/>
      <c r="Q847" s="1075"/>
      <c r="R847" s="1075"/>
      <c r="S847" s="1081"/>
      <c r="T847" s="1075"/>
      <c r="U847" s="1075"/>
      <c r="V847" s="1075"/>
      <c r="W847" s="1075"/>
      <c r="X847" s="1075"/>
      <c r="Y847" s="1075"/>
      <c r="Z847" s="1075"/>
      <c r="AA847" s="1075"/>
      <c r="AB847" s="1075"/>
      <c r="AC847" s="1075"/>
      <c r="AD847" s="1075"/>
      <c r="AE847" s="1075"/>
      <c r="AF847" s="1075"/>
      <c r="AG847" s="1075"/>
      <c r="AH847" s="1075"/>
      <c r="AI847" s="1075"/>
      <c r="AJ847" s="1075"/>
      <c r="AK847" s="1075"/>
      <c r="AL847" s="1075"/>
      <c r="AM847" s="1075"/>
    </row>
    <row r="848" spans="2:39" x14ac:dyDescent="0.25">
      <c r="B848" s="1082"/>
      <c r="C848" s="1075"/>
      <c r="D848" s="1075"/>
      <c r="E848" s="1075"/>
      <c r="F848" s="1075"/>
      <c r="G848" s="1075"/>
      <c r="H848" s="1075"/>
      <c r="I848" s="1075"/>
      <c r="J848" s="1075"/>
      <c r="K848" s="1075"/>
      <c r="L848" s="1075"/>
      <c r="M848" s="1075"/>
      <c r="N848" s="1075"/>
      <c r="O848" s="1075"/>
      <c r="P848" s="1075"/>
      <c r="Q848" s="1075"/>
      <c r="R848" s="1075"/>
      <c r="S848" s="1081"/>
      <c r="T848" s="1075"/>
      <c r="U848" s="1075"/>
      <c r="V848" s="1075"/>
      <c r="W848" s="1075"/>
      <c r="X848" s="1075"/>
      <c r="Y848" s="1075"/>
      <c r="Z848" s="1075"/>
      <c r="AA848" s="1075"/>
      <c r="AB848" s="1075"/>
      <c r="AC848" s="1075"/>
      <c r="AD848" s="1075"/>
      <c r="AE848" s="1075"/>
      <c r="AF848" s="1075"/>
      <c r="AG848" s="1075"/>
      <c r="AH848" s="1075"/>
      <c r="AI848" s="1075"/>
      <c r="AJ848" s="1075"/>
      <c r="AK848" s="1075"/>
      <c r="AL848" s="1075"/>
      <c r="AM848" s="1075"/>
    </row>
    <row r="849" spans="2:39" x14ac:dyDescent="0.25">
      <c r="B849" s="1082"/>
      <c r="C849" s="1075"/>
      <c r="D849" s="1075"/>
      <c r="E849" s="1075"/>
      <c r="F849" s="1075"/>
      <c r="G849" s="1075"/>
      <c r="H849" s="1075"/>
      <c r="I849" s="1075"/>
      <c r="J849" s="1075"/>
      <c r="K849" s="1075"/>
      <c r="L849" s="1075"/>
      <c r="M849" s="1075"/>
      <c r="N849" s="1075"/>
      <c r="O849" s="1075"/>
      <c r="P849" s="1075"/>
      <c r="Q849" s="1075"/>
      <c r="R849" s="1075"/>
      <c r="S849" s="1081"/>
      <c r="T849" s="1075"/>
      <c r="U849" s="1075"/>
      <c r="V849" s="1075"/>
      <c r="W849" s="1075"/>
      <c r="X849" s="1075"/>
      <c r="Y849" s="1075"/>
      <c r="Z849" s="1075"/>
      <c r="AA849" s="1075"/>
      <c r="AB849" s="1075"/>
      <c r="AC849" s="1075"/>
      <c r="AD849" s="1075"/>
      <c r="AE849" s="1075"/>
      <c r="AF849" s="1075"/>
      <c r="AG849" s="1075"/>
      <c r="AH849" s="1075"/>
      <c r="AI849" s="1075"/>
      <c r="AJ849" s="1075"/>
      <c r="AK849" s="1075"/>
      <c r="AL849" s="1075"/>
      <c r="AM849" s="1075"/>
    </row>
    <row r="850" spans="2:39" x14ac:dyDescent="0.25">
      <c r="B850" s="1082"/>
      <c r="C850" s="1075"/>
      <c r="D850" s="1075"/>
      <c r="E850" s="1075"/>
      <c r="F850" s="1075"/>
      <c r="G850" s="1075"/>
      <c r="H850" s="1075"/>
      <c r="I850" s="1075"/>
      <c r="J850" s="1075"/>
      <c r="K850" s="1075"/>
      <c r="L850" s="1075"/>
      <c r="M850" s="1075"/>
      <c r="N850" s="1075"/>
      <c r="O850" s="1075"/>
      <c r="P850" s="1075"/>
      <c r="Q850" s="1075"/>
      <c r="R850" s="1075"/>
      <c r="S850" s="1081"/>
      <c r="T850" s="1075"/>
      <c r="U850" s="1075"/>
      <c r="V850" s="1075"/>
      <c r="W850" s="1075"/>
      <c r="X850" s="1075"/>
      <c r="Y850" s="1075"/>
      <c r="Z850" s="1075"/>
      <c r="AA850" s="1075"/>
      <c r="AB850" s="1075"/>
      <c r="AC850" s="1075"/>
      <c r="AD850" s="1075"/>
      <c r="AE850" s="1075"/>
      <c r="AF850" s="1075"/>
      <c r="AG850" s="1075"/>
      <c r="AH850" s="1075"/>
      <c r="AI850" s="1075"/>
      <c r="AJ850" s="1075"/>
      <c r="AK850" s="1075"/>
      <c r="AL850" s="1075"/>
      <c r="AM850" s="1075"/>
    </row>
    <row r="851" spans="2:39" x14ac:dyDescent="0.25">
      <c r="B851" s="1082"/>
      <c r="C851" s="1075"/>
      <c r="D851" s="1075"/>
      <c r="E851" s="1075"/>
      <c r="F851" s="1075"/>
      <c r="G851" s="1075"/>
      <c r="H851" s="1075"/>
      <c r="I851" s="1075"/>
      <c r="J851" s="1075"/>
      <c r="K851" s="1075"/>
      <c r="L851" s="1075"/>
      <c r="M851" s="1075"/>
      <c r="N851" s="1075"/>
      <c r="O851" s="1075"/>
      <c r="P851" s="1075"/>
      <c r="Q851" s="1075"/>
      <c r="R851" s="1075"/>
      <c r="S851" s="1081"/>
      <c r="T851" s="1075"/>
      <c r="U851" s="1075"/>
      <c r="V851" s="1075"/>
      <c r="W851" s="1075"/>
      <c r="X851" s="1075"/>
      <c r="Y851" s="1075"/>
      <c r="Z851" s="1075"/>
      <c r="AA851" s="1075"/>
      <c r="AB851" s="1075"/>
      <c r="AC851" s="1075"/>
      <c r="AD851" s="1075"/>
      <c r="AE851" s="1075"/>
      <c r="AF851" s="1075"/>
      <c r="AG851" s="1075"/>
      <c r="AH851" s="1075"/>
      <c r="AI851" s="1075"/>
      <c r="AJ851" s="1075"/>
      <c r="AK851" s="1075"/>
      <c r="AL851" s="1075"/>
      <c r="AM851" s="1075"/>
    </row>
    <row r="852" spans="2:39" x14ac:dyDescent="0.25">
      <c r="B852" s="1082"/>
      <c r="C852" s="1075"/>
      <c r="D852" s="1075"/>
      <c r="E852" s="1075"/>
      <c r="F852" s="1075"/>
      <c r="G852" s="1075"/>
      <c r="H852" s="1075"/>
      <c r="I852" s="1075"/>
      <c r="J852" s="1075"/>
      <c r="K852" s="1075"/>
      <c r="L852" s="1075"/>
      <c r="M852" s="1075"/>
      <c r="N852" s="1075"/>
      <c r="O852" s="1075"/>
      <c r="P852" s="1075"/>
      <c r="Q852" s="1075"/>
      <c r="R852" s="1075"/>
      <c r="S852" s="1081"/>
      <c r="T852" s="1075"/>
      <c r="U852" s="1075"/>
      <c r="V852" s="1075"/>
      <c r="W852" s="1075"/>
      <c r="X852" s="1075"/>
      <c r="Y852" s="1075"/>
      <c r="Z852" s="1075"/>
      <c r="AA852" s="1075"/>
      <c r="AB852" s="1075"/>
      <c r="AC852" s="1075"/>
      <c r="AD852" s="1075"/>
      <c r="AE852" s="1075"/>
      <c r="AF852" s="1075"/>
      <c r="AG852" s="1075"/>
      <c r="AH852" s="1075"/>
      <c r="AI852" s="1075"/>
      <c r="AJ852" s="1075"/>
      <c r="AK852" s="1075"/>
      <c r="AL852" s="1075"/>
      <c r="AM852" s="1075"/>
    </row>
    <row r="853" spans="2:39" x14ac:dyDescent="0.25">
      <c r="B853" s="1082"/>
      <c r="C853" s="1075"/>
      <c r="D853" s="1075"/>
      <c r="E853" s="1075"/>
      <c r="F853" s="1075"/>
      <c r="G853" s="1075"/>
      <c r="H853" s="1075"/>
      <c r="I853" s="1075"/>
      <c r="J853" s="1075"/>
      <c r="K853" s="1075"/>
      <c r="L853" s="1075"/>
      <c r="M853" s="1075"/>
      <c r="N853" s="1075"/>
      <c r="O853" s="1075"/>
      <c r="P853" s="1075"/>
      <c r="Q853" s="1075"/>
      <c r="R853" s="1075"/>
      <c r="S853" s="1081"/>
      <c r="T853" s="1075"/>
      <c r="U853" s="1075"/>
      <c r="V853" s="1075"/>
      <c r="W853" s="1075"/>
      <c r="X853" s="1075"/>
      <c r="Y853" s="1075"/>
      <c r="Z853" s="1075"/>
      <c r="AA853" s="1075"/>
      <c r="AB853" s="1075"/>
      <c r="AC853" s="1075"/>
      <c r="AD853" s="1075"/>
      <c r="AE853" s="1075"/>
      <c r="AF853" s="1075"/>
      <c r="AG853" s="1075"/>
      <c r="AH853" s="1075"/>
      <c r="AI853" s="1075"/>
      <c r="AJ853" s="1075"/>
      <c r="AK853" s="1075"/>
      <c r="AL853" s="1075"/>
      <c r="AM853" s="1075"/>
    </row>
    <row r="854" spans="2:39" x14ac:dyDescent="0.25">
      <c r="B854" s="1082"/>
      <c r="C854" s="1075"/>
      <c r="D854" s="1075"/>
      <c r="E854" s="1075"/>
      <c r="F854" s="1075"/>
      <c r="G854" s="1075"/>
      <c r="H854" s="1075"/>
      <c r="I854" s="1075"/>
      <c r="J854" s="1075"/>
      <c r="K854" s="1075"/>
      <c r="L854" s="1075"/>
      <c r="M854" s="1075"/>
      <c r="N854" s="1075"/>
      <c r="O854" s="1075"/>
      <c r="P854" s="1075"/>
      <c r="Q854" s="1075"/>
      <c r="R854" s="1075"/>
      <c r="S854" s="1081"/>
      <c r="T854" s="1075"/>
      <c r="U854" s="1075"/>
      <c r="V854" s="1075"/>
      <c r="W854" s="1075"/>
      <c r="X854" s="1075"/>
      <c r="Y854" s="1075"/>
      <c r="Z854" s="1075"/>
      <c r="AA854" s="1075"/>
      <c r="AB854" s="1075"/>
      <c r="AC854" s="1075"/>
      <c r="AD854" s="1075"/>
      <c r="AE854" s="1075"/>
      <c r="AF854" s="1075"/>
      <c r="AG854" s="1075"/>
      <c r="AH854" s="1075"/>
      <c r="AI854" s="1075"/>
      <c r="AJ854" s="1075"/>
      <c r="AK854" s="1075"/>
      <c r="AL854" s="1075"/>
      <c r="AM854" s="1075"/>
    </row>
    <row r="855" spans="2:39" x14ac:dyDescent="0.25">
      <c r="B855" s="1082"/>
      <c r="C855" s="1075"/>
      <c r="D855" s="1075"/>
      <c r="E855" s="1075"/>
      <c r="F855" s="1075"/>
      <c r="G855" s="1075"/>
      <c r="H855" s="1075"/>
      <c r="I855" s="1075"/>
      <c r="J855" s="1075"/>
      <c r="K855" s="1075"/>
      <c r="L855" s="1075"/>
      <c r="M855" s="1075"/>
      <c r="N855" s="1075"/>
      <c r="O855" s="1075"/>
      <c r="P855" s="1075"/>
      <c r="Q855" s="1075"/>
      <c r="R855" s="1075"/>
      <c r="S855" s="1081"/>
      <c r="T855" s="1075"/>
      <c r="U855" s="1075"/>
      <c r="V855" s="1075"/>
      <c r="W855" s="1075"/>
      <c r="X855" s="1075"/>
      <c r="Y855" s="1075"/>
      <c r="Z855" s="1075"/>
      <c r="AA855" s="1075"/>
      <c r="AB855" s="1075"/>
      <c r="AC855" s="1075"/>
      <c r="AD855" s="1075"/>
      <c r="AE855" s="1075"/>
      <c r="AF855" s="1075"/>
      <c r="AG855" s="1075"/>
      <c r="AH855" s="1075"/>
      <c r="AI855" s="1075"/>
      <c r="AJ855" s="1075"/>
      <c r="AK855" s="1075"/>
      <c r="AL855" s="1075"/>
      <c r="AM855" s="1075"/>
    </row>
    <row r="856" spans="2:39" x14ac:dyDescent="0.25">
      <c r="B856" s="1082"/>
      <c r="C856" s="1075"/>
      <c r="D856" s="1075"/>
      <c r="E856" s="1075"/>
      <c r="F856" s="1075"/>
      <c r="G856" s="1075"/>
      <c r="H856" s="1075"/>
      <c r="I856" s="1075"/>
      <c r="J856" s="1075"/>
      <c r="K856" s="1075"/>
      <c r="L856" s="1075"/>
      <c r="M856" s="1075"/>
      <c r="N856" s="1075"/>
      <c r="O856" s="1075"/>
      <c r="P856" s="1075"/>
      <c r="Q856" s="1075"/>
      <c r="R856" s="1075"/>
      <c r="S856" s="1081"/>
      <c r="T856" s="1075"/>
      <c r="U856" s="1075"/>
      <c r="V856" s="1075"/>
      <c r="W856" s="1075"/>
      <c r="X856" s="1075"/>
      <c r="Y856" s="1075"/>
      <c r="Z856" s="1075"/>
      <c r="AA856" s="1075"/>
      <c r="AB856" s="1075"/>
      <c r="AC856" s="1075"/>
      <c r="AD856" s="1075"/>
      <c r="AE856" s="1075"/>
      <c r="AF856" s="1075"/>
      <c r="AG856" s="1075"/>
      <c r="AH856" s="1075"/>
      <c r="AI856" s="1075"/>
      <c r="AJ856" s="1075"/>
      <c r="AK856" s="1075"/>
      <c r="AL856" s="1075"/>
      <c r="AM856" s="1075"/>
    </row>
    <row r="857" spans="2:39" x14ac:dyDescent="0.25">
      <c r="B857" s="1082"/>
      <c r="C857" s="1075"/>
      <c r="D857" s="1075"/>
      <c r="E857" s="1075"/>
      <c r="F857" s="1075"/>
      <c r="G857" s="1075"/>
      <c r="H857" s="1075"/>
      <c r="I857" s="1075"/>
      <c r="J857" s="1075"/>
      <c r="K857" s="1075"/>
      <c r="L857" s="1075"/>
      <c r="M857" s="1075"/>
      <c r="N857" s="1075"/>
      <c r="O857" s="1075"/>
      <c r="P857" s="1075"/>
      <c r="Q857" s="1075"/>
      <c r="R857" s="1075"/>
      <c r="S857" s="1081"/>
      <c r="T857" s="1075"/>
      <c r="U857" s="1075"/>
      <c r="V857" s="1075"/>
      <c r="W857" s="1075"/>
      <c r="X857" s="1075"/>
      <c r="Y857" s="1075"/>
      <c r="Z857" s="1075"/>
      <c r="AA857" s="1075"/>
      <c r="AB857" s="1075"/>
      <c r="AC857" s="1075"/>
      <c r="AD857" s="1075"/>
      <c r="AE857" s="1075"/>
      <c r="AF857" s="1075"/>
      <c r="AG857" s="1075"/>
      <c r="AH857" s="1075"/>
      <c r="AI857" s="1075"/>
      <c r="AJ857" s="1075"/>
      <c r="AK857" s="1075"/>
      <c r="AL857" s="1075"/>
      <c r="AM857" s="1075"/>
    </row>
    <row r="858" spans="2:39" x14ac:dyDescent="0.25">
      <c r="B858" s="1082"/>
      <c r="C858" s="1075"/>
      <c r="D858" s="1075"/>
      <c r="E858" s="1075"/>
      <c r="F858" s="1075"/>
      <c r="G858" s="1075"/>
      <c r="H858" s="1075"/>
      <c r="I858" s="1075"/>
      <c r="J858" s="1075"/>
      <c r="K858" s="1075"/>
      <c r="L858" s="1075"/>
      <c r="M858" s="1075"/>
      <c r="N858" s="1075"/>
      <c r="O858" s="1075"/>
      <c r="P858" s="1075"/>
      <c r="Q858" s="1075"/>
      <c r="R858" s="1075"/>
      <c r="S858" s="1081"/>
      <c r="T858" s="1075"/>
      <c r="U858" s="1075"/>
      <c r="V858" s="1075"/>
      <c r="W858" s="1075"/>
      <c r="X858" s="1075"/>
      <c r="Y858" s="1075"/>
      <c r="Z858" s="1075"/>
      <c r="AA858" s="1075"/>
      <c r="AB858" s="1075"/>
      <c r="AC858" s="1075"/>
      <c r="AD858" s="1075"/>
      <c r="AE858" s="1075"/>
      <c r="AF858" s="1075"/>
      <c r="AG858" s="1075"/>
      <c r="AH858" s="1075"/>
      <c r="AI858" s="1075"/>
      <c r="AJ858" s="1075"/>
      <c r="AK858" s="1075"/>
      <c r="AL858" s="1075"/>
      <c r="AM858" s="1075"/>
    </row>
    <row r="859" spans="2:39" x14ac:dyDescent="0.25">
      <c r="B859" s="1082"/>
      <c r="C859" s="1075"/>
      <c r="D859" s="1075"/>
      <c r="E859" s="1075"/>
      <c r="F859" s="1075"/>
      <c r="G859" s="1075"/>
      <c r="H859" s="1075"/>
      <c r="I859" s="1075"/>
      <c r="J859" s="1075"/>
      <c r="K859" s="1075"/>
      <c r="L859" s="1075"/>
      <c r="M859" s="1075"/>
      <c r="N859" s="1075"/>
      <c r="O859" s="1075"/>
      <c r="P859" s="1075"/>
      <c r="Q859" s="1075"/>
      <c r="R859" s="1075"/>
      <c r="S859" s="1081"/>
      <c r="T859" s="1075"/>
      <c r="U859" s="1075"/>
      <c r="V859" s="1075"/>
      <c r="W859" s="1075"/>
      <c r="X859" s="1075"/>
      <c r="Y859" s="1075"/>
      <c r="Z859" s="1075"/>
      <c r="AA859" s="1075"/>
      <c r="AB859" s="1075"/>
      <c r="AC859" s="1075"/>
      <c r="AD859" s="1075"/>
      <c r="AE859" s="1075"/>
      <c r="AF859" s="1075"/>
      <c r="AG859" s="1075"/>
      <c r="AH859" s="1075"/>
      <c r="AI859" s="1075"/>
      <c r="AJ859" s="1075"/>
      <c r="AK859" s="1075"/>
      <c r="AL859" s="1075"/>
      <c r="AM859" s="1075"/>
    </row>
    <row r="860" spans="2:39" x14ac:dyDescent="0.25">
      <c r="B860" s="1082"/>
      <c r="C860" s="1075"/>
      <c r="D860" s="1075"/>
      <c r="E860" s="1075"/>
      <c r="F860" s="1075"/>
      <c r="G860" s="1075"/>
      <c r="H860" s="1075"/>
      <c r="I860" s="1075"/>
      <c r="J860" s="1075"/>
      <c r="K860" s="1075"/>
      <c r="L860" s="1075"/>
      <c r="M860" s="1075"/>
      <c r="N860" s="1075"/>
      <c r="O860" s="1075"/>
      <c r="P860" s="1075"/>
      <c r="Q860" s="1075"/>
      <c r="R860" s="1075"/>
      <c r="S860" s="1081"/>
      <c r="T860" s="1075"/>
      <c r="U860" s="1075"/>
      <c r="V860" s="1075"/>
      <c r="W860" s="1075"/>
      <c r="X860" s="1075"/>
      <c r="Y860" s="1075"/>
      <c r="Z860" s="1075"/>
      <c r="AA860" s="1075"/>
      <c r="AB860" s="1075"/>
      <c r="AC860" s="1075"/>
      <c r="AD860" s="1075"/>
      <c r="AE860" s="1075"/>
      <c r="AF860" s="1075"/>
      <c r="AG860" s="1075"/>
      <c r="AH860" s="1075"/>
      <c r="AI860" s="1075"/>
      <c r="AJ860" s="1075"/>
      <c r="AK860" s="1075"/>
      <c r="AL860" s="1075"/>
      <c r="AM860" s="1075"/>
    </row>
    <row r="861" spans="2:39" x14ac:dyDescent="0.25">
      <c r="B861" s="1082"/>
      <c r="C861" s="1075"/>
      <c r="D861" s="1075"/>
      <c r="E861" s="1075"/>
      <c r="F861" s="1075"/>
      <c r="G861" s="1075"/>
      <c r="H861" s="1075"/>
      <c r="I861" s="1075"/>
      <c r="J861" s="1075"/>
      <c r="K861" s="1075"/>
      <c r="L861" s="1075"/>
      <c r="M861" s="1075"/>
      <c r="N861" s="1075"/>
      <c r="O861" s="1075"/>
      <c r="P861" s="1075"/>
      <c r="Q861" s="1075"/>
      <c r="R861" s="1075"/>
      <c r="S861" s="1081"/>
      <c r="T861" s="1075"/>
      <c r="U861" s="1075"/>
      <c r="V861" s="1075"/>
      <c r="W861" s="1075"/>
      <c r="X861" s="1075"/>
      <c r="Y861" s="1075"/>
      <c r="Z861" s="1075"/>
      <c r="AA861" s="1075"/>
      <c r="AB861" s="1075"/>
      <c r="AC861" s="1075"/>
      <c r="AD861" s="1075"/>
      <c r="AE861" s="1075"/>
      <c r="AF861" s="1075"/>
      <c r="AG861" s="1075"/>
      <c r="AH861" s="1075"/>
      <c r="AI861" s="1075"/>
      <c r="AJ861" s="1075"/>
      <c r="AK861" s="1075"/>
      <c r="AL861" s="1075"/>
      <c r="AM861" s="1075"/>
    </row>
    <row r="862" spans="2:39" x14ac:dyDescent="0.25">
      <c r="B862" s="1082"/>
      <c r="C862" s="1075"/>
      <c r="D862" s="1075"/>
      <c r="E862" s="1075"/>
      <c r="F862" s="1075"/>
      <c r="G862" s="1075"/>
      <c r="H862" s="1075"/>
      <c r="I862" s="1075"/>
      <c r="J862" s="1075"/>
      <c r="K862" s="1075"/>
      <c r="L862" s="1075"/>
      <c r="M862" s="1075"/>
      <c r="N862" s="1075"/>
      <c r="O862" s="1075"/>
      <c r="P862" s="1075"/>
      <c r="Q862" s="1075"/>
      <c r="R862" s="1075"/>
      <c r="S862" s="1081"/>
      <c r="T862" s="1075"/>
      <c r="U862" s="1075"/>
      <c r="V862" s="1075"/>
      <c r="W862" s="1075"/>
      <c r="X862" s="1075"/>
      <c r="Y862" s="1075"/>
      <c r="Z862" s="1075"/>
      <c r="AA862" s="1075"/>
      <c r="AB862" s="1075"/>
      <c r="AC862" s="1075"/>
      <c r="AD862" s="1075"/>
      <c r="AE862" s="1075"/>
      <c r="AF862" s="1075"/>
      <c r="AG862" s="1075"/>
      <c r="AH862" s="1075"/>
      <c r="AI862" s="1075"/>
      <c r="AJ862" s="1075"/>
      <c r="AK862" s="1075"/>
      <c r="AL862" s="1075"/>
      <c r="AM862" s="1075"/>
    </row>
    <row r="863" spans="2:39" x14ac:dyDescent="0.25">
      <c r="B863" s="1082"/>
      <c r="C863" s="1075"/>
      <c r="D863" s="1075"/>
      <c r="E863" s="1075"/>
      <c r="F863" s="1075"/>
      <c r="G863" s="1075"/>
      <c r="H863" s="1075"/>
      <c r="I863" s="1075"/>
      <c r="J863" s="1075"/>
      <c r="K863" s="1075"/>
      <c r="L863" s="1075"/>
      <c r="M863" s="1075"/>
      <c r="N863" s="1075"/>
      <c r="O863" s="1075"/>
      <c r="P863" s="1075"/>
      <c r="Q863" s="1075"/>
      <c r="R863" s="1075"/>
      <c r="S863" s="1081"/>
      <c r="T863" s="1075"/>
      <c r="U863" s="1075"/>
      <c r="V863" s="1075"/>
      <c r="W863" s="1075"/>
      <c r="X863" s="1075"/>
      <c r="Y863" s="1075"/>
      <c r="Z863" s="1075"/>
      <c r="AA863" s="1075"/>
      <c r="AB863" s="1075"/>
      <c r="AC863" s="1075"/>
      <c r="AD863" s="1075"/>
      <c r="AE863" s="1075"/>
      <c r="AF863" s="1075"/>
      <c r="AG863" s="1075"/>
      <c r="AH863" s="1075"/>
      <c r="AI863" s="1075"/>
      <c r="AJ863" s="1075"/>
      <c r="AK863" s="1075"/>
      <c r="AL863" s="1075"/>
      <c r="AM863" s="1075"/>
    </row>
    <row r="864" spans="2:39" x14ac:dyDescent="0.25">
      <c r="B864" s="1082"/>
      <c r="C864" s="1075"/>
      <c r="D864" s="1075"/>
      <c r="E864" s="1075"/>
      <c r="F864" s="1075"/>
      <c r="G864" s="1075"/>
      <c r="H864" s="1075"/>
      <c r="I864" s="1075"/>
      <c r="J864" s="1075"/>
      <c r="K864" s="1075"/>
      <c r="L864" s="1075"/>
      <c r="M864" s="1075"/>
      <c r="N864" s="1075"/>
      <c r="O864" s="1075"/>
      <c r="P864" s="1075"/>
      <c r="Q864" s="1075"/>
      <c r="R864" s="1075"/>
      <c r="S864" s="1081"/>
      <c r="T864" s="1075"/>
      <c r="U864" s="1075"/>
      <c r="V864" s="1075"/>
      <c r="W864" s="1075"/>
      <c r="X864" s="1075"/>
      <c r="Y864" s="1075"/>
      <c r="Z864" s="1075"/>
      <c r="AA864" s="1075"/>
      <c r="AB864" s="1075"/>
      <c r="AC864" s="1075"/>
      <c r="AD864" s="1075"/>
      <c r="AE864" s="1075"/>
      <c r="AF864" s="1075"/>
      <c r="AG864" s="1075"/>
      <c r="AH864" s="1075"/>
      <c r="AI864" s="1075"/>
      <c r="AJ864" s="1075"/>
      <c r="AK864" s="1075"/>
      <c r="AL864" s="1075"/>
      <c r="AM864" s="1075"/>
    </row>
    <row r="865" spans="2:39" x14ac:dyDescent="0.25">
      <c r="B865" s="1082"/>
      <c r="C865" s="1075"/>
      <c r="D865" s="1075"/>
      <c r="E865" s="1075"/>
      <c r="F865" s="1075"/>
      <c r="G865" s="1075"/>
      <c r="H865" s="1075"/>
      <c r="I865" s="1075"/>
      <c r="J865" s="1075"/>
      <c r="K865" s="1075"/>
      <c r="L865" s="1075"/>
      <c r="M865" s="1075"/>
      <c r="N865" s="1075"/>
      <c r="O865" s="1075"/>
      <c r="P865" s="1075"/>
      <c r="Q865" s="1075"/>
      <c r="R865" s="1075"/>
      <c r="S865" s="1081"/>
      <c r="T865" s="1075"/>
      <c r="U865" s="1075"/>
      <c r="V865" s="1075"/>
      <c r="W865" s="1075"/>
      <c r="X865" s="1075"/>
      <c r="Y865" s="1075"/>
      <c r="Z865" s="1075"/>
      <c r="AA865" s="1075"/>
      <c r="AB865" s="1075"/>
      <c r="AC865" s="1075"/>
      <c r="AD865" s="1075"/>
      <c r="AE865" s="1075"/>
      <c r="AF865" s="1075"/>
      <c r="AG865" s="1075"/>
      <c r="AH865" s="1075"/>
      <c r="AI865" s="1075"/>
      <c r="AJ865" s="1075"/>
      <c r="AK865" s="1075"/>
      <c r="AL865" s="1075"/>
      <c r="AM865" s="1075"/>
    </row>
    <row r="866" spans="2:39" x14ac:dyDescent="0.25">
      <c r="B866" s="1082"/>
      <c r="C866" s="1075"/>
      <c r="D866" s="1075"/>
      <c r="E866" s="1075"/>
      <c r="F866" s="1075"/>
      <c r="G866" s="1075"/>
      <c r="H866" s="1075"/>
      <c r="I866" s="1075"/>
      <c r="J866" s="1075"/>
      <c r="K866" s="1075"/>
      <c r="L866" s="1075"/>
      <c r="M866" s="1075"/>
      <c r="N866" s="1075"/>
      <c r="O866" s="1075"/>
      <c r="P866" s="1075"/>
      <c r="Q866" s="1075"/>
      <c r="R866" s="1075"/>
      <c r="S866" s="1081"/>
      <c r="T866" s="1075"/>
      <c r="U866" s="1075"/>
      <c r="V866" s="1075"/>
      <c r="W866" s="1075"/>
      <c r="X866" s="1075"/>
      <c r="Y866" s="1075"/>
      <c r="Z866" s="1075"/>
      <c r="AA866" s="1075"/>
      <c r="AB866" s="1075"/>
      <c r="AC866" s="1075"/>
      <c r="AD866" s="1075"/>
      <c r="AE866" s="1075"/>
      <c r="AF866" s="1075"/>
      <c r="AG866" s="1075"/>
      <c r="AH866" s="1075"/>
      <c r="AI866" s="1075"/>
      <c r="AJ866" s="1075"/>
      <c r="AK866" s="1075"/>
      <c r="AL866" s="1075"/>
      <c r="AM866" s="1075"/>
    </row>
    <row r="867" spans="2:39" x14ac:dyDescent="0.25">
      <c r="B867" s="1082"/>
      <c r="C867" s="1075"/>
      <c r="D867" s="1075"/>
      <c r="E867" s="1075"/>
      <c r="F867" s="1075"/>
      <c r="G867" s="1075"/>
      <c r="H867" s="1075"/>
      <c r="I867" s="1075"/>
      <c r="J867" s="1075"/>
      <c r="K867" s="1075"/>
      <c r="L867" s="1075"/>
      <c r="M867" s="1075"/>
      <c r="N867" s="1075"/>
      <c r="O867" s="1075"/>
      <c r="P867" s="1075"/>
      <c r="Q867" s="1075"/>
      <c r="R867" s="1075"/>
      <c r="S867" s="1081"/>
      <c r="T867" s="1075"/>
      <c r="U867" s="1075"/>
      <c r="V867" s="1075"/>
      <c r="W867" s="1075"/>
      <c r="X867" s="1075"/>
      <c r="Y867" s="1075"/>
      <c r="Z867" s="1075"/>
      <c r="AA867" s="1075"/>
      <c r="AB867" s="1075"/>
      <c r="AC867" s="1075"/>
      <c r="AD867" s="1075"/>
      <c r="AE867" s="1075"/>
      <c r="AF867" s="1075"/>
      <c r="AG867" s="1075"/>
      <c r="AH867" s="1075"/>
      <c r="AI867" s="1075"/>
      <c r="AJ867" s="1075"/>
      <c r="AK867" s="1075"/>
      <c r="AL867" s="1075"/>
      <c r="AM867" s="1075"/>
    </row>
    <row r="868" spans="2:39" x14ac:dyDescent="0.25">
      <c r="B868" s="1082"/>
      <c r="C868" s="1075"/>
      <c r="D868" s="1075"/>
      <c r="E868" s="1075"/>
      <c r="F868" s="1075"/>
      <c r="G868" s="1075"/>
      <c r="H868" s="1075"/>
      <c r="I868" s="1075"/>
      <c r="J868" s="1075"/>
      <c r="K868" s="1075"/>
      <c r="L868" s="1075"/>
      <c r="M868" s="1075"/>
      <c r="N868" s="1075"/>
      <c r="O868" s="1075"/>
      <c r="P868" s="1075"/>
      <c r="Q868" s="1075"/>
      <c r="R868" s="1075"/>
      <c r="S868" s="1081"/>
      <c r="T868" s="1075"/>
      <c r="U868" s="1075"/>
      <c r="V868" s="1075"/>
      <c r="W868" s="1075"/>
      <c r="X868" s="1075"/>
      <c r="Y868" s="1075"/>
      <c r="Z868" s="1075"/>
      <c r="AA868" s="1075"/>
      <c r="AB868" s="1075"/>
      <c r="AC868" s="1075"/>
      <c r="AD868" s="1075"/>
      <c r="AE868" s="1075"/>
      <c r="AF868" s="1075"/>
      <c r="AG868" s="1075"/>
      <c r="AH868" s="1075"/>
      <c r="AI868" s="1075"/>
      <c r="AJ868" s="1075"/>
      <c r="AK868" s="1075"/>
      <c r="AL868" s="1075"/>
      <c r="AM868" s="1075"/>
    </row>
    <row r="869" spans="2:39" x14ac:dyDescent="0.25">
      <c r="B869" s="1082"/>
      <c r="C869" s="1075"/>
      <c r="D869" s="1075"/>
      <c r="E869" s="1075"/>
      <c r="F869" s="1075"/>
      <c r="G869" s="1075"/>
      <c r="H869" s="1075"/>
      <c r="I869" s="1075"/>
      <c r="J869" s="1075"/>
      <c r="K869" s="1075"/>
      <c r="L869" s="1075"/>
      <c r="M869" s="1075"/>
      <c r="N869" s="1075"/>
      <c r="O869" s="1075"/>
      <c r="P869" s="1075"/>
      <c r="Q869" s="1075"/>
      <c r="R869" s="1075"/>
      <c r="S869" s="1081"/>
      <c r="T869" s="1075"/>
      <c r="U869" s="1075"/>
      <c r="V869" s="1075"/>
      <c r="W869" s="1075"/>
      <c r="X869" s="1075"/>
      <c r="Y869" s="1075"/>
      <c r="Z869" s="1075"/>
      <c r="AA869" s="1075"/>
      <c r="AB869" s="1075"/>
      <c r="AC869" s="1075"/>
      <c r="AD869" s="1075"/>
      <c r="AE869" s="1075"/>
      <c r="AF869" s="1075"/>
      <c r="AG869" s="1075"/>
      <c r="AH869" s="1075"/>
      <c r="AI869" s="1075"/>
      <c r="AJ869" s="1075"/>
      <c r="AK869" s="1075"/>
      <c r="AL869" s="1075"/>
      <c r="AM869" s="1075"/>
    </row>
    <row r="870" spans="2:39" x14ac:dyDescent="0.25">
      <c r="B870" s="1082"/>
      <c r="C870" s="1075"/>
      <c r="D870" s="1075"/>
      <c r="E870" s="1075"/>
      <c r="F870" s="1075"/>
      <c r="G870" s="1075"/>
      <c r="H870" s="1075"/>
      <c r="I870" s="1075"/>
      <c r="J870" s="1075"/>
      <c r="K870" s="1075"/>
      <c r="L870" s="1075"/>
      <c r="M870" s="1075"/>
      <c r="N870" s="1075"/>
      <c r="O870" s="1075"/>
      <c r="P870" s="1075"/>
      <c r="Q870" s="1075"/>
      <c r="R870" s="1075"/>
      <c r="S870" s="1081"/>
      <c r="T870" s="1075"/>
      <c r="U870" s="1075"/>
      <c r="V870" s="1075"/>
      <c r="W870" s="1075"/>
      <c r="X870" s="1075"/>
      <c r="Y870" s="1075"/>
      <c r="Z870" s="1075"/>
      <c r="AA870" s="1075"/>
      <c r="AB870" s="1075"/>
      <c r="AC870" s="1075"/>
      <c r="AD870" s="1075"/>
      <c r="AE870" s="1075"/>
      <c r="AF870" s="1075"/>
      <c r="AG870" s="1075"/>
      <c r="AH870" s="1075"/>
      <c r="AI870" s="1075"/>
      <c r="AJ870" s="1075"/>
      <c r="AK870" s="1075"/>
      <c r="AL870" s="1075"/>
      <c r="AM870" s="1075"/>
    </row>
    <row r="871" spans="2:39" x14ac:dyDescent="0.25">
      <c r="B871" s="1082"/>
      <c r="C871" s="1075"/>
      <c r="D871" s="1075"/>
      <c r="E871" s="1075"/>
      <c r="F871" s="1075"/>
      <c r="G871" s="1075"/>
      <c r="H871" s="1075"/>
      <c r="I871" s="1075"/>
      <c r="J871" s="1075"/>
      <c r="K871" s="1075"/>
      <c r="L871" s="1075"/>
      <c r="M871" s="1075"/>
      <c r="N871" s="1075"/>
      <c r="O871" s="1075"/>
      <c r="P871" s="1075"/>
      <c r="Q871" s="1075"/>
      <c r="R871" s="1075"/>
      <c r="S871" s="1081"/>
      <c r="T871" s="1075"/>
      <c r="U871" s="1075"/>
      <c r="V871" s="1075"/>
      <c r="W871" s="1075"/>
      <c r="X871" s="1075"/>
      <c r="Y871" s="1075"/>
      <c r="Z871" s="1075"/>
      <c r="AA871" s="1075"/>
      <c r="AB871" s="1075"/>
      <c r="AC871" s="1075"/>
      <c r="AD871" s="1075"/>
      <c r="AE871" s="1075"/>
      <c r="AF871" s="1075"/>
      <c r="AG871" s="1075"/>
      <c r="AH871" s="1075"/>
      <c r="AI871" s="1075"/>
      <c r="AJ871" s="1075"/>
      <c r="AK871" s="1075"/>
      <c r="AL871" s="1075"/>
      <c r="AM871" s="1075"/>
    </row>
    <row r="872" spans="2:39" x14ac:dyDescent="0.25">
      <c r="B872" s="1082"/>
      <c r="C872" s="1075"/>
      <c r="D872" s="1075"/>
      <c r="E872" s="1075"/>
      <c r="F872" s="1075"/>
      <c r="G872" s="1075"/>
      <c r="H872" s="1075"/>
      <c r="I872" s="1075"/>
      <c r="J872" s="1075"/>
      <c r="K872" s="1075"/>
      <c r="L872" s="1075"/>
      <c r="M872" s="1075"/>
      <c r="N872" s="1075"/>
      <c r="O872" s="1075"/>
      <c r="P872" s="1075"/>
      <c r="Q872" s="1075"/>
      <c r="R872" s="1075"/>
      <c r="S872" s="1081"/>
      <c r="T872" s="1075"/>
      <c r="U872" s="1075"/>
      <c r="V872" s="1075"/>
      <c r="W872" s="1075"/>
      <c r="X872" s="1075"/>
      <c r="Y872" s="1075"/>
      <c r="Z872" s="1075"/>
      <c r="AA872" s="1075"/>
      <c r="AB872" s="1075"/>
      <c r="AC872" s="1075"/>
      <c r="AD872" s="1075"/>
      <c r="AE872" s="1075"/>
      <c r="AF872" s="1075"/>
      <c r="AG872" s="1075"/>
      <c r="AH872" s="1075"/>
      <c r="AI872" s="1075"/>
      <c r="AJ872" s="1075"/>
      <c r="AK872" s="1075"/>
      <c r="AL872" s="1075"/>
      <c r="AM872" s="1075"/>
    </row>
    <row r="873" spans="2:39" x14ac:dyDescent="0.25">
      <c r="B873" s="1082"/>
      <c r="C873" s="1075"/>
      <c r="D873" s="1075"/>
      <c r="E873" s="1075"/>
      <c r="F873" s="1075"/>
      <c r="G873" s="1075"/>
      <c r="H873" s="1075"/>
      <c r="I873" s="1075"/>
      <c r="J873" s="1075"/>
      <c r="K873" s="1075"/>
      <c r="L873" s="1075"/>
      <c r="M873" s="1075"/>
      <c r="N873" s="1075"/>
      <c r="O873" s="1075"/>
      <c r="P873" s="1075"/>
      <c r="Q873" s="1075"/>
      <c r="R873" s="1075"/>
      <c r="S873" s="1081"/>
      <c r="T873" s="1075"/>
      <c r="U873" s="1075"/>
      <c r="V873" s="1075"/>
      <c r="W873" s="1075"/>
      <c r="X873" s="1075"/>
      <c r="Y873" s="1075"/>
      <c r="Z873" s="1075"/>
      <c r="AA873" s="1075"/>
      <c r="AB873" s="1075"/>
      <c r="AC873" s="1075"/>
      <c r="AD873" s="1075"/>
      <c r="AE873" s="1075"/>
      <c r="AF873" s="1075"/>
      <c r="AG873" s="1075"/>
      <c r="AH873" s="1075"/>
      <c r="AI873" s="1075"/>
      <c r="AJ873" s="1075"/>
      <c r="AK873" s="1075"/>
      <c r="AL873" s="1075"/>
      <c r="AM873" s="1075"/>
    </row>
    <row r="874" spans="2:39" x14ac:dyDescent="0.25">
      <c r="B874" s="1082"/>
      <c r="C874" s="1075"/>
      <c r="D874" s="1075"/>
      <c r="E874" s="1075"/>
      <c r="F874" s="1075"/>
      <c r="G874" s="1075"/>
      <c r="H874" s="1075"/>
      <c r="I874" s="1075"/>
      <c r="J874" s="1075"/>
      <c r="K874" s="1075"/>
      <c r="L874" s="1075"/>
      <c r="M874" s="1075"/>
      <c r="N874" s="1075"/>
      <c r="O874" s="1075"/>
      <c r="P874" s="1075"/>
      <c r="Q874" s="1075"/>
      <c r="R874" s="1075"/>
      <c r="S874" s="1081"/>
      <c r="T874" s="1075"/>
      <c r="U874" s="1075"/>
      <c r="V874" s="1075"/>
      <c r="W874" s="1075"/>
      <c r="X874" s="1075"/>
      <c r="Y874" s="1075"/>
      <c r="Z874" s="1075"/>
      <c r="AA874" s="1075"/>
      <c r="AB874" s="1075"/>
      <c r="AC874" s="1075"/>
      <c r="AD874" s="1075"/>
      <c r="AE874" s="1075"/>
      <c r="AF874" s="1075"/>
      <c r="AG874" s="1075"/>
      <c r="AH874" s="1075"/>
      <c r="AI874" s="1075"/>
      <c r="AJ874" s="1075"/>
      <c r="AK874" s="1075"/>
      <c r="AL874" s="1075"/>
      <c r="AM874" s="1075"/>
    </row>
    <row r="875" spans="2:39" x14ac:dyDescent="0.25">
      <c r="B875" s="1082"/>
      <c r="C875" s="1075"/>
      <c r="D875" s="1075"/>
      <c r="E875" s="1075"/>
      <c r="F875" s="1075"/>
      <c r="G875" s="1075"/>
      <c r="H875" s="1075"/>
      <c r="I875" s="1075"/>
      <c r="J875" s="1075"/>
      <c r="K875" s="1075"/>
      <c r="L875" s="1075"/>
      <c r="M875" s="1075"/>
      <c r="N875" s="1075"/>
      <c r="O875" s="1075"/>
      <c r="P875" s="1075"/>
      <c r="Q875" s="1075"/>
      <c r="R875" s="1075"/>
      <c r="S875" s="1081"/>
      <c r="T875" s="1075"/>
      <c r="U875" s="1075"/>
      <c r="V875" s="1075"/>
      <c r="W875" s="1075"/>
      <c r="X875" s="1075"/>
      <c r="Y875" s="1075"/>
      <c r="Z875" s="1075"/>
      <c r="AA875" s="1075"/>
      <c r="AB875" s="1075"/>
      <c r="AC875" s="1075"/>
      <c r="AD875" s="1075"/>
      <c r="AE875" s="1075"/>
      <c r="AF875" s="1075"/>
      <c r="AG875" s="1075"/>
      <c r="AH875" s="1075"/>
      <c r="AI875" s="1075"/>
      <c r="AJ875" s="1075"/>
      <c r="AK875" s="1075"/>
      <c r="AL875" s="1075"/>
      <c r="AM875" s="1075"/>
    </row>
    <row r="876" spans="2:39" x14ac:dyDescent="0.25">
      <c r="B876" s="1082"/>
      <c r="C876" s="1075"/>
      <c r="D876" s="1075"/>
      <c r="E876" s="1075"/>
      <c r="F876" s="1075"/>
      <c r="G876" s="1075"/>
      <c r="H876" s="1075"/>
      <c r="I876" s="1075"/>
      <c r="J876" s="1075"/>
      <c r="K876" s="1075"/>
      <c r="L876" s="1075"/>
      <c r="M876" s="1075"/>
      <c r="N876" s="1075"/>
      <c r="O876" s="1075"/>
      <c r="P876" s="1075"/>
      <c r="Q876" s="1075"/>
      <c r="R876" s="1075"/>
      <c r="S876" s="1081"/>
      <c r="T876" s="1075"/>
      <c r="U876" s="1075"/>
      <c r="V876" s="1075"/>
      <c r="W876" s="1075"/>
      <c r="X876" s="1075"/>
      <c r="Y876" s="1075"/>
      <c r="Z876" s="1075"/>
      <c r="AA876" s="1075"/>
      <c r="AB876" s="1075"/>
      <c r="AC876" s="1075"/>
      <c r="AD876" s="1075"/>
      <c r="AE876" s="1075"/>
      <c r="AF876" s="1075"/>
      <c r="AG876" s="1075"/>
      <c r="AH876" s="1075"/>
      <c r="AI876" s="1075"/>
      <c r="AJ876" s="1075"/>
      <c r="AK876" s="1075"/>
      <c r="AL876" s="1075"/>
      <c r="AM876" s="1075"/>
    </row>
    <row r="877" spans="2:39" x14ac:dyDescent="0.25">
      <c r="B877" s="1082"/>
      <c r="C877" s="1075"/>
      <c r="D877" s="1075"/>
      <c r="E877" s="1075"/>
      <c r="F877" s="1075"/>
      <c r="G877" s="1075"/>
      <c r="H877" s="1075"/>
      <c r="I877" s="1075"/>
      <c r="J877" s="1075"/>
      <c r="K877" s="1075"/>
      <c r="L877" s="1075"/>
      <c r="M877" s="1075"/>
      <c r="N877" s="1075"/>
      <c r="O877" s="1075"/>
      <c r="P877" s="1075"/>
      <c r="Q877" s="1075"/>
      <c r="R877" s="1075"/>
      <c r="S877" s="1081"/>
      <c r="T877" s="1075"/>
      <c r="U877" s="1075"/>
      <c r="V877" s="1075"/>
      <c r="W877" s="1075"/>
      <c r="X877" s="1075"/>
      <c r="Y877" s="1075"/>
      <c r="Z877" s="1075"/>
      <c r="AA877" s="1075"/>
      <c r="AB877" s="1075"/>
      <c r="AC877" s="1075"/>
      <c r="AD877" s="1075"/>
      <c r="AE877" s="1075"/>
      <c r="AF877" s="1075"/>
      <c r="AG877" s="1075"/>
      <c r="AH877" s="1075"/>
      <c r="AI877" s="1075"/>
      <c r="AJ877" s="1075"/>
      <c r="AK877" s="1075"/>
      <c r="AL877" s="1075"/>
      <c r="AM877" s="1075"/>
    </row>
    <row r="878" spans="2:39" x14ac:dyDescent="0.25">
      <c r="B878" s="1082"/>
      <c r="C878" s="1075"/>
      <c r="D878" s="1075"/>
      <c r="E878" s="1075"/>
      <c r="F878" s="1075"/>
      <c r="G878" s="1075"/>
      <c r="H878" s="1075"/>
      <c r="I878" s="1075"/>
      <c r="J878" s="1075"/>
      <c r="K878" s="1075"/>
      <c r="L878" s="1075"/>
      <c r="M878" s="1075"/>
      <c r="N878" s="1075"/>
      <c r="O878" s="1075"/>
      <c r="P878" s="1075"/>
      <c r="Q878" s="1075"/>
      <c r="R878" s="1075"/>
      <c r="S878" s="1081"/>
      <c r="T878" s="1075"/>
      <c r="U878" s="1075"/>
      <c r="V878" s="1075"/>
      <c r="W878" s="1075"/>
      <c r="X878" s="1075"/>
      <c r="Y878" s="1075"/>
      <c r="Z878" s="1075"/>
      <c r="AA878" s="1075"/>
      <c r="AB878" s="1075"/>
      <c r="AC878" s="1075"/>
      <c r="AD878" s="1075"/>
      <c r="AE878" s="1075"/>
      <c r="AF878" s="1075"/>
      <c r="AG878" s="1075"/>
      <c r="AH878" s="1075"/>
      <c r="AI878" s="1075"/>
      <c r="AJ878" s="1075"/>
      <c r="AK878" s="1075"/>
      <c r="AL878" s="1075"/>
      <c r="AM878" s="1075"/>
    </row>
    <row r="879" spans="2:39" x14ac:dyDescent="0.25">
      <c r="B879" s="1082"/>
      <c r="C879" s="1075"/>
      <c r="D879" s="1075"/>
      <c r="E879" s="1075"/>
      <c r="F879" s="1075"/>
      <c r="G879" s="1075"/>
      <c r="H879" s="1075"/>
      <c r="I879" s="1075"/>
      <c r="J879" s="1075"/>
      <c r="K879" s="1075"/>
      <c r="L879" s="1075"/>
      <c r="M879" s="1075"/>
      <c r="N879" s="1075"/>
      <c r="O879" s="1075"/>
      <c r="P879" s="1075"/>
      <c r="Q879" s="1075"/>
      <c r="R879" s="1075"/>
      <c r="S879" s="1081"/>
      <c r="T879" s="1075"/>
      <c r="U879" s="1075"/>
      <c r="V879" s="1075"/>
      <c r="W879" s="1075"/>
      <c r="X879" s="1075"/>
      <c r="Y879" s="1075"/>
      <c r="Z879" s="1075"/>
      <c r="AA879" s="1075"/>
      <c r="AB879" s="1075"/>
      <c r="AC879" s="1075"/>
      <c r="AD879" s="1075"/>
      <c r="AE879" s="1075"/>
      <c r="AF879" s="1075"/>
      <c r="AG879" s="1075"/>
      <c r="AH879" s="1075"/>
      <c r="AI879" s="1075"/>
      <c r="AJ879" s="1075"/>
      <c r="AK879" s="1075"/>
      <c r="AL879" s="1075"/>
      <c r="AM879" s="1075"/>
    </row>
    <row r="880" spans="2:39" x14ac:dyDescent="0.25">
      <c r="B880" s="1082"/>
      <c r="C880" s="1075"/>
      <c r="D880" s="1075"/>
      <c r="E880" s="1075"/>
      <c r="F880" s="1075"/>
      <c r="G880" s="1075"/>
      <c r="H880" s="1075"/>
      <c r="I880" s="1075"/>
      <c r="J880" s="1075"/>
      <c r="K880" s="1075"/>
      <c r="L880" s="1075"/>
      <c r="M880" s="1075"/>
      <c r="N880" s="1075"/>
      <c r="O880" s="1075"/>
      <c r="P880" s="1075"/>
      <c r="Q880" s="1075"/>
      <c r="R880" s="1075"/>
      <c r="S880" s="1081"/>
      <c r="T880" s="1075"/>
      <c r="U880" s="1075"/>
      <c r="V880" s="1075"/>
      <c r="W880" s="1075"/>
      <c r="X880" s="1075"/>
      <c r="Y880" s="1075"/>
      <c r="Z880" s="1075"/>
      <c r="AA880" s="1075"/>
      <c r="AB880" s="1075"/>
      <c r="AC880" s="1075"/>
      <c r="AD880" s="1075"/>
      <c r="AE880" s="1075"/>
      <c r="AF880" s="1075"/>
      <c r="AG880" s="1075"/>
      <c r="AH880" s="1075"/>
      <c r="AI880" s="1075"/>
      <c r="AJ880" s="1075"/>
      <c r="AK880" s="1075"/>
      <c r="AL880" s="1075"/>
      <c r="AM880" s="1075"/>
    </row>
    <row r="881" spans="2:39" x14ac:dyDescent="0.25">
      <c r="B881" s="1082"/>
      <c r="C881" s="1075"/>
      <c r="D881" s="1075"/>
      <c r="E881" s="1075"/>
      <c r="F881" s="1075"/>
      <c r="G881" s="1075"/>
      <c r="H881" s="1075"/>
      <c r="I881" s="1075"/>
      <c r="J881" s="1075"/>
      <c r="K881" s="1075"/>
      <c r="L881" s="1075"/>
      <c r="M881" s="1075"/>
      <c r="N881" s="1075"/>
      <c r="O881" s="1075"/>
      <c r="P881" s="1075"/>
      <c r="Q881" s="1075"/>
      <c r="R881" s="1075"/>
      <c r="S881" s="1081"/>
      <c r="T881" s="1075"/>
      <c r="U881" s="1075"/>
      <c r="V881" s="1075"/>
      <c r="W881" s="1075"/>
      <c r="X881" s="1075"/>
      <c r="Y881" s="1075"/>
      <c r="Z881" s="1075"/>
      <c r="AA881" s="1075"/>
      <c r="AB881" s="1075"/>
      <c r="AC881" s="1075"/>
      <c r="AD881" s="1075"/>
      <c r="AE881" s="1075"/>
      <c r="AF881" s="1075"/>
      <c r="AG881" s="1075"/>
      <c r="AH881" s="1075"/>
      <c r="AI881" s="1075"/>
      <c r="AJ881" s="1075"/>
      <c r="AK881" s="1075"/>
      <c r="AL881" s="1075"/>
      <c r="AM881" s="1075"/>
    </row>
    <row r="882" spans="2:39" x14ac:dyDescent="0.25">
      <c r="B882" s="1082"/>
      <c r="C882" s="1075"/>
      <c r="D882" s="1075"/>
      <c r="E882" s="1075"/>
      <c r="F882" s="1075"/>
      <c r="G882" s="1075"/>
      <c r="H882" s="1075"/>
      <c r="I882" s="1075"/>
      <c r="J882" s="1075"/>
      <c r="K882" s="1075"/>
      <c r="L882" s="1075"/>
      <c r="M882" s="1075"/>
      <c r="N882" s="1075"/>
      <c r="O882" s="1075"/>
      <c r="P882" s="1075"/>
      <c r="Q882" s="1075"/>
      <c r="R882" s="1075"/>
      <c r="S882" s="1081"/>
      <c r="T882" s="1075"/>
      <c r="U882" s="1075"/>
      <c r="V882" s="1075"/>
      <c r="W882" s="1075"/>
      <c r="X882" s="1075"/>
      <c r="Y882" s="1075"/>
      <c r="Z882" s="1075"/>
      <c r="AA882" s="1075"/>
      <c r="AB882" s="1075"/>
      <c r="AC882" s="1075"/>
      <c r="AD882" s="1075"/>
      <c r="AE882" s="1075"/>
      <c r="AF882" s="1075"/>
      <c r="AG882" s="1075"/>
      <c r="AH882" s="1075"/>
      <c r="AI882" s="1075"/>
      <c r="AJ882" s="1075"/>
      <c r="AK882" s="1075"/>
      <c r="AL882" s="1075"/>
      <c r="AM882" s="1075"/>
    </row>
    <row r="883" spans="2:39" x14ac:dyDescent="0.25">
      <c r="B883" s="1082"/>
      <c r="C883" s="1075"/>
      <c r="D883" s="1075"/>
      <c r="E883" s="1075"/>
      <c r="F883" s="1075"/>
      <c r="G883" s="1075"/>
      <c r="H883" s="1075"/>
      <c r="I883" s="1075"/>
      <c r="J883" s="1075"/>
      <c r="K883" s="1075"/>
      <c r="L883" s="1075"/>
      <c r="M883" s="1075"/>
      <c r="N883" s="1075"/>
      <c r="O883" s="1075"/>
      <c r="P883" s="1075"/>
      <c r="Q883" s="1075"/>
      <c r="R883" s="1075"/>
      <c r="S883" s="1081"/>
      <c r="T883" s="1075"/>
      <c r="U883" s="1075"/>
      <c r="V883" s="1075"/>
      <c r="W883" s="1075"/>
      <c r="X883" s="1075"/>
      <c r="Y883" s="1075"/>
      <c r="Z883" s="1075"/>
      <c r="AA883" s="1075"/>
      <c r="AB883" s="1075"/>
      <c r="AC883" s="1075"/>
      <c r="AD883" s="1075"/>
      <c r="AE883" s="1075"/>
      <c r="AF883" s="1075"/>
      <c r="AG883" s="1075"/>
      <c r="AH883" s="1075"/>
      <c r="AI883" s="1075"/>
      <c r="AJ883" s="1075"/>
      <c r="AK883" s="1075"/>
      <c r="AL883" s="1075"/>
      <c r="AM883" s="1075"/>
    </row>
    <row r="884" spans="2:39" x14ac:dyDescent="0.25">
      <c r="B884" s="1082"/>
      <c r="C884" s="1075"/>
      <c r="D884" s="1075"/>
      <c r="E884" s="1075"/>
      <c r="F884" s="1075"/>
      <c r="G884" s="1075"/>
      <c r="H884" s="1075"/>
      <c r="I884" s="1075"/>
      <c r="J884" s="1075"/>
      <c r="K884" s="1075"/>
      <c r="L884" s="1075"/>
      <c r="M884" s="1075"/>
      <c r="N884" s="1075"/>
      <c r="O884" s="1075"/>
      <c r="P884" s="1075"/>
      <c r="Q884" s="1075"/>
      <c r="R884" s="1075"/>
      <c r="S884" s="1081"/>
      <c r="T884" s="1075"/>
      <c r="U884" s="1075"/>
      <c r="V884" s="1075"/>
      <c r="W884" s="1075"/>
      <c r="X884" s="1075"/>
      <c r="Y884" s="1075"/>
      <c r="Z884" s="1075"/>
      <c r="AA884" s="1075"/>
      <c r="AB884" s="1075"/>
      <c r="AC884" s="1075"/>
      <c r="AD884" s="1075"/>
      <c r="AE884" s="1075"/>
      <c r="AF884" s="1075"/>
      <c r="AG884" s="1075"/>
      <c r="AH884" s="1075"/>
      <c r="AI884" s="1075"/>
      <c r="AJ884" s="1075"/>
      <c r="AK884" s="1075"/>
      <c r="AL884" s="1075"/>
      <c r="AM884" s="1075"/>
    </row>
    <row r="885" spans="2:39" x14ac:dyDescent="0.25">
      <c r="B885" s="1082"/>
      <c r="C885" s="1075"/>
      <c r="D885" s="1075"/>
      <c r="E885" s="1075"/>
      <c r="F885" s="1075"/>
      <c r="G885" s="1075"/>
      <c r="H885" s="1075"/>
      <c r="I885" s="1075"/>
      <c r="J885" s="1075"/>
      <c r="K885" s="1075"/>
      <c r="L885" s="1075"/>
      <c r="M885" s="1075"/>
      <c r="N885" s="1075"/>
      <c r="O885" s="1075"/>
      <c r="P885" s="1075"/>
      <c r="Q885" s="1075"/>
      <c r="R885" s="1075"/>
      <c r="S885" s="1081"/>
      <c r="T885" s="1075"/>
      <c r="U885" s="1075"/>
      <c r="V885" s="1075"/>
      <c r="W885" s="1075"/>
      <c r="X885" s="1075"/>
      <c r="Y885" s="1075"/>
      <c r="Z885" s="1075"/>
      <c r="AA885" s="1075"/>
      <c r="AB885" s="1075"/>
      <c r="AC885" s="1075"/>
      <c r="AD885" s="1075"/>
      <c r="AE885" s="1075"/>
      <c r="AF885" s="1075"/>
      <c r="AG885" s="1075"/>
      <c r="AH885" s="1075"/>
      <c r="AI885" s="1075"/>
      <c r="AJ885" s="1075"/>
      <c r="AK885" s="1075"/>
      <c r="AL885" s="1075"/>
      <c r="AM885" s="1075"/>
    </row>
    <row r="886" spans="2:39" x14ac:dyDescent="0.25">
      <c r="B886" s="1082"/>
      <c r="C886" s="1075"/>
      <c r="D886" s="1075"/>
      <c r="E886" s="1075"/>
      <c r="F886" s="1075"/>
      <c r="G886" s="1075"/>
      <c r="H886" s="1075"/>
      <c r="I886" s="1075"/>
      <c r="J886" s="1075"/>
      <c r="K886" s="1075"/>
      <c r="L886" s="1075"/>
      <c r="M886" s="1075"/>
      <c r="N886" s="1075"/>
      <c r="O886" s="1075"/>
      <c r="P886" s="1075"/>
      <c r="Q886" s="1075"/>
      <c r="R886" s="1075"/>
      <c r="S886" s="1081"/>
      <c r="T886" s="1075"/>
      <c r="U886" s="1075"/>
      <c r="V886" s="1075"/>
      <c r="W886" s="1075"/>
      <c r="X886" s="1075"/>
      <c r="Y886" s="1075"/>
      <c r="Z886" s="1075"/>
      <c r="AA886" s="1075"/>
      <c r="AB886" s="1075"/>
      <c r="AC886" s="1075"/>
      <c r="AD886" s="1075"/>
      <c r="AE886" s="1075"/>
      <c r="AF886" s="1075"/>
      <c r="AG886" s="1075"/>
      <c r="AH886" s="1075"/>
      <c r="AI886" s="1075"/>
      <c r="AJ886" s="1075"/>
      <c r="AK886" s="1075"/>
      <c r="AL886" s="1075"/>
      <c r="AM886" s="1075"/>
    </row>
    <row r="887" spans="2:39" x14ac:dyDescent="0.25">
      <c r="B887" s="1082"/>
      <c r="C887" s="1075"/>
      <c r="D887" s="1075"/>
      <c r="E887" s="1075"/>
      <c r="F887" s="1075"/>
      <c r="G887" s="1075"/>
      <c r="H887" s="1075"/>
      <c r="I887" s="1075"/>
      <c r="J887" s="1075"/>
      <c r="K887" s="1075"/>
      <c r="L887" s="1075"/>
      <c r="M887" s="1075"/>
      <c r="N887" s="1075"/>
      <c r="O887" s="1075"/>
      <c r="P887" s="1075"/>
      <c r="Q887" s="1075"/>
      <c r="R887" s="1075"/>
      <c r="S887" s="1081"/>
      <c r="T887" s="1075"/>
      <c r="U887" s="1075"/>
      <c r="V887" s="1075"/>
      <c r="W887" s="1075"/>
      <c r="X887" s="1075"/>
      <c r="Y887" s="1075"/>
      <c r="Z887" s="1075"/>
      <c r="AA887" s="1075"/>
      <c r="AB887" s="1075"/>
      <c r="AC887" s="1075"/>
      <c r="AD887" s="1075"/>
      <c r="AE887" s="1075"/>
      <c r="AF887" s="1075"/>
      <c r="AG887" s="1075"/>
      <c r="AH887" s="1075"/>
      <c r="AI887" s="1075"/>
      <c r="AJ887" s="1075"/>
      <c r="AK887" s="1075"/>
      <c r="AL887" s="1075"/>
      <c r="AM887" s="1075"/>
    </row>
    <row r="888" spans="2:39" x14ac:dyDescent="0.25">
      <c r="B888" s="1082"/>
      <c r="C888" s="1075"/>
      <c r="D888" s="1075"/>
      <c r="E888" s="1075"/>
      <c r="F888" s="1075"/>
      <c r="G888" s="1075"/>
      <c r="H888" s="1075"/>
      <c r="I888" s="1075"/>
      <c r="J888" s="1075"/>
      <c r="K888" s="1075"/>
      <c r="L888" s="1075"/>
      <c r="M888" s="1075"/>
      <c r="N888" s="1075"/>
      <c r="O888" s="1075"/>
      <c r="P888" s="1075"/>
      <c r="Q888" s="1075"/>
      <c r="R888" s="1075"/>
      <c r="S888" s="1081"/>
      <c r="T888" s="1075"/>
      <c r="U888" s="1075"/>
      <c r="V888" s="1075"/>
      <c r="W888" s="1075"/>
      <c r="X888" s="1075"/>
      <c r="Y888" s="1075"/>
      <c r="Z888" s="1075"/>
      <c r="AA888" s="1075"/>
      <c r="AB888" s="1075"/>
      <c r="AC888" s="1075"/>
      <c r="AD888" s="1075"/>
      <c r="AE888" s="1075"/>
      <c r="AF888" s="1075"/>
      <c r="AG888" s="1075"/>
      <c r="AH888" s="1075"/>
      <c r="AI888" s="1075"/>
      <c r="AJ888" s="1075"/>
      <c r="AK888" s="1075"/>
      <c r="AL888" s="1075"/>
      <c r="AM888" s="1075"/>
    </row>
    <row r="889" spans="2:39" x14ac:dyDescent="0.25">
      <c r="B889" s="1082"/>
      <c r="C889" s="1075"/>
      <c r="D889" s="1075"/>
      <c r="E889" s="1075"/>
      <c r="F889" s="1075"/>
      <c r="G889" s="1075"/>
      <c r="H889" s="1075"/>
      <c r="I889" s="1075"/>
      <c r="J889" s="1075"/>
      <c r="K889" s="1075"/>
      <c r="L889" s="1075"/>
      <c r="M889" s="1075"/>
      <c r="N889" s="1075"/>
      <c r="O889" s="1075"/>
      <c r="P889" s="1075"/>
      <c r="Q889" s="1075"/>
      <c r="R889" s="1075"/>
      <c r="S889" s="1081"/>
      <c r="T889" s="1075"/>
      <c r="U889" s="1075"/>
      <c r="V889" s="1075"/>
      <c r="W889" s="1075"/>
      <c r="X889" s="1075"/>
      <c r="Y889" s="1075"/>
      <c r="Z889" s="1075"/>
      <c r="AA889" s="1075"/>
      <c r="AB889" s="1075"/>
      <c r="AC889" s="1075"/>
      <c r="AD889" s="1075"/>
      <c r="AE889" s="1075"/>
      <c r="AF889" s="1075"/>
      <c r="AG889" s="1075"/>
      <c r="AH889" s="1075"/>
      <c r="AI889" s="1075"/>
      <c r="AJ889" s="1075"/>
      <c r="AK889" s="1075"/>
      <c r="AL889" s="1075"/>
      <c r="AM889" s="1075"/>
    </row>
    <row r="890" spans="2:39" x14ac:dyDescent="0.25">
      <c r="B890" s="1082"/>
      <c r="C890" s="1075"/>
      <c r="D890" s="1075"/>
      <c r="E890" s="1075"/>
      <c r="F890" s="1075"/>
      <c r="G890" s="1075"/>
      <c r="H890" s="1075"/>
      <c r="I890" s="1075"/>
      <c r="J890" s="1075"/>
      <c r="K890" s="1075"/>
      <c r="L890" s="1075"/>
      <c r="M890" s="1075"/>
      <c r="N890" s="1075"/>
      <c r="O890" s="1075"/>
      <c r="P890" s="1075"/>
      <c r="Q890" s="1075"/>
      <c r="R890" s="1075"/>
      <c r="S890" s="1081"/>
      <c r="T890" s="1075"/>
      <c r="U890" s="1075"/>
      <c r="V890" s="1075"/>
      <c r="W890" s="1075"/>
      <c r="X890" s="1075"/>
      <c r="Y890" s="1075"/>
      <c r="Z890" s="1075"/>
      <c r="AA890" s="1075"/>
      <c r="AB890" s="1075"/>
      <c r="AC890" s="1075"/>
      <c r="AD890" s="1075"/>
      <c r="AE890" s="1075"/>
      <c r="AF890" s="1075"/>
      <c r="AG890" s="1075"/>
      <c r="AH890" s="1075"/>
      <c r="AI890" s="1075"/>
      <c r="AJ890" s="1075"/>
      <c r="AK890" s="1075"/>
      <c r="AL890" s="1075"/>
      <c r="AM890" s="1075"/>
    </row>
    <row r="891" spans="2:39" x14ac:dyDescent="0.25">
      <c r="B891" s="1082"/>
      <c r="C891" s="1075"/>
      <c r="D891" s="1075"/>
      <c r="E891" s="1075"/>
      <c r="F891" s="1075"/>
      <c r="G891" s="1075"/>
      <c r="H891" s="1075"/>
      <c r="I891" s="1075"/>
      <c r="J891" s="1075"/>
      <c r="K891" s="1075"/>
      <c r="L891" s="1075"/>
      <c r="M891" s="1075"/>
      <c r="N891" s="1075"/>
      <c r="O891" s="1075"/>
      <c r="P891" s="1075"/>
      <c r="Q891" s="1075"/>
      <c r="R891" s="1075"/>
      <c r="S891" s="1081"/>
      <c r="T891" s="1075"/>
      <c r="U891" s="1075"/>
      <c r="V891" s="1075"/>
      <c r="W891" s="1075"/>
      <c r="X891" s="1075"/>
      <c r="Y891" s="1075"/>
      <c r="Z891" s="1075"/>
      <c r="AA891" s="1075"/>
      <c r="AB891" s="1075"/>
      <c r="AC891" s="1075"/>
      <c r="AD891" s="1075"/>
      <c r="AE891" s="1075"/>
      <c r="AF891" s="1075"/>
      <c r="AG891" s="1075"/>
      <c r="AH891" s="1075"/>
      <c r="AI891" s="1075"/>
      <c r="AJ891" s="1075"/>
      <c r="AK891" s="1075"/>
      <c r="AL891" s="1075"/>
      <c r="AM891" s="1075"/>
    </row>
    <row r="892" spans="2:39" x14ac:dyDescent="0.25">
      <c r="B892" s="1082"/>
      <c r="C892" s="1075"/>
      <c r="D892" s="1075"/>
      <c r="E892" s="1075"/>
      <c r="F892" s="1075"/>
      <c r="G892" s="1075"/>
      <c r="H892" s="1075"/>
      <c r="I892" s="1075"/>
      <c r="J892" s="1075"/>
      <c r="K892" s="1075"/>
      <c r="L892" s="1075"/>
      <c r="M892" s="1075"/>
      <c r="N892" s="1075"/>
      <c r="O892" s="1075"/>
      <c r="P892" s="1075"/>
      <c r="Q892" s="1075"/>
      <c r="R892" s="1075"/>
      <c r="S892" s="1081"/>
      <c r="T892" s="1075"/>
      <c r="U892" s="1075"/>
      <c r="V892" s="1075"/>
      <c r="W892" s="1075"/>
      <c r="X892" s="1075"/>
      <c r="Y892" s="1075"/>
      <c r="Z892" s="1075"/>
      <c r="AA892" s="1075"/>
      <c r="AB892" s="1075"/>
      <c r="AC892" s="1075"/>
      <c r="AD892" s="1075"/>
      <c r="AE892" s="1075"/>
      <c r="AF892" s="1075"/>
      <c r="AG892" s="1075"/>
      <c r="AH892" s="1075"/>
      <c r="AI892" s="1075"/>
      <c r="AJ892" s="1075"/>
      <c r="AK892" s="1075"/>
      <c r="AL892" s="1075"/>
      <c r="AM892" s="1075"/>
    </row>
    <row r="893" spans="2:39" x14ac:dyDescent="0.25">
      <c r="B893" s="1082"/>
      <c r="C893" s="1075"/>
      <c r="D893" s="1075"/>
      <c r="E893" s="1075"/>
      <c r="F893" s="1075"/>
      <c r="G893" s="1075"/>
      <c r="H893" s="1075"/>
      <c r="I893" s="1075"/>
      <c r="J893" s="1075"/>
      <c r="K893" s="1075"/>
      <c r="L893" s="1075"/>
      <c r="M893" s="1075"/>
      <c r="N893" s="1075"/>
      <c r="O893" s="1075"/>
      <c r="P893" s="1075"/>
      <c r="Q893" s="1075"/>
      <c r="R893" s="1075"/>
      <c r="S893" s="1081"/>
      <c r="T893" s="1075"/>
      <c r="U893" s="1075"/>
      <c r="V893" s="1075"/>
      <c r="W893" s="1075"/>
      <c r="X893" s="1075"/>
      <c r="Y893" s="1075"/>
      <c r="Z893" s="1075"/>
      <c r="AA893" s="1075"/>
      <c r="AB893" s="1075"/>
      <c r="AC893" s="1075"/>
      <c r="AD893" s="1075"/>
      <c r="AE893" s="1075"/>
      <c r="AF893" s="1075"/>
      <c r="AG893" s="1075"/>
      <c r="AH893" s="1075"/>
      <c r="AI893" s="1075"/>
      <c r="AJ893" s="1075"/>
      <c r="AK893" s="1075"/>
      <c r="AL893" s="1075"/>
      <c r="AM893" s="1075"/>
    </row>
    <row r="894" spans="2:39" x14ac:dyDescent="0.25">
      <c r="B894" s="1082"/>
      <c r="C894" s="1075"/>
      <c r="D894" s="1075"/>
      <c r="E894" s="1075"/>
      <c r="F894" s="1075"/>
      <c r="G894" s="1075"/>
      <c r="H894" s="1075"/>
      <c r="I894" s="1075"/>
      <c r="J894" s="1075"/>
      <c r="K894" s="1075"/>
      <c r="L894" s="1075"/>
      <c r="M894" s="1075"/>
      <c r="N894" s="1075"/>
      <c r="O894" s="1075"/>
      <c r="P894" s="1075"/>
      <c r="Q894" s="1075"/>
      <c r="R894" s="1075"/>
      <c r="S894" s="1081"/>
      <c r="T894" s="1075"/>
      <c r="U894" s="1075"/>
      <c r="V894" s="1075"/>
      <c r="W894" s="1075"/>
      <c r="X894" s="1075"/>
      <c r="Y894" s="1075"/>
      <c r="Z894" s="1075"/>
      <c r="AA894" s="1075"/>
      <c r="AB894" s="1075"/>
      <c r="AC894" s="1075"/>
      <c r="AD894" s="1075"/>
      <c r="AE894" s="1075"/>
      <c r="AF894" s="1075"/>
      <c r="AG894" s="1075"/>
      <c r="AH894" s="1075"/>
      <c r="AI894" s="1075"/>
      <c r="AJ894" s="1075"/>
      <c r="AK894" s="1075"/>
      <c r="AL894" s="1075"/>
      <c r="AM894" s="1075"/>
    </row>
    <row r="895" spans="2:39" x14ac:dyDescent="0.25">
      <c r="B895" s="1082"/>
      <c r="C895" s="1075"/>
      <c r="D895" s="1075"/>
      <c r="E895" s="1075"/>
      <c r="F895" s="1075"/>
      <c r="G895" s="1075"/>
      <c r="H895" s="1075"/>
      <c r="I895" s="1075"/>
      <c r="J895" s="1075"/>
      <c r="K895" s="1075"/>
      <c r="L895" s="1075"/>
      <c r="M895" s="1075"/>
      <c r="N895" s="1075"/>
      <c r="O895" s="1075"/>
      <c r="P895" s="1075"/>
      <c r="Q895" s="1075"/>
      <c r="R895" s="1075"/>
      <c r="S895" s="1081"/>
      <c r="T895" s="1075"/>
      <c r="U895" s="1075"/>
      <c r="V895" s="1075"/>
      <c r="W895" s="1075"/>
      <c r="X895" s="1075"/>
      <c r="Y895" s="1075"/>
      <c r="Z895" s="1075"/>
      <c r="AA895" s="1075"/>
      <c r="AB895" s="1075"/>
      <c r="AC895" s="1075"/>
      <c r="AD895" s="1075"/>
      <c r="AE895" s="1075"/>
      <c r="AF895" s="1075"/>
      <c r="AG895" s="1075"/>
      <c r="AH895" s="1075"/>
      <c r="AI895" s="1075"/>
      <c r="AJ895" s="1075"/>
      <c r="AK895" s="1075"/>
      <c r="AL895" s="1075"/>
      <c r="AM895" s="1075"/>
    </row>
    <row r="896" spans="2:39" x14ac:dyDescent="0.25">
      <c r="B896" s="1082"/>
      <c r="C896" s="1075"/>
      <c r="D896" s="1075"/>
      <c r="E896" s="1075"/>
      <c r="F896" s="1075"/>
      <c r="G896" s="1075"/>
      <c r="H896" s="1075"/>
      <c r="I896" s="1075"/>
      <c r="J896" s="1075"/>
      <c r="K896" s="1075"/>
      <c r="L896" s="1075"/>
      <c r="M896" s="1075"/>
      <c r="N896" s="1075"/>
      <c r="O896" s="1075"/>
      <c r="P896" s="1075"/>
      <c r="Q896" s="1075"/>
      <c r="R896" s="1075"/>
      <c r="S896" s="1081"/>
      <c r="T896" s="1075"/>
      <c r="U896" s="1075"/>
      <c r="V896" s="1075"/>
      <c r="W896" s="1075"/>
      <c r="X896" s="1075"/>
      <c r="Y896" s="1075"/>
      <c r="Z896" s="1075"/>
      <c r="AA896" s="1075"/>
      <c r="AB896" s="1075"/>
      <c r="AC896" s="1075"/>
      <c r="AD896" s="1075"/>
      <c r="AE896" s="1075"/>
      <c r="AF896" s="1075"/>
      <c r="AG896" s="1075"/>
      <c r="AH896" s="1075"/>
      <c r="AI896" s="1075"/>
      <c r="AJ896" s="1075"/>
      <c r="AK896" s="1075"/>
      <c r="AL896" s="1075"/>
      <c r="AM896" s="1075"/>
    </row>
    <row r="897" spans="2:39" x14ac:dyDescent="0.25">
      <c r="B897" s="1082"/>
      <c r="C897" s="1075"/>
      <c r="D897" s="1075"/>
      <c r="E897" s="1075"/>
      <c r="F897" s="1075"/>
      <c r="G897" s="1075"/>
      <c r="H897" s="1075"/>
      <c r="I897" s="1075"/>
      <c r="J897" s="1075"/>
      <c r="K897" s="1075"/>
      <c r="L897" s="1075"/>
      <c r="M897" s="1075"/>
      <c r="N897" s="1075"/>
      <c r="O897" s="1075"/>
      <c r="P897" s="1075"/>
      <c r="Q897" s="1075"/>
      <c r="R897" s="1075"/>
      <c r="S897" s="1081"/>
      <c r="T897" s="1075"/>
      <c r="U897" s="1075"/>
      <c r="V897" s="1075"/>
      <c r="W897" s="1075"/>
      <c r="X897" s="1075"/>
      <c r="Y897" s="1075"/>
      <c r="Z897" s="1075"/>
      <c r="AA897" s="1075"/>
      <c r="AB897" s="1075"/>
      <c r="AC897" s="1075"/>
      <c r="AD897" s="1075"/>
      <c r="AE897" s="1075"/>
      <c r="AF897" s="1075"/>
      <c r="AG897" s="1075"/>
      <c r="AH897" s="1075"/>
      <c r="AI897" s="1075"/>
      <c r="AJ897" s="1075"/>
      <c r="AK897" s="1075"/>
      <c r="AL897" s="1075"/>
      <c r="AM897" s="1075"/>
    </row>
    <row r="898" spans="2:39" x14ac:dyDescent="0.25">
      <c r="B898" s="1082"/>
      <c r="C898" s="1075"/>
      <c r="D898" s="1075"/>
      <c r="E898" s="1075"/>
      <c r="F898" s="1075"/>
      <c r="G898" s="1075"/>
      <c r="H898" s="1075"/>
      <c r="I898" s="1075"/>
      <c r="J898" s="1075"/>
      <c r="K898" s="1075"/>
      <c r="L898" s="1075"/>
      <c r="M898" s="1075"/>
      <c r="N898" s="1075"/>
      <c r="O898" s="1075"/>
      <c r="P898" s="1075"/>
      <c r="Q898" s="1075"/>
      <c r="R898" s="1075"/>
      <c r="S898" s="1081"/>
      <c r="T898" s="1075"/>
      <c r="U898" s="1075"/>
      <c r="V898" s="1075"/>
      <c r="W898" s="1075"/>
      <c r="X898" s="1075"/>
      <c r="Y898" s="1075"/>
      <c r="Z898" s="1075"/>
      <c r="AA898" s="1075"/>
      <c r="AB898" s="1075"/>
      <c r="AC898" s="1075"/>
      <c r="AD898" s="1075"/>
      <c r="AE898" s="1075"/>
      <c r="AF898" s="1075"/>
      <c r="AG898" s="1075"/>
      <c r="AH898" s="1075"/>
      <c r="AI898" s="1075"/>
      <c r="AJ898" s="1075"/>
      <c r="AK898" s="1075"/>
      <c r="AL898" s="1075"/>
      <c r="AM898" s="1075"/>
    </row>
    <row r="899" spans="2:39" x14ac:dyDescent="0.25">
      <c r="B899" s="1082"/>
      <c r="C899" s="1075"/>
      <c r="D899" s="1075"/>
      <c r="E899" s="1075"/>
      <c r="F899" s="1075"/>
      <c r="G899" s="1075"/>
      <c r="H899" s="1075"/>
      <c r="I899" s="1075"/>
      <c r="J899" s="1075"/>
      <c r="K899" s="1075"/>
      <c r="L899" s="1075"/>
      <c r="M899" s="1075"/>
      <c r="N899" s="1075"/>
      <c r="O899" s="1075"/>
      <c r="P899" s="1075"/>
      <c r="Q899" s="1075"/>
      <c r="R899" s="1075"/>
      <c r="S899" s="1081"/>
      <c r="T899" s="1075"/>
      <c r="U899" s="1075"/>
      <c r="V899" s="1075"/>
      <c r="W899" s="1075"/>
      <c r="X899" s="1075"/>
      <c r="Y899" s="1075"/>
      <c r="Z899" s="1075"/>
      <c r="AA899" s="1075"/>
      <c r="AB899" s="1075"/>
      <c r="AC899" s="1075"/>
      <c r="AD899" s="1075"/>
      <c r="AE899" s="1075"/>
      <c r="AF899" s="1075"/>
      <c r="AG899" s="1075"/>
      <c r="AH899" s="1075"/>
      <c r="AI899" s="1075"/>
      <c r="AJ899" s="1075"/>
      <c r="AK899" s="1075"/>
      <c r="AL899" s="1075"/>
      <c r="AM899" s="1075"/>
    </row>
    <row r="900" spans="2:39" x14ac:dyDescent="0.25">
      <c r="B900" s="1082"/>
      <c r="C900" s="1075"/>
      <c r="D900" s="1075"/>
      <c r="E900" s="1075"/>
      <c r="F900" s="1075"/>
      <c r="G900" s="1075"/>
      <c r="H900" s="1075"/>
      <c r="I900" s="1075"/>
      <c r="J900" s="1075"/>
      <c r="K900" s="1075"/>
      <c r="L900" s="1075"/>
      <c r="M900" s="1075"/>
      <c r="N900" s="1075"/>
      <c r="O900" s="1075"/>
      <c r="P900" s="1075"/>
      <c r="Q900" s="1075"/>
      <c r="R900" s="1075"/>
      <c r="S900" s="1081"/>
      <c r="T900" s="1075"/>
      <c r="U900" s="1075"/>
      <c r="V900" s="1075"/>
      <c r="W900" s="1075"/>
      <c r="X900" s="1075"/>
      <c r="Y900" s="1075"/>
      <c r="Z900" s="1075"/>
      <c r="AA900" s="1075"/>
      <c r="AB900" s="1075"/>
      <c r="AC900" s="1075"/>
      <c r="AD900" s="1075"/>
      <c r="AE900" s="1075"/>
      <c r="AF900" s="1075"/>
      <c r="AG900" s="1075"/>
      <c r="AH900" s="1075"/>
      <c r="AI900" s="1075"/>
      <c r="AJ900" s="1075"/>
      <c r="AK900" s="1075"/>
      <c r="AL900" s="1075"/>
      <c r="AM900" s="1075"/>
    </row>
    <row r="901" spans="2:39" x14ac:dyDescent="0.25">
      <c r="B901" s="1082"/>
      <c r="C901" s="1075"/>
      <c r="D901" s="1075"/>
      <c r="E901" s="1075"/>
      <c r="F901" s="1075"/>
      <c r="G901" s="1075"/>
      <c r="H901" s="1075"/>
      <c r="I901" s="1075"/>
      <c r="J901" s="1075"/>
      <c r="K901" s="1075"/>
      <c r="L901" s="1075"/>
      <c r="M901" s="1075"/>
      <c r="N901" s="1075"/>
      <c r="O901" s="1075"/>
      <c r="P901" s="1075"/>
      <c r="Q901" s="1075"/>
      <c r="R901" s="1075"/>
      <c r="S901" s="1081"/>
      <c r="T901" s="1075"/>
      <c r="U901" s="1075"/>
      <c r="V901" s="1075"/>
      <c r="W901" s="1075"/>
      <c r="X901" s="1075"/>
      <c r="Y901" s="1075"/>
      <c r="Z901" s="1075"/>
      <c r="AA901" s="1075"/>
      <c r="AB901" s="1075"/>
      <c r="AC901" s="1075"/>
      <c r="AD901" s="1075"/>
      <c r="AE901" s="1075"/>
      <c r="AF901" s="1075"/>
      <c r="AG901" s="1075"/>
      <c r="AH901" s="1075"/>
      <c r="AI901" s="1075"/>
      <c r="AJ901" s="1075"/>
      <c r="AK901" s="1075"/>
      <c r="AL901" s="1075"/>
      <c r="AM901" s="1075"/>
    </row>
    <row r="902" spans="2:39" x14ac:dyDescent="0.25">
      <c r="B902" s="1082"/>
      <c r="C902" s="1075"/>
      <c r="D902" s="1075"/>
      <c r="E902" s="1075"/>
      <c r="F902" s="1075"/>
      <c r="G902" s="1075"/>
      <c r="H902" s="1075"/>
      <c r="I902" s="1075"/>
      <c r="J902" s="1075"/>
      <c r="K902" s="1075"/>
      <c r="L902" s="1075"/>
      <c r="M902" s="1075"/>
      <c r="N902" s="1075"/>
      <c r="O902" s="1075"/>
      <c r="P902" s="1075"/>
      <c r="Q902" s="1075"/>
      <c r="R902" s="1075"/>
      <c r="S902" s="1081"/>
      <c r="T902" s="1075"/>
      <c r="U902" s="1075"/>
      <c r="V902" s="1075"/>
      <c r="W902" s="1075"/>
      <c r="X902" s="1075"/>
      <c r="Y902" s="1075"/>
      <c r="Z902" s="1075"/>
      <c r="AA902" s="1075"/>
      <c r="AB902" s="1075"/>
      <c r="AC902" s="1075"/>
      <c r="AD902" s="1075"/>
      <c r="AE902" s="1075"/>
      <c r="AF902" s="1075"/>
      <c r="AG902" s="1075"/>
      <c r="AH902" s="1075"/>
      <c r="AI902" s="1075"/>
      <c r="AJ902" s="1075"/>
      <c r="AK902" s="1075"/>
      <c r="AL902" s="1075"/>
      <c r="AM902" s="1075"/>
    </row>
    <row r="903" spans="2:39" x14ac:dyDescent="0.25">
      <c r="B903" s="1082"/>
      <c r="C903" s="1075"/>
      <c r="D903" s="1075"/>
      <c r="E903" s="1075"/>
      <c r="F903" s="1075"/>
      <c r="G903" s="1075"/>
      <c r="H903" s="1075"/>
      <c r="I903" s="1075"/>
      <c r="J903" s="1075"/>
      <c r="K903" s="1075"/>
      <c r="L903" s="1075"/>
      <c r="M903" s="1075"/>
      <c r="N903" s="1075"/>
      <c r="O903" s="1075"/>
      <c r="P903" s="1075"/>
      <c r="Q903" s="1075"/>
      <c r="R903" s="1075"/>
      <c r="S903" s="1081"/>
      <c r="T903" s="1075"/>
      <c r="U903" s="1075"/>
      <c r="V903" s="1075"/>
      <c r="W903" s="1075"/>
      <c r="X903" s="1075"/>
      <c r="Y903" s="1075"/>
      <c r="Z903" s="1075"/>
      <c r="AA903" s="1075"/>
      <c r="AB903" s="1075"/>
      <c r="AC903" s="1075"/>
      <c r="AD903" s="1075"/>
      <c r="AE903" s="1075"/>
      <c r="AF903" s="1075"/>
      <c r="AG903" s="1075"/>
      <c r="AH903" s="1075"/>
      <c r="AI903" s="1075"/>
      <c r="AJ903" s="1075"/>
      <c r="AK903" s="1075"/>
      <c r="AL903" s="1075"/>
      <c r="AM903" s="1075"/>
    </row>
    <row r="904" spans="2:39" x14ac:dyDescent="0.25">
      <c r="B904" s="1082"/>
      <c r="C904" s="1075"/>
      <c r="D904" s="1075"/>
      <c r="E904" s="1075"/>
      <c r="F904" s="1075"/>
      <c r="G904" s="1075"/>
      <c r="H904" s="1075"/>
      <c r="I904" s="1075"/>
      <c r="J904" s="1075"/>
      <c r="K904" s="1075"/>
      <c r="L904" s="1075"/>
      <c r="M904" s="1075"/>
      <c r="N904" s="1075"/>
      <c r="O904" s="1075"/>
      <c r="P904" s="1075"/>
      <c r="Q904" s="1075"/>
      <c r="R904" s="1075"/>
      <c r="S904" s="1081"/>
      <c r="T904" s="1075"/>
      <c r="U904" s="1075"/>
      <c r="V904" s="1075"/>
      <c r="W904" s="1075"/>
      <c r="X904" s="1075"/>
      <c r="Y904" s="1075"/>
      <c r="Z904" s="1075"/>
      <c r="AA904" s="1075"/>
      <c r="AB904" s="1075"/>
      <c r="AC904" s="1075"/>
      <c r="AD904" s="1075"/>
      <c r="AE904" s="1075"/>
      <c r="AF904" s="1075"/>
      <c r="AG904" s="1075"/>
      <c r="AH904" s="1075"/>
      <c r="AI904" s="1075"/>
      <c r="AJ904" s="1075"/>
      <c r="AK904" s="1075"/>
      <c r="AL904" s="1075"/>
      <c r="AM904" s="1075"/>
    </row>
    <row r="905" spans="2:39" x14ac:dyDescent="0.25">
      <c r="B905" s="1082"/>
      <c r="C905" s="1075"/>
      <c r="D905" s="1075"/>
      <c r="E905" s="1075"/>
      <c r="F905" s="1075"/>
      <c r="G905" s="1075"/>
      <c r="H905" s="1075"/>
      <c r="I905" s="1075"/>
      <c r="J905" s="1075"/>
      <c r="K905" s="1075"/>
      <c r="L905" s="1075"/>
      <c r="M905" s="1075"/>
      <c r="N905" s="1075"/>
      <c r="O905" s="1075"/>
      <c r="P905" s="1075"/>
      <c r="Q905" s="1075"/>
      <c r="R905" s="1075"/>
      <c r="S905" s="1081"/>
      <c r="T905" s="1075"/>
      <c r="U905" s="1075"/>
      <c r="V905" s="1075"/>
      <c r="W905" s="1075"/>
      <c r="X905" s="1075"/>
      <c r="Y905" s="1075"/>
      <c r="Z905" s="1075"/>
      <c r="AA905" s="1075"/>
      <c r="AB905" s="1075"/>
      <c r="AC905" s="1075"/>
      <c r="AD905" s="1075"/>
      <c r="AE905" s="1075"/>
      <c r="AF905" s="1075"/>
      <c r="AG905" s="1075"/>
      <c r="AH905" s="1075"/>
      <c r="AI905" s="1075"/>
      <c r="AJ905" s="1075"/>
      <c r="AK905" s="1075"/>
      <c r="AL905" s="1075"/>
      <c r="AM905" s="1075"/>
    </row>
    <row r="906" spans="2:39" x14ac:dyDescent="0.25">
      <c r="B906" s="1082"/>
      <c r="C906" s="1075"/>
      <c r="D906" s="1075"/>
      <c r="E906" s="1075"/>
      <c r="F906" s="1075"/>
      <c r="G906" s="1075"/>
      <c r="H906" s="1075"/>
      <c r="I906" s="1075"/>
      <c r="J906" s="1075"/>
      <c r="K906" s="1075"/>
      <c r="L906" s="1075"/>
      <c r="M906" s="1075"/>
      <c r="N906" s="1075"/>
      <c r="O906" s="1075"/>
      <c r="P906" s="1075"/>
      <c r="Q906" s="1075"/>
      <c r="R906" s="1075"/>
      <c r="S906" s="1081"/>
      <c r="T906" s="1075"/>
      <c r="U906" s="1075"/>
      <c r="V906" s="1075"/>
      <c r="W906" s="1075"/>
      <c r="X906" s="1075"/>
      <c r="Y906" s="1075"/>
      <c r="Z906" s="1075"/>
      <c r="AA906" s="1075"/>
      <c r="AB906" s="1075"/>
      <c r="AC906" s="1075"/>
      <c r="AD906" s="1075"/>
      <c r="AE906" s="1075"/>
      <c r="AF906" s="1075"/>
      <c r="AG906" s="1075"/>
      <c r="AH906" s="1075"/>
      <c r="AI906" s="1075"/>
      <c r="AJ906" s="1075"/>
      <c r="AK906" s="1075"/>
      <c r="AL906" s="1075"/>
      <c r="AM906" s="1075"/>
    </row>
    <row r="907" spans="2:39" x14ac:dyDescent="0.25">
      <c r="B907" s="1082"/>
      <c r="C907" s="1075"/>
      <c r="D907" s="1075"/>
      <c r="E907" s="1075"/>
      <c r="F907" s="1075"/>
      <c r="G907" s="1075"/>
      <c r="H907" s="1075"/>
      <c r="I907" s="1075"/>
      <c r="J907" s="1075"/>
      <c r="K907" s="1075"/>
      <c r="L907" s="1075"/>
      <c r="M907" s="1075"/>
      <c r="N907" s="1075"/>
      <c r="O907" s="1075"/>
      <c r="P907" s="1075"/>
      <c r="Q907" s="1075"/>
      <c r="R907" s="1075"/>
      <c r="S907" s="1081"/>
      <c r="T907" s="1075"/>
      <c r="U907" s="1075"/>
      <c r="V907" s="1075"/>
      <c r="W907" s="1075"/>
      <c r="X907" s="1075"/>
      <c r="Y907" s="1075"/>
      <c r="Z907" s="1075"/>
      <c r="AA907" s="1075"/>
      <c r="AB907" s="1075"/>
      <c r="AC907" s="1075"/>
      <c r="AD907" s="1075"/>
      <c r="AE907" s="1075"/>
      <c r="AF907" s="1075"/>
      <c r="AG907" s="1075"/>
      <c r="AH907" s="1075"/>
      <c r="AI907" s="1075"/>
      <c r="AJ907" s="1075"/>
      <c r="AK907" s="1075"/>
      <c r="AL907" s="1075"/>
      <c r="AM907" s="1075"/>
    </row>
    <row r="908" spans="2:39" x14ac:dyDescent="0.25">
      <c r="B908" s="1082"/>
      <c r="C908" s="1075"/>
      <c r="D908" s="1075"/>
      <c r="E908" s="1075"/>
      <c r="F908" s="1075"/>
      <c r="G908" s="1075"/>
      <c r="H908" s="1075"/>
      <c r="I908" s="1075"/>
      <c r="J908" s="1075"/>
      <c r="K908" s="1075"/>
      <c r="L908" s="1075"/>
      <c r="M908" s="1075"/>
      <c r="N908" s="1075"/>
      <c r="O908" s="1075"/>
      <c r="P908" s="1075"/>
      <c r="Q908" s="1075"/>
      <c r="R908" s="1075"/>
      <c r="S908" s="1081"/>
      <c r="T908" s="1075"/>
      <c r="U908" s="1075"/>
      <c r="V908" s="1075"/>
      <c r="W908" s="1075"/>
      <c r="X908" s="1075"/>
      <c r="Y908" s="1075"/>
      <c r="Z908" s="1075"/>
      <c r="AA908" s="1075"/>
      <c r="AB908" s="1075"/>
      <c r="AC908" s="1075"/>
      <c r="AD908" s="1075"/>
      <c r="AE908" s="1075"/>
      <c r="AF908" s="1075"/>
      <c r="AG908" s="1075"/>
      <c r="AH908" s="1075"/>
      <c r="AI908" s="1075"/>
      <c r="AJ908" s="1075"/>
      <c r="AK908" s="1075"/>
      <c r="AL908" s="1075"/>
      <c r="AM908" s="1075"/>
    </row>
    <row r="909" spans="2:39" x14ac:dyDescent="0.25">
      <c r="B909" s="1082"/>
      <c r="C909" s="1075"/>
      <c r="D909" s="1075"/>
      <c r="E909" s="1075"/>
      <c r="F909" s="1075"/>
      <c r="G909" s="1075"/>
      <c r="H909" s="1075"/>
      <c r="I909" s="1075"/>
      <c r="J909" s="1075"/>
      <c r="K909" s="1075"/>
      <c r="L909" s="1075"/>
      <c r="M909" s="1075"/>
      <c r="N909" s="1075"/>
      <c r="O909" s="1075"/>
      <c r="P909" s="1075"/>
      <c r="Q909" s="1075"/>
      <c r="R909" s="1075"/>
      <c r="S909" s="1081"/>
      <c r="T909" s="1075"/>
      <c r="U909" s="1075"/>
      <c r="V909" s="1075"/>
      <c r="W909" s="1075"/>
      <c r="X909" s="1075"/>
      <c r="Y909" s="1075"/>
      <c r="Z909" s="1075"/>
      <c r="AA909" s="1075"/>
      <c r="AB909" s="1075"/>
      <c r="AC909" s="1075"/>
      <c r="AD909" s="1075"/>
      <c r="AE909" s="1075"/>
      <c r="AF909" s="1075"/>
      <c r="AG909" s="1075"/>
      <c r="AH909" s="1075"/>
      <c r="AI909" s="1075"/>
      <c r="AJ909" s="1075"/>
      <c r="AK909" s="1075"/>
      <c r="AL909" s="1075"/>
      <c r="AM909" s="1075"/>
    </row>
    <row r="910" spans="2:39" x14ac:dyDescent="0.25">
      <c r="B910" s="1082"/>
      <c r="C910" s="1075"/>
      <c r="D910" s="1075"/>
      <c r="E910" s="1075"/>
      <c r="F910" s="1075"/>
      <c r="G910" s="1075"/>
      <c r="H910" s="1075"/>
      <c r="I910" s="1075"/>
      <c r="J910" s="1075"/>
      <c r="K910" s="1075"/>
      <c r="L910" s="1075"/>
      <c r="M910" s="1075"/>
      <c r="N910" s="1075"/>
      <c r="O910" s="1075"/>
      <c r="P910" s="1075"/>
      <c r="Q910" s="1075"/>
      <c r="R910" s="1075"/>
      <c r="S910" s="1081"/>
      <c r="T910" s="1075"/>
      <c r="U910" s="1075"/>
      <c r="V910" s="1075"/>
      <c r="W910" s="1075"/>
      <c r="X910" s="1075"/>
      <c r="Y910" s="1075"/>
      <c r="Z910" s="1075"/>
      <c r="AA910" s="1075"/>
      <c r="AB910" s="1075"/>
      <c r="AC910" s="1075"/>
      <c r="AD910" s="1075"/>
      <c r="AE910" s="1075"/>
      <c r="AF910" s="1075"/>
      <c r="AG910" s="1075"/>
      <c r="AH910" s="1075"/>
      <c r="AI910" s="1075"/>
      <c r="AJ910" s="1075"/>
      <c r="AK910" s="1075"/>
      <c r="AL910" s="1075"/>
      <c r="AM910" s="1075"/>
    </row>
    <row r="911" spans="2:39" x14ac:dyDescent="0.25">
      <c r="B911" s="1082"/>
      <c r="C911" s="1075"/>
      <c r="D911" s="1075"/>
      <c r="E911" s="1075"/>
      <c r="F911" s="1075"/>
      <c r="G911" s="1075"/>
      <c r="H911" s="1075"/>
      <c r="I911" s="1075"/>
      <c r="J911" s="1075"/>
      <c r="K911" s="1075"/>
      <c r="L911" s="1075"/>
      <c r="M911" s="1075"/>
      <c r="N911" s="1075"/>
      <c r="O911" s="1075"/>
      <c r="P911" s="1075"/>
      <c r="Q911" s="1075"/>
      <c r="R911" s="1075"/>
      <c r="S911" s="1081"/>
      <c r="T911" s="1075"/>
      <c r="U911" s="1075"/>
      <c r="V911" s="1075"/>
      <c r="W911" s="1075"/>
      <c r="X911" s="1075"/>
      <c r="Y911" s="1075"/>
      <c r="Z911" s="1075"/>
      <c r="AA911" s="1075"/>
      <c r="AB911" s="1075"/>
      <c r="AC911" s="1075"/>
      <c r="AD911" s="1075"/>
      <c r="AE911" s="1075"/>
      <c r="AF911" s="1075"/>
      <c r="AG911" s="1075"/>
      <c r="AH911" s="1075"/>
      <c r="AI911" s="1075"/>
      <c r="AJ911" s="1075"/>
      <c r="AK911" s="1075"/>
      <c r="AL911" s="1075"/>
      <c r="AM911" s="1075"/>
    </row>
    <row r="912" spans="2:39" x14ac:dyDescent="0.25">
      <c r="B912" s="1082"/>
      <c r="C912" s="1075"/>
      <c r="D912" s="1075"/>
      <c r="E912" s="1075"/>
      <c r="F912" s="1075"/>
      <c r="G912" s="1075"/>
      <c r="H912" s="1075"/>
      <c r="I912" s="1075"/>
      <c r="J912" s="1075"/>
      <c r="K912" s="1075"/>
      <c r="L912" s="1075"/>
      <c r="M912" s="1075"/>
      <c r="N912" s="1075"/>
      <c r="O912" s="1075"/>
      <c r="P912" s="1075"/>
      <c r="Q912" s="1075"/>
      <c r="R912" s="1075"/>
      <c r="S912" s="1081"/>
      <c r="T912" s="1075"/>
      <c r="U912" s="1075"/>
      <c r="V912" s="1075"/>
      <c r="W912" s="1075"/>
      <c r="X912" s="1075"/>
      <c r="Y912" s="1075"/>
      <c r="Z912" s="1075"/>
      <c r="AA912" s="1075"/>
      <c r="AB912" s="1075"/>
      <c r="AC912" s="1075"/>
      <c r="AD912" s="1075"/>
      <c r="AE912" s="1075"/>
      <c r="AF912" s="1075"/>
      <c r="AG912" s="1075"/>
      <c r="AH912" s="1075"/>
      <c r="AI912" s="1075"/>
      <c r="AJ912" s="1075"/>
      <c r="AK912" s="1075"/>
      <c r="AL912" s="1075"/>
      <c r="AM912" s="1075"/>
    </row>
    <row r="913" spans="2:39" x14ac:dyDescent="0.25">
      <c r="B913" s="1082"/>
      <c r="C913" s="1075"/>
      <c r="D913" s="1075"/>
      <c r="E913" s="1075"/>
      <c r="F913" s="1075"/>
      <c r="G913" s="1075"/>
      <c r="H913" s="1075"/>
      <c r="I913" s="1075"/>
      <c r="J913" s="1075"/>
      <c r="K913" s="1075"/>
      <c r="L913" s="1075"/>
      <c r="M913" s="1075"/>
      <c r="N913" s="1075"/>
      <c r="O913" s="1075"/>
      <c r="P913" s="1075"/>
      <c r="Q913" s="1075"/>
      <c r="R913" s="1075"/>
      <c r="S913" s="1081"/>
      <c r="T913" s="1075"/>
      <c r="U913" s="1075"/>
      <c r="V913" s="1075"/>
      <c r="W913" s="1075"/>
      <c r="X913" s="1075"/>
      <c r="Y913" s="1075"/>
      <c r="Z913" s="1075"/>
      <c r="AA913" s="1075"/>
      <c r="AB913" s="1075"/>
      <c r="AC913" s="1075"/>
      <c r="AD913" s="1075"/>
      <c r="AE913" s="1075"/>
      <c r="AF913" s="1075"/>
      <c r="AG913" s="1075"/>
      <c r="AH913" s="1075"/>
      <c r="AI913" s="1075"/>
      <c r="AJ913" s="1075"/>
      <c r="AK913" s="1075"/>
      <c r="AL913" s="1075"/>
      <c r="AM913" s="1075"/>
    </row>
    <row r="914" spans="2:39" x14ac:dyDescent="0.25">
      <c r="B914" s="1082"/>
      <c r="C914" s="1075"/>
      <c r="D914" s="1075"/>
      <c r="E914" s="1075"/>
      <c r="F914" s="1075"/>
      <c r="G914" s="1075"/>
      <c r="H914" s="1075"/>
      <c r="I914" s="1075"/>
      <c r="J914" s="1075"/>
      <c r="K914" s="1075"/>
      <c r="L914" s="1075"/>
      <c r="M914" s="1075"/>
      <c r="N914" s="1075"/>
      <c r="O914" s="1075"/>
      <c r="P914" s="1075"/>
      <c r="Q914" s="1075"/>
      <c r="R914" s="1075"/>
      <c r="S914" s="1081"/>
      <c r="T914" s="1075"/>
      <c r="U914" s="1075"/>
      <c r="V914" s="1075"/>
      <c r="W914" s="1075"/>
      <c r="X914" s="1075"/>
      <c r="Y914" s="1075"/>
      <c r="Z914" s="1075"/>
      <c r="AA914" s="1075"/>
      <c r="AB914" s="1075"/>
      <c r="AC914" s="1075"/>
      <c r="AD914" s="1075"/>
      <c r="AE914" s="1075"/>
      <c r="AF914" s="1075"/>
      <c r="AG914" s="1075"/>
      <c r="AH914" s="1075"/>
      <c r="AI914" s="1075"/>
      <c r="AJ914" s="1075"/>
      <c r="AK914" s="1075"/>
      <c r="AL914" s="1075"/>
      <c r="AM914" s="1075"/>
    </row>
    <row r="915" spans="2:39" x14ac:dyDescent="0.25">
      <c r="B915" s="1082"/>
      <c r="C915" s="1075"/>
      <c r="D915" s="1075"/>
      <c r="E915" s="1075"/>
      <c r="F915" s="1075"/>
      <c r="G915" s="1075"/>
      <c r="H915" s="1075"/>
      <c r="I915" s="1075"/>
      <c r="J915" s="1075"/>
      <c r="K915" s="1075"/>
      <c r="L915" s="1075"/>
      <c r="M915" s="1075"/>
      <c r="N915" s="1075"/>
      <c r="O915" s="1075"/>
      <c r="P915" s="1075"/>
      <c r="Q915" s="1075"/>
      <c r="R915" s="1075"/>
      <c r="S915" s="1081"/>
      <c r="T915" s="1075"/>
      <c r="U915" s="1075"/>
      <c r="V915" s="1075"/>
      <c r="W915" s="1075"/>
      <c r="X915" s="1075"/>
      <c r="Y915" s="1075"/>
      <c r="Z915" s="1075"/>
      <c r="AA915" s="1075"/>
      <c r="AB915" s="1075"/>
      <c r="AC915" s="1075"/>
      <c r="AD915" s="1075"/>
      <c r="AE915" s="1075"/>
      <c r="AF915" s="1075"/>
      <c r="AG915" s="1075"/>
      <c r="AH915" s="1075"/>
      <c r="AI915" s="1075"/>
      <c r="AJ915" s="1075"/>
      <c r="AK915" s="1075"/>
      <c r="AL915" s="1075"/>
      <c r="AM915" s="1075"/>
    </row>
    <row r="916" spans="2:39" x14ac:dyDescent="0.25">
      <c r="B916" s="1082"/>
      <c r="C916" s="1075"/>
      <c r="D916" s="1075"/>
      <c r="E916" s="1075"/>
      <c r="F916" s="1075"/>
      <c r="G916" s="1075"/>
      <c r="H916" s="1075"/>
      <c r="I916" s="1075"/>
      <c r="J916" s="1075"/>
      <c r="K916" s="1075"/>
      <c r="L916" s="1075"/>
      <c r="M916" s="1075"/>
      <c r="N916" s="1075"/>
      <c r="O916" s="1075"/>
      <c r="P916" s="1075"/>
      <c r="Q916" s="1075"/>
      <c r="R916" s="1075"/>
      <c r="S916" s="1081"/>
      <c r="T916" s="1075"/>
      <c r="U916" s="1075"/>
      <c r="V916" s="1075"/>
      <c r="W916" s="1075"/>
      <c r="X916" s="1075"/>
      <c r="Y916" s="1075"/>
      <c r="Z916" s="1075"/>
      <c r="AA916" s="1075"/>
      <c r="AB916" s="1075"/>
      <c r="AC916" s="1075"/>
      <c r="AD916" s="1075"/>
      <c r="AE916" s="1075"/>
      <c r="AF916" s="1075"/>
      <c r="AG916" s="1075"/>
      <c r="AH916" s="1075"/>
      <c r="AI916" s="1075"/>
      <c r="AJ916" s="1075"/>
      <c r="AK916" s="1075"/>
      <c r="AL916" s="1075"/>
      <c r="AM916" s="1075"/>
    </row>
    <row r="917" spans="2:39" x14ac:dyDescent="0.25">
      <c r="B917" s="1082"/>
      <c r="C917" s="1075"/>
      <c r="D917" s="1075"/>
      <c r="E917" s="1075"/>
      <c r="F917" s="1075"/>
      <c r="G917" s="1075"/>
      <c r="H917" s="1075"/>
      <c r="I917" s="1075"/>
      <c r="J917" s="1075"/>
      <c r="K917" s="1075"/>
      <c r="L917" s="1075"/>
      <c r="M917" s="1075"/>
      <c r="N917" s="1075"/>
      <c r="O917" s="1075"/>
      <c r="P917" s="1075"/>
      <c r="Q917" s="1075"/>
      <c r="R917" s="1075"/>
      <c r="S917" s="1081"/>
      <c r="T917" s="1075"/>
      <c r="U917" s="1075"/>
      <c r="V917" s="1075"/>
      <c r="W917" s="1075"/>
      <c r="X917" s="1075"/>
      <c r="Y917" s="1075"/>
      <c r="Z917" s="1075"/>
      <c r="AA917" s="1075"/>
      <c r="AB917" s="1075"/>
      <c r="AC917" s="1075"/>
      <c r="AD917" s="1075"/>
      <c r="AE917" s="1075"/>
      <c r="AF917" s="1075"/>
      <c r="AG917" s="1075"/>
      <c r="AH917" s="1075"/>
      <c r="AI917" s="1075"/>
      <c r="AJ917" s="1075"/>
      <c r="AK917" s="1075"/>
      <c r="AL917" s="1075"/>
      <c r="AM917" s="1075"/>
    </row>
    <row r="918" spans="2:39" x14ac:dyDescent="0.25">
      <c r="B918" s="1082"/>
      <c r="C918" s="1075"/>
      <c r="D918" s="1075"/>
      <c r="E918" s="1075"/>
      <c r="F918" s="1075"/>
      <c r="G918" s="1075"/>
      <c r="H918" s="1075"/>
      <c r="I918" s="1075"/>
      <c r="J918" s="1075"/>
      <c r="K918" s="1075"/>
      <c r="L918" s="1075"/>
      <c r="M918" s="1075"/>
      <c r="N918" s="1075"/>
      <c r="O918" s="1075"/>
      <c r="P918" s="1075"/>
      <c r="Q918" s="1075"/>
      <c r="R918" s="1075"/>
      <c r="S918" s="1081"/>
      <c r="T918" s="1075"/>
      <c r="U918" s="1075"/>
      <c r="V918" s="1075"/>
      <c r="W918" s="1075"/>
      <c r="X918" s="1075"/>
      <c r="Y918" s="1075"/>
      <c r="Z918" s="1075"/>
      <c r="AA918" s="1075"/>
      <c r="AB918" s="1075"/>
      <c r="AC918" s="1075"/>
      <c r="AD918" s="1075"/>
      <c r="AE918" s="1075"/>
      <c r="AF918" s="1075"/>
      <c r="AG918" s="1075"/>
      <c r="AH918" s="1075"/>
      <c r="AI918" s="1075"/>
      <c r="AJ918" s="1075"/>
      <c r="AK918" s="1075"/>
      <c r="AL918" s="1075"/>
      <c r="AM918" s="1075"/>
    </row>
    <row r="919" spans="2:39" x14ac:dyDescent="0.25">
      <c r="B919" s="1082"/>
      <c r="C919" s="1075"/>
      <c r="D919" s="1075"/>
      <c r="E919" s="1075"/>
      <c r="F919" s="1075"/>
      <c r="G919" s="1075"/>
      <c r="H919" s="1075"/>
      <c r="I919" s="1075"/>
      <c r="J919" s="1075"/>
      <c r="K919" s="1075"/>
      <c r="L919" s="1075"/>
      <c r="M919" s="1075"/>
      <c r="N919" s="1075"/>
      <c r="O919" s="1075"/>
      <c r="P919" s="1075"/>
      <c r="Q919" s="1075"/>
      <c r="R919" s="1075"/>
      <c r="S919" s="1081"/>
      <c r="T919" s="1075"/>
      <c r="U919" s="1075"/>
      <c r="V919" s="1075"/>
      <c r="W919" s="1075"/>
      <c r="X919" s="1075"/>
      <c r="Y919" s="1075"/>
      <c r="Z919" s="1075"/>
      <c r="AA919" s="1075"/>
      <c r="AB919" s="1075"/>
      <c r="AC919" s="1075"/>
      <c r="AD919" s="1075"/>
      <c r="AE919" s="1075"/>
      <c r="AF919" s="1075"/>
      <c r="AG919" s="1075"/>
      <c r="AH919" s="1075"/>
      <c r="AI919" s="1075"/>
      <c r="AJ919" s="1075"/>
      <c r="AK919" s="1075"/>
      <c r="AL919" s="1075"/>
      <c r="AM919" s="1075"/>
    </row>
    <row r="920" spans="2:39" x14ac:dyDescent="0.25">
      <c r="B920" s="1082"/>
      <c r="C920" s="1075"/>
      <c r="D920" s="1075"/>
      <c r="E920" s="1075"/>
      <c r="F920" s="1075"/>
      <c r="G920" s="1075"/>
      <c r="H920" s="1075"/>
      <c r="I920" s="1075"/>
      <c r="J920" s="1075"/>
      <c r="K920" s="1075"/>
      <c r="L920" s="1075"/>
      <c r="M920" s="1075"/>
      <c r="N920" s="1075"/>
      <c r="O920" s="1075"/>
      <c r="P920" s="1075"/>
      <c r="Q920" s="1075"/>
      <c r="R920" s="1075"/>
      <c r="S920" s="1081"/>
      <c r="T920" s="1075"/>
      <c r="U920" s="1075"/>
      <c r="V920" s="1075"/>
      <c r="W920" s="1075"/>
      <c r="X920" s="1075"/>
      <c r="Y920" s="1075"/>
      <c r="Z920" s="1075"/>
      <c r="AA920" s="1075"/>
      <c r="AB920" s="1075"/>
      <c r="AC920" s="1075"/>
      <c r="AD920" s="1075"/>
      <c r="AE920" s="1075"/>
      <c r="AF920" s="1075"/>
      <c r="AG920" s="1075"/>
      <c r="AH920" s="1075"/>
      <c r="AI920" s="1075"/>
      <c r="AJ920" s="1075"/>
      <c r="AK920" s="1075"/>
      <c r="AL920" s="1075"/>
      <c r="AM920" s="1075"/>
    </row>
    <row r="921" spans="2:39" x14ac:dyDescent="0.25">
      <c r="B921" s="1082"/>
      <c r="C921" s="1075"/>
      <c r="D921" s="1075"/>
      <c r="E921" s="1075"/>
      <c r="F921" s="1075"/>
      <c r="G921" s="1075"/>
      <c r="H921" s="1075"/>
      <c r="I921" s="1075"/>
      <c r="J921" s="1075"/>
      <c r="K921" s="1075"/>
      <c r="L921" s="1075"/>
      <c r="M921" s="1075"/>
      <c r="N921" s="1075"/>
      <c r="O921" s="1075"/>
      <c r="P921" s="1075"/>
      <c r="Q921" s="1075"/>
      <c r="R921" s="1075"/>
      <c r="S921" s="1081"/>
      <c r="T921" s="1075"/>
      <c r="U921" s="1075"/>
      <c r="V921" s="1075"/>
      <c r="W921" s="1075"/>
      <c r="X921" s="1075"/>
      <c r="Y921" s="1075"/>
      <c r="Z921" s="1075"/>
      <c r="AA921" s="1075"/>
      <c r="AB921" s="1075"/>
      <c r="AC921" s="1075"/>
      <c r="AD921" s="1075"/>
      <c r="AE921" s="1075"/>
      <c r="AF921" s="1075"/>
      <c r="AG921" s="1075"/>
      <c r="AH921" s="1075"/>
      <c r="AI921" s="1075"/>
      <c r="AJ921" s="1075"/>
      <c r="AK921" s="1075"/>
      <c r="AL921" s="1075"/>
      <c r="AM921" s="1075"/>
    </row>
    <row r="922" spans="2:39" x14ac:dyDescent="0.25">
      <c r="B922" s="1082"/>
      <c r="C922" s="1075"/>
      <c r="D922" s="1075"/>
      <c r="E922" s="1075"/>
      <c r="F922" s="1075"/>
      <c r="G922" s="1075"/>
      <c r="H922" s="1075"/>
      <c r="I922" s="1075"/>
      <c r="J922" s="1075"/>
      <c r="K922" s="1075"/>
      <c r="L922" s="1075"/>
      <c r="M922" s="1075"/>
      <c r="N922" s="1075"/>
      <c r="O922" s="1075"/>
      <c r="P922" s="1075"/>
      <c r="Q922" s="1075"/>
      <c r="R922" s="1075"/>
      <c r="S922" s="1081"/>
      <c r="T922" s="1075"/>
      <c r="U922" s="1075"/>
      <c r="V922" s="1075"/>
      <c r="W922" s="1075"/>
      <c r="X922" s="1075"/>
      <c r="Y922" s="1075"/>
      <c r="Z922" s="1075"/>
      <c r="AA922" s="1075"/>
      <c r="AB922" s="1075"/>
      <c r="AC922" s="1075"/>
      <c r="AD922" s="1075"/>
      <c r="AE922" s="1075"/>
      <c r="AF922" s="1075"/>
      <c r="AG922" s="1075"/>
      <c r="AH922" s="1075"/>
      <c r="AI922" s="1075"/>
      <c r="AJ922" s="1075"/>
      <c r="AK922" s="1075"/>
      <c r="AL922" s="1075"/>
      <c r="AM922" s="1075"/>
    </row>
    <row r="923" spans="2:39" x14ac:dyDescent="0.25">
      <c r="B923" s="1082"/>
      <c r="C923" s="1075"/>
      <c r="D923" s="1075"/>
      <c r="E923" s="1075"/>
      <c r="F923" s="1075"/>
      <c r="G923" s="1075"/>
      <c r="H923" s="1075"/>
      <c r="I923" s="1075"/>
      <c r="J923" s="1075"/>
      <c r="K923" s="1075"/>
      <c r="L923" s="1075"/>
      <c r="M923" s="1075"/>
      <c r="N923" s="1075"/>
      <c r="O923" s="1075"/>
      <c r="P923" s="1075"/>
      <c r="Q923" s="1075"/>
      <c r="R923" s="1075"/>
      <c r="S923" s="1081"/>
      <c r="T923" s="1075"/>
      <c r="U923" s="1075"/>
      <c r="V923" s="1075"/>
      <c r="W923" s="1075"/>
      <c r="X923" s="1075"/>
      <c r="Y923" s="1075"/>
      <c r="Z923" s="1075"/>
      <c r="AA923" s="1075"/>
      <c r="AB923" s="1075"/>
      <c r="AC923" s="1075"/>
      <c r="AD923" s="1075"/>
      <c r="AE923" s="1075"/>
      <c r="AF923" s="1075"/>
      <c r="AG923" s="1075"/>
      <c r="AH923" s="1075"/>
      <c r="AI923" s="1075"/>
      <c r="AJ923" s="1075"/>
      <c r="AK923" s="1075"/>
      <c r="AL923" s="1075"/>
      <c r="AM923" s="1075"/>
    </row>
    <row r="924" spans="2:39" x14ac:dyDescent="0.25">
      <c r="B924" s="1082"/>
      <c r="C924" s="1075"/>
      <c r="D924" s="1075"/>
      <c r="E924" s="1075"/>
      <c r="F924" s="1075"/>
      <c r="G924" s="1075"/>
      <c r="H924" s="1075"/>
      <c r="I924" s="1075"/>
      <c r="J924" s="1075"/>
      <c r="K924" s="1075"/>
      <c r="L924" s="1075"/>
      <c r="M924" s="1075"/>
      <c r="N924" s="1075"/>
      <c r="O924" s="1075"/>
      <c r="P924" s="1075"/>
      <c r="Q924" s="1075"/>
      <c r="R924" s="1075"/>
      <c r="S924" s="1081"/>
      <c r="T924" s="1075"/>
      <c r="U924" s="1075"/>
      <c r="V924" s="1075"/>
      <c r="W924" s="1075"/>
      <c r="X924" s="1075"/>
      <c r="Y924" s="1075"/>
      <c r="Z924" s="1075"/>
      <c r="AA924" s="1075"/>
      <c r="AB924" s="1075"/>
      <c r="AC924" s="1075"/>
      <c r="AD924" s="1075"/>
      <c r="AE924" s="1075"/>
      <c r="AF924" s="1075"/>
      <c r="AG924" s="1075"/>
      <c r="AH924" s="1075"/>
      <c r="AI924" s="1075"/>
      <c r="AJ924" s="1075"/>
      <c r="AK924" s="1075"/>
      <c r="AL924" s="1075"/>
      <c r="AM924" s="1075"/>
    </row>
    <row r="925" spans="2:39" x14ac:dyDescent="0.25">
      <c r="B925" s="1082"/>
      <c r="C925" s="1075"/>
      <c r="D925" s="1075"/>
      <c r="E925" s="1075"/>
      <c r="F925" s="1075"/>
      <c r="G925" s="1075"/>
      <c r="H925" s="1075"/>
      <c r="I925" s="1075"/>
      <c r="J925" s="1075"/>
      <c r="K925" s="1075"/>
      <c r="L925" s="1075"/>
      <c r="M925" s="1075"/>
      <c r="N925" s="1075"/>
      <c r="O925" s="1075"/>
      <c r="P925" s="1075"/>
      <c r="Q925" s="1075"/>
      <c r="R925" s="1075"/>
      <c r="S925" s="1081"/>
      <c r="T925" s="1075"/>
      <c r="U925" s="1075"/>
      <c r="V925" s="1075"/>
      <c r="W925" s="1075"/>
      <c r="X925" s="1075"/>
      <c r="Y925" s="1075"/>
      <c r="Z925" s="1075"/>
      <c r="AA925" s="1075"/>
      <c r="AB925" s="1075"/>
      <c r="AC925" s="1075"/>
      <c r="AD925" s="1075"/>
      <c r="AE925" s="1075"/>
      <c r="AF925" s="1075"/>
      <c r="AG925" s="1075"/>
      <c r="AH925" s="1075"/>
      <c r="AI925" s="1075"/>
      <c r="AJ925" s="1075"/>
      <c r="AK925" s="1075"/>
      <c r="AL925" s="1075"/>
      <c r="AM925" s="1075"/>
    </row>
    <row r="926" spans="2:39" x14ac:dyDescent="0.25">
      <c r="B926" s="1082"/>
      <c r="C926" s="1075"/>
      <c r="D926" s="1075"/>
      <c r="E926" s="1075"/>
      <c r="F926" s="1075"/>
      <c r="G926" s="1075"/>
      <c r="H926" s="1075"/>
      <c r="I926" s="1075"/>
      <c r="J926" s="1075"/>
      <c r="K926" s="1075"/>
      <c r="L926" s="1075"/>
      <c r="M926" s="1075"/>
      <c r="N926" s="1075"/>
      <c r="O926" s="1075"/>
      <c r="P926" s="1075"/>
      <c r="Q926" s="1075"/>
      <c r="R926" s="1075"/>
      <c r="S926" s="1081"/>
      <c r="T926" s="1075"/>
      <c r="U926" s="1075"/>
      <c r="V926" s="1075"/>
      <c r="W926" s="1075"/>
      <c r="X926" s="1075"/>
      <c r="Y926" s="1075"/>
      <c r="Z926" s="1075"/>
      <c r="AA926" s="1075"/>
      <c r="AB926" s="1075"/>
      <c r="AC926" s="1075"/>
      <c r="AD926" s="1075"/>
      <c r="AE926" s="1075"/>
      <c r="AF926" s="1075"/>
      <c r="AG926" s="1075"/>
      <c r="AH926" s="1075"/>
      <c r="AI926" s="1075"/>
      <c r="AJ926" s="1075"/>
      <c r="AK926" s="1075"/>
      <c r="AL926" s="1075"/>
      <c r="AM926" s="1075"/>
    </row>
    <row r="927" spans="2:39" x14ac:dyDescent="0.25">
      <c r="B927" s="1082"/>
      <c r="C927" s="1075"/>
      <c r="D927" s="1075"/>
      <c r="E927" s="1075"/>
      <c r="F927" s="1075"/>
      <c r="G927" s="1075"/>
      <c r="H927" s="1075"/>
      <c r="I927" s="1075"/>
      <c r="J927" s="1075"/>
      <c r="K927" s="1075"/>
      <c r="L927" s="1075"/>
      <c r="M927" s="1075"/>
      <c r="N927" s="1075"/>
      <c r="O927" s="1075"/>
      <c r="P927" s="1075"/>
      <c r="Q927" s="1075"/>
      <c r="R927" s="1075"/>
      <c r="S927" s="1081"/>
      <c r="T927" s="1075"/>
      <c r="U927" s="1075"/>
      <c r="V927" s="1075"/>
      <c r="W927" s="1075"/>
      <c r="X927" s="1075"/>
      <c r="Y927" s="1075"/>
      <c r="Z927" s="1075"/>
      <c r="AA927" s="1075"/>
      <c r="AB927" s="1075"/>
      <c r="AC927" s="1075"/>
      <c r="AD927" s="1075"/>
      <c r="AE927" s="1075"/>
      <c r="AF927" s="1075"/>
      <c r="AG927" s="1075"/>
      <c r="AH927" s="1075"/>
      <c r="AI927" s="1075"/>
      <c r="AJ927" s="1075"/>
      <c r="AK927" s="1075"/>
      <c r="AL927" s="1075"/>
      <c r="AM927" s="1075"/>
    </row>
    <row r="928" spans="2:39" x14ac:dyDescent="0.25">
      <c r="B928" s="1082"/>
      <c r="C928" s="1075"/>
      <c r="D928" s="1075"/>
      <c r="E928" s="1075"/>
      <c r="F928" s="1075"/>
      <c r="G928" s="1075"/>
      <c r="H928" s="1075"/>
      <c r="I928" s="1075"/>
      <c r="J928" s="1075"/>
      <c r="K928" s="1075"/>
      <c r="L928" s="1075"/>
      <c r="M928" s="1075"/>
      <c r="N928" s="1075"/>
      <c r="O928" s="1075"/>
      <c r="P928" s="1075"/>
      <c r="Q928" s="1075"/>
      <c r="R928" s="1075"/>
      <c r="S928" s="1081"/>
      <c r="T928" s="1075"/>
      <c r="U928" s="1075"/>
      <c r="V928" s="1075"/>
      <c r="W928" s="1075"/>
      <c r="X928" s="1075"/>
      <c r="Y928" s="1075"/>
      <c r="Z928" s="1075"/>
      <c r="AA928" s="1075"/>
      <c r="AB928" s="1075"/>
      <c r="AC928" s="1075"/>
      <c r="AD928" s="1075"/>
      <c r="AE928" s="1075"/>
      <c r="AF928" s="1075"/>
      <c r="AG928" s="1075"/>
      <c r="AH928" s="1075"/>
      <c r="AI928" s="1075"/>
      <c r="AJ928" s="1075"/>
      <c r="AK928" s="1075"/>
      <c r="AL928" s="1075"/>
      <c r="AM928" s="1075"/>
    </row>
    <row r="929" spans="2:39" x14ac:dyDescent="0.25">
      <c r="B929" s="1082"/>
      <c r="C929" s="1075"/>
      <c r="D929" s="1075"/>
      <c r="E929" s="1075"/>
      <c r="F929" s="1075"/>
      <c r="G929" s="1075"/>
      <c r="H929" s="1075"/>
      <c r="I929" s="1075"/>
      <c r="J929" s="1075"/>
      <c r="K929" s="1075"/>
      <c r="L929" s="1075"/>
      <c r="M929" s="1075"/>
      <c r="N929" s="1075"/>
      <c r="O929" s="1075"/>
      <c r="P929" s="1075"/>
      <c r="Q929" s="1075"/>
      <c r="R929" s="1075"/>
      <c r="S929" s="1081"/>
      <c r="T929" s="1075"/>
      <c r="U929" s="1075"/>
      <c r="V929" s="1075"/>
      <c r="W929" s="1075"/>
      <c r="X929" s="1075"/>
      <c r="Y929" s="1075"/>
      <c r="Z929" s="1075"/>
      <c r="AA929" s="1075"/>
      <c r="AB929" s="1075"/>
      <c r="AC929" s="1075"/>
      <c r="AD929" s="1075"/>
      <c r="AE929" s="1075"/>
      <c r="AF929" s="1075"/>
      <c r="AG929" s="1075"/>
      <c r="AH929" s="1075"/>
      <c r="AI929" s="1075"/>
      <c r="AJ929" s="1075"/>
      <c r="AK929" s="1075"/>
      <c r="AL929" s="1075"/>
      <c r="AM929" s="1075"/>
    </row>
    <row r="930" spans="2:39" x14ac:dyDescent="0.25">
      <c r="B930" s="1082"/>
      <c r="C930" s="1075"/>
      <c r="D930" s="1075"/>
      <c r="E930" s="1075"/>
      <c r="F930" s="1075"/>
      <c r="G930" s="1075"/>
      <c r="H930" s="1075"/>
      <c r="I930" s="1075"/>
      <c r="J930" s="1075"/>
      <c r="K930" s="1075"/>
      <c r="L930" s="1075"/>
      <c r="M930" s="1075"/>
      <c r="N930" s="1075"/>
      <c r="O930" s="1075"/>
      <c r="P930" s="1075"/>
      <c r="Q930" s="1075"/>
      <c r="R930" s="1075"/>
      <c r="S930" s="1081"/>
      <c r="T930" s="1075"/>
      <c r="U930" s="1075"/>
      <c r="V930" s="1075"/>
      <c r="W930" s="1075"/>
      <c r="X930" s="1075"/>
      <c r="Y930" s="1075"/>
      <c r="Z930" s="1075"/>
      <c r="AA930" s="1075"/>
      <c r="AB930" s="1075"/>
      <c r="AC930" s="1075"/>
      <c r="AD930" s="1075"/>
      <c r="AE930" s="1075"/>
      <c r="AF930" s="1075"/>
      <c r="AG930" s="1075"/>
      <c r="AH930" s="1075"/>
      <c r="AI930" s="1075"/>
      <c r="AJ930" s="1075"/>
      <c r="AK930" s="1075"/>
      <c r="AL930" s="1075"/>
      <c r="AM930" s="1075"/>
    </row>
    <row r="931" spans="2:39" x14ac:dyDescent="0.25">
      <c r="B931" s="1082"/>
      <c r="C931" s="1075"/>
      <c r="D931" s="1075"/>
      <c r="E931" s="1075"/>
      <c r="F931" s="1075"/>
      <c r="G931" s="1075"/>
      <c r="H931" s="1075"/>
      <c r="I931" s="1075"/>
      <c r="J931" s="1075"/>
      <c r="K931" s="1075"/>
      <c r="L931" s="1075"/>
      <c r="M931" s="1075"/>
      <c r="N931" s="1075"/>
      <c r="O931" s="1075"/>
      <c r="P931" s="1075"/>
      <c r="Q931" s="1075"/>
      <c r="R931" s="1075"/>
      <c r="S931" s="1081"/>
      <c r="T931" s="1075"/>
      <c r="U931" s="1075"/>
      <c r="V931" s="1075"/>
      <c r="W931" s="1075"/>
      <c r="X931" s="1075"/>
      <c r="Y931" s="1075"/>
      <c r="Z931" s="1075"/>
      <c r="AA931" s="1075"/>
      <c r="AB931" s="1075"/>
      <c r="AC931" s="1075"/>
      <c r="AD931" s="1075"/>
      <c r="AE931" s="1075"/>
      <c r="AF931" s="1075"/>
      <c r="AG931" s="1075"/>
      <c r="AH931" s="1075"/>
      <c r="AI931" s="1075"/>
      <c r="AJ931" s="1075"/>
      <c r="AK931" s="1075"/>
      <c r="AL931" s="1075"/>
      <c r="AM931" s="1075"/>
    </row>
    <row r="932" spans="2:39" x14ac:dyDescent="0.25">
      <c r="B932" s="1082"/>
      <c r="C932" s="1075"/>
      <c r="D932" s="1075"/>
      <c r="E932" s="1075"/>
      <c r="F932" s="1075"/>
      <c r="G932" s="1075"/>
      <c r="H932" s="1075"/>
      <c r="I932" s="1075"/>
      <c r="J932" s="1075"/>
      <c r="K932" s="1075"/>
      <c r="L932" s="1075"/>
      <c r="M932" s="1075"/>
      <c r="N932" s="1075"/>
      <c r="O932" s="1075"/>
      <c r="P932" s="1075"/>
      <c r="Q932" s="1075"/>
      <c r="R932" s="1075"/>
      <c r="S932" s="1081"/>
      <c r="T932" s="1075"/>
      <c r="U932" s="1075"/>
      <c r="V932" s="1075"/>
      <c r="W932" s="1075"/>
      <c r="X932" s="1075"/>
      <c r="Y932" s="1075"/>
      <c r="Z932" s="1075"/>
      <c r="AA932" s="1075"/>
      <c r="AB932" s="1075"/>
      <c r="AC932" s="1075"/>
      <c r="AD932" s="1075"/>
      <c r="AE932" s="1075"/>
      <c r="AF932" s="1075"/>
      <c r="AG932" s="1075"/>
      <c r="AH932" s="1075"/>
      <c r="AI932" s="1075"/>
      <c r="AJ932" s="1075"/>
      <c r="AK932" s="1075"/>
      <c r="AL932" s="1075"/>
      <c r="AM932" s="1075"/>
    </row>
    <row r="933" spans="2:39" x14ac:dyDescent="0.25">
      <c r="B933" s="1082"/>
      <c r="C933" s="1075"/>
      <c r="D933" s="1075"/>
      <c r="E933" s="1075"/>
      <c r="F933" s="1075"/>
      <c r="G933" s="1075"/>
      <c r="H933" s="1075"/>
      <c r="I933" s="1075"/>
      <c r="J933" s="1075"/>
      <c r="K933" s="1075"/>
      <c r="L933" s="1075"/>
      <c r="M933" s="1075"/>
      <c r="N933" s="1075"/>
      <c r="O933" s="1075"/>
      <c r="P933" s="1075"/>
      <c r="Q933" s="1075"/>
      <c r="R933" s="1075"/>
      <c r="S933" s="1081"/>
      <c r="T933" s="1075"/>
      <c r="U933" s="1075"/>
      <c r="V933" s="1075"/>
      <c r="W933" s="1075"/>
      <c r="X933" s="1075"/>
      <c r="Y933" s="1075"/>
      <c r="Z933" s="1075"/>
      <c r="AA933" s="1075"/>
      <c r="AB933" s="1075"/>
      <c r="AC933" s="1075"/>
      <c r="AD933" s="1075"/>
      <c r="AE933" s="1075"/>
      <c r="AF933" s="1075"/>
      <c r="AG933" s="1075"/>
      <c r="AH933" s="1075"/>
      <c r="AI933" s="1075"/>
      <c r="AJ933" s="1075"/>
      <c r="AK933" s="1075"/>
      <c r="AL933" s="1075"/>
      <c r="AM933" s="1075"/>
    </row>
    <row r="934" spans="2:39" x14ac:dyDescent="0.25">
      <c r="B934" s="1082"/>
      <c r="C934" s="1075"/>
      <c r="D934" s="1075"/>
      <c r="E934" s="1075"/>
      <c r="F934" s="1075"/>
      <c r="G934" s="1075"/>
      <c r="H934" s="1075"/>
      <c r="I934" s="1075"/>
      <c r="J934" s="1075"/>
      <c r="K934" s="1075"/>
      <c r="L934" s="1075"/>
      <c r="M934" s="1075"/>
      <c r="N934" s="1075"/>
      <c r="O934" s="1075"/>
      <c r="P934" s="1075"/>
      <c r="Q934" s="1075"/>
      <c r="R934" s="1075"/>
      <c r="S934" s="1081"/>
      <c r="T934" s="1075"/>
      <c r="U934" s="1075"/>
      <c r="V934" s="1075"/>
      <c r="W934" s="1075"/>
      <c r="X934" s="1075"/>
      <c r="Y934" s="1075"/>
      <c r="Z934" s="1075"/>
      <c r="AA934" s="1075"/>
      <c r="AB934" s="1075"/>
      <c r="AC934" s="1075"/>
      <c r="AD934" s="1075"/>
      <c r="AE934" s="1075"/>
      <c r="AF934" s="1075"/>
      <c r="AG934" s="1075"/>
      <c r="AH934" s="1075"/>
      <c r="AI934" s="1075"/>
      <c r="AJ934" s="1075"/>
      <c r="AK934" s="1075"/>
      <c r="AL934" s="1075"/>
      <c r="AM934" s="1075"/>
    </row>
    <row r="935" spans="2:39" x14ac:dyDescent="0.25">
      <c r="B935" s="1082"/>
      <c r="C935" s="1075"/>
      <c r="D935" s="1075"/>
      <c r="E935" s="1075"/>
      <c r="F935" s="1075"/>
      <c r="G935" s="1075"/>
      <c r="H935" s="1075"/>
      <c r="I935" s="1075"/>
      <c r="J935" s="1075"/>
      <c r="K935" s="1075"/>
      <c r="L935" s="1075"/>
      <c r="M935" s="1075"/>
      <c r="N935" s="1075"/>
      <c r="O935" s="1075"/>
      <c r="P935" s="1075"/>
      <c r="Q935" s="1075"/>
      <c r="R935" s="1075"/>
      <c r="S935" s="1081"/>
      <c r="T935" s="1075"/>
      <c r="U935" s="1075"/>
      <c r="V935" s="1075"/>
      <c r="W935" s="1075"/>
      <c r="X935" s="1075"/>
      <c r="Y935" s="1075"/>
      <c r="Z935" s="1075"/>
      <c r="AA935" s="1075"/>
      <c r="AB935" s="1075"/>
      <c r="AC935" s="1075"/>
      <c r="AD935" s="1075"/>
      <c r="AE935" s="1075"/>
      <c r="AF935" s="1075"/>
      <c r="AG935" s="1075"/>
      <c r="AH935" s="1075"/>
      <c r="AI935" s="1075"/>
      <c r="AJ935" s="1075"/>
      <c r="AK935" s="1075"/>
      <c r="AL935" s="1075"/>
      <c r="AM935" s="1075"/>
    </row>
    <row r="936" spans="2:39" x14ac:dyDescent="0.25">
      <c r="B936" s="1082"/>
      <c r="C936" s="1075"/>
      <c r="D936" s="1075"/>
      <c r="E936" s="1075"/>
      <c r="F936" s="1075"/>
      <c r="G936" s="1075"/>
      <c r="H936" s="1075"/>
      <c r="I936" s="1075"/>
      <c r="J936" s="1075"/>
      <c r="K936" s="1075"/>
      <c r="L936" s="1075"/>
      <c r="M936" s="1075"/>
      <c r="N936" s="1075"/>
      <c r="O936" s="1075"/>
      <c r="P936" s="1075"/>
      <c r="Q936" s="1075"/>
      <c r="R936" s="1075"/>
      <c r="S936" s="1081"/>
      <c r="T936" s="1075"/>
      <c r="U936" s="1075"/>
      <c r="V936" s="1075"/>
      <c r="W936" s="1075"/>
      <c r="X936" s="1075"/>
      <c r="Y936" s="1075"/>
      <c r="Z936" s="1075"/>
      <c r="AA936" s="1075"/>
      <c r="AB936" s="1075"/>
      <c r="AC936" s="1075"/>
      <c r="AD936" s="1075"/>
      <c r="AE936" s="1075"/>
      <c r="AF936" s="1075"/>
      <c r="AG936" s="1075"/>
      <c r="AH936" s="1075"/>
      <c r="AI936" s="1075"/>
      <c r="AJ936" s="1075"/>
      <c r="AK936" s="1075"/>
      <c r="AL936" s="1075"/>
      <c r="AM936" s="1075"/>
    </row>
    <row r="937" spans="2:39" x14ac:dyDescent="0.25">
      <c r="B937" s="1082"/>
      <c r="C937" s="1075"/>
      <c r="D937" s="1075"/>
      <c r="E937" s="1075"/>
      <c r="F937" s="1075"/>
      <c r="G937" s="1075"/>
      <c r="H937" s="1075"/>
      <c r="I937" s="1075"/>
      <c r="J937" s="1075"/>
      <c r="K937" s="1075"/>
      <c r="L937" s="1075"/>
      <c r="M937" s="1075"/>
      <c r="N937" s="1075"/>
      <c r="O937" s="1075"/>
      <c r="P937" s="1075"/>
      <c r="Q937" s="1075"/>
      <c r="R937" s="1075"/>
      <c r="S937" s="1081"/>
      <c r="T937" s="1075"/>
      <c r="U937" s="1075"/>
      <c r="V937" s="1075"/>
      <c r="W937" s="1075"/>
      <c r="X937" s="1075"/>
      <c r="Y937" s="1075"/>
      <c r="Z937" s="1075"/>
      <c r="AA937" s="1075"/>
      <c r="AB937" s="1075"/>
      <c r="AC937" s="1075"/>
      <c r="AD937" s="1075"/>
      <c r="AE937" s="1075"/>
      <c r="AF937" s="1075"/>
      <c r="AG937" s="1075"/>
      <c r="AH937" s="1075"/>
      <c r="AI937" s="1075"/>
      <c r="AJ937" s="1075"/>
      <c r="AK937" s="1075"/>
      <c r="AL937" s="1075"/>
      <c r="AM937" s="1075"/>
    </row>
    <row r="938" spans="2:39" x14ac:dyDescent="0.25">
      <c r="B938" s="1082"/>
      <c r="C938" s="1075"/>
      <c r="D938" s="1075"/>
      <c r="E938" s="1075"/>
      <c r="F938" s="1075"/>
      <c r="G938" s="1075"/>
      <c r="H938" s="1075"/>
      <c r="I938" s="1075"/>
      <c r="J938" s="1075"/>
      <c r="K938" s="1075"/>
      <c r="L938" s="1075"/>
      <c r="M938" s="1075"/>
      <c r="N938" s="1075"/>
      <c r="O938" s="1075"/>
      <c r="P938" s="1075"/>
      <c r="Q938" s="1075"/>
      <c r="R938" s="1075"/>
      <c r="S938" s="1081"/>
      <c r="T938" s="1075"/>
      <c r="U938" s="1075"/>
      <c r="V938" s="1075"/>
      <c r="W938" s="1075"/>
      <c r="X938" s="1075"/>
      <c r="Y938" s="1075"/>
      <c r="Z938" s="1075"/>
      <c r="AA938" s="1075"/>
      <c r="AB938" s="1075"/>
      <c r="AC938" s="1075"/>
      <c r="AD938" s="1075"/>
      <c r="AE938" s="1075"/>
      <c r="AF938" s="1075"/>
      <c r="AG938" s="1075"/>
      <c r="AH938" s="1075"/>
      <c r="AI938" s="1075"/>
      <c r="AJ938" s="1075"/>
      <c r="AK938" s="1075"/>
      <c r="AL938" s="1075"/>
      <c r="AM938" s="1075"/>
    </row>
    <row r="939" spans="2:39" x14ac:dyDescent="0.25">
      <c r="B939" s="1082"/>
      <c r="C939" s="1075"/>
      <c r="D939" s="1075"/>
      <c r="E939" s="1075"/>
      <c r="F939" s="1075"/>
      <c r="G939" s="1075"/>
      <c r="H939" s="1075"/>
      <c r="I939" s="1075"/>
      <c r="J939" s="1075"/>
      <c r="K939" s="1075"/>
      <c r="L939" s="1075"/>
      <c r="M939" s="1075"/>
      <c r="N939" s="1075"/>
      <c r="O939" s="1075"/>
      <c r="P939" s="1075"/>
      <c r="Q939" s="1075"/>
      <c r="R939" s="1075"/>
      <c r="S939" s="1081"/>
      <c r="T939" s="1075"/>
      <c r="U939" s="1075"/>
      <c r="V939" s="1075"/>
      <c r="W939" s="1075"/>
      <c r="X939" s="1075"/>
      <c r="Y939" s="1075"/>
      <c r="Z939" s="1075"/>
      <c r="AA939" s="1075"/>
      <c r="AB939" s="1075"/>
      <c r="AC939" s="1075"/>
      <c r="AD939" s="1075"/>
      <c r="AE939" s="1075"/>
      <c r="AF939" s="1075"/>
      <c r="AG939" s="1075"/>
      <c r="AH939" s="1075"/>
      <c r="AI939" s="1075"/>
      <c r="AJ939" s="1075"/>
      <c r="AK939" s="1075"/>
      <c r="AL939" s="1075"/>
      <c r="AM939" s="1075"/>
    </row>
    <row r="940" spans="2:39" x14ac:dyDescent="0.25">
      <c r="B940" s="1082"/>
      <c r="C940" s="1075"/>
      <c r="D940" s="1075"/>
      <c r="E940" s="1075"/>
      <c r="F940" s="1075"/>
      <c r="G940" s="1075"/>
      <c r="H940" s="1075"/>
      <c r="I940" s="1075"/>
      <c r="J940" s="1075"/>
      <c r="K940" s="1075"/>
      <c r="L940" s="1075"/>
      <c r="M940" s="1075"/>
      <c r="N940" s="1075"/>
      <c r="O940" s="1075"/>
      <c r="P940" s="1075"/>
      <c r="Q940" s="1075"/>
      <c r="R940" s="1075"/>
      <c r="S940" s="1081"/>
      <c r="T940" s="1075"/>
      <c r="U940" s="1075"/>
      <c r="V940" s="1075"/>
      <c r="W940" s="1075"/>
      <c r="X940" s="1075"/>
      <c r="Y940" s="1075"/>
      <c r="Z940" s="1075"/>
      <c r="AA940" s="1075"/>
      <c r="AB940" s="1075"/>
      <c r="AC940" s="1075"/>
      <c r="AD940" s="1075"/>
      <c r="AE940" s="1075"/>
      <c r="AF940" s="1075"/>
      <c r="AG940" s="1075"/>
      <c r="AH940" s="1075"/>
      <c r="AI940" s="1075"/>
      <c r="AJ940" s="1075"/>
      <c r="AK940" s="1075"/>
      <c r="AL940" s="1075"/>
      <c r="AM940" s="1075"/>
    </row>
    <row r="941" spans="2:39" x14ac:dyDescent="0.25">
      <c r="B941" s="1082"/>
      <c r="C941" s="1075"/>
      <c r="D941" s="1075"/>
      <c r="E941" s="1075"/>
      <c r="F941" s="1075"/>
      <c r="G941" s="1075"/>
      <c r="H941" s="1075"/>
      <c r="I941" s="1075"/>
      <c r="J941" s="1075"/>
      <c r="K941" s="1075"/>
      <c r="L941" s="1075"/>
      <c r="M941" s="1075"/>
      <c r="N941" s="1075"/>
      <c r="O941" s="1075"/>
      <c r="P941" s="1075"/>
      <c r="Q941" s="1075"/>
      <c r="R941" s="1075"/>
      <c r="S941" s="1081"/>
      <c r="T941" s="1075"/>
      <c r="U941" s="1075"/>
      <c r="V941" s="1075"/>
      <c r="W941" s="1075"/>
      <c r="X941" s="1075"/>
      <c r="Y941" s="1075"/>
      <c r="Z941" s="1075"/>
      <c r="AA941" s="1075"/>
      <c r="AB941" s="1075"/>
      <c r="AC941" s="1075"/>
      <c r="AD941" s="1075"/>
      <c r="AE941" s="1075"/>
      <c r="AF941" s="1075"/>
      <c r="AG941" s="1075"/>
      <c r="AH941" s="1075"/>
      <c r="AI941" s="1075"/>
      <c r="AJ941" s="1075"/>
      <c r="AK941" s="1075"/>
      <c r="AL941" s="1075"/>
      <c r="AM941" s="1075"/>
    </row>
    <row r="942" spans="2:39" x14ac:dyDescent="0.25">
      <c r="B942" s="1082"/>
      <c r="C942" s="1075"/>
      <c r="D942" s="1075"/>
      <c r="E942" s="1075"/>
      <c r="F942" s="1075"/>
      <c r="G942" s="1075"/>
      <c r="H942" s="1075"/>
      <c r="I942" s="1075"/>
      <c r="J942" s="1075"/>
      <c r="K942" s="1075"/>
      <c r="L942" s="1075"/>
      <c r="M942" s="1075"/>
      <c r="N942" s="1075"/>
      <c r="O942" s="1075"/>
      <c r="P942" s="1075"/>
      <c r="Q942" s="1075"/>
      <c r="R942" s="1075"/>
      <c r="S942" s="1081"/>
      <c r="T942" s="1075"/>
      <c r="U942" s="1075"/>
      <c r="V942" s="1075"/>
      <c r="W942" s="1075"/>
      <c r="X942" s="1075"/>
      <c r="Y942" s="1075"/>
      <c r="Z942" s="1075"/>
      <c r="AA942" s="1075"/>
      <c r="AB942" s="1075"/>
      <c r="AC942" s="1075"/>
      <c r="AD942" s="1075"/>
      <c r="AE942" s="1075"/>
      <c r="AF942" s="1075"/>
      <c r="AG942" s="1075"/>
      <c r="AH942" s="1075"/>
      <c r="AI942" s="1075"/>
      <c r="AJ942" s="1075"/>
      <c r="AK942" s="1075"/>
      <c r="AL942" s="1075"/>
      <c r="AM942" s="1075"/>
    </row>
    <row r="943" spans="2:39" x14ac:dyDescent="0.25">
      <c r="B943" s="1082"/>
      <c r="C943" s="1075"/>
      <c r="D943" s="1075"/>
      <c r="E943" s="1075"/>
      <c r="F943" s="1075"/>
      <c r="G943" s="1075"/>
      <c r="H943" s="1075"/>
      <c r="I943" s="1075"/>
      <c r="J943" s="1075"/>
      <c r="K943" s="1075"/>
      <c r="L943" s="1075"/>
      <c r="M943" s="1075"/>
      <c r="N943" s="1075"/>
      <c r="O943" s="1075"/>
      <c r="P943" s="1075"/>
      <c r="Q943" s="1075"/>
      <c r="R943" s="1075"/>
      <c r="S943" s="1081"/>
      <c r="T943" s="1075"/>
      <c r="U943" s="1075"/>
      <c r="V943" s="1075"/>
      <c r="W943" s="1075"/>
      <c r="X943" s="1075"/>
      <c r="Y943" s="1075"/>
      <c r="Z943" s="1075"/>
      <c r="AA943" s="1075"/>
      <c r="AB943" s="1075"/>
      <c r="AC943" s="1075"/>
      <c r="AD943" s="1075"/>
      <c r="AE943" s="1075"/>
      <c r="AF943" s="1075"/>
      <c r="AG943" s="1075"/>
      <c r="AH943" s="1075"/>
      <c r="AI943" s="1075"/>
      <c r="AJ943" s="1075"/>
      <c r="AK943" s="1075"/>
      <c r="AL943" s="1075"/>
      <c r="AM943" s="1075"/>
    </row>
    <row r="944" spans="2:39" x14ac:dyDescent="0.25">
      <c r="B944" s="1082"/>
      <c r="C944" s="1075"/>
      <c r="D944" s="1075"/>
      <c r="E944" s="1075"/>
      <c r="F944" s="1075"/>
      <c r="G944" s="1075"/>
      <c r="H944" s="1075"/>
      <c r="I944" s="1075"/>
      <c r="J944" s="1075"/>
      <c r="K944" s="1075"/>
      <c r="L944" s="1075"/>
      <c r="M944" s="1075"/>
      <c r="N944" s="1075"/>
      <c r="O944" s="1075"/>
      <c r="P944" s="1075"/>
      <c r="Q944" s="1075"/>
      <c r="R944" s="1075"/>
      <c r="S944" s="1081"/>
      <c r="T944" s="1075"/>
      <c r="U944" s="1075"/>
      <c r="V944" s="1075"/>
      <c r="W944" s="1075"/>
      <c r="X944" s="1075"/>
      <c r="Y944" s="1075"/>
      <c r="Z944" s="1075"/>
      <c r="AA944" s="1075"/>
      <c r="AB944" s="1075"/>
      <c r="AC944" s="1075"/>
      <c r="AD944" s="1075"/>
      <c r="AE944" s="1075"/>
      <c r="AF944" s="1075"/>
      <c r="AG944" s="1075"/>
      <c r="AH944" s="1075"/>
      <c r="AI944" s="1075"/>
      <c r="AJ944" s="1075"/>
      <c r="AK944" s="1075"/>
      <c r="AL944" s="1075"/>
      <c r="AM944" s="1075"/>
    </row>
    <row r="945" spans="2:39" x14ac:dyDescent="0.25">
      <c r="B945" s="1082"/>
      <c r="C945" s="1075"/>
      <c r="D945" s="1075"/>
      <c r="E945" s="1075"/>
      <c r="F945" s="1075"/>
      <c r="G945" s="1075"/>
      <c r="H945" s="1075"/>
      <c r="I945" s="1075"/>
      <c r="J945" s="1075"/>
      <c r="K945" s="1075"/>
      <c r="L945" s="1075"/>
      <c r="M945" s="1075"/>
      <c r="N945" s="1075"/>
      <c r="O945" s="1075"/>
      <c r="P945" s="1075"/>
      <c r="Q945" s="1075"/>
      <c r="R945" s="1075"/>
      <c r="S945" s="1081"/>
      <c r="T945" s="1075"/>
      <c r="U945" s="1075"/>
      <c r="V945" s="1075"/>
      <c r="W945" s="1075"/>
      <c r="X945" s="1075"/>
      <c r="Y945" s="1075"/>
      <c r="Z945" s="1075"/>
      <c r="AA945" s="1075"/>
      <c r="AB945" s="1075"/>
      <c r="AC945" s="1075"/>
      <c r="AD945" s="1075"/>
      <c r="AE945" s="1075"/>
      <c r="AF945" s="1075"/>
      <c r="AG945" s="1075"/>
      <c r="AH945" s="1075"/>
      <c r="AI945" s="1075"/>
      <c r="AJ945" s="1075"/>
      <c r="AK945" s="1075"/>
      <c r="AL945" s="1075"/>
      <c r="AM945" s="1075"/>
    </row>
    <row r="946" spans="2:39" x14ac:dyDescent="0.25">
      <c r="B946" s="1082"/>
      <c r="C946" s="1075"/>
      <c r="D946" s="1075"/>
      <c r="E946" s="1075"/>
      <c r="F946" s="1075"/>
      <c r="G946" s="1075"/>
      <c r="H946" s="1075"/>
      <c r="I946" s="1075"/>
      <c r="J946" s="1075"/>
      <c r="K946" s="1075"/>
      <c r="L946" s="1075"/>
      <c r="M946" s="1075"/>
      <c r="N946" s="1075"/>
      <c r="O946" s="1075"/>
      <c r="P946" s="1075"/>
      <c r="Q946" s="1075"/>
      <c r="R946" s="1075"/>
      <c r="S946" s="1081"/>
      <c r="T946" s="1075"/>
      <c r="U946" s="1075"/>
      <c r="V946" s="1075"/>
      <c r="W946" s="1075"/>
      <c r="X946" s="1075"/>
      <c r="Y946" s="1075"/>
      <c r="Z946" s="1075"/>
      <c r="AA946" s="1075"/>
      <c r="AB946" s="1075"/>
      <c r="AC946" s="1075"/>
      <c r="AD946" s="1075"/>
      <c r="AE946" s="1075"/>
      <c r="AF946" s="1075"/>
      <c r="AG946" s="1075"/>
      <c r="AH946" s="1075"/>
      <c r="AI946" s="1075"/>
      <c r="AJ946" s="1075"/>
      <c r="AK946" s="1075"/>
      <c r="AL946" s="1075"/>
      <c r="AM946" s="1075"/>
    </row>
    <row r="947" spans="2:39" x14ac:dyDescent="0.25">
      <c r="B947" s="1082"/>
      <c r="C947" s="1075"/>
      <c r="D947" s="1075"/>
      <c r="E947" s="1075"/>
      <c r="F947" s="1075"/>
      <c r="G947" s="1075"/>
      <c r="H947" s="1075"/>
      <c r="I947" s="1075"/>
      <c r="J947" s="1075"/>
      <c r="K947" s="1075"/>
      <c r="L947" s="1075"/>
      <c r="M947" s="1075"/>
      <c r="N947" s="1075"/>
      <c r="O947" s="1075"/>
      <c r="P947" s="1075"/>
      <c r="Q947" s="1075"/>
      <c r="R947" s="1075"/>
      <c r="S947" s="1081"/>
      <c r="T947" s="1075"/>
      <c r="U947" s="1075"/>
      <c r="V947" s="1075"/>
      <c r="W947" s="1075"/>
      <c r="X947" s="1075"/>
      <c r="Y947" s="1075"/>
      <c r="Z947" s="1075"/>
      <c r="AA947" s="1075"/>
      <c r="AB947" s="1075"/>
      <c r="AC947" s="1075"/>
      <c r="AD947" s="1075"/>
      <c r="AE947" s="1075"/>
      <c r="AF947" s="1075"/>
      <c r="AG947" s="1075"/>
      <c r="AH947" s="1075"/>
      <c r="AI947" s="1075"/>
      <c r="AJ947" s="1075"/>
      <c r="AK947" s="1075"/>
      <c r="AL947" s="1075"/>
      <c r="AM947" s="1075"/>
    </row>
    <row r="948" spans="2:39" x14ac:dyDescent="0.25">
      <c r="B948" s="1082"/>
      <c r="C948" s="1075"/>
      <c r="D948" s="1075"/>
      <c r="E948" s="1075"/>
      <c r="F948" s="1075"/>
      <c r="G948" s="1075"/>
      <c r="H948" s="1075"/>
      <c r="I948" s="1075"/>
      <c r="J948" s="1075"/>
      <c r="K948" s="1075"/>
      <c r="L948" s="1075"/>
      <c r="M948" s="1075"/>
      <c r="N948" s="1075"/>
      <c r="O948" s="1075"/>
      <c r="P948" s="1075"/>
      <c r="Q948" s="1075"/>
      <c r="R948" s="1075"/>
      <c r="S948" s="1081"/>
      <c r="T948" s="1075"/>
      <c r="U948" s="1075"/>
      <c r="V948" s="1075"/>
      <c r="W948" s="1075"/>
      <c r="X948" s="1075"/>
      <c r="Y948" s="1075"/>
      <c r="Z948" s="1075"/>
      <c r="AA948" s="1075"/>
      <c r="AB948" s="1075"/>
      <c r="AC948" s="1075"/>
      <c r="AD948" s="1075"/>
      <c r="AE948" s="1075"/>
      <c r="AF948" s="1075"/>
      <c r="AG948" s="1075"/>
      <c r="AH948" s="1075"/>
      <c r="AI948" s="1075"/>
      <c r="AJ948" s="1075"/>
      <c r="AK948" s="1075"/>
      <c r="AL948" s="1075"/>
      <c r="AM948" s="1075"/>
    </row>
    <row r="949" spans="2:39" x14ac:dyDescent="0.25">
      <c r="B949" s="1082"/>
      <c r="C949" s="1075"/>
      <c r="D949" s="1075"/>
      <c r="E949" s="1075"/>
      <c r="F949" s="1075"/>
      <c r="G949" s="1075"/>
      <c r="H949" s="1075"/>
      <c r="I949" s="1075"/>
      <c r="J949" s="1075"/>
      <c r="K949" s="1075"/>
      <c r="L949" s="1075"/>
      <c r="M949" s="1075"/>
      <c r="N949" s="1075"/>
      <c r="O949" s="1075"/>
      <c r="P949" s="1075"/>
      <c r="Q949" s="1075"/>
      <c r="R949" s="1075"/>
      <c r="S949" s="1081"/>
      <c r="T949" s="1075"/>
      <c r="U949" s="1075"/>
      <c r="V949" s="1075"/>
      <c r="W949" s="1075"/>
      <c r="X949" s="1075"/>
      <c r="Y949" s="1075"/>
      <c r="Z949" s="1075"/>
      <c r="AA949" s="1075"/>
      <c r="AB949" s="1075"/>
      <c r="AC949" s="1075"/>
      <c r="AD949" s="1075"/>
      <c r="AE949" s="1075"/>
      <c r="AF949" s="1075"/>
      <c r="AG949" s="1075"/>
      <c r="AH949" s="1075"/>
      <c r="AI949" s="1075"/>
      <c r="AJ949" s="1075"/>
      <c r="AK949" s="1075"/>
      <c r="AL949" s="1075"/>
      <c r="AM949" s="1075"/>
    </row>
    <row r="950" spans="2:39" x14ac:dyDescent="0.25">
      <c r="B950" s="1082"/>
      <c r="C950" s="1075"/>
      <c r="D950" s="1075"/>
      <c r="E950" s="1075"/>
      <c r="F950" s="1075"/>
      <c r="G950" s="1075"/>
      <c r="H950" s="1075"/>
      <c r="I950" s="1075"/>
      <c r="J950" s="1075"/>
      <c r="K950" s="1075"/>
      <c r="L950" s="1075"/>
      <c r="M950" s="1075"/>
      <c r="N950" s="1075"/>
      <c r="O950" s="1075"/>
      <c r="P950" s="1075"/>
      <c r="Q950" s="1075"/>
      <c r="R950" s="1075"/>
      <c r="S950" s="1081"/>
      <c r="T950" s="1075"/>
      <c r="U950" s="1075"/>
      <c r="V950" s="1075"/>
      <c r="W950" s="1075"/>
      <c r="X950" s="1075"/>
      <c r="Y950" s="1075"/>
      <c r="Z950" s="1075"/>
      <c r="AA950" s="1075"/>
      <c r="AB950" s="1075"/>
      <c r="AC950" s="1075"/>
      <c r="AD950" s="1075"/>
      <c r="AE950" s="1075"/>
      <c r="AF950" s="1075"/>
      <c r="AG950" s="1075"/>
      <c r="AH950" s="1075"/>
      <c r="AI950" s="1075"/>
      <c r="AJ950" s="1075"/>
      <c r="AK950" s="1075"/>
      <c r="AL950" s="1075"/>
      <c r="AM950" s="1075"/>
    </row>
    <row r="951" spans="2:39" x14ac:dyDescent="0.25">
      <c r="B951" s="1082"/>
      <c r="C951" s="1075"/>
      <c r="D951" s="1075"/>
      <c r="E951" s="1075"/>
      <c r="F951" s="1075"/>
      <c r="G951" s="1075"/>
      <c r="H951" s="1075"/>
      <c r="I951" s="1075"/>
      <c r="J951" s="1075"/>
      <c r="K951" s="1075"/>
      <c r="L951" s="1075"/>
      <c r="M951" s="1075"/>
      <c r="N951" s="1075"/>
      <c r="O951" s="1075"/>
      <c r="P951" s="1075"/>
      <c r="Q951" s="1075"/>
      <c r="R951" s="1075"/>
      <c r="S951" s="1081"/>
      <c r="T951" s="1075"/>
      <c r="U951" s="1075"/>
      <c r="V951" s="1075"/>
      <c r="W951" s="1075"/>
      <c r="X951" s="1075"/>
      <c r="Y951" s="1075"/>
      <c r="Z951" s="1075"/>
      <c r="AA951" s="1075"/>
      <c r="AB951" s="1075"/>
      <c r="AC951" s="1075"/>
      <c r="AD951" s="1075"/>
      <c r="AE951" s="1075"/>
      <c r="AF951" s="1075"/>
      <c r="AG951" s="1075"/>
      <c r="AH951" s="1075"/>
      <c r="AI951" s="1075"/>
      <c r="AJ951" s="1075"/>
      <c r="AK951" s="1075"/>
      <c r="AL951" s="1075"/>
      <c r="AM951" s="1075"/>
    </row>
    <row r="952" spans="2:39" x14ac:dyDescent="0.25">
      <c r="B952" s="1082"/>
      <c r="C952" s="1075"/>
      <c r="D952" s="1075"/>
      <c r="E952" s="1075"/>
      <c r="F952" s="1075"/>
      <c r="G952" s="1075"/>
      <c r="H952" s="1075"/>
      <c r="I952" s="1075"/>
      <c r="J952" s="1075"/>
      <c r="K952" s="1075"/>
      <c r="L952" s="1075"/>
      <c r="M952" s="1075"/>
      <c r="N952" s="1075"/>
      <c r="O952" s="1075"/>
      <c r="P952" s="1075"/>
      <c r="Q952" s="1075"/>
      <c r="R952" s="1075"/>
      <c r="S952" s="1081"/>
      <c r="T952" s="1075"/>
      <c r="U952" s="1075"/>
      <c r="V952" s="1075"/>
      <c r="W952" s="1075"/>
      <c r="X952" s="1075"/>
      <c r="Y952" s="1075"/>
      <c r="Z952" s="1075"/>
      <c r="AA952" s="1075"/>
      <c r="AB952" s="1075"/>
      <c r="AC952" s="1075"/>
      <c r="AD952" s="1075"/>
      <c r="AE952" s="1075"/>
      <c r="AF952" s="1075"/>
      <c r="AG952" s="1075"/>
      <c r="AH952" s="1075"/>
      <c r="AI952" s="1075"/>
      <c r="AJ952" s="1075"/>
      <c r="AK952" s="1075"/>
      <c r="AL952" s="1075"/>
      <c r="AM952" s="1075"/>
    </row>
    <row r="953" spans="2:39" x14ac:dyDescent="0.25">
      <c r="B953" s="1082"/>
      <c r="C953" s="1075"/>
      <c r="D953" s="1075"/>
      <c r="E953" s="1075"/>
      <c r="F953" s="1075"/>
      <c r="G953" s="1075"/>
      <c r="H953" s="1075"/>
      <c r="I953" s="1075"/>
      <c r="J953" s="1075"/>
      <c r="K953" s="1075"/>
      <c r="L953" s="1075"/>
      <c r="M953" s="1075"/>
      <c r="N953" s="1075"/>
      <c r="O953" s="1075"/>
      <c r="P953" s="1075"/>
      <c r="Q953" s="1075"/>
      <c r="R953" s="1075"/>
      <c r="S953" s="1081"/>
      <c r="T953" s="1075"/>
      <c r="U953" s="1075"/>
      <c r="V953" s="1075"/>
      <c r="W953" s="1075"/>
      <c r="X953" s="1075"/>
      <c r="Y953" s="1075"/>
      <c r="Z953" s="1075"/>
      <c r="AA953" s="1075"/>
      <c r="AB953" s="1075"/>
      <c r="AC953" s="1075"/>
      <c r="AD953" s="1075"/>
      <c r="AE953" s="1075"/>
      <c r="AF953" s="1075"/>
      <c r="AG953" s="1075"/>
      <c r="AH953" s="1075"/>
      <c r="AI953" s="1075"/>
      <c r="AJ953" s="1075"/>
      <c r="AK953" s="1075"/>
      <c r="AL953" s="1075"/>
      <c r="AM953" s="1075"/>
    </row>
    <row r="954" spans="2:39" x14ac:dyDescent="0.25">
      <c r="B954" s="1082"/>
      <c r="C954" s="1075"/>
      <c r="D954" s="1075"/>
      <c r="E954" s="1075"/>
      <c r="F954" s="1075"/>
      <c r="G954" s="1075"/>
      <c r="H954" s="1075"/>
      <c r="I954" s="1075"/>
      <c r="J954" s="1075"/>
      <c r="K954" s="1075"/>
      <c r="L954" s="1075"/>
      <c r="M954" s="1075"/>
      <c r="N954" s="1075"/>
      <c r="O954" s="1075"/>
      <c r="P954" s="1075"/>
      <c r="Q954" s="1075"/>
      <c r="R954" s="1075"/>
      <c r="S954" s="1081"/>
      <c r="T954" s="1075"/>
      <c r="U954" s="1075"/>
      <c r="V954" s="1075"/>
      <c r="W954" s="1075"/>
      <c r="X954" s="1075"/>
      <c r="Y954" s="1075"/>
      <c r="Z954" s="1075"/>
      <c r="AA954" s="1075"/>
      <c r="AB954" s="1075"/>
      <c r="AC954" s="1075"/>
      <c r="AD954" s="1075"/>
      <c r="AE954" s="1075"/>
      <c r="AF954" s="1075"/>
      <c r="AG954" s="1075"/>
      <c r="AH954" s="1075"/>
      <c r="AI954" s="1075"/>
      <c r="AJ954" s="1075"/>
      <c r="AK954" s="1075"/>
      <c r="AL954" s="1075"/>
      <c r="AM954" s="1075"/>
    </row>
    <row r="955" spans="2:39" x14ac:dyDescent="0.25">
      <c r="B955" s="1082"/>
      <c r="C955" s="1075"/>
      <c r="D955" s="1075"/>
      <c r="E955" s="1075"/>
      <c r="F955" s="1075"/>
      <c r="G955" s="1075"/>
      <c r="H955" s="1075"/>
      <c r="I955" s="1075"/>
      <c r="J955" s="1075"/>
      <c r="K955" s="1075"/>
      <c r="L955" s="1075"/>
      <c r="M955" s="1075"/>
      <c r="N955" s="1075"/>
      <c r="O955" s="1075"/>
      <c r="P955" s="1075"/>
      <c r="Q955" s="1075"/>
      <c r="R955" s="1075"/>
      <c r="S955" s="1081"/>
      <c r="T955" s="1075"/>
      <c r="U955" s="1075"/>
      <c r="V955" s="1075"/>
      <c r="W955" s="1075"/>
      <c r="X955" s="1075"/>
      <c r="Y955" s="1075"/>
      <c r="Z955" s="1075"/>
      <c r="AA955" s="1075"/>
      <c r="AB955" s="1075"/>
      <c r="AC955" s="1075"/>
      <c r="AD955" s="1075"/>
      <c r="AE955" s="1075"/>
      <c r="AF955" s="1075"/>
      <c r="AG955" s="1075"/>
      <c r="AH955" s="1075"/>
      <c r="AI955" s="1075"/>
      <c r="AJ955" s="1075"/>
      <c r="AK955" s="1075"/>
      <c r="AL955" s="1075"/>
      <c r="AM955" s="1075"/>
    </row>
    <row r="956" spans="2:39" x14ac:dyDescent="0.25">
      <c r="B956" s="1082"/>
      <c r="C956" s="1075"/>
      <c r="D956" s="1075"/>
      <c r="E956" s="1075"/>
      <c r="F956" s="1075"/>
      <c r="G956" s="1075"/>
      <c r="H956" s="1075"/>
      <c r="I956" s="1075"/>
      <c r="J956" s="1075"/>
      <c r="K956" s="1075"/>
      <c r="L956" s="1075"/>
      <c r="M956" s="1075"/>
      <c r="N956" s="1075"/>
      <c r="O956" s="1075"/>
      <c r="P956" s="1075"/>
      <c r="Q956" s="1075"/>
      <c r="R956" s="1075"/>
      <c r="S956" s="1081"/>
      <c r="T956" s="1075"/>
      <c r="U956" s="1075"/>
      <c r="V956" s="1075"/>
      <c r="W956" s="1075"/>
      <c r="X956" s="1075"/>
      <c r="Y956" s="1075"/>
      <c r="Z956" s="1075"/>
      <c r="AA956" s="1075"/>
      <c r="AB956" s="1075"/>
      <c r="AC956" s="1075"/>
      <c r="AD956" s="1075"/>
      <c r="AE956" s="1075"/>
      <c r="AF956" s="1075"/>
      <c r="AG956" s="1075"/>
      <c r="AH956" s="1075"/>
      <c r="AI956" s="1075"/>
      <c r="AJ956" s="1075"/>
      <c r="AK956" s="1075"/>
      <c r="AL956" s="1075"/>
      <c r="AM956" s="1075"/>
    </row>
    <row r="957" spans="2:39" x14ac:dyDescent="0.25">
      <c r="B957" s="1082"/>
      <c r="C957" s="1075"/>
      <c r="D957" s="1075"/>
      <c r="E957" s="1075"/>
      <c r="F957" s="1075"/>
      <c r="G957" s="1075"/>
      <c r="H957" s="1075"/>
      <c r="I957" s="1075"/>
      <c r="J957" s="1075"/>
      <c r="K957" s="1075"/>
      <c r="L957" s="1075"/>
      <c r="M957" s="1075"/>
      <c r="N957" s="1075"/>
      <c r="O957" s="1075"/>
      <c r="P957" s="1075"/>
      <c r="Q957" s="1075"/>
      <c r="R957" s="1075"/>
      <c r="S957" s="1081"/>
      <c r="T957" s="1075"/>
      <c r="U957" s="1075"/>
      <c r="V957" s="1075"/>
      <c r="W957" s="1075"/>
      <c r="X957" s="1075"/>
      <c r="Y957" s="1075"/>
      <c r="Z957" s="1075"/>
      <c r="AA957" s="1075"/>
      <c r="AB957" s="1075"/>
      <c r="AC957" s="1075"/>
      <c r="AD957" s="1075"/>
      <c r="AE957" s="1075"/>
      <c r="AF957" s="1075"/>
      <c r="AG957" s="1075"/>
      <c r="AH957" s="1075"/>
      <c r="AI957" s="1075"/>
      <c r="AJ957" s="1075"/>
      <c r="AK957" s="1075"/>
      <c r="AL957" s="1075"/>
      <c r="AM957" s="1075"/>
    </row>
    <row r="958" spans="2:39" x14ac:dyDescent="0.25">
      <c r="B958" s="1082"/>
      <c r="C958" s="1075"/>
      <c r="D958" s="1075"/>
      <c r="E958" s="1075"/>
      <c r="F958" s="1075"/>
      <c r="G958" s="1075"/>
      <c r="H958" s="1075"/>
      <c r="I958" s="1075"/>
      <c r="J958" s="1075"/>
      <c r="K958" s="1075"/>
      <c r="L958" s="1075"/>
      <c r="M958" s="1075"/>
      <c r="N958" s="1075"/>
      <c r="O958" s="1075"/>
      <c r="P958" s="1075"/>
      <c r="Q958" s="1075"/>
      <c r="R958" s="1075"/>
      <c r="S958" s="1081"/>
      <c r="T958" s="1075"/>
      <c r="U958" s="1075"/>
      <c r="V958" s="1075"/>
      <c r="W958" s="1075"/>
      <c r="X958" s="1075"/>
      <c r="Y958" s="1075"/>
      <c r="Z958" s="1075"/>
      <c r="AA958" s="1075"/>
      <c r="AB958" s="1075"/>
      <c r="AC958" s="1075"/>
      <c r="AD958" s="1075"/>
      <c r="AE958" s="1075"/>
      <c r="AF958" s="1075"/>
      <c r="AG958" s="1075"/>
      <c r="AH958" s="1075"/>
      <c r="AI958" s="1075"/>
      <c r="AJ958" s="1075"/>
      <c r="AK958" s="1075"/>
      <c r="AL958" s="1075"/>
      <c r="AM958" s="1075"/>
    </row>
    <row r="959" spans="2:39" x14ac:dyDescent="0.25">
      <c r="B959" s="1082"/>
      <c r="C959" s="1075"/>
      <c r="D959" s="1075"/>
      <c r="E959" s="1075"/>
      <c r="F959" s="1075"/>
      <c r="G959" s="1075"/>
      <c r="H959" s="1075"/>
      <c r="I959" s="1075"/>
      <c r="J959" s="1075"/>
      <c r="K959" s="1075"/>
      <c r="L959" s="1075"/>
      <c r="M959" s="1075"/>
      <c r="N959" s="1075"/>
      <c r="O959" s="1075"/>
      <c r="P959" s="1075"/>
      <c r="Q959" s="1075"/>
      <c r="R959" s="1075"/>
      <c r="S959" s="1081"/>
      <c r="T959" s="1075"/>
      <c r="U959" s="1075"/>
      <c r="V959" s="1075"/>
      <c r="W959" s="1075"/>
      <c r="X959" s="1075"/>
      <c r="Y959" s="1075"/>
      <c r="Z959" s="1075"/>
      <c r="AA959" s="1075"/>
      <c r="AB959" s="1075"/>
      <c r="AC959" s="1075"/>
      <c r="AD959" s="1075"/>
      <c r="AE959" s="1075"/>
      <c r="AF959" s="1075"/>
      <c r="AG959" s="1075"/>
      <c r="AH959" s="1075"/>
      <c r="AI959" s="1075"/>
      <c r="AJ959" s="1075"/>
      <c r="AK959" s="1075"/>
      <c r="AL959" s="1075"/>
      <c r="AM959" s="1075"/>
    </row>
    <row r="960" spans="2:39" x14ac:dyDescent="0.25">
      <c r="B960" s="1082"/>
      <c r="C960" s="1075"/>
      <c r="D960" s="1075"/>
      <c r="E960" s="1075"/>
      <c r="F960" s="1075"/>
      <c r="G960" s="1075"/>
      <c r="H960" s="1075"/>
      <c r="I960" s="1075"/>
      <c r="J960" s="1075"/>
      <c r="K960" s="1075"/>
      <c r="L960" s="1075"/>
      <c r="M960" s="1075"/>
      <c r="N960" s="1075"/>
      <c r="O960" s="1075"/>
      <c r="P960" s="1075"/>
      <c r="Q960" s="1075"/>
      <c r="R960" s="1075"/>
      <c r="S960" s="1081"/>
      <c r="T960" s="1075"/>
      <c r="U960" s="1075"/>
      <c r="V960" s="1075"/>
      <c r="W960" s="1075"/>
      <c r="X960" s="1075"/>
      <c r="Y960" s="1075"/>
      <c r="Z960" s="1075"/>
      <c r="AA960" s="1075"/>
      <c r="AB960" s="1075"/>
      <c r="AC960" s="1075"/>
      <c r="AD960" s="1075"/>
      <c r="AE960" s="1075"/>
      <c r="AF960" s="1075"/>
      <c r="AG960" s="1075"/>
      <c r="AH960" s="1075"/>
      <c r="AI960" s="1075"/>
      <c r="AJ960" s="1075"/>
      <c r="AK960" s="1075"/>
      <c r="AL960" s="1075"/>
      <c r="AM960" s="1075"/>
    </row>
    <row r="961" spans="2:39" x14ac:dyDescent="0.25">
      <c r="B961" s="1082"/>
      <c r="C961" s="1075"/>
      <c r="D961" s="1075"/>
      <c r="E961" s="1075"/>
      <c r="F961" s="1075"/>
      <c r="G961" s="1075"/>
      <c r="H961" s="1075"/>
      <c r="I961" s="1075"/>
      <c r="J961" s="1075"/>
      <c r="K961" s="1075"/>
      <c r="L961" s="1075"/>
      <c r="M961" s="1075"/>
      <c r="N961" s="1075"/>
      <c r="O961" s="1075"/>
      <c r="P961" s="1075"/>
      <c r="Q961" s="1075"/>
      <c r="R961" s="1075"/>
      <c r="S961" s="1081"/>
      <c r="T961" s="1075"/>
      <c r="U961" s="1075"/>
      <c r="V961" s="1075"/>
      <c r="W961" s="1075"/>
      <c r="X961" s="1075"/>
      <c r="Y961" s="1075"/>
      <c r="Z961" s="1075"/>
      <c r="AA961" s="1075"/>
      <c r="AB961" s="1075"/>
      <c r="AC961" s="1075"/>
      <c r="AD961" s="1075"/>
      <c r="AE961" s="1075"/>
      <c r="AF961" s="1075"/>
      <c r="AG961" s="1075"/>
      <c r="AH961" s="1075"/>
      <c r="AI961" s="1075"/>
      <c r="AJ961" s="1075"/>
      <c r="AK961" s="1075"/>
      <c r="AL961" s="1075"/>
      <c r="AM961" s="1075"/>
    </row>
    <row r="962" spans="2:39" x14ac:dyDescent="0.25">
      <c r="B962" s="1082"/>
      <c r="C962" s="1075"/>
      <c r="D962" s="1075"/>
      <c r="E962" s="1075"/>
      <c r="F962" s="1075"/>
      <c r="G962" s="1075"/>
      <c r="H962" s="1075"/>
      <c r="I962" s="1075"/>
      <c r="J962" s="1075"/>
      <c r="K962" s="1075"/>
      <c r="L962" s="1075"/>
      <c r="M962" s="1075"/>
      <c r="N962" s="1075"/>
      <c r="O962" s="1075"/>
      <c r="P962" s="1075"/>
      <c r="Q962" s="1075"/>
      <c r="R962" s="1075"/>
      <c r="S962" s="1081"/>
      <c r="T962" s="1075"/>
      <c r="U962" s="1075"/>
      <c r="V962" s="1075"/>
      <c r="W962" s="1075"/>
      <c r="X962" s="1075"/>
      <c r="Y962" s="1075"/>
      <c r="Z962" s="1075"/>
      <c r="AA962" s="1075"/>
      <c r="AB962" s="1075"/>
      <c r="AC962" s="1075"/>
      <c r="AD962" s="1075"/>
      <c r="AE962" s="1075"/>
      <c r="AF962" s="1075"/>
      <c r="AG962" s="1075"/>
      <c r="AH962" s="1075"/>
      <c r="AI962" s="1075"/>
      <c r="AJ962" s="1075"/>
      <c r="AK962" s="1075"/>
      <c r="AL962" s="1075"/>
      <c r="AM962" s="1075"/>
    </row>
    <row r="963" spans="2:39" x14ac:dyDescent="0.25">
      <c r="B963" s="1082"/>
      <c r="C963" s="1075"/>
      <c r="D963" s="1075"/>
      <c r="E963" s="1075"/>
      <c r="F963" s="1075"/>
      <c r="G963" s="1075"/>
      <c r="H963" s="1075"/>
      <c r="I963" s="1075"/>
      <c r="J963" s="1075"/>
      <c r="K963" s="1075"/>
      <c r="L963" s="1075"/>
      <c r="M963" s="1075"/>
      <c r="N963" s="1075"/>
      <c r="O963" s="1075"/>
      <c r="P963" s="1075"/>
      <c r="Q963" s="1075"/>
      <c r="R963" s="1075"/>
      <c r="S963" s="1081"/>
      <c r="T963" s="1075"/>
      <c r="U963" s="1075"/>
      <c r="V963" s="1075"/>
      <c r="W963" s="1075"/>
      <c r="X963" s="1075"/>
      <c r="Y963" s="1075"/>
      <c r="Z963" s="1075"/>
      <c r="AA963" s="1075"/>
      <c r="AB963" s="1075"/>
      <c r="AC963" s="1075"/>
      <c r="AD963" s="1075"/>
      <c r="AE963" s="1075"/>
      <c r="AF963" s="1075"/>
      <c r="AG963" s="1075"/>
      <c r="AH963" s="1075"/>
      <c r="AI963" s="1075"/>
      <c r="AJ963" s="1075"/>
      <c r="AK963" s="1075"/>
      <c r="AL963" s="1075"/>
      <c r="AM963" s="1075"/>
    </row>
    <row r="964" spans="2:39" x14ac:dyDescent="0.25">
      <c r="B964" s="1082"/>
      <c r="C964" s="1075"/>
      <c r="D964" s="1075"/>
      <c r="E964" s="1075"/>
      <c r="F964" s="1075"/>
      <c r="G964" s="1075"/>
      <c r="H964" s="1075"/>
      <c r="I964" s="1075"/>
      <c r="J964" s="1075"/>
      <c r="K964" s="1075"/>
      <c r="L964" s="1075"/>
      <c r="M964" s="1075"/>
      <c r="N964" s="1075"/>
      <c r="O964" s="1075"/>
      <c r="P964" s="1075"/>
      <c r="Q964" s="1075"/>
      <c r="R964" s="1075"/>
      <c r="S964" s="1081"/>
      <c r="T964" s="1075"/>
      <c r="U964" s="1075"/>
      <c r="V964" s="1075"/>
      <c r="W964" s="1075"/>
      <c r="X964" s="1075"/>
      <c r="Y964" s="1075"/>
      <c r="Z964" s="1075"/>
      <c r="AA964" s="1075"/>
      <c r="AB964" s="1075"/>
      <c r="AC964" s="1075"/>
      <c r="AD964" s="1075"/>
      <c r="AE964" s="1075"/>
      <c r="AF964" s="1075"/>
      <c r="AG964" s="1075"/>
      <c r="AH964" s="1075"/>
      <c r="AI964" s="1075"/>
      <c r="AJ964" s="1075"/>
      <c r="AK964" s="1075"/>
      <c r="AL964" s="1075"/>
      <c r="AM964" s="1075"/>
    </row>
    <row r="965" spans="2:39" x14ac:dyDescent="0.25">
      <c r="B965" s="1082"/>
      <c r="C965" s="1075"/>
      <c r="D965" s="1075"/>
      <c r="E965" s="1075"/>
      <c r="F965" s="1075"/>
      <c r="G965" s="1075"/>
      <c r="H965" s="1075"/>
      <c r="I965" s="1075"/>
      <c r="J965" s="1075"/>
      <c r="K965" s="1075"/>
      <c r="L965" s="1075"/>
      <c r="M965" s="1075"/>
      <c r="N965" s="1075"/>
      <c r="O965" s="1075"/>
      <c r="P965" s="1075"/>
      <c r="Q965" s="1075"/>
      <c r="R965" s="1075"/>
      <c r="S965" s="1081"/>
      <c r="T965" s="1075"/>
      <c r="U965" s="1075"/>
      <c r="V965" s="1075"/>
      <c r="W965" s="1075"/>
      <c r="X965" s="1075"/>
      <c r="Y965" s="1075"/>
      <c r="Z965" s="1075"/>
      <c r="AA965" s="1075"/>
      <c r="AB965" s="1075"/>
      <c r="AC965" s="1075"/>
      <c r="AD965" s="1075"/>
      <c r="AE965" s="1075"/>
      <c r="AF965" s="1075"/>
      <c r="AG965" s="1075"/>
      <c r="AH965" s="1075"/>
      <c r="AI965" s="1075"/>
      <c r="AJ965" s="1075"/>
      <c r="AK965" s="1075"/>
      <c r="AL965" s="1075"/>
      <c r="AM965" s="1075"/>
    </row>
    <row r="966" spans="2:39" x14ac:dyDescent="0.25">
      <c r="B966" s="1082"/>
      <c r="C966" s="1075"/>
      <c r="D966" s="1075"/>
      <c r="E966" s="1075"/>
      <c r="F966" s="1075"/>
      <c r="G966" s="1075"/>
      <c r="H966" s="1075"/>
      <c r="I966" s="1075"/>
      <c r="J966" s="1075"/>
      <c r="K966" s="1075"/>
      <c r="L966" s="1075"/>
      <c r="M966" s="1075"/>
      <c r="N966" s="1075"/>
      <c r="O966" s="1075"/>
      <c r="P966" s="1075"/>
      <c r="Q966" s="1075"/>
      <c r="R966" s="1075"/>
      <c r="S966" s="1081"/>
      <c r="T966" s="1075"/>
      <c r="U966" s="1075"/>
      <c r="V966" s="1075"/>
      <c r="W966" s="1075"/>
      <c r="X966" s="1075"/>
      <c r="Y966" s="1075"/>
      <c r="Z966" s="1075"/>
      <c r="AA966" s="1075"/>
      <c r="AB966" s="1075"/>
      <c r="AC966" s="1075"/>
      <c r="AD966" s="1075"/>
      <c r="AE966" s="1075"/>
      <c r="AF966" s="1075"/>
      <c r="AG966" s="1075"/>
      <c r="AH966" s="1075"/>
      <c r="AI966" s="1075"/>
      <c r="AJ966" s="1075"/>
      <c r="AK966" s="1075"/>
      <c r="AL966" s="1075"/>
      <c r="AM966" s="1075"/>
    </row>
    <row r="967" spans="2:39" x14ac:dyDescent="0.25">
      <c r="B967" s="1082"/>
      <c r="C967" s="1075"/>
      <c r="D967" s="1075"/>
      <c r="E967" s="1075"/>
      <c r="F967" s="1075"/>
      <c r="G967" s="1075"/>
      <c r="H967" s="1075"/>
      <c r="I967" s="1075"/>
      <c r="J967" s="1075"/>
      <c r="K967" s="1075"/>
      <c r="L967" s="1075"/>
      <c r="M967" s="1075"/>
      <c r="N967" s="1075"/>
      <c r="O967" s="1075"/>
      <c r="P967" s="1075"/>
      <c r="Q967" s="1075"/>
      <c r="R967" s="1075"/>
      <c r="S967" s="1081"/>
      <c r="T967" s="1075"/>
      <c r="U967" s="1075"/>
      <c r="V967" s="1075"/>
      <c r="W967" s="1075"/>
      <c r="X967" s="1075"/>
      <c r="Y967" s="1075"/>
      <c r="Z967" s="1075"/>
      <c r="AA967" s="1075"/>
      <c r="AB967" s="1075"/>
      <c r="AC967" s="1075"/>
      <c r="AD967" s="1075"/>
      <c r="AE967" s="1075"/>
      <c r="AF967" s="1075"/>
      <c r="AG967" s="1075"/>
      <c r="AH967" s="1075"/>
      <c r="AI967" s="1075"/>
      <c r="AJ967" s="1075"/>
      <c r="AK967" s="1075"/>
      <c r="AL967" s="1075"/>
      <c r="AM967" s="1075"/>
    </row>
    <row r="968" spans="2:39" x14ac:dyDescent="0.25">
      <c r="B968" s="1082"/>
      <c r="C968" s="1075"/>
      <c r="D968" s="1075"/>
      <c r="E968" s="1075"/>
      <c r="F968" s="1075"/>
      <c r="G968" s="1075"/>
      <c r="H968" s="1075"/>
      <c r="I968" s="1075"/>
      <c r="J968" s="1075"/>
      <c r="K968" s="1075"/>
      <c r="L968" s="1075"/>
      <c r="M968" s="1075"/>
      <c r="N968" s="1075"/>
      <c r="O968" s="1075"/>
      <c r="P968" s="1075"/>
      <c r="Q968" s="1075"/>
      <c r="R968" s="1075"/>
      <c r="S968" s="1081"/>
      <c r="T968" s="1075"/>
      <c r="U968" s="1075"/>
      <c r="V968" s="1075"/>
      <c r="W968" s="1075"/>
      <c r="X968" s="1075"/>
      <c r="Y968" s="1075"/>
      <c r="Z968" s="1075"/>
      <c r="AA968" s="1075"/>
      <c r="AB968" s="1075"/>
      <c r="AC968" s="1075"/>
      <c r="AD968" s="1075"/>
      <c r="AE968" s="1075"/>
      <c r="AF968" s="1075"/>
      <c r="AG968" s="1075"/>
      <c r="AH968" s="1075"/>
      <c r="AI968" s="1075"/>
      <c r="AJ968" s="1075"/>
      <c r="AK968" s="1075"/>
      <c r="AL968" s="1075"/>
      <c r="AM968" s="1075"/>
    </row>
    <row r="969" spans="2:39" x14ac:dyDescent="0.25">
      <c r="B969" s="1082"/>
      <c r="C969" s="1075"/>
      <c r="D969" s="1075"/>
      <c r="E969" s="1075"/>
      <c r="F969" s="1075"/>
      <c r="G969" s="1075"/>
      <c r="H969" s="1075"/>
      <c r="I969" s="1075"/>
      <c r="J969" s="1075"/>
      <c r="K969" s="1075"/>
      <c r="L969" s="1075"/>
      <c r="M969" s="1075"/>
      <c r="N969" s="1075"/>
      <c r="O969" s="1075"/>
      <c r="P969" s="1075"/>
      <c r="Q969" s="1075"/>
      <c r="R969" s="1075"/>
      <c r="S969" s="1081"/>
      <c r="T969" s="1075"/>
      <c r="U969" s="1075"/>
      <c r="V969" s="1075"/>
      <c r="W969" s="1075"/>
      <c r="X969" s="1075"/>
      <c r="Y969" s="1075"/>
      <c r="Z969" s="1075"/>
      <c r="AA969" s="1075"/>
      <c r="AB969" s="1075"/>
      <c r="AC969" s="1075"/>
      <c r="AD969" s="1075"/>
      <c r="AE969" s="1075"/>
      <c r="AF969" s="1075"/>
      <c r="AG969" s="1075"/>
      <c r="AH969" s="1075"/>
      <c r="AI969" s="1075"/>
      <c r="AJ969" s="1075"/>
      <c r="AK969" s="1075"/>
      <c r="AL969" s="1075"/>
      <c r="AM969" s="1075"/>
    </row>
    <row r="970" spans="2:39" x14ac:dyDescent="0.25">
      <c r="B970" s="1082"/>
      <c r="C970" s="1075"/>
      <c r="D970" s="1075"/>
      <c r="E970" s="1075"/>
      <c r="F970" s="1075"/>
      <c r="G970" s="1075"/>
      <c r="H970" s="1075"/>
      <c r="I970" s="1075"/>
      <c r="J970" s="1075"/>
      <c r="K970" s="1075"/>
      <c r="L970" s="1075"/>
      <c r="M970" s="1075"/>
      <c r="N970" s="1075"/>
      <c r="O970" s="1075"/>
      <c r="P970" s="1075"/>
      <c r="Q970" s="1075"/>
      <c r="R970" s="1075"/>
      <c r="S970" s="1081"/>
      <c r="T970" s="1075"/>
      <c r="U970" s="1075"/>
      <c r="V970" s="1075"/>
      <c r="W970" s="1075"/>
      <c r="X970" s="1075"/>
      <c r="Y970" s="1075"/>
      <c r="Z970" s="1075"/>
      <c r="AA970" s="1075"/>
      <c r="AB970" s="1075"/>
      <c r="AC970" s="1075"/>
      <c r="AD970" s="1075"/>
      <c r="AE970" s="1075"/>
      <c r="AF970" s="1075"/>
      <c r="AG970" s="1075"/>
      <c r="AH970" s="1075"/>
      <c r="AI970" s="1075"/>
      <c r="AJ970" s="1075"/>
      <c r="AK970" s="1075"/>
      <c r="AL970" s="1075"/>
      <c r="AM970" s="1075"/>
    </row>
    <row r="971" spans="2:39" x14ac:dyDescent="0.25">
      <c r="B971" s="1082"/>
      <c r="C971" s="1075"/>
      <c r="D971" s="1075"/>
      <c r="E971" s="1075"/>
      <c r="F971" s="1075"/>
      <c r="G971" s="1075"/>
      <c r="H971" s="1075"/>
      <c r="I971" s="1075"/>
      <c r="J971" s="1075"/>
      <c r="K971" s="1075"/>
      <c r="L971" s="1075"/>
      <c r="M971" s="1075"/>
      <c r="N971" s="1075"/>
      <c r="O971" s="1075"/>
      <c r="P971" s="1075"/>
      <c r="Q971" s="1075"/>
      <c r="R971" s="1075"/>
      <c r="S971" s="1081"/>
      <c r="T971" s="1075"/>
      <c r="U971" s="1075"/>
      <c r="V971" s="1075"/>
      <c r="W971" s="1075"/>
      <c r="X971" s="1075"/>
      <c r="Y971" s="1075"/>
      <c r="Z971" s="1075"/>
      <c r="AA971" s="1075"/>
      <c r="AB971" s="1075"/>
      <c r="AC971" s="1075"/>
      <c r="AD971" s="1075"/>
      <c r="AE971" s="1075"/>
      <c r="AF971" s="1075"/>
      <c r="AG971" s="1075"/>
      <c r="AH971" s="1075"/>
      <c r="AI971" s="1075"/>
      <c r="AJ971" s="1075"/>
      <c r="AK971" s="1075"/>
      <c r="AL971" s="1075"/>
      <c r="AM971" s="1075"/>
    </row>
    <row r="972" spans="2:39" x14ac:dyDescent="0.25">
      <c r="B972" s="1082"/>
      <c r="C972" s="1075"/>
      <c r="D972" s="1075"/>
      <c r="E972" s="1075"/>
      <c r="F972" s="1075"/>
      <c r="G972" s="1075"/>
      <c r="H972" s="1075"/>
      <c r="I972" s="1075"/>
      <c r="J972" s="1075"/>
      <c r="K972" s="1075"/>
      <c r="L972" s="1075"/>
      <c r="M972" s="1075"/>
      <c r="N972" s="1075"/>
      <c r="O972" s="1075"/>
      <c r="P972" s="1075"/>
      <c r="Q972" s="1075"/>
      <c r="R972" s="1075"/>
      <c r="S972" s="1081"/>
      <c r="T972" s="1075"/>
      <c r="U972" s="1075"/>
      <c r="V972" s="1075"/>
      <c r="W972" s="1075"/>
      <c r="X972" s="1075"/>
      <c r="Y972" s="1075"/>
      <c r="Z972" s="1075"/>
      <c r="AA972" s="1075"/>
      <c r="AB972" s="1075"/>
      <c r="AC972" s="1075"/>
      <c r="AD972" s="1075"/>
      <c r="AE972" s="1075"/>
      <c r="AF972" s="1075"/>
      <c r="AG972" s="1075"/>
      <c r="AH972" s="1075"/>
      <c r="AI972" s="1075"/>
      <c r="AJ972" s="1075"/>
      <c r="AK972" s="1075"/>
      <c r="AL972" s="1075"/>
      <c r="AM972" s="1075"/>
    </row>
    <row r="973" spans="2:39" x14ac:dyDescent="0.25">
      <c r="B973" s="1082"/>
      <c r="C973" s="1075"/>
      <c r="D973" s="1075"/>
      <c r="E973" s="1075"/>
      <c r="F973" s="1075"/>
      <c r="G973" s="1075"/>
      <c r="H973" s="1075"/>
      <c r="I973" s="1075"/>
      <c r="J973" s="1075"/>
      <c r="K973" s="1075"/>
      <c r="L973" s="1075"/>
      <c r="M973" s="1075"/>
      <c r="N973" s="1075"/>
      <c r="O973" s="1075"/>
      <c r="P973" s="1075"/>
      <c r="Q973" s="1075"/>
      <c r="R973" s="1075"/>
      <c r="S973" s="1081"/>
      <c r="T973" s="1075"/>
      <c r="U973" s="1075"/>
      <c r="V973" s="1075"/>
      <c r="W973" s="1075"/>
      <c r="X973" s="1075"/>
      <c r="Y973" s="1075"/>
      <c r="Z973" s="1075"/>
      <c r="AA973" s="1075"/>
      <c r="AB973" s="1075"/>
      <c r="AC973" s="1075"/>
      <c r="AD973" s="1075"/>
      <c r="AE973" s="1075"/>
      <c r="AF973" s="1075"/>
      <c r="AG973" s="1075"/>
      <c r="AH973" s="1075"/>
      <c r="AI973" s="1075"/>
      <c r="AJ973" s="1075"/>
      <c r="AK973" s="1075"/>
      <c r="AL973" s="1075"/>
      <c r="AM973" s="1075"/>
    </row>
    <row r="974" spans="2:39" x14ac:dyDescent="0.25">
      <c r="B974" s="1082"/>
      <c r="C974" s="1075"/>
      <c r="D974" s="1075"/>
      <c r="E974" s="1075"/>
      <c r="F974" s="1075"/>
      <c r="G974" s="1075"/>
      <c r="H974" s="1075"/>
      <c r="I974" s="1075"/>
      <c r="J974" s="1075"/>
      <c r="K974" s="1075"/>
      <c r="L974" s="1075"/>
      <c r="M974" s="1075"/>
      <c r="N974" s="1075"/>
      <c r="O974" s="1075"/>
      <c r="P974" s="1075"/>
      <c r="Q974" s="1075"/>
      <c r="R974" s="1075"/>
      <c r="S974" s="1081"/>
      <c r="T974" s="1075"/>
      <c r="U974" s="1075"/>
      <c r="V974" s="1075"/>
      <c r="W974" s="1075"/>
      <c r="X974" s="1075"/>
      <c r="Y974" s="1075"/>
      <c r="Z974" s="1075"/>
      <c r="AA974" s="1075"/>
      <c r="AB974" s="1075"/>
      <c r="AC974" s="1075"/>
      <c r="AD974" s="1075"/>
      <c r="AE974" s="1075"/>
      <c r="AF974" s="1075"/>
      <c r="AG974" s="1075"/>
      <c r="AH974" s="1075"/>
      <c r="AI974" s="1075"/>
      <c r="AJ974" s="1075"/>
      <c r="AK974" s="1075"/>
      <c r="AL974" s="1075"/>
      <c r="AM974" s="1075"/>
    </row>
    <row r="975" spans="2:39" x14ac:dyDescent="0.25">
      <c r="B975" s="1082"/>
      <c r="C975" s="1075"/>
      <c r="D975" s="1075"/>
      <c r="E975" s="1075"/>
      <c r="F975" s="1075"/>
      <c r="G975" s="1075"/>
      <c r="H975" s="1075"/>
      <c r="I975" s="1075"/>
      <c r="J975" s="1075"/>
      <c r="K975" s="1075"/>
      <c r="L975" s="1075"/>
      <c r="M975" s="1075"/>
      <c r="N975" s="1075"/>
      <c r="O975" s="1075"/>
      <c r="P975" s="1075"/>
      <c r="Q975" s="1075"/>
      <c r="R975" s="1075"/>
      <c r="S975" s="1081"/>
      <c r="T975" s="1075"/>
      <c r="U975" s="1075"/>
      <c r="V975" s="1075"/>
      <c r="W975" s="1075"/>
      <c r="X975" s="1075"/>
      <c r="Y975" s="1075"/>
      <c r="Z975" s="1075"/>
      <c r="AA975" s="1075"/>
      <c r="AB975" s="1075"/>
      <c r="AC975" s="1075"/>
      <c r="AD975" s="1075"/>
      <c r="AE975" s="1075"/>
      <c r="AF975" s="1075"/>
      <c r="AG975" s="1075"/>
      <c r="AH975" s="1075"/>
      <c r="AI975" s="1075"/>
      <c r="AJ975" s="1075"/>
      <c r="AK975" s="1075"/>
      <c r="AL975" s="1075"/>
      <c r="AM975" s="1075"/>
    </row>
    <row r="976" spans="2:39" x14ac:dyDescent="0.25">
      <c r="B976" s="1082"/>
      <c r="C976" s="1075"/>
      <c r="D976" s="1075"/>
      <c r="E976" s="1075"/>
      <c r="F976" s="1075"/>
      <c r="G976" s="1075"/>
      <c r="H976" s="1075"/>
      <c r="I976" s="1075"/>
      <c r="J976" s="1075"/>
      <c r="K976" s="1075"/>
      <c r="L976" s="1075"/>
      <c r="M976" s="1075"/>
      <c r="N976" s="1075"/>
      <c r="O976" s="1075"/>
      <c r="P976" s="1075"/>
      <c r="Q976" s="1075"/>
      <c r="R976" s="1075"/>
      <c r="S976" s="1081"/>
      <c r="T976" s="1075"/>
      <c r="U976" s="1075"/>
      <c r="V976" s="1075"/>
      <c r="W976" s="1075"/>
      <c r="X976" s="1075"/>
      <c r="Y976" s="1075"/>
      <c r="Z976" s="1075"/>
      <c r="AA976" s="1075"/>
      <c r="AB976" s="1075"/>
      <c r="AC976" s="1075"/>
      <c r="AD976" s="1075"/>
      <c r="AE976" s="1075"/>
      <c r="AF976" s="1075"/>
      <c r="AG976" s="1075"/>
      <c r="AH976" s="1075"/>
      <c r="AI976" s="1075"/>
      <c r="AJ976" s="1075"/>
      <c r="AK976" s="1075"/>
      <c r="AL976" s="1075"/>
      <c r="AM976" s="1075"/>
    </row>
    <row r="977" spans="2:39" x14ac:dyDescent="0.25">
      <c r="B977" s="1082"/>
      <c r="C977" s="1075"/>
      <c r="D977" s="1075"/>
      <c r="E977" s="1075"/>
      <c r="F977" s="1075"/>
      <c r="G977" s="1075"/>
      <c r="H977" s="1075"/>
      <c r="I977" s="1075"/>
      <c r="J977" s="1075"/>
      <c r="K977" s="1075"/>
      <c r="L977" s="1075"/>
      <c r="M977" s="1075"/>
      <c r="N977" s="1075"/>
      <c r="O977" s="1075"/>
      <c r="P977" s="1075"/>
      <c r="Q977" s="1075"/>
      <c r="R977" s="1075"/>
      <c r="S977" s="1081"/>
      <c r="T977" s="1075"/>
      <c r="U977" s="1075"/>
      <c r="V977" s="1075"/>
      <c r="W977" s="1075"/>
      <c r="X977" s="1075"/>
      <c r="Y977" s="1075"/>
      <c r="Z977" s="1075"/>
      <c r="AA977" s="1075"/>
      <c r="AB977" s="1075"/>
      <c r="AC977" s="1075"/>
      <c r="AD977" s="1075"/>
      <c r="AE977" s="1075"/>
      <c r="AF977" s="1075"/>
      <c r="AG977" s="1075"/>
      <c r="AH977" s="1075"/>
      <c r="AI977" s="1075"/>
      <c r="AJ977" s="1075"/>
      <c r="AK977" s="1075"/>
      <c r="AL977" s="1075"/>
      <c r="AM977" s="1075"/>
    </row>
    <row r="978" spans="2:39" x14ac:dyDescent="0.25">
      <c r="B978" s="1082"/>
      <c r="C978" s="1075"/>
      <c r="D978" s="1075"/>
      <c r="E978" s="1075"/>
      <c r="F978" s="1075"/>
      <c r="G978" s="1075"/>
      <c r="H978" s="1075"/>
      <c r="I978" s="1075"/>
      <c r="J978" s="1075"/>
      <c r="K978" s="1075"/>
      <c r="L978" s="1075"/>
      <c r="M978" s="1075"/>
      <c r="N978" s="1075"/>
      <c r="O978" s="1075"/>
      <c r="P978" s="1075"/>
      <c r="Q978" s="1075"/>
      <c r="R978" s="1075"/>
      <c r="S978" s="1081"/>
      <c r="T978" s="1075"/>
      <c r="U978" s="1075"/>
      <c r="V978" s="1075"/>
      <c r="W978" s="1075"/>
      <c r="X978" s="1075"/>
      <c r="Y978" s="1075"/>
      <c r="Z978" s="1075"/>
      <c r="AA978" s="1075"/>
      <c r="AB978" s="1075"/>
      <c r="AC978" s="1075"/>
      <c r="AD978" s="1075"/>
      <c r="AE978" s="1075"/>
      <c r="AF978" s="1075"/>
      <c r="AG978" s="1075"/>
      <c r="AH978" s="1075"/>
      <c r="AI978" s="1075"/>
      <c r="AJ978" s="1075"/>
      <c r="AK978" s="1075"/>
      <c r="AL978" s="1075"/>
      <c r="AM978" s="1075"/>
    </row>
    <row r="979" spans="2:39" x14ac:dyDescent="0.25">
      <c r="B979" s="1082"/>
      <c r="C979" s="1075"/>
      <c r="D979" s="1075"/>
      <c r="E979" s="1075"/>
      <c r="F979" s="1075"/>
      <c r="G979" s="1075"/>
      <c r="H979" s="1075"/>
      <c r="I979" s="1075"/>
      <c r="J979" s="1075"/>
      <c r="K979" s="1075"/>
      <c r="L979" s="1075"/>
      <c r="M979" s="1075"/>
      <c r="N979" s="1075"/>
      <c r="O979" s="1075"/>
      <c r="P979" s="1075"/>
      <c r="Q979" s="1075"/>
      <c r="R979" s="1075"/>
      <c r="S979" s="1081"/>
      <c r="T979" s="1075"/>
      <c r="U979" s="1075"/>
      <c r="V979" s="1075"/>
      <c r="W979" s="1075"/>
      <c r="X979" s="1075"/>
      <c r="Y979" s="1075"/>
      <c r="Z979" s="1075"/>
      <c r="AA979" s="1075"/>
      <c r="AB979" s="1075"/>
      <c r="AC979" s="1075"/>
      <c r="AD979" s="1075"/>
      <c r="AE979" s="1075"/>
      <c r="AF979" s="1075"/>
      <c r="AG979" s="1075"/>
      <c r="AH979" s="1075"/>
      <c r="AI979" s="1075"/>
      <c r="AJ979" s="1075"/>
      <c r="AK979" s="1075"/>
      <c r="AL979" s="1075"/>
      <c r="AM979" s="1075"/>
    </row>
    <row r="980" spans="2:39" x14ac:dyDescent="0.25">
      <c r="B980" s="1082"/>
      <c r="C980" s="1075"/>
      <c r="D980" s="1075"/>
      <c r="E980" s="1075"/>
      <c r="F980" s="1075"/>
      <c r="G980" s="1075"/>
      <c r="H980" s="1075"/>
      <c r="I980" s="1075"/>
      <c r="J980" s="1075"/>
      <c r="K980" s="1075"/>
      <c r="L980" s="1075"/>
      <c r="M980" s="1075"/>
      <c r="N980" s="1075"/>
      <c r="O980" s="1075"/>
      <c r="P980" s="1075"/>
      <c r="Q980" s="1075"/>
      <c r="R980" s="1075"/>
      <c r="S980" s="1081"/>
      <c r="T980" s="1075"/>
      <c r="U980" s="1075"/>
      <c r="V980" s="1075"/>
      <c r="W980" s="1075"/>
      <c r="X980" s="1075"/>
      <c r="Y980" s="1075"/>
      <c r="Z980" s="1075"/>
      <c r="AA980" s="1075"/>
      <c r="AB980" s="1075"/>
      <c r="AC980" s="1075"/>
      <c r="AD980" s="1075"/>
      <c r="AE980" s="1075"/>
      <c r="AF980" s="1075"/>
      <c r="AG980" s="1075"/>
      <c r="AH980" s="1075"/>
      <c r="AI980" s="1075"/>
      <c r="AJ980" s="1075"/>
      <c r="AK980" s="1075"/>
      <c r="AL980" s="1075"/>
      <c r="AM980" s="1075"/>
    </row>
    <row r="981" spans="2:39" x14ac:dyDescent="0.25">
      <c r="B981" s="1082"/>
      <c r="C981" s="1075"/>
      <c r="D981" s="1075"/>
      <c r="E981" s="1075"/>
      <c r="F981" s="1075"/>
      <c r="G981" s="1075"/>
      <c r="H981" s="1075"/>
      <c r="I981" s="1075"/>
      <c r="J981" s="1075"/>
      <c r="K981" s="1075"/>
      <c r="L981" s="1075"/>
      <c r="M981" s="1075"/>
      <c r="N981" s="1075"/>
      <c r="O981" s="1075"/>
      <c r="P981" s="1075"/>
      <c r="Q981" s="1075"/>
      <c r="R981" s="1075"/>
      <c r="S981" s="1081"/>
      <c r="T981" s="1075"/>
      <c r="U981" s="1075"/>
      <c r="V981" s="1075"/>
      <c r="W981" s="1075"/>
      <c r="X981" s="1075"/>
      <c r="Y981" s="1075"/>
      <c r="Z981" s="1075"/>
      <c r="AA981" s="1075"/>
      <c r="AB981" s="1075"/>
      <c r="AC981" s="1075"/>
      <c r="AD981" s="1075"/>
      <c r="AE981" s="1075"/>
      <c r="AF981" s="1075"/>
      <c r="AG981" s="1075"/>
      <c r="AH981" s="1075"/>
      <c r="AI981" s="1075"/>
      <c r="AJ981" s="1075"/>
      <c r="AK981" s="1075"/>
      <c r="AL981" s="1075"/>
      <c r="AM981" s="1075"/>
    </row>
    <row r="982" spans="2:39" x14ac:dyDescent="0.25">
      <c r="B982" s="1082"/>
      <c r="C982" s="1075"/>
      <c r="D982" s="1075"/>
      <c r="E982" s="1075"/>
      <c r="F982" s="1075"/>
      <c r="G982" s="1075"/>
      <c r="H982" s="1075"/>
      <c r="I982" s="1075"/>
      <c r="J982" s="1075"/>
      <c r="K982" s="1075"/>
      <c r="L982" s="1075"/>
      <c r="M982" s="1075"/>
      <c r="N982" s="1075"/>
      <c r="O982" s="1075"/>
      <c r="P982" s="1075"/>
      <c r="Q982" s="1075"/>
      <c r="R982" s="1075"/>
      <c r="S982" s="1081"/>
      <c r="T982" s="1075"/>
      <c r="U982" s="1075"/>
      <c r="V982" s="1075"/>
      <c r="W982" s="1075"/>
      <c r="X982" s="1075"/>
      <c r="Y982" s="1075"/>
      <c r="Z982" s="1075"/>
      <c r="AA982" s="1075"/>
      <c r="AB982" s="1075"/>
      <c r="AC982" s="1075"/>
      <c r="AD982" s="1075"/>
      <c r="AE982" s="1075"/>
      <c r="AF982" s="1075"/>
      <c r="AG982" s="1075"/>
      <c r="AH982" s="1075"/>
      <c r="AI982" s="1075"/>
      <c r="AJ982" s="1075"/>
      <c r="AK982" s="1075"/>
      <c r="AL982" s="1075"/>
      <c r="AM982" s="1075"/>
    </row>
    <row r="983" spans="2:39" x14ac:dyDescent="0.25">
      <c r="B983" s="1082"/>
      <c r="C983" s="1075"/>
      <c r="D983" s="1075"/>
      <c r="E983" s="1075"/>
      <c r="F983" s="1075"/>
      <c r="G983" s="1075"/>
      <c r="H983" s="1075"/>
      <c r="I983" s="1075"/>
      <c r="J983" s="1075"/>
      <c r="K983" s="1075"/>
      <c r="L983" s="1075"/>
      <c r="M983" s="1075"/>
      <c r="N983" s="1075"/>
      <c r="O983" s="1075"/>
      <c r="P983" s="1075"/>
      <c r="Q983" s="1075"/>
      <c r="R983" s="1075"/>
      <c r="S983" s="1081"/>
      <c r="T983" s="1075"/>
      <c r="U983" s="1075"/>
      <c r="V983" s="1075"/>
      <c r="W983" s="1075"/>
      <c r="X983" s="1075"/>
      <c r="Y983" s="1075"/>
      <c r="Z983" s="1075"/>
      <c r="AA983" s="1075"/>
      <c r="AB983" s="1075"/>
      <c r="AC983" s="1075"/>
      <c r="AD983" s="1075"/>
      <c r="AE983" s="1075"/>
      <c r="AF983" s="1075"/>
      <c r="AG983" s="1075"/>
      <c r="AH983" s="1075"/>
      <c r="AI983" s="1075"/>
      <c r="AJ983" s="1075"/>
      <c r="AK983" s="1075"/>
      <c r="AL983" s="1075"/>
      <c r="AM983" s="1075"/>
    </row>
    <row r="984" spans="2:39" x14ac:dyDescent="0.25">
      <c r="B984" s="1082"/>
      <c r="C984" s="1075"/>
      <c r="D984" s="1075"/>
      <c r="E984" s="1075"/>
      <c r="F984" s="1075"/>
      <c r="G984" s="1075"/>
      <c r="H984" s="1075"/>
      <c r="I984" s="1075"/>
      <c r="J984" s="1075"/>
      <c r="K984" s="1075"/>
      <c r="L984" s="1075"/>
      <c r="M984" s="1075"/>
      <c r="N984" s="1075"/>
      <c r="O984" s="1075"/>
      <c r="P984" s="1075"/>
      <c r="Q984" s="1075"/>
      <c r="R984" s="1075"/>
      <c r="S984" s="1081"/>
      <c r="T984" s="1075"/>
      <c r="U984" s="1075"/>
      <c r="V984" s="1075"/>
      <c r="W984" s="1075"/>
      <c r="X984" s="1075"/>
      <c r="Y984" s="1075"/>
      <c r="Z984" s="1075"/>
      <c r="AA984" s="1075"/>
      <c r="AB984" s="1075"/>
      <c r="AC984" s="1075"/>
      <c r="AD984" s="1075"/>
      <c r="AE984" s="1075"/>
      <c r="AF984" s="1075"/>
      <c r="AG984" s="1075"/>
      <c r="AH984" s="1075"/>
      <c r="AI984" s="1075"/>
      <c r="AJ984" s="1075"/>
      <c r="AK984" s="1075"/>
      <c r="AL984" s="1075"/>
      <c r="AM984" s="1075"/>
    </row>
    <row r="985" spans="2:39" x14ac:dyDescent="0.25">
      <c r="B985" s="1082"/>
      <c r="C985" s="1075"/>
      <c r="D985" s="1075"/>
      <c r="E985" s="1075"/>
      <c r="F985" s="1075"/>
      <c r="G985" s="1075"/>
      <c r="H985" s="1075"/>
      <c r="I985" s="1075"/>
      <c r="J985" s="1075"/>
      <c r="K985" s="1075"/>
      <c r="L985" s="1075"/>
      <c r="M985" s="1075"/>
      <c r="N985" s="1075"/>
      <c r="O985" s="1075"/>
      <c r="P985" s="1075"/>
      <c r="Q985" s="1075"/>
      <c r="R985" s="1075"/>
      <c r="S985" s="1081"/>
      <c r="T985" s="1075"/>
      <c r="U985" s="1075"/>
      <c r="V985" s="1075"/>
      <c r="W985" s="1075"/>
      <c r="X985" s="1075"/>
      <c r="Y985" s="1075"/>
      <c r="Z985" s="1075"/>
      <c r="AA985" s="1075"/>
      <c r="AB985" s="1075"/>
      <c r="AC985" s="1075"/>
      <c r="AD985" s="1075"/>
      <c r="AE985" s="1075"/>
      <c r="AF985" s="1075"/>
      <c r="AG985" s="1075"/>
      <c r="AH985" s="1075"/>
      <c r="AI985" s="1075"/>
      <c r="AJ985" s="1075"/>
      <c r="AK985" s="1075"/>
      <c r="AL985" s="1075"/>
      <c r="AM985" s="1075"/>
    </row>
    <row r="986" spans="2:39" x14ac:dyDescent="0.25">
      <c r="B986" s="1082"/>
      <c r="C986" s="1075"/>
      <c r="D986" s="1075"/>
      <c r="E986" s="1075"/>
      <c r="F986" s="1075"/>
      <c r="G986" s="1075"/>
      <c r="H986" s="1075"/>
      <c r="I986" s="1075"/>
      <c r="J986" s="1075"/>
      <c r="K986" s="1075"/>
      <c r="L986" s="1075"/>
      <c r="M986" s="1075"/>
      <c r="N986" s="1075"/>
      <c r="O986" s="1075"/>
      <c r="P986" s="1075"/>
      <c r="Q986" s="1075"/>
      <c r="R986" s="1075"/>
      <c r="S986" s="1081"/>
      <c r="T986" s="1075"/>
      <c r="U986" s="1075"/>
      <c r="V986" s="1075"/>
      <c r="W986" s="1075"/>
      <c r="X986" s="1075"/>
      <c r="Y986" s="1075"/>
      <c r="Z986" s="1075"/>
      <c r="AA986" s="1075"/>
      <c r="AB986" s="1075"/>
      <c r="AC986" s="1075"/>
      <c r="AD986" s="1075"/>
      <c r="AE986" s="1075"/>
      <c r="AF986" s="1075"/>
      <c r="AG986" s="1075"/>
      <c r="AH986" s="1075"/>
      <c r="AI986" s="1075"/>
      <c r="AJ986" s="1075"/>
      <c r="AK986" s="1075"/>
      <c r="AL986" s="1075"/>
      <c r="AM986" s="1075"/>
    </row>
    <row r="987" spans="2:39" x14ac:dyDescent="0.25">
      <c r="B987" s="1082"/>
      <c r="C987" s="1075"/>
      <c r="D987" s="1075"/>
      <c r="E987" s="1075"/>
      <c r="F987" s="1075"/>
      <c r="G987" s="1075"/>
      <c r="H987" s="1075"/>
      <c r="I987" s="1075"/>
      <c r="J987" s="1075"/>
      <c r="K987" s="1075"/>
      <c r="L987" s="1075"/>
      <c r="M987" s="1075"/>
      <c r="N987" s="1075"/>
      <c r="O987" s="1075"/>
      <c r="P987" s="1075"/>
      <c r="Q987" s="1075"/>
      <c r="R987" s="1075"/>
      <c r="S987" s="1081"/>
      <c r="T987" s="1075"/>
      <c r="U987" s="1075"/>
      <c r="V987" s="1075"/>
      <c r="W987" s="1075"/>
      <c r="X987" s="1075"/>
      <c r="Y987" s="1075"/>
      <c r="Z987" s="1075"/>
      <c r="AA987" s="1075"/>
      <c r="AB987" s="1075"/>
      <c r="AC987" s="1075"/>
      <c r="AD987" s="1075"/>
      <c r="AE987" s="1075"/>
      <c r="AF987" s="1075"/>
      <c r="AG987" s="1075"/>
      <c r="AH987" s="1075"/>
      <c r="AI987" s="1075"/>
      <c r="AJ987" s="1075"/>
      <c r="AK987" s="1075"/>
      <c r="AL987" s="1075"/>
      <c r="AM987" s="1075"/>
    </row>
    <row r="988" spans="2:39" x14ac:dyDescent="0.25">
      <c r="B988" s="1082"/>
      <c r="C988" s="1075"/>
      <c r="D988" s="1075"/>
      <c r="E988" s="1075"/>
      <c r="F988" s="1075"/>
      <c r="G988" s="1075"/>
      <c r="H988" s="1075"/>
      <c r="I988" s="1075"/>
      <c r="J988" s="1075"/>
      <c r="K988" s="1075"/>
      <c r="L988" s="1075"/>
      <c r="M988" s="1075"/>
      <c r="N988" s="1075"/>
      <c r="O988" s="1075"/>
      <c r="P988" s="1075"/>
      <c r="Q988" s="1075"/>
      <c r="R988" s="1075"/>
      <c r="S988" s="1081"/>
      <c r="T988" s="1075"/>
      <c r="U988" s="1075"/>
      <c r="V988" s="1075"/>
      <c r="W988" s="1075"/>
      <c r="X988" s="1075"/>
      <c r="Y988" s="1075"/>
      <c r="Z988" s="1075"/>
      <c r="AA988" s="1075"/>
      <c r="AB988" s="1075"/>
      <c r="AC988" s="1075"/>
      <c r="AD988" s="1075"/>
      <c r="AE988" s="1075"/>
      <c r="AF988" s="1075"/>
      <c r="AG988" s="1075"/>
      <c r="AH988" s="1075"/>
      <c r="AI988" s="1075"/>
      <c r="AJ988" s="1075"/>
      <c r="AK988" s="1075"/>
      <c r="AL988" s="1075"/>
      <c r="AM988" s="1075"/>
    </row>
    <row r="989" spans="2:39" x14ac:dyDescent="0.25">
      <c r="B989" s="1082"/>
      <c r="C989" s="1075"/>
      <c r="D989" s="1075"/>
      <c r="E989" s="1075"/>
      <c r="F989" s="1075"/>
      <c r="G989" s="1075"/>
      <c r="H989" s="1075"/>
      <c r="I989" s="1075"/>
      <c r="J989" s="1075"/>
      <c r="K989" s="1075"/>
      <c r="L989" s="1075"/>
      <c r="M989" s="1075"/>
      <c r="N989" s="1075"/>
      <c r="O989" s="1075"/>
      <c r="P989" s="1075"/>
      <c r="Q989" s="1075"/>
      <c r="R989" s="1075"/>
      <c r="S989" s="1081"/>
      <c r="T989" s="1075"/>
      <c r="U989" s="1075"/>
      <c r="V989" s="1075"/>
      <c r="W989" s="1075"/>
      <c r="X989" s="1075"/>
      <c r="Y989" s="1075"/>
      <c r="Z989" s="1075"/>
      <c r="AA989" s="1075"/>
      <c r="AB989" s="1075"/>
      <c r="AC989" s="1075"/>
      <c r="AD989" s="1075"/>
      <c r="AE989" s="1075"/>
      <c r="AF989" s="1075"/>
      <c r="AG989" s="1075"/>
      <c r="AH989" s="1075"/>
      <c r="AI989" s="1075"/>
      <c r="AJ989" s="1075"/>
      <c r="AK989" s="1075"/>
      <c r="AL989" s="1075"/>
      <c r="AM989" s="1075"/>
    </row>
    <row r="990" spans="2:39" x14ac:dyDescent="0.25">
      <c r="B990" s="1082"/>
      <c r="C990" s="1075"/>
      <c r="D990" s="1075"/>
      <c r="E990" s="1075"/>
      <c r="F990" s="1075"/>
      <c r="G990" s="1075"/>
      <c r="H990" s="1075"/>
      <c r="I990" s="1075"/>
      <c r="J990" s="1075"/>
      <c r="K990" s="1075"/>
      <c r="L990" s="1075"/>
      <c r="M990" s="1075"/>
      <c r="N990" s="1075"/>
      <c r="O990" s="1075"/>
      <c r="P990" s="1075"/>
      <c r="Q990" s="1075"/>
      <c r="R990" s="1075"/>
      <c r="S990" s="1081"/>
      <c r="T990" s="1075"/>
      <c r="U990" s="1075"/>
      <c r="V990" s="1075"/>
      <c r="W990" s="1075"/>
      <c r="X990" s="1075"/>
      <c r="Y990" s="1075"/>
      <c r="Z990" s="1075"/>
      <c r="AA990" s="1075"/>
      <c r="AB990" s="1075"/>
      <c r="AC990" s="1075"/>
      <c r="AD990" s="1075"/>
      <c r="AE990" s="1075"/>
      <c r="AF990" s="1075"/>
      <c r="AG990" s="1075"/>
      <c r="AH990" s="1075"/>
      <c r="AI990" s="1075"/>
      <c r="AJ990" s="1075"/>
      <c r="AK990" s="1075"/>
      <c r="AL990" s="1075"/>
      <c r="AM990" s="1075"/>
    </row>
    <row r="991" spans="2:39" x14ac:dyDescent="0.25">
      <c r="B991" s="1082"/>
      <c r="C991" s="1075"/>
      <c r="D991" s="1075"/>
      <c r="E991" s="1075"/>
      <c r="F991" s="1075"/>
      <c r="G991" s="1075"/>
      <c r="H991" s="1075"/>
      <c r="I991" s="1075"/>
      <c r="J991" s="1075"/>
      <c r="K991" s="1075"/>
      <c r="L991" s="1075"/>
      <c r="M991" s="1075"/>
      <c r="N991" s="1075"/>
      <c r="O991" s="1075"/>
      <c r="P991" s="1075"/>
      <c r="Q991" s="1075"/>
      <c r="R991" s="1075"/>
      <c r="S991" s="1081"/>
      <c r="T991" s="1075"/>
      <c r="U991" s="1075"/>
      <c r="V991" s="1075"/>
      <c r="W991" s="1075"/>
      <c r="X991" s="1075"/>
      <c r="Y991" s="1075"/>
      <c r="Z991" s="1075"/>
      <c r="AA991" s="1075"/>
      <c r="AB991" s="1075"/>
      <c r="AC991" s="1075"/>
      <c r="AD991" s="1075"/>
      <c r="AE991" s="1075"/>
      <c r="AF991" s="1075"/>
      <c r="AG991" s="1075"/>
      <c r="AH991" s="1075"/>
      <c r="AI991" s="1075"/>
      <c r="AJ991" s="1075"/>
      <c r="AK991" s="1075"/>
      <c r="AL991" s="1075"/>
      <c r="AM991" s="1075"/>
    </row>
    <row r="992" spans="2:39" x14ac:dyDescent="0.25">
      <c r="B992" s="1082"/>
      <c r="C992" s="1075"/>
      <c r="D992" s="1075"/>
      <c r="E992" s="1075"/>
      <c r="F992" s="1075"/>
      <c r="G992" s="1075"/>
      <c r="H992" s="1075"/>
      <c r="I992" s="1075"/>
      <c r="J992" s="1075"/>
      <c r="K992" s="1075"/>
      <c r="L992" s="1075"/>
      <c r="M992" s="1075"/>
      <c r="N992" s="1075"/>
      <c r="O992" s="1075"/>
      <c r="P992" s="1075"/>
      <c r="Q992" s="1075"/>
      <c r="R992" s="1075"/>
      <c r="S992" s="1081"/>
      <c r="T992" s="1075"/>
      <c r="U992" s="1075"/>
      <c r="V992" s="1075"/>
      <c r="W992" s="1075"/>
      <c r="X992" s="1075"/>
      <c r="Y992" s="1075"/>
      <c r="Z992" s="1075"/>
      <c r="AA992" s="1075"/>
      <c r="AB992" s="1075"/>
      <c r="AC992" s="1075"/>
      <c r="AD992" s="1075"/>
      <c r="AE992" s="1075"/>
      <c r="AF992" s="1075"/>
      <c r="AG992" s="1075"/>
      <c r="AH992" s="1075"/>
      <c r="AI992" s="1075"/>
      <c r="AJ992" s="1075"/>
      <c r="AK992" s="1075"/>
      <c r="AL992" s="1075"/>
      <c r="AM992" s="1075"/>
    </row>
    <row r="993" spans="2:39" x14ac:dyDescent="0.25">
      <c r="B993" s="1082"/>
      <c r="C993" s="1075"/>
      <c r="D993" s="1075"/>
      <c r="E993" s="1075"/>
      <c r="F993" s="1075"/>
      <c r="G993" s="1075"/>
      <c r="H993" s="1075"/>
      <c r="I993" s="1075"/>
      <c r="J993" s="1075"/>
      <c r="K993" s="1075"/>
      <c r="L993" s="1075"/>
      <c r="M993" s="1075"/>
      <c r="N993" s="1075"/>
      <c r="O993" s="1075"/>
      <c r="P993" s="1075"/>
      <c r="Q993" s="1075"/>
      <c r="R993" s="1075"/>
      <c r="S993" s="1081"/>
      <c r="T993" s="1075"/>
      <c r="U993" s="1075"/>
      <c r="V993" s="1075"/>
      <c r="W993" s="1075"/>
      <c r="X993" s="1075"/>
      <c r="Y993" s="1075"/>
      <c r="Z993" s="1075"/>
      <c r="AA993" s="1075"/>
      <c r="AB993" s="1075"/>
      <c r="AC993" s="1075"/>
      <c r="AD993" s="1075"/>
      <c r="AE993" s="1075"/>
      <c r="AF993" s="1075"/>
      <c r="AG993" s="1075"/>
      <c r="AH993" s="1075"/>
      <c r="AI993" s="1075"/>
      <c r="AJ993" s="1075"/>
      <c r="AK993" s="1075"/>
      <c r="AL993" s="1075"/>
      <c r="AM993" s="1075"/>
    </row>
    <row r="994" spans="2:39" x14ac:dyDescent="0.25">
      <c r="B994" s="1082"/>
      <c r="C994" s="1075"/>
      <c r="D994" s="1075"/>
      <c r="E994" s="1075"/>
      <c r="F994" s="1075"/>
      <c r="G994" s="1075"/>
      <c r="H994" s="1075"/>
      <c r="I994" s="1075"/>
      <c r="J994" s="1075"/>
      <c r="K994" s="1075"/>
      <c r="L994" s="1075"/>
      <c r="M994" s="1075"/>
      <c r="N994" s="1075"/>
      <c r="O994" s="1075"/>
      <c r="P994" s="1075"/>
      <c r="Q994" s="1075"/>
      <c r="R994" s="1075"/>
      <c r="S994" s="1081"/>
      <c r="T994" s="1075"/>
      <c r="U994" s="1075"/>
      <c r="V994" s="1075"/>
      <c r="W994" s="1075"/>
      <c r="X994" s="1075"/>
      <c r="Y994" s="1075"/>
      <c r="Z994" s="1075"/>
      <c r="AA994" s="1075"/>
      <c r="AB994" s="1075"/>
      <c r="AC994" s="1075"/>
      <c r="AD994" s="1075"/>
      <c r="AE994" s="1075"/>
      <c r="AF994" s="1075"/>
      <c r="AG994" s="1075"/>
      <c r="AH994" s="1075"/>
      <c r="AI994" s="1075"/>
      <c r="AJ994" s="1075"/>
      <c r="AK994" s="1075"/>
      <c r="AL994" s="1075"/>
      <c r="AM994" s="1075"/>
    </row>
    <row r="995" spans="2:39" x14ac:dyDescent="0.25">
      <c r="B995" s="1082"/>
      <c r="C995" s="1075"/>
      <c r="D995" s="1075"/>
      <c r="E995" s="1075"/>
      <c r="F995" s="1075"/>
      <c r="G995" s="1075"/>
      <c r="H995" s="1075"/>
      <c r="I995" s="1075"/>
      <c r="J995" s="1075"/>
      <c r="K995" s="1075"/>
      <c r="L995" s="1075"/>
      <c r="M995" s="1075"/>
      <c r="N995" s="1075"/>
      <c r="O995" s="1075"/>
      <c r="P995" s="1075"/>
      <c r="Q995" s="1075"/>
      <c r="R995" s="1075"/>
      <c r="S995" s="1081"/>
      <c r="T995" s="1075"/>
      <c r="U995" s="1075"/>
      <c r="V995" s="1075"/>
      <c r="W995" s="1075"/>
      <c r="X995" s="1075"/>
      <c r="Y995" s="1075"/>
      <c r="Z995" s="1075"/>
      <c r="AA995" s="1075"/>
      <c r="AB995" s="1075"/>
      <c r="AC995" s="1075"/>
      <c r="AD995" s="1075"/>
      <c r="AE995" s="1075"/>
      <c r="AF995" s="1075"/>
      <c r="AG995" s="1075"/>
      <c r="AH995" s="1075"/>
      <c r="AI995" s="1075"/>
      <c r="AJ995" s="1075"/>
      <c r="AK995" s="1075"/>
      <c r="AL995" s="1075"/>
      <c r="AM995" s="1075"/>
    </row>
    <row r="996" spans="2:39" x14ac:dyDescent="0.25">
      <c r="B996" s="1082"/>
      <c r="C996" s="1075"/>
      <c r="D996" s="1075"/>
      <c r="E996" s="1075"/>
      <c r="F996" s="1075"/>
      <c r="G996" s="1075"/>
      <c r="H996" s="1075"/>
      <c r="I996" s="1075"/>
      <c r="J996" s="1075"/>
      <c r="K996" s="1075"/>
      <c r="L996" s="1075"/>
      <c r="M996" s="1075"/>
      <c r="N996" s="1075"/>
      <c r="O996" s="1075"/>
      <c r="P996" s="1075"/>
      <c r="Q996" s="1075"/>
      <c r="R996" s="1075"/>
      <c r="S996" s="1081"/>
      <c r="T996" s="1075"/>
      <c r="U996" s="1075"/>
      <c r="V996" s="1075"/>
      <c r="W996" s="1075"/>
      <c r="X996" s="1075"/>
      <c r="Y996" s="1075"/>
      <c r="Z996" s="1075"/>
      <c r="AA996" s="1075"/>
      <c r="AB996" s="1075"/>
      <c r="AC996" s="1075"/>
      <c r="AD996" s="1075"/>
      <c r="AE996" s="1075"/>
      <c r="AF996" s="1075"/>
      <c r="AG996" s="1075"/>
      <c r="AH996" s="1075"/>
      <c r="AI996" s="1075"/>
      <c r="AJ996" s="1075"/>
      <c r="AK996" s="1075"/>
      <c r="AL996" s="1075"/>
      <c r="AM996" s="1075"/>
    </row>
    <row r="997" spans="2:39" x14ac:dyDescent="0.25">
      <c r="B997" s="1082"/>
      <c r="C997" s="1075"/>
      <c r="D997" s="1075"/>
      <c r="E997" s="1075"/>
      <c r="F997" s="1075"/>
      <c r="G997" s="1075"/>
      <c r="H997" s="1075"/>
      <c r="I997" s="1075"/>
      <c r="J997" s="1075"/>
      <c r="K997" s="1075"/>
      <c r="L997" s="1075"/>
      <c r="M997" s="1075"/>
      <c r="N997" s="1075"/>
      <c r="O997" s="1075"/>
      <c r="P997" s="1075"/>
      <c r="Q997" s="1075"/>
      <c r="R997" s="1075"/>
      <c r="S997" s="1081"/>
      <c r="T997" s="1075"/>
      <c r="U997" s="1075"/>
      <c r="V997" s="1075"/>
      <c r="W997" s="1075"/>
      <c r="X997" s="1075"/>
      <c r="Y997" s="1075"/>
      <c r="Z997" s="1075"/>
      <c r="AA997" s="1075"/>
      <c r="AB997" s="1075"/>
      <c r="AC997" s="1075"/>
      <c r="AD997" s="1075"/>
      <c r="AE997" s="1075"/>
      <c r="AF997" s="1075"/>
      <c r="AG997" s="1075"/>
      <c r="AH997" s="1075"/>
      <c r="AI997" s="1075"/>
      <c r="AJ997" s="1075"/>
      <c r="AK997" s="1075"/>
      <c r="AL997" s="1075"/>
      <c r="AM997" s="1075"/>
    </row>
    <row r="998" spans="2:39" x14ac:dyDescent="0.25">
      <c r="B998" s="1082"/>
      <c r="C998" s="1075"/>
      <c r="D998" s="1075"/>
      <c r="E998" s="1075"/>
      <c r="F998" s="1075"/>
      <c r="G998" s="1075"/>
      <c r="H998" s="1075"/>
      <c r="I998" s="1075"/>
      <c r="J998" s="1075"/>
      <c r="K998" s="1075"/>
      <c r="L998" s="1075"/>
      <c r="M998" s="1075"/>
      <c r="N998" s="1075"/>
      <c r="O998" s="1075"/>
      <c r="P998" s="1075"/>
      <c r="Q998" s="1075"/>
      <c r="R998" s="1075"/>
      <c r="S998" s="1081"/>
      <c r="T998" s="1075"/>
      <c r="U998" s="1075"/>
      <c r="V998" s="1075"/>
      <c r="W998" s="1075"/>
      <c r="X998" s="1075"/>
      <c r="Y998" s="1075"/>
      <c r="Z998" s="1075"/>
      <c r="AA998" s="1075"/>
      <c r="AB998" s="1075"/>
      <c r="AC998" s="1075"/>
      <c r="AD998" s="1075"/>
      <c r="AE998" s="1075"/>
      <c r="AF998" s="1075"/>
      <c r="AG998" s="1075"/>
      <c r="AH998" s="1075"/>
      <c r="AI998" s="1075"/>
      <c r="AJ998" s="1075"/>
      <c r="AK998" s="1075"/>
      <c r="AL998" s="1075"/>
      <c r="AM998" s="1075"/>
    </row>
    <row r="999" spans="2:39" x14ac:dyDescent="0.25">
      <c r="B999" s="1082"/>
      <c r="C999" s="1075"/>
      <c r="D999" s="1075"/>
      <c r="E999" s="1075"/>
      <c r="F999" s="1075"/>
      <c r="G999" s="1075"/>
      <c r="H999" s="1075"/>
      <c r="I999" s="1075"/>
      <c r="J999" s="1075"/>
      <c r="K999" s="1075"/>
      <c r="L999" s="1075"/>
      <c r="M999" s="1075"/>
      <c r="N999" s="1075"/>
      <c r="O999" s="1075"/>
      <c r="P999" s="1075"/>
      <c r="Q999" s="1075"/>
      <c r="R999" s="1075"/>
      <c r="S999" s="1081"/>
      <c r="T999" s="1075"/>
      <c r="U999" s="1075"/>
      <c r="V999" s="1075"/>
      <c r="W999" s="1075"/>
      <c r="X999" s="1075"/>
      <c r="Y999" s="1075"/>
      <c r="Z999" s="1075"/>
      <c r="AA999" s="1075"/>
      <c r="AB999" s="1075"/>
      <c r="AC999" s="1075"/>
      <c r="AD999" s="1075"/>
      <c r="AE999" s="1075"/>
      <c r="AF999" s="1075"/>
      <c r="AG999" s="1075"/>
      <c r="AH999" s="1075"/>
      <c r="AI999" s="1075"/>
      <c r="AJ999" s="1075"/>
      <c r="AK999" s="1075"/>
      <c r="AL999" s="1075"/>
      <c r="AM999" s="1075"/>
    </row>
    <row r="1000" spans="2:39" x14ac:dyDescent="0.25">
      <c r="B1000" s="1082"/>
      <c r="C1000" s="1075"/>
      <c r="D1000" s="1075"/>
      <c r="E1000" s="1075"/>
      <c r="F1000" s="1075"/>
      <c r="G1000" s="1075"/>
      <c r="H1000" s="1075"/>
      <c r="I1000" s="1075"/>
      <c r="J1000" s="1075"/>
      <c r="K1000" s="1075"/>
      <c r="L1000" s="1075"/>
      <c r="M1000" s="1075"/>
      <c r="N1000" s="1075"/>
      <c r="O1000" s="1075"/>
      <c r="P1000" s="1075"/>
      <c r="Q1000" s="1075"/>
      <c r="R1000" s="1075"/>
      <c r="S1000" s="1081"/>
      <c r="T1000" s="1075"/>
      <c r="U1000" s="1075"/>
      <c r="V1000" s="1075"/>
      <c r="W1000" s="1075"/>
      <c r="X1000" s="1075"/>
      <c r="Y1000" s="1075"/>
      <c r="Z1000" s="1075"/>
      <c r="AA1000" s="1075"/>
      <c r="AB1000" s="1075"/>
      <c r="AC1000" s="1075"/>
      <c r="AD1000" s="1075"/>
      <c r="AE1000" s="1075"/>
      <c r="AF1000" s="1075"/>
      <c r="AG1000" s="1075"/>
      <c r="AH1000" s="1075"/>
      <c r="AI1000" s="1075"/>
      <c r="AJ1000" s="1075"/>
      <c r="AK1000" s="1075"/>
      <c r="AL1000" s="1075"/>
      <c r="AM1000" s="1075"/>
    </row>
    <row r="1001" spans="2:39" x14ac:dyDescent="0.25">
      <c r="B1001" s="1082"/>
      <c r="C1001" s="1075"/>
      <c r="D1001" s="1075"/>
      <c r="E1001" s="1075"/>
      <c r="F1001" s="1075"/>
      <c r="G1001" s="1075"/>
      <c r="H1001" s="1075"/>
      <c r="I1001" s="1075"/>
      <c r="J1001" s="1075"/>
      <c r="K1001" s="1075"/>
      <c r="L1001" s="1075"/>
      <c r="M1001" s="1075"/>
      <c r="N1001" s="1075"/>
      <c r="O1001" s="1075"/>
      <c r="P1001" s="1075"/>
      <c r="Q1001" s="1075"/>
      <c r="R1001" s="1075"/>
      <c r="S1001" s="1081"/>
      <c r="T1001" s="1075"/>
      <c r="U1001" s="1075"/>
      <c r="V1001" s="1075"/>
      <c r="W1001" s="1075"/>
      <c r="X1001" s="1075"/>
      <c r="Y1001" s="1075"/>
      <c r="Z1001" s="1075"/>
      <c r="AA1001" s="1075"/>
      <c r="AB1001" s="1075"/>
      <c r="AC1001" s="1075"/>
      <c r="AD1001" s="1075"/>
      <c r="AE1001" s="1075"/>
      <c r="AF1001" s="1075"/>
      <c r="AG1001" s="1075"/>
      <c r="AH1001" s="1075"/>
      <c r="AI1001" s="1075"/>
      <c r="AJ1001" s="1075"/>
      <c r="AK1001" s="1075"/>
      <c r="AL1001" s="1075"/>
      <c r="AM1001" s="1075"/>
    </row>
    <row r="1002" spans="2:39" x14ac:dyDescent="0.25">
      <c r="B1002" s="1082"/>
      <c r="C1002" s="1075"/>
      <c r="D1002" s="1075"/>
      <c r="E1002" s="1075"/>
      <c r="F1002" s="1075"/>
      <c r="G1002" s="1075"/>
      <c r="H1002" s="1075"/>
      <c r="I1002" s="1075"/>
      <c r="J1002" s="1075"/>
      <c r="K1002" s="1075"/>
      <c r="L1002" s="1075"/>
      <c r="M1002" s="1075"/>
      <c r="N1002" s="1075"/>
      <c r="O1002" s="1075"/>
      <c r="P1002" s="1075"/>
      <c r="Q1002" s="1075"/>
      <c r="R1002" s="1075"/>
      <c r="S1002" s="1081"/>
      <c r="T1002" s="1075"/>
      <c r="U1002" s="1075"/>
      <c r="V1002" s="1075"/>
      <c r="W1002" s="1075"/>
      <c r="X1002" s="1075"/>
      <c r="Y1002" s="1075"/>
      <c r="Z1002" s="1075"/>
      <c r="AA1002" s="1075"/>
      <c r="AB1002" s="1075"/>
      <c r="AC1002" s="1075"/>
      <c r="AD1002" s="1075"/>
      <c r="AE1002" s="1075"/>
      <c r="AF1002" s="1075"/>
      <c r="AG1002" s="1075"/>
      <c r="AH1002" s="1075"/>
      <c r="AI1002" s="1075"/>
      <c r="AJ1002" s="1075"/>
      <c r="AK1002" s="1075"/>
      <c r="AL1002" s="1075"/>
      <c r="AM1002" s="1075"/>
    </row>
    <row r="1003" spans="2:39" x14ac:dyDescent="0.25">
      <c r="B1003" s="1082"/>
      <c r="C1003" s="1075"/>
      <c r="D1003" s="1075"/>
      <c r="E1003" s="1075"/>
      <c r="F1003" s="1075"/>
      <c r="G1003" s="1075"/>
      <c r="H1003" s="1075"/>
      <c r="I1003" s="1075"/>
      <c r="J1003" s="1075"/>
      <c r="K1003" s="1075"/>
      <c r="L1003" s="1075"/>
      <c r="M1003" s="1075"/>
      <c r="N1003" s="1075"/>
      <c r="O1003" s="1075"/>
      <c r="P1003" s="1075"/>
      <c r="Q1003" s="1075"/>
      <c r="R1003" s="1075"/>
      <c r="S1003" s="1081"/>
      <c r="T1003" s="1075"/>
      <c r="U1003" s="1075"/>
      <c r="V1003" s="1075"/>
      <c r="W1003" s="1075"/>
      <c r="X1003" s="1075"/>
      <c r="Y1003" s="1075"/>
      <c r="Z1003" s="1075"/>
      <c r="AA1003" s="1075"/>
      <c r="AB1003" s="1075"/>
      <c r="AC1003" s="1075"/>
      <c r="AD1003" s="1075"/>
      <c r="AE1003" s="1075"/>
      <c r="AF1003" s="1075"/>
      <c r="AG1003" s="1075"/>
      <c r="AH1003" s="1075"/>
      <c r="AI1003" s="1075"/>
      <c r="AJ1003" s="1075"/>
      <c r="AK1003" s="1075"/>
      <c r="AL1003" s="1075"/>
      <c r="AM1003" s="1075"/>
    </row>
    <row r="1004" spans="2:39" x14ac:dyDescent="0.25">
      <c r="B1004" s="1082"/>
      <c r="C1004" s="1075"/>
      <c r="D1004" s="1075"/>
      <c r="E1004" s="1075"/>
      <c r="F1004" s="1075"/>
      <c r="G1004" s="1075"/>
      <c r="H1004" s="1075"/>
      <c r="I1004" s="1075"/>
      <c r="J1004" s="1075"/>
      <c r="K1004" s="1075"/>
      <c r="L1004" s="1075"/>
      <c r="M1004" s="1075"/>
      <c r="N1004" s="1075"/>
      <c r="O1004" s="1075"/>
      <c r="P1004" s="1075"/>
      <c r="Q1004" s="1075"/>
      <c r="R1004" s="1075"/>
      <c r="S1004" s="1081"/>
      <c r="T1004" s="1075"/>
      <c r="U1004" s="1075"/>
      <c r="V1004" s="1075"/>
      <c r="W1004" s="1075"/>
      <c r="X1004" s="1075"/>
      <c r="Y1004" s="1075"/>
      <c r="Z1004" s="1075"/>
      <c r="AA1004" s="1075"/>
      <c r="AB1004" s="1075"/>
      <c r="AC1004" s="1075"/>
      <c r="AD1004" s="1075"/>
      <c r="AE1004" s="1075"/>
      <c r="AF1004" s="1075"/>
      <c r="AG1004" s="1075"/>
      <c r="AH1004" s="1075"/>
      <c r="AI1004" s="1075"/>
      <c r="AJ1004" s="1075"/>
      <c r="AK1004" s="1075"/>
      <c r="AL1004" s="1075"/>
      <c r="AM1004" s="1075"/>
    </row>
  </sheetData>
  <sheetProtection algorithmName="SHA-512" hashValue="H7LY7/1ogdhCg2c9JwEAoBqD0p0U88nO+FDc2zrOwQtlffcY9nCD39Ob0OWMxYF6l948aHMBwDMHhLvHUlamgA==" saltValue="LWwr/Rzj6sxVG8s05U8IFg==" spinCount="100000" sheet="1" objects="1" scenarios="1"/>
  <mergeCells count="6">
    <mergeCell ref="AJ6:AM6"/>
    <mergeCell ref="R7:T7"/>
    <mergeCell ref="U7:W7"/>
    <mergeCell ref="X7:Z7"/>
    <mergeCell ref="AA7:AD7"/>
    <mergeCell ref="AE7:A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</vt:lpstr>
    </vt:vector>
  </TitlesOfParts>
  <Company>County of Volusia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Daniel Wofford</cp:lastModifiedBy>
  <cp:lastPrinted>2025-09-16T20:56:42Z</cp:lastPrinted>
  <dcterms:created xsi:type="dcterms:W3CDTF">2022-07-13T18:31:35Z</dcterms:created>
  <dcterms:modified xsi:type="dcterms:W3CDTF">2025-10-20T20:07:34Z</dcterms:modified>
</cp:coreProperties>
</file>